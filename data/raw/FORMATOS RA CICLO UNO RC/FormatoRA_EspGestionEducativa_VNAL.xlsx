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5" documentId="13_ncr:1_{233FF431-9A56-4D12-BAF8-9E1AE53B1EE5}" xr6:coauthVersionLast="47" xr6:coauthVersionMax="47" xr10:uidLastSave="{CC2B33B6-F655-47A0-9793-9118A79102B1}"/>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micro'!$B$1:$Q$35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7" l="1"/>
  <c r="A33" i="7"/>
  <c r="A28" i="7"/>
  <c r="A24" i="7"/>
  <c r="A20" i="7"/>
  <c r="I38" i="7" l="1"/>
  <c r="I37" i="7"/>
  <c r="K12" i="7" l="1"/>
  <c r="J12" i="7"/>
  <c r="D36" i="7"/>
  <c r="I36" i="7" l="1"/>
  <c r="K3" i="7" l="1"/>
  <c r="J3" i="7"/>
  <c r="A35" i="7"/>
  <c r="A34" i="7"/>
  <c r="A31" i="7"/>
  <c r="K31" i="7"/>
  <c r="J31" i="7"/>
  <c r="A29" i="7"/>
  <c r="A19" i="7"/>
  <c r="A4" i="7"/>
  <c r="A10" i="7"/>
  <c r="A5" i="7"/>
  <c r="A6" i="7"/>
  <c r="A7" i="7"/>
  <c r="A8" i="7"/>
  <c r="A9" i="7"/>
  <c r="A11" i="7"/>
  <c r="A12" i="7"/>
  <c r="A13" i="7"/>
  <c r="A14" i="7"/>
  <c r="A15" i="7"/>
  <c r="A16" i="7"/>
  <c r="A17" i="7"/>
  <c r="A18" i="7"/>
  <c r="A21" i="7"/>
  <c r="A22" i="7"/>
  <c r="A23" i="7"/>
  <c r="A25" i="7"/>
  <c r="A27" i="7"/>
  <c r="A30" i="7"/>
  <c r="A3" i="7"/>
  <c r="L31" i="7" l="1"/>
  <c r="L3" i="7"/>
  <c r="J27" i="7"/>
  <c r="K27" i="7"/>
  <c r="J26" i="7"/>
  <c r="K26" i="7"/>
  <c r="J22" i="7"/>
  <c r="K22" i="7"/>
  <c r="J18" i="7"/>
  <c r="K18" i="7"/>
  <c r="J15" i="7"/>
  <c r="K15" i="7"/>
  <c r="J9" i="7"/>
  <c r="K9" i="7"/>
  <c r="K6" i="7"/>
  <c r="J6" i="7"/>
  <c r="L18" i="7" l="1"/>
  <c r="L9" i="7"/>
  <c r="L6" i="7"/>
  <c r="L22" i="7"/>
  <c r="L26" i="7"/>
  <c r="L27" i="7"/>
  <c r="L15" i="7"/>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<sst xmlns="http://schemas.openxmlformats.org/spreadsheetml/2006/main" count="2422" uniqueCount="685">
  <si>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</si>
  <si>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</si>
  <si>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</si>
  <si>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</si>
  <si>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</si>
  <si>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</si>
  <si>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</si>
  <si>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</si>
  <si>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</si>
  <si>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</si>
  <si>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</si>
  <si>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</si>
  <si>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</si>
  <si>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</si>
  <si>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</si>
  <si>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</si>
  <si>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</si>
  <si>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</si>
  <si>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</si>
  <si>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</si>
  <si>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</si>
  <si>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</si>
  <si>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</si>
  <si>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</si>
  <si>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</si>
  <si>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</si>
  <si>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</si>
  <si>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</si>
  <si>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</si>
  <si>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</si>
  <si>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</si>
  <si>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</si>
  <si>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</si>
  <si>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</si>
  <si>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</si>
  <si>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</si>
  <si>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</si>
  <si>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</si>
  <si>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</si>
  <si>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</si>
  <si>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</si>
  <si>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</si>
  <si>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</si>
  <si>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</si>
  <si>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</si>
  <si>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</si>
  <si>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</si>
  <si>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</si>
  <si>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</si>
  <si>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</si>
  <si>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</si>
  <si>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</si>
  <si>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</si>
  <si>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</si>
  <si>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</si>
  <si>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</si>
  <si>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</si>
  <si>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</si>
  <si>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</si>
  <si>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</si>
  <si>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</si>
  <si>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</si>
  <si>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Encuesta</t>
  </si>
  <si>
    <t>Número de estudiantes y graduados que participan en la estrategia.</t>
  </si>
  <si>
    <t>Listado</t>
  </si>
  <si>
    <t>Número de veces que se realiza la estrategia en el tiempo que determine el programa.</t>
  </si>
  <si>
    <t>Informe o Reporte</t>
  </si>
  <si>
    <t>Número de estudiantes que participan en la estrategia.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</si>
  <si>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</si>
  <si>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</si>
  <si>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</si>
  <si>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</si>
  <si>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</si>
  <si>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</si>
  <si>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</si>
  <si>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</si>
  <si>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</si>
  <si>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</si>
  <si>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</si>
  <si>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</si>
  <si>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</si>
  <si>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</si>
  <si>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</si>
  <si>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</si>
  <si>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</si>
  <si>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</si>
  <si>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</si>
  <si>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</si>
  <si>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</si>
  <si>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</si>
  <si>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</si>
  <si>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</si>
  <si>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</si>
  <si>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</si>
  <si>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</si>
  <si>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</si>
  <si>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</si>
  <si>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</si>
  <si>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</si>
  <si>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</si>
  <si>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II</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</si>
  <si>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</si>
  <si>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</si>
  <si>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</si>
  <si>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</si>
  <si>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</si>
  <si>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</si>
  <si>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</si>
  <si>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</si>
  <si>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</si>
  <si>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</si>
  <si>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</si>
  <si>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</si>
  <si>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</si>
  <si>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</si>
  <si>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</si>
  <si>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</si>
  <si>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</si>
  <si>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</si>
  <si>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</si>
  <si>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</si>
  <si>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</si>
  <si>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</si>
  <si>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</si>
  <si>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</si>
  <si>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</si>
  <si>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</si>
  <si>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</si>
  <si>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</si>
  <si>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</si>
  <si>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</si>
  <si>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</si>
  <si>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</si>
  <si>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</si>
  <si>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</si>
  <si>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</si>
  <si>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</si>
  <si>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</si>
  <si>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</si>
  <si>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</si>
  <si>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</si>
  <si>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</si>
  <si>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</si>
  <si>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</si>
  <si>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</si>
  <si>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</si>
  <si>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</si>
  <si>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</si>
  <si>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</si>
  <si>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</si>
  <si>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</si>
  <si>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</si>
  <si>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</si>
  <si>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</si>
  <si>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</si>
  <si>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</si>
  <si>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</si>
  <si>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</si>
  <si>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</si>
  <si>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</si>
  <si>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</si>
  <si>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</si>
  <si>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</si>
  <si>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</si>
  <si>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</si>
  <si>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</si>
  <si>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</si>
  <si>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</si>
  <si>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</si>
  <si>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</si>
  <si>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</si>
  <si>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</si>
  <si>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</si>
  <si>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</si>
  <si>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</si>
  <si>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</si>
  <si>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</si>
  <si>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</si>
  <si>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</si>
  <si>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</si>
  <si>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</si>
  <si>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</si>
  <si>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</si>
  <si>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</si>
  <si>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</si>
  <si>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</si>
  <si>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</si>
  <si>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</si>
  <si>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</si>
  <si>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</si>
  <si>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</si>
  <si>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</si>
  <si>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</si>
  <si>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</si>
  <si>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</si>
  <si>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</si>
  <si>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</si>
  <si>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</si>
  <si>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</si>
  <si>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</si>
  <si>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</si>
  <si>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</si>
  <si>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</si>
  <si>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</si>
  <si>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</si>
  <si>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</si>
  <si>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</si>
  <si>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</si>
  <si>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</si>
  <si>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</si>
  <si>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</si>
  <si>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</si>
  <si>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</si>
  <si>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</si>
  <si>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</si>
  <si>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</si>
  <si>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Analizar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</si>
  <si>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</si>
  <si>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</si>
  <si>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</si>
  <si>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</si>
  <si>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</si>
  <si>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</si>
  <si>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</si>
  <si>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</si>
  <si>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</si>
  <si>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</si>
  <si>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</si>
  <si>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</si>
  <si>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</si>
  <si>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</si>
  <si>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</si>
  <si>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</si>
  <si>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</si>
  <si>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</si>
  <si>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</si>
  <si>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</si>
  <si>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</si>
  <si>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</si>
  <si>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</si>
  <si>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</si>
  <si>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</si>
  <si>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</si>
  <si>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</si>
  <si>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</si>
  <si>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</si>
  <si>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</si>
  <si>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</si>
  <si>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</si>
  <si>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</si>
  <si>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</si>
  <si>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</si>
  <si>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</si>
  <si>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</si>
  <si>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</si>
  <si>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</si>
  <si>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</si>
  <si>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</si>
  <si>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</si>
  <si>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</si>
  <si>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</si>
  <si>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</si>
  <si>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</si>
  <si>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</si>
  <si>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</si>
  <si>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</si>
  <si>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</si>
  <si>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</si>
  <si>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</si>
  <si>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</si>
  <si>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</si>
  <si>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</si>
  <si>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</si>
  <si>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</si>
  <si>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</si>
  <si>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</si>
  <si>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</si>
  <si>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</si>
  <si>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</si>
  <si>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</si>
  <si>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</si>
  <si>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</si>
  <si>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</si>
  <si>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</si>
  <si>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</si>
  <si>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</si>
  <si>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</si>
  <si>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</si>
  <si>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</si>
  <si>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</si>
  <si>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</si>
  <si>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</si>
  <si>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</si>
  <si>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</si>
  <si>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</si>
  <si>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</si>
  <si>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</si>
  <si>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</si>
  <si>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</si>
  <si>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</si>
  <si>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</si>
  <si>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</si>
  <si>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</si>
  <si>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</si>
  <si>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</si>
  <si>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</si>
  <si>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</si>
  <si>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</si>
  <si>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</si>
  <si>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</si>
  <si>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</si>
  <si>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</si>
  <si>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</si>
  <si>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</si>
  <si>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</si>
  <si>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</si>
  <si>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</si>
  <si>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</si>
  <si>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</si>
  <si>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</si>
  <si>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</si>
  <si>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</si>
  <si>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</si>
  <si>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</si>
  <si>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</si>
  <si>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</si>
  <si>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</si>
  <si>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</si>
  <si>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</si>
  <si>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</si>
  <si>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</si>
  <si>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</si>
  <si>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</si>
  <si>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</si>
  <si>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</si>
  <si>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</si>
  <si>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</si>
  <si>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</si>
  <si>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</si>
  <si>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</si>
  <si>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</si>
  <si>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</si>
  <si>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</si>
  <si>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</si>
  <si>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</si>
  <si>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</si>
  <si>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</si>
  <si>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</si>
  <si>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</si>
  <si>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</si>
  <si>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</si>
  <si>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</si>
  <si>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</si>
  <si>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</si>
  <si>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</si>
  <si>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</si>
  <si>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</si>
  <si>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</si>
  <si>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</si>
  <si>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</si>
  <si>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</si>
  <si>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</si>
  <si>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</si>
  <si>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</si>
  <si>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</si>
  <si>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</si>
  <si>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</si>
  <si>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</si>
  <si>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</si>
  <si>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</si>
  <si>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</si>
  <si>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</si>
  <si>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</si>
  <si>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</si>
  <si>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</si>
  <si>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</si>
  <si>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</si>
  <si>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</si>
  <si>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</si>
  <si>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</si>
  <si>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</si>
  <si>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</si>
  <si>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</si>
  <si>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</si>
  <si>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</si>
  <si>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</si>
  <si>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</si>
  <si>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</si>
  <si>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</si>
  <si>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</si>
  <si>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</si>
  <si>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</si>
  <si>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</si>
  <si>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</si>
  <si>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</si>
  <si>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</si>
  <si>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</si>
  <si>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</si>
  <si>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</si>
  <si>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</si>
  <si>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</si>
  <si>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</si>
  <si>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</si>
  <si>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</si>
  <si>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</si>
  <si>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</si>
  <si>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</si>
  <si>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</si>
  <si>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</si>
  <si>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</si>
  <si>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</si>
  <si>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</si>
  <si>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</si>
  <si>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</si>
  <si>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</si>
  <si>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</si>
  <si>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</si>
  <si>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</si>
  <si>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</si>
  <si>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</si>
  <si>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</si>
  <si>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</si>
  <si>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</si>
  <si>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</si>
  <si>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</si>
  <si>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</si>
  <si>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</si>
  <si>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</si>
  <si>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</si>
  <si>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</si>
  <si>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</si>
  <si>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</si>
  <si>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</si>
  <si>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</si>
  <si>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</si>
  <si>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</si>
  <si>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</si>
  <si>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</si>
  <si>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</si>
  <si>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</si>
  <si>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</si>
  <si>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</si>
  <si>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</si>
  <si>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</si>
  <si>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</si>
  <si>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</si>
  <si>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</si>
  <si>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</si>
  <si>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</si>
  <si>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</si>
  <si>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</si>
  <si>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</si>
  <si>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</si>
  <si>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</si>
  <si>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</si>
  <si>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</si>
  <si>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</si>
  <si>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</si>
  <si>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</si>
  <si>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</si>
  <si>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</si>
  <si>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</si>
  <si>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</si>
  <si>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</si>
  <si>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</si>
  <si>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</si>
  <si>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</si>
  <si>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</si>
  <si>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</si>
  <si>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</si>
  <si>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</si>
  <si>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</si>
  <si>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</si>
  <si>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</si>
  <si>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</si>
  <si>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</si>
  <si>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</si>
  <si>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</si>
  <si>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</si>
  <si>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</si>
  <si>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</si>
  <si>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</si>
  <si>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</si>
  <si>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</si>
  <si>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</si>
  <si>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</si>
  <si>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</si>
  <si>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</si>
  <si>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</si>
  <si>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</si>
  <si>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</si>
  <si>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</si>
  <si>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</si>
  <si>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</si>
  <si>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</si>
  <si>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</si>
  <si>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</si>
  <si>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</si>
  <si>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</si>
  <si>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</si>
  <si>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</si>
  <si>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</si>
  <si>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</si>
  <si>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</si>
  <si>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</si>
  <si>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</si>
  <si>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</si>
  <si>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</si>
  <si>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</si>
  <si>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</si>
  <si>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</si>
  <si>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</si>
  <si>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</si>
  <si>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</si>
  <si>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</si>
  <si>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</si>
  <si>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</si>
  <si>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</si>
  <si>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</si>
  <si>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</si>
  <si>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</si>
  <si>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</si>
  <si>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</si>
  <si>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</si>
  <si>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</si>
  <si>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</si>
  <si>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</si>
  <si>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</si>
  <si>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</si>
  <si>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</si>
  <si>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</si>
  <si>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</si>
  <si>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</si>
  <si>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</si>
  <si>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</si>
  <si>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</si>
  <si>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</si>
  <si>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</si>
  <si>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</si>
  <si>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</si>
  <si>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</si>
  <si>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</si>
  <si>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</si>
  <si>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</si>
  <si>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</si>
  <si>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</si>
  <si>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</si>
  <si>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</si>
  <si>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</si>
  <si>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</si>
  <si>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</si>
  <si>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</si>
  <si>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</si>
  <si>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</si>
  <si>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</si>
  <si>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</si>
  <si>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</si>
  <si>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</si>
  <si>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</si>
  <si>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</si>
  <si>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</si>
  <si>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</si>
  <si>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</si>
  <si>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</si>
  <si>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</si>
  <si>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</si>
  <si>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</si>
  <si>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</si>
  <si>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</si>
  <si>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</si>
  <si>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</si>
  <si>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</si>
  <si>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</si>
  <si>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</si>
  <si>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</si>
  <si>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</si>
  <si>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</si>
  <si>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</si>
  <si>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</si>
  <si>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</si>
  <si>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</si>
  <si>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</si>
  <si>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Especialización en Gestión Educativa</t>
  </si>
  <si>
    <t>Virtual</t>
  </si>
  <si>
    <t>El egresado de la Especialización en Gestión Educativa aplica conocimientos en gestión institucional, legislación educativa, currículo y políticas públicas para gestionar procesos administrativos, organizativos y estratégicos en escenarios educativos formales y no formales, así como en contextos de planificación y gestión territorial. Desarrolla estrategias de dirección y evaluación institucional con base en criterios técnicos y normativos aplicables al entorno. Coordina equipos de trabajo, presenta resultados sustentados en datos verificables y articula procesos entre niveles organizacionales, actuando según metas institucionales y lineamientos del sistema educativo en sectores públicos y privados.</t>
  </si>
  <si>
    <t>El egresado de la Especialización en Gestión Educativa se desempeña en organismos educativos, entidades territoriales, instituciones formativas y organizaciones del sector público o privado, en funciones asociadas a la planificación educativa, gestión organizacional, implementación de políticas y coordinación de proyectos institucionales. Participa en equipos técnicos de evaluación, asesoría o mejora continua, y puede asumir responsabilidades en programas de desarrollo institucional, fortalecimiento de capacidades locales o gestión educativa descentralizada. Su actuación se extiende a contextos escolares, administrativos y comunitarios, con posibilidad de vinculación en procesos interinstitucionales, planes de formación continua, y acompañamiento a estructuras educativas en niveles locales y regionales, respondiendo a marcos regulatorios, criterios técnicos y objetivos estratégicos del sistema educativo.</t>
  </si>
  <si>
    <t>Específica</t>
  </si>
  <si>
    <t>La Especialización en Gestión Educativa del Politécnico Grancolombiano se caracteriza por una formación que trasciende los límites de la gestión escolar tradicional, proyectando al egresado hacia escenarios de planificación, asesoría y acompañamiento institucional en contextos educativos amplios, tanto formales como no formales. Su enfoque territorial permite al especialista actuar en realidades locales, regionales y comunitarias, articulando políticas públicas, estructuras organizativas y necesidades sociales concretas. Esta perspectiva se consolida mediante una formación aplicada que incorpora herramientas técnicas para la toma de decisiones, el diseño estratégico y la evaluación institucional, con el respaldo del Centro de Investigación en Innovación Educativa (CIIE), como espacio académico que facilita el análisis de experiencias, la producción de conocimiento técnico y la conexión con procesos reales de gestión educativa.</t>
  </si>
  <si>
    <t>Directivos docentes (rectores, coordinadores y otros) en instituciones oficiales y privadas/Docentes de educación preescolar, básica, media, superior y de educación para el trabajo y el desarrollo humano, vinculados a procesos de innovación, rediseño o mejoramiento institucional/Equipos responsables de planeación, currículo, autoevaluación y acreditación/Equipos técnicos y funcionarios de secretarías de educación y entidades territoriales certificadas (ETC), en áreas de calidad, cobertura y mejoramiento educativo/Consejos académicos o escolares en procesos de gestión o toma de decisiones/Equipos académicos y administrativos de instituciones de educación superior, incluyendo coordinadores de extensión y programas de formación docente/Especialistas en programas de intervención estatal o territorial en educación/Familias, cuidadores, líderes comunitarios y miembros de organizaciones sociales vinculados a procesos escolares o comunitarios/Agentes educativos, facilitadores y coordinadores de proyectos de transformación escolar, comunitaria o de educación no formal.</t>
  </si>
  <si>
    <t>marcos regulatorios, políticas públicas, modelos de gestión educativa y datos del sistema educativo</t>
  </si>
  <si>
    <t>estructurar propuestas técnicas de intervención contextualizada</t>
  </si>
  <si>
    <t>integrando referentes sectoriales y necesidades institucionales en escenarios organizacionales diversos.</t>
  </si>
  <si>
    <t xml:space="preserve">planes, programas y proyectos de gestión organizacional, administrativa y curricular </t>
  </si>
  <si>
    <t>implementar procesos de mejora institucional</t>
  </si>
  <si>
    <t>articulando objetivos estratégicos, recursos operativos y acciones planificadas con base en diagnósticos institucionales.</t>
  </si>
  <si>
    <t>procesos y resultados de la gestión educativa</t>
  </si>
  <si>
    <t>formular acciones técnicas orientadas al mejoramiento institucional y territorial</t>
  </si>
  <si>
    <t>utilizando evidencia sistematizada, indicadores de desempeño y lineamientos normativos en escenarios públicos y privados.</t>
  </si>
  <si>
    <t>Analizar marcos regulatorios, políticas públicas, modelos de gestión educativa y datos del sistema educativo para estructurar propuestas técnicas de intervención contextualizada, integrando referentes sectoriales y necesidades institucionales en escenarios organizacionales diversos.</t>
  </si>
  <si>
    <t>Diseñar planes, programas y proyectos de gestión organizacional, administrativa y curricular para implementar procesos de mejora institucional, articulando objetivos estratégicos, recursos operativos y acciones planificadas con base en diagnósticos institucionales.</t>
  </si>
  <si>
    <t>Especialista en gestión institucional educativa/Asesor en planeación escolar/Coordinador de procesos organizativos educativos/Analista de gestión escolar/Coordinador de planes de mejoramiento institucional/Consultor en estructura organizativa de instituciones educativas/Especialista en articulación curricular/Coordinador académico en entornos escolares/Asesor en diseño de programas educativos/Consultor en estructuración curricular institucional/Coordinador de actualización de contenidos y planes de estudio/Facilitador técnico en procesos de desarrollo académico/Coordinador de gestión pedagógica/Coordinador de calidad educativa/Consultor en sistemas de gestión de calidad en educación/Coordinador de indicadores y seguimiento institucional/Especialista en evaluación de desempeño institucional/Asesor en gestión educativa territorial/Coordinador de acompañamiento institucional/Facilitador técnico para el fortalecimiento escolar/Especialista en intervención educativa contextualizada/Consultor en desarrollo institucional comunitario/Especialista en planificación institucional educativa/Coordinador de evaluación escolar/Analista de resultados institucionales en educación/Consultor en toma de decisiones educativas basadas en datos/Asesor en diseño de planes de desarrollo educativo/Facilitador de análisis situacional institucional.</t>
  </si>
  <si>
    <t>Diseñar instrumentos técnicos para el diagnóstico organizacional en instituciones educativas/Planificar acciones estratégicas para el cumplimiento de metas institucionales/Supervisar el cumplimiento de procesos administrativos conforme a lineamientos internos y normativos/Elaborar planes de mejora institucional basados en hallazgos de auditorías o evaluaciones internas/Coordinar procesos de articulación entre planes de estudio, mallas curriculares y necesidades del contexto/Participar en la definición de criterios para la evaluación del desarrollo curricular/Analizar la pertinencia de las estrategias pedagógicas implementadas en diferentes áreas de formación/Proponer ajustes a la estructura curricular con base en análisis institucional y políticas educativas/Implementar sistemas de seguimiento a indicadores de calidad institucional definidos por entes reguladores/Analizar resultados de autoevaluación institucional y proponer acciones de mejora/Coordinar la recolección y sistematización de evidencias para procesos de acreditación/Diseñar estrategias de sostenibilidad de la calidad educativa en función de estándares nacionales e internacionales/Asesorar equipos directivos en la formulación de planes estratégicos institucionales/Coordinar procesos de acompañamiento técnico en instituciones rurales o de atención prioritaria/Generar informes de avance sobre procesos institucionales acompañados/Formular recomendaciones técnicas para la resolución de problemáticas organizacionales específicas/Formular planes de desarrollo institucional con base en análisis de contexto/Aplicar técnicas de recolección de información para evaluar procesos académicos y administrativos/Generar reportes técnicos con hallazgos, conclusiones y recomendaciones sobre la gestión institucional/Diseñar sistemas de evaluación interna que articulen metas, indicadores y criterios de logro.</t>
  </si>
  <si>
    <t>Analiza modelos de gestión educativa, políticas públicas y componentes organizacionales, administrativos y curriculares para establecer relaciones que fundamenten intervenciones educativas y procesos de gestión institucional.</t>
  </si>
  <si>
    <t>Diseña propuestas, planes, programas o proyectos de gestión educativa para estructurar acciones y estrategias que respondan a diagnósticos, necesidades y lineamientos institucionales.</t>
  </si>
  <si>
    <t>Aplica métodos de planificación, seguimiento y monitoreo para fundamentar ajustes sistemáticos en la formulación de intervenciones y procesos de mejora educativa.</t>
  </si>
  <si>
    <t>Analiza resultados e indicadores de gestión educativa para establecer relaciones entre logros institucionales y metas estratégicas.</t>
  </si>
  <si>
    <t>Formula acciones técnicas de mejora para aplicar criterios de evaluación institucional a partir del análisis de resultados de gestión educativa.</t>
  </si>
  <si>
    <t>Clases Espejo / COIL</t>
  </si>
  <si>
    <t>Metodología de intercambio colaborativo entre pares académicos de instituciones nacionales e internacionales, mediado por tecnologías digitales. Permite la planeación y el desarrollo de clases conjuntas, así como la posibilidad de movilidad presencial en universidades latinoamericanas. Con la participación de docentes extranjeros, se amplía la perspectiva académica de los y las estudiantes, fortaleciendo la reflexión crítica sobre estrategias de innovación institucional y de mejoramiento de la calidad educativa, en coherencia con los desafíos de los proyectos educativos contemporáneos.</t>
  </si>
  <si>
    <t>Seminario Internacional</t>
  </si>
  <si>
    <t>Espacios académicos orientados a la solución de problemáticas educativas y a la generación de alternativas innovadoras situadas en los territorios. Con la participación de invitados internacionales y alianzas universitarias, se promueve el diálogo sobre las condiciones que posibilitan una educación de calidad en contextos diversos, reconociendo la importancia de la lectura de realidades locales y comunitarias.</t>
  </si>
  <si>
    <t>Valoración del nivel de contribución de la estrategia a los resultados de aprendizaje del programa.</t>
  </si>
  <si>
    <t>Formar a los estudiantes en el intercambio académico colaborativo con pares nacionales e internacionales, para fortalecer su aprendizaje interdisciplinar y la aplicación de estrategias de innovación educativa en contextos reales.</t>
  </si>
  <si>
    <t>Formar a los estudiantes en el análisis de problemáticas y políticas educativas, para favorecer la construcción de propuestas contextualizadas orientadas a la transformación de los territorios.</t>
  </si>
  <si>
    <t>Encuesta de valoración</t>
  </si>
  <si>
    <t>Listado de participación</t>
  </si>
  <si>
    <t>Simposios Internacionales</t>
  </si>
  <si>
    <t>Escenarios de diálogo sobre las tendencias en educación, que permiten identificar convergencias y divergencias en torno a la realidad de la educación superior. Con invitados nacionales e internacionales, directivos y docentes de distintas universidades de América Latina y Europa, se desarrollan paneles y mesas temáticas que contribuyen a la construcción de una visión compartida sobre los retos educativos.</t>
  </si>
  <si>
    <t>Informar y formar a los estudiantes sobre las tendencias y transformaciones actuales del campo educativo, para ampliar su perspectiva frente a los desafíos contemporáneos de la educación superior.</t>
  </si>
  <si>
    <t>Aulas Abiertas de Investigación</t>
  </si>
  <si>
    <t>Espacios teórico-prácticos para el fortalecimiento de competencias investigativas. Facilitan la problematización de contextos singulares y la formulación de alternativas de abordaje en proyectos de investigación e innovación que se presentan en el marco de los posgrados de la Escuela de Educación e Innovación. Incluyen talleres y actividades para la socialización, búsqueda y análisis de información, revisión sistemática de bases de datos y visualización de resultados, promoviendo la iniciación científica y la apropiación de metodologías de investigación.</t>
  </si>
  <si>
    <t>Prevenir dificultades académicas en el desarrollo de proyectos de investigación e innovación, para fortalecer la aplicación de metodologías y técnicas de análisis en contextos educativos reales.</t>
  </si>
  <si>
    <t>Cátedras Inaugurales</t>
  </si>
  <si>
    <t>Espacios académicos de reflexión sobre tendencias pedagógicas y educativas, con la participación de diversos actores y modalidades. Propician la actualización de discursos pedagógicos y la comprensión crítica de fenómenos sociales y educativos, considerando los territorios como contextos de aprendizaje. Estas cátedras reafirman el compromiso institucional con la formación posgradual de alta calidad, basada en el diálogo, la construcción colectiva de conocimiento y la investigación como motor de transformación social.</t>
  </si>
  <si>
    <t>Informar a los estudiantes sobre las tendencias pedagógicas y educativas actuales, para contextualizar su formación en relación con los desafíos y transformaciones del sistema educativo.</t>
  </si>
  <si>
    <t>Precongreso Investigación en Innovación Educativa</t>
  </si>
  <si>
    <t>Congreso Internacional de Investigación en Innovación Educativa</t>
  </si>
  <si>
    <t>Escenario de preparación y discusión académica en el que los estudiantes interactúan con expertos nacionales e internacionales. Se abordan innovaciones educativas y sociales, así como estrategias pedagógicas y didácticas que orientan la participación en el Congreso Internacional de Investigación en Innovación Educativa. Este espacio favorece el intercambio de ideas y experiencias, generando un impacto positivo en la calidad educativa y en la consolidación de redes académicas.</t>
  </si>
  <si>
    <t>Evento académico de carácter nacional e internacional que reúne a expertos reconocidos, quienes socializan experiencias, metodologías y propuestas innovadoras frente a los desafíos educativos actuales. Este congreso, organizado por el Centro de Investigación en Innovación Educativa (CIIE), fomenta el debate académico, la construcción de redes epistémicas y el fortalecimiento del perfil profesional y académico de los y las estudiantes de la Maestría en Innovación Educativa.</t>
  </si>
  <si>
    <t>Formar a los estudiantes en la comunicación académica y la argumentación científica, para fortalecer su participación en escenarios de socialización e intercambio de experiencias investigativas.</t>
  </si>
  <si>
    <t>Formar a los estudiantes en el análisis y la discusión de experiencias y metodologías innovadoras, para favorecer la construcción de conocimiento y el fortalecimiento de redes académicas.</t>
  </si>
  <si>
    <t>Centro de Liderazgo 360</t>
  </si>
  <si>
    <t>A la Pizarra - Programa Radial Poli Radio</t>
  </si>
  <si>
    <t>Vinculación con Redes Académicas</t>
  </si>
  <si>
    <t>Revista Panorama</t>
  </si>
  <si>
    <t>Estrategia que potencia las habilidades de liderazgo de los estudiantes de posgrado, brindándoles herramientas para dirigir proyectos, equipos e instituciones desde una perspectiva innovadora y transformadora. Con un enfoque integral, favorece la reflexión crítica, la proyección profesional y la capacidad de incidir en la mejora de la calidad educativa y en el desarrollo sostenible de los territorios.</t>
  </si>
  <si>
    <t>Ayudar a decidir a los estudiantes en la gestión y dirección de proyectos educativos, para fortalecer su capacidad de liderazgo y su participación en procesos de transformación institucional.</t>
  </si>
  <si>
    <t>Listado de participación de los estudiantes</t>
  </si>
  <si>
    <t>Franja académica en la emisora institucional PoliRadio, miembro de la Red de Radio Universitaria de Colombia (RRUC). La Maestría en Innovación Educativa participa con programas temáticos que difunden hitos académicos de estudiantes y docentes, propiciando la reflexión y la divulgación de experiencias pedagógicas hacia públicos amplios a nivel nacional e internacional.</t>
  </si>
  <si>
    <t>Número de estudiantes y docentes que participan en la estrategia por semestre académico.</t>
  </si>
  <si>
    <t>Número de programas que se realizan e intercambios de programación con emisoras universitarias e instituciones en el tiempo que determine el programa.</t>
  </si>
  <si>
    <t>Informar a los estudiantes sobre experiencias pedagógicas y académicas destacadas, para promover la divulgación del conocimiento y la reflexión sobre la práctica educativa.</t>
  </si>
  <si>
    <t>Listado de participación de estudiantes y docentes</t>
  </si>
  <si>
    <t>Estrategia orientada al fortalecimiento académico e investigativo mediante la articulación con redes y asociaciones nacionales e internacionales, entre ellas la Asociación Colombiana de Facultades de Educación (ASCOFADE), la Red Internacional de Posgrados en Educación (REINPED) y la Red de Lectura y Escritura en Educación Superior (REDLEES).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</si>
  <si>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Revista Panorama es una publicación de alcance nacional e internacional que busca promover y visibilizar los avances y resultados de investigación desarrollados por los estudiantes de posgrado. Su propósito es propiciar un diálogo constante y vigente entre las comunidades académicas interesadas en reflexionar, debatir y mejorar sus prácticas académicas, pedagógicas y didácticas, especialmente aquellas mediadas por entornos virtuales de aprendizaje.</t>
  </si>
  <si>
    <t>Informar y formar a los estudiantes sobre la participación en redes académicas y de investigación, para promover la cooperación interinstitucional y la actualización permanente en el campo educativo.</t>
  </si>
  <si>
    <t>Formar a los estudiantes en la divulgación y publicación de resultados de investigación, para fortalecer sus competencias de escritura académica y su proyección en comunidades científicas.</t>
  </si>
  <si>
    <t>Evaluar procesos y resultados de la gestión educativa para formular acciones técnicas orientadas al mejoramiento institucional y territorial, utilizando evidencia sistematizada, indicadores de desempeño y lineamientos normativos en escenarios públicos y privados.</t>
  </si>
  <si>
    <t>Liderazgo para Equipos Competitivos</t>
  </si>
  <si>
    <t>Desafíos para la Transformación Educativa</t>
  </si>
  <si>
    <t>Educación y Currículo para el Desarrollo Integral</t>
  </si>
  <si>
    <t>Gestión Directiva, Administrativa y Financiera</t>
  </si>
  <si>
    <t>Calidad de los Sistemas Educativos</t>
  </si>
  <si>
    <t>Legislación y Políticas Educativas</t>
  </si>
  <si>
    <t>Gestión de la Innovación Educativa</t>
  </si>
  <si>
    <t>Evaluación para la Toma de Decisiones</t>
  </si>
  <si>
    <t>Electiva</t>
  </si>
  <si>
    <t>Seminario Gestión Educativa</t>
  </si>
  <si>
    <t>X</t>
  </si>
  <si>
    <t>TP</t>
  </si>
  <si>
    <t>Analiza las problemáticas educativas en relación con los ODS y las tendencias globales, para formular alternativas de gestión que respondan a los retos sociales y culturales del sistema educativo.</t>
  </si>
  <si>
    <t>Evalúa los procesos de gestión curricular a partir de políticas y lineamientos institucionales, para elaborar propuestas de mejora orientadas al desarrollo integral del aprendizaje.</t>
  </si>
  <si>
    <t>Evalúa las políticas y condiciones de calidad en distintos niveles educativos, para identificar estrategias de mejoramiento aplicables a la gestión institucional.</t>
  </si>
  <si>
    <t>1. Sociedad, Estado y políticas educativas
2. Los manifiestos educativos internacionales y latinoamericanos
3. Las políticas educativas en Colombia
4. Políticas Jurisdiccionales: planes, programas y proyectos regionales/departamentales.</t>
  </si>
  <si>
    <t>1. Indicadores de desempeño KPIs
2. Herramientas de toma de decisiones
3. Mejoramiento continuo para la toma de decisiones
4. Toma de decisiones cuantitativas</t>
  </si>
  <si>
    <t>1. Estilo de liderazgo situacional 
2. Liderazgo de equipos de alto desempeño
3. Competencias sociemocionales para trabajar en equipo
4. Liderazgo y comunicación efectiva</t>
  </si>
  <si>
    <t>1. Avances y retos frente a la educación y el desarrollo
2. Procesos del área de gestión comunitaria.
3. Proyección social educativa 
4. Gestión de Proyectos sociales como respuesta a las problemáticas educativas</t>
  </si>
  <si>
    <t>1. Fundamentos para la gestión del currículo y el aprendizaje
2. Políticas y lineamientos para la gestión curricular y pedagógica 
3. Evaluación y mejora del currículo y su aplicación en la práctica
4. Diseño, implementación y seguimiento curricular y gestión de los aprendizajes</t>
  </si>
  <si>
    <t>1. Administración y gestión educativa
2. Dimensiones de la gestión educativa
3. Procesos e instrumentos de la gestión educativa
4. Dirección y control en las instituciones educativas</t>
  </si>
  <si>
    <t>1. Calidad educativa como referente de la gestión educativa
2. Políticas de calidad en la educación superior
3. Condiciones de la calidad en los niveles educativos  
4. Calidad de las instituciones con perspectiva en el ámbito internacional</t>
  </si>
  <si>
    <t>1. Modelos de gestión estratégica
2. Dimensiones del direccionamiento estratégico de la innovación educativa
3. La planeación y ejecución que interviene en el direccionamiento estratégico de la innovación educativa
4. Evaluación en la gestión estratégica de la innovación educativa</t>
  </si>
  <si>
    <t>integrando referentes sectoriales y necesidades institucionales en escenarios organizacionales diversos</t>
  </si>
  <si>
    <t>articulando objetivos estratégicos, recursos operativos y acciones planificadas con base en diagnósticos institucionales</t>
  </si>
  <si>
    <t>utilizando evidencia sistematizada, indicadores de desempeño y lineamientos normativos en escenarios públicos y privados</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</si>
  <si>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</si>
  <si>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Analiza los estilos de liderazgo y las competencias socioemocionales en escenarios colaborativos, para aplicar estrategias que fortalezcan la comunicación y el desempeño de equipos educativos.</t>
  </si>
  <si>
    <t>Aplica principios y funciones de la gestión directiva, administrativa y financiera, para evaluar la coherencia de los procesos institucionales con la planeación orientada al logro de los objetivos educativos.</t>
  </si>
  <si>
    <t>Diferencia críticamente los desafíos y el alcance del Plan Decenal de Educación para beneficiar el correcto funcionamiento de las instituciones educativas.
Interpreta tensiones, problemáticas y temas críticos en las opciones de política nacional para proyectar el cambio en los escenarios educativos.</t>
  </si>
  <si>
    <t>Aplica modelos de gestión estratégica de la innovación educativa, para evaluar la articulación entre la planeación, ejecución y seguimiento de procesos institucionales orientados al mejoramiento continuo.</t>
  </si>
  <si>
    <t>Evalúa los resultados derivados del uso de herramientas e indicadores institucionales, para formular orientaciones de mejoramiento en los procesos de gestión educativa.</t>
  </si>
  <si>
    <t>Analiza problemáticas asociadas a la gestión educativa, para estructurar alternativas innovadoras de solución fundamentadas en evidencias que orienten procesos de mejora institucional.</t>
  </si>
  <si>
    <t>Trabajo directo:
Encuentros sincrónicos, mensajería interna, foros generales, anuncios.
Trabajo independiente: 
Lecturas fundamentales y complementarias
Anuncios
Foros
Actividades de refuerzo y recursos del módulo</t>
  </si>
  <si>
    <t>1. Problematización de la gestión educativa
2. Planteamiento de proyectos en Gestión Educativa: antecedentes, referentes teóricos, conceptuales y normativos
3. Investigación en la Gestión Educativa: abordaje metodológico y análisis de la información
4. Aportes de la investigación en la Gestión Educativa: evaluación y construcción propuesta de mejoramiento</t>
  </si>
  <si>
    <t>Elementos para redactar las competencias que desarrollará el programa</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</si>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</sst>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
      <sz val="11"/>
      <color rgb="FF7030A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2"/>
        <bgColor indexed="64"/>
      </patternFill>
    </fill>
    <fill>
      <patternFill patternType="solid">
        <fgColor theme="4"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rgb="FF000000"/>
      </top>
      <bottom/>
      <diagonal/>
    </border>
    <border>
      <left/>
      <right/>
      <top style="medium">
        <color indexed="64"/>
      </top>
      <bottom style="hair">
        <color theme="1" tint="0.499984740745262"/>
      </bottom>
      <diagonal/>
    </border>
    <border>
      <left/>
      <right/>
      <top style="hair">
        <color theme="1" tint="0.499984740745262"/>
      </top>
      <bottom style="hair">
        <color theme="1" tint="0.499984740745262"/>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25">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4" fillId="0" borderId="7" xfId="0" applyFont="1" applyBorder="1" applyAlignment="1">
      <alignment vertical="center" wrapText="1"/>
    </xf>
    <xf numFmtId="0" fontId="3" fillId="0" borderId="8" xfId="0" applyFont="1" applyBorder="1" applyAlignment="1">
      <alignment wrapText="1"/>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wrapText="1"/>
    </xf>
    <xf numFmtId="0" fontId="3" fillId="0" borderId="9" xfId="0" applyFont="1" applyBorder="1" applyAlignment="1">
      <alignment vertical="center"/>
    </xf>
    <xf numFmtId="0" fontId="5" fillId="2" borderId="1"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1"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2"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4" fillId="0" borderId="9"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4" fillId="0" borderId="0" xfId="0" applyFont="1" applyAlignment="1">
      <alignment horizontal="center" vertical="center" wrapText="1"/>
    </xf>
    <xf numFmtId="0" fontId="9" fillId="0" borderId="14" xfId="0" applyFont="1" applyBorder="1" applyAlignment="1">
      <alignment horizontal="left" vertical="center" wrapText="1"/>
    </xf>
    <xf numFmtId="0" fontId="20" fillId="0" borderId="0" xfId="0" applyFont="1" applyAlignment="1">
      <alignment horizontal="center" vertical="center" wrapText="1"/>
    </xf>
    <xf numFmtId="0" fontId="5" fillId="2" borderId="7"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9" fillId="9" borderId="0" xfId="0" applyFont="1" applyFill="1" applyAlignment="1">
      <alignment horizontal="center" vertical="center" wrapText="1"/>
    </xf>
    <xf numFmtId="0" fontId="19" fillId="9" borderId="15" xfId="0" applyFont="1" applyFill="1" applyBorder="1" applyAlignment="1">
      <alignment horizontal="center" vertical="center" wrapText="1"/>
    </xf>
    <xf numFmtId="0" fontId="19" fillId="9" borderId="16" xfId="0" applyFont="1" applyFill="1" applyBorder="1" applyAlignment="1">
      <alignment horizontal="center" vertical="center" wrapText="1"/>
    </xf>
    <xf numFmtId="0" fontId="3" fillId="10" borderId="0" xfId="0" applyFont="1" applyFill="1" applyAlignment="1">
      <alignment vertical="center" wrapText="1"/>
    </xf>
    <xf numFmtId="0" fontId="3" fillId="10" borderId="7" xfId="0" applyFont="1" applyFill="1" applyBorder="1" applyAlignment="1">
      <alignment vertical="center" wrapText="1"/>
    </xf>
    <xf numFmtId="0" fontId="3" fillId="10" borderId="7"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4" fillId="10" borderId="7" xfId="0" applyFont="1" applyFill="1" applyBorder="1" applyAlignment="1">
      <alignment horizontal="center" vertical="center" wrapText="1"/>
    </xf>
    <xf numFmtId="0" fontId="4" fillId="10" borderId="7" xfId="0" applyFont="1" applyFill="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9" fillId="0" borderId="0" xfId="0" applyFont="1" applyAlignment="1">
      <alignment vertical="center" wrapText="1"/>
    </xf>
    <xf numFmtId="0" fontId="9" fillId="0" borderId="0" xfId="0" applyFont="1" applyAlignment="1">
      <alignment vertical="center"/>
    </xf>
    <xf numFmtId="0" fontId="9" fillId="0" borderId="8" xfId="0" applyFont="1" applyBorder="1" applyAlignment="1">
      <alignment vertical="center" wrapText="1"/>
    </xf>
    <xf numFmtId="0" fontId="9" fillId="0" borderId="14" xfId="0" applyFont="1" applyBorder="1" applyAlignment="1">
      <alignment vertical="center" wrapText="1"/>
    </xf>
    <xf numFmtId="0" fontId="9" fillId="0" borderId="14" xfId="0" applyFont="1" applyBorder="1" applyAlignment="1">
      <alignment vertical="center"/>
    </xf>
    <xf numFmtId="0" fontId="9" fillId="0" borderId="8" xfId="0" applyFont="1" applyBorder="1" applyAlignment="1">
      <alignment vertical="center"/>
    </xf>
    <xf numFmtId="0" fontId="9" fillId="0" borderId="7" xfId="0" applyFont="1" applyBorder="1" applyAlignment="1">
      <alignment vertical="center" wrapText="1"/>
    </xf>
    <xf numFmtId="0" fontId="9" fillId="0" borderId="7" xfId="0" applyFont="1" applyBorder="1" applyAlignment="1">
      <alignment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3" fillId="0" borderId="11" xfId="0" applyFont="1" applyBorder="1" applyAlignment="1">
      <alignment horizontal="left" vertical="center" wrapText="1"/>
    </xf>
    <xf numFmtId="0" fontId="15" fillId="2" borderId="1"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4" xfId="0" applyFont="1" applyBorder="1" applyAlignment="1">
      <alignment horizontal="left" vertical="center" wrapText="1"/>
    </xf>
    <xf numFmtId="0" fontId="9" fillId="0" borderId="11" xfId="0" applyFont="1" applyBorder="1" applyAlignment="1">
      <alignment horizontal="center" vertical="center" wrapText="1"/>
    </xf>
    <xf numFmtId="0" fontId="3" fillId="0" borderId="0" xfId="0" applyFont="1" applyAlignment="1">
      <alignment horizontal="center"/>
    </xf>
    <xf numFmtId="0" fontId="19" fillId="0" borderId="0" xfId="0" applyFont="1" applyAlignment="1">
      <alignment horizontal="center"/>
    </xf>
    <xf numFmtId="0" fontId="5" fillId="4" borderId="1"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8" totalsRowShown="0" headerRowDxfId="175" dataDxfId="174">
  <autoFilter ref="B1:B38" xr:uid="{B2A92B26-EF0C-4878-B50A-6837C8B938F9}"/>
  <sortState xmlns:xlrd2="http://schemas.microsoft.com/office/spreadsheetml/2017/richdata2" ref="B2:B38">
    <sortCondition ref="B1:B38"/>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19.7265625" style="3" customWidth="1"/>
    <col min="2" max="2" width="16.7265625" style="3" customWidth="1"/>
    <col min="3" max="4" width="55.36328125" style="3" customWidth="1"/>
    <col min="5" max="5" width="30.54296875" style="3" customWidth="1"/>
    <col min="6" max="6" width="30.54296875" style="1" customWidth="1"/>
    <col min="7" max="7" width="33.54296875" style="1" customWidth="1"/>
    <col min="8" max="9" width="74" style="3" customWidth="1"/>
    <col min="10" max="10" width="66.7265625" style="3" customWidth="1"/>
    <col min="11" max="11" width="65.6328125" style="3" customWidth="1"/>
    <col min="12" max="16384" width="76.26953125" style="3"/>
  </cols>
  <sheetData>
    <row r="1" spans="1:11" ht="42.5" x14ac:dyDescent="0.5">
      <c r="A1" s="36" t="s">
        <v>0</v>
      </c>
      <c r="B1" s="36" t="s">
        <v>1</v>
      </c>
      <c r="C1" s="36" t="s">
        <v>2</v>
      </c>
      <c r="D1" s="36" t="s">
        <v>3</v>
      </c>
      <c r="E1" s="110" t="s">
        <v>4</v>
      </c>
      <c r="F1" s="110"/>
      <c r="G1" s="110"/>
      <c r="H1" s="110" t="s">
        <v>5</v>
      </c>
      <c r="I1" s="110"/>
      <c r="J1" s="110"/>
      <c r="K1" s="37" t="s">
        <v>6</v>
      </c>
    </row>
    <row r="2" spans="1:11" s="4" customFormat="1" x14ac:dyDescent="0.5">
      <c r="A2" s="34" t="s">
        <v>7</v>
      </c>
      <c r="B2" s="34" t="s">
        <v>8</v>
      </c>
      <c r="C2" s="34" t="s">
        <v>9</v>
      </c>
      <c r="D2" s="34" t="s">
        <v>10</v>
      </c>
      <c r="E2" s="35" t="s">
        <v>11</v>
      </c>
      <c r="F2" s="35" t="s">
        <v>12</v>
      </c>
      <c r="G2" s="35" t="s">
        <v>13</v>
      </c>
      <c r="H2" s="38" t="s">
        <v>14</v>
      </c>
      <c r="I2" s="38" t="s">
        <v>15</v>
      </c>
      <c r="J2" s="38" t="s">
        <v>16</v>
      </c>
      <c r="K2" s="38" t="s">
        <v>17</v>
      </c>
    </row>
    <row r="3" spans="1:11" s="6" customFormat="1" ht="109.5" customHeight="1" x14ac:dyDescent="0.35">
      <c r="A3" s="84" t="s">
        <v>582</v>
      </c>
      <c r="B3" s="84" t="s">
        <v>583</v>
      </c>
      <c r="C3" s="109" t="s">
        <v>584</v>
      </c>
      <c r="D3" s="109" t="s">
        <v>585</v>
      </c>
      <c r="E3" s="39" t="s">
        <v>589</v>
      </c>
      <c r="F3" s="39" t="s">
        <v>590</v>
      </c>
      <c r="G3" s="39" t="s">
        <v>671</v>
      </c>
      <c r="H3" s="109" t="s">
        <v>600</v>
      </c>
      <c r="I3" s="109" t="s">
        <v>601</v>
      </c>
      <c r="J3" s="109" t="s">
        <v>588</v>
      </c>
      <c r="K3" s="109" t="s">
        <v>587</v>
      </c>
    </row>
    <row r="4" spans="1:11" s="6" customFormat="1" ht="109.5" customHeight="1" x14ac:dyDescent="0.35">
      <c r="A4" s="84"/>
      <c r="B4" s="84"/>
      <c r="C4" s="87"/>
      <c r="D4" s="87"/>
      <c r="E4" s="6" t="s">
        <v>592</v>
      </c>
      <c r="F4" s="23" t="s">
        <v>593</v>
      </c>
      <c r="G4" s="23" t="s">
        <v>672</v>
      </c>
      <c r="H4" s="87"/>
      <c r="I4" s="87"/>
      <c r="J4" s="87"/>
      <c r="K4" s="87"/>
    </row>
    <row r="5" spans="1:11" s="6" customFormat="1" ht="109.5" customHeight="1" x14ac:dyDescent="0.35">
      <c r="A5" s="84"/>
      <c r="B5" s="84"/>
      <c r="C5" s="87"/>
      <c r="D5" s="87"/>
      <c r="E5" s="6" t="s">
        <v>595</v>
      </c>
      <c r="F5" s="23" t="s">
        <v>596</v>
      </c>
      <c r="G5" s="23" t="s">
        <v>673</v>
      </c>
      <c r="H5" s="87"/>
      <c r="I5" s="87"/>
      <c r="J5" s="87"/>
      <c r="K5" s="87"/>
    </row>
    <row r="6" spans="1:11" s="5" customFormat="1" x14ac:dyDescent="0.35">
      <c r="A6" s="84"/>
      <c r="B6" s="84"/>
      <c r="E6" s="6"/>
      <c r="F6" s="6"/>
      <c r="G6" s="24"/>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E1:G1"/>
    <mergeCell ref="A3:A6"/>
    <mergeCell ref="B3:B6"/>
    <mergeCell ref="D3:D5"/>
    <mergeCell ref="C3:C5"/>
    <mergeCell ref="K3:K5"/>
    <mergeCell ref="J3:J5"/>
    <mergeCell ref="I3:I5"/>
    <mergeCell ref="H3:H5"/>
    <mergeCell ref="H1:J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activeCell="B2" sqref="B2"/>
    </sheetView>
  </sheetViews>
  <sheetFormatPr baseColWidth="10" defaultColWidth="11.453125" defaultRowHeight="16.5" x14ac:dyDescent="0.5"/>
  <cols>
    <col min="1" max="1" width="18.7265625" style="3" customWidth="1"/>
    <col min="2" max="2" width="24" style="3" customWidth="1"/>
    <col min="3" max="3" width="29.453125" style="3" customWidth="1"/>
    <col min="4" max="4" width="31.453125" style="3" customWidth="1"/>
    <col min="5" max="5" width="44.1796875" style="3" customWidth="1"/>
    <col min="6" max="6" width="105.26953125" style="3" customWidth="1"/>
    <col min="7" max="7" width="27.81640625" style="3" customWidth="1"/>
    <col min="8" max="16384" width="11.453125" style="3"/>
  </cols>
  <sheetData>
    <row r="1" spans="1:7" s="5" customFormat="1" x14ac:dyDescent="0.35">
      <c r="A1" s="111" t="s">
        <v>683</v>
      </c>
      <c r="B1" s="112"/>
      <c r="C1" s="112"/>
      <c r="D1" s="112"/>
      <c r="E1" s="112"/>
      <c r="F1" s="112"/>
      <c r="G1" s="112"/>
    </row>
    <row r="2" spans="1:7" ht="65" x14ac:dyDescent="0.5">
      <c r="A2" s="46" t="s">
        <v>18</v>
      </c>
      <c r="B2" s="47" t="s">
        <v>19</v>
      </c>
      <c r="C2" s="47" t="s">
        <v>20</v>
      </c>
      <c r="D2" s="47" t="s">
        <v>21</v>
      </c>
      <c r="E2" s="47" t="s">
        <v>22</v>
      </c>
      <c r="F2" s="48" t="s">
        <v>23</v>
      </c>
      <c r="G2" s="48" t="s">
        <v>24</v>
      </c>
    </row>
    <row r="3" spans="1:7" x14ac:dyDescent="0.5">
      <c r="A3" s="49" t="s">
        <v>25</v>
      </c>
      <c r="B3" s="50" t="s">
        <v>26</v>
      </c>
      <c r="C3" s="50" t="s">
        <v>27</v>
      </c>
      <c r="D3" s="50" t="s">
        <v>28</v>
      </c>
      <c r="E3" s="50" t="s">
        <v>29</v>
      </c>
      <c r="F3" s="51" t="s">
        <v>30</v>
      </c>
      <c r="G3" s="51" t="s">
        <v>31</v>
      </c>
    </row>
    <row r="4" spans="1:7" s="5" customFormat="1" ht="66" x14ac:dyDescent="0.35">
      <c r="A4" s="7">
        <v>1</v>
      </c>
      <c r="B4" s="33" t="s">
        <v>216</v>
      </c>
      <c r="C4" s="32" t="s">
        <v>589</v>
      </c>
      <c r="D4" s="52" t="s">
        <v>590</v>
      </c>
      <c r="E4" s="52" t="s">
        <v>671</v>
      </c>
      <c r="F4" s="6" t="s">
        <v>598</v>
      </c>
      <c r="G4" s="5" t="s">
        <v>586</v>
      </c>
    </row>
    <row r="5" spans="1:7" s="5" customFormat="1" ht="49.5" x14ac:dyDescent="0.35">
      <c r="A5" s="7">
        <v>2</v>
      </c>
      <c r="B5" s="24" t="s">
        <v>120</v>
      </c>
      <c r="C5" s="5" t="s">
        <v>592</v>
      </c>
      <c r="D5" s="23" t="s">
        <v>593</v>
      </c>
      <c r="E5" s="23" t="s">
        <v>672</v>
      </c>
      <c r="F5" s="6" t="s">
        <v>599</v>
      </c>
      <c r="G5" s="5" t="s">
        <v>586</v>
      </c>
    </row>
    <row r="6" spans="1:7" s="5" customFormat="1" ht="49.5" x14ac:dyDescent="0.35">
      <c r="A6" s="7">
        <v>3</v>
      </c>
      <c r="B6" s="24" t="s">
        <v>123</v>
      </c>
      <c r="C6" s="5" t="s">
        <v>595</v>
      </c>
      <c r="D6" s="23" t="s">
        <v>596</v>
      </c>
      <c r="E6" s="23" t="s">
        <v>673</v>
      </c>
      <c r="F6" s="6" t="s">
        <v>647</v>
      </c>
      <c r="G6" s="5" t="s">
        <v>586</v>
      </c>
    </row>
    <row r="7" spans="1:7" x14ac:dyDescent="0.5">
      <c r="B7" s="1"/>
      <c r="D7" s="4"/>
      <c r="E7" s="1"/>
    </row>
    <row r="8" spans="1:7" x14ac:dyDescent="0.5">
      <c r="B8" s="1"/>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37A95C0-C7CA-4E49-A110-52A8CA23010B}">
          <x14:formula1>
            <xm:f>'Paso1 Analisis perfil egreso'!$F$3:$F$5</xm:f>
          </x14:formula1>
          <xm:sqref>D4:D6</xm:sqref>
        </x14:dataValidation>
        <x14:dataValidation type="list" allowBlank="1" showInputMessage="1" showErrorMessage="1" xr:uid="{7DE1E044-5B91-40A8-AF25-7B58070F0BE9}">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30.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6" t="s">
        <v>32</v>
      </c>
      <c r="B1" s="36" t="s">
        <v>33</v>
      </c>
      <c r="C1" s="41" t="s">
        <v>34</v>
      </c>
      <c r="D1" s="42" t="s">
        <v>35</v>
      </c>
      <c r="E1" s="42" t="s">
        <v>36</v>
      </c>
      <c r="F1" s="41" t="s">
        <v>37</v>
      </c>
      <c r="G1" s="41" t="s">
        <v>38</v>
      </c>
      <c r="H1" s="41" t="s">
        <v>39</v>
      </c>
      <c r="I1" s="36" t="s">
        <v>40</v>
      </c>
    </row>
    <row r="2" spans="1:9" ht="33.5" thickBot="1" x14ac:dyDescent="0.4">
      <c r="A2" s="40" t="s">
        <v>41</v>
      </c>
      <c r="B2" s="40" t="s">
        <v>42</v>
      </c>
      <c r="C2" s="43" t="s">
        <v>43</v>
      </c>
      <c r="D2" s="44" t="s">
        <v>44</v>
      </c>
      <c r="E2" s="44" t="s">
        <v>45</v>
      </c>
      <c r="F2" s="43" t="s">
        <v>46</v>
      </c>
      <c r="G2" s="43" t="s">
        <v>47</v>
      </c>
      <c r="H2" s="43" t="s">
        <v>48</v>
      </c>
      <c r="I2" s="40" t="s">
        <v>49</v>
      </c>
    </row>
    <row r="3" spans="1:9" ht="66" x14ac:dyDescent="0.35">
      <c r="A3" s="80" t="s">
        <v>598</v>
      </c>
      <c r="B3" s="70">
        <v>1</v>
      </c>
      <c r="C3" s="20" t="s">
        <v>11</v>
      </c>
      <c r="D3" s="6" t="s">
        <v>589</v>
      </c>
      <c r="E3" s="20" t="s">
        <v>182</v>
      </c>
      <c r="F3" s="27" t="s">
        <v>154</v>
      </c>
      <c r="G3" s="30" t="s">
        <v>160</v>
      </c>
      <c r="H3" s="30" t="s">
        <v>216</v>
      </c>
      <c r="I3" s="53" t="s">
        <v>602</v>
      </c>
    </row>
    <row r="4" spans="1:9" ht="49.5" x14ac:dyDescent="0.35">
      <c r="A4" s="81" t="s">
        <v>598</v>
      </c>
      <c r="B4" s="7">
        <v>3</v>
      </c>
      <c r="C4" s="6" t="s">
        <v>12</v>
      </c>
      <c r="D4" s="6" t="s">
        <v>590</v>
      </c>
      <c r="E4" s="6" t="s">
        <v>182</v>
      </c>
      <c r="F4" s="5" t="s">
        <v>155</v>
      </c>
      <c r="G4" s="24" t="s">
        <v>159</v>
      </c>
      <c r="H4" s="24" t="s">
        <v>120</v>
      </c>
      <c r="I4" s="25" t="s">
        <v>603</v>
      </c>
    </row>
    <row r="5" spans="1:9" ht="66.5" thickBot="1" x14ac:dyDescent="0.4">
      <c r="A5" s="81" t="s">
        <v>598</v>
      </c>
      <c r="B5" s="71">
        <v>5</v>
      </c>
      <c r="C5" s="6" t="s">
        <v>13</v>
      </c>
      <c r="D5" s="21" t="s">
        <v>591</v>
      </c>
      <c r="E5" s="6" t="s">
        <v>182</v>
      </c>
      <c r="F5" s="5" t="s">
        <v>156</v>
      </c>
      <c r="G5" s="24" t="s">
        <v>159</v>
      </c>
      <c r="H5" s="24" t="s">
        <v>109</v>
      </c>
      <c r="I5" s="54" t="s">
        <v>604</v>
      </c>
    </row>
    <row r="6" spans="1:9" ht="49.5" x14ac:dyDescent="0.35">
      <c r="A6" s="80" t="s">
        <v>599</v>
      </c>
      <c r="B6" s="70">
        <v>1</v>
      </c>
      <c r="C6" s="20" t="s">
        <v>11</v>
      </c>
      <c r="D6" s="6" t="s">
        <v>592</v>
      </c>
      <c r="E6" s="20" t="s">
        <v>182</v>
      </c>
      <c r="F6" s="27" t="s">
        <v>154</v>
      </c>
      <c r="G6" s="30" t="s">
        <v>160</v>
      </c>
      <c r="H6" s="30" t="s">
        <v>216</v>
      </c>
      <c r="I6" s="53" t="s">
        <v>602</v>
      </c>
    </row>
    <row r="7" spans="1:9" ht="49.5" x14ac:dyDescent="0.35">
      <c r="A7" s="81" t="s">
        <v>599</v>
      </c>
      <c r="B7" s="7">
        <v>3</v>
      </c>
      <c r="C7" s="6" t="s">
        <v>12</v>
      </c>
      <c r="D7" s="6" t="s">
        <v>593</v>
      </c>
      <c r="E7" s="6" t="s">
        <v>182</v>
      </c>
      <c r="F7" s="5" t="s">
        <v>155</v>
      </c>
      <c r="G7" s="24" t="s">
        <v>159</v>
      </c>
      <c r="H7" s="24" t="s">
        <v>120</v>
      </c>
      <c r="I7" s="25" t="s">
        <v>603</v>
      </c>
    </row>
    <row r="8" spans="1:9" ht="66.5" thickBot="1" x14ac:dyDescent="0.4">
      <c r="A8" s="81" t="s">
        <v>599</v>
      </c>
      <c r="B8" s="71">
        <v>5</v>
      </c>
      <c r="C8" s="6" t="s">
        <v>13</v>
      </c>
      <c r="D8" s="21" t="s">
        <v>594</v>
      </c>
      <c r="E8" s="6" t="s">
        <v>182</v>
      </c>
      <c r="F8" s="5" t="s">
        <v>156</v>
      </c>
      <c r="G8" s="24" t="s">
        <v>159</v>
      </c>
      <c r="H8" s="24" t="s">
        <v>109</v>
      </c>
      <c r="I8" s="54" t="s">
        <v>604</v>
      </c>
    </row>
    <row r="9" spans="1:9" ht="49.5" x14ac:dyDescent="0.35">
      <c r="A9" s="80" t="s">
        <v>647</v>
      </c>
      <c r="B9" s="70">
        <v>2</v>
      </c>
      <c r="C9" s="20" t="s">
        <v>11</v>
      </c>
      <c r="D9" s="6" t="s">
        <v>595</v>
      </c>
      <c r="E9" s="20" t="s">
        <v>182</v>
      </c>
      <c r="F9" s="27" t="s">
        <v>154</v>
      </c>
      <c r="G9" s="30" t="s">
        <v>160</v>
      </c>
      <c r="H9" s="30" t="s">
        <v>216</v>
      </c>
      <c r="I9" s="53" t="s">
        <v>605</v>
      </c>
    </row>
    <row r="10" spans="1:9" ht="49.5" x14ac:dyDescent="0.35">
      <c r="A10" s="81" t="s">
        <v>647</v>
      </c>
      <c r="B10" s="7">
        <v>4</v>
      </c>
      <c r="C10" s="6" t="s">
        <v>12</v>
      </c>
      <c r="D10" s="6" t="s">
        <v>596</v>
      </c>
      <c r="E10" s="6" t="s">
        <v>182</v>
      </c>
      <c r="F10" s="5" t="s">
        <v>155</v>
      </c>
      <c r="G10" s="24" t="s">
        <v>161</v>
      </c>
      <c r="H10" s="24" t="s">
        <v>125</v>
      </c>
      <c r="I10" s="25" t="s">
        <v>606</v>
      </c>
    </row>
    <row r="11" spans="1:9" ht="66.5" thickBot="1" x14ac:dyDescent="0.4">
      <c r="A11" s="82" t="s">
        <v>647</v>
      </c>
      <c r="B11" s="71">
        <v>5</v>
      </c>
      <c r="C11" s="21" t="s">
        <v>13</v>
      </c>
      <c r="D11" s="21" t="s">
        <v>597</v>
      </c>
      <c r="E11" s="21" t="s">
        <v>182</v>
      </c>
      <c r="F11" s="26" t="s">
        <v>156</v>
      </c>
      <c r="G11" s="31" t="s">
        <v>159</v>
      </c>
      <c r="H11" s="31" t="s">
        <v>109</v>
      </c>
      <c r="I11" s="54" t="s">
        <v>604</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4:D5 D7:D8 D10:D11" xr:uid="{8B694A6C-2F9D-4256-9525-279EF56F94F5}">
      <formula1>INDIRECT($C4)</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34F0EE-608A-4B90-8728-8A8E4E890BF1}">
          <x14:formula1>
            <xm:f>'Paso1 Analisis perfil egreso'!$E$3:$E$5</xm:f>
          </x14:formula1>
          <xm:sqref>D3 D6 D9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7"/>
  <sheetViews>
    <sheetView zoomScaleNormal="100" workbookViewId="0">
      <selection activeCell="B3" sqref="B3:B5"/>
    </sheetView>
  </sheetViews>
  <sheetFormatPr baseColWidth="10" defaultColWidth="11.453125" defaultRowHeight="16.5" x14ac:dyDescent="0.35"/>
  <cols>
    <col min="1" max="1" width="66.26953125" style="24" customWidth="1"/>
    <col min="2" max="2" width="43.81640625" style="24" customWidth="1"/>
    <col min="3" max="3" width="63.6328125" style="24" customWidth="1"/>
    <col min="4" max="4" width="49.36328125" style="24" customWidth="1"/>
    <col min="5" max="5" width="39.1796875" style="24" customWidth="1"/>
    <col min="6" max="6" width="43.6328125" style="24" bestFit="1" customWidth="1"/>
    <col min="7" max="16384" width="11.453125" style="24"/>
  </cols>
  <sheetData>
    <row r="1" spans="1:6" ht="65" x14ac:dyDescent="0.35">
      <c r="A1" s="36" t="s">
        <v>50</v>
      </c>
      <c r="B1" s="36" t="s">
        <v>51</v>
      </c>
      <c r="C1" s="36" t="s">
        <v>52</v>
      </c>
      <c r="D1" s="36" t="s">
        <v>53</v>
      </c>
      <c r="E1" s="36" t="s">
        <v>54</v>
      </c>
      <c r="F1" s="36" t="s">
        <v>55</v>
      </c>
    </row>
    <row r="2" spans="1:6" ht="33" x14ac:dyDescent="0.35">
      <c r="A2" s="40" t="s">
        <v>56</v>
      </c>
      <c r="B2" s="40" t="s">
        <v>57</v>
      </c>
      <c r="C2" s="40" t="s">
        <v>58</v>
      </c>
      <c r="D2" s="40" t="s">
        <v>59</v>
      </c>
      <c r="E2" s="40" t="s">
        <v>60</v>
      </c>
      <c r="F2" s="40" t="s">
        <v>61</v>
      </c>
    </row>
    <row r="3" spans="1:6" ht="49.5" x14ac:dyDescent="0.35">
      <c r="A3" s="72" t="s">
        <v>602</v>
      </c>
      <c r="B3" s="114" t="s">
        <v>607</v>
      </c>
      <c r="C3" s="96" t="s">
        <v>608</v>
      </c>
      <c r="D3" s="25" t="s">
        <v>611</v>
      </c>
      <c r="E3" s="118" t="s">
        <v>612</v>
      </c>
      <c r="F3" s="73" t="s">
        <v>62</v>
      </c>
    </row>
    <row r="4" spans="1:6" ht="49.5" x14ac:dyDescent="0.35">
      <c r="A4" s="72" t="s">
        <v>603</v>
      </c>
      <c r="B4" s="114"/>
      <c r="C4" s="96"/>
      <c r="D4" s="25" t="s">
        <v>67</v>
      </c>
      <c r="E4" s="114"/>
      <c r="F4" s="73" t="s">
        <v>64</v>
      </c>
    </row>
    <row r="5" spans="1:6" ht="50" thickBot="1" x14ac:dyDescent="0.4">
      <c r="A5" s="74" t="s">
        <v>604</v>
      </c>
      <c r="B5" s="114"/>
      <c r="C5" s="96"/>
      <c r="D5" s="54" t="s">
        <v>65</v>
      </c>
      <c r="E5" s="114"/>
      <c r="F5" s="74" t="s">
        <v>66</v>
      </c>
    </row>
    <row r="6" spans="1:6" ht="49.5" x14ac:dyDescent="0.35">
      <c r="A6" s="72" t="s">
        <v>602</v>
      </c>
      <c r="B6" s="116" t="s">
        <v>609</v>
      </c>
      <c r="C6" s="117" t="s">
        <v>610</v>
      </c>
      <c r="D6" s="25" t="s">
        <v>611</v>
      </c>
      <c r="E6" s="116" t="s">
        <v>613</v>
      </c>
      <c r="F6" s="73" t="s">
        <v>614</v>
      </c>
    </row>
    <row r="7" spans="1:6" ht="49.5" x14ac:dyDescent="0.35">
      <c r="A7" s="72" t="s">
        <v>603</v>
      </c>
      <c r="B7" s="114"/>
      <c r="C7" s="96"/>
      <c r="D7" s="25" t="s">
        <v>63</v>
      </c>
      <c r="E7" s="114"/>
      <c r="F7" s="73" t="s">
        <v>615</v>
      </c>
    </row>
    <row r="8" spans="1:6" ht="33.5" thickBot="1" x14ac:dyDescent="0.4">
      <c r="A8" s="74" t="s">
        <v>606</v>
      </c>
      <c r="B8" s="115"/>
      <c r="C8" s="97"/>
      <c r="D8" s="54" t="s">
        <v>65</v>
      </c>
      <c r="E8" s="115"/>
      <c r="F8" s="74" t="s">
        <v>66</v>
      </c>
    </row>
    <row r="9" spans="1:6" ht="49.5" x14ac:dyDescent="0.35">
      <c r="A9" s="72" t="s">
        <v>602</v>
      </c>
      <c r="B9" s="114" t="s">
        <v>616</v>
      </c>
      <c r="C9" s="96" t="s">
        <v>617</v>
      </c>
      <c r="D9" s="25" t="s">
        <v>611</v>
      </c>
      <c r="E9" s="114" t="s">
        <v>618</v>
      </c>
      <c r="F9" s="73" t="s">
        <v>614</v>
      </c>
    </row>
    <row r="10" spans="1:6" ht="33" x14ac:dyDescent="0.35">
      <c r="A10" s="72" t="s">
        <v>605</v>
      </c>
      <c r="B10" s="114"/>
      <c r="C10" s="96"/>
      <c r="D10" s="25" t="s">
        <v>63</v>
      </c>
      <c r="E10" s="114"/>
      <c r="F10" s="73" t="s">
        <v>615</v>
      </c>
    </row>
    <row r="11" spans="1:6" ht="50" thickBot="1" x14ac:dyDescent="0.4">
      <c r="A11" s="72" t="s">
        <v>603</v>
      </c>
      <c r="B11" s="114"/>
      <c r="C11" s="96"/>
      <c r="D11" s="25" t="s">
        <v>65</v>
      </c>
      <c r="E11" s="114"/>
      <c r="F11" s="72" t="s">
        <v>66</v>
      </c>
    </row>
    <row r="12" spans="1:6" ht="49.5" x14ac:dyDescent="0.35">
      <c r="A12" s="75" t="s">
        <v>602</v>
      </c>
      <c r="B12" s="116" t="s">
        <v>619</v>
      </c>
      <c r="C12" s="117" t="s">
        <v>620</v>
      </c>
      <c r="D12" s="56" t="s">
        <v>611</v>
      </c>
      <c r="E12" s="116" t="s">
        <v>621</v>
      </c>
      <c r="F12" s="76" t="s">
        <v>614</v>
      </c>
    </row>
    <row r="13" spans="1:6" ht="33" x14ac:dyDescent="0.35">
      <c r="A13" s="72" t="s">
        <v>605</v>
      </c>
      <c r="B13" s="114"/>
      <c r="C13" s="96"/>
      <c r="D13" s="25" t="s">
        <v>67</v>
      </c>
      <c r="E13" s="114"/>
      <c r="F13" s="73" t="s">
        <v>615</v>
      </c>
    </row>
    <row r="14" spans="1:6" ht="49.5" x14ac:dyDescent="0.35">
      <c r="A14" s="72" t="s">
        <v>603</v>
      </c>
      <c r="B14" s="114"/>
      <c r="C14" s="96"/>
      <c r="D14" s="25" t="s">
        <v>65</v>
      </c>
      <c r="E14" s="114"/>
      <c r="F14" s="72" t="s">
        <v>66</v>
      </c>
    </row>
    <row r="15" spans="1:6" ht="33.5" thickBot="1" x14ac:dyDescent="0.4">
      <c r="A15" s="74" t="s">
        <v>606</v>
      </c>
      <c r="B15" s="115"/>
      <c r="C15" s="97"/>
      <c r="D15" s="54"/>
      <c r="E15" s="115"/>
      <c r="F15" s="77"/>
    </row>
    <row r="16" spans="1:6" ht="49.5" x14ac:dyDescent="0.35">
      <c r="A16" s="78" t="s">
        <v>602</v>
      </c>
      <c r="B16" s="113" t="s">
        <v>622</v>
      </c>
      <c r="C16" s="95" t="s">
        <v>623</v>
      </c>
      <c r="D16" s="53" t="s">
        <v>611</v>
      </c>
      <c r="E16" s="113" t="s">
        <v>624</v>
      </c>
      <c r="F16" s="79" t="s">
        <v>614</v>
      </c>
    </row>
    <row r="17" spans="1:6" ht="33" x14ac:dyDescent="0.35">
      <c r="A17" s="72" t="s">
        <v>605</v>
      </c>
      <c r="B17" s="114"/>
      <c r="C17" s="96"/>
      <c r="D17" s="25" t="s">
        <v>67</v>
      </c>
      <c r="E17" s="114"/>
      <c r="F17" s="73" t="s">
        <v>615</v>
      </c>
    </row>
    <row r="18" spans="1:6" ht="50" thickBot="1" x14ac:dyDescent="0.4">
      <c r="A18" s="74" t="s">
        <v>603</v>
      </c>
      <c r="B18" s="115"/>
      <c r="C18" s="97"/>
      <c r="D18" s="54" t="s">
        <v>65</v>
      </c>
      <c r="E18" s="115"/>
      <c r="F18" s="74" t="s">
        <v>66</v>
      </c>
    </row>
    <row r="19" spans="1:6" ht="49.5" x14ac:dyDescent="0.35">
      <c r="A19" s="72" t="s">
        <v>603</v>
      </c>
      <c r="B19" s="114" t="s">
        <v>625</v>
      </c>
      <c r="C19" s="96" t="s">
        <v>627</v>
      </c>
      <c r="D19" s="25" t="s">
        <v>611</v>
      </c>
      <c r="E19" s="114" t="s">
        <v>629</v>
      </c>
      <c r="F19" s="73" t="s">
        <v>614</v>
      </c>
    </row>
    <row r="20" spans="1:6" ht="33" x14ac:dyDescent="0.35">
      <c r="A20" s="72" t="s">
        <v>606</v>
      </c>
      <c r="B20" s="114"/>
      <c r="C20" s="96"/>
      <c r="D20" s="25" t="s">
        <v>67</v>
      </c>
      <c r="E20" s="114"/>
      <c r="F20" s="73" t="s">
        <v>615</v>
      </c>
    </row>
    <row r="21" spans="1:6" ht="50" thickBot="1" x14ac:dyDescent="0.4">
      <c r="A21" s="74" t="s">
        <v>604</v>
      </c>
      <c r="B21" s="114"/>
      <c r="C21" s="96"/>
      <c r="D21" s="25" t="s">
        <v>65</v>
      </c>
      <c r="E21" s="114"/>
      <c r="F21" s="72" t="s">
        <v>66</v>
      </c>
    </row>
    <row r="22" spans="1:6" ht="49.5" x14ac:dyDescent="0.35">
      <c r="A22" s="72" t="s">
        <v>603</v>
      </c>
      <c r="B22" s="116" t="s">
        <v>626</v>
      </c>
      <c r="C22" s="117" t="s">
        <v>628</v>
      </c>
      <c r="D22" s="56" t="s">
        <v>611</v>
      </c>
      <c r="E22" s="116" t="s">
        <v>630</v>
      </c>
      <c r="F22" s="76" t="s">
        <v>614</v>
      </c>
    </row>
    <row r="23" spans="1:6" ht="33" x14ac:dyDescent="0.35">
      <c r="A23" s="72" t="s">
        <v>606</v>
      </c>
      <c r="B23" s="114"/>
      <c r="C23" s="96"/>
      <c r="D23" s="25" t="s">
        <v>67</v>
      </c>
      <c r="E23" s="114"/>
      <c r="F23" s="73" t="s">
        <v>615</v>
      </c>
    </row>
    <row r="24" spans="1:6" ht="50" thickBot="1" x14ac:dyDescent="0.4">
      <c r="A24" s="74" t="s">
        <v>604</v>
      </c>
      <c r="B24" s="115"/>
      <c r="C24" s="96"/>
      <c r="D24" s="25" t="s">
        <v>65</v>
      </c>
      <c r="E24" s="115"/>
      <c r="F24" s="74" t="s">
        <v>66</v>
      </c>
    </row>
    <row r="25" spans="1:6" ht="49.5" x14ac:dyDescent="0.35">
      <c r="A25" s="72" t="s">
        <v>603</v>
      </c>
      <c r="B25" s="114" t="s">
        <v>631</v>
      </c>
      <c r="C25" s="95" t="s">
        <v>635</v>
      </c>
      <c r="D25" s="53" t="s">
        <v>611</v>
      </c>
      <c r="E25" s="114" t="s">
        <v>636</v>
      </c>
      <c r="F25" s="73" t="s">
        <v>614</v>
      </c>
    </row>
    <row r="26" spans="1:6" ht="33" x14ac:dyDescent="0.35">
      <c r="A26" s="72" t="s">
        <v>606</v>
      </c>
      <c r="B26" s="114"/>
      <c r="C26" s="96"/>
      <c r="D26" s="25" t="s">
        <v>67</v>
      </c>
      <c r="E26" s="114"/>
      <c r="F26" s="73" t="s">
        <v>637</v>
      </c>
    </row>
    <row r="27" spans="1:6" ht="50" thickBot="1" x14ac:dyDescent="0.4">
      <c r="A27" s="74" t="s">
        <v>604</v>
      </c>
      <c r="B27" s="115"/>
      <c r="C27" s="97"/>
      <c r="D27" s="54" t="s">
        <v>65</v>
      </c>
      <c r="E27" s="115"/>
      <c r="F27" s="74" t="s">
        <v>66</v>
      </c>
    </row>
    <row r="28" spans="1:6" ht="49.5" x14ac:dyDescent="0.35">
      <c r="A28" s="78" t="s">
        <v>602</v>
      </c>
      <c r="B28" s="113" t="s">
        <v>632</v>
      </c>
      <c r="C28" s="95" t="s">
        <v>638</v>
      </c>
      <c r="D28" s="53" t="s">
        <v>611</v>
      </c>
      <c r="E28" s="113" t="s">
        <v>641</v>
      </c>
      <c r="F28" s="79" t="s">
        <v>614</v>
      </c>
    </row>
    <row r="29" spans="1:6" ht="49.5" x14ac:dyDescent="0.35">
      <c r="A29" s="72" t="s">
        <v>603</v>
      </c>
      <c r="B29" s="114"/>
      <c r="C29" s="96"/>
      <c r="D29" s="25" t="s">
        <v>639</v>
      </c>
      <c r="E29" s="114"/>
      <c r="F29" s="73" t="s">
        <v>642</v>
      </c>
    </row>
    <row r="30" spans="1:6" ht="50" thickBot="1" x14ac:dyDescent="0.4">
      <c r="A30" s="74" t="s">
        <v>605</v>
      </c>
      <c r="B30" s="115"/>
      <c r="C30" s="97"/>
      <c r="D30" s="54" t="s">
        <v>640</v>
      </c>
      <c r="E30" s="115"/>
      <c r="F30" s="74" t="s">
        <v>66</v>
      </c>
    </row>
    <row r="31" spans="1:6" ht="49.5" x14ac:dyDescent="0.35">
      <c r="A31" s="78" t="s">
        <v>602</v>
      </c>
      <c r="B31" s="113" t="s">
        <v>633</v>
      </c>
      <c r="C31" s="95" t="s">
        <v>643</v>
      </c>
      <c r="D31" s="53" t="s">
        <v>611</v>
      </c>
      <c r="E31" s="113" t="s">
        <v>645</v>
      </c>
      <c r="F31" s="79" t="s">
        <v>614</v>
      </c>
    </row>
    <row r="32" spans="1:6" ht="49.5" x14ac:dyDescent="0.35">
      <c r="A32" s="72" t="s">
        <v>603</v>
      </c>
      <c r="B32" s="114"/>
      <c r="C32" s="96"/>
      <c r="D32" s="25" t="s">
        <v>67</v>
      </c>
      <c r="E32" s="114"/>
      <c r="F32" s="73" t="s">
        <v>615</v>
      </c>
    </row>
    <row r="33" spans="1:6" ht="33.5" thickBot="1" x14ac:dyDescent="0.4">
      <c r="A33" s="74" t="s">
        <v>605</v>
      </c>
      <c r="B33" s="115"/>
      <c r="C33" s="97"/>
      <c r="D33" s="54" t="s">
        <v>65</v>
      </c>
      <c r="E33" s="115"/>
      <c r="F33" s="74" t="s">
        <v>66</v>
      </c>
    </row>
    <row r="34" spans="1:6" ht="49.5" x14ac:dyDescent="0.35">
      <c r="A34" s="78" t="s">
        <v>603</v>
      </c>
      <c r="B34" s="113" t="s">
        <v>634</v>
      </c>
      <c r="C34" s="95" t="s">
        <v>644</v>
      </c>
      <c r="D34" s="53" t="s">
        <v>611</v>
      </c>
      <c r="E34" s="113" t="s">
        <v>646</v>
      </c>
      <c r="F34" s="79" t="s">
        <v>614</v>
      </c>
    </row>
    <row r="35" spans="1:6" ht="33" x14ac:dyDescent="0.35">
      <c r="A35" s="72" t="s">
        <v>606</v>
      </c>
      <c r="B35" s="114"/>
      <c r="C35" s="96"/>
      <c r="D35" s="25" t="s">
        <v>67</v>
      </c>
      <c r="E35" s="114"/>
      <c r="F35" s="73" t="s">
        <v>615</v>
      </c>
    </row>
    <row r="36" spans="1:6" ht="50" thickBot="1" x14ac:dyDescent="0.4">
      <c r="A36" s="74" t="s">
        <v>602</v>
      </c>
      <c r="B36" s="115"/>
      <c r="C36" s="97"/>
      <c r="D36" s="54" t="s">
        <v>65</v>
      </c>
      <c r="E36" s="115"/>
      <c r="F36" s="74" t="s">
        <v>66</v>
      </c>
    </row>
    <row r="37" spans="1:6" x14ac:dyDescent="0.35">
      <c r="A37" s="5"/>
      <c r="B37" s="55"/>
      <c r="C37" s="25"/>
      <c r="D37" s="25"/>
      <c r="E37" s="57"/>
    </row>
  </sheetData>
  <mergeCells count="33">
    <mergeCell ref="E3:E5"/>
    <mergeCell ref="E6:E8"/>
    <mergeCell ref="E9:E11"/>
    <mergeCell ref="E12:E15"/>
    <mergeCell ref="B16:B18"/>
    <mergeCell ref="C16:C18"/>
    <mergeCell ref="E16:E18"/>
    <mergeCell ref="B12:B15"/>
    <mergeCell ref="C12:C15"/>
    <mergeCell ref="B3:B5"/>
    <mergeCell ref="C3:C5"/>
    <mergeCell ref="B6:B8"/>
    <mergeCell ref="C6:C8"/>
    <mergeCell ref="B9:B11"/>
    <mergeCell ref="C9:C11"/>
    <mergeCell ref="B19:B21"/>
    <mergeCell ref="C19:C21"/>
    <mergeCell ref="E19:E21"/>
    <mergeCell ref="B22:B24"/>
    <mergeCell ref="C22:C24"/>
    <mergeCell ref="E22:E24"/>
    <mergeCell ref="B25:B27"/>
    <mergeCell ref="C25:C27"/>
    <mergeCell ref="E25:E27"/>
    <mergeCell ref="B28:B30"/>
    <mergeCell ref="C28:C30"/>
    <mergeCell ref="E28:E30"/>
    <mergeCell ref="B31:B33"/>
    <mergeCell ref="C31:C33"/>
    <mergeCell ref="E31:E33"/>
    <mergeCell ref="B34:B36"/>
    <mergeCell ref="C34:C36"/>
    <mergeCell ref="E34:E36"/>
  </mergeCells>
  <dataValidations count="1">
    <dataValidation type="list" allowBlank="1" showInputMessage="1" showErrorMessage="1" sqref="A3:A37"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38"/>
  <sheetViews>
    <sheetView tabSelected="1" topLeftCell="E1" zoomScaleNormal="100" workbookViewId="0">
      <selection activeCell="G2" sqref="G2"/>
    </sheetView>
  </sheetViews>
  <sheetFormatPr baseColWidth="10" defaultColWidth="11.453125" defaultRowHeight="16.5" x14ac:dyDescent="0.35"/>
  <cols>
    <col min="1" max="1" width="11.1796875" style="5" customWidth="1"/>
    <col min="2" max="2" width="59.453125" style="5" customWidth="1"/>
    <col min="3" max="3" width="17.26953125" style="5" customWidth="1"/>
    <col min="4" max="4" width="29.81640625" style="5" customWidth="1"/>
    <col min="5" max="5" width="58.90625"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45" style="6" customWidth="1"/>
    <col min="14" max="14" width="42.36328125" style="6" customWidth="1"/>
    <col min="15" max="15" width="73.453125" style="6" customWidth="1"/>
    <col min="16" max="16" width="69.26953125" style="6" customWidth="1"/>
    <col min="17" max="16384" width="11.453125" style="5"/>
  </cols>
  <sheetData>
    <row r="1" spans="1:17" s="7" customFormat="1" ht="65" x14ac:dyDescent="0.35">
      <c r="A1" s="36" t="s">
        <v>68</v>
      </c>
      <c r="B1" s="36" t="s">
        <v>69</v>
      </c>
      <c r="C1" s="36" t="s">
        <v>70</v>
      </c>
      <c r="D1" s="36" t="s">
        <v>71</v>
      </c>
      <c r="E1" s="36" t="s">
        <v>72</v>
      </c>
      <c r="F1" s="36" t="s">
        <v>73</v>
      </c>
      <c r="G1" s="101" t="s">
        <v>74</v>
      </c>
      <c r="H1" s="102"/>
      <c r="I1" s="36" t="s">
        <v>75</v>
      </c>
      <c r="J1" s="36" t="s">
        <v>76</v>
      </c>
      <c r="K1" s="36" t="s">
        <v>77</v>
      </c>
      <c r="L1" s="36" t="s">
        <v>78</v>
      </c>
      <c r="M1" s="36" t="s">
        <v>79</v>
      </c>
      <c r="N1" s="36" t="s">
        <v>80</v>
      </c>
      <c r="O1" s="36" t="s">
        <v>81</v>
      </c>
      <c r="P1" s="36" t="s">
        <v>82</v>
      </c>
    </row>
    <row r="2" spans="1:17" s="7" customFormat="1" ht="33" x14ac:dyDescent="0.35">
      <c r="A2" s="40" t="s">
        <v>83</v>
      </c>
      <c r="B2" s="40" t="s">
        <v>56</v>
      </c>
      <c r="C2" s="40" t="s">
        <v>84</v>
      </c>
      <c r="D2" s="40" t="s">
        <v>85</v>
      </c>
      <c r="E2" s="40" t="s">
        <v>86</v>
      </c>
      <c r="F2" s="40" t="s">
        <v>87</v>
      </c>
      <c r="G2" s="45" t="s">
        <v>684</v>
      </c>
      <c r="H2" s="45" t="s">
        <v>88</v>
      </c>
      <c r="I2" s="40" t="s">
        <v>89</v>
      </c>
      <c r="J2" s="40" t="s">
        <v>90</v>
      </c>
      <c r="K2" s="40" t="s">
        <v>91</v>
      </c>
      <c r="L2" s="40" t="s">
        <v>92</v>
      </c>
      <c r="M2" s="40" t="s">
        <v>93</v>
      </c>
      <c r="N2" s="40" t="s">
        <v>94</v>
      </c>
      <c r="O2" s="40" t="s">
        <v>95</v>
      </c>
      <c r="P2" s="40" t="s">
        <v>96</v>
      </c>
    </row>
    <row r="3" spans="1:17" ht="66" x14ac:dyDescent="0.35">
      <c r="A3" s="5" t="str">
        <f>_xlfn.XLOOKUP(B3,'Paso 3 Redacción RA '!I$3:I$11,'Paso 3 Redacción RA '!C$3:C$11,,0,1)</f>
        <v>Saber</v>
      </c>
      <c r="B3" s="5" t="s">
        <v>602</v>
      </c>
      <c r="C3" s="84">
        <v>1</v>
      </c>
      <c r="D3" s="84" t="s">
        <v>648</v>
      </c>
      <c r="E3" s="87" t="s">
        <v>675</v>
      </c>
      <c r="F3" s="90" t="s">
        <v>659</v>
      </c>
      <c r="G3" s="90" t="s">
        <v>658</v>
      </c>
      <c r="H3" s="90"/>
      <c r="I3" s="90">
        <v>2</v>
      </c>
      <c r="J3" s="90">
        <f>12*I3</f>
        <v>24</v>
      </c>
      <c r="K3" s="90">
        <f>36*I3</f>
        <v>72</v>
      </c>
      <c r="L3" s="90">
        <f>SUM(J3:K5)</f>
        <v>96</v>
      </c>
      <c r="M3" s="99" t="s">
        <v>665</v>
      </c>
      <c r="N3" s="99" t="s">
        <v>681</v>
      </c>
      <c r="O3" s="93" t="s">
        <v>674</v>
      </c>
      <c r="P3" s="99" t="s">
        <v>97</v>
      </c>
      <c r="Q3" s="5" t="s">
        <v>98</v>
      </c>
    </row>
    <row r="4" spans="1:17" ht="49.5" x14ac:dyDescent="0.35">
      <c r="A4" s="5" t="str">
        <f>_xlfn.XLOOKUP(B4,'Paso 3 Redacción RA '!I$3:I$11,'Paso 3 Redacción RA '!C$3:C$11,,0,1)</f>
        <v>Saberhacer</v>
      </c>
      <c r="B4" s="5" t="s">
        <v>603</v>
      </c>
      <c r="C4" s="84"/>
      <c r="D4" s="84"/>
      <c r="E4" s="87"/>
      <c r="F4" s="90"/>
      <c r="G4" s="90"/>
      <c r="H4" s="90"/>
      <c r="I4" s="90"/>
      <c r="J4" s="90"/>
      <c r="K4" s="90"/>
      <c r="L4" s="90"/>
      <c r="M4" s="99"/>
      <c r="N4" s="99"/>
      <c r="O4" s="93"/>
      <c r="P4" s="99"/>
    </row>
    <row r="5" spans="1:17" ht="50" thickBot="1" x14ac:dyDescent="0.4">
      <c r="A5" s="26" t="str">
        <f>_xlfn.XLOOKUP(B5,'Paso 3 Redacción RA '!I$3:I$11,'Paso 3 Redacción RA '!C$3:C$11,,0,1)</f>
        <v>Saberser</v>
      </c>
      <c r="B5" s="26" t="s">
        <v>604</v>
      </c>
      <c r="C5" s="85"/>
      <c r="D5" s="85"/>
      <c r="E5" s="88"/>
      <c r="F5" s="91"/>
      <c r="G5" s="91"/>
      <c r="H5" s="91"/>
      <c r="I5" s="91"/>
      <c r="J5" s="91"/>
      <c r="K5" s="91"/>
      <c r="L5" s="91"/>
      <c r="M5" s="100"/>
      <c r="N5" s="100"/>
      <c r="O5" s="94"/>
      <c r="P5" s="100"/>
    </row>
    <row r="6" spans="1:17" ht="66" x14ac:dyDescent="0.35">
      <c r="A6" s="27" t="str">
        <f>_xlfn.XLOOKUP(B6,'Paso 3 Redacción RA '!I$3:I$11,'Paso 3 Redacción RA '!C$3:C$11,,0,1)</f>
        <v>Saber</v>
      </c>
      <c r="B6" s="5" t="s">
        <v>602</v>
      </c>
      <c r="C6" s="83">
        <v>1</v>
      </c>
      <c r="D6" s="83" t="s">
        <v>649</v>
      </c>
      <c r="E6" s="103" t="s">
        <v>660</v>
      </c>
      <c r="F6" s="83" t="s">
        <v>659</v>
      </c>
      <c r="G6" s="89" t="s">
        <v>658</v>
      </c>
      <c r="H6" s="89"/>
      <c r="I6" s="89">
        <v>2</v>
      </c>
      <c r="J6" s="89">
        <f>12*I6</f>
        <v>24</v>
      </c>
      <c r="K6" s="89">
        <f>36*I6</f>
        <v>72</v>
      </c>
      <c r="L6" s="89">
        <f>SUM(J6:K8)</f>
        <v>96</v>
      </c>
      <c r="M6" s="98" t="s">
        <v>666</v>
      </c>
      <c r="N6" s="98" t="s">
        <v>681</v>
      </c>
      <c r="O6" s="92" t="s">
        <v>674</v>
      </c>
      <c r="P6" s="98" t="s">
        <v>99</v>
      </c>
    </row>
    <row r="7" spans="1:17" ht="49.5" x14ac:dyDescent="0.35">
      <c r="A7" s="5" t="str">
        <f>_xlfn.XLOOKUP(B7,'Paso 3 Redacción RA '!I$3:I$11,'Paso 3 Redacción RA '!C$3:C$11,,0,1)</f>
        <v>Saberhacer</v>
      </c>
      <c r="B7" s="5" t="s">
        <v>603</v>
      </c>
      <c r="C7" s="84"/>
      <c r="D7" s="84"/>
      <c r="E7" s="104"/>
      <c r="F7" s="84"/>
      <c r="G7" s="90"/>
      <c r="H7" s="90"/>
      <c r="I7" s="90"/>
      <c r="J7" s="90"/>
      <c r="K7" s="90"/>
      <c r="L7" s="90"/>
      <c r="M7" s="99"/>
      <c r="N7" s="99"/>
      <c r="O7" s="93"/>
      <c r="P7" s="99"/>
    </row>
    <row r="8" spans="1:17" ht="50" thickBot="1" x14ac:dyDescent="0.55000000000000004">
      <c r="A8" s="26" t="str">
        <f>_xlfn.XLOOKUP(B8,'Paso 3 Redacción RA '!I$3:I$11,'Paso 3 Redacción RA '!C$3:C$11,,0,1)</f>
        <v>Saberser</v>
      </c>
      <c r="B8" s="29" t="s">
        <v>604</v>
      </c>
      <c r="C8" s="85"/>
      <c r="D8" s="85"/>
      <c r="E8" s="105"/>
      <c r="F8" s="85"/>
      <c r="G8" s="91"/>
      <c r="H8" s="91"/>
      <c r="I8" s="91"/>
      <c r="J8" s="91"/>
      <c r="K8" s="91"/>
      <c r="L8" s="91"/>
      <c r="M8" s="100"/>
      <c r="N8" s="100"/>
      <c r="O8" s="94"/>
      <c r="P8" s="100"/>
    </row>
    <row r="9" spans="1:17" ht="66" x14ac:dyDescent="0.35">
      <c r="A9" s="5" t="str">
        <f>_xlfn.XLOOKUP(B9,'Paso 3 Redacción RA '!I$3:I$11,'Paso 3 Redacción RA '!C$3:C$11,,0,1)</f>
        <v>Saber</v>
      </c>
      <c r="B9" s="27" t="s">
        <v>602</v>
      </c>
      <c r="C9" s="83">
        <v>1</v>
      </c>
      <c r="D9" s="83" t="s">
        <v>650</v>
      </c>
      <c r="E9" s="86" t="s">
        <v>661</v>
      </c>
      <c r="F9" s="83" t="s">
        <v>659</v>
      </c>
      <c r="G9" s="89" t="s">
        <v>658</v>
      </c>
      <c r="H9" s="89"/>
      <c r="I9" s="89">
        <v>2</v>
      </c>
      <c r="J9" s="89">
        <f>12*I9</f>
        <v>24</v>
      </c>
      <c r="K9" s="89">
        <f>36*I9</f>
        <v>72</v>
      </c>
      <c r="L9" s="89">
        <f>SUM(J9:K9)</f>
        <v>96</v>
      </c>
      <c r="M9" s="92" t="s">
        <v>667</v>
      </c>
      <c r="N9" s="98" t="s">
        <v>681</v>
      </c>
      <c r="O9" s="92" t="s">
        <v>674</v>
      </c>
      <c r="P9" s="98" t="s">
        <v>97</v>
      </c>
    </row>
    <row r="10" spans="1:17" ht="49.5" x14ac:dyDescent="0.35">
      <c r="A10" s="5" t="str">
        <f>_xlfn.XLOOKUP(B10,'Paso 3 Redacción RA '!I$3:I$11,'Paso 3 Redacción RA '!C$3:C$11,,0,1)</f>
        <v>Saberhacer</v>
      </c>
      <c r="B10" s="5" t="s">
        <v>603</v>
      </c>
      <c r="C10" s="84"/>
      <c r="D10" s="84"/>
      <c r="E10" s="87"/>
      <c r="F10" s="84"/>
      <c r="G10" s="90"/>
      <c r="H10" s="90"/>
      <c r="I10" s="90"/>
      <c r="J10" s="90"/>
      <c r="K10" s="90"/>
      <c r="L10" s="90"/>
      <c r="M10" s="93"/>
      <c r="N10" s="99"/>
      <c r="O10" s="93"/>
      <c r="P10" s="99"/>
    </row>
    <row r="11" spans="1:17" ht="50" thickBot="1" x14ac:dyDescent="0.4">
      <c r="A11" s="26" t="str">
        <f>_xlfn.XLOOKUP(B11,'Paso 3 Redacción RA '!I$3:I$11,'Paso 3 Redacción RA '!C$3:C$11,,0,1)</f>
        <v>Saberhacer</v>
      </c>
      <c r="B11" s="26" t="s">
        <v>606</v>
      </c>
      <c r="C11" s="85"/>
      <c r="D11" s="85"/>
      <c r="E11" s="88"/>
      <c r="F11" s="85"/>
      <c r="G11" s="91"/>
      <c r="H11" s="91"/>
      <c r="I11" s="91"/>
      <c r="J11" s="91"/>
      <c r="K11" s="91"/>
      <c r="L11" s="91"/>
      <c r="M11" s="94"/>
      <c r="N11" s="100"/>
      <c r="O11" s="94"/>
      <c r="P11" s="100"/>
    </row>
    <row r="12" spans="1:17" ht="66" x14ac:dyDescent="0.35">
      <c r="A12" s="5" t="str">
        <f>_xlfn.XLOOKUP(B12,'Paso 3 Redacción RA '!I$3:I$11,'Paso 3 Redacción RA '!C$3:C$11,,0,1)</f>
        <v>Saber</v>
      </c>
      <c r="B12" s="27" t="s">
        <v>602</v>
      </c>
      <c r="C12" s="83">
        <v>1</v>
      </c>
      <c r="D12" s="83" t="s">
        <v>651</v>
      </c>
      <c r="E12" s="86" t="s">
        <v>676</v>
      </c>
      <c r="F12" s="83" t="s">
        <v>659</v>
      </c>
      <c r="G12" s="83" t="s">
        <v>658</v>
      </c>
      <c r="H12" s="83"/>
      <c r="I12" s="106">
        <v>3</v>
      </c>
      <c r="J12" s="89">
        <f>12*I12</f>
        <v>36</v>
      </c>
      <c r="K12" s="89">
        <f>36*I12</f>
        <v>108</v>
      </c>
      <c r="L12" s="89">
        <f>SUM(J12:K12)</f>
        <v>144</v>
      </c>
      <c r="M12" s="86" t="s">
        <v>668</v>
      </c>
      <c r="N12" s="86" t="s">
        <v>681</v>
      </c>
      <c r="O12" s="92" t="s">
        <v>674</v>
      </c>
      <c r="P12" s="98" t="s">
        <v>97</v>
      </c>
    </row>
    <row r="13" spans="1:17" ht="33" x14ac:dyDescent="0.35">
      <c r="A13" s="5" t="str">
        <f>_xlfn.XLOOKUP(B13,'Paso 3 Redacción RA '!I$3:I$11,'Paso 3 Redacción RA '!C$3:C$11,,0,1)</f>
        <v>Saber</v>
      </c>
      <c r="B13" s="5" t="s">
        <v>605</v>
      </c>
      <c r="C13" s="84"/>
      <c r="D13" s="84"/>
      <c r="E13" s="87"/>
      <c r="F13" s="84"/>
      <c r="G13" s="84"/>
      <c r="H13" s="84"/>
      <c r="I13" s="107"/>
      <c r="J13" s="90"/>
      <c r="K13" s="90"/>
      <c r="L13" s="90"/>
      <c r="M13" s="87"/>
      <c r="N13" s="87"/>
      <c r="O13" s="93"/>
      <c r="P13" s="99"/>
    </row>
    <row r="14" spans="1:17" ht="50" thickBot="1" x14ac:dyDescent="0.4">
      <c r="A14" s="26" t="str">
        <f>_xlfn.XLOOKUP(B14,'Paso 3 Redacción RA '!I$3:I$11,'Paso 3 Redacción RA '!C$3:C$11,,0,1)</f>
        <v>Saberser</v>
      </c>
      <c r="B14" s="26" t="s">
        <v>604</v>
      </c>
      <c r="C14" s="85"/>
      <c r="D14" s="85"/>
      <c r="E14" s="88"/>
      <c r="F14" s="85"/>
      <c r="G14" s="85"/>
      <c r="H14" s="85"/>
      <c r="I14" s="108"/>
      <c r="J14" s="91"/>
      <c r="K14" s="91"/>
      <c r="L14" s="91"/>
      <c r="M14" s="88"/>
      <c r="N14" s="88"/>
      <c r="O14" s="94"/>
      <c r="P14" s="100"/>
    </row>
    <row r="15" spans="1:17" ht="33" x14ac:dyDescent="0.35">
      <c r="A15" s="27" t="str">
        <f>_xlfn.XLOOKUP(B15,'Paso 3 Redacción RA '!I$3:I$11,'Paso 3 Redacción RA '!C$3:C$11,,0,1)</f>
        <v>Saber</v>
      </c>
      <c r="B15" s="28" t="s">
        <v>605</v>
      </c>
      <c r="C15" s="83">
        <v>1</v>
      </c>
      <c r="D15" s="83" t="s">
        <v>652</v>
      </c>
      <c r="E15" s="86" t="s">
        <v>662</v>
      </c>
      <c r="F15" s="83" t="s">
        <v>659</v>
      </c>
      <c r="G15" s="83" t="s">
        <v>658</v>
      </c>
      <c r="H15" s="89"/>
      <c r="I15" s="106">
        <v>3</v>
      </c>
      <c r="J15" s="89">
        <f>12*I15</f>
        <v>36</v>
      </c>
      <c r="K15" s="89">
        <f>36*I15</f>
        <v>108</v>
      </c>
      <c r="L15" s="89">
        <f>SUM(J15:K17)</f>
        <v>144</v>
      </c>
      <c r="M15" s="95" t="s">
        <v>669</v>
      </c>
      <c r="N15" s="86" t="s">
        <v>681</v>
      </c>
      <c r="O15" s="92" t="s">
        <v>674</v>
      </c>
      <c r="P15" s="86" t="s">
        <v>97</v>
      </c>
    </row>
    <row r="16" spans="1:17" ht="49.5" x14ac:dyDescent="0.35">
      <c r="A16" s="5" t="str">
        <f>_xlfn.XLOOKUP(B16,'Paso 3 Redacción RA '!I$3:I$11,'Paso 3 Redacción RA '!C$3:C$11,,0,1)</f>
        <v>Saberhacer</v>
      </c>
      <c r="B16" s="5" t="s">
        <v>606</v>
      </c>
      <c r="C16" s="84"/>
      <c r="D16" s="84"/>
      <c r="E16" s="87"/>
      <c r="F16" s="84"/>
      <c r="G16" s="84"/>
      <c r="H16" s="90"/>
      <c r="I16" s="107"/>
      <c r="J16" s="90"/>
      <c r="K16" s="90"/>
      <c r="L16" s="90"/>
      <c r="M16" s="96"/>
      <c r="N16" s="87"/>
      <c r="O16" s="93"/>
      <c r="P16" s="87"/>
    </row>
    <row r="17" spans="1:16" ht="50" thickBot="1" x14ac:dyDescent="0.4">
      <c r="A17" s="26" t="str">
        <f>_xlfn.XLOOKUP(B17,'Paso 3 Redacción RA '!I$3:I$11,'Paso 3 Redacción RA '!C$3:C$11,,0,1)</f>
        <v>Saberser</v>
      </c>
      <c r="B17" s="26" t="s">
        <v>604</v>
      </c>
      <c r="C17" s="85"/>
      <c r="D17" s="85"/>
      <c r="E17" s="88"/>
      <c r="F17" s="85"/>
      <c r="G17" s="85"/>
      <c r="H17" s="91"/>
      <c r="I17" s="108"/>
      <c r="J17" s="91"/>
      <c r="K17" s="91"/>
      <c r="L17" s="91"/>
      <c r="M17" s="97"/>
      <c r="N17" s="88"/>
      <c r="O17" s="94"/>
      <c r="P17" s="88"/>
    </row>
    <row r="18" spans="1:16" ht="66" x14ac:dyDescent="0.35">
      <c r="A18" s="5" t="str">
        <f>_xlfn.XLOOKUP(B18,'Paso 3 Redacción RA '!I$3:I$11,'Paso 3 Redacción RA '!C$3:C$11,,0,1)</f>
        <v>Saber</v>
      </c>
      <c r="B18" s="27" t="s">
        <v>602</v>
      </c>
      <c r="C18" s="83">
        <v>2</v>
      </c>
      <c r="D18" s="83" t="s">
        <v>653</v>
      </c>
      <c r="E18" s="95" t="s">
        <v>677</v>
      </c>
      <c r="F18" s="83" t="s">
        <v>659</v>
      </c>
      <c r="G18" s="83"/>
      <c r="H18" s="83" t="s">
        <v>658</v>
      </c>
      <c r="I18" s="83">
        <v>2</v>
      </c>
      <c r="J18" s="83">
        <f>12*I18</f>
        <v>24</v>
      </c>
      <c r="K18" s="83">
        <f>36*I18</f>
        <v>72</v>
      </c>
      <c r="L18" s="83">
        <f>SUM(J18:K21)</f>
        <v>96</v>
      </c>
      <c r="M18" s="86" t="s">
        <v>663</v>
      </c>
      <c r="N18" s="86" t="s">
        <v>681</v>
      </c>
      <c r="O18" s="92" t="s">
        <v>674</v>
      </c>
      <c r="P18" s="86" t="s">
        <v>97</v>
      </c>
    </row>
    <row r="19" spans="1:16" ht="33" x14ac:dyDescent="0.35">
      <c r="A19" s="5" t="str">
        <f>_xlfn.XLOOKUP(B19,'Paso 3 Redacción RA '!I$3:I$11,'Paso 3 Redacción RA '!C$3:C$11,,0,1)</f>
        <v>Saber</v>
      </c>
      <c r="B19" s="5" t="s">
        <v>605</v>
      </c>
      <c r="C19" s="84"/>
      <c r="D19" s="84"/>
      <c r="E19" s="96"/>
      <c r="F19" s="84"/>
      <c r="G19" s="84"/>
      <c r="H19" s="84"/>
      <c r="I19" s="84"/>
      <c r="J19" s="84"/>
      <c r="K19" s="84"/>
      <c r="L19" s="84"/>
      <c r="M19" s="87"/>
      <c r="N19" s="87"/>
      <c r="O19" s="93"/>
      <c r="P19" s="87"/>
    </row>
    <row r="20" spans="1:16" ht="49.5" x14ac:dyDescent="0.35">
      <c r="A20" s="5" t="str">
        <f>_xlfn.XLOOKUP(B20,'Paso 3 Redacción RA '!I$3:I$11,'Paso 3 Redacción RA '!C$3:C$11,,0,1)</f>
        <v>Saberhacer</v>
      </c>
      <c r="B20" s="5" t="s">
        <v>603</v>
      </c>
      <c r="C20" s="84"/>
      <c r="D20" s="84"/>
      <c r="E20" s="96"/>
      <c r="F20" s="84"/>
      <c r="G20" s="84"/>
      <c r="H20" s="84"/>
      <c r="I20" s="84"/>
      <c r="J20" s="84"/>
      <c r="K20" s="84"/>
      <c r="L20" s="84"/>
      <c r="M20" s="87"/>
      <c r="N20" s="87"/>
      <c r="O20" s="93"/>
      <c r="P20" s="87"/>
    </row>
    <row r="21" spans="1:16" ht="50" thickBot="1" x14ac:dyDescent="0.4">
      <c r="A21" s="26" t="str">
        <f>_xlfn.XLOOKUP(B21,'Paso 3 Redacción RA '!I$3:I$11,'Paso 3 Redacción RA '!C$3:C$11,,0,1)</f>
        <v>Saberser</v>
      </c>
      <c r="B21" s="26" t="s">
        <v>604</v>
      </c>
      <c r="C21" s="85"/>
      <c r="D21" s="85"/>
      <c r="E21" s="97"/>
      <c r="F21" s="85"/>
      <c r="G21" s="85"/>
      <c r="H21" s="85"/>
      <c r="I21" s="85"/>
      <c r="J21" s="85"/>
      <c r="K21" s="85"/>
      <c r="L21" s="85"/>
      <c r="M21" s="88"/>
      <c r="N21" s="88"/>
      <c r="O21" s="94"/>
      <c r="P21" s="88"/>
    </row>
    <row r="22" spans="1:16" ht="66" x14ac:dyDescent="0.35">
      <c r="A22" s="27" t="str">
        <f>_xlfn.XLOOKUP(B22,'Paso 3 Redacción RA '!I$3:I$11,'Paso 3 Redacción RA '!C$3:C$11,,0,1)</f>
        <v>Saber</v>
      </c>
      <c r="B22" s="27" t="s">
        <v>602</v>
      </c>
      <c r="C22" s="83">
        <v>2</v>
      </c>
      <c r="D22" s="83" t="s">
        <v>654</v>
      </c>
      <c r="E22" s="86" t="s">
        <v>678</v>
      </c>
      <c r="F22" s="83" t="s">
        <v>659</v>
      </c>
      <c r="G22" s="83"/>
      <c r="H22" s="83" t="s">
        <v>658</v>
      </c>
      <c r="I22" s="89">
        <v>3</v>
      </c>
      <c r="J22" s="89">
        <f>I22*12</f>
        <v>36</v>
      </c>
      <c r="K22" s="89">
        <f>I22*36</f>
        <v>108</v>
      </c>
      <c r="L22" s="89">
        <f>SUM(J22:K25)</f>
        <v>144</v>
      </c>
      <c r="M22" s="86" t="s">
        <v>670</v>
      </c>
      <c r="N22" s="86" t="s">
        <v>681</v>
      </c>
      <c r="O22" s="92" t="s">
        <v>674</v>
      </c>
      <c r="P22" s="86" t="s">
        <v>97</v>
      </c>
    </row>
    <row r="23" spans="1:16" ht="49.5" x14ac:dyDescent="0.35">
      <c r="A23" s="5" t="str">
        <f>_xlfn.XLOOKUP(B23,'Paso 3 Redacción RA '!I$3:I$11,'Paso 3 Redacción RA '!C$3:C$11,,0,1)</f>
        <v>Saberhacer</v>
      </c>
      <c r="B23" s="5" t="s">
        <v>603</v>
      </c>
      <c r="C23" s="84"/>
      <c r="D23" s="84"/>
      <c r="E23" s="87"/>
      <c r="F23" s="84"/>
      <c r="G23" s="84"/>
      <c r="H23" s="84"/>
      <c r="I23" s="90"/>
      <c r="J23" s="90"/>
      <c r="K23" s="90"/>
      <c r="L23" s="90"/>
      <c r="M23" s="87"/>
      <c r="N23" s="87"/>
      <c r="O23" s="93"/>
      <c r="P23" s="87"/>
    </row>
    <row r="24" spans="1:16" ht="49.5" x14ac:dyDescent="0.35">
      <c r="A24" s="5" t="str">
        <f>_xlfn.XLOOKUP(B24,'Paso 3 Redacción RA '!I$3:I$11,'Paso 3 Redacción RA '!C$3:C$11,,0,1)</f>
        <v>Saberhacer</v>
      </c>
      <c r="B24" s="5" t="s">
        <v>606</v>
      </c>
      <c r="C24" s="84"/>
      <c r="D24" s="84"/>
      <c r="E24" s="87"/>
      <c r="F24" s="84"/>
      <c r="G24" s="84"/>
      <c r="H24" s="84"/>
      <c r="I24" s="90"/>
      <c r="J24" s="90"/>
      <c r="K24" s="90"/>
      <c r="L24" s="90"/>
      <c r="M24" s="87"/>
      <c r="N24" s="87"/>
      <c r="O24" s="93"/>
      <c r="P24" s="87"/>
    </row>
    <row r="25" spans="1:16" ht="50" thickBot="1" x14ac:dyDescent="0.4">
      <c r="A25" s="26" t="str">
        <f>_xlfn.XLOOKUP(B25,'Paso 3 Redacción RA '!I$3:I$11,'Paso 3 Redacción RA '!C$3:C$11,,0,1)</f>
        <v>Saberser</v>
      </c>
      <c r="B25" s="26" t="s">
        <v>604</v>
      </c>
      <c r="C25" s="85"/>
      <c r="D25" s="85"/>
      <c r="E25" s="88"/>
      <c r="F25" s="85"/>
      <c r="G25" s="85"/>
      <c r="H25" s="85"/>
      <c r="I25" s="91"/>
      <c r="J25" s="91"/>
      <c r="K25" s="91"/>
      <c r="L25" s="91"/>
      <c r="M25" s="88"/>
      <c r="N25" s="88"/>
      <c r="O25" s="94"/>
      <c r="P25" s="88"/>
    </row>
    <row r="26" spans="1:16" ht="25" customHeight="1" thickBot="1" x14ac:dyDescent="0.4">
      <c r="A26" s="64"/>
      <c r="B26" s="65"/>
      <c r="C26" s="66">
        <v>2</v>
      </c>
      <c r="D26" s="66" t="s">
        <v>656</v>
      </c>
      <c r="E26" s="67"/>
      <c r="F26" s="66"/>
      <c r="G26" s="66"/>
      <c r="H26" s="66" t="s">
        <v>658</v>
      </c>
      <c r="I26" s="68">
        <v>3</v>
      </c>
      <c r="J26" s="68">
        <f>I26*12</f>
        <v>36</v>
      </c>
      <c r="K26" s="68">
        <f>I26*36</f>
        <v>108</v>
      </c>
      <c r="L26" s="68">
        <f>SUM(J26:K26)</f>
        <v>144</v>
      </c>
      <c r="M26" s="67"/>
      <c r="N26" s="67"/>
      <c r="O26" s="69"/>
      <c r="P26" s="67"/>
    </row>
    <row r="27" spans="1:16" ht="66" x14ac:dyDescent="0.35">
      <c r="A27" s="27" t="str">
        <f>_xlfn.XLOOKUP(B27,'Paso 3 Redacción RA '!I$3:I$11,'Paso 3 Redacción RA '!C$3:C$11,,0,1)</f>
        <v>Saber</v>
      </c>
      <c r="B27" s="27" t="s">
        <v>602</v>
      </c>
      <c r="C27" s="83">
        <v>2</v>
      </c>
      <c r="D27" s="83" t="s">
        <v>655</v>
      </c>
      <c r="E27" s="86" t="s">
        <v>679</v>
      </c>
      <c r="F27" s="83" t="s">
        <v>659</v>
      </c>
      <c r="G27" s="83"/>
      <c r="H27" s="83" t="s">
        <v>658</v>
      </c>
      <c r="I27" s="89">
        <v>2</v>
      </c>
      <c r="J27" s="89">
        <f>I27*12</f>
        <v>24</v>
      </c>
      <c r="K27" s="89">
        <f>I27*36</f>
        <v>72</v>
      </c>
      <c r="L27" s="89">
        <f>SUM(J27:K27)</f>
        <v>96</v>
      </c>
      <c r="M27" s="86" t="s">
        <v>664</v>
      </c>
      <c r="N27" s="86" t="s">
        <v>681</v>
      </c>
      <c r="O27" s="92" t="s">
        <v>674</v>
      </c>
      <c r="P27" s="86" t="s">
        <v>97</v>
      </c>
    </row>
    <row r="28" spans="1:16" ht="33" x14ac:dyDescent="0.35">
      <c r="A28" s="5" t="str">
        <f>_xlfn.XLOOKUP(B28,'Paso 3 Redacción RA '!I$3:I$11,'Paso 3 Redacción RA '!C$3:C$11,,0,1)</f>
        <v>Saber</v>
      </c>
      <c r="B28" s="5" t="s">
        <v>605</v>
      </c>
      <c r="C28" s="84"/>
      <c r="D28" s="84"/>
      <c r="E28" s="87"/>
      <c r="F28" s="84"/>
      <c r="G28" s="84"/>
      <c r="H28" s="84"/>
      <c r="I28" s="90"/>
      <c r="J28" s="90"/>
      <c r="K28" s="90"/>
      <c r="L28" s="90"/>
      <c r="M28" s="87"/>
      <c r="N28" s="87"/>
      <c r="O28" s="93"/>
      <c r="P28" s="87"/>
    </row>
    <row r="29" spans="1:16" ht="49.5" x14ac:dyDescent="0.35">
      <c r="A29" s="5" t="str">
        <f>_xlfn.XLOOKUP(B29,'Paso 3 Redacción RA '!I$3:I$11,'Paso 3 Redacción RA '!C$3:C$11,,0,1)</f>
        <v>Saberhacer</v>
      </c>
      <c r="B29" s="5" t="s">
        <v>606</v>
      </c>
      <c r="C29" s="84"/>
      <c r="D29" s="84"/>
      <c r="E29" s="87"/>
      <c r="F29" s="84"/>
      <c r="G29" s="84"/>
      <c r="H29" s="84"/>
      <c r="I29" s="90"/>
      <c r="J29" s="90"/>
      <c r="K29" s="90"/>
      <c r="L29" s="90"/>
      <c r="M29" s="87"/>
      <c r="N29" s="87"/>
      <c r="O29" s="93"/>
      <c r="P29" s="87"/>
    </row>
    <row r="30" spans="1:16" ht="50" thickBot="1" x14ac:dyDescent="0.4">
      <c r="A30" s="26" t="str">
        <f>_xlfn.XLOOKUP(B30,'Paso 3 Redacción RA '!I$3:I$11,'Paso 3 Redacción RA '!C$3:C$11,,0,1)</f>
        <v>Saberser</v>
      </c>
      <c r="B30" s="26" t="s">
        <v>604</v>
      </c>
      <c r="C30" s="85"/>
      <c r="D30" s="85"/>
      <c r="E30" s="88"/>
      <c r="F30" s="85"/>
      <c r="G30" s="85"/>
      <c r="H30" s="85"/>
      <c r="I30" s="91"/>
      <c r="J30" s="91"/>
      <c r="K30" s="91"/>
      <c r="L30" s="91"/>
      <c r="M30" s="88"/>
      <c r="N30" s="88"/>
      <c r="O30" s="94"/>
      <c r="P30" s="88"/>
    </row>
    <row r="31" spans="1:16" ht="66" x14ac:dyDescent="0.35">
      <c r="A31" s="27" t="str">
        <f>_xlfn.XLOOKUP(B31,'Paso 3 Redacción RA '!I$3:I$11,'Paso 3 Redacción RA '!C$3:C$11,,0,1)</f>
        <v>Saber</v>
      </c>
      <c r="B31" s="5" t="s">
        <v>602</v>
      </c>
      <c r="C31" s="83">
        <v>2</v>
      </c>
      <c r="D31" s="83" t="s">
        <v>657</v>
      </c>
      <c r="E31" s="86" t="s">
        <v>680</v>
      </c>
      <c r="F31" s="83" t="s">
        <v>659</v>
      </c>
      <c r="G31" s="83"/>
      <c r="H31" s="83" t="s">
        <v>658</v>
      </c>
      <c r="I31" s="89">
        <v>3</v>
      </c>
      <c r="J31" s="89">
        <f>I31*12</f>
        <v>36</v>
      </c>
      <c r="K31" s="89">
        <f>I31*36</f>
        <v>108</v>
      </c>
      <c r="L31" s="89">
        <f>SUM(J31:K31)</f>
        <v>144</v>
      </c>
      <c r="M31" s="86" t="s">
        <v>682</v>
      </c>
      <c r="N31" s="86" t="s">
        <v>681</v>
      </c>
      <c r="O31" s="92" t="s">
        <v>674</v>
      </c>
      <c r="P31" s="86" t="s">
        <v>97</v>
      </c>
    </row>
    <row r="32" spans="1:16" ht="33" x14ac:dyDescent="0.35">
      <c r="A32" s="5" t="str">
        <f>_xlfn.XLOOKUP(B32,'Paso 3 Redacción RA '!I$3:I$11,'Paso 3 Redacción RA '!C$3:C$11,,0,1)</f>
        <v>Saber</v>
      </c>
      <c r="B32" s="5" t="s">
        <v>605</v>
      </c>
      <c r="C32" s="84"/>
      <c r="D32" s="84"/>
      <c r="E32" s="87"/>
      <c r="F32" s="84"/>
      <c r="G32" s="84"/>
      <c r="H32" s="84"/>
      <c r="I32" s="90"/>
      <c r="J32" s="90"/>
      <c r="K32" s="90"/>
      <c r="L32" s="90"/>
      <c r="M32" s="87"/>
      <c r="N32" s="87"/>
      <c r="O32" s="93"/>
      <c r="P32" s="87"/>
    </row>
    <row r="33" spans="1:16" ht="49.5" x14ac:dyDescent="0.35">
      <c r="A33" s="5" t="str">
        <f>_xlfn.XLOOKUP(B33,'Paso 3 Redacción RA '!I$3:I$11,'Paso 3 Redacción RA '!C$3:C$11,,0,1)</f>
        <v>Saberhacer</v>
      </c>
      <c r="B33" s="5" t="s">
        <v>603</v>
      </c>
      <c r="C33" s="84"/>
      <c r="D33" s="84"/>
      <c r="E33" s="87"/>
      <c r="F33" s="84"/>
      <c r="G33" s="84"/>
      <c r="H33" s="84"/>
      <c r="I33" s="90"/>
      <c r="J33" s="90"/>
      <c r="K33" s="90"/>
      <c r="L33" s="90"/>
      <c r="M33" s="87"/>
      <c r="N33" s="87"/>
      <c r="O33" s="93"/>
      <c r="P33" s="87"/>
    </row>
    <row r="34" spans="1:16" ht="49.5" x14ac:dyDescent="0.35">
      <c r="A34" s="5" t="str">
        <f>_xlfn.XLOOKUP(B34,'Paso 3 Redacción RA '!I$3:I$11,'Paso 3 Redacción RA '!C$3:C$11,,0,1)</f>
        <v>Saberhacer</v>
      </c>
      <c r="B34" s="5" t="s">
        <v>606</v>
      </c>
      <c r="C34" s="84"/>
      <c r="D34" s="84"/>
      <c r="E34" s="87"/>
      <c r="F34" s="84"/>
      <c r="G34" s="84"/>
      <c r="H34" s="84"/>
      <c r="I34" s="90"/>
      <c r="J34" s="90"/>
      <c r="K34" s="90"/>
      <c r="L34" s="90"/>
      <c r="M34" s="87"/>
      <c r="N34" s="87"/>
      <c r="O34" s="93"/>
      <c r="P34" s="87"/>
    </row>
    <row r="35" spans="1:16" ht="50" thickBot="1" x14ac:dyDescent="0.4">
      <c r="A35" s="26" t="str">
        <f>_xlfn.XLOOKUP(B35,'Paso 3 Redacción RA '!I$3:I$11,'Paso 3 Redacción RA '!C$3:C$11,,0,1)</f>
        <v>Saberser</v>
      </c>
      <c r="B35" s="26" t="s">
        <v>604</v>
      </c>
      <c r="C35" s="85" t="s">
        <v>100</v>
      </c>
      <c r="D35" s="85"/>
      <c r="E35" s="88"/>
      <c r="F35" s="85"/>
      <c r="G35" s="85"/>
      <c r="H35" s="85"/>
      <c r="I35" s="91"/>
      <c r="J35" s="91"/>
      <c r="K35" s="91"/>
      <c r="L35" s="91"/>
      <c r="M35" s="88"/>
      <c r="N35" s="88"/>
      <c r="O35" s="94"/>
      <c r="P35" s="88"/>
    </row>
    <row r="36" spans="1:16" ht="33" x14ac:dyDescent="0.35">
      <c r="C36" s="58" t="s">
        <v>101</v>
      </c>
      <c r="D36" s="61">
        <f>COUNTA(D3:D35)</f>
        <v>10</v>
      </c>
      <c r="H36" s="59" t="s">
        <v>102</v>
      </c>
      <c r="I36" s="62">
        <f>SUM(I3:I35)</f>
        <v>25</v>
      </c>
    </row>
    <row r="37" spans="1:16" ht="33" x14ac:dyDescent="0.35">
      <c r="H37" s="60" t="s">
        <v>103</v>
      </c>
      <c r="I37" s="63">
        <f>SUMIF(G3:G35,"X",I3:I35)</f>
        <v>12</v>
      </c>
    </row>
    <row r="38" spans="1:16" ht="33" x14ac:dyDescent="0.35">
      <c r="H38" s="60" t="s">
        <v>104</v>
      </c>
      <c r="I38" s="63">
        <f>SUMIF(H3:H35,"X",I3:I35)</f>
        <v>13</v>
      </c>
    </row>
  </sheetData>
  <mergeCells count="127">
    <mergeCell ref="C15:C17"/>
    <mergeCell ref="D15:D17"/>
    <mergeCell ref="E15:E17"/>
    <mergeCell ref="G15:G17"/>
    <mergeCell ref="H15:H17"/>
    <mergeCell ref="I15:I17"/>
    <mergeCell ref="J15:J17"/>
    <mergeCell ref="K15:K17"/>
    <mergeCell ref="C22:C25"/>
    <mergeCell ref="D22:D25"/>
    <mergeCell ref="E22:E25"/>
    <mergeCell ref="F15:F17"/>
    <mergeCell ref="F18:F21"/>
    <mergeCell ref="F22:F25"/>
    <mergeCell ref="D27:D30"/>
    <mergeCell ref="I27:I30"/>
    <mergeCell ref="P27:P30"/>
    <mergeCell ref="O27:O30"/>
    <mergeCell ref="N27:N30"/>
    <mergeCell ref="C18:C21"/>
    <mergeCell ref="D18:D21"/>
    <mergeCell ref="E18:E21"/>
    <mergeCell ref="G18:G21"/>
    <mergeCell ref="H18:H21"/>
    <mergeCell ref="I18:I21"/>
    <mergeCell ref="J18:J21"/>
    <mergeCell ref="K18:K21"/>
    <mergeCell ref="L18:L21"/>
    <mergeCell ref="M18:M21"/>
    <mergeCell ref="N18:N21"/>
    <mergeCell ref="C27:C30"/>
    <mergeCell ref="N22:N25"/>
    <mergeCell ref="G27:G30"/>
    <mergeCell ref="H27:H30"/>
    <mergeCell ref="M27:M30"/>
    <mergeCell ref="E27:E30"/>
    <mergeCell ref="O18:O21"/>
    <mergeCell ref="P18:P21"/>
    <mergeCell ref="F12:F14"/>
    <mergeCell ref="F27:F30"/>
    <mergeCell ref="L27:L30"/>
    <mergeCell ref="K27:K30"/>
    <mergeCell ref="J27:J30"/>
    <mergeCell ref="G22:G25"/>
    <mergeCell ref="H22:H25"/>
    <mergeCell ref="I22:I25"/>
    <mergeCell ref="J22:J25"/>
    <mergeCell ref="L12:L14"/>
    <mergeCell ref="K12:K14"/>
    <mergeCell ref="J12:J14"/>
    <mergeCell ref="I12:I14"/>
    <mergeCell ref="H12:H14"/>
    <mergeCell ref="L15:L17"/>
    <mergeCell ref="K22:K25"/>
    <mergeCell ref="L22:L25"/>
    <mergeCell ref="C12:C14"/>
    <mergeCell ref="D12:D14"/>
    <mergeCell ref="E12:E14"/>
    <mergeCell ref="G12:G14"/>
    <mergeCell ref="N9:N11"/>
    <mergeCell ref="N12:N14"/>
    <mergeCell ref="F3:F5"/>
    <mergeCell ref="G1:H1"/>
    <mergeCell ref="O12:O14"/>
    <mergeCell ref="L6:L8"/>
    <mergeCell ref="C6:C8"/>
    <mergeCell ref="D6:D8"/>
    <mergeCell ref="E6:E8"/>
    <mergeCell ref="G6:G8"/>
    <mergeCell ref="C9:C11"/>
    <mergeCell ref="D9:D11"/>
    <mergeCell ref="E9:E11"/>
    <mergeCell ref="G9:G11"/>
    <mergeCell ref="H9:H11"/>
    <mergeCell ref="I9:I11"/>
    <mergeCell ref="J9:J11"/>
    <mergeCell ref="K9:K11"/>
    <mergeCell ref="H6:H8"/>
    <mergeCell ref="I6:I8"/>
    <mergeCell ref="C3:C5"/>
    <mergeCell ref="D3:D5"/>
    <mergeCell ref="E3:E5"/>
    <mergeCell ref="G3:G5"/>
    <mergeCell ref="H3:H5"/>
    <mergeCell ref="I3:I5"/>
    <mergeCell ref="N3:N5"/>
    <mergeCell ref="M3:M5"/>
    <mergeCell ref="L9:L11"/>
    <mergeCell ref="M9:M11"/>
    <mergeCell ref="J3:J5"/>
    <mergeCell ref="K3:K5"/>
    <mergeCell ref="L3:L5"/>
    <mergeCell ref="J6:J8"/>
    <mergeCell ref="K6:K8"/>
    <mergeCell ref="F6:F8"/>
    <mergeCell ref="F9:F11"/>
    <mergeCell ref="P12:P14"/>
    <mergeCell ref="O9:O11"/>
    <mergeCell ref="P9:P11"/>
    <mergeCell ref="P6:P8"/>
    <mergeCell ref="P3:P5"/>
    <mergeCell ref="N6:N8"/>
    <mergeCell ref="M6:M8"/>
    <mergeCell ref="O6:O8"/>
    <mergeCell ref="O3:O5"/>
    <mergeCell ref="M12:M14"/>
    <mergeCell ref="O15:O17"/>
    <mergeCell ref="P15:P17"/>
    <mergeCell ref="N15:N17"/>
    <mergeCell ref="O22:O25"/>
    <mergeCell ref="P22:P25"/>
    <mergeCell ref="L31:L35"/>
    <mergeCell ref="M31:M35"/>
    <mergeCell ref="N31:N35"/>
    <mergeCell ref="O31:O35"/>
    <mergeCell ref="P31:P35"/>
    <mergeCell ref="M15:M17"/>
    <mergeCell ref="M22:M25"/>
    <mergeCell ref="C31:C35"/>
    <mergeCell ref="D31:D35"/>
    <mergeCell ref="E31:E35"/>
    <mergeCell ref="F31:F35"/>
    <mergeCell ref="G31:G35"/>
    <mergeCell ref="H31:H35"/>
    <mergeCell ref="I31:I35"/>
    <mergeCell ref="J31:J35"/>
    <mergeCell ref="K31:K35"/>
  </mergeCells>
  <dataValidations count="1">
    <dataValidation type="list" allowBlank="1" showInputMessage="1" showErrorMessage="1" sqref="B3:B49"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8"/>
  <sheetViews>
    <sheetView workbookViewId="0">
      <selection activeCell="D14" sqref="D14"/>
    </sheetView>
  </sheetViews>
  <sheetFormatPr baseColWidth="10" defaultColWidth="11.453125" defaultRowHeight="14.5" x14ac:dyDescent="0.35"/>
  <cols>
    <col min="2" max="2" width="27.1796875" customWidth="1"/>
    <col min="4" max="4" width="99.26953125" customWidth="1"/>
  </cols>
  <sheetData>
    <row r="1" spans="2:4" ht="30.5" x14ac:dyDescent="0.5">
      <c r="B1" s="1" t="s">
        <v>105</v>
      </c>
      <c r="D1" s="22" t="s">
        <v>106</v>
      </c>
    </row>
    <row r="2" spans="2:4" ht="16.5" x14ac:dyDescent="0.5">
      <c r="B2" s="1" t="s">
        <v>216</v>
      </c>
      <c r="D2" s="22"/>
    </row>
    <row r="3" spans="2:4" ht="16.5" x14ac:dyDescent="0.5">
      <c r="B3" s="1" t="s">
        <v>107</v>
      </c>
    </row>
    <row r="4" spans="2:4" ht="16.5" x14ac:dyDescent="0.5">
      <c r="B4" s="1" t="s">
        <v>108</v>
      </c>
    </row>
    <row r="5" spans="2:4" ht="16.5" x14ac:dyDescent="0.5">
      <c r="B5" s="1" t="s">
        <v>109</v>
      </c>
    </row>
    <row r="6" spans="2:4" ht="16.5" x14ac:dyDescent="0.5">
      <c r="B6" s="1" t="s">
        <v>110</v>
      </c>
    </row>
    <row r="7" spans="2:4" ht="16.5" x14ac:dyDescent="0.5">
      <c r="B7" s="1" t="s">
        <v>111</v>
      </c>
    </row>
    <row r="8" spans="2:4" ht="16.5" x14ac:dyDescent="0.5">
      <c r="B8" s="1" t="s">
        <v>112</v>
      </c>
    </row>
    <row r="9" spans="2:4" ht="16.5" x14ac:dyDescent="0.5">
      <c r="B9" s="1" t="s">
        <v>113</v>
      </c>
    </row>
    <row r="10" spans="2:4" ht="16.5" x14ac:dyDescent="0.5">
      <c r="B10" s="1" t="s">
        <v>114</v>
      </c>
    </row>
    <row r="11" spans="2:4" ht="16.5" x14ac:dyDescent="0.5">
      <c r="B11" s="1" t="s">
        <v>115</v>
      </c>
    </row>
    <row r="12" spans="2:4" ht="16.5" x14ac:dyDescent="0.5">
      <c r="B12" s="1" t="s">
        <v>116</v>
      </c>
    </row>
    <row r="13" spans="2:4" ht="16.5" x14ac:dyDescent="0.5">
      <c r="B13" s="1" t="s">
        <v>117</v>
      </c>
    </row>
    <row r="14" spans="2:4" ht="16.5" x14ac:dyDescent="0.5">
      <c r="B14" s="1" t="s">
        <v>118</v>
      </c>
    </row>
    <row r="15" spans="2:4" ht="16.5" x14ac:dyDescent="0.5">
      <c r="B15" s="1" t="s">
        <v>119</v>
      </c>
    </row>
    <row r="16" spans="2:4" ht="16.5" x14ac:dyDescent="0.5">
      <c r="B16" s="1" t="s">
        <v>120</v>
      </c>
    </row>
    <row r="17" spans="2:2" ht="16.5" x14ac:dyDescent="0.5">
      <c r="B17" s="1" t="s">
        <v>121</v>
      </c>
    </row>
    <row r="18" spans="2:2" ht="16.5" x14ac:dyDescent="0.5">
      <c r="B18" s="1" t="s">
        <v>122</v>
      </c>
    </row>
    <row r="19" spans="2:2" ht="16.5" x14ac:dyDescent="0.5">
      <c r="B19" s="1" t="s">
        <v>123</v>
      </c>
    </row>
    <row r="20" spans="2:2" ht="16.5" x14ac:dyDescent="0.5">
      <c r="B20" s="1" t="s">
        <v>124</v>
      </c>
    </row>
    <row r="21" spans="2:2" ht="16.5" x14ac:dyDescent="0.5">
      <c r="B21" s="1" t="s">
        <v>125</v>
      </c>
    </row>
    <row r="22" spans="2:2" ht="16.5" x14ac:dyDescent="0.5">
      <c r="B22" s="1" t="s">
        <v>126</v>
      </c>
    </row>
    <row r="23" spans="2:2" ht="16.5" x14ac:dyDescent="0.5">
      <c r="B23" s="1" t="s">
        <v>127</v>
      </c>
    </row>
    <row r="24" spans="2:2" ht="16.5" x14ac:dyDescent="0.5">
      <c r="B24" s="1" t="s">
        <v>128</v>
      </c>
    </row>
    <row r="25" spans="2:2" ht="16.5" x14ac:dyDescent="0.5">
      <c r="B25" s="1" t="s">
        <v>129</v>
      </c>
    </row>
    <row r="26" spans="2:2" ht="16.5" x14ac:dyDescent="0.5">
      <c r="B26" s="1" t="s">
        <v>130</v>
      </c>
    </row>
    <row r="27" spans="2:2" ht="16.5" x14ac:dyDescent="0.5">
      <c r="B27" s="1" t="s">
        <v>131</v>
      </c>
    </row>
    <row r="28" spans="2:2" ht="16.5" x14ac:dyDescent="0.5">
      <c r="B28" s="1" t="s">
        <v>132</v>
      </c>
    </row>
    <row r="29" spans="2:2" ht="16.5" x14ac:dyDescent="0.5">
      <c r="B29" s="1" t="s">
        <v>133</v>
      </c>
    </row>
    <row r="30" spans="2:2" ht="16.5" x14ac:dyDescent="0.5">
      <c r="B30" s="1" t="s">
        <v>134</v>
      </c>
    </row>
    <row r="31" spans="2:2" ht="16.5" x14ac:dyDescent="0.5">
      <c r="B31" s="1" t="s">
        <v>135</v>
      </c>
    </row>
    <row r="32" spans="2:2" ht="16.5" x14ac:dyDescent="0.5">
      <c r="B32" s="1" t="s">
        <v>136</v>
      </c>
    </row>
    <row r="33" spans="2:2" ht="16.5" x14ac:dyDescent="0.5">
      <c r="B33" s="1" t="s">
        <v>137</v>
      </c>
    </row>
    <row r="34" spans="2:2" ht="16.5" x14ac:dyDescent="0.5">
      <c r="B34" s="1" t="s">
        <v>138</v>
      </c>
    </row>
    <row r="35" spans="2:2" ht="16.5" x14ac:dyDescent="0.5">
      <c r="B35" s="1" t="s">
        <v>139</v>
      </c>
    </row>
    <row r="36" spans="2:2" ht="16.5" x14ac:dyDescent="0.5">
      <c r="B36" s="1" t="s">
        <v>140</v>
      </c>
    </row>
    <row r="37" spans="2:2" ht="16.5" x14ac:dyDescent="0.5">
      <c r="B37" s="1" t="s">
        <v>141</v>
      </c>
    </row>
    <row r="38" spans="2:2" ht="16.5" x14ac:dyDescent="0.5">
      <c r="B38" s="1" t="s">
        <v>142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zoomScale="66" workbookViewId="0">
      <selection activeCell="AH41" sqref="AH41"/>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9" t="s">
        <v>143</v>
      </c>
      <c r="T1" s="119"/>
      <c r="U1" s="119"/>
      <c r="V1" s="119"/>
      <c r="W1" s="119"/>
      <c r="X1" s="119"/>
      <c r="Y1" s="119"/>
      <c r="Z1" s="119"/>
      <c r="AA1" s="119"/>
      <c r="AB1" s="119"/>
      <c r="AC1" s="119"/>
      <c r="AD1" s="119"/>
      <c r="AE1" s="119"/>
      <c r="AF1" s="119"/>
      <c r="AG1" s="119"/>
      <c r="AH1" s="9"/>
      <c r="AI1" s="9"/>
      <c r="AJ1" s="9"/>
      <c r="AL1" s="119" t="s">
        <v>144</v>
      </c>
      <c r="AM1" s="119"/>
      <c r="AN1" s="119"/>
      <c r="AO1" s="119"/>
      <c r="AP1" s="119"/>
      <c r="AQ1" s="119"/>
      <c r="AR1" s="119"/>
      <c r="AS1" s="119"/>
      <c r="AT1" s="119"/>
      <c r="AU1" s="119"/>
      <c r="AV1" s="119"/>
      <c r="AW1" s="119"/>
      <c r="AX1" s="119"/>
      <c r="AY1" s="119"/>
      <c r="AZ1" s="119"/>
      <c r="BA1" s="9"/>
      <c r="BB1" s="119" t="s">
        <v>145</v>
      </c>
      <c r="BC1" s="119"/>
      <c r="BD1" s="119"/>
      <c r="BE1" s="119"/>
      <c r="BF1" s="119"/>
      <c r="BG1" s="119"/>
      <c r="BH1" s="9"/>
      <c r="BK1" s="9"/>
    </row>
    <row r="2" spans="1:63" x14ac:dyDescent="0.5">
      <c r="L2" s="120" t="s">
        <v>146</v>
      </c>
      <c r="M2" s="120"/>
      <c r="N2" s="120"/>
      <c r="O2" s="120"/>
      <c r="P2" s="120"/>
      <c r="Q2" s="120"/>
      <c r="S2" s="121" t="s">
        <v>147</v>
      </c>
      <c r="T2" s="121"/>
      <c r="U2" s="121"/>
      <c r="V2" s="121"/>
      <c r="W2" s="121"/>
      <c r="X2" s="121"/>
      <c r="Y2" s="121" t="s">
        <v>148</v>
      </c>
      <c r="Z2" s="121"/>
      <c r="AA2" s="121"/>
      <c r="AB2" s="121"/>
      <c r="AC2" s="121" t="s">
        <v>149</v>
      </c>
      <c r="AD2" s="121"/>
      <c r="AE2" s="121"/>
      <c r="AF2" s="121"/>
      <c r="AG2" s="121"/>
      <c r="AH2" s="9"/>
      <c r="AI2" s="9"/>
      <c r="AJ2" s="9"/>
      <c r="AL2" s="119"/>
      <c r="AM2" s="119"/>
      <c r="AN2" s="119"/>
      <c r="AO2" s="119"/>
      <c r="AP2" s="119"/>
      <c r="AQ2" s="119"/>
      <c r="AR2" s="9"/>
      <c r="AS2" s="9"/>
      <c r="AT2" s="9"/>
      <c r="AU2" s="9"/>
      <c r="AV2" s="9"/>
      <c r="AW2" s="9"/>
      <c r="AX2" s="9"/>
      <c r="AY2" s="9"/>
      <c r="AZ2" s="9"/>
      <c r="BA2" s="9"/>
      <c r="BB2" s="9"/>
      <c r="BC2" s="9"/>
      <c r="BD2" s="9"/>
      <c r="BE2" s="9"/>
      <c r="BF2" s="9"/>
      <c r="BG2" s="9"/>
      <c r="BH2" s="9"/>
      <c r="BK2" s="9"/>
    </row>
    <row r="3" spans="1:63" x14ac:dyDescent="0.5">
      <c r="A3" s="1" t="s">
        <v>150</v>
      </c>
      <c r="C3" s="1" t="s">
        <v>151</v>
      </c>
      <c r="D3" s="1" t="s">
        <v>152</v>
      </c>
      <c r="E3" s="1" t="s">
        <v>153</v>
      </c>
      <c r="G3" s="1" t="s">
        <v>154</v>
      </c>
      <c r="H3" s="1" t="s">
        <v>155</v>
      </c>
      <c r="I3" s="1" t="s">
        <v>156</v>
      </c>
      <c r="L3" s="1" t="s">
        <v>157</v>
      </c>
      <c r="M3" s="1" t="s">
        <v>158</v>
      </c>
      <c r="N3" s="1" t="s">
        <v>159</v>
      </c>
      <c r="O3" s="1" t="s">
        <v>160</v>
      </c>
      <c r="P3" s="1" t="s">
        <v>161</v>
      </c>
      <c r="Q3" s="1" t="s">
        <v>162</v>
      </c>
      <c r="S3" s="1" t="s">
        <v>163</v>
      </c>
      <c r="T3" s="1" t="s">
        <v>164</v>
      </c>
      <c r="U3" s="1" t="s">
        <v>165</v>
      </c>
      <c r="V3" s="1" t="s">
        <v>166</v>
      </c>
      <c r="W3" s="1" t="s">
        <v>167</v>
      </c>
      <c r="X3" s="1" t="s">
        <v>168</v>
      </c>
      <c r="Y3" s="1" t="s">
        <v>169</v>
      </c>
      <c r="Z3" s="1" t="s">
        <v>170</v>
      </c>
      <c r="AA3" s="1" t="s">
        <v>171</v>
      </c>
      <c r="AB3" s="1" t="s">
        <v>172</v>
      </c>
      <c r="AC3" s="1" t="s">
        <v>173</v>
      </c>
      <c r="AD3" s="1" t="s">
        <v>174</v>
      </c>
      <c r="AE3" s="1" t="s">
        <v>175</v>
      </c>
      <c r="AF3" s="1" t="s">
        <v>176</v>
      </c>
      <c r="AG3" s="1" t="s">
        <v>177</v>
      </c>
      <c r="AL3" s="122" t="s">
        <v>178</v>
      </c>
      <c r="AM3" s="123"/>
      <c r="AN3" s="123"/>
      <c r="AO3" s="122" t="s">
        <v>179</v>
      </c>
      <c r="AP3" s="123"/>
      <c r="AQ3" s="123"/>
      <c r="AR3" s="122" t="s">
        <v>180</v>
      </c>
      <c r="AS3" s="123"/>
      <c r="AT3" s="123"/>
      <c r="AU3" s="124"/>
      <c r="AV3" s="122" t="s">
        <v>181</v>
      </c>
      <c r="AW3" s="123"/>
      <c r="AX3" s="123"/>
      <c r="AY3" s="123"/>
      <c r="AZ3" s="124"/>
      <c r="BA3" s="10"/>
      <c r="BB3" s="10"/>
      <c r="BC3" s="10"/>
      <c r="BD3" s="10"/>
      <c r="BE3" s="10"/>
      <c r="BF3" s="10"/>
      <c r="BG3" s="10"/>
      <c r="BH3" s="10"/>
      <c r="BK3" s="10"/>
    </row>
    <row r="4" spans="1:63" x14ac:dyDescent="0.5">
      <c r="A4" s="1" t="s">
        <v>182</v>
      </c>
      <c r="C4" s="1" t="s">
        <v>183</v>
      </c>
      <c r="D4" s="1" t="s">
        <v>184</v>
      </c>
      <c r="E4" s="1" t="s">
        <v>185</v>
      </c>
      <c r="G4" s="1" t="s">
        <v>157</v>
      </c>
      <c r="H4" s="1" t="s">
        <v>157</v>
      </c>
      <c r="I4" s="1" t="s">
        <v>157</v>
      </c>
      <c r="L4" s="1" t="s">
        <v>186</v>
      </c>
      <c r="M4" s="1" t="s">
        <v>112</v>
      </c>
      <c r="N4" s="1" t="s">
        <v>109</v>
      </c>
      <c r="O4" s="1" t="s">
        <v>187</v>
      </c>
      <c r="P4" s="1" t="s">
        <v>188</v>
      </c>
      <c r="Q4" s="1" t="s">
        <v>189</v>
      </c>
      <c r="S4" s="1" t="s">
        <v>186</v>
      </c>
      <c r="T4" s="1" t="s">
        <v>112</v>
      </c>
      <c r="U4" s="1" t="s">
        <v>109</v>
      </c>
      <c r="V4" s="1" t="s">
        <v>187</v>
      </c>
      <c r="W4" s="1" t="s">
        <v>188</v>
      </c>
      <c r="X4" s="1" t="s">
        <v>189</v>
      </c>
      <c r="Y4" s="1" t="s">
        <v>190</v>
      </c>
      <c r="Z4" s="1" t="s">
        <v>191</v>
      </c>
      <c r="AA4" s="1" t="s">
        <v>192</v>
      </c>
      <c r="AB4" s="1" t="s">
        <v>193</v>
      </c>
      <c r="AC4" s="1" t="s">
        <v>128</v>
      </c>
      <c r="AD4" s="1" t="s">
        <v>194</v>
      </c>
      <c r="AE4" s="1" t="s">
        <v>195</v>
      </c>
      <c r="AF4" s="1" t="s">
        <v>196</v>
      </c>
      <c r="AG4" s="1" t="s">
        <v>197</v>
      </c>
      <c r="AL4" s="11" t="s">
        <v>198</v>
      </c>
      <c r="AM4" s="11" t="s">
        <v>199</v>
      </c>
      <c r="AN4" s="11" t="s">
        <v>200</v>
      </c>
      <c r="AO4" s="11" t="s">
        <v>201</v>
      </c>
      <c r="AP4" s="12" t="s">
        <v>202</v>
      </c>
      <c r="AQ4" s="11" t="s">
        <v>203</v>
      </c>
      <c r="AR4" s="1" t="s">
        <v>169</v>
      </c>
      <c r="AS4" s="1" t="s">
        <v>170</v>
      </c>
      <c r="AT4" s="1" t="s">
        <v>171</v>
      </c>
      <c r="AU4" s="1" t="s">
        <v>172</v>
      </c>
      <c r="AV4" s="1" t="s">
        <v>173</v>
      </c>
      <c r="AW4" s="1" t="s">
        <v>174</v>
      </c>
      <c r="AX4" s="1" t="s">
        <v>175</v>
      </c>
      <c r="AY4" s="1" t="s">
        <v>176</v>
      </c>
      <c r="AZ4" s="1" t="s">
        <v>177</v>
      </c>
      <c r="BA4" s="10"/>
      <c r="BB4" s="1" t="s">
        <v>204</v>
      </c>
      <c r="BC4" s="1" t="s">
        <v>205</v>
      </c>
      <c r="BD4" s="1" t="s">
        <v>206</v>
      </c>
      <c r="BE4" s="1" t="s">
        <v>207</v>
      </c>
      <c r="BF4" s="1" t="s">
        <v>208</v>
      </c>
      <c r="BG4" s="1" t="s">
        <v>209</v>
      </c>
      <c r="BH4" s="10"/>
      <c r="BK4" s="10"/>
    </row>
    <row r="5" spans="1:63" x14ac:dyDescent="0.5">
      <c r="A5" s="1" t="s">
        <v>151</v>
      </c>
      <c r="C5" s="1" t="s">
        <v>210</v>
      </c>
      <c r="D5" s="1" t="s">
        <v>211</v>
      </c>
      <c r="E5" s="1" t="s">
        <v>212</v>
      </c>
      <c r="G5" s="1" t="s">
        <v>158</v>
      </c>
      <c r="H5" s="1" t="s">
        <v>158</v>
      </c>
      <c r="I5" s="1" t="s">
        <v>158</v>
      </c>
      <c r="L5" s="1" t="s">
        <v>213</v>
      </c>
      <c r="M5" s="1" t="s">
        <v>214</v>
      </c>
      <c r="N5" s="1" t="s">
        <v>215</v>
      </c>
      <c r="O5" s="1" t="s">
        <v>216</v>
      </c>
      <c r="P5" s="1" t="s">
        <v>108</v>
      </c>
      <c r="Q5" s="1" t="s">
        <v>217</v>
      </c>
      <c r="S5" s="1" t="s">
        <v>213</v>
      </c>
      <c r="T5" s="1" t="s">
        <v>214</v>
      </c>
      <c r="U5" s="1" t="s">
        <v>215</v>
      </c>
      <c r="V5" s="1" t="s">
        <v>216</v>
      </c>
      <c r="W5" s="1" t="s">
        <v>108</v>
      </c>
      <c r="X5" s="1" t="s">
        <v>217</v>
      </c>
      <c r="Y5" s="1" t="s">
        <v>188</v>
      </c>
      <c r="Z5" s="1" t="s">
        <v>218</v>
      </c>
      <c r="AA5" s="1" t="s">
        <v>133</v>
      </c>
      <c r="AB5" s="1" t="s">
        <v>219</v>
      </c>
      <c r="AC5" s="1" t="s">
        <v>114</v>
      </c>
      <c r="AD5" s="1" t="s">
        <v>220</v>
      </c>
      <c r="AE5" s="1" t="s">
        <v>194</v>
      </c>
      <c r="AF5" s="1" t="s">
        <v>221</v>
      </c>
      <c r="AG5" s="1" t="s">
        <v>222</v>
      </c>
      <c r="AL5" s="2" t="s">
        <v>223</v>
      </c>
      <c r="AM5" s="2" t="s">
        <v>224</v>
      </c>
      <c r="AN5" s="2" t="s">
        <v>225</v>
      </c>
      <c r="AO5" s="2" t="s">
        <v>226</v>
      </c>
      <c r="AP5" s="2" t="s">
        <v>188</v>
      </c>
      <c r="AQ5" s="2" t="s">
        <v>118</v>
      </c>
      <c r="AR5" s="1" t="s">
        <v>190</v>
      </c>
      <c r="AS5" s="1" t="s">
        <v>191</v>
      </c>
      <c r="AT5" s="1" t="s">
        <v>192</v>
      </c>
      <c r="AU5" s="1" t="s">
        <v>193</v>
      </c>
      <c r="AV5" s="1" t="s">
        <v>128</v>
      </c>
      <c r="AW5" s="1" t="s">
        <v>194</v>
      </c>
      <c r="AX5" s="1" t="s">
        <v>195</v>
      </c>
      <c r="AY5" s="1" t="s">
        <v>196</v>
      </c>
      <c r="AZ5" s="1" t="s">
        <v>197</v>
      </c>
      <c r="BA5" s="2"/>
      <c r="BB5" s="13" t="s">
        <v>223</v>
      </c>
      <c r="BC5" s="15" t="s">
        <v>112</v>
      </c>
      <c r="BD5" s="13" t="s">
        <v>226</v>
      </c>
      <c r="BE5" s="13" t="s">
        <v>225</v>
      </c>
      <c r="BF5" s="15" t="s">
        <v>227</v>
      </c>
      <c r="BG5" s="15" t="s">
        <v>227</v>
      </c>
      <c r="BH5" s="2"/>
      <c r="BK5" s="2"/>
    </row>
    <row r="6" spans="1:63" x14ac:dyDescent="0.5">
      <c r="A6" s="1" t="s">
        <v>152</v>
      </c>
      <c r="C6" s="1" t="s">
        <v>228</v>
      </c>
      <c r="D6" s="1" t="s">
        <v>229</v>
      </c>
      <c r="E6" s="1" t="s">
        <v>230</v>
      </c>
      <c r="G6" s="1" t="s">
        <v>159</v>
      </c>
      <c r="H6" s="1" t="s">
        <v>159</v>
      </c>
      <c r="I6" s="1" t="s">
        <v>159</v>
      </c>
      <c r="L6" s="1" t="s">
        <v>231</v>
      </c>
      <c r="M6" s="1" t="s">
        <v>232</v>
      </c>
      <c r="N6" s="1" t="s">
        <v>233</v>
      </c>
      <c r="O6" s="1" t="s">
        <v>234</v>
      </c>
      <c r="P6" s="1" t="s">
        <v>235</v>
      </c>
      <c r="Q6" s="1" t="s">
        <v>236</v>
      </c>
      <c r="S6" s="1" t="s">
        <v>231</v>
      </c>
      <c r="T6" s="1" t="s">
        <v>232</v>
      </c>
      <c r="U6" s="1" t="s">
        <v>233</v>
      </c>
      <c r="V6" s="1" t="s">
        <v>234</v>
      </c>
      <c r="W6" s="1" t="s">
        <v>235</v>
      </c>
      <c r="X6" s="1" t="s">
        <v>236</v>
      </c>
      <c r="Y6" s="1" t="s">
        <v>237</v>
      </c>
      <c r="Z6" s="1" t="s">
        <v>238</v>
      </c>
      <c r="AA6" s="1" t="s">
        <v>239</v>
      </c>
      <c r="AB6" s="1" t="s">
        <v>240</v>
      </c>
      <c r="AC6" s="1" t="s">
        <v>119</v>
      </c>
      <c r="AD6" s="1" t="s">
        <v>241</v>
      </c>
      <c r="AE6" s="1" t="s">
        <v>227</v>
      </c>
      <c r="AF6" s="1" t="s">
        <v>242</v>
      </c>
      <c r="AG6" s="1" t="s">
        <v>114</v>
      </c>
      <c r="AL6" s="2" t="s">
        <v>231</v>
      </c>
      <c r="AM6" s="2" t="s">
        <v>243</v>
      </c>
      <c r="AN6" s="2" t="s">
        <v>226</v>
      </c>
      <c r="AO6" s="2" t="s">
        <v>187</v>
      </c>
      <c r="AP6" s="2" t="s">
        <v>244</v>
      </c>
      <c r="AQ6" s="2" t="s">
        <v>245</v>
      </c>
      <c r="AR6" s="1" t="s">
        <v>188</v>
      </c>
      <c r="AS6" s="1" t="s">
        <v>218</v>
      </c>
      <c r="AT6" s="1" t="s">
        <v>133</v>
      </c>
      <c r="AU6" s="1" t="s">
        <v>219</v>
      </c>
      <c r="AV6" s="1" t="s">
        <v>114</v>
      </c>
      <c r="AW6" s="1" t="s">
        <v>220</v>
      </c>
      <c r="AX6" s="1" t="s">
        <v>194</v>
      </c>
      <c r="AY6" s="1" t="s">
        <v>221</v>
      </c>
      <c r="AZ6" s="1" t="s">
        <v>222</v>
      </c>
      <c r="BA6" s="2"/>
      <c r="BB6" s="14" t="s">
        <v>231</v>
      </c>
      <c r="BC6" s="16" t="s">
        <v>214</v>
      </c>
      <c r="BD6" s="15" t="s">
        <v>187</v>
      </c>
      <c r="BE6" s="14" t="s">
        <v>226</v>
      </c>
      <c r="BF6" s="16" t="s">
        <v>246</v>
      </c>
      <c r="BG6" s="15" t="s">
        <v>195</v>
      </c>
      <c r="BH6" s="2"/>
      <c r="BK6" s="2"/>
    </row>
    <row r="7" spans="1:63" x14ac:dyDescent="0.5">
      <c r="A7" s="1" t="s">
        <v>153</v>
      </c>
      <c r="D7" s="1" t="s">
        <v>247</v>
      </c>
      <c r="G7" s="1" t="s">
        <v>160</v>
      </c>
      <c r="H7" s="1" t="s">
        <v>160</v>
      </c>
      <c r="I7" s="1" t="s">
        <v>160</v>
      </c>
      <c r="L7" s="1" t="s">
        <v>248</v>
      </c>
      <c r="M7" s="1" t="s">
        <v>113</v>
      </c>
      <c r="N7" s="1" t="s">
        <v>249</v>
      </c>
      <c r="O7" s="1" t="s">
        <v>250</v>
      </c>
      <c r="P7" s="1" t="s">
        <v>235</v>
      </c>
      <c r="Q7" s="1" t="s">
        <v>251</v>
      </c>
      <c r="S7" s="1" t="s">
        <v>248</v>
      </c>
      <c r="T7" s="1" t="s">
        <v>113</v>
      </c>
      <c r="U7" s="1" t="s">
        <v>249</v>
      </c>
      <c r="V7" s="1" t="s">
        <v>250</v>
      </c>
      <c r="W7" s="1" t="s">
        <v>235</v>
      </c>
      <c r="X7" s="1" t="s">
        <v>251</v>
      </c>
      <c r="Y7" s="1" t="s">
        <v>252</v>
      </c>
      <c r="Z7" s="1" t="s">
        <v>253</v>
      </c>
      <c r="AA7" s="1" t="s">
        <v>254</v>
      </c>
      <c r="AB7" s="1" t="s">
        <v>255</v>
      </c>
      <c r="AC7" s="1" t="s">
        <v>191</v>
      </c>
      <c r="AD7" s="1" t="s">
        <v>223</v>
      </c>
      <c r="AE7" s="1" t="s">
        <v>223</v>
      </c>
      <c r="AF7" s="1" t="s">
        <v>246</v>
      </c>
      <c r="AG7" s="1" t="s">
        <v>256</v>
      </c>
      <c r="AL7" s="2" t="s">
        <v>257</v>
      </c>
      <c r="AM7" s="2" t="s">
        <v>258</v>
      </c>
      <c r="AN7" s="2" t="s">
        <v>234</v>
      </c>
      <c r="AO7" s="2" t="s">
        <v>259</v>
      </c>
      <c r="AP7" s="2" t="s">
        <v>260</v>
      </c>
      <c r="AQ7" s="2" t="s">
        <v>261</v>
      </c>
      <c r="AR7" s="1" t="s">
        <v>237</v>
      </c>
      <c r="AS7" s="1" t="s">
        <v>238</v>
      </c>
      <c r="AT7" s="1" t="s">
        <v>239</v>
      </c>
      <c r="AU7" s="1" t="s">
        <v>240</v>
      </c>
      <c r="AV7" s="1" t="s">
        <v>119</v>
      </c>
      <c r="AW7" s="1" t="s">
        <v>241</v>
      </c>
      <c r="AX7" s="1" t="s">
        <v>227</v>
      </c>
      <c r="AY7" s="1" t="s">
        <v>242</v>
      </c>
      <c r="AZ7" s="1" t="s">
        <v>114</v>
      </c>
      <c r="BA7" s="2"/>
      <c r="BB7" s="13" t="s">
        <v>257</v>
      </c>
      <c r="BC7" s="1" t="s">
        <v>224</v>
      </c>
      <c r="BD7" s="16" t="s">
        <v>216</v>
      </c>
      <c r="BE7" s="15" t="s">
        <v>109</v>
      </c>
      <c r="BF7" s="15" t="s">
        <v>195</v>
      </c>
      <c r="BG7" s="15" t="s">
        <v>262</v>
      </c>
      <c r="BH7" s="2"/>
      <c r="BK7" s="2"/>
    </row>
    <row r="8" spans="1:63" x14ac:dyDescent="0.5">
      <c r="G8" s="1" t="s">
        <v>161</v>
      </c>
      <c r="H8" s="1" t="s">
        <v>161</v>
      </c>
      <c r="I8" s="1" t="s">
        <v>161</v>
      </c>
      <c r="L8" s="1" t="s">
        <v>263</v>
      </c>
      <c r="M8" s="1" t="s">
        <v>264</v>
      </c>
      <c r="N8" s="1" t="s">
        <v>114</v>
      </c>
      <c r="O8" s="1" t="s">
        <v>243</v>
      </c>
      <c r="P8" s="1" t="s">
        <v>265</v>
      </c>
      <c r="Q8" s="1" t="s">
        <v>266</v>
      </c>
      <c r="S8" s="1" t="s">
        <v>263</v>
      </c>
      <c r="T8" s="1" t="s">
        <v>264</v>
      </c>
      <c r="U8" s="1" t="s">
        <v>114</v>
      </c>
      <c r="V8" s="1" t="s">
        <v>243</v>
      </c>
      <c r="W8" s="1" t="s">
        <v>265</v>
      </c>
      <c r="X8" s="1" t="s">
        <v>266</v>
      </c>
      <c r="Y8" s="1" t="s">
        <v>110</v>
      </c>
      <c r="Z8" s="1" t="s">
        <v>267</v>
      </c>
      <c r="AA8" s="1" t="s">
        <v>268</v>
      </c>
      <c r="AB8" s="1" t="s">
        <v>269</v>
      </c>
      <c r="AC8" s="1" t="s">
        <v>109</v>
      </c>
      <c r="AD8" s="1" t="s">
        <v>110</v>
      </c>
      <c r="AE8" s="1" t="s">
        <v>270</v>
      </c>
      <c r="AF8" s="1" t="s">
        <v>271</v>
      </c>
      <c r="AG8" s="1" t="s">
        <v>272</v>
      </c>
      <c r="AL8" s="2" t="s">
        <v>263</v>
      </c>
      <c r="AM8" s="2" t="s">
        <v>241</v>
      </c>
      <c r="AN8" s="2" t="s">
        <v>250</v>
      </c>
      <c r="AO8" s="2" t="s">
        <v>273</v>
      </c>
      <c r="AP8" s="2" t="s">
        <v>274</v>
      </c>
      <c r="AQ8" s="2" t="s">
        <v>275</v>
      </c>
      <c r="AR8" s="1" t="s">
        <v>252</v>
      </c>
      <c r="AS8" s="1" t="s">
        <v>253</v>
      </c>
      <c r="AT8" s="1" t="s">
        <v>254</v>
      </c>
      <c r="AU8" s="1" t="s">
        <v>255</v>
      </c>
      <c r="AV8" s="1" t="s">
        <v>191</v>
      </c>
      <c r="AW8" s="1" t="s">
        <v>223</v>
      </c>
      <c r="AX8" s="1" t="s">
        <v>223</v>
      </c>
      <c r="AY8" s="1" t="s">
        <v>246</v>
      </c>
      <c r="AZ8" s="1" t="s">
        <v>256</v>
      </c>
      <c r="BA8" s="2"/>
      <c r="BB8" s="14" t="s">
        <v>263</v>
      </c>
      <c r="BC8" s="15" t="s">
        <v>232</v>
      </c>
      <c r="BD8" s="15" t="s">
        <v>109</v>
      </c>
      <c r="BE8" s="13" t="s">
        <v>234</v>
      </c>
      <c r="BF8" s="16" t="s">
        <v>262</v>
      </c>
      <c r="BG8" s="15" t="s">
        <v>276</v>
      </c>
      <c r="BH8" s="2"/>
      <c r="BK8" s="2"/>
    </row>
    <row r="9" spans="1:63" x14ac:dyDescent="0.5">
      <c r="G9" s="1" t="s">
        <v>162</v>
      </c>
      <c r="H9" s="1" t="s">
        <v>162</v>
      </c>
      <c r="I9" s="1" t="s">
        <v>162</v>
      </c>
      <c r="L9" s="1" t="s">
        <v>117</v>
      </c>
      <c r="M9" s="1" t="s">
        <v>277</v>
      </c>
      <c r="N9" s="1" t="s">
        <v>278</v>
      </c>
      <c r="O9" s="1" t="s">
        <v>279</v>
      </c>
      <c r="P9" s="1" t="s">
        <v>280</v>
      </c>
      <c r="Q9" s="1" t="s">
        <v>110</v>
      </c>
      <c r="S9" s="1" t="s">
        <v>117</v>
      </c>
      <c r="T9" s="1" t="s">
        <v>277</v>
      </c>
      <c r="U9" s="1" t="s">
        <v>278</v>
      </c>
      <c r="V9" s="1" t="s">
        <v>279</v>
      </c>
      <c r="W9" s="1" t="s">
        <v>280</v>
      </c>
      <c r="X9" s="1" t="s">
        <v>110</v>
      </c>
      <c r="Y9" s="1" t="s">
        <v>251</v>
      </c>
      <c r="Z9" s="1" t="s">
        <v>281</v>
      </c>
      <c r="AA9" s="1" t="s">
        <v>282</v>
      </c>
      <c r="AB9" s="1" t="s">
        <v>283</v>
      </c>
      <c r="AC9" s="1" t="s">
        <v>284</v>
      </c>
      <c r="AD9" s="1" t="s">
        <v>128</v>
      </c>
      <c r="AE9" s="1" t="s">
        <v>285</v>
      </c>
      <c r="AF9" s="1" t="s">
        <v>286</v>
      </c>
      <c r="AG9" s="1" t="s">
        <v>262</v>
      </c>
      <c r="AL9" s="2" t="s">
        <v>117</v>
      </c>
      <c r="AM9" s="2" t="s">
        <v>287</v>
      </c>
      <c r="AN9" s="2" t="s">
        <v>288</v>
      </c>
      <c r="AO9" s="2" t="s">
        <v>250</v>
      </c>
      <c r="AP9" s="2" t="s">
        <v>289</v>
      </c>
      <c r="AQ9" s="2" t="s">
        <v>290</v>
      </c>
      <c r="AR9" s="1" t="s">
        <v>110</v>
      </c>
      <c r="AS9" s="1" t="s">
        <v>267</v>
      </c>
      <c r="AT9" s="1" t="s">
        <v>268</v>
      </c>
      <c r="AU9" s="1" t="s">
        <v>269</v>
      </c>
      <c r="AV9" s="1" t="s">
        <v>109</v>
      </c>
      <c r="AW9" s="1" t="s">
        <v>110</v>
      </c>
      <c r="AX9" s="1" t="s">
        <v>270</v>
      </c>
      <c r="AY9" s="1" t="s">
        <v>271</v>
      </c>
      <c r="AZ9" s="1" t="s">
        <v>272</v>
      </c>
      <c r="BA9" s="2"/>
      <c r="BB9" s="13" t="s">
        <v>117</v>
      </c>
      <c r="BC9" s="14" t="s">
        <v>243</v>
      </c>
      <c r="BD9" s="15" t="s">
        <v>259</v>
      </c>
      <c r="BE9" s="16" t="s">
        <v>215</v>
      </c>
      <c r="BF9" s="16" t="s">
        <v>223</v>
      </c>
      <c r="BG9" s="16" t="s">
        <v>291</v>
      </c>
      <c r="BH9" s="2"/>
      <c r="BK9" s="2"/>
    </row>
    <row r="10" spans="1:63" x14ac:dyDescent="0.5">
      <c r="L10" s="1" t="s">
        <v>292</v>
      </c>
      <c r="M10" s="1" t="s">
        <v>293</v>
      </c>
      <c r="N10" s="1" t="s">
        <v>241</v>
      </c>
      <c r="O10" s="1" t="s">
        <v>258</v>
      </c>
      <c r="P10" s="1" t="s">
        <v>234</v>
      </c>
      <c r="Q10" s="1" t="s">
        <v>111</v>
      </c>
      <c r="S10" s="1" t="s">
        <v>292</v>
      </c>
      <c r="T10" s="1" t="s">
        <v>293</v>
      </c>
      <c r="U10" s="1" t="s">
        <v>241</v>
      </c>
      <c r="V10" s="1" t="s">
        <v>258</v>
      </c>
      <c r="W10" s="1" t="s">
        <v>234</v>
      </c>
      <c r="X10" s="1" t="s">
        <v>111</v>
      </c>
      <c r="Y10" s="1" t="s">
        <v>216</v>
      </c>
      <c r="Z10" s="1" t="s">
        <v>128</v>
      </c>
      <c r="AA10" s="1" t="s">
        <v>294</v>
      </c>
      <c r="AB10" s="1" t="s">
        <v>295</v>
      </c>
      <c r="AC10" s="1" t="s">
        <v>296</v>
      </c>
      <c r="AD10" s="1" t="s">
        <v>113</v>
      </c>
      <c r="AE10" s="1" t="s">
        <v>297</v>
      </c>
      <c r="AF10" s="1" t="s">
        <v>298</v>
      </c>
      <c r="AG10" s="1" t="s">
        <v>299</v>
      </c>
      <c r="AL10" s="2" t="s">
        <v>292</v>
      </c>
      <c r="AM10" s="2" t="s">
        <v>300</v>
      </c>
      <c r="AN10" s="2" t="s">
        <v>301</v>
      </c>
      <c r="AO10" s="2" t="s">
        <v>302</v>
      </c>
      <c r="AP10" s="2" t="s">
        <v>233</v>
      </c>
      <c r="AQ10" s="2" t="s">
        <v>131</v>
      </c>
      <c r="AR10" s="1" t="s">
        <v>251</v>
      </c>
      <c r="AS10" s="1" t="s">
        <v>281</v>
      </c>
      <c r="AT10" s="1" t="s">
        <v>282</v>
      </c>
      <c r="AU10" s="1" t="s">
        <v>283</v>
      </c>
      <c r="AV10" s="1" t="s">
        <v>284</v>
      </c>
      <c r="AW10" s="1" t="s">
        <v>128</v>
      </c>
      <c r="AX10" s="1" t="s">
        <v>285</v>
      </c>
      <c r="AY10" s="1" t="s">
        <v>286</v>
      </c>
      <c r="AZ10" s="1" t="s">
        <v>262</v>
      </c>
      <c r="BA10" s="2"/>
      <c r="BB10" s="14" t="s">
        <v>292</v>
      </c>
      <c r="BC10" s="16" t="s">
        <v>113</v>
      </c>
      <c r="BD10" s="16" t="s">
        <v>273</v>
      </c>
      <c r="BE10" s="14" t="s">
        <v>250</v>
      </c>
      <c r="BF10" s="16" t="s">
        <v>276</v>
      </c>
      <c r="BG10" s="15" t="s">
        <v>303</v>
      </c>
      <c r="BH10" s="2"/>
      <c r="BK10" s="2"/>
    </row>
    <row r="11" spans="1:63" x14ac:dyDescent="0.5">
      <c r="G11" s="1" t="s">
        <v>304</v>
      </c>
      <c r="H11" s="1" t="s">
        <v>211</v>
      </c>
      <c r="I11" s="1" t="s">
        <v>305</v>
      </c>
      <c r="J11" s="1" t="s">
        <v>247</v>
      </c>
      <c r="L11" s="1" t="s">
        <v>241</v>
      </c>
      <c r="M11" s="1" t="s">
        <v>306</v>
      </c>
      <c r="N11" s="1" t="s">
        <v>307</v>
      </c>
      <c r="O11" s="1" t="s">
        <v>277</v>
      </c>
      <c r="P11" s="1" t="s">
        <v>249</v>
      </c>
      <c r="Q11" s="1" t="s">
        <v>308</v>
      </c>
      <c r="S11" s="1" t="s">
        <v>241</v>
      </c>
      <c r="T11" s="1" t="s">
        <v>306</v>
      </c>
      <c r="U11" s="1" t="s">
        <v>307</v>
      </c>
      <c r="V11" s="1" t="s">
        <v>277</v>
      </c>
      <c r="W11" s="1" t="s">
        <v>249</v>
      </c>
      <c r="X11" s="1" t="s">
        <v>308</v>
      </c>
      <c r="Y11" s="1" t="s">
        <v>109</v>
      </c>
      <c r="Z11" s="1" t="s">
        <v>196</v>
      </c>
      <c r="AA11" s="1" t="s">
        <v>309</v>
      </c>
      <c r="AB11" s="1" t="s">
        <v>128</v>
      </c>
      <c r="AC11" s="1" t="s">
        <v>310</v>
      </c>
      <c r="AD11" s="1" t="s">
        <v>311</v>
      </c>
      <c r="AE11" s="1" t="s">
        <v>276</v>
      </c>
      <c r="AF11" s="1" t="s">
        <v>312</v>
      </c>
      <c r="AG11" s="1" t="s">
        <v>313</v>
      </c>
      <c r="AL11" s="2" t="s">
        <v>314</v>
      </c>
      <c r="AM11" s="2" t="s">
        <v>315</v>
      </c>
      <c r="AN11" s="2" t="s">
        <v>241</v>
      </c>
      <c r="AO11" s="2" t="s">
        <v>243</v>
      </c>
      <c r="AP11" s="2" t="s">
        <v>243</v>
      </c>
      <c r="AQ11" s="2" t="s">
        <v>316</v>
      </c>
      <c r="AR11" s="1" t="s">
        <v>216</v>
      </c>
      <c r="AS11" s="1" t="s">
        <v>128</v>
      </c>
      <c r="AT11" s="1" t="s">
        <v>294</v>
      </c>
      <c r="AU11" s="1" t="s">
        <v>295</v>
      </c>
      <c r="AV11" s="1" t="s">
        <v>296</v>
      </c>
      <c r="AW11" s="1" t="s">
        <v>113</v>
      </c>
      <c r="AX11" s="1" t="s">
        <v>297</v>
      </c>
      <c r="AY11" s="1" t="s">
        <v>298</v>
      </c>
      <c r="AZ11" s="1" t="s">
        <v>299</v>
      </c>
      <c r="BA11" s="2"/>
      <c r="BB11" s="13" t="s">
        <v>314</v>
      </c>
      <c r="BC11" s="13" t="s">
        <v>258</v>
      </c>
      <c r="BD11" s="15" t="s">
        <v>234</v>
      </c>
      <c r="BE11" s="15" t="s">
        <v>233</v>
      </c>
      <c r="BF11" s="16" t="s">
        <v>291</v>
      </c>
      <c r="BG11" s="15" t="s">
        <v>286</v>
      </c>
      <c r="BH11" s="2"/>
      <c r="BK11" s="2"/>
    </row>
    <row r="12" spans="1:63" x14ac:dyDescent="0.5">
      <c r="G12" s="1" t="s">
        <v>317</v>
      </c>
      <c r="H12" s="1" t="s">
        <v>317</v>
      </c>
      <c r="I12" s="1" t="s">
        <v>317</v>
      </c>
      <c r="J12" s="1" t="s">
        <v>317</v>
      </c>
      <c r="L12" s="1" t="s">
        <v>318</v>
      </c>
      <c r="M12" s="1" t="s">
        <v>318</v>
      </c>
      <c r="N12" s="1" t="s">
        <v>267</v>
      </c>
      <c r="O12" s="1" t="s">
        <v>319</v>
      </c>
      <c r="P12" s="1" t="s">
        <v>320</v>
      </c>
      <c r="Q12" s="1" t="s">
        <v>234</v>
      </c>
      <c r="S12" s="1" t="s">
        <v>318</v>
      </c>
      <c r="T12" s="1" t="s">
        <v>318</v>
      </c>
      <c r="U12" s="1" t="s">
        <v>267</v>
      </c>
      <c r="V12" s="1" t="s">
        <v>319</v>
      </c>
      <c r="W12" s="1" t="s">
        <v>320</v>
      </c>
      <c r="X12" s="1" t="s">
        <v>234</v>
      </c>
      <c r="Y12" s="1" t="s">
        <v>235</v>
      </c>
      <c r="Z12" s="1" t="s">
        <v>321</v>
      </c>
      <c r="AA12" s="1" t="s">
        <v>322</v>
      </c>
      <c r="AB12" s="1" t="s">
        <v>323</v>
      </c>
      <c r="AC12" s="1" t="s">
        <v>324</v>
      </c>
      <c r="AD12" s="1" t="s">
        <v>287</v>
      </c>
      <c r="AE12" s="1" t="s">
        <v>325</v>
      </c>
      <c r="AF12" s="1" t="s">
        <v>326</v>
      </c>
      <c r="AG12" s="1" t="s">
        <v>327</v>
      </c>
      <c r="AL12" s="2" t="s">
        <v>328</v>
      </c>
      <c r="AM12" s="2" t="s">
        <v>329</v>
      </c>
      <c r="AN12" s="2" t="s">
        <v>118</v>
      </c>
      <c r="AO12" s="2" t="s">
        <v>330</v>
      </c>
      <c r="AP12" s="2" t="s">
        <v>331</v>
      </c>
      <c r="AQ12" s="2" t="s">
        <v>332</v>
      </c>
      <c r="AR12" s="1" t="s">
        <v>109</v>
      </c>
      <c r="AS12" s="1" t="s">
        <v>196</v>
      </c>
      <c r="AT12" s="1" t="s">
        <v>309</v>
      </c>
      <c r="AU12" s="1" t="s">
        <v>128</v>
      </c>
      <c r="AV12" s="1" t="s">
        <v>310</v>
      </c>
      <c r="AW12" s="1" t="s">
        <v>311</v>
      </c>
      <c r="AX12" s="1" t="s">
        <v>276</v>
      </c>
      <c r="AY12" s="1" t="s">
        <v>312</v>
      </c>
      <c r="AZ12" s="1" t="s">
        <v>313</v>
      </c>
      <c r="BA12" s="2"/>
      <c r="BB12" s="14" t="s">
        <v>328</v>
      </c>
      <c r="BC12" s="15" t="s">
        <v>264</v>
      </c>
      <c r="BD12" s="16" t="s">
        <v>224</v>
      </c>
      <c r="BE12" s="16" t="s">
        <v>249</v>
      </c>
      <c r="BF12" s="15" t="s">
        <v>303</v>
      </c>
      <c r="BG12" s="16" t="s">
        <v>285</v>
      </c>
      <c r="BH12" s="2"/>
      <c r="BK12" s="2"/>
    </row>
    <row r="13" spans="1:63" x14ac:dyDescent="0.5">
      <c r="G13" s="1" t="s">
        <v>333</v>
      </c>
      <c r="H13" s="1" t="s">
        <v>333</v>
      </c>
      <c r="I13" s="1" t="s">
        <v>333</v>
      </c>
      <c r="J13" s="1" t="s">
        <v>334</v>
      </c>
      <c r="L13" s="1" t="s">
        <v>328</v>
      </c>
      <c r="M13" s="1" t="s">
        <v>335</v>
      </c>
      <c r="N13" s="1" t="s">
        <v>336</v>
      </c>
      <c r="O13" s="1" t="s">
        <v>306</v>
      </c>
      <c r="P13" s="1" t="s">
        <v>337</v>
      </c>
      <c r="Q13" s="1" t="s">
        <v>338</v>
      </c>
      <c r="S13" s="1" t="s">
        <v>328</v>
      </c>
      <c r="T13" s="1" t="s">
        <v>335</v>
      </c>
      <c r="U13" s="1" t="s">
        <v>336</v>
      </c>
      <c r="V13" s="1" t="s">
        <v>306</v>
      </c>
      <c r="W13" s="1" t="s">
        <v>337</v>
      </c>
      <c r="X13" s="1" t="s">
        <v>338</v>
      </c>
      <c r="Y13" s="1" t="s">
        <v>339</v>
      </c>
      <c r="Z13" s="1" t="s">
        <v>340</v>
      </c>
      <c r="AA13" s="1" t="s">
        <v>122</v>
      </c>
      <c r="AB13" s="1" t="s">
        <v>341</v>
      </c>
      <c r="AC13" s="1" t="s">
        <v>227</v>
      </c>
      <c r="AD13" s="1" t="s">
        <v>342</v>
      </c>
      <c r="AE13" s="1" t="s">
        <v>343</v>
      </c>
      <c r="AF13" s="1" t="s">
        <v>117</v>
      </c>
      <c r="AG13" s="1" t="s">
        <v>342</v>
      </c>
      <c r="AL13" s="2" t="s">
        <v>344</v>
      </c>
      <c r="AM13" s="2" t="s">
        <v>345</v>
      </c>
      <c r="AN13" s="2" t="s">
        <v>238</v>
      </c>
      <c r="AO13" s="2" t="s">
        <v>346</v>
      </c>
      <c r="AP13" s="2" t="s">
        <v>249</v>
      </c>
      <c r="AQ13" s="2" t="s">
        <v>298</v>
      </c>
      <c r="AR13" s="1" t="s">
        <v>235</v>
      </c>
      <c r="AS13" s="1" t="s">
        <v>321</v>
      </c>
      <c r="AT13" s="1" t="s">
        <v>322</v>
      </c>
      <c r="AU13" s="1" t="s">
        <v>323</v>
      </c>
      <c r="AV13" s="1" t="s">
        <v>324</v>
      </c>
      <c r="AW13" s="1" t="s">
        <v>287</v>
      </c>
      <c r="AX13" s="1" t="s">
        <v>325</v>
      </c>
      <c r="AY13" s="1" t="s">
        <v>326</v>
      </c>
      <c r="AZ13" s="1" t="s">
        <v>327</v>
      </c>
      <c r="BA13" s="2"/>
      <c r="BB13" s="13" t="s">
        <v>344</v>
      </c>
      <c r="BC13" s="16" t="s">
        <v>277</v>
      </c>
      <c r="BD13" s="16" t="s">
        <v>250</v>
      </c>
      <c r="BE13" s="15" t="s">
        <v>114</v>
      </c>
      <c r="BF13" s="16" t="s">
        <v>286</v>
      </c>
      <c r="BG13" s="15" t="s">
        <v>194</v>
      </c>
      <c r="BH13" s="2"/>
      <c r="BK13" s="2"/>
    </row>
    <row r="14" spans="1:63" x14ac:dyDescent="0.5">
      <c r="G14" s="1" t="s">
        <v>347</v>
      </c>
      <c r="H14" s="1" t="s">
        <v>347</v>
      </c>
      <c r="I14" s="1" t="s">
        <v>347</v>
      </c>
      <c r="J14" s="1" t="s">
        <v>347</v>
      </c>
      <c r="L14" s="1" t="s">
        <v>348</v>
      </c>
      <c r="M14" s="1" t="s">
        <v>267</v>
      </c>
      <c r="N14" s="1" t="s">
        <v>120</v>
      </c>
      <c r="O14" s="1" t="s">
        <v>349</v>
      </c>
      <c r="P14" s="1" t="s">
        <v>288</v>
      </c>
      <c r="Q14" s="1" t="s">
        <v>350</v>
      </c>
      <c r="S14" s="1" t="s">
        <v>348</v>
      </c>
      <c r="T14" s="1" t="s">
        <v>267</v>
      </c>
      <c r="U14" s="1" t="s">
        <v>120</v>
      </c>
      <c r="V14" s="1" t="s">
        <v>349</v>
      </c>
      <c r="W14" s="1" t="s">
        <v>288</v>
      </c>
      <c r="X14" s="1" t="s">
        <v>350</v>
      </c>
      <c r="Y14" s="1" t="s">
        <v>351</v>
      </c>
      <c r="Z14" s="1" t="s">
        <v>348</v>
      </c>
      <c r="AA14" s="1" t="s">
        <v>352</v>
      </c>
      <c r="AB14" s="1" t="s">
        <v>353</v>
      </c>
      <c r="AC14" s="1" t="s">
        <v>354</v>
      </c>
      <c r="AD14" s="1" t="s">
        <v>355</v>
      </c>
      <c r="AE14" s="1" t="s">
        <v>356</v>
      </c>
      <c r="AF14" s="1" t="s">
        <v>307</v>
      </c>
      <c r="AG14" s="1" t="s">
        <v>355</v>
      </c>
      <c r="AL14" s="2" t="s">
        <v>357</v>
      </c>
      <c r="AM14" s="2" t="s">
        <v>358</v>
      </c>
      <c r="AN14" s="2" t="s">
        <v>328</v>
      </c>
      <c r="AO14" s="2" t="s">
        <v>359</v>
      </c>
      <c r="AP14" s="2" t="s">
        <v>278</v>
      </c>
      <c r="AQ14" s="2" t="s">
        <v>360</v>
      </c>
      <c r="AR14" s="1" t="s">
        <v>339</v>
      </c>
      <c r="AS14" s="1" t="s">
        <v>340</v>
      </c>
      <c r="AT14" s="1" t="s">
        <v>122</v>
      </c>
      <c r="AU14" s="1" t="s">
        <v>341</v>
      </c>
      <c r="AV14" s="1" t="s">
        <v>227</v>
      </c>
      <c r="AW14" s="1" t="s">
        <v>342</v>
      </c>
      <c r="AX14" s="1" t="s">
        <v>343</v>
      </c>
      <c r="AY14" s="1" t="s">
        <v>117</v>
      </c>
      <c r="AZ14" s="1" t="s">
        <v>342</v>
      </c>
      <c r="BA14" s="2"/>
      <c r="BB14" s="14" t="s">
        <v>357</v>
      </c>
      <c r="BC14" s="15" t="s">
        <v>293</v>
      </c>
      <c r="BD14" s="14" t="s">
        <v>302</v>
      </c>
      <c r="BE14" s="13" t="s">
        <v>288</v>
      </c>
      <c r="BF14" s="16" t="s">
        <v>260</v>
      </c>
      <c r="BG14" s="15" t="s">
        <v>361</v>
      </c>
      <c r="BH14" s="2"/>
      <c r="BK14" s="2"/>
    </row>
    <row r="15" spans="1:63" x14ac:dyDescent="0.5">
      <c r="G15" s="1" t="s">
        <v>362</v>
      </c>
      <c r="H15" s="1" t="s">
        <v>362</v>
      </c>
      <c r="I15" s="1" t="s">
        <v>362</v>
      </c>
      <c r="J15" s="1" t="s">
        <v>362</v>
      </c>
      <c r="L15" s="1" t="s">
        <v>344</v>
      </c>
      <c r="M15" s="1" t="s">
        <v>287</v>
      </c>
      <c r="N15" s="1" t="s">
        <v>238</v>
      </c>
      <c r="O15" s="1" t="s">
        <v>118</v>
      </c>
      <c r="P15" s="1" t="s">
        <v>278</v>
      </c>
      <c r="Q15" s="1" t="s">
        <v>224</v>
      </c>
      <c r="S15" s="1" t="s">
        <v>344</v>
      </c>
      <c r="T15" s="1" t="s">
        <v>287</v>
      </c>
      <c r="U15" s="1" t="s">
        <v>238</v>
      </c>
      <c r="V15" s="1" t="s">
        <v>118</v>
      </c>
      <c r="W15" s="1" t="s">
        <v>278</v>
      </c>
      <c r="X15" s="1" t="s">
        <v>224</v>
      </c>
      <c r="Y15" s="1" t="s">
        <v>192</v>
      </c>
      <c r="Z15" s="1" t="s">
        <v>114</v>
      </c>
      <c r="AA15" s="1" t="s">
        <v>363</v>
      </c>
      <c r="AB15" s="1" t="s">
        <v>114</v>
      </c>
      <c r="AC15" s="1" t="s">
        <v>123</v>
      </c>
      <c r="AD15" s="1" t="s">
        <v>364</v>
      </c>
      <c r="AE15" s="1" t="s">
        <v>291</v>
      </c>
      <c r="AF15" s="1" t="s">
        <v>279</v>
      </c>
      <c r="AG15" s="1" t="s">
        <v>336</v>
      </c>
      <c r="AL15" s="2" t="s">
        <v>365</v>
      </c>
      <c r="AM15" s="2" t="s">
        <v>366</v>
      </c>
      <c r="AN15" s="2" t="s">
        <v>324</v>
      </c>
      <c r="AO15" s="2" t="s">
        <v>367</v>
      </c>
      <c r="AP15" s="2" t="s">
        <v>368</v>
      </c>
      <c r="AQ15" s="2" t="s">
        <v>369</v>
      </c>
      <c r="AR15" s="1" t="s">
        <v>351</v>
      </c>
      <c r="AS15" s="1" t="s">
        <v>348</v>
      </c>
      <c r="AT15" s="1" t="s">
        <v>352</v>
      </c>
      <c r="AU15" s="1" t="s">
        <v>353</v>
      </c>
      <c r="AV15" s="1" t="s">
        <v>354</v>
      </c>
      <c r="AW15" s="1" t="s">
        <v>355</v>
      </c>
      <c r="AX15" s="1" t="s">
        <v>356</v>
      </c>
      <c r="AY15" s="1" t="s">
        <v>307</v>
      </c>
      <c r="AZ15" s="1" t="s">
        <v>355</v>
      </c>
      <c r="BA15" s="2"/>
      <c r="BB15" s="13" t="s">
        <v>365</v>
      </c>
      <c r="BC15" s="16" t="s">
        <v>306</v>
      </c>
      <c r="BD15" s="15" t="s">
        <v>233</v>
      </c>
      <c r="BE15" s="16" t="s">
        <v>278</v>
      </c>
      <c r="BF15" s="16" t="s">
        <v>285</v>
      </c>
      <c r="BG15" s="15" t="s">
        <v>356</v>
      </c>
      <c r="BH15" s="2"/>
      <c r="BK15" s="2"/>
    </row>
    <row r="16" spans="1:63" x14ac:dyDescent="0.5">
      <c r="G16" s="1" t="s">
        <v>370</v>
      </c>
      <c r="H16" s="1" t="s">
        <v>370</v>
      </c>
      <c r="I16" s="1" t="s">
        <v>370</v>
      </c>
      <c r="J16" s="1" t="s">
        <v>370</v>
      </c>
      <c r="L16" s="1" t="s">
        <v>122</v>
      </c>
      <c r="M16" s="1" t="s">
        <v>120</v>
      </c>
      <c r="N16" s="1" t="s">
        <v>371</v>
      </c>
      <c r="O16" s="1" t="s">
        <v>372</v>
      </c>
      <c r="P16" s="1" t="s">
        <v>373</v>
      </c>
      <c r="Q16" s="1" t="s">
        <v>320</v>
      </c>
      <c r="S16" s="1" t="s">
        <v>122</v>
      </c>
      <c r="T16" s="1" t="s">
        <v>120</v>
      </c>
      <c r="U16" s="1" t="s">
        <v>371</v>
      </c>
      <c r="V16" s="1" t="s">
        <v>372</v>
      </c>
      <c r="W16" s="1" t="s">
        <v>373</v>
      </c>
      <c r="X16" s="1" t="s">
        <v>320</v>
      </c>
      <c r="Y16" s="1" t="s">
        <v>374</v>
      </c>
      <c r="Z16" s="1" t="s">
        <v>119</v>
      </c>
      <c r="AA16" s="1" t="s">
        <v>375</v>
      </c>
      <c r="AB16" s="1" t="s">
        <v>191</v>
      </c>
      <c r="AC16" s="1" t="s">
        <v>141</v>
      </c>
      <c r="AD16" s="1" t="s">
        <v>376</v>
      </c>
      <c r="AE16" s="1" t="s">
        <v>303</v>
      </c>
      <c r="AF16" s="1" t="s">
        <v>377</v>
      </c>
      <c r="AG16" s="1" t="s">
        <v>367</v>
      </c>
      <c r="AL16" s="2" t="s">
        <v>282</v>
      </c>
      <c r="AM16" s="2" t="s">
        <v>378</v>
      </c>
      <c r="AN16" s="2" t="s">
        <v>348</v>
      </c>
      <c r="AO16" s="2" t="s">
        <v>379</v>
      </c>
      <c r="AP16" s="2" t="s">
        <v>373</v>
      </c>
      <c r="AQ16" s="2" t="s">
        <v>380</v>
      </c>
      <c r="AR16" s="1" t="s">
        <v>192</v>
      </c>
      <c r="AS16" s="1" t="s">
        <v>114</v>
      </c>
      <c r="AT16" s="1" t="s">
        <v>363</v>
      </c>
      <c r="AU16" s="1" t="s">
        <v>114</v>
      </c>
      <c r="AV16" s="1" t="s">
        <v>123</v>
      </c>
      <c r="AW16" s="1" t="s">
        <v>364</v>
      </c>
      <c r="AX16" s="1" t="s">
        <v>291</v>
      </c>
      <c r="AY16" s="1" t="s">
        <v>279</v>
      </c>
      <c r="AZ16" s="1" t="s">
        <v>336</v>
      </c>
      <c r="BA16" s="2"/>
      <c r="BB16" s="14" t="s">
        <v>282</v>
      </c>
      <c r="BC16" s="14" t="s">
        <v>241</v>
      </c>
      <c r="BD16" s="15" t="s">
        <v>243</v>
      </c>
      <c r="BE16" s="13" t="s">
        <v>241</v>
      </c>
      <c r="BF16" s="16" t="s">
        <v>194</v>
      </c>
      <c r="BG16" s="15" t="s">
        <v>381</v>
      </c>
      <c r="BH16" s="2"/>
      <c r="BK16" s="2"/>
    </row>
    <row r="17" spans="7:63" x14ac:dyDescent="0.5">
      <c r="G17" s="1" t="s">
        <v>382</v>
      </c>
      <c r="H17" s="1" t="s">
        <v>382</v>
      </c>
      <c r="I17" s="1" t="s">
        <v>382</v>
      </c>
      <c r="J17" s="1" t="s">
        <v>382</v>
      </c>
      <c r="L17" s="1" t="s">
        <v>383</v>
      </c>
      <c r="M17" s="1" t="s">
        <v>122</v>
      </c>
      <c r="N17" s="1" t="s">
        <v>328</v>
      </c>
      <c r="O17" s="1" t="s">
        <v>384</v>
      </c>
      <c r="P17" s="1" t="s">
        <v>385</v>
      </c>
      <c r="Q17" s="1" t="s">
        <v>337</v>
      </c>
      <c r="S17" s="1" t="s">
        <v>383</v>
      </c>
      <c r="T17" s="1" t="s">
        <v>122</v>
      </c>
      <c r="U17" s="1" t="s">
        <v>328</v>
      </c>
      <c r="V17" s="1" t="s">
        <v>384</v>
      </c>
      <c r="W17" s="1" t="s">
        <v>385</v>
      </c>
      <c r="X17" s="1" t="s">
        <v>337</v>
      </c>
      <c r="Y17" s="1" t="s">
        <v>127</v>
      </c>
      <c r="Z17" s="1" t="s">
        <v>284</v>
      </c>
      <c r="AA17" s="1" t="s">
        <v>386</v>
      </c>
      <c r="AB17" s="1" t="s">
        <v>387</v>
      </c>
      <c r="AC17" s="1" t="s">
        <v>285</v>
      </c>
      <c r="AD17" s="1" t="s">
        <v>388</v>
      </c>
      <c r="AE17" s="1" t="s">
        <v>389</v>
      </c>
      <c r="AF17" s="1" t="s">
        <v>390</v>
      </c>
      <c r="AG17" s="1" t="s">
        <v>250</v>
      </c>
      <c r="AL17" s="2" t="s">
        <v>391</v>
      </c>
      <c r="AM17" s="2" t="s">
        <v>392</v>
      </c>
      <c r="AN17" s="2" t="s">
        <v>393</v>
      </c>
      <c r="AO17" s="2" t="s">
        <v>328</v>
      </c>
      <c r="AP17" s="2" t="s">
        <v>277</v>
      </c>
      <c r="AQ17" s="2" t="s">
        <v>394</v>
      </c>
      <c r="AR17" s="1" t="s">
        <v>374</v>
      </c>
      <c r="AS17" s="1" t="s">
        <v>119</v>
      </c>
      <c r="AT17" s="1" t="s">
        <v>375</v>
      </c>
      <c r="AU17" s="1" t="s">
        <v>191</v>
      </c>
      <c r="AV17" s="1" t="s">
        <v>141</v>
      </c>
      <c r="AW17" s="1" t="s">
        <v>376</v>
      </c>
      <c r="AX17" s="1" t="s">
        <v>303</v>
      </c>
      <c r="AY17" s="1" t="s">
        <v>377</v>
      </c>
      <c r="AZ17" s="1" t="s">
        <v>367</v>
      </c>
      <c r="BA17" s="2"/>
      <c r="BB17" s="13" t="s">
        <v>391</v>
      </c>
      <c r="BC17" s="15" t="s">
        <v>318</v>
      </c>
      <c r="BD17" s="16" t="s">
        <v>249</v>
      </c>
      <c r="BE17" s="14" t="s">
        <v>118</v>
      </c>
      <c r="BF17" s="16" t="s">
        <v>235</v>
      </c>
      <c r="BG17" s="15" t="s">
        <v>250</v>
      </c>
      <c r="BH17" s="2"/>
      <c r="BK17" s="2"/>
    </row>
    <row r="18" spans="7:63" x14ac:dyDescent="0.5">
      <c r="L18" s="1" t="s">
        <v>395</v>
      </c>
      <c r="M18" s="1" t="s">
        <v>395</v>
      </c>
      <c r="N18" s="1" t="s">
        <v>396</v>
      </c>
      <c r="O18" s="1" t="s">
        <v>359</v>
      </c>
      <c r="P18" s="1" t="s">
        <v>349</v>
      </c>
      <c r="Q18" s="1" t="s">
        <v>397</v>
      </c>
      <c r="S18" s="1" t="s">
        <v>395</v>
      </c>
      <c r="T18" s="1" t="s">
        <v>395</v>
      </c>
      <c r="U18" s="1" t="s">
        <v>396</v>
      </c>
      <c r="V18" s="1" t="s">
        <v>359</v>
      </c>
      <c r="W18" s="1" t="s">
        <v>349</v>
      </c>
      <c r="X18" s="1" t="s">
        <v>397</v>
      </c>
      <c r="Y18" s="1" t="s">
        <v>398</v>
      </c>
      <c r="Z18" s="1" t="s">
        <v>296</v>
      </c>
      <c r="AA18" s="1" t="s">
        <v>284</v>
      </c>
      <c r="AB18" s="1" t="s">
        <v>249</v>
      </c>
      <c r="AC18" s="1" t="s">
        <v>343</v>
      </c>
      <c r="AD18" s="1" t="s">
        <v>263</v>
      </c>
      <c r="AE18" s="1" t="s">
        <v>399</v>
      </c>
      <c r="AF18" s="1" t="s">
        <v>400</v>
      </c>
      <c r="AG18" s="1" t="s">
        <v>401</v>
      </c>
      <c r="AL18" s="2" t="s">
        <v>402</v>
      </c>
      <c r="AM18" s="2" t="s">
        <v>403</v>
      </c>
      <c r="AN18" s="2" t="s">
        <v>404</v>
      </c>
      <c r="AO18" s="2" t="s">
        <v>309</v>
      </c>
      <c r="AP18" s="2" t="s">
        <v>306</v>
      </c>
      <c r="AQ18" s="2" t="s">
        <v>405</v>
      </c>
      <c r="AR18" s="1" t="s">
        <v>127</v>
      </c>
      <c r="AS18" s="1" t="s">
        <v>284</v>
      </c>
      <c r="AT18" s="1" t="s">
        <v>386</v>
      </c>
      <c r="AU18" s="1" t="s">
        <v>387</v>
      </c>
      <c r="AV18" s="1" t="s">
        <v>285</v>
      </c>
      <c r="AW18" s="1" t="s">
        <v>388</v>
      </c>
      <c r="AX18" s="1" t="s">
        <v>389</v>
      </c>
      <c r="AY18" s="1" t="s">
        <v>390</v>
      </c>
      <c r="AZ18" s="1" t="s">
        <v>250</v>
      </c>
      <c r="BA18" s="2"/>
      <c r="BB18" s="14" t="s">
        <v>402</v>
      </c>
      <c r="BC18" s="16" t="s">
        <v>335</v>
      </c>
      <c r="BD18" s="15" t="s">
        <v>114</v>
      </c>
      <c r="BE18" s="13" t="s">
        <v>307</v>
      </c>
      <c r="BF18" s="16" t="s">
        <v>361</v>
      </c>
      <c r="BG18" s="15" t="s">
        <v>224</v>
      </c>
      <c r="BH18" s="2"/>
      <c r="BK18" s="2"/>
    </row>
    <row r="19" spans="7:63" x14ac:dyDescent="0.5">
      <c r="G19" s="1" t="s">
        <v>185</v>
      </c>
      <c r="H19" s="1" t="s">
        <v>212</v>
      </c>
      <c r="I19" s="1" t="s">
        <v>230</v>
      </c>
      <c r="L19" s="1" t="s">
        <v>395</v>
      </c>
      <c r="M19" s="1" t="s">
        <v>329</v>
      </c>
      <c r="N19" s="1" t="s">
        <v>324</v>
      </c>
      <c r="O19" s="1" t="s">
        <v>377</v>
      </c>
      <c r="P19" s="1" t="s">
        <v>406</v>
      </c>
      <c r="Q19" s="1" t="s">
        <v>407</v>
      </c>
      <c r="S19" s="1" t="s">
        <v>395</v>
      </c>
      <c r="T19" s="1" t="s">
        <v>329</v>
      </c>
      <c r="U19" s="1" t="s">
        <v>324</v>
      </c>
      <c r="V19" s="1" t="s">
        <v>377</v>
      </c>
      <c r="W19" s="1" t="s">
        <v>406</v>
      </c>
      <c r="X19" s="1" t="s">
        <v>407</v>
      </c>
      <c r="Y19" s="1" t="s">
        <v>408</v>
      </c>
      <c r="Z19" s="1" t="s">
        <v>395</v>
      </c>
      <c r="AA19" s="1" t="s">
        <v>409</v>
      </c>
      <c r="AB19" s="1" t="s">
        <v>410</v>
      </c>
      <c r="AC19" s="1" t="s">
        <v>325</v>
      </c>
      <c r="AD19" s="1" t="s">
        <v>411</v>
      </c>
      <c r="AE19" s="1" t="s">
        <v>412</v>
      </c>
      <c r="AF19" s="1" t="s">
        <v>413</v>
      </c>
      <c r="AG19" s="1" t="s">
        <v>132</v>
      </c>
      <c r="AL19" s="2" t="s">
        <v>414</v>
      </c>
      <c r="AM19" s="2" t="s">
        <v>402</v>
      </c>
      <c r="AN19" s="2" t="s">
        <v>400</v>
      </c>
      <c r="AO19" s="2" t="s">
        <v>415</v>
      </c>
      <c r="AP19" s="2" t="s">
        <v>385</v>
      </c>
      <c r="AQ19" s="2" t="s">
        <v>416</v>
      </c>
      <c r="AR19" s="1" t="s">
        <v>398</v>
      </c>
      <c r="AS19" s="1" t="s">
        <v>296</v>
      </c>
      <c r="AT19" s="1" t="s">
        <v>284</v>
      </c>
      <c r="AU19" s="1" t="s">
        <v>249</v>
      </c>
      <c r="AV19" s="1" t="s">
        <v>343</v>
      </c>
      <c r="AW19" s="1" t="s">
        <v>263</v>
      </c>
      <c r="AX19" s="1" t="s">
        <v>399</v>
      </c>
      <c r="AY19" s="1" t="s">
        <v>400</v>
      </c>
      <c r="AZ19" s="1" t="s">
        <v>401</v>
      </c>
      <c r="BA19" s="2"/>
      <c r="BB19" s="13" t="s">
        <v>414</v>
      </c>
      <c r="BC19" s="15" t="s">
        <v>267</v>
      </c>
      <c r="BD19" s="16" t="s">
        <v>279</v>
      </c>
      <c r="BE19" s="13" t="s">
        <v>267</v>
      </c>
      <c r="BF19" s="15" t="s">
        <v>356</v>
      </c>
      <c r="BG19" s="15" t="s">
        <v>272</v>
      </c>
      <c r="BH19" s="2"/>
      <c r="BK19" s="2"/>
    </row>
    <row r="20" spans="7:63" x14ac:dyDescent="0.5">
      <c r="G20" s="1" t="s">
        <v>204</v>
      </c>
      <c r="H20" s="1" t="s">
        <v>204</v>
      </c>
      <c r="I20" s="1" t="s">
        <v>204</v>
      </c>
      <c r="L20" s="1" t="s">
        <v>417</v>
      </c>
      <c r="M20" s="1" t="s">
        <v>418</v>
      </c>
      <c r="N20" s="1" t="s">
        <v>315</v>
      </c>
      <c r="O20" s="1" t="s">
        <v>336</v>
      </c>
      <c r="P20" s="1" t="s">
        <v>118</v>
      </c>
      <c r="Q20" s="1" t="s">
        <v>419</v>
      </c>
      <c r="S20" s="1" t="s">
        <v>417</v>
      </c>
      <c r="T20" s="1" t="s">
        <v>418</v>
      </c>
      <c r="U20" s="1" t="s">
        <v>315</v>
      </c>
      <c r="V20" s="1" t="s">
        <v>336</v>
      </c>
      <c r="W20" s="1" t="s">
        <v>118</v>
      </c>
      <c r="X20" s="1" t="s">
        <v>419</v>
      </c>
      <c r="Y20" s="1" t="s">
        <v>420</v>
      </c>
      <c r="Z20" s="1" t="s">
        <v>421</v>
      </c>
      <c r="AA20" s="1" t="s">
        <v>422</v>
      </c>
      <c r="AB20" s="1" t="s">
        <v>394</v>
      </c>
      <c r="AC20" s="1" t="s">
        <v>423</v>
      </c>
      <c r="AD20" s="1" t="s">
        <v>424</v>
      </c>
      <c r="AE20" s="1" t="s">
        <v>381</v>
      </c>
      <c r="AF20" s="1" t="s">
        <v>125</v>
      </c>
      <c r="AG20" s="1" t="s">
        <v>381</v>
      </c>
      <c r="AL20" s="2" t="s">
        <v>425</v>
      </c>
      <c r="AM20" s="2" t="s">
        <v>425</v>
      </c>
      <c r="AN20" s="2" t="s">
        <v>403</v>
      </c>
      <c r="AO20" s="2" t="s">
        <v>122</v>
      </c>
      <c r="AP20" s="2" t="s">
        <v>349</v>
      </c>
      <c r="AQ20" s="2" t="s">
        <v>139</v>
      </c>
      <c r="AR20" s="1" t="s">
        <v>408</v>
      </c>
      <c r="AS20" s="1" t="s">
        <v>395</v>
      </c>
      <c r="AT20" s="1" t="s">
        <v>409</v>
      </c>
      <c r="AU20" s="1" t="s">
        <v>410</v>
      </c>
      <c r="AV20" s="1" t="s">
        <v>325</v>
      </c>
      <c r="AW20" s="1" t="s">
        <v>411</v>
      </c>
      <c r="AX20" s="1" t="s">
        <v>412</v>
      </c>
      <c r="AY20" s="1" t="s">
        <v>413</v>
      </c>
      <c r="AZ20" s="1" t="s">
        <v>132</v>
      </c>
      <c r="BA20" s="2"/>
      <c r="BB20" s="14" t="s">
        <v>425</v>
      </c>
      <c r="BC20" s="13" t="s">
        <v>287</v>
      </c>
      <c r="BD20" s="16" t="s">
        <v>278</v>
      </c>
      <c r="BE20" s="13" t="s">
        <v>336</v>
      </c>
      <c r="BF20" s="15" t="s">
        <v>381</v>
      </c>
      <c r="BG20" s="15" t="s">
        <v>297</v>
      </c>
      <c r="BH20" s="2"/>
      <c r="BK20" s="2"/>
    </row>
    <row r="21" spans="7:63" x14ac:dyDescent="0.5">
      <c r="G21" s="1" t="s">
        <v>205</v>
      </c>
      <c r="H21" s="1" t="s">
        <v>205</v>
      </c>
      <c r="I21" s="1" t="s">
        <v>205</v>
      </c>
      <c r="L21" s="1" t="s">
        <v>128</v>
      </c>
      <c r="M21" s="1" t="s">
        <v>345</v>
      </c>
      <c r="N21" s="1" t="s">
        <v>325</v>
      </c>
      <c r="O21" s="1" t="s">
        <v>367</v>
      </c>
      <c r="P21" s="1" t="s">
        <v>318</v>
      </c>
      <c r="Q21" s="1" t="s">
        <v>426</v>
      </c>
      <c r="S21" s="1" t="s">
        <v>128</v>
      </c>
      <c r="T21" s="1" t="s">
        <v>345</v>
      </c>
      <c r="U21" s="1" t="s">
        <v>325</v>
      </c>
      <c r="V21" s="1" t="s">
        <v>367</v>
      </c>
      <c r="W21" s="1" t="s">
        <v>318</v>
      </c>
      <c r="X21" s="1" t="s">
        <v>426</v>
      </c>
      <c r="Y21" s="1" t="s">
        <v>278</v>
      </c>
      <c r="Z21" s="1" t="s">
        <v>427</v>
      </c>
      <c r="AA21" s="1" t="s">
        <v>428</v>
      </c>
      <c r="AB21" s="1" t="s">
        <v>429</v>
      </c>
      <c r="AC21" s="1" t="s">
        <v>430</v>
      </c>
      <c r="AD21" s="1" t="s">
        <v>431</v>
      </c>
      <c r="AE21" s="1" t="s">
        <v>361</v>
      </c>
      <c r="AF21" s="1" t="s">
        <v>235</v>
      </c>
      <c r="AG21" s="1" t="s">
        <v>432</v>
      </c>
      <c r="AL21" s="2" t="s">
        <v>433</v>
      </c>
      <c r="AM21" s="2" t="s">
        <v>434</v>
      </c>
      <c r="AN21" s="2" t="s">
        <v>386</v>
      </c>
      <c r="AO21" s="2" t="s">
        <v>395</v>
      </c>
      <c r="AP21" s="2" t="s">
        <v>312</v>
      </c>
      <c r="AQ21" s="2" t="s">
        <v>435</v>
      </c>
      <c r="AR21" s="1" t="s">
        <v>420</v>
      </c>
      <c r="AS21" s="1" t="s">
        <v>421</v>
      </c>
      <c r="AT21" s="1" t="s">
        <v>422</v>
      </c>
      <c r="AU21" s="1" t="s">
        <v>394</v>
      </c>
      <c r="AV21" s="1" t="s">
        <v>423</v>
      </c>
      <c r="AW21" s="1" t="s">
        <v>424</v>
      </c>
      <c r="AX21" s="1" t="s">
        <v>381</v>
      </c>
      <c r="AY21" s="1" t="s">
        <v>125</v>
      </c>
      <c r="AZ21" s="1" t="s">
        <v>381</v>
      </c>
      <c r="BA21" s="2"/>
      <c r="BB21" s="13" t="s">
        <v>433</v>
      </c>
      <c r="BC21" s="15" t="s">
        <v>120</v>
      </c>
      <c r="BD21" s="15" t="s">
        <v>258</v>
      </c>
      <c r="BE21" s="13" t="s">
        <v>120</v>
      </c>
      <c r="BF21" s="16" t="s">
        <v>436</v>
      </c>
      <c r="BG21" s="15" t="s">
        <v>114</v>
      </c>
      <c r="BH21" s="2"/>
      <c r="BK21" s="2"/>
    </row>
    <row r="22" spans="7:63" x14ac:dyDescent="0.5">
      <c r="G22" s="1" t="s">
        <v>206</v>
      </c>
      <c r="H22" s="1" t="s">
        <v>206</v>
      </c>
      <c r="I22" s="1" t="s">
        <v>206</v>
      </c>
      <c r="L22" s="1" t="s">
        <v>400</v>
      </c>
      <c r="M22" s="1" t="s">
        <v>196</v>
      </c>
      <c r="N22" s="1" t="s">
        <v>437</v>
      </c>
      <c r="O22" s="1" t="s">
        <v>437</v>
      </c>
      <c r="P22" s="1" t="s">
        <v>438</v>
      </c>
      <c r="Q22" s="1" t="s">
        <v>439</v>
      </c>
      <c r="S22" s="1" t="s">
        <v>400</v>
      </c>
      <c r="T22" s="1" t="s">
        <v>196</v>
      </c>
      <c r="U22" s="1" t="s">
        <v>437</v>
      </c>
      <c r="V22" s="1" t="s">
        <v>437</v>
      </c>
      <c r="W22" s="1" t="s">
        <v>438</v>
      </c>
      <c r="X22" s="1" t="s">
        <v>439</v>
      </c>
      <c r="Y22" s="1" t="s">
        <v>440</v>
      </c>
      <c r="Z22" s="1" t="s">
        <v>345</v>
      </c>
      <c r="AA22" s="1" t="s">
        <v>379</v>
      </c>
      <c r="AB22" s="1" t="s">
        <v>322</v>
      </c>
      <c r="AC22" s="1" t="s">
        <v>441</v>
      </c>
      <c r="AD22" s="1" t="s">
        <v>136</v>
      </c>
      <c r="AE22" s="1" t="s">
        <v>442</v>
      </c>
      <c r="AF22" s="1" t="s">
        <v>423</v>
      </c>
      <c r="AG22" s="1" t="s">
        <v>443</v>
      </c>
      <c r="AL22" s="2" t="s">
        <v>444</v>
      </c>
      <c r="AM22" s="2" t="s">
        <v>445</v>
      </c>
      <c r="AN22" s="2" t="s">
        <v>339</v>
      </c>
      <c r="AO22" s="2" t="s">
        <v>378</v>
      </c>
      <c r="AP22" s="2" t="s">
        <v>241</v>
      </c>
      <c r="AR22" s="1" t="s">
        <v>278</v>
      </c>
      <c r="AS22" s="1" t="s">
        <v>427</v>
      </c>
      <c r="AT22" s="1" t="s">
        <v>428</v>
      </c>
      <c r="AU22" s="1" t="s">
        <v>429</v>
      </c>
      <c r="AV22" s="1" t="s">
        <v>430</v>
      </c>
      <c r="AW22" s="1" t="s">
        <v>431</v>
      </c>
      <c r="AX22" s="1" t="s">
        <v>361</v>
      </c>
      <c r="AY22" s="1" t="s">
        <v>235</v>
      </c>
      <c r="AZ22" s="1" t="s">
        <v>432</v>
      </c>
      <c r="BB22" s="13" t="s">
        <v>434</v>
      </c>
      <c r="BC22" s="15" t="s">
        <v>300</v>
      </c>
      <c r="BD22" s="16" t="s">
        <v>330</v>
      </c>
      <c r="BE22" s="13" t="s">
        <v>238</v>
      </c>
      <c r="BF22" s="16" t="s">
        <v>250</v>
      </c>
      <c r="BG22" s="15" t="s">
        <v>288</v>
      </c>
    </row>
    <row r="23" spans="7:63" x14ac:dyDescent="0.5">
      <c r="G23" s="1" t="s">
        <v>207</v>
      </c>
      <c r="H23" s="1" t="s">
        <v>207</v>
      </c>
      <c r="I23" s="1" t="s">
        <v>207</v>
      </c>
      <c r="L23" s="1" t="s">
        <v>366</v>
      </c>
      <c r="M23" s="1" t="s">
        <v>358</v>
      </c>
      <c r="N23" s="1" t="s">
        <v>437</v>
      </c>
      <c r="O23" s="1" t="s">
        <v>395</v>
      </c>
      <c r="P23" s="1" t="s">
        <v>119</v>
      </c>
      <c r="Q23" s="1" t="s">
        <v>277</v>
      </c>
      <c r="S23" s="1" t="s">
        <v>366</v>
      </c>
      <c r="T23" s="1" t="s">
        <v>358</v>
      </c>
      <c r="U23" s="1" t="s">
        <v>437</v>
      </c>
      <c r="V23" s="1" t="s">
        <v>395</v>
      </c>
      <c r="W23" s="1" t="s">
        <v>119</v>
      </c>
      <c r="X23" s="1" t="s">
        <v>277</v>
      </c>
      <c r="Y23" s="1" t="s">
        <v>128</v>
      </c>
      <c r="Z23" s="1" t="s">
        <v>446</v>
      </c>
      <c r="AA23" s="1" t="s">
        <v>447</v>
      </c>
      <c r="AB23" s="1" t="s">
        <v>294</v>
      </c>
      <c r="AC23" s="1" t="s">
        <v>448</v>
      </c>
      <c r="AD23" s="1" t="s">
        <v>374</v>
      </c>
      <c r="AE23" s="1" t="s">
        <v>328</v>
      </c>
      <c r="AF23" s="1" t="s">
        <v>319</v>
      </c>
      <c r="AG23" s="1" t="s">
        <v>449</v>
      </c>
      <c r="AL23" s="2" t="s">
        <v>388</v>
      </c>
      <c r="AM23" s="2" t="s">
        <v>423</v>
      </c>
      <c r="AN23" s="2" t="s">
        <v>133</v>
      </c>
      <c r="AO23" s="2" t="s">
        <v>450</v>
      </c>
      <c r="AP23" s="2" t="s">
        <v>451</v>
      </c>
      <c r="AR23" s="1" t="s">
        <v>440</v>
      </c>
      <c r="AS23" s="1" t="s">
        <v>345</v>
      </c>
      <c r="AT23" s="1" t="s">
        <v>379</v>
      </c>
      <c r="AU23" s="1" t="s">
        <v>322</v>
      </c>
      <c r="AV23" s="1" t="s">
        <v>441</v>
      </c>
      <c r="AW23" s="1" t="s">
        <v>136</v>
      </c>
      <c r="AX23" s="1" t="s">
        <v>442</v>
      </c>
      <c r="AY23" s="1" t="s">
        <v>423</v>
      </c>
      <c r="AZ23" s="1" t="s">
        <v>443</v>
      </c>
      <c r="BB23" s="14" t="s">
        <v>444</v>
      </c>
      <c r="BC23" s="15" t="s">
        <v>315</v>
      </c>
      <c r="BD23" s="16" t="s">
        <v>277</v>
      </c>
      <c r="BE23" s="15" t="s">
        <v>371</v>
      </c>
      <c r="BF23" s="15" t="s">
        <v>224</v>
      </c>
      <c r="BG23" s="15" t="s">
        <v>279</v>
      </c>
    </row>
    <row r="24" spans="7:63" x14ac:dyDescent="0.5">
      <c r="G24" s="1" t="s">
        <v>208</v>
      </c>
      <c r="H24" s="1" t="s">
        <v>208</v>
      </c>
      <c r="I24" s="1" t="s">
        <v>208</v>
      </c>
      <c r="L24" s="1" t="s">
        <v>365</v>
      </c>
      <c r="M24" s="1" t="s">
        <v>128</v>
      </c>
      <c r="N24" s="1" t="s">
        <v>123</v>
      </c>
      <c r="O24" s="1" t="s">
        <v>452</v>
      </c>
      <c r="P24" s="1" t="s">
        <v>120</v>
      </c>
      <c r="Q24" s="1" t="s">
        <v>319</v>
      </c>
      <c r="S24" s="1" t="s">
        <v>365</v>
      </c>
      <c r="T24" s="1" t="s">
        <v>128</v>
      </c>
      <c r="U24" s="1" t="s">
        <v>123</v>
      </c>
      <c r="V24" s="1" t="s">
        <v>452</v>
      </c>
      <c r="W24" s="1" t="s">
        <v>120</v>
      </c>
      <c r="X24" s="1" t="s">
        <v>319</v>
      </c>
      <c r="Y24" s="1" t="s">
        <v>281</v>
      </c>
      <c r="Z24" s="1" t="s">
        <v>190</v>
      </c>
      <c r="AA24" s="1" t="s">
        <v>453</v>
      </c>
      <c r="AB24" s="1" t="s">
        <v>421</v>
      </c>
      <c r="AC24" s="1" t="s">
        <v>381</v>
      </c>
      <c r="AD24" s="1" t="s">
        <v>454</v>
      </c>
      <c r="AE24" s="1" t="s">
        <v>454</v>
      </c>
      <c r="AF24" s="1" t="s">
        <v>455</v>
      </c>
      <c r="AG24" s="1" t="s">
        <v>353</v>
      </c>
      <c r="AL24" s="2" t="s">
        <v>413</v>
      </c>
      <c r="AM24" s="2" t="s">
        <v>455</v>
      </c>
      <c r="AN24" s="2" t="s">
        <v>456</v>
      </c>
      <c r="AO24" s="2" t="s">
        <v>457</v>
      </c>
      <c r="AP24" s="2" t="s">
        <v>120</v>
      </c>
      <c r="AR24" s="1" t="s">
        <v>128</v>
      </c>
      <c r="AS24" s="1" t="s">
        <v>446</v>
      </c>
      <c r="AT24" s="1" t="s">
        <v>447</v>
      </c>
      <c r="AU24" s="1" t="s">
        <v>294</v>
      </c>
      <c r="AV24" s="1" t="s">
        <v>448</v>
      </c>
      <c r="AW24" s="1" t="s">
        <v>374</v>
      </c>
      <c r="AX24" s="1" t="s">
        <v>328</v>
      </c>
      <c r="AY24" s="1" t="s">
        <v>319</v>
      </c>
      <c r="AZ24" s="1" t="s">
        <v>449</v>
      </c>
      <c r="BB24" s="13" t="s">
        <v>388</v>
      </c>
      <c r="BC24" s="15" t="s">
        <v>122</v>
      </c>
      <c r="BD24" s="15" t="s">
        <v>319</v>
      </c>
      <c r="BE24" s="14" t="s">
        <v>328</v>
      </c>
      <c r="BF24" s="15" t="s">
        <v>355</v>
      </c>
      <c r="BG24" s="15" t="s">
        <v>458</v>
      </c>
    </row>
    <row r="25" spans="7:63" x14ac:dyDescent="0.5">
      <c r="G25" s="1" t="s">
        <v>209</v>
      </c>
      <c r="H25" s="1" t="s">
        <v>209</v>
      </c>
      <c r="I25" s="1" t="s">
        <v>209</v>
      </c>
      <c r="L25" s="1" t="s">
        <v>459</v>
      </c>
      <c r="M25" s="1" t="s">
        <v>400</v>
      </c>
      <c r="N25" s="1" t="s">
        <v>452</v>
      </c>
      <c r="O25" s="1" t="s">
        <v>450</v>
      </c>
      <c r="P25" s="1" t="s">
        <v>449</v>
      </c>
      <c r="Q25" s="1" t="s">
        <v>460</v>
      </c>
      <c r="S25" s="1" t="s">
        <v>459</v>
      </c>
      <c r="T25" s="1" t="s">
        <v>400</v>
      </c>
      <c r="U25" s="1" t="s">
        <v>452</v>
      </c>
      <c r="V25" s="1" t="s">
        <v>450</v>
      </c>
      <c r="W25" s="1" t="s">
        <v>449</v>
      </c>
      <c r="X25" s="1" t="s">
        <v>460</v>
      </c>
      <c r="Y25" s="1" t="s">
        <v>461</v>
      </c>
      <c r="Z25" s="1" t="s">
        <v>462</v>
      </c>
      <c r="AA25" s="1" t="s">
        <v>463</v>
      </c>
      <c r="AB25" s="1" t="s">
        <v>464</v>
      </c>
      <c r="AC25" s="1" t="s">
        <v>432</v>
      </c>
      <c r="AD25" s="1" t="s">
        <v>328</v>
      </c>
      <c r="AE25" s="1" t="s">
        <v>465</v>
      </c>
      <c r="AF25" s="1" t="s">
        <v>288</v>
      </c>
      <c r="AG25" s="1" t="s">
        <v>260</v>
      </c>
      <c r="AL25" s="2" t="s">
        <v>455</v>
      </c>
      <c r="AM25" s="2" t="s">
        <v>221</v>
      </c>
      <c r="AN25" s="2" t="s">
        <v>136</v>
      </c>
      <c r="AO25" s="2" t="s">
        <v>466</v>
      </c>
      <c r="AP25" s="2" t="s">
        <v>325</v>
      </c>
      <c r="AR25" s="1" t="s">
        <v>281</v>
      </c>
      <c r="AS25" s="1" t="s">
        <v>190</v>
      </c>
      <c r="AT25" s="1" t="s">
        <v>453</v>
      </c>
      <c r="AU25" s="1" t="s">
        <v>421</v>
      </c>
      <c r="AV25" s="1" t="s">
        <v>381</v>
      </c>
      <c r="AW25" s="1" t="s">
        <v>454</v>
      </c>
      <c r="AX25" s="1" t="s">
        <v>454</v>
      </c>
      <c r="AY25" s="1" t="s">
        <v>455</v>
      </c>
      <c r="AZ25" s="1" t="s">
        <v>353</v>
      </c>
      <c r="BB25" s="14" t="s">
        <v>413</v>
      </c>
      <c r="BC25" s="15" t="s">
        <v>395</v>
      </c>
      <c r="BD25" s="16" t="s">
        <v>306</v>
      </c>
      <c r="BE25" s="15" t="s">
        <v>396</v>
      </c>
      <c r="BF25" s="15" t="s">
        <v>467</v>
      </c>
      <c r="BG25" s="15" t="s">
        <v>327</v>
      </c>
    </row>
    <row r="26" spans="7:63" x14ac:dyDescent="0.5">
      <c r="L26" s="1" t="s">
        <v>414</v>
      </c>
      <c r="M26" s="1" t="s">
        <v>468</v>
      </c>
      <c r="N26" s="1" t="s">
        <v>366</v>
      </c>
      <c r="O26" s="1" t="s">
        <v>469</v>
      </c>
      <c r="P26" s="1" t="s">
        <v>408</v>
      </c>
      <c r="Q26" s="1" t="s">
        <v>306</v>
      </c>
      <c r="S26" s="1" t="s">
        <v>414</v>
      </c>
      <c r="T26" s="1" t="s">
        <v>468</v>
      </c>
      <c r="U26" s="1" t="s">
        <v>366</v>
      </c>
      <c r="V26" s="1" t="s">
        <v>469</v>
      </c>
      <c r="W26" s="1" t="s">
        <v>408</v>
      </c>
      <c r="X26" s="1" t="s">
        <v>306</v>
      </c>
      <c r="Y26" s="1" t="s">
        <v>289</v>
      </c>
      <c r="Z26" s="1" t="s">
        <v>235</v>
      </c>
      <c r="AA26" s="1" t="s">
        <v>237</v>
      </c>
      <c r="AB26" s="1" t="s">
        <v>470</v>
      </c>
      <c r="AC26" s="1" t="s">
        <v>471</v>
      </c>
      <c r="AD26" s="1" t="s">
        <v>465</v>
      </c>
      <c r="AE26" s="1" t="s">
        <v>224</v>
      </c>
      <c r="AF26" s="1" t="s">
        <v>472</v>
      </c>
      <c r="AG26" s="1" t="s">
        <v>473</v>
      </c>
      <c r="AL26" s="2" t="s">
        <v>455</v>
      </c>
      <c r="AM26" s="2" t="s">
        <v>474</v>
      </c>
      <c r="AN26" s="2" t="s">
        <v>221</v>
      </c>
      <c r="AO26" s="2" t="s">
        <v>425</v>
      </c>
      <c r="AP26" s="2" t="s">
        <v>123</v>
      </c>
      <c r="AR26" s="1" t="s">
        <v>461</v>
      </c>
      <c r="AS26" s="1" t="s">
        <v>462</v>
      </c>
      <c r="AT26" s="1" t="s">
        <v>463</v>
      </c>
      <c r="AU26" s="1" t="s">
        <v>464</v>
      </c>
      <c r="AV26" s="1" t="s">
        <v>432</v>
      </c>
      <c r="AW26" s="1" t="s">
        <v>328</v>
      </c>
      <c r="AX26" s="1" t="s">
        <v>465</v>
      </c>
      <c r="AY26" s="1" t="s">
        <v>288</v>
      </c>
      <c r="AZ26" s="1" t="s">
        <v>260</v>
      </c>
      <c r="BB26" s="13" t="s">
        <v>455</v>
      </c>
      <c r="BC26" s="15" t="s">
        <v>329</v>
      </c>
      <c r="BD26" s="15" t="s">
        <v>349</v>
      </c>
      <c r="BE26" s="16" t="s">
        <v>324</v>
      </c>
      <c r="BF26" s="15" t="s">
        <v>272</v>
      </c>
      <c r="BG26" s="15" t="s">
        <v>319</v>
      </c>
    </row>
    <row r="27" spans="7:63" x14ac:dyDescent="0.5">
      <c r="L27" s="1" t="s">
        <v>475</v>
      </c>
      <c r="M27" s="1" t="s">
        <v>378</v>
      </c>
      <c r="N27" s="1" t="s">
        <v>468</v>
      </c>
      <c r="O27" s="1" t="s">
        <v>457</v>
      </c>
      <c r="P27" s="1" t="s">
        <v>344</v>
      </c>
      <c r="Q27" s="1" t="s">
        <v>385</v>
      </c>
      <c r="S27" s="1" t="s">
        <v>475</v>
      </c>
      <c r="T27" s="1" t="s">
        <v>378</v>
      </c>
      <c r="U27" s="1" t="s">
        <v>468</v>
      </c>
      <c r="V27" s="1" t="s">
        <v>457</v>
      </c>
      <c r="W27" s="1" t="s">
        <v>344</v>
      </c>
      <c r="X27" s="1" t="s">
        <v>385</v>
      </c>
      <c r="Y27" s="1" t="s">
        <v>237</v>
      </c>
      <c r="Z27" s="1" t="s">
        <v>275</v>
      </c>
      <c r="AA27" s="1" t="s">
        <v>190</v>
      </c>
      <c r="AB27" s="1" t="s">
        <v>284</v>
      </c>
      <c r="AC27" s="1" t="s">
        <v>328</v>
      </c>
      <c r="AD27" s="1" t="s">
        <v>224</v>
      </c>
      <c r="AE27" s="1" t="s">
        <v>476</v>
      </c>
      <c r="AF27" s="1" t="s">
        <v>477</v>
      </c>
      <c r="AG27" s="1" t="s">
        <v>142</v>
      </c>
      <c r="AL27" s="2" t="s">
        <v>478</v>
      </c>
      <c r="AM27" s="2" t="s">
        <v>341</v>
      </c>
      <c r="AN27" s="2" t="s">
        <v>454</v>
      </c>
      <c r="AO27" s="2" t="s">
        <v>351</v>
      </c>
      <c r="AP27" s="2" t="s">
        <v>452</v>
      </c>
      <c r="AR27" s="1" t="s">
        <v>289</v>
      </c>
      <c r="AS27" s="1" t="s">
        <v>235</v>
      </c>
      <c r="AT27" s="1" t="s">
        <v>237</v>
      </c>
      <c r="AU27" s="1" t="s">
        <v>470</v>
      </c>
      <c r="AV27" s="1" t="s">
        <v>471</v>
      </c>
      <c r="AW27" s="1" t="s">
        <v>465</v>
      </c>
      <c r="AX27" s="1" t="s">
        <v>224</v>
      </c>
      <c r="AY27" s="1" t="s">
        <v>472</v>
      </c>
      <c r="AZ27" s="1" t="s">
        <v>473</v>
      </c>
      <c r="BB27" s="18" t="s">
        <v>478</v>
      </c>
      <c r="BC27" s="15" t="s">
        <v>418</v>
      </c>
      <c r="BD27" s="15" t="s">
        <v>241</v>
      </c>
      <c r="BE27" s="14" t="s">
        <v>348</v>
      </c>
      <c r="BF27" s="16" t="s">
        <v>256</v>
      </c>
      <c r="BG27" s="15" t="s">
        <v>412</v>
      </c>
    </row>
    <row r="28" spans="7:63" x14ac:dyDescent="0.5">
      <c r="L28" s="1" t="s">
        <v>425</v>
      </c>
      <c r="M28" s="1" t="s">
        <v>403</v>
      </c>
      <c r="N28" s="1" t="s">
        <v>403</v>
      </c>
      <c r="O28" s="1" t="s">
        <v>365</v>
      </c>
      <c r="P28" s="1" t="s">
        <v>122</v>
      </c>
      <c r="Q28" s="1" t="s">
        <v>349</v>
      </c>
      <c r="S28" s="1" t="s">
        <v>425</v>
      </c>
      <c r="T28" s="1" t="s">
        <v>403</v>
      </c>
      <c r="U28" s="1" t="s">
        <v>403</v>
      </c>
      <c r="V28" s="1" t="s">
        <v>365</v>
      </c>
      <c r="W28" s="1" t="s">
        <v>122</v>
      </c>
      <c r="X28" s="1" t="s">
        <v>349</v>
      </c>
      <c r="Y28" s="1" t="s">
        <v>139</v>
      </c>
      <c r="Z28" s="1" t="s">
        <v>386</v>
      </c>
      <c r="AA28" s="1" t="s">
        <v>479</v>
      </c>
      <c r="AB28" s="1" t="s">
        <v>480</v>
      </c>
      <c r="AC28" s="1" t="s">
        <v>465</v>
      </c>
      <c r="AD28" s="1" t="s">
        <v>481</v>
      </c>
      <c r="AE28" s="1" t="s">
        <v>482</v>
      </c>
      <c r="AF28" s="1" t="s">
        <v>483</v>
      </c>
      <c r="AG28" s="1" t="s">
        <v>458</v>
      </c>
      <c r="AL28" s="2"/>
      <c r="AM28" s="2"/>
      <c r="AN28" s="2" t="s">
        <v>484</v>
      </c>
      <c r="AO28" s="2" t="s">
        <v>423</v>
      </c>
      <c r="AP28" s="2" t="s">
        <v>329</v>
      </c>
      <c r="AR28" s="1" t="s">
        <v>237</v>
      </c>
      <c r="AS28" s="1" t="s">
        <v>275</v>
      </c>
      <c r="AT28" s="1" t="s">
        <v>190</v>
      </c>
      <c r="AU28" s="1" t="s">
        <v>284</v>
      </c>
      <c r="AV28" s="1" t="s">
        <v>328</v>
      </c>
      <c r="AW28" s="1" t="s">
        <v>224</v>
      </c>
      <c r="AX28" s="1" t="s">
        <v>476</v>
      </c>
      <c r="AY28" s="1" t="s">
        <v>477</v>
      </c>
      <c r="AZ28" s="1" t="s">
        <v>142</v>
      </c>
      <c r="BB28" s="18"/>
      <c r="BC28" s="15" t="s">
        <v>345</v>
      </c>
      <c r="BD28" s="16" t="s">
        <v>118</v>
      </c>
      <c r="BE28" s="13" t="s">
        <v>393</v>
      </c>
      <c r="BF28" s="15" t="s">
        <v>297</v>
      </c>
      <c r="BG28" s="15" t="s">
        <v>443</v>
      </c>
    </row>
    <row r="29" spans="7:63" x14ac:dyDescent="0.5">
      <c r="L29" s="1" t="s">
        <v>485</v>
      </c>
      <c r="M29" s="1" t="s">
        <v>469</v>
      </c>
      <c r="N29" s="1" t="s">
        <v>457</v>
      </c>
      <c r="O29" s="1" t="s">
        <v>409</v>
      </c>
      <c r="P29" s="1" t="s">
        <v>486</v>
      </c>
      <c r="Q29" s="1" t="s">
        <v>312</v>
      </c>
      <c r="S29" s="1" t="s">
        <v>485</v>
      </c>
      <c r="T29" s="1" t="s">
        <v>469</v>
      </c>
      <c r="U29" s="1" t="s">
        <v>457</v>
      </c>
      <c r="V29" s="1" t="s">
        <v>409</v>
      </c>
      <c r="W29" s="1" t="s">
        <v>486</v>
      </c>
      <c r="X29" s="1" t="s">
        <v>312</v>
      </c>
      <c r="Y29" s="1" t="s">
        <v>487</v>
      </c>
      <c r="Z29" s="1" t="s">
        <v>488</v>
      </c>
      <c r="AA29" s="1" t="s">
        <v>488</v>
      </c>
      <c r="AB29" s="1" t="s">
        <v>489</v>
      </c>
      <c r="AC29" s="1" t="s">
        <v>454</v>
      </c>
      <c r="AD29" s="1" t="s">
        <v>490</v>
      </c>
      <c r="AE29" s="1" t="s">
        <v>408</v>
      </c>
      <c r="AF29" s="1" t="s">
        <v>335</v>
      </c>
      <c r="AG29" s="1" t="s">
        <v>426</v>
      </c>
      <c r="AL29" s="2"/>
      <c r="AN29" s="2" t="s">
        <v>491</v>
      </c>
      <c r="AO29" s="2" t="s">
        <v>492</v>
      </c>
      <c r="AP29" s="2" t="s">
        <v>493</v>
      </c>
      <c r="AR29" s="1" t="s">
        <v>139</v>
      </c>
      <c r="AS29" s="1" t="s">
        <v>386</v>
      </c>
      <c r="AT29" s="1" t="s">
        <v>479</v>
      </c>
      <c r="AU29" s="1" t="s">
        <v>480</v>
      </c>
      <c r="AV29" s="1" t="s">
        <v>465</v>
      </c>
      <c r="AW29" s="1" t="s">
        <v>481</v>
      </c>
      <c r="AX29" s="1" t="s">
        <v>482</v>
      </c>
      <c r="AY29" s="1" t="s">
        <v>483</v>
      </c>
      <c r="AZ29" s="1" t="s">
        <v>458</v>
      </c>
      <c r="BC29" s="15" t="s">
        <v>196</v>
      </c>
      <c r="BD29" s="15" t="s">
        <v>346</v>
      </c>
      <c r="BE29" s="15" t="s">
        <v>315</v>
      </c>
      <c r="BF29" s="15" t="s">
        <v>114</v>
      </c>
      <c r="BG29" s="15" t="s">
        <v>312</v>
      </c>
    </row>
    <row r="30" spans="7:63" x14ac:dyDescent="0.5">
      <c r="L30" s="1" t="s">
        <v>351</v>
      </c>
      <c r="M30" s="1" t="s">
        <v>282</v>
      </c>
      <c r="N30" s="1" t="s">
        <v>365</v>
      </c>
      <c r="O30" s="1" t="s">
        <v>133</v>
      </c>
      <c r="P30" s="1" t="s">
        <v>494</v>
      </c>
      <c r="Q30" s="1" t="s">
        <v>312</v>
      </c>
      <c r="S30" s="1" t="s">
        <v>351</v>
      </c>
      <c r="T30" s="1" t="s">
        <v>282</v>
      </c>
      <c r="U30" s="1" t="s">
        <v>365</v>
      </c>
      <c r="V30" s="1" t="s">
        <v>133</v>
      </c>
      <c r="W30" s="1" t="s">
        <v>494</v>
      </c>
      <c r="X30" s="1" t="s">
        <v>312</v>
      </c>
      <c r="Y30" s="1" t="s">
        <v>142</v>
      </c>
      <c r="Z30" s="1" t="s">
        <v>400</v>
      </c>
      <c r="AA30" s="1" t="s">
        <v>127</v>
      </c>
      <c r="AB30" s="1" t="s">
        <v>129</v>
      </c>
      <c r="AC30" s="1" t="s">
        <v>495</v>
      </c>
      <c r="AD30" s="1" t="s">
        <v>468</v>
      </c>
      <c r="AE30" s="1" t="s">
        <v>132</v>
      </c>
      <c r="AL30" s="2"/>
      <c r="AN30" s="2" t="s">
        <v>482</v>
      </c>
      <c r="AO30" s="2" t="s">
        <v>496</v>
      </c>
      <c r="AP30" s="2" t="s">
        <v>125</v>
      </c>
      <c r="AR30" s="1" t="s">
        <v>487</v>
      </c>
      <c r="AS30" s="1" t="s">
        <v>488</v>
      </c>
      <c r="AT30" s="1" t="s">
        <v>488</v>
      </c>
      <c r="AU30" s="1" t="s">
        <v>489</v>
      </c>
      <c r="AV30" s="1" t="s">
        <v>454</v>
      </c>
      <c r="AW30" s="1" t="s">
        <v>490</v>
      </c>
      <c r="AX30" s="1" t="s">
        <v>408</v>
      </c>
      <c r="AY30" s="1" t="s">
        <v>335</v>
      </c>
      <c r="AZ30" s="1" t="s">
        <v>426</v>
      </c>
      <c r="BC30" s="15" t="s">
        <v>358</v>
      </c>
      <c r="BD30" s="15" t="s">
        <v>372</v>
      </c>
      <c r="BE30" s="16" t="s">
        <v>325</v>
      </c>
      <c r="BF30" s="16" t="s">
        <v>288</v>
      </c>
      <c r="BG30" s="15" t="s">
        <v>307</v>
      </c>
    </row>
    <row r="31" spans="7:63" x14ac:dyDescent="0.5">
      <c r="L31" s="1" t="s">
        <v>339</v>
      </c>
      <c r="M31" s="1" t="s">
        <v>424</v>
      </c>
      <c r="N31" s="1" t="s">
        <v>386</v>
      </c>
      <c r="O31" s="1" t="s">
        <v>423</v>
      </c>
      <c r="P31" s="1" t="s">
        <v>125</v>
      </c>
      <c r="Q31" s="1" t="s">
        <v>307</v>
      </c>
      <c r="S31" s="1" t="s">
        <v>339</v>
      </c>
      <c r="T31" s="1" t="s">
        <v>424</v>
      </c>
      <c r="U31" s="1" t="s">
        <v>386</v>
      </c>
      <c r="V31" s="1" t="s">
        <v>423</v>
      </c>
      <c r="W31" s="1" t="s">
        <v>125</v>
      </c>
      <c r="X31" s="1" t="s">
        <v>307</v>
      </c>
      <c r="Y31" s="1" t="s">
        <v>426</v>
      </c>
      <c r="Z31" s="1" t="s">
        <v>450</v>
      </c>
      <c r="AA31" s="1" t="s">
        <v>197</v>
      </c>
      <c r="AB31" s="1" t="s">
        <v>497</v>
      </c>
      <c r="AC31" s="1" t="s">
        <v>498</v>
      </c>
      <c r="AD31" s="1" t="s">
        <v>367</v>
      </c>
      <c r="AE31" s="1" t="s">
        <v>436</v>
      </c>
      <c r="AL31" s="2"/>
      <c r="AN31" s="2" t="s">
        <v>499</v>
      </c>
      <c r="AO31" s="2" t="s">
        <v>500</v>
      </c>
      <c r="AP31" s="2" t="s">
        <v>501</v>
      </c>
      <c r="AR31" s="1" t="s">
        <v>142</v>
      </c>
      <c r="AS31" s="1" t="s">
        <v>400</v>
      </c>
      <c r="AT31" s="1" t="s">
        <v>127</v>
      </c>
      <c r="AU31" s="1" t="s">
        <v>129</v>
      </c>
      <c r="AV31" s="1" t="s">
        <v>495</v>
      </c>
      <c r="AW31" s="1" t="s">
        <v>468</v>
      </c>
      <c r="AX31" s="1" t="s">
        <v>132</v>
      </c>
      <c r="BC31" s="15" t="s">
        <v>128</v>
      </c>
      <c r="BD31" s="16" t="s">
        <v>307</v>
      </c>
      <c r="BE31" s="15" t="s">
        <v>437</v>
      </c>
      <c r="BF31" s="16" t="s">
        <v>279</v>
      </c>
      <c r="BG31" s="15" t="s">
        <v>377</v>
      </c>
    </row>
    <row r="32" spans="7:63" x14ac:dyDescent="0.5">
      <c r="L32" s="1" t="s">
        <v>423</v>
      </c>
      <c r="M32" s="1" t="s">
        <v>434</v>
      </c>
      <c r="N32" s="1" t="s">
        <v>131</v>
      </c>
      <c r="O32" s="1" t="s">
        <v>496</v>
      </c>
      <c r="P32" s="1" t="s">
        <v>126</v>
      </c>
      <c r="Q32" s="1" t="s">
        <v>287</v>
      </c>
      <c r="S32" s="1" t="s">
        <v>423</v>
      </c>
      <c r="T32" s="1" t="s">
        <v>434</v>
      </c>
      <c r="U32" s="1" t="s">
        <v>131</v>
      </c>
      <c r="V32" s="1" t="s">
        <v>496</v>
      </c>
      <c r="W32" s="1" t="s">
        <v>126</v>
      </c>
      <c r="X32" s="1" t="s">
        <v>287</v>
      </c>
      <c r="Y32" s="1" t="s">
        <v>258</v>
      </c>
      <c r="Z32" s="1" t="s">
        <v>474</v>
      </c>
      <c r="AA32" s="1" t="s">
        <v>502</v>
      </c>
      <c r="AB32" s="1" t="s">
        <v>503</v>
      </c>
      <c r="AC32" s="1" t="s">
        <v>425</v>
      </c>
      <c r="AD32" s="1" t="s">
        <v>472</v>
      </c>
      <c r="AE32" s="1" t="s">
        <v>504</v>
      </c>
      <c r="AL32" s="2"/>
      <c r="AO32" s="2" t="s">
        <v>505</v>
      </c>
      <c r="AP32" s="2" t="s">
        <v>506</v>
      </c>
      <c r="AR32" s="1" t="s">
        <v>426</v>
      </c>
      <c r="AS32" s="1" t="s">
        <v>450</v>
      </c>
      <c r="AT32" s="1" t="s">
        <v>197</v>
      </c>
      <c r="AU32" s="1" t="s">
        <v>497</v>
      </c>
      <c r="AV32" s="1" t="s">
        <v>498</v>
      </c>
      <c r="AW32" s="1" t="s">
        <v>367</v>
      </c>
      <c r="AX32" s="1" t="s">
        <v>436</v>
      </c>
      <c r="BC32" s="15" t="s">
        <v>400</v>
      </c>
      <c r="BD32" s="16" t="s">
        <v>384</v>
      </c>
      <c r="BE32" s="15" t="s">
        <v>123</v>
      </c>
      <c r="BF32" s="15" t="s">
        <v>458</v>
      </c>
      <c r="BG32" s="15" t="s">
        <v>336</v>
      </c>
    </row>
    <row r="33" spans="12:59" x14ac:dyDescent="0.5">
      <c r="L33" s="1" t="s">
        <v>507</v>
      </c>
      <c r="M33" s="1" t="s">
        <v>507</v>
      </c>
      <c r="N33" s="1" t="s">
        <v>508</v>
      </c>
      <c r="O33" s="1" t="s">
        <v>413</v>
      </c>
      <c r="P33" s="1" t="s">
        <v>127</v>
      </c>
      <c r="Q33" s="1" t="s">
        <v>328</v>
      </c>
      <c r="S33" s="1" t="s">
        <v>507</v>
      </c>
      <c r="T33" s="1" t="s">
        <v>507</v>
      </c>
      <c r="U33" s="1" t="s">
        <v>508</v>
      </c>
      <c r="V33" s="1" t="s">
        <v>413</v>
      </c>
      <c r="W33" s="1" t="s">
        <v>127</v>
      </c>
      <c r="X33" s="1" t="s">
        <v>328</v>
      </c>
      <c r="Y33" s="1" t="s">
        <v>481</v>
      </c>
      <c r="Z33" s="1" t="s">
        <v>509</v>
      </c>
      <c r="AA33" s="1" t="s">
        <v>510</v>
      </c>
      <c r="AB33" s="1" t="s">
        <v>432</v>
      </c>
      <c r="AC33" s="1" t="s">
        <v>443</v>
      </c>
      <c r="AD33" s="1" t="s">
        <v>115</v>
      </c>
      <c r="AE33" s="1" t="s">
        <v>268</v>
      </c>
      <c r="AO33" s="2" t="s">
        <v>511</v>
      </c>
      <c r="AP33" s="2" t="s">
        <v>512</v>
      </c>
      <c r="AR33" s="1" t="s">
        <v>258</v>
      </c>
      <c r="AS33" s="1" t="s">
        <v>474</v>
      </c>
      <c r="AT33" s="1" t="s">
        <v>502</v>
      </c>
      <c r="AU33" s="1" t="s">
        <v>503</v>
      </c>
      <c r="AV33" s="1" t="s">
        <v>425</v>
      </c>
      <c r="AW33" s="1" t="s">
        <v>472</v>
      </c>
      <c r="AX33" s="1" t="s">
        <v>504</v>
      </c>
      <c r="BC33" s="15" t="s">
        <v>366</v>
      </c>
      <c r="BD33" s="15" t="s">
        <v>267</v>
      </c>
      <c r="BE33" s="16" t="s">
        <v>452</v>
      </c>
      <c r="BF33" s="15" t="s">
        <v>327</v>
      </c>
      <c r="BG33" s="15" t="s">
        <v>367</v>
      </c>
    </row>
    <row r="34" spans="12:59" x14ac:dyDescent="0.5">
      <c r="L34" s="1" t="s">
        <v>496</v>
      </c>
      <c r="M34" s="1" t="s">
        <v>472</v>
      </c>
      <c r="N34" s="1" t="s">
        <v>339</v>
      </c>
      <c r="O34" s="1" t="s">
        <v>455</v>
      </c>
      <c r="P34" s="1" t="s">
        <v>128</v>
      </c>
      <c r="Q34" s="1" t="s">
        <v>408</v>
      </c>
      <c r="S34" s="1" t="s">
        <v>496</v>
      </c>
      <c r="T34" s="1" t="s">
        <v>472</v>
      </c>
      <c r="U34" s="1" t="s">
        <v>339</v>
      </c>
      <c r="V34" s="1" t="s">
        <v>455</v>
      </c>
      <c r="W34" s="1" t="s">
        <v>128</v>
      </c>
      <c r="X34" s="1" t="s">
        <v>408</v>
      </c>
      <c r="Y34" s="1" t="s">
        <v>513</v>
      </c>
      <c r="Z34" s="1" t="s">
        <v>413</v>
      </c>
      <c r="AA34" s="1" t="s">
        <v>514</v>
      </c>
      <c r="AB34" s="1" t="s">
        <v>515</v>
      </c>
      <c r="AC34" s="1" t="s">
        <v>395</v>
      </c>
      <c r="AE34" s="1" t="s">
        <v>516</v>
      </c>
      <c r="AO34" s="2" t="s">
        <v>517</v>
      </c>
      <c r="AP34" s="2" t="s">
        <v>518</v>
      </c>
      <c r="AR34" s="1" t="s">
        <v>481</v>
      </c>
      <c r="AS34" s="1" t="s">
        <v>509</v>
      </c>
      <c r="AT34" s="1" t="s">
        <v>510</v>
      </c>
      <c r="AU34" s="1" t="s">
        <v>432</v>
      </c>
      <c r="AV34" s="1" t="s">
        <v>443</v>
      </c>
      <c r="AW34" s="1" t="s">
        <v>115</v>
      </c>
      <c r="AX34" s="1" t="s">
        <v>268</v>
      </c>
      <c r="BC34" s="15" t="s">
        <v>468</v>
      </c>
      <c r="BD34" s="15" t="s">
        <v>359</v>
      </c>
      <c r="BE34" s="14" t="s">
        <v>404</v>
      </c>
      <c r="BF34" s="15" t="s">
        <v>516</v>
      </c>
      <c r="BG34" s="15" t="s">
        <v>449</v>
      </c>
    </row>
    <row r="35" spans="12:59" x14ac:dyDescent="0.5">
      <c r="L35" s="1" t="s">
        <v>310</v>
      </c>
      <c r="M35" s="1" t="s">
        <v>519</v>
      </c>
      <c r="N35" s="1" t="s">
        <v>520</v>
      </c>
      <c r="O35" s="1" t="s">
        <v>517</v>
      </c>
      <c r="P35" s="1" t="s">
        <v>378</v>
      </c>
      <c r="Q35" s="1" t="s">
        <v>465</v>
      </c>
      <c r="S35" s="1" t="s">
        <v>310</v>
      </c>
      <c r="T35" s="1" t="s">
        <v>519</v>
      </c>
      <c r="U35" s="1" t="s">
        <v>520</v>
      </c>
      <c r="V35" s="1" t="s">
        <v>517</v>
      </c>
      <c r="W35" s="1" t="s">
        <v>378</v>
      </c>
      <c r="X35" s="1" t="s">
        <v>465</v>
      </c>
      <c r="Y35" s="1" t="s">
        <v>521</v>
      </c>
      <c r="Z35" s="1" t="s">
        <v>522</v>
      </c>
      <c r="AA35" s="1" t="s">
        <v>523</v>
      </c>
      <c r="AB35" s="1" t="s">
        <v>524</v>
      </c>
      <c r="AC35" s="1" t="s">
        <v>499</v>
      </c>
      <c r="AE35" s="1" t="s">
        <v>525</v>
      </c>
      <c r="AO35" s="2" t="s">
        <v>369</v>
      </c>
      <c r="AP35" s="2" t="s">
        <v>401</v>
      </c>
      <c r="AR35" s="1" t="s">
        <v>513</v>
      </c>
      <c r="AS35" s="1" t="s">
        <v>413</v>
      </c>
      <c r="AT35" s="1" t="s">
        <v>514</v>
      </c>
      <c r="AU35" s="1" t="s">
        <v>515</v>
      </c>
      <c r="AV35" s="1" t="s">
        <v>395</v>
      </c>
      <c r="AX35" s="1" t="s">
        <v>516</v>
      </c>
      <c r="BC35" s="15" t="s">
        <v>378</v>
      </c>
      <c r="BD35" s="16" t="s">
        <v>377</v>
      </c>
      <c r="BE35" s="13" t="s">
        <v>400</v>
      </c>
      <c r="BF35" s="16" t="s">
        <v>426</v>
      </c>
      <c r="BG35" s="15" t="s">
        <v>328</v>
      </c>
    </row>
    <row r="36" spans="12:59" x14ac:dyDescent="0.5">
      <c r="L36" s="1" t="s">
        <v>413</v>
      </c>
      <c r="M36" s="1" t="s">
        <v>221</v>
      </c>
      <c r="N36" s="1" t="s">
        <v>456</v>
      </c>
      <c r="O36" s="1" t="s">
        <v>526</v>
      </c>
      <c r="P36" s="1" t="s">
        <v>522</v>
      </c>
      <c r="Q36" s="1" t="s">
        <v>122</v>
      </c>
      <c r="S36" s="1" t="s">
        <v>413</v>
      </c>
      <c r="T36" s="1" t="s">
        <v>221</v>
      </c>
      <c r="U36" s="1" t="s">
        <v>456</v>
      </c>
      <c r="V36" s="1" t="s">
        <v>526</v>
      </c>
      <c r="W36" s="1" t="s">
        <v>522</v>
      </c>
      <c r="X36" s="1" t="s">
        <v>122</v>
      </c>
      <c r="Y36" s="1" t="s">
        <v>465</v>
      </c>
      <c r="Z36" s="1" t="s">
        <v>527</v>
      </c>
      <c r="AA36" s="1" t="s">
        <v>508</v>
      </c>
      <c r="AB36" s="1" t="s">
        <v>224</v>
      </c>
      <c r="AC36" s="1" t="s">
        <v>263</v>
      </c>
      <c r="AE36" s="1" t="s">
        <v>467</v>
      </c>
      <c r="AP36" s="2" t="s">
        <v>409</v>
      </c>
      <c r="AR36" s="1" t="s">
        <v>521</v>
      </c>
      <c r="AS36" s="1" t="s">
        <v>522</v>
      </c>
      <c r="AT36" s="1" t="s">
        <v>523</v>
      </c>
      <c r="AU36" s="1" t="s">
        <v>524</v>
      </c>
      <c r="AV36" s="1" t="s">
        <v>499</v>
      </c>
      <c r="AX36" s="1" t="s">
        <v>525</v>
      </c>
      <c r="BC36" s="15" t="s">
        <v>392</v>
      </c>
      <c r="BD36" s="15" t="s">
        <v>336</v>
      </c>
      <c r="BE36" s="15" t="s">
        <v>366</v>
      </c>
      <c r="BF36" s="16" t="s">
        <v>476</v>
      </c>
      <c r="BG36" s="15" t="s">
        <v>465</v>
      </c>
    </row>
    <row r="37" spans="12:59" x14ac:dyDescent="0.5">
      <c r="L37" s="1" t="s">
        <v>528</v>
      </c>
      <c r="M37" s="1" t="s">
        <v>474</v>
      </c>
      <c r="N37" s="1" t="s">
        <v>529</v>
      </c>
      <c r="P37" s="1" t="s">
        <v>403</v>
      </c>
      <c r="Q37" s="1" t="s">
        <v>325</v>
      </c>
      <c r="S37" s="1" t="s">
        <v>528</v>
      </c>
      <c r="T37" s="1" t="s">
        <v>474</v>
      </c>
      <c r="U37" s="1" t="s">
        <v>529</v>
      </c>
      <c r="W37" s="1" t="s">
        <v>403</v>
      </c>
      <c r="X37" s="1" t="s">
        <v>325</v>
      </c>
      <c r="Y37" s="1" t="s">
        <v>529</v>
      </c>
      <c r="Z37" s="1" t="s">
        <v>322</v>
      </c>
      <c r="AA37" s="1" t="s">
        <v>119</v>
      </c>
      <c r="AB37" s="1" t="s">
        <v>351</v>
      </c>
      <c r="AC37" s="1" t="s">
        <v>285</v>
      </c>
      <c r="AE37" s="1" t="s">
        <v>260</v>
      </c>
      <c r="AP37" s="2" t="s">
        <v>530</v>
      </c>
      <c r="AR37" s="1" t="s">
        <v>465</v>
      </c>
      <c r="AS37" s="1" t="s">
        <v>527</v>
      </c>
      <c r="AT37" s="1" t="s">
        <v>508</v>
      </c>
      <c r="AU37" s="1" t="s">
        <v>224</v>
      </c>
      <c r="AV37" s="1" t="s">
        <v>263</v>
      </c>
      <c r="AX37" s="1" t="s">
        <v>467</v>
      </c>
      <c r="BC37" s="15" t="s">
        <v>403</v>
      </c>
      <c r="BD37" s="15" t="s">
        <v>120</v>
      </c>
      <c r="BE37" s="16" t="s">
        <v>468</v>
      </c>
      <c r="BF37" s="16" t="s">
        <v>342</v>
      </c>
      <c r="BG37" s="15" t="s">
        <v>325</v>
      </c>
    </row>
    <row r="38" spans="12:59" x14ac:dyDescent="0.5">
      <c r="L38" s="1" t="s">
        <v>509</v>
      </c>
      <c r="M38" s="1" t="s">
        <v>454</v>
      </c>
      <c r="N38" s="1" t="s">
        <v>455</v>
      </c>
      <c r="P38" s="1" t="s">
        <v>531</v>
      </c>
      <c r="Q38" s="1" t="s">
        <v>123</v>
      </c>
      <c r="S38" s="1" t="s">
        <v>509</v>
      </c>
      <c r="T38" s="1" t="s">
        <v>454</v>
      </c>
      <c r="U38" s="1" t="s">
        <v>455</v>
      </c>
      <c r="W38" s="1" t="s">
        <v>531</v>
      </c>
      <c r="X38" s="1" t="s">
        <v>123</v>
      </c>
      <c r="Y38" s="1" t="s">
        <v>532</v>
      </c>
      <c r="Z38" s="1" t="s">
        <v>469</v>
      </c>
      <c r="AA38" s="1" t="s">
        <v>533</v>
      </c>
      <c r="AB38" s="1" t="s">
        <v>235</v>
      </c>
      <c r="AC38" s="1" t="s">
        <v>367</v>
      </c>
      <c r="AE38" s="1" t="s">
        <v>473</v>
      </c>
      <c r="AP38" s="2" t="s">
        <v>534</v>
      </c>
      <c r="AR38" s="1" t="s">
        <v>529</v>
      </c>
      <c r="AS38" s="1" t="s">
        <v>322</v>
      </c>
      <c r="AT38" s="1" t="s">
        <v>119</v>
      </c>
      <c r="AU38" s="1" t="s">
        <v>351</v>
      </c>
      <c r="AV38" s="1" t="s">
        <v>285</v>
      </c>
      <c r="AX38" s="1" t="s">
        <v>260</v>
      </c>
      <c r="BC38" s="15" t="s">
        <v>469</v>
      </c>
      <c r="BD38" s="13" t="s">
        <v>367</v>
      </c>
      <c r="BE38" s="13" t="s">
        <v>403</v>
      </c>
      <c r="BF38" s="16" t="s">
        <v>389</v>
      </c>
      <c r="BG38" s="15" t="s">
        <v>268</v>
      </c>
    </row>
    <row r="39" spans="12:59" x14ac:dyDescent="0.5">
      <c r="L39" s="1" t="s">
        <v>455</v>
      </c>
      <c r="M39" s="1" t="s">
        <v>517</v>
      </c>
      <c r="N39" s="1" t="s">
        <v>519</v>
      </c>
      <c r="P39" s="1" t="s">
        <v>535</v>
      </c>
      <c r="Q39" s="1" t="s">
        <v>123</v>
      </c>
      <c r="S39" s="1" t="s">
        <v>455</v>
      </c>
      <c r="T39" s="1" t="s">
        <v>517</v>
      </c>
      <c r="U39" s="1" t="s">
        <v>519</v>
      </c>
      <c r="W39" s="1" t="s">
        <v>535</v>
      </c>
      <c r="X39" s="1" t="s">
        <v>123</v>
      </c>
      <c r="Y39" s="1" t="s">
        <v>536</v>
      </c>
      <c r="Z39" s="1" t="s">
        <v>187</v>
      </c>
      <c r="AA39" s="1" t="s">
        <v>339</v>
      </c>
      <c r="AB39" s="1" t="s">
        <v>493</v>
      </c>
      <c r="AC39" s="1" t="s">
        <v>372</v>
      </c>
      <c r="AP39" s="2" t="s">
        <v>390</v>
      </c>
      <c r="AR39" s="1" t="s">
        <v>532</v>
      </c>
      <c r="AS39" s="1" t="s">
        <v>469</v>
      </c>
      <c r="AT39" s="1" t="s">
        <v>533</v>
      </c>
      <c r="AU39" s="1" t="s">
        <v>235</v>
      </c>
      <c r="AV39" s="1" t="s">
        <v>367</v>
      </c>
      <c r="AX39" s="1" t="s">
        <v>473</v>
      </c>
      <c r="BC39" s="15" t="s">
        <v>282</v>
      </c>
      <c r="BD39" s="14" t="s">
        <v>379</v>
      </c>
      <c r="BE39" s="16" t="s">
        <v>457</v>
      </c>
      <c r="BF39" s="16" t="s">
        <v>319</v>
      </c>
      <c r="BG39" s="15" t="s">
        <v>483</v>
      </c>
    </row>
    <row r="40" spans="12:59" x14ac:dyDescent="0.5">
      <c r="L40" s="1" t="s">
        <v>472</v>
      </c>
      <c r="M40" s="1" t="s">
        <v>341</v>
      </c>
      <c r="N40" s="1" t="s">
        <v>136</v>
      </c>
      <c r="P40" s="1" t="s">
        <v>536</v>
      </c>
      <c r="Q40" s="1" t="s">
        <v>537</v>
      </c>
      <c r="S40" s="1" t="s">
        <v>472</v>
      </c>
      <c r="T40" s="1" t="s">
        <v>341</v>
      </c>
      <c r="U40" s="1" t="s">
        <v>136</v>
      </c>
      <c r="W40" s="1" t="s">
        <v>536</v>
      </c>
      <c r="X40" s="1" t="s">
        <v>537</v>
      </c>
      <c r="Y40" s="1" t="s">
        <v>243</v>
      </c>
      <c r="Z40" s="1" t="s">
        <v>538</v>
      </c>
      <c r="AA40" s="1" t="s">
        <v>351</v>
      </c>
      <c r="AB40" s="1" t="s">
        <v>539</v>
      </c>
      <c r="AC40" s="1" t="s">
        <v>224</v>
      </c>
      <c r="AP40" s="2" t="s">
        <v>540</v>
      </c>
      <c r="AR40" s="1" t="s">
        <v>536</v>
      </c>
      <c r="AS40" s="1" t="s">
        <v>187</v>
      </c>
      <c r="AT40" s="1" t="s">
        <v>339</v>
      </c>
      <c r="AU40" s="1" t="s">
        <v>493</v>
      </c>
      <c r="AV40" s="1" t="s">
        <v>372</v>
      </c>
      <c r="BC40" s="15" t="s">
        <v>402</v>
      </c>
      <c r="BD40" s="16" t="s">
        <v>238</v>
      </c>
      <c r="BE40" s="15" t="s">
        <v>365</v>
      </c>
      <c r="BF40" s="16" t="s">
        <v>412</v>
      </c>
      <c r="BG40" s="15" t="s">
        <v>196</v>
      </c>
    </row>
    <row r="41" spans="12:59" x14ac:dyDescent="0.5">
      <c r="L41" s="1" t="s">
        <v>323</v>
      </c>
      <c r="M41" s="1" t="s">
        <v>139</v>
      </c>
      <c r="N41" s="1" t="s">
        <v>491</v>
      </c>
      <c r="P41" s="1" t="s">
        <v>386</v>
      </c>
      <c r="Q41" s="1" t="s">
        <v>541</v>
      </c>
      <c r="S41" s="1" t="s">
        <v>323</v>
      </c>
      <c r="T41" s="1" t="s">
        <v>139</v>
      </c>
      <c r="U41" s="1" t="s">
        <v>491</v>
      </c>
      <c r="W41" s="1" t="s">
        <v>386</v>
      </c>
      <c r="X41" s="1" t="s">
        <v>541</v>
      </c>
      <c r="Y41" s="1" t="s">
        <v>542</v>
      </c>
      <c r="AA41" s="1" t="s">
        <v>474</v>
      </c>
      <c r="AB41" s="1" t="s">
        <v>423</v>
      </c>
      <c r="AP41" s="2" t="s">
        <v>543</v>
      </c>
      <c r="AR41" s="1" t="s">
        <v>243</v>
      </c>
      <c r="AS41" s="1" t="s">
        <v>538</v>
      </c>
      <c r="AT41" s="1" t="s">
        <v>351</v>
      </c>
      <c r="AU41" s="1" t="s">
        <v>539</v>
      </c>
      <c r="AV41" s="1" t="s">
        <v>224</v>
      </c>
      <c r="BC41" s="15" t="s">
        <v>424</v>
      </c>
      <c r="BD41" s="15" t="s">
        <v>371</v>
      </c>
      <c r="BE41" s="16" t="s">
        <v>386</v>
      </c>
      <c r="BF41" s="15" t="s">
        <v>443</v>
      </c>
      <c r="BG41" s="15" t="s">
        <v>125</v>
      </c>
    </row>
    <row r="42" spans="12:59" x14ac:dyDescent="0.5">
      <c r="L42" s="1" t="s">
        <v>474</v>
      </c>
      <c r="M42" s="1" t="s">
        <v>294</v>
      </c>
      <c r="N42" s="1" t="s">
        <v>499</v>
      </c>
      <c r="P42" s="1" t="s">
        <v>275</v>
      </c>
      <c r="Q42" s="1" t="s">
        <v>518</v>
      </c>
      <c r="S42" s="1" t="s">
        <v>474</v>
      </c>
      <c r="T42" s="1" t="s">
        <v>294</v>
      </c>
      <c r="U42" s="1" t="s">
        <v>499</v>
      </c>
      <c r="W42" s="1" t="s">
        <v>275</v>
      </c>
      <c r="X42" s="1" t="s">
        <v>518</v>
      </c>
      <c r="Y42" s="1" t="s">
        <v>114</v>
      </c>
      <c r="AA42" s="1" t="s">
        <v>544</v>
      </c>
      <c r="AB42" s="1" t="s">
        <v>479</v>
      </c>
      <c r="AP42" s="2" t="s">
        <v>496</v>
      </c>
      <c r="AR42" s="1" t="s">
        <v>542</v>
      </c>
      <c r="AT42" s="1" t="s">
        <v>474</v>
      </c>
      <c r="AU42" s="1" t="s">
        <v>423</v>
      </c>
      <c r="BC42" s="15" t="s">
        <v>425</v>
      </c>
      <c r="BD42" s="13" t="s">
        <v>328</v>
      </c>
      <c r="BE42" s="15" t="s">
        <v>131</v>
      </c>
      <c r="BF42" s="16" t="s">
        <v>312</v>
      </c>
      <c r="BG42" s="15" t="s">
        <v>400</v>
      </c>
    </row>
    <row r="43" spans="12:59" x14ac:dyDescent="0.5">
      <c r="L43" s="1" t="s">
        <v>545</v>
      </c>
      <c r="N43" s="1" t="s">
        <v>141</v>
      </c>
      <c r="P43" s="1" t="s">
        <v>237</v>
      </c>
      <c r="Q43" s="1" t="s">
        <v>401</v>
      </c>
      <c r="S43" s="1" t="s">
        <v>545</v>
      </c>
      <c r="U43" s="1" t="s">
        <v>141</v>
      </c>
      <c r="W43" s="1" t="s">
        <v>237</v>
      </c>
      <c r="X43" s="1" t="s">
        <v>401</v>
      </c>
      <c r="Y43" s="1" t="s">
        <v>191</v>
      </c>
      <c r="AA43" s="1" t="s">
        <v>546</v>
      </c>
      <c r="AB43" s="1" t="s">
        <v>547</v>
      </c>
      <c r="AP43" s="2" t="s">
        <v>548</v>
      </c>
      <c r="AR43" s="1" t="s">
        <v>114</v>
      </c>
      <c r="AT43" s="1" t="s">
        <v>544</v>
      </c>
      <c r="AU43" s="1" t="s">
        <v>479</v>
      </c>
      <c r="BC43" s="15" t="s">
        <v>445</v>
      </c>
      <c r="BD43" s="15" t="s">
        <v>396</v>
      </c>
      <c r="BE43" s="16" t="s">
        <v>508</v>
      </c>
      <c r="BF43" s="16" t="s">
        <v>117</v>
      </c>
      <c r="BG43" s="15" t="s">
        <v>401</v>
      </c>
    </row>
    <row r="44" spans="12:59" x14ac:dyDescent="0.5">
      <c r="L44" s="1" t="s">
        <v>454</v>
      </c>
      <c r="P44" s="1" t="s">
        <v>475</v>
      </c>
      <c r="Q44" s="1" t="s">
        <v>549</v>
      </c>
      <c r="S44" s="1" t="s">
        <v>454</v>
      </c>
      <c r="W44" s="1" t="s">
        <v>475</v>
      </c>
      <c r="X44" s="1" t="s">
        <v>549</v>
      </c>
      <c r="Y44" s="1" t="s">
        <v>450</v>
      </c>
      <c r="AA44" s="1" t="s">
        <v>550</v>
      </c>
      <c r="AB44" s="1" t="s">
        <v>413</v>
      </c>
      <c r="AP44" s="2" t="s">
        <v>454</v>
      </c>
      <c r="AR44" s="1" t="s">
        <v>191</v>
      </c>
      <c r="AT44" s="1" t="s">
        <v>546</v>
      </c>
      <c r="AU44" s="1" t="s">
        <v>547</v>
      </c>
      <c r="BC44" s="15" t="s">
        <v>423</v>
      </c>
      <c r="BD44" s="16" t="s">
        <v>324</v>
      </c>
      <c r="BE44" s="15" t="s">
        <v>339</v>
      </c>
      <c r="BF44" s="16" t="s">
        <v>335</v>
      </c>
      <c r="BG44" s="15" t="s">
        <v>197</v>
      </c>
    </row>
    <row r="45" spans="12:59" x14ac:dyDescent="0.5">
      <c r="L45" s="1" t="s">
        <v>551</v>
      </c>
      <c r="P45" s="1" t="s">
        <v>485</v>
      </c>
      <c r="Q45" s="1" t="s">
        <v>549</v>
      </c>
      <c r="S45" s="1" t="s">
        <v>551</v>
      </c>
      <c r="W45" s="1" t="s">
        <v>485</v>
      </c>
      <c r="X45" s="1" t="s">
        <v>549</v>
      </c>
      <c r="Y45" s="1" t="s">
        <v>116</v>
      </c>
      <c r="AA45" s="1" t="s">
        <v>552</v>
      </c>
      <c r="AB45" s="1" t="s">
        <v>450</v>
      </c>
      <c r="AP45" s="2" t="s">
        <v>416</v>
      </c>
      <c r="AR45" s="1" t="s">
        <v>450</v>
      </c>
      <c r="AT45" s="1" t="s">
        <v>550</v>
      </c>
      <c r="AU45" s="1" t="s">
        <v>413</v>
      </c>
      <c r="BC45" s="15" t="s">
        <v>507</v>
      </c>
      <c r="BD45" s="14" t="s">
        <v>309</v>
      </c>
      <c r="BE45" s="16" t="s">
        <v>520</v>
      </c>
      <c r="BF45" s="15" t="s">
        <v>307</v>
      </c>
      <c r="BG45" s="15" t="s">
        <v>222</v>
      </c>
    </row>
    <row r="46" spans="12:59" x14ac:dyDescent="0.5">
      <c r="P46" s="1" t="s">
        <v>351</v>
      </c>
      <c r="Q46" s="1" t="s">
        <v>409</v>
      </c>
      <c r="W46" s="1" t="s">
        <v>351</v>
      </c>
      <c r="X46" s="1" t="s">
        <v>409</v>
      </c>
      <c r="Y46" s="1" t="s">
        <v>553</v>
      </c>
      <c r="AA46" s="1" t="s">
        <v>310</v>
      </c>
      <c r="AB46" s="1" t="s">
        <v>120</v>
      </c>
      <c r="AP46" s="2" t="s">
        <v>141</v>
      </c>
      <c r="AR46" s="1" t="s">
        <v>116</v>
      </c>
      <c r="AT46" s="1" t="s">
        <v>552</v>
      </c>
      <c r="AU46" s="1" t="s">
        <v>450</v>
      </c>
      <c r="BC46" s="15" t="s">
        <v>455</v>
      </c>
      <c r="BD46" s="13" t="s">
        <v>415</v>
      </c>
      <c r="BE46" s="13" t="s">
        <v>133</v>
      </c>
      <c r="BF46" s="15" t="s">
        <v>377</v>
      </c>
      <c r="BG46" s="15" t="s">
        <v>132</v>
      </c>
    </row>
    <row r="47" spans="12:59" x14ac:dyDescent="0.5">
      <c r="P47" s="1" t="s">
        <v>339</v>
      </c>
      <c r="Q47" s="1" t="s">
        <v>237</v>
      </c>
      <c r="W47" s="1" t="s">
        <v>339</v>
      </c>
      <c r="X47" s="1" t="s">
        <v>237</v>
      </c>
      <c r="Y47" s="1" t="s">
        <v>554</v>
      </c>
      <c r="AA47" s="1" t="s">
        <v>128</v>
      </c>
      <c r="AB47" s="1" t="s">
        <v>555</v>
      </c>
      <c r="AP47" s="2"/>
      <c r="AR47" s="1" t="s">
        <v>553</v>
      </c>
      <c r="AT47" s="1" t="s">
        <v>310</v>
      </c>
      <c r="AU47" s="1" t="s">
        <v>120</v>
      </c>
      <c r="BC47" s="15" t="s">
        <v>472</v>
      </c>
      <c r="BD47" s="15" t="s">
        <v>315</v>
      </c>
      <c r="BE47" s="15" t="s">
        <v>456</v>
      </c>
      <c r="BF47" s="16" t="s">
        <v>336</v>
      </c>
      <c r="BG47" s="15" t="s">
        <v>390</v>
      </c>
    </row>
    <row r="48" spans="12:59" x14ac:dyDescent="0.5">
      <c r="P48" s="1" t="s">
        <v>339</v>
      </c>
      <c r="Q48" s="1" t="s">
        <v>475</v>
      </c>
      <c r="W48" s="1" t="s">
        <v>339</v>
      </c>
      <c r="X48" s="1" t="s">
        <v>475</v>
      </c>
      <c r="Y48" s="1" t="s">
        <v>556</v>
      </c>
      <c r="AA48" s="1" t="s">
        <v>421</v>
      </c>
      <c r="AB48" s="1" t="s">
        <v>142</v>
      </c>
      <c r="AR48" s="1" t="s">
        <v>554</v>
      </c>
      <c r="AT48" s="1" t="s">
        <v>128</v>
      </c>
      <c r="AU48" s="1" t="s">
        <v>555</v>
      </c>
      <c r="BC48" s="15" t="s">
        <v>519</v>
      </c>
      <c r="BD48" s="14" t="s">
        <v>122</v>
      </c>
      <c r="BE48" s="16" t="s">
        <v>529</v>
      </c>
      <c r="BF48" s="15" t="s">
        <v>367</v>
      </c>
      <c r="BG48" s="15" t="s">
        <v>423</v>
      </c>
    </row>
    <row r="49" spans="16:59" x14ac:dyDescent="0.5">
      <c r="P49" s="1" t="s">
        <v>557</v>
      </c>
      <c r="Q49" s="1" t="s">
        <v>558</v>
      </c>
      <c r="W49" s="1" t="s">
        <v>557</v>
      </c>
      <c r="X49" s="1" t="s">
        <v>558</v>
      </c>
      <c r="Y49" s="1" t="s">
        <v>241</v>
      </c>
      <c r="AA49" s="1" t="s">
        <v>443</v>
      </c>
      <c r="AB49" s="1" t="s">
        <v>140</v>
      </c>
      <c r="AR49" s="1" t="s">
        <v>556</v>
      </c>
      <c r="AT49" s="1" t="s">
        <v>421</v>
      </c>
      <c r="AU49" s="1" t="s">
        <v>142</v>
      </c>
      <c r="BC49" s="15" t="s">
        <v>221</v>
      </c>
      <c r="BD49" s="16" t="s">
        <v>325</v>
      </c>
      <c r="BE49" s="15" t="s">
        <v>455</v>
      </c>
      <c r="BF49" s="16" t="s">
        <v>449</v>
      </c>
      <c r="BG49" s="15" t="s">
        <v>242</v>
      </c>
    </row>
    <row r="50" spans="16:59" x14ac:dyDescent="0.5">
      <c r="P50" s="1" t="s">
        <v>133</v>
      </c>
      <c r="Q50" s="1" t="s">
        <v>445</v>
      </c>
      <c r="W50" s="1" t="s">
        <v>133</v>
      </c>
      <c r="X50" s="1" t="s">
        <v>445</v>
      </c>
      <c r="Y50" s="1" t="s">
        <v>372</v>
      </c>
      <c r="AA50" s="1" t="s">
        <v>225</v>
      </c>
      <c r="AB50" s="1" t="s">
        <v>474</v>
      </c>
      <c r="AR50" s="1" t="s">
        <v>241</v>
      </c>
      <c r="AT50" s="1" t="s">
        <v>443</v>
      </c>
      <c r="AU50" s="1" t="s">
        <v>140</v>
      </c>
      <c r="BC50" s="15" t="s">
        <v>474</v>
      </c>
      <c r="BD50" s="15" t="s">
        <v>437</v>
      </c>
      <c r="BE50" s="16" t="s">
        <v>519</v>
      </c>
      <c r="BF50" s="16" t="s">
        <v>328</v>
      </c>
      <c r="BG50" s="15" t="s">
        <v>298</v>
      </c>
    </row>
    <row r="51" spans="16:59" x14ac:dyDescent="0.5">
      <c r="P51" s="1" t="s">
        <v>559</v>
      </c>
      <c r="Q51" s="1" t="s">
        <v>560</v>
      </c>
      <c r="W51" s="1" t="s">
        <v>559</v>
      </c>
      <c r="X51" s="1" t="s">
        <v>560</v>
      </c>
      <c r="Y51" s="1" t="s">
        <v>561</v>
      </c>
      <c r="AA51" s="1" t="s">
        <v>449</v>
      </c>
      <c r="AB51" s="1" t="s">
        <v>496</v>
      </c>
      <c r="AR51" s="1" t="s">
        <v>372</v>
      </c>
      <c r="AT51" s="1" t="s">
        <v>225</v>
      </c>
      <c r="AU51" s="1" t="s">
        <v>474</v>
      </c>
      <c r="BC51" s="15" t="s">
        <v>454</v>
      </c>
      <c r="BD51" s="15" t="s">
        <v>123</v>
      </c>
      <c r="BE51" s="15" t="s">
        <v>136</v>
      </c>
      <c r="BF51" s="16" t="s">
        <v>408</v>
      </c>
      <c r="BG51" s="15" t="s">
        <v>504</v>
      </c>
    </row>
    <row r="52" spans="16:59" x14ac:dyDescent="0.5">
      <c r="P52" s="1" t="s">
        <v>527</v>
      </c>
      <c r="Q52" s="1" t="s">
        <v>548</v>
      </c>
      <c r="W52" s="1" t="s">
        <v>527</v>
      </c>
      <c r="X52" s="1" t="s">
        <v>548</v>
      </c>
      <c r="Y52" s="1" t="s">
        <v>496</v>
      </c>
      <c r="AA52" s="1" t="s">
        <v>403</v>
      </c>
      <c r="AB52" s="1" t="s">
        <v>562</v>
      </c>
      <c r="AR52" s="1" t="s">
        <v>561</v>
      </c>
      <c r="AT52" s="1" t="s">
        <v>449</v>
      </c>
      <c r="AU52" s="1" t="s">
        <v>496</v>
      </c>
      <c r="BC52" s="15" t="s">
        <v>517</v>
      </c>
      <c r="BD52" s="13" t="s">
        <v>395</v>
      </c>
      <c r="BE52" s="14" t="s">
        <v>221</v>
      </c>
      <c r="BF52" s="15" t="s">
        <v>353</v>
      </c>
      <c r="BG52" s="15" t="s">
        <v>525</v>
      </c>
    </row>
    <row r="53" spans="16:59" x14ac:dyDescent="0.5">
      <c r="P53" s="1" t="s">
        <v>445</v>
      </c>
      <c r="Q53" s="1" t="s">
        <v>447</v>
      </c>
      <c r="W53" s="1" t="s">
        <v>445</v>
      </c>
      <c r="X53" s="1" t="s">
        <v>447</v>
      </c>
      <c r="AA53" s="1" t="s">
        <v>563</v>
      </c>
      <c r="AB53" s="1" t="s">
        <v>564</v>
      </c>
      <c r="AR53" s="1" t="s">
        <v>496</v>
      </c>
      <c r="AT53" s="1" t="s">
        <v>403</v>
      </c>
      <c r="AU53" s="1" t="s">
        <v>562</v>
      </c>
      <c r="BC53" s="15" t="s">
        <v>341</v>
      </c>
      <c r="BD53" s="15" t="s">
        <v>452</v>
      </c>
      <c r="BE53" s="13" t="s">
        <v>454</v>
      </c>
      <c r="BF53" s="16" t="s">
        <v>465</v>
      </c>
      <c r="BG53" s="15" t="s">
        <v>413</v>
      </c>
    </row>
    <row r="54" spans="16:59" x14ac:dyDescent="0.5">
      <c r="P54" s="1" t="s">
        <v>461</v>
      </c>
      <c r="Q54" s="1" t="s">
        <v>136</v>
      </c>
      <c r="W54" s="1" t="s">
        <v>461</v>
      </c>
      <c r="X54" s="1" t="s">
        <v>136</v>
      </c>
      <c r="AA54" s="1" t="s">
        <v>565</v>
      </c>
      <c r="AB54" s="1" t="s">
        <v>136</v>
      </c>
      <c r="AT54" s="1" t="s">
        <v>563</v>
      </c>
      <c r="AU54" s="1" t="s">
        <v>564</v>
      </c>
      <c r="BC54" s="15" t="s">
        <v>139</v>
      </c>
      <c r="BD54" s="15" t="s">
        <v>366</v>
      </c>
      <c r="BE54" s="14" t="s">
        <v>484</v>
      </c>
      <c r="BF54" s="15" t="s">
        <v>325</v>
      </c>
      <c r="BG54" s="15" t="s">
        <v>455</v>
      </c>
    </row>
    <row r="55" spans="16:59" x14ac:dyDescent="0.5">
      <c r="P55" s="1" t="s">
        <v>135</v>
      </c>
      <c r="Q55" s="1" t="s">
        <v>420</v>
      </c>
      <c r="W55" s="1" t="s">
        <v>135</v>
      </c>
      <c r="X55" s="1" t="s">
        <v>420</v>
      </c>
      <c r="AA55" s="1" t="s">
        <v>456</v>
      </c>
      <c r="AB55" s="1" t="s">
        <v>566</v>
      </c>
      <c r="AT55" s="1" t="s">
        <v>565</v>
      </c>
      <c r="AU55" s="1" t="s">
        <v>136</v>
      </c>
      <c r="BC55" s="15" t="s">
        <v>294</v>
      </c>
      <c r="BD55" s="16" t="s">
        <v>468</v>
      </c>
      <c r="BE55" s="16" t="s">
        <v>491</v>
      </c>
      <c r="BF55" s="16" t="s">
        <v>268</v>
      </c>
      <c r="BG55" s="15" t="s">
        <v>221</v>
      </c>
    </row>
    <row r="56" spans="16:59" x14ac:dyDescent="0.5">
      <c r="P56" s="1" t="s">
        <v>298</v>
      </c>
      <c r="Q56" s="1" t="s">
        <v>474</v>
      </c>
      <c r="W56" s="1" t="s">
        <v>298</v>
      </c>
      <c r="X56" s="1" t="s">
        <v>474</v>
      </c>
      <c r="AA56" s="1" t="s">
        <v>567</v>
      </c>
      <c r="AB56" s="1" t="s">
        <v>499</v>
      </c>
      <c r="AT56" s="1" t="s">
        <v>456</v>
      </c>
      <c r="AU56" s="1" t="s">
        <v>566</v>
      </c>
      <c r="BC56" s="17"/>
      <c r="BD56" s="14" t="s">
        <v>378</v>
      </c>
      <c r="BE56" s="14" t="s">
        <v>482</v>
      </c>
      <c r="BF56" s="15" t="s">
        <v>483</v>
      </c>
      <c r="BG56" s="15" t="s">
        <v>454</v>
      </c>
    </row>
    <row r="57" spans="16:59" x14ac:dyDescent="0.5">
      <c r="P57" s="1" t="s">
        <v>568</v>
      </c>
      <c r="Q57" s="1" t="s">
        <v>454</v>
      </c>
      <c r="W57" s="1" t="s">
        <v>568</v>
      </c>
      <c r="X57" s="1" t="s">
        <v>454</v>
      </c>
      <c r="AA57" s="1" t="s">
        <v>417</v>
      </c>
      <c r="AB57" s="1" t="s">
        <v>324</v>
      </c>
      <c r="AT57" s="1" t="s">
        <v>567</v>
      </c>
      <c r="AU57" s="1" t="s">
        <v>499</v>
      </c>
      <c r="BD57" s="16" t="s">
        <v>450</v>
      </c>
      <c r="BE57" s="15" t="s">
        <v>499</v>
      </c>
      <c r="BF57" s="15" t="s">
        <v>196</v>
      </c>
      <c r="BG57" s="15" t="s">
        <v>399</v>
      </c>
    </row>
    <row r="58" spans="16:59" x14ac:dyDescent="0.5">
      <c r="P58" s="1" t="s">
        <v>136</v>
      </c>
      <c r="Q58" s="1" t="s">
        <v>137</v>
      </c>
      <c r="W58" s="1" t="s">
        <v>136</v>
      </c>
      <c r="X58" s="1" t="s">
        <v>137</v>
      </c>
      <c r="AA58" s="1" t="s">
        <v>569</v>
      </c>
      <c r="AB58" s="1" t="s">
        <v>570</v>
      </c>
      <c r="AT58" s="1" t="s">
        <v>417</v>
      </c>
      <c r="AU58" s="1" t="s">
        <v>324</v>
      </c>
      <c r="BD58" s="15" t="s">
        <v>403</v>
      </c>
      <c r="BE58" s="13"/>
      <c r="BF58" s="15" t="s">
        <v>271</v>
      </c>
      <c r="BG58" s="15" t="s">
        <v>482</v>
      </c>
    </row>
    <row r="59" spans="16:59" x14ac:dyDescent="0.5">
      <c r="P59" s="1" t="s">
        <v>420</v>
      </c>
      <c r="Q59" s="1" t="s">
        <v>571</v>
      </c>
      <c r="W59" s="1" t="s">
        <v>420</v>
      </c>
      <c r="X59" s="1" t="s">
        <v>571</v>
      </c>
      <c r="AA59" s="1" t="s">
        <v>572</v>
      </c>
      <c r="AB59" s="1" t="s">
        <v>573</v>
      </c>
      <c r="AT59" s="1" t="s">
        <v>569</v>
      </c>
      <c r="AU59" s="1" t="s">
        <v>570</v>
      </c>
      <c r="BC59" s="2"/>
      <c r="BD59" s="15" t="s">
        <v>469</v>
      </c>
      <c r="BE59" s="13"/>
      <c r="BF59" s="15" t="s">
        <v>125</v>
      </c>
      <c r="BG59" s="15" t="s">
        <v>141</v>
      </c>
    </row>
    <row r="60" spans="16:59" x14ac:dyDescent="0.5">
      <c r="P60" s="1" t="s">
        <v>561</v>
      </c>
      <c r="Q60" s="1" t="s">
        <v>343</v>
      </c>
      <c r="W60" s="1" t="s">
        <v>561</v>
      </c>
      <c r="X60" s="1" t="s">
        <v>343</v>
      </c>
      <c r="AA60" s="1" t="s">
        <v>574</v>
      </c>
      <c r="AB60" s="1" t="s">
        <v>575</v>
      </c>
      <c r="AT60" s="1" t="s">
        <v>572</v>
      </c>
      <c r="AU60" s="1" t="s">
        <v>573</v>
      </c>
      <c r="BD60" s="16" t="s">
        <v>457</v>
      </c>
      <c r="BE60" s="13"/>
      <c r="BF60" s="15" t="s">
        <v>400</v>
      </c>
      <c r="BG60" s="15"/>
    </row>
    <row r="61" spans="16:59" x14ac:dyDescent="0.5">
      <c r="P61" s="1" t="s">
        <v>369</v>
      </c>
      <c r="Q61" s="1" t="s">
        <v>313</v>
      </c>
      <c r="W61" s="1" t="s">
        <v>369</v>
      </c>
      <c r="X61" s="1" t="s">
        <v>313</v>
      </c>
      <c r="AA61" s="1" t="s">
        <v>196</v>
      </c>
      <c r="AB61" s="1" t="s">
        <v>576</v>
      </c>
      <c r="AT61" s="1" t="s">
        <v>574</v>
      </c>
      <c r="AU61" s="1" t="s">
        <v>575</v>
      </c>
      <c r="BD61" s="15" t="s">
        <v>365</v>
      </c>
      <c r="BE61" s="13"/>
      <c r="BF61" s="15" t="s">
        <v>401</v>
      </c>
      <c r="BG61" s="15"/>
    </row>
    <row r="62" spans="16:59" x14ac:dyDescent="0.5">
      <c r="P62" s="1" t="s">
        <v>526</v>
      </c>
      <c r="Q62" s="1" t="s">
        <v>482</v>
      </c>
      <c r="W62" s="1" t="s">
        <v>526</v>
      </c>
      <c r="X62" s="1" t="s">
        <v>482</v>
      </c>
      <c r="AA62" s="1" t="s">
        <v>135</v>
      </c>
      <c r="AB62" s="1" t="s">
        <v>577</v>
      </c>
      <c r="AT62" s="1" t="s">
        <v>196</v>
      </c>
      <c r="AU62" s="1" t="s">
        <v>576</v>
      </c>
      <c r="BD62" s="16" t="s">
        <v>386</v>
      </c>
      <c r="BE62" s="13"/>
      <c r="BF62" s="15" t="s">
        <v>197</v>
      </c>
      <c r="BG62" s="15"/>
    </row>
    <row r="63" spans="16:59" x14ac:dyDescent="0.5">
      <c r="P63" s="1" t="s">
        <v>380</v>
      </c>
      <c r="Q63" s="1" t="s">
        <v>140</v>
      </c>
      <c r="W63" s="1" t="s">
        <v>380</v>
      </c>
      <c r="X63" s="1" t="s">
        <v>140</v>
      </c>
      <c r="AA63" s="1" t="s">
        <v>578</v>
      </c>
      <c r="AT63" s="1" t="s">
        <v>135</v>
      </c>
      <c r="AU63" s="1" t="s">
        <v>577</v>
      </c>
      <c r="BC63" s="2"/>
      <c r="BD63" s="16" t="s">
        <v>409</v>
      </c>
      <c r="BE63" s="13"/>
      <c r="BF63" s="16" t="s">
        <v>222</v>
      </c>
      <c r="BG63" s="15"/>
    </row>
    <row r="64" spans="16:59" x14ac:dyDescent="0.5">
      <c r="Q64" s="1" t="s">
        <v>141</v>
      </c>
      <c r="X64" s="1" t="s">
        <v>141</v>
      </c>
      <c r="AA64" s="1" t="s">
        <v>507</v>
      </c>
      <c r="AT64" s="1" t="s">
        <v>578</v>
      </c>
      <c r="BD64" s="15" t="s">
        <v>131</v>
      </c>
      <c r="BE64" s="13"/>
      <c r="BF64" s="15" t="s">
        <v>132</v>
      </c>
      <c r="BG64" s="15"/>
    </row>
    <row r="65" spans="17:59" x14ac:dyDescent="0.5">
      <c r="Q65" s="1" t="s">
        <v>142</v>
      </c>
      <c r="X65" s="1" t="s">
        <v>142</v>
      </c>
      <c r="AA65" s="1" t="s">
        <v>553</v>
      </c>
      <c r="AT65" s="1" t="s">
        <v>507</v>
      </c>
      <c r="BD65" s="13" t="s">
        <v>466</v>
      </c>
      <c r="BE65" s="13"/>
      <c r="BF65" s="16" t="s">
        <v>390</v>
      </c>
      <c r="BG65" s="15"/>
    </row>
    <row r="66" spans="17:59" x14ac:dyDescent="0.5">
      <c r="Q66" s="1" t="s">
        <v>579</v>
      </c>
      <c r="X66" s="1" t="s">
        <v>579</v>
      </c>
      <c r="AA66" s="1" t="s">
        <v>580</v>
      </c>
      <c r="AT66" s="1" t="s">
        <v>553</v>
      </c>
      <c r="BD66" s="14" t="s">
        <v>425</v>
      </c>
      <c r="BE66" s="13"/>
      <c r="BF66" s="15" t="s">
        <v>423</v>
      </c>
      <c r="BG66" s="15"/>
    </row>
    <row r="67" spans="17:59" x14ac:dyDescent="0.5">
      <c r="AA67" s="1" t="s">
        <v>581</v>
      </c>
      <c r="AT67" s="1" t="s">
        <v>580</v>
      </c>
      <c r="BD67" s="16" t="s">
        <v>508</v>
      </c>
      <c r="BE67" s="13"/>
      <c r="BF67" s="15" t="s">
        <v>442</v>
      </c>
      <c r="BG67" s="15"/>
    </row>
    <row r="68" spans="17:59" x14ac:dyDescent="0.5">
      <c r="AA68" s="1" t="s">
        <v>502</v>
      </c>
      <c r="AT68" s="1" t="s">
        <v>581</v>
      </c>
      <c r="BD68" s="13" t="s">
        <v>351</v>
      </c>
      <c r="BE68" s="13"/>
      <c r="BF68" s="15" t="s">
        <v>242</v>
      </c>
      <c r="BG68" s="15"/>
    </row>
    <row r="69" spans="17:59" x14ac:dyDescent="0.5">
      <c r="AT69" s="1" t="s">
        <v>502</v>
      </c>
      <c r="BD69" s="15" t="s">
        <v>339</v>
      </c>
      <c r="BE69" s="13"/>
      <c r="BF69" s="15" t="s">
        <v>298</v>
      </c>
      <c r="BG69" s="15"/>
    </row>
    <row r="70" spans="17:59" x14ac:dyDescent="0.5">
      <c r="BD70" s="16" t="s">
        <v>520</v>
      </c>
      <c r="BE70" s="18"/>
      <c r="BF70" s="15" t="s">
        <v>504</v>
      </c>
      <c r="BG70" s="15"/>
    </row>
    <row r="71" spans="17:59" x14ac:dyDescent="0.5">
      <c r="BD71" s="15" t="s">
        <v>133</v>
      </c>
      <c r="BF71" s="15" t="s">
        <v>326</v>
      </c>
      <c r="BG71" s="15"/>
    </row>
    <row r="72" spans="17:59" x14ac:dyDescent="0.5">
      <c r="BD72" s="15" t="s">
        <v>456</v>
      </c>
      <c r="BF72" s="16" t="s">
        <v>525</v>
      </c>
      <c r="BG72" s="15"/>
    </row>
    <row r="73" spans="17:59" x14ac:dyDescent="0.5">
      <c r="BD73" s="16" t="s">
        <v>423</v>
      </c>
      <c r="BF73" s="15" t="s">
        <v>270</v>
      </c>
      <c r="BG73" s="15"/>
    </row>
    <row r="74" spans="17:59" x14ac:dyDescent="0.5">
      <c r="BD74" s="13" t="s">
        <v>492</v>
      </c>
      <c r="BF74" s="16" t="s">
        <v>413</v>
      </c>
      <c r="BG74" s="15"/>
    </row>
    <row r="75" spans="17:59" x14ac:dyDescent="0.5">
      <c r="BD75" s="14" t="s">
        <v>496</v>
      </c>
      <c r="BF75" s="15" t="s">
        <v>455</v>
      </c>
      <c r="BG75" s="15"/>
    </row>
    <row r="76" spans="17:59" x14ac:dyDescent="0.5">
      <c r="BD76" s="13" t="s">
        <v>500</v>
      </c>
      <c r="BF76" s="15" t="s">
        <v>472</v>
      </c>
      <c r="BG76" s="15"/>
    </row>
    <row r="77" spans="17:59" x14ac:dyDescent="0.5">
      <c r="BD77" s="16" t="s">
        <v>529</v>
      </c>
      <c r="BF77" s="16" t="s">
        <v>221</v>
      </c>
      <c r="BG77" s="15"/>
    </row>
    <row r="78" spans="17:59" x14ac:dyDescent="0.5">
      <c r="BD78" s="16" t="s">
        <v>413</v>
      </c>
      <c r="BF78" s="16" t="s">
        <v>477</v>
      </c>
      <c r="BG78" s="15"/>
    </row>
    <row r="79" spans="17:59" x14ac:dyDescent="0.5">
      <c r="BD79" s="15" t="s">
        <v>455</v>
      </c>
      <c r="BF79" s="15" t="s">
        <v>454</v>
      </c>
      <c r="BG79" s="15"/>
    </row>
    <row r="80" spans="17:59" x14ac:dyDescent="0.5">
      <c r="BD80" s="14" t="s">
        <v>505</v>
      </c>
      <c r="BF80" s="15" t="s">
        <v>399</v>
      </c>
      <c r="BG80" s="15"/>
    </row>
    <row r="81" spans="56:59" x14ac:dyDescent="0.5">
      <c r="BD81" s="16" t="s">
        <v>519</v>
      </c>
      <c r="BF81" s="16" t="s">
        <v>432</v>
      </c>
      <c r="BG81" s="16"/>
    </row>
    <row r="82" spans="56:59" x14ac:dyDescent="0.5">
      <c r="BD82" s="13" t="s">
        <v>511</v>
      </c>
      <c r="BF82" s="15" t="s">
        <v>473</v>
      </c>
      <c r="BG82" s="15"/>
    </row>
    <row r="83" spans="56:59" x14ac:dyDescent="0.5">
      <c r="BD83" s="15" t="s">
        <v>136</v>
      </c>
      <c r="BF83" s="16" t="s">
        <v>343</v>
      </c>
      <c r="BG83" s="16"/>
    </row>
    <row r="84" spans="56:59" x14ac:dyDescent="0.5">
      <c r="BD84" s="16" t="s">
        <v>517</v>
      </c>
      <c r="BF84" s="16" t="s">
        <v>313</v>
      </c>
      <c r="BG84" s="15"/>
    </row>
    <row r="85" spans="56:59" x14ac:dyDescent="0.5">
      <c r="BD85" s="13" t="s">
        <v>369</v>
      </c>
      <c r="BF85" s="15" t="s">
        <v>482</v>
      </c>
      <c r="BG85" s="15"/>
    </row>
    <row r="86" spans="56:59" x14ac:dyDescent="0.5">
      <c r="BD86" s="15" t="s">
        <v>526</v>
      </c>
      <c r="BF86" s="19" t="s">
        <v>141</v>
      </c>
      <c r="BG86" s="15"/>
    </row>
    <row r="87" spans="56:59" x14ac:dyDescent="0.5">
      <c r="BD87" s="16" t="s">
        <v>491</v>
      </c>
      <c r="BF87" s="16" t="s">
        <v>142</v>
      </c>
      <c r="BG87" s="19"/>
    </row>
    <row r="88" spans="56:59" x14ac:dyDescent="0.5">
      <c r="BD88" s="15" t="s">
        <v>499</v>
      </c>
      <c r="BF88" s="16" t="s">
        <v>122</v>
      </c>
    </row>
    <row r="89" spans="56:59" x14ac:dyDescent="0.5">
      <c r="BD89" s="16"/>
      <c r="BF89" s="16" t="s">
        <v>403</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E84D97-A311-4630-AB16-8B707CC5D111}">
  <ds:schemaRefs>
    <ds:schemaRef ds:uri="http://purl.org/dc/dcmitype/"/>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5fb26c54-8ae7-4c35-a8dd-e5095fbe886d"/>
    <ds:schemaRef ds:uri="http://schemas.microsoft.com/office/infopath/2007/PartnerControls"/>
    <ds:schemaRef ds:uri="91d06b0e-e43f-423b-9ab9-9a6b45a2a239"/>
    <ds:schemaRef ds:uri="http://purl.org/dc/terms/"/>
  </ds:schemaRefs>
</ds:datastoreItem>
</file>

<file path=customXml/itemProps2.xml><?xml version="1.0" encoding="utf-8"?>
<ds:datastoreItem xmlns:ds="http://schemas.openxmlformats.org/officeDocument/2006/customXml" ds:itemID="{2306D339-C521-4A83-A174-FB98CD4A4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75AF0D-8238-4DC6-AB76-0A3F3F11BB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2026-05-12T16:10:11Z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y fmtid="{D5CDD505-2E9C-101B-9397-08002B2CF9AE}" pid="3" name="MediaServiceImageTags">
    <vt:lpwstr/>
  </property>
</Properties>
</file>