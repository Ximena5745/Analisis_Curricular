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f15395a9ed9a48f/Proyectos_DS/Analisis_Curricular/data/raw/FORMATOS RA CICLO UNO RC/"/>
    </mc:Choice>
  </mc:AlternateContent>
  <xr:revisionPtr revIDLastSave="4" documentId="13_ncr:1_{9203AFB7-A4B7-4F18-9E23-34AE22EF76C0}" xr6:coauthVersionLast="47" xr6:coauthVersionMax="47" xr10:uidLastSave="{1E155A06-DFE2-4496-BC5C-0F64B75CD74C}"/>
  <bookViews>
    <workbookView xWindow="-108" yWindow="-108" windowWidth="23256" windowHeight="12456" tabRatio="796" firstSheet="5" activeTab="5" xr2:uid="{BD68381A-4EB3-42BA-ADD5-D7B5B6C7E498}"/>
  </bookViews>
  <sheets>
    <sheet name="Paso1 Analisis perfil egreso" sheetId="1" r:id="rId1"/>
    <sheet name="Paso 2 Redacción competen" sheetId="6" r:id="rId2"/>
    <sheet name="Paso 3 Redacción RA" sheetId="15" r:id="rId3"/>
    <sheet name="Paso 3 Redacción RA - Backup " sheetId="5" state="hidden" r:id="rId4"/>
    <sheet name="Paso 4 Estrategias mesocurricu" sheetId="8" r:id="rId5"/>
    <sheet name="Paso 5 Estrategias micro" sheetId="14" r:id="rId6"/>
    <sheet name="Taxonomía para competencias" sheetId="10" r:id="rId7"/>
    <sheet name="Taxonomias para RA" sheetId="7" r:id="rId8"/>
  </sheets>
  <definedNames>
    <definedName name="_xlnm._FilterDatabase" localSheetId="2" hidden="1">'Paso 3 Redacción RA'!$A$2:$K$12</definedName>
    <definedName name="_xlnm._FilterDatabase" localSheetId="3" hidden="1">'Paso 3 Redacción RA - Backup '!$A$2:$K$12</definedName>
    <definedName name="_xlnm._FilterDatabase" localSheetId="4" hidden="1">'Paso 4 Estrategias mesocurricu'!$A$1:$F$45</definedName>
    <definedName name="_xlnm._FilterDatabase" localSheetId="5" hidden="1">'Paso 5 Estrategias micro'!$A$2:$Q$107</definedName>
    <definedName name="ActitudinalBAK">'Taxonomias para RA'!$AC$3:$AG$3</definedName>
    <definedName name="Bloom">'Taxonomias para RA'!$G$3:$I$3</definedName>
    <definedName name="Celda_Creditos_por_materia">#REF!,#REF!,#REF!,#REF!,#REF!,#REF!,#REF!,#REF!,#REF!,#REF!,#REF!,#REF!,#REF!,#REF!,#REF!,#REF!,#REF!,#REF!,#REF!,#REF!,#REF!,#REF!,#REF!,#REF!,#REF!,#REF!,#REF!,#REF!,#REF!,#REF!,#REF!,#REF!,#REF!,#REF!,#REF!,#REF!,#REF!,#REF!,#REF!</definedName>
    <definedName name="Circutos">'Paso 2 Redacción competen'!#REF!</definedName>
    <definedName name="Codigo_de_materia">#REF!,#REF!,#REF!,#REF!,#REF!,#REF!,#REF!,#REF!,#REF!,#REF!,#REF!,#REF!,#REF!,#REF!,#REF!,#REF!,#REF!,#REF!,#REF!,#REF!,#REF!,#REF!,#REF!,#REF!,#REF!,#REF!,#REF!,#REF!,#REF!,#REF!,#REF!,#REF!,#REF!,#REF!,#REF!,#REF!,#REF!,#REF!,#REF!</definedName>
    <definedName name="CognitivoBAK">'Taxonomias para RA'!$S$3:$X$3</definedName>
    <definedName name="CompetenciaEspecifica1">'Paso 2 Redacción competen'!#REF!</definedName>
    <definedName name="ComponentesCompetencias">'Paso1 Analisis perfil egreso'!$E$2:$G$2</definedName>
    <definedName name="Creditos">#REF!,#REF!,#REF!,#REF!,#REF!,#REF!,#REF!,#REF!,#REF!</definedName>
    <definedName name="FACULTADES">#REF!</definedName>
    <definedName name="Nombre">#REF!,#REF!,#REF!,#REF!,#REF!,#REF!,#REF!,#REF!,#REF!,#REF!,#REF!,#REF!,#REF!,#REF!,#REF!,#REF!,#REF!,#REF!,#REF!,#REF!,#REF!,#REF!,#REF!,#REF!,#REF!,#REF!,#REF!,#REF!,#REF!,#REF!,#REF!,#REF!,#REF!,#REF!,#REF!,#REF!,#REF!,#REF!,#REF!,#REF!,#REF!,#REF!,#REF!,#REF!,#REF!,#REF!,#REF!,#REF!</definedName>
    <definedName name="ProcedimentalBAK">'Taxonomias para RA'!$Y$3:$AB$3</definedName>
    <definedName name="RA">'Paso 5 Estrategias micro'!$B$8</definedName>
    <definedName name="resultadoaprendizaje">#REF!</definedName>
    <definedName name="TIC">'Paso 2 Redacción competen'!#REF!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4" i="14" l="1"/>
  <c r="R104" i="14"/>
  <c r="S103" i="14"/>
  <c r="R103" i="14"/>
  <c r="S80" i="14"/>
  <c r="R80" i="14"/>
  <c r="S60" i="14"/>
  <c r="R60" i="14"/>
  <c r="S40" i="14"/>
  <c r="R40" i="14"/>
  <c r="S26" i="14"/>
  <c r="R26" i="14"/>
  <c r="R13" i="14"/>
  <c r="S13" i="14"/>
  <c r="A98" i="14"/>
  <c r="A39" i="14"/>
  <c r="A40" i="14"/>
  <c r="A6" i="14" l="1"/>
  <c r="A103" i="14" l="1"/>
  <c r="A102" i="14"/>
  <c r="A101" i="14"/>
  <c r="A95" i="14"/>
  <c r="A94" i="14"/>
  <c r="A93" i="14"/>
  <c r="A92" i="14"/>
  <c r="A91" i="14"/>
  <c r="A90" i="14"/>
  <c r="A89" i="14"/>
  <c r="A88" i="14"/>
  <c r="A87" i="14"/>
  <c r="A86" i="14"/>
  <c r="A85" i="14"/>
  <c r="A84" i="14"/>
  <c r="A82" i="14"/>
  <c r="A83" i="14"/>
  <c r="A79" i="14"/>
  <c r="A100" i="14"/>
  <c r="A99" i="14"/>
  <c r="A97" i="14"/>
  <c r="A96" i="14"/>
  <c r="A75" i="14"/>
  <c r="A64" i="14"/>
  <c r="A59" i="14"/>
  <c r="A57" i="14"/>
  <c r="A56" i="14"/>
  <c r="A55" i="14"/>
  <c r="A54" i="14"/>
  <c r="A53" i="14"/>
  <c r="A49" i="14"/>
  <c r="A50" i="14"/>
  <c r="A68" i="14"/>
  <c r="A67" i="14"/>
  <c r="A66" i="14"/>
  <c r="A46" i="14"/>
  <c r="A36" i="14"/>
  <c r="A37" i="14"/>
  <c r="A33" i="14"/>
  <c r="A25" i="14"/>
  <c r="A22" i="14"/>
  <c r="A17" i="14"/>
  <c r="A13" i="14"/>
  <c r="A20" i="14" l="1"/>
  <c r="A76" i="14"/>
  <c r="A74" i="14"/>
  <c r="A71" i="14"/>
  <c r="J107" i="14" l="1"/>
  <c r="J106" i="14" l="1"/>
  <c r="J104" i="14" l="1"/>
  <c r="J105" i="14" l="1"/>
  <c r="L38" i="14" l="1"/>
  <c r="K38" i="14"/>
  <c r="A38" i="14"/>
  <c r="D104" i="14" l="1"/>
  <c r="A21" i="14"/>
  <c r="A52" i="14"/>
  <c r="A51" i="14"/>
  <c r="A48" i="14"/>
  <c r="A73" i="14"/>
  <c r="A60" i="14"/>
  <c r="A58" i="14"/>
  <c r="A35" i="14"/>
  <c r="A34" i="14"/>
  <c r="A32" i="14"/>
  <c r="A31" i="14"/>
  <c r="A14" i="14"/>
  <c r="A26" i="14"/>
  <c r="A24" i="14"/>
  <c r="A23" i="14"/>
  <c r="A19" i="14"/>
  <c r="A18" i="14"/>
  <c r="A12" i="14"/>
  <c r="A11" i="14"/>
  <c r="A15" i="14"/>
  <c r="K15" i="14"/>
  <c r="L15" i="14"/>
  <c r="M15" i="14" l="1"/>
  <c r="L73" i="14" l="1"/>
  <c r="K73" i="14"/>
  <c r="L58" i="14"/>
  <c r="K58" i="14"/>
  <c r="L20" i="14"/>
  <c r="K20" i="14"/>
  <c r="L27" i="14"/>
  <c r="K27" i="14"/>
  <c r="L41" i="14"/>
  <c r="K41" i="14"/>
  <c r="L28" i="14"/>
  <c r="K28" i="14"/>
  <c r="L31" i="14"/>
  <c r="K31" i="14"/>
  <c r="L35" i="14"/>
  <c r="K35" i="14"/>
  <c r="K42" i="14"/>
  <c r="L42" i="14"/>
  <c r="L14" i="14"/>
  <c r="K14" i="14"/>
  <c r="L4" i="14"/>
  <c r="K4" i="14"/>
  <c r="L24" i="14"/>
  <c r="K24" i="14"/>
  <c r="L91" i="14"/>
  <c r="K91" i="14"/>
  <c r="L101" i="14"/>
  <c r="K101" i="14"/>
  <c r="L96" i="14"/>
  <c r="K96" i="14"/>
  <c r="L77" i="14"/>
  <c r="K77" i="14"/>
  <c r="L81" i="14"/>
  <c r="K81" i="14"/>
  <c r="L84" i="14"/>
  <c r="K84" i="14"/>
  <c r="L48" i="14"/>
  <c r="K48" i="14"/>
  <c r="L66" i="14"/>
  <c r="K66" i="14"/>
  <c r="L61" i="14"/>
  <c r="K61" i="14"/>
  <c r="L69" i="14"/>
  <c r="K69" i="14"/>
  <c r="L63" i="14"/>
  <c r="K63" i="14"/>
  <c r="L88" i="14"/>
  <c r="K88" i="14"/>
  <c r="L53" i="14"/>
  <c r="K53" i="14"/>
  <c r="L44" i="14"/>
  <c r="K44" i="14"/>
  <c r="L29" i="14"/>
  <c r="K29" i="14"/>
  <c r="L18" i="14"/>
  <c r="K18" i="14"/>
  <c r="L5" i="14"/>
  <c r="K5" i="14"/>
  <c r="L8" i="14"/>
  <c r="K8" i="14"/>
  <c r="L11" i="14"/>
  <c r="K11" i="14"/>
  <c r="A3" i="14"/>
  <c r="A8" i="14"/>
  <c r="A9" i="14"/>
  <c r="A10" i="14"/>
  <c r="L3" i="14"/>
  <c r="K3" i="14"/>
  <c r="A5" i="14"/>
  <c r="A7" i="14"/>
  <c r="A16" i="14"/>
  <c r="A4" i="14"/>
  <c r="A29" i="14"/>
  <c r="A30" i="14"/>
  <c r="A44" i="14"/>
  <c r="A45" i="14"/>
  <c r="A47" i="14"/>
  <c r="A28" i="14"/>
  <c r="A42" i="14"/>
  <c r="A43" i="14"/>
  <c r="A41" i="14"/>
  <c r="A27" i="14"/>
  <c r="A63" i="14"/>
  <c r="A65" i="14"/>
  <c r="A69" i="14"/>
  <c r="A70" i="14"/>
  <c r="A72" i="14"/>
  <c r="A61" i="14"/>
  <c r="A62" i="14"/>
  <c r="A81" i="14"/>
  <c r="A77" i="14"/>
  <c r="A78" i="14"/>
  <c r="A80" i="14"/>
  <c r="M58" i="14" l="1"/>
  <c r="M24" i="14"/>
  <c r="M20" i="14"/>
  <c r="M3" i="14"/>
  <c r="M18" i="14"/>
  <c r="M61" i="14"/>
  <c r="M81" i="14"/>
  <c r="M41" i="14"/>
  <c r="M73" i="14"/>
  <c r="M8" i="14"/>
  <c r="M88" i="14"/>
  <c r="M77" i="14"/>
  <c r="M27" i="14"/>
  <c r="M101" i="14"/>
  <c r="M4" i="14"/>
  <c r="M42" i="14"/>
  <c r="M29" i="14"/>
  <c r="M66" i="14"/>
  <c r="M96" i="14"/>
  <c r="M28" i="14"/>
  <c r="M53" i="14"/>
  <c r="M5" i="14"/>
  <c r="M44" i="14"/>
  <c r="M63" i="14"/>
  <c r="M11" i="14"/>
  <c r="M69" i="14"/>
  <c r="M84" i="14"/>
  <c r="M14" i="14"/>
  <c r="M91" i="14"/>
  <c r="M48"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2" authorId="0" shapeId="0" xr:uid="{1E9ADF6B-E7FE-46F9-A416-83B5EEE1C33F}">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66C8682-E9AB-4C94-83D5-BDABD3C9751A}">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607FF329-B1BA-4E60-897A-6011F6BE0B48}">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4C8FD7BF-69F3-4EE3-BF00-86DAE4C95B59}">
      <text>
        <r>
          <rPr>
            <b/>
            <sz val="9"/>
            <color indexed="81"/>
            <rFont val="Tahoma"/>
            <family val="2"/>
          </rPr>
          <t>Dir. Currículo:</t>
        </r>
        <r>
          <rPr>
            <sz val="9"/>
            <color indexed="81"/>
            <rFont val="Tahoma"/>
            <family val="2"/>
          </rPr>
          <t xml:space="preserve">
Áreas en las que podrá laborar el profesional.</t>
        </r>
      </text>
    </comment>
    <comment ref="I2" authorId="0" shapeId="0" xr:uid="{D80561B2-9238-40B1-BCAC-A2900C16BB2A}">
      <text>
        <r>
          <rPr>
            <b/>
            <sz val="9"/>
            <color indexed="81"/>
            <rFont val="Tahoma"/>
            <family val="2"/>
          </rPr>
          <t>Dir. Currículo:</t>
        </r>
        <r>
          <rPr>
            <sz val="9"/>
            <color indexed="81"/>
            <rFont val="Tahoma"/>
            <family val="2"/>
          </rPr>
          <t xml:space="preserve">
Tareas potenciales que hará el profesional.</t>
        </r>
      </text>
    </comment>
    <comment ref="J2" authorId="0" shapeId="0" xr:uid="{910BAA13-07A6-4EFE-A19E-F083161C96F3}">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BABE39E6-C0DA-47B6-A10D-ECA03B3BA91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AE119CD1-D0D7-4F88-8CD5-00081530DC87}">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2" authorId="0" shapeId="0" xr:uid="{A8E80D42-94C0-4781-8FCE-3D3530E25D52}">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2" authorId="0" shapeId="0" xr:uid="{F4110995-1467-4D20-B839-29023BFAEBF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2" authorId="0" shapeId="0" xr:uid="{4E14A77D-E3A8-4B7B-B617-3C89D59C2DC3}">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2" authorId="0" shapeId="0" xr:uid="{60DC37CE-D668-474D-8A19-C4AF0EAA5C5A}">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2" authorId="0" shapeId="0" xr:uid="{8003939F-4001-4AFA-B7C4-32352928747B}">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9438B058-DB6C-4283-8905-4056D954190F}">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14FB4C41-FF3C-44C5-95C1-8A4EE311743B}">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EFD61953-6209-4CEE-9F36-7150401928E6}">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F6FF8774-B45E-4C88-9403-3210A2925AA7}">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7E689BBA-8C09-4929-8692-0ADD44D3FE56}">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5F8F8C73-2ED9-43ED-BD56-F53184EE0D4B}">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8295FED-0624-4265-A5C1-6FA511157A6F}">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64D8F347-8090-4B7B-A6D7-1CF5339305BE}">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7B46A44-2897-4E74-8832-74035C2B809F}">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37C83751-6000-4757-A6C7-3A73119E4A5B}">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B9C7F80E-8B23-4629-8207-1D899FEE9EE0}">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DE96D98-6AD3-44BE-9DD5-AB5F84B66625}">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F9EA092C-8F61-4197-8E6C-64F779A26A75}">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ComponentesCompetencias" description="Conexión a la consulta 'ComponentesCompetencias' en el libro." type="5" refreshedVersion="0" background="1" saveData="1">
    <dbPr connection="Provider=Microsoft.Mashup.OleDb.1;Data Source=$Workbook$;Location=ComponentesCompetencias;Extended Properties=&quot;&quot;" command="SELECT * FROM [ComponentesCompetencias]"/>
  </connection>
</connections>
</file>

<file path=xl/sharedStrings.xml><?xml version="1.0" encoding="utf-8"?>
<sst xmlns="http://schemas.openxmlformats.org/spreadsheetml/2006/main" count="2462" uniqueCount="796">
  <si>
    <t>[Escribir el nombre del programa]</t>
  </si>
  <si>
    <t>[Escribir la modalidad: presencial o virtual]</t>
  </si>
  <si>
    <t>[Escribir el perfil profesional del egresado.]</t>
  </si>
  <si>
    <t>[Escribir el perfil ocupacional del egresado.]</t>
  </si>
  <si>
    <r>
      <rPr>
        <b/>
        <sz val="8"/>
        <color theme="0"/>
        <rFont val="Gill Sans MT"/>
        <family val="2"/>
      </rPr>
      <t>Componentes fundamentales aplicables a la solución de problemas en la vida profesional</t>
    </r>
    <r>
      <rPr>
        <sz val="8"/>
        <color theme="0"/>
        <rFont val="Gill Sans MT"/>
        <family val="2"/>
      </rPr>
      <t xml:space="preserve">
[Listar, según lo escrito en el perfil profesional, qué debe saber el egresado en las categorías de Saber -conocimientos, hechos, teorías-, Saber hacer -técnicas, procedimientos, metodologías-, y Saber ser -valores, condiciones, etc.]</t>
    </r>
  </si>
  <si>
    <r>
      <rPr>
        <b/>
        <sz val="8"/>
        <color theme="0"/>
        <rFont val="Gill Sans MT"/>
        <family val="2"/>
      </rPr>
      <t>Componentes fundamentales de la ocupación laboral del profesional</t>
    </r>
    <r>
      <rPr>
        <sz val="8"/>
        <color theme="0"/>
        <rFont val="Gill Sans MT"/>
        <family val="2"/>
      </rPr>
      <t xml:space="preserve">
[Listar, según lo escrito en el perfil ocupacional, en qué áreas, qué tareas potenciales y en qué poblaciones o contextos podrá laborar el profesional.]</t>
    </r>
  </si>
  <si>
    <r>
      <rPr>
        <b/>
        <sz val="8"/>
        <color theme="0"/>
        <rFont val="Gill Sans MT"/>
        <family val="2"/>
      </rPr>
      <t>Diferencial (valor agregado) del profesional</t>
    </r>
    <r>
      <rPr>
        <sz val="8"/>
        <color theme="0"/>
        <rFont val="Gill Sans MT"/>
        <family val="2"/>
      </rPr>
      <t xml:space="preserve">
[Listar,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</si>
  <si>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</si>
  <si>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</si>
  <si>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</si>
  <si>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</si>
  <si>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</si>
  <si>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</si>
  <si>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</si>
  <si>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</si>
  <si>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</si>
  <si>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</si>
  <si>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</si>
  <si>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Tecnología en Mercadeo y Publicidad</t>
  </si>
  <si>
    <t>Presencial</t>
  </si>
  <si>
    <t>El egresado del programa de Tecnología en Mercadeo y Publicidad integra fundamentos del mercadeo y la publicidad como base conceptual para la ejecución de acciones comerciales y comunicativas, de acuerdo con lineamientos y estrategias definidas organizacionalmente. Implementa acciones tácticas de mercadeo y publicidad mediante campañas y actividades en canales presenciales y digitales, utilizando herramientas de segmentación, gestión de contenidos, plataformas digitales y métricas de desempeño. Articula su actuación con equipos de trabajo, audiencias y actores involucrados, participando en procesos de co-creación de valor, comunicando resultados operativos, reportando el seguimiento de indicadores y aplicando ajustes técnicos conforme a lineamientos organizacionales.</t>
  </si>
  <si>
    <t>El Tecnólogo en Mercadeo y Publicidad se desempeña en áreas de mercadeo, publicidad, marketing digital, medios, trade marketing y ventas en organizaciones de distintos sectores económicos. Desarrolla funciones asociadas a la implementación y organización de acciones tácticas de mercadeo y comunicación publicitaria, la ejecución de campañas en entornos presenciales y digitales, la gestión operativa de contenidos y comunidades digitales, así como la realización de actividades promocionales en puntos de venta. Asimismo, realiza el seguimiento a campañas y procesos comerciales mediante indicadores de desempeño, consolida información y elabora reportes operativos, participando en programas y proyectos de mercadeo y publicidad definidos por la organización.</t>
  </si>
  <si>
    <t>fundamentos de mercadeo y publicidad</t>
  </si>
  <si>
    <t>ejecutar acciones comerciales y comunicativas</t>
  </si>
  <si>
    <t>de acuerdo con lineamientos organizacionales, criterios operativos y requerimientos establecidos</t>
  </si>
  <si>
    <t>Auxiliar o Analista Junior de Mercadeo/Asistente de Branding/Asistente de Publicidad/Ejecutivo Junior de Cuenta/Asistente de Cuentas y Apoyo a Planeación o Producción/Copy Junior/Asistente Creativo/Asistente de Medios/Analista Junior de Pauta/ Soporte en Optimización Operativa y Reporting/Community Manager/ Analista de Métricas Junior/Gestor de Redes y Soporte de Plataformas/Analista Junior de Indicadores/Apoyo a Tableros/Reportes y Control de Ejecución por KPI/Asistente Comercial/Ejecutivo Comercial Junior/Apoyo a Promociones y Seguimiento de Resultados/Asistente de Trade/Apoyo a Material POP y Visual Merchandiser/Auxiliar de Investigación de Mercados/Encuestador Supervisor/Analista Junior de Datos (tabulación básica) y Reportes/Asistente E-commerce/Apoyo de Catálogo, Promociones o Seguimiento de campaña/Apoyo de Comunicaciones/Community o Medios Institucionales.</t>
  </si>
  <si>
    <t xml:space="preserve">Recolectar, organizar y procesar información de mercado, competencia, consumidor y desempeño comercial para apoyar decisiones tácticas y elaboración de reportes/Levantar requerimientos (brief) y estructurar planes tácticos de mercadeo y comunicación publicitaria (objetivo, público, mensaje, canales, cronograma y recursos), en coherencia con lineamientos de marca/Coordinar y ejecutar campañas y acciones de mercadeo y publicidad en canales presenciales y digitales (ATL, BTL y digital), articulando equipos internos y proveedores y garantizando coherencia con el mensaje y el público objetivo/Gestionar contenidos y comunidades en plataformas digitales, aplicar manuales de identidad y supervisar el uso adecuado de marca en piezas y canales, asegurando consistencia comunicacional/Implementar acciones de trade marketing en puntos de venta (exhibición, material POP, activaciones, inventario promocional y verificación por canal), con reporte de resultados/Realizar seguimiento y control de la ejecución mediante indicadores y elaborar reportes de resultados para apoyar la gestión operativa/Apoyar la gestión comercial y la relación con clientes mediante identificación de oportunidades, soporte a la fuerza de ventas y seguimiento post-actividad para fidelización.
</t>
  </si>
  <si>
    <t>Sector empresarial y corporativo (bienes y servicios)/Agencias y firmas especializadas/Comercio, canales y punto de venta/Marketing digital, plataformas y economía de creadores/E-commerce y marketplaces/Empresas de investigación, análisis e inteligencia de mercados/Medios de comunicación y producción de contenidos/Organizaciones públicas, sociales y culturales/Emprendimiento y prestación de servicios independientes.</t>
  </si>
  <si>
    <t>El programa de Tecnología en Mercadeo y Publicidad del Politécnico Grancolombiano integra en un mismo plan de estudios los campos del mercadeo y la publicidad, ofreciendo una formación articulada que responde a las dinámicas del entorno comercial y comunicativo. Asimismo, incorpora desde etapas tempranas experiencias formativas vinculadas al sector productivo, lo que permite al estudiante fortalecer su capacidad para ejecutar acciones tácticas de mercadeo y comunicación publicitaria, de acuerdo con las demandas del entorno organizacional.</t>
  </si>
  <si>
    <t>herramientas de mercadeo y comunicación publicitaria</t>
  </si>
  <si>
    <t>ejecutar campañas, actividades promocionales y acciones tácticas en entornos presenciales y digitales</t>
  </si>
  <si>
    <t>conforme a los recursos, cronogramas y requerimientos organizacionales</t>
  </si>
  <si>
    <t>métricas de seguimiento de acciones de mercadeo y comunicación publicitaria</t>
  </si>
  <si>
    <t>organizar y registrar los resultados de las acciones ejecutadas</t>
  </si>
  <si>
    <t>a partir de indicadores definidos por la organización</t>
  </si>
  <si>
    <t>fenómenos contemporáneos</t>
  </si>
  <si>
    <t>reconocer sus afectaciones o contribuciones en el marco de las ciudadanías globales y de una sociedad responsable y sostenible.</t>
  </si>
  <si>
    <t>desde una perspectiva global,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</si>
  <si>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</si>
  <si>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</si>
  <si>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</si>
  <si>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</si>
  <si>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</si>
  <si>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</si>
  <si>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</si>
  <si>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</si>
  <si>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</si>
  <si>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</si>
  <si>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</si>
  <si>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</si>
  <si>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</si>
  <si>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</si>
  <si>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</si>
  <si>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Aplicar</t>
  </si>
  <si>
    <t>Aplicar fundamentos de mercadeo y publicidad para ejecutar acciones comerciales y comunicativas, de acuerdo con lineamientos organizacionales, criterios operativos y requerimientos establecidos.</t>
  </si>
  <si>
    <t>Específica</t>
  </si>
  <si>
    <t>Implementar</t>
  </si>
  <si>
    <t>Implementar herramientas de mercadeo y comunicación publicitaria para ejecutar campañas, actividades promocionales y acciones tácticas en entornos presenciales y digitales, conforme a los recursos, cronogramas y requerimientos organizacionales.</t>
  </si>
  <si>
    <t>Emplear</t>
  </si>
  <si>
    <t>Emplear métricas de seguimiento de acciones de mercadeo y comunicación publicitaria para organizar y registrar resultados de las acciones ejecutadas, a partir de indicadores definidos por la organización.</t>
  </si>
  <si>
    <t>Analizar</t>
  </si>
  <si>
    <t>desde una perspectiva global,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</si>
  <si>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</si>
  <si>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</si>
  <si>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</si>
  <si>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</si>
  <si>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</si>
  <si>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</si>
  <si>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</si>
  <si>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</si>
  <si>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</si>
  <si>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</si>
  <si>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</si>
  <si>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</si>
  <si>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</si>
  <si>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</si>
  <si>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</si>
  <si>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</si>
  <si>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</si>
  <si>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</si>
  <si>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</si>
  <si>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</si>
  <si>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</si>
  <si>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</si>
  <si>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AnálisisB</t>
  </si>
  <si>
    <t>Analiza fundamentos de mercadeo y publicidad para determinar su aplicación en acciones comerciales y campañas promocionales, considerando lineamientos organizacionales y criterios operativos establecidos.</t>
  </si>
  <si>
    <t>ProcedimentalB</t>
  </si>
  <si>
    <t>AplicaciónB</t>
  </si>
  <si>
    <t>Aplica fundamentos y herramientas de mercadeo y comunicación publicitaria para desarrollar acciones comerciales y comunicativas, conforme a requerimientos organizacionales y objetivos definidos.</t>
  </si>
  <si>
    <t>ActitudinalB</t>
  </si>
  <si>
    <t>EvaluaciónB</t>
  </si>
  <si>
    <t>Evaluar</t>
  </si>
  <si>
    <t>Evalúa el cumplimiento de lineamientos organizacionales y criterios éticos para aplicar acciones, campañas y procesos de seguimiento en mercadeo y comunicación publicitaria.</t>
  </si>
  <si>
    <t>ConocimientoB</t>
  </si>
  <si>
    <t>Examinar</t>
  </si>
  <si>
    <t>Examina métricas de seguimiento e indicadores organizacionales para interpretar el desempeño de acciones de mercadeo y comunicación publicitaria, según criterios operativos establecidos.</t>
  </si>
  <si>
    <t>Aplica métricas e indicadores organizacionales para evaluar el desempeño de acciones de mercadeo y comunicación publicitaria, conforme a criterios establecidos por la organización.</t>
  </si>
  <si>
    <t>Fenómenos contemporáneos</t>
  </si>
  <si>
    <t>ComprensiónB</t>
  </si>
  <si>
    <t>Identificar</t>
  </si>
  <si>
    <t>Identifica fenómenos contemporáneos y su relación con la profesión, para determinar sus impactos e influencia en la sociedad, de forma responsable y crítica.</t>
  </si>
  <si>
    <t>Dominar los elementos de teoría de circuitos y transmisión de información para diseñar, implementar o administrar la infraestructura eléctrica y los dispositivos electrónicos que dan soporte a los sistemas de telecomunicaciones alineado con prácticas basadas en estándares del sector y la normatividad vigente, teniendo en cuenta las condiciones, restricciones y requerimientos técnicos del entorno.</t>
  </si>
  <si>
    <t xml:space="preserve"> los elementos de teoría de circuitos y transmisión de información</t>
  </si>
  <si>
    <t>BAK</t>
  </si>
  <si>
    <t>CognitivoBAK</t>
  </si>
  <si>
    <t>ComprensiónBAK</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</si>
  <si>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 xml:space="preserve">para explicar </t>
    </r>
    <r>
      <rPr>
        <sz val="11"/>
        <color rgb="FF000000"/>
        <rFont val="Gill Sans MT"/>
        <family val="2"/>
      </rPr>
      <t>soluciones de diseño, administración o implementación a problemáticas del sector, desde un abordaje teórico-práctico, a través de herramientas de simulación, análisis de casos prácticos y uso de equipos de laboratorio.</t>
    </r>
  </si>
  <si>
    <t xml:space="preserve"> para diseñar, implementar o administrar la infraestructura eléctrica y los dispositivos electrónicos que dan soporte a los sistemas de telecomunicaciones</t>
  </si>
  <si>
    <t>ProcedimentalBAK</t>
  </si>
  <si>
    <t>ManipulaciónBAK</t>
  </si>
  <si>
    <r>
      <rPr>
        <b/>
        <sz val="11"/>
        <color rgb="FF000000"/>
        <rFont val="Gill Sans MT"/>
        <family val="2"/>
      </rPr>
      <t>Aplica</t>
    </r>
    <r>
      <rPr>
        <sz val="11"/>
        <color rgb="FF000000"/>
        <rFont val="Gill Sans MT"/>
        <family val="2"/>
      </rPr>
      <t xml:space="preserve"> los elementos de teoría de circuitos, de transmisión de información, de seguridad de la información, de redes de comunicaciones, de sistemas de cómputo, de estandares tecnológicos y marcos de referencia que hacen parte de la gestión de proyectos como del desarrollo de actividades relacionadas a las infraestructuras de TIC, </t>
    </r>
    <r>
      <rPr>
        <b/>
        <sz val="11"/>
        <color rgb="FF000000"/>
        <rFont val="Gill Sans MT"/>
        <family val="2"/>
      </rPr>
      <t xml:space="preserve">para construir </t>
    </r>
    <r>
      <rPr>
        <sz val="11"/>
        <color rgb="FF000000"/>
        <rFont val="Gill Sans MT"/>
        <family val="2"/>
      </rPr>
      <t>propuestas de diseño, implementación o administración de infraestructura eléctrica, dispositivos electrónicos, servicios de comunicaciones en nube o en sitio, sistemas de telecomunicaciones, a través de herramientas de simulación, análisis de casos prácticos y uso de equipos de laboratorio.</t>
    </r>
  </si>
  <si>
    <t xml:space="preserve"> alineado con prácticas basadas en estándares del sector y la normatividad vigente, teniendo en cuenta las condiciones, restricciones y requerimientos técnicos del entorno.</t>
  </si>
  <si>
    <t>ActitudinalBAK</t>
  </si>
  <si>
    <t>ValorarBAK</t>
  </si>
  <si>
    <r>
      <rPr>
        <b/>
        <sz val="11"/>
        <color rgb="FF000000"/>
        <rFont val="Gill Sans MT"/>
        <family val="2"/>
      </rPr>
      <t>Emplea</t>
    </r>
    <r>
      <rPr>
        <sz val="11"/>
        <color rgb="FF000000"/>
        <rFont val="Gill Sans MT"/>
        <family val="2"/>
      </rPr>
      <t xml:space="preserve"> las buenas prácticas de teoría de circuitos y transmisión, y de seguridad de la información, redes y sistemas de cómputo basadas en estándares del sector y la normatividad vigente, teniendo en cuenta las condiciones, restricciones y requerimientos técnicos de un proyecto, </t>
    </r>
    <r>
      <rPr>
        <b/>
        <sz val="11"/>
        <color rgb="FF000000"/>
        <rFont val="Gill Sans MT"/>
        <family val="2"/>
      </rPr>
      <t xml:space="preserve">para formular </t>
    </r>
    <r>
      <rPr>
        <sz val="11"/>
        <color rgb="FF000000"/>
        <rFont val="Gill Sans MT"/>
        <family val="2"/>
      </rPr>
      <t>soluciones en infraestructuras TIC o del área de las telecomunicaciones.</t>
    </r>
  </si>
  <si>
    <t>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t>
  </si>
  <si>
    <t xml:space="preserve"> los elementos de seguridad de la información, redes de comunicaciones y sistemas de cómputo que hacen parte de infraestructuras TIC</t>
  </si>
  <si>
    <r>
      <rPr>
        <b/>
        <sz val="11"/>
        <color rgb="FF000000"/>
        <rFont val="Gill Sans MT"/>
        <family val="2"/>
      </rPr>
      <t>Identifica</t>
    </r>
    <r>
      <rPr>
        <sz val="11"/>
        <color rgb="FF000000"/>
        <rFont val="Gill Sans MT"/>
        <family val="2"/>
      </rPr>
      <t xml:space="preserve"> los elementos de teoría de circuitos, de transmisión de información, de seguridad de la información, de redes de comunicaciones, de sistemas de cómputo, de estandares y marcos de referencia que hacen parte de la gestión de proyectos como del desarrollo de actividades relacionadas a las infraestructuras de TIC, </t>
    </r>
    <r>
      <rPr>
        <b/>
        <sz val="11"/>
        <color rgb="FF000000"/>
        <rFont val="Gill Sans MT"/>
        <family val="2"/>
      </rPr>
      <t>para evaluar</t>
    </r>
    <r>
      <rPr>
        <sz val="11"/>
        <color rgb="FF000000"/>
        <rFont val="Gill Sans MT"/>
        <family val="2"/>
      </rPr>
      <t xml:space="preserve"> soluciones a problemáticas del sector, desde un abordaje teórico-práctico, a través de herramientas de simulación, análisis de casos prácticos y uso de equipos de laboratorio.</t>
    </r>
  </si>
  <si>
    <t xml:space="preserve"> para diseñar, implementar o administrar infraestructuras y servicios de comunicaciones en sitio o en nube</t>
  </si>
  <si>
    <t>Conocer los estándares y marcos de referencia asociados tanto a la gestión de proyectos como al desarrollo de actividades relacionadas a las tecnologías de la información para diseñar, implementar o administrar soluciones del área de las telecomunicaciones, la seguridad de la información y la infraestructura TIC manteniendo una postura socialmente responsable, autónoma, teniendo en cuenta las condiciones, restricciones y requerimientos técnicos del entorno.</t>
  </si>
  <si>
    <t xml:space="preserve"> los estándares y marcos de referencia asociados tanto a la gestión de proyectos como al desarrollo de actividades relacionadas a las tecnologías de la información</t>
  </si>
  <si>
    <t xml:space="preserve"> para diseñar, implementar o administrar soluciones del área de las telecomunicaciones, la seguridad de la información y la infraestructura TIC</t>
  </si>
  <si>
    <t xml:space="preserve"> manteniendo una postura socialmente responsable, autónoma, teniendo en cuenta las condiciones, restricciones y requerimientos técnicos del entorno.</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</si>
  <si>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</si>
  <si>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</si>
  <si>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</si>
  <si>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</si>
  <si>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</si>
  <si>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</si>
  <si>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</si>
  <si>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</si>
  <si>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</si>
  <si>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</si>
  <si>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</si>
  <si>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</si>
  <si>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Journey Enterprise: Visitas Empresariales</t>
  </si>
  <si>
    <t>Actividad de aprendizaje experiencial que permite a los estudiantes conocer directamente la dinámica de las áreas de mercadeo, ventas, branding, producción y publicidad a través de visitas guiadas a empresas del sector.</t>
  </si>
  <si>
    <t>Número de empresas que participan en la actividad de aprendizaje por anualidad.</t>
  </si>
  <si>
    <t>Formar e informar a los estudiantes en torno a las dinámicas organizacionales, estrategias de mercadeo, ventas y branding, fortaleciendo la comprensión de la aplicación práctica de los conceptos teóricos en contextos empresariales reales de variados sectores económicos.</t>
  </si>
  <si>
    <t>Informe o Reporte</t>
  </si>
  <si>
    <t>Número de estudiantes que participan en la estrategia anualmente.</t>
  </si>
  <si>
    <t>Listados de participación</t>
  </si>
  <si>
    <t>Valoración del nivel de aporte de la estrategia a los resultados de aprendizaje del programa.</t>
  </si>
  <si>
    <t>Encuesta de valoración</t>
  </si>
  <si>
    <t>Incorporate: Ejecutivos Destacados</t>
  </si>
  <si>
    <t>Espacio académico en el que ejecutivos de empresas reconocidas comparten con los estudiantes casos empresariales de éxito y experiencias de su ejercicio profesional, fortaleciendo el vínculo entre la teoría y la práctica profesional.</t>
  </si>
  <si>
    <t>Formar a los estudiantes mediante el aprendizaje logrado a partir de los casos de éxito compartidos por profesionales del sector, promoviendo la conexión entre la teoría y la práctica.</t>
  </si>
  <si>
    <t>Feedback: Experiencias Educativas</t>
  </si>
  <si>
    <t>Encuentro entre egresados y estudiantes actuales del programa de Mercadeo y Publicidad, para socializar la experiencia educativa en el POLI y su impacto en el desarrollo profesional y personal, promoviendo el sentido de pertenencia institucional.</t>
  </si>
  <si>
    <t>Número de estudiantes y egresados que participan en la estrategia anualmente.</t>
  </si>
  <si>
    <t>Informar y ayudar a decidir a los estudiantes mediante el intercambio con egresados, para que reconozcan las oportunidades, desafíos y proyecciones del campo profesional, orientando sus decisiones académicas y laborales.</t>
  </si>
  <si>
    <t>Número de veces que se realiza la estrategia anualmente.</t>
  </si>
  <si>
    <t>Working Together: Retos</t>
  </si>
  <si>
    <t>Estrategia de aula invertida y trabajo colaborativo entre academia y empresa, en la que los estudiantes enfrentan situaciones reales del entorno organizacional para diseñar soluciones de mercadeo y comunicación.</t>
  </si>
  <si>
    <t>Formar al propiciar experiencias de aprendizaje basadas en retos colaborativos con empresas, que fortalecen la resolución de problemas reales y preparan al estudiante para enfrentar escenarios laborales complejos.</t>
  </si>
  <si>
    <t>Día del Mercadólogo y Publicidad</t>
  </si>
  <si>
    <t>Espacios prácticos orientados al abordaje detallado de temas específicos del mercadeo y la publicidad, promoviendo el análisis crítico y la aplicación de conocimientos en contextos reales.</t>
  </si>
  <si>
    <t>Formar en el desarrollo de habilidades específicas en mercadeo y publicidad, mediante espacios prácticos que promueven la aplicación de conocimientos y la reflexión crítica sobre temas de actualidad.</t>
  </si>
  <si>
    <t>Marketing Boulevard</t>
  </si>
  <si>
    <t>Estrategia de comunicación, relacionamiento y divulgación académica que fomenta el trabajo en red con instituciones nacionales e internacionales, para promover el intercambio de conocimiento e investigación en mercadeo y publicidad.</t>
  </si>
  <si>
    <t>Informar y formar sobre las tendencias, investigaciones y buenas prácticas del sector, promoviendo el pensamiento crítico y el aprendizaje continuo a través del intercambio académico con expertos nacionales e internacionales.</t>
  </si>
  <si>
    <t>Listas de participación</t>
  </si>
  <si>
    <t>Poli Creative Day</t>
  </si>
  <si>
    <t>Evento académico que aborda temáticas especializadas en mercadeo y publicidad digital, con la participación de invitados expertos del sector que comparten tendencias, herramientas y casos de éxito.</t>
  </si>
  <si>
    <t>Formar e informar a los estudiantes sobre las tendencias del mercadeo y la publicidad digital, fortaleciendo competencias tecnológicas y estratégicas orientadas al entorno digital.</t>
  </si>
  <si>
    <t>Think Up</t>
  </si>
  <si>
    <t>Actividad práctica tipo competencia en la que los estudiantes conforman agencias simuladas para diseñar estrategias publicitarias para clientes de diversos sectores económicos, fortaleciendo su creatividad y capacidad estratégica.</t>
  </si>
  <si>
    <t>Formar e informar, al promover el trabajo en equipo, la creatividad y la toma de decisiones estratégicas frente a clientes de diversos sectores económicos, fortaleciendo la autonomía y el pensamiento crítico del estudiante.</t>
  </si>
  <si>
    <t>Persépoli</t>
  </si>
  <si>
    <t>Evento institucional que reconoce la creatividad, el trabajo colaborativo y la innovación de los estudiantes del POLI en el desarrollo de proyectos de mercadeo y publicidad.</t>
  </si>
  <si>
    <t>Número de eventos que se realizan anualmente.</t>
  </si>
  <si>
    <t>Formar e informar, al reconocer las buenas prácticas, la creatividad y la innovación de los estudiantes, fomentando la reflexión sobre el proceso de aprendizaje y la mejora continua en sus proyectos.</t>
  </si>
  <si>
    <t>Effie College</t>
  </si>
  <si>
    <t>Competencia académica de alcance nacional que promueve el desarrollo de estrategias publicitarias efectivas frente a clientes de diversos sectores económicos, fortaleciendo las competencias comerciales, comunicativas y estratégicas de los estudiantes.</t>
  </si>
  <si>
    <t>Formar e informar, al involucrar a los estudiantes en competencias nacionales que exigen la aplicación rigurosa del conocimiento, permitiéndoles identificar fortalezas y áreas de mejora para su desempeño académico y profesional.</t>
  </si>
  <si>
    <t>Semilleros de Investigación</t>
  </si>
  <si>
    <t>Estrategia de formación investigativa que promueve la participación de estudiantes y docentes en proyectos de indagación sobre problemáticas del campo del mercadeo y la publicidad, bajo el acompañamiento de un docente tutor.</t>
  </si>
  <si>
    <t>Formar y ayudar a decidir, al fomentar el pensamiento investigativo, la indagación y el trabajo colaborativo, orientando a los estudiantes hacia la construcción de proyectos y trayectorias de investigación.</t>
  </si>
  <si>
    <t>Número de publicaciones y / o contenidos en medios de comunicación tradicionales, digitales y redes anualmente.</t>
  </si>
  <si>
    <t>Jóvenes Investigadores</t>
  </si>
  <si>
    <t>Programa de formación científica e investigativa dirigido a egresados destacados interesados en iniciar o fortalecer su trayectoria investigativa, mediante su vinculación a grupos o unidades de investigación con acompañamiento docente.</t>
  </si>
  <si>
    <t>Formar, al fortalecer las competencias investigativas y científicas de los egresados, y ayudar a decidir en la proyección de su desarrollo académico y profesional dentro del campo de la investigación.</t>
  </si>
  <si>
    <t>Participación en Redes Académicas</t>
  </si>
  <si>
    <t>Estrategia que promueve la vinculación de estudiantes y docentes a redes académicas nacionales e internacionales, facilitando la colaboración, el intercambio de información y el desarrollo conjunto de proyectos académicos e investigativos.</t>
  </si>
  <si>
    <t>Informar y formar, al propiciar el intercambio de conocimiento y experiencias con otras instituciones, ampliando la visión académica y profesional de los estudiantes en torno a la investigación, la innovación y la gestión del conocimiento.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</si>
  <si>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</si>
  <si>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</si>
  <si>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</si>
  <si>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</si>
  <si>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</si>
  <si>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</si>
  <si>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</si>
  <si>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</si>
  <si>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</si>
  <si>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</si>
  <si>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</si>
  <si>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</si>
  <si>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</si>
  <si>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</si>
  <si>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</si>
  <si>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</si>
  <si>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</si>
  <si>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</si>
  <si>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</si>
  <si>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</si>
  <si>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</si>
  <si>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</si>
  <si>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</si>
  <si>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</si>
  <si>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</si>
  <si>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</si>
  <si>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</si>
  <si>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</si>
  <si>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</si>
  <si>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</si>
  <si>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</si>
  <si>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Razonamiento Cuantitativo</t>
  </si>
  <si>
    <t>Analiza datos numéricos presentados en tablas, gráficos o textos para proponer soluciones informadas a situaciones problema del contexto.</t>
  </si>
  <si>
    <t>TP</t>
  </si>
  <si>
    <t>X</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</si>
  <si>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</si>
  <si>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</si>
  <si>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</si>
  <si>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</si>
  <si>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</si>
  <si>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</si>
  <si>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</si>
  <si>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</si>
  <si>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Seguimiento, Entre Proyecto: Parte 1, Quiz, Seguimiento, Entre Proyecto: Parte II, Entrevista a expertos, Feria de proyectos , Seguimiento. </t>
  </si>
  <si>
    <t>Taller Creativo</t>
  </si>
  <si>
    <t>Aplica metodologías de ideación y pensamiento creativo para proponer soluciones que resuelvan problemáticas de diferentes disciplinas y contextos.</t>
  </si>
  <si>
    <t>1. Fundamentos del proceso creativo.
2. Potencial creativo y pensamiento divergente.
3. Técnicas y métodos de generación de ideas.
4. Aplicación creativa en proyectos multidisciplinares.</t>
  </si>
  <si>
    <t>Las estrategias pueden variar entre estas u otras:
Trabajo directo:
Clase magistral activa/Talleres/Identificación de problemas/Análisis de contenidos.
Trabajo independiente:
Lecturas complementarias/Búsqueda, recolección, revisión, análisis y síntesis de información/Estructuración de informes, presentaciones, infografías.</t>
  </si>
  <si>
    <t>Las actividades pueden varias entre estas u otras:
Formativas:
Preguntas intercaladas/Rúbrica cualitativa
Sumativas:
Rúbrica Cuantitativa/Quices/Talleres/Parciales/Trabajo Final</t>
  </si>
  <si>
    <t>Fundamentos de Mercadeo y Publicidad</t>
  </si>
  <si>
    <t>Relaciona los conceptos y procesos fundamentales del mercadeo y la comunicación publicitaria para describir propuestas de valor que integren el análisis del mercado, la identificación de necesidades del consumidor y los elementos centrales de la mezcla de mercadeo y del proceso publicitario.</t>
  </si>
  <si>
    <t xml:space="preserve">1. Conceptualización del Mercadeo y proceso de mercadeo.  
2. Conocimiento del mercado y los consumidores. 
3. Diseño de la estrategia y mezcla de Mercadeo orientadas al cliente. 
4. Conceptualización de la Publicidad y el proceso creativo. </t>
  </si>
  <si>
    <t>Comportamiento del Consumidor</t>
  </si>
  <si>
    <t>Analiza de manera integral los factores psicológicos, sociales y culturales del consumidor para identificar insights que orienten decisiones estratégicas de mercadeo y comunicación publicitaria.</t>
  </si>
  <si>
    <t xml:space="preserve">1. Procesos psicológicos del consumidor.    
2. Influencias sociales y culturales en el comportamiento.   
3. Proceso de decisión del consumidor.   
4. Aplicación de insights en estrategias de Mercadeo y Comunicación Publicitaria. </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</si>
  <si>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</si>
  <si>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</si>
  <si>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</si>
  <si>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</si>
  <si>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</si>
  <si>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Segmentación de Mercados</t>
  </si>
  <si>
    <t>Estructura segmentaciones de mercado basadas en el análisis de variables geográficas, demográficas, psicográficas, comportamentales y organizacionales para identificar mercados meta viables que orienten las decisiones de mercadeo y comunicación publicitaria.</t>
  </si>
  <si>
    <t xml:space="preserve">1. Fundamentos estratégicos de la segmentación.
2. Segmentación de mercados de consumo.   
3. Segmentación de mercados empresariales (B2B).
4. Selección del mercado meta y estrategias de cobertura. </t>
  </si>
  <si>
    <t>Fundamentos de Fotografía</t>
  </si>
  <si>
    <t xml:space="preserve">Reconoce los fundamentos técnicos y conceptuales de la fotografía, para aplicar criterios básicos en la valoración de imágenes según su intención comunicativa y tipología visual. </t>
  </si>
  <si>
    <t>1. Contexto y antecedentes de la fotografía.
2. Fundamentos técnicos de la fotografía.
3. Producción de la imagen fotográfica.
4. Tipologías de la imagen fotográfica.</t>
  </si>
  <si>
    <t>Las estrategias pueden variar entre estas u otras:
Trabajo directo
Clases magistrales/Talleres/Laboratorios/Uso de herramientas computacionales/Uso de herramientas para fotografía/Resolución de problemas
Trabajo independiente
Lecturas/Resolución de problemas/Uso de herramientas computacionales/Uso de herramientas para fotografía</t>
  </si>
  <si>
    <t>Las estrategias pueden variar entre las siguientes u otras:
Formativas
Resolución de problemas/Uso de herramientas computacionales/Proyectos
Sumativas
Taller/Laboratorios/Presentación y sustentación de proyectos/Piezas fotográficas</t>
  </si>
  <si>
    <t>Producto y Precio</t>
  </si>
  <si>
    <t>Formula estrategias de producto y precio aplicando herramientas de gestión de valor, innovación, gestión del portafolio y fijación de precios, para estructurar propuestas de valor competitivas, diferenciadas y sostenibles acordes con las necesidades de los clientes.</t>
  </si>
  <si>
    <t xml:space="preserve">1. Creación de valor y propuesta de valor estratégica.   
2. Estrategia y gestión del producto.  
3. Gestión de servicios y experiencia del cliente.  
4. Estrategias y gestión del precio.  </t>
  </si>
  <si>
    <t>Comunicación Publicitaria</t>
  </si>
  <si>
    <t>Aplica métodos creativos, narrativos y visuales para crear conceptos y mensajes publicitarios considerando los objetivos de comunicación, el análisis de las audiencias y la identidad de marca.</t>
  </si>
  <si>
    <t>1. Fundamentación y propósito de la comunicación publicitaria.
2. El brief como insumo estratégico de la comunicación publicitaria.
3. Oportunidades de la mediación tecnológica en la investigación publicitaria. 
4. Plataforma de ejecución.</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</si>
  <si>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</si>
  <si>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</si>
  <si>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</si>
  <si>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</si>
  <si>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</si>
  <si>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</si>
  <si>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</si>
  <si>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</si>
  <si>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moral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</si>
  <si>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Fundamentos de Diseño</t>
  </si>
  <si>
    <t>Reconoce los elementos fundamentales que constituyen una composición visual desde el color, la función y la tipografía y para resolver problemas aplicados a piezas de diseño.
Emplea herramientas análogas y digitales para construir piezas visuales identificando el contexto en el cual se requiere, favoreciendo los objetivos de comunicación propuestos.</t>
  </si>
  <si>
    <t>1. Elementos básicos de composición.
2. El espacio formato.
3. Modulación y tipografía.
4. Color y texturas.</t>
  </si>
  <si>
    <t>Las estrategias pueden variar entre estas u otras:
Trabajo directo
Clases magistrales/Talleres/Laboratorios/Uso de herramientas computacionales/Uso de herramientas para el diseño/Resolución de problemas
Trabajo independiente
Lecturas/Resolución de problemas/Uso de herramientas computacionales/Uso de herramientas para el diseño</t>
  </si>
  <si>
    <t>Las estrategias pueden variar entre las siguientes u otras:
Formativas
Resolución de problemas/Uso de herramientas computacionales/Proyectos
Sumativas
Taller/Laboratorios/Presentación y sustentación de proyectos/Piezas gráficas</t>
  </si>
  <si>
    <t>Comunicaciones Integradas de Mercadeo</t>
  </si>
  <si>
    <t>Diseña una estrategia de comunicación de mercadeo, articulando mensajes, canales y tácticas de comunicación análogas y digitales con un enfoque integral y omnicanal para comunicar valor a los stakeholders de una organización.</t>
  </si>
  <si>
    <t>1. Fundamentos de la comunicación integral de mercadeo.    
2. Herramientas y tácticas de comunicación.   
3. Planeación estratégica de la comunicación.   
4. Evaluación y control del plan de comunicación.</t>
  </si>
  <si>
    <t>Redacción Publicitaria</t>
  </si>
  <si>
    <t>Aplica técnicas narrativas, retóricas y estrategias de comunicación para desarrollar mensajes publicitarios que respondan a los requerimientos establecidos en un reto de comunicación publicitaria.</t>
  </si>
  <si>
    <t xml:space="preserve">1. Pensamiento creativo publicitario y estrategia creativa. 
2. Concepto publicitario como eje de la comunicación.  
3. Ejecución publicitaria. 
4. Speech en la presentación de campañas. </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</si>
  <si>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</si>
  <si>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decisiones en diversos contextos.</t>
  </si>
  <si>
    <t>1. Estadística descriptiva.
2. Teoría de la probabilidad. 
3. Variables aleatorias y distribuciones de probabilidad.
4. Distribuciones de probabilidad discretas y continuas.</t>
  </si>
  <si>
    <t>Las estrategias pueden variar entre estas y otras que emerjan en el proceso formativo.
Trabajo directo:
Clase magistral activa
Ejemplos y talleres en clase
Trabajo independiente:
Lecturas complementarias
Talleres de trabajo autónomo
Actividades de refuerzo</t>
  </si>
  <si>
    <t>Las estrategias pueden variar entre estas y otras que emerjan en el proceso formativo.
Evaluación formativa:
Resolución de problemas
Proyectos
Talleres
Evaluación sumativa:
Talleres
Exposiciones
Pruebas escritas</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</si>
  <si>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</si>
  <si>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</si>
  <si>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t>
  </si>
  <si>
    <t>1. Análisis de la Era del Antropoceno. 
2. Otras Alternativas al Desarrollo Sostenible. 
3. Ciudadanía y Políticas Públicas para el Desarrollo Sostenible. 
4. El aporte de Negocios para la Búsqueda del Desarrollo Sostenible.</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</si>
  <si>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</si>
  <si>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</si>
  <si>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</si>
  <si>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Fundamentación teórica y técnica contable.
2. Elementos de los Estados Financieros y sus características.
3. Transacciones comerciales y operaciones con cuentas de resultado.
4. Estructura de los Estados Financieros.</t>
  </si>
  <si>
    <t>Las estrategias pueden variar entre estas u otras:
Trabajo directo
Clase magistral activa/Análisis o Estudio de casos/Resolución de problemas/Talleres prácticos
Trabajo independiente
Lecturas relacionadas o de materiales complementarios/Resolución de problemas/Ejercicios aplicados/Desarrollo de proyectos/Talleres grupales o individuales/Análisis o Estudio de casos/Elaboración de informes o documentos técnicos</t>
  </si>
  <si>
    <t>Las actividades pueden varias entre estas u otras:
Formativas
Resolución de problemas/Análisis de casos reales o simulados/Talleres/Representaciones gráficas o visuales (mapas conceptuales, infografías, presentaciones, entre otros)
Sumativas
Pruebas escritas/Proyectos aplicados/Estudios de caso/Simulaciones y modelado de procesos/Informes técnicos/Presentaciones orales o defensa de propuestas</t>
  </si>
  <si>
    <t>Investigación de Mercados Cualitativa</t>
  </si>
  <si>
    <t>Aplica técnicas de investigación cualitativa para estructurar estudios de mercado que orienten los procesos de la gestión de mercadeo y la comunicación publicitaria.</t>
  </si>
  <si>
    <t xml:space="preserve">1. Fundamentos epistemológicos y metodológicos de la investigación de mercados.    
2. Diseño de la investigación cualitativa en mercados.  
3. Codificación, análisis e interpretación de datos cualitativos.   
4. Comunicación de resultados y aplicación estratégica. </t>
  </si>
  <si>
    <t>Las estrategias pueden variar entre estas u otras:
Trabajo directo:
Clase magistral activa/Aprendizaje basado en investigación/Talleres/Identificación de problemas/Análisis de contenidos.
Trabajo independiente:
Lecturas complementarias/Búsqueda, recolección, revisión, análisis y síntesis de información/Estructuración de informes, presentaciones, infografías.</t>
  </si>
  <si>
    <t>Distribución Comercial y Logística</t>
  </si>
  <si>
    <t>Planea los flujos logísticos, la cobertura de mercado y los canales de distribución para diseñar estrategias de distribución en canales físicos y digitales que fortalezcan el proceso de entrega de valor al consumidor final.</t>
  </si>
  <si>
    <t xml:space="preserve">1. Fundamentos estratégicos de la distribución y la logística.    
2. Canales de distribución y modelos comerciales.   
3. Estrategias de distribución y entrega de valor.   
4. Trade marketing. </t>
  </si>
  <si>
    <t>Planeación de Medios Publicitarios</t>
  </si>
  <si>
    <t>Utiliza técnicas y datos de audiencias, apoyados en plataformas digitales y estudios de mercado, para planificar acciones de medios publicitarios en entornos multicanales.</t>
  </si>
  <si>
    <t>1. Análisis del ecosistema mediático y del consumidor.
2. Planeación estratégica de medios.
3. Medición, seguimiento y control de pauta.
4. Innovación y tecnologías aplicadas a la planeación de medios.</t>
  </si>
  <si>
    <t>Microeconomía</t>
  </si>
  <si>
    <t xml:space="preserve">Calcula el equilibrio de mercado a partir de los cambios generados en la oferta y la demanda y su implicación en los agentes económicos individuales familias y empresas para soportar la toma de decisiones. </t>
  </si>
  <si>
    <t>1. Conceptos básicos de la ciencia económica. Frontera de posibilidades de producción y circuito económico
2. Análisis microeconómico, funciones, demanda y oferta
3. Estudio de la conducta del consumidor y del productor 
4. Análisis de los costos de producción y de los mercados de competencia perfecta e imperfecta</t>
  </si>
  <si>
    <t>Comercio Internacional</t>
  </si>
  <si>
    <t>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internacionales.</t>
  </si>
  <si>
    <t>T</t>
  </si>
  <si>
    <t>1. Definición y conceptos básicos del comercio internacional
2. Logística, Documentación y Estrategias de Mercado
3. Conceptualización de mercadeo internacional, Financiación y Gestión de Riesgos
4. Herramientas, practicas, innovación y sostenibilidad en el comercio internacional</t>
  </si>
  <si>
    <t>Costos y Presupuestos</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</si>
  <si>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</si>
  <si>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1. Conceptualización general de los costos. 
2. Sistemas de costeo y aplicación de los costos en la toma de decisiones. 
3. Presupuesto maestro.
4. Estados financieros proyectados.</t>
  </si>
  <si>
    <t>Investigación de Mercados Cuantitativa</t>
  </si>
  <si>
    <t>Aplica técnicas de investigación cuantitativa para estructurar estudios de mercado que orienten los procesos de la gestión de mercadeo y la comunicación publicitaria.</t>
  </si>
  <si>
    <t xml:space="preserve">1. Fundamentos y estructura de la investigación cuantitativa.     
2. Diseño y planeación del estudio cuantitativo.   
3. Recolección, codificación, procesamiento y análisis de datos.    
4. Comunicación, presentación y uso estratégico de los resultados.   </t>
  </si>
  <si>
    <t>Mercadeo Relacional</t>
  </si>
  <si>
    <t>Diseña estrategias de gestión de relaciones con clientes para proponer acciones orientadas a fidelizar, personalizar y gestionar la rentabilidad del cliente en el proceso de co-creación de valor.</t>
  </si>
  <si>
    <t>1. Fundamentos estratégicos del mercadeo relacional.   
2. Construcción y análisis del cliente para la gestión de relaciones.  
3. Estrategias y tácticas relacionales orientadas a la co-creación de valor.
4. Medición, automatización y sostenibilidad de las relaciones con clientes.</t>
  </si>
  <si>
    <t>Publicidad Digital</t>
  </si>
  <si>
    <t>Analiza la empresa, la marca, los grupos objetivos y los ecosistemas digitales para diseñar estrategias de comunicación digital.</t>
  </si>
  <si>
    <t>1. Entornos y ecosistemas digitales.
2. Segmentación y audiencias digitales.
3. Planeación estratégica y creativa de la publicidad digital.
4. Data, tecnología e inteligencia artificial aplicada.</t>
  </si>
  <si>
    <t>Marketing de Contenidos</t>
  </si>
  <si>
    <t>Desarrolla una estrategia de contenidos relacionada con la atracción, interacción y fidelización de públicos objetivos en entornos digitales para proponer narrativas estructuradas y estrategias transmediales.</t>
  </si>
  <si>
    <t xml:space="preserve">1. Fundamentos del Marketing de Contenidos. 
2. Diseño narrativo y story systems.    
3. Producción y formatos de contenido.    
4. Estrategias avanzadas de contenido.  </t>
  </si>
  <si>
    <t>Derecho Comercial y Laboral</t>
  </si>
  <si>
    <t>Caracteriza los negocios jurídicos tanto en los actos de comercio como en las relaciones laborales en atención a la legislación vigente para crear modelos de empresas o contratos civiles, comerciales y laborales.</t>
  </si>
  <si>
    <t>1.	Historia, principios generales y fuentes del derecho laboral 
2.	Contrato de trabajo, jornada laboral, salario y prestaciones sociales
3.	Acercamiento al derecho comercial  
4.	Costumbre mercantil</t>
  </si>
  <si>
    <t>Finanzas para la Gestión Comercial</t>
  </si>
  <si>
    <t>Aplica técnicas de análisis financiero, de costos, precios y rentabilidad para evaluar el impacto de las decisiones comerciales sobre el desempeño financiero de la empresa.</t>
  </si>
  <si>
    <t xml:space="preserve">1. Fundamentos financieros para la decisión comercial.    
2. Análisis de costos, gastos, precios y rentabilidad en la estrategia comercial.    
3. Gestión presupuestal y control financiero en la gestión comercial.   
4. Evaluación financiera de actividades de marketing. </t>
  </si>
  <si>
    <t>Tendencias Publicitarias</t>
  </si>
  <si>
    <t>Aplica métodos de análisis de tendencias publicitarias emergentes para identificar oportunidades de comunicación publicitaria en contextos culturales, tecnológicos y sociales.</t>
  </si>
  <si>
    <t>1. Contextualización y conceptualización de tendencias publicitarias.
2. Investigación e identificación de tendencias publicitarias.
3. Innovación y aplicación creativa basada en tendencias.
4. Prospectiva e inteligencia aplicada a la innovación publicitaria.</t>
  </si>
  <si>
    <t>Plan de Mercadeo</t>
  </si>
  <si>
    <t>Interpreta la situación mercadológica de la empresa para estructurar un plan de mercadeo alineado con los objetivos organizacionales.</t>
  </si>
  <si>
    <t xml:space="preserve">1. Conceptualización del plan de mercadeo.    
2. Etapa de diagnóstico del plan de mercadeo.   
3. Etapa de formulación estratégica y táctica del plan de mercadeo.   
4. Etapa de presupuestación y control del plan de mercadeo.  </t>
  </si>
  <si>
    <t>Campañas de Comunicación Publicitaria</t>
  </si>
  <si>
    <t>Diseña una campaña de comunicación publicitaria integral, con propuestas de estrategia creativa coherentes con el contexto cultural, la marca y los medios de comunicación, para responder a las necesidades de los anunciantes planteadas en un brief.</t>
  </si>
  <si>
    <t>1. Análisis, síntesis y visión estratégica.
2. Estrategia y creatividad publicitaria.
3. Ejecución y gestión de campañas publicitarias.
4. Indicadores de gestión y métricas de campaña.</t>
  </si>
  <si>
    <t>Análisis Publicitario</t>
  </si>
  <si>
    <t>Analiza elementos estratégicos, visuales y culturales en mensajes de medios tradicionales y digitales para aplicar técnicas que evalúen el impacto en la comunicación publicitaria.</t>
  </si>
  <si>
    <t>1. Fundamentos del análisis publicitario y lectura crítica de mensajes.
2. Semiótica, narrativa visual y cultura de marca.
3. Análisis estratégico y argumentativo de campañas.
4. Evaluación de impacto y tendencias analíticas en publicidad.</t>
  </si>
  <si>
    <t>Total asignaturas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</si>
  <si>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</si>
  <si>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</si>
  <si>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</si>
  <si>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</si>
  <si>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</si>
  <si>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</si>
  <si>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</si>
  <si>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</si>
  <si>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</si>
  <si>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</si>
  <si>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</si>
  <si>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</si>
  <si>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Conocer</t>
  </si>
  <si>
    <t>Coordinar</t>
  </si>
  <si>
    <t>Definir</t>
  </si>
  <si>
    <t>Desarrollar</t>
  </si>
  <si>
    <t>Dirigir</t>
  </si>
  <si>
    <t>Diseñar</t>
  </si>
  <si>
    <t>Dominar</t>
  </si>
  <si>
    <t>Establecer</t>
  </si>
  <si>
    <t>Fiscalizar</t>
  </si>
  <si>
    <t>Formular</t>
  </si>
  <si>
    <t>Generar</t>
  </si>
  <si>
    <t>Gestionar</t>
  </si>
  <si>
    <t>Hacer</t>
  </si>
  <si>
    <t>Integrar</t>
  </si>
  <si>
    <t>Liderar</t>
  </si>
  <si>
    <t>Modelar</t>
  </si>
  <si>
    <t>Participar</t>
  </si>
  <si>
    <t>Planear</t>
  </si>
  <si>
    <t>Presidir</t>
  </si>
  <si>
    <t>Producir</t>
  </si>
  <si>
    <t>Resolver</t>
  </si>
  <si>
    <t>Sistematizar</t>
  </si>
  <si>
    <t>Supervisar</t>
  </si>
  <si>
    <t>Transformar</t>
  </si>
  <si>
    <t>Validar</t>
  </si>
  <si>
    <t>Verificar</t>
  </si>
  <si>
    <t>Garantizar</t>
  </si>
  <si>
    <t>Interpretar</t>
  </si>
  <si>
    <t>Reconocer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</si>
  <si>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</si>
  <si>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</si>
  <si>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</si>
  <si>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</si>
  <si>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</si>
  <si>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</si>
  <si>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</si>
  <si>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</si>
  <si>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</si>
  <si>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</si>
  <si>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SíntesisB</t>
  </si>
  <si>
    <t>ConocimientoBAK</t>
  </si>
  <si>
    <t>AplicaciónBAK</t>
  </si>
  <si>
    <t>AnálisisBAK</t>
  </si>
  <si>
    <t>SíntesisBAK</t>
  </si>
  <si>
    <t>EvaluaciónBAK</t>
  </si>
  <si>
    <t>ImitaciónBAK</t>
  </si>
  <si>
    <t>PrecisiónBAK</t>
  </si>
  <si>
    <t>ControlBAK</t>
  </si>
  <si>
    <t>PercepciónBAK</t>
  </si>
  <si>
    <t>ResponderBAK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</si>
  <si>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</si>
  <si>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</si>
  <si>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</si>
  <si>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</si>
  <si>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</si>
  <si>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</si>
  <si>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</si>
  <si>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</si>
  <si>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</si>
  <si>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</si>
  <si>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</si>
  <si>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</si>
  <si>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</si>
  <si>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Arreglar</t>
  </si>
  <si>
    <t>Aceptar</t>
  </si>
  <si>
    <t>Adelantar</t>
  </si>
  <si>
    <t>Acabar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</si>
  <si>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</si>
  <si>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</si>
  <si>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</si>
  <si>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</si>
  <si>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</si>
  <si>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</si>
  <si>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</si>
  <si>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</si>
  <si>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</si>
  <si>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</si>
  <si>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</si>
  <si>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</si>
  <si>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</si>
  <si>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</si>
  <si>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</si>
  <si>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</si>
  <si>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</si>
  <si>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</si>
  <si>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</si>
  <si>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Balancear</t>
  </si>
  <si>
    <t>Admitir</t>
  </si>
  <si>
    <t>Actuar recíprocamente</t>
  </si>
  <si>
    <t>Adoptar</t>
  </si>
  <si>
    <t>Anticipar</t>
  </si>
  <si>
    <t>Afinar</t>
  </si>
  <si>
    <t>Afirmar</t>
  </si>
  <si>
    <t>Clasificar</t>
  </si>
  <si>
    <t>Agrupar</t>
  </si>
  <si>
    <t>ProcedimientoslLK</t>
  </si>
  <si>
    <t>PsicomotorAK</t>
  </si>
  <si>
    <t>Citar</t>
  </si>
  <si>
    <t>Comentar</t>
  </si>
  <si>
    <t>Combinar</t>
  </si>
  <si>
    <t>Calcular</t>
  </si>
  <si>
    <t>Agregar</t>
  </si>
  <si>
    <t>Ajustar</t>
  </si>
  <si>
    <t>Anotar</t>
  </si>
  <si>
    <t>Apoyar</t>
  </si>
  <si>
    <t>Comparar</t>
  </si>
  <si>
    <t>Añadir</t>
  </si>
  <si>
    <t>Elaborar</t>
  </si>
  <si>
    <t>MetacogniciónLK</t>
  </si>
  <si>
    <t>Consignar</t>
  </si>
  <si>
    <t>Componer</t>
  </si>
  <si>
    <t>Categorizar</t>
  </si>
  <si>
    <t>Alinear</t>
  </si>
  <si>
    <t>Ampliar</t>
  </si>
  <si>
    <t>Codificar</t>
  </si>
  <si>
    <t>Aprobar</t>
  </si>
  <si>
    <t>Agradecer</t>
  </si>
  <si>
    <t>Conectar</t>
  </si>
  <si>
    <t>Atender</t>
  </si>
  <si>
    <t>Copiar</t>
  </si>
  <si>
    <t>Contrastar</t>
  </si>
  <si>
    <t>Asumir</t>
  </si>
  <si>
    <t>Maximizar</t>
  </si>
  <si>
    <t>Decir</t>
  </si>
  <si>
    <t>Convertir</t>
  </si>
  <si>
    <t>Articular</t>
  </si>
  <si>
    <t>Arbitrar</t>
  </si>
  <si>
    <t>Apalancar</t>
  </si>
  <si>
    <t>Colocar</t>
  </si>
  <si>
    <t>Apreciar</t>
  </si>
  <si>
    <t>Ambicionar</t>
  </si>
  <si>
    <t>Considerar</t>
  </si>
  <si>
    <t>Demostrar</t>
  </si>
  <si>
    <t>Buscar similitudes</t>
  </si>
  <si>
    <t>Argumentar</t>
  </si>
  <si>
    <t>Mejorar</t>
  </si>
  <si>
    <t>Criticar</t>
  </si>
  <si>
    <t>Construir</t>
  </si>
  <si>
    <t>Aumentar</t>
  </si>
  <si>
    <t>Bajar</t>
  </si>
  <si>
    <t>Autorizar</t>
  </si>
  <si>
    <t>Anhelar</t>
  </si>
  <si>
    <t>Cuestionar</t>
  </si>
  <si>
    <t>Colaborar</t>
  </si>
  <si>
    <t>Discutir</t>
  </si>
  <si>
    <t>Cambiar</t>
  </si>
  <si>
    <t>Minimizar</t>
  </si>
  <si>
    <t>Deletrear</t>
  </si>
  <si>
    <t>Dar ejemplos</t>
  </si>
  <si>
    <t>Armar</t>
  </si>
  <si>
    <t>Asisitir</t>
  </si>
  <si>
    <t>Defender</t>
  </si>
  <si>
    <t>Completar</t>
  </si>
  <si>
    <t>Ejemplificar</t>
  </si>
  <si>
    <t xml:space="preserve">Construir </t>
  </si>
  <si>
    <t>Centrarse</t>
  </si>
  <si>
    <t>ProcedimientosLK</t>
  </si>
  <si>
    <t>Debatir</t>
  </si>
  <si>
    <t>Determinar</t>
  </si>
  <si>
    <t>Atar</t>
  </si>
  <si>
    <t>Comenzar</t>
  </si>
  <si>
    <t>Correr</t>
  </si>
  <si>
    <t>Comportarse bajo condiciones</t>
  </si>
  <si>
    <t xml:space="preserve">Duplicar </t>
  </si>
  <si>
    <t>Esquematizar</t>
  </si>
  <si>
    <t>Pensar</t>
  </si>
  <si>
    <t>Describir</t>
  </si>
  <si>
    <t>Dibujar</t>
  </si>
  <si>
    <t>Computar</t>
  </si>
  <si>
    <t>Desmontar</t>
  </si>
  <si>
    <t>Cortar</t>
  </si>
  <si>
    <t>Coser</t>
  </si>
  <si>
    <t>Desplegar</t>
  </si>
  <si>
    <t>Elegir</t>
  </si>
  <si>
    <t>Explicar</t>
  </si>
  <si>
    <t>Correlacionar</t>
  </si>
  <si>
    <t>Compilar</t>
  </si>
  <si>
    <t xml:space="preserve">Planear </t>
  </si>
  <si>
    <t>Discriminar</t>
  </si>
  <si>
    <t>Concluir</t>
  </si>
  <si>
    <t>Calificar</t>
  </si>
  <si>
    <t>Bailar</t>
  </si>
  <si>
    <t>Cumplir</t>
  </si>
  <si>
    <t>Difundir</t>
  </si>
  <si>
    <t>Asistir</t>
  </si>
  <si>
    <t>Constatar</t>
  </si>
  <si>
    <t>Escribir</t>
  </si>
  <si>
    <t>Expresar</t>
  </si>
  <si>
    <t>Dramatizar</t>
  </si>
  <si>
    <t>Descomponer</t>
  </si>
  <si>
    <t>Proponer</t>
  </si>
  <si>
    <t>Enseñar</t>
  </si>
  <si>
    <t>Deducir</t>
  </si>
  <si>
    <t>Censurar</t>
  </si>
  <si>
    <t>Direccionar</t>
  </si>
  <si>
    <t>Destapar</t>
  </si>
  <si>
    <t>Contar</t>
  </si>
  <si>
    <t>Aspirar</t>
  </si>
  <si>
    <t>Discernir</t>
  </si>
  <si>
    <t>Contextualizar</t>
  </si>
  <si>
    <t>Leer</t>
  </si>
  <si>
    <t>Generalizar</t>
  </si>
  <si>
    <t>Diferenciar</t>
  </si>
  <si>
    <t>Reescribir</t>
  </si>
  <si>
    <t>Cooperar</t>
  </si>
  <si>
    <t>Exteriorizar</t>
  </si>
  <si>
    <t>Controlar</t>
  </si>
  <si>
    <t>Listar</t>
  </si>
  <si>
    <t>Ilustrar</t>
  </si>
  <si>
    <t>Distinguir</t>
  </si>
  <si>
    <t>Convencer</t>
  </si>
  <si>
    <t>Simplificar</t>
  </si>
  <si>
    <t>Duplicar</t>
  </si>
  <si>
    <t>Detectar</t>
  </si>
  <si>
    <t>Crear</t>
  </si>
  <si>
    <t>Comprobar</t>
  </si>
  <si>
    <t>Docificar</t>
  </si>
  <si>
    <t>Disponer</t>
  </si>
  <si>
    <t>Disipar</t>
  </si>
  <si>
    <t>Aunar</t>
  </si>
  <si>
    <t>Extraer</t>
  </si>
  <si>
    <t>Localizar</t>
  </si>
  <si>
    <t>Inferir</t>
  </si>
  <si>
    <t>Dividir</t>
  </si>
  <si>
    <t>Suponer</t>
  </si>
  <si>
    <t>Etiquetar</t>
  </si>
  <si>
    <t>Diagramar</t>
  </si>
  <si>
    <t>Decidir</t>
  </si>
  <si>
    <t>Concretar</t>
  </si>
  <si>
    <t>Ejecutar</t>
  </si>
  <si>
    <t>Fomentar</t>
  </si>
  <si>
    <t>Memorizar</t>
  </si>
  <si>
    <t xml:space="preserve">Informar </t>
  </si>
  <si>
    <t>Entrevistar</t>
  </si>
  <si>
    <t>Sustituir</t>
  </si>
  <si>
    <t>Emparejar</t>
  </si>
  <si>
    <t>Conformar</t>
  </si>
  <si>
    <t>Eliminar</t>
  </si>
  <si>
    <t>Compartir</t>
  </si>
  <si>
    <t>Mostrar</t>
  </si>
  <si>
    <t>Hacer uso</t>
  </si>
  <si>
    <t>Encontrar</t>
  </si>
  <si>
    <t>Teorizar</t>
  </si>
  <si>
    <t>ProcesosAK</t>
  </si>
  <si>
    <t>Derivar</t>
  </si>
  <si>
    <t>Constrastar</t>
  </si>
  <si>
    <t>Ejercitar</t>
  </si>
  <si>
    <t>Ejercer</t>
  </si>
  <si>
    <t>Comprender</t>
  </si>
  <si>
    <t>Nombrar</t>
  </si>
  <si>
    <t>Encuestar</t>
  </si>
  <si>
    <t>Testar</t>
  </si>
  <si>
    <t>Grabar</t>
  </si>
  <si>
    <t>Exponer</t>
  </si>
  <si>
    <t>Contabilizar</t>
  </si>
  <si>
    <t>Encajar</t>
  </si>
  <si>
    <t>Emitir</t>
  </si>
  <si>
    <t>Ensanchar</t>
  </si>
  <si>
    <t>Contribuir</t>
  </si>
  <si>
    <t>Percibir</t>
  </si>
  <si>
    <t>Observar</t>
  </si>
  <si>
    <t>Estimar</t>
  </si>
  <si>
    <t>Entallar</t>
  </si>
  <si>
    <t>Enumerar</t>
  </si>
  <si>
    <t>Convocar</t>
  </si>
  <si>
    <t>Preguntar</t>
  </si>
  <si>
    <t>Entregar</t>
  </si>
  <si>
    <t>Omitir</t>
  </si>
  <si>
    <t>Parafrasear</t>
  </si>
  <si>
    <t>Manipular</t>
  </si>
  <si>
    <t>Visualizar</t>
  </si>
  <si>
    <t>Estructurar</t>
  </si>
  <si>
    <t>Desempeñar</t>
  </si>
  <si>
    <t>Corregir</t>
  </si>
  <si>
    <t>Empaquetar</t>
  </si>
  <si>
    <t>Escoger</t>
  </si>
  <si>
    <t>Creer</t>
  </si>
  <si>
    <t>Promover</t>
  </si>
  <si>
    <t>Juzgar</t>
  </si>
  <si>
    <t>Rastrear</t>
  </si>
  <si>
    <t>Predecir</t>
  </si>
  <si>
    <t>Organizar</t>
  </si>
  <si>
    <t>Explorar</t>
  </si>
  <si>
    <t>Esculpir</t>
  </si>
  <si>
    <t>Escuchar</t>
  </si>
  <si>
    <t>Hablar</t>
  </si>
  <si>
    <t>Cuidar</t>
  </si>
  <si>
    <t>Negociar</t>
  </si>
  <si>
    <t>Recitar</t>
  </si>
  <si>
    <t>Inspeccionar</t>
  </si>
  <si>
    <t>Descubrir</t>
  </si>
  <si>
    <t>Experimentar</t>
  </si>
  <si>
    <t>Entrenar</t>
  </si>
  <si>
    <t>Extender</t>
  </si>
  <si>
    <t>Proteger</t>
  </si>
  <si>
    <t>Ofrecer</t>
  </si>
  <si>
    <t>Relacionar</t>
  </si>
  <si>
    <t>Practicar</t>
  </si>
  <si>
    <t>Investigar</t>
  </si>
  <si>
    <t>AutoSistemaAK</t>
  </si>
  <si>
    <t>Mostar</t>
  </si>
  <si>
    <t>Culminar</t>
  </si>
  <si>
    <t>Cotejar</t>
  </si>
  <si>
    <t>Envasar</t>
  </si>
  <si>
    <t>Extirpar</t>
  </si>
  <si>
    <t>Indicar</t>
  </si>
  <si>
    <t>Resumir</t>
  </si>
  <si>
    <t>Motivar</t>
  </si>
  <si>
    <t>Inventariar</t>
  </si>
  <si>
    <t>Ensamblar</t>
  </si>
  <si>
    <t>Guiar</t>
  </si>
  <si>
    <t>Informar</t>
  </si>
  <si>
    <t>Servir</t>
  </si>
  <si>
    <t>Revisar</t>
  </si>
  <si>
    <t>Numerar</t>
  </si>
  <si>
    <t>Estampar</t>
  </si>
  <si>
    <t>Narrar</t>
  </si>
  <si>
    <t>Relatar</t>
  </si>
  <si>
    <t>Soportar</t>
  </si>
  <si>
    <t>Repetir</t>
  </si>
  <si>
    <t>Traducir</t>
  </si>
  <si>
    <t>Seleccionar</t>
  </si>
  <si>
    <t>Ordenar</t>
  </si>
  <si>
    <t>Estimular</t>
  </si>
  <si>
    <t>Industrializar</t>
  </si>
  <si>
    <t>Obrar recíprocamente</t>
  </si>
  <si>
    <t>Terminar</t>
  </si>
  <si>
    <t>Simular</t>
  </si>
  <si>
    <t>Obtener</t>
  </si>
  <si>
    <t>Medir</t>
  </si>
  <si>
    <t>Estudiar</t>
  </si>
  <si>
    <t>Interrogar</t>
  </si>
  <si>
    <t>Revelar</t>
  </si>
  <si>
    <t>Transferir</t>
  </si>
  <si>
    <t>Priorizar</t>
  </si>
  <si>
    <t>Figurar</t>
  </si>
  <si>
    <t>Edificar</t>
  </si>
  <si>
    <t>Instalar</t>
  </si>
  <si>
    <t>Fabricar</t>
  </si>
  <si>
    <t>Llevar</t>
  </si>
  <si>
    <t>Manejar</t>
  </si>
  <si>
    <t>Referir</t>
  </si>
  <si>
    <t>Unir</t>
  </si>
  <si>
    <t>Probar</t>
  </si>
  <si>
    <t>Preocuparse de o por</t>
  </si>
  <si>
    <t>Usar</t>
  </si>
  <si>
    <t>Razonar</t>
  </si>
  <si>
    <t>Hipotetizar</t>
  </si>
  <si>
    <t>Mecanizar</t>
  </si>
  <si>
    <t>Ocupar</t>
  </si>
  <si>
    <t>Proporcionar</t>
  </si>
  <si>
    <t>Reorganizar</t>
  </si>
  <si>
    <t>Influir</t>
  </si>
  <si>
    <t>Presentar</t>
  </si>
  <si>
    <t>Operar</t>
  </si>
  <si>
    <t>Filtrar</t>
  </si>
  <si>
    <t>Maniobrar</t>
  </si>
  <si>
    <t>Mover</t>
  </si>
  <si>
    <t>Provocar</t>
  </si>
  <si>
    <t>Resaltar</t>
  </si>
  <si>
    <t>Innovar</t>
  </si>
  <si>
    <t>Hallar</t>
  </si>
  <si>
    <t>Publicar</t>
  </si>
  <si>
    <t>Ratificar</t>
  </si>
  <si>
    <t>Separar</t>
  </si>
  <si>
    <t>Justificar</t>
  </si>
  <si>
    <t>Realizar</t>
  </si>
  <si>
    <t>Reportar</t>
  </si>
  <si>
    <t>Patronar</t>
  </si>
  <si>
    <t>Imprimir</t>
  </si>
  <si>
    <t>Ponderar</t>
  </si>
  <si>
    <t>Subdividir</t>
  </si>
  <si>
    <t>Perforar</t>
  </si>
  <si>
    <t>Impulsar</t>
  </si>
  <si>
    <t>Ser partidario de</t>
  </si>
  <si>
    <t>Recordar</t>
  </si>
  <si>
    <t>Recoger</t>
  </si>
  <si>
    <t>Juntar</t>
  </si>
  <si>
    <t>Poner</t>
  </si>
  <si>
    <t>Opinar</t>
  </si>
  <si>
    <t>Registrar</t>
  </si>
  <si>
    <t>Introducir</t>
  </si>
  <si>
    <t>Limpiar</t>
  </si>
  <si>
    <t>Levantar</t>
  </si>
  <si>
    <t>Quitar</t>
  </si>
  <si>
    <t>Tasar</t>
  </si>
  <si>
    <t>Originar</t>
  </si>
  <si>
    <t>Inventar</t>
  </si>
  <si>
    <t>Modificar</t>
  </si>
  <si>
    <t>Finalizar</t>
  </si>
  <si>
    <t>Reemplazar</t>
  </si>
  <si>
    <t>Valorar</t>
  </si>
  <si>
    <t>Persuadir</t>
  </si>
  <si>
    <t>Reproducir</t>
  </si>
  <si>
    <t>Formar</t>
  </si>
  <si>
    <t>Trazar</t>
  </si>
  <si>
    <t>Remover</t>
  </si>
  <si>
    <t>Premiar</t>
  </si>
  <si>
    <t>Ubicar</t>
  </si>
  <si>
    <t>Reparar</t>
  </si>
  <si>
    <t>Rotular</t>
  </si>
  <si>
    <t>Preparar</t>
  </si>
  <si>
    <t>Reponer</t>
  </si>
  <si>
    <t>Recomendar</t>
  </si>
  <si>
    <t>Marcar</t>
  </si>
  <si>
    <t>Mezclar</t>
  </si>
  <si>
    <t>Subrayar</t>
  </si>
  <si>
    <t>Recaudar</t>
  </si>
  <si>
    <t>Mitigar</t>
  </si>
  <si>
    <t>Retirar</t>
  </si>
  <si>
    <t>Recortar</t>
  </si>
  <si>
    <t>Reunir</t>
  </si>
  <si>
    <t>Seguir</t>
  </si>
  <si>
    <t>Perfeccionar</t>
  </si>
  <si>
    <t>Peritar</t>
  </si>
  <si>
    <t>Señalar</t>
  </si>
  <si>
    <t>Sincronizar</t>
  </si>
  <si>
    <t>Planificar</t>
  </si>
  <si>
    <t>Pronosticar</t>
  </si>
  <si>
    <t>Soldar</t>
  </si>
  <si>
    <t>Pintar</t>
  </si>
  <si>
    <t>Suprimir</t>
  </si>
  <si>
    <t>Repartir</t>
  </si>
  <si>
    <t>Porcionar</t>
  </si>
  <si>
    <t>Tapizar</t>
  </si>
  <si>
    <t>Transmitir</t>
  </si>
  <si>
    <t>Proyectar</t>
  </si>
  <si>
    <t>Trasladar</t>
  </si>
  <si>
    <t>Racionar</t>
  </si>
  <si>
    <t>Sugerir</t>
  </si>
  <si>
    <t>Reducir</t>
  </si>
  <si>
    <t>Utilizar</t>
  </si>
  <si>
    <t>Repasar</t>
  </si>
  <si>
    <t>Representar</t>
  </si>
  <si>
    <t>Sacar</t>
  </si>
  <si>
    <t>Vincular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</si>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</sst>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7"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2"/>
      <color rgb="FF000000"/>
      <name val="Tahoma"/>
      <family val="2"/>
    </font>
    <font>
      <sz val="11"/>
      <color theme="1"/>
      <name val="Gill Sans MT"/>
      <family val="2"/>
    </font>
    <font>
      <sz val="11"/>
      <color rgb="FF000000"/>
      <name val="Gill Sans MT"/>
      <family val="2"/>
    </font>
    <font>
      <sz val="11"/>
      <name val="Calibri"/>
      <family val="2"/>
      <scheme val="minor"/>
    </font>
    <font>
      <sz val="11"/>
      <name val="Gill Sans MT"/>
      <family val="2"/>
    </font>
    <font>
      <sz val="8"/>
      <color theme="0"/>
      <name val="Gill Sans MT"/>
      <family val="2"/>
    </font>
    <font>
      <sz val="11"/>
      <color rgb="FF444444"/>
      <name val="Calibri"/>
      <family val="2"/>
      <charset val="1"/>
    </font>
    <font>
      <u/>
      <sz val="11"/>
      <color theme="10"/>
      <name val="Calibri"/>
      <family val="2"/>
      <scheme val="minor"/>
    </font>
    <font>
      <b/>
      <sz val="11"/>
      <color rgb="FF000000"/>
      <name val="Gill Sans MT"/>
      <family val="2"/>
    </font>
    <font>
      <sz val="8"/>
      <color rgb="FFFFFFFF"/>
      <name val="Gill Sans MT"/>
      <family val="2"/>
    </font>
    <font>
      <b/>
      <sz val="8"/>
      <color theme="0"/>
      <name val="Gill Sans MT"/>
      <family val="2"/>
    </font>
    <font>
      <b/>
      <sz val="11"/>
      <color rgb="FFFFFFFF"/>
      <name val="Gill Sans MT"/>
      <family val="2"/>
    </font>
    <font>
      <sz val="8"/>
      <color rgb="FF000000"/>
      <name val="Gill Sans MT"/>
      <family val="2"/>
    </font>
    <font>
      <sz val="8"/>
      <color theme="1"/>
      <name val="Gill Sans MT"/>
      <family val="2"/>
    </font>
    <font>
      <sz val="8"/>
      <name val="Gill Sans MT"/>
      <family val="2"/>
    </font>
    <font>
      <sz val="10"/>
      <color theme="1"/>
      <name val="Gill Sans MT"/>
      <family val="2"/>
    </font>
    <font>
      <b/>
      <sz val="10"/>
      <name val="Gill Sans MT"/>
      <family val="2"/>
    </font>
    <font>
      <sz val="10"/>
      <name val="Gill Sans MT"/>
      <family val="2"/>
    </font>
    <font>
      <b/>
      <sz val="10"/>
      <color theme="0"/>
      <name val="Gill Sans MT"/>
      <family val="2"/>
    </font>
  </fonts>
  <fills count="11">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theme="7" tint="0.79998168889431442"/>
        <bgColor indexed="64"/>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
      <patternFill patternType="solid">
        <fgColor theme="2"/>
        <bgColor indexed="64"/>
      </patternFill>
    </fill>
  </fills>
  <borders count="26">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rgb="FF000000"/>
      </top>
      <bottom/>
      <diagonal/>
    </border>
    <border>
      <left/>
      <right/>
      <top/>
      <bottom style="medium">
        <color rgb="FF000000"/>
      </bottom>
      <diagonal/>
    </border>
    <border>
      <left style="thin">
        <color indexed="64"/>
      </left>
      <right style="thin">
        <color indexed="64"/>
      </right>
      <top style="thin">
        <color indexed="64"/>
      </top>
      <bottom/>
      <diagonal/>
    </border>
    <border>
      <left/>
      <right/>
      <top/>
      <bottom style="medium">
        <color indexed="64"/>
      </bottom>
      <diagonal/>
    </border>
    <border>
      <left/>
      <right/>
      <top style="thin">
        <color auto="1"/>
      </top>
      <bottom/>
      <diagonal/>
    </border>
    <border>
      <left style="thin">
        <color rgb="FF1FB2DE"/>
      </left>
      <right/>
      <top style="thin">
        <color auto="1"/>
      </top>
      <bottom/>
      <diagonal/>
    </border>
    <border>
      <left style="medium">
        <color rgb="FF505050"/>
      </left>
      <right style="thin">
        <color auto="1"/>
      </right>
      <top style="medium">
        <color rgb="FF505050"/>
      </top>
      <bottom style="thin">
        <color auto="1"/>
      </bottom>
      <diagonal/>
    </border>
    <border>
      <left style="thin">
        <color auto="1"/>
      </left>
      <right style="thin">
        <color auto="1"/>
      </right>
      <top style="medium">
        <color rgb="FF505050"/>
      </top>
      <bottom style="thin">
        <color auto="1"/>
      </bottom>
      <diagonal/>
    </border>
    <border>
      <left style="thin">
        <color auto="1"/>
      </left>
      <right style="medium">
        <color rgb="FF505050"/>
      </right>
      <top style="medium">
        <color rgb="FF505050"/>
      </top>
      <bottom style="thin">
        <color auto="1"/>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
      <left style="thin">
        <color auto="1"/>
      </left>
      <right/>
      <top style="medium">
        <color rgb="FF505050"/>
      </top>
      <bottom style="thin">
        <color auto="1"/>
      </bottom>
      <diagonal/>
    </border>
    <border>
      <left/>
      <right/>
      <top style="medium">
        <color indexed="64"/>
      </top>
      <bottom/>
      <diagonal/>
    </border>
    <border>
      <left/>
      <right/>
      <top style="medium">
        <color indexed="64"/>
      </top>
      <bottom style="medium">
        <color indexed="64"/>
      </bottom>
      <diagonal/>
    </border>
    <border>
      <left/>
      <right style="hair">
        <color theme="1" tint="0.499984740745262"/>
      </right>
      <top style="hair">
        <color theme="1" tint="0.499984740745262"/>
      </top>
      <bottom style="hair">
        <color theme="1" tint="0.499984740745262"/>
      </bottom>
      <diagonal/>
    </border>
    <border>
      <left style="hair">
        <color theme="1" tint="0.499984740745262"/>
      </left>
      <right/>
      <top style="hair">
        <color theme="1" tint="0.499984740745262"/>
      </top>
      <bottom style="hair">
        <color theme="1" tint="0.499984740745262"/>
      </bottom>
      <diagonal/>
    </border>
    <border>
      <left/>
      <right style="hair">
        <color theme="1" tint="0.499984740745262"/>
      </right>
      <top/>
      <bottom style="hair">
        <color theme="1" tint="0.499984740745262"/>
      </bottom>
      <diagonal/>
    </border>
    <border>
      <left style="hair">
        <color theme="1" tint="0.499984740745262"/>
      </left>
      <right/>
      <top/>
      <bottom style="hair">
        <color theme="1" tint="0.499984740745262"/>
      </bottom>
      <diagonal/>
    </border>
  </borders>
  <cellStyleXfs count="2">
    <xf numFmtId="0" fontId="0" fillId="0" borderId="0"/>
    <xf numFmtId="0" fontId="15" fillId="0" borderId="0" applyNumberFormat="0" applyFill="0" applyBorder="0" applyAlignment="0" applyProtection="0"/>
  </cellStyleXfs>
  <cellXfs count="155">
    <xf numFmtId="0" fontId="0" fillId="0" borderId="0" xfId="0"/>
    <xf numFmtId="0" fontId="3" fillId="0" borderId="0" xfId="0" applyFont="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8" fillId="0" borderId="0" xfId="0" applyFont="1" applyAlignment="1">
      <alignment horizontal="justify" vertical="center"/>
    </xf>
    <xf numFmtId="0" fontId="0" fillId="0" borderId="0" xfId="0" applyAlignment="1">
      <alignment vertical="center"/>
    </xf>
    <xf numFmtId="0" fontId="11" fillId="0" borderId="0" xfId="0" applyFont="1" applyAlignment="1">
      <alignment wrapText="1"/>
    </xf>
    <xf numFmtId="0" fontId="9" fillId="0" borderId="0" xfId="0" applyFont="1"/>
    <xf numFmtId="0" fontId="0" fillId="0" borderId="0" xfId="0" applyAlignment="1">
      <alignment horizontal="center" vertical="center"/>
    </xf>
    <xf numFmtId="0" fontId="3" fillId="0" borderId="0" xfId="0" applyFont="1" applyAlignment="1">
      <alignment horizontal="center"/>
    </xf>
    <xf numFmtId="0" fontId="10"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vertical="center"/>
    </xf>
    <xf numFmtId="0" fontId="10" fillId="0" borderId="0" xfId="0" applyFont="1" applyAlignment="1">
      <alignment vertical="center"/>
    </xf>
    <xf numFmtId="0" fontId="10" fillId="5" borderId="3" xfId="0" applyFont="1" applyFill="1" applyBorder="1" applyAlignment="1">
      <alignment vertical="center"/>
    </xf>
    <xf numFmtId="0" fontId="3" fillId="5" borderId="3" xfId="0" applyFont="1" applyFill="1" applyBorder="1"/>
    <xf numFmtId="0" fontId="10" fillId="0" borderId="3" xfId="0" applyFont="1" applyBorder="1" applyAlignment="1">
      <alignment vertical="center"/>
    </xf>
    <xf numFmtId="0" fontId="3" fillId="0" borderId="3" xfId="0" applyFont="1" applyBorder="1"/>
    <xf numFmtId="0" fontId="10" fillId="5" borderId="4" xfId="0" applyFont="1" applyFill="1" applyBorder="1" applyAlignment="1">
      <alignment vertical="center"/>
    </xf>
    <xf numFmtId="0" fontId="3" fillId="5" borderId="4" xfId="0" applyFont="1" applyFill="1" applyBorder="1"/>
    <xf numFmtId="0" fontId="3" fillId="0" borderId="4" xfId="0" applyFont="1" applyBorder="1"/>
    <xf numFmtId="0" fontId="0" fillId="0" borderId="0" xfId="0" applyAlignment="1">
      <alignment horizontal="left" vertical="center"/>
    </xf>
    <xf numFmtId="0" fontId="0" fillId="0" borderId="0" xfId="0" applyAlignment="1">
      <alignment horizontal="left" vertical="center" wrapText="1"/>
    </xf>
    <xf numFmtId="0" fontId="3" fillId="0" borderId="0" xfId="0" applyFont="1" applyAlignment="1">
      <alignment horizontal="center" wrapText="1"/>
    </xf>
    <xf numFmtId="0" fontId="10" fillId="0" borderId="0" xfId="0" applyFont="1" applyAlignment="1">
      <alignment horizontal="center" vertical="center" wrapText="1"/>
    </xf>
    <xf numFmtId="0" fontId="14" fillId="0" borderId="0" xfId="0" applyFont="1" applyAlignment="1">
      <alignment horizontal="left" vertical="center" wrapText="1"/>
    </xf>
    <xf numFmtId="0" fontId="10" fillId="0" borderId="0" xfId="0" applyFont="1" applyAlignment="1">
      <alignment horizontal="left" vertical="center"/>
    </xf>
    <xf numFmtId="0" fontId="10" fillId="0" borderId="0" xfId="0" applyFont="1" applyAlignment="1">
      <alignment vertical="center" wrapText="1"/>
    </xf>
    <xf numFmtId="0" fontId="13" fillId="0" borderId="0" xfId="0" applyFont="1" applyAlignment="1">
      <alignment horizontal="center" vertical="center" wrapText="1"/>
    </xf>
    <xf numFmtId="0" fontId="20" fillId="8" borderId="2" xfId="0" applyFont="1" applyFill="1" applyBorder="1" applyAlignment="1">
      <alignment horizontal="center" vertical="center" wrapText="1"/>
    </xf>
    <xf numFmtId="0" fontId="20" fillId="9" borderId="2"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21" fillId="0" borderId="0" xfId="0" applyFont="1" applyAlignment="1">
      <alignment horizontal="center" vertical="center" wrapText="1"/>
    </xf>
    <xf numFmtId="0" fontId="4" fillId="2" borderId="2" xfId="0" applyFont="1" applyFill="1" applyBorder="1" applyAlignment="1">
      <alignment horizontal="center" vertical="center" wrapText="1"/>
    </xf>
    <xf numFmtId="0" fontId="7" fillId="0" borderId="0" xfId="0" applyFont="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center" wrapText="1"/>
    </xf>
    <xf numFmtId="0" fontId="17" fillId="7" borderId="0" xfId="0" applyFont="1" applyFill="1" applyAlignment="1">
      <alignment horizontal="center" vertical="center" wrapText="1"/>
    </xf>
    <xf numFmtId="0" fontId="20" fillId="0" borderId="0" xfId="0" applyFont="1" applyAlignment="1">
      <alignment horizontal="left" vertical="center" wrapText="1"/>
    </xf>
    <xf numFmtId="0" fontId="19"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10" fillId="0" borderId="0" xfId="0" applyFont="1"/>
    <xf numFmtId="0" fontId="4" fillId="2" borderId="7" xfId="0" applyFont="1" applyFill="1" applyBorder="1" applyAlignment="1">
      <alignment horizontal="center" vertical="center" wrapText="1"/>
    </xf>
    <xf numFmtId="0" fontId="20" fillId="9" borderId="0" xfId="0" applyFont="1" applyFill="1" applyAlignment="1">
      <alignment horizontal="center" vertical="center" wrapText="1"/>
    </xf>
    <xf numFmtId="0" fontId="22" fillId="9" borderId="0" xfId="0" applyFont="1" applyFill="1" applyAlignment="1">
      <alignment horizontal="center" vertical="center" wrapText="1"/>
    </xf>
    <xf numFmtId="0" fontId="6" fillId="9" borderId="0" xfId="0" applyFont="1" applyFill="1" applyAlignment="1">
      <alignment horizontal="center" vertical="center" wrapText="1"/>
    </xf>
    <xf numFmtId="0" fontId="10" fillId="0" borderId="0" xfId="0" applyFont="1" applyAlignment="1">
      <alignment wrapText="1"/>
    </xf>
    <xf numFmtId="0" fontId="3" fillId="0" borderId="6" xfId="0" applyFont="1" applyBorder="1" applyAlignment="1">
      <alignment vertical="center" wrapText="1"/>
    </xf>
    <xf numFmtId="0" fontId="0" fillId="0" borderId="6" xfId="0" applyBorder="1" applyAlignment="1">
      <alignment vertical="center"/>
    </xf>
    <xf numFmtId="0" fontId="12" fillId="0" borderId="0" xfId="0" applyFont="1" applyAlignment="1">
      <alignment horizontal="left" vertical="center" wrapText="1"/>
    </xf>
    <xf numFmtId="0" fontId="19" fillId="7" borderId="0" xfId="0" applyFont="1" applyFill="1" applyAlignment="1">
      <alignment horizontal="center" vertical="center" wrapText="1"/>
    </xf>
    <xf numFmtId="0" fontId="16" fillId="8" borderId="2" xfId="0" applyFont="1" applyFill="1" applyBorder="1" applyAlignment="1">
      <alignment horizontal="center" vertical="center" wrapText="1"/>
    </xf>
    <xf numFmtId="0" fontId="16" fillId="9" borderId="2" xfId="0" applyFont="1" applyFill="1" applyBorder="1" applyAlignment="1">
      <alignment horizontal="center" vertical="center" wrapText="1"/>
    </xf>
    <xf numFmtId="0" fontId="19" fillId="7" borderId="10" xfId="0" applyFont="1" applyFill="1" applyBorder="1" applyAlignment="1">
      <alignment horizontal="center" vertical="center" wrapText="1"/>
    </xf>
    <xf numFmtId="0" fontId="16" fillId="9" borderId="0" xfId="0" applyFont="1" applyFill="1" applyAlignment="1">
      <alignment horizontal="center" vertical="center" wrapText="1"/>
    </xf>
    <xf numFmtId="0" fontId="16" fillId="0" borderId="0" xfId="0" applyFont="1" applyAlignment="1">
      <alignment horizontal="left" vertical="center" wrapText="1"/>
    </xf>
    <xf numFmtId="0" fontId="3" fillId="0" borderId="14" xfId="0" applyFont="1" applyBorder="1"/>
    <xf numFmtId="0" fontId="3" fillId="0" borderId="15" xfId="0" applyFont="1" applyBorder="1"/>
    <xf numFmtId="0" fontId="7" fillId="0" borderId="15" xfId="0" applyFont="1" applyBorder="1"/>
    <xf numFmtId="0" fontId="3" fillId="0" borderId="18" xfId="0" applyFont="1" applyBorder="1"/>
    <xf numFmtId="0" fontId="10" fillId="0" borderId="0" xfId="0" applyFont="1" applyAlignment="1">
      <alignment horizontal="left" vertical="center" wrapText="1"/>
    </xf>
    <xf numFmtId="0" fontId="17" fillId="7" borderId="2" xfId="0" applyFont="1" applyFill="1" applyBorder="1" applyAlignment="1">
      <alignment horizontal="center" vertical="center" wrapText="1"/>
    </xf>
    <xf numFmtId="0" fontId="22" fillId="9" borderId="2" xfId="0" applyFont="1" applyFill="1" applyBorder="1" applyAlignment="1">
      <alignment horizontal="center" vertical="center" wrapText="1"/>
    </xf>
    <xf numFmtId="0" fontId="21" fillId="0" borderId="0" xfId="0" applyFont="1" applyAlignment="1">
      <alignment horizontal="left" vertical="center" wrapText="1"/>
    </xf>
    <xf numFmtId="0" fontId="19" fillId="7" borderId="2"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7"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8" xfId="0" applyFont="1" applyBorder="1" applyAlignment="1">
      <alignment horizontal="center" vertical="center" wrapText="1"/>
    </xf>
    <xf numFmtId="0" fontId="11" fillId="0" borderId="0" xfId="0" applyFont="1" applyAlignment="1">
      <alignment vertical="center" wrapText="1"/>
    </xf>
    <xf numFmtId="0" fontId="3" fillId="0" borderId="0" xfId="0" applyFont="1" applyAlignment="1">
      <alignment vertical="center"/>
    </xf>
    <xf numFmtId="0" fontId="12" fillId="0" borderId="9" xfId="0" applyFont="1" applyBorder="1" applyAlignment="1">
      <alignment horizontal="left" vertical="center" wrapText="1"/>
    </xf>
    <xf numFmtId="0" fontId="10" fillId="0" borderId="9" xfId="0" applyFont="1" applyBorder="1" applyAlignment="1">
      <alignment vertical="center" wrapText="1"/>
    </xf>
    <xf numFmtId="0" fontId="10" fillId="0" borderId="8" xfId="0" applyFont="1" applyBorder="1" applyAlignment="1">
      <alignment vertical="center" wrapText="1"/>
    </xf>
    <xf numFmtId="0" fontId="12" fillId="0" borderId="8" xfId="0" applyFont="1" applyBorder="1" applyAlignment="1">
      <alignment horizontal="left" vertical="center" wrapText="1"/>
    </xf>
    <xf numFmtId="0" fontId="12" fillId="0" borderId="20" xfId="0" applyFont="1" applyBorder="1" applyAlignment="1">
      <alignment horizontal="left" vertical="center" wrapText="1"/>
    </xf>
    <xf numFmtId="0" fontId="10" fillId="0" borderId="20" xfId="0" applyFont="1" applyBorder="1" applyAlignment="1">
      <alignment vertical="center" wrapText="1"/>
    </xf>
    <xf numFmtId="0" fontId="10" fillId="0" borderId="6" xfId="0" applyFont="1" applyBorder="1" applyAlignment="1">
      <alignment vertical="center" wrapText="1"/>
    </xf>
    <xf numFmtId="0" fontId="23" fillId="0" borderId="0" xfId="0" applyFont="1" applyAlignment="1">
      <alignment horizontal="left" vertical="center" wrapText="1"/>
    </xf>
    <xf numFmtId="0" fontId="22" fillId="0" borderId="0" xfId="0" applyFont="1" applyAlignment="1">
      <alignment horizontal="center" vertical="center" wrapText="1"/>
    </xf>
    <xf numFmtId="0" fontId="12" fillId="0" borderId="0" xfId="0" applyFont="1" applyAlignment="1">
      <alignment vertical="center" wrapText="1"/>
    </xf>
    <xf numFmtId="0" fontId="6" fillId="3" borderId="7" xfId="0" applyFont="1" applyFill="1" applyBorder="1" applyAlignment="1">
      <alignment horizontal="center" vertical="center" wrapText="1"/>
    </xf>
    <xf numFmtId="0" fontId="12" fillId="0" borderId="14" xfId="0" applyFont="1" applyBorder="1"/>
    <xf numFmtId="0" fontId="12" fillId="0" borderId="0" xfId="0" applyFont="1"/>
    <xf numFmtId="0" fontId="6" fillId="0" borderId="0" xfId="0" applyFont="1"/>
    <xf numFmtId="0" fontId="6" fillId="0" borderId="14" xfId="0" applyFont="1" applyBorder="1"/>
    <xf numFmtId="0" fontId="12" fillId="0" borderId="16" xfId="0" applyFont="1" applyBorder="1"/>
    <xf numFmtId="0" fontId="12" fillId="0" borderId="17" xfId="0" applyFont="1" applyBorder="1"/>
    <xf numFmtId="0" fontId="12" fillId="0" borderId="15" xfId="0" applyFont="1" applyBorder="1"/>
    <xf numFmtId="0" fontId="12" fillId="0" borderId="18" xfId="0" applyFont="1" applyBorder="1"/>
    <xf numFmtId="0" fontId="12" fillId="0" borderId="8" xfId="0" applyFont="1" applyBorder="1" applyAlignment="1">
      <alignment vertical="center" wrapText="1"/>
    </xf>
    <xf numFmtId="0" fontId="24" fillId="10" borderId="0" xfId="0" applyFont="1" applyFill="1" applyAlignment="1">
      <alignment horizontal="center" vertical="center"/>
    </xf>
    <xf numFmtId="0" fontId="3" fillId="0" borderId="8" xfId="0" applyFont="1" applyBorder="1" applyAlignment="1">
      <alignment vertical="center"/>
    </xf>
    <xf numFmtId="0" fontId="12" fillId="0" borderId="0" xfId="0" applyFont="1" applyAlignment="1">
      <alignment horizontal="center" vertical="center" wrapText="1"/>
    </xf>
    <xf numFmtId="0" fontId="12" fillId="6" borderId="21" xfId="0" applyFont="1" applyFill="1" applyBorder="1" applyAlignment="1">
      <alignment horizontal="left" vertical="center" wrapText="1"/>
    </xf>
    <xf numFmtId="0" fontId="12" fillId="6" borderId="21" xfId="0" applyFont="1" applyFill="1" applyBorder="1" applyAlignment="1">
      <alignment horizontal="center" vertical="center" wrapText="1"/>
    </xf>
    <xf numFmtId="49" fontId="12" fillId="6" borderId="21" xfId="0" applyNumberFormat="1" applyFont="1" applyFill="1" applyBorder="1" applyAlignment="1">
      <alignment horizontal="left" vertical="center" wrapText="1"/>
    </xf>
    <xf numFmtId="0" fontId="12" fillId="0" borderId="0" xfId="0" applyFont="1" applyAlignment="1">
      <alignment horizontal="center" vertical="center"/>
    </xf>
    <xf numFmtId="0" fontId="12" fillId="0" borderId="0" xfId="0" applyFont="1" applyAlignment="1">
      <alignment vertical="center"/>
    </xf>
    <xf numFmtId="0" fontId="12" fillId="0" borderId="0" xfId="0" applyFont="1" applyAlignment="1">
      <alignment horizontal="left"/>
    </xf>
    <xf numFmtId="0" fontId="12" fillId="0" borderId="0" xfId="0" applyFont="1" applyAlignment="1">
      <alignment horizontal="left" vertical="center"/>
    </xf>
    <xf numFmtId="0" fontId="12" fillId="0" borderId="8" xfId="0" applyFont="1" applyBorder="1" applyAlignment="1">
      <alignment horizontal="left" vertical="center"/>
    </xf>
    <xf numFmtId="0" fontId="12" fillId="0" borderId="20" xfId="0" applyFont="1" applyBorder="1" applyAlignment="1">
      <alignment horizontal="left" vertical="center"/>
    </xf>
    <xf numFmtId="0" fontId="12" fillId="0" borderId="0" xfId="0" applyFont="1" applyAlignment="1">
      <alignment horizontal="left" wrapText="1"/>
    </xf>
    <xf numFmtId="0" fontId="12" fillId="6" borderId="21" xfId="0" applyFont="1" applyFill="1" applyBorder="1" applyAlignment="1">
      <alignment horizontal="center" vertical="center"/>
    </xf>
    <xf numFmtId="0" fontId="25" fillId="0" borderId="0" xfId="0" applyFont="1" applyAlignment="1">
      <alignment horizontal="left" vertical="center"/>
    </xf>
    <xf numFmtId="0" fontId="25" fillId="0" borderId="0" xfId="0" applyFont="1" applyAlignment="1">
      <alignment horizontal="left" vertical="center" wrapText="1"/>
    </xf>
    <xf numFmtId="0" fontId="25" fillId="0" borderId="0" xfId="0" applyFont="1" applyAlignment="1">
      <alignment horizontal="center" vertical="center" wrapText="1"/>
    </xf>
    <xf numFmtId="0" fontId="25" fillId="0" borderId="0" xfId="0" applyFont="1" applyAlignment="1">
      <alignment horizontal="center"/>
    </xf>
    <xf numFmtId="0" fontId="25" fillId="0" borderId="0" xfId="0" applyFont="1" applyAlignment="1">
      <alignment horizontal="center" vertical="center"/>
    </xf>
    <xf numFmtId="0" fontId="24" fillId="10" borderId="23" xfId="0" applyFont="1" applyFill="1" applyBorder="1" applyAlignment="1">
      <alignment horizontal="center" vertical="center" wrapText="1"/>
    </xf>
    <xf numFmtId="0" fontId="25" fillId="0" borderId="0" xfId="0" applyFont="1"/>
    <xf numFmtId="0" fontId="12" fillId="0" borderId="0" xfId="0" applyFont="1" applyAlignment="1">
      <alignment horizontal="center"/>
    </xf>
    <xf numFmtId="0" fontId="26" fillId="7" borderId="22" xfId="0" applyFont="1" applyFill="1" applyBorder="1" applyAlignment="1">
      <alignment horizontal="center" vertical="center" wrapText="1"/>
    </xf>
    <xf numFmtId="0" fontId="12" fillId="0" borderId="9" xfId="0" applyFont="1" applyBorder="1" applyAlignment="1">
      <alignment vertical="center" wrapText="1"/>
    </xf>
    <xf numFmtId="0" fontId="12" fillId="0" borderId="20" xfId="0" applyFont="1" applyBorder="1" applyAlignment="1">
      <alignment vertical="center" wrapText="1"/>
    </xf>
    <xf numFmtId="0" fontId="26" fillId="7" borderId="0" xfId="0" applyFont="1" applyFill="1" applyAlignment="1">
      <alignment horizontal="center" vertical="center" wrapText="1"/>
    </xf>
    <xf numFmtId="0" fontId="26" fillId="7" borderId="24" xfId="0" applyFont="1" applyFill="1" applyBorder="1" applyAlignment="1">
      <alignment horizontal="center" vertical="center" wrapText="1"/>
    </xf>
    <xf numFmtId="0" fontId="24" fillId="10" borderId="25" xfId="0" applyFont="1" applyFill="1" applyBorder="1" applyAlignment="1">
      <alignment horizontal="center" vertical="center" wrapText="1"/>
    </xf>
    <xf numFmtId="0" fontId="17" fillId="0" borderId="0" xfId="0" applyFont="1" applyAlignment="1">
      <alignment horizontal="center" wrapText="1"/>
    </xf>
    <xf numFmtId="0" fontId="19" fillId="0" borderId="0" xfId="0" applyFont="1" applyAlignment="1">
      <alignment horizontal="center" wrapText="1"/>
    </xf>
    <xf numFmtId="0" fontId="25" fillId="0" borderId="0" xfId="0" applyFont="1" applyAlignment="1">
      <alignment horizontal="left" wrapText="1"/>
    </xf>
    <xf numFmtId="0" fontId="12" fillId="0" borderId="20" xfId="0" applyFont="1" applyBorder="1" applyAlignment="1">
      <alignment horizontal="center" vertical="center" wrapText="1"/>
    </xf>
    <xf numFmtId="0" fontId="12" fillId="0" borderId="0" xfId="0" applyFont="1" applyAlignment="1">
      <alignment horizontal="center" vertical="center" wrapText="1"/>
    </xf>
    <xf numFmtId="0" fontId="12" fillId="0" borderId="20" xfId="0" applyFont="1" applyBorder="1" applyAlignment="1">
      <alignment horizontal="left" vertical="center" wrapText="1"/>
    </xf>
    <xf numFmtId="0" fontId="12" fillId="0" borderId="0" xfId="0" applyFont="1" applyAlignment="1">
      <alignment horizontal="left" vertical="center" wrapText="1"/>
    </xf>
    <xf numFmtId="0" fontId="12" fillId="0" borderId="8" xfId="0" applyFont="1" applyBorder="1" applyAlignment="1">
      <alignment horizontal="center" vertical="center" wrapText="1"/>
    </xf>
    <xf numFmtId="0" fontId="12" fillId="0" borderId="8" xfId="0" applyFont="1" applyBorder="1" applyAlignment="1">
      <alignment horizontal="left" vertical="center" wrapText="1"/>
    </xf>
    <xf numFmtId="0" fontId="12" fillId="0" borderId="0" xfId="0" applyFont="1" applyAlignment="1">
      <alignment horizontal="center" vertical="center"/>
    </xf>
    <xf numFmtId="0" fontId="12" fillId="0" borderId="8" xfId="0" applyFont="1" applyBorder="1" applyAlignment="1">
      <alignment horizontal="center" vertical="center"/>
    </xf>
    <xf numFmtId="0" fontId="12" fillId="0" borderId="20" xfId="0" applyFont="1" applyBorder="1" applyAlignment="1">
      <alignment horizontal="center" vertical="center"/>
    </xf>
    <xf numFmtId="0" fontId="17" fillId="7" borderId="2"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12" fillId="0" borderId="9" xfId="0" applyFont="1" applyBorder="1" applyAlignment="1">
      <alignment horizontal="left" vertical="center" wrapText="1"/>
    </xf>
    <xf numFmtId="0" fontId="3" fillId="0" borderId="9" xfId="0" applyFont="1" applyBorder="1" applyAlignment="1">
      <alignment horizontal="center" vertical="center" wrapText="1"/>
    </xf>
    <xf numFmtId="0" fontId="3" fillId="0" borderId="0" xfId="0" applyFont="1" applyAlignment="1">
      <alignment horizontal="center" vertical="center" wrapText="1"/>
    </xf>
    <xf numFmtId="0" fontId="19" fillId="7" borderId="1" xfId="0" applyFont="1" applyFill="1" applyBorder="1" applyAlignment="1">
      <alignment horizontal="center" vertical="center" wrapText="1"/>
    </xf>
    <xf numFmtId="0" fontId="19" fillId="7" borderId="0" xfId="0" applyFont="1" applyFill="1" applyAlignment="1">
      <alignment horizontal="center" vertical="center" wrapText="1"/>
    </xf>
    <xf numFmtId="0" fontId="12" fillId="0" borderId="5" xfId="0" applyFont="1" applyBorder="1" applyAlignment="1">
      <alignment horizontal="left" vertical="center" wrapText="1"/>
    </xf>
    <xf numFmtId="0" fontId="12" fillId="0" borderId="9"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left" vertical="center" wrapText="1"/>
    </xf>
    <xf numFmtId="0" fontId="7" fillId="0" borderId="0" xfId="0" applyFont="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4" fillId="4" borderId="19" xfId="0" applyFont="1" applyFill="1" applyBorder="1" applyAlignment="1">
      <alignment horizontal="center"/>
    </xf>
    <xf numFmtId="0" fontId="4" fillId="4" borderId="13" xfId="0" applyFont="1" applyFill="1" applyBorder="1" applyAlignment="1">
      <alignment horizontal="center"/>
    </xf>
    <xf numFmtId="0" fontId="3" fillId="0" borderId="0" xfId="0" applyFont="1" applyAlignment="1">
      <alignment horizontal="center"/>
    </xf>
    <xf numFmtId="0" fontId="10" fillId="0" borderId="0" xfId="0" applyFont="1" applyAlignment="1">
      <alignment horizontal="center" vertical="center"/>
    </xf>
  </cellXfs>
  <cellStyles count="2">
    <cellStyle name="Hyperlink" xfId="1" xr:uid="{00000000-000B-0000-0000-000008000000}"/>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Gill Sans MT"/>
        <family val="2"/>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EADBF5"/>
      <color rgb="FFE1CCF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62A7F4C-394D-4A63-8C31-6F5A9FA00CF6}" name="VerbCompetencias" displayName="VerbCompetencias" ref="B1:B42" totalsRowShown="0" headerRowDxfId="148" dataDxfId="147">
  <autoFilter ref="B1:B42" xr:uid="{362A7F4C-394D-4A63-8C31-6F5A9FA00CF6}"/>
  <sortState xmlns:xlrd2="http://schemas.microsoft.com/office/spreadsheetml/2017/richdata2" ref="B2:B38">
    <sortCondition ref="B2:B39"/>
  </sortState>
  <tableColumns count="1">
    <tableColumn id="1" xr3:uid="{C53878DF-DD9D-4BBB-AA09-333631D819CF}"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3FC897C-51A8-40FA-8A6D-16607E1D9337}" name="Taxonomías" displayName="Taxonomías" ref="A3:A7" totalsRowShown="0" headerRowDxfId="145" dataDxfId="144">
  <autoFilter ref="A3:A7" xr:uid="{A3FC897C-51A8-40FA-8A6D-16607E1D9337}"/>
  <tableColumns count="1">
    <tableColumn id="1" xr3:uid="{9C710A73-5A6C-4D74-8D35-0922144756C8}"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6ADC35-7E11-47CD-8C4E-82C0161878CB}" name="RecordarLK" displayName="RecordarLK" ref="AL4:AL32" totalsRowShown="0" headerRowDxfId="142" dataDxfId="141">
  <autoFilter ref="AL4:AL32" xr:uid="{A86ADC35-7E11-47CD-8C4E-82C0161878CB}"/>
  <sortState xmlns:xlrd2="http://schemas.microsoft.com/office/spreadsheetml/2017/richdata2" ref="AL5:AL32">
    <sortCondition ref="AL5:AL32"/>
  </sortState>
  <tableColumns count="1">
    <tableColumn id="1" xr3:uid="{F7B2547F-39DF-4AD1-9376-DD71A4B15A3A}"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C141AD-DB0A-405B-97B0-CD0559E3B18F}" name="ComprenderLK" displayName="ComprenderLK" ref="AM4:AM28" totalsRowShown="0" headerRowDxfId="139" dataDxfId="138">
  <autoFilter ref="AM4:AM28" xr:uid="{E7C141AD-DB0A-405B-97B0-CD0559E3B18F}"/>
  <sortState xmlns:xlrd2="http://schemas.microsoft.com/office/spreadsheetml/2017/richdata2" ref="AM5:AM28">
    <sortCondition ref="AM5:AM28"/>
  </sortState>
  <tableColumns count="1">
    <tableColumn id="1" xr3:uid="{E2F2B0BD-0E45-4150-BBD9-45A498927A6E}"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111ABA6-04F8-4D19-92A4-BCB2EC5874FA}" name="AplicarLK" displayName="AplicarLK" ref="AN4:AN31" totalsRowShown="0" headerRowDxfId="136" dataDxfId="135">
  <autoFilter ref="AN4:AN31" xr:uid="{2111ABA6-04F8-4D19-92A4-BCB2EC5874FA}"/>
  <sortState xmlns:xlrd2="http://schemas.microsoft.com/office/spreadsheetml/2017/richdata2" ref="AN5:AN31">
    <sortCondition ref="AN5:AN31"/>
  </sortState>
  <tableColumns count="1">
    <tableColumn id="1" xr3:uid="{9C17BB53-94FB-40C6-97C9-CFE593630CE7}"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6D0D10-1ACF-4417-AA9F-28C39B98EEDD}" name="AnalizarLK" displayName="AnalizarLK" ref="AO4:AO35" totalsRowShown="0" headerRowDxfId="133" dataDxfId="132">
  <autoFilter ref="AO4:AO35" xr:uid="{ED6D0D10-1ACF-4417-AA9F-28C39B98EEDD}"/>
  <sortState xmlns:xlrd2="http://schemas.microsoft.com/office/spreadsheetml/2017/richdata2" ref="AO5:AO35">
    <sortCondition ref="AO5:AO35"/>
  </sortState>
  <tableColumns count="1">
    <tableColumn id="1" xr3:uid="{94CE16FD-AAEE-43D4-8FDC-0CD1A9802B14}"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B2C1126-FD42-4594-A570-542F3A42FFD5}" name="EvaluarLK" displayName="EvaluarLK" ref="AP4:AP47" totalsRowShown="0" headerRowDxfId="130" dataDxfId="129">
  <autoFilter ref="AP4:AP47" xr:uid="{5B2C1126-FD42-4594-A570-542F3A42FFD5}"/>
  <sortState xmlns:xlrd2="http://schemas.microsoft.com/office/spreadsheetml/2017/richdata2" ref="AP5:AP47">
    <sortCondition ref="AP5:AP47"/>
  </sortState>
  <tableColumns count="1">
    <tableColumn id="1" xr3:uid="{5A7D999A-3B24-4D10-8776-8F637A11BBBF}"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73356E8-0DA4-4537-A605-40B50EECA942}" name="CrearLK" displayName="CrearLK" ref="AQ4:AQ21" totalsRowShown="0" headerRowDxfId="127" dataDxfId="126">
  <autoFilter ref="AQ4:AQ21" xr:uid="{F73356E8-0DA4-4537-A605-40B50EECA942}"/>
  <sortState xmlns:xlrd2="http://schemas.microsoft.com/office/spreadsheetml/2017/richdata2" ref="AQ5:AQ21">
    <sortCondition ref="AQ5:AQ21"/>
  </sortState>
  <tableColumns count="1">
    <tableColumn id="1" xr3:uid="{0D6225FB-BB47-4165-A4D8-001C96460B99}"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4D19CD0-B599-49C2-A5DC-A5B35B366BB9}" name="ConocimientoBAK" displayName="ConocimientoBAK" ref="S3:S45" totalsRowShown="0" headerRowDxfId="124" dataDxfId="123">
  <autoFilter ref="S3:S45" xr:uid="{94D19CD0-B599-49C2-A5DC-A5B35B366BB9}"/>
  <sortState xmlns:xlrd2="http://schemas.microsoft.com/office/spreadsheetml/2017/richdata2" ref="S4:S45">
    <sortCondition ref="S4:S45"/>
  </sortState>
  <tableColumns count="1">
    <tableColumn id="1" xr3:uid="{131C3550-9554-4706-A797-0E23C5069E07}"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CF8B977-19BC-44A6-930F-A6E27DBBDC2F}" name="ComprensiónBAK" displayName="ComprensiónBAK" ref="T3:T42" totalsRowShown="0" headerRowDxfId="121" dataDxfId="120">
  <autoFilter ref="T3:T42" xr:uid="{1CF8B977-19BC-44A6-930F-A6E27DBBDC2F}"/>
  <sortState xmlns:xlrd2="http://schemas.microsoft.com/office/spreadsheetml/2017/richdata2" ref="T4:T42">
    <sortCondition ref="T4:T42"/>
  </sortState>
  <tableColumns count="1">
    <tableColumn id="1" xr3:uid="{7E430ABA-F727-4AFC-88F2-73710AC2929A}"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EF83ADD-CD41-4B24-825B-649C1D09C25F}" name="AplicaciónBAK" displayName="AplicaciónBAK" ref="U3:U43" totalsRowShown="0" headerRowDxfId="118" dataDxfId="117">
  <autoFilter ref="U3:U43" xr:uid="{BEF83ADD-CD41-4B24-825B-649C1D09C25F}"/>
  <sortState xmlns:xlrd2="http://schemas.microsoft.com/office/spreadsheetml/2017/richdata2" ref="U4:U43">
    <sortCondition ref="U4:U43"/>
  </sortState>
  <tableColumns count="1">
    <tableColumn id="1" xr3:uid="{5649DA10-9D37-4451-99F0-CD424DCBDB33}"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F4B4DA5-2E6A-4AE6-935A-CC2B94779B96}" name="AnálisisBAK" displayName="AnálisisBAK" ref="V3:V36" totalsRowShown="0" headerRowDxfId="115" dataDxfId="114">
  <autoFilter ref="V3:V36" xr:uid="{8F4B4DA5-2E6A-4AE6-935A-CC2B94779B96}"/>
  <sortState xmlns:xlrd2="http://schemas.microsoft.com/office/spreadsheetml/2017/richdata2" ref="V4:V36">
    <sortCondition ref="V4:V36"/>
  </sortState>
  <tableColumns count="1">
    <tableColumn id="1" xr3:uid="{CCC11A10-1947-4C0A-9C7D-D3B6BF7B42D9}"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4D7CAFB-C9DC-44C7-82F9-0E1668B4F0C6}" name="SínstesisBAK" displayName="SínstesisBAK" ref="W3:W63" totalsRowShown="0" headerRowDxfId="112" dataDxfId="111">
  <autoFilter ref="W3:W63" xr:uid="{74D7CAFB-C9DC-44C7-82F9-0E1668B4F0C6}"/>
  <sortState xmlns:xlrd2="http://schemas.microsoft.com/office/spreadsheetml/2017/richdata2" ref="W4:W63">
    <sortCondition ref="W4:W63"/>
  </sortState>
  <tableColumns count="1">
    <tableColumn id="1" xr3:uid="{1DB7FA75-F99E-4305-BD04-E226B0A55E29}"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4AB64C5-4D59-4C9B-AF8C-AD1D4E5D7E22}" name="EvaluaciónBAK" displayName="EvaluaciónBAK" ref="X3:X66" totalsRowShown="0" headerRowDxfId="109" dataDxfId="108">
  <autoFilter ref="X3:X66" xr:uid="{24AB64C5-4D59-4C9B-AF8C-AD1D4E5D7E22}"/>
  <sortState xmlns:xlrd2="http://schemas.microsoft.com/office/spreadsheetml/2017/richdata2" ref="X4:X66">
    <sortCondition ref="X4:X66"/>
  </sortState>
  <tableColumns count="1">
    <tableColumn id="1" xr3:uid="{ED282AAC-9004-4897-896F-CA9DCE0CC881}"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4DAA654B-9F18-418A-B316-13C4C29B9840}" name="ImitaciónBAK" displayName="ImitaciónBAK" ref="Y3:Y52" totalsRowShown="0" headerRowDxfId="106" dataDxfId="105">
  <autoFilter ref="Y3:Y52" xr:uid="{4DAA654B-9F18-418A-B316-13C4C29B9840}"/>
  <sortState xmlns:xlrd2="http://schemas.microsoft.com/office/spreadsheetml/2017/richdata2" ref="Y4:Y52">
    <sortCondition ref="Y3:Y52"/>
  </sortState>
  <tableColumns count="1">
    <tableColumn id="1" xr3:uid="{57E849C6-3555-48E7-9FEC-3992A09995E2}"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8CC53E0E-533C-40E8-9B1D-08F34978407F}" name="ManipulaciónBAK" displayName="ManipulaciónBAK" ref="Z3:Z41" totalsRowShown="0" headerRowDxfId="103" dataDxfId="102">
  <autoFilter ref="Z3:Z41" xr:uid="{8CC53E0E-533C-40E8-9B1D-08F34978407F}"/>
  <sortState xmlns:xlrd2="http://schemas.microsoft.com/office/spreadsheetml/2017/richdata2" ref="Z4:Z41">
    <sortCondition ref="Z3:Z41"/>
  </sortState>
  <tableColumns count="1">
    <tableColumn id="1" xr3:uid="{1A118719-2487-4815-89D9-51C305E7853F}"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45E75E9-31C0-47B7-9849-772A7E35082A}" name="PrecisiónBAK" displayName="PrecisiónBAK" ref="AA3:AA69" totalsRowShown="0" headerRowDxfId="100" dataDxfId="99">
  <autoFilter ref="AA3:AA69" xr:uid="{A45E75E9-31C0-47B7-9849-772A7E35082A}"/>
  <sortState xmlns:xlrd2="http://schemas.microsoft.com/office/spreadsheetml/2017/richdata2" ref="AA4:AA69">
    <sortCondition ref="AA3:AA69"/>
  </sortState>
  <tableColumns count="1">
    <tableColumn id="1" xr3:uid="{D7343BF8-7739-4634-B69A-0FF2146C9C6B}"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575D95E-8398-49F7-A64E-BAED96B75C10}" name="ControlBAK" displayName="ControlBAK" ref="AB3:AB62" totalsRowShown="0" headerRowDxfId="97" dataDxfId="96">
  <autoFilter ref="AB3:AB62" xr:uid="{2575D95E-8398-49F7-A64E-BAED96B75C10}"/>
  <sortState xmlns:xlrd2="http://schemas.microsoft.com/office/spreadsheetml/2017/richdata2" ref="AB4:AB62">
    <sortCondition ref="AB3:AB62"/>
  </sortState>
  <tableColumns count="1">
    <tableColumn id="1" xr3:uid="{390682D2-CC9B-447C-9FE3-EF387B9B0F97}"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459AF7E-D61B-47EF-A78A-788A77BBFA5E}" name="PercepciónBAK" displayName="PercepciónBAK" ref="AC3:AC43" totalsRowShown="0" headerRowDxfId="94" dataDxfId="93">
  <autoFilter ref="AC3:AC43" xr:uid="{F459AF7E-D61B-47EF-A78A-788A77BBFA5E}"/>
  <sortState xmlns:xlrd2="http://schemas.microsoft.com/office/spreadsheetml/2017/richdata2" ref="AC4:AC43">
    <sortCondition ref="AC3:AC43"/>
  </sortState>
  <tableColumns count="1">
    <tableColumn id="1" xr3:uid="{E597DFB6-3416-47A7-B153-FC1DA0E36AB7}"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EC35434-BE6C-411F-8AAE-73E3CFC3CA78}" name="ResponderBAK" displayName="ResponderBAK" ref="AD3:AD33" totalsRowShown="0" headerRowDxfId="91" dataDxfId="90">
  <autoFilter ref="AD3:AD33" xr:uid="{3EC35434-BE6C-411F-8AAE-73E3CFC3CA78}"/>
  <sortState xmlns:xlrd2="http://schemas.microsoft.com/office/spreadsheetml/2017/richdata2" ref="AD4:AD33">
    <sortCondition ref="AD3:AD33"/>
  </sortState>
  <tableColumns count="1">
    <tableColumn id="1" xr3:uid="{0EE8E37C-6F50-46FC-B79B-C7B27BAD3C2B}"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9344631-8A85-4D95-9EA7-1E2C9FA2E476}" name="ValorarBAK" displayName="ValorarBAK" ref="AE3:AE39" totalsRowShown="0" headerRowDxfId="88" dataDxfId="87">
  <autoFilter ref="AE3:AE39" xr:uid="{19344631-8A85-4D95-9EA7-1E2C9FA2E476}"/>
  <sortState xmlns:xlrd2="http://schemas.microsoft.com/office/spreadsheetml/2017/richdata2" ref="AE4:AE39">
    <sortCondition ref="AE3:AE39"/>
  </sortState>
  <tableColumns count="1">
    <tableColumn id="1" xr3:uid="{0A087805-6D7E-496C-A05E-DA355F0095CB}"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B714438-F124-4D81-8C72-575D6C7ACE44}" name="OrganizarBAK" displayName="OrganizarBAK" ref="AF3:AF29" totalsRowShown="0" headerRowDxfId="85" dataDxfId="84">
  <autoFilter ref="AF3:AF29" xr:uid="{6B714438-F124-4D81-8C72-575D6C7ACE44}"/>
  <sortState xmlns:xlrd2="http://schemas.microsoft.com/office/spreadsheetml/2017/richdata2" ref="AF4:AF29">
    <sortCondition ref="AF3:AF29"/>
  </sortState>
  <tableColumns count="1">
    <tableColumn id="1" xr3:uid="{C5529011-A2C8-433F-8569-8D1E7E575682}"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21CDAF3-C514-4DAF-8AF4-F1594B99BB24}" name="CaracterizarBAK" displayName="CaracterizarBAK" ref="AG3:AG30" totalsRowShown="0" headerRowDxfId="82" dataDxfId="81">
  <autoFilter ref="AG3:AG30" xr:uid="{621CDAF3-C514-4DAF-8AF4-F1594B99BB24}"/>
  <sortState xmlns:xlrd2="http://schemas.microsoft.com/office/spreadsheetml/2017/richdata2" ref="AG4:AG29">
    <sortCondition ref="AG3:AG29"/>
  </sortState>
  <tableColumns count="1">
    <tableColumn id="1" xr3:uid="{706DA6CE-EB91-496D-BFFE-56AF4683EC52}"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7C8904B1-8D3B-4FF1-8646-69A8D3170D84}" name="ConocimientoB" displayName="ConocimientoB" ref="L3:L45" totalsRowShown="0" headerRowDxfId="79" dataDxfId="78">
  <autoFilter ref="L3:L45" xr:uid="{7C8904B1-8D3B-4FF1-8646-69A8D3170D84}"/>
  <sortState xmlns:xlrd2="http://schemas.microsoft.com/office/spreadsheetml/2017/richdata2" ref="L4:L45">
    <sortCondition ref="L3:L45"/>
  </sortState>
  <tableColumns count="1">
    <tableColumn id="1" xr3:uid="{2D5405CD-0CB8-4C58-A15B-F109C33FC9E6}"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0005291-B463-4A9B-8C09-DE8AC9A3EC79}" name="ComprensiónB" displayName="ComprensiónB" ref="M3:M42" totalsRowShown="0" headerRowDxfId="76" dataDxfId="75">
  <autoFilter ref="M3:M42" xr:uid="{F0005291-B463-4A9B-8C09-DE8AC9A3EC79}"/>
  <sortState xmlns:xlrd2="http://schemas.microsoft.com/office/spreadsheetml/2017/richdata2" ref="M4:M42">
    <sortCondition ref="M4:M42"/>
  </sortState>
  <tableColumns count="1">
    <tableColumn id="1" xr3:uid="{E6E77B1E-8AE8-436C-87A4-5FB485834702}"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6A30BCC7-420C-4D45-B6B6-70195C3538DA}" name="AplicaciónB" displayName="AplicaciónB" ref="N3:N43" totalsRowShown="0" headerRowDxfId="73" dataDxfId="72">
  <autoFilter ref="N3:N43" xr:uid="{6A30BCC7-420C-4D45-B6B6-70195C3538DA}"/>
  <sortState xmlns:xlrd2="http://schemas.microsoft.com/office/spreadsheetml/2017/richdata2" ref="N4:N43">
    <sortCondition ref="N4:N43"/>
  </sortState>
  <tableColumns count="1">
    <tableColumn id="1" xr3:uid="{E0EA56E0-F032-4CC9-AB57-4DE6D1598D57}"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2224BB24-5619-49C4-94FB-96AB72EE5650}" name="AnálisisB" displayName="AnálisisB" ref="O3:O36" totalsRowShown="0" headerRowDxfId="70" dataDxfId="69">
  <autoFilter ref="O3:O36" xr:uid="{2224BB24-5619-49C4-94FB-96AB72EE5650}"/>
  <sortState xmlns:xlrd2="http://schemas.microsoft.com/office/spreadsheetml/2017/richdata2" ref="O4:O36">
    <sortCondition ref="O4:O36"/>
  </sortState>
  <tableColumns count="1">
    <tableColumn id="1" xr3:uid="{3FBB4F1F-ACA5-49B6-A37D-E5FDFD13ECCD}"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3E3557D-51F5-4386-93E4-FD0D818D053F}" name="SíntesisB" displayName="SíntesisB" ref="P3:P63" totalsRowShown="0" headerRowDxfId="67" dataDxfId="66">
  <autoFilter ref="P3:P63" xr:uid="{53E3557D-51F5-4386-93E4-FD0D818D053F}"/>
  <sortState xmlns:xlrd2="http://schemas.microsoft.com/office/spreadsheetml/2017/richdata2" ref="P4:P63">
    <sortCondition ref="P4:P63"/>
  </sortState>
  <tableColumns count="1">
    <tableColumn id="1" xr3:uid="{9FB3624B-E64E-47DA-9EAA-88AF038A2D7F}"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C7124FB3-BDFD-4B6E-BBAF-C6598A6D53D7}" name="EvaluaciónB" displayName="EvaluaciónB" ref="Q3:Q66" totalsRowShown="0" headerRowDxfId="64" dataDxfId="63">
  <autoFilter ref="Q3:Q66" xr:uid="{C7124FB3-BDFD-4B6E-BBAF-C6598A6D53D7}"/>
  <sortState xmlns:xlrd2="http://schemas.microsoft.com/office/spreadsheetml/2017/richdata2" ref="Q4:Q66">
    <sortCondition ref="Q4:Q66"/>
  </sortState>
  <tableColumns count="1">
    <tableColumn id="1" xr3:uid="{1FA17810-5C9D-44CF-93A5-72EEB62A99C9}"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7EE39A7-1440-4041-A08A-18F25F4968FB}" name="AK" displayName="AK" ref="E3:E6" totalsRowShown="0" headerRowDxfId="61" dataDxfId="60">
  <autoFilter ref="E3:E6" xr:uid="{57EE39A7-1440-4041-A08A-18F25F4968FB}"/>
  <tableColumns count="1">
    <tableColumn id="1" xr3:uid="{2F23B31E-C779-49F9-A954-245BE4177AC0}"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35438B67-D634-41E1-84F1-39AE403A058D}" name="LK" displayName="LK" ref="D3:D7" totalsRowShown="0" headerRowDxfId="58" dataDxfId="57">
  <autoFilter ref="D3:D7" xr:uid="{35438B67-D634-41E1-84F1-39AE403A058D}"/>
  <tableColumns count="1">
    <tableColumn id="1" xr3:uid="{C1C9568F-A125-4329-B453-A058FD8FF63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8DBD34B-11EF-4749-B2BB-FB22AA7E5F89}" name="BAK" displayName="BAK" ref="C3:C6" totalsRowShown="0" headerRowDxfId="55" dataDxfId="54">
  <autoFilter ref="C3:C6" xr:uid="{28DBD34B-11EF-4749-B2BB-FB22AA7E5F89}"/>
  <tableColumns count="1">
    <tableColumn id="1" xr3:uid="{ACA65BC2-3FD7-48E3-B265-633D5CD395F6}"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5F4526F-E70A-4B01-8F8D-33369EFB479E}" name="ActitudinalB" displayName="ActitudinalB" ref="I3:I9" totalsRowShown="0" headerRowDxfId="52" dataDxfId="51">
  <autoFilter ref="I3:I9" xr:uid="{85F4526F-E70A-4B01-8F8D-33369EFB479E}"/>
  <tableColumns count="1">
    <tableColumn id="1" xr3:uid="{7511FDFB-CBBA-4DB3-8C4D-FF68B9279AD7}"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DFAA4E58-0E3D-4C38-B134-AE73F0FC0197}" name="ProcedimentalB" displayName="ProcedimentalB" ref="H3:H9" totalsRowShown="0" headerRowDxfId="49" dataDxfId="48">
  <autoFilter ref="H3:H9" xr:uid="{DFAA4E58-0E3D-4C38-B134-AE73F0FC0197}"/>
  <tableColumns count="1">
    <tableColumn id="1" xr3:uid="{4ED00E54-4F14-49B9-B701-FF2F463188CD}"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C8B3717-DAFD-4E37-8005-349E9A602EC5}" name="CognitivoB" displayName="CognitivoB" ref="G3:G9" totalsRowShown="0" headerRowDxfId="46" dataDxfId="45">
  <autoFilter ref="G3:G9" xr:uid="{0C8B3717-DAFD-4E37-8005-349E9A602EC5}"/>
  <tableColumns count="1">
    <tableColumn id="1" xr3:uid="{E2C7916C-66F2-431E-9B93-D7BAED80FC3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8A1C521C-B4CD-4DF4-8C25-A075B7B48FD5}" name="HechosLK" displayName="HechosLK" ref="G11:G17" totalsRowShown="0" headerRowDxfId="43" dataDxfId="42">
  <autoFilter ref="G11:G17" xr:uid="{8A1C521C-B4CD-4DF4-8C25-A075B7B48FD5}"/>
  <tableColumns count="1">
    <tableColumn id="1" xr3:uid="{F205DD3F-58DC-49F6-8DF7-A9FDFA78E901}"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EAE1057-104B-4F9B-AE6B-F5F60D430995}" name="ConceptosLK" displayName="ConceptosLK" ref="H11:H17" totalsRowShown="0" headerRowDxfId="40" dataDxfId="39">
  <autoFilter ref="H11:H17" xr:uid="{0EAE1057-104B-4F9B-AE6B-F5F60D430995}"/>
  <tableColumns count="1">
    <tableColumn id="1" xr3:uid="{ED8EB327-17D6-4CBD-BF96-91954DB19DA4}"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C5704CC1-8D1D-4541-8B3E-782D4827E87D}" name="ProcedimientosLK" displayName="ProcedimientosLK" ref="I11:I17" totalsRowShown="0" headerRowDxfId="37" dataDxfId="36">
  <autoFilter ref="I11:I17" xr:uid="{C5704CC1-8D1D-4541-8B3E-782D4827E87D}"/>
  <tableColumns count="1">
    <tableColumn id="1" xr3:uid="{75915474-E335-4868-8B24-B84F8C9C1C63}"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F9CFB80-8732-4087-B330-0AFF949ED28A}" name="MetacogniciónLK" displayName="MetacogniciónLK" ref="J11:J17" totalsRowShown="0" headerRowDxfId="34" dataDxfId="33">
  <autoFilter ref="J11:J17" xr:uid="{3F9CFB80-8732-4087-B330-0AFF949ED28A}"/>
  <tableColumns count="1">
    <tableColumn id="1" xr3:uid="{18FBF9DB-382A-4F40-9D18-10877C008AF3}"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87470927-1E85-4463-AA7C-1D450FA03673}" name="InformaciónAK" displayName="InformaciónAK" ref="G19:G25" totalsRowShown="0" headerRowDxfId="31" dataDxfId="30">
  <autoFilter ref="G19:G25" xr:uid="{87470927-1E85-4463-AA7C-1D450FA03673}"/>
  <tableColumns count="1">
    <tableColumn id="1" xr3:uid="{4C03EFC8-95AD-4135-A064-59ED0A2972A4}"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3FAB6C65-145F-49A1-9056-95330E603DB4}" name="ProcesosAK" displayName="ProcesosAK" ref="H19:H25" totalsRowShown="0" headerRowDxfId="28" dataDxfId="27">
  <autoFilter ref="H19:H25" xr:uid="{3FAB6C65-145F-49A1-9056-95330E603DB4}"/>
  <tableColumns count="1">
    <tableColumn id="1" xr3:uid="{67C2A4B2-C2BB-4461-9673-21341948DA03}"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7E2DB0D1-A63C-4278-BB90-797F375B1009}" name="PsicomotorAK" displayName="PsicomotorAK" ref="I19:I25" totalsRowShown="0" headerRowDxfId="25" dataDxfId="24">
  <autoFilter ref="I19:I25" xr:uid="{7E2DB0D1-A63C-4278-BB90-797F375B1009}"/>
  <tableColumns count="1">
    <tableColumn id="1" xr3:uid="{C11CE8E5-4283-43E3-97B8-F84DDC504C64}"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ECA4D98-E956-4A04-B3B0-0A93F4884397}" name="RecuperaciónAK" displayName="RecuperaciónAK" ref="AT4:AT28" totalsRowShown="0" headerRowDxfId="22" dataDxfId="21" tableBorderDxfId="20">
  <autoFilter ref="AT4:AT28" xr:uid="{6ECA4D98-E956-4A04-B3B0-0A93F4884397}"/>
  <sortState xmlns:xlrd2="http://schemas.microsoft.com/office/spreadsheetml/2017/richdata2" ref="AT5:AT28">
    <sortCondition ref="AT5:AT28"/>
  </sortState>
  <tableColumns count="1">
    <tableColumn id="1" xr3:uid="{6B19F25F-6B18-4C47-BB8D-501A8EEAECC7}"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4EE26191-22A3-4D10-AA50-5279EAFE5FF4}" name="ComprensiónAK" displayName="ComprensiónAK" ref="AU4:AU56" totalsRowShown="0" headerRowDxfId="18" dataDxfId="17">
  <autoFilter ref="AU4:AU56" xr:uid="{4EE26191-22A3-4D10-AA50-5279EAFE5FF4}"/>
  <sortState xmlns:xlrd2="http://schemas.microsoft.com/office/spreadsheetml/2017/richdata2" ref="AU5:AU56">
    <sortCondition ref="AU5:AU56"/>
  </sortState>
  <tableColumns count="1">
    <tableColumn id="1" xr3:uid="{20C03E72-5945-4010-ACE3-EE6E3F8AF3C1}"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ECF6306-D599-4224-81C8-4E19CA353A6C}" name="AnálisisAK" displayName="AnálisisAK" ref="AV4:AV108" totalsRowShown="0" headerRowDxfId="15" dataDxfId="14" tableBorderDxfId="13">
  <autoFilter ref="AV4:AV108" xr:uid="{7ECF6306-D599-4224-81C8-4E19CA353A6C}"/>
  <sortState xmlns:xlrd2="http://schemas.microsoft.com/office/spreadsheetml/2017/richdata2" ref="AV5:AV108">
    <sortCondition ref="AV5:AV108"/>
  </sortState>
  <tableColumns count="1">
    <tableColumn id="1" xr3:uid="{7A61C7F0-05AD-4DBC-BE6E-D8DBB2716C7D}"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48A9992D-187E-4D64-B1EE-2F797AE41033}" name="UsoConocimientoAK" displayName="UsoConocimientoAK" ref="AW4:AW70" totalsRowShown="0" headerRowDxfId="11" dataDxfId="10" tableBorderDxfId="9">
  <autoFilter ref="AW4:AW70" xr:uid="{48A9992D-187E-4D64-B1EE-2F797AE41033}"/>
  <sortState xmlns:xlrd2="http://schemas.microsoft.com/office/spreadsheetml/2017/richdata2" ref="AW5:AW70">
    <sortCondition ref="AW5:AW70"/>
  </sortState>
  <tableColumns count="1">
    <tableColumn id="1" xr3:uid="{3D5ABE44-0593-435A-B322-A7E32ABD45A0}"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C11DED42-A500-4180-8D74-D70BFEB5AA24}" name="MetacogniciónAK" displayName="MetacogniciónAK" ref="AX4:AX92" totalsRowShown="0" headerRowDxfId="7" dataDxfId="6" tableBorderDxfId="5">
  <autoFilter ref="AX4:AX92" xr:uid="{C11DED42-A500-4180-8D74-D70BFEB5AA24}"/>
  <sortState xmlns:xlrd2="http://schemas.microsoft.com/office/spreadsheetml/2017/richdata2" ref="AX5:AX92">
    <sortCondition ref="AX5:AX92"/>
  </sortState>
  <tableColumns count="1">
    <tableColumn id="1" xr3:uid="{4D90B4AA-1252-483D-B411-7F96C5754ECE}"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7DEA9F2E-0ED7-409B-99EE-B0425CBC1A14}" name="SistemadelYoAK" displayName="SistemadelYoAK" ref="AY4:AY87" totalsRowShown="0" headerRowDxfId="3" dataDxfId="2" tableBorderDxfId="1">
  <autoFilter ref="AY4:AY87" xr:uid="{7DEA9F2E-0ED7-409B-99EE-B0425CBC1A14}"/>
  <tableColumns count="1">
    <tableColumn id="1" xr3:uid="{4D5E8ACA-4170-445D-BE28-EA8C4DAEEBDB}"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7.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7.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9"/>
  <sheetViews>
    <sheetView zoomScaleNormal="100" workbookViewId="0"/>
  </sheetViews>
  <sheetFormatPr baseColWidth="10" defaultColWidth="76.21875" defaultRowHeight="18" x14ac:dyDescent="0.5"/>
  <cols>
    <col min="1" max="1" width="21.21875" style="2" customWidth="1"/>
    <col min="2" max="2" width="16.77734375" style="2" customWidth="1"/>
    <col min="3" max="4" width="59.44140625" style="2" customWidth="1"/>
    <col min="5" max="5" width="47" style="2" customWidth="1"/>
    <col min="6" max="6" width="47" customWidth="1"/>
    <col min="7" max="7" width="45.44140625" customWidth="1"/>
    <col min="8" max="8" width="64.44140625" style="2" customWidth="1"/>
    <col min="9" max="9" width="78.5546875" style="2" customWidth="1"/>
    <col min="10" max="10" width="59.21875" style="2" customWidth="1"/>
    <col min="11" max="11" width="67.21875" style="2" customWidth="1"/>
    <col min="12" max="16384" width="76.21875" style="2"/>
  </cols>
  <sheetData>
    <row r="1" spans="1:11" s="32" customFormat="1" ht="36" x14ac:dyDescent="0.3">
      <c r="A1" s="35" t="s">
        <v>0</v>
      </c>
      <c r="B1" s="35" t="s">
        <v>1</v>
      </c>
      <c r="C1" s="35" t="s">
        <v>2</v>
      </c>
      <c r="D1" s="35" t="s">
        <v>3</v>
      </c>
      <c r="E1" s="137" t="s">
        <v>4</v>
      </c>
      <c r="F1" s="137"/>
      <c r="G1" s="137"/>
      <c r="H1" s="137" t="s">
        <v>5</v>
      </c>
      <c r="I1" s="137"/>
      <c r="J1" s="137"/>
      <c r="K1" s="35" t="s">
        <v>6</v>
      </c>
    </row>
    <row r="2" spans="1:11" s="27" customFormat="1" x14ac:dyDescent="0.5">
      <c r="A2" s="37" t="s">
        <v>7</v>
      </c>
      <c r="B2" s="37" t="s">
        <v>8</v>
      </c>
      <c r="C2" s="37" t="s">
        <v>9</v>
      </c>
      <c r="D2" s="43" t="s">
        <v>10</v>
      </c>
      <c r="E2" s="86" t="s">
        <v>11</v>
      </c>
      <c r="F2" s="86" t="s">
        <v>12</v>
      </c>
      <c r="G2" s="86" t="s">
        <v>13</v>
      </c>
      <c r="H2" s="45" t="s">
        <v>14</v>
      </c>
      <c r="I2" s="45" t="s">
        <v>15</v>
      </c>
      <c r="J2" s="45" t="s">
        <v>16</v>
      </c>
      <c r="K2" s="44" t="s">
        <v>17</v>
      </c>
    </row>
    <row r="3" spans="1:11" s="4" customFormat="1" ht="36" x14ac:dyDescent="0.3">
      <c r="A3" s="139" t="s">
        <v>18</v>
      </c>
      <c r="B3" s="139" t="s">
        <v>19</v>
      </c>
      <c r="C3" s="138" t="s">
        <v>20</v>
      </c>
      <c r="D3" s="138" t="s">
        <v>21</v>
      </c>
      <c r="E3" s="119" t="s">
        <v>22</v>
      </c>
      <c r="F3" s="119" t="s">
        <v>23</v>
      </c>
      <c r="G3" s="119" t="s">
        <v>24</v>
      </c>
      <c r="H3" s="138" t="s">
        <v>25</v>
      </c>
      <c r="I3" s="138" t="s">
        <v>26</v>
      </c>
      <c r="J3" s="138" t="s">
        <v>27</v>
      </c>
      <c r="K3" s="138" t="s">
        <v>28</v>
      </c>
    </row>
    <row r="4" spans="1:11" s="4" customFormat="1" ht="36" x14ac:dyDescent="0.3">
      <c r="A4" s="140"/>
      <c r="B4" s="140"/>
      <c r="C4" s="130"/>
      <c r="D4" s="130"/>
      <c r="E4" s="85" t="s">
        <v>29</v>
      </c>
      <c r="F4" s="85" t="s">
        <v>30</v>
      </c>
      <c r="G4" s="85" t="s">
        <v>31</v>
      </c>
      <c r="H4" s="130"/>
      <c r="I4" s="130"/>
      <c r="J4" s="130"/>
      <c r="K4" s="130"/>
    </row>
    <row r="5" spans="1:11" s="4" customFormat="1" ht="36.6" thickBot="1" x14ac:dyDescent="0.35">
      <c r="A5" s="140"/>
      <c r="B5" s="140"/>
      <c r="C5" s="130"/>
      <c r="D5" s="130"/>
      <c r="E5" s="85" t="s">
        <v>32</v>
      </c>
      <c r="F5" s="85" t="s">
        <v>33</v>
      </c>
      <c r="G5" s="85" t="s">
        <v>34</v>
      </c>
      <c r="H5" s="130"/>
      <c r="I5" s="130"/>
      <c r="J5" s="130"/>
      <c r="K5" s="130"/>
    </row>
    <row r="6" spans="1:11" s="4" customFormat="1" ht="54" x14ac:dyDescent="0.3">
      <c r="A6" s="140"/>
      <c r="B6" s="140"/>
      <c r="C6" s="130"/>
      <c r="D6" s="130"/>
      <c r="E6" s="120" t="s">
        <v>35</v>
      </c>
      <c r="F6" s="120" t="s">
        <v>36</v>
      </c>
      <c r="G6" s="120" t="s">
        <v>37</v>
      </c>
      <c r="H6" s="54"/>
      <c r="I6" s="85"/>
      <c r="J6" s="85"/>
      <c r="K6" s="85"/>
    </row>
    <row r="7" spans="1:11" s="4" customFormat="1" x14ac:dyDescent="0.3">
      <c r="C7" s="31"/>
      <c r="D7" s="85"/>
      <c r="E7" s="31"/>
      <c r="F7" s="31"/>
      <c r="G7" s="31"/>
      <c r="H7" s="5"/>
    </row>
    <row r="8" spans="1:11" x14ac:dyDescent="0.5">
      <c r="D8" s="4"/>
      <c r="E8" s="8"/>
      <c r="F8" s="8"/>
      <c r="H8" s="3"/>
    </row>
    <row r="9" spans="1:11" x14ac:dyDescent="0.5">
      <c r="C9" s="85"/>
      <c r="D9" s="4"/>
      <c r="E9" s="8"/>
      <c r="F9" s="8"/>
      <c r="H9" s="3"/>
    </row>
  </sheetData>
  <mergeCells count="10">
    <mergeCell ref="E1:G1"/>
    <mergeCell ref="K3:K5"/>
    <mergeCell ref="H1:J1"/>
    <mergeCell ref="A3:A6"/>
    <mergeCell ref="B3:B6"/>
    <mergeCell ref="C3:C6"/>
    <mergeCell ref="D3:D6"/>
    <mergeCell ref="H3:H5"/>
    <mergeCell ref="I3:I5"/>
    <mergeCell ref="J3:J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9"/>
  <sheetViews>
    <sheetView zoomScaleNormal="100" workbookViewId="0">
      <selection sqref="A1:G1"/>
    </sheetView>
  </sheetViews>
  <sheetFormatPr baseColWidth="10" defaultColWidth="11.44140625" defaultRowHeight="18" x14ac:dyDescent="0.3"/>
  <cols>
    <col min="1" max="1" width="19" style="6" customWidth="1"/>
    <col min="2" max="2" width="23" style="6" customWidth="1"/>
    <col min="3" max="3" width="35.77734375" style="6" customWidth="1"/>
    <col min="4" max="4" width="42.77734375" style="6" customWidth="1"/>
    <col min="5" max="5" width="41.77734375" style="6" customWidth="1"/>
    <col min="6" max="6" width="78.5546875" style="6" customWidth="1"/>
    <col min="7" max="7" width="24" style="6" customWidth="1"/>
    <col min="8" max="16384" width="11.44140625" style="6"/>
  </cols>
  <sheetData>
    <row r="1" spans="1:7" s="2" customFormat="1" x14ac:dyDescent="0.5">
      <c r="A1" s="141" t="s">
        <v>38</v>
      </c>
      <c r="B1" s="142"/>
      <c r="C1" s="142"/>
      <c r="D1" s="142"/>
      <c r="E1" s="142"/>
      <c r="F1" s="142"/>
      <c r="G1" s="142"/>
    </row>
    <row r="2" spans="1:7" s="36" customFormat="1" ht="72" x14ac:dyDescent="0.3">
      <c r="A2" s="33" t="s">
        <v>39</v>
      </c>
      <c r="B2" s="34" t="s">
        <v>40</v>
      </c>
      <c r="C2" s="34" t="s">
        <v>41</v>
      </c>
      <c r="D2" s="34" t="s">
        <v>42</v>
      </c>
      <c r="E2" s="34" t="s">
        <v>43</v>
      </c>
      <c r="F2" s="35" t="s">
        <v>44</v>
      </c>
      <c r="G2" s="35" t="s">
        <v>45</v>
      </c>
    </row>
    <row r="3" spans="1:7" s="38" customFormat="1" x14ac:dyDescent="0.5">
      <c r="A3" s="56" t="s">
        <v>46</v>
      </c>
      <c r="B3" s="57" t="s">
        <v>47</v>
      </c>
      <c r="C3" s="57" t="s">
        <v>48</v>
      </c>
      <c r="D3" s="57" t="s">
        <v>49</v>
      </c>
      <c r="E3" s="57" t="s">
        <v>50</v>
      </c>
      <c r="F3" s="47" t="s">
        <v>51</v>
      </c>
      <c r="G3" s="47" t="s">
        <v>52</v>
      </c>
    </row>
    <row r="4" spans="1:7" ht="54" x14ac:dyDescent="0.3">
      <c r="A4" s="6">
        <v>1</v>
      </c>
      <c r="B4" s="54" t="s">
        <v>53</v>
      </c>
      <c r="C4" s="54" t="s">
        <v>22</v>
      </c>
      <c r="D4" s="54" t="s">
        <v>23</v>
      </c>
      <c r="E4" s="54" t="s">
        <v>24</v>
      </c>
      <c r="F4" s="54" t="s">
        <v>54</v>
      </c>
      <c r="G4" s="6" t="s">
        <v>55</v>
      </c>
    </row>
    <row r="5" spans="1:7" ht="54" x14ac:dyDescent="0.3">
      <c r="A5" s="6">
        <v>2</v>
      </c>
      <c r="B5" s="54" t="s">
        <v>56</v>
      </c>
      <c r="C5" s="54" t="s">
        <v>29</v>
      </c>
      <c r="D5" s="54" t="s">
        <v>30</v>
      </c>
      <c r="E5" s="54" t="s">
        <v>31</v>
      </c>
      <c r="F5" s="54" t="s">
        <v>57</v>
      </c>
      <c r="G5" s="6" t="s">
        <v>55</v>
      </c>
    </row>
    <row r="6" spans="1:7" ht="54.6" thickBot="1" x14ac:dyDescent="0.35">
      <c r="A6" s="73">
        <v>3</v>
      </c>
      <c r="B6" s="79" t="s">
        <v>58</v>
      </c>
      <c r="C6" s="79" t="s">
        <v>32</v>
      </c>
      <c r="D6" s="79" t="s">
        <v>33</v>
      </c>
      <c r="E6" s="79" t="s">
        <v>34</v>
      </c>
      <c r="F6" s="79" t="s">
        <v>59</v>
      </c>
      <c r="G6" s="73" t="s">
        <v>55</v>
      </c>
    </row>
    <row r="7" spans="1:7" ht="54" x14ac:dyDescent="0.3">
      <c r="A7" s="6">
        <v>4</v>
      </c>
      <c r="B7" s="31" t="s">
        <v>60</v>
      </c>
      <c r="C7" s="5" t="s">
        <v>35</v>
      </c>
      <c r="D7" s="31" t="s">
        <v>36</v>
      </c>
      <c r="E7" s="31" t="s">
        <v>61</v>
      </c>
      <c r="F7" s="31" t="s">
        <v>62</v>
      </c>
      <c r="G7" s="6" t="s">
        <v>63</v>
      </c>
    </row>
    <row r="8" spans="1:7" x14ac:dyDescent="0.3">
      <c r="B8" s="5"/>
      <c r="C8" s="29"/>
      <c r="D8" s="30"/>
      <c r="E8" s="30"/>
      <c r="F8" s="5"/>
    </row>
    <row r="9" spans="1:7" x14ac:dyDescent="0.3">
      <c r="C9" s="28"/>
      <c r="D9" s="28"/>
      <c r="E9" s="28"/>
    </row>
  </sheetData>
  <mergeCells count="1">
    <mergeCell ref="A1:G1"/>
  </mergeCells>
  <dataValidations count="1">
    <dataValidation type="list" allowBlank="1" showInputMessage="1" showErrorMessage="1" sqref="B7:B9" xr:uid="{7FF6EE86-2F70-4AF5-821E-634C08680A10}">
      <formula1>Verboscompetencias</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5EADCC8E-A021-41D2-A781-82D42FE181E0}">
          <x14:formula1>
            <xm:f>'Paso1 Analisis perfil egreso'!$E$3:$E$7</xm:f>
          </x14:formula1>
          <xm:sqref>C7</xm:sqref>
        </x14:dataValidation>
        <x14:dataValidation type="list" allowBlank="1" showInputMessage="1" showErrorMessage="1" xr:uid="{33DE93D0-28B9-435A-9EE1-5F80FDE293A1}">
          <x14:formula1>
            <xm:f>'Paso1 Analisis perfil egreso'!$E$3:$E$5</xm:f>
          </x14:formula1>
          <xm:sqref>C4:C6</xm:sqref>
        </x14:dataValidation>
        <x14:dataValidation type="list" allowBlank="1" showInputMessage="1" showErrorMessage="1" xr:uid="{E6987486-7846-4D31-B7A2-141184DC3327}">
          <x14:formula1>
            <xm:f>'Paso1 Analisis perfil egreso'!$F$3:$F$5</xm:f>
          </x14:formula1>
          <xm:sqref>D4:D6</xm:sqref>
        </x14:dataValidation>
        <x14:dataValidation type="list" allowBlank="1" showInputMessage="1" showErrorMessage="1" xr:uid="{0BBA3213-7EE6-4292-AFD0-62745CD3EFB1}">
          <x14:formula1>
            <xm:f>'Paso1 Analisis perfil egreso'!$G$3:$G$5</xm:f>
          </x14:formula1>
          <xm:sqref>E4:E6</xm:sqref>
        </x14:dataValidation>
        <x14:dataValidation type="list" allowBlank="1" showInputMessage="1" showErrorMessage="1" xr:uid="{27BB9EA1-A522-436A-B320-3844B1FF49FC}">
          <x14:formula1>
            <xm:f>'Taxonomía para competencias'!$B$2:$B$52</xm:f>
          </x14:formula1>
          <xm:sqref>B4:B6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B830-823B-DB48-96CD-EBD5F6A2AA93}">
  <dimension ref="A1:J23"/>
  <sheetViews>
    <sheetView zoomScaleNormal="100" workbookViewId="0"/>
  </sheetViews>
  <sheetFormatPr baseColWidth="10" defaultColWidth="11.44140625" defaultRowHeight="18" x14ac:dyDescent="0.3"/>
  <cols>
    <col min="1" max="1" width="93.21875" style="5" customWidth="1"/>
    <col min="2" max="2" width="23.21875" style="6" customWidth="1"/>
    <col min="3" max="3" width="25" style="5" customWidth="1"/>
    <col min="4" max="4" width="39.21875" style="5" customWidth="1"/>
    <col min="5" max="5" width="26.44140625" style="5" customWidth="1"/>
    <col min="6" max="6" width="21.21875" style="5" customWidth="1"/>
    <col min="7" max="7" width="21.21875" style="7" customWidth="1"/>
    <col min="8" max="8" width="21.21875" style="75" customWidth="1"/>
    <col min="9" max="9" width="80" style="9" customWidth="1"/>
    <col min="10" max="10" width="97.21875" style="5" customWidth="1"/>
    <col min="11" max="16384" width="11.44140625" style="5"/>
  </cols>
  <sheetData>
    <row r="1" spans="1:10" s="68" customFormat="1" ht="48" x14ac:dyDescent="0.3">
      <c r="A1" s="66" t="s">
        <v>64</v>
      </c>
      <c r="B1" s="66" t="s">
        <v>65</v>
      </c>
      <c r="C1" s="34" t="s">
        <v>66</v>
      </c>
      <c r="D1" s="67" t="s">
        <v>67</v>
      </c>
      <c r="E1" s="67" t="s">
        <v>68</v>
      </c>
      <c r="F1" s="34" t="s">
        <v>69</v>
      </c>
      <c r="G1" s="34" t="s">
        <v>70</v>
      </c>
      <c r="H1" s="34" t="s">
        <v>71</v>
      </c>
      <c r="I1" s="66" t="s">
        <v>72</v>
      </c>
    </row>
    <row r="2" spans="1:10" s="71" customFormat="1" x14ac:dyDescent="0.3">
      <c r="A2" s="69" t="s">
        <v>73</v>
      </c>
      <c r="B2" s="69" t="s">
        <v>74</v>
      </c>
      <c r="C2" s="57" t="s">
        <v>75</v>
      </c>
      <c r="D2" s="70" t="s">
        <v>76</v>
      </c>
      <c r="E2" s="70" t="s">
        <v>77</v>
      </c>
      <c r="F2" s="57" t="s">
        <v>78</v>
      </c>
      <c r="G2" s="57" t="s">
        <v>79</v>
      </c>
      <c r="H2" s="57" t="s">
        <v>80</v>
      </c>
      <c r="I2" s="69" t="s">
        <v>81</v>
      </c>
    </row>
    <row r="3" spans="1:10" ht="51" customHeight="1" x14ac:dyDescent="0.3">
      <c r="A3" s="54" t="s">
        <v>54</v>
      </c>
      <c r="B3" s="6">
        <v>1</v>
      </c>
      <c r="C3" s="5" t="s">
        <v>11</v>
      </c>
      <c r="D3" s="5" t="s">
        <v>22</v>
      </c>
      <c r="E3" s="5" t="s">
        <v>82</v>
      </c>
      <c r="F3" s="75" t="s">
        <v>83</v>
      </c>
      <c r="G3" s="75" t="s">
        <v>84</v>
      </c>
      <c r="H3" s="5" t="s">
        <v>60</v>
      </c>
      <c r="I3" s="85" t="s">
        <v>85</v>
      </c>
      <c r="J3" s="26"/>
    </row>
    <row r="4" spans="1:10" ht="51" customHeight="1" x14ac:dyDescent="0.3">
      <c r="A4" s="54" t="s">
        <v>54</v>
      </c>
      <c r="B4" s="6">
        <v>3</v>
      </c>
      <c r="C4" s="5" t="s">
        <v>12</v>
      </c>
      <c r="D4" s="5" t="s">
        <v>23</v>
      </c>
      <c r="E4" s="5" t="s">
        <v>82</v>
      </c>
      <c r="F4" s="75" t="s">
        <v>86</v>
      </c>
      <c r="G4" s="75" t="s">
        <v>87</v>
      </c>
      <c r="H4" s="5" t="s">
        <v>53</v>
      </c>
      <c r="I4" s="85" t="s">
        <v>88</v>
      </c>
    </row>
    <row r="5" spans="1:10" ht="51" customHeight="1" thickBot="1" x14ac:dyDescent="0.35">
      <c r="A5" s="79" t="s">
        <v>54</v>
      </c>
      <c r="B5" s="73">
        <v>5</v>
      </c>
      <c r="C5" s="72" t="s">
        <v>13</v>
      </c>
      <c r="D5" s="72" t="s">
        <v>24</v>
      </c>
      <c r="E5" s="72" t="s">
        <v>82</v>
      </c>
      <c r="F5" s="97" t="s">
        <v>89</v>
      </c>
      <c r="G5" s="97" t="s">
        <v>90</v>
      </c>
      <c r="H5" s="72" t="s">
        <v>91</v>
      </c>
      <c r="I5" s="95" t="s">
        <v>92</v>
      </c>
    </row>
    <row r="6" spans="1:10" ht="51" customHeight="1" x14ac:dyDescent="0.3">
      <c r="A6" s="54" t="s">
        <v>57</v>
      </c>
      <c r="B6" s="6">
        <v>1</v>
      </c>
      <c r="C6" s="5" t="s">
        <v>11</v>
      </c>
      <c r="D6" s="5" t="s">
        <v>29</v>
      </c>
      <c r="E6" s="5" t="s">
        <v>82</v>
      </c>
      <c r="F6" s="75" t="s">
        <v>83</v>
      </c>
      <c r="G6" s="75" t="s">
        <v>84</v>
      </c>
      <c r="H6" s="5" t="s">
        <v>60</v>
      </c>
      <c r="I6" s="85" t="s">
        <v>85</v>
      </c>
    </row>
    <row r="7" spans="1:10" ht="51" customHeight="1" x14ac:dyDescent="0.3">
      <c r="A7" s="54" t="s">
        <v>57</v>
      </c>
      <c r="B7" s="6">
        <v>3</v>
      </c>
      <c r="C7" s="5" t="s">
        <v>12</v>
      </c>
      <c r="D7" s="5" t="s">
        <v>30</v>
      </c>
      <c r="E7" s="5" t="s">
        <v>82</v>
      </c>
      <c r="F7" s="75" t="s">
        <v>86</v>
      </c>
      <c r="G7" s="75" t="s">
        <v>87</v>
      </c>
      <c r="H7" s="5" t="s">
        <v>53</v>
      </c>
      <c r="I7" s="85" t="s">
        <v>88</v>
      </c>
    </row>
    <row r="8" spans="1:10" ht="51" customHeight="1" thickBot="1" x14ac:dyDescent="0.35">
      <c r="A8" s="79" t="s">
        <v>57</v>
      </c>
      <c r="B8" s="73">
        <v>5</v>
      </c>
      <c r="C8" s="72" t="s">
        <v>13</v>
      </c>
      <c r="D8" s="72" t="s">
        <v>31</v>
      </c>
      <c r="E8" s="72" t="s">
        <v>82</v>
      </c>
      <c r="F8" s="97" t="s">
        <v>89</v>
      </c>
      <c r="G8" s="97" t="s">
        <v>90</v>
      </c>
      <c r="H8" s="72" t="s">
        <v>91</v>
      </c>
      <c r="I8" s="95" t="s">
        <v>92</v>
      </c>
      <c r="J8" s="74"/>
    </row>
    <row r="9" spans="1:10" ht="51" customHeight="1" x14ac:dyDescent="0.3">
      <c r="A9" s="54" t="s">
        <v>59</v>
      </c>
      <c r="B9" s="6">
        <v>2</v>
      </c>
      <c r="C9" s="5" t="s">
        <v>11</v>
      </c>
      <c r="D9" s="5" t="s">
        <v>32</v>
      </c>
      <c r="E9" s="5" t="s">
        <v>82</v>
      </c>
      <c r="F9" s="75" t="s">
        <v>83</v>
      </c>
      <c r="G9" s="75" t="s">
        <v>93</v>
      </c>
      <c r="H9" s="5" t="s">
        <v>94</v>
      </c>
      <c r="I9" s="85" t="s">
        <v>95</v>
      </c>
    </row>
    <row r="10" spans="1:10" ht="51" customHeight="1" x14ac:dyDescent="0.3">
      <c r="A10" s="54" t="s">
        <v>59</v>
      </c>
      <c r="B10" s="6">
        <v>4</v>
      </c>
      <c r="C10" s="5" t="s">
        <v>12</v>
      </c>
      <c r="D10" s="5" t="s">
        <v>33</v>
      </c>
      <c r="E10" s="5" t="s">
        <v>82</v>
      </c>
      <c r="F10" s="75" t="s">
        <v>86</v>
      </c>
      <c r="G10" s="75" t="s">
        <v>87</v>
      </c>
      <c r="H10" s="5" t="s">
        <v>53</v>
      </c>
      <c r="I10" s="85" t="s">
        <v>96</v>
      </c>
    </row>
    <row r="11" spans="1:10" ht="51" customHeight="1" thickBot="1" x14ac:dyDescent="0.35">
      <c r="A11" s="79" t="s">
        <v>59</v>
      </c>
      <c r="B11" s="73">
        <v>5</v>
      </c>
      <c r="C11" s="72" t="s">
        <v>13</v>
      </c>
      <c r="D11" s="72" t="s">
        <v>34</v>
      </c>
      <c r="E11" s="72" t="s">
        <v>82</v>
      </c>
      <c r="F11" s="97" t="s">
        <v>89</v>
      </c>
      <c r="G11" s="97" t="s">
        <v>90</v>
      </c>
      <c r="H11" s="72" t="s">
        <v>91</v>
      </c>
      <c r="I11" s="95" t="s">
        <v>92</v>
      </c>
      <c r="J11" s="74"/>
    </row>
    <row r="12" spans="1:10" ht="51" customHeight="1" x14ac:dyDescent="0.3">
      <c r="A12" s="5" t="s">
        <v>62</v>
      </c>
      <c r="B12" s="6">
        <v>6</v>
      </c>
      <c r="C12" s="5" t="s">
        <v>11</v>
      </c>
      <c r="D12" s="5" t="s">
        <v>97</v>
      </c>
      <c r="E12" s="5" t="s">
        <v>82</v>
      </c>
      <c r="F12" s="75" t="s">
        <v>83</v>
      </c>
      <c r="G12" s="75" t="s">
        <v>98</v>
      </c>
      <c r="H12" s="5" t="s">
        <v>99</v>
      </c>
      <c r="I12" s="85" t="s">
        <v>100</v>
      </c>
      <c r="J12" s="74"/>
    </row>
    <row r="13" spans="1:10" x14ac:dyDescent="0.3">
      <c r="A13" s="4"/>
      <c r="F13" s="9"/>
      <c r="G13" s="9"/>
      <c r="H13" s="5"/>
      <c r="I13" s="4"/>
    </row>
    <row r="14" spans="1:10" x14ac:dyDescent="0.3">
      <c r="A14" s="4"/>
      <c r="F14" s="9"/>
      <c r="G14" s="9"/>
      <c r="H14" s="5"/>
      <c r="I14" s="4"/>
    </row>
    <row r="15" spans="1:10" x14ac:dyDescent="0.3">
      <c r="A15" s="4"/>
      <c r="F15" s="9"/>
      <c r="G15" s="9"/>
      <c r="H15" s="5"/>
      <c r="I15" s="4"/>
    </row>
    <row r="16" spans="1:10" x14ac:dyDescent="0.3">
      <c r="A16" s="4"/>
      <c r="F16" s="9"/>
      <c r="G16" s="9"/>
      <c r="H16" s="5"/>
      <c r="I16" s="4"/>
    </row>
    <row r="17" spans="1:9" x14ac:dyDescent="0.3">
      <c r="A17" s="4"/>
      <c r="H17" s="5"/>
      <c r="I17" s="4"/>
    </row>
    <row r="18" spans="1:9" x14ac:dyDescent="0.3">
      <c r="A18" s="4"/>
      <c r="I18" s="4"/>
    </row>
    <row r="19" spans="1:9" x14ac:dyDescent="0.3">
      <c r="A19" s="4"/>
      <c r="I19" s="4"/>
    </row>
    <row r="20" spans="1:9" x14ac:dyDescent="0.3">
      <c r="A20" s="4"/>
    </row>
    <row r="21" spans="1:9" x14ac:dyDescent="0.3">
      <c r="A21" s="4"/>
    </row>
    <row r="22" spans="1:9" x14ac:dyDescent="0.3">
      <c r="A22" s="4"/>
    </row>
    <row r="23" spans="1:9" x14ac:dyDescent="0.3">
      <c r="A23" s="4"/>
    </row>
  </sheetData>
  <dataValidations count="5">
    <dataValidation type="list" allowBlank="1" showInputMessage="1" showErrorMessage="1" sqref="D12" xr:uid="{7E1D182A-6AF9-A04C-9AFE-674494F658A5}">
      <formula1>INDIRECT($C12)</formula1>
    </dataValidation>
    <dataValidation type="list" allowBlank="1" showInputMessage="1" showErrorMessage="1" sqref="H3:H12" xr:uid="{EF7E0087-1A07-4340-9A8A-E18F2705EAA5}">
      <formula1>INDIRECT($G3)</formula1>
    </dataValidation>
    <dataValidation type="list" allowBlank="1" showInputMessage="1" showErrorMessage="1" sqref="G3:G12" xr:uid="{C824F632-68FF-A845-8310-1160831D753F}">
      <formula1>INDIRECT($F3)</formula1>
    </dataValidation>
    <dataValidation type="list" allowBlank="1" showInputMessage="1" showErrorMessage="1" sqref="F3:F12" xr:uid="{A432778F-7D53-8543-B7B7-9CEB372333AB}">
      <formula1>INDIRECT($E3)</formula1>
    </dataValidation>
    <dataValidation type="list" allowBlank="1" showInputMessage="1" showErrorMessage="1" sqref="C3:C12" xr:uid="{75684620-131C-F04B-80D8-C75EA8359587}">
      <formula1>ComponentesCompetencias</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06BCC0E7-9937-4D11-BDE6-A3CE7F6F6CC6}">
          <x14:formula1>
            <xm:f>'Paso 2 Redacción competen'!$C$4:$C$7</xm:f>
          </x14:formula1>
          <xm:sqref>D3 D6 D9</xm:sqref>
        </x14:dataValidation>
        <x14:dataValidation type="list" allowBlank="1" showInputMessage="1" showErrorMessage="1" xr:uid="{BF34A4BB-3FEE-453F-AD02-3F4BE4E79CB0}">
          <x14:formula1>
            <xm:f>'Paso 2 Redacción competen'!$D$4:$D$7</xm:f>
          </x14:formula1>
          <xm:sqref>D4 D7 D10</xm:sqref>
        </x14:dataValidation>
        <x14:dataValidation type="list" allowBlank="1" showInputMessage="1" showErrorMessage="1" xr:uid="{86FAD985-1CC5-46AE-B09A-9BC686E26880}">
          <x14:formula1>
            <xm:f>'Paso 2 Redacción competen'!$E$4:$E$7</xm:f>
          </x14:formula1>
          <xm:sqref>D5 D8 D11</xm:sqref>
        </x14:dataValidation>
        <x14:dataValidation type="list" allowBlank="1" showInputMessage="1" showErrorMessage="1" xr:uid="{345BD5CC-7544-FC43-BCE7-641772B9359A}">
          <x14:formula1>
            <xm:f>'Taxonomias para RA'!$A$4:$A$7</xm:f>
          </x14:formula1>
          <xm:sqref>E3:E12</xm:sqref>
        </x14:dataValidation>
        <x14:dataValidation type="list" allowBlank="1" showInputMessage="1" showErrorMessage="1" xr:uid="{98578F6C-C527-A048-93A4-A8514981207B}">
          <x14:formula1>
            <xm:f>'Paso 2 Redacción competen'!$F$4:$F$7</xm:f>
          </x14:formula1>
          <xm:sqref>A3:A12</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sheetPr filterMode="1"/>
  <dimension ref="A1:K31"/>
  <sheetViews>
    <sheetView zoomScale="130" zoomScaleNormal="130" workbookViewId="0">
      <selection activeCell="A6" sqref="A6"/>
    </sheetView>
  </sheetViews>
  <sheetFormatPr baseColWidth="10" defaultColWidth="11.44140625" defaultRowHeight="70.95" customHeight="1" x14ac:dyDescent="0.5"/>
  <cols>
    <col min="1" max="1" width="93.21875" style="5" customWidth="1"/>
    <col min="2" max="2" width="23.21875" style="6" customWidth="1"/>
    <col min="3" max="3" width="25" style="5" customWidth="1"/>
    <col min="4" max="4" width="36.77734375" style="5" customWidth="1"/>
    <col min="5" max="5" width="30.77734375" style="5" customWidth="1"/>
    <col min="6" max="6" width="21.77734375" style="5" customWidth="1"/>
    <col min="7" max="7" width="27.44140625" style="7" customWidth="1"/>
    <col min="8" max="8" width="22.5546875" style="1" customWidth="1"/>
    <col min="9" max="9" width="80" customWidth="1"/>
    <col min="10" max="10" width="97.21875" style="5" customWidth="1"/>
    <col min="11" max="16384" width="11.44140625" style="5"/>
  </cols>
  <sheetData>
    <row r="1" spans="1:11" ht="48" x14ac:dyDescent="0.3">
      <c r="A1" s="41" t="s">
        <v>64</v>
      </c>
      <c r="B1" s="41" t="s">
        <v>65</v>
      </c>
      <c r="C1" s="48" t="s">
        <v>66</v>
      </c>
      <c r="D1" s="49" t="s">
        <v>67</v>
      </c>
      <c r="E1" s="49" t="s">
        <v>68</v>
      </c>
      <c r="F1" s="48" t="s">
        <v>69</v>
      </c>
      <c r="G1" s="48" t="s">
        <v>70</v>
      </c>
      <c r="H1" s="48" t="s">
        <v>71</v>
      </c>
      <c r="I1" s="41" t="s">
        <v>72</v>
      </c>
      <c r="J1" s="42"/>
    </row>
    <row r="2" spans="1:11" ht="18" x14ac:dyDescent="0.3">
      <c r="A2" s="58" t="s">
        <v>73</v>
      </c>
      <c r="B2" s="55" t="s">
        <v>74</v>
      </c>
      <c r="C2" s="59" t="s">
        <v>75</v>
      </c>
      <c r="D2" s="50" t="s">
        <v>76</v>
      </c>
      <c r="E2" s="50" t="s">
        <v>77</v>
      </c>
      <c r="F2" s="59" t="s">
        <v>78</v>
      </c>
      <c r="G2" s="59" t="s">
        <v>79</v>
      </c>
      <c r="H2" s="59" t="s">
        <v>80</v>
      </c>
      <c r="I2" s="55" t="s">
        <v>81</v>
      </c>
      <c r="J2" s="60"/>
    </row>
    <row r="3" spans="1:11" ht="136.5" hidden="1" customHeight="1" x14ac:dyDescent="0.3">
      <c r="A3" s="4" t="s">
        <v>101</v>
      </c>
      <c r="B3" s="6">
        <v>1</v>
      </c>
      <c r="C3" s="5" t="s">
        <v>11</v>
      </c>
      <c r="D3" s="5" t="s">
        <v>102</v>
      </c>
      <c r="E3" s="5" t="s">
        <v>103</v>
      </c>
      <c r="F3" s="9" t="s">
        <v>104</v>
      </c>
      <c r="G3" s="9" t="s">
        <v>105</v>
      </c>
      <c r="H3" s="5" t="s">
        <v>99</v>
      </c>
      <c r="I3" s="31" t="s">
        <v>106</v>
      </c>
      <c r="J3" s="26"/>
    </row>
    <row r="4" spans="1:11" ht="142.5" hidden="1" customHeight="1" x14ac:dyDescent="0.3">
      <c r="A4" s="4" t="s">
        <v>101</v>
      </c>
      <c r="B4" s="6">
        <v>4</v>
      </c>
      <c r="C4" s="5" t="s">
        <v>12</v>
      </c>
      <c r="D4" s="5" t="s">
        <v>107</v>
      </c>
      <c r="E4" s="5" t="s">
        <v>103</v>
      </c>
      <c r="F4" s="9" t="s">
        <v>108</v>
      </c>
      <c r="G4" s="9" t="s">
        <v>109</v>
      </c>
      <c r="H4" s="5" t="s">
        <v>53</v>
      </c>
      <c r="I4" s="31" t="s">
        <v>110</v>
      </c>
    </row>
    <row r="5" spans="1:11" ht="126" hidden="1" customHeight="1" x14ac:dyDescent="0.3">
      <c r="A5" s="4" t="s">
        <v>101</v>
      </c>
      <c r="B5" s="6">
        <v>7</v>
      </c>
      <c r="C5" s="5" t="s">
        <v>13</v>
      </c>
      <c r="D5" s="5" t="s">
        <v>111</v>
      </c>
      <c r="E5" s="5" t="s">
        <v>103</v>
      </c>
      <c r="F5" s="9" t="s">
        <v>112</v>
      </c>
      <c r="G5" s="9" t="s">
        <v>113</v>
      </c>
      <c r="H5" s="5" t="s">
        <v>58</v>
      </c>
      <c r="I5" s="31" t="s">
        <v>114</v>
      </c>
    </row>
    <row r="6" spans="1:11" ht="108" x14ac:dyDescent="0.3">
      <c r="A6" s="4" t="s">
        <v>115</v>
      </c>
      <c r="B6" s="6">
        <v>1</v>
      </c>
      <c r="C6" s="5" t="s">
        <v>11</v>
      </c>
      <c r="D6" s="5" t="s">
        <v>116</v>
      </c>
      <c r="E6" s="5" t="s">
        <v>103</v>
      </c>
      <c r="F6" s="9" t="s">
        <v>104</v>
      </c>
      <c r="G6" s="9" t="s">
        <v>105</v>
      </c>
      <c r="H6" s="5" t="s">
        <v>99</v>
      </c>
      <c r="I6" s="31" t="s">
        <v>117</v>
      </c>
    </row>
    <row r="7" spans="1:11" ht="144" x14ac:dyDescent="0.3">
      <c r="A7" s="4" t="s">
        <v>115</v>
      </c>
      <c r="B7" s="6">
        <v>5</v>
      </c>
      <c r="C7" s="5" t="s">
        <v>12</v>
      </c>
      <c r="D7" s="5" t="s">
        <v>118</v>
      </c>
      <c r="E7" s="5" t="s">
        <v>103</v>
      </c>
      <c r="F7" s="9" t="s">
        <v>108</v>
      </c>
      <c r="G7" s="9" t="s">
        <v>109</v>
      </c>
      <c r="H7" s="5" t="s">
        <v>53</v>
      </c>
      <c r="I7" s="31" t="s">
        <v>110</v>
      </c>
    </row>
    <row r="8" spans="1:11" ht="90" x14ac:dyDescent="0.3">
      <c r="A8" s="4" t="s">
        <v>115</v>
      </c>
      <c r="B8" s="6">
        <v>7</v>
      </c>
      <c r="C8" s="5" t="s">
        <v>13</v>
      </c>
      <c r="D8" s="5" t="s">
        <v>111</v>
      </c>
      <c r="E8" s="5" t="s">
        <v>103</v>
      </c>
      <c r="F8" s="9" t="s">
        <v>112</v>
      </c>
      <c r="G8" s="9" t="s">
        <v>113</v>
      </c>
      <c r="H8" s="5" t="s">
        <v>58</v>
      </c>
      <c r="I8" s="31" t="s">
        <v>114</v>
      </c>
      <c r="J8" s="10"/>
    </row>
    <row r="9" spans="1:11" ht="108" hidden="1" x14ac:dyDescent="0.3">
      <c r="A9" s="4" t="s">
        <v>119</v>
      </c>
      <c r="B9" s="6">
        <v>2</v>
      </c>
      <c r="C9" s="5" t="s">
        <v>11</v>
      </c>
      <c r="D9" s="5" t="s">
        <v>120</v>
      </c>
      <c r="E9" s="5" t="s">
        <v>103</v>
      </c>
      <c r="F9" s="9" t="s">
        <v>104</v>
      </c>
      <c r="G9" s="9" t="s">
        <v>105</v>
      </c>
      <c r="H9" s="5" t="s">
        <v>99</v>
      </c>
      <c r="I9" s="31" t="s">
        <v>117</v>
      </c>
      <c r="J9" s="10"/>
    </row>
    <row r="10" spans="1:11" ht="144" hidden="1" x14ac:dyDescent="0.3">
      <c r="A10" s="4" t="s">
        <v>119</v>
      </c>
      <c r="B10" s="6">
        <v>6</v>
      </c>
      <c r="C10" s="5" t="s">
        <v>12</v>
      </c>
      <c r="D10" s="5" t="s">
        <v>121</v>
      </c>
      <c r="E10" s="5" t="s">
        <v>103</v>
      </c>
      <c r="F10" s="9" t="s">
        <v>108</v>
      </c>
      <c r="G10" s="9" t="s">
        <v>109</v>
      </c>
      <c r="H10" s="5" t="s">
        <v>53</v>
      </c>
      <c r="I10" s="31" t="s">
        <v>110</v>
      </c>
    </row>
    <row r="11" spans="1:11" ht="90" hidden="1" x14ac:dyDescent="0.5">
      <c r="A11" s="52" t="s">
        <v>119</v>
      </c>
      <c r="B11" s="39">
        <v>7</v>
      </c>
      <c r="C11" s="40" t="s">
        <v>13</v>
      </c>
      <c r="D11" s="5" t="s">
        <v>122</v>
      </c>
      <c r="E11" s="40" t="s">
        <v>103</v>
      </c>
      <c r="F11" s="53" t="s">
        <v>112</v>
      </c>
      <c r="G11" s="53" t="s">
        <v>113</v>
      </c>
      <c r="H11" s="40" t="s">
        <v>58</v>
      </c>
      <c r="I11" s="31" t="s">
        <v>114</v>
      </c>
      <c r="J11" s="52"/>
      <c r="K11" s="46"/>
    </row>
    <row r="12" spans="1:11" ht="54" hidden="1" x14ac:dyDescent="0.5">
      <c r="A12" s="4" t="s">
        <v>62</v>
      </c>
      <c r="B12" s="6">
        <v>3</v>
      </c>
      <c r="C12" s="5" t="s">
        <v>11</v>
      </c>
      <c r="D12" s="5" t="s">
        <v>97</v>
      </c>
      <c r="E12" s="5" t="s">
        <v>82</v>
      </c>
      <c r="F12" s="9" t="s">
        <v>83</v>
      </c>
      <c r="G12" s="9" t="s">
        <v>98</v>
      </c>
      <c r="H12" s="5" t="s">
        <v>99</v>
      </c>
      <c r="I12" s="51" t="s">
        <v>100</v>
      </c>
      <c r="J12" s="10"/>
    </row>
    <row r="13" spans="1:11" ht="18" x14ac:dyDescent="0.3">
      <c r="A13" s="4"/>
      <c r="F13"/>
      <c r="G13"/>
      <c r="H13" s="5"/>
      <c r="I13" s="4"/>
      <c r="J13" s="10"/>
    </row>
    <row r="14" spans="1:11" ht="18" x14ac:dyDescent="0.3">
      <c r="A14" s="4"/>
      <c r="F14"/>
      <c r="G14"/>
      <c r="H14" s="5"/>
      <c r="I14" s="4"/>
    </row>
    <row r="15" spans="1:11" ht="18" x14ac:dyDescent="0.3">
      <c r="A15" s="4"/>
      <c r="F15"/>
      <c r="G15"/>
      <c r="H15" s="5"/>
      <c r="I15" s="4"/>
    </row>
    <row r="16" spans="1:11" ht="18" x14ac:dyDescent="0.3">
      <c r="A16" s="4"/>
      <c r="F16"/>
      <c r="G16"/>
      <c r="H16" s="5"/>
      <c r="I16" s="4"/>
    </row>
    <row r="17" spans="1:9" ht="18" x14ac:dyDescent="0.3">
      <c r="A17" s="4"/>
      <c r="F17"/>
      <c r="G17"/>
      <c r="H17" s="5"/>
      <c r="I17" s="4"/>
    </row>
    <row r="18" spans="1:9" ht="18" x14ac:dyDescent="0.3">
      <c r="A18" s="4"/>
      <c r="F18"/>
      <c r="G18"/>
      <c r="H18" s="5"/>
      <c r="I18" s="4"/>
    </row>
    <row r="19" spans="1:9" ht="18" x14ac:dyDescent="0.3">
      <c r="A19" s="4"/>
      <c r="H19" s="5"/>
      <c r="I19" s="4"/>
    </row>
    <row r="20" spans="1:9" ht="18" x14ac:dyDescent="0.5">
      <c r="A20" s="4"/>
      <c r="I20" s="4"/>
    </row>
    <row r="21" spans="1:9" ht="18" x14ac:dyDescent="0.5">
      <c r="A21" s="4"/>
      <c r="I21" s="4"/>
    </row>
    <row r="22" spans="1:9" ht="18" x14ac:dyDescent="0.5">
      <c r="A22" s="4"/>
    </row>
    <row r="23" spans="1:9" ht="18" x14ac:dyDescent="0.5">
      <c r="A23" s="4"/>
    </row>
    <row r="24" spans="1:9" ht="18" x14ac:dyDescent="0.5">
      <c r="A24" s="4"/>
    </row>
    <row r="25" spans="1:9" ht="18" x14ac:dyDescent="0.5">
      <c r="A25" s="4"/>
    </row>
    <row r="26" spans="1:9" ht="18" x14ac:dyDescent="0.5"/>
    <row r="27" spans="1:9" ht="18" x14ac:dyDescent="0.5"/>
    <row r="28" spans="1:9" ht="18" x14ac:dyDescent="0.5"/>
    <row r="29" spans="1:9" ht="18" x14ac:dyDescent="0.5"/>
    <row r="30" spans="1:9" ht="18" x14ac:dyDescent="0.5"/>
    <row r="31" spans="1:9" ht="18" x14ac:dyDescent="0.5"/>
  </sheetData>
  <autoFilter xmlns:x14="http://schemas.microsoft.com/office/spreadsheetml/2009/9/main" ref="A2:K12" xr:uid="{94AAF649-42F4-466A-BE11-44357078F961}">
    <filterColumn colId="0">
      <mc:AlternateContent xmlns:mc="http://schemas.openxmlformats.org/markup-compatibility/2006">
        <mc:Choice Requires="x14">
          <filters>
            <x14:filter val="Dominar los elementos de seguridad de la información, redes de comunicaciones y sistemas de cómputo que hacen parte de infraestructuras TIC para diseñar, implementar o administrar infraestructuras y servicios de comunicaciones en sitio o en nube alineado con prácticas basadas en estándares del sector y la normatividad vigente, teniendo en cuenta las condiciones, restricciones y requerimientos técnicos del entorno."/>
          </filters>
        </mc:Choice>
        <mc:Fallback>
          <customFilters>
            <customFilter val=""/>
            <customFilter operator="notEqual" val=" "/>
          </customFilters>
        </mc:Fallback>
      </mc:AlternateContent>
    </filterColumn>
  </autoFilter>
  <dataValidations count="5">
    <dataValidation type="list" allowBlank="1" showInputMessage="1" showErrorMessage="1" sqref="C3:C12" xr:uid="{FFA6D22D-3D22-422C-9E4B-9DF41FFB0D1A}">
      <formula1>ComponentesCompetencias</formula1>
    </dataValidation>
    <dataValidation type="list" allowBlank="1" showInputMessage="1" showErrorMessage="1" sqref="D3:D12" xr:uid="{9AA6F2BA-0C3A-40DD-AD22-0938F849E8C8}">
      <formula1>INDIRECT($C3)</formula1>
    </dataValidation>
    <dataValidation type="list" allowBlank="1" showInputMessage="1" showErrorMessage="1" sqref="F3:F12" xr:uid="{ADE492A9-9311-4C66-8809-49C51DCA3157}">
      <formula1>INDIRECT($E3)</formula1>
    </dataValidation>
    <dataValidation type="list" allowBlank="1" showInputMessage="1" showErrorMessage="1" sqref="G3:G12" xr:uid="{B5B6CC5B-EEB4-499F-8DFB-1C865BA84EBE}">
      <formula1>INDIRECT($F3)</formula1>
    </dataValidation>
    <dataValidation type="list" allowBlank="1" showInputMessage="1" showErrorMessage="1" sqref="H3:H12" xr:uid="{7387A2BF-425F-402D-8212-A970461E8629}">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1E0EDF5A-A1A8-49EE-80CA-8A45EBE16B4F}">
          <x14:formula1>
            <xm:f>'Taxonomias para RA'!$A$4:$A$7</xm:f>
          </x14:formula1>
          <xm:sqref>E3:E12</xm:sqref>
        </x14:dataValidation>
        <x14:dataValidation type="list" allowBlank="1" showInputMessage="1" showErrorMessage="1" xr:uid="{21CB2337-8D31-4329-A03E-63CC0DEF8C59}">
          <x14:formula1>
            <xm:f>'Paso 2 Redacción competen'!$F$4:$F$7</xm:f>
          </x14:formula1>
          <xm:sqref>A3:A12</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D2FE2-9619-401A-8888-2C861DBCAC9F}">
  <dimension ref="A1:F61"/>
  <sheetViews>
    <sheetView zoomScaleNormal="100" workbookViewId="0"/>
  </sheetViews>
  <sheetFormatPr baseColWidth="10" defaultColWidth="10.77734375" defaultRowHeight="14.4" x14ac:dyDescent="0.3"/>
  <cols>
    <col min="1" max="1" width="76.5546875" style="12" customWidth="1"/>
    <col min="2" max="2" width="45" style="12" customWidth="1"/>
    <col min="3" max="4" width="59.44140625" style="25" customWidth="1"/>
    <col min="5" max="5" width="46.44140625" style="25" customWidth="1"/>
    <col min="6" max="6" width="38.21875" style="25" customWidth="1"/>
    <col min="7" max="16384" width="10.77734375" style="12"/>
  </cols>
  <sheetData>
    <row r="1" spans="1:6" s="75" customFormat="1" ht="60" x14ac:dyDescent="0.3">
      <c r="A1" s="66" t="s">
        <v>123</v>
      </c>
      <c r="B1" s="66" t="s">
        <v>124</v>
      </c>
      <c r="C1" s="66" t="s">
        <v>125</v>
      </c>
      <c r="D1" s="66" t="s">
        <v>126</v>
      </c>
      <c r="E1" s="66" t="s">
        <v>127</v>
      </c>
      <c r="F1" s="66" t="s">
        <v>128</v>
      </c>
    </row>
    <row r="2" spans="1:6" s="75" customFormat="1" ht="36" x14ac:dyDescent="0.3">
      <c r="A2" s="69" t="s">
        <v>129</v>
      </c>
      <c r="B2" s="69" t="s">
        <v>130</v>
      </c>
      <c r="C2" s="69" t="s">
        <v>131</v>
      </c>
      <c r="D2" s="69" t="s">
        <v>132</v>
      </c>
      <c r="E2" s="69" t="s">
        <v>133</v>
      </c>
      <c r="F2" s="69" t="s">
        <v>134</v>
      </c>
    </row>
    <row r="3" spans="1:6" ht="54" x14ac:dyDescent="0.3">
      <c r="A3" s="31" t="s">
        <v>85</v>
      </c>
      <c r="B3" s="144" t="s">
        <v>135</v>
      </c>
      <c r="C3" s="138" t="s">
        <v>136</v>
      </c>
      <c r="D3" s="76" t="s">
        <v>137</v>
      </c>
      <c r="E3" s="144" t="s">
        <v>138</v>
      </c>
      <c r="F3" s="77" t="s">
        <v>139</v>
      </c>
    </row>
    <row r="4" spans="1:6" ht="54" x14ac:dyDescent="0.3">
      <c r="A4" s="31" t="s">
        <v>88</v>
      </c>
      <c r="B4" s="128"/>
      <c r="C4" s="130"/>
      <c r="D4" s="54" t="s">
        <v>140</v>
      </c>
      <c r="E4" s="128"/>
      <c r="F4" s="4" t="s">
        <v>141</v>
      </c>
    </row>
    <row r="5" spans="1:6" ht="36.6" thickBot="1" x14ac:dyDescent="0.35">
      <c r="A5" s="78" t="s">
        <v>92</v>
      </c>
      <c r="B5" s="131"/>
      <c r="C5" s="132"/>
      <c r="D5" s="54" t="s">
        <v>142</v>
      </c>
      <c r="E5" s="131"/>
      <c r="F5" s="31" t="s">
        <v>143</v>
      </c>
    </row>
    <row r="6" spans="1:6" ht="54" x14ac:dyDescent="0.3">
      <c r="A6" s="31" t="s">
        <v>85</v>
      </c>
      <c r="B6" s="127" t="s">
        <v>144</v>
      </c>
      <c r="C6" s="129" t="s">
        <v>145</v>
      </c>
      <c r="D6" s="80" t="s">
        <v>140</v>
      </c>
      <c r="E6" s="127" t="s">
        <v>146</v>
      </c>
      <c r="F6" s="81" t="s">
        <v>141</v>
      </c>
    </row>
    <row r="7" spans="1:6" ht="54" x14ac:dyDescent="0.3">
      <c r="A7" s="31" t="s">
        <v>88</v>
      </c>
      <c r="B7" s="128"/>
      <c r="C7" s="130"/>
      <c r="D7" s="54" t="s">
        <v>137</v>
      </c>
      <c r="E7" s="128"/>
      <c r="F7" s="31" t="s">
        <v>141</v>
      </c>
    </row>
    <row r="8" spans="1:6" ht="36.6" thickBot="1" x14ac:dyDescent="0.35">
      <c r="A8" s="78" t="s">
        <v>92</v>
      </c>
      <c r="B8" s="131"/>
      <c r="C8" s="132"/>
      <c r="D8" s="79" t="s">
        <v>142</v>
      </c>
      <c r="E8" s="131"/>
      <c r="F8" s="78" t="s">
        <v>143</v>
      </c>
    </row>
    <row r="9" spans="1:6" ht="54" x14ac:dyDescent="0.3">
      <c r="A9" s="31" t="s">
        <v>85</v>
      </c>
      <c r="B9" s="128" t="s">
        <v>147</v>
      </c>
      <c r="C9" s="129" t="s">
        <v>148</v>
      </c>
      <c r="D9" s="80" t="s">
        <v>149</v>
      </c>
      <c r="E9" s="127" t="s">
        <v>150</v>
      </c>
      <c r="F9" s="65" t="s">
        <v>141</v>
      </c>
    </row>
    <row r="10" spans="1:6" ht="54" x14ac:dyDescent="0.3">
      <c r="A10" s="31" t="s">
        <v>88</v>
      </c>
      <c r="B10" s="128"/>
      <c r="C10" s="130"/>
      <c r="D10" s="65" t="s">
        <v>151</v>
      </c>
      <c r="E10" s="128"/>
      <c r="F10" s="65" t="s">
        <v>139</v>
      </c>
    </row>
    <row r="11" spans="1:6" ht="54" x14ac:dyDescent="0.3">
      <c r="A11" s="31" t="s">
        <v>95</v>
      </c>
      <c r="B11" s="128"/>
      <c r="C11" s="130"/>
      <c r="D11" s="54" t="s">
        <v>142</v>
      </c>
      <c r="E11" s="128"/>
      <c r="F11" s="65" t="s">
        <v>143</v>
      </c>
    </row>
    <row r="12" spans="1:6" ht="36.6" thickBot="1" x14ac:dyDescent="0.35">
      <c r="A12" s="78" t="s">
        <v>92</v>
      </c>
      <c r="B12" s="128"/>
      <c r="C12" s="132"/>
      <c r="D12" s="54"/>
      <c r="E12" s="131"/>
      <c r="F12" s="65"/>
    </row>
    <row r="13" spans="1:6" ht="54" x14ac:dyDescent="0.3">
      <c r="A13" s="31" t="s">
        <v>85</v>
      </c>
      <c r="B13" s="127" t="s">
        <v>152</v>
      </c>
      <c r="C13" s="129" t="s">
        <v>153</v>
      </c>
      <c r="D13" s="80" t="s">
        <v>140</v>
      </c>
      <c r="E13" s="127" t="s">
        <v>154</v>
      </c>
      <c r="F13" s="81" t="s">
        <v>141</v>
      </c>
    </row>
    <row r="14" spans="1:6" ht="54" x14ac:dyDescent="0.3">
      <c r="A14" s="31" t="s">
        <v>88</v>
      </c>
      <c r="B14" s="128"/>
      <c r="C14" s="130"/>
      <c r="D14" s="65" t="s">
        <v>151</v>
      </c>
      <c r="E14" s="128"/>
      <c r="F14" s="85" t="s">
        <v>139</v>
      </c>
    </row>
    <row r="15" spans="1:6" ht="54" x14ac:dyDescent="0.3">
      <c r="A15" s="31" t="s">
        <v>95</v>
      </c>
      <c r="B15" s="128"/>
      <c r="C15" s="130"/>
      <c r="D15" s="54" t="s">
        <v>142</v>
      </c>
      <c r="E15" s="128"/>
      <c r="F15" s="31" t="s">
        <v>143</v>
      </c>
    </row>
    <row r="16" spans="1:6" ht="54" x14ac:dyDescent="0.3">
      <c r="A16" s="31" t="s">
        <v>96</v>
      </c>
      <c r="B16" s="128"/>
      <c r="C16" s="130"/>
      <c r="D16" s="65"/>
      <c r="E16" s="128"/>
      <c r="F16" s="85"/>
    </row>
    <row r="17" spans="1:6" ht="36.6" thickBot="1" x14ac:dyDescent="0.35">
      <c r="A17" s="78" t="s">
        <v>92</v>
      </c>
      <c r="B17" s="128"/>
      <c r="C17" s="130"/>
      <c r="D17" s="54"/>
      <c r="E17" s="131"/>
      <c r="F17" s="31"/>
    </row>
    <row r="18" spans="1:6" ht="54" x14ac:dyDescent="0.3">
      <c r="A18" s="31" t="s">
        <v>85</v>
      </c>
      <c r="B18" s="127" t="s">
        <v>155</v>
      </c>
      <c r="C18" s="129" t="s">
        <v>156</v>
      </c>
      <c r="D18" s="80" t="s">
        <v>140</v>
      </c>
      <c r="E18" s="127" t="s">
        <v>157</v>
      </c>
      <c r="F18" s="81" t="s">
        <v>141</v>
      </c>
    </row>
    <row r="19" spans="1:6" ht="54" x14ac:dyDescent="0.3">
      <c r="A19" s="31" t="s">
        <v>88</v>
      </c>
      <c r="B19" s="128"/>
      <c r="C19" s="130"/>
      <c r="D19" s="65" t="s">
        <v>151</v>
      </c>
      <c r="E19" s="128"/>
      <c r="F19" s="85" t="s">
        <v>139</v>
      </c>
    </row>
    <row r="20" spans="1:6" ht="54" x14ac:dyDescent="0.3">
      <c r="A20" s="31" t="s">
        <v>95</v>
      </c>
      <c r="B20" s="128"/>
      <c r="C20" s="130"/>
      <c r="D20" s="54" t="s">
        <v>142</v>
      </c>
      <c r="E20" s="128"/>
      <c r="F20" s="31" t="s">
        <v>143</v>
      </c>
    </row>
    <row r="21" spans="1:6" ht="36.6" thickBot="1" x14ac:dyDescent="0.35">
      <c r="A21" s="78" t="s">
        <v>92</v>
      </c>
      <c r="B21" s="128"/>
      <c r="C21" s="130"/>
      <c r="D21" s="54"/>
      <c r="E21" s="128"/>
      <c r="F21" s="78"/>
    </row>
    <row r="22" spans="1:6" ht="54" x14ac:dyDescent="0.3">
      <c r="A22" s="31" t="s">
        <v>85</v>
      </c>
      <c r="B22" s="127" t="s">
        <v>158</v>
      </c>
      <c r="C22" s="129" t="s">
        <v>159</v>
      </c>
      <c r="D22" s="80" t="s">
        <v>140</v>
      </c>
      <c r="E22" s="127" t="s">
        <v>160</v>
      </c>
      <c r="F22" s="31" t="s">
        <v>161</v>
      </c>
    </row>
    <row r="23" spans="1:6" ht="54" x14ac:dyDescent="0.3">
      <c r="A23" s="31" t="s">
        <v>95</v>
      </c>
      <c r="B23" s="128"/>
      <c r="C23" s="130"/>
      <c r="D23" s="65" t="s">
        <v>151</v>
      </c>
      <c r="E23" s="128"/>
      <c r="F23" s="54" t="s">
        <v>139</v>
      </c>
    </row>
    <row r="24" spans="1:6" ht="54.6" thickBot="1" x14ac:dyDescent="0.35">
      <c r="A24" s="78" t="s">
        <v>96</v>
      </c>
      <c r="B24" s="131"/>
      <c r="C24" s="132"/>
      <c r="D24" s="79" t="s">
        <v>142</v>
      </c>
      <c r="E24" s="145"/>
      <c r="F24" s="82" t="s">
        <v>143</v>
      </c>
    </row>
    <row r="25" spans="1:6" ht="54" x14ac:dyDescent="0.3">
      <c r="A25" s="31" t="s">
        <v>85</v>
      </c>
      <c r="B25" s="128" t="s">
        <v>162</v>
      </c>
      <c r="C25" s="130" t="s">
        <v>163</v>
      </c>
      <c r="D25" s="80" t="s">
        <v>140</v>
      </c>
      <c r="E25" s="146" t="s">
        <v>164</v>
      </c>
      <c r="F25" s="31" t="s">
        <v>161</v>
      </c>
    </row>
    <row r="26" spans="1:6" ht="54" x14ac:dyDescent="0.3">
      <c r="A26" s="31" t="s">
        <v>88</v>
      </c>
      <c r="B26" s="128"/>
      <c r="C26" s="130"/>
      <c r="D26" s="65" t="s">
        <v>151</v>
      </c>
      <c r="E26" s="128"/>
      <c r="F26" s="31" t="s">
        <v>139</v>
      </c>
    </row>
    <row r="27" spans="1:6" ht="54.6" thickBot="1" x14ac:dyDescent="0.35">
      <c r="A27" s="78" t="s">
        <v>95</v>
      </c>
      <c r="B27" s="145"/>
      <c r="C27" s="147"/>
      <c r="D27" s="79" t="s">
        <v>142</v>
      </c>
      <c r="E27" s="145"/>
      <c r="F27" s="82" t="s">
        <v>143</v>
      </c>
    </row>
    <row r="28" spans="1:6" ht="54" x14ac:dyDescent="0.3">
      <c r="A28" s="31" t="s">
        <v>88</v>
      </c>
      <c r="B28" s="128" t="s">
        <v>165</v>
      </c>
      <c r="C28" s="143" t="s">
        <v>166</v>
      </c>
      <c r="D28" s="80" t="s">
        <v>140</v>
      </c>
      <c r="E28" s="146" t="s">
        <v>167</v>
      </c>
      <c r="F28" s="85" t="s">
        <v>161</v>
      </c>
    </row>
    <row r="29" spans="1:6" ht="54" x14ac:dyDescent="0.3">
      <c r="A29" s="31" t="s">
        <v>95</v>
      </c>
      <c r="B29" s="128"/>
      <c r="C29" s="130"/>
      <c r="D29" s="65" t="s">
        <v>151</v>
      </c>
      <c r="E29" s="128"/>
      <c r="F29" s="85" t="s">
        <v>139</v>
      </c>
    </row>
    <row r="30" spans="1:6" ht="36.6" thickBot="1" x14ac:dyDescent="0.35">
      <c r="A30" s="78" t="s">
        <v>92</v>
      </c>
      <c r="B30" s="131"/>
      <c r="C30" s="130"/>
      <c r="D30" s="79" t="s">
        <v>142</v>
      </c>
      <c r="E30" s="128"/>
      <c r="F30" s="95" t="s">
        <v>139</v>
      </c>
    </row>
    <row r="31" spans="1:6" ht="54" x14ac:dyDescent="0.3">
      <c r="A31" s="31" t="s">
        <v>88</v>
      </c>
      <c r="B31" s="128" t="s">
        <v>168</v>
      </c>
      <c r="C31" s="143" t="s">
        <v>169</v>
      </c>
      <c r="D31" s="76" t="s">
        <v>170</v>
      </c>
      <c r="E31" s="127" t="s">
        <v>171</v>
      </c>
      <c r="F31" s="31" t="s">
        <v>161</v>
      </c>
    </row>
    <row r="32" spans="1:6" ht="54" x14ac:dyDescent="0.3">
      <c r="A32" s="31" t="s">
        <v>85</v>
      </c>
      <c r="B32" s="128"/>
      <c r="C32" s="130"/>
      <c r="D32" s="54" t="s">
        <v>140</v>
      </c>
      <c r="E32" s="128"/>
      <c r="F32" s="31" t="s">
        <v>139</v>
      </c>
    </row>
    <row r="33" spans="1:6" ht="36.6" thickBot="1" x14ac:dyDescent="0.35">
      <c r="A33" s="78" t="s">
        <v>92</v>
      </c>
      <c r="B33" s="131"/>
      <c r="C33" s="132"/>
      <c r="D33" s="79" t="s">
        <v>142</v>
      </c>
      <c r="E33" s="131"/>
      <c r="F33" s="78" t="s">
        <v>143</v>
      </c>
    </row>
    <row r="34" spans="1:6" ht="54" x14ac:dyDescent="0.3">
      <c r="A34" s="31" t="s">
        <v>88</v>
      </c>
      <c r="B34" s="128" t="s">
        <v>172</v>
      </c>
      <c r="C34" s="143" t="s">
        <v>173</v>
      </c>
      <c r="D34" s="54" t="s">
        <v>140</v>
      </c>
      <c r="E34" s="127" t="s">
        <v>174</v>
      </c>
      <c r="F34" s="31" t="s">
        <v>161</v>
      </c>
    </row>
    <row r="35" spans="1:6" ht="54" x14ac:dyDescent="0.3">
      <c r="A35" s="31" t="s">
        <v>95</v>
      </c>
      <c r="B35" s="128"/>
      <c r="C35" s="130"/>
      <c r="D35" s="54" t="s">
        <v>151</v>
      </c>
      <c r="E35" s="128"/>
      <c r="F35" s="31" t="s">
        <v>139</v>
      </c>
    </row>
    <row r="36" spans="1:6" ht="54.6" thickBot="1" x14ac:dyDescent="0.35">
      <c r="A36" s="78" t="s">
        <v>96</v>
      </c>
      <c r="B36" s="131"/>
      <c r="C36" s="132"/>
      <c r="D36" s="79" t="s">
        <v>142</v>
      </c>
      <c r="E36" s="131"/>
      <c r="F36" s="78" t="s">
        <v>143</v>
      </c>
    </row>
    <row r="37" spans="1:6" ht="54" x14ac:dyDescent="0.3">
      <c r="A37" s="31" t="s">
        <v>85</v>
      </c>
      <c r="B37" s="128" t="s">
        <v>175</v>
      </c>
      <c r="C37" s="143" t="s">
        <v>176</v>
      </c>
      <c r="D37" s="54" t="s">
        <v>140</v>
      </c>
      <c r="E37" s="127" t="s">
        <v>177</v>
      </c>
      <c r="F37" s="85" t="s">
        <v>161</v>
      </c>
    </row>
    <row r="38" spans="1:6" ht="54" x14ac:dyDescent="0.3">
      <c r="A38" s="31" t="s">
        <v>95</v>
      </c>
      <c r="B38" s="128"/>
      <c r="C38" s="130"/>
      <c r="D38" s="54" t="s">
        <v>178</v>
      </c>
      <c r="E38" s="128"/>
      <c r="F38" s="85" t="s">
        <v>139</v>
      </c>
    </row>
    <row r="39" spans="1:6" ht="54.6" thickBot="1" x14ac:dyDescent="0.35">
      <c r="A39" s="78" t="s">
        <v>96</v>
      </c>
      <c r="B39" s="131"/>
      <c r="C39" s="132"/>
      <c r="D39" s="79" t="s">
        <v>142</v>
      </c>
      <c r="E39" s="131"/>
      <c r="F39" s="95" t="s">
        <v>143</v>
      </c>
    </row>
    <row r="40" spans="1:6" ht="54" x14ac:dyDescent="0.3">
      <c r="A40" s="31" t="s">
        <v>95</v>
      </c>
      <c r="B40" s="128" t="s">
        <v>179</v>
      </c>
      <c r="C40" s="143" t="s">
        <v>180</v>
      </c>
      <c r="D40" s="54" t="s">
        <v>140</v>
      </c>
      <c r="E40" s="127" t="s">
        <v>181</v>
      </c>
      <c r="F40" s="31" t="s">
        <v>161</v>
      </c>
    </row>
    <row r="41" spans="1:6" ht="54" x14ac:dyDescent="0.3">
      <c r="A41" s="31" t="s">
        <v>96</v>
      </c>
      <c r="B41" s="128"/>
      <c r="C41" s="130"/>
      <c r="D41" s="54" t="s">
        <v>151</v>
      </c>
      <c r="E41" s="128"/>
      <c r="F41" s="31" t="s">
        <v>139</v>
      </c>
    </row>
    <row r="42" spans="1:6" ht="36.6" thickBot="1" x14ac:dyDescent="0.35">
      <c r="A42" s="78" t="s">
        <v>92</v>
      </c>
      <c r="B42" s="131"/>
      <c r="C42" s="132"/>
      <c r="D42" s="79" t="s">
        <v>142</v>
      </c>
      <c r="E42" s="131"/>
      <c r="F42" s="78" t="s">
        <v>143</v>
      </c>
    </row>
    <row r="43" spans="1:6" ht="54" x14ac:dyDescent="0.3">
      <c r="A43" s="31" t="s">
        <v>85</v>
      </c>
      <c r="B43" s="128" t="s">
        <v>182</v>
      </c>
      <c r="C43" s="143" t="s">
        <v>183</v>
      </c>
      <c r="D43" s="54" t="s">
        <v>140</v>
      </c>
      <c r="E43" s="127" t="s">
        <v>184</v>
      </c>
      <c r="F43" s="31" t="s">
        <v>161</v>
      </c>
    </row>
    <row r="44" spans="1:6" ht="54" x14ac:dyDescent="0.3">
      <c r="A44" s="31" t="s">
        <v>95</v>
      </c>
      <c r="B44" s="128"/>
      <c r="C44" s="130"/>
      <c r="D44" s="54" t="s">
        <v>151</v>
      </c>
      <c r="E44" s="128"/>
      <c r="F44" s="31" t="s">
        <v>139</v>
      </c>
    </row>
    <row r="45" spans="1:6" ht="54.6" thickBot="1" x14ac:dyDescent="0.35">
      <c r="A45" s="78" t="s">
        <v>96</v>
      </c>
      <c r="B45" s="131"/>
      <c r="C45" s="132"/>
      <c r="D45" s="79" t="s">
        <v>142</v>
      </c>
      <c r="E45" s="131"/>
      <c r="F45" s="78" t="s">
        <v>143</v>
      </c>
    </row>
    <row r="46" spans="1:6" ht="18" x14ac:dyDescent="0.3">
      <c r="A46" s="31"/>
    </row>
    <row r="47" spans="1:6" ht="18" x14ac:dyDescent="0.3">
      <c r="A47" s="31"/>
    </row>
    <row r="48" spans="1:6" ht="18" x14ac:dyDescent="0.3">
      <c r="A48" s="31"/>
    </row>
    <row r="49" spans="1:1" ht="18" x14ac:dyDescent="0.3">
      <c r="A49" s="31"/>
    </row>
    <row r="50" spans="1:1" ht="18" x14ac:dyDescent="0.3">
      <c r="A50" s="31"/>
    </row>
    <row r="51" spans="1:1" ht="18" x14ac:dyDescent="0.3">
      <c r="A51" s="31"/>
    </row>
    <row r="52" spans="1:1" ht="18" x14ac:dyDescent="0.3">
      <c r="A52" s="31"/>
    </row>
    <row r="53" spans="1:1" ht="18" x14ac:dyDescent="0.3">
      <c r="A53" s="31"/>
    </row>
    <row r="54" spans="1:1" ht="18" x14ac:dyDescent="0.3">
      <c r="A54" s="31"/>
    </row>
    <row r="55" spans="1:1" ht="18" x14ac:dyDescent="0.3">
      <c r="A55" s="31"/>
    </row>
    <row r="56" spans="1:1" ht="18" x14ac:dyDescent="0.3">
      <c r="A56" s="31"/>
    </row>
    <row r="57" spans="1:1" ht="18" x14ac:dyDescent="0.3">
      <c r="A57" s="31"/>
    </row>
    <row r="58" spans="1:1" ht="18" x14ac:dyDescent="0.3">
      <c r="A58" s="31"/>
    </row>
    <row r="59" spans="1:1" ht="18" x14ac:dyDescent="0.3">
      <c r="A59" s="31"/>
    </row>
    <row r="60" spans="1:1" ht="18" x14ac:dyDescent="0.3">
      <c r="A60" s="31"/>
    </row>
    <row r="61" spans="1:1" ht="18" x14ac:dyDescent="0.3">
      <c r="A61" s="31"/>
    </row>
  </sheetData>
  <mergeCells count="39">
    <mergeCell ref="B43:B45"/>
    <mergeCell ref="C43:C45"/>
    <mergeCell ref="E43:E45"/>
    <mergeCell ref="C3:C5"/>
    <mergeCell ref="B3:B5"/>
    <mergeCell ref="B18:B21"/>
    <mergeCell ref="C18:C21"/>
    <mergeCell ref="B6:B8"/>
    <mergeCell ref="C6:C8"/>
    <mergeCell ref="B9:B12"/>
    <mergeCell ref="B13:B17"/>
    <mergeCell ref="C13:C17"/>
    <mergeCell ref="C9:C12"/>
    <mergeCell ref="B22:B24"/>
    <mergeCell ref="C22:C24"/>
    <mergeCell ref="B25:B27"/>
    <mergeCell ref="E22:E24"/>
    <mergeCell ref="E25:E27"/>
    <mergeCell ref="E28:E30"/>
    <mergeCell ref="B34:B36"/>
    <mergeCell ref="C34:C36"/>
    <mergeCell ref="C25:C27"/>
    <mergeCell ref="B28:B30"/>
    <mergeCell ref="C28:C30"/>
    <mergeCell ref="B31:B33"/>
    <mergeCell ref="C31:C33"/>
    <mergeCell ref="E31:E33"/>
    <mergeCell ref="E34:E36"/>
    <mergeCell ref="E3:E5"/>
    <mergeCell ref="E6:E8"/>
    <mergeCell ref="E9:E12"/>
    <mergeCell ref="E13:E17"/>
    <mergeCell ref="E18:E21"/>
    <mergeCell ref="B37:B39"/>
    <mergeCell ref="C37:C39"/>
    <mergeCell ref="B40:B42"/>
    <mergeCell ref="C40:C42"/>
    <mergeCell ref="E37:E39"/>
    <mergeCell ref="E40:E42"/>
  </mergeCell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76D4CE67-AD66-4854-B38B-39F44C18D0BA}">
          <x14:formula1>
            <xm:f>'Paso 3 Redacción RA'!$I$3:$I$12</xm:f>
          </x14:formula1>
          <xm:sqref>A3:A61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195A-FBC9-4847-94C9-3ADDAD335674}">
  <dimension ref="A1:S116"/>
  <sheetViews>
    <sheetView tabSelected="1" zoomScale="56" zoomScaleNormal="100" workbookViewId="0">
      <pane ySplit="2" topLeftCell="A3" activePane="bottomLeft" state="frozen"/>
      <selection activeCell="B1" sqref="B1"/>
      <selection pane="bottomLeft" activeCell="B2" sqref="B2"/>
    </sheetView>
  </sheetViews>
  <sheetFormatPr baseColWidth="10" defaultColWidth="14.77734375" defaultRowHeight="18" x14ac:dyDescent="0.5"/>
  <cols>
    <col min="1" max="1" width="14.77734375" style="1"/>
    <col min="2" max="2" width="79.44140625" style="5" customWidth="1"/>
    <col min="3" max="3" width="18.44140625" style="7" customWidth="1"/>
    <col min="4" max="4" width="33.77734375" style="6" bestFit="1" customWidth="1"/>
    <col min="5" max="5" width="76.77734375" style="5" customWidth="1"/>
    <col min="6" max="6" width="12.77734375" style="7" customWidth="1"/>
    <col min="7" max="9" width="15.44140625" style="7" customWidth="1"/>
    <col min="10" max="10" width="13.21875" style="7" customWidth="1"/>
    <col min="11" max="11" width="23.77734375" style="7" customWidth="1"/>
    <col min="12" max="12" width="23.5546875" style="7" customWidth="1"/>
    <col min="13" max="13" width="13.21875" style="7" customWidth="1"/>
    <col min="14" max="14" width="43.5546875" style="5" customWidth="1"/>
    <col min="15" max="15" width="49.21875" style="5" customWidth="1"/>
    <col min="16" max="16" width="49" style="5" customWidth="1"/>
    <col min="17" max="17" width="68.21875" style="5" customWidth="1"/>
    <col min="18" max="18" width="4" style="3" bestFit="1" customWidth="1"/>
    <col min="19" max="19" width="3.21875" style="13" bestFit="1" customWidth="1"/>
    <col min="20" max="16384" width="14.77734375" style="7"/>
  </cols>
  <sheetData>
    <row r="1" spans="1:19" s="75" customFormat="1" ht="60" x14ac:dyDescent="0.5">
      <c r="A1" s="66" t="s">
        <v>185</v>
      </c>
      <c r="B1" s="66" t="s">
        <v>186</v>
      </c>
      <c r="C1" s="66" t="s">
        <v>187</v>
      </c>
      <c r="D1" s="66" t="s">
        <v>188</v>
      </c>
      <c r="E1" s="66" t="s">
        <v>189</v>
      </c>
      <c r="F1" s="66" t="s">
        <v>190</v>
      </c>
      <c r="G1" s="136" t="s">
        <v>191</v>
      </c>
      <c r="H1" s="136"/>
      <c r="I1" s="136"/>
      <c r="J1" s="66" t="s">
        <v>192</v>
      </c>
      <c r="K1" s="66" t="s">
        <v>193</v>
      </c>
      <c r="L1" s="66" t="s">
        <v>194</v>
      </c>
      <c r="M1" s="66" t="s">
        <v>195</v>
      </c>
      <c r="N1" s="66" t="s">
        <v>196</v>
      </c>
      <c r="O1" s="66" t="s">
        <v>197</v>
      </c>
      <c r="P1" s="66" t="s">
        <v>198</v>
      </c>
      <c r="Q1" s="66" t="s">
        <v>199</v>
      </c>
      <c r="R1" s="124"/>
      <c r="S1" s="1"/>
    </row>
    <row r="2" spans="1:19" s="75" customFormat="1" ht="36.6" thickBot="1" x14ac:dyDescent="0.55000000000000004">
      <c r="A2" s="69" t="s">
        <v>200</v>
      </c>
      <c r="B2" s="69" t="s">
        <v>129</v>
      </c>
      <c r="C2" s="69" t="s">
        <v>201</v>
      </c>
      <c r="D2" s="69" t="s">
        <v>202</v>
      </c>
      <c r="E2" s="69" t="s">
        <v>203</v>
      </c>
      <c r="F2" s="69" t="s">
        <v>204</v>
      </c>
      <c r="G2" s="69" t="s">
        <v>205</v>
      </c>
      <c r="H2" s="69" t="s">
        <v>206</v>
      </c>
      <c r="I2" s="69" t="s">
        <v>207</v>
      </c>
      <c r="J2" s="69" t="s">
        <v>208</v>
      </c>
      <c r="K2" s="69" t="s">
        <v>209</v>
      </c>
      <c r="L2" s="69" t="s">
        <v>210</v>
      </c>
      <c r="M2" s="69" t="s">
        <v>211</v>
      </c>
      <c r="N2" s="69" t="s">
        <v>212</v>
      </c>
      <c r="O2" s="69" t="s">
        <v>213</v>
      </c>
      <c r="P2" s="69" t="s">
        <v>214</v>
      </c>
      <c r="Q2" s="69" t="s">
        <v>215</v>
      </c>
      <c r="R2" s="125"/>
      <c r="S2" s="1"/>
    </row>
    <row r="3" spans="1:19" s="103" customFormat="1" ht="288.60000000000002" thickBot="1" x14ac:dyDescent="0.55000000000000004">
      <c r="A3" s="99" t="str">
        <f>_xlfn.XLOOKUP(B3,'Paso 3 Redacción RA'!I$3:I$12,'Paso 3 Redacción RA'!C$3:C$12,,0,1)</f>
        <v>Saber</v>
      </c>
      <c r="B3" s="99" t="s">
        <v>100</v>
      </c>
      <c r="C3" s="100">
        <v>1</v>
      </c>
      <c r="D3" s="100" t="s">
        <v>216</v>
      </c>
      <c r="E3" s="99" t="s">
        <v>217</v>
      </c>
      <c r="F3" s="100" t="s">
        <v>218</v>
      </c>
      <c r="G3" s="100" t="s">
        <v>219</v>
      </c>
      <c r="H3" s="100"/>
      <c r="I3" s="100"/>
      <c r="J3" s="100">
        <v>3</v>
      </c>
      <c r="K3" s="100">
        <f>16*J3</f>
        <v>48</v>
      </c>
      <c r="L3" s="100">
        <f>32*J3</f>
        <v>96</v>
      </c>
      <c r="M3" s="100">
        <f>SUM(K3:L3)</f>
        <v>144</v>
      </c>
      <c r="N3" s="101" t="s">
        <v>220</v>
      </c>
      <c r="O3" s="99" t="s">
        <v>221</v>
      </c>
      <c r="P3" s="99" t="s">
        <v>222</v>
      </c>
      <c r="Q3" s="99" t="s">
        <v>223</v>
      </c>
      <c r="R3" s="108"/>
      <c r="S3" s="117"/>
    </row>
    <row r="4" spans="1:19" s="105" customFormat="1" ht="360.6" thickBot="1" x14ac:dyDescent="0.55000000000000004">
      <c r="A4" s="99" t="str">
        <f>_xlfn.XLOOKUP(B4,'Paso 3 Redacción RA'!I$3:I$12,'Paso 3 Redacción RA'!C$3:C$12,,0,1)</f>
        <v>Saber</v>
      </c>
      <c r="B4" s="99" t="s">
        <v>100</v>
      </c>
      <c r="C4" s="100">
        <v>1</v>
      </c>
      <c r="D4" s="100" t="s">
        <v>224</v>
      </c>
      <c r="E4" s="99" t="s">
        <v>225</v>
      </c>
      <c r="F4" s="100" t="s">
        <v>218</v>
      </c>
      <c r="G4" s="100" t="s">
        <v>219</v>
      </c>
      <c r="H4" s="100"/>
      <c r="I4" s="100"/>
      <c r="J4" s="100">
        <v>3</v>
      </c>
      <c r="K4" s="100">
        <f>16*J4</f>
        <v>48</v>
      </c>
      <c r="L4" s="100">
        <f>32*J4</f>
        <v>96</v>
      </c>
      <c r="M4" s="100">
        <f>SUM(K4:L4)</f>
        <v>144</v>
      </c>
      <c r="N4" s="99" t="s">
        <v>226</v>
      </c>
      <c r="O4" s="99" t="s">
        <v>227</v>
      </c>
      <c r="P4" s="99" t="s">
        <v>228</v>
      </c>
      <c r="Q4" s="99" t="s">
        <v>223</v>
      </c>
      <c r="R4" s="108"/>
      <c r="S4" s="104"/>
    </row>
    <row r="5" spans="1:19" s="105" customFormat="1" ht="54" x14ac:dyDescent="0.5">
      <c r="A5" s="105" t="str">
        <f>_xlfn.XLOOKUP(B5,'Paso 3 Redacción RA'!I$3:I$12,'Paso 3 Redacción RA'!C$3:C$12,,0,1)</f>
        <v>Saber</v>
      </c>
      <c r="B5" s="54" t="s">
        <v>85</v>
      </c>
      <c r="C5" s="133">
        <v>1</v>
      </c>
      <c r="D5" s="128" t="s">
        <v>229</v>
      </c>
      <c r="E5" s="130" t="s">
        <v>230</v>
      </c>
      <c r="F5" s="128" t="s">
        <v>218</v>
      </c>
      <c r="G5" s="128"/>
      <c r="H5" s="128" t="s">
        <v>219</v>
      </c>
      <c r="I5" s="128"/>
      <c r="J5" s="128">
        <v>3</v>
      </c>
      <c r="K5" s="128">
        <f>16*J5</f>
        <v>48</v>
      </c>
      <c r="L5" s="128">
        <f>32*J5</f>
        <v>96</v>
      </c>
      <c r="M5" s="128">
        <f>SUM(K5:L5)</f>
        <v>144</v>
      </c>
      <c r="N5" s="130" t="s">
        <v>231</v>
      </c>
      <c r="O5" s="130" t="s">
        <v>232</v>
      </c>
      <c r="P5" s="130" t="s">
        <v>233</v>
      </c>
      <c r="Q5" s="130" t="s">
        <v>223</v>
      </c>
      <c r="R5" s="108"/>
      <c r="S5" s="104"/>
    </row>
    <row r="6" spans="1:19" s="105" customFormat="1" ht="54" x14ac:dyDescent="0.5">
      <c r="A6" s="105" t="str">
        <f>_xlfn.XLOOKUP(B6,'Paso 3 Redacción RA'!I$3:I$12,'Paso 3 Redacción RA'!C$3:C$12,,0,1)</f>
        <v>SaberHacer</v>
      </c>
      <c r="B6" s="54" t="s">
        <v>88</v>
      </c>
      <c r="C6" s="133"/>
      <c r="D6" s="128"/>
      <c r="E6" s="130"/>
      <c r="F6" s="128"/>
      <c r="G6" s="128"/>
      <c r="H6" s="128"/>
      <c r="I6" s="128"/>
      <c r="J6" s="128"/>
      <c r="K6" s="128"/>
      <c r="L6" s="128"/>
      <c r="M6" s="128"/>
      <c r="N6" s="130"/>
      <c r="O6" s="130"/>
      <c r="P6" s="130"/>
      <c r="Q6" s="130"/>
      <c r="R6" s="108"/>
      <c r="S6" s="104"/>
    </row>
    <row r="7" spans="1:19" s="105" customFormat="1" ht="36.6" thickBot="1" x14ac:dyDescent="0.55000000000000004">
      <c r="A7" s="106" t="str">
        <f>_xlfn.XLOOKUP(B7,'Paso 3 Redacción RA'!I$3:I$12,'Paso 3 Redacción RA'!C$3:C$12,,0,1)</f>
        <v>SaberSer</v>
      </c>
      <c r="B7" s="79" t="s">
        <v>92</v>
      </c>
      <c r="C7" s="134"/>
      <c r="D7" s="131"/>
      <c r="E7" s="132"/>
      <c r="F7" s="131"/>
      <c r="G7" s="131"/>
      <c r="H7" s="131"/>
      <c r="I7" s="131"/>
      <c r="J7" s="131"/>
      <c r="K7" s="131"/>
      <c r="L7" s="131"/>
      <c r="M7" s="131"/>
      <c r="N7" s="132"/>
      <c r="O7" s="132"/>
      <c r="P7" s="132"/>
      <c r="Q7" s="132"/>
      <c r="R7" s="108"/>
      <c r="S7" s="104"/>
    </row>
    <row r="8" spans="1:19" s="105" customFormat="1" ht="54" x14ac:dyDescent="0.5">
      <c r="A8" s="107" t="str">
        <f>_xlfn.XLOOKUP(B8,'Paso 3 Redacción RA'!I$3:I$12,'Paso 3 Redacción RA'!C$3:C$12,,0,1)</f>
        <v>Saber</v>
      </c>
      <c r="B8" s="80" t="s">
        <v>85</v>
      </c>
      <c r="C8" s="135">
        <v>1</v>
      </c>
      <c r="D8" s="127" t="s">
        <v>234</v>
      </c>
      <c r="E8" s="129" t="s">
        <v>235</v>
      </c>
      <c r="F8" s="127" t="s">
        <v>218</v>
      </c>
      <c r="G8" s="127"/>
      <c r="H8" s="127" t="s">
        <v>219</v>
      </c>
      <c r="I8" s="127"/>
      <c r="J8" s="127">
        <v>2</v>
      </c>
      <c r="K8" s="127">
        <f>16*J8</f>
        <v>32</v>
      </c>
      <c r="L8" s="127">
        <f>32*J8</f>
        <v>64</v>
      </c>
      <c r="M8" s="127">
        <f>SUM(K8:L8)</f>
        <v>96</v>
      </c>
      <c r="N8" s="129" t="s">
        <v>236</v>
      </c>
      <c r="O8" s="129" t="s">
        <v>232</v>
      </c>
      <c r="P8" s="129" t="s">
        <v>233</v>
      </c>
      <c r="Q8" s="129" t="s">
        <v>223</v>
      </c>
      <c r="R8" s="108"/>
      <c r="S8" s="104"/>
    </row>
    <row r="9" spans="1:19" s="105" customFormat="1" ht="54" x14ac:dyDescent="0.5">
      <c r="A9" s="105" t="str">
        <f>_xlfn.XLOOKUP(B9,'Paso 3 Redacción RA'!I$3:I$12,'Paso 3 Redacción RA'!C$3:C$12,,0,1)</f>
        <v>SaberHacer</v>
      </c>
      <c r="B9" s="54" t="s">
        <v>88</v>
      </c>
      <c r="C9" s="133"/>
      <c r="D9" s="128"/>
      <c r="E9" s="130"/>
      <c r="F9" s="128"/>
      <c r="G9" s="128"/>
      <c r="H9" s="128"/>
      <c r="I9" s="128"/>
      <c r="J9" s="128"/>
      <c r="K9" s="128"/>
      <c r="L9" s="128"/>
      <c r="M9" s="128"/>
      <c r="N9" s="130"/>
      <c r="O9" s="130"/>
      <c r="P9" s="130"/>
      <c r="Q9" s="130"/>
      <c r="R9" s="108"/>
      <c r="S9" s="104"/>
    </row>
    <row r="10" spans="1:19" s="105" customFormat="1" ht="36.6" thickBot="1" x14ac:dyDescent="0.55000000000000004">
      <c r="A10" s="106" t="str">
        <f>_xlfn.XLOOKUP(B10,'Paso 3 Redacción RA'!I$3:I$12,'Paso 3 Redacción RA'!C$3:C$12,,0,1)</f>
        <v>SaberSer</v>
      </c>
      <c r="B10" s="79" t="s">
        <v>92</v>
      </c>
      <c r="C10" s="134"/>
      <c r="D10" s="131"/>
      <c r="E10" s="132"/>
      <c r="F10" s="131"/>
      <c r="G10" s="131"/>
      <c r="H10" s="131"/>
      <c r="I10" s="131"/>
      <c r="J10" s="131"/>
      <c r="K10" s="131"/>
      <c r="L10" s="131"/>
      <c r="M10" s="131"/>
      <c r="N10" s="132"/>
      <c r="O10" s="132"/>
      <c r="P10" s="132"/>
      <c r="Q10" s="132"/>
      <c r="R10" s="108"/>
      <c r="S10" s="104"/>
    </row>
    <row r="11" spans="1:19" s="54" customFormat="1" ht="54" x14ac:dyDescent="0.5">
      <c r="A11" s="107" t="str">
        <f>_xlfn.XLOOKUP(B11,'Paso 3 Redacción RA'!I$3:I$12,'Paso 3 Redacción RA'!C$3:C$12,,0,1)</f>
        <v>Saber</v>
      </c>
      <c r="B11" s="80" t="s">
        <v>85</v>
      </c>
      <c r="C11" s="127">
        <v>1</v>
      </c>
      <c r="D11" s="127" t="s">
        <v>237</v>
      </c>
      <c r="E11" s="130" t="s">
        <v>238</v>
      </c>
      <c r="F11" s="128" t="s">
        <v>218</v>
      </c>
      <c r="G11" s="128"/>
      <c r="H11" s="128" t="s">
        <v>219</v>
      </c>
      <c r="I11" s="128"/>
      <c r="J11" s="128">
        <v>2</v>
      </c>
      <c r="K11" s="128">
        <f>16*J11</f>
        <v>32</v>
      </c>
      <c r="L11" s="128">
        <f>32*J11</f>
        <v>64</v>
      </c>
      <c r="M11" s="128">
        <f>SUM(K11:L11)</f>
        <v>96</v>
      </c>
      <c r="N11" s="130" t="s">
        <v>239</v>
      </c>
      <c r="O11" s="130" t="s">
        <v>232</v>
      </c>
      <c r="P11" s="130" t="s">
        <v>233</v>
      </c>
      <c r="Q11" s="130" t="s">
        <v>223</v>
      </c>
      <c r="R11" s="108"/>
      <c r="S11" s="108"/>
    </row>
    <row r="12" spans="1:19" s="54" customFormat="1" ht="54" x14ac:dyDescent="0.5">
      <c r="A12" s="105" t="str">
        <f>_xlfn.XLOOKUP(B12,'Paso 3 Redacción RA'!I$3:I$12,'Paso 3 Redacción RA'!C$3:C$12,,0,1)</f>
        <v>SaberHacer</v>
      </c>
      <c r="B12" s="54" t="s">
        <v>88</v>
      </c>
      <c r="C12" s="128"/>
      <c r="D12" s="128"/>
      <c r="E12" s="130"/>
      <c r="F12" s="128"/>
      <c r="G12" s="128"/>
      <c r="H12" s="128"/>
      <c r="I12" s="128"/>
      <c r="J12" s="128"/>
      <c r="K12" s="128"/>
      <c r="L12" s="128"/>
      <c r="M12" s="128"/>
      <c r="N12" s="130"/>
      <c r="O12" s="130"/>
      <c r="P12" s="130"/>
      <c r="Q12" s="130"/>
      <c r="R12" s="108"/>
      <c r="S12" s="108"/>
    </row>
    <row r="13" spans="1:19" s="54" customFormat="1" ht="36.6" thickBot="1" x14ac:dyDescent="0.55000000000000004">
      <c r="A13" s="105" t="str">
        <f>_xlfn.XLOOKUP(B13,'Paso 3 Redacción RA'!I$3:I$12,'Paso 3 Redacción RA'!C$3:C$12,,0,1)</f>
        <v>SaberSer</v>
      </c>
      <c r="B13" s="54" t="s">
        <v>92</v>
      </c>
      <c r="C13" s="128"/>
      <c r="D13" s="128"/>
      <c r="E13" s="130"/>
      <c r="F13" s="128"/>
      <c r="G13" s="128"/>
      <c r="H13" s="128"/>
      <c r="I13" s="128"/>
      <c r="J13" s="128"/>
      <c r="K13" s="128"/>
      <c r="L13" s="128"/>
      <c r="M13" s="128"/>
      <c r="N13" s="130"/>
      <c r="O13" s="130"/>
      <c r="P13" s="130"/>
      <c r="Q13" s="130"/>
      <c r="R13" s="108">
        <f>SUM(J3:J13)</f>
        <v>13</v>
      </c>
      <c r="S13" s="108">
        <f>COUNTA(D3:D13)</f>
        <v>5</v>
      </c>
    </row>
    <row r="14" spans="1:19" s="105" customFormat="1" ht="288.60000000000002" thickBot="1" x14ac:dyDescent="0.55000000000000004">
      <c r="A14" s="99" t="str">
        <f>_xlfn.XLOOKUP(B14,'Paso 3 Redacción RA'!I$3:I$12,'Paso 3 Redacción RA'!C$3:C$12,,0,1)</f>
        <v>Saber</v>
      </c>
      <c r="B14" s="99" t="s">
        <v>100</v>
      </c>
      <c r="C14" s="100">
        <v>2</v>
      </c>
      <c r="D14" s="100" t="s">
        <v>240</v>
      </c>
      <c r="E14" s="99" t="s">
        <v>241</v>
      </c>
      <c r="F14" s="100" t="s">
        <v>218</v>
      </c>
      <c r="G14" s="100" t="s">
        <v>219</v>
      </c>
      <c r="H14" s="100"/>
      <c r="I14" s="100"/>
      <c r="J14" s="100">
        <v>3</v>
      </c>
      <c r="K14" s="100">
        <f>16*J14</f>
        <v>48</v>
      </c>
      <c r="L14" s="100">
        <f>32*J14</f>
        <v>96</v>
      </c>
      <c r="M14" s="100">
        <f>SUM(K14:L14)</f>
        <v>144</v>
      </c>
      <c r="N14" s="99" t="s">
        <v>242</v>
      </c>
      <c r="O14" s="99" t="s">
        <v>243</v>
      </c>
      <c r="P14" s="99" t="s">
        <v>244</v>
      </c>
      <c r="Q14" s="99" t="s">
        <v>223</v>
      </c>
      <c r="R14" s="108"/>
      <c r="S14" s="104"/>
    </row>
    <row r="15" spans="1:19" s="102" customFormat="1" ht="54" x14ac:dyDescent="0.5">
      <c r="A15" s="107" t="str">
        <f>_xlfn.XLOOKUP(B15,'Paso 3 Redacción RA'!I$3:I$12,'Paso 3 Redacción RA'!C$3:C$12,,0,1)</f>
        <v>Saber</v>
      </c>
      <c r="B15" s="80" t="s">
        <v>85</v>
      </c>
      <c r="C15" s="127">
        <v>2</v>
      </c>
      <c r="D15" s="127" t="s">
        <v>245</v>
      </c>
      <c r="E15" s="129" t="s">
        <v>246</v>
      </c>
      <c r="F15" s="127" t="s">
        <v>218</v>
      </c>
      <c r="G15" s="127"/>
      <c r="H15" s="127" t="s">
        <v>219</v>
      </c>
      <c r="I15" s="127"/>
      <c r="J15" s="127">
        <v>3</v>
      </c>
      <c r="K15" s="127">
        <f>16*J15</f>
        <v>48</v>
      </c>
      <c r="L15" s="127">
        <f>32*J15</f>
        <v>96</v>
      </c>
      <c r="M15" s="127">
        <f>SUM(K15:L15)</f>
        <v>144</v>
      </c>
      <c r="N15" s="129" t="s">
        <v>247</v>
      </c>
      <c r="O15" s="129" t="s">
        <v>232</v>
      </c>
      <c r="P15" s="129" t="s">
        <v>233</v>
      </c>
      <c r="Q15" s="129" t="s">
        <v>223</v>
      </c>
      <c r="R15" s="108"/>
      <c r="S15" s="104"/>
    </row>
    <row r="16" spans="1:19" s="102" customFormat="1" ht="54" x14ac:dyDescent="0.5">
      <c r="A16" s="105" t="str">
        <f>_xlfn.XLOOKUP(B16,'Paso 3 Redacción RA'!I$3:I$12,'Paso 3 Redacción RA'!C$3:C$12,,0,1)</f>
        <v>SaberHacer</v>
      </c>
      <c r="B16" s="54" t="s">
        <v>88</v>
      </c>
      <c r="C16" s="128"/>
      <c r="D16" s="128"/>
      <c r="E16" s="130"/>
      <c r="F16" s="128"/>
      <c r="G16" s="128"/>
      <c r="H16" s="128"/>
      <c r="I16" s="128"/>
      <c r="J16" s="128"/>
      <c r="K16" s="128"/>
      <c r="L16" s="128"/>
      <c r="M16" s="128"/>
      <c r="N16" s="130"/>
      <c r="O16" s="130"/>
      <c r="P16" s="130"/>
      <c r="Q16" s="130"/>
      <c r="R16" s="108"/>
      <c r="S16" s="104"/>
    </row>
    <row r="17" spans="1:19" s="102" customFormat="1" ht="54.6" thickBot="1" x14ac:dyDescent="0.55000000000000004">
      <c r="A17" s="105" t="str">
        <f>_xlfn.XLOOKUP(B17,'Paso 3 Redacción RA'!I$3:I$12,'Paso 3 Redacción RA'!C$3:C$12,,0,1)</f>
        <v>Saber</v>
      </c>
      <c r="B17" s="54" t="s">
        <v>95</v>
      </c>
      <c r="C17" s="128"/>
      <c r="D17" s="128"/>
      <c r="E17" s="130"/>
      <c r="F17" s="128"/>
      <c r="G17" s="128"/>
      <c r="H17" s="128"/>
      <c r="I17" s="128"/>
      <c r="J17" s="128"/>
      <c r="K17" s="128"/>
      <c r="L17" s="128"/>
      <c r="M17" s="128"/>
      <c r="N17" s="130"/>
      <c r="O17" s="130"/>
      <c r="P17" s="130"/>
      <c r="Q17" s="130"/>
      <c r="R17" s="108"/>
      <c r="S17" s="104"/>
    </row>
    <row r="18" spans="1:19" s="105" customFormat="1" ht="54" x14ac:dyDescent="0.5">
      <c r="A18" s="107" t="str">
        <f>_xlfn.XLOOKUP(B18,'Paso 3 Redacción RA'!I$3:I$12,'Paso 3 Redacción RA'!C$3:C$12,,0,1)</f>
        <v>Saber</v>
      </c>
      <c r="B18" s="80" t="s">
        <v>85</v>
      </c>
      <c r="C18" s="127">
        <v>2</v>
      </c>
      <c r="D18" s="127" t="s">
        <v>248</v>
      </c>
      <c r="E18" s="129" t="s">
        <v>249</v>
      </c>
      <c r="F18" s="127" t="s">
        <v>218</v>
      </c>
      <c r="G18" s="127"/>
      <c r="H18" s="127" t="s">
        <v>219</v>
      </c>
      <c r="I18" s="127"/>
      <c r="J18" s="127">
        <v>3</v>
      </c>
      <c r="K18" s="127">
        <f>16*J18</f>
        <v>48</v>
      </c>
      <c r="L18" s="127">
        <f>32*J18</f>
        <v>96</v>
      </c>
      <c r="M18" s="127">
        <f>SUM(K18:L18)</f>
        <v>144</v>
      </c>
      <c r="N18" s="129" t="s">
        <v>250</v>
      </c>
      <c r="O18" s="129" t="s">
        <v>251</v>
      </c>
      <c r="P18" s="129" t="s">
        <v>252</v>
      </c>
      <c r="Q18" s="129" t="s">
        <v>223</v>
      </c>
      <c r="R18" s="108"/>
      <c r="S18" s="104"/>
    </row>
    <row r="19" spans="1:19" s="105" customFormat="1" ht="54.6" thickBot="1" x14ac:dyDescent="0.55000000000000004">
      <c r="A19" s="106" t="str">
        <f>_xlfn.XLOOKUP(B19,'Paso 3 Redacción RA'!I$3:I$12,'Paso 3 Redacción RA'!C$3:C$12,,0,1)</f>
        <v>SaberHacer</v>
      </c>
      <c r="B19" s="79" t="s">
        <v>88</v>
      </c>
      <c r="C19" s="131"/>
      <c r="D19" s="131"/>
      <c r="E19" s="132"/>
      <c r="F19" s="131"/>
      <c r="G19" s="131"/>
      <c r="H19" s="131"/>
      <c r="I19" s="131"/>
      <c r="J19" s="131"/>
      <c r="K19" s="131"/>
      <c r="L19" s="131"/>
      <c r="M19" s="131"/>
      <c r="N19" s="132"/>
      <c r="O19" s="132"/>
      <c r="P19" s="132"/>
      <c r="Q19" s="132"/>
      <c r="R19" s="108"/>
      <c r="S19" s="104"/>
    </row>
    <row r="20" spans="1:19" s="105" customFormat="1" ht="54" x14ac:dyDescent="0.5">
      <c r="A20" s="105" t="str">
        <f>_xlfn.XLOOKUP(B20,'Paso 3 Redacción RA'!I$3:I$12,'Paso 3 Redacción RA'!C$3:C$12,,0,1)</f>
        <v>Saber</v>
      </c>
      <c r="B20" s="54" t="s">
        <v>85</v>
      </c>
      <c r="C20" s="127">
        <v>2</v>
      </c>
      <c r="D20" s="127" t="s">
        <v>253</v>
      </c>
      <c r="E20" s="129" t="s">
        <v>254</v>
      </c>
      <c r="F20" s="127" t="s">
        <v>218</v>
      </c>
      <c r="G20" s="127"/>
      <c r="H20" s="127" t="s">
        <v>219</v>
      </c>
      <c r="I20" s="127"/>
      <c r="J20" s="127">
        <v>3</v>
      </c>
      <c r="K20" s="127">
        <f>16*J20</f>
        <v>48</v>
      </c>
      <c r="L20" s="127">
        <f>32*J20</f>
        <v>96</v>
      </c>
      <c r="M20" s="127">
        <f>SUM(K20:L20)</f>
        <v>144</v>
      </c>
      <c r="N20" s="129" t="s">
        <v>255</v>
      </c>
      <c r="O20" s="129" t="s">
        <v>232</v>
      </c>
      <c r="P20" s="129" t="s">
        <v>233</v>
      </c>
      <c r="Q20" s="129" t="s">
        <v>223</v>
      </c>
      <c r="R20" s="108"/>
      <c r="S20" s="104"/>
    </row>
    <row r="21" spans="1:19" s="105" customFormat="1" ht="54" x14ac:dyDescent="0.5">
      <c r="A21" s="105" t="str">
        <f>_xlfn.XLOOKUP(B21,'Paso 3 Redacción RA'!I$3:I$12,'Paso 3 Redacción RA'!C$3:C$12,,0,1)</f>
        <v>SaberHacer</v>
      </c>
      <c r="B21" s="54" t="s">
        <v>88</v>
      </c>
      <c r="C21" s="128"/>
      <c r="D21" s="128"/>
      <c r="E21" s="130"/>
      <c r="F21" s="128"/>
      <c r="G21" s="128"/>
      <c r="H21" s="128"/>
      <c r="I21" s="128"/>
      <c r="J21" s="128"/>
      <c r="K21" s="128"/>
      <c r="L21" s="128"/>
      <c r="M21" s="128"/>
      <c r="N21" s="130"/>
      <c r="O21" s="130"/>
      <c r="P21" s="130"/>
      <c r="Q21" s="130"/>
      <c r="R21" s="108"/>
      <c r="S21" s="104"/>
    </row>
    <row r="22" spans="1:19" s="105" customFormat="1" ht="54" x14ac:dyDescent="0.5">
      <c r="A22" s="105" t="str">
        <f>_xlfn.XLOOKUP(B22,'Paso 3 Redacción RA'!I$3:I$12,'Paso 3 Redacción RA'!C$3:C$12,,0,1)</f>
        <v>Saber</v>
      </c>
      <c r="B22" s="54" t="s">
        <v>95</v>
      </c>
      <c r="C22" s="128"/>
      <c r="D22" s="128"/>
      <c r="E22" s="130"/>
      <c r="F22" s="128"/>
      <c r="G22" s="128"/>
      <c r="H22" s="128"/>
      <c r="I22" s="128"/>
      <c r="J22" s="128"/>
      <c r="K22" s="128"/>
      <c r="L22" s="128"/>
      <c r="M22" s="128"/>
      <c r="N22" s="130"/>
      <c r="O22" s="130"/>
      <c r="P22" s="130"/>
      <c r="Q22" s="130"/>
      <c r="R22" s="108"/>
      <c r="S22" s="104"/>
    </row>
    <row r="23" spans="1:19" s="105" customFormat="1" ht="36.6" thickBot="1" x14ac:dyDescent="0.55000000000000004">
      <c r="A23" s="106" t="str">
        <f>_xlfn.XLOOKUP(B23,'Paso 3 Redacción RA'!I$3:I$12,'Paso 3 Redacción RA'!C$3:C$12,,0,1)</f>
        <v>SaberSer</v>
      </c>
      <c r="B23" s="79" t="s">
        <v>92</v>
      </c>
      <c r="C23" s="131"/>
      <c r="D23" s="131"/>
      <c r="E23" s="130"/>
      <c r="F23" s="128"/>
      <c r="G23" s="128"/>
      <c r="H23" s="128"/>
      <c r="I23" s="128"/>
      <c r="J23" s="128"/>
      <c r="K23" s="128"/>
      <c r="L23" s="128"/>
      <c r="M23" s="131"/>
      <c r="N23" s="130"/>
      <c r="O23" s="130"/>
      <c r="P23" s="130"/>
      <c r="Q23" s="130"/>
      <c r="R23" s="108"/>
      <c r="S23" s="104"/>
    </row>
    <row r="24" spans="1:19" s="105" customFormat="1" ht="54" x14ac:dyDescent="0.5">
      <c r="A24" s="107" t="str">
        <f>_xlfn.XLOOKUP(B24,'Paso 3 Redacción RA'!I$3:I$12,'Paso 3 Redacción RA'!C$3:C$12,,0,1)</f>
        <v>Saber</v>
      </c>
      <c r="B24" s="54" t="s">
        <v>85</v>
      </c>
      <c r="C24" s="127">
        <v>2</v>
      </c>
      <c r="D24" s="127" t="s">
        <v>256</v>
      </c>
      <c r="E24" s="129" t="s">
        <v>257</v>
      </c>
      <c r="F24" s="127" t="s">
        <v>218</v>
      </c>
      <c r="G24" s="127"/>
      <c r="H24" s="127" t="s">
        <v>219</v>
      </c>
      <c r="I24" s="127"/>
      <c r="J24" s="127">
        <v>3</v>
      </c>
      <c r="K24" s="127">
        <f>16*J24</f>
        <v>48</v>
      </c>
      <c r="L24" s="127">
        <f>32*J24</f>
        <v>96</v>
      </c>
      <c r="M24" s="127">
        <f>SUM(K24:L24)</f>
        <v>144</v>
      </c>
      <c r="N24" s="129" t="s">
        <v>258</v>
      </c>
      <c r="O24" s="129" t="s">
        <v>232</v>
      </c>
      <c r="P24" s="129" t="s">
        <v>233</v>
      </c>
      <c r="Q24" s="129" t="s">
        <v>223</v>
      </c>
      <c r="R24" s="108"/>
      <c r="S24" s="104"/>
    </row>
    <row r="25" spans="1:19" s="105" customFormat="1" ht="54" x14ac:dyDescent="0.5">
      <c r="A25" s="105" t="str">
        <f>_xlfn.XLOOKUP(B25,'Paso 3 Redacción RA'!I$3:I$12,'Paso 3 Redacción RA'!C$3:C$12,,0,1)</f>
        <v>SaberHacer</v>
      </c>
      <c r="B25" s="54" t="s">
        <v>88</v>
      </c>
      <c r="C25" s="128"/>
      <c r="D25" s="128"/>
      <c r="E25" s="130"/>
      <c r="F25" s="128"/>
      <c r="G25" s="128"/>
      <c r="H25" s="128"/>
      <c r="I25" s="128"/>
      <c r="J25" s="128"/>
      <c r="K25" s="128"/>
      <c r="L25" s="128"/>
      <c r="M25" s="128"/>
      <c r="N25" s="130"/>
      <c r="O25" s="130"/>
      <c r="P25" s="130"/>
      <c r="Q25" s="130"/>
      <c r="R25" s="108"/>
      <c r="S25" s="104"/>
    </row>
    <row r="26" spans="1:19" s="105" customFormat="1" ht="36.6" thickBot="1" x14ac:dyDescent="0.55000000000000004">
      <c r="A26" s="105" t="str">
        <f>_xlfn.XLOOKUP(B26,'Paso 3 Redacción RA'!I$3:I$12,'Paso 3 Redacción RA'!C$3:C$12,,0,1)</f>
        <v>SaberSer</v>
      </c>
      <c r="B26" s="54" t="s">
        <v>92</v>
      </c>
      <c r="C26" s="128"/>
      <c r="D26" s="128"/>
      <c r="E26" s="130"/>
      <c r="F26" s="128"/>
      <c r="G26" s="128"/>
      <c r="H26" s="128"/>
      <c r="I26" s="128"/>
      <c r="J26" s="128"/>
      <c r="K26" s="128"/>
      <c r="L26" s="128"/>
      <c r="M26" s="128"/>
      <c r="N26" s="130"/>
      <c r="O26" s="130"/>
      <c r="P26" s="130"/>
      <c r="Q26" s="130"/>
      <c r="R26" s="108">
        <f>SUM(J14:J26)</f>
        <v>15</v>
      </c>
      <c r="S26" s="104">
        <f>COUNTA(D14:D26)</f>
        <v>5</v>
      </c>
    </row>
    <row r="27" spans="1:19" s="105" customFormat="1" ht="288.60000000000002" thickBot="1" x14ac:dyDescent="0.55000000000000004">
      <c r="A27" s="99" t="str">
        <f>_xlfn.XLOOKUP(B27,'Paso 3 Redacción RA'!I$3:I$12,'Paso 3 Redacción RA'!C$3:C$12,,0,1)</f>
        <v>Saber</v>
      </c>
      <c r="B27" s="99" t="s">
        <v>100</v>
      </c>
      <c r="C27" s="100">
        <v>3</v>
      </c>
      <c r="D27" s="100" t="s">
        <v>259</v>
      </c>
      <c r="E27" s="99" t="s">
        <v>260</v>
      </c>
      <c r="F27" s="100" t="s">
        <v>218</v>
      </c>
      <c r="G27" s="100" t="s">
        <v>219</v>
      </c>
      <c r="H27" s="100"/>
      <c r="I27" s="100"/>
      <c r="J27" s="100">
        <v>3</v>
      </c>
      <c r="K27" s="100">
        <f>16*J27</f>
        <v>48</v>
      </c>
      <c r="L27" s="100">
        <f>32*J27</f>
        <v>96</v>
      </c>
      <c r="M27" s="100">
        <f>SUM(K27:L27)</f>
        <v>144</v>
      </c>
      <c r="N27" s="99" t="s">
        <v>261</v>
      </c>
      <c r="O27" s="99" t="s">
        <v>262</v>
      </c>
      <c r="P27" s="99" t="s">
        <v>244</v>
      </c>
      <c r="Q27" s="99" t="s">
        <v>223</v>
      </c>
      <c r="R27" s="108"/>
      <c r="S27" s="104"/>
    </row>
    <row r="28" spans="1:19" s="105" customFormat="1" ht="396.6" thickBot="1" x14ac:dyDescent="0.55000000000000004">
      <c r="A28" s="99" t="str">
        <f>_xlfn.XLOOKUP(B28,'Paso 3 Redacción RA'!I$3:I$12,'Paso 3 Redacción RA'!C$3:C$12,,0,1)</f>
        <v>Saber</v>
      </c>
      <c r="B28" s="99" t="s">
        <v>100</v>
      </c>
      <c r="C28" s="100">
        <v>3</v>
      </c>
      <c r="D28" s="100" t="s">
        <v>263</v>
      </c>
      <c r="E28" s="99" t="s">
        <v>264</v>
      </c>
      <c r="F28" s="100" t="s">
        <v>218</v>
      </c>
      <c r="G28" s="100" t="s">
        <v>219</v>
      </c>
      <c r="H28" s="100"/>
      <c r="I28" s="100"/>
      <c r="J28" s="109">
        <v>3</v>
      </c>
      <c r="K28" s="100">
        <f>16*J28</f>
        <v>48</v>
      </c>
      <c r="L28" s="100">
        <f>32*J28</f>
        <v>96</v>
      </c>
      <c r="M28" s="100">
        <f>SUM(K28:L28)</f>
        <v>144</v>
      </c>
      <c r="N28" s="99" t="s">
        <v>265</v>
      </c>
      <c r="O28" s="99" t="s">
        <v>266</v>
      </c>
      <c r="P28" s="99" t="s">
        <v>267</v>
      </c>
      <c r="Q28" s="99" t="s">
        <v>223</v>
      </c>
      <c r="R28" s="108"/>
      <c r="S28" s="104"/>
    </row>
    <row r="29" spans="1:19" s="105" customFormat="1" ht="54" x14ac:dyDescent="0.5">
      <c r="A29" s="107" t="str">
        <f>_xlfn.XLOOKUP(B29,'Paso 3 Redacción RA'!I$3:I$12,'Paso 3 Redacción RA'!C$3:C$12,,0,1)</f>
        <v>Saber</v>
      </c>
      <c r="B29" s="80" t="s">
        <v>85</v>
      </c>
      <c r="C29" s="127">
        <v>3</v>
      </c>
      <c r="D29" s="127" t="s">
        <v>268</v>
      </c>
      <c r="E29" s="129" t="s">
        <v>269</v>
      </c>
      <c r="F29" s="127" t="s">
        <v>218</v>
      </c>
      <c r="G29" s="127"/>
      <c r="H29" s="127" t="s">
        <v>219</v>
      </c>
      <c r="I29" s="127"/>
      <c r="J29" s="127">
        <v>3</v>
      </c>
      <c r="K29" s="127">
        <f>16*J29</f>
        <v>48</v>
      </c>
      <c r="L29" s="127">
        <f>32*J29</f>
        <v>96</v>
      </c>
      <c r="M29" s="127">
        <f>SUM(K29:L29)</f>
        <v>144</v>
      </c>
      <c r="N29" s="129" t="s">
        <v>270</v>
      </c>
      <c r="O29" s="129" t="s">
        <v>271</v>
      </c>
      <c r="P29" s="129" t="s">
        <v>272</v>
      </c>
      <c r="Q29" s="129" t="s">
        <v>223</v>
      </c>
      <c r="R29" s="108"/>
      <c r="S29" s="104"/>
    </row>
    <row r="30" spans="1:19" s="105" customFormat="1" ht="54.6" thickBot="1" x14ac:dyDescent="0.55000000000000004">
      <c r="A30" s="106" t="str">
        <f>_xlfn.XLOOKUP(B30,'Paso 3 Redacción RA'!I$3:I$12,'Paso 3 Redacción RA'!C$3:C$12,,0,1)</f>
        <v>SaberHacer</v>
      </c>
      <c r="B30" s="79" t="s">
        <v>88</v>
      </c>
      <c r="C30" s="131"/>
      <c r="D30" s="131"/>
      <c r="E30" s="132"/>
      <c r="F30" s="131"/>
      <c r="G30" s="131"/>
      <c r="H30" s="131"/>
      <c r="I30" s="131"/>
      <c r="J30" s="131"/>
      <c r="K30" s="131"/>
      <c r="L30" s="131"/>
      <c r="M30" s="131"/>
      <c r="N30" s="132"/>
      <c r="O30" s="132"/>
      <c r="P30" s="132"/>
      <c r="Q30" s="132"/>
      <c r="R30" s="108"/>
      <c r="S30" s="104"/>
    </row>
    <row r="31" spans="1:19" s="105" customFormat="1" ht="54" x14ac:dyDescent="0.5">
      <c r="A31" s="107" t="str">
        <f>_xlfn.XLOOKUP(B31,'Paso 3 Redacción RA'!I$3:I$12,'Paso 3 Redacción RA'!C$3:C$12,,0,1)</f>
        <v>Saber</v>
      </c>
      <c r="B31" s="80" t="s">
        <v>85</v>
      </c>
      <c r="C31" s="127">
        <v>3</v>
      </c>
      <c r="D31" s="127" t="s">
        <v>273</v>
      </c>
      <c r="E31" s="129" t="s">
        <v>274</v>
      </c>
      <c r="F31" s="127" t="s">
        <v>218</v>
      </c>
      <c r="G31" s="127"/>
      <c r="H31" s="127" t="s">
        <v>219</v>
      </c>
      <c r="I31" s="127"/>
      <c r="J31" s="127">
        <v>3</v>
      </c>
      <c r="K31" s="127">
        <f>16*J31</f>
        <v>48</v>
      </c>
      <c r="L31" s="127">
        <f>32*J31</f>
        <v>96</v>
      </c>
      <c r="M31" s="127">
        <v>192</v>
      </c>
      <c r="N31" s="129" t="s">
        <v>275</v>
      </c>
      <c r="O31" s="129" t="s">
        <v>232</v>
      </c>
      <c r="P31" s="129" t="s">
        <v>233</v>
      </c>
      <c r="Q31" s="129" t="s">
        <v>223</v>
      </c>
      <c r="R31" s="108"/>
      <c r="S31" s="104"/>
    </row>
    <row r="32" spans="1:19" s="105" customFormat="1" ht="54" x14ac:dyDescent="0.5">
      <c r="A32" s="105" t="str">
        <f>_xlfn.XLOOKUP(B32,'Paso 3 Redacción RA'!I$3:I$12,'Paso 3 Redacción RA'!C$3:C$12,,0,1)</f>
        <v>SaberHacer</v>
      </c>
      <c r="B32" s="54" t="s">
        <v>88</v>
      </c>
      <c r="C32" s="128"/>
      <c r="D32" s="128"/>
      <c r="E32" s="130"/>
      <c r="F32" s="128"/>
      <c r="G32" s="128"/>
      <c r="H32" s="128"/>
      <c r="I32" s="128"/>
      <c r="J32" s="128"/>
      <c r="K32" s="128"/>
      <c r="L32" s="128"/>
      <c r="M32" s="128"/>
      <c r="N32" s="130"/>
      <c r="O32" s="130"/>
      <c r="P32" s="130"/>
      <c r="Q32" s="130"/>
      <c r="R32" s="108"/>
      <c r="S32" s="104"/>
    </row>
    <row r="33" spans="1:19" s="105" customFormat="1" ht="36" x14ac:dyDescent="0.5">
      <c r="A33" s="105" t="str">
        <f>_xlfn.XLOOKUP(B33,'Paso 3 Redacción RA'!I$3:I$12,'Paso 3 Redacción RA'!C$3:C$12,,0,1)</f>
        <v>SaberHacer</v>
      </c>
      <c r="B33" s="54" t="s">
        <v>96</v>
      </c>
      <c r="C33" s="128"/>
      <c r="D33" s="128"/>
      <c r="E33" s="130"/>
      <c r="F33" s="128"/>
      <c r="G33" s="128"/>
      <c r="H33" s="128"/>
      <c r="I33" s="128"/>
      <c r="J33" s="128"/>
      <c r="K33" s="128"/>
      <c r="L33" s="128"/>
      <c r="M33" s="128"/>
      <c r="N33" s="130"/>
      <c r="O33" s="130"/>
      <c r="P33" s="130"/>
      <c r="Q33" s="130"/>
      <c r="R33" s="108"/>
      <c r="S33" s="104"/>
    </row>
    <row r="34" spans="1:19" s="105" customFormat="1" ht="36.6" thickBot="1" x14ac:dyDescent="0.55000000000000004">
      <c r="A34" s="106" t="str">
        <f>_xlfn.XLOOKUP(B34,'Paso 3 Redacción RA'!I$3:I$12,'Paso 3 Redacción RA'!C$3:C$12,,0,1)</f>
        <v>SaberSer</v>
      </c>
      <c r="B34" s="79" t="s">
        <v>92</v>
      </c>
      <c r="C34" s="131"/>
      <c r="D34" s="131"/>
      <c r="E34" s="130"/>
      <c r="F34" s="128"/>
      <c r="G34" s="128"/>
      <c r="H34" s="128"/>
      <c r="I34" s="128"/>
      <c r="J34" s="128"/>
      <c r="K34" s="128"/>
      <c r="L34" s="128"/>
      <c r="M34" s="128"/>
      <c r="N34" s="130"/>
      <c r="O34" s="130"/>
      <c r="P34" s="130"/>
      <c r="Q34" s="130"/>
      <c r="R34" s="108"/>
      <c r="S34" s="104"/>
    </row>
    <row r="35" spans="1:19" s="105" customFormat="1" ht="54" x14ac:dyDescent="0.5">
      <c r="A35" s="107" t="str">
        <f>_xlfn.XLOOKUP(B35,'Paso 3 Redacción RA'!I$3:I$12,'Paso 3 Redacción RA'!C$3:C$12,,0,1)</f>
        <v>Saber</v>
      </c>
      <c r="B35" s="80" t="s">
        <v>85</v>
      </c>
      <c r="C35" s="127">
        <v>3</v>
      </c>
      <c r="D35" s="127" t="s">
        <v>276</v>
      </c>
      <c r="E35" s="129" t="s">
        <v>277</v>
      </c>
      <c r="F35" s="127" t="s">
        <v>218</v>
      </c>
      <c r="G35" s="127"/>
      <c r="H35" s="127" t="s">
        <v>219</v>
      </c>
      <c r="I35" s="127"/>
      <c r="J35" s="127">
        <v>3</v>
      </c>
      <c r="K35" s="127">
        <f>16*J35</f>
        <v>48</v>
      </c>
      <c r="L35" s="127">
        <f>32*J35</f>
        <v>96</v>
      </c>
      <c r="M35" s="127">
        <v>192</v>
      </c>
      <c r="N35" s="129" t="s">
        <v>278</v>
      </c>
      <c r="O35" s="129" t="s">
        <v>232</v>
      </c>
      <c r="P35" s="129" t="s">
        <v>233</v>
      </c>
      <c r="Q35" s="129" t="s">
        <v>223</v>
      </c>
      <c r="R35" s="108"/>
      <c r="S35" s="104"/>
    </row>
    <row r="36" spans="1:19" s="105" customFormat="1" ht="54" x14ac:dyDescent="0.5">
      <c r="A36" s="105" t="str">
        <f>_xlfn.XLOOKUP(B36,'Paso 3 Redacción RA'!I$3:I$12,'Paso 3 Redacción RA'!C$3:C$12,,0,1)</f>
        <v>SaberHacer</v>
      </c>
      <c r="B36" s="54" t="s">
        <v>88</v>
      </c>
      <c r="C36" s="128"/>
      <c r="D36" s="128"/>
      <c r="E36" s="130"/>
      <c r="F36" s="128"/>
      <c r="G36" s="128"/>
      <c r="H36" s="128"/>
      <c r="I36" s="128"/>
      <c r="J36" s="128"/>
      <c r="K36" s="128"/>
      <c r="L36" s="128"/>
      <c r="M36" s="128"/>
      <c r="N36" s="130"/>
      <c r="O36" s="130"/>
      <c r="P36" s="130"/>
      <c r="Q36" s="130"/>
      <c r="R36" s="108"/>
      <c r="S36" s="104"/>
    </row>
    <row r="37" spans="1:19" s="105" customFormat="1" ht="36.6" thickBot="1" x14ac:dyDescent="0.55000000000000004">
      <c r="A37" s="105" t="str">
        <f>_xlfn.XLOOKUP(B37,'Paso 3 Redacción RA'!I$3:I$12,'Paso 3 Redacción RA'!C$3:C$12,,0,1)</f>
        <v>SaberSer</v>
      </c>
      <c r="B37" s="54" t="s">
        <v>92</v>
      </c>
      <c r="C37" s="128"/>
      <c r="D37" s="128"/>
      <c r="E37" s="130"/>
      <c r="F37" s="128"/>
      <c r="G37" s="128"/>
      <c r="H37" s="128"/>
      <c r="I37" s="128"/>
      <c r="J37" s="128"/>
      <c r="K37" s="128"/>
      <c r="L37" s="128"/>
      <c r="M37" s="128"/>
      <c r="N37" s="130"/>
      <c r="O37" s="130"/>
      <c r="P37" s="130"/>
      <c r="Q37" s="130"/>
      <c r="R37" s="108"/>
      <c r="S37" s="104"/>
    </row>
    <row r="38" spans="1:19" s="105" customFormat="1" ht="54" x14ac:dyDescent="0.5">
      <c r="A38" s="107" t="str">
        <f>_xlfn.XLOOKUP(B38,'Paso 3 Redacción RA'!I$3:I$12,'Paso 3 Redacción RA'!C$3:C$12,,0,1)</f>
        <v>Saber</v>
      </c>
      <c r="B38" s="80" t="s">
        <v>95</v>
      </c>
      <c r="C38" s="127">
        <v>3</v>
      </c>
      <c r="D38" s="127" t="s">
        <v>279</v>
      </c>
      <c r="E38" s="129" t="s">
        <v>280</v>
      </c>
      <c r="F38" s="127" t="s">
        <v>218</v>
      </c>
      <c r="G38" s="127"/>
      <c r="H38" s="127" t="s">
        <v>219</v>
      </c>
      <c r="I38" s="127"/>
      <c r="J38" s="127">
        <v>3</v>
      </c>
      <c r="K38" s="127">
        <f>16*J38</f>
        <v>48</v>
      </c>
      <c r="L38" s="127">
        <f>32*J38</f>
        <v>96</v>
      </c>
      <c r="M38" s="127">
        <v>192</v>
      </c>
      <c r="N38" s="129" t="s">
        <v>281</v>
      </c>
      <c r="O38" s="129" t="s">
        <v>282</v>
      </c>
      <c r="P38" s="129" t="s">
        <v>283</v>
      </c>
      <c r="Q38" s="129" t="s">
        <v>223</v>
      </c>
      <c r="R38" s="108"/>
      <c r="S38" s="104"/>
    </row>
    <row r="39" spans="1:19" s="105" customFormat="1" ht="36" x14ac:dyDescent="0.5">
      <c r="A39" s="105" t="str">
        <f>_xlfn.XLOOKUP(B39,'Paso 3 Redacción RA'!I$3:I$12,'Paso 3 Redacción RA'!C$3:C$12,,0,1)</f>
        <v>SaberHacer</v>
      </c>
      <c r="B39" s="54" t="s">
        <v>96</v>
      </c>
      <c r="C39" s="128"/>
      <c r="D39" s="128"/>
      <c r="E39" s="130"/>
      <c r="F39" s="128"/>
      <c r="G39" s="128"/>
      <c r="H39" s="128"/>
      <c r="I39" s="128"/>
      <c r="J39" s="128"/>
      <c r="K39" s="128"/>
      <c r="L39" s="128"/>
      <c r="M39" s="128"/>
      <c r="N39" s="130"/>
      <c r="O39" s="130"/>
      <c r="P39" s="130"/>
      <c r="Q39" s="130"/>
      <c r="R39" s="108"/>
      <c r="S39" s="104"/>
    </row>
    <row r="40" spans="1:19" s="105" customFormat="1" ht="36.6" thickBot="1" x14ac:dyDescent="0.55000000000000004">
      <c r="A40" s="105" t="str">
        <f>_xlfn.XLOOKUP(B40,'Paso 3 Redacción RA'!I$3:I$12,'Paso 3 Redacción RA'!C$3:C$12,,0,1)</f>
        <v>SaberSer</v>
      </c>
      <c r="B40" s="54" t="s">
        <v>92</v>
      </c>
      <c r="C40" s="131"/>
      <c r="D40" s="131"/>
      <c r="E40" s="132"/>
      <c r="F40" s="131"/>
      <c r="G40" s="131"/>
      <c r="H40" s="131"/>
      <c r="I40" s="131"/>
      <c r="J40" s="131"/>
      <c r="K40" s="131"/>
      <c r="L40" s="131"/>
      <c r="M40" s="131"/>
      <c r="N40" s="132"/>
      <c r="O40" s="132"/>
      <c r="P40" s="132"/>
      <c r="Q40" s="132"/>
      <c r="R40" s="108">
        <f>SUM(J27:J40)</f>
        <v>18</v>
      </c>
      <c r="S40" s="104">
        <f>COUNTA(D27:D40)</f>
        <v>6</v>
      </c>
    </row>
    <row r="41" spans="1:19" s="105" customFormat="1" ht="288.60000000000002" thickBot="1" x14ac:dyDescent="0.55000000000000004">
      <c r="A41" s="99" t="str">
        <f>_xlfn.XLOOKUP(B41,'Paso 3 Redacción RA'!I$3:I$12,'Paso 3 Redacción RA'!C$3:C$12,,0,1)</f>
        <v>Saber</v>
      </c>
      <c r="B41" s="99" t="s">
        <v>100</v>
      </c>
      <c r="C41" s="100">
        <v>4</v>
      </c>
      <c r="D41" s="100" t="s">
        <v>284</v>
      </c>
      <c r="E41" s="99" t="s">
        <v>285</v>
      </c>
      <c r="F41" s="100" t="s">
        <v>218</v>
      </c>
      <c r="G41" s="100" t="s">
        <v>219</v>
      </c>
      <c r="H41" s="100" t="s">
        <v>286</v>
      </c>
      <c r="I41" s="100"/>
      <c r="J41" s="100">
        <v>3</v>
      </c>
      <c r="K41" s="100">
        <f>16*J41</f>
        <v>48</v>
      </c>
      <c r="L41" s="100">
        <f>32*J41</f>
        <v>96</v>
      </c>
      <c r="M41" s="100">
        <f>SUM(K41:L41)</f>
        <v>144</v>
      </c>
      <c r="N41" s="99" t="s">
        <v>287</v>
      </c>
      <c r="O41" s="99" t="s">
        <v>262</v>
      </c>
      <c r="P41" s="99" t="s">
        <v>288</v>
      </c>
      <c r="Q41" s="99" t="s">
        <v>223</v>
      </c>
      <c r="R41" s="108"/>
      <c r="S41" s="104"/>
    </row>
    <row r="42" spans="1:19" s="105" customFormat="1" ht="54" x14ac:dyDescent="0.5">
      <c r="A42" s="107" t="str">
        <f>_xlfn.XLOOKUP(B42,'Paso 3 Redacción RA'!I$3:I$12,'Paso 3 Redacción RA'!C$3:C$12,,0,1)</f>
        <v>Saber</v>
      </c>
      <c r="B42" s="80" t="s">
        <v>95</v>
      </c>
      <c r="C42" s="127">
        <v>4</v>
      </c>
      <c r="D42" s="127" t="s">
        <v>289</v>
      </c>
      <c r="E42" s="129" t="s">
        <v>290</v>
      </c>
      <c r="F42" s="127" t="s">
        <v>218</v>
      </c>
      <c r="G42" s="127"/>
      <c r="H42" s="127" t="s">
        <v>219</v>
      </c>
      <c r="I42" s="127"/>
      <c r="J42" s="127">
        <v>3</v>
      </c>
      <c r="K42" s="127">
        <f>16*J42</f>
        <v>48</v>
      </c>
      <c r="L42" s="127">
        <f>32*J42</f>
        <v>96</v>
      </c>
      <c r="M42" s="127">
        <f>SUM(K42:L42)</f>
        <v>144</v>
      </c>
      <c r="N42" s="129" t="s">
        <v>291</v>
      </c>
      <c r="O42" s="129" t="s">
        <v>292</v>
      </c>
      <c r="P42" s="129" t="s">
        <v>293</v>
      </c>
      <c r="Q42" s="129" t="s">
        <v>223</v>
      </c>
      <c r="R42" s="108"/>
      <c r="S42" s="104"/>
    </row>
    <row r="43" spans="1:19" s="105" customFormat="1" ht="36.6" thickBot="1" x14ac:dyDescent="0.55000000000000004">
      <c r="A43" s="106" t="str">
        <f>_xlfn.XLOOKUP(B43,'Paso 3 Redacción RA'!I$3:I$12,'Paso 3 Redacción RA'!C$3:C$12,,0,1)</f>
        <v>SaberHacer</v>
      </c>
      <c r="B43" s="79" t="s">
        <v>96</v>
      </c>
      <c r="C43" s="131"/>
      <c r="D43" s="131"/>
      <c r="E43" s="132"/>
      <c r="F43" s="131"/>
      <c r="G43" s="131"/>
      <c r="H43" s="131"/>
      <c r="I43" s="131"/>
      <c r="J43" s="131"/>
      <c r="K43" s="131"/>
      <c r="L43" s="131"/>
      <c r="M43" s="131"/>
      <c r="N43" s="132"/>
      <c r="O43" s="132"/>
      <c r="P43" s="132"/>
      <c r="Q43" s="132"/>
      <c r="R43" s="108"/>
      <c r="S43" s="104"/>
    </row>
    <row r="44" spans="1:19" s="105" customFormat="1" ht="54" x14ac:dyDescent="0.5">
      <c r="A44" s="107" t="str">
        <f>_xlfn.XLOOKUP(B44,'Paso 3 Redacción RA'!I$3:I$12,'Paso 3 Redacción RA'!C$3:C$12,,0,1)</f>
        <v>Saber</v>
      </c>
      <c r="B44" s="80" t="s">
        <v>85</v>
      </c>
      <c r="C44" s="127">
        <v>4</v>
      </c>
      <c r="D44" s="127" t="s">
        <v>294</v>
      </c>
      <c r="E44" s="129" t="s">
        <v>295</v>
      </c>
      <c r="F44" s="127" t="s">
        <v>218</v>
      </c>
      <c r="G44" s="127"/>
      <c r="H44" s="127" t="s">
        <v>219</v>
      </c>
      <c r="I44" s="127"/>
      <c r="J44" s="127">
        <v>3</v>
      </c>
      <c r="K44" s="127">
        <f>16*J44</f>
        <v>48</v>
      </c>
      <c r="L44" s="127">
        <f>32*J44</f>
        <v>96</v>
      </c>
      <c r="M44" s="127">
        <f>SUM(K44:L44)</f>
        <v>144</v>
      </c>
      <c r="N44" s="129" t="s">
        <v>296</v>
      </c>
      <c r="O44" s="129" t="s">
        <v>297</v>
      </c>
      <c r="P44" s="129" t="s">
        <v>233</v>
      </c>
      <c r="Q44" s="129" t="s">
        <v>223</v>
      </c>
      <c r="R44" s="108"/>
      <c r="S44" s="104"/>
    </row>
    <row r="45" spans="1:19" s="105" customFormat="1" ht="54" x14ac:dyDescent="0.5">
      <c r="A45" s="105" t="str">
        <f>_xlfn.XLOOKUP(B45,'Paso 3 Redacción RA'!I$3:I$12,'Paso 3 Redacción RA'!C$3:C$12,,0,1)</f>
        <v>SaberHacer</v>
      </c>
      <c r="B45" s="54" t="s">
        <v>88</v>
      </c>
      <c r="C45" s="128"/>
      <c r="D45" s="128"/>
      <c r="E45" s="130"/>
      <c r="F45" s="128"/>
      <c r="G45" s="128"/>
      <c r="H45" s="128"/>
      <c r="I45" s="128"/>
      <c r="J45" s="128"/>
      <c r="K45" s="128"/>
      <c r="L45" s="128"/>
      <c r="M45" s="128"/>
      <c r="N45" s="130"/>
      <c r="O45" s="130"/>
      <c r="P45" s="130"/>
      <c r="Q45" s="130"/>
      <c r="R45" s="108"/>
      <c r="S45" s="104"/>
    </row>
    <row r="46" spans="1:19" s="105" customFormat="1" ht="36" x14ac:dyDescent="0.5">
      <c r="A46" s="105" t="str">
        <f>_xlfn.XLOOKUP(B46,'Paso 3 Redacción RA'!I$3:I$12,'Paso 3 Redacción RA'!C$3:C$12,,0,1)</f>
        <v>SaberHacer</v>
      </c>
      <c r="B46" s="54" t="s">
        <v>96</v>
      </c>
      <c r="C46" s="128"/>
      <c r="D46" s="128"/>
      <c r="E46" s="130"/>
      <c r="F46" s="128"/>
      <c r="G46" s="128"/>
      <c r="H46" s="128"/>
      <c r="I46" s="128"/>
      <c r="J46" s="128"/>
      <c r="K46" s="128"/>
      <c r="L46" s="128"/>
      <c r="M46" s="128"/>
      <c r="N46" s="130"/>
      <c r="O46" s="130"/>
      <c r="P46" s="130"/>
      <c r="Q46" s="130"/>
      <c r="R46" s="108"/>
      <c r="S46" s="104"/>
    </row>
    <row r="47" spans="1:19" s="105" customFormat="1" ht="36.6" thickBot="1" x14ac:dyDescent="0.55000000000000004">
      <c r="A47" s="106" t="str">
        <f>_xlfn.XLOOKUP(B47,'Paso 3 Redacción RA'!I$3:I$12,'Paso 3 Redacción RA'!C$3:C$12,,0,1)</f>
        <v>SaberSer</v>
      </c>
      <c r="B47" s="79" t="s">
        <v>92</v>
      </c>
      <c r="C47" s="131"/>
      <c r="D47" s="131"/>
      <c r="E47" s="132"/>
      <c r="F47" s="131"/>
      <c r="G47" s="131"/>
      <c r="H47" s="131"/>
      <c r="I47" s="131"/>
      <c r="J47" s="131"/>
      <c r="K47" s="131"/>
      <c r="L47" s="131"/>
      <c r="M47" s="131"/>
      <c r="N47" s="132"/>
      <c r="O47" s="132"/>
      <c r="P47" s="132"/>
      <c r="Q47" s="132"/>
      <c r="R47" s="108"/>
      <c r="S47" s="104"/>
    </row>
    <row r="48" spans="1:19" s="105" customFormat="1" ht="54" x14ac:dyDescent="0.5">
      <c r="A48" s="105" t="str">
        <f>_xlfn.XLOOKUP(B48,'Paso 3 Redacción RA'!I$3:I$12,'Paso 3 Redacción RA'!C$3:C$12,,0,1)</f>
        <v>Saber</v>
      </c>
      <c r="B48" s="80" t="s">
        <v>85</v>
      </c>
      <c r="C48" s="127">
        <v>4</v>
      </c>
      <c r="D48" s="127" t="s">
        <v>298</v>
      </c>
      <c r="E48" s="129" t="s">
        <v>299</v>
      </c>
      <c r="F48" s="127" t="s">
        <v>218</v>
      </c>
      <c r="G48" s="127"/>
      <c r="H48" s="127" t="s">
        <v>219</v>
      </c>
      <c r="I48" s="127"/>
      <c r="J48" s="127">
        <v>3</v>
      </c>
      <c r="K48" s="127">
        <f>16*J48</f>
        <v>48</v>
      </c>
      <c r="L48" s="127">
        <f>32*J48</f>
        <v>96</v>
      </c>
      <c r="M48" s="127">
        <f>SUM(K48:L48)</f>
        <v>144</v>
      </c>
      <c r="N48" s="129" t="s">
        <v>300</v>
      </c>
      <c r="O48" s="129" t="s">
        <v>232</v>
      </c>
      <c r="P48" s="129" t="s">
        <v>233</v>
      </c>
      <c r="Q48" s="129" t="s">
        <v>223</v>
      </c>
      <c r="R48" s="108"/>
      <c r="S48" s="104"/>
    </row>
    <row r="49" spans="1:19" s="105" customFormat="1" ht="54" x14ac:dyDescent="0.5">
      <c r="A49" s="105" t="str">
        <f>_xlfn.XLOOKUP(B49,'Paso 3 Redacción RA'!I$3:I$12,'Paso 3 Redacción RA'!C$3:C$12,,0,1)</f>
        <v>SaberHacer</v>
      </c>
      <c r="B49" s="54" t="s">
        <v>88</v>
      </c>
      <c r="C49" s="128"/>
      <c r="D49" s="128"/>
      <c r="E49" s="130"/>
      <c r="F49" s="128"/>
      <c r="G49" s="128"/>
      <c r="H49" s="128"/>
      <c r="I49" s="128"/>
      <c r="J49" s="128"/>
      <c r="K49" s="128"/>
      <c r="L49" s="128"/>
      <c r="M49" s="128"/>
      <c r="N49" s="130"/>
      <c r="O49" s="130"/>
      <c r="P49" s="130"/>
      <c r="Q49" s="130"/>
      <c r="R49" s="108"/>
      <c r="S49" s="104"/>
    </row>
    <row r="50" spans="1:19" s="105" customFormat="1" ht="54" x14ac:dyDescent="0.5">
      <c r="A50" s="105" t="str">
        <f>_xlfn.XLOOKUP(B50,'Paso 3 Redacción RA'!I$3:I$12,'Paso 3 Redacción RA'!C$3:C$12,,0,1)</f>
        <v>Saber</v>
      </c>
      <c r="B50" s="54" t="s">
        <v>95</v>
      </c>
      <c r="C50" s="128"/>
      <c r="D50" s="128"/>
      <c r="E50" s="130"/>
      <c r="F50" s="128"/>
      <c r="G50" s="128"/>
      <c r="H50" s="128"/>
      <c r="I50" s="128"/>
      <c r="J50" s="128"/>
      <c r="K50" s="128"/>
      <c r="L50" s="128"/>
      <c r="M50" s="128"/>
      <c r="N50" s="130"/>
      <c r="O50" s="130"/>
      <c r="P50" s="130"/>
      <c r="Q50" s="130"/>
      <c r="R50" s="108"/>
      <c r="S50" s="104"/>
    </row>
    <row r="51" spans="1:19" s="105" customFormat="1" ht="36" x14ac:dyDescent="0.5">
      <c r="A51" s="105" t="str">
        <f>_xlfn.XLOOKUP(B51,'Paso 3 Redacción RA'!I$3:I$12,'Paso 3 Redacción RA'!C$3:C$12,,0,1)</f>
        <v>SaberHacer</v>
      </c>
      <c r="B51" s="54" t="s">
        <v>96</v>
      </c>
      <c r="C51" s="128"/>
      <c r="D51" s="128"/>
      <c r="E51" s="130"/>
      <c r="F51" s="128"/>
      <c r="G51" s="128"/>
      <c r="H51" s="128"/>
      <c r="I51" s="128"/>
      <c r="J51" s="128"/>
      <c r="K51" s="128"/>
      <c r="L51" s="128"/>
      <c r="M51" s="128"/>
      <c r="N51" s="130"/>
      <c r="O51" s="130"/>
      <c r="P51" s="130"/>
      <c r="Q51" s="130"/>
      <c r="R51" s="108"/>
      <c r="S51" s="104"/>
    </row>
    <row r="52" spans="1:19" s="105" customFormat="1" ht="36.6" thickBot="1" x14ac:dyDescent="0.55000000000000004">
      <c r="A52" s="106" t="str">
        <f>_xlfn.XLOOKUP(B52,'Paso 3 Redacción RA'!I$3:I$12,'Paso 3 Redacción RA'!C$3:C$12,,0,1)</f>
        <v>SaberSer</v>
      </c>
      <c r="B52" s="79" t="s">
        <v>92</v>
      </c>
      <c r="C52" s="131"/>
      <c r="D52" s="131"/>
      <c r="E52" s="132"/>
      <c r="F52" s="131"/>
      <c r="G52" s="131"/>
      <c r="H52" s="131"/>
      <c r="I52" s="131"/>
      <c r="J52" s="131"/>
      <c r="K52" s="131"/>
      <c r="L52" s="131"/>
      <c r="M52" s="131"/>
      <c r="N52" s="132"/>
      <c r="O52" s="132"/>
      <c r="P52" s="132"/>
      <c r="Q52" s="132"/>
      <c r="R52" s="108"/>
      <c r="S52" s="104"/>
    </row>
    <row r="53" spans="1:19" s="105" customFormat="1" ht="54" x14ac:dyDescent="0.5">
      <c r="A53" s="105" t="str">
        <f>_xlfn.XLOOKUP(B53,'Paso 3 Redacción RA'!I$3:I$12,'Paso 3 Redacción RA'!C$3:C$12,,0,1)</f>
        <v>Saber</v>
      </c>
      <c r="B53" s="80" t="s">
        <v>95</v>
      </c>
      <c r="C53" s="127">
        <v>4</v>
      </c>
      <c r="D53" s="127" t="s">
        <v>301</v>
      </c>
      <c r="E53" s="129" t="s">
        <v>302</v>
      </c>
      <c r="F53" s="127" t="s">
        <v>218</v>
      </c>
      <c r="G53" s="127"/>
      <c r="H53" s="127" t="s">
        <v>219</v>
      </c>
      <c r="I53" s="127"/>
      <c r="J53" s="127">
        <v>3</v>
      </c>
      <c r="K53" s="127">
        <f>16*J53</f>
        <v>48</v>
      </c>
      <c r="L53" s="127">
        <f>32*J53</f>
        <v>96</v>
      </c>
      <c r="M53" s="127">
        <f>SUM(K53:L53)</f>
        <v>144</v>
      </c>
      <c r="N53" s="129" t="s">
        <v>303</v>
      </c>
      <c r="O53" s="129" t="s">
        <v>232</v>
      </c>
      <c r="P53" s="129" t="s">
        <v>233</v>
      </c>
      <c r="Q53" s="129" t="s">
        <v>223</v>
      </c>
      <c r="R53" s="108"/>
      <c r="S53" s="104"/>
    </row>
    <row r="54" spans="1:19" s="105" customFormat="1" ht="54" x14ac:dyDescent="0.5">
      <c r="A54" s="105" t="str">
        <f>_xlfn.XLOOKUP(B54,'Paso 3 Redacción RA'!I$3:I$12,'Paso 3 Redacción RA'!C$3:C$12,,0,1)</f>
        <v>SaberHacer</v>
      </c>
      <c r="B54" s="54" t="s">
        <v>88</v>
      </c>
      <c r="C54" s="128"/>
      <c r="D54" s="128"/>
      <c r="E54" s="130"/>
      <c r="F54" s="128"/>
      <c r="G54" s="128"/>
      <c r="H54" s="128"/>
      <c r="I54" s="128"/>
      <c r="J54" s="128"/>
      <c r="K54" s="128"/>
      <c r="L54" s="128"/>
      <c r="M54" s="128"/>
      <c r="N54" s="130"/>
      <c r="O54" s="130"/>
      <c r="P54" s="130"/>
      <c r="Q54" s="130"/>
      <c r="R54" s="108"/>
      <c r="S54" s="104"/>
    </row>
    <row r="55" spans="1:19" s="105" customFormat="1" ht="36" x14ac:dyDescent="0.5">
      <c r="A55" s="105" t="str">
        <f>_xlfn.XLOOKUP(B55,'Paso 3 Redacción RA'!I$3:I$12,'Paso 3 Redacción RA'!C$3:C$12,,0,1)</f>
        <v>SaberSer</v>
      </c>
      <c r="B55" s="54" t="s">
        <v>92</v>
      </c>
      <c r="C55" s="128"/>
      <c r="D55" s="128"/>
      <c r="E55" s="130"/>
      <c r="F55" s="128"/>
      <c r="G55" s="128"/>
      <c r="H55" s="128"/>
      <c r="I55" s="128"/>
      <c r="J55" s="128"/>
      <c r="K55" s="128"/>
      <c r="L55" s="128"/>
      <c r="M55" s="128"/>
      <c r="N55" s="130"/>
      <c r="O55" s="130"/>
      <c r="P55" s="130"/>
      <c r="Q55" s="130"/>
      <c r="R55" s="108"/>
      <c r="S55" s="104"/>
    </row>
    <row r="56" spans="1:19" s="105" customFormat="1" ht="36" x14ac:dyDescent="0.5">
      <c r="A56" s="105" t="str">
        <f>_xlfn.XLOOKUP(B56,'Paso 3 Redacción RA'!I$3:I$12,'Paso 3 Redacción RA'!C$3:C$12,,0,1)</f>
        <v>SaberHacer</v>
      </c>
      <c r="B56" s="54" t="s">
        <v>96</v>
      </c>
      <c r="C56" s="128"/>
      <c r="D56" s="128"/>
      <c r="E56" s="130"/>
      <c r="F56" s="128"/>
      <c r="G56" s="128"/>
      <c r="H56" s="128"/>
      <c r="I56" s="128"/>
      <c r="J56" s="128"/>
      <c r="K56" s="128"/>
      <c r="L56" s="128"/>
      <c r="M56" s="128"/>
      <c r="N56" s="130"/>
      <c r="O56" s="130"/>
      <c r="P56" s="130"/>
      <c r="Q56" s="130"/>
      <c r="R56" s="108"/>
      <c r="S56" s="104"/>
    </row>
    <row r="57" spans="1:19" s="105" customFormat="1" ht="36.6" thickBot="1" x14ac:dyDescent="0.55000000000000004">
      <c r="A57" s="106" t="str">
        <f>_xlfn.XLOOKUP(B57,'Paso 3 Redacción RA'!I$3:I$12,'Paso 3 Redacción RA'!C$3:C$12,,0,1)</f>
        <v>SaberSer</v>
      </c>
      <c r="B57" s="79" t="s">
        <v>92</v>
      </c>
      <c r="C57" s="131"/>
      <c r="D57" s="131"/>
      <c r="E57" s="132"/>
      <c r="F57" s="131"/>
      <c r="G57" s="131"/>
      <c r="H57" s="131"/>
      <c r="I57" s="131"/>
      <c r="J57" s="131"/>
      <c r="K57" s="131"/>
      <c r="L57" s="131"/>
      <c r="M57" s="131"/>
      <c r="N57" s="132"/>
      <c r="O57" s="132"/>
      <c r="P57" s="132"/>
      <c r="Q57" s="132"/>
      <c r="R57" s="108"/>
      <c r="S57" s="104"/>
    </row>
    <row r="58" spans="1:19" s="105" customFormat="1" ht="54" x14ac:dyDescent="0.5">
      <c r="A58" s="107" t="str">
        <f>_xlfn.XLOOKUP(B58,'Paso 3 Redacción RA'!I$3:I$12,'Paso 3 Redacción RA'!C$3:C$12,,0,1)</f>
        <v>Saber</v>
      </c>
      <c r="B58" s="80" t="s">
        <v>95</v>
      </c>
      <c r="C58" s="127">
        <v>4</v>
      </c>
      <c r="D58" s="127" t="s">
        <v>304</v>
      </c>
      <c r="E58" s="129" t="s">
        <v>305</v>
      </c>
      <c r="F58" s="127" t="s">
        <v>218</v>
      </c>
      <c r="G58" s="127"/>
      <c r="H58" s="127" t="s">
        <v>219</v>
      </c>
      <c r="I58" s="127"/>
      <c r="J58" s="127">
        <v>3</v>
      </c>
      <c r="K58" s="127">
        <f>16*J58</f>
        <v>48</v>
      </c>
      <c r="L58" s="127">
        <f>32*J58</f>
        <v>96</v>
      </c>
      <c r="M58" s="127">
        <f>SUM(K58:L58)</f>
        <v>144</v>
      </c>
      <c r="N58" s="129" t="s">
        <v>306</v>
      </c>
      <c r="O58" s="129" t="s">
        <v>292</v>
      </c>
      <c r="P58" s="129" t="s">
        <v>293</v>
      </c>
      <c r="Q58" s="129" t="s">
        <v>223</v>
      </c>
      <c r="R58" s="108"/>
      <c r="S58" s="104"/>
    </row>
    <row r="59" spans="1:19" s="105" customFormat="1" ht="36" x14ac:dyDescent="0.5">
      <c r="A59" s="105" t="str">
        <f>_xlfn.XLOOKUP(B59,'Paso 3 Redacción RA'!I$3:I$12,'Paso 3 Redacción RA'!C$3:C$12,,0,1)</f>
        <v>SaberHacer</v>
      </c>
      <c r="B59" s="54" t="s">
        <v>96</v>
      </c>
      <c r="C59" s="128"/>
      <c r="D59" s="128"/>
      <c r="E59" s="130"/>
      <c r="F59" s="128"/>
      <c r="G59" s="128"/>
      <c r="H59" s="128"/>
      <c r="I59" s="128"/>
      <c r="J59" s="128"/>
      <c r="K59" s="128"/>
      <c r="L59" s="128"/>
      <c r="M59" s="128"/>
      <c r="N59" s="130"/>
      <c r="O59" s="130"/>
      <c r="P59" s="130"/>
      <c r="Q59" s="130"/>
      <c r="R59" s="108"/>
      <c r="S59" s="104"/>
    </row>
    <row r="60" spans="1:19" s="105" customFormat="1" ht="36.6" thickBot="1" x14ac:dyDescent="0.55000000000000004">
      <c r="A60" s="106" t="str">
        <f>_xlfn.XLOOKUP(B60,'Paso 3 Redacción RA'!I$3:I$12,'Paso 3 Redacción RA'!C$3:C$12,,0,1)</f>
        <v>SaberSer</v>
      </c>
      <c r="B60" s="79" t="s">
        <v>92</v>
      </c>
      <c r="C60" s="131"/>
      <c r="D60" s="131"/>
      <c r="E60" s="132"/>
      <c r="F60" s="128"/>
      <c r="G60" s="128"/>
      <c r="H60" s="128"/>
      <c r="I60" s="128"/>
      <c r="J60" s="128"/>
      <c r="K60" s="128"/>
      <c r="L60" s="128"/>
      <c r="M60" s="131"/>
      <c r="N60" s="130"/>
      <c r="O60" s="130"/>
      <c r="P60" s="130"/>
      <c r="Q60" s="130"/>
      <c r="R60" s="108">
        <f>SUM(J41:J60)</f>
        <v>18</v>
      </c>
      <c r="S60" s="104">
        <f>COUNTA(D41:D60)</f>
        <v>6</v>
      </c>
    </row>
    <row r="61" spans="1:19" s="105" customFormat="1" ht="54" x14ac:dyDescent="0.5">
      <c r="A61" s="107" t="str">
        <f>_xlfn.XLOOKUP(B61,'Paso 3 Redacción RA'!I$3:I$12,'Paso 3 Redacción RA'!C$3:C$12,,0,1)</f>
        <v>Saber</v>
      </c>
      <c r="B61" s="80" t="s">
        <v>85</v>
      </c>
      <c r="C61" s="127">
        <v>5</v>
      </c>
      <c r="D61" s="127" t="s">
        <v>307</v>
      </c>
      <c r="E61" s="129" t="s">
        <v>308</v>
      </c>
      <c r="F61" s="127" t="s">
        <v>309</v>
      </c>
      <c r="G61" s="127"/>
      <c r="H61" s="127" t="s">
        <v>219</v>
      </c>
      <c r="I61" s="127"/>
      <c r="J61" s="127">
        <v>3</v>
      </c>
      <c r="K61" s="127">
        <f>16*J61</f>
        <v>48</v>
      </c>
      <c r="L61" s="127">
        <f>32*J61</f>
        <v>96</v>
      </c>
      <c r="M61" s="127">
        <f>SUM(K61:L61)</f>
        <v>144</v>
      </c>
      <c r="N61" s="129" t="s">
        <v>310</v>
      </c>
      <c r="O61" s="129" t="s">
        <v>232</v>
      </c>
      <c r="P61" s="129" t="s">
        <v>233</v>
      </c>
      <c r="Q61" s="129" t="s">
        <v>223</v>
      </c>
      <c r="R61" s="108"/>
      <c r="S61" s="104"/>
    </row>
    <row r="62" spans="1:19" s="105" customFormat="1" ht="54" x14ac:dyDescent="0.5">
      <c r="A62" s="105" t="str">
        <f>_xlfn.XLOOKUP(B62,'Paso 3 Redacción RA'!I$3:I$12,'Paso 3 Redacción RA'!C$3:C$12,,0,1)</f>
        <v>SaberHacer</v>
      </c>
      <c r="B62" s="54" t="s">
        <v>88</v>
      </c>
      <c r="C62" s="128"/>
      <c r="D62" s="128"/>
      <c r="E62" s="130"/>
      <c r="F62" s="128"/>
      <c r="G62" s="128"/>
      <c r="H62" s="128"/>
      <c r="I62" s="128"/>
      <c r="J62" s="128"/>
      <c r="K62" s="128"/>
      <c r="L62" s="128"/>
      <c r="M62" s="128"/>
      <c r="N62" s="130"/>
      <c r="O62" s="130"/>
      <c r="P62" s="130"/>
      <c r="Q62" s="130"/>
      <c r="R62" s="108"/>
      <c r="S62" s="104"/>
    </row>
    <row r="63" spans="1:19" s="105" customFormat="1" ht="54" x14ac:dyDescent="0.5">
      <c r="A63" s="107" t="str">
        <f>_xlfn.XLOOKUP(B63,'Paso 3 Redacción RA'!I$3:I$12,'Paso 3 Redacción RA'!C$3:C$12,,0,1)</f>
        <v>Saber</v>
      </c>
      <c r="B63" s="80" t="s">
        <v>95</v>
      </c>
      <c r="C63" s="127">
        <v>5</v>
      </c>
      <c r="D63" s="127" t="s">
        <v>311</v>
      </c>
      <c r="E63" s="129" t="s">
        <v>312</v>
      </c>
      <c r="F63" s="127" t="s">
        <v>218</v>
      </c>
      <c r="G63" s="127"/>
      <c r="H63" s="127" t="s">
        <v>219</v>
      </c>
      <c r="I63" s="127"/>
      <c r="J63" s="127">
        <v>3</v>
      </c>
      <c r="K63" s="127">
        <f>16*J63</f>
        <v>48</v>
      </c>
      <c r="L63" s="127">
        <f>32*J63</f>
        <v>96</v>
      </c>
      <c r="M63" s="127">
        <f>SUM(K63:L63)</f>
        <v>144</v>
      </c>
      <c r="N63" s="129" t="s">
        <v>313</v>
      </c>
      <c r="O63" s="129" t="s">
        <v>292</v>
      </c>
      <c r="P63" s="129" t="s">
        <v>293</v>
      </c>
      <c r="Q63" s="129" t="s">
        <v>223</v>
      </c>
      <c r="R63" s="108"/>
      <c r="S63" s="104"/>
    </row>
    <row r="64" spans="1:19" s="105" customFormat="1" ht="36" x14ac:dyDescent="0.5">
      <c r="A64" s="105" t="str">
        <f>_xlfn.XLOOKUP(B64,'Paso 3 Redacción RA'!I$3:I$12,'Paso 3 Redacción RA'!C$3:C$12,,0,1)</f>
        <v>SaberHacer</v>
      </c>
      <c r="B64" s="54" t="s">
        <v>96</v>
      </c>
      <c r="C64" s="128"/>
      <c r="D64" s="128"/>
      <c r="E64" s="130"/>
      <c r="F64" s="128"/>
      <c r="G64" s="128"/>
      <c r="H64" s="128"/>
      <c r="I64" s="128"/>
      <c r="J64" s="128"/>
      <c r="K64" s="128"/>
      <c r="L64" s="128"/>
      <c r="M64" s="128"/>
      <c r="N64" s="130"/>
      <c r="O64" s="130"/>
      <c r="P64" s="130"/>
      <c r="Q64" s="130"/>
      <c r="R64" s="108"/>
      <c r="S64" s="104"/>
    </row>
    <row r="65" spans="1:19" s="105" customFormat="1" ht="36.6" thickBot="1" x14ac:dyDescent="0.55000000000000004">
      <c r="A65" s="106" t="str">
        <f>_xlfn.XLOOKUP(B65,'Paso 3 Redacción RA'!I$3:I$12,'Paso 3 Redacción RA'!C$3:C$12,,0,1)</f>
        <v>SaberSer</v>
      </c>
      <c r="B65" s="79" t="s">
        <v>92</v>
      </c>
      <c r="C65" s="131"/>
      <c r="D65" s="131"/>
      <c r="E65" s="132"/>
      <c r="F65" s="131"/>
      <c r="G65" s="131"/>
      <c r="H65" s="131"/>
      <c r="I65" s="131"/>
      <c r="J65" s="131"/>
      <c r="K65" s="131"/>
      <c r="L65" s="131"/>
      <c r="M65" s="131"/>
      <c r="N65" s="132"/>
      <c r="O65" s="132"/>
      <c r="P65" s="132"/>
      <c r="Q65" s="132"/>
      <c r="R65" s="108"/>
      <c r="S65" s="104"/>
    </row>
    <row r="66" spans="1:19" s="105" customFormat="1" ht="54" x14ac:dyDescent="0.5">
      <c r="A66" s="107" t="str">
        <f>_xlfn.XLOOKUP(B66,'Paso 3 Redacción RA'!I$3:I$12,'Paso 3 Redacción RA'!C$3:C$12,,0,1)</f>
        <v>Saber</v>
      </c>
      <c r="B66" s="80" t="s">
        <v>95</v>
      </c>
      <c r="C66" s="127">
        <v>5</v>
      </c>
      <c r="D66" s="127" t="s">
        <v>314</v>
      </c>
      <c r="E66" s="129" t="s">
        <v>315</v>
      </c>
      <c r="F66" s="127" t="s">
        <v>218</v>
      </c>
      <c r="G66" s="127"/>
      <c r="H66" s="127" t="s">
        <v>219</v>
      </c>
      <c r="I66" s="127"/>
      <c r="J66" s="127">
        <v>3</v>
      </c>
      <c r="K66" s="127">
        <f>16*J66</f>
        <v>48</v>
      </c>
      <c r="L66" s="127">
        <f>32*J66</f>
        <v>96</v>
      </c>
      <c r="M66" s="127">
        <f>SUM(K66:L66)</f>
        <v>144</v>
      </c>
      <c r="N66" s="129" t="s">
        <v>316</v>
      </c>
      <c r="O66" s="129" t="s">
        <v>297</v>
      </c>
      <c r="P66" s="129" t="s">
        <v>233</v>
      </c>
      <c r="Q66" s="129" t="s">
        <v>223</v>
      </c>
      <c r="R66" s="108"/>
      <c r="S66" s="104"/>
    </row>
    <row r="67" spans="1:19" s="105" customFormat="1" ht="36" x14ac:dyDescent="0.5">
      <c r="A67" s="105" t="str">
        <f>_xlfn.XLOOKUP(B67,'Paso 3 Redacción RA'!I$3:I$12,'Paso 3 Redacción RA'!C$3:C$12,,0,1)</f>
        <v>SaberHacer</v>
      </c>
      <c r="B67" s="54" t="s">
        <v>96</v>
      </c>
      <c r="C67" s="128"/>
      <c r="D67" s="128"/>
      <c r="E67" s="130"/>
      <c r="F67" s="128"/>
      <c r="G67" s="128"/>
      <c r="H67" s="128"/>
      <c r="I67" s="128"/>
      <c r="J67" s="128"/>
      <c r="K67" s="128"/>
      <c r="L67" s="128"/>
      <c r="M67" s="128"/>
      <c r="N67" s="130"/>
      <c r="O67" s="130"/>
      <c r="P67" s="130"/>
      <c r="Q67" s="130"/>
      <c r="R67" s="108"/>
      <c r="S67" s="104"/>
    </row>
    <row r="68" spans="1:19" s="105" customFormat="1" ht="36.6" thickBot="1" x14ac:dyDescent="0.55000000000000004">
      <c r="A68" s="105" t="str">
        <f>_xlfn.XLOOKUP(B68,'Paso 3 Redacción RA'!I$3:I$12,'Paso 3 Redacción RA'!C$3:C$12,,0,1)</f>
        <v>SaberSer</v>
      </c>
      <c r="B68" s="54" t="s">
        <v>92</v>
      </c>
      <c r="C68" s="128"/>
      <c r="D68" s="128"/>
      <c r="E68" s="130"/>
      <c r="F68" s="128"/>
      <c r="G68" s="128"/>
      <c r="H68" s="128"/>
      <c r="I68" s="128"/>
      <c r="J68" s="128"/>
      <c r="K68" s="128"/>
      <c r="L68" s="128"/>
      <c r="M68" s="128"/>
      <c r="N68" s="130"/>
      <c r="O68" s="130"/>
      <c r="P68" s="130"/>
      <c r="Q68" s="130"/>
      <c r="R68" s="108"/>
      <c r="S68" s="104"/>
    </row>
    <row r="69" spans="1:19" s="105" customFormat="1" ht="54" x14ac:dyDescent="0.5">
      <c r="A69" s="107" t="str">
        <f>_xlfn.XLOOKUP(B69,'Paso 3 Redacción RA'!I$3:I$12,'Paso 3 Redacción RA'!C$3:C$12,,0,1)</f>
        <v>Saber</v>
      </c>
      <c r="B69" s="80" t="s">
        <v>85</v>
      </c>
      <c r="C69" s="127">
        <v>5</v>
      </c>
      <c r="D69" s="127" t="s">
        <v>317</v>
      </c>
      <c r="E69" s="129" t="s">
        <v>318</v>
      </c>
      <c r="F69" s="127" t="s">
        <v>218</v>
      </c>
      <c r="G69" s="127"/>
      <c r="H69" s="127" t="s">
        <v>219</v>
      </c>
      <c r="I69" s="127"/>
      <c r="J69" s="127">
        <v>3</v>
      </c>
      <c r="K69" s="127">
        <f>16*J69</f>
        <v>48</v>
      </c>
      <c r="L69" s="127">
        <f>32*J69</f>
        <v>96</v>
      </c>
      <c r="M69" s="127">
        <f>SUM(K69:L69)</f>
        <v>144</v>
      </c>
      <c r="N69" s="129" t="s">
        <v>319</v>
      </c>
      <c r="O69" s="129" t="s">
        <v>232</v>
      </c>
      <c r="P69" s="129" t="s">
        <v>233</v>
      </c>
      <c r="Q69" s="129" t="s">
        <v>223</v>
      </c>
      <c r="R69" s="108"/>
      <c r="S69" s="104"/>
    </row>
    <row r="70" spans="1:19" s="105" customFormat="1" ht="36" x14ac:dyDescent="0.5">
      <c r="A70" s="105" t="str">
        <f>_xlfn.XLOOKUP(B70,'Paso 3 Redacción RA'!I$3:I$12,'Paso 3 Redacción RA'!C$3:C$12,,0,1)</f>
        <v>SaberHacer</v>
      </c>
      <c r="B70" s="54" t="s">
        <v>96</v>
      </c>
      <c r="C70" s="128"/>
      <c r="D70" s="128"/>
      <c r="E70" s="130"/>
      <c r="F70" s="128"/>
      <c r="G70" s="128"/>
      <c r="H70" s="128"/>
      <c r="I70" s="128"/>
      <c r="J70" s="128"/>
      <c r="K70" s="128"/>
      <c r="L70" s="128"/>
      <c r="M70" s="128"/>
      <c r="N70" s="130"/>
      <c r="O70" s="130"/>
      <c r="P70" s="130"/>
      <c r="Q70" s="130"/>
      <c r="R70" s="108"/>
      <c r="S70" s="104"/>
    </row>
    <row r="71" spans="1:19" s="105" customFormat="1" ht="54" x14ac:dyDescent="0.5">
      <c r="A71" s="105" t="str">
        <f>_xlfn.XLOOKUP(B71,'Paso 3 Redacción RA'!I$3:I$12,'Paso 3 Redacción RA'!C$3:C$12,,0,1)</f>
        <v>Saber</v>
      </c>
      <c r="B71" s="54" t="s">
        <v>95</v>
      </c>
      <c r="C71" s="128"/>
      <c r="D71" s="128"/>
      <c r="E71" s="130"/>
      <c r="F71" s="128"/>
      <c r="G71" s="128"/>
      <c r="H71" s="128"/>
      <c r="I71" s="128"/>
      <c r="J71" s="128"/>
      <c r="K71" s="128"/>
      <c r="L71" s="128"/>
      <c r="M71" s="128"/>
      <c r="N71" s="130"/>
      <c r="O71" s="130"/>
      <c r="P71" s="130"/>
      <c r="Q71" s="130"/>
      <c r="R71" s="108"/>
      <c r="S71" s="104"/>
    </row>
    <row r="72" spans="1:19" s="105" customFormat="1" ht="36.6" thickBot="1" x14ac:dyDescent="0.55000000000000004">
      <c r="A72" s="106" t="str">
        <f>_xlfn.XLOOKUP(B72,'Paso 3 Redacción RA'!I$3:I$12,'Paso 3 Redacción RA'!C$3:C$12,,0,1)</f>
        <v>SaberSer</v>
      </c>
      <c r="B72" s="79" t="s">
        <v>92</v>
      </c>
      <c r="C72" s="131"/>
      <c r="D72" s="131"/>
      <c r="E72" s="132"/>
      <c r="F72" s="131"/>
      <c r="G72" s="131"/>
      <c r="H72" s="131"/>
      <c r="I72" s="131"/>
      <c r="J72" s="131"/>
      <c r="K72" s="131"/>
      <c r="L72" s="131"/>
      <c r="M72" s="131"/>
      <c r="N72" s="132"/>
      <c r="O72" s="132"/>
      <c r="P72" s="132"/>
      <c r="Q72" s="132"/>
      <c r="R72" s="108"/>
      <c r="S72" s="104"/>
    </row>
    <row r="73" spans="1:19" s="105" customFormat="1" ht="54" x14ac:dyDescent="0.5">
      <c r="A73" s="107" t="str">
        <f>_xlfn.XLOOKUP(B73,'Paso 3 Redacción RA'!I$3:I$12,'Paso 3 Redacción RA'!C$3:C$12,,0,1)</f>
        <v>Saber</v>
      </c>
      <c r="B73" s="80" t="s">
        <v>85</v>
      </c>
      <c r="C73" s="127">
        <v>5</v>
      </c>
      <c r="D73" s="127" t="s">
        <v>320</v>
      </c>
      <c r="E73" s="129" t="s">
        <v>321</v>
      </c>
      <c r="F73" s="127" t="s">
        <v>218</v>
      </c>
      <c r="G73" s="127"/>
      <c r="H73" s="127" t="s">
        <v>219</v>
      </c>
      <c r="I73" s="127"/>
      <c r="J73" s="127">
        <v>3</v>
      </c>
      <c r="K73" s="127">
        <f>16*J73</f>
        <v>48</v>
      </c>
      <c r="L73" s="127">
        <f>32*J73</f>
        <v>96</v>
      </c>
      <c r="M73" s="127">
        <f>SUM(K73:L73)</f>
        <v>144</v>
      </c>
      <c r="N73" s="129" t="s">
        <v>322</v>
      </c>
      <c r="O73" s="129" t="s">
        <v>232</v>
      </c>
      <c r="P73" s="129" t="s">
        <v>233</v>
      </c>
      <c r="Q73" s="129" t="s">
        <v>223</v>
      </c>
      <c r="R73" s="108"/>
      <c r="S73" s="104"/>
    </row>
    <row r="74" spans="1:19" s="105" customFormat="1" ht="36" x14ac:dyDescent="0.5">
      <c r="A74" s="105" t="str">
        <f>_xlfn.XLOOKUP(B74,'Paso 3 Redacción RA'!I$3:I$12,'Paso 3 Redacción RA'!C$3:C$12,,0,1)</f>
        <v>SaberHacer</v>
      </c>
      <c r="B74" s="54" t="s">
        <v>96</v>
      </c>
      <c r="C74" s="128"/>
      <c r="D74" s="128"/>
      <c r="E74" s="130"/>
      <c r="F74" s="128"/>
      <c r="G74" s="128"/>
      <c r="H74" s="128"/>
      <c r="I74" s="128"/>
      <c r="J74" s="128"/>
      <c r="K74" s="128"/>
      <c r="L74" s="128"/>
      <c r="M74" s="128"/>
      <c r="N74" s="130"/>
      <c r="O74" s="130"/>
      <c r="P74" s="130"/>
      <c r="Q74" s="130"/>
      <c r="R74" s="108"/>
      <c r="S74" s="104"/>
    </row>
    <row r="75" spans="1:19" s="105" customFormat="1" ht="54" x14ac:dyDescent="0.5">
      <c r="A75" s="105" t="str">
        <f>_xlfn.XLOOKUP(B75,'Paso 3 Redacción RA'!I$3:I$12,'Paso 3 Redacción RA'!C$3:C$12,,0,1)</f>
        <v>Saber</v>
      </c>
      <c r="B75" s="54" t="s">
        <v>95</v>
      </c>
      <c r="C75" s="128"/>
      <c r="D75" s="128"/>
      <c r="E75" s="130"/>
      <c r="F75" s="128"/>
      <c r="G75" s="128"/>
      <c r="H75" s="128"/>
      <c r="I75" s="128"/>
      <c r="J75" s="128"/>
      <c r="K75" s="128"/>
      <c r="L75" s="128"/>
      <c r="M75" s="128"/>
      <c r="N75" s="130"/>
      <c r="O75" s="130"/>
      <c r="P75" s="130"/>
      <c r="Q75" s="130"/>
      <c r="R75" s="108"/>
      <c r="S75" s="104"/>
    </row>
    <row r="76" spans="1:19" s="105" customFormat="1" ht="36.6" thickBot="1" x14ac:dyDescent="0.55000000000000004">
      <c r="A76" s="105" t="str">
        <f>_xlfn.XLOOKUP(B76,'Paso 3 Redacción RA'!I$3:I$12,'Paso 3 Redacción RA'!C$3:C$12,,0,1)</f>
        <v>SaberSer</v>
      </c>
      <c r="B76" s="54" t="s">
        <v>92</v>
      </c>
      <c r="C76" s="128"/>
      <c r="D76" s="128"/>
      <c r="E76" s="130"/>
      <c r="F76" s="128"/>
      <c r="G76" s="128"/>
      <c r="H76" s="128"/>
      <c r="I76" s="128"/>
      <c r="J76" s="128"/>
      <c r="K76" s="128"/>
      <c r="L76" s="128"/>
      <c r="M76" s="128"/>
      <c r="N76" s="130"/>
      <c r="O76" s="130"/>
      <c r="P76" s="130"/>
      <c r="Q76" s="130"/>
      <c r="R76" s="108"/>
      <c r="S76" s="104"/>
    </row>
    <row r="77" spans="1:19" s="105" customFormat="1" ht="54" x14ac:dyDescent="0.5">
      <c r="A77" s="107" t="str">
        <f>_xlfn.XLOOKUP(B77,'Paso 3 Redacción RA'!I$3:I$12,'Paso 3 Redacción RA'!C$3:C$12,,0,1)</f>
        <v>Saber</v>
      </c>
      <c r="B77" s="80" t="s">
        <v>85</v>
      </c>
      <c r="C77" s="127">
        <v>5</v>
      </c>
      <c r="D77" s="127" t="s">
        <v>323</v>
      </c>
      <c r="E77" s="129" t="s">
        <v>324</v>
      </c>
      <c r="F77" s="127" t="s">
        <v>218</v>
      </c>
      <c r="G77" s="127"/>
      <c r="H77" s="127" t="s">
        <v>219</v>
      </c>
      <c r="I77" s="127"/>
      <c r="J77" s="127">
        <v>3</v>
      </c>
      <c r="K77" s="127">
        <f>16*J77</f>
        <v>48</v>
      </c>
      <c r="L77" s="127">
        <f>32*J77</f>
        <v>96</v>
      </c>
      <c r="M77" s="127">
        <f>SUM(K77:L77)</f>
        <v>144</v>
      </c>
      <c r="N77" s="129" t="s">
        <v>325</v>
      </c>
      <c r="O77" s="129" t="s">
        <v>232</v>
      </c>
      <c r="P77" s="129" t="s">
        <v>233</v>
      </c>
      <c r="Q77" s="129" t="s">
        <v>223</v>
      </c>
      <c r="R77" s="108"/>
      <c r="S77" s="104"/>
    </row>
    <row r="78" spans="1:19" s="105" customFormat="1" ht="36" x14ac:dyDescent="0.5">
      <c r="A78" s="105" t="str">
        <f>_xlfn.XLOOKUP(B78,'Paso 3 Redacción RA'!I$3:I$12,'Paso 3 Redacción RA'!C$3:C$12,,0,1)</f>
        <v>SaberHacer</v>
      </c>
      <c r="B78" s="54" t="s">
        <v>96</v>
      </c>
      <c r="C78" s="128"/>
      <c r="D78" s="128"/>
      <c r="E78" s="130"/>
      <c r="F78" s="128"/>
      <c r="G78" s="128"/>
      <c r="H78" s="128"/>
      <c r="I78" s="128"/>
      <c r="J78" s="128"/>
      <c r="K78" s="128"/>
      <c r="L78" s="128"/>
      <c r="M78" s="128"/>
      <c r="N78" s="130"/>
      <c r="O78" s="130"/>
      <c r="P78" s="130"/>
      <c r="Q78" s="130"/>
      <c r="R78" s="108"/>
      <c r="S78" s="104"/>
    </row>
    <row r="79" spans="1:19" s="105" customFormat="1" ht="54" x14ac:dyDescent="0.5">
      <c r="A79" s="105" t="str">
        <f>_xlfn.XLOOKUP(B79,'Paso 3 Redacción RA'!I$3:I$12,'Paso 3 Redacción RA'!C$3:C$12,,0,1)</f>
        <v>Saber</v>
      </c>
      <c r="B79" s="54" t="s">
        <v>95</v>
      </c>
      <c r="C79" s="128"/>
      <c r="D79" s="128"/>
      <c r="E79" s="130"/>
      <c r="F79" s="128"/>
      <c r="G79" s="128"/>
      <c r="H79" s="128"/>
      <c r="I79" s="128"/>
      <c r="J79" s="128"/>
      <c r="K79" s="128"/>
      <c r="L79" s="128"/>
      <c r="M79" s="128"/>
      <c r="N79" s="130"/>
      <c r="O79" s="130"/>
      <c r="P79" s="130"/>
      <c r="Q79" s="130"/>
      <c r="R79" s="108"/>
      <c r="S79" s="104"/>
    </row>
    <row r="80" spans="1:19" s="105" customFormat="1" ht="36.6" thickBot="1" x14ac:dyDescent="0.55000000000000004">
      <c r="A80" s="106" t="str">
        <f>_xlfn.XLOOKUP(B80,'Paso 3 Redacción RA'!I$3:I$12,'Paso 3 Redacción RA'!C$3:C$12,,0,1)</f>
        <v>SaberSer</v>
      </c>
      <c r="B80" s="79" t="s">
        <v>92</v>
      </c>
      <c r="C80" s="131"/>
      <c r="D80" s="131"/>
      <c r="E80" s="132"/>
      <c r="F80" s="131"/>
      <c r="G80" s="131"/>
      <c r="H80" s="131"/>
      <c r="I80" s="131"/>
      <c r="J80" s="131"/>
      <c r="K80" s="131"/>
      <c r="L80" s="131"/>
      <c r="M80" s="131"/>
      <c r="N80" s="132"/>
      <c r="O80" s="132"/>
      <c r="P80" s="132"/>
      <c r="Q80" s="132"/>
      <c r="R80" s="108">
        <f>SUM(J61:J80)</f>
        <v>18</v>
      </c>
      <c r="S80" s="104">
        <f>COUNTA(D61:D80)</f>
        <v>6</v>
      </c>
    </row>
    <row r="81" spans="1:19" s="105" customFormat="1" ht="54" x14ac:dyDescent="0.5">
      <c r="A81" s="105" t="str">
        <f>_xlfn.XLOOKUP(B81,'Paso 3 Redacción RA'!I$3:I$12,'Paso 3 Redacción RA'!C$3:C$12,,0,1)</f>
        <v>Saber</v>
      </c>
      <c r="B81" s="80" t="s">
        <v>85</v>
      </c>
      <c r="C81" s="127">
        <v>6</v>
      </c>
      <c r="D81" s="127" t="s">
        <v>326</v>
      </c>
      <c r="E81" s="129" t="s">
        <v>327</v>
      </c>
      <c r="F81" s="127" t="s">
        <v>218</v>
      </c>
      <c r="G81" s="127"/>
      <c r="H81" s="127" t="s">
        <v>219</v>
      </c>
      <c r="I81" s="127"/>
      <c r="J81" s="127">
        <v>3</v>
      </c>
      <c r="K81" s="127">
        <f>16*J81</f>
        <v>48</v>
      </c>
      <c r="L81" s="127">
        <f>32*J81</f>
        <v>96</v>
      </c>
      <c r="M81" s="127">
        <f>SUM(K81:L81)</f>
        <v>144</v>
      </c>
      <c r="N81" s="129" t="s">
        <v>328</v>
      </c>
      <c r="O81" s="129" t="s">
        <v>292</v>
      </c>
      <c r="P81" s="129" t="s">
        <v>293</v>
      </c>
      <c r="Q81" s="129" t="s">
        <v>223</v>
      </c>
      <c r="R81" s="108"/>
      <c r="S81" s="104"/>
    </row>
    <row r="82" spans="1:19" s="105" customFormat="1" ht="54" x14ac:dyDescent="0.5">
      <c r="A82" s="105" t="str">
        <f>_xlfn.XLOOKUP(B82,'Paso 3 Redacción RA'!I$3:I$12,'Paso 3 Redacción RA'!C$3:C$12,,0,1)</f>
        <v>SaberHacer</v>
      </c>
      <c r="B82" s="54" t="s">
        <v>88</v>
      </c>
      <c r="C82" s="128"/>
      <c r="D82" s="128"/>
      <c r="E82" s="130"/>
      <c r="F82" s="128"/>
      <c r="G82" s="128"/>
      <c r="H82" s="128"/>
      <c r="I82" s="128"/>
      <c r="J82" s="128"/>
      <c r="K82" s="128"/>
      <c r="L82" s="128"/>
      <c r="M82" s="128"/>
      <c r="N82" s="130"/>
      <c r="O82" s="130"/>
      <c r="P82" s="130"/>
      <c r="Q82" s="130"/>
      <c r="R82" s="108"/>
      <c r="S82" s="104"/>
    </row>
    <row r="83" spans="1:19" s="105" customFormat="1" ht="36.6" thickBot="1" x14ac:dyDescent="0.55000000000000004">
      <c r="A83" s="105" t="str">
        <f>_xlfn.XLOOKUP(B83,'Paso 3 Redacción RA'!I$3:I$12,'Paso 3 Redacción RA'!C$3:C$12,,0,1)</f>
        <v>SaberSer</v>
      </c>
      <c r="B83" s="54" t="s">
        <v>92</v>
      </c>
      <c r="C83" s="128"/>
      <c r="D83" s="128"/>
      <c r="E83" s="130"/>
      <c r="F83" s="128"/>
      <c r="G83" s="128"/>
      <c r="H83" s="128"/>
      <c r="I83" s="128"/>
      <c r="J83" s="128"/>
      <c r="K83" s="128"/>
      <c r="L83" s="128"/>
      <c r="M83" s="128"/>
      <c r="N83" s="130"/>
      <c r="O83" s="130"/>
      <c r="P83" s="130"/>
      <c r="Q83" s="130"/>
      <c r="R83" s="108"/>
      <c r="S83" s="104"/>
    </row>
    <row r="84" spans="1:19" s="105" customFormat="1" ht="54" x14ac:dyDescent="0.5">
      <c r="A84" s="107" t="str">
        <f>_xlfn.XLOOKUP(B84,'Paso 3 Redacción RA'!I$3:I$12,'Paso 3 Redacción RA'!C$3:C$12,,0,1)</f>
        <v>Saber</v>
      </c>
      <c r="B84" s="80" t="s">
        <v>95</v>
      </c>
      <c r="C84" s="127">
        <v>6</v>
      </c>
      <c r="D84" s="127" t="s">
        <v>329</v>
      </c>
      <c r="E84" s="129" t="s">
        <v>330</v>
      </c>
      <c r="F84" s="127" t="s">
        <v>218</v>
      </c>
      <c r="G84" s="127"/>
      <c r="H84" s="127" t="s">
        <v>219</v>
      </c>
      <c r="I84" s="127"/>
      <c r="J84" s="127">
        <v>3</v>
      </c>
      <c r="K84" s="127">
        <f>16*J84</f>
        <v>48</v>
      </c>
      <c r="L84" s="127">
        <f>32*J84</f>
        <v>96</v>
      </c>
      <c r="M84" s="127">
        <f>SUM(K84:L84)</f>
        <v>144</v>
      </c>
      <c r="N84" s="129" t="s">
        <v>331</v>
      </c>
      <c r="O84" s="129" t="s">
        <v>232</v>
      </c>
      <c r="P84" s="129" t="s">
        <v>233</v>
      </c>
      <c r="Q84" s="129" t="s">
        <v>223</v>
      </c>
      <c r="R84" s="108"/>
      <c r="S84" s="104"/>
    </row>
    <row r="85" spans="1:19" s="105" customFormat="1" ht="36" x14ac:dyDescent="0.5">
      <c r="A85" s="105" t="str">
        <f>_xlfn.XLOOKUP(B85,'Paso 3 Redacción RA'!I$3:I$12,'Paso 3 Redacción RA'!C$3:C$12,,0,1)</f>
        <v>SaberHacer</v>
      </c>
      <c r="B85" s="54" t="s">
        <v>96</v>
      </c>
      <c r="C85" s="128"/>
      <c r="D85" s="128"/>
      <c r="E85" s="130"/>
      <c r="F85" s="128"/>
      <c r="G85" s="128"/>
      <c r="H85" s="128"/>
      <c r="I85" s="128"/>
      <c r="J85" s="128"/>
      <c r="K85" s="128"/>
      <c r="L85" s="128"/>
      <c r="M85" s="128"/>
      <c r="N85" s="130"/>
      <c r="O85" s="130"/>
      <c r="P85" s="130"/>
      <c r="Q85" s="130"/>
      <c r="R85" s="108"/>
      <c r="S85" s="104"/>
    </row>
    <row r="86" spans="1:19" s="105" customFormat="1" ht="36" x14ac:dyDescent="0.5">
      <c r="A86" s="105" t="str">
        <f>_xlfn.XLOOKUP(B86,'Paso 3 Redacción RA'!I$3:I$12,'Paso 3 Redacción RA'!C$3:C$12,,0,1)</f>
        <v>SaberSer</v>
      </c>
      <c r="B86" s="54" t="s">
        <v>92</v>
      </c>
      <c r="C86" s="128"/>
      <c r="D86" s="128"/>
      <c r="E86" s="130"/>
      <c r="F86" s="128"/>
      <c r="G86" s="128"/>
      <c r="H86" s="128"/>
      <c r="I86" s="128"/>
      <c r="J86" s="128"/>
      <c r="K86" s="128"/>
      <c r="L86" s="128"/>
      <c r="M86" s="128"/>
      <c r="N86" s="130"/>
      <c r="O86" s="130"/>
      <c r="P86" s="130"/>
      <c r="Q86" s="130"/>
      <c r="R86" s="108"/>
      <c r="S86" s="104"/>
    </row>
    <row r="87" spans="1:19" s="105" customFormat="1" ht="54.6" thickBot="1" x14ac:dyDescent="0.55000000000000004">
      <c r="A87" s="105" t="str">
        <f>_xlfn.XLOOKUP(B87,'Paso 3 Redacción RA'!I$3:I$12,'Paso 3 Redacción RA'!C$3:C$12,,0,1)</f>
        <v>Saber</v>
      </c>
      <c r="B87" s="54" t="s">
        <v>85</v>
      </c>
      <c r="C87" s="128"/>
      <c r="D87" s="128"/>
      <c r="E87" s="130"/>
      <c r="F87" s="128"/>
      <c r="G87" s="128"/>
      <c r="H87" s="128"/>
      <c r="I87" s="128"/>
      <c r="J87" s="128"/>
      <c r="K87" s="128"/>
      <c r="L87" s="128"/>
      <c r="M87" s="128"/>
      <c r="N87" s="130"/>
      <c r="O87" s="130"/>
      <c r="P87" s="130"/>
      <c r="Q87" s="130"/>
      <c r="R87" s="108"/>
      <c r="S87" s="104"/>
    </row>
    <row r="88" spans="1:19" s="105" customFormat="1" ht="54" x14ac:dyDescent="0.5">
      <c r="A88" s="107" t="str">
        <f>_xlfn.XLOOKUP(B88,'Paso 3 Redacción RA'!I$3:I$12,'Paso 3 Redacción RA'!C$3:C$12,,0,1)</f>
        <v>Saber</v>
      </c>
      <c r="B88" s="80" t="s">
        <v>85</v>
      </c>
      <c r="C88" s="127">
        <v>6</v>
      </c>
      <c r="D88" s="127" t="s">
        <v>332</v>
      </c>
      <c r="E88" s="129" t="s">
        <v>333</v>
      </c>
      <c r="F88" s="127" t="s">
        <v>218</v>
      </c>
      <c r="G88" s="127"/>
      <c r="H88" s="127" t="s">
        <v>219</v>
      </c>
      <c r="I88" s="127"/>
      <c r="J88" s="127">
        <v>3</v>
      </c>
      <c r="K88" s="127">
        <f>16*J88</f>
        <v>48</v>
      </c>
      <c r="L88" s="127">
        <f>32*J88</f>
        <v>96</v>
      </c>
      <c r="M88" s="127">
        <f>SUM(K88:L88)</f>
        <v>144</v>
      </c>
      <c r="N88" s="129" t="s">
        <v>334</v>
      </c>
      <c r="O88" s="129" t="s">
        <v>232</v>
      </c>
      <c r="P88" s="129" t="s">
        <v>233</v>
      </c>
      <c r="Q88" s="129" t="s">
        <v>223</v>
      </c>
      <c r="R88" s="108"/>
      <c r="S88" s="104"/>
    </row>
    <row r="89" spans="1:19" s="105" customFormat="1" ht="54" x14ac:dyDescent="0.5">
      <c r="A89" s="105" t="str">
        <f>_xlfn.XLOOKUP(B89,'Paso 3 Redacción RA'!I$3:I$12,'Paso 3 Redacción RA'!C$3:C$12,,0,1)</f>
        <v>SaberHacer</v>
      </c>
      <c r="B89" s="54" t="s">
        <v>88</v>
      </c>
      <c r="C89" s="128"/>
      <c r="D89" s="128"/>
      <c r="E89" s="130"/>
      <c r="F89" s="128"/>
      <c r="G89" s="128"/>
      <c r="H89" s="128"/>
      <c r="I89" s="128"/>
      <c r="J89" s="128"/>
      <c r="K89" s="128"/>
      <c r="L89" s="128"/>
      <c r="M89" s="128"/>
      <c r="N89" s="130"/>
      <c r="O89" s="130"/>
      <c r="P89" s="130"/>
      <c r="Q89" s="130"/>
      <c r="R89" s="108"/>
      <c r="S89" s="104"/>
    </row>
    <row r="90" spans="1:19" s="105" customFormat="1" ht="36.6" thickBot="1" x14ac:dyDescent="0.55000000000000004">
      <c r="A90" s="105" t="str">
        <f>_xlfn.XLOOKUP(B90,'Paso 3 Redacción RA'!I$3:I$12,'Paso 3 Redacción RA'!C$3:C$12,,0,1)</f>
        <v>SaberSer</v>
      </c>
      <c r="B90" s="54" t="s">
        <v>92</v>
      </c>
      <c r="C90" s="128"/>
      <c r="D90" s="128"/>
      <c r="E90" s="130"/>
      <c r="F90" s="128"/>
      <c r="G90" s="128"/>
      <c r="H90" s="128"/>
      <c r="I90" s="128"/>
      <c r="J90" s="128"/>
      <c r="K90" s="128"/>
      <c r="L90" s="128"/>
      <c r="M90" s="128"/>
      <c r="N90" s="130"/>
      <c r="O90" s="130"/>
      <c r="P90" s="130"/>
      <c r="Q90" s="130"/>
      <c r="R90" s="108"/>
      <c r="S90" s="104"/>
    </row>
    <row r="91" spans="1:19" s="105" customFormat="1" ht="54" x14ac:dyDescent="0.5">
      <c r="A91" s="107" t="str">
        <f>_xlfn.XLOOKUP(B91,'Paso 3 Redacción RA'!I$3:I$12,'Paso 3 Redacción RA'!C$3:C$12,,0,1)</f>
        <v>Saber</v>
      </c>
      <c r="B91" s="80" t="s">
        <v>85</v>
      </c>
      <c r="C91" s="127">
        <v>6</v>
      </c>
      <c r="D91" s="127" t="s">
        <v>335</v>
      </c>
      <c r="E91" s="129" t="s">
        <v>336</v>
      </c>
      <c r="F91" s="127" t="s">
        <v>218</v>
      </c>
      <c r="G91" s="127"/>
      <c r="H91" s="127" t="s">
        <v>219</v>
      </c>
      <c r="I91" s="127"/>
      <c r="J91" s="127">
        <v>3</v>
      </c>
      <c r="K91" s="127">
        <f>16*J91</f>
        <v>48</v>
      </c>
      <c r="L91" s="127">
        <f>32*J91</f>
        <v>96</v>
      </c>
      <c r="M91" s="127">
        <f>SUM(K91:L91)</f>
        <v>144</v>
      </c>
      <c r="N91" s="129" t="s">
        <v>337</v>
      </c>
      <c r="O91" s="129" t="s">
        <v>232</v>
      </c>
      <c r="P91" s="129" t="s">
        <v>233</v>
      </c>
      <c r="Q91" s="129" t="s">
        <v>223</v>
      </c>
      <c r="R91" s="108"/>
      <c r="S91" s="104"/>
    </row>
    <row r="92" spans="1:19" s="105" customFormat="1" ht="54" x14ac:dyDescent="0.5">
      <c r="A92" s="105" t="str">
        <f>_xlfn.XLOOKUP(B92,'Paso 3 Redacción RA'!I$3:I$12,'Paso 3 Redacción RA'!C$3:C$12,,0,1)</f>
        <v>SaberHacer</v>
      </c>
      <c r="B92" s="54" t="s">
        <v>88</v>
      </c>
      <c r="C92" s="128"/>
      <c r="D92" s="128"/>
      <c r="E92" s="130"/>
      <c r="F92" s="128"/>
      <c r="G92" s="128"/>
      <c r="H92" s="128"/>
      <c r="I92" s="128"/>
      <c r="J92" s="128"/>
      <c r="K92" s="128"/>
      <c r="L92" s="128"/>
      <c r="M92" s="128"/>
      <c r="N92" s="130"/>
      <c r="O92" s="130"/>
      <c r="P92" s="130"/>
      <c r="Q92" s="130"/>
      <c r="R92" s="108"/>
      <c r="S92" s="104"/>
    </row>
    <row r="93" spans="1:19" s="105" customFormat="1" ht="54" x14ac:dyDescent="0.5">
      <c r="A93" s="105" t="str">
        <f>_xlfn.XLOOKUP(B93,'Paso 3 Redacción RA'!I$3:I$12,'Paso 3 Redacción RA'!C$3:C$12,,0,1)</f>
        <v>Saber</v>
      </c>
      <c r="B93" s="54" t="s">
        <v>95</v>
      </c>
      <c r="C93" s="128"/>
      <c r="D93" s="128"/>
      <c r="E93" s="130"/>
      <c r="F93" s="128"/>
      <c r="G93" s="128"/>
      <c r="H93" s="128"/>
      <c r="I93" s="128"/>
      <c r="J93" s="128"/>
      <c r="K93" s="128"/>
      <c r="L93" s="128"/>
      <c r="M93" s="128"/>
      <c r="N93" s="130"/>
      <c r="O93" s="130"/>
      <c r="P93" s="130"/>
      <c r="Q93" s="130"/>
      <c r="R93" s="108"/>
      <c r="S93" s="104"/>
    </row>
    <row r="94" spans="1:19" s="105" customFormat="1" ht="36" x14ac:dyDescent="0.5">
      <c r="A94" s="105" t="str">
        <f>_xlfn.XLOOKUP(B94,'Paso 3 Redacción RA'!I$3:I$12,'Paso 3 Redacción RA'!C$3:C$12,,0,1)</f>
        <v>SaberHacer</v>
      </c>
      <c r="B94" s="54" t="s">
        <v>96</v>
      </c>
      <c r="C94" s="128"/>
      <c r="D94" s="128"/>
      <c r="E94" s="130"/>
      <c r="F94" s="128"/>
      <c r="G94" s="128"/>
      <c r="H94" s="128"/>
      <c r="I94" s="128"/>
      <c r="J94" s="128"/>
      <c r="K94" s="128"/>
      <c r="L94" s="128"/>
      <c r="M94" s="128"/>
      <c r="N94" s="130"/>
      <c r="O94" s="130"/>
      <c r="P94" s="130"/>
      <c r="Q94" s="130"/>
      <c r="R94" s="108"/>
      <c r="S94" s="104"/>
    </row>
    <row r="95" spans="1:19" s="105" customFormat="1" ht="36.6" thickBot="1" x14ac:dyDescent="0.55000000000000004">
      <c r="A95" s="105" t="str">
        <f>_xlfn.XLOOKUP(B95,'Paso 3 Redacción RA'!I$3:I$12,'Paso 3 Redacción RA'!C$3:C$12,,0,1)</f>
        <v>SaberSer</v>
      </c>
      <c r="B95" s="54" t="s">
        <v>92</v>
      </c>
      <c r="C95" s="128"/>
      <c r="D95" s="128"/>
      <c r="E95" s="130"/>
      <c r="F95" s="128"/>
      <c r="G95" s="128"/>
      <c r="H95" s="128"/>
      <c r="I95" s="128"/>
      <c r="J95" s="128"/>
      <c r="K95" s="128"/>
      <c r="L95" s="128"/>
      <c r="M95" s="128"/>
      <c r="N95" s="130"/>
      <c r="O95" s="130"/>
      <c r="P95" s="130"/>
      <c r="Q95" s="130"/>
      <c r="R95" s="108"/>
      <c r="S95" s="104"/>
    </row>
    <row r="96" spans="1:19" s="105" customFormat="1" ht="54" x14ac:dyDescent="0.5">
      <c r="A96" s="107" t="str">
        <f>_xlfn.XLOOKUP(B96,'Paso 3 Redacción RA'!I$3:I$12,'Paso 3 Redacción RA'!C$3:C$12,,0,1)</f>
        <v>Saber</v>
      </c>
      <c r="B96" s="80" t="s">
        <v>85</v>
      </c>
      <c r="C96" s="127">
        <v>6</v>
      </c>
      <c r="D96" s="127" t="s">
        <v>338</v>
      </c>
      <c r="E96" s="129" t="s">
        <v>339</v>
      </c>
      <c r="F96" s="127" t="s">
        <v>218</v>
      </c>
      <c r="G96" s="127"/>
      <c r="H96" s="127" t="s">
        <v>219</v>
      </c>
      <c r="I96" s="127"/>
      <c r="J96" s="127">
        <v>3</v>
      </c>
      <c r="K96" s="127">
        <f>16*J96</f>
        <v>48</v>
      </c>
      <c r="L96" s="127">
        <f>32*J96</f>
        <v>96</v>
      </c>
      <c r="M96" s="127">
        <f>SUM(K96:L96)</f>
        <v>144</v>
      </c>
      <c r="N96" s="129" t="s">
        <v>340</v>
      </c>
      <c r="O96" s="129" t="s">
        <v>232</v>
      </c>
      <c r="P96" s="129" t="s">
        <v>233</v>
      </c>
      <c r="Q96" s="129" t="s">
        <v>223</v>
      </c>
      <c r="R96" s="108"/>
      <c r="S96" s="104"/>
    </row>
    <row r="97" spans="1:19" s="105" customFormat="1" ht="54" x14ac:dyDescent="0.5">
      <c r="A97" s="105" t="str">
        <f>_xlfn.XLOOKUP(B97,'Paso 3 Redacción RA'!I$3:I$12,'Paso 3 Redacción RA'!C$3:C$12,,0,1)</f>
        <v>SaberHacer</v>
      </c>
      <c r="B97" s="54" t="s">
        <v>88</v>
      </c>
      <c r="C97" s="128"/>
      <c r="D97" s="128"/>
      <c r="E97" s="130"/>
      <c r="F97" s="128"/>
      <c r="G97" s="128"/>
      <c r="H97" s="128"/>
      <c r="I97" s="128"/>
      <c r="J97" s="128"/>
      <c r="K97" s="128"/>
      <c r="L97" s="128"/>
      <c r="M97" s="128"/>
      <c r="N97" s="130"/>
      <c r="O97" s="130"/>
      <c r="P97" s="130"/>
      <c r="Q97" s="130"/>
      <c r="R97" s="108"/>
      <c r="S97" s="104"/>
    </row>
    <row r="98" spans="1:19" s="105" customFormat="1" ht="54" x14ac:dyDescent="0.5">
      <c r="A98" s="105" t="str">
        <f>_xlfn.XLOOKUP(B98,'Paso 3 Redacción RA'!I$3:I$12,'Paso 3 Redacción RA'!C$3:C$12,,0,1)</f>
        <v>Saber</v>
      </c>
      <c r="B98" s="54" t="s">
        <v>95</v>
      </c>
      <c r="C98" s="128"/>
      <c r="D98" s="128"/>
      <c r="E98" s="130"/>
      <c r="F98" s="128"/>
      <c r="G98" s="128"/>
      <c r="H98" s="128"/>
      <c r="I98" s="128"/>
      <c r="J98" s="128"/>
      <c r="K98" s="128"/>
      <c r="L98" s="128"/>
      <c r="M98" s="128"/>
      <c r="N98" s="130"/>
      <c r="O98" s="130"/>
      <c r="P98" s="130"/>
      <c r="Q98" s="130"/>
      <c r="R98" s="108"/>
      <c r="S98" s="104"/>
    </row>
    <row r="99" spans="1:19" s="105" customFormat="1" ht="36" x14ac:dyDescent="0.5">
      <c r="A99" s="105" t="str">
        <f>_xlfn.XLOOKUP(B99,'Paso 3 Redacción RA'!I$3:I$12,'Paso 3 Redacción RA'!C$3:C$12,,0,1)</f>
        <v>SaberHacer</v>
      </c>
      <c r="B99" s="54" t="s">
        <v>96</v>
      </c>
      <c r="C99" s="128"/>
      <c r="D99" s="128"/>
      <c r="E99" s="130"/>
      <c r="F99" s="128"/>
      <c r="G99" s="128"/>
      <c r="H99" s="128"/>
      <c r="I99" s="128"/>
      <c r="J99" s="128"/>
      <c r="K99" s="128"/>
      <c r="L99" s="128"/>
      <c r="M99" s="128"/>
      <c r="N99" s="130"/>
      <c r="O99" s="130"/>
      <c r="P99" s="130"/>
      <c r="Q99" s="130"/>
      <c r="R99" s="108"/>
      <c r="S99" s="104"/>
    </row>
    <row r="100" spans="1:19" s="105" customFormat="1" ht="36.6" thickBot="1" x14ac:dyDescent="0.55000000000000004">
      <c r="A100" s="106" t="str">
        <f>_xlfn.XLOOKUP(B100,'Paso 3 Redacción RA'!I$3:I$12,'Paso 3 Redacción RA'!C$3:C$12,,0,1)</f>
        <v>SaberSer</v>
      </c>
      <c r="B100" s="79" t="s">
        <v>92</v>
      </c>
      <c r="C100" s="131"/>
      <c r="D100" s="131"/>
      <c r="E100" s="132"/>
      <c r="F100" s="131"/>
      <c r="G100" s="131"/>
      <c r="H100" s="131"/>
      <c r="I100" s="131"/>
      <c r="J100" s="131"/>
      <c r="K100" s="131"/>
      <c r="L100" s="131"/>
      <c r="M100" s="131"/>
      <c r="N100" s="132"/>
      <c r="O100" s="132"/>
      <c r="P100" s="132"/>
      <c r="Q100" s="132"/>
      <c r="R100" s="108"/>
      <c r="S100" s="104"/>
    </row>
    <row r="101" spans="1:19" s="105" customFormat="1" ht="54" x14ac:dyDescent="0.5">
      <c r="A101" s="107" t="str">
        <f>_xlfn.XLOOKUP(B101,'Paso 3 Redacción RA'!I$3:I$12,'Paso 3 Redacción RA'!C$3:C$12,,0,1)</f>
        <v>Saber</v>
      </c>
      <c r="B101" s="80" t="s">
        <v>95</v>
      </c>
      <c r="C101" s="127">
        <v>6</v>
      </c>
      <c r="D101" s="127" t="s">
        <v>341</v>
      </c>
      <c r="E101" s="129" t="s">
        <v>342</v>
      </c>
      <c r="F101" s="127" t="s">
        <v>218</v>
      </c>
      <c r="G101" s="127"/>
      <c r="H101" s="127" t="s">
        <v>219</v>
      </c>
      <c r="I101" s="127"/>
      <c r="J101" s="127">
        <v>3</v>
      </c>
      <c r="K101" s="127">
        <f>16*J101</f>
        <v>48</v>
      </c>
      <c r="L101" s="127">
        <f>32*J101</f>
        <v>96</v>
      </c>
      <c r="M101" s="127">
        <f>SUM(K101:L101)</f>
        <v>144</v>
      </c>
      <c r="N101" s="129" t="s">
        <v>343</v>
      </c>
      <c r="O101" s="129" t="s">
        <v>232</v>
      </c>
      <c r="P101" s="129" t="s">
        <v>233</v>
      </c>
      <c r="Q101" s="129" t="s">
        <v>223</v>
      </c>
      <c r="R101" s="108"/>
      <c r="S101" s="104"/>
    </row>
    <row r="102" spans="1:19" s="105" customFormat="1" ht="36" x14ac:dyDescent="0.5">
      <c r="A102" s="105" t="str">
        <f>_xlfn.XLOOKUP(B102,'Paso 3 Redacción RA'!I$3:I$12,'Paso 3 Redacción RA'!C$3:C$12,,0,1)</f>
        <v>SaberHacer</v>
      </c>
      <c r="B102" s="54" t="s">
        <v>96</v>
      </c>
      <c r="C102" s="128"/>
      <c r="D102" s="128"/>
      <c r="E102" s="130"/>
      <c r="F102" s="128"/>
      <c r="G102" s="128"/>
      <c r="H102" s="128"/>
      <c r="I102" s="128"/>
      <c r="J102" s="128"/>
      <c r="K102" s="128"/>
      <c r="L102" s="128"/>
      <c r="M102" s="128"/>
      <c r="N102" s="130"/>
      <c r="O102" s="130"/>
      <c r="P102" s="130"/>
      <c r="Q102" s="130"/>
      <c r="R102" s="108"/>
      <c r="S102" s="104"/>
    </row>
    <row r="103" spans="1:19" s="105" customFormat="1" ht="36.6" thickBot="1" x14ac:dyDescent="0.55000000000000004">
      <c r="A103" s="106" t="str">
        <f>_xlfn.XLOOKUP(B103,'Paso 3 Redacción RA'!I$3:I$12,'Paso 3 Redacción RA'!C$3:C$12,,0,1)</f>
        <v>SaberSer</v>
      </c>
      <c r="B103" s="79" t="s">
        <v>92</v>
      </c>
      <c r="C103" s="131"/>
      <c r="D103" s="131"/>
      <c r="E103" s="132"/>
      <c r="F103" s="131"/>
      <c r="G103" s="131"/>
      <c r="H103" s="131"/>
      <c r="I103" s="131"/>
      <c r="J103" s="131"/>
      <c r="K103" s="131"/>
      <c r="L103" s="131"/>
      <c r="M103" s="131"/>
      <c r="N103" s="132"/>
      <c r="O103" s="132"/>
      <c r="P103" s="132"/>
      <c r="Q103" s="132"/>
      <c r="R103" s="108">
        <f>SUM(J81:J103)</f>
        <v>18</v>
      </c>
      <c r="S103" s="104">
        <f>COUNTA(D81:D103)</f>
        <v>6</v>
      </c>
    </row>
    <row r="104" spans="1:19" s="114" customFormat="1" ht="33.6" x14ac:dyDescent="0.45">
      <c r="A104" s="110"/>
      <c r="B104" s="111"/>
      <c r="C104" s="121" t="s">
        <v>344</v>
      </c>
      <c r="D104" s="96">
        <f>COUNTA(D3:D103)</f>
        <v>34</v>
      </c>
      <c r="E104" s="111"/>
      <c r="F104" s="112"/>
      <c r="G104" s="112"/>
      <c r="H104" s="112"/>
      <c r="I104" s="122" t="s">
        <v>345</v>
      </c>
      <c r="J104" s="123">
        <f>SUM(J3:J103)</f>
        <v>100</v>
      </c>
      <c r="K104" s="84"/>
      <c r="L104" s="84"/>
      <c r="M104" s="112"/>
      <c r="N104" s="111"/>
      <c r="O104" s="111"/>
      <c r="P104" s="111"/>
      <c r="Q104" s="111"/>
      <c r="R104" s="126">
        <f>SUM(R3:R103)</f>
        <v>100</v>
      </c>
      <c r="S104" s="113">
        <f>SUM(S3:S103)</f>
        <v>34</v>
      </c>
    </row>
    <row r="105" spans="1:19" s="114" customFormat="1" ht="50.4" x14ac:dyDescent="0.45">
      <c r="A105" s="110"/>
      <c r="B105" s="111"/>
      <c r="C105" s="112"/>
      <c r="D105" s="112"/>
      <c r="E105" s="111"/>
      <c r="F105" s="112"/>
      <c r="G105" s="112"/>
      <c r="H105" s="112"/>
      <c r="I105" s="118" t="s">
        <v>346</v>
      </c>
      <c r="J105" s="115">
        <f>SUMIF(G3:G103,"X",J3:J103)</f>
        <v>18</v>
      </c>
      <c r="K105" s="84"/>
      <c r="L105" s="112"/>
      <c r="M105" s="112"/>
      <c r="N105" s="111"/>
      <c r="O105" s="111"/>
      <c r="P105" s="111"/>
      <c r="Q105" s="111"/>
      <c r="R105" s="126"/>
      <c r="S105" s="113"/>
    </row>
    <row r="106" spans="1:19" s="114" customFormat="1" ht="50.4" x14ac:dyDescent="0.45">
      <c r="A106" s="116"/>
      <c r="B106" s="111"/>
      <c r="C106" s="112"/>
      <c r="D106" s="112"/>
      <c r="E106" s="111"/>
      <c r="F106" s="112"/>
      <c r="G106" s="112"/>
      <c r="H106" s="112"/>
      <c r="I106" s="118" t="s">
        <v>347</v>
      </c>
      <c r="J106" s="115">
        <f>SUMIF(H3:H103,"X",J3:J103)</f>
        <v>82</v>
      </c>
      <c r="K106" s="84"/>
      <c r="L106" s="112"/>
      <c r="M106" s="112"/>
      <c r="N106" s="111"/>
      <c r="O106" s="111"/>
      <c r="P106" s="111"/>
      <c r="Q106" s="111"/>
      <c r="R106" s="126"/>
      <c r="S106" s="113"/>
    </row>
    <row r="107" spans="1:19" s="114" customFormat="1" ht="33.6" x14ac:dyDescent="0.45">
      <c r="A107" s="116"/>
      <c r="B107" s="111"/>
      <c r="C107" s="112"/>
      <c r="D107" s="112"/>
      <c r="F107" s="112"/>
      <c r="G107" s="112"/>
      <c r="H107" s="112"/>
      <c r="I107" s="118" t="s">
        <v>348</v>
      </c>
      <c r="J107" s="115">
        <f>SUMIF(I3:I103,"X",J3:J103)</f>
        <v>0</v>
      </c>
      <c r="K107" s="84"/>
      <c r="L107" s="112"/>
      <c r="M107" s="112"/>
      <c r="N107" s="111"/>
      <c r="O107" s="111"/>
      <c r="P107" s="111"/>
      <c r="Q107" s="111"/>
      <c r="R107" s="126"/>
      <c r="S107" s="113"/>
    </row>
    <row r="108" spans="1:19" s="102" customFormat="1" x14ac:dyDescent="0.5">
      <c r="A108" s="88"/>
      <c r="B108" s="54"/>
      <c r="C108" s="98"/>
      <c r="D108" s="98"/>
      <c r="E108" s="54"/>
      <c r="F108" s="98"/>
      <c r="G108" s="98"/>
      <c r="H108" s="98"/>
      <c r="I108" s="98"/>
      <c r="J108" s="98"/>
      <c r="K108" s="98"/>
      <c r="L108" s="98"/>
      <c r="M108" s="98"/>
      <c r="N108" s="54"/>
      <c r="O108" s="54"/>
      <c r="P108" s="54"/>
      <c r="Q108" s="54"/>
      <c r="R108" s="108"/>
      <c r="S108" s="117"/>
    </row>
    <row r="109" spans="1:19" s="102" customFormat="1" x14ac:dyDescent="0.5">
      <c r="A109" s="88"/>
      <c r="B109" s="54"/>
      <c r="C109" s="98"/>
      <c r="D109" s="98"/>
      <c r="E109" s="54"/>
      <c r="F109" s="98"/>
      <c r="G109" s="98"/>
      <c r="H109" s="98"/>
      <c r="I109" s="98"/>
      <c r="J109" s="98"/>
      <c r="K109" s="98"/>
      <c r="L109" s="98"/>
      <c r="M109" s="98"/>
      <c r="N109" s="54"/>
      <c r="O109" s="54"/>
      <c r="P109" s="54"/>
      <c r="Q109" s="54"/>
      <c r="R109" s="108"/>
      <c r="S109" s="117"/>
    </row>
    <row r="110" spans="1:19" s="102" customFormat="1" x14ac:dyDescent="0.5">
      <c r="A110" s="88"/>
      <c r="B110" s="54"/>
      <c r="C110" s="98"/>
      <c r="D110" s="98"/>
      <c r="E110" s="54"/>
      <c r="F110" s="98"/>
      <c r="G110" s="98"/>
      <c r="H110" s="98"/>
      <c r="I110" s="98"/>
      <c r="J110" s="98"/>
      <c r="K110" s="98"/>
      <c r="L110" s="98"/>
      <c r="M110" s="98"/>
      <c r="N110" s="54"/>
      <c r="O110" s="54"/>
      <c r="P110" s="54"/>
      <c r="Q110" s="54"/>
      <c r="R110" s="108"/>
      <c r="S110" s="117"/>
    </row>
    <row r="111" spans="1:19" s="102" customFormat="1" x14ac:dyDescent="0.5">
      <c r="A111" s="88"/>
      <c r="B111" s="54"/>
      <c r="C111" s="98"/>
      <c r="D111" s="98"/>
      <c r="E111" s="54"/>
      <c r="F111" s="98"/>
      <c r="G111" s="98"/>
      <c r="H111" s="98"/>
      <c r="I111" s="98"/>
      <c r="J111" s="98"/>
      <c r="K111" s="98"/>
      <c r="L111" s="98"/>
      <c r="M111" s="98"/>
      <c r="N111" s="54"/>
      <c r="O111" s="54"/>
      <c r="P111" s="54"/>
      <c r="Q111" s="54"/>
      <c r="R111" s="108"/>
      <c r="S111" s="117"/>
    </row>
    <row r="112" spans="1:19" s="102" customFormat="1" x14ac:dyDescent="0.5">
      <c r="A112" s="88"/>
      <c r="B112" s="54"/>
      <c r="C112" s="98"/>
      <c r="D112" s="98"/>
      <c r="E112" s="54"/>
      <c r="F112" s="98"/>
      <c r="G112" s="98"/>
      <c r="H112" s="98"/>
      <c r="I112" s="98"/>
      <c r="J112" s="98"/>
      <c r="K112" s="98"/>
      <c r="L112" s="98"/>
      <c r="M112" s="98"/>
      <c r="N112" s="54"/>
      <c r="O112" s="54"/>
      <c r="P112" s="54"/>
      <c r="Q112" s="54"/>
      <c r="R112" s="108"/>
      <c r="S112" s="117"/>
    </row>
    <row r="113" spans="1:19" s="102" customFormat="1" x14ac:dyDescent="0.5">
      <c r="A113" s="88"/>
      <c r="B113" s="54"/>
      <c r="C113" s="98"/>
      <c r="D113" s="98"/>
      <c r="E113" s="54"/>
      <c r="F113" s="98"/>
      <c r="G113" s="98"/>
      <c r="H113" s="98"/>
      <c r="I113" s="98"/>
      <c r="J113" s="98"/>
      <c r="K113" s="98"/>
      <c r="L113" s="98"/>
      <c r="M113" s="98"/>
      <c r="N113" s="54"/>
      <c r="O113" s="54"/>
      <c r="P113" s="54"/>
      <c r="Q113" s="54"/>
      <c r="R113" s="108"/>
      <c r="S113" s="117"/>
    </row>
    <row r="114" spans="1:19" s="102" customFormat="1" x14ac:dyDescent="0.5">
      <c r="A114" s="88"/>
      <c r="B114" s="54"/>
      <c r="C114" s="98"/>
      <c r="D114" s="98"/>
      <c r="E114" s="54"/>
      <c r="F114" s="98"/>
      <c r="G114" s="98"/>
      <c r="H114" s="98"/>
      <c r="I114" s="98"/>
      <c r="J114" s="98"/>
      <c r="K114" s="98"/>
      <c r="L114" s="98"/>
      <c r="M114" s="98"/>
      <c r="N114" s="54"/>
      <c r="O114" s="54"/>
      <c r="P114" s="54"/>
      <c r="Q114" s="54"/>
      <c r="R114" s="108"/>
      <c r="S114" s="117"/>
    </row>
    <row r="115" spans="1:19" s="102" customFormat="1" x14ac:dyDescent="0.5">
      <c r="A115" s="88"/>
      <c r="B115" s="54"/>
      <c r="D115" s="98"/>
      <c r="E115" s="54"/>
      <c r="N115" s="54"/>
      <c r="O115" s="54"/>
      <c r="P115" s="54"/>
      <c r="Q115" s="54"/>
      <c r="R115" s="108"/>
      <c r="S115" s="117"/>
    </row>
    <row r="116" spans="1:19" x14ac:dyDescent="0.5">
      <c r="E116" s="83"/>
    </row>
  </sheetData>
  <mergeCells count="421">
    <mergeCell ref="C38:C40"/>
    <mergeCell ref="D38:D40"/>
    <mergeCell ref="E38:E40"/>
    <mergeCell ref="F38:F40"/>
    <mergeCell ref="Q38:Q40"/>
    <mergeCell ref="P38:P40"/>
    <mergeCell ref="O38:O40"/>
    <mergeCell ref="N38:N40"/>
    <mergeCell ref="M38:M40"/>
    <mergeCell ref="L38:L40"/>
    <mergeCell ref="K38:K40"/>
    <mergeCell ref="J38:J40"/>
    <mergeCell ref="I38:I40"/>
    <mergeCell ref="H38:H40"/>
    <mergeCell ref="G38:G40"/>
    <mergeCell ref="I73:I76"/>
    <mergeCell ref="J73:J76"/>
    <mergeCell ref="K73:K76"/>
    <mergeCell ref="L73:L76"/>
    <mergeCell ref="Q69:Q72"/>
    <mergeCell ref="H69:H72"/>
    <mergeCell ref="M63:M65"/>
    <mergeCell ref="N63:N65"/>
    <mergeCell ref="O63:O65"/>
    <mergeCell ref="P63:P65"/>
    <mergeCell ref="M69:M72"/>
    <mergeCell ref="P69:P72"/>
    <mergeCell ref="Q66:Q68"/>
    <mergeCell ref="Q63:Q65"/>
    <mergeCell ref="H63:H65"/>
    <mergeCell ref="I63:I65"/>
    <mergeCell ref="J63:J65"/>
    <mergeCell ref="K63:K65"/>
    <mergeCell ref="L63:L65"/>
    <mergeCell ref="M66:M68"/>
    <mergeCell ref="N66:N68"/>
    <mergeCell ref="O66:O68"/>
    <mergeCell ref="P66:P68"/>
    <mergeCell ref="N69:N72"/>
    <mergeCell ref="Q44:Q47"/>
    <mergeCell ref="H42:H43"/>
    <mergeCell ref="Q58:Q60"/>
    <mergeCell ref="H58:H60"/>
    <mergeCell ref="I58:I60"/>
    <mergeCell ref="J58:J60"/>
    <mergeCell ref="K58:K60"/>
    <mergeCell ref="O44:O47"/>
    <mergeCell ref="L48:L52"/>
    <mergeCell ref="M48:M52"/>
    <mergeCell ref="N48:N52"/>
    <mergeCell ref="O48:O52"/>
    <mergeCell ref="P48:P52"/>
    <mergeCell ref="L58:L60"/>
    <mergeCell ref="M53:M57"/>
    <mergeCell ref="N53:N57"/>
    <mergeCell ref="O53:O57"/>
    <mergeCell ref="P53:P57"/>
    <mergeCell ref="M58:M60"/>
    <mergeCell ref="N58:N60"/>
    <mergeCell ref="O58:O60"/>
    <mergeCell ref="P58:P60"/>
    <mergeCell ref="G1:I1"/>
    <mergeCell ref="P11:P13"/>
    <mergeCell ref="P5:P7"/>
    <mergeCell ref="M24:M26"/>
    <mergeCell ref="H24:H26"/>
    <mergeCell ref="M18:M19"/>
    <mergeCell ref="N18:N19"/>
    <mergeCell ref="O18:O19"/>
    <mergeCell ref="P18:P19"/>
    <mergeCell ref="P20:P23"/>
    <mergeCell ref="N11:N13"/>
    <mergeCell ref="O11:O13"/>
    <mergeCell ref="J15:J17"/>
    <mergeCell ref="I15:I17"/>
    <mergeCell ref="H15:H17"/>
    <mergeCell ref="M8:M10"/>
    <mergeCell ref="N8:N10"/>
    <mergeCell ref="O8:O10"/>
    <mergeCell ref="I20:I23"/>
    <mergeCell ref="J20:J23"/>
    <mergeCell ref="K20:K23"/>
    <mergeCell ref="L20:L23"/>
    <mergeCell ref="M20:M23"/>
    <mergeCell ref="N20:N23"/>
    <mergeCell ref="Q5:Q7"/>
    <mergeCell ref="H5:H7"/>
    <mergeCell ref="I5:I7"/>
    <mergeCell ref="J5:J7"/>
    <mergeCell ref="K5:K7"/>
    <mergeCell ref="L5:L7"/>
    <mergeCell ref="P8:P10"/>
    <mergeCell ref="Q8:Q10"/>
    <mergeCell ref="Q11:Q13"/>
    <mergeCell ref="H11:H13"/>
    <mergeCell ref="I11:I13"/>
    <mergeCell ref="J11:J13"/>
    <mergeCell ref="K11:K13"/>
    <mergeCell ref="L11:L13"/>
    <mergeCell ref="M11:M13"/>
    <mergeCell ref="M5:M7"/>
    <mergeCell ref="N5:N7"/>
    <mergeCell ref="O5:O7"/>
    <mergeCell ref="H8:H10"/>
    <mergeCell ref="I8:I10"/>
    <mergeCell ref="J8:J10"/>
    <mergeCell ref="K8:K10"/>
    <mergeCell ref="L8:L10"/>
    <mergeCell ref="C5:C7"/>
    <mergeCell ref="E5:E7"/>
    <mergeCell ref="F5:F7"/>
    <mergeCell ref="G5:G7"/>
    <mergeCell ref="C8:C10"/>
    <mergeCell ref="G8:G10"/>
    <mergeCell ref="F18:F19"/>
    <mergeCell ref="G18:G19"/>
    <mergeCell ref="D8:D10"/>
    <mergeCell ref="D5:D7"/>
    <mergeCell ref="E8:E10"/>
    <mergeCell ref="F8:F10"/>
    <mergeCell ref="C18:C19"/>
    <mergeCell ref="D18:D19"/>
    <mergeCell ref="E18:E19"/>
    <mergeCell ref="E11:E13"/>
    <mergeCell ref="F11:F13"/>
    <mergeCell ref="G11:G13"/>
    <mergeCell ref="C11:C13"/>
    <mergeCell ref="D11:D13"/>
    <mergeCell ref="C15:C17"/>
    <mergeCell ref="D15:D17"/>
    <mergeCell ref="E15:E17"/>
    <mergeCell ref="F15:F17"/>
    <mergeCell ref="D24:D26"/>
    <mergeCell ref="E24:E26"/>
    <mergeCell ref="F24:F26"/>
    <mergeCell ref="G24:G26"/>
    <mergeCell ref="C24:C26"/>
    <mergeCell ref="G20:G23"/>
    <mergeCell ref="C20:C23"/>
    <mergeCell ref="D20:D23"/>
    <mergeCell ref="E20:E23"/>
    <mergeCell ref="F20:F23"/>
    <mergeCell ref="Q18:Q19"/>
    <mergeCell ref="N24:N26"/>
    <mergeCell ref="O24:O26"/>
    <mergeCell ref="P24:P26"/>
    <mergeCell ref="Q24:Q26"/>
    <mergeCell ref="H18:H19"/>
    <mergeCell ref="I18:I19"/>
    <mergeCell ref="J18:J19"/>
    <mergeCell ref="K18:K19"/>
    <mergeCell ref="L18:L19"/>
    <mergeCell ref="I24:I26"/>
    <mergeCell ref="J24:J26"/>
    <mergeCell ref="K24:K26"/>
    <mergeCell ref="L24:L26"/>
    <mergeCell ref="Q20:Q23"/>
    <mergeCell ref="H20:H23"/>
    <mergeCell ref="J29:J30"/>
    <mergeCell ref="K29:K30"/>
    <mergeCell ref="L29:L30"/>
    <mergeCell ref="M29:M30"/>
    <mergeCell ref="N29:N30"/>
    <mergeCell ref="O29:O30"/>
    <mergeCell ref="P29:P30"/>
    <mergeCell ref="G35:G37"/>
    <mergeCell ref="O20:O23"/>
    <mergeCell ref="L35:L37"/>
    <mergeCell ref="M35:M37"/>
    <mergeCell ref="N35:N37"/>
    <mergeCell ref="O35:O37"/>
    <mergeCell ref="P35:P37"/>
    <mergeCell ref="J31:J34"/>
    <mergeCell ref="J35:J37"/>
    <mergeCell ref="K35:K37"/>
    <mergeCell ref="E29:E30"/>
    <mergeCell ref="H35:H37"/>
    <mergeCell ref="I35:I37"/>
    <mergeCell ref="Q35:Q37"/>
    <mergeCell ref="L44:L47"/>
    <mergeCell ref="M44:M47"/>
    <mergeCell ref="I44:I47"/>
    <mergeCell ref="J44:J47"/>
    <mergeCell ref="K44:K47"/>
    <mergeCell ref="P44:P47"/>
    <mergeCell ref="Q42:Q43"/>
    <mergeCell ref="I42:I43"/>
    <mergeCell ref="J42:J43"/>
    <mergeCell ref="K42:K43"/>
    <mergeCell ref="L42:L43"/>
    <mergeCell ref="M42:M43"/>
    <mergeCell ref="N42:N43"/>
    <mergeCell ref="O42:O43"/>
    <mergeCell ref="P42:P43"/>
    <mergeCell ref="K31:K34"/>
    <mergeCell ref="P31:P34"/>
    <mergeCell ref="H29:H30"/>
    <mergeCell ref="I29:I30"/>
    <mergeCell ref="N44:N47"/>
    <mergeCell ref="Q31:Q34"/>
    <mergeCell ref="L31:L34"/>
    <mergeCell ref="M31:M34"/>
    <mergeCell ref="N31:N34"/>
    <mergeCell ref="O31:O34"/>
    <mergeCell ref="Q29:Q30"/>
    <mergeCell ref="C42:C43"/>
    <mergeCell ref="D42:D43"/>
    <mergeCell ref="E42:E43"/>
    <mergeCell ref="F42:F43"/>
    <mergeCell ref="G42:G43"/>
    <mergeCell ref="C31:C34"/>
    <mergeCell ref="D31:D34"/>
    <mergeCell ref="E31:E34"/>
    <mergeCell ref="F31:F34"/>
    <mergeCell ref="G31:G34"/>
    <mergeCell ref="H31:H34"/>
    <mergeCell ref="I31:I34"/>
    <mergeCell ref="C35:C37"/>
    <mergeCell ref="D35:D37"/>
    <mergeCell ref="E35:E37"/>
    <mergeCell ref="F35:F37"/>
    <mergeCell ref="F29:F30"/>
    <mergeCell ref="G29:G30"/>
    <mergeCell ref="C29:C30"/>
    <mergeCell ref="D29:D30"/>
    <mergeCell ref="C44:C47"/>
    <mergeCell ref="D44:D47"/>
    <mergeCell ref="E44:E47"/>
    <mergeCell ref="F44:F47"/>
    <mergeCell ref="G44:G47"/>
    <mergeCell ref="H44:H47"/>
    <mergeCell ref="Q53:Q57"/>
    <mergeCell ref="H53:H57"/>
    <mergeCell ref="I53:I57"/>
    <mergeCell ref="J53:J57"/>
    <mergeCell ref="K53:K57"/>
    <mergeCell ref="L53:L57"/>
    <mergeCell ref="C53:C57"/>
    <mergeCell ref="D53:D57"/>
    <mergeCell ref="E53:E57"/>
    <mergeCell ref="F53:F57"/>
    <mergeCell ref="G53:G57"/>
    <mergeCell ref="Q48:Q52"/>
    <mergeCell ref="H48:H52"/>
    <mergeCell ref="I48:I52"/>
    <mergeCell ref="J48:J52"/>
    <mergeCell ref="K48:K52"/>
    <mergeCell ref="C88:C90"/>
    <mergeCell ref="D88:D90"/>
    <mergeCell ref="C84:C87"/>
    <mergeCell ref="D84:D87"/>
    <mergeCell ref="E84:E87"/>
    <mergeCell ref="F84:F87"/>
    <mergeCell ref="G84:G87"/>
    <mergeCell ref="E63:E65"/>
    <mergeCell ref="F63:F65"/>
    <mergeCell ref="C81:C83"/>
    <mergeCell ref="D81:D83"/>
    <mergeCell ref="E81:E83"/>
    <mergeCell ref="F81:F83"/>
    <mergeCell ref="G81:G83"/>
    <mergeCell ref="C77:C80"/>
    <mergeCell ref="D77:D80"/>
    <mergeCell ref="E77:E80"/>
    <mergeCell ref="C69:C72"/>
    <mergeCell ref="D69:D72"/>
    <mergeCell ref="E69:E72"/>
    <mergeCell ref="F69:F72"/>
    <mergeCell ref="G69:G72"/>
    <mergeCell ref="E88:E90"/>
    <mergeCell ref="F88:F90"/>
    <mergeCell ref="G88:G90"/>
    <mergeCell ref="F73:F76"/>
    <mergeCell ref="G73:G76"/>
    <mergeCell ref="E73:E76"/>
    <mergeCell ref="Q88:Q90"/>
    <mergeCell ref="H88:H90"/>
    <mergeCell ref="I88:I90"/>
    <mergeCell ref="J88:J90"/>
    <mergeCell ref="K88:K90"/>
    <mergeCell ref="L88:L90"/>
    <mergeCell ref="M88:M90"/>
    <mergeCell ref="N88:N90"/>
    <mergeCell ref="O88:O90"/>
    <mergeCell ref="P88:P90"/>
    <mergeCell ref="F77:F80"/>
    <mergeCell ref="G77:G80"/>
    <mergeCell ref="N77:N80"/>
    <mergeCell ref="O77:O80"/>
    <mergeCell ref="P77:P80"/>
    <mergeCell ref="M73:M76"/>
    <mergeCell ref="N73:N76"/>
    <mergeCell ref="O73:O76"/>
    <mergeCell ref="P73:P76"/>
    <mergeCell ref="Q73:Q76"/>
    <mergeCell ref="O69:O72"/>
    <mergeCell ref="G63:G65"/>
    <mergeCell ref="I69:I72"/>
    <mergeCell ref="J69:J72"/>
    <mergeCell ref="K69:K72"/>
    <mergeCell ref="L69:L72"/>
    <mergeCell ref="Q61:Q62"/>
    <mergeCell ref="H61:H62"/>
    <mergeCell ref="I61:I62"/>
    <mergeCell ref="J61:J62"/>
    <mergeCell ref="K61:K62"/>
    <mergeCell ref="L61:L62"/>
    <mergeCell ref="M61:M62"/>
    <mergeCell ref="N61:N62"/>
    <mergeCell ref="O61:O62"/>
    <mergeCell ref="P61:P62"/>
    <mergeCell ref="C58:C60"/>
    <mergeCell ref="D58:D60"/>
    <mergeCell ref="E58:E60"/>
    <mergeCell ref="F58:F60"/>
    <mergeCell ref="G58:G60"/>
    <mergeCell ref="C48:C52"/>
    <mergeCell ref="D48:D52"/>
    <mergeCell ref="E48:E52"/>
    <mergeCell ref="F48:F52"/>
    <mergeCell ref="G48:G52"/>
    <mergeCell ref="C61:C62"/>
    <mergeCell ref="D61:D62"/>
    <mergeCell ref="E61:E62"/>
    <mergeCell ref="F61:F62"/>
    <mergeCell ref="G61:G62"/>
    <mergeCell ref="I66:I68"/>
    <mergeCell ref="J66:J68"/>
    <mergeCell ref="K66:K68"/>
    <mergeCell ref="L66:L68"/>
    <mergeCell ref="H66:H68"/>
    <mergeCell ref="C66:C68"/>
    <mergeCell ref="D66:D68"/>
    <mergeCell ref="E66:E68"/>
    <mergeCell ref="F66:F68"/>
    <mergeCell ref="G66:G68"/>
    <mergeCell ref="C63:C65"/>
    <mergeCell ref="D63:D65"/>
    <mergeCell ref="C73:C76"/>
    <mergeCell ref="D73:D76"/>
    <mergeCell ref="Q84:Q87"/>
    <mergeCell ref="H84:H87"/>
    <mergeCell ref="I84:I87"/>
    <mergeCell ref="J84:J87"/>
    <mergeCell ref="K84:K87"/>
    <mergeCell ref="L84:L87"/>
    <mergeCell ref="Q81:Q83"/>
    <mergeCell ref="H81:H83"/>
    <mergeCell ref="I81:I83"/>
    <mergeCell ref="J81:J83"/>
    <mergeCell ref="K81:K83"/>
    <mergeCell ref="L81:L83"/>
    <mergeCell ref="M81:M83"/>
    <mergeCell ref="N81:N83"/>
    <mergeCell ref="O81:O83"/>
    <mergeCell ref="P81:P83"/>
    <mergeCell ref="M84:M87"/>
    <mergeCell ref="N84:N87"/>
    <mergeCell ref="O84:O87"/>
    <mergeCell ref="P84:P87"/>
    <mergeCell ref="Q77:Q80"/>
    <mergeCell ref="H73:H76"/>
    <mergeCell ref="Q101:Q103"/>
    <mergeCell ref="H101:H103"/>
    <mergeCell ref="I101:I103"/>
    <mergeCell ref="J101:J103"/>
    <mergeCell ref="K101:K103"/>
    <mergeCell ref="L101:L103"/>
    <mergeCell ref="M101:M103"/>
    <mergeCell ref="N101:N103"/>
    <mergeCell ref="O101:O103"/>
    <mergeCell ref="P101:P103"/>
    <mergeCell ref="N96:N100"/>
    <mergeCell ref="O96:O100"/>
    <mergeCell ref="P96:P100"/>
    <mergeCell ref="Q96:Q100"/>
    <mergeCell ref="H96:H100"/>
    <mergeCell ref="I96:I100"/>
    <mergeCell ref="J96:J100"/>
    <mergeCell ref="K96:K100"/>
    <mergeCell ref="L96:L100"/>
    <mergeCell ref="M96:M100"/>
    <mergeCell ref="E101:E103"/>
    <mergeCell ref="F101:F103"/>
    <mergeCell ref="G101:G103"/>
    <mergeCell ref="C91:C95"/>
    <mergeCell ref="D91:D95"/>
    <mergeCell ref="E91:E95"/>
    <mergeCell ref="F91:F95"/>
    <mergeCell ref="G91:G95"/>
    <mergeCell ref="C96:C100"/>
    <mergeCell ref="D96:D100"/>
    <mergeCell ref="E96:E100"/>
    <mergeCell ref="F96:F100"/>
    <mergeCell ref="G96:G100"/>
    <mergeCell ref="C101:C103"/>
    <mergeCell ref="D101:D103"/>
    <mergeCell ref="G15:G17"/>
    <mergeCell ref="Q15:Q17"/>
    <mergeCell ref="P15:P17"/>
    <mergeCell ref="O15:O17"/>
    <mergeCell ref="N15:N17"/>
    <mergeCell ref="M15:M17"/>
    <mergeCell ref="L15:L17"/>
    <mergeCell ref="K15:K17"/>
    <mergeCell ref="M91:M95"/>
    <mergeCell ref="N91:N95"/>
    <mergeCell ref="O91:O95"/>
    <mergeCell ref="P91:P95"/>
    <mergeCell ref="Q91:Q95"/>
    <mergeCell ref="H91:H95"/>
    <mergeCell ref="I91:I95"/>
    <mergeCell ref="J91:J95"/>
    <mergeCell ref="K91:K95"/>
    <mergeCell ref="L91:L95"/>
    <mergeCell ref="H77:H80"/>
    <mergeCell ref="I77:I80"/>
    <mergeCell ref="J77:J80"/>
    <mergeCell ref="K77:K80"/>
    <mergeCell ref="L77:L80"/>
    <mergeCell ref="M77:M80"/>
  </mergeCells>
  <dataValidations count="1">
    <dataValidation type="list" allowBlank="1" showInputMessage="1" showErrorMessage="1" sqref="E11:E13" xr:uid="{0B61168A-C40C-4B9E-BA44-A5BAADC80F6D}">
      <formula1>resultadoaprendizaje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FB58D49-D1C0-4270-ACFB-03A7341BCCED}">
          <x14:formula1>
            <xm:f>'Paso 3 Redacción RA'!$I$3:$I$12</xm:f>
          </x14:formula1>
          <xm:sqref>B3:B107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F0260-EDC1-4342-B86F-EF528A8E771B}">
  <dimension ref="B1:B43"/>
  <sheetViews>
    <sheetView topLeftCell="A6" workbookViewId="0">
      <selection activeCell="H34" sqref="H34"/>
    </sheetView>
  </sheetViews>
  <sheetFormatPr baseColWidth="10" defaultColWidth="9.21875" defaultRowHeight="14.4" x14ac:dyDescent="0.3"/>
  <cols>
    <col min="2" max="2" width="29.21875" customWidth="1"/>
  </cols>
  <sheetData>
    <row r="1" spans="2:2" ht="18" x14ac:dyDescent="0.5">
      <c r="B1" s="1" t="s">
        <v>349</v>
      </c>
    </row>
    <row r="2" spans="2:2" ht="18" x14ac:dyDescent="0.5">
      <c r="B2" s="1" t="s">
        <v>350</v>
      </c>
    </row>
    <row r="3" spans="2:2" ht="18" x14ac:dyDescent="0.5">
      <c r="B3" s="1" t="s">
        <v>351</v>
      </c>
    </row>
    <row r="4" spans="2:2" ht="18" x14ac:dyDescent="0.5">
      <c r="B4" s="1" t="s">
        <v>60</v>
      </c>
    </row>
    <row r="5" spans="2:2" ht="18" x14ac:dyDescent="0.5">
      <c r="B5" s="1" t="s">
        <v>53</v>
      </c>
    </row>
    <row r="6" spans="2:2" ht="18" x14ac:dyDescent="0.5">
      <c r="B6" s="1" t="s">
        <v>352</v>
      </c>
    </row>
    <row r="7" spans="2:2" ht="18" x14ac:dyDescent="0.5">
      <c r="B7" s="1" t="s">
        <v>353</v>
      </c>
    </row>
    <row r="8" spans="2:2" ht="18" x14ac:dyDescent="0.5">
      <c r="B8" s="1" t="s">
        <v>354</v>
      </c>
    </row>
    <row r="9" spans="2:2" ht="18" x14ac:dyDescent="0.5">
      <c r="B9" s="1" t="s">
        <v>355</v>
      </c>
    </row>
    <row r="10" spans="2:2" ht="18" x14ac:dyDescent="0.5">
      <c r="B10" s="1" t="s">
        <v>356</v>
      </c>
    </row>
    <row r="11" spans="2:2" ht="18" x14ac:dyDescent="0.5">
      <c r="B11" s="1" t="s">
        <v>357</v>
      </c>
    </row>
    <row r="12" spans="2:2" ht="18" x14ac:dyDescent="0.5">
      <c r="B12" s="1" t="s">
        <v>358</v>
      </c>
    </row>
    <row r="13" spans="2:2" ht="18" x14ac:dyDescent="0.5">
      <c r="B13" s="1" t="s">
        <v>359</v>
      </c>
    </row>
    <row r="14" spans="2:2" ht="18" x14ac:dyDescent="0.5">
      <c r="B14" s="1" t="s">
        <v>360</v>
      </c>
    </row>
    <row r="15" spans="2:2" ht="18" x14ac:dyDescent="0.5">
      <c r="B15" s="1" t="s">
        <v>361</v>
      </c>
    </row>
    <row r="16" spans="2:2" ht="18" x14ac:dyDescent="0.5">
      <c r="B16" s="1" t="s">
        <v>362</v>
      </c>
    </row>
    <row r="17" spans="2:2" ht="18" x14ac:dyDescent="0.5">
      <c r="B17" s="1" t="s">
        <v>363</v>
      </c>
    </row>
    <row r="18" spans="2:2" ht="18" x14ac:dyDescent="0.5">
      <c r="B18" s="1" t="s">
        <v>364</v>
      </c>
    </row>
    <row r="19" spans="2:2" ht="18" x14ac:dyDescent="0.5">
      <c r="B19" s="1" t="s">
        <v>91</v>
      </c>
    </row>
    <row r="20" spans="2:2" ht="18" x14ac:dyDescent="0.5">
      <c r="B20" s="1" t="s">
        <v>365</v>
      </c>
    </row>
    <row r="21" spans="2:2" ht="18" x14ac:dyDescent="0.5">
      <c r="B21" s="1" t="s">
        <v>366</v>
      </c>
    </row>
    <row r="22" spans="2:2" ht="18" x14ac:dyDescent="0.5">
      <c r="B22" s="1" t="s">
        <v>367</v>
      </c>
    </row>
    <row r="23" spans="2:2" ht="18" x14ac:dyDescent="0.5">
      <c r="B23" s="1" t="s">
        <v>368</v>
      </c>
    </row>
    <row r="24" spans="2:2" ht="18" x14ac:dyDescent="0.5">
      <c r="B24" s="1" t="s">
        <v>369</v>
      </c>
    </row>
    <row r="25" spans="2:2" ht="18" x14ac:dyDescent="0.5">
      <c r="B25" s="1" t="s">
        <v>370</v>
      </c>
    </row>
    <row r="26" spans="2:2" ht="18" x14ac:dyDescent="0.5">
      <c r="B26" s="1" t="s">
        <v>56</v>
      </c>
    </row>
    <row r="27" spans="2:2" ht="18" x14ac:dyDescent="0.5">
      <c r="B27" s="1" t="s">
        <v>371</v>
      </c>
    </row>
    <row r="28" spans="2:2" ht="18" x14ac:dyDescent="0.5">
      <c r="B28" s="1" t="s">
        <v>372</v>
      </c>
    </row>
    <row r="29" spans="2:2" ht="18" x14ac:dyDescent="0.5">
      <c r="B29" s="1" t="s">
        <v>373</v>
      </c>
    </row>
    <row r="30" spans="2:2" ht="18" x14ac:dyDescent="0.5">
      <c r="B30" s="1" t="s">
        <v>374</v>
      </c>
    </row>
    <row r="31" spans="2:2" ht="18" x14ac:dyDescent="0.5">
      <c r="B31" s="1" t="s">
        <v>375</v>
      </c>
    </row>
    <row r="32" spans="2:2" ht="18" x14ac:dyDescent="0.5">
      <c r="B32" s="1" t="s">
        <v>376</v>
      </c>
    </row>
    <row r="33" spans="2:2" ht="18" x14ac:dyDescent="0.5">
      <c r="B33" s="1" t="s">
        <v>377</v>
      </c>
    </row>
    <row r="34" spans="2:2" ht="18" x14ac:dyDescent="0.5">
      <c r="B34" s="1" t="s">
        <v>378</v>
      </c>
    </row>
    <row r="35" spans="2:2" ht="18" x14ac:dyDescent="0.5">
      <c r="B35" s="1" t="s">
        <v>379</v>
      </c>
    </row>
    <row r="36" spans="2:2" ht="18" x14ac:dyDescent="0.5">
      <c r="B36" s="1" t="s">
        <v>380</v>
      </c>
    </row>
    <row r="37" spans="2:2" ht="18" x14ac:dyDescent="0.5">
      <c r="B37" s="1" t="s">
        <v>381</v>
      </c>
    </row>
    <row r="38" spans="2:2" ht="18" x14ac:dyDescent="0.5">
      <c r="B38" s="1" t="s">
        <v>382</v>
      </c>
    </row>
    <row r="39" spans="2:2" ht="18" x14ac:dyDescent="0.5">
      <c r="B39" s="1" t="s">
        <v>383</v>
      </c>
    </row>
    <row r="40" spans="2:2" ht="18" x14ac:dyDescent="0.5">
      <c r="B40" s="1" t="s">
        <v>384</v>
      </c>
    </row>
    <row r="41" spans="2:2" ht="18" x14ac:dyDescent="0.5">
      <c r="B41" s="1" t="s">
        <v>385</v>
      </c>
    </row>
    <row r="42" spans="2:2" ht="18" x14ac:dyDescent="0.5">
      <c r="B42" s="1" t="s">
        <v>58</v>
      </c>
    </row>
    <row r="43" spans="2:2" ht="18" x14ac:dyDescent="0.5">
      <c r="B43" s="1"/>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5D89-8C61-400E-A937-B3D914084581}">
  <dimension ref="A1:BC108"/>
  <sheetViews>
    <sheetView zoomScale="80" zoomScaleNormal="80" workbookViewId="0">
      <selection activeCell="L18" sqref="L18"/>
    </sheetView>
  </sheetViews>
  <sheetFormatPr baseColWidth="10" defaultColWidth="9.21875" defaultRowHeight="18" x14ac:dyDescent="0.5"/>
  <cols>
    <col min="1" max="1" width="20.44140625" style="11" customWidth="1"/>
    <col min="2" max="2" width="14.44140625" style="11" customWidth="1"/>
    <col min="3" max="3" width="22.21875" style="11" customWidth="1"/>
    <col min="4" max="4" width="21.5546875" style="11" customWidth="1"/>
    <col min="5" max="5" width="20.77734375" style="11" customWidth="1"/>
    <col min="6" max="6" width="16.77734375" style="11" customWidth="1"/>
    <col min="7" max="7" width="21.77734375" style="11" customWidth="1"/>
    <col min="8" max="8" width="26.21875" style="11" customWidth="1"/>
    <col min="9" max="9" width="25.21875" style="11" customWidth="1"/>
    <col min="10" max="10" width="24.44140625" style="11" customWidth="1"/>
    <col min="11" max="11" width="15.21875" style="11" customWidth="1"/>
    <col min="12" max="17" width="17.77734375" style="11" customWidth="1"/>
    <col min="18" max="18" width="22.5546875" style="11" customWidth="1"/>
    <col min="19" max="19" width="15.5546875" style="11" customWidth="1"/>
    <col min="20" max="20" width="14.77734375" style="11" customWidth="1"/>
    <col min="21" max="25" width="13.21875" style="11" customWidth="1"/>
    <col min="26" max="26" width="16.5546875" style="11" customWidth="1"/>
    <col min="27" max="27" width="13.21875" style="11" customWidth="1"/>
    <col min="28" max="28" width="16" style="11" customWidth="1"/>
    <col min="29" max="29" width="19.5546875" style="11" customWidth="1"/>
    <col min="30" max="30" width="21.77734375" style="11" bestFit="1" customWidth="1"/>
    <col min="31" max="31" width="13.21875" style="11" customWidth="1"/>
    <col min="32" max="32" width="13.77734375" style="11" customWidth="1"/>
    <col min="33" max="33" width="30.77734375" style="11" customWidth="1"/>
    <col min="34" max="36" width="13.21875" style="11" customWidth="1"/>
    <col min="37" max="37" width="14.5546875" style="11" customWidth="1"/>
    <col min="38" max="43" width="16.77734375" style="11" customWidth="1"/>
    <col min="44" max="45" width="13.21875" style="11" customWidth="1"/>
    <col min="46" max="46" width="23.77734375" style="11" customWidth="1"/>
    <col min="47" max="47" width="22.5546875" style="11" customWidth="1"/>
    <col min="48" max="48" width="24.21875" style="11" customWidth="1"/>
    <col min="49" max="49" width="27.77734375" style="11" customWidth="1"/>
    <col min="50" max="50" width="24.77734375" style="11" customWidth="1"/>
    <col min="51" max="51" width="22.5546875" style="11" customWidth="1"/>
    <col min="52" max="55" width="13.21875" style="11" customWidth="1"/>
    <col min="56" max="16384" width="9.21875" style="11"/>
  </cols>
  <sheetData>
    <row r="1" spans="1:55" ht="18.600000000000001" thickBot="1" x14ac:dyDescent="0.55000000000000004">
      <c r="A1" s="1"/>
      <c r="B1" s="1"/>
      <c r="C1" s="1"/>
      <c r="D1" s="1"/>
      <c r="E1" s="1"/>
      <c r="F1" s="1"/>
      <c r="G1" s="1"/>
      <c r="H1" s="1"/>
      <c r="I1" s="1"/>
      <c r="J1" s="1"/>
      <c r="K1" s="1"/>
      <c r="L1" s="1"/>
      <c r="M1" s="1"/>
      <c r="N1" s="1"/>
      <c r="O1" s="1"/>
      <c r="P1" s="1"/>
      <c r="Q1" s="1"/>
      <c r="R1" s="1"/>
      <c r="S1" s="148" t="s">
        <v>386</v>
      </c>
      <c r="T1" s="148"/>
      <c r="U1" s="148"/>
      <c r="V1" s="148"/>
      <c r="W1" s="148"/>
      <c r="X1" s="148"/>
      <c r="Y1" s="148"/>
      <c r="Z1" s="148"/>
      <c r="AA1" s="148"/>
      <c r="AB1" s="148"/>
      <c r="AC1" s="148"/>
      <c r="AD1" s="148"/>
      <c r="AE1" s="148"/>
      <c r="AF1" s="148"/>
      <c r="AG1" s="148"/>
      <c r="AH1" s="13"/>
      <c r="AI1" s="13"/>
      <c r="AJ1" s="13"/>
      <c r="AK1" s="1"/>
      <c r="AL1" s="148" t="s">
        <v>387</v>
      </c>
      <c r="AM1" s="148"/>
      <c r="AN1" s="148"/>
      <c r="AO1" s="148"/>
      <c r="AP1" s="148"/>
      <c r="AQ1" s="148"/>
      <c r="AR1" s="13"/>
      <c r="AS1" s="13"/>
      <c r="AT1" s="148" t="s">
        <v>388</v>
      </c>
      <c r="AU1" s="148"/>
      <c r="AV1" s="148"/>
      <c r="AW1" s="148"/>
      <c r="AX1" s="148"/>
      <c r="AY1" s="148"/>
      <c r="AZ1" s="13"/>
      <c r="BA1" s="1"/>
      <c r="BB1" s="1"/>
      <c r="BC1" s="13"/>
    </row>
    <row r="2" spans="1:55" x14ac:dyDescent="0.5">
      <c r="A2" s="1"/>
      <c r="B2" s="1"/>
      <c r="C2" s="1"/>
      <c r="D2" s="1"/>
      <c r="E2" s="1"/>
      <c r="F2" s="1"/>
      <c r="G2" s="1"/>
      <c r="H2" s="1"/>
      <c r="I2" s="1"/>
      <c r="J2" s="1"/>
      <c r="K2" s="1"/>
      <c r="L2" s="148" t="s">
        <v>389</v>
      </c>
      <c r="M2" s="148"/>
      <c r="N2" s="148"/>
      <c r="O2" s="148"/>
      <c r="P2" s="148"/>
      <c r="Q2" s="148"/>
      <c r="R2" s="1"/>
      <c r="S2" s="149" t="s">
        <v>390</v>
      </c>
      <c r="T2" s="150"/>
      <c r="U2" s="150"/>
      <c r="V2" s="150"/>
      <c r="W2" s="150"/>
      <c r="X2" s="151"/>
      <c r="Y2" s="149" t="s">
        <v>391</v>
      </c>
      <c r="Z2" s="150"/>
      <c r="AA2" s="150"/>
      <c r="AB2" s="151"/>
      <c r="AC2" s="149" t="s">
        <v>392</v>
      </c>
      <c r="AD2" s="150"/>
      <c r="AE2" s="150"/>
      <c r="AF2" s="150"/>
      <c r="AG2" s="152"/>
      <c r="AH2" s="13"/>
      <c r="AI2" s="13"/>
      <c r="AJ2" s="13"/>
      <c r="AK2" s="1"/>
      <c r="AL2" s="153"/>
      <c r="AM2" s="153"/>
      <c r="AN2" s="153"/>
      <c r="AO2" s="153"/>
      <c r="AP2" s="153"/>
      <c r="AQ2" s="153"/>
      <c r="AR2" s="13"/>
      <c r="AS2" s="13"/>
      <c r="AT2" s="13"/>
      <c r="AU2" s="13"/>
      <c r="AV2" s="13"/>
      <c r="AW2" s="13"/>
      <c r="AX2" s="13"/>
      <c r="AY2" s="13"/>
      <c r="AZ2" s="13"/>
      <c r="BA2" s="1"/>
      <c r="BB2" s="1"/>
      <c r="BC2" s="13"/>
    </row>
    <row r="3" spans="1:55" x14ac:dyDescent="0.5">
      <c r="A3" s="1" t="s">
        <v>393</v>
      </c>
      <c r="B3" s="1"/>
      <c r="C3" s="1" t="s">
        <v>103</v>
      </c>
      <c r="D3" s="1" t="s">
        <v>394</v>
      </c>
      <c r="E3" s="1" t="s">
        <v>395</v>
      </c>
      <c r="F3" s="1"/>
      <c r="G3" s="1" t="s">
        <v>83</v>
      </c>
      <c r="H3" s="1" t="s">
        <v>86</v>
      </c>
      <c r="I3" s="1" t="s">
        <v>89</v>
      </c>
      <c r="J3" s="1"/>
      <c r="K3" s="1"/>
      <c r="L3" s="1" t="s">
        <v>93</v>
      </c>
      <c r="M3" s="1" t="s">
        <v>98</v>
      </c>
      <c r="N3" s="1" t="s">
        <v>87</v>
      </c>
      <c r="O3" s="1" t="s">
        <v>84</v>
      </c>
      <c r="P3" s="1" t="s">
        <v>396</v>
      </c>
      <c r="Q3" s="1" t="s">
        <v>90</v>
      </c>
      <c r="R3" s="1"/>
      <c r="S3" s="61" t="s">
        <v>397</v>
      </c>
      <c r="T3" s="1" t="s">
        <v>105</v>
      </c>
      <c r="U3" s="1" t="s">
        <v>398</v>
      </c>
      <c r="V3" s="1" t="s">
        <v>399</v>
      </c>
      <c r="W3" s="1" t="s">
        <v>400</v>
      </c>
      <c r="X3" s="1" t="s">
        <v>401</v>
      </c>
      <c r="Y3" s="61" t="s">
        <v>402</v>
      </c>
      <c r="Z3" s="1" t="s">
        <v>109</v>
      </c>
      <c r="AA3" s="1" t="s">
        <v>403</v>
      </c>
      <c r="AB3" s="1" t="s">
        <v>404</v>
      </c>
      <c r="AC3" s="61" t="s">
        <v>405</v>
      </c>
      <c r="AD3" s="1" t="s">
        <v>406</v>
      </c>
      <c r="AE3" s="1" t="s">
        <v>113</v>
      </c>
      <c r="AF3" s="1" t="s">
        <v>407</v>
      </c>
      <c r="AG3" s="62" t="s">
        <v>408</v>
      </c>
      <c r="AH3" s="1"/>
      <c r="AI3" s="1"/>
      <c r="AJ3" s="1"/>
      <c r="AK3" s="1"/>
      <c r="AL3" s="154" t="s">
        <v>409</v>
      </c>
      <c r="AM3" s="154"/>
      <c r="AN3" s="154"/>
      <c r="AO3" s="154" t="s">
        <v>410</v>
      </c>
      <c r="AP3" s="154"/>
      <c r="AQ3" s="154"/>
      <c r="AR3" s="14"/>
      <c r="AS3" s="14"/>
      <c r="AT3" s="14"/>
      <c r="AU3" s="14"/>
      <c r="AV3" s="14"/>
      <c r="AW3" s="14"/>
      <c r="AX3" s="14"/>
      <c r="AY3" s="14"/>
      <c r="AZ3" s="14"/>
      <c r="BA3" s="1"/>
      <c r="BB3" s="1"/>
      <c r="BC3" s="14"/>
    </row>
    <row r="4" spans="1:55" x14ac:dyDescent="0.5">
      <c r="A4" s="1" t="s">
        <v>82</v>
      </c>
      <c r="B4" s="1"/>
      <c r="C4" s="1" t="s">
        <v>104</v>
      </c>
      <c r="D4" s="1" t="s">
        <v>411</v>
      </c>
      <c r="E4" s="1" t="s">
        <v>412</v>
      </c>
      <c r="F4" s="1"/>
      <c r="G4" s="1" t="s">
        <v>93</v>
      </c>
      <c r="H4" s="1" t="s">
        <v>93</v>
      </c>
      <c r="I4" s="1" t="s">
        <v>93</v>
      </c>
      <c r="J4" s="1"/>
      <c r="K4" s="1"/>
      <c r="L4" s="1" t="s">
        <v>413</v>
      </c>
      <c r="M4" s="1" t="s">
        <v>354</v>
      </c>
      <c r="N4" s="1" t="s">
        <v>53</v>
      </c>
      <c r="O4" s="1" t="s">
        <v>414</v>
      </c>
      <c r="P4" s="1" t="s">
        <v>415</v>
      </c>
      <c r="Q4" s="1" t="s">
        <v>416</v>
      </c>
      <c r="R4" s="1"/>
      <c r="S4" s="87" t="s">
        <v>413</v>
      </c>
      <c r="T4" s="88" t="s">
        <v>354</v>
      </c>
      <c r="U4" s="88" t="s">
        <v>53</v>
      </c>
      <c r="V4" s="88" t="s">
        <v>414</v>
      </c>
      <c r="W4" s="88" t="s">
        <v>415</v>
      </c>
      <c r="X4" s="88" t="s">
        <v>416</v>
      </c>
      <c r="Y4" s="87" t="s">
        <v>417</v>
      </c>
      <c r="Z4" s="88" t="s">
        <v>418</v>
      </c>
      <c r="AA4" s="88" t="s">
        <v>419</v>
      </c>
      <c r="AB4" s="88" t="s">
        <v>420</v>
      </c>
      <c r="AC4" s="87" t="s">
        <v>421</v>
      </c>
      <c r="AD4" s="88" t="s">
        <v>417</v>
      </c>
      <c r="AE4" s="88" t="s">
        <v>421</v>
      </c>
      <c r="AF4" s="88" t="s">
        <v>422</v>
      </c>
      <c r="AG4" s="62" t="s">
        <v>423</v>
      </c>
      <c r="AH4" s="1"/>
      <c r="AI4" s="1"/>
      <c r="AJ4" s="1"/>
      <c r="AK4" s="1"/>
      <c r="AL4" s="15" t="s">
        <v>424</v>
      </c>
      <c r="AM4" s="15" t="s">
        <v>425</v>
      </c>
      <c r="AN4" s="15" t="s">
        <v>426</v>
      </c>
      <c r="AO4" s="15" t="s">
        <v>427</v>
      </c>
      <c r="AP4" s="16" t="s">
        <v>428</v>
      </c>
      <c r="AQ4" s="15" t="s">
        <v>429</v>
      </c>
      <c r="AR4" s="14"/>
      <c r="AS4" s="14"/>
      <c r="AT4" s="1" t="s">
        <v>430</v>
      </c>
      <c r="AU4" s="1" t="s">
        <v>431</v>
      </c>
      <c r="AV4" s="1" t="s">
        <v>432</v>
      </c>
      <c r="AW4" s="1" t="s">
        <v>433</v>
      </c>
      <c r="AX4" s="1" t="s">
        <v>434</v>
      </c>
      <c r="AY4" s="1" t="s">
        <v>435</v>
      </c>
      <c r="AZ4" s="14"/>
      <c r="BA4" s="1"/>
      <c r="BB4" s="1"/>
      <c r="BC4" s="14"/>
    </row>
    <row r="5" spans="1:55" x14ac:dyDescent="0.5">
      <c r="A5" s="1" t="s">
        <v>103</v>
      </c>
      <c r="B5" s="1"/>
      <c r="C5" s="1" t="s">
        <v>108</v>
      </c>
      <c r="D5" s="1" t="s">
        <v>436</v>
      </c>
      <c r="E5" s="1" t="s">
        <v>437</v>
      </c>
      <c r="F5" s="1"/>
      <c r="G5" s="1" t="s">
        <v>98</v>
      </c>
      <c r="H5" s="1" t="s">
        <v>98</v>
      </c>
      <c r="I5" s="1" t="s">
        <v>98</v>
      </c>
      <c r="J5" s="1"/>
      <c r="K5" s="1"/>
      <c r="L5" s="1" t="s">
        <v>438</v>
      </c>
      <c r="M5" s="1" t="s">
        <v>439</v>
      </c>
      <c r="N5" s="1" t="s">
        <v>440</v>
      </c>
      <c r="O5" s="1" t="s">
        <v>60</v>
      </c>
      <c r="P5" s="1" t="s">
        <v>351</v>
      </c>
      <c r="Q5" s="1" t="s">
        <v>441</v>
      </c>
      <c r="R5" s="1"/>
      <c r="S5" s="87" t="s">
        <v>438</v>
      </c>
      <c r="T5" s="88" t="s">
        <v>439</v>
      </c>
      <c r="U5" s="88" t="s">
        <v>440</v>
      </c>
      <c r="V5" s="88" t="s">
        <v>60</v>
      </c>
      <c r="W5" s="88" t="s">
        <v>351</v>
      </c>
      <c r="X5" s="88" t="s">
        <v>441</v>
      </c>
      <c r="Y5" s="87" t="s">
        <v>415</v>
      </c>
      <c r="Z5" s="88" t="s">
        <v>414</v>
      </c>
      <c r="AA5" s="88" t="s">
        <v>442</v>
      </c>
      <c r="AB5" s="88" t="s">
        <v>443</v>
      </c>
      <c r="AC5" s="87" t="s">
        <v>444</v>
      </c>
      <c r="AD5" s="88" t="s">
        <v>445</v>
      </c>
      <c r="AE5" s="89" t="s">
        <v>446</v>
      </c>
      <c r="AF5" s="88" t="s">
        <v>447</v>
      </c>
      <c r="AG5" s="62" t="s">
        <v>448</v>
      </c>
      <c r="AH5" s="1"/>
      <c r="AI5" s="1"/>
      <c r="AJ5" s="1"/>
      <c r="AK5" s="1"/>
      <c r="AL5" s="17" t="s">
        <v>449</v>
      </c>
      <c r="AM5" s="17" t="s">
        <v>450</v>
      </c>
      <c r="AN5" s="17" t="s">
        <v>442</v>
      </c>
      <c r="AO5" s="17" t="s">
        <v>451</v>
      </c>
      <c r="AP5" s="17" t="s">
        <v>415</v>
      </c>
      <c r="AQ5" s="17" t="s">
        <v>360</v>
      </c>
      <c r="AR5" s="17"/>
      <c r="AS5" s="17"/>
      <c r="AT5" s="18" t="s">
        <v>449</v>
      </c>
      <c r="AU5" s="19" t="s">
        <v>354</v>
      </c>
      <c r="AV5" s="18" t="s">
        <v>451</v>
      </c>
      <c r="AW5" s="18" t="s">
        <v>442</v>
      </c>
      <c r="AX5" s="19" t="s">
        <v>421</v>
      </c>
      <c r="AY5" s="19" t="s">
        <v>421</v>
      </c>
      <c r="AZ5" s="17"/>
      <c r="BA5" s="1"/>
      <c r="BB5" s="1"/>
      <c r="BC5" s="17"/>
    </row>
    <row r="6" spans="1:55" x14ac:dyDescent="0.5">
      <c r="A6" s="1" t="s">
        <v>394</v>
      </c>
      <c r="B6" s="1"/>
      <c r="C6" s="1" t="s">
        <v>112</v>
      </c>
      <c r="D6" s="1" t="s">
        <v>452</v>
      </c>
      <c r="E6" s="1" t="s">
        <v>453</v>
      </c>
      <c r="F6" s="1"/>
      <c r="G6" s="1" t="s">
        <v>87</v>
      </c>
      <c r="H6" s="1" t="s">
        <v>87</v>
      </c>
      <c r="I6" s="1" t="s">
        <v>87</v>
      </c>
      <c r="J6" s="1"/>
      <c r="K6" s="1"/>
      <c r="L6" s="1" t="s">
        <v>454</v>
      </c>
      <c r="M6" s="1" t="s">
        <v>455</v>
      </c>
      <c r="N6" s="1" t="s">
        <v>456</v>
      </c>
      <c r="O6" s="1" t="s">
        <v>457</v>
      </c>
      <c r="P6" s="1" t="s">
        <v>420</v>
      </c>
      <c r="Q6" s="1" t="s">
        <v>458</v>
      </c>
      <c r="R6" s="1"/>
      <c r="S6" s="87" t="s">
        <v>454</v>
      </c>
      <c r="T6" s="88" t="s">
        <v>455</v>
      </c>
      <c r="U6" s="88" t="s">
        <v>456</v>
      </c>
      <c r="V6" s="88" t="s">
        <v>457</v>
      </c>
      <c r="W6" s="88" t="s">
        <v>420</v>
      </c>
      <c r="X6" s="88" t="s">
        <v>458</v>
      </c>
      <c r="Y6" s="87" t="s">
        <v>459</v>
      </c>
      <c r="Z6" s="88" t="s">
        <v>459</v>
      </c>
      <c r="AA6" s="88" t="s">
        <v>415</v>
      </c>
      <c r="AB6" s="88" t="s">
        <v>450</v>
      </c>
      <c r="AC6" s="87" t="s">
        <v>460</v>
      </c>
      <c r="AD6" s="88" t="s">
        <v>449</v>
      </c>
      <c r="AE6" s="88" t="s">
        <v>449</v>
      </c>
      <c r="AF6" s="88" t="s">
        <v>420</v>
      </c>
      <c r="AG6" s="62" t="s">
        <v>461</v>
      </c>
      <c r="AH6" s="1"/>
      <c r="AI6" s="1"/>
      <c r="AJ6" s="1"/>
      <c r="AK6" s="1"/>
      <c r="AL6" s="17" t="s">
        <v>454</v>
      </c>
      <c r="AM6" s="17" t="s">
        <v>462</v>
      </c>
      <c r="AN6" s="17" t="s">
        <v>451</v>
      </c>
      <c r="AO6" s="17" t="s">
        <v>414</v>
      </c>
      <c r="AP6" s="17" t="s">
        <v>463</v>
      </c>
      <c r="AQ6" s="17" t="s">
        <v>464</v>
      </c>
      <c r="AR6" s="17"/>
      <c r="AS6" s="17"/>
      <c r="AT6" s="20" t="s">
        <v>454</v>
      </c>
      <c r="AU6" s="21" t="s">
        <v>439</v>
      </c>
      <c r="AV6" s="19" t="s">
        <v>414</v>
      </c>
      <c r="AW6" s="20" t="s">
        <v>451</v>
      </c>
      <c r="AX6" s="21" t="s">
        <v>422</v>
      </c>
      <c r="AY6" s="19" t="s">
        <v>446</v>
      </c>
      <c r="AZ6" s="17"/>
      <c r="BA6" s="1"/>
      <c r="BB6" s="1"/>
      <c r="BC6" s="17"/>
    </row>
    <row r="7" spans="1:55" x14ac:dyDescent="0.5">
      <c r="A7" s="1" t="s">
        <v>395</v>
      </c>
      <c r="B7" s="1"/>
      <c r="C7" s="1"/>
      <c r="D7" s="1" t="s">
        <v>465</v>
      </c>
      <c r="E7" s="1"/>
      <c r="F7" s="1"/>
      <c r="G7" s="1" t="s">
        <v>84</v>
      </c>
      <c r="H7" s="1" t="s">
        <v>84</v>
      </c>
      <c r="I7" s="1" t="s">
        <v>84</v>
      </c>
      <c r="J7" s="1"/>
      <c r="K7" s="1"/>
      <c r="L7" s="1" t="s">
        <v>466</v>
      </c>
      <c r="M7" s="1" t="s">
        <v>355</v>
      </c>
      <c r="N7" s="1" t="s">
        <v>467</v>
      </c>
      <c r="O7" s="1" t="s">
        <v>468</v>
      </c>
      <c r="P7" s="1" t="s">
        <v>420</v>
      </c>
      <c r="Q7" s="1" t="s">
        <v>469</v>
      </c>
      <c r="R7" s="1"/>
      <c r="S7" s="87" t="s">
        <v>466</v>
      </c>
      <c r="T7" s="88" t="s">
        <v>355</v>
      </c>
      <c r="U7" s="88" t="s">
        <v>467</v>
      </c>
      <c r="V7" s="88" t="s">
        <v>468</v>
      </c>
      <c r="W7" s="88" t="s">
        <v>420</v>
      </c>
      <c r="X7" s="88" t="s">
        <v>469</v>
      </c>
      <c r="Y7" s="87" t="s">
        <v>469</v>
      </c>
      <c r="Z7" s="88" t="s">
        <v>470</v>
      </c>
      <c r="AA7" s="88" t="s">
        <v>459</v>
      </c>
      <c r="AB7" s="88" t="s">
        <v>471</v>
      </c>
      <c r="AC7" s="87" t="s">
        <v>53</v>
      </c>
      <c r="AD7" s="88" t="s">
        <v>472</v>
      </c>
      <c r="AE7" s="88" t="s">
        <v>473</v>
      </c>
      <c r="AF7" s="88" t="s">
        <v>474</v>
      </c>
      <c r="AG7" s="62" t="s">
        <v>475</v>
      </c>
      <c r="AH7" s="1"/>
      <c r="AI7" s="1"/>
      <c r="AJ7" s="1"/>
      <c r="AK7" s="1"/>
      <c r="AL7" s="17" t="s">
        <v>476</v>
      </c>
      <c r="AM7" s="17" t="s">
        <v>477</v>
      </c>
      <c r="AN7" s="17" t="s">
        <v>457</v>
      </c>
      <c r="AO7" s="17" t="s">
        <v>478</v>
      </c>
      <c r="AP7" s="17" t="s">
        <v>461</v>
      </c>
      <c r="AQ7" s="17" t="s">
        <v>479</v>
      </c>
      <c r="AR7" s="17"/>
      <c r="AS7" s="17"/>
      <c r="AT7" s="18" t="s">
        <v>476</v>
      </c>
      <c r="AU7" s="1" t="s">
        <v>450</v>
      </c>
      <c r="AV7" s="21" t="s">
        <v>60</v>
      </c>
      <c r="AW7" s="19" t="s">
        <v>53</v>
      </c>
      <c r="AX7" s="19" t="s">
        <v>446</v>
      </c>
      <c r="AY7" s="19" t="s">
        <v>448</v>
      </c>
      <c r="AZ7" s="17"/>
      <c r="BA7" s="1"/>
      <c r="BB7" s="1"/>
      <c r="BC7" s="17"/>
    </row>
    <row r="8" spans="1:55" x14ac:dyDescent="0.5">
      <c r="A8" s="1"/>
      <c r="B8" s="1"/>
      <c r="C8" s="1"/>
      <c r="D8" s="1"/>
      <c r="E8" s="1"/>
      <c r="F8" s="1"/>
      <c r="G8" s="1" t="s">
        <v>396</v>
      </c>
      <c r="H8" s="1" t="s">
        <v>396</v>
      </c>
      <c r="I8" s="1" t="s">
        <v>396</v>
      </c>
      <c r="J8" s="1"/>
      <c r="K8" s="1"/>
      <c r="L8" s="1" t="s">
        <v>480</v>
      </c>
      <c r="M8" s="1" t="s">
        <v>481</v>
      </c>
      <c r="N8" s="1" t="s">
        <v>356</v>
      </c>
      <c r="O8" s="1" t="s">
        <v>462</v>
      </c>
      <c r="P8" s="1" t="s">
        <v>482</v>
      </c>
      <c r="Q8" s="1" t="s">
        <v>483</v>
      </c>
      <c r="R8" s="1"/>
      <c r="S8" s="87" t="s">
        <v>480</v>
      </c>
      <c r="T8" s="88" t="s">
        <v>481</v>
      </c>
      <c r="U8" s="88" t="s">
        <v>356</v>
      </c>
      <c r="V8" s="88" t="s">
        <v>462</v>
      </c>
      <c r="W8" s="88" t="s">
        <v>482</v>
      </c>
      <c r="X8" s="88" t="s">
        <v>483</v>
      </c>
      <c r="Y8" s="87" t="s">
        <v>60</v>
      </c>
      <c r="Z8" s="88" t="s">
        <v>53</v>
      </c>
      <c r="AA8" s="88" t="s">
        <v>484</v>
      </c>
      <c r="AB8" s="88" t="s">
        <v>485</v>
      </c>
      <c r="AC8" s="87" t="s">
        <v>486</v>
      </c>
      <c r="AD8" s="89" t="s">
        <v>352</v>
      </c>
      <c r="AE8" s="88" t="s">
        <v>487</v>
      </c>
      <c r="AF8" s="88" t="s">
        <v>488</v>
      </c>
      <c r="AG8" s="62" t="s">
        <v>468</v>
      </c>
      <c r="AH8" s="1"/>
      <c r="AI8" s="1"/>
      <c r="AJ8" s="1"/>
      <c r="AK8" s="1"/>
      <c r="AL8" s="17" t="s">
        <v>480</v>
      </c>
      <c r="AM8" s="17" t="s">
        <v>489</v>
      </c>
      <c r="AN8" s="17" t="s">
        <v>468</v>
      </c>
      <c r="AO8" s="17" t="s">
        <v>490</v>
      </c>
      <c r="AP8" s="17" t="s">
        <v>491</v>
      </c>
      <c r="AQ8" s="17" t="s">
        <v>492</v>
      </c>
      <c r="AR8" s="17"/>
      <c r="AS8" s="17"/>
      <c r="AT8" s="20" t="s">
        <v>480</v>
      </c>
      <c r="AU8" s="19" t="s">
        <v>455</v>
      </c>
      <c r="AV8" s="19" t="s">
        <v>53</v>
      </c>
      <c r="AW8" s="18" t="s">
        <v>457</v>
      </c>
      <c r="AX8" s="21" t="s">
        <v>448</v>
      </c>
      <c r="AY8" s="19" t="s">
        <v>473</v>
      </c>
      <c r="AZ8" s="17"/>
      <c r="BA8" s="1"/>
      <c r="BB8" s="1"/>
      <c r="BC8" s="17"/>
    </row>
    <row r="9" spans="1:55" x14ac:dyDescent="0.5">
      <c r="A9" s="1"/>
      <c r="B9" s="1"/>
      <c r="C9" s="1"/>
      <c r="D9" s="1"/>
      <c r="E9" s="1"/>
      <c r="F9" s="1"/>
      <c r="G9" s="1" t="s">
        <v>90</v>
      </c>
      <c r="H9" s="1" t="s">
        <v>90</v>
      </c>
      <c r="I9" s="1" t="s">
        <v>90</v>
      </c>
      <c r="J9" s="1"/>
      <c r="K9" s="1"/>
      <c r="L9" s="1" t="s">
        <v>359</v>
      </c>
      <c r="M9" s="1" t="s">
        <v>493</v>
      </c>
      <c r="N9" s="1" t="s">
        <v>494</v>
      </c>
      <c r="O9" s="1" t="s">
        <v>488</v>
      </c>
      <c r="P9" s="1" t="s">
        <v>495</v>
      </c>
      <c r="Q9" s="1" t="s">
        <v>352</v>
      </c>
      <c r="R9" s="1"/>
      <c r="S9" s="87" t="s">
        <v>359</v>
      </c>
      <c r="T9" s="88" t="s">
        <v>493</v>
      </c>
      <c r="U9" s="89" t="s">
        <v>494</v>
      </c>
      <c r="V9" s="88" t="s">
        <v>488</v>
      </c>
      <c r="W9" s="88" t="s">
        <v>495</v>
      </c>
      <c r="X9" s="88" t="s">
        <v>352</v>
      </c>
      <c r="Y9" s="87" t="s">
        <v>53</v>
      </c>
      <c r="Z9" s="88" t="s">
        <v>420</v>
      </c>
      <c r="AA9" s="88" t="s">
        <v>496</v>
      </c>
      <c r="AB9" s="88" t="s">
        <v>467</v>
      </c>
      <c r="AC9" s="87" t="s">
        <v>486</v>
      </c>
      <c r="AD9" s="88" t="s">
        <v>497</v>
      </c>
      <c r="AE9" s="88" t="s">
        <v>498</v>
      </c>
      <c r="AF9" s="88" t="s">
        <v>499</v>
      </c>
      <c r="AG9" s="62" t="s">
        <v>500</v>
      </c>
      <c r="AH9" s="1"/>
      <c r="AI9" s="1"/>
      <c r="AJ9" s="1"/>
      <c r="AK9" s="1"/>
      <c r="AL9" s="17" t="s">
        <v>359</v>
      </c>
      <c r="AM9" s="17" t="s">
        <v>501</v>
      </c>
      <c r="AN9" s="17" t="s">
        <v>474</v>
      </c>
      <c r="AO9" s="17" t="s">
        <v>468</v>
      </c>
      <c r="AP9" s="17" t="s">
        <v>502</v>
      </c>
      <c r="AQ9" s="17" t="s">
        <v>503</v>
      </c>
      <c r="AR9" s="17"/>
      <c r="AS9" s="17"/>
      <c r="AT9" s="18" t="s">
        <v>359</v>
      </c>
      <c r="AU9" s="20" t="s">
        <v>462</v>
      </c>
      <c r="AV9" s="19" t="s">
        <v>478</v>
      </c>
      <c r="AW9" s="21" t="s">
        <v>440</v>
      </c>
      <c r="AX9" s="21" t="s">
        <v>449</v>
      </c>
      <c r="AY9" s="21" t="s">
        <v>487</v>
      </c>
      <c r="AZ9" s="17"/>
      <c r="BA9" s="1"/>
      <c r="BB9" s="1"/>
      <c r="BC9" s="17"/>
    </row>
    <row r="10" spans="1:55" x14ac:dyDescent="0.5">
      <c r="A10" s="1"/>
      <c r="B10" s="1"/>
      <c r="C10" s="1"/>
      <c r="D10" s="1"/>
      <c r="E10" s="1"/>
      <c r="F10" s="1"/>
      <c r="G10" s="1"/>
      <c r="H10" s="1"/>
      <c r="I10" s="1"/>
      <c r="J10" s="1"/>
      <c r="K10" s="1"/>
      <c r="L10" s="1" t="s">
        <v>504</v>
      </c>
      <c r="M10" s="1" t="s">
        <v>505</v>
      </c>
      <c r="N10" s="1" t="s">
        <v>489</v>
      </c>
      <c r="O10" s="1" t="s">
        <v>477</v>
      </c>
      <c r="P10" s="1" t="s">
        <v>457</v>
      </c>
      <c r="Q10" s="1" t="s">
        <v>353</v>
      </c>
      <c r="R10" s="1"/>
      <c r="S10" s="87" t="s">
        <v>504</v>
      </c>
      <c r="T10" s="88" t="s">
        <v>505</v>
      </c>
      <c r="U10" s="88" t="s">
        <v>489</v>
      </c>
      <c r="V10" s="88" t="s">
        <v>477</v>
      </c>
      <c r="W10" s="88" t="s">
        <v>457</v>
      </c>
      <c r="X10" s="88" t="s">
        <v>353</v>
      </c>
      <c r="Y10" s="87" t="s">
        <v>506</v>
      </c>
      <c r="Z10" s="88" t="s">
        <v>485</v>
      </c>
      <c r="AA10" s="88" t="s">
        <v>485</v>
      </c>
      <c r="AB10" s="88" t="s">
        <v>356</v>
      </c>
      <c r="AC10" s="87" t="s">
        <v>507</v>
      </c>
      <c r="AD10" s="88" t="s">
        <v>450</v>
      </c>
      <c r="AE10" s="88" t="s">
        <v>461</v>
      </c>
      <c r="AF10" s="88" t="s">
        <v>508</v>
      </c>
      <c r="AG10" s="62" t="s">
        <v>509</v>
      </c>
      <c r="AH10" s="1"/>
      <c r="AI10" s="1"/>
      <c r="AJ10" s="1"/>
      <c r="AK10" s="1"/>
      <c r="AL10" s="17" t="s">
        <v>504</v>
      </c>
      <c r="AM10" s="17" t="s">
        <v>510</v>
      </c>
      <c r="AN10" s="17" t="s">
        <v>511</v>
      </c>
      <c r="AO10" s="17" t="s">
        <v>512</v>
      </c>
      <c r="AP10" s="17" t="s">
        <v>456</v>
      </c>
      <c r="AQ10" s="17" t="s">
        <v>372</v>
      </c>
      <c r="AR10" s="17"/>
      <c r="AS10" s="17"/>
      <c r="AT10" s="20" t="s">
        <v>504</v>
      </c>
      <c r="AU10" s="21" t="s">
        <v>355</v>
      </c>
      <c r="AV10" s="21" t="s">
        <v>490</v>
      </c>
      <c r="AW10" s="20" t="s">
        <v>468</v>
      </c>
      <c r="AX10" s="21" t="s">
        <v>473</v>
      </c>
      <c r="AY10" s="19" t="s">
        <v>498</v>
      </c>
      <c r="AZ10" s="17"/>
      <c r="BA10" s="1"/>
      <c r="BB10" s="1"/>
      <c r="BC10" s="17"/>
    </row>
    <row r="11" spans="1:55" x14ac:dyDescent="0.5">
      <c r="A11" s="1"/>
      <c r="B11" s="1"/>
      <c r="C11" s="1"/>
      <c r="D11" s="1"/>
      <c r="E11" s="1"/>
      <c r="F11" s="1"/>
      <c r="G11" s="1" t="s">
        <v>411</v>
      </c>
      <c r="H11" s="1" t="s">
        <v>436</v>
      </c>
      <c r="I11" s="1" t="s">
        <v>513</v>
      </c>
      <c r="J11" s="1" t="s">
        <v>465</v>
      </c>
      <c r="K11" s="1"/>
      <c r="L11" s="1" t="s">
        <v>489</v>
      </c>
      <c r="M11" s="1" t="s">
        <v>514</v>
      </c>
      <c r="N11" s="1" t="s">
        <v>515</v>
      </c>
      <c r="O11" s="1" t="s">
        <v>493</v>
      </c>
      <c r="P11" s="1" t="s">
        <v>467</v>
      </c>
      <c r="Q11" s="1" t="s">
        <v>516</v>
      </c>
      <c r="R11" s="1"/>
      <c r="S11" s="87" t="s">
        <v>489</v>
      </c>
      <c r="T11" s="88" t="s">
        <v>514</v>
      </c>
      <c r="U11" s="88" t="s">
        <v>515</v>
      </c>
      <c r="V11" s="88" t="s">
        <v>493</v>
      </c>
      <c r="W11" s="88" t="s">
        <v>467</v>
      </c>
      <c r="X11" s="88" t="s">
        <v>516</v>
      </c>
      <c r="Y11" s="87" t="s">
        <v>420</v>
      </c>
      <c r="Z11" s="88" t="s">
        <v>356</v>
      </c>
      <c r="AA11" s="88" t="s">
        <v>517</v>
      </c>
      <c r="AB11" s="88" t="s">
        <v>518</v>
      </c>
      <c r="AC11" s="90" t="s">
        <v>475</v>
      </c>
      <c r="AD11" s="88" t="s">
        <v>500</v>
      </c>
      <c r="AE11" s="88" t="s">
        <v>486</v>
      </c>
      <c r="AF11" s="89" t="s">
        <v>359</v>
      </c>
      <c r="AG11" s="62" t="s">
        <v>519</v>
      </c>
      <c r="AH11" s="1"/>
      <c r="AI11" s="1"/>
      <c r="AJ11" s="1"/>
      <c r="AK11" s="1"/>
      <c r="AL11" s="17" t="s">
        <v>520</v>
      </c>
      <c r="AM11" s="17" t="s">
        <v>521</v>
      </c>
      <c r="AN11" s="17" t="s">
        <v>489</v>
      </c>
      <c r="AO11" s="17" t="s">
        <v>462</v>
      </c>
      <c r="AP11" s="17" t="s">
        <v>462</v>
      </c>
      <c r="AQ11" s="17" t="s">
        <v>522</v>
      </c>
      <c r="AR11" s="17"/>
      <c r="AS11" s="17"/>
      <c r="AT11" s="18" t="s">
        <v>520</v>
      </c>
      <c r="AU11" s="18" t="s">
        <v>477</v>
      </c>
      <c r="AV11" s="19" t="s">
        <v>457</v>
      </c>
      <c r="AW11" s="19" t="s">
        <v>456</v>
      </c>
      <c r="AX11" s="21" t="s">
        <v>487</v>
      </c>
      <c r="AY11" s="19" t="s">
        <v>447</v>
      </c>
      <c r="AZ11" s="17"/>
      <c r="BA11" s="1"/>
      <c r="BB11" s="1"/>
      <c r="BC11" s="17"/>
    </row>
    <row r="12" spans="1:55" x14ac:dyDescent="0.5">
      <c r="A12" s="1"/>
      <c r="B12" s="1"/>
      <c r="C12" s="1"/>
      <c r="D12" s="1"/>
      <c r="E12" s="1"/>
      <c r="F12" s="1"/>
      <c r="G12" s="1" t="s">
        <v>424</v>
      </c>
      <c r="H12" s="1" t="s">
        <v>424</v>
      </c>
      <c r="I12" s="1" t="s">
        <v>424</v>
      </c>
      <c r="J12" s="1" t="s">
        <v>424</v>
      </c>
      <c r="K12" s="1"/>
      <c r="L12" s="1" t="s">
        <v>523</v>
      </c>
      <c r="M12" s="1" t="s">
        <v>523</v>
      </c>
      <c r="N12" s="1" t="s">
        <v>524</v>
      </c>
      <c r="O12" s="1" t="s">
        <v>499</v>
      </c>
      <c r="P12" s="1" t="s">
        <v>525</v>
      </c>
      <c r="Q12" s="1" t="s">
        <v>457</v>
      </c>
      <c r="R12" s="1"/>
      <c r="S12" s="87" t="s">
        <v>523</v>
      </c>
      <c r="T12" s="88" t="s">
        <v>523</v>
      </c>
      <c r="U12" s="88" t="s">
        <v>524</v>
      </c>
      <c r="V12" s="88" t="s">
        <v>499</v>
      </c>
      <c r="W12" s="88" t="s">
        <v>525</v>
      </c>
      <c r="X12" s="88" t="s">
        <v>457</v>
      </c>
      <c r="Y12" s="87" t="s">
        <v>352</v>
      </c>
      <c r="Z12" s="88" t="s">
        <v>526</v>
      </c>
      <c r="AA12" s="88" t="s">
        <v>527</v>
      </c>
      <c r="AB12" s="88" t="s">
        <v>528</v>
      </c>
      <c r="AC12" s="87" t="s">
        <v>450</v>
      </c>
      <c r="AD12" s="88" t="s">
        <v>355</v>
      </c>
      <c r="AE12" s="88" t="s">
        <v>472</v>
      </c>
      <c r="AF12" s="89" t="s">
        <v>529</v>
      </c>
      <c r="AG12" s="62" t="s">
        <v>356</v>
      </c>
      <c r="AH12" s="1"/>
      <c r="AI12" s="1"/>
      <c r="AJ12" s="1"/>
      <c r="AK12" s="1"/>
      <c r="AL12" s="17" t="s">
        <v>530</v>
      </c>
      <c r="AM12" s="17" t="s">
        <v>531</v>
      </c>
      <c r="AN12" s="17" t="s">
        <v>360</v>
      </c>
      <c r="AO12" s="17" t="s">
        <v>532</v>
      </c>
      <c r="AP12" s="17" t="s">
        <v>533</v>
      </c>
      <c r="AQ12" s="17" t="s">
        <v>534</v>
      </c>
      <c r="AR12" s="17"/>
      <c r="AS12" s="17"/>
      <c r="AT12" s="20" t="s">
        <v>530</v>
      </c>
      <c r="AU12" s="19" t="s">
        <v>481</v>
      </c>
      <c r="AV12" s="21" t="s">
        <v>440</v>
      </c>
      <c r="AW12" s="21" t="s">
        <v>467</v>
      </c>
      <c r="AX12" s="19" t="s">
        <v>498</v>
      </c>
      <c r="AY12" s="21" t="s">
        <v>486</v>
      </c>
      <c r="AZ12" s="17"/>
      <c r="BA12" s="1"/>
      <c r="BB12" s="1"/>
      <c r="BC12" s="17"/>
    </row>
    <row r="13" spans="1:55" x14ac:dyDescent="0.5">
      <c r="A13" s="1"/>
      <c r="B13" s="1"/>
      <c r="C13" s="1"/>
      <c r="D13" s="1"/>
      <c r="E13" s="1"/>
      <c r="F13" s="1"/>
      <c r="G13" s="1" t="s">
        <v>425</v>
      </c>
      <c r="H13" s="1" t="s">
        <v>425</v>
      </c>
      <c r="I13" s="1" t="s">
        <v>425</v>
      </c>
      <c r="J13" s="1" t="s">
        <v>425</v>
      </c>
      <c r="K13" s="1"/>
      <c r="L13" s="1" t="s">
        <v>530</v>
      </c>
      <c r="M13" s="1" t="s">
        <v>529</v>
      </c>
      <c r="N13" s="1" t="s">
        <v>535</v>
      </c>
      <c r="O13" s="1" t="s">
        <v>514</v>
      </c>
      <c r="P13" s="1" t="s">
        <v>536</v>
      </c>
      <c r="Q13" s="1" t="s">
        <v>537</v>
      </c>
      <c r="R13" s="1"/>
      <c r="S13" s="87" t="s">
        <v>530</v>
      </c>
      <c r="T13" s="88" t="s">
        <v>529</v>
      </c>
      <c r="U13" s="88" t="s">
        <v>535</v>
      </c>
      <c r="V13" s="88" t="s">
        <v>514</v>
      </c>
      <c r="W13" s="88" t="s">
        <v>536</v>
      </c>
      <c r="X13" s="88" t="s">
        <v>537</v>
      </c>
      <c r="Y13" s="87" t="s">
        <v>538</v>
      </c>
      <c r="Z13" s="88" t="s">
        <v>524</v>
      </c>
      <c r="AA13" s="88" t="s">
        <v>539</v>
      </c>
      <c r="AB13" s="88" t="s">
        <v>540</v>
      </c>
      <c r="AC13" s="87" t="s">
        <v>356</v>
      </c>
      <c r="AD13" s="88" t="s">
        <v>357</v>
      </c>
      <c r="AE13" s="88" t="s">
        <v>541</v>
      </c>
      <c r="AF13" s="89" t="s">
        <v>515</v>
      </c>
      <c r="AG13" s="62" t="s">
        <v>542</v>
      </c>
      <c r="AH13" s="1"/>
      <c r="AI13" s="1"/>
      <c r="AJ13" s="1"/>
      <c r="AK13" s="1"/>
      <c r="AL13" s="17" t="s">
        <v>543</v>
      </c>
      <c r="AM13" s="17" t="s">
        <v>544</v>
      </c>
      <c r="AN13" s="17" t="s">
        <v>545</v>
      </c>
      <c r="AO13" s="17" t="s">
        <v>546</v>
      </c>
      <c r="AP13" s="17" t="s">
        <v>467</v>
      </c>
      <c r="AQ13" s="17" t="s">
        <v>547</v>
      </c>
      <c r="AR13" s="17"/>
      <c r="AS13" s="17"/>
      <c r="AT13" s="18" t="s">
        <v>543</v>
      </c>
      <c r="AU13" s="21" t="s">
        <v>493</v>
      </c>
      <c r="AV13" s="21" t="s">
        <v>468</v>
      </c>
      <c r="AW13" s="19" t="s">
        <v>356</v>
      </c>
      <c r="AX13" s="21" t="s">
        <v>447</v>
      </c>
      <c r="AY13" s="19" t="s">
        <v>472</v>
      </c>
      <c r="AZ13" s="17"/>
      <c r="BA13" s="1"/>
      <c r="BB13" s="1"/>
      <c r="BC13" s="17"/>
    </row>
    <row r="14" spans="1:55" x14ac:dyDescent="0.5">
      <c r="A14" s="1"/>
      <c r="B14" s="1"/>
      <c r="C14" s="1"/>
      <c r="D14" s="1"/>
      <c r="E14" s="1"/>
      <c r="F14" s="1"/>
      <c r="G14" s="1" t="s">
        <v>426</v>
      </c>
      <c r="H14" s="1" t="s">
        <v>426</v>
      </c>
      <c r="I14" s="1" t="s">
        <v>426</v>
      </c>
      <c r="J14" s="1" t="s">
        <v>426</v>
      </c>
      <c r="K14" s="1"/>
      <c r="L14" s="1" t="s">
        <v>548</v>
      </c>
      <c r="M14" s="1" t="s">
        <v>524</v>
      </c>
      <c r="N14" s="1" t="s">
        <v>362</v>
      </c>
      <c r="O14" s="1" t="s">
        <v>549</v>
      </c>
      <c r="P14" s="1" t="s">
        <v>474</v>
      </c>
      <c r="Q14" s="1" t="s">
        <v>550</v>
      </c>
      <c r="R14" s="1"/>
      <c r="S14" s="87" t="s">
        <v>548</v>
      </c>
      <c r="T14" s="88" t="s">
        <v>524</v>
      </c>
      <c r="U14" s="89" t="s">
        <v>362</v>
      </c>
      <c r="V14" s="88" t="s">
        <v>549</v>
      </c>
      <c r="W14" s="88" t="s">
        <v>474</v>
      </c>
      <c r="X14" s="88" t="s">
        <v>550</v>
      </c>
      <c r="Y14" s="87" t="s">
        <v>502</v>
      </c>
      <c r="Z14" s="88" t="s">
        <v>551</v>
      </c>
      <c r="AA14" s="88" t="s">
        <v>552</v>
      </c>
      <c r="AB14" s="88" t="s">
        <v>551</v>
      </c>
      <c r="AC14" s="87" t="s">
        <v>539</v>
      </c>
      <c r="AD14" s="88" t="s">
        <v>553</v>
      </c>
      <c r="AE14" s="88" t="s">
        <v>554</v>
      </c>
      <c r="AF14" s="88" t="s">
        <v>555</v>
      </c>
      <c r="AG14" s="62" t="s">
        <v>556</v>
      </c>
      <c r="AH14" s="1"/>
      <c r="AI14" s="1"/>
      <c r="AJ14" s="1"/>
      <c r="AK14" s="1"/>
      <c r="AL14" s="17" t="s">
        <v>557</v>
      </c>
      <c r="AM14" s="17" t="s">
        <v>558</v>
      </c>
      <c r="AN14" s="17" t="s">
        <v>530</v>
      </c>
      <c r="AO14" s="17" t="s">
        <v>559</v>
      </c>
      <c r="AP14" s="17" t="s">
        <v>494</v>
      </c>
      <c r="AQ14" s="17" t="s">
        <v>560</v>
      </c>
      <c r="AR14" s="17"/>
      <c r="AS14" s="17"/>
      <c r="AT14" s="20" t="s">
        <v>557</v>
      </c>
      <c r="AU14" s="19" t="s">
        <v>505</v>
      </c>
      <c r="AV14" s="20" t="s">
        <v>512</v>
      </c>
      <c r="AW14" s="18" t="s">
        <v>474</v>
      </c>
      <c r="AX14" s="21" t="s">
        <v>461</v>
      </c>
      <c r="AY14" s="19" t="s">
        <v>541</v>
      </c>
      <c r="AZ14" s="17"/>
      <c r="BA14" s="1"/>
      <c r="BB14" s="1"/>
      <c r="BC14" s="17"/>
    </row>
    <row r="15" spans="1:55" x14ac:dyDescent="0.5">
      <c r="A15" s="1"/>
      <c r="B15" s="1"/>
      <c r="C15" s="1"/>
      <c r="D15" s="1"/>
      <c r="E15" s="1"/>
      <c r="F15" s="1"/>
      <c r="G15" s="1" t="s">
        <v>427</v>
      </c>
      <c r="H15" s="1" t="s">
        <v>427</v>
      </c>
      <c r="I15" s="1" t="s">
        <v>427</v>
      </c>
      <c r="J15" s="1" t="s">
        <v>427</v>
      </c>
      <c r="K15" s="1"/>
      <c r="L15" s="1" t="s">
        <v>543</v>
      </c>
      <c r="M15" s="1" t="s">
        <v>501</v>
      </c>
      <c r="N15" s="1" t="s">
        <v>545</v>
      </c>
      <c r="O15" s="1" t="s">
        <v>360</v>
      </c>
      <c r="P15" s="1" t="s">
        <v>494</v>
      </c>
      <c r="Q15" s="1" t="s">
        <v>450</v>
      </c>
      <c r="R15" s="1"/>
      <c r="S15" s="87" t="s">
        <v>543</v>
      </c>
      <c r="T15" s="88" t="s">
        <v>501</v>
      </c>
      <c r="U15" s="88" t="s">
        <v>545</v>
      </c>
      <c r="V15" s="88" t="s">
        <v>360</v>
      </c>
      <c r="W15" s="88" t="s">
        <v>494</v>
      </c>
      <c r="X15" s="88" t="s">
        <v>450</v>
      </c>
      <c r="Y15" s="87" t="s">
        <v>462</v>
      </c>
      <c r="Z15" s="88" t="s">
        <v>361</v>
      </c>
      <c r="AA15" s="88" t="s">
        <v>361</v>
      </c>
      <c r="AB15" s="89" t="s">
        <v>362</v>
      </c>
      <c r="AC15" s="87" t="s">
        <v>480</v>
      </c>
      <c r="AD15" s="88" t="s">
        <v>561</v>
      </c>
      <c r="AE15" s="88" t="s">
        <v>475</v>
      </c>
      <c r="AF15" s="88" t="s">
        <v>562</v>
      </c>
      <c r="AG15" s="63" t="s">
        <v>563</v>
      </c>
      <c r="AH15" s="1"/>
      <c r="AI15" s="1"/>
      <c r="AJ15" s="1"/>
      <c r="AK15" s="1"/>
      <c r="AL15" s="17" t="s">
        <v>564</v>
      </c>
      <c r="AM15" s="17" t="s">
        <v>565</v>
      </c>
      <c r="AN15" s="17" t="s">
        <v>58</v>
      </c>
      <c r="AO15" s="17" t="s">
        <v>566</v>
      </c>
      <c r="AP15" s="17" t="s">
        <v>567</v>
      </c>
      <c r="AQ15" s="17" t="s">
        <v>568</v>
      </c>
      <c r="AR15" s="17"/>
      <c r="AS15" s="17"/>
      <c r="AT15" s="18" t="s">
        <v>564</v>
      </c>
      <c r="AU15" s="21" t="s">
        <v>514</v>
      </c>
      <c r="AV15" s="19" t="s">
        <v>456</v>
      </c>
      <c r="AW15" s="21" t="s">
        <v>494</v>
      </c>
      <c r="AX15" s="21" t="s">
        <v>486</v>
      </c>
      <c r="AY15" s="19" t="s">
        <v>554</v>
      </c>
      <c r="AZ15" s="17"/>
      <c r="BA15" s="1"/>
      <c r="BB15" s="1"/>
      <c r="BC15" s="17"/>
    </row>
    <row r="16" spans="1:55" x14ac:dyDescent="0.5">
      <c r="A16" s="1"/>
      <c r="B16" s="1"/>
      <c r="C16" s="1"/>
      <c r="D16" s="1"/>
      <c r="E16" s="1"/>
      <c r="F16" s="1"/>
      <c r="G16" s="1" t="s">
        <v>428</v>
      </c>
      <c r="H16" s="1" t="s">
        <v>428</v>
      </c>
      <c r="I16" s="1" t="s">
        <v>428</v>
      </c>
      <c r="J16" s="1" t="s">
        <v>428</v>
      </c>
      <c r="K16" s="1"/>
      <c r="L16" s="1" t="s">
        <v>364</v>
      </c>
      <c r="M16" s="1" t="s">
        <v>362</v>
      </c>
      <c r="N16" s="1" t="s">
        <v>569</v>
      </c>
      <c r="O16" s="1" t="s">
        <v>570</v>
      </c>
      <c r="P16" s="1" t="s">
        <v>571</v>
      </c>
      <c r="Q16" s="1" t="s">
        <v>525</v>
      </c>
      <c r="R16" s="1"/>
      <c r="S16" s="87" t="s">
        <v>364</v>
      </c>
      <c r="T16" s="88" t="s">
        <v>362</v>
      </c>
      <c r="U16" s="88" t="s">
        <v>569</v>
      </c>
      <c r="V16" s="88" t="s">
        <v>570</v>
      </c>
      <c r="W16" s="89" t="s">
        <v>571</v>
      </c>
      <c r="X16" s="88" t="s">
        <v>525</v>
      </c>
      <c r="Y16" s="87" t="s">
        <v>572</v>
      </c>
      <c r="Z16" s="88" t="s">
        <v>573</v>
      </c>
      <c r="AA16" s="88" t="s">
        <v>574</v>
      </c>
      <c r="AB16" s="88" t="s">
        <v>575</v>
      </c>
      <c r="AC16" s="87" t="s">
        <v>570</v>
      </c>
      <c r="AD16" s="88" t="s">
        <v>480</v>
      </c>
      <c r="AE16" s="88" t="s">
        <v>576</v>
      </c>
      <c r="AF16" s="88" t="s">
        <v>577</v>
      </c>
      <c r="AG16" s="62" t="s">
        <v>561</v>
      </c>
      <c r="AH16" s="1"/>
      <c r="AI16" s="1"/>
      <c r="AJ16" s="1"/>
      <c r="AK16" s="1"/>
      <c r="AL16" s="17" t="s">
        <v>578</v>
      </c>
      <c r="AM16" s="17" t="s">
        <v>579</v>
      </c>
      <c r="AN16" s="17" t="s">
        <v>548</v>
      </c>
      <c r="AO16" s="17" t="s">
        <v>580</v>
      </c>
      <c r="AP16" s="17" t="s">
        <v>571</v>
      </c>
      <c r="AQ16" s="17" t="s">
        <v>581</v>
      </c>
      <c r="AR16" s="17"/>
      <c r="AS16" s="17"/>
      <c r="AT16" s="20" t="s">
        <v>578</v>
      </c>
      <c r="AU16" s="20" t="s">
        <v>489</v>
      </c>
      <c r="AV16" s="19" t="s">
        <v>462</v>
      </c>
      <c r="AW16" s="18" t="s">
        <v>489</v>
      </c>
      <c r="AX16" s="21" t="s">
        <v>472</v>
      </c>
      <c r="AY16" s="19" t="s">
        <v>475</v>
      </c>
      <c r="AZ16" s="17"/>
      <c r="BA16" s="1"/>
      <c r="BB16" s="1"/>
      <c r="BC16" s="17"/>
    </row>
    <row r="17" spans="7:55" x14ac:dyDescent="0.5">
      <c r="G17" s="1" t="s">
        <v>429</v>
      </c>
      <c r="H17" s="1" t="s">
        <v>429</v>
      </c>
      <c r="I17" s="1" t="s">
        <v>429</v>
      </c>
      <c r="J17" s="1" t="s">
        <v>429</v>
      </c>
      <c r="K17" s="1"/>
      <c r="L17" s="1" t="s">
        <v>582</v>
      </c>
      <c r="M17" s="1" t="s">
        <v>364</v>
      </c>
      <c r="N17" s="1" t="s">
        <v>530</v>
      </c>
      <c r="O17" s="1" t="s">
        <v>583</v>
      </c>
      <c r="P17" s="1" t="s">
        <v>584</v>
      </c>
      <c r="Q17" s="1" t="s">
        <v>536</v>
      </c>
      <c r="R17" s="1"/>
      <c r="S17" s="87" t="s">
        <v>582</v>
      </c>
      <c r="T17" s="89" t="s">
        <v>364</v>
      </c>
      <c r="U17" s="88" t="s">
        <v>530</v>
      </c>
      <c r="V17" s="89" t="s">
        <v>583</v>
      </c>
      <c r="W17" s="88" t="s">
        <v>584</v>
      </c>
      <c r="X17" s="88" t="s">
        <v>536</v>
      </c>
      <c r="Y17" s="87" t="s">
        <v>585</v>
      </c>
      <c r="Z17" s="88" t="s">
        <v>545</v>
      </c>
      <c r="AA17" s="88" t="s">
        <v>580</v>
      </c>
      <c r="AB17" s="88" t="s">
        <v>586</v>
      </c>
      <c r="AC17" s="87" t="s">
        <v>551</v>
      </c>
      <c r="AD17" s="88" t="s">
        <v>489</v>
      </c>
      <c r="AE17" s="88" t="s">
        <v>450</v>
      </c>
      <c r="AF17" s="88" t="s">
        <v>587</v>
      </c>
      <c r="AG17" s="62" t="s">
        <v>539</v>
      </c>
      <c r="AH17" s="1"/>
      <c r="AI17" s="1"/>
      <c r="AJ17" s="1"/>
      <c r="AK17" s="1"/>
      <c r="AL17" s="17" t="s">
        <v>588</v>
      </c>
      <c r="AM17" s="17" t="s">
        <v>589</v>
      </c>
      <c r="AN17" s="17" t="s">
        <v>590</v>
      </c>
      <c r="AO17" s="17" t="s">
        <v>530</v>
      </c>
      <c r="AP17" s="17" t="s">
        <v>493</v>
      </c>
      <c r="AQ17" s="17" t="s">
        <v>591</v>
      </c>
      <c r="AR17" s="17"/>
      <c r="AS17" s="17"/>
      <c r="AT17" s="18" t="s">
        <v>588</v>
      </c>
      <c r="AU17" s="19" t="s">
        <v>523</v>
      </c>
      <c r="AV17" s="21" t="s">
        <v>467</v>
      </c>
      <c r="AW17" s="20" t="s">
        <v>360</v>
      </c>
      <c r="AX17" s="21" t="s">
        <v>420</v>
      </c>
      <c r="AY17" s="19" t="s">
        <v>468</v>
      </c>
      <c r="AZ17" s="17"/>
      <c r="BA17" s="1"/>
      <c r="BB17" s="1"/>
      <c r="BC17" s="17"/>
    </row>
    <row r="18" spans="7:55" x14ac:dyDescent="0.5">
      <c r="G18" s="1"/>
      <c r="H18" s="1"/>
      <c r="I18" s="1"/>
      <c r="J18" s="1"/>
      <c r="K18" s="1"/>
      <c r="L18" s="1" t="s">
        <v>94</v>
      </c>
      <c r="M18" s="1" t="s">
        <v>94</v>
      </c>
      <c r="N18" s="1" t="s">
        <v>592</v>
      </c>
      <c r="O18" s="1" t="s">
        <v>559</v>
      </c>
      <c r="P18" s="1" t="s">
        <v>549</v>
      </c>
      <c r="Q18" s="1" t="s">
        <v>593</v>
      </c>
      <c r="R18" s="1"/>
      <c r="S18" s="87" t="s">
        <v>94</v>
      </c>
      <c r="T18" s="88" t="s">
        <v>94</v>
      </c>
      <c r="U18" s="88" t="s">
        <v>592</v>
      </c>
      <c r="V18" s="88" t="s">
        <v>559</v>
      </c>
      <c r="W18" s="88" t="s">
        <v>549</v>
      </c>
      <c r="X18" s="88" t="s">
        <v>593</v>
      </c>
      <c r="Y18" s="87" t="s">
        <v>356</v>
      </c>
      <c r="Z18" s="88" t="s">
        <v>586</v>
      </c>
      <c r="AA18" s="88" t="s">
        <v>586</v>
      </c>
      <c r="AB18" s="88" t="s">
        <v>594</v>
      </c>
      <c r="AC18" s="87" t="s">
        <v>361</v>
      </c>
      <c r="AD18" s="88" t="s">
        <v>501</v>
      </c>
      <c r="AE18" s="88" t="s">
        <v>595</v>
      </c>
      <c r="AF18" s="88" t="s">
        <v>366</v>
      </c>
      <c r="AG18" s="62" t="s">
        <v>535</v>
      </c>
      <c r="AH18" s="1"/>
      <c r="AI18" s="1"/>
      <c r="AJ18" s="1"/>
      <c r="AK18" s="1"/>
      <c r="AL18" s="17" t="s">
        <v>596</v>
      </c>
      <c r="AM18" s="17" t="s">
        <v>384</v>
      </c>
      <c r="AN18" s="17" t="s">
        <v>597</v>
      </c>
      <c r="AO18" s="17" t="s">
        <v>598</v>
      </c>
      <c r="AP18" s="17" t="s">
        <v>514</v>
      </c>
      <c r="AQ18" s="17" t="s">
        <v>599</v>
      </c>
      <c r="AR18" s="17"/>
      <c r="AS18" s="17"/>
      <c r="AT18" s="20" t="s">
        <v>596</v>
      </c>
      <c r="AU18" s="21" t="s">
        <v>529</v>
      </c>
      <c r="AV18" s="19" t="s">
        <v>356</v>
      </c>
      <c r="AW18" s="18" t="s">
        <v>515</v>
      </c>
      <c r="AX18" s="21" t="s">
        <v>541</v>
      </c>
      <c r="AY18" s="19" t="s">
        <v>450</v>
      </c>
      <c r="AZ18" s="17"/>
      <c r="BA18" s="1"/>
      <c r="BB18" s="1"/>
      <c r="BC18" s="17"/>
    </row>
    <row r="19" spans="7:55" x14ac:dyDescent="0.5">
      <c r="G19" s="1" t="s">
        <v>412</v>
      </c>
      <c r="H19" s="1" t="s">
        <v>600</v>
      </c>
      <c r="I19" s="1" t="s">
        <v>453</v>
      </c>
      <c r="J19" s="1"/>
      <c r="K19" s="1"/>
      <c r="L19" s="1" t="s">
        <v>94</v>
      </c>
      <c r="M19" s="1" t="s">
        <v>531</v>
      </c>
      <c r="N19" s="1" t="s">
        <v>58</v>
      </c>
      <c r="O19" s="1" t="s">
        <v>555</v>
      </c>
      <c r="P19" s="1" t="s">
        <v>601</v>
      </c>
      <c r="Q19" s="1" t="s">
        <v>602</v>
      </c>
      <c r="R19" s="1"/>
      <c r="S19" s="87" t="s">
        <v>94</v>
      </c>
      <c r="T19" s="88" t="s">
        <v>531</v>
      </c>
      <c r="U19" s="88" t="s">
        <v>58</v>
      </c>
      <c r="V19" s="88" t="s">
        <v>555</v>
      </c>
      <c r="W19" s="88" t="s">
        <v>601</v>
      </c>
      <c r="X19" s="88" t="s">
        <v>602</v>
      </c>
      <c r="Y19" s="90" t="s">
        <v>494</v>
      </c>
      <c r="Z19" s="88" t="s">
        <v>603</v>
      </c>
      <c r="AA19" s="88" t="s">
        <v>604</v>
      </c>
      <c r="AB19" s="88" t="s">
        <v>58</v>
      </c>
      <c r="AC19" s="87" t="s">
        <v>566</v>
      </c>
      <c r="AD19" s="88" t="s">
        <v>566</v>
      </c>
      <c r="AE19" s="89" t="s">
        <v>605</v>
      </c>
      <c r="AF19" s="89" t="s">
        <v>99</v>
      </c>
      <c r="AG19" s="62" t="s">
        <v>566</v>
      </c>
      <c r="AH19" s="1"/>
      <c r="AI19" s="1"/>
      <c r="AJ19" s="1"/>
      <c r="AK19" s="1"/>
      <c r="AL19" s="17" t="s">
        <v>606</v>
      </c>
      <c r="AM19" s="17" t="s">
        <v>596</v>
      </c>
      <c r="AN19" s="17" t="s">
        <v>99</v>
      </c>
      <c r="AO19" s="17" t="s">
        <v>607</v>
      </c>
      <c r="AP19" s="17" t="s">
        <v>584</v>
      </c>
      <c r="AQ19" s="17" t="s">
        <v>608</v>
      </c>
      <c r="AR19" s="17"/>
      <c r="AS19" s="17"/>
      <c r="AT19" s="18" t="s">
        <v>606</v>
      </c>
      <c r="AU19" s="19" t="s">
        <v>524</v>
      </c>
      <c r="AV19" s="21" t="s">
        <v>488</v>
      </c>
      <c r="AW19" s="18" t="s">
        <v>524</v>
      </c>
      <c r="AX19" s="19" t="s">
        <v>554</v>
      </c>
      <c r="AY19" s="19" t="s">
        <v>509</v>
      </c>
      <c r="AZ19" s="17"/>
      <c r="BA19" s="1"/>
      <c r="BB19" s="1"/>
      <c r="BC19" s="17"/>
    </row>
    <row r="20" spans="7:55" x14ac:dyDescent="0.5">
      <c r="G20" s="1" t="s">
        <v>430</v>
      </c>
      <c r="H20" s="1" t="s">
        <v>430</v>
      </c>
      <c r="I20" s="1" t="s">
        <v>430</v>
      </c>
      <c r="J20" s="1"/>
      <c r="K20" s="1"/>
      <c r="L20" s="1" t="s">
        <v>609</v>
      </c>
      <c r="M20" s="1" t="s">
        <v>610</v>
      </c>
      <c r="N20" s="1" t="s">
        <v>521</v>
      </c>
      <c r="O20" s="1" t="s">
        <v>535</v>
      </c>
      <c r="P20" s="1" t="s">
        <v>360</v>
      </c>
      <c r="Q20" s="1" t="s">
        <v>611</v>
      </c>
      <c r="R20" s="1"/>
      <c r="S20" s="87" t="s">
        <v>609</v>
      </c>
      <c r="T20" s="88" t="s">
        <v>610</v>
      </c>
      <c r="U20" s="88" t="s">
        <v>521</v>
      </c>
      <c r="V20" s="88" t="s">
        <v>535</v>
      </c>
      <c r="W20" s="88" t="s">
        <v>360</v>
      </c>
      <c r="X20" s="88" t="s">
        <v>611</v>
      </c>
      <c r="Y20" s="87" t="s">
        <v>553</v>
      </c>
      <c r="Z20" s="88" t="s">
        <v>612</v>
      </c>
      <c r="AA20" s="88" t="s">
        <v>613</v>
      </c>
      <c r="AB20" s="88" t="s">
        <v>614</v>
      </c>
      <c r="AC20" s="87" t="s">
        <v>530</v>
      </c>
      <c r="AD20" s="88" t="s">
        <v>530</v>
      </c>
      <c r="AE20" s="88" t="s">
        <v>615</v>
      </c>
      <c r="AF20" s="88" t="s">
        <v>616</v>
      </c>
      <c r="AG20" s="62" t="s">
        <v>604</v>
      </c>
      <c r="AH20" s="1"/>
      <c r="AI20" s="1"/>
      <c r="AJ20" s="1"/>
      <c r="AK20" s="1"/>
      <c r="AL20" s="17" t="s">
        <v>617</v>
      </c>
      <c r="AM20" s="17" t="s">
        <v>617</v>
      </c>
      <c r="AN20" s="17" t="s">
        <v>384</v>
      </c>
      <c r="AO20" s="17" t="s">
        <v>364</v>
      </c>
      <c r="AP20" s="17" t="s">
        <v>549</v>
      </c>
      <c r="AQ20" s="17" t="s">
        <v>380</v>
      </c>
      <c r="AR20" s="17"/>
      <c r="AS20" s="17"/>
      <c r="AT20" s="20" t="s">
        <v>617</v>
      </c>
      <c r="AU20" s="18" t="s">
        <v>501</v>
      </c>
      <c r="AV20" s="21" t="s">
        <v>494</v>
      </c>
      <c r="AW20" s="18" t="s">
        <v>535</v>
      </c>
      <c r="AX20" s="19" t="s">
        <v>475</v>
      </c>
      <c r="AY20" s="19" t="s">
        <v>605</v>
      </c>
      <c r="AZ20" s="17"/>
      <c r="BA20" s="1"/>
      <c r="BB20" s="1"/>
      <c r="BC20" s="17"/>
    </row>
    <row r="21" spans="7:55" x14ac:dyDescent="0.5">
      <c r="G21" s="1" t="s">
        <v>431</v>
      </c>
      <c r="H21" s="1" t="s">
        <v>431</v>
      </c>
      <c r="I21" s="1" t="s">
        <v>431</v>
      </c>
      <c r="J21" s="1"/>
      <c r="K21" s="1"/>
      <c r="L21" s="1" t="s">
        <v>369</v>
      </c>
      <c r="M21" s="1" t="s">
        <v>544</v>
      </c>
      <c r="N21" s="1" t="s">
        <v>618</v>
      </c>
      <c r="O21" s="1" t="s">
        <v>566</v>
      </c>
      <c r="P21" s="1" t="s">
        <v>523</v>
      </c>
      <c r="Q21" s="1" t="s">
        <v>563</v>
      </c>
      <c r="R21" s="1"/>
      <c r="S21" s="90" t="s">
        <v>369</v>
      </c>
      <c r="T21" s="88" t="s">
        <v>544</v>
      </c>
      <c r="U21" s="88" t="s">
        <v>618</v>
      </c>
      <c r="V21" s="88" t="s">
        <v>566</v>
      </c>
      <c r="W21" s="88" t="s">
        <v>523</v>
      </c>
      <c r="X21" s="88" t="s">
        <v>563</v>
      </c>
      <c r="Y21" s="87" t="s">
        <v>477</v>
      </c>
      <c r="Z21" s="88" t="s">
        <v>548</v>
      </c>
      <c r="AA21" s="88" t="s">
        <v>613</v>
      </c>
      <c r="AB21" s="88" t="s">
        <v>619</v>
      </c>
      <c r="AC21" s="90" t="s">
        <v>58</v>
      </c>
      <c r="AD21" s="88" t="s">
        <v>620</v>
      </c>
      <c r="AE21" s="88" t="s">
        <v>621</v>
      </c>
      <c r="AF21" s="88" t="s">
        <v>622</v>
      </c>
      <c r="AG21" s="62" t="s">
        <v>623</v>
      </c>
      <c r="AH21" s="1"/>
      <c r="AI21" s="1"/>
      <c r="AJ21" s="1"/>
      <c r="AK21" s="1"/>
      <c r="AL21" s="17" t="s">
        <v>624</v>
      </c>
      <c r="AM21" s="17" t="s">
        <v>625</v>
      </c>
      <c r="AN21" s="17" t="s">
        <v>626</v>
      </c>
      <c r="AO21" s="17" t="s">
        <v>94</v>
      </c>
      <c r="AP21" s="17" t="s">
        <v>508</v>
      </c>
      <c r="AQ21" s="17" t="s">
        <v>627</v>
      </c>
      <c r="AR21" s="17"/>
      <c r="AS21" s="17"/>
      <c r="AT21" s="18" t="s">
        <v>624</v>
      </c>
      <c r="AU21" s="19" t="s">
        <v>362</v>
      </c>
      <c r="AV21" s="19" t="s">
        <v>477</v>
      </c>
      <c r="AW21" s="18" t="s">
        <v>362</v>
      </c>
      <c r="AX21" s="21" t="s">
        <v>576</v>
      </c>
      <c r="AY21" s="19" t="s">
        <v>356</v>
      </c>
      <c r="AZ21" s="17"/>
      <c r="BA21" s="1"/>
      <c r="BB21" s="1"/>
      <c r="BC21" s="17"/>
    </row>
    <row r="22" spans="7:55" x14ac:dyDescent="0.5">
      <c r="G22" s="1" t="s">
        <v>432</v>
      </c>
      <c r="H22" s="1" t="s">
        <v>432</v>
      </c>
      <c r="I22" s="1" t="s">
        <v>432</v>
      </c>
      <c r="J22" s="1"/>
      <c r="K22" s="1"/>
      <c r="L22" s="1" t="s">
        <v>99</v>
      </c>
      <c r="M22" s="1" t="s">
        <v>577</v>
      </c>
      <c r="N22" s="1" t="s">
        <v>628</v>
      </c>
      <c r="O22" s="1" t="s">
        <v>628</v>
      </c>
      <c r="P22" s="1" t="s">
        <v>629</v>
      </c>
      <c r="Q22" s="1" t="s">
        <v>630</v>
      </c>
      <c r="R22" s="1"/>
      <c r="S22" s="87" t="s">
        <v>99</v>
      </c>
      <c r="T22" s="88" t="s">
        <v>577</v>
      </c>
      <c r="U22" s="88" t="s">
        <v>628</v>
      </c>
      <c r="V22" s="89" t="s">
        <v>628</v>
      </c>
      <c r="W22" s="88" t="s">
        <v>629</v>
      </c>
      <c r="X22" s="88" t="s">
        <v>630</v>
      </c>
      <c r="Y22" s="87" t="s">
        <v>563</v>
      </c>
      <c r="Z22" s="88" t="s">
        <v>94</v>
      </c>
      <c r="AA22" s="88" t="s">
        <v>631</v>
      </c>
      <c r="AB22" s="88" t="s">
        <v>623</v>
      </c>
      <c r="AC22" s="87" t="s">
        <v>632</v>
      </c>
      <c r="AD22" s="88" t="s">
        <v>632</v>
      </c>
      <c r="AE22" s="88" t="s">
        <v>633</v>
      </c>
      <c r="AF22" s="88" t="s">
        <v>634</v>
      </c>
      <c r="AG22" s="62" t="s">
        <v>635</v>
      </c>
      <c r="AH22" s="1"/>
      <c r="AI22" s="1"/>
      <c r="AJ22" s="1"/>
      <c r="AK22" s="1"/>
      <c r="AL22" s="17" t="s">
        <v>636</v>
      </c>
      <c r="AM22" s="17" t="s">
        <v>637</v>
      </c>
      <c r="AN22" s="17" t="s">
        <v>638</v>
      </c>
      <c r="AO22" s="17" t="s">
        <v>579</v>
      </c>
      <c r="AP22" s="17" t="s">
        <v>489</v>
      </c>
      <c r="AQ22" s="1"/>
      <c r="AR22" s="1"/>
      <c r="AS22" s="1"/>
      <c r="AT22" s="18" t="s">
        <v>625</v>
      </c>
      <c r="AU22" s="19" t="s">
        <v>510</v>
      </c>
      <c r="AV22" s="21" t="s">
        <v>532</v>
      </c>
      <c r="AW22" s="18" t="s">
        <v>545</v>
      </c>
      <c r="AX22" s="21" t="s">
        <v>468</v>
      </c>
      <c r="AY22" s="19" t="s">
        <v>474</v>
      </c>
      <c r="AZ22" s="1"/>
      <c r="BA22" s="1"/>
      <c r="BB22" s="1"/>
      <c r="BC22" s="1"/>
    </row>
    <row r="23" spans="7:55" x14ac:dyDescent="0.5">
      <c r="G23" s="1" t="s">
        <v>433</v>
      </c>
      <c r="H23" s="1" t="s">
        <v>433</v>
      </c>
      <c r="I23" s="1" t="s">
        <v>433</v>
      </c>
      <c r="J23" s="1"/>
      <c r="K23" s="1"/>
      <c r="L23" s="1" t="s">
        <v>565</v>
      </c>
      <c r="M23" s="1" t="s">
        <v>558</v>
      </c>
      <c r="N23" s="1" t="s">
        <v>628</v>
      </c>
      <c r="O23" s="1" t="s">
        <v>94</v>
      </c>
      <c r="P23" s="1" t="s">
        <v>361</v>
      </c>
      <c r="Q23" s="1" t="s">
        <v>493</v>
      </c>
      <c r="R23" s="1"/>
      <c r="S23" s="87" t="s">
        <v>565</v>
      </c>
      <c r="T23" s="88" t="s">
        <v>558</v>
      </c>
      <c r="U23" s="88" t="s">
        <v>628</v>
      </c>
      <c r="V23" s="88" t="s">
        <v>94</v>
      </c>
      <c r="W23" s="88" t="s">
        <v>361</v>
      </c>
      <c r="X23" s="88" t="s">
        <v>493</v>
      </c>
      <c r="Y23" s="87" t="s">
        <v>358</v>
      </c>
      <c r="Z23" s="88" t="s">
        <v>639</v>
      </c>
      <c r="AA23" s="88" t="s">
        <v>598</v>
      </c>
      <c r="AB23" s="88" t="s">
        <v>640</v>
      </c>
      <c r="AC23" s="87" t="s">
        <v>641</v>
      </c>
      <c r="AD23" s="88" t="s">
        <v>642</v>
      </c>
      <c r="AE23" s="88" t="s">
        <v>643</v>
      </c>
      <c r="AF23" s="89" t="s">
        <v>547</v>
      </c>
      <c r="AG23" s="62" t="s">
        <v>644</v>
      </c>
      <c r="AH23" s="1"/>
      <c r="AI23" s="1"/>
      <c r="AJ23" s="1"/>
      <c r="AK23" s="1"/>
      <c r="AL23" s="17" t="s">
        <v>645</v>
      </c>
      <c r="AM23" s="17" t="s">
        <v>622</v>
      </c>
      <c r="AN23" s="17" t="s">
        <v>374</v>
      </c>
      <c r="AO23" s="17" t="s">
        <v>646</v>
      </c>
      <c r="AP23" s="17" t="s">
        <v>647</v>
      </c>
      <c r="AQ23" s="1"/>
      <c r="AR23" s="1"/>
      <c r="AS23" s="1"/>
      <c r="AT23" s="20" t="s">
        <v>636</v>
      </c>
      <c r="AU23" s="19" t="s">
        <v>521</v>
      </c>
      <c r="AV23" s="21" t="s">
        <v>493</v>
      </c>
      <c r="AW23" s="19" t="s">
        <v>569</v>
      </c>
      <c r="AX23" s="19" t="s">
        <v>450</v>
      </c>
      <c r="AY23" s="19" t="s">
        <v>488</v>
      </c>
      <c r="AZ23" s="1"/>
      <c r="BA23" s="1"/>
      <c r="BB23" s="1"/>
      <c r="BC23" s="1"/>
    </row>
    <row r="24" spans="7:55" x14ac:dyDescent="0.5">
      <c r="G24" s="1" t="s">
        <v>434</v>
      </c>
      <c r="H24" s="1" t="s">
        <v>434</v>
      </c>
      <c r="I24" s="1" t="s">
        <v>434</v>
      </c>
      <c r="J24" s="1"/>
      <c r="K24" s="1"/>
      <c r="L24" s="1" t="s">
        <v>564</v>
      </c>
      <c r="M24" s="1" t="s">
        <v>369</v>
      </c>
      <c r="N24" s="1" t="s">
        <v>91</v>
      </c>
      <c r="O24" s="1" t="s">
        <v>648</v>
      </c>
      <c r="P24" s="1" t="s">
        <v>362</v>
      </c>
      <c r="Q24" s="1" t="s">
        <v>499</v>
      </c>
      <c r="R24" s="1"/>
      <c r="S24" s="87" t="s">
        <v>564</v>
      </c>
      <c r="T24" s="88" t="s">
        <v>369</v>
      </c>
      <c r="U24" s="88" t="s">
        <v>91</v>
      </c>
      <c r="V24" s="88" t="s">
        <v>648</v>
      </c>
      <c r="W24" s="89" t="s">
        <v>362</v>
      </c>
      <c r="X24" s="88" t="s">
        <v>499</v>
      </c>
      <c r="Y24" s="87" t="s">
        <v>527</v>
      </c>
      <c r="Z24" s="88" t="s">
        <v>544</v>
      </c>
      <c r="AA24" s="88" t="s">
        <v>649</v>
      </c>
      <c r="AB24" s="88" t="s">
        <v>650</v>
      </c>
      <c r="AC24" s="87" t="s">
        <v>618</v>
      </c>
      <c r="AD24" s="88" t="s">
        <v>369</v>
      </c>
      <c r="AE24" s="88" t="s">
        <v>530</v>
      </c>
      <c r="AF24" s="88" t="s">
        <v>651</v>
      </c>
      <c r="AG24" s="62" t="s">
        <v>652</v>
      </c>
      <c r="AH24" s="1"/>
      <c r="AI24" s="1"/>
      <c r="AJ24" s="1"/>
      <c r="AK24" s="1"/>
      <c r="AL24" s="17" t="s">
        <v>385</v>
      </c>
      <c r="AM24" s="17" t="s">
        <v>653</v>
      </c>
      <c r="AN24" s="17" t="s">
        <v>654</v>
      </c>
      <c r="AO24" s="17" t="s">
        <v>655</v>
      </c>
      <c r="AP24" s="17" t="s">
        <v>362</v>
      </c>
      <c r="AQ24" s="1"/>
      <c r="AR24" s="1"/>
      <c r="AS24" s="1"/>
      <c r="AT24" s="18" t="s">
        <v>645</v>
      </c>
      <c r="AU24" s="19" t="s">
        <v>364</v>
      </c>
      <c r="AV24" s="19" t="s">
        <v>499</v>
      </c>
      <c r="AW24" s="20" t="s">
        <v>530</v>
      </c>
      <c r="AX24" s="19" t="s">
        <v>500</v>
      </c>
      <c r="AY24" s="19" t="s">
        <v>542</v>
      </c>
      <c r="AZ24" s="1"/>
      <c r="BA24" s="1"/>
      <c r="BB24" s="1"/>
      <c r="BC24" s="1"/>
    </row>
    <row r="25" spans="7:55" x14ac:dyDescent="0.5">
      <c r="G25" s="1" t="s">
        <v>656</v>
      </c>
      <c r="H25" s="1" t="s">
        <v>656</v>
      </c>
      <c r="I25" s="1" t="s">
        <v>656</v>
      </c>
      <c r="J25" s="1"/>
      <c r="K25" s="1"/>
      <c r="L25" s="1" t="s">
        <v>657</v>
      </c>
      <c r="M25" s="1" t="s">
        <v>99</v>
      </c>
      <c r="N25" s="1" t="s">
        <v>648</v>
      </c>
      <c r="O25" s="1" t="s">
        <v>646</v>
      </c>
      <c r="P25" s="1" t="s">
        <v>604</v>
      </c>
      <c r="Q25" s="1" t="s">
        <v>658</v>
      </c>
      <c r="R25" s="1"/>
      <c r="S25" s="87" t="s">
        <v>657</v>
      </c>
      <c r="T25" s="88" t="s">
        <v>99</v>
      </c>
      <c r="U25" s="88" t="s">
        <v>648</v>
      </c>
      <c r="V25" s="88" t="s">
        <v>646</v>
      </c>
      <c r="W25" s="88" t="s">
        <v>604</v>
      </c>
      <c r="X25" s="88" t="s">
        <v>658</v>
      </c>
      <c r="Y25" s="87" t="s">
        <v>659</v>
      </c>
      <c r="Z25" s="88" t="s">
        <v>577</v>
      </c>
      <c r="AA25" s="88" t="s">
        <v>660</v>
      </c>
      <c r="AB25" s="88" t="s">
        <v>661</v>
      </c>
      <c r="AC25" s="87" t="s">
        <v>91</v>
      </c>
      <c r="AD25" s="88" t="s">
        <v>662</v>
      </c>
      <c r="AE25" s="88" t="s">
        <v>58</v>
      </c>
      <c r="AF25" s="88" t="s">
        <v>385</v>
      </c>
      <c r="AG25" s="62" t="s">
        <v>373</v>
      </c>
      <c r="AH25" s="1"/>
      <c r="AI25" s="1"/>
      <c r="AJ25" s="1"/>
      <c r="AK25" s="1"/>
      <c r="AL25" s="17" t="s">
        <v>653</v>
      </c>
      <c r="AM25" s="17" t="s">
        <v>663</v>
      </c>
      <c r="AN25" s="17" t="s">
        <v>377</v>
      </c>
      <c r="AO25" s="17" t="s">
        <v>664</v>
      </c>
      <c r="AP25" s="17" t="s">
        <v>618</v>
      </c>
      <c r="AQ25" s="1"/>
      <c r="AR25" s="1"/>
      <c r="AS25" s="1"/>
      <c r="AT25" s="20" t="s">
        <v>385</v>
      </c>
      <c r="AU25" s="19" t="s">
        <v>94</v>
      </c>
      <c r="AV25" s="21" t="s">
        <v>514</v>
      </c>
      <c r="AW25" s="19" t="s">
        <v>592</v>
      </c>
      <c r="AX25" s="19" t="s">
        <v>595</v>
      </c>
      <c r="AY25" s="19" t="s">
        <v>556</v>
      </c>
      <c r="AZ25" s="1"/>
      <c r="BA25" s="1"/>
      <c r="BB25" s="1"/>
      <c r="BC25" s="1"/>
    </row>
    <row r="26" spans="7:55" x14ac:dyDescent="0.5">
      <c r="G26" s="1"/>
      <c r="H26" s="1"/>
      <c r="I26" s="1"/>
      <c r="J26" s="1"/>
      <c r="K26" s="1"/>
      <c r="L26" s="1" t="s">
        <v>606</v>
      </c>
      <c r="M26" s="1" t="s">
        <v>662</v>
      </c>
      <c r="N26" s="1" t="s">
        <v>565</v>
      </c>
      <c r="O26" s="1" t="s">
        <v>665</v>
      </c>
      <c r="P26" s="1" t="s">
        <v>666</v>
      </c>
      <c r="Q26" s="1" t="s">
        <v>514</v>
      </c>
      <c r="R26" s="1"/>
      <c r="S26" s="87" t="s">
        <v>606</v>
      </c>
      <c r="T26" s="88" t="s">
        <v>662</v>
      </c>
      <c r="U26" s="88" t="s">
        <v>565</v>
      </c>
      <c r="V26" s="88" t="s">
        <v>665</v>
      </c>
      <c r="W26" s="88" t="s">
        <v>666</v>
      </c>
      <c r="X26" s="88" t="s">
        <v>514</v>
      </c>
      <c r="Y26" s="87" t="s">
        <v>489</v>
      </c>
      <c r="Z26" s="88" t="s">
        <v>667</v>
      </c>
      <c r="AA26" s="88" t="s">
        <v>364</v>
      </c>
      <c r="AB26" s="88" t="s">
        <v>369</v>
      </c>
      <c r="AC26" s="87" t="s">
        <v>94</v>
      </c>
      <c r="AD26" s="88" t="s">
        <v>668</v>
      </c>
      <c r="AE26" s="88" t="s">
        <v>666</v>
      </c>
      <c r="AF26" s="88" t="s">
        <v>653</v>
      </c>
      <c r="AG26" s="62" t="s">
        <v>669</v>
      </c>
      <c r="AH26" s="1"/>
      <c r="AI26" s="1"/>
      <c r="AJ26" s="1"/>
      <c r="AK26" s="1"/>
      <c r="AL26" s="17" t="s">
        <v>653</v>
      </c>
      <c r="AM26" s="17" t="s">
        <v>670</v>
      </c>
      <c r="AN26" s="17" t="s">
        <v>663</v>
      </c>
      <c r="AO26" s="17" t="s">
        <v>617</v>
      </c>
      <c r="AP26" s="17" t="s">
        <v>91</v>
      </c>
      <c r="AQ26" s="1"/>
      <c r="AR26" s="1"/>
      <c r="AS26" s="1"/>
      <c r="AT26" s="18" t="s">
        <v>653</v>
      </c>
      <c r="AU26" s="19" t="s">
        <v>531</v>
      </c>
      <c r="AV26" s="19" t="s">
        <v>549</v>
      </c>
      <c r="AW26" s="21" t="s">
        <v>58</v>
      </c>
      <c r="AX26" s="19" t="s">
        <v>509</v>
      </c>
      <c r="AY26" s="19" t="s">
        <v>499</v>
      </c>
      <c r="AZ26" s="1"/>
      <c r="BA26" s="1"/>
      <c r="BB26" s="1"/>
      <c r="BC26" s="1"/>
    </row>
    <row r="27" spans="7:55" x14ac:dyDescent="0.5">
      <c r="G27" s="1"/>
      <c r="H27" s="1"/>
      <c r="I27" s="1"/>
      <c r="J27" s="1"/>
      <c r="K27" s="1"/>
      <c r="L27" s="1" t="s">
        <v>671</v>
      </c>
      <c r="M27" s="1" t="s">
        <v>579</v>
      </c>
      <c r="N27" s="1" t="s">
        <v>662</v>
      </c>
      <c r="O27" s="1" t="s">
        <v>655</v>
      </c>
      <c r="P27" s="1" t="s">
        <v>543</v>
      </c>
      <c r="Q27" s="1" t="s">
        <v>584</v>
      </c>
      <c r="R27" s="1"/>
      <c r="S27" s="87" t="s">
        <v>671</v>
      </c>
      <c r="T27" s="88" t="s">
        <v>579</v>
      </c>
      <c r="U27" s="88" t="s">
        <v>662</v>
      </c>
      <c r="V27" s="88" t="s">
        <v>655</v>
      </c>
      <c r="W27" s="88" t="s">
        <v>543</v>
      </c>
      <c r="X27" s="88" t="s">
        <v>584</v>
      </c>
      <c r="Y27" s="87" t="s">
        <v>570</v>
      </c>
      <c r="Z27" s="88" t="s">
        <v>369</v>
      </c>
      <c r="AA27" s="88" t="s">
        <v>672</v>
      </c>
      <c r="AB27" s="89" t="s">
        <v>56</v>
      </c>
      <c r="AC27" s="87" t="s">
        <v>667</v>
      </c>
      <c r="AD27" s="88" t="s">
        <v>673</v>
      </c>
      <c r="AE27" s="88" t="s">
        <v>632</v>
      </c>
      <c r="AF27" s="88" t="s">
        <v>674</v>
      </c>
      <c r="AG27" s="63" t="s">
        <v>675</v>
      </c>
      <c r="AH27" s="1"/>
      <c r="AI27" s="1"/>
      <c r="AJ27" s="1"/>
      <c r="AK27" s="1"/>
      <c r="AL27" s="17" t="s">
        <v>676</v>
      </c>
      <c r="AM27" s="17" t="s">
        <v>677</v>
      </c>
      <c r="AN27" s="17" t="s">
        <v>678</v>
      </c>
      <c r="AO27" s="17" t="s">
        <v>679</v>
      </c>
      <c r="AP27" s="17" t="s">
        <v>648</v>
      </c>
      <c r="AQ27" s="1"/>
      <c r="AR27" s="1"/>
      <c r="AS27" s="1"/>
      <c r="AT27" s="22" t="s">
        <v>676</v>
      </c>
      <c r="AU27" s="19" t="s">
        <v>610</v>
      </c>
      <c r="AV27" s="19" t="s">
        <v>489</v>
      </c>
      <c r="AW27" s="20" t="s">
        <v>548</v>
      </c>
      <c r="AX27" s="21" t="s">
        <v>519</v>
      </c>
      <c r="AY27" s="19" t="s">
        <v>643</v>
      </c>
      <c r="AZ27" s="1"/>
      <c r="BA27" s="1"/>
      <c r="BB27" s="1"/>
      <c r="BC27" s="1"/>
    </row>
    <row r="28" spans="7:55" x14ac:dyDescent="0.5">
      <c r="G28" s="1"/>
      <c r="H28" s="1"/>
      <c r="I28" s="1"/>
      <c r="J28" s="1"/>
      <c r="K28" s="1"/>
      <c r="L28" s="1" t="s">
        <v>617</v>
      </c>
      <c r="M28" s="1" t="s">
        <v>384</v>
      </c>
      <c r="N28" s="1" t="s">
        <v>384</v>
      </c>
      <c r="O28" s="1" t="s">
        <v>564</v>
      </c>
      <c r="P28" s="1" t="s">
        <v>364</v>
      </c>
      <c r="Q28" s="1" t="s">
        <v>549</v>
      </c>
      <c r="R28" s="1"/>
      <c r="S28" s="87" t="s">
        <v>617</v>
      </c>
      <c r="T28" s="88" t="s">
        <v>384</v>
      </c>
      <c r="U28" s="88" t="s">
        <v>384</v>
      </c>
      <c r="V28" s="88" t="s">
        <v>564</v>
      </c>
      <c r="W28" s="88" t="s">
        <v>364</v>
      </c>
      <c r="X28" s="88" t="s">
        <v>549</v>
      </c>
      <c r="Y28" s="87" t="s">
        <v>551</v>
      </c>
      <c r="Z28" s="88" t="s">
        <v>99</v>
      </c>
      <c r="AA28" s="88" t="s">
        <v>680</v>
      </c>
      <c r="AB28" s="88" t="s">
        <v>681</v>
      </c>
      <c r="AC28" s="90" t="s">
        <v>369</v>
      </c>
      <c r="AD28" s="88" t="s">
        <v>682</v>
      </c>
      <c r="AE28" s="88" t="s">
        <v>618</v>
      </c>
      <c r="AF28" s="88" t="s">
        <v>663</v>
      </c>
      <c r="AG28" s="62" t="s">
        <v>683</v>
      </c>
      <c r="AH28" s="1"/>
      <c r="AI28" s="1"/>
      <c r="AJ28" s="1"/>
      <c r="AK28" s="1"/>
      <c r="AL28" s="17"/>
      <c r="AM28" s="17"/>
      <c r="AN28" s="17" t="s">
        <v>684</v>
      </c>
      <c r="AO28" s="17" t="s">
        <v>622</v>
      </c>
      <c r="AP28" s="17" t="s">
        <v>531</v>
      </c>
      <c r="AQ28" s="1"/>
      <c r="AR28" s="1"/>
      <c r="AS28" s="1"/>
      <c r="AT28" s="22"/>
      <c r="AU28" s="19" t="s">
        <v>544</v>
      </c>
      <c r="AV28" s="21" t="s">
        <v>360</v>
      </c>
      <c r="AW28" s="18" t="s">
        <v>590</v>
      </c>
      <c r="AX28" s="19" t="s">
        <v>605</v>
      </c>
      <c r="AY28" s="19" t="s">
        <v>539</v>
      </c>
      <c r="AZ28" s="1"/>
      <c r="BA28" s="1"/>
      <c r="BB28" s="1"/>
      <c r="BC28" s="1"/>
    </row>
    <row r="29" spans="7:55" x14ac:dyDescent="0.5">
      <c r="G29" s="1"/>
      <c r="H29" s="1"/>
      <c r="I29" s="1"/>
      <c r="J29" s="1"/>
      <c r="K29" s="1"/>
      <c r="L29" s="1" t="s">
        <v>685</v>
      </c>
      <c r="M29" s="1" t="s">
        <v>665</v>
      </c>
      <c r="N29" s="1" t="s">
        <v>655</v>
      </c>
      <c r="O29" s="1" t="s">
        <v>686</v>
      </c>
      <c r="P29" s="1" t="s">
        <v>687</v>
      </c>
      <c r="Q29" s="1" t="s">
        <v>508</v>
      </c>
      <c r="R29" s="1"/>
      <c r="S29" s="87" t="s">
        <v>685</v>
      </c>
      <c r="T29" s="88" t="s">
        <v>665</v>
      </c>
      <c r="U29" s="88" t="s">
        <v>655</v>
      </c>
      <c r="V29" s="88" t="s">
        <v>686</v>
      </c>
      <c r="W29" s="88" t="s">
        <v>687</v>
      </c>
      <c r="X29" s="88" t="s">
        <v>508</v>
      </c>
      <c r="Y29" s="87" t="s">
        <v>574</v>
      </c>
      <c r="Z29" s="88" t="s">
        <v>646</v>
      </c>
      <c r="AA29" s="88" t="s">
        <v>577</v>
      </c>
      <c r="AB29" s="88" t="s">
        <v>646</v>
      </c>
      <c r="AC29" s="87" t="s">
        <v>688</v>
      </c>
      <c r="AD29" s="88" t="s">
        <v>645</v>
      </c>
      <c r="AE29" s="88" t="s">
        <v>680</v>
      </c>
      <c r="AF29" s="88" t="s">
        <v>689</v>
      </c>
      <c r="AG29" s="63" t="s">
        <v>382</v>
      </c>
      <c r="AH29" s="1"/>
      <c r="AI29" s="1"/>
      <c r="AJ29" s="1"/>
      <c r="AK29" s="1"/>
      <c r="AL29" s="17"/>
      <c r="AM29" s="1"/>
      <c r="AN29" s="17" t="s">
        <v>690</v>
      </c>
      <c r="AO29" s="17" t="s">
        <v>691</v>
      </c>
      <c r="AP29" s="17" t="s">
        <v>650</v>
      </c>
      <c r="AQ29" s="1"/>
      <c r="AR29" s="1"/>
      <c r="AS29" s="1"/>
      <c r="AT29" s="1"/>
      <c r="AU29" s="19" t="s">
        <v>577</v>
      </c>
      <c r="AV29" s="19" t="s">
        <v>546</v>
      </c>
      <c r="AW29" s="19" t="s">
        <v>521</v>
      </c>
      <c r="AX29" s="19" t="s">
        <v>356</v>
      </c>
      <c r="AY29" s="19" t="s">
        <v>508</v>
      </c>
      <c r="AZ29" s="1"/>
      <c r="BA29" s="1"/>
      <c r="BB29" s="1"/>
      <c r="BC29" s="1"/>
    </row>
    <row r="30" spans="7:55" x14ac:dyDescent="0.5">
      <c r="G30" s="1"/>
      <c r="H30" s="1"/>
      <c r="I30" s="1"/>
      <c r="J30" s="1"/>
      <c r="K30" s="1"/>
      <c r="L30" s="1" t="s">
        <v>679</v>
      </c>
      <c r="M30" s="1" t="s">
        <v>578</v>
      </c>
      <c r="N30" s="1" t="s">
        <v>564</v>
      </c>
      <c r="O30" s="1" t="s">
        <v>374</v>
      </c>
      <c r="P30" s="1" t="s">
        <v>692</v>
      </c>
      <c r="Q30" s="1" t="s">
        <v>508</v>
      </c>
      <c r="R30" s="1"/>
      <c r="S30" s="87" t="s">
        <v>679</v>
      </c>
      <c r="T30" s="88" t="s">
        <v>578</v>
      </c>
      <c r="U30" s="88" t="s">
        <v>564</v>
      </c>
      <c r="V30" s="88" t="s">
        <v>374</v>
      </c>
      <c r="W30" s="88" t="s">
        <v>692</v>
      </c>
      <c r="X30" s="88" t="s">
        <v>508</v>
      </c>
      <c r="Y30" s="87" t="s">
        <v>693</v>
      </c>
      <c r="Z30" s="88" t="s">
        <v>694</v>
      </c>
      <c r="AA30" s="88" t="s">
        <v>695</v>
      </c>
      <c r="AB30" s="88" t="s">
        <v>696</v>
      </c>
      <c r="AC30" s="90" t="s">
        <v>697</v>
      </c>
      <c r="AD30" s="88" t="s">
        <v>698</v>
      </c>
      <c r="AE30" s="88" t="s">
        <v>373</v>
      </c>
      <c r="AF30" s="88"/>
      <c r="AG30" s="62" t="s">
        <v>94</v>
      </c>
      <c r="AH30" s="1"/>
      <c r="AI30" s="1"/>
      <c r="AJ30" s="1"/>
      <c r="AK30" s="1"/>
      <c r="AL30" s="17"/>
      <c r="AM30" s="1"/>
      <c r="AN30" s="17" t="s">
        <v>699</v>
      </c>
      <c r="AO30" s="17" t="s">
        <v>700</v>
      </c>
      <c r="AP30" s="17" t="s">
        <v>366</v>
      </c>
      <c r="AQ30" s="1"/>
      <c r="AR30" s="1"/>
      <c r="AS30" s="1"/>
      <c r="AT30" s="1"/>
      <c r="AU30" s="19" t="s">
        <v>558</v>
      </c>
      <c r="AV30" s="19" t="s">
        <v>570</v>
      </c>
      <c r="AW30" s="21" t="s">
        <v>618</v>
      </c>
      <c r="AX30" s="21" t="s">
        <v>474</v>
      </c>
      <c r="AY30" s="19" t="s">
        <v>515</v>
      </c>
      <c r="AZ30" s="1"/>
      <c r="BA30" s="1"/>
      <c r="BB30" s="1"/>
      <c r="BC30" s="1"/>
    </row>
    <row r="31" spans="7:55" x14ac:dyDescent="0.5">
      <c r="G31" s="1"/>
      <c r="H31" s="1"/>
      <c r="I31" s="1"/>
      <c r="J31" s="1"/>
      <c r="K31" s="1"/>
      <c r="L31" s="1" t="s">
        <v>638</v>
      </c>
      <c r="M31" s="1" t="s">
        <v>673</v>
      </c>
      <c r="N31" s="1" t="s">
        <v>626</v>
      </c>
      <c r="O31" s="1" t="s">
        <v>622</v>
      </c>
      <c r="P31" s="1" t="s">
        <v>366</v>
      </c>
      <c r="Q31" s="1" t="s">
        <v>515</v>
      </c>
      <c r="R31" s="1"/>
      <c r="S31" s="87" t="s">
        <v>638</v>
      </c>
      <c r="T31" s="88" t="s">
        <v>673</v>
      </c>
      <c r="U31" s="88" t="s">
        <v>626</v>
      </c>
      <c r="V31" s="88" t="s">
        <v>622</v>
      </c>
      <c r="W31" s="88" t="s">
        <v>366</v>
      </c>
      <c r="X31" s="88" t="s">
        <v>515</v>
      </c>
      <c r="Y31" s="87" t="s">
        <v>666</v>
      </c>
      <c r="Z31" s="88" t="s">
        <v>665</v>
      </c>
      <c r="AA31" s="88" t="s">
        <v>368</v>
      </c>
      <c r="AB31" s="88" t="s">
        <v>697</v>
      </c>
      <c r="AC31" s="87" t="s">
        <v>617</v>
      </c>
      <c r="AD31" s="88" t="s">
        <v>674</v>
      </c>
      <c r="AE31" s="88" t="s">
        <v>701</v>
      </c>
      <c r="AF31" s="88"/>
      <c r="AG31" s="62"/>
      <c r="AH31" s="1"/>
      <c r="AI31" s="1"/>
      <c r="AJ31" s="1"/>
      <c r="AK31" s="1"/>
      <c r="AL31" s="17"/>
      <c r="AM31" s="1"/>
      <c r="AN31" s="17" t="s">
        <v>702</v>
      </c>
      <c r="AO31" s="17" t="s">
        <v>703</v>
      </c>
      <c r="AP31" s="17" t="s">
        <v>704</v>
      </c>
      <c r="AQ31" s="1"/>
      <c r="AR31" s="1"/>
      <c r="AS31" s="1"/>
      <c r="AT31" s="1"/>
      <c r="AU31" s="19" t="s">
        <v>369</v>
      </c>
      <c r="AV31" s="21" t="s">
        <v>515</v>
      </c>
      <c r="AW31" s="19" t="s">
        <v>628</v>
      </c>
      <c r="AX31" s="21" t="s">
        <v>488</v>
      </c>
      <c r="AY31" s="19" t="s">
        <v>555</v>
      </c>
      <c r="AZ31" s="1"/>
      <c r="BA31" s="1"/>
      <c r="BB31" s="1"/>
      <c r="BC31" s="1"/>
    </row>
    <row r="32" spans="7:55" x14ac:dyDescent="0.5">
      <c r="G32" s="1"/>
      <c r="H32" s="1"/>
      <c r="I32" s="1"/>
      <c r="J32" s="1"/>
      <c r="K32" s="1"/>
      <c r="L32" s="1" t="s">
        <v>622</v>
      </c>
      <c r="M32" s="1" t="s">
        <v>625</v>
      </c>
      <c r="N32" s="1" t="s">
        <v>372</v>
      </c>
      <c r="O32" s="1" t="s">
        <v>700</v>
      </c>
      <c r="P32" s="1" t="s">
        <v>367</v>
      </c>
      <c r="Q32" s="1" t="s">
        <v>501</v>
      </c>
      <c r="R32" s="1"/>
      <c r="S32" s="87" t="s">
        <v>622</v>
      </c>
      <c r="T32" s="88" t="s">
        <v>625</v>
      </c>
      <c r="U32" s="88" t="s">
        <v>372</v>
      </c>
      <c r="V32" s="88" t="s">
        <v>700</v>
      </c>
      <c r="W32" s="88" t="s">
        <v>367</v>
      </c>
      <c r="X32" s="88" t="s">
        <v>501</v>
      </c>
      <c r="Y32" s="87" t="s">
        <v>632</v>
      </c>
      <c r="Z32" s="88" t="s">
        <v>697</v>
      </c>
      <c r="AA32" s="88" t="s">
        <v>609</v>
      </c>
      <c r="AB32" s="88" t="s">
        <v>705</v>
      </c>
      <c r="AC32" s="87" t="s">
        <v>706</v>
      </c>
      <c r="AD32" s="89" t="s">
        <v>377</v>
      </c>
      <c r="AE32" s="88" t="s">
        <v>707</v>
      </c>
      <c r="AF32" s="88"/>
      <c r="AG32" s="62"/>
      <c r="AH32" s="1"/>
      <c r="AI32" s="1"/>
      <c r="AJ32" s="1"/>
      <c r="AK32" s="1"/>
      <c r="AL32" s="17"/>
      <c r="AM32" s="1"/>
      <c r="AN32" s="1"/>
      <c r="AO32" s="17" t="s">
        <v>708</v>
      </c>
      <c r="AP32" s="17" t="s">
        <v>709</v>
      </c>
      <c r="AQ32" s="1"/>
      <c r="AR32" s="1"/>
      <c r="AS32" s="1"/>
      <c r="AT32" s="1"/>
      <c r="AU32" s="19" t="s">
        <v>99</v>
      </c>
      <c r="AV32" s="21" t="s">
        <v>583</v>
      </c>
      <c r="AW32" s="19" t="s">
        <v>91</v>
      </c>
      <c r="AX32" s="19" t="s">
        <v>542</v>
      </c>
      <c r="AY32" s="19" t="s">
        <v>535</v>
      </c>
      <c r="AZ32" s="1"/>
      <c r="BA32" s="1"/>
      <c r="BB32" s="1"/>
      <c r="BC32" s="1"/>
    </row>
    <row r="33" spans="12:51" x14ac:dyDescent="0.5">
      <c r="L33" s="1" t="s">
        <v>710</v>
      </c>
      <c r="M33" s="1" t="s">
        <v>710</v>
      </c>
      <c r="N33" s="1" t="s">
        <v>711</v>
      </c>
      <c r="O33" s="1" t="s">
        <v>385</v>
      </c>
      <c r="P33" s="1" t="s">
        <v>368</v>
      </c>
      <c r="Q33" s="1" t="s">
        <v>530</v>
      </c>
      <c r="R33" s="1"/>
      <c r="S33" s="90" t="s">
        <v>710</v>
      </c>
      <c r="T33" s="88" t="s">
        <v>710</v>
      </c>
      <c r="U33" s="88" t="s">
        <v>711</v>
      </c>
      <c r="V33" s="88" t="s">
        <v>385</v>
      </c>
      <c r="W33" s="89" t="s">
        <v>368</v>
      </c>
      <c r="X33" s="88" t="s">
        <v>530</v>
      </c>
      <c r="Y33" s="87" t="s">
        <v>712</v>
      </c>
      <c r="Z33" s="88" t="s">
        <v>713</v>
      </c>
      <c r="AA33" s="88" t="s">
        <v>369</v>
      </c>
      <c r="AB33" s="88" t="s">
        <v>714</v>
      </c>
      <c r="AC33" s="87" t="s">
        <v>622</v>
      </c>
      <c r="AD33" s="88" t="s">
        <v>678</v>
      </c>
      <c r="AE33" s="88" t="s">
        <v>715</v>
      </c>
      <c r="AF33" s="88"/>
      <c r="AG33" s="62"/>
      <c r="AH33" s="1"/>
      <c r="AI33" s="1"/>
      <c r="AJ33" s="1"/>
      <c r="AK33" s="1"/>
      <c r="AL33" s="1"/>
      <c r="AM33" s="1"/>
      <c r="AN33" s="1"/>
      <c r="AO33" s="17" t="s">
        <v>716</v>
      </c>
      <c r="AP33" s="17" t="s">
        <v>717</v>
      </c>
      <c r="AQ33" s="1"/>
      <c r="AR33" s="1"/>
      <c r="AS33" s="1"/>
      <c r="AT33" s="1"/>
      <c r="AU33" s="19" t="s">
        <v>565</v>
      </c>
      <c r="AV33" s="19" t="s">
        <v>524</v>
      </c>
      <c r="AW33" s="21" t="s">
        <v>648</v>
      </c>
      <c r="AX33" s="19" t="s">
        <v>556</v>
      </c>
      <c r="AY33" s="19" t="s">
        <v>566</v>
      </c>
    </row>
    <row r="34" spans="12:51" x14ac:dyDescent="0.5">
      <c r="L34" s="1" t="s">
        <v>700</v>
      </c>
      <c r="M34" s="1" t="s">
        <v>674</v>
      </c>
      <c r="N34" s="1" t="s">
        <v>638</v>
      </c>
      <c r="O34" s="1" t="s">
        <v>653</v>
      </c>
      <c r="P34" s="1" t="s">
        <v>369</v>
      </c>
      <c r="Q34" s="1" t="s">
        <v>666</v>
      </c>
      <c r="R34" s="1"/>
      <c r="S34" s="87" t="s">
        <v>700</v>
      </c>
      <c r="T34" s="88" t="s">
        <v>674</v>
      </c>
      <c r="U34" s="88" t="s">
        <v>638</v>
      </c>
      <c r="V34" s="88" t="s">
        <v>653</v>
      </c>
      <c r="W34" s="88" t="s">
        <v>369</v>
      </c>
      <c r="X34" s="88" t="s">
        <v>666</v>
      </c>
      <c r="Y34" s="90" t="s">
        <v>368</v>
      </c>
      <c r="Z34" s="88" t="s">
        <v>626</v>
      </c>
      <c r="AA34" s="88" t="s">
        <v>718</v>
      </c>
      <c r="AB34" s="88" t="s">
        <v>679</v>
      </c>
      <c r="AC34" s="87" t="s">
        <v>719</v>
      </c>
      <c r="AD34" s="88"/>
      <c r="AE34" s="88" t="s">
        <v>720</v>
      </c>
      <c r="AF34" s="88"/>
      <c r="AG34" s="62"/>
      <c r="AH34" s="1"/>
      <c r="AI34" s="1"/>
      <c r="AJ34" s="1"/>
      <c r="AK34" s="1"/>
      <c r="AL34" s="1"/>
      <c r="AM34" s="1"/>
      <c r="AN34" s="1"/>
      <c r="AO34" s="17" t="s">
        <v>721</v>
      </c>
      <c r="AP34" s="17" t="s">
        <v>722</v>
      </c>
      <c r="AQ34" s="1"/>
      <c r="AR34" s="1"/>
      <c r="AS34" s="1"/>
      <c r="AT34" s="1"/>
      <c r="AU34" s="19" t="s">
        <v>662</v>
      </c>
      <c r="AV34" s="19" t="s">
        <v>559</v>
      </c>
      <c r="AW34" s="20" t="s">
        <v>597</v>
      </c>
      <c r="AX34" s="19" t="s">
        <v>615</v>
      </c>
      <c r="AY34" s="19" t="s">
        <v>604</v>
      </c>
    </row>
    <row r="35" spans="12:51" x14ac:dyDescent="0.5">
      <c r="L35" s="1" t="s">
        <v>723</v>
      </c>
      <c r="M35" s="1" t="s">
        <v>724</v>
      </c>
      <c r="N35" s="1" t="s">
        <v>725</v>
      </c>
      <c r="O35" s="1" t="s">
        <v>721</v>
      </c>
      <c r="P35" s="1" t="s">
        <v>579</v>
      </c>
      <c r="Q35" s="1" t="s">
        <v>632</v>
      </c>
      <c r="R35" s="1"/>
      <c r="S35" s="87" t="s">
        <v>723</v>
      </c>
      <c r="T35" s="88" t="s">
        <v>724</v>
      </c>
      <c r="U35" s="88" t="s">
        <v>725</v>
      </c>
      <c r="V35" s="88" t="s">
        <v>721</v>
      </c>
      <c r="W35" s="88" t="s">
        <v>579</v>
      </c>
      <c r="X35" s="88" t="s">
        <v>632</v>
      </c>
      <c r="Y35" s="87" t="s">
        <v>369</v>
      </c>
      <c r="Z35" s="88" t="s">
        <v>492</v>
      </c>
      <c r="AA35" s="88" t="s">
        <v>726</v>
      </c>
      <c r="AB35" s="88" t="s">
        <v>727</v>
      </c>
      <c r="AC35" s="90" t="s">
        <v>723</v>
      </c>
      <c r="AD35" s="88"/>
      <c r="AE35" s="88" t="s">
        <v>678</v>
      </c>
      <c r="AF35" s="88"/>
      <c r="AG35" s="62"/>
      <c r="AH35" s="1"/>
      <c r="AI35" s="1"/>
      <c r="AJ35" s="1"/>
      <c r="AK35" s="1"/>
      <c r="AL35" s="1"/>
      <c r="AM35" s="1"/>
      <c r="AN35" s="1"/>
      <c r="AO35" s="17" t="s">
        <v>568</v>
      </c>
      <c r="AP35" s="17" t="s">
        <v>635</v>
      </c>
      <c r="AQ35" s="1"/>
      <c r="AR35" s="1"/>
      <c r="AS35" s="1"/>
      <c r="AT35" s="1"/>
      <c r="AU35" s="19" t="s">
        <v>579</v>
      </c>
      <c r="AV35" s="21" t="s">
        <v>555</v>
      </c>
      <c r="AW35" s="18" t="s">
        <v>99</v>
      </c>
      <c r="AX35" s="21" t="s">
        <v>563</v>
      </c>
      <c r="AY35" s="19" t="s">
        <v>530</v>
      </c>
    </row>
    <row r="36" spans="12:51" x14ac:dyDescent="0.5">
      <c r="L36" s="1" t="s">
        <v>385</v>
      </c>
      <c r="M36" s="1" t="s">
        <v>663</v>
      </c>
      <c r="N36" s="1" t="s">
        <v>654</v>
      </c>
      <c r="O36" s="1" t="s">
        <v>728</v>
      </c>
      <c r="P36" s="1" t="s">
        <v>694</v>
      </c>
      <c r="Q36" s="1" t="s">
        <v>364</v>
      </c>
      <c r="R36" s="1"/>
      <c r="S36" s="87" t="s">
        <v>385</v>
      </c>
      <c r="T36" s="88" t="s">
        <v>663</v>
      </c>
      <c r="U36" s="88" t="s">
        <v>654</v>
      </c>
      <c r="V36" s="88" t="s">
        <v>728</v>
      </c>
      <c r="W36" s="88" t="s">
        <v>694</v>
      </c>
      <c r="X36" s="89" t="s">
        <v>364</v>
      </c>
      <c r="Y36" s="87" t="s">
        <v>646</v>
      </c>
      <c r="Z36" s="88" t="s">
        <v>729</v>
      </c>
      <c r="AA36" s="88" t="s">
        <v>730</v>
      </c>
      <c r="AB36" s="88" t="s">
        <v>622</v>
      </c>
      <c r="AC36" s="87" t="s">
        <v>678</v>
      </c>
      <c r="AD36" s="88"/>
      <c r="AE36" s="88" t="s">
        <v>731</v>
      </c>
      <c r="AF36" s="88"/>
      <c r="AG36" s="62"/>
      <c r="AH36" s="1"/>
      <c r="AI36" s="1"/>
      <c r="AJ36" s="1"/>
      <c r="AK36" s="1"/>
      <c r="AL36" s="1"/>
      <c r="AM36" s="1"/>
      <c r="AN36" s="1"/>
      <c r="AO36" s="1"/>
      <c r="AP36" s="17" t="s">
        <v>686</v>
      </c>
      <c r="AQ36" s="1"/>
      <c r="AR36" s="1"/>
      <c r="AS36" s="1"/>
      <c r="AT36" s="1"/>
      <c r="AU36" s="19" t="s">
        <v>589</v>
      </c>
      <c r="AV36" s="19" t="s">
        <v>535</v>
      </c>
      <c r="AW36" s="19" t="s">
        <v>565</v>
      </c>
      <c r="AX36" s="21" t="s">
        <v>621</v>
      </c>
      <c r="AY36" s="19" t="s">
        <v>632</v>
      </c>
    </row>
    <row r="37" spans="12:51" x14ac:dyDescent="0.5">
      <c r="L37" s="1" t="s">
        <v>732</v>
      </c>
      <c r="M37" s="1" t="s">
        <v>670</v>
      </c>
      <c r="N37" s="1" t="s">
        <v>733</v>
      </c>
      <c r="O37" s="1"/>
      <c r="P37" s="1" t="s">
        <v>384</v>
      </c>
      <c r="Q37" s="1" t="s">
        <v>618</v>
      </c>
      <c r="R37" s="1"/>
      <c r="S37" s="87" t="s">
        <v>732</v>
      </c>
      <c r="T37" s="88" t="s">
        <v>670</v>
      </c>
      <c r="U37" s="88" t="s">
        <v>733</v>
      </c>
      <c r="V37" s="88"/>
      <c r="W37" s="88" t="s">
        <v>384</v>
      </c>
      <c r="X37" s="88" t="s">
        <v>618</v>
      </c>
      <c r="Y37" s="87" t="s">
        <v>734</v>
      </c>
      <c r="Z37" s="88" t="s">
        <v>735</v>
      </c>
      <c r="AA37" s="88" t="s">
        <v>384</v>
      </c>
      <c r="AB37" s="88" t="s">
        <v>700</v>
      </c>
      <c r="AC37" s="87" t="s">
        <v>669</v>
      </c>
      <c r="AD37" s="88"/>
      <c r="AE37" s="88" t="s">
        <v>675</v>
      </c>
      <c r="AF37" s="88"/>
      <c r="AG37" s="62"/>
      <c r="AH37" s="1"/>
      <c r="AI37" s="1"/>
      <c r="AJ37" s="1"/>
      <c r="AK37" s="1"/>
      <c r="AL37" s="1"/>
      <c r="AM37" s="1"/>
      <c r="AN37" s="1"/>
      <c r="AO37" s="1"/>
      <c r="AP37" s="17" t="s">
        <v>736</v>
      </c>
      <c r="AQ37" s="1"/>
      <c r="AR37" s="1"/>
      <c r="AS37" s="1"/>
      <c r="AT37" s="1"/>
      <c r="AU37" s="19" t="s">
        <v>384</v>
      </c>
      <c r="AV37" s="19" t="s">
        <v>362</v>
      </c>
      <c r="AW37" s="21" t="s">
        <v>662</v>
      </c>
      <c r="AX37" s="21" t="s">
        <v>561</v>
      </c>
      <c r="AY37" s="19" t="s">
        <v>618</v>
      </c>
    </row>
    <row r="38" spans="12:51" x14ac:dyDescent="0.5">
      <c r="L38" s="1" t="s">
        <v>737</v>
      </c>
      <c r="M38" s="1" t="s">
        <v>678</v>
      </c>
      <c r="N38" s="1" t="s">
        <v>653</v>
      </c>
      <c r="O38" s="1"/>
      <c r="P38" s="1" t="s">
        <v>738</v>
      </c>
      <c r="Q38" s="1" t="s">
        <v>91</v>
      </c>
      <c r="R38" s="1"/>
      <c r="S38" s="87" t="s">
        <v>737</v>
      </c>
      <c r="T38" s="88" t="s">
        <v>678</v>
      </c>
      <c r="U38" s="88" t="s">
        <v>653</v>
      </c>
      <c r="V38" s="88"/>
      <c r="W38" s="88" t="s">
        <v>738</v>
      </c>
      <c r="X38" s="88" t="s">
        <v>91</v>
      </c>
      <c r="Y38" s="87" t="s">
        <v>739</v>
      </c>
      <c r="Z38" s="88" t="s">
        <v>385</v>
      </c>
      <c r="AA38" s="88" t="s">
        <v>740</v>
      </c>
      <c r="AB38" s="88" t="s">
        <v>741</v>
      </c>
      <c r="AC38" s="87" t="s">
        <v>742</v>
      </c>
      <c r="AD38" s="88"/>
      <c r="AE38" s="88" t="s">
        <v>742</v>
      </c>
      <c r="AF38" s="88"/>
      <c r="AG38" s="62"/>
      <c r="AH38" s="1"/>
      <c r="AI38" s="1"/>
      <c r="AJ38" s="1"/>
      <c r="AK38" s="1"/>
      <c r="AL38" s="1"/>
      <c r="AM38" s="1"/>
      <c r="AN38" s="1"/>
      <c r="AO38" s="1"/>
      <c r="AP38" s="17" t="s">
        <v>743</v>
      </c>
      <c r="AQ38" s="1"/>
      <c r="AR38" s="1"/>
      <c r="AS38" s="1"/>
      <c r="AT38" s="1"/>
      <c r="AU38" s="19" t="s">
        <v>665</v>
      </c>
      <c r="AV38" s="18" t="s">
        <v>566</v>
      </c>
      <c r="AW38" s="18" t="s">
        <v>384</v>
      </c>
      <c r="AX38" s="21" t="s">
        <v>633</v>
      </c>
      <c r="AY38" s="19" t="s">
        <v>680</v>
      </c>
    </row>
    <row r="39" spans="12:51" x14ac:dyDescent="0.5">
      <c r="L39" s="1" t="s">
        <v>653</v>
      </c>
      <c r="M39" s="1" t="s">
        <v>721</v>
      </c>
      <c r="N39" s="1" t="s">
        <v>724</v>
      </c>
      <c r="O39" s="1"/>
      <c r="P39" s="1" t="s">
        <v>744</v>
      </c>
      <c r="Q39" s="1" t="s">
        <v>91</v>
      </c>
      <c r="R39" s="1"/>
      <c r="S39" s="87" t="s">
        <v>653</v>
      </c>
      <c r="T39" s="88" t="s">
        <v>721</v>
      </c>
      <c r="U39" s="88" t="s">
        <v>724</v>
      </c>
      <c r="V39" s="88"/>
      <c r="W39" s="88" t="s">
        <v>744</v>
      </c>
      <c r="X39" s="88" t="s">
        <v>91</v>
      </c>
      <c r="Y39" s="87" t="s">
        <v>745</v>
      </c>
      <c r="Z39" s="88" t="s">
        <v>737</v>
      </c>
      <c r="AA39" s="88" t="s">
        <v>578</v>
      </c>
      <c r="AB39" s="88" t="s">
        <v>385</v>
      </c>
      <c r="AC39" s="87" t="s">
        <v>702</v>
      </c>
      <c r="AD39" s="88"/>
      <c r="AE39" s="88" t="s">
        <v>699</v>
      </c>
      <c r="AF39" s="88"/>
      <c r="AG39" s="62"/>
      <c r="AH39" s="1"/>
      <c r="AI39" s="1"/>
      <c r="AJ39" s="1"/>
      <c r="AK39" s="1"/>
      <c r="AL39" s="1"/>
      <c r="AM39" s="1"/>
      <c r="AN39" s="1"/>
      <c r="AO39" s="1"/>
      <c r="AP39" s="17" t="s">
        <v>616</v>
      </c>
      <c r="AQ39" s="1"/>
      <c r="AR39" s="1"/>
      <c r="AS39" s="1"/>
      <c r="AT39" s="1"/>
      <c r="AU39" s="19" t="s">
        <v>578</v>
      </c>
      <c r="AV39" s="20" t="s">
        <v>580</v>
      </c>
      <c r="AW39" s="21" t="s">
        <v>655</v>
      </c>
      <c r="AX39" s="21" t="s">
        <v>499</v>
      </c>
      <c r="AY39" s="19" t="s">
        <v>562</v>
      </c>
    </row>
    <row r="40" spans="12:51" ht="18.600000000000001" thickBot="1" x14ac:dyDescent="0.55000000000000004">
      <c r="L40" s="1" t="s">
        <v>674</v>
      </c>
      <c r="M40" s="1" t="s">
        <v>677</v>
      </c>
      <c r="N40" s="1" t="s">
        <v>377</v>
      </c>
      <c r="O40" s="1"/>
      <c r="P40" s="1" t="s">
        <v>734</v>
      </c>
      <c r="Q40" s="1" t="s">
        <v>746</v>
      </c>
      <c r="R40" s="1"/>
      <c r="S40" s="87" t="s">
        <v>674</v>
      </c>
      <c r="T40" s="88" t="s">
        <v>677</v>
      </c>
      <c r="U40" s="89" t="s">
        <v>377</v>
      </c>
      <c r="V40" s="88"/>
      <c r="W40" s="88" t="s">
        <v>734</v>
      </c>
      <c r="X40" s="88" t="s">
        <v>746</v>
      </c>
      <c r="Y40" s="87" t="s">
        <v>745</v>
      </c>
      <c r="Z40" s="88" t="s">
        <v>670</v>
      </c>
      <c r="AA40" s="88" t="s">
        <v>697</v>
      </c>
      <c r="AB40" s="88" t="s">
        <v>747</v>
      </c>
      <c r="AC40" s="91" t="s">
        <v>748</v>
      </c>
      <c r="AD40" s="92"/>
      <c r="AE40" s="92"/>
      <c r="AF40" s="92"/>
      <c r="AG40" s="64"/>
      <c r="AH40" s="1"/>
      <c r="AI40" s="1"/>
      <c r="AJ40" s="1"/>
      <c r="AK40" s="1"/>
      <c r="AL40" s="1"/>
      <c r="AM40" s="1"/>
      <c r="AN40" s="1"/>
      <c r="AO40" s="1"/>
      <c r="AP40" s="17" t="s">
        <v>749</v>
      </c>
      <c r="AQ40" s="1"/>
      <c r="AR40" s="1"/>
      <c r="AS40" s="1"/>
      <c r="AT40" s="1"/>
      <c r="AU40" s="19" t="s">
        <v>596</v>
      </c>
      <c r="AV40" s="21" t="s">
        <v>545</v>
      </c>
      <c r="AW40" s="19" t="s">
        <v>564</v>
      </c>
      <c r="AX40" s="21" t="s">
        <v>643</v>
      </c>
      <c r="AY40" s="19" t="s">
        <v>577</v>
      </c>
    </row>
    <row r="41" spans="12:51" x14ac:dyDescent="0.5">
      <c r="L41" s="1" t="s">
        <v>750</v>
      </c>
      <c r="M41" s="1" t="s">
        <v>380</v>
      </c>
      <c r="N41" s="1" t="s">
        <v>690</v>
      </c>
      <c r="O41" s="1"/>
      <c r="P41" s="1" t="s">
        <v>626</v>
      </c>
      <c r="Q41" s="1" t="s">
        <v>751</v>
      </c>
      <c r="R41" s="1"/>
      <c r="S41" s="87" t="s">
        <v>750</v>
      </c>
      <c r="T41" s="88" t="s">
        <v>380</v>
      </c>
      <c r="U41" s="88" t="s">
        <v>690</v>
      </c>
      <c r="V41" s="88"/>
      <c r="W41" s="88" t="s">
        <v>626</v>
      </c>
      <c r="X41" s="88" t="s">
        <v>751</v>
      </c>
      <c r="Y41" s="87" t="s">
        <v>679</v>
      </c>
      <c r="Z41" s="88" t="s">
        <v>752</v>
      </c>
      <c r="AA41" s="88" t="s">
        <v>713</v>
      </c>
      <c r="AB41" s="93" t="s">
        <v>753</v>
      </c>
      <c r="AC41" s="88"/>
      <c r="AD41" s="88"/>
      <c r="AE41" s="88"/>
      <c r="AF41" s="88"/>
      <c r="AG41" s="1"/>
      <c r="AH41" s="1"/>
      <c r="AI41" s="1"/>
      <c r="AJ41" s="1"/>
      <c r="AK41" s="1"/>
      <c r="AL41" s="1"/>
      <c r="AM41" s="1"/>
      <c r="AN41" s="1"/>
      <c r="AO41" s="1"/>
      <c r="AP41" s="17" t="s">
        <v>754</v>
      </c>
      <c r="AQ41" s="1"/>
      <c r="AR41" s="1"/>
      <c r="AS41" s="1"/>
      <c r="AT41" s="1"/>
      <c r="AU41" s="19" t="s">
        <v>673</v>
      </c>
      <c r="AV41" s="19" t="s">
        <v>569</v>
      </c>
      <c r="AW41" s="21" t="s">
        <v>626</v>
      </c>
      <c r="AX41" s="19" t="s">
        <v>539</v>
      </c>
      <c r="AY41" s="19" t="s">
        <v>366</v>
      </c>
    </row>
    <row r="42" spans="12:51" x14ac:dyDescent="0.5">
      <c r="L42" s="1" t="s">
        <v>670</v>
      </c>
      <c r="M42" s="1" t="s">
        <v>755</v>
      </c>
      <c r="N42" s="1" t="s">
        <v>702</v>
      </c>
      <c r="O42" s="1"/>
      <c r="P42" s="1" t="s">
        <v>492</v>
      </c>
      <c r="Q42" s="1" t="s">
        <v>722</v>
      </c>
      <c r="R42" s="1"/>
      <c r="S42" s="87" t="s">
        <v>670</v>
      </c>
      <c r="T42" s="88" t="s">
        <v>755</v>
      </c>
      <c r="U42" s="88" t="s">
        <v>702</v>
      </c>
      <c r="V42" s="88"/>
      <c r="W42" s="88" t="s">
        <v>492</v>
      </c>
      <c r="X42" s="88" t="s">
        <v>722</v>
      </c>
      <c r="Y42" s="87" t="s">
        <v>638</v>
      </c>
      <c r="Z42" s="88"/>
      <c r="AA42" s="88" t="s">
        <v>626</v>
      </c>
      <c r="AB42" s="93" t="s">
        <v>756</v>
      </c>
      <c r="AC42" s="88"/>
      <c r="AD42" s="88"/>
      <c r="AE42" s="88"/>
      <c r="AF42" s="88"/>
      <c r="AG42" s="1"/>
      <c r="AH42" s="1"/>
      <c r="AI42" s="1"/>
      <c r="AJ42" s="1"/>
      <c r="AK42" s="1"/>
      <c r="AL42" s="1"/>
      <c r="AM42" s="1"/>
      <c r="AN42" s="1"/>
      <c r="AO42" s="1"/>
      <c r="AP42" s="17" t="s">
        <v>700</v>
      </c>
      <c r="AQ42" s="1"/>
      <c r="AR42" s="1"/>
      <c r="AS42" s="1"/>
      <c r="AT42" s="1"/>
      <c r="AU42" s="19" t="s">
        <v>617</v>
      </c>
      <c r="AV42" s="18" t="s">
        <v>530</v>
      </c>
      <c r="AW42" s="19" t="s">
        <v>372</v>
      </c>
      <c r="AX42" s="21" t="s">
        <v>508</v>
      </c>
      <c r="AY42" s="19" t="s">
        <v>99</v>
      </c>
    </row>
    <row r="43" spans="12:51" x14ac:dyDescent="0.5">
      <c r="L43" s="1" t="s">
        <v>757</v>
      </c>
      <c r="M43" s="1"/>
      <c r="N43" s="1" t="s">
        <v>748</v>
      </c>
      <c r="O43" s="1"/>
      <c r="P43" s="1" t="s">
        <v>745</v>
      </c>
      <c r="Q43" s="1" t="s">
        <v>635</v>
      </c>
      <c r="R43" s="1"/>
      <c r="S43" s="87" t="s">
        <v>757</v>
      </c>
      <c r="T43" s="88"/>
      <c r="U43" s="88" t="s">
        <v>748</v>
      </c>
      <c r="V43" s="88"/>
      <c r="W43" s="88" t="s">
        <v>745</v>
      </c>
      <c r="X43" s="88" t="s">
        <v>635</v>
      </c>
      <c r="Y43" s="87" t="s">
        <v>758</v>
      </c>
      <c r="Z43" s="88"/>
      <c r="AA43" s="88" t="s">
        <v>686</v>
      </c>
      <c r="AB43" s="93" t="s">
        <v>759</v>
      </c>
      <c r="AC43" s="88"/>
      <c r="AD43" s="88"/>
      <c r="AE43" s="88"/>
      <c r="AF43" s="88"/>
      <c r="AG43" s="1"/>
      <c r="AH43" s="1"/>
      <c r="AI43" s="1"/>
      <c r="AJ43" s="1"/>
      <c r="AK43" s="1"/>
      <c r="AL43" s="1"/>
      <c r="AM43" s="1"/>
      <c r="AN43" s="1"/>
      <c r="AO43" s="1"/>
      <c r="AP43" s="17" t="s">
        <v>760</v>
      </c>
      <c r="AQ43" s="1"/>
      <c r="AR43" s="1"/>
      <c r="AS43" s="1"/>
      <c r="AT43" s="1"/>
      <c r="AU43" s="19" t="s">
        <v>637</v>
      </c>
      <c r="AV43" s="19" t="s">
        <v>592</v>
      </c>
      <c r="AW43" s="21" t="s">
        <v>711</v>
      </c>
      <c r="AX43" s="21" t="s">
        <v>359</v>
      </c>
      <c r="AY43" s="19" t="s">
        <v>635</v>
      </c>
    </row>
    <row r="44" spans="12:51" x14ac:dyDescent="0.5">
      <c r="L44" s="1" t="s">
        <v>678</v>
      </c>
      <c r="M44" s="1"/>
      <c r="N44" s="1"/>
      <c r="O44" s="1"/>
      <c r="P44" s="1" t="s">
        <v>671</v>
      </c>
      <c r="Q44" s="1" t="s">
        <v>761</v>
      </c>
      <c r="R44" s="1"/>
      <c r="S44" s="90" t="s">
        <v>678</v>
      </c>
      <c r="T44" s="88"/>
      <c r="U44" s="88"/>
      <c r="V44" s="88"/>
      <c r="W44" s="88" t="s">
        <v>671</v>
      </c>
      <c r="X44" s="88" t="s">
        <v>761</v>
      </c>
      <c r="Y44" s="87" t="s">
        <v>700</v>
      </c>
      <c r="Z44" s="88"/>
      <c r="AA44" s="88" t="s">
        <v>762</v>
      </c>
      <c r="AB44" s="93" t="s">
        <v>750</v>
      </c>
      <c r="AC44" s="88"/>
      <c r="AD44" s="88"/>
      <c r="AE44" s="88"/>
      <c r="AF44" s="88"/>
      <c r="AG44" s="1"/>
      <c r="AH44" s="1"/>
      <c r="AI44" s="1"/>
      <c r="AJ44" s="1"/>
      <c r="AK44" s="1"/>
      <c r="AL44" s="1"/>
      <c r="AM44" s="1"/>
      <c r="AN44" s="1"/>
      <c r="AO44" s="1"/>
      <c r="AP44" s="17" t="s">
        <v>678</v>
      </c>
      <c r="AQ44" s="1"/>
      <c r="AR44" s="1"/>
      <c r="AS44" s="1"/>
      <c r="AT44" s="1"/>
      <c r="AU44" s="19" t="s">
        <v>622</v>
      </c>
      <c r="AV44" s="21" t="s">
        <v>58</v>
      </c>
      <c r="AW44" s="19" t="s">
        <v>638</v>
      </c>
      <c r="AX44" s="21" t="s">
        <v>529</v>
      </c>
      <c r="AY44" s="19" t="s">
        <v>644</v>
      </c>
    </row>
    <row r="45" spans="12:51" x14ac:dyDescent="0.5">
      <c r="L45" s="1" t="s">
        <v>763</v>
      </c>
      <c r="M45" s="1"/>
      <c r="N45" s="1"/>
      <c r="O45" s="1"/>
      <c r="P45" s="1" t="s">
        <v>685</v>
      </c>
      <c r="Q45" s="1" t="s">
        <v>761</v>
      </c>
      <c r="R45" s="1"/>
      <c r="S45" s="87" t="s">
        <v>763</v>
      </c>
      <c r="T45" s="88"/>
      <c r="U45" s="88"/>
      <c r="V45" s="88"/>
      <c r="W45" s="88" t="s">
        <v>685</v>
      </c>
      <c r="X45" s="88" t="s">
        <v>761</v>
      </c>
      <c r="Y45" s="87" t="s">
        <v>764</v>
      </c>
      <c r="Z45" s="88"/>
      <c r="AA45" s="88" t="s">
        <v>765</v>
      </c>
      <c r="AB45" s="93" t="s">
        <v>377</v>
      </c>
      <c r="AC45" s="88"/>
      <c r="AD45" s="88"/>
      <c r="AE45" s="88"/>
      <c r="AF45" s="88"/>
      <c r="AG45" s="1"/>
      <c r="AH45" s="1"/>
      <c r="AI45" s="1"/>
      <c r="AJ45" s="1"/>
      <c r="AK45" s="1"/>
      <c r="AL45" s="1"/>
      <c r="AM45" s="1"/>
      <c r="AN45" s="1"/>
      <c r="AO45" s="1"/>
      <c r="AP45" s="17" t="s">
        <v>608</v>
      </c>
      <c r="AQ45" s="1"/>
      <c r="AR45" s="1"/>
      <c r="AS45" s="1"/>
      <c r="AT45" s="1"/>
      <c r="AU45" s="19" t="s">
        <v>710</v>
      </c>
      <c r="AV45" s="20" t="s">
        <v>598</v>
      </c>
      <c r="AW45" s="21" t="s">
        <v>725</v>
      </c>
      <c r="AX45" s="19" t="s">
        <v>515</v>
      </c>
      <c r="AY45" s="19" t="s">
        <v>652</v>
      </c>
    </row>
    <row r="46" spans="12:51" x14ac:dyDescent="0.5">
      <c r="L46" s="1"/>
      <c r="M46" s="1"/>
      <c r="N46" s="1"/>
      <c r="O46" s="1"/>
      <c r="P46" s="1" t="s">
        <v>679</v>
      </c>
      <c r="Q46" s="1" t="s">
        <v>686</v>
      </c>
      <c r="R46" s="1"/>
      <c r="S46" s="87"/>
      <c r="T46" s="88"/>
      <c r="U46" s="88"/>
      <c r="V46" s="88"/>
      <c r="W46" s="88" t="s">
        <v>679</v>
      </c>
      <c r="X46" s="88" t="s">
        <v>686</v>
      </c>
      <c r="Y46" s="87" t="s">
        <v>733</v>
      </c>
      <c r="Z46" s="88"/>
      <c r="AA46" s="88" t="s">
        <v>745</v>
      </c>
      <c r="AB46" s="93" t="s">
        <v>766</v>
      </c>
      <c r="AC46" s="88"/>
      <c r="AD46" s="88"/>
      <c r="AE46" s="88"/>
      <c r="AF46" s="88"/>
      <c r="AG46" s="1"/>
      <c r="AH46" s="1"/>
      <c r="AI46" s="1"/>
      <c r="AJ46" s="1"/>
      <c r="AK46" s="1"/>
      <c r="AL46" s="1"/>
      <c r="AM46" s="1"/>
      <c r="AN46" s="1"/>
      <c r="AO46" s="1"/>
      <c r="AP46" s="17" t="s">
        <v>748</v>
      </c>
      <c r="AQ46" s="1"/>
      <c r="AR46" s="1"/>
      <c r="AS46" s="1"/>
      <c r="AT46" s="1"/>
      <c r="AU46" s="19" t="s">
        <v>653</v>
      </c>
      <c r="AV46" s="18" t="s">
        <v>607</v>
      </c>
      <c r="AW46" s="18" t="s">
        <v>374</v>
      </c>
      <c r="AX46" s="19" t="s">
        <v>555</v>
      </c>
      <c r="AY46" s="19" t="s">
        <v>373</v>
      </c>
    </row>
    <row r="47" spans="12:51" x14ac:dyDescent="0.5">
      <c r="L47" s="1"/>
      <c r="M47" s="1"/>
      <c r="N47" s="1"/>
      <c r="O47" s="1"/>
      <c r="P47" s="1" t="s">
        <v>638</v>
      </c>
      <c r="Q47" s="1" t="s">
        <v>745</v>
      </c>
      <c r="R47" s="1"/>
      <c r="S47" s="87"/>
      <c r="T47" s="88"/>
      <c r="U47" s="88"/>
      <c r="V47" s="88"/>
      <c r="W47" s="88" t="s">
        <v>638</v>
      </c>
      <c r="X47" s="88" t="s">
        <v>745</v>
      </c>
      <c r="Y47" s="87" t="s">
        <v>767</v>
      </c>
      <c r="Z47" s="88"/>
      <c r="AA47" s="88" t="s">
        <v>714</v>
      </c>
      <c r="AB47" s="93" t="s">
        <v>670</v>
      </c>
      <c r="AC47" s="88"/>
      <c r="AD47" s="88"/>
      <c r="AE47" s="88"/>
      <c r="AF47" s="88"/>
      <c r="AG47" s="1"/>
      <c r="AH47" s="1"/>
      <c r="AI47" s="1"/>
      <c r="AJ47" s="1"/>
      <c r="AK47" s="1"/>
      <c r="AL47" s="1"/>
      <c r="AM47" s="1"/>
      <c r="AN47" s="1"/>
      <c r="AO47" s="1"/>
      <c r="AP47" s="17"/>
      <c r="AQ47" s="1"/>
      <c r="AR47" s="1"/>
      <c r="AS47" s="1"/>
      <c r="AT47" s="1"/>
      <c r="AU47" s="19" t="s">
        <v>674</v>
      </c>
      <c r="AV47" s="19" t="s">
        <v>521</v>
      </c>
      <c r="AW47" s="19" t="s">
        <v>654</v>
      </c>
      <c r="AX47" s="21" t="s">
        <v>535</v>
      </c>
      <c r="AY47" s="19" t="s">
        <v>616</v>
      </c>
    </row>
    <row r="48" spans="12:51" x14ac:dyDescent="0.5">
      <c r="L48" s="1"/>
      <c r="M48" s="1"/>
      <c r="N48" s="1"/>
      <c r="O48" s="1"/>
      <c r="P48" s="1" t="s">
        <v>638</v>
      </c>
      <c r="Q48" s="1" t="s">
        <v>671</v>
      </c>
      <c r="R48" s="1"/>
      <c r="S48" s="87"/>
      <c r="T48" s="88"/>
      <c r="U48" s="88"/>
      <c r="V48" s="88"/>
      <c r="W48" s="88" t="s">
        <v>638</v>
      </c>
      <c r="X48" s="88" t="s">
        <v>671</v>
      </c>
      <c r="Y48" s="87" t="s">
        <v>768</v>
      </c>
      <c r="Z48" s="88"/>
      <c r="AA48" s="88" t="s">
        <v>644</v>
      </c>
      <c r="AB48" s="93" t="s">
        <v>769</v>
      </c>
      <c r="AC48" s="88"/>
      <c r="AD48" s="88"/>
      <c r="AE48" s="88"/>
      <c r="AF48" s="88"/>
      <c r="AG48" s="1"/>
      <c r="AH48" s="1"/>
      <c r="AI48" s="1"/>
      <c r="AJ48" s="1"/>
      <c r="AK48" s="1"/>
      <c r="AL48" s="1"/>
      <c r="AM48" s="1"/>
      <c r="AN48" s="1"/>
      <c r="AO48" s="1"/>
      <c r="AP48" s="1"/>
      <c r="AQ48" s="1"/>
      <c r="AR48" s="1"/>
      <c r="AS48" s="1"/>
      <c r="AT48" s="1"/>
      <c r="AU48" s="19" t="s">
        <v>724</v>
      </c>
      <c r="AV48" s="20" t="s">
        <v>364</v>
      </c>
      <c r="AW48" s="21" t="s">
        <v>733</v>
      </c>
      <c r="AX48" s="19" t="s">
        <v>566</v>
      </c>
      <c r="AY48" s="19" t="s">
        <v>622</v>
      </c>
    </row>
    <row r="49" spans="16:51" x14ac:dyDescent="0.5">
      <c r="P49" s="1" t="s">
        <v>770</v>
      </c>
      <c r="Q49" s="1" t="s">
        <v>771</v>
      </c>
      <c r="R49" s="1"/>
      <c r="S49" s="87"/>
      <c r="T49" s="88"/>
      <c r="U49" s="88"/>
      <c r="V49" s="88"/>
      <c r="W49" s="88" t="s">
        <v>770</v>
      </c>
      <c r="X49" s="88" t="s">
        <v>771</v>
      </c>
      <c r="Y49" s="87" t="s">
        <v>772</v>
      </c>
      <c r="Z49" s="88"/>
      <c r="AA49" s="88" t="s">
        <v>711</v>
      </c>
      <c r="AB49" s="93" t="s">
        <v>669</v>
      </c>
      <c r="AC49" s="88"/>
      <c r="AD49" s="88"/>
      <c r="AE49" s="88"/>
      <c r="AF49" s="88"/>
      <c r="AG49" s="1"/>
      <c r="AH49" s="1"/>
      <c r="AI49" s="1"/>
      <c r="AJ49" s="1"/>
      <c r="AK49" s="1"/>
      <c r="AL49" s="1"/>
      <c r="AM49" s="1"/>
      <c r="AN49" s="1"/>
      <c r="AO49" s="1"/>
      <c r="AP49" s="1"/>
      <c r="AQ49" s="1"/>
      <c r="AR49" s="1"/>
      <c r="AS49" s="1"/>
      <c r="AT49" s="1"/>
      <c r="AU49" s="19" t="s">
        <v>663</v>
      </c>
      <c r="AV49" s="21" t="s">
        <v>618</v>
      </c>
      <c r="AW49" s="19" t="s">
        <v>653</v>
      </c>
      <c r="AX49" s="21" t="s">
        <v>604</v>
      </c>
      <c r="AY49" s="19" t="s">
        <v>634</v>
      </c>
    </row>
    <row r="50" spans="16:51" x14ac:dyDescent="0.5">
      <c r="P50" s="1" t="s">
        <v>374</v>
      </c>
      <c r="Q50" s="1" t="s">
        <v>637</v>
      </c>
      <c r="R50" s="1"/>
      <c r="S50" s="87"/>
      <c r="T50" s="88"/>
      <c r="U50" s="88"/>
      <c r="V50" s="88"/>
      <c r="W50" s="88" t="s">
        <v>374</v>
      </c>
      <c r="X50" s="88" t="s">
        <v>637</v>
      </c>
      <c r="Y50" s="87" t="s">
        <v>380</v>
      </c>
      <c r="Z50" s="88"/>
      <c r="AA50" s="88" t="s">
        <v>679</v>
      </c>
      <c r="AB50" s="93" t="s">
        <v>773</v>
      </c>
      <c r="AC50" s="88"/>
      <c r="AD50" s="88"/>
      <c r="AE50" s="88"/>
      <c r="AF50" s="88"/>
      <c r="AG50" s="1"/>
      <c r="AH50" s="1"/>
      <c r="AI50" s="1"/>
      <c r="AJ50" s="1"/>
      <c r="AK50" s="1"/>
      <c r="AL50" s="1"/>
      <c r="AM50" s="1"/>
      <c r="AN50" s="1"/>
      <c r="AO50" s="1"/>
      <c r="AP50" s="1"/>
      <c r="AQ50" s="1"/>
      <c r="AR50" s="1"/>
      <c r="AS50" s="1"/>
      <c r="AT50" s="1"/>
      <c r="AU50" s="19" t="s">
        <v>670</v>
      </c>
      <c r="AV50" s="19" t="s">
        <v>628</v>
      </c>
      <c r="AW50" s="21" t="s">
        <v>724</v>
      </c>
      <c r="AX50" s="21" t="s">
        <v>530</v>
      </c>
      <c r="AY50" s="19" t="s">
        <v>547</v>
      </c>
    </row>
    <row r="51" spans="16:51" x14ac:dyDescent="0.5">
      <c r="P51" s="1" t="s">
        <v>774</v>
      </c>
      <c r="Q51" s="1" t="s">
        <v>775</v>
      </c>
      <c r="R51" s="1"/>
      <c r="S51" s="87"/>
      <c r="T51" s="88"/>
      <c r="U51" s="88"/>
      <c r="V51" s="88"/>
      <c r="W51" s="88" t="s">
        <v>774</v>
      </c>
      <c r="X51" s="88" t="s">
        <v>775</v>
      </c>
      <c r="Y51" s="87" t="s">
        <v>752</v>
      </c>
      <c r="Z51" s="88"/>
      <c r="AA51" s="88" t="s">
        <v>638</v>
      </c>
      <c r="AB51" s="93" t="s">
        <v>776</v>
      </c>
      <c r="AC51" s="88"/>
      <c r="AD51" s="88"/>
      <c r="AE51" s="88"/>
      <c r="AF51" s="88"/>
      <c r="AG51" s="1"/>
      <c r="AH51" s="1"/>
      <c r="AI51" s="1"/>
      <c r="AJ51" s="1"/>
      <c r="AK51" s="1"/>
      <c r="AL51" s="1"/>
      <c r="AM51" s="1"/>
      <c r="AN51" s="1"/>
      <c r="AO51" s="1"/>
      <c r="AP51" s="1"/>
      <c r="AQ51" s="1"/>
      <c r="AR51" s="1"/>
      <c r="AS51" s="1"/>
      <c r="AT51" s="1"/>
      <c r="AU51" s="19" t="s">
        <v>678</v>
      </c>
      <c r="AV51" s="19" t="s">
        <v>91</v>
      </c>
      <c r="AW51" s="19" t="s">
        <v>377</v>
      </c>
      <c r="AX51" s="21" t="s">
        <v>666</v>
      </c>
      <c r="AY51" s="19" t="s">
        <v>707</v>
      </c>
    </row>
    <row r="52" spans="16:51" x14ac:dyDescent="0.5">
      <c r="P52" s="1" t="s">
        <v>735</v>
      </c>
      <c r="Q52" s="1" t="s">
        <v>760</v>
      </c>
      <c r="R52" s="1"/>
      <c r="S52" s="87"/>
      <c r="T52" s="88"/>
      <c r="U52" s="88"/>
      <c r="V52" s="88"/>
      <c r="W52" s="88" t="s">
        <v>735</v>
      </c>
      <c r="X52" s="88" t="s">
        <v>760</v>
      </c>
      <c r="Y52" s="87" t="s">
        <v>382</v>
      </c>
      <c r="Z52" s="88"/>
      <c r="AA52" s="88" t="s">
        <v>777</v>
      </c>
      <c r="AB52" s="93" t="s">
        <v>778</v>
      </c>
      <c r="AC52" s="88"/>
      <c r="AD52" s="88"/>
      <c r="AE52" s="88"/>
      <c r="AF52" s="88"/>
      <c r="AG52" s="1"/>
      <c r="AH52" s="1"/>
      <c r="AI52" s="1"/>
      <c r="AJ52" s="1"/>
      <c r="AK52" s="1"/>
      <c r="AL52" s="1"/>
      <c r="AM52" s="1"/>
      <c r="AN52" s="1"/>
      <c r="AO52" s="1"/>
      <c r="AP52" s="1"/>
      <c r="AQ52" s="1"/>
      <c r="AR52" s="1"/>
      <c r="AS52" s="1"/>
      <c r="AT52" s="1"/>
      <c r="AU52" s="19" t="s">
        <v>721</v>
      </c>
      <c r="AV52" s="18" t="s">
        <v>94</v>
      </c>
      <c r="AW52" s="20" t="s">
        <v>663</v>
      </c>
      <c r="AX52" s="19" t="s">
        <v>623</v>
      </c>
      <c r="AY52" s="19" t="s">
        <v>715</v>
      </c>
    </row>
    <row r="53" spans="16:51" x14ac:dyDescent="0.5">
      <c r="P53" s="1" t="s">
        <v>637</v>
      </c>
      <c r="Q53" s="1" t="s">
        <v>779</v>
      </c>
      <c r="R53" s="1"/>
      <c r="S53" s="87"/>
      <c r="T53" s="88"/>
      <c r="U53" s="88"/>
      <c r="V53" s="88"/>
      <c r="W53" s="88" t="s">
        <v>637</v>
      </c>
      <c r="X53" s="88" t="s">
        <v>779</v>
      </c>
      <c r="Y53" s="87"/>
      <c r="Z53" s="88"/>
      <c r="AA53" s="88" t="s">
        <v>374</v>
      </c>
      <c r="AB53" s="93" t="s">
        <v>591</v>
      </c>
      <c r="AC53" s="88"/>
      <c r="AD53" s="88"/>
      <c r="AE53" s="88"/>
      <c r="AF53" s="88"/>
      <c r="AG53" s="1"/>
      <c r="AH53" s="1"/>
      <c r="AI53" s="1"/>
      <c r="AJ53" s="1"/>
      <c r="AK53" s="1"/>
      <c r="AL53" s="1"/>
      <c r="AM53" s="1"/>
      <c r="AN53" s="1"/>
      <c r="AO53" s="1"/>
      <c r="AP53" s="1"/>
      <c r="AQ53" s="1"/>
      <c r="AR53" s="1"/>
      <c r="AS53" s="1"/>
      <c r="AT53" s="1"/>
      <c r="AU53" s="19" t="s">
        <v>677</v>
      </c>
      <c r="AV53" s="19" t="s">
        <v>648</v>
      </c>
      <c r="AW53" s="18" t="s">
        <v>678</v>
      </c>
      <c r="AX53" s="21" t="s">
        <v>632</v>
      </c>
      <c r="AY53" s="19" t="s">
        <v>385</v>
      </c>
    </row>
    <row r="54" spans="16:51" x14ac:dyDescent="0.5">
      <c r="P54" s="1" t="s">
        <v>758</v>
      </c>
      <c r="Q54" s="1" t="s">
        <v>377</v>
      </c>
      <c r="R54" s="1"/>
      <c r="S54" s="87"/>
      <c r="T54" s="88"/>
      <c r="U54" s="88"/>
      <c r="V54" s="88"/>
      <c r="W54" s="88" t="s">
        <v>758</v>
      </c>
      <c r="X54" s="89" t="s">
        <v>377</v>
      </c>
      <c r="Y54" s="87"/>
      <c r="Z54" s="88"/>
      <c r="AA54" s="88" t="s">
        <v>780</v>
      </c>
      <c r="AB54" s="93" t="s">
        <v>781</v>
      </c>
      <c r="AC54" s="88"/>
      <c r="AD54" s="88"/>
      <c r="AE54" s="88"/>
      <c r="AF54" s="88"/>
      <c r="AG54" s="1"/>
      <c r="AH54" s="1"/>
      <c r="AI54" s="1"/>
      <c r="AJ54" s="1"/>
      <c r="AK54" s="1"/>
      <c r="AL54" s="1"/>
      <c r="AM54" s="1"/>
      <c r="AN54" s="1"/>
      <c r="AO54" s="1"/>
      <c r="AP54" s="1"/>
      <c r="AQ54" s="1"/>
      <c r="AR54" s="1"/>
      <c r="AS54" s="1"/>
      <c r="AT54" s="1"/>
      <c r="AU54" s="19" t="s">
        <v>380</v>
      </c>
      <c r="AV54" s="19" t="s">
        <v>565</v>
      </c>
      <c r="AW54" s="20" t="s">
        <v>684</v>
      </c>
      <c r="AX54" s="19" t="s">
        <v>618</v>
      </c>
      <c r="AY54" s="19" t="s">
        <v>653</v>
      </c>
    </row>
    <row r="55" spans="16:51" x14ac:dyDescent="0.5">
      <c r="P55" s="1" t="s">
        <v>376</v>
      </c>
      <c r="Q55" s="1" t="s">
        <v>768</v>
      </c>
      <c r="R55" s="1"/>
      <c r="S55" s="87"/>
      <c r="T55" s="88"/>
      <c r="U55" s="88"/>
      <c r="V55" s="88"/>
      <c r="W55" s="88" t="s">
        <v>376</v>
      </c>
      <c r="X55" s="88" t="s">
        <v>768</v>
      </c>
      <c r="Y55" s="87"/>
      <c r="Z55" s="88"/>
      <c r="AA55" s="88" t="s">
        <v>654</v>
      </c>
      <c r="AB55" s="93" t="s">
        <v>677</v>
      </c>
      <c r="AC55" s="88"/>
      <c r="AD55" s="88"/>
      <c r="AE55" s="88"/>
      <c r="AF55" s="88"/>
      <c r="AG55" s="1"/>
      <c r="AH55" s="1"/>
      <c r="AI55" s="1"/>
      <c r="AJ55" s="1"/>
      <c r="AK55" s="1"/>
      <c r="AL55" s="1"/>
      <c r="AM55" s="1"/>
      <c r="AN55" s="1"/>
      <c r="AO55" s="1"/>
      <c r="AP55" s="1"/>
      <c r="AQ55" s="1"/>
      <c r="AR55" s="1"/>
      <c r="AS55" s="1"/>
      <c r="AT55" s="1"/>
      <c r="AU55" s="19" t="s">
        <v>755</v>
      </c>
      <c r="AV55" s="21" t="s">
        <v>662</v>
      </c>
      <c r="AW55" s="21" t="s">
        <v>690</v>
      </c>
      <c r="AX55" s="21" t="s">
        <v>680</v>
      </c>
      <c r="AY55" s="19" t="s">
        <v>663</v>
      </c>
    </row>
    <row r="56" spans="16:51" x14ac:dyDescent="0.5">
      <c r="P56" s="1" t="s">
        <v>547</v>
      </c>
      <c r="Q56" s="1" t="s">
        <v>670</v>
      </c>
      <c r="R56" s="1"/>
      <c r="S56" s="87"/>
      <c r="T56" s="88"/>
      <c r="U56" s="88"/>
      <c r="V56" s="88"/>
      <c r="W56" s="88" t="s">
        <v>547</v>
      </c>
      <c r="X56" s="88" t="s">
        <v>670</v>
      </c>
      <c r="Y56" s="87"/>
      <c r="Z56" s="88"/>
      <c r="AA56" s="88" t="s">
        <v>710</v>
      </c>
      <c r="AB56" s="93" t="s">
        <v>782</v>
      </c>
      <c r="AC56" s="88"/>
      <c r="AD56" s="88"/>
      <c r="AE56" s="88"/>
      <c r="AF56" s="88"/>
      <c r="AG56" s="1"/>
      <c r="AH56" s="1"/>
      <c r="AI56" s="1"/>
      <c r="AJ56" s="1"/>
      <c r="AK56" s="1"/>
      <c r="AL56" s="1"/>
      <c r="AM56" s="1"/>
      <c r="AN56" s="1"/>
      <c r="AO56" s="1"/>
      <c r="AP56" s="1"/>
      <c r="AQ56" s="1"/>
      <c r="AR56" s="1"/>
      <c r="AS56" s="1"/>
      <c r="AT56" s="1"/>
      <c r="AU56" s="23"/>
      <c r="AV56" s="20" t="s">
        <v>579</v>
      </c>
      <c r="AW56" s="20" t="s">
        <v>699</v>
      </c>
      <c r="AX56" s="19" t="s">
        <v>562</v>
      </c>
      <c r="AY56" s="19" t="s">
        <v>678</v>
      </c>
    </row>
    <row r="57" spans="16:51" x14ac:dyDescent="0.5">
      <c r="P57" s="1" t="s">
        <v>783</v>
      </c>
      <c r="Q57" s="1" t="s">
        <v>678</v>
      </c>
      <c r="R57" s="1"/>
      <c r="S57" s="87"/>
      <c r="T57" s="88"/>
      <c r="U57" s="88"/>
      <c r="V57" s="88"/>
      <c r="W57" s="88" t="s">
        <v>783</v>
      </c>
      <c r="X57" s="88" t="s">
        <v>678</v>
      </c>
      <c r="Y57" s="87"/>
      <c r="Z57" s="88"/>
      <c r="AA57" s="88" t="s">
        <v>376</v>
      </c>
      <c r="AB57" s="93" t="s">
        <v>784</v>
      </c>
      <c r="AC57" s="88"/>
      <c r="AD57" s="88"/>
      <c r="AE57" s="88"/>
      <c r="AF57" s="88"/>
      <c r="AG57" s="1"/>
      <c r="AH57" s="1"/>
      <c r="AI57" s="1"/>
      <c r="AJ57" s="1"/>
      <c r="AK57" s="1"/>
      <c r="AL57" s="1"/>
      <c r="AM57" s="1"/>
      <c r="AN57" s="1"/>
      <c r="AO57" s="1"/>
      <c r="AP57" s="1"/>
      <c r="AQ57" s="1"/>
      <c r="AR57" s="1"/>
      <c r="AS57" s="1"/>
      <c r="AT57" s="1"/>
      <c r="AU57" s="1"/>
      <c r="AV57" s="21" t="s">
        <v>646</v>
      </c>
      <c r="AW57" s="19" t="s">
        <v>702</v>
      </c>
      <c r="AX57" s="19" t="s">
        <v>577</v>
      </c>
      <c r="AY57" s="19" t="s">
        <v>731</v>
      </c>
    </row>
    <row r="58" spans="16:51" x14ac:dyDescent="0.5">
      <c r="P58" s="1" t="s">
        <v>377</v>
      </c>
      <c r="Q58" s="1" t="s">
        <v>378</v>
      </c>
      <c r="R58" s="1"/>
      <c r="S58" s="87"/>
      <c r="T58" s="88"/>
      <c r="U58" s="88"/>
      <c r="V58" s="88"/>
      <c r="W58" s="88" t="s">
        <v>377</v>
      </c>
      <c r="X58" s="88" t="s">
        <v>378</v>
      </c>
      <c r="Y58" s="87"/>
      <c r="Z58" s="88"/>
      <c r="AA58" s="88" t="s">
        <v>785</v>
      </c>
      <c r="AB58" s="93" t="s">
        <v>755</v>
      </c>
      <c r="AC58" s="88"/>
      <c r="AD58" s="88"/>
      <c r="AE58" s="88"/>
      <c r="AF58" s="88"/>
      <c r="AG58" s="1"/>
      <c r="AH58" s="1"/>
      <c r="AI58" s="1"/>
      <c r="AJ58" s="1"/>
      <c r="AK58" s="1"/>
      <c r="AL58" s="1"/>
      <c r="AM58" s="1"/>
      <c r="AN58" s="1"/>
      <c r="AO58" s="1"/>
      <c r="AP58" s="1"/>
      <c r="AQ58" s="1"/>
      <c r="AR58" s="1"/>
      <c r="AS58" s="1"/>
      <c r="AT58" s="1"/>
      <c r="AU58" s="1"/>
      <c r="AV58" s="19" t="s">
        <v>384</v>
      </c>
      <c r="AW58" s="18"/>
      <c r="AX58" s="19" t="s">
        <v>587</v>
      </c>
      <c r="AY58" s="19" t="s">
        <v>699</v>
      </c>
    </row>
    <row r="59" spans="16:51" x14ac:dyDescent="0.5">
      <c r="P59" s="1" t="s">
        <v>768</v>
      </c>
      <c r="Q59" s="1" t="s">
        <v>786</v>
      </c>
      <c r="R59" s="1"/>
      <c r="S59" s="87"/>
      <c r="T59" s="88"/>
      <c r="U59" s="88"/>
      <c r="V59" s="88"/>
      <c r="W59" s="88" t="s">
        <v>768</v>
      </c>
      <c r="X59" s="88" t="s">
        <v>786</v>
      </c>
      <c r="Y59" s="87"/>
      <c r="Z59" s="88"/>
      <c r="AA59" s="88" t="s">
        <v>723</v>
      </c>
      <c r="AB59" s="93" t="s">
        <v>702</v>
      </c>
      <c r="AC59" s="88"/>
      <c r="AD59" s="88"/>
      <c r="AE59" s="88"/>
      <c r="AF59" s="88"/>
      <c r="AG59" s="1"/>
      <c r="AH59" s="1"/>
      <c r="AI59" s="1"/>
      <c r="AJ59" s="1"/>
      <c r="AK59" s="1"/>
      <c r="AL59" s="1"/>
      <c r="AM59" s="1"/>
      <c r="AN59" s="1"/>
      <c r="AO59" s="1"/>
      <c r="AP59" s="1"/>
      <c r="AQ59" s="1"/>
      <c r="AR59" s="1"/>
      <c r="AS59" s="1"/>
      <c r="AT59" s="1"/>
      <c r="AU59" s="17"/>
      <c r="AV59" s="19" t="s">
        <v>665</v>
      </c>
      <c r="AW59" s="18"/>
      <c r="AX59" s="19" t="s">
        <v>366</v>
      </c>
      <c r="AY59" s="19" t="s">
        <v>748</v>
      </c>
    </row>
    <row r="60" spans="16:51" x14ac:dyDescent="0.5">
      <c r="P60" s="1" t="s">
        <v>772</v>
      </c>
      <c r="Q60" s="1" t="s">
        <v>742</v>
      </c>
      <c r="R60" s="1"/>
      <c r="S60" s="87"/>
      <c r="T60" s="88"/>
      <c r="U60" s="88"/>
      <c r="V60" s="88"/>
      <c r="W60" s="88" t="s">
        <v>772</v>
      </c>
      <c r="X60" s="88" t="s">
        <v>742</v>
      </c>
      <c r="Y60" s="87"/>
      <c r="Z60" s="88"/>
      <c r="AA60" s="88" t="s">
        <v>787</v>
      </c>
      <c r="AB60" s="93" t="s">
        <v>788</v>
      </c>
      <c r="AC60" s="88"/>
      <c r="AD60" s="88"/>
      <c r="AE60" s="88"/>
      <c r="AF60" s="88"/>
      <c r="AG60" s="1"/>
      <c r="AH60" s="1"/>
      <c r="AI60" s="1"/>
      <c r="AJ60" s="1"/>
      <c r="AK60" s="1"/>
      <c r="AL60" s="1"/>
      <c r="AM60" s="1"/>
      <c r="AN60" s="1"/>
      <c r="AO60" s="1"/>
      <c r="AP60" s="1"/>
      <c r="AQ60" s="1"/>
      <c r="AR60" s="1"/>
      <c r="AS60" s="1"/>
      <c r="AT60" s="1"/>
      <c r="AU60" s="1"/>
      <c r="AV60" s="21" t="s">
        <v>655</v>
      </c>
      <c r="AW60" s="18"/>
      <c r="AX60" s="19" t="s">
        <v>99</v>
      </c>
      <c r="AY60" s="19"/>
    </row>
    <row r="61" spans="16:51" x14ac:dyDescent="0.5">
      <c r="P61" s="1" t="s">
        <v>568</v>
      </c>
      <c r="Q61" s="1" t="s">
        <v>683</v>
      </c>
      <c r="R61" s="1"/>
      <c r="S61" s="87"/>
      <c r="T61" s="88"/>
      <c r="U61" s="88"/>
      <c r="V61" s="88"/>
      <c r="W61" s="88" t="s">
        <v>568</v>
      </c>
      <c r="X61" s="88" t="s">
        <v>683</v>
      </c>
      <c r="Y61" s="87"/>
      <c r="Z61" s="88"/>
      <c r="AA61" s="88" t="s">
        <v>779</v>
      </c>
      <c r="AB61" s="93" t="s">
        <v>381</v>
      </c>
      <c r="AC61" s="88"/>
      <c r="AD61" s="88"/>
      <c r="AE61" s="88"/>
      <c r="AF61" s="88"/>
      <c r="AG61" s="1"/>
      <c r="AH61" s="1"/>
      <c r="AI61" s="1"/>
      <c r="AJ61" s="1"/>
      <c r="AK61" s="1"/>
      <c r="AL61" s="1"/>
      <c r="AM61" s="1"/>
      <c r="AN61" s="1"/>
      <c r="AO61" s="1"/>
      <c r="AP61" s="1"/>
      <c r="AQ61" s="1"/>
      <c r="AR61" s="1"/>
      <c r="AS61" s="1"/>
      <c r="AT61" s="1"/>
      <c r="AU61" s="1"/>
      <c r="AV61" s="19" t="s">
        <v>564</v>
      </c>
      <c r="AW61" s="18"/>
      <c r="AX61" s="19" t="s">
        <v>635</v>
      </c>
      <c r="AY61" s="19"/>
    </row>
    <row r="62" spans="16:51" x14ac:dyDescent="0.5">
      <c r="P62" s="1" t="s">
        <v>728</v>
      </c>
      <c r="Q62" s="1" t="s">
        <v>699</v>
      </c>
      <c r="R62" s="1"/>
      <c r="S62" s="87"/>
      <c r="T62" s="88"/>
      <c r="U62" s="88"/>
      <c r="V62" s="88"/>
      <c r="W62" s="88" t="s">
        <v>728</v>
      </c>
      <c r="X62" s="88" t="s">
        <v>699</v>
      </c>
      <c r="Y62" s="87"/>
      <c r="Z62" s="88"/>
      <c r="AA62" s="88" t="s">
        <v>789</v>
      </c>
      <c r="AB62" s="93" t="s">
        <v>382</v>
      </c>
      <c r="AC62" s="88"/>
      <c r="AD62" s="88"/>
      <c r="AE62" s="88"/>
      <c r="AF62" s="88"/>
      <c r="AG62" s="1"/>
      <c r="AH62" s="1"/>
      <c r="AI62" s="1"/>
      <c r="AJ62" s="1"/>
      <c r="AK62" s="1"/>
      <c r="AL62" s="1"/>
      <c r="AM62" s="1"/>
      <c r="AN62" s="1"/>
      <c r="AO62" s="1"/>
      <c r="AP62" s="1"/>
      <c r="AQ62" s="1"/>
      <c r="AR62" s="1"/>
      <c r="AS62" s="1"/>
      <c r="AT62" s="1"/>
      <c r="AU62" s="1"/>
      <c r="AV62" s="21" t="s">
        <v>626</v>
      </c>
      <c r="AW62" s="18"/>
      <c r="AX62" s="19" t="s">
        <v>644</v>
      </c>
      <c r="AY62" s="19"/>
    </row>
    <row r="63" spans="16:51" x14ac:dyDescent="0.5">
      <c r="P63" s="1" t="s">
        <v>581</v>
      </c>
      <c r="Q63" s="1" t="s">
        <v>381</v>
      </c>
      <c r="R63" s="1"/>
      <c r="S63" s="87"/>
      <c r="T63" s="88"/>
      <c r="U63" s="88"/>
      <c r="V63" s="88"/>
      <c r="W63" s="88" t="s">
        <v>581</v>
      </c>
      <c r="X63" s="88" t="s">
        <v>381</v>
      </c>
      <c r="Y63" s="87"/>
      <c r="Z63" s="88"/>
      <c r="AA63" s="88" t="s">
        <v>790</v>
      </c>
      <c r="AB63" s="93"/>
      <c r="AC63" s="88"/>
      <c r="AD63" s="88"/>
      <c r="AE63" s="88"/>
      <c r="AF63" s="88"/>
      <c r="AG63" s="1"/>
      <c r="AH63" s="1"/>
      <c r="AI63" s="1"/>
      <c r="AJ63" s="1"/>
      <c r="AK63" s="1"/>
      <c r="AL63" s="1"/>
      <c r="AM63" s="1"/>
      <c r="AN63" s="1"/>
      <c r="AO63" s="1"/>
      <c r="AP63" s="1"/>
      <c r="AQ63" s="1"/>
      <c r="AR63" s="1"/>
      <c r="AS63" s="1"/>
      <c r="AT63" s="1"/>
      <c r="AU63" s="17"/>
      <c r="AV63" s="21" t="s">
        <v>686</v>
      </c>
      <c r="AW63" s="18"/>
      <c r="AX63" s="21" t="s">
        <v>652</v>
      </c>
      <c r="AY63" s="19"/>
    </row>
    <row r="64" spans="16:51" x14ac:dyDescent="0.5">
      <c r="P64" s="1"/>
      <c r="Q64" s="1" t="s">
        <v>748</v>
      </c>
      <c r="R64" s="1"/>
      <c r="S64" s="87"/>
      <c r="T64" s="88"/>
      <c r="U64" s="88"/>
      <c r="V64" s="88"/>
      <c r="W64" s="88"/>
      <c r="X64" s="88" t="s">
        <v>748</v>
      </c>
      <c r="Y64" s="87"/>
      <c r="Z64" s="88"/>
      <c r="AA64" s="88" t="s">
        <v>670</v>
      </c>
      <c r="AB64" s="93"/>
      <c r="AC64" s="88"/>
      <c r="AD64" s="88"/>
      <c r="AE64" s="88"/>
      <c r="AF64" s="88"/>
      <c r="AG64" s="1"/>
      <c r="AH64" s="1"/>
      <c r="AI64" s="1"/>
      <c r="AJ64" s="1"/>
      <c r="AK64" s="1"/>
      <c r="AL64" s="1"/>
      <c r="AM64" s="1"/>
      <c r="AN64" s="1"/>
      <c r="AO64" s="1"/>
      <c r="AP64" s="1"/>
      <c r="AQ64" s="1"/>
      <c r="AR64" s="1"/>
      <c r="AS64" s="1"/>
      <c r="AT64" s="1"/>
      <c r="AU64" s="1"/>
      <c r="AV64" s="19" t="s">
        <v>372</v>
      </c>
      <c r="AW64" s="18"/>
      <c r="AX64" s="19" t="s">
        <v>373</v>
      </c>
      <c r="AY64" s="19"/>
    </row>
    <row r="65" spans="17:51" x14ac:dyDescent="0.5">
      <c r="Q65" s="1" t="s">
        <v>382</v>
      </c>
      <c r="R65" s="1"/>
      <c r="S65" s="87"/>
      <c r="T65" s="88"/>
      <c r="U65" s="88"/>
      <c r="V65" s="88"/>
      <c r="W65" s="88"/>
      <c r="X65" s="88" t="s">
        <v>382</v>
      </c>
      <c r="Y65" s="87"/>
      <c r="Z65" s="88"/>
      <c r="AA65" s="88" t="s">
        <v>791</v>
      </c>
      <c r="AB65" s="93"/>
      <c r="AC65" s="88"/>
      <c r="AD65" s="88"/>
      <c r="AE65" s="88"/>
      <c r="AF65" s="88"/>
      <c r="AG65" s="1"/>
      <c r="AH65" s="1"/>
      <c r="AI65" s="1"/>
      <c r="AJ65" s="1"/>
      <c r="AK65" s="1"/>
      <c r="AL65" s="1"/>
      <c r="AM65" s="1"/>
      <c r="AN65" s="1"/>
      <c r="AO65" s="1"/>
      <c r="AP65" s="1"/>
      <c r="AQ65" s="1"/>
      <c r="AR65" s="1"/>
      <c r="AS65" s="1"/>
      <c r="AT65" s="1"/>
      <c r="AU65" s="1"/>
      <c r="AV65" s="18" t="s">
        <v>664</v>
      </c>
      <c r="AW65" s="18"/>
      <c r="AX65" s="21" t="s">
        <v>616</v>
      </c>
      <c r="AY65" s="19"/>
    </row>
    <row r="66" spans="17:51" ht="18.600000000000001" thickBot="1" x14ac:dyDescent="0.55000000000000004">
      <c r="Q66" s="1" t="s">
        <v>792</v>
      </c>
      <c r="R66" s="1"/>
      <c r="S66" s="91"/>
      <c r="T66" s="92"/>
      <c r="U66" s="92"/>
      <c r="V66" s="92"/>
      <c r="W66" s="92"/>
      <c r="X66" s="92" t="s">
        <v>792</v>
      </c>
      <c r="Y66" s="87"/>
      <c r="Z66" s="88"/>
      <c r="AA66" s="88" t="s">
        <v>793</v>
      </c>
      <c r="AB66" s="93"/>
      <c r="AC66" s="88"/>
      <c r="AD66" s="88"/>
      <c r="AE66" s="88"/>
      <c r="AF66" s="88"/>
      <c r="AG66" s="1"/>
      <c r="AH66" s="1"/>
      <c r="AI66" s="1"/>
      <c r="AJ66" s="1"/>
      <c r="AK66" s="1"/>
      <c r="AL66" s="1"/>
      <c r="AM66" s="1"/>
      <c r="AN66" s="1"/>
      <c r="AO66" s="1"/>
      <c r="AP66" s="1"/>
      <c r="AQ66" s="1"/>
      <c r="AR66" s="1"/>
      <c r="AS66" s="1"/>
      <c r="AT66" s="1"/>
      <c r="AU66" s="1"/>
      <c r="AV66" s="20" t="s">
        <v>617</v>
      </c>
      <c r="AW66" s="18"/>
      <c r="AX66" s="19" t="s">
        <v>622</v>
      </c>
      <c r="AY66" s="19"/>
    </row>
    <row r="67" spans="17:51" x14ac:dyDescent="0.5">
      <c r="Q67" s="1"/>
      <c r="R67" s="1"/>
      <c r="S67" s="88"/>
      <c r="T67" s="88"/>
      <c r="U67" s="88"/>
      <c r="V67" s="88"/>
      <c r="W67" s="88"/>
      <c r="X67" s="88"/>
      <c r="Y67" s="87"/>
      <c r="Z67" s="88"/>
      <c r="AA67" s="88" t="s">
        <v>794</v>
      </c>
      <c r="AB67" s="93"/>
      <c r="AC67" s="88"/>
      <c r="AD67" s="88"/>
      <c r="AE67" s="88"/>
      <c r="AF67" s="88"/>
      <c r="AG67" s="1"/>
      <c r="AH67" s="1"/>
      <c r="AI67" s="1"/>
      <c r="AJ67" s="1"/>
      <c r="AK67" s="1"/>
      <c r="AL67" s="1"/>
      <c r="AM67" s="1"/>
      <c r="AN67" s="1"/>
      <c r="AO67" s="1"/>
      <c r="AP67" s="1"/>
      <c r="AQ67" s="1"/>
      <c r="AR67" s="1"/>
      <c r="AS67" s="1"/>
      <c r="AT67" s="1"/>
      <c r="AU67" s="1"/>
      <c r="AV67" s="21" t="s">
        <v>711</v>
      </c>
      <c r="AW67" s="18"/>
      <c r="AX67" s="19" t="s">
        <v>701</v>
      </c>
      <c r="AY67" s="19"/>
    </row>
    <row r="68" spans="17:51" x14ac:dyDescent="0.5">
      <c r="Q68" s="1"/>
      <c r="R68" s="1"/>
      <c r="S68" s="88"/>
      <c r="T68" s="88"/>
      <c r="U68" s="88"/>
      <c r="V68" s="88"/>
      <c r="W68" s="88"/>
      <c r="X68" s="88"/>
      <c r="Y68" s="87"/>
      <c r="Z68" s="88"/>
      <c r="AA68" s="88" t="s">
        <v>795</v>
      </c>
      <c r="AB68" s="93"/>
      <c r="AC68" s="88"/>
      <c r="AD68" s="88"/>
      <c r="AE68" s="88"/>
      <c r="AF68" s="88"/>
      <c r="AG68" s="1"/>
      <c r="AH68" s="1"/>
      <c r="AI68" s="1"/>
      <c r="AJ68" s="1"/>
      <c r="AK68" s="1"/>
      <c r="AL68" s="1"/>
      <c r="AM68" s="1"/>
      <c r="AN68" s="1"/>
      <c r="AO68" s="1"/>
      <c r="AP68" s="1"/>
      <c r="AQ68" s="1"/>
      <c r="AR68" s="1"/>
      <c r="AS68" s="1"/>
      <c r="AT68" s="1"/>
      <c r="AU68" s="1"/>
      <c r="AV68" s="18" t="s">
        <v>679</v>
      </c>
      <c r="AW68" s="18"/>
      <c r="AX68" s="19" t="s">
        <v>634</v>
      </c>
      <c r="AY68" s="19"/>
    </row>
    <row r="69" spans="17:51" ht="18.600000000000001" thickBot="1" x14ac:dyDescent="0.55000000000000004">
      <c r="Q69" s="1"/>
      <c r="R69" s="1"/>
      <c r="S69" s="88"/>
      <c r="T69" s="88"/>
      <c r="U69" s="88"/>
      <c r="V69" s="88"/>
      <c r="W69" s="88"/>
      <c r="X69" s="88"/>
      <c r="Y69" s="91"/>
      <c r="Z69" s="92"/>
      <c r="AA69" s="92" t="s">
        <v>755</v>
      </c>
      <c r="AB69" s="94"/>
      <c r="AC69" s="88"/>
      <c r="AD69" s="88"/>
      <c r="AE69" s="88"/>
      <c r="AF69" s="88"/>
      <c r="AG69" s="1"/>
      <c r="AH69" s="1"/>
      <c r="AI69" s="1"/>
      <c r="AJ69" s="1"/>
      <c r="AK69" s="1"/>
      <c r="AL69" s="1"/>
      <c r="AM69" s="1"/>
      <c r="AN69" s="1"/>
      <c r="AO69" s="1"/>
      <c r="AP69" s="1"/>
      <c r="AQ69" s="1"/>
      <c r="AR69" s="1"/>
      <c r="AS69" s="1"/>
      <c r="AT69" s="1"/>
      <c r="AU69" s="1"/>
      <c r="AV69" s="19" t="s">
        <v>638</v>
      </c>
      <c r="AW69" s="18"/>
      <c r="AX69" s="19" t="s">
        <v>547</v>
      </c>
      <c r="AY69" s="19"/>
    </row>
    <row r="70" spans="17:51" x14ac:dyDescent="0.5">
      <c r="Q70" s="1"/>
      <c r="R70" s="1"/>
      <c r="S70" s="88"/>
      <c r="T70" s="88"/>
      <c r="U70" s="88"/>
      <c r="V70" s="88"/>
      <c r="W70" s="88"/>
      <c r="X70" s="88"/>
      <c r="Y70" s="88"/>
      <c r="Z70" s="88"/>
      <c r="AA70" s="88"/>
      <c r="AB70" s="88"/>
      <c r="AC70" s="88"/>
      <c r="AD70" s="88"/>
      <c r="AE70" s="88"/>
      <c r="AF70" s="88"/>
      <c r="AG70" s="1"/>
      <c r="AH70" s="1"/>
      <c r="AI70" s="1"/>
      <c r="AJ70" s="1"/>
      <c r="AK70" s="1"/>
      <c r="AL70" s="1"/>
      <c r="AM70" s="1"/>
      <c r="AN70" s="1"/>
      <c r="AO70" s="1"/>
      <c r="AP70" s="1"/>
      <c r="AQ70" s="1"/>
      <c r="AR70" s="1"/>
      <c r="AS70" s="1"/>
      <c r="AT70" s="1"/>
      <c r="AU70" s="1"/>
      <c r="AV70" s="21" t="s">
        <v>725</v>
      </c>
      <c r="AW70" s="22"/>
      <c r="AX70" s="19" t="s">
        <v>707</v>
      </c>
      <c r="AY70" s="19"/>
    </row>
    <row r="71" spans="17:51" x14ac:dyDescent="0.5">
      <c r="Q71" s="1"/>
      <c r="R71" s="1"/>
      <c r="S71" s="88"/>
      <c r="T71" s="88"/>
      <c r="U71" s="88"/>
      <c r="V71" s="88"/>
      <c r="W71" s="88"/>
      <c r="X71" s="88"/>
      <c r="Y71" s="88"/>
      <c r="Z71" s="88"/>
      <c r="AA71" s="88"/>
      <c r="AB71" s="88"/>
      <c r="AC71" s="88"/>
      <c r="AD71" s="88"/>
      <c r="AE71" s="88"/>
      <c r="AF71" s="88"/>
      <c r="AG71" s="1"/>
      <c r="AH71" s="1"/>
      <c r="AI71" s="1"/>
      <c r="AJ71" s="1"/>
      <c r="AK71" s="1"/>
      <c r="AL71" s="1"/>
      <c r="AM71" s="1"/>
      <c r="AN71" s="1"/>
      <c r="AO71" s="1"/>
      <c r="AP71" s="1"/>
      <c r="AQ71" s="1"/>
      <c r="AR71" s="1"/>
      <c r="AS71" s="1"/>
      <c r="AT71" s="1"/>
      <c r="AU71" s="1"/>
      <c r="AV71" s="19" t="s">
        <v>374</v>
      </c>
      <c r="AW71" s="1"/>
      <c r="AX71" s="19" t="s">
        <v>651</v>
      </c>
      <c r="AY71" s="19"/>
    </row>
    <row r="72" spans="17:51" x14ac:dyDescent="0.5">
      <c r="Q72" s="1"/>
      <c r="R72" s="1"/>
      <c r="S72" s="88"/>
      <c r="T72" s="88"/>
      <c r="U72" s="88"/>
      <c r="V72" s="88"/>
      <c r="W72" s="88"/>
      <c r="X72" s="88"/>
      <c r="Y72" s="88"/>
      <c r="Z72" s="88"/>
      <c r="AA72" s="88"/>
      <c r="AB72" s="88"/>
      <c r="AC72" s="88"/>
      <c r="AD72" s="88"/>
      <c r="AE72" s="88"/>
      <c r="AF72" s="88"/>
      <c r="AG72" s="1"/>
      <c r="AH72" s="1"/>
      <c r="AI72" s="1"/>
      <c r="AJ72" s="1"/>
      <c r="AK72" s="1"/>
      <c r="AL72" s="1"/>
      <c r="AM72" s="1"/>
      <c r="AN72" s="1"/>
      <c r="AO72" s="1"/>
      <c r="AP72" s="1"/>
      <c r="AQ72" s="1"/>
      <c r="AR72" s="1"/>
      <c r="AS72" s="1"/>
      <c r="AT72" s="1"/>
      <c r="AU72" s="1"/>
      <c r="AV72" s="19" t="s">
        <v>654</v>
      </c>
      <c r="AW72" s="1"/>
      <c r="AX72" s="21" t="s">
        <v>715</v>
      </c>
      <c r="AY72" s="19"/>
    </row>
    <row r="73" spans="17:51" x14ac:dyDescent="0.5">
      <c r="Q73" s="1"/>
      <c r="R73" s="1"/>
      <c r="S73" s="88"/>
      <c r="T73" s="88"/>
      <c r="U73" s="88"/>
      <c r="V73" s="88"/>
      <c r="W73" s="88"/>
      <c r="X73" s="88"/>
      <c r="Y73" s="88"/>
      <c r="Z73" s="88"/>
      <c r="AA73" s="88"/>
      <c r="AB73" s="88"/>
      <c r="AC73" s="88"/>
      <c r="AD73" s="88"/>
      <c r="AE73" s="88"/>
      <c r="AF73" s="88"/>
      <c r="AG73" s="1"/>
      <c r="AH73" s="1"/>
      <c r="AI73" s="1"/>
      <c r="AJ73" s="1"/>
      <c r="AK73" s="1"/>
      <c r="AL73" s="1"/>
      <c r="AM73" s="1"/>
      <c r="AN73" s="1"/>
      <c r="AO73" s="1"/>
      <c r="AP73" s="1"/>
      <c r="AQ73" s="1"/>
      <c r="AR73" s="1"/>
      <c r="AS73" s="1"/>
      <c r="AT73" s="1"/>
      <c r="AU73" s="1"/>
      <c r="AV73" s="21" t="s">
        <v>622</v>
      </c>
      <c r="AW73" s="1"/>
      <c r="AX73" s="19" t="s">
        <v>720</v>
      </c>
      <c r="AY73" s="19"/>
    </row>
    <row r="74" spans="17:51" x14ac:dyDescent="0.5">
      <c r="Q74" s="1"/>
      <c r="R74" s="1"/>
      <c r="S74" s="88"/>
      <c r="T74" s="88"/>
      <c r="U74" s="88"/>
      <c r="V74" s="88"/>
      <c r="W74" s="88"/>
      <c r="X74" s="88"/>
      <c r="Y74" s="88"/>
      <c r="Z74" s="88"/>
      <c r="AA74" s="88"/>
      <c r="AB74" s="88"/>
      <c r="AC74" s="88"/>
      <c r="AD74" s="88"/>
      <c r="AE74" s="88"/>
      <c r="AF74" s="88"/>
      <c r="AG74" s="1"/>
      <c r="AH74" s="1"/>
      <c r="AI74" s="1"/>
      <c r="AJ74" s="1"/>
      <c r="AK74" s="1"/>
      <c r="AL74" s="1"/>
      <c r="AM74" s="1"/>
      <c r="AN74" s="1"/>
      <c r="AO74" s="1"/>
      <c r="AP74" s="1"/>
      <c r="AQ74" s="1"/>
      <c r="AR74" s="1"/>
      <c r="AS74" s="1"/>
      <c r="AT74" s="1"/>
      <c r="AU74" s="1"/>
      <c r="AV74" s="18" t="s">
        <v>691</v>
      </c>
      <c r="AW74" s="1"/>
      <c r="AX74" s="21" t="s">
        <v>385</v>
      </c>
      <c r="AY74" s="19"/>
    </row>
    <row r="75" spans="17:51" x14ac:dyDescent="0.5">
      <c r="Q75" s="1"/>
      <c r="R75" s="1"/>
      <c r="S75" s="88"/>
      <c r="T75" s="88"/>
      <c r="U75" s="88"/>
      <c r="V75" s="88"/>
      <c r="W75" s="88"/>
      <c r="X75" s="88"/>
      <c r="Y75" s="88"/>
      <c r="Z75" s="88"/>
      <c r="AA75" s="88"/>
      <c r="AB75" s="88"/>
      <c r="AC75" s="88"/>
      <c r="AD75" s="88"/>
      <c r="AE75" s="88"/>
      <c r="AF75" s="88"/>
      <c r="AG75" s="1"/>
      <c r="AH75" s="1"/>
      <c r="AI75" s="1"/>
      <c r="AJ75" s="1"/>
      <c r="AK75" s="1"/>
      <c r="AL75" s="1"/>
      <c r="AM75" s="1"/>
      <c r="AN75" s="1"/>
      <c r="AO75" s="1"/>
      <c r="AP75" s="1"/>
      <c r="AQ75" s="1"/>
      <c r="AR75" s="1"/>
      <c r="AS75" s="1"/>
      <c r="AT75" s="1"/>
      <c r="AU75" s="1"/>
      <c r="AV75" s="20" t="s">
        <v>700</v>
      </c>
      <c r="AW75" s="1"/>
      <c r="AX75" s="19" t="s">
        <v>653</v>
      </c>
      <c r="AY75" s="19"/>
    </row>
    <row r="76" spans="17:51" x14ac:dyDescent="0.5">
      <c r="Q76" s="1"/>
      <c r="R76" s="1"/>
      <c r="S76" s="88"/>
      <c r="T76" s="88"/>
      <c r="U76" s="88"/>
      <c r="V76" s="88"/>
      <c r="W76" s="88"/>
      <c r="X76" s="88"/>
      <c r="Y76" s="88"/>
      <c r="Z76" s="88"/>
      <c r="AA76" s="88"/>
      <c r="AB76" s="88"/>
      <c r="AC76" s="88"/>
      <c r="AD76" s="88"/>
      <c r="AE76" s="88"/>
      <c r="AF76" s="88"/>
      <c r="AG76" s="1"/>
      <c r="AH76" s="1"/>
      <c r="AI76" s="1"/>
      <c r="AJ76" s="1"/>
      <c r="AK76" s="1"/>
      <c r="AL76" s="1"/>
      <c r="AM76" s="1"/>
      <c r="AN76" s="1"/>
      <c r="AO76" s="1"/>
      <c r="AP76" s="1"/>
      <c r="AQ76" s="1"/>
      <c r="AR76" s="1"/>
      <c r="AS76" s="1"/>
      <c r="AT76" s="1"/>
      <c r="AU76" s="1"/>
      <c r="AV76" s="18" t="s">
        <v>703</v>
      </c>
      <c r="AW76" s="1"/>
      <c r="AX76" s="19" t="s">
        <v>674</v>
      </c>
      <c r="AY76" s="19"/>
    </row>
    <row r="77" spans="17:51" x14ac:dyDescent="0.5">
      <c r="Q77" s="1"/>
      <c r="R77" s="1"/>
      <c r="S77" s="88"/>
      <c r="T77" s="88"/>
      <c r="U77" s="88"/>
      <c r="V77" s="88"/>
      <c r="W77" s="88"/>
      <c r="X77" s="88"/>
      <c r="Y77" s="88"/>
      <c r="Z77" s="88"/>
      <c r="AA77" s="88"/>
      <c r="AB77" s="88"/>
      <c r="AC77" s="88"/>
      <c r="AD77" s="88"/>
      <c r="AE77" s="88"/>
      <c r="AF77" s="88"/>
      <c r="AG77" s="1"/>
      <c r="AH77" s="1"/>
      <c r="AI77" s="1"/>
      <c r="AJ77" s="1"/>
      <c r="AK77" s="1"/>
      <c r="AL77" s="1"/>
      <c r="AM77" s="1"/>
      <c r="AN77" s="1"/>
      <c r="AO77" s="1"/>
      <c r="AP77" s="1"/>
      <c r="AQ77" s="1"/>
      <c r="AR77" s="1"/>
      <c r="AS77" s="1"/>
      <c r="AT77" s="1"/>
      <c r="AU77" s="1"/>
      <c r="AV77" s="21" t="s">
        <v>733</v>
      </c>
      <c r="AW77" s="1"/>
      <c r="AX77" s="21" t="s">
        <v>663</v>
      </c>
      <c r="AY77" s="19"/>
    </row>
    <row r="78" spans="17:51" x14ac:dyDescent="0.5">
      <c r="Q78" s="1"/>
      <c r="R78" s="1"/>
      <c r="S78" s="88"/>
      <c r="T78" s="88"/>
      <c r="U78" s="88"/>
      <c r="V78" s="88"/>
      <c r="W78" s="88"/>
      <c r="X78" s="88"/>
      <c r="Y78" s="88"/>
      <c r="Z78" s="88"/>
      <c r="AA78" s="88"/>
      <c r="AB78" s="88"/>
      <c r="AC78" s="88"/>
      <c r="AD78" s="88"/>
      <c r="AE78" s="88"/>
      <c r="AF78" s="88"/>
      <c r="AG78" s="1"/>
      <c r="AH78" s="1"/>
      <c r="AI78" s="1"/>
      <c r="AJ78" s="1"/>
      <c r="AK78" s="1"/>
      <c r="AL78" s="1"/>
      <c r="AM78" s="1"/>
      <c r="AN78" s="1"/>
      <c r="AO78" s="1"/>
      <c r="AP78" s="1"/>
      <c r="AQ78" s="1"/>
      <c r="AR78" s="1"/>
      <c r="AS78" s="1"/>
      <c r="AT78" s="1"/>
      <c r="AU78" s="1"/>
      <c r="AV78" s="21" t="s">
        <v>385</v>
      </c>
      <c r="AW78" s="1"/>
      <c r="AX78" s="21" t="s">
        <v>689</v>
      </c>
      <c r="AY78" s="19"/>
    </row>
    <row r="79" spans="17:51" x14ac:dyDescent="0.5">
      <c r="Q79" s="1"/>
      <c r="R79" s="1"/>
      <c r="S79" s="88"/>
      <c r="T79" s="88"/>
      <c r="U79" s="88"/>
      <c r="V79" s="88"/>
      <c r="W79" s="88"/>
      <c r="X79" s="88"/>
      <c r="Y79" s="88"/>
      <c r="Z79" s="88"/>
      <c r="AA79" s="88"/>
      <c r="AB79" s="88"/>
      <c r="AC79" s="88"/>
      <c r="AD79" s="88"/>
      <c r="AE79" s="88"/>
      <c r="AF79" s="88"/>
      <c r="AG79" s="1"/>
      <c r="AH79" s="1"/>
      <c r="AI79" s="1"/>
      <c r="AJ79" s="1"/>
      <c r="AK79" s="1"/>
      <c r="AL79" s="1"/>
      <c r="AM79" s="1"/>
      <c r="AN79" s="1"/>
      <c r="AO79" s="1"/>
      <c r="AP79" s="1"/>
      <c r="AQ79" s="1"/>
      <c r="AR79" s="1"/>
      <c r="AS79" s="1"/>
      <c r="AT79" s="1"/>
      <c r="AU79" s="1"/>
      <c r="AV79" s="19" t="s">
        <v>653</v>
      </c>
      <c r="AW79" s="1"/>
      <c r="AX79" s="19" t="s">
        <v>678</v>
      </c>
      <c r="AY79" s="19"/>
    </row>
    <row r="80" spans="17:51" x14ac:dyDescent="0.5">
      <c r="Q80" s="1"/>
      <c r="R80" s="1"/>
      <c r="S80" s="88"/>
      <c r="T80" s="88"/>
      <c r="U80" s="88"/>
      <c r="V80" s="88"/>
      <c r="W80" s="88"/>
      <c r="X80" s="88"/>
      <c r="Y80" s="88"/>
      <c r="Z80" s="88"/>
      <c r="AA80" s="88"/>
      <c r="AB80" s="88"/>
      <c r="AC80" s="88"/>
      <c r="AD80" s="88"/>
      <c r="AE80" s="88"/>
      <c r="AF80" s="88"/>
      <c r="AG80" s="1"/>
      <c r="AH80" s="1"/>
      <c r="AI80" s="1"/>
      <c r="AJ80" s="1"/>
      <c r="AK80" s="1"/>
      <c r="AL80" s="1"/>
      <c r="AM80" s="1"/>
      <c r="AN80" s="1"/>
      <c r="AO80" s="1"/>
      <c r="AP80" s="1"/>
      <c r="AQ80" s="1"/>
      <c r="AR80" s="1"/>
      <c r="AS80" s="1"/>
      <c r="AT80" s="1"/>
      <c r="AU80" s="1"/>
      <c r="AV80" s="20" t="s">
        <v>708</v>
      </c>
      <c r="AW80" s="1"/>
      <c r="AX80" s="19" t="s">
        <v>731</v>
      </c>
      <c r="AY80" s="19"/>
    </row>
    <row r="81" spans="19:51" x14ac:dyDescent="0.5">
      <c r="S81" s="88"/>
      <c r="T81" s="88"/>
      <c r="U81" s="88"/>
      <c r="V81" s="88"/>
      <c r="W81" s="88"/>
      <c r="X81" s="88"/>
      <c r="Y81" s="88"/>
      <c r="Z81" s="88"/>
      <c r="AA81" s="88"/>
      <c r="AB81" s="88"/>
      <c r="AC81" s="88"/>
      <c r="AD81" s="88"/>
      <c r="AE81" s="88"/>
      <c r="AF81" s="88"/>
      <c r="AG81" s="1"/>
      <c r="AH81" s="1"/>
      <c r="AI81" s="1"/>
      <c r="AJ81" s="1"/>
      <c r="AK81" s="1"/>
      <c r="AL81" s="1"/>
      <c r="AM81" s="1"/>
      <c r="AN81" s="1"/>
      <c r="AO81" s="1"/>
      <c r="AP81" s="1"/>
      <c r="AQ81" s="1"/>
      <c r="AR81" s="1"/>
      <c r="AS81" s="1"/>
      <c r="AT81" s="1"/>
      <c r="AU81" s="1"/>
      <c r="AV81" s="21" t="s">
        <v>724</v>
      </c>
      <c r="AW81" s="1"/>
      <c r="AX81" s="21" t="s">
        <v>669</v>
      </c>
      <c r="AY81" s="21"/>
    </row>
    <row r="82" spans="19:51" x14ac:dyDescent="0.5">
      <c r="S82" s="88"/>
      <c r="T82" s="88"/>
      <c r="U82" s="88"/>
      <c r="V82" s="88"/>
      <c r="W82" s="88"/>
      <c r="X82" s="88"/>
      <c r="Y82" s="88"/>
      <c r="Z82" s="88"/>
      <c r="AA82" s="88"/>
      <c r="AB82" s="88"/>
      <c r="AC82" s="88"/>
      <c r="AD82" s="88"/>
      <c r="AE82" s="88"/>
      <c r="AF82" s="88"/>
      <c r="AG82" s="1"/>
      <c r="AH82" s="1"/>
      <c r="AI82" s="1"/>
      <c r="AJ82" s="1"/>
      <c r="AK82" s="1"/>
      <c r="AL82" s="1"/>
      <c r="AM82" s="1"/>
      <c r="AN82" s="1"/>
      <c r="AO82" s="1"/>
      <c r="AP82" s="1"/>
      <c r="AQ82" s="1"/>
      <c r="AR82" s="1"/>
      <c r="AS82" s="1"/>
      <c r="AT82" s="1"/>
      <c r="AU82" s="1"/>
      <c r="AV82" s="18" t="s">
        <v>716</v>
      </c>
      <c r="AW82" s="1"/>
      <c r="AX82" s="19" t="s">
        <v>675</v>
      </c>
      <c r="AY82" s="19"/>
    </row>
    <row r="83" spans="19:51" x14ac:dyDescent="0.5">
      <c r="S83" s="88"/>
      <c r="T83" s="88"/>
      <c r="U83" s="88"/>
      <c r="V83" s="88"/>
      <c r="W83" s="88"/>
      <c r="X83" s="88"/>
      <c r="Y83" s="88"/>
      <c r="Z83" s="88"/>
      <c r="AA83" s="88"/>
      <c r="AB83" s="88"/>
      <c r="AC83" s="88"/>
      <c r="AD83" s="88"/>
      <c r="AE83" s="88"/>
      <c r="AF83" s="88"/>
      <c r="AG83" s="1"/>
      <c r="AH83" s="1"/>
      <c r="AI83" s="1"/>
      <c r="AJ83" s="1"/>
      <c r="AK83" s="1"/>
      <c r="AL83" s="1"/>
      <c r="AM83" s="1"/>
      <c r="AN83" s="1"/>
      <c r="AO83" s="1"/>
      <c r="AP83" s="1"/>
      <c r="AQ83" s="1"/>
      <c r="AR83" s="1"/>
      <c r="AS83" s="1"/>
      <c r="AT83" s="1"/>
      <c r="AU83" s="1"/>
      <c r="AV83" s="19" t="s">
        <v>377</v>
      </c>
      <c r="AW83" s="1"/>
      <c r="AX83" s="21" t="s">
        <v>742</v>
      </c>
      <c r="AY83" s="21"/>
    </row>
    <row r="84" spans="19:51" x14ac:dyDescent="0.5">
      <c r="S84" s="88"/>
      <c r="T84" s="88"/>
      <c r="U84" s="88"/>
      <c r="V84" s="88"/>
      <c r="W84" s="88"/>
      <c r="X84" s="88"/>
      <c r="Y84" s="88"/>
      <c r="Z84" s="88"/>
      <c r="AA84" s="88"/>
      <c r="AB84" s="88"/>
      <c r="AC84" s="88"/>
      <c r="AD84" s="88"/>
      <c r="AE84" s="88"/>
      <c r="AF84" s="88"/>
      <c r="AG84" s="1"/>
      <c r="AH84" s="1"/>
      <c r="AI84" s="1"/>
      <c r="AJ84" s="1"/>
      <c r="AK84" s="1"/>
      <c r="AL84" s="1"/>
      <c r="AM84" s="1"/>
      <c r="AN84" s="1"/>
      <c r="AO84" s="1"/>
      <c r="AP84" s="1"/>
      <c r="AQ84" s="1"/>
      <c r="AR84" s="1"/>
      <c r="AS84" s="1"/>
      <c r="AT84" s="1"/>
      <c r="AU84" s="1"/>
      <c r="AV84" s="21" t="s">
        <v>721</v>
      </c>
      <c r="AW84" s="1"/>
      <c r="AX84" s="21" t="s">
        <v>683</v>
      </c>
      <c r="AY84" s="19"/>
    </row>
    <row r="85" spans="19:51" x14ac:dyDescent="0.5">
      <c r="S85" s="88"/>
      <c r="T85" s="88"/>
      <c r="U85" s="88"/>
      <c r="V85" s="88"/>
      <c r="W85" s="88"/>
      <c r="X85" s="88"/>
      <c r="Y85" s="88"/>
      <c r="Z85" s="88"/>
      <c r="AA85" s="88"/>
      <c r="AB85" s="88"/>
      <c r="AC85" s="88"/>
      <c r="AD85" s="88"/>
      <c r="AE85" s="88"/>
      <c r="AF85" s="88"/>
      <c r="AG85" s="1"/>
      <c r="AH85" s="1"/>
      <c r="AI85" s="1"/>
      <c r="AJ85" s="1"/>
      <c r="AK85" s="1"/>
      <c r="AL85" s="1"/>
      <c r="AM85" s="1"/>
      <c r="AN85" s="1"/>
      <c r="AO85" s="1"/>
      <c r="AP85" s="1"/>
      <c r="AQ85" s="1"/>
      <c r="AR85" s="1"/>
      <c r="AS85" s="1"/>
      <c r="AT85" s="1"/>
      <c r="AU85" s="1"/>
      <c r="AV85" s="18" t="s">
        <v>568</v>
      </c>
      <c r="AW85" s="1"/>
      <c r="AX85" s="19" t="s">
        <v>699</v>
      </c>
      <c r="AY85" s="19"/>
    </row>
    <row r="86" spans="19:51" x14ac:dyDescent="0.5">
      <c r="S86" s="88"/>
      <c r="T86" s="88"/>
      <c r="U86" s="88"/>
      <c r="V86" s="88"/>
      <c r="W86" s="88"/>
      <c r="X86" s="88"/>
      <c r="Y86" s="88"/>
      <c r="Z86" s="88"/>
      <c r="AA86" s="88"/>
      <c r="AB86" s="88"/>
      <c r="AC86" s="88"/>
      <c r="AD86" s="88"/>
      <c r="AE86" s="88"/>
      <c r="AF86" s="88"/>
      <c r="AG86" s="1"/>
      <c r="AH86" s="1"/>
      <c r="AI86" s="1"/>
      <c r="AJ86" s="1"/>
      <c r="AK86" s="1"/>
      <c r="AL86" s="1"/>
      <c r="AM86" s="1"/>
      <c r="AN86" s="1"/>
      <c r="AO86" s="1"/>
      <c r="AP86" s="1"/>
      <c r="AQ86" s="1"/>
      <c r="AR86" s="1"/>
      <c r="AS86" s="1"/>
      <c r="AT86" s="1"/>
      <c r="AU86" s="1"/>
      <c r="AV86" s="19" t="s">
        <v>728</v>
      </c>
      <c r="AW86" s="1"/>
      <c r="AX86" s="24" t="s">
        <v>748</v>
      </c>
      <c r="AY86" s="19"/>
    </row>
    <row r="87" spans="19:51" x14ac:dyDescent="0.5">
      <c r="S87" s="88"/>
      <c r="T87" s="88"/>
      <c r="U87" s="88"/>
      <c r="V87" s="88"/>
      <c r="W87" s="88"/>
      <c r="X87" s="88"/>
      <c r="Y87" s="88"/>
      <c r="Z87" s="88"/>
      <c r="AA87" s="88"/>
      <c r="AB87" s="88"/>
      <c r="AC87" s="88"/>
      <c r="AD87" s="88"/>
      <c r="AE87" s="88"/>
      <c r="AF87" s="88"/>
      <c r="AG87" s="1"/>
      <c r="AH87" s="1"/>
      <c r="AI87" s="1"/>
      <c r="AJ87" s="1"/>
      <c r="AK87" s="1"/>
      <c r="AL87" s="1"/>
      <c r="AM87" s="1"/>
      <c r="AN87" s="1"/>
      <c r="AO87" s="1"/>
      <c r="AP87" s="1"/>
      <c r="AQ87" s="1"/>
      <c r="AR87" s="1"/>
      <c r="AS87" s="1"/>
      <c r="AT87" s="1"/>
      <c r="AU87" s="1"/>
      <c r="AV87" s="21" t="s">
        <v>690</v>
      </c>
      <c r="AW87" s="1"/>
      <c r="AX87" s="21" t="s">
        <v>382</v>
      </c>
      <c r="AY87" s="24"/>
    </row>
    <row r="88" spans="19:51" x14ac:dyDescent="0.5">
      <c r="S88" s="88"/>
      <c r="T88" s="88"/>
      <c r="U88" s="88"/>
      <c r="V88" s="88"/>
      <c r="W88" s="88"/>
      <c r="X88" s="88"/>
      <c r="Y88" s="88"/>
      <c r="Z88" s="88"/>
      <c r="AA88" s="88"/>
      <c r="AB88" s="88"/>
      <c r="AC88" s="88"/>
      <c r="AD88" s="88"/>
      <c r="AE88" s="88"/>
      <c r="AF88" s="88"/>
      <c r="AG88" s="1"/>
      <c r="AH88" s="1"/>
      <c r="AI88" s="1"/>
      <c r="AJ88" s="1"/>
      <c r="AK88" s="1"/>
      <c r="AL88" s="1"/>
      <c r="AM88" s="1"/>
      <c r="AN88" s="1"/>
      <c r="AO88" s="1"/>
      <c r="AP88" s="1"/>
      <c r="AQ88" s="1"/>
      <c r="AR88" s="1"/>
      <c r="AS88" s="1"/>
      <c r="AT88" s="1"/>
      <c r="AU88" s="1"/>
      <c r="AV88" s="19" t="s">
        <v>702</v>
      </c>
      <c r="AW88" s="1"/>
      <c r="AX88" s="21"/>
      <c r="AY88" s="1"/>
    </row>
    <row r="89" spans="19:51" x14ac:dyDescent="0.5">
      <c r="S89" s="88"/>
      <c r="T89" s="88"/>
      <c r="U89" s="88"/>
      <c r="V89" s="88"/>
      <c r="W89" s="88"/>
      <c r="X89" s="88"/>
      <c r="Y89" s="88"/>
      <c r="Z89" s="88"/>
      <c r="AA89" s="88"/>
      <c r="AB89" s="88"/>
      <c r="AC89" s="88"/>
      <c r="AD89" s="88"/>
      <c r="AE89" s="88"/>
      <c r="AF89" s="88"/>
      <c r="AG89" s="1"/>
      <c r="AH89" s="1"/>
      <c r="AI89" s="1"/>
      <c r="AJ89" s="1"/>
      <c r="AK89" s="1"/>
      <c r="AL89" s="1"/>
      <c r="AM89" s="1"/>
      <c r="AN89" s="1"/>
      <c r="AO89" s="1"/>
      <c r="AP89" s="1"/>
      <c r="AQ89" s="1"/>
      <c r="AR89" s="1"/>
      <c r="AS89" s="1"/>
      <c r="AT89" s="1"/>
      <c r="AU89" s="1"/>
      <c r="AV89" s="21"/>
      <c r="AW89" s="1"/>
      <c r="AX89" s="21"/>
      <c r="AY89" s="1"/>
    </row>
    <row r="90" spans="19:51" x14ac:dyDescent="0.5">
      <c r="S90" s="88"/>
      <c r="T90" s="88"/>
      <c r="U90" s="88"/>
      <c r="V90" s="88"/>
      <c r="W90" s="88"/>
      <c r="X90" s="88"/>
      <c r="Y90" s="88"/>
      <c r="Z90" s="88"/>
      <c r="AA90" s="88"/>
      <c r="AB90" s="88"/>
      <c r="AC90" s="88"/>
      <c r="AD90" s="88"/>
      <c r="AE90" s="88"/>
      <c r="AF90" s="88"/>
      <c r="AG90" s="1"/>
      <c r="AH90" s="1"/>
      <c r="AI90" s="1"/>
      <c r="AJ90" s="1"/>
      <c r="AK90" s="1"/>
      <c r="AL90" s="1"/>
      <c r="AM90" s="1"/>
      <c r="AN90" s="1"/>
      <c r="AO90" s="1"/>
      <c r="AP90" s="1"/>
      <c r="AQ90" s="1"/>
      <c r="AR90" s="1"/>
      <c r="AS90" s="1"/>
      <c r="AT90" s="1"/>
      <c r="AU90" s="1"/>
      <c r="AV90" s="21"/>
      <c r="AW90" s="1"/>
      <c r="AX90" s="21"/>
      <c r="AY90" s="1"/>
    </row>
    <row r="91" spans="19:51" x14ac:dyDescent="0.5">
      <c r="S91" s="88"/>
      <c r="T91" s="88"/>
      <c r="U91" s="88"/>
      <c r="V91" s="88"/>
      <c r="W91" s="88"/>
      <c r="X91" s="88"/>
      <c r="Y91" s="88"/>
      <c r="Z91" s="88"/>
      <c r="AA91" s="88"/>
      <c r="AB91" s="88"/>
      <c r="AC91" s="88"/>
      <c r="AD91" s="88"/>
      <c r="AE91" s="88"/>
      <c r="AF91" s="88"/>
      <c r="AG91" s="1"/>
      <c r="AH91" s="1"/>
      <c r="AI91" s="1"/>
      <c r="AJ91" s="1"/>
      <c r="AK91" s="1"/>
      <c r="AL91" s="1"/>
      <c r="AM91" s="1"/>
      <c r="AN91" s="1"/>
      <c r="AO91" s="1"/>
      <c r="AP91" s="1"/>
      <c r="AQ91" s="1"/>
      <c r="AR91" s="1"/>
      <c r="AS91" s="1"/>
      <c r="AT91" s="1"/>
      <c r="AU91" s="1"/>
      <c r="AV91" s="19"/>
      <c r="AW91" s="1"/>
      <c r="AX91" s="21"/>
      <c r="AY91" s="1"/>
    </row>
    <row r="92" spans="19:51" x14ac:dyDescent="0.5">
      <c r="S92" s="88"/>
      <c r="T92" s="88"/>
      <c r="U92" s="88"/>
      <c r="V92" s="88"/>
      <c r="W92" s="88"/>
      <c r="X92" s="88"/>
      <c r="Y92" s="88"/>
      <c r="Z92" s="88"/>
      <c r="AA92" s="88"/>
      <c r="AB92" s="88"/>
      <c r="AC92" s="88"/>
      <c r="AD92" s="88"/>
      <c r="AE92" s="88"/>
      <c r="AF92" s="88"/>
      <c r="AG92" s="1"/>
      <c r="AH92" s="1"/>
      <c r="AI92" s="1"/>
      <c r="AJ92" s="1"/>
      <c r="AK92" s="1"/>
      <c r="AL92" s="1"/>
      <c r="AM92" s="1"/>
      <c r="AN92" s="1"/>
      <c r="AO92" s="1"/>
      <c r="AP92" s="1"/>
      <c r="AQ92" s="1"/>
      <c r="AR92" s="1"/>
      <c r="AS92" s="1"/>
      <c r="AT92" s="1"/>
      <c r="AU92" s="1"/>
      <c r="AV92" s="21"/>
      <c r="AW92" s="1"/>
      <c r="AX92" s="24"/>
      <c r="AY92" s="1"/>
    </row>
    <row r="93" spans="19:51" x14ac:dyDescent="0.5">
      <c r="S93" s="88"/>
      <c r="T93" s="88"/>
      <c r="U93" s="88"/>
      <c r="V93" s="88"/>
      <c r="W93" s="88"/>
      <c r="X93" s="88"/>
      <c r="Y93" s="88"/>
      <c r="Z93" s="88"/>
      <c r="AA93" s="88"/>
      <c r="AB93" s="88"/>
      <c r="AC93" s="88"/>
      <c r="AD93" s="88"/>
      <c r="AE93" s="88"/>
      <c r="AF93" s="88"/>
      <c r="AG93" s="1"/>
      <c r="AH93" s="1"/>
      <c r="AI93" s="1"/>
      <c r="AJ93" s="1"/>
      <c r="AK93" s="1"/>
      <c r="AL93" s="1"/>
      <c r="AM93" s="1"/>
      <c r="AN93" s="1"/>
      <c r="AO93" s="1"/>
      <c r="AP93" s="1"/>
      <c r="AQ93" s="1"/>
      <c r="AR93" s="1"/>
      <c r="AS93" s="1"/>
      <c r="AT93" s="1"/>
      <c r="AU93" s="1"/>
      <c r="AV93" s="21"/>
      <c r="AW93" s="1"/>
      <c r="AX93" s="1"/>
      <c r="AY93" s="1"/>
    </row>
    <row r="94" spans="19:51" x14ac:dyDescent="0.5">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21"/>
      <c r="AW94" s="1"/>
      <c r="AX94" s="1"/>
      <c r="AY94" s="1"/>
    </row>
    <row r="95" spans="19:51" x14ac:dyDescent="0.5">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21"/>
      <c r="AW95" s="1"/>
      <c r="AX95" s="1"/>
      <c r="AY95" s="1"/>
    </row>
    <row r="96" spans="19:51" x14ac:dyDescent="0.5">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21"/>
      <c r="AW96" s="1"/>
      <c r="AX96" s="1"/>
      <c r="AY96" s="1"/>
    </row>
    <row r="97" spans="48:48" x14ac:dyDescent="0.5">
      <c r="AV97" s="19"/>
    </row>
    <row r="98" spans="48:48" x14ac:dyDescent="0.5">
      <c r="AV98" s="21"/>
    </row>
    <row r="99" spans="48:48" x14ac:dyDescent="0.5">
      <c r="AV99" s="21"/>
    </row>
    <row r="100" spans="48:48" x14ac:dyDescent="0.5">
      <c r="AV100" s="21"/>
    </row>
    <row r="101" spans="48:48" x14ac:dyDescent="0.5">
      <c r="AV101" s="21"/>
    </row>
    <row r="102" spans="48:48" x14ac:dyDescent="0.5">
      <c r="AV102" s="21"/>
    </row>
    <row r="103" spans="48:48" x14ac:dyDescent="0.5">
      <c r="AV103" s="20"/>
    </row>
    <row r="104" spans="48:48" x14ac:dyDescent="0.5">
      <c r="AV104" s="21"/>
    </row>
    <row r="105" spans="48:48" x14ac:dyDescent="0.5">
      <c r="AV105" s="21"/>
    </row>
    <row r="106" spans="48:48" x14ac:dyDescent="0.5">
      <c r="AV106" s="21"/>
    </row>
    <row r="107" spans="48:48" x14ac:dyDescent="0.5">
      <c r="AV107" s="21"/>
    </row>
    <row r="108" spans="48:48" x14ac:dyDescent="0.5">
      <c r="AV108" s="24"/>
    </row>
  </sheetData>
  <mergeCells count="10">
    <mergeCell ref="AL3:AN3"/>
    <mergeCell ref="AO3:AQ3"/>
    <mergeCell ref="S1:AG1"/>
    <mergeCell ref="AL1:AQ1"/>
    <mergeCell ref="AT1:AY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B1064CE29FA6A4DB5D51FD801E2A379" ma:contentTypeVersion="7" ma:contentTypeDescription="Crear nuevo documento." ma:contentTypeScope="" ma:versionID="95499c47be7340e14a4d1d9c40d21f31">
  <xsd:schema xmlns:xsd="http://www.w3.org/2001/XMLSchema" xmlns:xs="http://www.w3.org/2001/XMLSchema" xmlns:p="http://schemas.microsoft.com/office/2006/metadata/properties" xmlns:ns2="79a64deb-f825-4055-8c0d-42f958fbacc9" targetNamespace="http://schemas.microsoft.com/office/2006/metadata/properties" ma:root="true" ma:fieldsID="b79d34c919f7d94fd0e2704066cc82d7" ns2:_="">
    <xsd:import namespace="79a64deb-f825-4055-8c0d-42f958fbacc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a64deb-f825-4055-8c0d-42f958fbac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A8CC42-3498-4AB9-83FD-168387E0E37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12DEE38-4D43-49A3-9192-C554EB6B35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9a64deb-f825-4055-8c0d-42f958fbac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3507B7-C361-46E0-AF44-6194D8191CB1}">
  <ds:schemaRefs>
    <ds:schemaRef ds:uri="http://schemas.microsoft.com/DataMashup"/>
  </ds:schemaRefs>
</ds:datastoreItem>
</file>

<file path=customXml/itemProps4.xml><?xml version="1.0" encoding="utf-8"?>
<ds:datastoreItem xmlns:ds="http://schemas.openxmlformats.org/officeDocument/2006/customXml" ds:itemID="{F86D18D9-0B6E-411F-93FD-BE55E800AD0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6</vt:i4>
      </vt:variant>
    </vt:vector>
  </HeadingPairs>
  <TitlesOfParts>
    <vt:vector size="14" baseType="lpstr">
      <vt:lpstr>Paso1 Analisis perfil egreso</vt:lpstr>
      <vt:lpstr>Paso 2 Redacción competen</vt:lpstr>
      <vt:lpstr>Paso 3 Redacción RA</vt:lpstr>
      <vt:lpstr>Paso 3 Redacción RA - Backup </vt:lpstr>
      <vt:lpstr>Paso 4 Estrategias mesocurricu</vt:lpstr>
      <vt:lpstr>Paso 5 Estrategias micro</vt:lpstr>
      <vt:lpstr>Taxonomía para competencias</vt:lpstr>
      <vt:lpstr>Taxonomias para RA</vt:lpstr>
      <vt:lpstr>ActitudinalBAK</vt:lpstr>
      <vt:lpstr>Bloom</vt:lpstr>
      <vt:lpstr>CognitivoBAK</vt:lpstr>
      <vt:lpstr>ComponentesCompetencias</vt:lpstr>
      <vt:lpstr>ProcedimentalBAK</vt:lpstr>
      <vt:lpstr>RA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Ximena Silva</cp:lastModifiedBy>
  <cp:revision/>
  <dcterms:created xsi:type="dcterms:W3CDTF">2021-03-03T13:22:18Z</dcterms:created>
  <dcterms:modified xsi:type="dcterms:W3CDTF">2026-05-13T04:17:55Z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0x0101005B1064CE29FA6A4DB5D51FD801E2A379</vt:lpwstr>
  </property>
</Properties>
</file>