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917" documentId="8_{7E583181-4C22-4E01-B8BE-A50D962E2AB1}" xr6:coauthVersionLast="47" xr6:coauthVersionMax="47" xr10:uidLastSave="{48C745F3-5A10-489E-A843-2A664291244F}"/>
  <bookViews>
    <workbookView xWindow="-108" yWindow="-108" windowWidth="23256" windowHeight="12456" firstSheet="4" activeTab="4" xr2:uid="{BD68381A-4EB3-42BA-ADD5-D7B5B6C7E498}"/>
  </bookViews>
  <sheets>
    <sheet name="Paso1 Analisis perfil egreso" sheetId="1" r:id="rId1"/>
    <sheet name="Paso 2 Redacción competen" sheetId="6" r:id="rId2"/>
    <sheet name="Paso 3 Redacción RA" sheetId="11"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#REF!</definedName>
    <definedName name="actitudinalB" localSheetId="2">Tabla5785[ActitudinalB]</definedName>
    <definedName name="actitudinalB">Tabla5785[ActitudinalB]</definedName>
    <definedName name="ActitudinalBAK">'Taxonomias para RA'!$AC$3:$AG$3</definedName>
    <definedName name="AK" localSheetId="2">Tabla6088[AK]</definedName>
    <definedName name="AK">Tabla6088[AK]</definedName>
    <definedName name="AnálisisAK" localSheetId="2">Tabla99[AnálisisAK]</definedName>
    <definedName name="AnálisisAK">Tabla99[AnálisisAK]</definedName>
    <definedName name="AnálisisB" localSheetId="2">Tabla385280[AnálisisB]</definedName>
    <definedName name="AnálisisB">Tabla385280[AnálisisB]</definedName>
    <definedName name="AnálisisBAK" localSheetId="2">Tabla3865[AnálisisBAK]</definedName>
    <definedName name="AnálisisBAK">Tabla3865[AnálisisBAK]</definedName>
    <definedName name="AnalizarLK" localSheetId="2">Tabla2129[AnalizarLK]</definedName>
    <definedName name="AnalizarLK">Tabla2129[AnalizarLK]</definedName>
    <definedName name="AplicaciónB" localSheetId="2">Tabla375179[AplicaciónB]</definedName>
    <definedName name="AplicaciónB">Tabla375179[AplicaciónB]</definedName>
    <definedName name="AplicaciónBAK" localSheetId="2">Tabla3764[AplicaciónBAK]</definedName>
    <definedName name="AplicaciónBAK">Tabla3764[AplicaciónBAK]</definedName>
    <definedName name="AplicarLK" localSheetId="2">Tabla2028[AplicarLK]</definedName>
    <definedName name="AplicarLK">Tabla2028[AplicarLK]</definedName>
    <definedName name="áreasprofesionales" localSheetId="2">'Paso1 Analisis perfil egreso'!$H$3:$H$14</definedName>
    <definedName name="áreasprofesionales">'Paso1 Analisis perfil egreso'!$H$3:$H$14</definedName>
    <definedName name="BAK" localSheetId="2">Tabla5886[BAK]</definedName>
    <definedName name="BAK">Tabla5886[BAK]</definedName>
    <definedName name="Bloom">'Taxonomias para RA'!$G$3:$I$3</definedName>
    <definedName name="CaracterizarBAK" localSheetId="2">Tabla4776[CaracterizarBAK]</definedName>
    <definedName name="CaracterizarBAK">Tabla4776[CaracterizarBAK]</definedName>
    <definedName name="Cognitivo" localSheetId="2">Saber[Saber]</definedName>
    <definedName name="Cognitivo">Saber[Saber]</definedName>
    <definedName name="cognitivoB" localSheetId="2">Tabla5583[CognitivoB]</definedName>
    <definedName name="cognitivoB">Tabla5583[CognitivoB]</definedName>
    <definedName name="CognitivoBAK">'Taxonomias para RA'!$S$3:$X$3</definedName>
    <definedName name="competencias" localSheetId="2">'Paso 2 Redacción competen'!$F$3:$F$22</definedName>
    <definedName name="competencias">'Paso 2 Redacción competen'!$F$3:$F$22</definedName>
    <definedName name="ComprenderLK">'Taxonomias para RA'!$AM$5:$AM$27</definedName>
    <definedName name="ComprensiónAK" localSheetId="2">Tabla98[ComprensiónAK]</definedName>
    <definedName name="ComprensiónAK">Tabla98[ComprensiónAK]</definedName>
    <definedName name="ComprensionB" localSheetId="2">Tabla365078[ComprensiónB]</definedName>
    <definedName name="ComprensionB">Tabla365078[ComprensiónB]</definedName>
    <definedName name="ComprensiónBAK" localSheetId="2">Tabla3663[ComprensiónBAK]</definedName>
    <definedName name="ComprensiónBAK">Tabla3663[ComprensiónBAK]</definedName>
    <definedName name="ConceptosLK" localSheetId="2">Tabla91[ConceptosLK]</definedName>
    <definedName name="ConceptosLK">Tabla91[ConceptosLK]</definedName>
    <definedName name="ConocimientoB" localSheetId="2">Tabla354977[ConocimientoB]</definedName>
    <definedName name="ConocimientoB">Tabla354977[ConocimientoB]</definedName>
    <definedName name="ConocimientoBAK" localSheetId="2">Tabla3555[ConocimientoBAK]</definedName>
    <definedName name="ConocimientoBAK">Tabla3555[ConocimientoBAK]</definedName>
    <definedName name="Conocimientos" localSheetId="2">Saber[Saber]</definedName>
    <definedName name="Conocimientos">Saber[Saber]</definedName>
    <definedName name="ControlBAK" localSheetId="2">Tabla4271[ControlBAK]</definedName>
    <definedName name="ControlBAK">Tabla4271[ControlBAK]</definedName>
    <definedName name="CrearLK" localSheetId="2">Tabla2333[CrearLK]</definedName>
    <definedName name="CrearLK">Tabla2333[CrearLK]</definedName>
    <definedName name="dominios">'Paso1 Analisis perfil egreso'!$E$2:$G$2</definedName>
    <definedName name="EvaluaciónB" localSheetId="2">Tabla405482[EvaluaciónB]</definedName>
    <definedName name="EvaluaciónB">Tabla405482[EvaluaciónB]</definedName>
    <definedName name="EvaluaciónBAK" localSheetId="2">Tabla4067[EvaluaciónBAK]</definedName>
    <definedName name="EvaluaciónBAK">Tabla4067[EvaluaciónBAK]</definedName>
    <definedName name="EvaluarLK">'Taxonomias para RA'!$AP$5:$AP$46</definedName>
    <definedName name="HechosLK" localSheetId="2">Tabla90[HechosLK]</definedName>
    <definedName name="HechosLK">Tabla90[HechosLK]</definedName>
    <definedName name="ImitaciónBAK" localSheetId="2">Tabla1168[ImitaciónBAK]</definedName>
    <definedName name="ImitaciónBAK">Tabla1168[ImitaciónBAK]</definedName>
    <definedName name="InformaciónAK" localSheetId="2">Tabla94[InformaciónAK]</definedName>
    <definedName name="InformaciónAK">Tabla94[InformaciónAK]</definedName>
    <definedName name="LK" localSheetId="2">Tabla5987[LK]</definedName>
    <definedName name="LK">Tabla5987[LK]</definedName>
    <definedName name="ManipulaciónBAK" localSheetId="2">Tabla3069[ManipulaciónBAK]</definedName>
    <definedName name="ManipulaciónBAK">Tabla3069[ManipulaciónBAK]</definedName>
    <definedName name="MetacogniciónAK" localSheetId="2">Tabla101[MetacogniciónAK]</definedName>
    <definedName name="MetacogniciónAK">Tabla101[MetacogniciónAK]</definedName>
    <definedName name="MetacogniciónLK" localSheetId="2">Tabla93[MetacogniciónLK]</definedName>
    <definedName name="MetacogniciónLK">Tabla93[MetacogniciónLK]</definedName>
    <definedName name="MetocogniciónAK" localSheetId="2">Tabla101[MetacogniciónAK]</definedName>
    <definedName name="MetocogniciónAK">Tabla101[MetacogniciónAK]</definedName>
    <definedName name="ocupacional">'Paso1 Analisis perfil egreso'!$H$2:$J$2</definedName>
    <definedName name="OrganizarBAK" localSheetId="2">Tabla4675[OrganizarBAK]</definedName>
    <definedName name="OrganizarBAK">Tabla4675[OrganizarBAK]</definedName>
    <definedName name="PercepciónBAK">'Taxonomias para RA'!$AC$4:$AC$40</definedName>
    <definedName name="poblacionactuacion" localSheetId="2">'Paso1 Analisis perfil egreso'!$J$3:$J$8</definedName>
    <definedName name="poblacionactuacion">'Paso1 Analisis perfil egreso'!$J$3:$J$8</definedName>
    <definedName name="poblaciones" localSheetId="2">'Paso1 Analisis perfil egreso'!$J$3:$J$8</definedName>
    <definedName name="poblaciones">'Paso1 Analisis perfil egreso'!$J$3:$J$8</definedName>
    <definedName name="poblacionesactuación" localSheetId="2">'Paso1 Analisis perfil egreso'!$J$3:$J$8</definedName>
    <definedName name="poblacionesactuación">'Paso1 Analisis perfil egreso'!$J$3:$J$8</definedName>
    <definedName name="PrecisiónBAK" localSheetId="2">Tabla4170[PrecisiónBAK]</definedName>
    <definedName name="PrecisiónBAK">Tabla4170[PrecisiónBAK]</definedName>
    <definedName name="procedimentalB" localSheetId="2">Tabla5684[ProcedimentalB]</definedName>
    <definedName name="procedimentalB">Tabla5684[ProcedimentalB]</definedName>
    <definedName name="ProcedimentalBAK">'Taxonomias para RA'!$Y$3:$AB$3</definedName>
    <definedName name="ProcedimientosLK" localSheetId="2">Tabla92[ProcedimientosLK]</definedName>
    <definedName name="ProcedimientosLK">Tabla92[ProcedimientosLK]</definedName>
    <definedName name="ProcesosAK" localSheetId="2">Tabla95[ProcesosAK]</definedName>
    <definedName name="ProcesosAK">Tabla95[ProcesosAK]</definedName>
    <definedName name="PsicomotorAK" localSheetId="2">Tabla96[PsicomotorAK]</definedName>
    <definedName name="PsicomotorAK">Tabla96[PsicomotorAK]</definedName>
    <definedName name="RecordarLK">'Taxonomias para RA'!$AL$5:$AL$27</definedName>
    <definedName name="RecuperaciónAK">'Taxonomias para RA'!$AT$4:$AT$27</definedName>
    <definedName name="ResponderBAK" localSheetId="2">Tabla4473[ResponderBAK]</definedName>
    <definedName name="ResponderBAK">Tabla4473[ResponderBAK]</definedName>
    <definedName name="resultadoaprendizaje" localSheetId="2">#REF!</definedName>
    <definedName name="resultadoaprendizaje">#REF!</definedName>
    <definedName name="Saberhacer" localSheetId="2">Tabla2[Saberhacer]</definedName>
    <definedName name="Saberhacer">Tabla2[Saberhacer]</definedName>
    <definedName name="saberser" localSheetId="2">Tabla24[Saberser]</definedName>
    <definedName name="saberser">Tabla24[Saberser]</definedName>
    <definedName name="SíntesisB" localSheetId="2">Tabla395381[SíntesisB]</definedName>
    <definedName name="SíntesisB">Tabla395381[SíntesisB]</definedName>
    <definedName name="SíntesisBAK" localSheetId="2">Tabla3966[SíntesisBAK]</definedName>
    <definedName name="SíntesisBAK">Tabla3966[SíntesisBAK]</definedName>
    <definedName name="tareas" localSheetId="2">'Paso1 Analisis perfil egreso'!$I$3:$I$14</definedName>
    <definedName name="tareas">'Paso1 Analisis perfil egreso'!$I$3:$I$14</definedName>
    <definedName name="tareasprofesionales" localSheetId="2">'Paso1 Analisis perfil egreso'!$I$3:$I$14</definedName>
    <definedName name="tareasprofesionales">'Paso1 Analisis perfil egreso'!$I$3:$I$14</definedName>
    <definedName name="taxonomiasra" localSheetId="2">Tabla1715[Taxonomías]</definedName>
    <definedName name="taxonomiasra">Tabla1715[Taxonomías]</definedName>
    <definedName name="UsoConocimientoAK">'Taxonomias para RA'!$AW$4:$AW$70</definedName>
    <definedName name="Valoragregado" localSheetId="2">'Paso1 Analisis perfil egreso'!$K$3:$K$8</definedName>
    <definedName name="Valoragregado">'Paso1 Analisis perfil egreso'!$K$3:$K$8</definedName>
    <definedName name="ValorarBAK" localSheetId="2">Tabla4574[ValorarBAK]</definedName>
    <definedName name="ValorarBAK">Tabla4574[ValorarBAK]</definedName>
    <definedName name="Verboscompetencias" localSheetId="2">Tabla33103[Verbos Competencias]</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7" l="1"/>
  <c r="D39" i="7"/>
  <c r="I41" i="7"/>
  <c r="I40" i="7"/>
  <c r="A19" i="7"/>
  <c r="A20" i="7"/>
  <c r="A7" i="7"/>
  <c r="A8" i="7"/>
  <c r="A9" i="7"/>
  <c r="A10" i="7"/>
  <c r="A11" i="7"/>
  <c r="A12" i="7"/>
  <c r="A13" i="7"/>
  <c r="A3" i="7"/>
  <c r="A4" i="7"/>
  <c r="A5" i="7"/>
  <c r="A6" i="7"/>
  <c r="A21" i="7"/>
  <c r="A22" i="7"/>
  <c r="A23" i="7"/>
  <c r="A14" i="7"/>
  <c r="A15" i="7"/>
  <c r="A16" i="7"/>
  <c r="A17" i="7"/>
  <c r="A24" i="7"/>
  <c r="A25" i="7"/>
  <c r="A26" i="7"/>
  <c r="A27" i="7"/>
  <c r="A28" i="7"/>
  <c r="A29" i="7"/>
  <c r="A30" i="7"/>
  <c r="A35" i="7"/>
  <c r="A36" i="7"/>
  <c r="A37" i="7"/>
  <c r="A38" i="7"/>
  <c r="A31" i="7"/>
  <c r="A32" i="7"/>
  <c r="A33" i="7"/>
  <c r="A34" i="7"/>
  <c r="A18" i="7"/>
  <c r="K31" i="7"/>
  <c r="J31" i="7"/>
  <c r="K35" i="7"/>
  <c r="J35" i="7"/>
  <c r="K28" i="7"/>
  <c r="J28" i="7"/>
  <c r="K24" i="7"/>
  <c r="J24" i="7"/>
  <c r="K14" i="7"/>
  <c r="J14" i="7"/>
  <c r="K21" i="7"/>
  <c r="J21" i="7"/>
  <c r="K3" i="7"/>
  <c r="J3" i="7"/>
  <c r="K11" i="7"/>
  <c r="J11" i="7"/>
  <c r="K7" i="7"/>
  <c r="J7" i="7"/>
  <c r="K18" i="7"/>
  <c r="J18" i="7"/>
  <c r="L11" i="7" l="1"/>
  <c r="L24" i="7"/>
  <c r="L7" i="7"/>
  <c r="L14" i="7"/>
  <c r="L3" i="7"/>
  <c r="L28" i="7"/>
  <c r="L18" i="7"/>
  <c r="L21" i="7"/>
  <c r="L35" i="7"/>
  <c r="L3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necisades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compentencia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1" authorId="0" shapeId="0" xr:uid="{BE4D4CE5-0EEE-47AB-BDEA-E795D48FA616}">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1" authorId="0" shapeId="0" xr:uid="{1BC65E42-9D4F-4237-BE6D-1A0AEB229303}">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1" authorId="0" shapeId="0" xr:uid="{FDC958A9-A36E-492A-BEE1-B6901157E303}">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1" authorId="0" shapeId="0" xr:uid="{0228FDFB-A646-4A1C-8E40-7B6514D6298C}">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1" authorId="0" shapeId="0" xr:uid="{3070C762-E13D-40B3-A7AC-304930FBBD67}">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1" authorId="0" shapeId="0" xr:uid="{8B3A2572-3691-4F42-9EC2-CDDFFCE4313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1" authorId="0" shapeId="0" xr:uid="{F8B7769F-7B74-4E0B-8E95-52F08674D4B9}">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1" authorId="0" shapeId="0" xr:uid="{63D87838-88EC-4434-92BD-12D4AE77966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1" authorId="0" shapeId="0" xr:uid="{9CD11ADF-8CCE-420B-9CC2-FBA661CFAB64}">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1" authorId="0" shapeId="0" xr:uid="{A1D01EBE-B905-4F1B-A730-93AE4E887D7A}">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1" authorId="0" shapeId="0" xr:uid="{C6C22895-F658-4BDB-9A52-176D8B7219E5}">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tc={A24B4A24-8152-44AA-87A8-A11B1718E713}</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 ref="O7" authorId="1" shapeId="0" xr:uid="{A24B4A24-8152-44AA-87A8-A11B1718E71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@Gabriel Mauricio Yanez Barreto veo que en todos falta la evaluación sumativa, así que recomiendo validar, si la especialización es virtual según la tipología del módulo es escribir las actividades de evaluación que se tienen establecidas y si es presencial que se describa cómo se sacan las valoraciones del curso o los cursos.
Veo por la columna tipología que es virtual, entonces sería revisar el documento de evaluación de virtual y colocar la información según la tipología del módulo.
Respuesta:
    Hola Diana  en este caso quedamos que me enviabas un documento de esto pero no me lo has enviado y con eso podria terminar los silabos y montar cada uno de los documentos.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<sst xmlns="http://schemas.openxmlformats.org/spreadsheetml/2006/main" count="1962" uniqueCount="663">
  <si>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</si>
  <si>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</si>
  <si>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</si>
  <si>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</si>
  <si>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</si>
  <si>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</si>
  <si>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</si>
  <si>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</si>
  <si>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</si>
  <si>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</si>
  <si>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</si>
  <si>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</si>
  <si>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</si>
  <si>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</si>
  <si>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</si>
  <si>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</si>
  <si>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</si>
  <si>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</si>
  <si>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Especialización en Gerencia de Proyectos en Inteligencia de Negocios</t>
  </si>
  <si>
    <t>Virtual</t>
  </si>
  <si>
    <t xml:space="preserve">El egresado de la Especialización en Gerencia de Proyectos en Inteligencia de Negocios del Politécnico Grancolombiano estará en capacidad de determinar los recursos tecnológicos y los procesos administrativos, adecuados y acordes con el tamaño de las empresas, para construir  soluciones de inteligencia de Negocios a través de la formulación de proyectos,  que permitan establecer los objetivos, estrategias, indicadores y metas a medir, con el fin de orientar la toma de decisiones respecto a las necesidades del mercado actual y futuro. </t>
  </si>
  <si>
    <t xml:space="preserve">El egresado de la especialización en Gerencia de Proyectos en Inteligencia de Negocios posee habilidades para el desarrollo de proyectos, el manejo de datos y la formulación de soluciones  que den valor agregado al ambiente industrial, consideren el movimiento y las necesidades del mercado, y tengan en cuenta las buenas prácticas denotadas por el PMI y la inteligencia de negocios. </t>
  </si>
  <si>
    <t>Soluciones de inteligencia de negocios</t>
  </si>
  <si>
    <t>Comprender las realidades y fenómenos, y resolver problemas organizacionales</t>
  </si>
  <si>
    <t>a partir de la aplicación de conocimientos relacionados con teorías, procedimientos y herramientas administrativas, organizacionales, estratégicas y prospectivas.</t>
  </si>
  <si>
    <t>gerente, director o coordinador de equipos de proyectos en diferentes áreas de actividad; consultor y/o auditor</t>
  </si>
  <si>
    <t>procesos de planeación, ejecución, control y cierre de proyectos; líder de proyectos de investigación aplicada, desarrollo e innovación para la consolidación de metodologías, técnicas e instrumentos para la gestión de proyectos que incorporen agilidad y formador de equipos de proyectos efectivos.</t>
  </si>
  <si>
    <t>Empleados en empresa particular (262)</t>
  </si>
  <si>
    <t>“Data Science y computación de alto desempeño“, esta línea es de carácter aplicado toda vez que tiene como finalidad la solución de problemas planteados en el medio profesional-disciplinar y en el empresarial, en ella el estudiante después de identificar  un problema en su empresa o en su contexto particular,  formula un proyecto que aporte a la solución de dicho problema aplicando y practicando las habilidades y competencias como gerente de proyectos en el área específica de la inteligencia de negocios en diferentes sectores productivos. Esto genera beneficios directos e indirectos a las empresas en la medida en que, en muchos casos, el proyecto de grado avanza y se convierte en una iniciativa del área al cual pertenece el egresado, mejorando procesos o generando nuevas líneas de negocio.</t>
  </si>
  <si>
    <t>Evaluación de información de las organizaciones</t>
  </si>
  <si>
    <t>Proponer soluciones estratégicas que permitan la toma de decisiones de inversión y financiamiento de proyectos de inteligencia de negocio</t>
  </si>
  <si>
    <t>que generen valor y produzcan transformaciones digitales en estas.</t>
  </si>
  <si>
    <t>Análisis de datos</t>
  </si>
  <si>
    <t>Analista</t>
  </si>
  <si>
    <t>Empleados del estado (86)</t>
  </si>
  <si>
    <t>Proyectos de trasformación digital en la Industria 4,0 e incorporando temas de desarrollo sostenible</t>
  </si>
  <si>
    <t>Metodológicas para el desarrollo de proyectos en inteligencia de negocios</t>
  </si>
  <si>
    <t>Desarrollo de proyectos en inteligencia de negocios</t>
  </si>
  <si>
    <t>analizando las necesidades tecnológicas y de interconectividad para un sistema completo, así como del manejo de datos, transformación y carga de estos.</t>
  </si>
  <si>
    <t>Operativo</t>
  </si>
  <si>
    <t>Trabajador independiente (15)</t>
  </si>
  <si>
    <t>Los egresados tienen la posibilidad de presentar el examen de certificación de PMP y las materias que vieron de su especialización como son gerencia de proyectos 1 y gerencia de proyectos 2, La Institución Universitaria Politécnico Grancolombiano le certifica el tiempo de 72 horas de capacitación en dirección de proyectos, con lo cual si cumple con los otros requisitos puede presentar el examen de PMP.</t>
  </si>
  <si>
    <t>Empresarios(5)</t>
  </si>
  <si>
    <t>Empleado en empresa familiar (4)</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</si>
  <si>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</si>
  <si>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</si>
  <si>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</si>
  <si>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</si>
  <si>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</si>
  <si>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</si>
  <si>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</si>
  <si>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</si>
  <si>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</si>
  <si>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</si>
  <si>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</si>
  <si>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</si>
  <si>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</si>
  <si>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</si>
  <si>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Formular</t>
  </si>
  <si>
    <t>Formular alternativas de solución en Inteligencia de Negocios para comprender las realidades y fenómenos, así como el resolver problemas organizacionales, a partir de la aplicación de conocimientos relacionados con teorías, procedimientos y herramientas administrativas, organizacionales, estratégicas y prospectivas.</t>
  </si>
  <si>
    <t>Específica</t>
  </si>
  <si>
    <t>Evaluar</t>
  </si>
  <si>
    <t>Evaluar información basada en las necesidades de las organizaciones para proponer soluciones estratégicas que permitan la toma de decisiones de inversión y financiamiento de proyectos de inteligencia de negocio que generen valor y produzcan transformaciones digitales en estas.</t>
  </si>
  <si>
    <t>Conocer</t>
  </si>
  <si>
    <t>Proponer herramientas metodológicas para el desarrollo de proyectos en inteligencia de negocios, analizando las necesidades tecnológicas y de interconectividad para un sistema completo, así como del manejo de datos, transformación y carga de estos.</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</si>
  <si>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</si>
  <si>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</si>
  <si>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</si>
  <si>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</si>
  <si>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</si>
  <si>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</si>
  <si>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</si>
  <si>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</si>
  <si>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</si>
  <si>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</si>
  <si>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</si>
  <si>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</si>
  <si>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</si>
  <si>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</si>
  <si>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</si>
  <si>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</si>
  <si>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</si>
  <si>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</si>
  <si>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</si>
  <si>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</si>
  <si>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</si>
  <si>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Reconocer</t>
  </si>
  <si>
    <t>Reconoce los conceptos, técnicas y metodologías usadas en el desarrollo de proyectos de inteligencia de negocios para determinar los elementos y factores que se requieren en la formulación de soluciones tecnológicas que atiendan las necesidades del sector industrial y de las organizaciones.</t>
  </si>
  <si>
    <t>ProcedimentalB</t>
  </si>
  <si>
    <t>SíntesisB</t>
  </si>
  <si>
    <t>Diseñar</t>
  </si>
  <si>
    <t>Diseña estrategias, herramientas y proyectos de inteligencia de negocios para dar soluciones adecuadas y transformadoras a  problemas complejos organizacionales, teniendo en cuenta las necesidades y condiciones financieras y económicas del contexto.</t>
  </si>
  <si>
    <t>ActitudinalB</t>
  </si>
  <si>
    <t>Establecer</t>
  </si>
  <si>
    <t>Establece los elementos o factores que contribuyen a la generación de valor y a la transformación digital de las organizaciones para incorporarlos en el diseño de proyectos de inteligencia de negocios que impacten la gestión organizacional, de acuerdo con las condiciones de estas y el contexto en el que se encuentra.</t>
  </si>
  <si>
    <t>EvaluaciónB</t>
  </si>
  <si>
    <t>Evalúa información de las organizaciones, a partir del análisis de datos y la aplicación de metodologías de la inteligencia de negocios para determinar los proyectos y programas que se pueden diseñar e implementar en las organizaciones, de acuerdo con las necesidades que estas presentan.</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</si>
  <si>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</si>
  <si>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</si>
  <si>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</si>
  <si>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</si>
  <si>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</si>
  <si>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</si>
  <si>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</si>
  <si>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</si>
  <si>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</si>
  <si>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</si>
  <si>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</si>
  <si>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</si>
  <si>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Estudios alternativos</t>
  </si>
  <si>
    <t xml:space="preserve">Recomendaciones y sugerencias por parte del cuerpo docente para el desarrollo de cursos de profundización, con ampliaciones en investigaciones permanentes para el uso de nuevas tecnologías y aplicaciones de las mismas en el ambiente. Propuestas de los docentes de diferentes MOOC </t>
  </si>
  <si>
    <t xml:space="preserve">Valoración de los estudiantes respecto a la contribución de la estrategia a los resultados de aprendizaje del programa. </t>
  </si>
  <si>
    <t xml:space="preserve">Informar por medio de los anuncios del módulo, los estudios alternativos sugeridos o recomendados para los estudiantes de la especialización </t>
  </si>
  <si>
    <t>Encuesta</t>
  </si>
  <si>
    <t xml:space="preserve">Número de cursos o teorías en desarrollo, recomendadas o sugeridas por el cuerpo profesoral a los estudiantes. </t>
  </si>
  <si>
    <t>Informe o Reporte</t>
  </si>
  <si>
    <t>Número de estudiantes que participan en la estrategia.</t>
  </si>
  <si>
    <t>Listados de participación</t>
  </si>
  <si>
    <t>Congreso de inteligencia de negocios, con énfasis en gerencia de proyectos.</t>
  </si>
  <si>
    <t xml:space="preserve">La idea del congreso es mostrar cómo se mueve el ambiente y las tendencias de análisis de datos y de manejo de gerencia de proyectos en diferentes aspecto mundiales. </t>
  </si>
  <si>
    <t>Informar por medio de los anuncios del módulo sobre las fechas de realización del congreso de inteligencia de negocios, los estudios alternativos sugeridos o recomendados para los estudiantes de la especialización. Formar a los estudiantes a través de las grabaciones de las sesiones de los congresos de inteligencia de negocios por POLITV.</t>
  </si>
  <si>
    <t>Número de  estudiantes del programa que participan en la estrategia.</t>
  </si>
  <si>
    <t>Número de veces que se desarrolla la estrategia en los periodos de tiempo que determine el programa.</t>
  </si>
  <si>
    <t>Relacionamiento con IPMA</t>
  </si>
  <si>
    <t>Participación del cuerpo profesoral y de los estudiantes en el reconocimiento de las variaciones que presenta IPMA en términos de la creación y gestión de proyectos.</t>
  </si>
  <si>
    <t>Informar por medio de los anuncios del módulo los talleres que se plantean en  conjunto con IPMA, los estudios alternativos sugeridos o recomendados para los estudiantes.</t>
  </si>
  <si>
    <t>Número de estudiantes del programa que participan en la estrategia.</t>
  </si>
  <si>
    <t>Formar  con respecto a las metodologías expuestas por IPMA en el relacionamiento de los casos de estudio presentados.</t>
  </si>
  <si>
    <t xml:space="preserve">Número de profesores que participan en la estrategia.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</si>
  <si>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</si>
  <si>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</si>
  <si>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</si>
  <si>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</si>
  <si>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</si>
  <si>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</si>
  <si>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</si>
  <si>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</si>
  <si>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</si>
  <si>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</si>
  <si>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</si>
  <si>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</si>
  <si>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</si>
  <si>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</si>
  <si>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</si>
  <si>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</si>
  <si>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</si>
  <si>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</si>
  <si>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</si>
  <si>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</si>
  <si>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</si>
  <si>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</si>
  <si>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</si>
  <si>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</si>
  <si>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</si>
  <si>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</si>
  <si>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</si>
  <si>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</si>
  <si>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</si>
  <si>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Gerencia de Proyectos: Áreas Fundamentales</t>
  </si>
  <si>
    <t xml:space="preserve">Reconoce los conceptos de dirección de proyectos con base en las buenas prácticas establecidas en la Guía PMBOK® para aplicar las herramientas y técnicas de los dominios de desempeño de interesados, desarrollo, entrega y planificación en la gestión de proyectos. </t>
  </si>
  <si>
    <t>TP</t>
  </si>
  <si>
    <t>X</t>
  </si>
  <si>
    <t>1. Marco de Referencia de la Dirección de Proyectos y Gestión de la Integración
2. Dominio de Desempeño Interesados y Dominio de Desempeño de Entrega (Alcance)
3. Dominio de Desempeño Planificación (Cronograma)
4. Dominio de Desempeño Planificación (Costos)</t>
  </si>
  <si>
    <t>Trabajo directo:
Encuentros sincronicos, mensajeria interna, foros generales, anuncios.  
Trabajo independiente: 
Lecturas Fundamentales y complementarias
Anuncios
Foros
Actividades de refuerzo y recursos del modulo
Revision de bases de datos 
lecturas en revistas indexadas.</t>
  </si>
  <si>
    <t>Evaluacion Formativa:
Preguntas intercaladas durante los encuentros sincronicos y los foros.
Sugerencias y recomendaciones dadas en los anuncios y en los diferentes tipos de comunicación con los estudiantes. 
Evaluacion Sumativa:
Entrega Proyecto I
Entrega Proyecto II
Entrega Final y Sustentación</t>
  </si>
  <si>
    <t xml:space="preserve">Informar: a través de los anuncios, mensajeri o foros sobre las bases de datos para el desarrollo de las investigaciones necesarias para los casos de estudio propuestos por los estudiantes. 
Formar: con el analisis de los documentos presentados a los largo del modulo, se analizan las respuesta de los estudiantes y a partir de ello se realizan las anotaciones sobre las necesidades del caso expuesto para contribuir a la mejora del proyecto propuesto.  
Prevenir: a través de foros de participacion en los que los estudiantes pueden exponer sus dudas. 
Ayudar a tomar de tomar decisiones: con respecto a las investigaciones en el tema a tratar. </t>
  </si>
  <si>
    <t>Estado del Arte de la Gestión y de la Administración de la Información</t>
  </si>
  <si>
    <t>Reconoce el tipo de información necesaria en la creación de tableros de indicadores de gestión, para identificar las necesidades del caso de análisis de acuerdo con las herramientas de ofimática.</t>
  </si>
  <si>
    <t>T</t>
  </si>
  <si>
    <t>1. Gestión de la información.
2. Retos que afronta el Business Intelligence y niveles de madurez del modelo de evolución de la información
3. Visualización de la información
4. Business Inteligencie Competency Center and Big Data Analytics</t>
  </si>
  <si>
    <t>Trabajo directo:
Encuentros sincrónicos, mensajería interna, foros generales, anuncios.  
Trabajo independiente: 
Lecturas Fundamentales y complementarias
Anuncios
Foros
Actividades de refuerzo y recursos del modulo
Revisión de bases de datos 
lecturas en revistas indexadas.</t>
  </si>
  <si>
    <t>Evaluación Formativa:
Preguntas intercaladas durante los encuentros sincrónicos y los foros.
Sugerencias y recomendaciones dadas en los anuncios y en los diferentes tipos de comunicación con los estudiantes. 
Evaluación Sumativa:
Evaluación Sumativa:
Actividad en contexto (2)
Foro analítico o argumentativo
Quiz
Evaluación final</t>
  </si>
  <si>
    <t xml:space="preserve">Informar: a través de los anuncios, mensajera o foros sobre las bases de datos para el desarrollo de las investigaciones necesarias para los casos de estudio propuestos por los estudiantes. 
Formar: con el análisis de los documentos presentados a los largo del módulo, se analizan las respuesta de los estudiantes y a partir de ello se realizan las anotaciones sobre las necesidades del caso expuesto para contribuir a la mejora del proyecto propuesto.  
Prevenir: a través de foros de participación en los que los estudiantes pueden exponer sus dudas. 
Ayudar a tomar de tomar decisiones: con respecto a las investigaciones en el tema a tratar. </t>
  </si>
  <si>
    <t>Comprender la importancia que tiene la gestión de información en las organizaciones para el cumplimiento de sus objetivos y el logro de una mejor salud financiera. Comprender que existe una relación directa entre el nivel de madurez del BI que posee una empresa, y los beneficios que la información le ofrece a esa organización al identificar oportunidades que conlleven a reducir costos o descubrir oportunidades para aumentar los ingresos. Comprender la importancia que tiene la visualización de la información en las organizaciones, es la forma conocer el estado real de la efectividad y eficiencia de los procesos, así como el cumplimiento de las metas asociadas a los objetivos estratégicos de la empresa. Los centros de competencias para la inteligencia de negocios son los garantes de la correcta gestión de información en las organizaciones, por lo tanto, se requiere las responsabilidades que tiene cada una de sus áreas funcionales.</t>
  </si>
  <si>
    <t>Fundamentos de Bases de Datos</t>
  </si>
  <si>
    <t xml:space="preserve">Reconoce los conceptos básicos, teóricos y prácticos del manejo de bases datos, para aplicarlos en los procesos de transformación de los datos y los futuros manejos de estos. 
</t>
  </si>
  <si>
    <t>1. Generalidades en las bases de datos 
2. Normalización, algebra y calculo relacional 
3. Lenguaje de consulta estructurado SQL 
4. Arquitectura de la bases de datos para la toma de decisiones</t>
  </si>
  <si>
    <t>Evaluación Formativa:
Preguntas intercaladas durante los encuentros sincrónicos y los foros.
Sugerencias y recomendaciones dadas en los anuncios y en los diferentes tipos de comunicación con los estudiantes. 
Evaluación Sumativa:
Actividad en contexto (2)
Foro analítico o argumentativo
Quiz
Evaluación final</t>
  </si>
  <si>
    <t>I</t>
  </si>
  <si>
    <t>Gerencia de Proyectos: Áreas Complementarias</t>
  </si>
  <si>
    <t>Reconoce los conceptos de dirección de proyectos con base en las buenas prácticas establecidas en la Guía PMBOK® para aplicar las herramientas y técnicas de los dominios de desempeño entrega, incertidumbre, equipo y desarrollo en la gestión de proyectos.</t>
  </si>
  <si>
    <t>1.	El dominio de desempeño entrega de proyectos (Calidad)
2.	El dominio de desempeño Incertidumbre de proyectos
3.	El dominio de desempeño Equipo de proyectos
4.	El dominio de desempeño Desarrollo de proyectos (recursos y adquisidores)</t>
  </si>
  <si>
    <t xml:space="preserve">Evaluación Formativa:
Preguntas intercaladas durante los encuentros sincrónicos y los foros.
Sugerencias y recomendaciones dadas en los anuncios y en los diferentes tipos de comunicación con los estudiantes. 
Evaluación Sumativa:
Entrega Proyecto I
Entrega Proyecto II
Entrega Final y Sustentación
</t>
  </si>
  <si>
    <t>Conceptualización y Análisis Financiero</t>
  </si>
  <si>
    <t>Conoce las normas internacionales de información financiera NIIF, utilizados para expresar los estados financieros con el fin de interpretar las cifras de la organización.  
Aplica herramientas de análisis financiero para determinar la situación financiera en un periodo determinado. 
Explica los indicadores de generación de valor, para determinar si el proyecto genera o destruye valor.</t>
  </si>
  <si>
    <t>1. Las cuentas derivadas en el desarrollo del negocio empresarial 
2. Los estados financieros 
3. Introducción al análisis financiero 
4. Gerencia financiera basada en valor</t>
  </si>
  <si>
    <t>Evaluación Formativa:
Preguntas intercaladas durante los encuentros sincrónicos y a través de los foros.
Sugerencias y recomendaciones dadas en los anuncios y en los diferentes tipos de comunicación con los estudiantes. 
Evaluación Sumativa:
Actividad en contexto (2)
Foro analítico o argumentativo
Quiz
Evaluación final</t>
  </si>
  <si>
    <t>Minería de Datos</t>
  </si>
  <si>
    <t>Reconoce las técnicas de segmentación, clasificación y asociación en la minería de datos, en grandes bases de datos de manera automática y semiautomática, para encontrar patrones repetitivos o tendencias que expliquen el comportamiento de los datos.</t>
  </si>
  <si>
    <t>1. Introducción a la minería de datos 
2. Análisis en la clasificación 
3. Análisis de clúster 
4. Reglas de asociación</t>
  </si>
  <si>
    <t>Evaluación Formativa:
Preguntas intercaladas durante los encuentros sincrónicos y los foros.
Sugerencias y recomendaciones dadas en los anuncios y en los diferentes tipos de comunicación con los estudiantes. 
Evaluación Sumativa:
Entrega Proyecto I
Entrega Proyecto II
Entrega Final y Sustentación</t>
  </si>
  <si>
    <t>Formulación y Evaluación de Proyectos</t>
  </si>
  <si>
    <t>Aplica el análisis de estudio de mercado en los procesos de toma de decisiones y los conceptos técnicos para reconocer la viabilidad de un proyecto y de esta manera tomar decisiones sobre la factibilidad de este.</t>
  </si>
  <si>
    <t>1.	Gestión de proyectos y estudios de mercados
2.	Principios matemáticos y presupuesto básico
3.	Indicadores financieros
4.	Evaluación de proyectos y herramientas adicionales</t>
  </si>
  <si>
    <t>Implementación de Soluciones de Alta Tecnología en Inteligencia de Negocios</t>
  </si>
  <si>
    <t xml:space="preserve">Analiza las estrategias de implementación de soluciones de inteligencia de negocios, de acuerdo con las características tecnológicas y perspectivas de crecimiento de una organización, para proyectar las necesidades futuras de la empresa, con respecto al manejo de los datos y el funcionamiento del mismo. </t>
  </si>
  <si>
    <t xml:space="preserve">1.	Gobierno de la información, sistemas y metodologías en BI
2.	Manejo de recursos tecnológicos para IB
3.	Modelado de la bodega de datos
4.	Consideraciones de calidad
</t>
  </si>
  <si>
    <t>Modelos Tecnológicos en BI</t>
  </si>
  <si>
    <t>Interpreta la información externa de carácter estratégico de las organizaciones para proyectar alternativas de solución orientadas a la toma de decisiones, en un ambiente dinámico y competitivo.</t>
  </si>
  <si>
    <t>1. Introducción a la estrategia empresarial
2. Modelos de análisis estratégicos y competitivo.
3. Análisis competitivo y de cliente: capacidad funcional y de recursos
4. Técnicas de análisis de contexto y análisis con técnicas evolutivas</t>
  </si>
  <si>
    <t>Dirección de Proyectos en Inteligencia de Negocios</t>
  </si>
  <si>
    <t>Aplica las líneas de desarrollo de la especialización, agregando los conocimientos de gerencia de proyectos y conceptos técnicos necesarios para generar una propuesta de solución de inteligencia de negocios.</t>
  </si>
  <si>
    <t>1.	Proyecto e informe de investigación 
2.	Técnicas y mecanismos de recolección y organización de información 
3.	Estrategias para el análisis de la información cuantitativa
4.	Estrategias para el análisis de la información cualitativa</t>
  </si>
  <si>
    <t>Total créditos programa</t>
  </si>
  <si>
    <t>Total créditos fundamentación</t>
  </si>
  <si>
    <t>Total créditos profundización</t>
  </si>
  <si>
    <t>Verbos Competencias</t>
  </si>
  <si>
    <t>Actualizar</t>
  </si>
  <si>
    <t>Administrar</t>
  </si>
  <si>
    <t>Asegurar</t>
  </si>
  <si>
    <t>Asesorar</t>
  </si>
  <si>
    <t>Auditar</t>
  </si>
  <si>
    <t>Comunicar</t>
  </si>
  <si>
    <t>Conducir</t>
  </si>
  <si>
    <t>Coordinar</t>
  </si>
  <si>
    <t>Definir</t>
  </si>
  <si>
    <t>Desarrollar</t>
  </si>
  <si>
    <t>Dirigir</t>
  </si>
  <si>
    <t>Dominar</t>
  </si>
  <si>
    <t>Fiscalizar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</si>
  <si>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</si>
  <si>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</si>
  <si>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</si>
  <si>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</si>
  <si>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</si>
  <si>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</si>
  <si>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</si>
  <si>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</si>
  <si>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</si>
  <si>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</si>
  <si>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</si>
  <si>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</si>
  <si>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</si>
  <si>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</si>
  <si>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</si>
  <si>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</si>
  <si>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Proponer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</si>
  <si>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</si>
  <si>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</si>
  <si>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</si>
  <si>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</si>
  <si>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</si>
  <si>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</si>
  <si>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</si>
  <si>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</si>
  <si>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</si>
  <si>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</si>
  <si>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</si>
  <si>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ConocimientoB</t>
  </si>
  <si>
    <t>ComprensiónB</t>
  </si>
  <si>
    <t>AplicaciónB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</si>
  <si>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</si>
  <si>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</si>
  <si>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</si>
  <si>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</si>
  <si>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</si>
  <si>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</si>
  <si>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</si>
  <si>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</si>
  <si>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</si>
  <si>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</si>
  <si>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</si>
  <si>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</si>
  <si>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</si>
  <si>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</si>
  <si>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</si>
  <si>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</si>
  <si>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</si>
  <si>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</si>
  <si>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</si>
  <si>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</si>
  <si>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</si>
  <si>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Aplicar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</si>
  <si>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</si>
  <si>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</si>
  <si>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</si>
  <si>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</si>
  <si>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</si>
  <si>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</si>
  <si>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</si>
  <si>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</si>
  <si>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</si>
  <si>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</si>
  <si>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</si>
  <si>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</si>
  <si>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</si>
  <si>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</si>
  <si>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</si>
  <si>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</si>
  <si>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</si>
  <si>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</si>
  <si>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</si>
  <si>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</si>
  <si>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</si>
  <si>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</si>
  <si>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</si>
  <si>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</si>
  <si>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</si>
  <si>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</si>
  <si>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</si>
  <si>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</si>
  <si>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</si>
  <si>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</si>
  <si>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</si>
  <si>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</si>
  <si>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</si>
  <si>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</si>
  <si>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</si>
  <si>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</si>
  <si>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</si>
  <si>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</si>
  <si>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</si>
  <si>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</si>
  <si>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</si>
  <si>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</si>
  <si>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</si>
  <si>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</si>
  <si>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</si>
  <si>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</si>
  <si>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</si>
  <si>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</si>
  <si>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</si>
  <si>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</si>
  <si>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</si>
  <si>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</si>
  <si>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</si>
  <si>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</si>
  <si>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</si>
  <si>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</si>
  <si>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</si>
  <si>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</si>
  <si>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</si>
  <si>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</si>
  <si>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</si>
  <si>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</si>
  <si>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</si>
  <si>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</si>
  <si>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</si>
  <si>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</si>
  <si>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</si>
  <si>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</si>
  <si>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</si>
  <si>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</si>
  <si>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</si>
  <si>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</si>
  <si>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</si>
  <si>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</si>
  <si>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</si>
  <si>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</si>
  <si>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</si>
  <si>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</si>
  <si>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</si>
  <si>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</si>
  <si>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</si>
  <si>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</si>
  <si>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</si>
  <si>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</si>
  <si>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</si>
  <si>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</si>
  <si>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</si>
  <si>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</si>
  <si>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</si>
  <si>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</si>
  <si>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</si>
  <si>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</si>
  <si>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</si>
  <si>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</si>
  <si>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</si>
  <si>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</si>
  <si>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</si>
  <si>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</si>
  <si>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</si>
  <si>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</si>
  <si>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</si>
  <si>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</si>
  <si>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</si>
  <si>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</si>
  <si>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</si>
  <si>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</si>
  <si>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</si>
  <si>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</si>
  <si>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</si>
  <si>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</si>
  <si>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</si>
  <si>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</si>
  <si>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</si>
  <si>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</si>
  <si>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</si>
  <si>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</si>
  <si>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</si>
  <si>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</si>
  <si>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</si>
  <si>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</si>
  <si>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</si>
  <si>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</si>
  <si>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</si>
  <si>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</si>
  <si>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</si>
  <si>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</si>
  <si>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</si>
  <si>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</si>
  <si>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</si>
  <si>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</si>
  <si>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</si>
  <si>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</si>
  <si>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</si>
  <si>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</si>
  <si>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</si>
  <si>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</si>
  <si>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</si>
  <si>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</si>
  <si>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</si>
  <si>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</si>
  <si>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</si>
  <si>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</si>
  <si>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</si>
  <si>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</si>
  <si>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</si>
  <si>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</si>
  <si>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</si>
  <si>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</si>
  <si>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</si>
  <si>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</si>
  <si>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</si>
  <si>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</si>
  <si>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</si>
  <si>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</si>
  <si>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</si>
  <si>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</si>
  <si>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</si>
  <si>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</si>
  <si>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</si>
  <si>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</si>
  <si>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</si>
  <si>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</si>
  <si>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</si>
  <si>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</si>
  <si>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</si>
  <si>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</si>
  <si>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</si>
  <si>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</si>
  <si>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</si>
  <si>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</si>
  <si>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</si>
  <si>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</si>
  <si>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</si>
  <si>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</si>
  <si>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</si>
  <si>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</si>
  <si>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</si>
  <si>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</si>
  <si>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</si>
  <si>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</si>
  <si>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</si>
  <si>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</si>
  <si>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</si>
  <si>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</si>
  <si>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</si>
  <si>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</si>
  <si>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</si>
  <si>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</si>
  <si>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</si>
  <si>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</si>
  <si>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</si>
  <si>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</si>
  <si>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</si>
  <si>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</si>
  <si>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</si>
  <si>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</si>
  <si>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</si>
  <si>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</si>
  <si>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</si>
  <si>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</si>
  <si>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</si>
  <si>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</si>
  <si>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</si>
  <si>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</si>
  <si>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</si>
  <si>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</si>
  <si>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</si>
  <si>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</si>
  <si>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</si>
  <si>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</si>
  <si>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</si>
  <si>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</si>
  <si>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</si>
  <si>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</si>
  <si>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</si>
  <si>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</si>
  <si>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</si>
  <si>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</si>
  <si>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</si>
  <si>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</si>
  <si>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</si>
  <si>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</si>
  <si>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</si>
  <si>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</si>
  <si>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</si>
  <si>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</si>
  <si>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</si>
  <si>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</si>
  <si>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</si>
  <si>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</si>
  <si>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</si>
  <si>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</si>
  <si>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</si>
  <si>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</si>
  <si>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</si>
  <si>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</si>
  <si>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</si>
  <si>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</si>
  <si>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</si>
  <si>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</si>
  <si>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</si>
  <si>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</si>
  <si>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</si>
  <si>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</si>
  <si>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</si>
  <si>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</si>
  <si>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</si>
  <si>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</si>
  <si>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</si>
  <si>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</si>
  <si>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</si>
  <si>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</si>
  <si>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</si>
  <si>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</si>
  <si>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</si>
  <si>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</si>
  <si>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</si>
  <si>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</si>
  <si>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</si>
  <si>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</si>
  <si>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</si>
  <si>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</si>
  <si>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</si>
  <si>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</si>
  <si>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</si>
  <si>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</si>
  <si>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</si>
  <si>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</si>
  <si>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</si>
  <si>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</si>
  <si>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</si>
  <si>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</si>
  <si>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</si>
  <si>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</si>
  <si>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</si>
  <si>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</si>
  <si>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</si>
  <si>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</si>
  <si>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</si>
  <si>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</si>
  <si>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</si>
  <si>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</si>
  <si>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</si>
  <si>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</si>
  <si>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</si>
  <si>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</si>
  <si>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</si>
  <si>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</si>
  <si>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</si>
  <si>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</si>
  <si>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</si>
  <si>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</si>
  <si>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</si>
  <si>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</si>
  <si>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</si>
  <si>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</si>
  <si>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</si>
  <si>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</si>
  <si>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</si>
  <si>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</si>
  <si>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</si>
  <si>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</si>
  <si>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</si>
  <si>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</si>
  <si>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</si>
  <si>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</si>
  <si>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</si>
  <si>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</si>
  <si>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</si>
  <si>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</si>
  <si>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</si>
  <si>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</si>
  <si>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</si>
  <si>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</si>
  <si>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</si>
  <si>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</si>
  <si>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</si>
  <si>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</si>
  <si>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</si>
  <si>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</si>
  <si>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</si>
  <si>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</si>
  <si>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</si>
  <si>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</si>
  <si>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</si>
  <si>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</si>
  <si>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</si>
  <si>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</si>
  <si>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</si>
  <si>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</si>
  <si>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</si>
  <si>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</si>
  <si>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</si>
  <si>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</si>
  <si>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</si>
  <si>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</si>
  <si>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</si>
  <si>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</si>
  <si>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</si>
  <si>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</si>
  <si>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</si>
  <si>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</si>
  <si>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</si>
  <si>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</si>
  <si>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</si>
  <si>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</si>
  <si>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</si>
  <si>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</si>
  <si>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</si>
  <si>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</si>
  <si>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</si>
  <si>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</si>
  <si>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</si>
  <si>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</si>
  <si>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</si>
  <si>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</si>
  <si>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</si>
  <si>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</si>
  <si>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</si>
  <si>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</si>
  <si>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</si>
  <si>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</si>
  <si>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</si>
  <si>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</si>
  <si>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</si>
  <si>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</si>
  <si>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</si>
  <si>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</si>
  <si>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</si>
  <si>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</si>
  <si>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</si>
  <si>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</si>
  <si>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</si>
  <si>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</si>
  <si>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</si>
  <si>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</si>
  <si>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</si>
  <si>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</si>
  <si>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</si>
  <si>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</si>
  <si>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</si>
  <si>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</si>
  <si>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</si>
  <si>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</si>
  <si>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</si>
  <si>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</si>
  <si>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</si>
  <si>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</si>
  <si>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C.Fundamentación</t>
  </si>
  <si>
    <t>Total módulos del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</si>
</sst>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10"/>
      <color theme="1"/>
      <name val="Gill Sans MT"/>
      <family val="2"/>
    </font>
    <font>
      <sz val="10"/>
      <color rgb="FF000000"/>
      <name val="Gill Sans MT"/>
      <family val="2"/>
    </font>
    <font>
      <b/>
      <sz val="9"/>
      <color rgb="FFFFFFFF"/>
      <name val="Gill Sans MT"/>
      <family val="2"/>
    </font>
    <font>
      <sz val="8"/>
      <color rgb="FFFFFFFF"/>
      <name val="Gill Sans MT"/>
      <family val="2"/>
    </font>
    <font>
      <b/>
      <sz val="11"/>
      <color rgb="FFFFFFFF"/>
      <name val="Gill Sans MT"/>
      <family val="2"/>
    </font>
    <font>
      <sz val="8"/>
      <color rgb="FF000000"/>
      <name val="Gill Sans MT"/>
      <family val="2"/>
    </font>
    <font>
      <sz val="8"/>
      <name val="Gill Sans MT"/>
      <family val="2"/>
    </font>
    <font>
      <b/>
      <sz val="11"/>
      <color rgb="FF000000"/>
      <name val="Gill Sans MT"/>
      <family val="2"/>
    </font>
    <font>
      <b/>
      <sz val="8"/>
      <color theme="0"/>
      <name val="Gill Sans MT"/>
      <family val="2"/>
    </font>
    <font>
      <sz val="8"/>
      <color theme="0"/>
      <name val="Gill Sans MT"/>
      <family val="2"/>
    </font>
  </fonts>
  <fills count="17">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8" tint="0.79998168889431442"/>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s>
  <borders count="32">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0"/>
      </left>
      <right/>
      <top/>
      <bottom/>
      <diagonal/>
    </border>
    <border>
      <left style="thin">
        <color rgb="FF1FB2DE"/>
      </left>
      <right style="thin">
        <color rgb="FF1FB2DE"/>
      </right>
      <top style="thin">
        <color rgb="FF1FB2DE"/>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rgb="FF000000"/>
      </bottom>
      <diagonal/>
    </border>
    <border>
      <left style="medium">
        <color indexed="64"/>
      </left>
      <right/>
      <top/>
      <bottom style="medium">
        <color rgb="FF000000"/>
      </bottom>
      <diagonal/>
    </border>
    <border>
      <left/>
      <right style="medium">
        <color indexed="64"/>
      </right>
      <top/>
      <bottom style="medium">
        <color rgb="FF000000"/>
      </bottom>
      <diagonal/>
    </border>
    <border>
      <left style="thin">
        <color rgb="FF1FB2DE"/>
      </left>
      <right style="thin">
        <color rgb="FF1FB2DE"/>
      </right>
      <top/>
      <bottom style="thin">
        <color rgb="FF1FB2DE"/>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1FB2DE"/>
      </left>
      <right style="thin">
        <color rgb="FF1FB2DE"/>
      </right>
      <top style="thin">
        <color auto="1"/>
      </top>
      <bottom/>
      <diagonal/>
    </border>
    <border>
      <left style="thin">
        <color rgb="FF1FB2DE"/>
      </left>
      <right style="thin">
        <color rgb="FF1FB2DE"/>
      </right>
      <top/>
      <bottom/>
      <diagonal/>
    </border>
    <border>
      <left/>
      <right/>
      <top style="thin">
        <color auto="1"/>
      </top>
      <bottom/>
      <diagonal/>
    </border>
    <border>
      <left style="thin">
        <color rgb="FF1FB2DE"/>
      </left>
      <right style="thin">
        <color rgb="FF1FB2DE"/>
      </right>
      <top/>
      <bottom style="medium">
        <color rgb="FF000000"/>
      </bottom>
      <diagonal/>
    </border>
    <border>
      <left/>
      <right/>
      <top style="thin">
        <color rgb="FF0F385A"/>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1FB2DE"/>
      </left>
      <right style="thin">
        <color auto="1"/>
      </right>
      <top style="thin">
        <color auto="1"/>
      </top>
      <bottom/>
      <diagonal/>
    </border>
    <border>
      <left style="thin">
        <color rgb="FF1FB2DE"/>
      </left>
      <right/>
      <top style="thin">
        <color auto="1"/>
      </top>
      <bottom/>
      <diagonal/>
    </border>
    <border>
      <left style="thin">
        <color rgb="FF1FB2DE"/>
      </left>
      <right/>
      <top style="thin">
        <color theme="0"/>
      </top>
      <bottom/>
      <diagonal/>
    </border>
  </borders>
  <cellStyleXfs count="1">
    <xf numFmtId="0" fontId="0" fillId="0" borderId="0"/>
  </cellStyleXfs>
  <cellXfs count="198">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3" xfId="0" applyFont="1" applyBorder="1" applyAlignment="1">
      <alignment wrapText="1"/>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6" borderId="5" xfId="0" applyFont="1" applyFill="1" applyBorder="1" applyAlignment="1">
      <alignment vertical="center"/>
    </xf>
    <xf numFmtId="0" fontId="4" fillId="0" borderId="5" xfId="0" applyFont="1" applyBorder="1" applyAlignment="1">
      <alignment vertical="center"/>
    </xf>
    <xf numFmtId="0" fontId="3" fillId="6" borderId="5" xfId="0" applyFont="1" applyFill="1" applyBorder="1"/>
    <xf numFmtId="0" fontId="3" fillId="0" borderId="5" xfId="0" applyFont="1" applyBorder="1"/>
    <xf numFmtId="0" fontId="3" fillId="6" borderId="6" xfId="0" applyFont="1" applyFill="1" applyBorder="1"/>
    <xf numFmtId="0" fontId="4" fillId="6" borderId="6" xfId="0" applyFont="1" applyFill="1" applyBorder="1" applyAlignment="1">
      <alignment vertical="center"/>
    </xf>
    <xf numFmtId="0" fontId="3" fillId="0" borderId="6" xfId="0" applyFont="1" applyBorder="1"/>
    <xf numFmtId="0" fontId="3" fillId="0" borderId="0" xfId="0" applyFont="1" applyAlignment="1">
      <alignment horizontal="left" vertical="center"/>
    </xf>
    <xf numFmtId="0" fontId="3" fillId="0" borderId="0" xfId="0" applyFont="1" applyAlignment="1">
      <alignment horizontal="left"/>
    </xf>
    <xf numFmtId="0" fontId="3"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xf numFmtId="0" fontId="10" fillId="0" borderId="0" xfId="0" applyFont="1" applyAlignment="1">
      <alignment wrapText="1"/>
    </xf>
    <xf numFmtId="0" fontId="10" fillId="0" borderId="0" xfId="0" applyFont="1" applyAlignment="1">
      <alignment horizontal="center"/>
    </xf>
    <xf numFmtId="0" fontId="10" fillId="0" borderId="0" xfId="0" applyFont="1" applyAlignment="1">
      <alignment vertical="center" wrapText="1"/>
    </xf>
    <xf numFmtId="0" fontId="4" fillId="0" borderId="0" xfId="0" applyFont="1" applyAlignment="1">
      <alignment horizontal="left" vertical="center" wrapText="1"/>
    </xf>
    <xf numFmtId="0" fontId="10" fillId="0" borderId="7" xfId="0" applyFont="1" applyBorder="1" applyAlignment="1">
      <alignment vertical="center" wrapText="1"/>
    </xf>
    <xf numFmtId="0" fontId="10" fillId="0" borderId="9" xfId="0" applyFont="1" applyBorder="1" applyAlignment="1">
      <alignment vertical="center" wrapText="1"/>
    </xf>
    <xf numFmtId="0" fontId="10" fillId="0" borderId="11" xfId="0" applyFont="1" applyBorder="1" applyAlignment="1">
      <alignment vertical="center" wrapText="1"/>
    </xf>
    <xf numFmtId="0" fontId="10" fillId="0" borderId="0" xfId="0" applyFont="1" applyAlignment="1">
      <alignment horizontal="left" wrapText="1"/>
    </xf>
    <xf numFmtId="0" fontId="12" fillId="14" borderId="4" xfId="0" applyFont="1" applyFill="1" applyBorder="1" applyAlignment="1">
      <alignment horizontal="center" vertical="center" wrapText="1"/>
    </xf>
    <xf numFmtId="0" fontId="10" fillId="0" borderId="0" xfId="0" applyFont="1" applyAlignment="1">
      <alignment horizontal="left" vertical="center"/>
    </xf>
    <xf numFmtId="0" fontId="10" fillId="0" borderId="15" xfId="0" applyFont="1" applyBorder="1" applyAlignment="1">
      <alignment horizontal="left" vertical="center"/>
    </xf>
    <xf numFmtId="0" fontId="10" fillId="0" borderId="16" xfId="0" applyFont="1" applyBorder="1" applyAlignment="1">
      <alignment vertical="center" wrapText="1"/>
    </xf>
    <xf numFmtId="0" fontId="8" fillId="2" borderId="18" xfId="0" applyFont="1" applyFill="1" applyBorder="1" applyAlignment="1">
      <alignment horizontal="center" vertical="center" wrapText="1"/>
    </xf>
    <xf numFmtId="0" fontId="13" fillId="14" borderId="2" xfId="0" applyFont="1" applyFill="1" applyBorder="1" applyAlignment="1">
      <alignment horizontal="center" vertical="center" wrapText="1"/>
    </xf>
    <xf numFmtId="0" fontId="13" fillId="14" borderId="20" xfId="0" applyFont="1" applyFill="1" applyBorder="1" applyAlignment="1">
      <alignment horizontal="center" vertical="center" wrapText="1"/>
    </xf>
    <xf numFmtId="0" fontId="14" fillId="14"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vertical="center" wrapText="1"/>
    </xf>
    <xf numFmtId="0" fontId="14" fillId="14" borderId="21" xfId="0" applyFont="1" applyFill="1" applyBorder="1" applyAlignment="1">
      <alignment horizontal="center" vertical="center" wrapText="1"/>
    </xf>
    <xf numFmtId="0" fontId="3" fillId="0" borderId="15" xfId="0" applyFont="1" applyBorder="1" applyAlignment="1">
      <alignment wrapText="1"/>
    </xf>
    <xf numFmtId="0" fontId="9" fillId="0" borderId="15" xfId="0" applyFont="1" applyBorder="1" applyAlignment="1">
      <alignment horizontal="left" vertical="center" wrapText="1"/>
    </xf>
    <xf numFmtId="0" fontId="3" fillId="0" borderId="15" xfId="0" applyFont="1" applyBorder="1"/>
    <xf numFmtId="0" fontId="9" fillId="0" borderId="15" xfId="0" applyFont="1" applyBorder="1" applyAlignment="1">
      <alignment vertical="center" wrapText="1"/>
    </xf>
    <xf numFmtId="0" fontId="3" fillId="0" borderId="15" xfId="0" applyFont="1" applyBorder="1" applyAlignment="1">
      <alignment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24" xfId="0" applyFont="1" applyBorder="1" applyAlignment="1">
      <alignment vertical="center"/>
    </xf>
    <xf numFmtId="0" fontId="15" fillId="15" borderId="2" xfId="0" applyFont="1" applyFill="1" applyBorder="1" applyAlignment="1">
      <alignment horizontal="center" vertical="center" wrapText="1"/>
    </xf>
    <xf numFmtId="0" fontId="16" fillId="15" borderId="2" xfId="0" applyFont="1" applyFill="1" applyBorder="1" applyAlignment="1">
      <alignment horizontal="center" vertical="center" wrapText="1"/>
    </xf>
    <xf numFmtId="0" fontId="17" fillId="15" borderId="2" xfId="0" applyFont="1" applyFill="1" applyBorder="1" applyAlignment="1">
      <alignment horizontal="center" vertical="center" wrapText="1"/>
    </xf>
    <xf numFmtId="0" fontId="7" fillId="15" borderId="2" xfId="0" applyFont="1" applyFill="1" applyBorder="1" applyAlignment="1">
      <alignment horizontal="center" vertical="center" wrapText="1"/>
    </xf>
    <xf numFmtId="0" fontId="3" fillId="0" borderId="25" xfId="0" applyFont="1" applyBorder="1" applyAlignment="1">
      <alignment vertical="center" wrapText="1"/>
    </xf>
    <xf numFmtId="0" fontId="3" fillId="0" borderId="15" xfId="0" applyFont="1" applyBorder="1" applyAlignment="1">
      <alignment horizontal="center" vertical="center" wrapText="1"/>
    </xf>
    <xf numFmtId="0" fontId="3" fillId="0" borderId="15" xfId="0" applyFont="1" applyBorder="1" applyAlignment="1">
      <alignment vertical="center"/>
    </xf>
    <xf numFmtId="0" fontId="3" fillId="0" borderId="26" xfId="0" applyFont="1" applyBorder="1" applyAlignment="1">
      <alignment horizontal="left" vertical="center"/>
    </xf>
    <xf numFmtId="0" fontId="3" fillId="0" borderId="26" xfId="0" applyFont="1" applyBorder="1" applyAlignment="1">
      <alignment horizontal="left" vertical="center" wrapText="1"/>
    </xf>
    <xf numFmtId="0" fontId="15" fillId="16" borderId="2" xfId="0" applyFont="1" applyFill="1" applyBorder="1" applyAlignment="1">
      <alignment horizontal="center" vertical="center" wrapText="1"/>
    </xf>
    <xf numFmtId="0" fontId="15" fillId="15" borderId="20" xfId="0" applyFont="1" applyFill="1" applyBorder="1" applyAlignment="1">
      <alignment horizontal="center" vertical="center" wrapText="1"/>
    </xf>
    <xf numFmtId="0" fontId="17" fillId="16" borderId="27" xfId="0" applyFont="1" applyFill="1" applyBorder="1" applyAlignment="1">
      <alignment horizontal="center" vertical="center" wrapText="1"/>
    </xf>
    <xf numFmtId="0" fontId="17" fillId="15" borderId="28" xfId="0" applyFont="1" applyFill="1" applyBorder="1" applyAlignment="1">
      <alignment horizontal="center" vertical="center" wrapText="1"/>
    </xf>
    <xf numFmtId="0" fontId="14" fillId="14" borderId="28"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1" xfId="0" applyFont="1" applyBorder="1" applyAlignment="1">
      <alignment horizontal="left" vertical="center" wrapText="1"/>
    </xf>
    <xf numFmtId="0" fontId="3" fillId="0" borderId="1" xfId="0" applyFont="1" applyBorder="1" applyAlignment="1">
      <alignment horizontal="left" vertical="center" wrapText="1"/>
    </xf>
    <xf numFmtId="0" fontId="10" fillId="9" borderId="8" xfId="0" applyFont="1" applyFill="1" applyBorder="1" applyAlignment="1">
      <alignment horizontal="left" vertical="center" wrapText="1"/>
    </xf>
    <xf numFmtId="0" fontId="10" fillId="9" borderId="10" xfId="0" applyFont="1" applyFill="1" applyBorder="1" applyAlignment="1">
      <alignment horizontal="left" vertical="center" wrapText="1"/>
    </xf>
    <xf numFmtId="0" fontId="10" fillId="4" borderId="14" xfId="0" applyFont="1" applyFill="1" applyBorder="1" applyAlignment="1">
      <alignment horizontal="center" vertical="center"/>
    </xf>
    <xf numFmtId="0" fontId="10" fillId="4" borderId="0" xfId="0" applyFont="1" applyFill="1" applyAlignment="1">
      <alignment horizontal="center" vertical="center"/>
    </xf>
    <xf numFmtId="0" fontId="10" fillId="7" borderId="8"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10" fillId="8" borderId="14" xfId="0" applyFont="1" applyFill="1" applyBorder="1" applyAlignment="1">
      <alignment horizontal="center" vertical="center"/>
    </xf>
    <xf numFmtId="0" fontId="10" fillId="8" borderId="0" xfId="0" applyFont="1" applyFill="1" applyAlignment="1">
      <alignment horizontal="center" vertical="center"/>
    </xf>
    <xf numFmtId="0" fontId="11" fillId="8" borderId="14" xfId="0" applyFont="1" applyFill="1" applyBorder="1" applyAlignment="1">
      <alignment horizontal="left" vertical="center" wrapText="1"/>
    </xf>
    <xf numFmtId="0" fontId="11" fillId="8" borderId="0" xfId="0" applyFont="1" applyFill="1" applyAlignment="1">
      <alignment horizontal="left" vertical="center" wrapText="1"/>
    </xf>
    <xf numFmtId="0" fontId="10" fillId="9" borderId="14" xfId="0" applyFont="1" applyFill="1" applyBorder="1" applyAlignment="1">
      <alignment horizontal="left" vertical="center" wrapText="1"/>
    </xf>
    <xf numFmtId="0" fontId="10" fillId="9" borderId="0" xfId="0" applyFont="1" applyFill="1" applyAlignment="1">
      <alignment horizontal="left" vertical="center" wrapText="1"/>
    </xf>
    <xf numFmtId="0" fontId="10" fillId="9" borderId="14" xfId="0" applyFont="1" applyFill="1" applyBorder="1" applyAlignment="1">
      <alignment horizontal="center" vertical="center"/>
    </xf>
    <xf numFmtId="0" fontId="10" fillId="9" borderId="0" xfId="0" applyFont="1" applyFill="1" applyAlignment="1">
      <alignment horizontal="center" vertical="center"/>
    </xf>
    <xf numFmtId="0" fontId="10" fillId="9" borderId="12" xfId="0" applyFont="1" applyFill="1" applyBorder="1" applyAlignment="1">
      <alignment horizontal="left" vertical="center" wrapText="1"/>
    </xf>
    <xf numFmtId="0" fontId="10" fillId="4" borderId="8" xfId="0" applyFont="1" applyFill="1" applyBorder="1" applyAlignment="1">
      <alignment horizontal="left" vertical="center" wrapText="1"/>
    </xf>
    <xf numFmtId="0" fontId="10" fillId="4" borderId="10" xfId="0" applyFont="1" applyFill="1" applyBorder="1" applyAlignment="1">
      <alignment horizontal="left" vertical="center" wrapText="1"/>
    </xf>
    <xf numFmtId="0" fontId="11" fillId="0" borderId="8" xfId="0" applyFont="1" applyBorder="1" applyAlignment="1">
      <alignment horizontal="left" vertical="center" wrapText="1"/>
    </xf>
    <xf numFmtId="0" fontId="11" fillId="0" borderId="10" xfId="0" applyFont="1" applyBorder="1" applyAlignment="1">
      <alignment horizontal="left" vertical="center" wrapText="1"/>
    </xf>
    <xf numFmtId="0" fontId="10" fillId="4" borderId="14" xfId="0" applyFont="1" applyFill="1" applyBorder="1" applyAlignment="1">
      <alignment horizontal="left" vertical="center" wrapText="1"/>
    </xf>
    <xf numFmtId="0" fontId="10" fillId="4" borderId="0" xfId="0" applyFont="1" applyFill="1" applyAlignment="1">
      <alignment horizontal="left" vertical="center" wrapText="1"/>
    </xf>
    <xf numFmtId="0" fontId="11" fillId="7" borderId="14" xfId="0" applyFont="1" applyFill="1" applyBorder="1" applyAlignment="1">
      <alignment horizontal="center" vertical="center"/>
    </xf>
    <xf numFmtId="0" fontId="11" fillId="7" borderId="0" xfId="0" applyFont="1" applyFill="1" applyAlignment="1">
      <alignment horizontal="center" vertical="center"/>
    </xf>
    <xf numFmtId="0" fontId="11" fillId="7" borderId="14" xfId="0" applyFont="1" applyFill="1" applyBorder="1" applyAlignment="1">
      <alignment horizontal="left" vertical="center" wrapText="1"/>
    </xf>
    <xf numFmtId="0" fontId="11" fillId="7" borderId="0" xfId="0" applyFont="1" applyFill="1" applyAlignment="1">
      <alignment horizontal="left" vertical="center" wrapText="1"/>
    </xf>
    <xf numFmtId="0" fontId="11" fillId="8" borderId="14" xfId="0" applyFont="1" applyFill="1" applyBorder="1" applyAlignment="1">
      <alignment horizontal="center" vertical="center"/>
    </xf>
    <xf numFmtId="0" fontId="11" fillId="8" borderId="0" xfId="0" applyFont="1" applyFill="1" applyAlignment="1">
      <alignment horizontal="center" vertical="center"/>
    </xf>
    <xf numFmtId="0" fontId="10" fillId="7" borderId="14" xfId="0" applyFont="1" applyFill="1" applyBorder="1" applyAlignment="1">
      <alignment horizontal="left" vertical="center" wrapText="1"/>
    </xf>
    <xf numFmtId="0" fontId="10" fillId="7" borderId="0" xfId="0" applyFont="1" applyFill="1" applyAlignment="1">
      <alignment horizontal="left" vertical="center" wrapText="1"/>
    </xf>
    <xf numFmtId="0" fontId="10" fillId="4" borderId="14" xfId="0" applyFont="1" applyFill="1" applyBorder="1" applyAlignment="1">
      <alignment horizontal="center" vertical="center" wrapText="1"/>
    </xf>
    <xf numFmtId="0" fontId="10" fillId="4" borderId="0" xfId="0" applyFont="1" applyFill="1" applyAlignment="1">
      <alignment horizontal="center" vertical="center" wrapText="1"/>
    </xf>
    <xf numFmtId="0" fontId="11" fillId="0" borderId="14" xfId="0" applyFont="1" applyBorder="1" applyAlignment="1">
      <alignment horizontal="left" vertical="center" wrapText="1"/>
    </xf>
    <xf numFmtId="0" fontId="11" fillId="0" borderId="0" xfId="0" applyFont="1" applyAlignment="1">
      <alignment horizontal="left" vertical="center" wrapText="1"/>
    </xf>
    <xf numFmtId="0" fontId="11" fillId="0" borderId="14" xfId="0" applyFont="1" applyBorder="1" applyAlignment="1">
      <alignment horizontal="center" vertical="center"/>
    </xf>
    <xf numFmtId="0" fontId="11" fillId="0" borderId="0" xfId="0" applyFont="1" applyAlignment="1">
      <alignment horizontal="center" vertical="center"/>
    </xf>
    <xf numFmtId="0" fontId="10" fillId="7" borderId="14" xfId="0" applyFont="1" applyFill="1" applyBorder="1" applyAlignment="1">
      <alignment horizontal="center" vertical="center"/>
    </xf>
    <xf numFmtId="0" fontId="10" fillId="7" borderId="0" xfId="0" applyFont="1" applyFill="1" applyAlignment="1">
      <alignment horizontal="center" vertical="center"/>
    </xf>
    <xf numFmtId="0" fontId="11" fillId="7" borderId="8" xfId="0" applyFont="1" applyFill="1" applyBorder="1" applyAlignment="1">
      <alignment horizontal="left" vertical="center" wrapText="1"/>
    </xf>
    <xf numFmtId="0" fontId="10" fillId="7" borderId="14"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12" xfId="0" applyFont="1" applyFill="1" applyBorder="1" applyAlignment="1">
      <alignment horizontal="center" vertical="center" wrapText="1"/>
    </xf>
    <xf numFmtId="0" fontId="10" fillId="8" borderId="8" xfId="0" applyFont="1" applyFill="1" applyBorder="1" applyAlignment="1">
      <alignment horizontal="left" vertical="center" wrapText="1"/>
    </xf>
    <xf numFmtId="0" fontId="10" fillId="8" borderId="10" xfId="0" applyFont="1" applyFill="1" applyBorder="1" applyAlignment="1">
      <alignment horizontal="left" vertical="center" wrapText="1"/>
    </xf>
    <xf numFmtId="0" fontId="10" fillId="8" borderId="14" xfId="0" applyFont="1" applyFill="1" applyBorder="1" applyAlignment="1">
      <alignment horizontal="center" vertical="center" wrapText="1"/>
    </xf>
    <xf numFmtId="0" fontId="10" fillId="8" borderId="0" xfId="0" applyFont="1" applyFill="1" applyAlignment="1">
      <alignment horizontal="center" vertical="center" wrapText="1"/>
    </xf>
    <xf numFmtId="0" fontId="11" fillId="13" borderId="14" xfId="0" applyFont="1" applyFill="1" applyBorder="1" applyAlignment="1">
      <alignment horizontal="center" vertical="center"/>
    </xf>
    <xf numFmtId="0" fontId="11" fillId="13" borderId="0" xfId="0" applyFont="1" applyFill="1" applyAlignment="1">
      <alignment horizontal="center" vertical="center"/>
    </xf>
    <xf numFmtId="0" fontId="11" fillId="13" borderId="12" xfId="0" applyFont="1" applyFill="1" applyBorder="1" applyAlignment="1">
      <alignment horizontal="center" vertical="center"/>
    </xf>
    <xf numFmtId="0" fontId="10" fillId="13" borderId="14" xfId="0" applyFont="1" applyFill="1" applyBorder="1" applyAlignment="1">
      <alignment horizontal="center" vertical="center"/>
    </xf>
    <xf numFmtId="0" fontId="10" fillId="13" borderId="0" xfId="0" applyFont="1" applyFill="1" applyAlignment="1">
      <alignment horizontal="center" vertical="center"/>
    </xf>
    <xf numFmtId="0" fontId="10" fillId="13" borderId="12" xfId="0" applyFont="1" applyFill="1" applyBorder="1" applyAlignment="1">
      <alignment horizontal="center" vertical="center"/>
    </xf>
    <xf numFmtId="0" fontId="10" fillId="13" borderId="14" xfId="0" applyFont="1" applyFill="1" applyBorder="1" applyAlignment="1">
      <alignment horizontal="center" vertical="center" wrapText="1"/>
    </xf>
    <xf numFmtId="0" fontId="10" fillId="13" borderId="0" xfId="0" applyFont="1" applyFill="1" applyAlignment="1">
      <alignment horizontal="center" vertical="center" wrapText="1"/>
    </xf>
    <xf numFmtId="0" fontId="10" fillId="13" borderId="12" xfId="0" applyFont="1" applyFill="1" applyBorder="1" applyAlignment="1">
      <alignment horizontal="center" vertical="center" wrapText="1"/>
    </xf>
    <xf numFmtId="0" fontId="11" fillId="4" borderId="14" xfId="0" applyFont="1" applyFill="1" applyBorder="1" applyAlignment="1">
      <alignment horizontal="center" vertical="center"/>
    </xf>
    <xf numFmtId="0" fontId="11" fillId="4" borderId="0" xfId="0" applyFont="1" applyFill="1" applyAlignment="1">
      <alignment horizontal="center" vertical="center"/>
    </xf>
    <xf numFmtId="0" fontId="10" fillId="10" borderId="14" xfId="0" applyFont="1" applyFill="1" applyBorder="1" applyAlignment="1">
      <alignment horizontal="center" vertical="center"/>
    </xf>
    <xf numFmtId="0" fontId="10" fillId="10" borderId="0" xfId="0" applyFont="1" applyFill="1" applyAlignment="1">
      <alignment horizontal="center" vertical="center"/>
    </xf>
    <xf numFmtId="0" fontId="10" fillId="8" borderId="14" xfId="0" applyFont="1" applyFill="1" applyBorder="1" applyAlignment="1">
      <alignment horizontal="left" vertical="center" wrapText="1"/>
    </xf>
    <xf numFmtId="0" fontId="10" fillId="8" borderId="0" xfId="0" applyFont="1" applyFill="1" applyAlignment="1">
      <alignment horizontal="left" vertical="center" wrapText="1"/>
    </xf>
    <xf numFmtId="0" fontId="10" fillId="10" borderId="14" xfId="0" applyFont="1" applyFill="1" applyBorder="1" applyAlignment="1">
      <alignment horizontal="left" vertical="center" wrapText="1"/>
    </xf>
    <xf numFmtId="0" fontId="10" fillId="10" borderId="0" xfId="0" applyFont="1" applyFill="1" applyAlignment="1">
      <alignment horizontal="left" vertical="center" wrapText="1"/>
    </xf>
    <xf numFmtId="0" fontId="10" fillId="13" borderId="14" xfId="0" applyFont="1" applyFill="1" applyBorder="1" applyAlignment="1">
      <alignment horizontal="left" vertical="center" wrapText="1"/>
    </xf>
    <xf numFmtId="0" fontId="10" fillId="13" borderId="0" xfId="0" applyFont="1" applyFill="1" applyAlignment="1">
      <alignment horizontal="left" vertical="center" wrapText="1"/>
    </xf>
    <xf numFmtId="0" fontId="10" fillId="13" borderId="12" xfId="0" applyFont="1" applyFill="1" applyBorder="1" applyAlignment="1">
      <alignment horizontal="left" vertical="center" wrapText="1"/>
    </xf>
    <xf numFmtId="0" fontId="11" fillId="12" borderId="14" xfId="0" applyFont="1" applyFill="1" applyBorder="1" applyAlignment="1">
      <alignment horizontal="left" vertical="center" wrapText="1"/>
    </xf>
    <xf numFmtId="0" fontId="11" fillId="12" borderId="0" xfId="0" applyFont="1" applyFill="1" applyAlignment="1">
      <alignment horizontal="left" vertical="center" wrapText="1"/>
    </xf>
    <xf numFmtId="0" fontId="11" fillId="12" borderId="15" xfId="0" applyFont="1" applyFill="1" applyBorder="1" applyAlignment="1">
      <alignment horizontal="left" vertical="center" wrapText="1"/>
    </xf>
    <xf numFmtId="0" fontId="10" fillId="10" borderId="8" xfId="0" applyFont="1" applyFill="1" applyBorder="1" applyAlignment="1">
      <alignment horizontal="left" vertical="center" wrapText="1"/>
    </xf>
    <xf numFmtId="0" fontId="10" fillId="10" borderId="10" xfId="0" applyFont="1" applyFill="1" applyBorder="1" applyAlignment="1">
      <alignment horizontal="left" vertical="center" wrapText="1"/>
    </xf>
    <xf numFmtId="0" fontId="11" fillId="11" borderId="14" xfId="0" applyFont="1" applyFill="1" applyBorder="1" applyAlignment="1">
      <alignment horizontal="center" vertical="center"/>
    </xf>
    <xf numFmtId="0" fontId="11" fillId="11" borderId="0" xfId="0" applyFont="1" applyFill="1" applyAlignment="1">
      <alignment horizontal="center" vertical="center"/>
    </xf>
    <xf numFmtId="0" fontId="10" fillId="11" borderId="14" xfId="0" applyFont="1" applyFill="1" applyBorder="1" applyAlignment="1">
      <alignment horizontal="center" vertical="center" wrapText="1"/>
    </xf>
    <xf numFmtId="0" fontId="10" fillId="11" borderId="0" xfId="0" applyFont="1" applyFill="1" applyAlignment="1">
      <alignment horizontal="center" vertical="center" wrapText="1"/>
    </xf>
    <xf numFmtId="0" fontId="10" fillId="11" borderId="14" xfId="0" applyFont="1" applyFill="1" applyBorder="1" applyAlignment="1">
      <alignment horizontal="left" vertical="center" wrapText="1"/>
    </xf>
    <xf numFmtId="0" fontId="10" fillId="11" borderId="0" xfId="0" applyFont="1" applyFill="1" applyAlignment="1">
      <alignment horizontal="left" vertical="center" wrapText="1"/>
    </xf>
    <xf numFmtId="0" fontId="10" fillId="11" borderId="14" xfId="0" applyFont="1" applyFill="1" applyBorder="1" applyAlignment="1">
      <alignment horizontal="center" vertical="center"/>
    </xf>
    <xf numFmtId="0" fontId="10" fillId="11" borderId="0" xfId="0" applyFont="1" applyFill="1" applyAlignment="1">
      <alignment horizontal="center" vertical="center"/>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10" fillId="10" borderId="14" xfId="0" applyFont="1" applyFill="1" applyBorder="1" applyAlignment="1">
      <alignment horizontal="center" vertical="center" wrapText="1"/>
    </xf>
    <xf numFmtId="0" fontId="10" fillId="10" borderId="0" xfId="0" applyFont="1" applyFill="1" applyAlignment="1">
      <alignment horizontal="center" vertical="center" wrapText="1"/>
    </xf>
    <xf numFmtId="0" fontId="13" fillId="14" borderId="19" xfId="0" applyFont="1" applyFill="1" applyBorder="1" applyAlignment="1">
      <alignment horizontal="center" vertical="center" wrapText="1"/>
    </xf>
    <xf numFmtId="0" fontId="13" fillId="14" borderId="20" xfId="0" applyFont="1" applyFill="1" applyBorder="1" applyAlignment="1">
      <alignment horizontal="center" vertical="center" wrapText="1"/>
    </xf>
    <xf numFmtId="0" fontId="11" fillId="9" borderId="14" xfId="0" applyFont="1" applyFill="1" applyBorder="1" applyAlignment="1">
      <alignment horizontal="center" vertical="center"/>
    </xf>
    <xf numFmtId="0" fontId="11" fillId="9" borderId="0" xfId="0" applyFont="1" applyFill="1" applyAlignment="1">
      <alignment horizontal="center" vertical="center"/>
    </xf>
    <xf numFmtId="0" fontId="10" fillId="9" borderId="14" xfId="0" applyFont="1" applyFill="1" applyBorder="1" applyAlignment="1">
      <alignment horizontal="center" vertical="center" wrapText="1"/>
    </xf>
    <xf numFmtId="0" fontId="10" fillId="9" borderId="0" xfId="0" applyFont="1" applyFill="1" applyAlignment="1">
      <alignment horizontal="center" vertical="center" wrapText="1"/>
    </xf>
    <xf numFmtId="0" fontId="11" fillId="12" borderId="8" xfId="0" applyFont="1" applyFill="1" applyBorder="1" applyAlignment="1">
      <alignment horizontal="left" vertical="center" wrapText="1"/>
    </xf>
    <xf numFmtId="0" fontId="11" fillId="12" borderId="10" xfId="0" applyFont="1" applyFill="1" applyBorder="1" applyAlignment="1">
      <alignment horizontal="left" vertical="center" wrapText="1"/>
    </xf>
    <xf numFmtId="0" fontId="11" fillId="12" borderId="17" xfId="0" applyFont="1" applyFill="1" applyBorder="1" applyAlignment="1">
      <alignment horizontal="left" vertical="center" wrapText="1"/>
    </xf>
    <xf numFmtId="0" fontId="10" fillId="13" borderId="8" xfId="0" applyFont="1" applyFill="1" applyBorder="1" applyAlignment="1">
      <alignment horizontal="left" vertical="center" wrapText="1"/>
    </xf>
    <xf numFmtId="0" fontId="10" fillId="13" borderId="10" xfId="0" applyFont="1" applyFill="1" applyBorder="1" applyAlignment="1">
      <alignment horizontal="left" vertical="center" wrapText="1"/>
    </xf>
    <xf numFmtId="0" fontId="10" fillId="13" borderId="13"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10" xfId="0" applyFont="1" applyFill="1" applyBorder="1" applyAlignment="1">
      <alignment horizontal="left" vertical="center" wrapText="1"/>
    </xf>
    <xf numFmtId="0" fontId="11" fillId="12" borderId="14" xfId="0" applyFont="1" applyFill="1" applyBorder="1" applyAlignment="1">
      <alignment horizontal="center" vertical="center"/>
    </xf>
    <xf numFmtId="0" fontId="11" fillId="12" borderId="0" xfId="0" applyFont="1" applyFill="1" applyAlignment="1">
      <alignment horizontal="center" vertical="center"/>
    </xf>
    <xf numFmtId="0" fontId="11" fillId="12" borderId="15" xfId="0" applyFont="1" applyFill="1" applyBorder="1" applyAlignment="1">
      <alignment horizontal="center" vertical="center"/>
    </xf>
    <xf numFmtId="0" fontId="10" fillId="12" borderId="14" xfId="0" applyFont="1" applyFill="1" applyBorder="1" applyAlignment="1">
      <alignment horizontal="center" vertical="center" wrapText="1"/>
    </xf>
    <xf numFmtId="0" fontId="10" fillId="12" borderId="0" xfId="0" applyFont="1" applyFill="1" applyAlignment="1">
      <alignment horizontal="center" vertical="center" wrapText="1"/>
    </xf>
    <xf numFmtId="0" fontId="10" fillId="12" borderId="15" xfId="0" applyFont="1" applyFill="1" applyBorder="1" applyAlignment="1">
      <alignment horizontal="center" vertical="center" wrapText="1"/>
    </xf>
    <xf numFmtId="0" fontId="10" fillId="12" borderId="14" xfId="0" applyFont="1" applyFill="1" applyBorder="1" applyAlignment="1">
      <alignment horizontal="left" vertical="center" wrapText="1"/>
    </xf>
    <xf numFmtId="0" fontId="10" fillId="12" borderId="0" xfId="0" applyFont="1" applyFill="1" applyAlignment="1">
      <alignment horizontal="left" vertical="center" wrapText="1"/>
    </xf>
    <xf numFmtId="0" fontId="10" fillId="12" borderId="15" xfId="0" applyFont="1" applyFill="1" applyBorder="1" applyAlignment="1">
      <alignment horizontal="left" vertical="center" wrapText="1"/>
    </xf>
    <xf numFmtId="0" fontId="10" fillId="12" borderId="14" xfId="0" applyFont="1" applyFill="1" applyBorder="1" applyAlignment="1">
      <alignment horizontal="center" vertical="center"/>
    </xf>
    <xf numFmtId="0" fontId="10" fillId="12" borderId="0" xfId="0" applyFont="1" applyFill="1" applyAlignment="1">
      <alignment horizontal="center" vertical="center"/>
    </xf>
    <xf numFmtId="0" fontId="10" fillId="12" borderId="15" xfId="0" applyFont="1" applyFill="1" applyBorder="1" applyAlignment="1">
      <alignment horizontal="center" vertical="center"/>
    </xf>
    <xf numFmtId="0" fontId="18" fillId="2" borderId="2"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4" fillId="0" borderId="15" xfId="0" applyFont="1" applyBorder="1" applyAlignment="1">
      <alignment horizontal="left" vertical="center" wrapText="1"/>
    </xf>
    <xf numFmtId="0" fontId="9" fillId="0" borderId="0" xfId="0" applyFont="1" applyAlignment="1">
      <alignment horizontal="left" vertical="center" wrapText="1"/>
    </xf>
    <xf numFmtId="0" fontId="9" fillId="0" borderId="15" xfId="0" applyFont="1" applyBorder="1" applyAlignment="1">
      <alignment horizontal="left" vertical="center" wrapText="1"/>
    </xf>
    <xf numFmtId="0" fontId="3" fillId="0" borderId="15" xfId="0" applyFont="1" applyBorder="1" applyAlignment="1">
      <alignment horizontal="left" vertical="center" wrapText="1"/>
    </xf>
    <xf numFmtId="0" fontId="3" fillId="0" borderId="0" xfId="0" applyFont="1" applyAlignment="1">
      <alignment horizontal="center"/>
    </xf>
    <xf numFmtId="0" fontId="5" fillId="5" borderId="2" xfId="0" applyFont="1" applyFill="1" applyBorder="1" applyAlignment="1">
      <alignment horizontal="center"/>
    </xf>
    <xf numFmtId="0" fontId="4" fillId="0" borderId="0" xfId="0" applyFont="1" applyAlignment="1">
      <alignment horizontal="center" vertical="center"/>
    </xf>
    <xf numFmtId="0" fontId="5" fillId="2" borderId="18" xfId="0" applyFont="1" applyFill="1" applyBorder="1" applyAlignment="1">
      <alignment horizontal="center" vertical="center" wrapText="1"/>
    </xf>
  </cellXfs>
  <cellStyles count="1">
    <cellStyle name="Normal" xfId="0" builtinId="0"/>
  </cellStyles>
  <dxfs count="164">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name val="Gill Sans MT"/>
        <family val="2"/>
        <scheme val="none"/>
      </font>
    </dxf>
    <dxf>
      <font>
        <strike val="0"/>
        <outline val="0"/>
        <shadow val="0"/>
        <u val="none"/>
        <vertAlign val="baseline"/>
        <name val="Gill Sans MT"/>
        <family val="2"/>
        <scheme val="none"/>
      </font>
    </dxf>
    <dxf>
      <border outline="0">
        <bottom style="thin">
          <color theme="0"/>
        </bottom>
      </border>
    </dxf>
    <dxf>
      <font>
        <b/>
        <i val="0"/>
        <strike val="0"/>
        <condense val="0"/>
        <extend val="0"/>
        <outline val="0"/>
        <shadow val="0"/>
        <u val="none"/>
        <vertAlign val="baseline"/>
        <sz val="11"/>
        <color auto="1"/>
        <name val="Gill Sans MT"/>
        <family val="2"/>
        <scheme val="none"/>
      </font>
      <fill>
        <patternFill patternType="solid">
          <fgColor indexed="64"/>
          <bgColor rgb="FF1FB2DE"/>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Gill Sans MT"/>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Gill Sans MT"/>
        <family val="2"/>
        <scheme val="none"/>
      </font>
      <alignment horizontal="left" vertical="bottom" textRotation="0" wrapText="1" indent="0" justifyLastLine="0" shrinkToFit="0" readingOrder="0"/>
    </dxf>
    <dxf>
      <border outline="0">
        <bottom style="thin">
          <color theme="0"/>
        </bottom>
      </border>
    </dxf>
    <dxf>
      <font>
        <b/>
        <i val="0"/>
        <strike val="0"/>
        <condense val="0"/>
        <extend val="0"/>
        <outline val="0"/>
        <shadow val="0"/>
        <u val="none"/>
        <vertAlign val="baseline"/>
        <sz val="11"/>
        <color auto="1"/>
        <name val="Gill Sans MT"/>
        <family val="2"/>
        <scheme val="none"/>
      </font>
      <fill>
        <patternFill patternType="solid">
          <fgColor indexed="64"/>
          <bgColor rgb="FF1FB2DE"/>
        </patternFill>
      </fill>
      <alignment horizontal="center" vertical="center" textRotation="0" wrapText="1" indent="0" justifyLastLine="0" shrinkToFit="0" readingOrder="0"/>
    </dxf>
    <dxf>
      <font>
        <strike val="0"/>
        <outline val="0"/>
        <shadow val="0"/>
        <u val="none"/>
        <vertAlign val="baseline"/>
        <name val="Gill Sans MT"/>
        <family val="2"/>
        <scheme val="none"/>
      </font>
      <alignment horizontal="left" vertical="bottom" textRotation="0" wrapText="1" indent="0" justifyLastLine="0" shrinkToFit="0" readingOrder="0"/>
    </dxf>
    <dxf>
      <font>
        <strike val="0"/>
        <outline val="0"/>
        <shadow val="0"/>
        <u val="none"/>
        <vertAlign val="baseline"/>
        <name val="Gill Sans MT"/>
        <family val="2"/>
        <scheme val="none"/>
      </font>
      <alignment horizontal="left" vertical="bottom" textRotation="0" wrapText="1" indent="0" justifyLastLine="0" shrinkToFit="0" readingOrder="0"/>
    </dxf>
    <dxf>
      <border>
        <bottom style="thin">
          <color theme="0"/>
        </bottom>
      </border>
    </dxf>
    <dxf>
      <font>
        <b/>
        <i val="0"/>
        <strike val="0"/>
        <condense val="0"/>
        <extend val="0"/>
        <outline val="0"/>
        <shadow val="0"/>
        <u val="none"/>
        <vertAlign val="baseline"/>
        <sz val="11"/>
        <color auto="1"/>
        <name val="Gill Sans MT"/>
        <family val="2"/>
        <scheme val="none"/>
      </font>
      <fill>
        <patternFill patternType="solid">
          <fgColor indexed="64"/>
          <bgColor rgb="FF1FB2DE"/>
        </patternFill>
      </fill>
      <alignment horizontal="center" vertical="center" textRotation="0" wrapText="1" indent="0" justifyLastLine="0" shrinkToFit="0" readingOrder="0"/>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63"/>
    </tableStyle>
    <tableStyle name="Estilo de tabla 2" pivot="0" count="1" xr9:uid="{C6F8D6C6-DD7E-42E8-8328-19C722F9F97F}">
      <tableStyleElement type="wholeTable" dxfId="162"/>
    </tableStyle>
    <tableStyle name="Estilo de tabla 3" pivot="0" count="1" xr9:uid="{BD8219D8-F95E-4ADD-BD98-5883EDA7E91C}">
      <tableStyleElement type="headerRow" dxfId="161"/>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abriel Mauricio Yanez Barreto" id="{A75C3E87-39E8-48F9-9059-F17438913B67}" userId="gyanezba@poligran.edu.co" providerId="PeoplePicker"/>
  <person displayName="Gabriel Mauricio Yanez Barreto" id="{65549772-9658-4D04-9768-B5528D820A33}" userId="S::gyanezba@poligran.edu.co::a832acc3-4a1a-47f1-8268-afe5cd2b5c62" providerId="AD"/>
  <person displayName="Diana Shirley Velasquez Rojas" id="{737C752E-8945-4405-B40B-24A8D23C1DDD}" userId="S::dvelasquez@poligran.edu.co::c7f3f5aa-9de1-4023-9a93-b741ed2115e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8BC46B-3A43-42AC-9787-438361BDC8C5}" name="Saber" displayName="Saber" ref="E2:E16" totalsRowShown="0" headerRowDxfId="160" dataDxfId="158" headerRowBorderDxfId="159">
  <autoFilter ref="E2:E16" xr:uid="{1C358E07-48FC-4632-90AA-6E70BBEBE8C0}"/>
  <tableColumns count="1">
    <tableColumn id="1" xr3:uid="{9C09249F-091C-4346-920B-1CAE81394AAE}" name="Saber" dataDxfId="157"/>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E9F7FB-94E3-462E-BF28-9C2D09AA5DE0}" name="Tabla2" displayName="Tabla2" ref="F2:F15" totalsRowShown="0" headerRowDxfId="156" dataDxfId="154" headerRowBorderDxfId="155">
  <autoFilter ref="F2:F15" xr:uid="{3AE9F7FB-94E3-462E-BF28-9C2D09AA5DE0}"/>
  <tableColumns count="1">
    <tableColumn id="1" xr3:uid="{C9208A24-68CD-40C0-AAF3-E194C9E06F7D}" name="Saberhacer" dataDxfId="153"/>
  </tableColumns>
  <tableStyleInfo name="Estilo de tabla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B381471-E8E6-47AB-8BDB-B8845D8D3462}" name="Tabla24" displayName="Tabla24" ref="G2:G15" totalsRowShown="0" headerRowDxfId="152" dataDxfId="150" headerRowBorderDxfId="151">
  <autoFilter ref="G2:G15" xr:uid="{6B381471-E8E6-47AB-8BDB-B8845D8D3462}"/>
  <tableColumns count="1">
    <tableColumn id="1" xr3:uid="{0A6C777B-EC78-4665-8C83-A6C84C55365E}" name="Saberser" dataDxfId="149"/>
  </tableColumns>
  <tableStyleInfo name="Estilo de tabla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6" totalsRowShown="0" headerRowDxfId="148" dataDxfId="147">
  <autoFilter ref="B1:B36" xr:uid="{B2A92B26-EF0C-4878-B50A-6837C8B938F9}"/>
  <sortState xmlns:xlrd2="http://schemas.microsoft.com/office/spreadsheetml/2017/richdata2" ref="B2:B35">
    <sortCondition ref="B2:B36"/>
  </sortState>
  <tableColumns count="1">
    <tableColumn id="1" xr3:uid="{29152045-E0EB-4BF0-98F0-61C280340B30}" name="Verbos Competencias" dataDxfId="14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00" dataDxfId="99">
  <autoFilter ref="AA3:AA68"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91" dataDxfId="90">
  <autoFilter ref="AD3:AD33"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7" dT="2022-07-07T23:31:23.43" personId="{737C752E-8945-4405-B40B-24A8D23C1DDD}" id="{A24B4A24-8152-44AA-87A8-A11B1718E713}">
    <text xml:space="preserve">@Gabriel Mauricio Yanez Barreto veo que en todos falta la evaluación sumativa, así que recomiendo validar, si la especialización es virtual según la tipología del módulo es escribir las actividades de evaluación que se tienen establecidas y si es presencial que se describa cómo se sacan las valoraciones del curso o los cursos.
Veo por la columna tipología que es virtual, entonces sería revisar el documento de evaluación de virtual y colocar la información según la tipología del módulo.
</text>
    <mentions>
      <mention mentionpersonId="{A75C3E87-39E8-48F9-9059-F17438913B67}" mentionId="{F9FB54FD-B188-493C-8319-94A2DEE284B4}" startIndex="0" length="31"/>
    </mentions>
  </threadedComment>
  <threadedComment ref="O7" dT="2022-07-07T23:40:51.67" personId="{65549772-9658-4D04-9768-B5528D820A33}" id="{CAEC0C8A-3D1C-4454-A8E4-DE6239DBDADA}" parentId="{A24B4A24-8152-44AA-87A8-A11B1718E713}">
    <text xml:space="preserve">Hola Diana  en este caso quedamos que me enviabas un documento de esto pero no me lo has enviado y con eso podria terminar los silabos y montar cada uno de los documentos.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6.xml"/><Relationship Id="rId18" Type="http://schemas.openxmlformats.org/officeDocument/2006/relationships/table" Target="../tables/table21.xml"/><Relationship Id="rId26" Type="http://schemas.openxmlformats.org/officeDocument/2006/relationships/table" Target="../tables/table29.xml"/><Relationship Id="rId39" Type="http://schemas.openxmlformats.org/officeDocument/2006/relationships/table" Target="../tables/table42.xml"/><Relationship Id="rId21" Type="http://schemas.openxmlformats.org/officeDocument/2006/relationships/table" Target="../tables/table24.xml"/><Relationship Id="rId34" Type="http://schemas.openxmlformats.org/officeDocument/2006/relationships/table" Target="../tables/table37.xml"/><Relationship Id="rId42" Type="http://schemas.openxmlformats.org/officeDocument/2006/relationships/table" Target="../tables/table45.xml"/><Relationship Id="rId47" Type="http://schemas.openxmlformats.org/officeDocument/2006/relationships/table" Target="../tables/table50.xml"/><Relationship Id="rId7" Type="http://schemas.openxmlformats.org/officeDocument/2006/relationships/table" Target="../tables/table10.xml"/><Relationship Id="rId2" Type="http://schemas.openxmlformats.org/officeDocument/2006/relationships/table" Target="../tables/table5.xml"/><Relationship Id="rId16" Type="http://schemas.openxmlformats.org/officeDocument/2006/relationships/table" Target="../tables/table19.xml"/><Relationship Id="rId29" Type="http://schemas.openxmlformats.org/officeDocument/2006/relationships/table" Target="../tables/table32.xml"/><Relationship Id="rId11" Type="http://schemas.openxmlformats.org/officeDocument/2006/relationships/table" Target="../tables/table14.xml"/><Relationship Id="rId24" Type="http://schemas.openxmlformats.org/officeDocument/2006/relationships/table" Target="../tables/table27.xml"/><Relationship Id="rId32" Type="http://schemas.openxmlformats.org/officeDocument/2006/relationships/table" Target="../tables/table35.xml"/><Relationship Id="rId37" Type="http://schemas.openxmlformats.org/officeDocument/2006/relationships/table" Target="../tables/table40.xml"/><Relationship Id="rId40" Type="http://schemas.openxmlformats.org/officeDocument/2006/relationships/table" Target="../tables/table43.xml"/><Relationship Id="rId45" Type="http://schemas.openxmlformats.org/officeDocument/2006/relationships/table" Target="../tables/table48.xml"/><Relationship Id="rId5" Type="http://schemas.openxmlformats.org/officeDocument/2006/relationships/table" Target="../tables/table8.xml"/><Relationship Id="rId15" Type="http://schemas.openxmlformats.org/officeDocument/2006/relationships/table" Target="../tables/table18.xml"/><Relationship Id="rId23" Type="http://schemas.openxmlformats.org/officeDocument/2006/relationships/table" Target="../tables/table26.xml"/><Relationship Id="rId28" Type="http://schemas.openxmlformats.org/officeDocument/2006/relationships/table" Target="../tables/table31.xml"/><Relationship Id="rId36" Type="http://schemas.openxmlformats.org/officeDocument/2006/relationships/table" Target="../tables/table39.xml"/><Relationship Id="rId49" Type="http://schemas.openxmlformats.org/officeDocument/2006/relationships/comments" Target="../comments6.xml"/><Relationship Id="rId10" Type="http://schemas.openxmlformats.org/officeDocument/2006/relationships/table" Target="../tables/table13.xml"/><Relationship Id="rId19" Type="http://schemas.openxmlformats.org/officeDocument/2006/relationships/table" Target="../tables/table22.xml"/><Relationship Id="rId31" Type="http://schemas.openxmlformats.org/officeDocument/2006/relationships/table" Target="../tables/table34.xml"/><Relationship Id="rId44" Type="http://schemas.openxmlformats.org/officeDocument/2006/relationships/table" Target="../tables/table47.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 Id="rId22" Type="http://schemas.openxmlformats.org/officeDocument/2006/relationships/table" Target="../tables/table25.xml"/><Relationship Id="rId27" Type="http://schemas.openxmlformats.org/officeDocument/2006/relationships/table" Target="../tables/table30.xml"/><Relationship Id="rId30" Type="http://schemas.openxmlformats.org/officeDocument/2006/relationships/table" Target="../tables/table33.xml"/><Relationship Id="rId35" Type="http://schemas.openxmlformats.org/officeDocument/2006/relationships/table" Target="../tables/table38.xml"/><Relationship Id="rId43" Type="http://schemas.openxmlformats.org/officeDocument/2006/relationships/table" Target="../tables/table46.xml"/><Relationship Id="rId48" Type="http://schemas.openxmlformats.org/officeDocument/2006/relationships/table" Target="../tables/table51.xml"/><Relationship Id="rId8" Type="http://schemas.openxmlformats.org/officeDocument/2006/relationships/table" Target="../tables/table11.xml"/><Relationship Id="rId3" Type="http://schemas.openxmlformats.org/officeDocument/2006/relationships/table" Target="../tables/table6.xml"/><Relationship Id="rId12" Type="http://schemas.openxmlformats.org/officeDocument/2006/relationships/table" Target="../tables/table15.xml"/><Relationship Id="rId17" Type="http://schemas.openxmlformats.org/officeDocument/2006/relationships/table" Target="../tables/table20.xml"/><Relationship Id="rId25" Type="http://schemas.openxmlformats.org/officeDocument/2006/relationships/table" Target="../tables/table28.xml"/><Relationship Id="rId33" Type="http://schemas.openxmlformats.org/officeDocument/2006/relationships/table" Target="../tables/table36.xml"/><Relationship Id="rId38" Type="http://schemas.openxmlformats.org/officeDocument/2006/relationships/table" Target="../tables/table41.xml"/><Relationship Id="rId46" Type="http://schemas.openxmlformats.org/officeDocument/2006/relationships/table" Target="../tables/table49.xml"/><Relationship Id="rId20" Type="http://schemas.openxmlformats.org/officeDocument/2006/relationships/table" Target="../tables/table23.xml"/><Relationship Id="rId41" Type="http://schemas.openxmlformats.org/officeDocument/2006/relationships/table" Target="../tables/table44.xml"/><Relationship Id="rId1" Type="http://schemas.openxmlformats.org/officeDocument/2006/relationships/vmlDrawing" Target="../drawings/vmlDrawing6.vml"/><Relationship Id="rId6"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L16"/>
  <sheetViews>
    <sheetView zoomScaleNormal="100" workbookViewId="0">
      <selection activeCell="C3" sqref="C3:C5"/>
    </sheetView>
  </sheetViews>
  <sheetFormatPr baseColWidth="10" defaultColWidth="76.21875" defaultRowHeight="18" x14ac:dyDescent="0.5"/>
  <cols>
    <col min="1" max="2" width="16.44140625" style="3" customWidth="1"/>
    <col min="3" max="3" width="47" style="3" customWidth="1"/>
    <col min="4" max="4" width="40.21875" style="3" customWidth="1"/>
    <col min="5" max="5" width="27.77734375" style="3" customWidth="1"/>
    <col min="6" max="6" width="34.21875" style="1" customWidth="1"/>
    <col min="7" max="7" width="38.44140625" style="1" customWidth="1"/>
    <col min="8" max="8" width="37.21875" style="3" customWidth="1"/>
    <col min="9" max="9" width="50.21875" style="3" customWidth="1"/>
    <col min="10" max="10" width="24.5546875" style="3" customWidth="1"/>
    <col min="11" max="11" width="126" style="3" customWidth="1"/>
    <col min="12" max="16384" width="76.21875" style="3"/>
  </cols>
  <sheetData>
    <row r="1" spans="1:12" ht="42" x14ac:dyDescent="0.5">
      <c r="A1" s="40" t="s">
        <v>0</v>
      </c>
      <c r="B1" s="40" t="s">
        <v>1</v>
      </c>
      <c r="C1" s="40" t="s">
        <v>2</v>
      </c>
      <c r="D1" s="40" t="s">
        <v>3</v>
      </c>
      <c r="E1" s="186" t="s">
        <v>4</v>
      </c>
      <c r="F1" s="186"/>
      <c r="G1" s="186"/>
      <c r="H1" s="186" t="s">
        <v>5</v>
      </c>
      <c r="I1" s="186"/>
      <c r="J1" s="186"/>
      <c r="K1" s="71" t="s">
        <v>6</v>
      </c>
      <c r="L1" s="9"/>
    </row>
    <row r="2" spans="1:12" s="4" customFormat="1" x14ac:dyDescent="0.5">
      <c r="A2" s="72" t="s">
        <v>7</v>
      </c>
      <c r="B2" s="72" t="s">
        <v>8</v>
      </c>
      <c r="C2" s="72" t="s">
        <v>9</v>
      </c>
      <c r="D2" s="72" t="s">
        <v>10</v>
      </c>
      <c r="E2" s="73" t="s">
        <v>11</v>
      </c>
      <c r="F2" s="73" t="s">
        <v>12</v>
      </c>
      <c r="G2" s="73" t="s">
        <v>13</v>
      </c>
      <c r="H2" s="73" t="s">
        <v>14</v>
      </c>
      <c r="I2" s="73" t="s">
        <v>15</v>
      </c>
      <c r="J2" s="73" t="s">
        <v>16</v>
      </c>
      <c r="K2" s="74" t="s">
        <v>17</v>
      </c>
    </row>
    <row r="3" spans="1:12" s="6" customFormat="1" ht="108" x14ac:dyDescent="0.3">
      <c r="A3" s="188" t="s">
        <v>18</v>
      </c>
      <c r="B3" s="188" t="s">
        <v>19</v>
      </c>
      <c r="C3" s="187" t="s">
        <v>20</v>
      </c>
      <c r="D3" s="187" t="s">
        <v>21</v>
      </c>
      <c r="E3" s="6" t="s">
        <v>22</v>
      </c>
      <c r="F3" s="6" t="s">
        <v>23</v>
      </c>
      <c r="G3" s="6" t="s">
        <v>24</v>
      </c>
      <c r="H3" s="55" t="s">
        <v>25</v>
      </c>
      <c r="I3" s="55" t="s">
        <v>26</v>
      </c>
      <c r="J3" s="55" t="s">
        <v>27</v>
      </c>
      <c r="K3" s="75" t="s">
        <v>28</v>
      </c>
    </row>
    <row r="4" spans="1:12" s="6" customFormat="1" ht="72" x14ac:dyDescent="0.3">
      <c r="A4" s="188"/>
      <c r="B4" s="188"/>
      <c r="C4" s="187"/>
      <c r="D4" s="187"/>
      <c r="E4" s="30" t="s">
        <v>29</v>
      </c>
      <c r="F4" s="30" t="s">
        <v>30</v>
      </c>
      <c r="G4" s="30" t="s">
        <v>31</v>
      </c>
      <c r="H4" s="21" t="s">
        <v>32</v>
      </c>
      <c r="I4" s="21" t="s">
        <v>33</v>
      </c>
      <c r="J4" s="6" t="s">
        <v>34</v>
      </c>
      <c r="K4" s="76" t="s">
        <v>35</v>
      </c>
    </row>
    <row r="5" spans="1:12" s="6" customFormat="1" ht="72" x14ac:dyDescent="0.3">
      <c r="A5" s="188"/>
      <c r="B5" s="188"/>
      <c r="C5" s="187"/>
      <c r="D5" s="187"/>
      <c r="E5" s="6" t="s">
        <v>36</v>
      </c>
      <c r="F5" s="6" t="s">
        <v>37</v>
      </c>
      <c r="G5" s="6" t="s">
        <v>38</v>
      </c>
      <c r="H5" s="21"/>
      <c r="I5" s="21" t="s">
        <v>39</v>
      </c>
      <c r="J5" s="6" t="s">
        <v>40</v>
      </c>
      <c r="K5" s="77" t="s">
        <v>41</v>
      </c>
    </row>
    <row r="6" spans="1:12" s="6" customFormat="1" x14ac:dyDescent="0.3">
      <c r="C6" s="5"/>
      <c r="D6" s="5"/>
      <c r="H6" s="21"/>
      <c r="I6" s="21"/>
      <c r="J6" s="6" t="s">
        <v>42</v>
      </c>
      <c r="K6" s="77"/>
    </row>
    <row r="7" spans="1:12" s="6" customFormat="1" ht="36" x14ac:dyDescent="0.3">
      <c r="C7" s="5"/>
      <c r="D7" s="5"/>
      <c r="H7" s="21"/>
      <c r="I7" s="21"/>
      <c r="J7" s="6" t="s">
        <v>43</v>
      </c>
      <c r="K7" s="77"/>
    </row>
    <row r="8" spans="1:12" s="6" customFormat="1" x14ac:dyDescent="0.3">
      <c r="C8" s="5"/>
      <c r="D8" s="5"/>
      <c r="G8" s="21"/>
      <c r="K8" s="77"/>
    </row>
    <row r="9" spans="1:12" s="6" customFormat="1" x14ac:dyDescent="0.3">
      <c r="C9" s="5"/>
      <c r="D9" s="5"/>
      <c r="G9" s="21"/>
    </row>
    <row r="10" spans="1:12" s="6" customFormat="1" x14ac:dyDescent="0.3">
      <c r="C10" s="5"/>
      <c r="D10" s="5"/>
      <c r="G10" s="21"/>
    </row>
    <row r="11" spans="1:12" s="6" customFormat="1" x14ac:dyDescent="0.3">
      <c r="C11" s="5"/>
      <c r="D11" s="5"/>
      <c r="G11" s="21"/>
    </row>
    <row r="12" spans="1:12" s="6" customFormat="1" x14ac:dyDescent="0.3">
      <c r="C12" s="5"/>
      <c r="D12" s="5"/>
      <c r="G12" s="21"/>
    </row>
    <row r="13" spans="1:12" s="6" customFormat="1" x14ac:dyDescent="0.3">
      <c r="C13" s="5"/>
      <c r="D13" s="5"/>
      <c r="G13" s="21"/>
    </row>
    <row r="14" spans="1:12" x14ac:dyDescent="0.5">
      <c r="C14" s="5"/>
      <c r="E14" s="4"/>
      <c r="F14" s="4"/>
      <c r="H14" s="4"/>
    </row>
    <row r="15" spans="1:12" x14ac:dyDescent="0.5">
      <c r="E15" s="4"/>
      <c r="F15" s="4"/>
    </row>
    <row r="16" spans="1:12" x14ac:dyDescent="0.5">
      <c r="E16" s="4"/>
    </row>
  </sheetData>
  <mergeCells count="6">
    <mergeCell ref="H1:J1"/>
    <mergeCell ref="D3:D5"/>
    <mergeCell ref="C3:C5"/>
    <mergeCell ref="B3:B5"/>
    <mergeCell ref="A3:A5"/>
    <mergeCell ref="E1:G1"/>
  </mergeCells>
  <dataValidations count="1">
    <dataValidation type="list" allowBlank="1" showInputMessage="1" showErrorMessage="1" sqref="E6:E7" xr:uid="{2BE38B1E-76D3-467B-8BDE-912345999F51}">
      <formula1>Conocimientos</formula1>
    </dataValidation>
  </dataValidations>
  <pageMargins left="0.7" right="0.7" top="0.75" bottom="0.75" header="0.3" footer="0.3"/>
  <pageSetup paperSize="9" orientation="portrait" r:id="rId1"/>
  <legacy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24"/>
  <sheetViews>
    <sheetView zoomScaleNormal="100" workbookViewId="0">
      <selection activeCell="C1" sqref="C1"/>
    </sheetView>
  </sheetViews>
  <sheetFormatPr baseColWidth="10" defaultColWidth="43.21875" defaultRowHeight="18" x14ac:dyDescent="0.3"/>
  <cols>
    <col min="1" max="1" width="14.77734375" style="6" customWidth="1"/>
    <col min="2" max="2" width="18.77734375" style="6" customWidth="1"/>
    <col min="3" max="3" width="39.21875" style="6" customWidth="1"/>
    <col min="4" max="4" width="39.77734375" style="6" customWidth="1"/>
    <col min="5" max="5" width="43.21875" style="6"/>
    <col min="6" max="6" width="96.77734375" style="6" customWidth="1"/>
    <col min="7" max="16384" width="43.21875" style="6"/>
  </cols>
  <sheetData>
    <row r="1" spans="1:7" ht="48" x14ac:dyDescent="0.3">
      <c r="A1" s="66" t="s">
        <v>44</v>
      </c>
      <c r="B1" s="67" t="s">
        <v>45</v>
      </c>
      <c r="C1" s="67" t="s">
        <v>46</v>
      </c>
      <c r="D1" s="67" t="s">
        <v>47</v>
      </c>
      <c r="E1" s="67" t="s">
        <v>48</v>
      </c>
      <c r="F1" s="41" t="s">
        <v>49</v>
      </c>
      <c r="G1" s="41" t="s">
        <v>50</v>
      </c>
    </row>
    <row r="2" spans="1:7" s="7" customFormat="1" ht="36" x14ac:dyDescent="0.3">
      <c r="A2" s="68" t="s">
        <v>51</v>
      </c>
      <c r="B2" s="69" t="s">
        <v>52</v>
      </c>
      <c r="C2" s="69" t="s">
        <v>53</v>
      </c>
      <c r="D2" s="69" t="s">
        <v>54</v>
      </c>
      <c r="E2" s="69" t="s">
        <v>55</v>
      </c>
      <c r="F2" s="70" t="s">
        <v>56</v>
      </c>
      <c r="G2" s="70" t="s">
        <v>57</v>
      </c>
    </row>
    <row r="3" spans="1:7" ht="72" x14ac:dyDescent="0.3">
      <c r="A3" s="7">
        <v>1</v>
      </c>
      <c r="B3" s="64" t="s">
        <v>58</v>
      </c>
      <c r="C3" s="65" t="s">
        <v>22</v>
      </c>
      <c r="D3" s="65" t="s">
        <v>23</v>
      </c>
      <c r="E3" s="65" t="s">
        <v>24</v>
      </c>
      <c r="F3" s="65" t="s">
        <v>59</v>
      </c>
      <c r="G3" s="6" t="s">
        <v>60</v>
      </c>
    </row>
    <row r="4" spans="1:7" ht="72" x14ac:dyDescent="0.3">
      <c r="A4" s="7">
        <v>2</v>
      </c>
      <c r="B4" s="21" t="s">
        <v>61</v>
      </c>
      <c r="C4" s="6" t="s">
        <v>29</v>
      </c>
      <c r="D4" s="30" t="s">
        <v>30</v>
      </c>
      <c r="E4" s="30" t="s">
        <v>31</v>
      </c>
      <c r="F4" s="30" t="s">
        <v>62</v>
      </c>
      <c r="G4" s="6" t="s">
        <v>60</v>
      </c>
    </row>
    <row r="5" spans="1:7" ht="72" x14ac:dyDescent="0.3">
      <c r="A5" s="7">
        <v>3</v>
      </c>
      <c r="B5" s="21" t="s">
        <v>63</v>
      </c>
      <c r="C5" s="6" t="s">
        <v>36</v>
      </c>
      <c r="D5" s="6" t="s">
        <v>37</v>
      </c>
      <c r="E5" s="6" t="s">
        <v>38</v>
      </c>
      <c r="F5" s="6" t="s">
        <v>64</v>
      </c>
      <c r="G5" s="6" t="s">
        <v>60</v>
      </c>
    </row>
    <row r="6" spans="1:7" x14ac:dyDescent="0.3">
      <c r="B6" s="21"/>
    </row>
    <row r="7" spans="1:7" x14ac:dyDescent="0.3">
      <c r="B7" s="21"/>
    </row>
    <row r="9" spans="1:7" x14ac:dyDescent="0.3">
      <c r="B9" s="21"/>
    </row>
    <row r="10" spans="1:7" x14ac:dyDescent="0.3">
      <c r="B10" s="21"/>
    </row>
    <row r="11" spans="1:7" x14ac:dyDescent="0.3">
      <c r="B11" s="21"/>
    </row>
    <row r="12" spans="1:7" x14ac:dyDescent="0.3">
      <c r="B12" s="21"/>
    </row>
    <row r="13" spans="1:7" x14ac:dyDescent="0.3">
      <c r="B13" s="21"/>
    </row>
    <row r="14" spans="1:7" x14ac:dyDescent="0.3">
      <c r="B14" s="21"/>
    </row>
    <row r="15" spans="1:7" x14ac:dyDescent="0.3">
      <c r="B15" s="21"/>
    </row>
    <row r="16" spans="1:7" x14ac:dyDescent="0.3">
      <c r="B16" s="21"/>
    </row>
    <row r="17" spans="2:2" x14ac:dyDescent="0.3">
      <c r="B17" s="21"/>
    </row>
    <row r="18" spans="2:2" x14ac:dyDescent="0.3">
      <c r="B18" s="21"/>
    </row>
    <row r="19" spans="2:2" x14ac:dyDescent="0.3">
      <c r="B19" s="21"/>
    </row>
    <row r="20" spans="2:2" x14ac:dyDescent="0.3">
      <c r="B20" s="21"/>
    </row>
    <row r="21" spans="2:2" x14ac:dyDescent="0.3">
      <c r="B21" s="21"/>
    </row>
    <row r="22" spans="2:2" x14ac:dyDescent="0.3">
      <c r="B22" s="21"/>
    </row>
    <row r="23" spans="2:2" x14ac:dyDescent="0.3">
      <c r="B23" s="21"/>
    </row>
    <row r="24" spans="2:2" x14ac:dyDescent="0.3">
      <c r="B24" s="21"/>
    </row>
  </sheetData>
  <dataValidations count="2">
    <dataValidation type="list" allowBlank="1" showInputMessage="1" showErrorMessage="1" sqref="C3:C22" xr:uid="{296160A6-FB03-49EA-93B2-DD1CAF2E1EB2}">
      <formula1>Conocimientos</formula1>
    </dataValidation>
    <dataValidation type="list" allowBlank="1" showInputMessage="1" showErrorMessage="1" sqref="B3:B24"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BD312-CFA8-4018-8FEE-E0A00C0C45B5}">
  <dimension ref="A1:I21"/>
  <sheetViews>
    <sheetView zoomScaleNormal="100" workbookViewId="0">
      <selection activeCell="G16" sqref="G16"/>
    </sheetView>
  </sheetViews>
  <sheetFormatPr baseColWidth="10" defaultColWidth="11.44140625" defaultRowHeight="18" x14ac:dyDescent="0.5"/>
  <cols>
    <col min="1" max="1" width="93.21875" style="6" customWidth="1"/>
    <col min="2" max="2" width="23.21875" style="7" customWidth="1"/>
    <col min="3" max="3" width="21.77734375" style="6" customWidth="1"/>
    <col min="4" max="4" width="30.77734375" style="6" customWidth="1"/>
    <col min="5" max="5" width="25.5546875" style="6" customWidth="1"/>
    <col min="6" max="6" width="21.77734375" style="6" customWidth="1"/>
    <col min="7" max="7" width="27.44140625" style="8" customWidth="1"/>
    <col min="8" max="8" width="20" style="1" customWidth="1"/>
    <col min="9" max="9" width="72" style="1" customWidth="1"/>
    <col min="10" max="16384" width="11.44140625" style="6"/>
  </cols>
  <sheetData>
    <row r="1" spans="1:9" ht="48" x14ac:dyDescent="0.3">
      <c r="A1" s="40" t="s">
        <v>65</v>
      </c>
      <c r="B1" s="40" t="s">
        <v>66</v>
      </c>
      <c r="C1" s="57" t="s">
        <v>67</v>
      </c>
      <c r="D1" s="58" t="s">
        <v>68</v>
      </c>
      <c r="E1" s="58" t="s">
        <v>69</v>
      </c>
      <c r="F1" s="57" t="s">
        <v>70</v>
      </c>
      <c r="G1" s="57" t="s">
        <v>71</v>
      </c>
      <c r="H1" s="57" t="s">
        <v>72</v>
      </c>
      <c r="I1" s="40" t="s">
        <v>73</v>
      </c>
    </row>
    <row r="2" spans="1:9" x14ac:dyDescent="0.3">
      <c r="A2" s="42" t="s">
        <v>74</v>
      </c>
      <c r="B2" s="42" t="s">
        <v>75</v>
      </c>
      <c r="C2" s="59" t="s">
        <v>76</v>
      </c>
      <c r="D2" s="60" t="s">
        <v>77</v>
      </c>
      <c r="E2" s="60" t="s">
        <v>78</v>
      </c>
      <c r="F2" s="59" t="s">
        <v>79</v>
      </c>
      <c r="G2" s="59" t="s">
        <v>80</v>
      </c>
      <c r="H2" s="59" t="s">
        <v>81</v>
      </c>
      <c r="I2" s="42" t="s">
        <v>82</v>
      </c>
    </row>
    <row r="3" spans="1:9" ht="72" x14ac:dyDescent="0.3">
      <c r="A3" s="52" t="s">
        <v>59</v>
      </c>
      <c r="B3" s="7">
        <v>1</v>
      </c>
      <c r="C3" s="55" t="s">
        <v>11</v>
      </c>
      <c r="D3" s="55" t="s">
        <v>22</v>
      </c>
      <c r="E3" s="55" t="s">
        <v>83</v>
      </c>
      <c r="F3" s="56" t="s">
        <v>84</v>
      </c>
      <c r="G3" s="56" t="s">
        <v>85</v>
      </c>
      <c r="H3" s="56" t="s">
        <v>86</v>
      </c>
      <c r="I3" s="5" t="s">
        <v>87</v>
      </c>
    </row>
    <row r="4" spans="1:9" ht="72" x14ac:dyDescent="0.3">
      <c r="A4" s="53" t="s">
        <v>59</v>
      </c>
      <c r="B4" s="7">
        <v>3</v>
      </c>
      <c r="C4" s="6" t="s">
        <v>12</v>
      </c>
      <c r="D4" s="6" t="s">
        <v>23</v>
      </c>
      <c r="E4" s="6" t="s">
        <v>83</v>
      </c>
      <c r="F4" s="23" t="s">
        <v>88</v>
      </c>
      <c r="G4" s="23" t="s">
        <v>89</v>
      </c>
      <c r="H4" s="23" t="s">
        <v>90</v>
      </c>
      <c r="I4" s="5" t="s">
        <v>91</v>
      </c>
    </row>
    <row r="5" spans="1:9" s="5" customFormat="1" ht="108" x14ac:dyDescent="0.3">
      <c r="A5" s="61" t="s">
        <v>59</v>
      </c>
      <c r="B5" s="62">
        <v>4</v>
      </c>
      <c r="C5" s="51" t="s">
        <v>13</v>
      </c>
      <c r="D5" s="51" t="s">
        <v>24</v>
      </c>
      <c r="E5" s="51" t="s">
        <v>83</v>
      </c>
      <c r="F5" s="63" t="s">
        <v>92</v>
      </c>
      <c r="G5" s="63" t="s">
        <v>89</v>
      </c>
      <c r="H5" s="63" t="s">
        <v>93</v>
      </c>
      <c r="I5" s="51" t="s">
        <v>94</v>
      </c>
    </row>
    <row r="6" spans="1:9" ht="72" x14ac:dyDescent="0.3">
      <c r="A6" s="53" t="s">
        <v>62</v>
      </c>
      <c r="B6" s="7">
        <v>2</v>
      </c>
      <c r="C6" s="6" t="s">
        <v>11</v>
      </c>
      <c r="D6" s="6" t="s">
        <v>29</v>
      </c>
      <c r="E6" s="6" t="s">
        <v>83</v>
      </c>
      <c r="F6" s="23" t="s">
        <v>84</v>
      </c>
      <c r="G6" s="23" t="s">
        <v>95</v>
      </c>
      <c r="H6" s="23" t="s">
        <v>61</v>
      </c>
      <c r="I6" s="5" t="s">
        <v>96</v>
      </c>
    </row>
    <row r="7" spans="1:9" ht="90" x14ac:dyDescent="0.3">
      <c r="A7" s="53" t="s">
        <v>62</v>
      </c>
      <c r="B7" s="7">
        <v>3</v>
      </c>
      <c r="C7" s="6" t="s">
        <v>12</v>
      </c>
      <c r="D7" s="6" t="s">
        <v>30</v>
      </c>
      <c r="E7" s="6" t="s">
        <v>83</v>
      </c>
      <c r="F7" s="23" t="s">
        <v>88</v>
      </c>
      <c r="G7" s="23" t="s">
        <v>89</v>
      </c>
      <c r="H7" s="23" t="s">
        <v>90</v>
      </c>
      <c r="I7" s="5" t="s">
        <v>91</v>
      </c>
    </row>
    <row r="8" spans="1:9" s="5" customFormat="1" ht="72" x14ac:dyDescent="0.3">
      <c r="A8" s="61" t="s">
        <v>62</v>
      </c>
      <c r="B8" s="62">
        <v>4</v>
      </c>
      <c r="C8" s="51" t="s">
        <v>13</v>
      </c>
      <c r="D8" s="51" t="s">
        <v>31</v>
      </c>
      <c r="E8" s="51" t="s">
        <v>83</v>
      </c>
      <c r="F8" s="63" t="s">
        <v>92</v>
      </c>
      <c r="G8" s="63" t="s">
        <v>89</v>
      </c>
      <c r="H8" s="63" t="s">
        <v>93</v>
      </c>
      <c r="I8" s="51" t="s">
        <v>94</v>
      </c>
    </row>
    <row r="9" spans="1:9" ht="72" x14ac:dyDescent="0.3">
      <c r="A9" s="53" t="s">
        <v>64</v>
      </c>
      <c r="B9" s="7">
        <v>1</v>
      </c>
      <c r="C9" s="6" t="s">
        <v>11</v>
      </c>
      <c r="D9" s="6" t="s">
        <v>36</v>
      </c>
      <c r="E9" s="6" t="s">
        <v>83</v>
      </c>
      <c r="F9" s="23" t="s">
        <v>84</v>
      </c>
      <c r="G9" s="23" t="s">
        <v>85</v>
      </c>
      <c r="H9" s="23" t="s">
        <v>86</v>
      </c>
      <c r="I9" s="5" t="s">
        <v>87</v>
      </c>
    </row>
    <row r="10" spans="1:9" ht="72" x14ac:dyDescent="0.3">
      <c r="A10" s="53" t="s">
        <v>64</v>
      </c>
      <c r="B10" s="7">
        <v>3</v>
      </c>
      <c r="C10" s="6" t="s">
        <v>12</v>
      </c>
      <c r="D10" s="6" t="s">
        <v>37</v>
      </c>
      <c r="E10" s="6" t="s">
        <v>83</v>
      </c>
      <c r="F10" s="23" t="s">
        <v>88</v>
      </c>
      <c r="G10" s="23" t="s">
        <v>89</v>
      </c>
      <c r="H10" s="23" t="s">
        <v>90</v>
      </c>
      <c r="I10" s="5" t="s">
        <v>91</v>
      </c>
    </row>
    <row r="11" spans="1:9" s="5" customFormat="1" ht="72" x14ac:dyDescent="0.3">
      <c r="A11" s="61" t="s">
        <v>64</v>
      </c>
      <c r="B11" s="62">
        <v>4</v>
      </c>
      <c r="C11" s="51" t="s">
        <v>13</v>
      </c>
      <c r="D11" s="51" t="s">
        <v>31</v>
      </c>
      <c r="E11" s="51" t="s">
        <v>83</v>
      </c>
      <c r="F11" s="63" t="s">
        <v>92</v>
      </c>
      <c r="G11" s="63" t="s">
        <v>89</v>
      </c>
      <c r="H11" s="63" t="s">
        <v>93</v>
      </c>
      <c r="I11" s="51" t="s">
        <v>94</v>
      </c>
    </row>
    <row r="12" spans="1:9" x14ac:dyDescent="0.5">
      <c r="A12" s="53"/>
      <c r="F12" s="1"/>
      <c r="G12" s="1"/>
      <c r="I12" s="3"/>
    </row>
    <row r="13" spans="1:9" x14ac:dyDescent="0.5">
      <c r="A13" s="53"/>
      <c r="F13" s="1"/>
      <c r="G13" s="1"/>
      <c r="I13" s="3"/>
    </row>
    <row r="14" spans="1:9" x14ac:dyDescent="0.5">
      <c r="A14" s="53"/>
      <c r="F14" s="1"/>
      <c r="G14" s="1"/>
      <c r="I14" s="3"/>
    </row>
    <row r="15" spans="1:9" x14ac:dyDescent="0.5">
      <c r="A15" s="53"/>
      <c r="F15" s="1"/>
      <c r="G15" s="1"/>
      <c r="I15" s="3"/>
    </row>
    <row r="16" spans="1:9" x14ac:dyDescent="0.5">
      <c r="A16" s="54"/>
      <c r="G16" s="21"/>
      <c r="H16" s="22"/>
      <c r="I16" s="4"/>
    </row>
    <row r="17" spans="1:9" x14ac:dyDescent="0.5">
      <c r="A17" s="54"/>
      <c r="G17" s="21"/>
      <c r="H17" s="22"/>
      <c r="I17" s="4"/>
    </row>
    <row r="18" spans="1:9" x14ac:dyDescent="0.5">
      <c r="A18" s="53"/>
      <c r="F18" s="1"/>
      <c r="G18" s="1"/>
    </row>
    <row r="19" spans="1:9" x14ac:dyDescent="0.5">
      <c r="A19" s="53"/>
      <c r="I19" s="3"/>
    </row>
    <row r="20" spans="1:9" x14ac:dyDescent="0.5">
      <c r="A20" s="53"/>
      <c r="I20" s="3"/>
    </row>
    <row r="21" spans="1:9" x14ac:dyDescent="0.3">
      <c r="H21" s="23"/>
      <c r="I21" s="23"/>
    </row>
  </sheetData>
  <autoFilter ref="I1:I17" xr:uid="{94AAF649-42F4-466A-BE11-44357078F961}">
    <sortState xmlns:xlrd2="http://schemas.microsoft.com/office/spreadsheetml/2017/richdata2" ref="I2:I17">
      <sortCondition ref="I1:I17"/>
    </sortState>
  </autoFilter>
  <dataValidations count="8">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20" xr:uid="{A208360C-1246-4A85-8D8A-312C37AB6B49}">
      <formula1>taxonomiasra</formula1>
    </dataValidation>
    <dataValidation type="list" allowBlank="1" showInputMessage="1" showErrorMessage="1" sqref="G19 G16" xr:uid="{3038EB49-E663-4860-9485-8DD8C8051C6E}">
      <formula1>INDIRECT($E5)</formula1>
    </dataValidation>
    <dataValidation type="list" allowBlank="1" showInputMessage="1" showErrorMessage="1" sqref="G18 G3:G15" xr:uid="{48AE670A-6B35-44A4-BF87-3702FD074C5F}">
      <formula1>INDIRECT($F3)</formula1>
    </dataValidation>
    <dataValidation type="list" allowBlank="1" showInputMessage="1" showErrorMessage="1" sqref="H3:H20" xr:uid="{A83DD538-8B92-4F06-A1CC-9184E6A39FEE}">
      <formula1>INDIRECT($G3)</formula1>
    </dataValidation>
    <dataValidation type="list" allowBlank="1" showInputMessage="1" showErrorMessage="1" sqref="D3:D20" xr:uid="{D986B944-541A-483E-9302-12548B3B4F3B}">
      <formula1>INDIRECT($C3)</formula1>
    </dataValidation>
    <dataValidation type="list" allowBlank="1" showInputMessage="1" showErrorMessage="1" sqref="F3:F20" xr:uid="{387027F8-C8F6-4650-B6EC-9B0F8EC37018}">
      <formula1>INDIRECT($E3)</formula1>
    </dataValidation>
    <dataValidation type="list" allowBlank="1" showInputMessage="1" showErrorMessage="1" sqref="A3:A20" xr:uid="{439321AD-233D-448A-A1E8-6157DA4CE104}">
      <formula1>competencias</formula1>
    </dataValidation>
    <dataValidation type="list" allowBlank="1" showInputMessage="1" showErrorMessage="1" sqref="C3:C20" xr:uid="{1DE819D9-E3B2-4A9E-891D-62F9951C75B6}">
      <formula1>dominios</formula1>
    </dataValidation>
  </dataValidation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8"/>
  <sheetViews>
    <sheetView zoomScaleNormal="100" workbookViewId="0">
      <selection activeCell="F11" sqref="A9:F11"/>
    </sheetView>
  </sheetViews>
  <sheetFormatPr baseColWidth="10" defaultColWidth="11.44140625" defaultRowHeight="18" x14ac:dyDescent="0.5"/>
  <cols>
    <col min="1" max="1" width="69.77734375" style="1" customWidth="1"/>
    <col min="2" max="2" width="55.21875" style="1" customWidth="1"/>
    <col min="3" max="3" width="48" style="1" customWidth="1"/>
    <col min="4" max="4" width="61.5546875" style="1" customWidth="1"/>
    <col min="5" max="5" width="39.21875" style="1" customWidth="1"/>
    <col min="6" max="6" width="44.21875" style="1" customWidth="1"/>
    <col min="7" max="16384" width="11.44140625" style="1"/>
  </cols>
  <sheetData>
    <row r="1" spans="1:6" ht="48" x14ac:dyDescent="0.5">
      <c r="A1" s="40" t="s">
        <v>97</v>
      </c>
      <c r="B1" s="40" t="s">
        <v>98</v>
      </c>
      <c r="C1" s="40" t="s">
        <v>99</v>
      </c>
      <c r="D1" s="40" t="s">
        <v>100</v>
      </c>
      <c r="E1" s="40" t="s">
        <v>101</v>
      </c>
      <c r="F1" s="40" t="s">
        <v>102</v>
      </c>
    </row>
    <row r="2" spans="1:6" ht="36" x14ac:dyDescent="0.5">
      <c r="A2" s="46" t="s">
        <v>103</v>
      </c>
      <c r="B2" s="46" t="s">
        <v>104</v>
      </c>
      <c r="C2" s="46" t="s">
        <v>105</v>
      </c>
      <c r="D2" s="46" t="s">
        <v>106</v>
      </c>
      <c r="E2" s="46" t="s">
        <v>107</v>
      </c>
      <c r="F2" s="46" t="s">
        <v>108</v>
      </c>
    </row>
    <row r="3" spans="1:6" ht="72" x14ac:dyDescent="0.5">
      <c r="A3" s="3" t="s">
        <v>87</v>
      </c>
      <c r="B3" s="189" t="s">
        <v>109</v>
      </c>
      <c r="C3" s="191" t="s">
        <v>110</v>
      </c>
      <c r="D3" s="44" t="s">
        <v>111</v>
      </c>
      <c r="E3" s="187" t="s">
        <v>112</v>
      </c>
      <c r="F3" s="1" t="s">
        <v>113</v>
      </c>
    </row>
    <row r="4" spans="1:6" ht="72" x14ac:dyDescent="0.5">
      <c r="A4" s="3" t="s">
        <v>91</v>
      </c>
      <c r="B4" s="189"/>
      <c r="C4" s="191"/>
      <c r="D4" s="44" t="s">
        <v>114</v>
      </c>
      <c r="E4" s="187"/>
      <c r="F4" s="1" t="s">
        <v>115</v>
      </c>
    </row>
    <row r="5" spans="1:6" x14ac:dyDescent="0.5">
      <c r="A5" s="47"/>
      <c r="B5" s="190"/>
      <c r="C5" s="192"/>
      <c r="D5" s="48" t="s">
        <v>116</v>
      </c>
      <c r="E5" s="193"/>
      <c r="F5" s="49" t="s">
        <v>117</v>
      </c>
    </row>
    <row r="6" spans="1:6" ht="72" x14ac:dyDescent="0.5">
      <c r="A6" s="3" t="s">
        <v>87</v>
      </c>
      <c r="B6" s="189" t="s">
        <v>118</v>
      </c>
      <c r="C6" s="191" t="s">
        <v>119</v>
      </c>
      <c r="D6" s="44" t="s">
        <v>111</v>
      </c>
      <c r="E6" s="187" t="s">
        <v>120</v>
      </c>
      <c r="F6" s="1" t="s">
        <v>113</v>
      </c>
    </row>
    <row r="7" spans="1:6" ht="72" x14ac:dyDescent="0.5">
      <c r="A7" s="3" t="s">
        <v>91</v>
      </c>
      <c r="B7" s="189"/>
      <c r="C7" s="191"/>
      <c r="D7" s="45" t="s">
        <v>121</v>
      </c>
      <c r="E7" s="187"/>
      <c r="F7" s="1" t="s">
        <v>117</v>
      </c>
    </row>
    <row r="8" spans="1:6" ht="36" x14ac:dyDescent="0.5">
      <c r="A8" s="47"/>
      <c r="B8" s="190"/>
      <c r="C8" s="192"/>
      <c r="D8" s="50" t="s">
        <v>122</v>
      </c>
      <c r="E8" s="193"/>
      <c r="F8" s="49" t="s">
        <v>115</v>
      </c>
    </row>
    <row r="9" spans="1:6" ht="90" x14ac:dyDescent="0.5">
      <c r="A9" s="3" t="s">
        <v>91</v>
      </c>
      <c r="B9" s="189" t="s">
        <v>123</v>
      </c>
      <c r="C9" s="191" t="s">
        <v>124</v>
      </c>
      <c r="D9" s="45" t="s">
        <v>111</v>
      </c>
      <c r="E9" s="5" t="s">
        <v>125</v>
      </c>
      <c r="F9" s="1" t="s">
        <v>113</v>
      </c>
    </row>
    <row r="10" spans="1:6" ht="72" x14ac:dyDescent="0.5">
      <c r="A10" s="5" t="s">
        <v>94</v>
      </c>
      <c r="B10" s="189"/>
      <c r="C10" s="191"/>
      <c r="D10" s="44" t="s">
        <v>126</v>
      </c>
      <c r="E10" s="5" t="s">
        <v>127</v>
      </c>
      <c r="F10" s="1" t="s">
        <v>117</v>
      </c>
    </row>
    <row r="11" spans="1:6" ht="72" x14ac:dyDescent="0.5">
      <c r="A11" s="47" t="s">
        <v>96</v>
      </c>
      <c r="B11" s="190"/>
      <c r="C11" s="192"/>
      <c r="D11" s="50" t="s">
        <v>128</v>
      </c>
      <c r="E11" s="51"/>
      <c r="F11" s="49" t="s">
        <v>115</v>
      </c>
    </row>
    <row r="12" spans="1:6" x14ac:dyDescent="0.5">
      <c r="A12" s="3"/>
      <c r="B12" s="3"/>
      <c r="C12" s="3"/>
      <c r="D12" s="3"/>
    </row>
    <row r="13" spans="1:6" x14ac:dyDescent="0.5">
      <c r="A13" s="3"/>
      <c r="B13" s="3"/>
      <c r="C13" s="3"/>
      <c r="D13" s="3"/>
    </row>
    <row r="14" spans="1:6" x14ac:dyDescent="0.5">
      <c r="A14" s="3"/>
      <c r="B14" s="3"/>
      <c r="C14" s="3"/>
      <c r="D14" s="3"/>
    </row>
    <row r="15" spans="1:6" x14ac:dyDescent="0.5">
      <c r="A15" s="3"/>
      <c r="B15" s="3"/>
      <c r="C15" s="3"/>
      <c r="D15" s="3"/>
    </row>
    <row r="16" spans="1:6" x14ac:dyDescent="0.5">
      <c r="A16" s="3"/>
      <c r="B16" s="3"/>
      <c r="C16" s="3"/>
      <c r="D16" s="3"/>
    </row>
    <row r="17" spans="1:4" x14ac:dyDescent="0.5">
      <c r="A17" s="3"/>
      <c r="B17" s="3"/>
      <c r="C17" s="3"/>
      <c r="D17" s="3"/>
    </row>
    <row r="18" spans="1:4" x14ac:dyDescent="0.5">
      <c r="A18" s="3"/>
      <c r="B18" s="3"/>
      <c r="C18" s="3"/>
      <c r="D18" s="3"/>
    </row>
    <row r="19" spans="1:4" x14ac:dyDescent="0.5">
      <c r="A19" s="3"/>
      <c r="B19" s="3"/>
      <c r="C19" s="3"/>
      <c r="D19" s="3"/>
    </row>
    <row r="20" spans="1:4" x14ac:dyDescent="0.5">
      <c r="A20" s="3"/>
      <c r="B20" s="3"/>
      <c r="C20" s="3"/>
      <c r="D20" s="3"/>
    </row>
    <row r="21" spans="1:4" x14ac:dyDescent="0.5">
      <c r="A21" s="3"/>
      <c r="B21" s="3"/>
      <c r="C21" s="3"/>
      <c r="D21" s="3"/>
    </row>
    <row r="22" spans="1:4" x14ac:dyDescent="0.5">
      <c r="A22" s="3"/>
      <c r="B22" s="3"/>
      <c r="C22" s="3"/>
      <c r="D22" s="3"/>
    </row>
    <row r="23" spans="1:4" x14ac:dyDescent="0.5">
      <c r="A23" s="3"/>
      <c r="B23" s="3"/>
      <c r="C23" s="3"/>
      <c r="D23" s="3"/>
    </row>
    <row r="24" spans="1:4" x14ac:dyDescent="0.5">
      <c r="A24" s="3"/>
      <c r="B24" s="3"/>
      <c r="C24" s="3"/>
      <c r="D24" s="3"/>
    </row>
    <row r="25" spans="1:4" x14ac:dyDescent="0.5">
      <c r="A25" s="3"/>
      <c r="B25" s="3"/>
      <c r="C25" s="3"/>
      <c r="D25" s="3"/>
    </row>
    <row r="26" spans="1:4" x14ac:dyDescent="0.5">
      <c r="A26" s="3"/>
      <c r="B26" s="3"/>
      <c r="C26" s="3"/>
      <c r="D26" s="3"/>
    </row>
    <row r="27" spans="1:4" x14ac:dyDescent="0.5">
      <c r="A27" s="3"/>
      <c r="B27" s="3"/>
      <c r="C27" s="3"/>
      <c r="D27" s="3"/>
    </row>
    <row r="28" spans="1:4" x14ac:dyDescent="0.5">
      <c r="A28" s="3"/>
      <c r="B28" s="3"/>
      <c r="C28" s="3"/>
      <c r="D28" s="3"/>
    </row>
  </sheetData>
  <mergeCells count="8">
    <mergeCell ref="B9:B11"/>
    <mergeCell ref="C9:C11"/>
    <mergeCell ref="E3:E5"/>
    <mergeCell ref="E6:E8"/>
    <mergeCell ref="B3:B5"/>
    <mergeCell ref="C3:C5"/>
    <mergeCell ref="B6:B8"/>
    <mergeCell ref="C6:C8"/>
  </mergeCells>
  <dataValidations count="1">
    <dataValidation type="list" allowBlank="1" showInputMessage="1" showErrorMessage="1" sqref="A19" xr:uid="{D048ED25-334D-4F32-B2A7-D11385F03FF6}">
      <formula1>resultadoaprendizaje</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776EE6B-2722-44EE-80F9-D0A5254F8791}">
          <x14:formula1>
            <xm:f>'Paso 3 Redacción RA'!$I$3:$I$11</xm:f>
          </x14:formula1>
          <xm:sqref>A3:A11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U353"/>
  <sheetViews>
    <sheetView tabSelected="1" topLeftCell="A2" zoomScale="55" zoomScaleNormal="110" workbookViewId="0">
      <selection activeCell="C3" sqref="C3:C6"/>
    </sheetView>
  </sheetViews>
  <sheetFormatPr baseColWidth="10" defaultColWidth="11.44140625" defaultRowHeight="18" x14ac:dyDescent="0.5"/>
  <cols>
    <col min="1" max="1" width="12" style="21" customWidth="1"/>
    <col min="2" max="2" width="50.77734375" style="3" customWidth="1"/>
    <col min="3" max="3" width="17.21875" style="1" customWidth="1"/>
    <col min="4" max="4" width="37" style="10" customWidth="1"/>
    <col min="5" max="5" width="50.5546875" style="1" customWidth="1"/>
    <col min="6" max="6" width="25.77734375" style="1" customWidth="1"/>
    <col min="7" max="7" width="16.5546875" style="8" customWidth="1"/>
    <col min="8" max="8" width="17.21875" style="8" customWidth="1"/>
    <col min="9" max="9" width="11.44140625" style="10"/>
    <col min="10" max="10" width="25.21875" style="10" customWidth="1"/>
    <col min="11" max="11" width="32" style="10" customWidth="1"/>
    <col min="12" max="12" width="11.44140625" style="10"/>
    <col min="13" max="13" width="23.21875" style="4" customWidth="1"/>
    <col min="14" max="14" width="40.77734375" style="4" customWidth="1"/>
    <col min="15" max="15" width="32.21875" style="4" customWidth="1"/>
    <col min="16" max="16" width="41.5546875" style="4" customWidth="1"/>
    <col min="17" max="16384" width="11.44140625" style="1"/>
  </cols>
  <sheetData>
    <row r="1" spans="1:21" ht="60" x14ac:dyDescent="0.5">
      <c r="A1" s="40" t="s">
        <v>129</v>
      </c>
      <c r="B1" s="40" t="s">
        <v>130</v>
      </c>
      <c r="C1" s="40" t="s">
        <v>131</v>
      </c>
      <c r="D1" s="40" t="s">
        <v>132</v>
      </c>
      <c r="E1" s="40" t="s">
        <v>133</v>
      </c>
      <c r="F1" s="40" t="s">
        <v>134</v>
      </c>
      <c r="G1" s="160" t="s">
        <v>135</v>
      </c>
      <c r="H1" s="161"/>
      <c r="I1" s="40" t="s">
        <v>136</v>
      </c>
      <c r="J1" s="40" t="s">
        <v>137</v>
      </c>
      <c r="K1" s="40" t="s">
        <v>138</v>
      </c>
      <c r="L1" s="40" t="s">
        <v>139</v>
      </c>
      <c r="M1" s="40" t="s">
        <v>140</v>
      </c>
      <c r="N1" s="40" t="s">
        <v>141</v>
      </c>
      <c r="O1" s="40" t="s">
        <v>142</v>
      </c>
      <c r="P1" s="40" t="s">
        <v>143</v>
      </c>
    </row>
    <row r="2" spans="1:21" ht="31.5" customHeight="1" x14ac:dyDescent="0.5">
      <c r="A2" s="42" t="s">
        <v>144</v>
      </c>
      <c r="B2" s="42" t="s">
        <v>103</v>
      </c>
      <c r="C2" s="42" t="s">
        <v>145</v>
      </c>
      <c r="D2" s="42" t="s">
        <v>146</v>
      </c>
      <c r="E2" s="42" t="s">
        <v>147</v>
      </c>
      <c r="F2" s="42" t="s">
        <v>148</v>
      </c>
      <c r="G2" s="43" t="s">
        <v>661</v>
      </c>
      <c r="H2" s="43" t="s">
        <v>149</v>
      </c>
      <c r="I2" s="42" t="s">
        <v>150</v>
      </c>
      <c r="J2" s="42" t="s">
        <v>151</v>
      </c>
      <c r="K2" s="42" t="s">
        <v>152</v>
      </c>
      <c r="L2" s="42" t="s">
        <v>153</v>
      </c>
      <c r="M2" s="42" t="s">
        <v>154</v>
      </c>
      <c r="N2" s="42" t="s">
        <v>155</v>
      </c>
      <c r="O2" s="42" t="s">
        <v>156</v>
      </c>
      <c r="P2" s="42" t="s">
        <v>157</v>
      </c>
    </row>
    <row r="3" spans="1:21" s="26" customFormat="1" ht="84" x14ac:dyDescent="0.45">
      <c r="A3" s="36" t="str">
        <f>_xlfn.XLOOKUP(B3,'Paso 3 Redacción RA'!I$3:I$11,'Paso 3 Redacción RA'!C$3:C$11,,0,1)</f>
        <v>Saber</v>
      </c>
      <c r="B3" s="31" t="s">
        <v>87</v>
      </c>
      <c r="C3" s="162">
        <v>1</v>
      </c>
      <c r="D3" s="90" t="s">
        <v>158</v>
      </c>
      <c r="E3" s="88" t="s">
        <v>159</v>
      </c>
      <c r="F3" s="164" t="s">
        <v>160</v>
      </c>
      <c r="G3" s="90"/>
      <c r="H3" s="90" t="s">
        <v>161</v>
      </c>
      <c r="I3" s="90">
        <v>3</v>
      </c>
      <c r="J3" s="90">
        <f>12*I3</f>
        <v>36</v>
      </c>
      <c r="K3" s="90">
        <f>36*I3</f>
        <v>108</v>
      </c>
      <c r="L3" s="90">
        <f>SUM(J3:K6)</f>
        <v>144</v>
      </c>
      <c r="M3" s="88" t="s">
        <v>162</v>
      </c>
      <c r="N3" s="88" t="s">
        <v>163</v>
      </c>
      <c r="O3" s="88" t="s">
        <v>164</v>
      </c>
      <c r="P3" s="78" t="s">
        <v>165</v>
      </c>
    </row>
    <row r="4" spans="1:21" s="26" customFormat="1" ht="84" x14ac:dyDescent="0.45">
      <c r="A4" s="36" t="str">
        <f>_xlfn.XLOOKUP(B4,'Paso 3 Redacción RA'!I$3:I$11,'Paso 3 Redacción RA'!C$3:C$11,,0,1)</f>
        <v>Saberhacer</v>
      </c>
      <c r="B4" s="32" t="s">
        <v>91</v>
      </c>
      <c r="C4" s="163"/>
      <c r="D4" s="91"/>
      <c r="E4" s="89"/>
      <c r="F4" s="165"/>
      <c r="G4" s="91"/>
      <c r="H4" s="91"/>
      <c r="I4" s="91"/>
      <c r="J4" s="91"/>
      <c r="K4" s="91"/>
      <c r="L4" s="91"/>
      <c r="M4" s="89"/>
      <c r="N4" s="89"/>
      <c r="O4" s="89"/>
      <c r="P4" s="79"/>
    </row>
    <row r="5" spans="1:21" s="26" customFormat="1" ht="100.8" x14ac:dyDescent="0.45">
      <c r="A5" s="36" t="str">
        <f>_xlfn.XLOOKUP(B5,'Paso 3 Redacción RA'!I$3:I$11,'Paso 3 Redacción RA'!C$3:C$11,,0,1)</f>
        <v>Saberser</v>
      </c>
      <c r="B5" s="32" t="s">
        <v>94</v>
      </c>
      <c r="C5" s="163"/>
      <c r="D5" s="91"/>
      <c r="E5" s="89"/>
      <c r="F5" s="165"/>
      <c r="G5" s="91"/>
      <c r="H5" s="91"/>
      <c r="I5" s="91"/>
      <c r="J5" s="91"/>
      <c r="K5" s="91"/>
      <c r="L5" s="91"/>
      <c r="M5" s="89"/>
      <c r="N5" s="89"/>
      <c r="O5" s="89"/>
      <c r="P5" s="79"/>
    </row>
    <row r="6" spans="1:21" s="26" customFormat="1" ht="84" x14ac:dyDescent="0.45">
      <c r="A6" s="36" t="str">
        <f>_xlfn.XLOOKUP(B6,'Paso 3 Redacción RA'!I$3:I$11,'Paso 3 Redacción RA'!C$3:C$11,,0,1)</f>
        <v>Saber</v>
      </c>
      <c r="B6" s="32" t="s">
        <v>96</v>
      </c>
      <c r="C6" s="163"/>
      <c r="D6" s="91"/>
      <c r="E6" s="89"/>
      <c r="F6" s="165"/>
      <c r="G6" s="91"/>
      <c r="H6" s="91"/>
      <c r="I6" s="91"/>
      <c r="J6" s="91"/>
      <c r="K6" s="91"/>
      <c r="L6" s="91"/>
      <c r="M6" s="92"/>
      <c r="N6" s="92"/>
      <c r="O6" s="89"/>
      <c r="P6" s="79"/>
    </row>
    <row r="7" spans="1:21" s="26" customFormat="1" ht="84" x14ac:dyDescent="0.45">
      <c r="A7" s="36" t="str">
        <f>_xlfn.XLOOKUP(B7,'Paso 3 Redacción RA'!I$3:I$11,'Paso 3 Redacción RA'!C$3:C$11,,0,1)</f>
        <v>Saber</v>
      </c>
      <c r="B7" s="31" t="s">
        <v>87</v>
      </c>
      <c r="C7" s="99">
        <v>1</v>
      </c>
      <c r="D7" s="116" t="s">
        <v>166</v>
      </c>
      <c r="E7" s="105" t="s">
        <v>167</v>
      </c>
      <c r="F7" s="116" t="s">
        <v>168</v>
      </c>
      <c r="G7" s="99" t="s">
        <v>161</v>
      </c>
      <c r="H7" s="99"/>
      <c r="I7" s="99">
        <v>2</v>
      </c>
      <c r="J7" s="99">
        <f>12*I7</f>
        <v>24</v>
      </c>
      <c r="K7" s="99">
        <f>36*I7</f>
        <v>72</v>
      </c>
      <c r="L7" s="99">
        <f>SUM(J7:K10)</f>
        <v>96</v>
      </c>
      <c r="M7" s="101" t="s">
        <v>169</v>
      </c>
      <c r="N7" s="101" t="s">
        <v>170</v>
      </c>
      <c r="O7" s="105" t="s">
        <v>171</v>
      </c>
      <c r="P7" s="115" t="s">
        <v>172</v>
      </c>
      <c r="U7" s="26" t="s">
        <v>173</v>
      </c>
    </row>
    <row r="8" spans="1:21" s="26" customFormat="1" ht="75" customHeight="1" x14ac:dyDescent="0.45">
      <c r="A8" s="36" t="str">
        <f>_xlfn.XLOOKUP(B8,'Paso 3 Redacción RA'!I$3:I$11,'Paso 3 Redacción RA'!C$3:C$11,,0,1)</f>
        <v>Saberhacer</v>
      </c>
      <c r="B8" s="32" t="s">
        <v>91</v>
      </c>
      <c r="C8" s="100"/>
      <c r="D8" s="117"/>
      <c r="E8" s="106"/>
      <c r="F8" s="117"/>
      <c r="G8" s="100"/>
      <c r="H8" s="100"/>
      <c r="I8" s="100"/>
      <c r="J8" s="100"/>
      <c r="K8" s="100"/>
      <c r="L8" s="100"/>
      <c r="M8" s="102"/>
      <c r="N8" s="102"/>
      <c r="O8" s="106"/>
      <c r="P8" s="83"/>
    </row>
    <row r="9" spans="1:21" s="26" customFormat="1" ht="90" customHeight="1" x14ac:dyDescent="0.45">
      <c r="A9" s="36" t="str">
        <f>_xlfn.XLOOKUP(B9,'Paso 3 Redacción RA'!I$3:I$11,'Paso 3 Redacción RA'!C$3:C$11,,0,1)</f>
        <v>Saberser</v>
      </c>
      <c r="B9" s="32" t="s">
        <v>94</v>
      </c>
      <c r="C9" s="100"/>
      <c r="D9" s="117"/>
      <c r="E9" s="106"/>
      <c r="F9" s="117"/>
      <c r="G9" s="100"/>
      <c r="H9" s="100"/>
      <c r="I9" s="100"/>
      <c r="J9" s="100"/>
      <c r="K9" s="100"/>
      <c r="L9" s="100"/>
      <c r="M9" s="102"/>
      <c r="N9" s="102"/>
      <c r="O9" s="106"/>
      <c r="P9" s="83"/>
    </row>
    <row r="10" spans="1:21" s="26" customFormat="1" ht="84" x14ac:dyDescent="0.45">
      <c r="A10" s="36" t="str">
        <f>_xlfn.XLOOKUP(B10,'Paso 3 Redacción RA'!I$3:I$11,'Paso 3 Redacción RA'!C$3:C$11,,0,1)</f>
        <v>Saber</v>
      </c>
      <c r="B10" s="32" t="s">
        <v>96</v>
      </c>
      <c r="C10" s="100"/>
      <c r="D10" s="118"/>
      <c r="E10" s="106"/>
      <c r="F10" s="117"/>
      <c r="G10" s="100"/>
      <c r="H10" s="100"/>
      <c r="I10" s="100"/>
      <c r="J10" s="100"/>
      <c r="K10" s="100"/>
      <c r="L10" s="100"/>
      <c r="M10" s="102"/>
      <c r="N10" s="102"/>
      <c r="O10" s="106"/>
      <c r="P10" s="83"/>
    </row>
    <row r="11" spans="1:21" s="26" customFormat="1" ht="84" x14ac:dyDescent="0.45">
      <c r="A11" s="36" t="str">
        <f>_xlfn.XLOOKUP(B11,'Paso 3 Redacción RA'!I$3:I$11,'Paso 3 Redacción RA'!C$3:C$11,,0,1)</f>
        <v>Saber</v>
      </c>
      <c r="B11" s="31" t="s">
        <v>87</v>
      </c>
      <c r="C11" s="103">
        <v>1</v>
      </c>
      <c r="D11" s="121" t="s">
        <v>174</v>
      </c>
      <c r="E11" s="136" t="s">
        <v>175</v>
      </c>
      <c r="F11" s="121" t="s">
        <v>160</v>
      </c>
      <c r="G11" s="103" t="s">
        <v>161</v>
      </c>
      <c r="H11" s="103"/>
      <c r="I11" s="84">
        <v>2</v>
      </c>
      <c r="J11" s="84">
        <f>12*I11</f>
        <v>24</v>
      </c>
      <c r="K11" s="84">
        <f>36*I11</f>
        <v>72</v>
      </c>
      <c r="L11" s="84">
        <f>SUM(J11:K13)</f>
        <v>96</v>
      </c>
      <c r="M11" s="86" t="s">
        <v>176</v>
      </c>
      <c r="N11" s="86" t="s">
        <v>170</v>
      </c>
      <c r="O11" s="86" t="s">
        <v>177</v>
      </c>
      <c r="P11" s="119" t="s">
        <v>172</v>
      </c>
    </row>
    <row r="12" spans="1:21" s="26" customFormat="1" ht="84" x14ac:dyDescent="0.45">
      <c r="A12" s="36" t="str">
        <f>_xlfn.XLOOKUP(B12,'Paso 3 Redacción RA'!I$3:I$11,'Paso 3 Redacción RA'!C$3:C$11,,0,1)</f>
        <v>Saberhacer</v>
      </c>
      <c r="B12" s="32" t="s">
        <v>91</v>
      </c>
      <c r="C12" s="104"/>
      <c r="D12" s="122"/>
      <c r="E12" s="137"/>
      <c r="F12" s="122"/>
      <c r="G12" s="104"/>
      <c r="H12" s="104"/>
      <c r="I12" s="85"/>
      <c r="J12" s="85"/>
      <c r="K12" s="85"/>
      <c r="L12" s="85"/>
      <c r="M12" s="87"/>
      <c r="N12" s="87"/>
      <c r="O12" s="87"/>
      <c r="P12" s="120"/>
    </row>
    <row r="13" spans="1:21" s="26" customFormat="1" ht="84" x14ac:dyDescent="0.45">
      <c r="A13" s="36" t="str">
        <f>_xlfn.XLOOKUP(B13,'Paso 3 Redacción RA'!I$3:I$11,'Paso 3 Redacción RA'!C$3:C$11,,0,1)</f>
        <v>Saber</v>
      </c>
      <c r="B13" s="32" t="s">
        <v>96</v>
      </c>
      <c r="C13" s="104"/>
      <c r="D13" s="122"/>
      <c r="E13" s="137"/>
      <c r="F13" s="122"/>
      <c r="G13" s="104"/>
      <c r="H13" s="104"/>
      <c r="I13" s="85"/>
      <c r="J13" s="85"/>
      <c r="K13" s="85"/>
      <c r="L13" s="85"/>
      <c r="M13" s="87"/>
      <c r="N13" s="87"/>
      <c r="O13" s="87"/>
      <c r="P13" s="120"/>
    </row>
    <row r="14" spans="1:21" s="26" customFormat="1" ht="84" x14ac:dyDescent="0.45">
      <c r="A14" s="36" t="str">
        <f>_xlfn.XLOOKUP(B14,'Paso 3 Redacción RA'!I$3:I$11,'Paso 3 Redacción RA'!C$3:C$11,,0,1)</f>
        <v>Saber</v>
      </c>
      <c r="B14" s="31" t="s">
        <v>87</v>
      </c>
      <c r="C14" s="132" t="s">
        <v>178</v>
      </c>
      <c r="D14" s="107" t="s">
        <v>179</v>
      </c>
      <c r="E14" s="97" t="s">
        <v>180</v>
      </c>
      <c r="F14" s="107" t="s">
        <v>160</v>
      </c>
      <c r="G14" s="80"/>
      <c r="H14" s="80" t="s">
        <v>161</v>
      </c>
      <c r="I14" s="80">
        <v>3</v>
      </c>
      <c r="J14" s="80">
        <f>12*I14</f>
        <v>36</v>
      </c>
      <c r="K14" s="80">
        <f>36*I14</f>
        <v>108</v>
      </c>
      <c r="L14" s="80">
        <f>SUM(J14:K17)</f>
        <v>144</v>
      </c>
      <c r="M14" s="97" t="s">
        <v>181</v>
      </c>
      <c r="N14" s="97" t="s">
        <v>170</v>
      </c>
      <c r="O14" s="97" t="s">
        <v>182</v>
      </c>
      <c r="P14" s="93" t="s">
        <v>172</v>
      </c>
    </row>
    <row r="15" spans="1:21" s="26" customFormat="1" ht="84" x14ac:dyDescent="0.45">
      <c r="A15" s="36" t="str">
        <f>_xlfn.XLOOKUP(B15,'Paso 3 Redacción RA'!I$3:I$11,'Paso 3 Redacción RA'!C$3:C$11,,0,1)</f>
        <v>Saberhacer</v>
      </c>
      <c r="B15" s="32" t="s">
        <v>91</v>
      </c>
      <c r="C15" s="133"/>
      <c r="D15" s="81"/>
      <c r="E15" s="98"/>
      <c r="F15" s="108"/>
      <c r="G15" s="81"/>
      <c r="H15" s="81"/>
      <c r="I15" s="81"/>
      <c r="J15" s="81"/>
      <c r="K15" s="81"/>
      <c r="L15" s="81"/>
      <c r="M15" s="98"/>
      <c r="N15" s="98"/>
      <c r="O15" s="98"/>
      <c r="P15" s="94"/>
    </row>
    <row r="16" spans="1:21" s="26" customFormat="1" ht="100.8" x14ac:dyDescent="0.45">
      <c r="A16" s="36" t="str">
        <f>_xlfn.XLOOKUP(B16,'Paso 3 Redacción RA'!I$3:I$11,'Paso 3 Redacción RA'!C$3:C$11,,0,1)</f>
        <v>Saberser</v>
      </c>
      <c r="B16" s="32" t="s">
        <v>94</v>
      </c>
      <c r="C16" s="133"/>
      <c r="D16" s="81"/>
      <c r="E16" s="98"/>
      <c r="F16" s="108"/>
      <c r="G16" s="81"/>
      <c r="H16" s="81"/>
      <c r="I16" s="81"/>
      <c r="J16" s="81"/>
      <c r="K16" s="81"/>
      <c r="L16" s="81"/>
      <c r="M16" s="98"/>
      <c r="N16" s="98"/>
      <c r="O16" s="98"/>
      <c r="P16" s="94"/>
    </row>
    <row r="17" spans="1:16" s="26" customFormat="1" ht="84.6" thickBot="1" x14ac:dyDescent="0.5">
      <c r="A17" s="36" t="str">
        <f>_xlfn.XLOOKUP(B17,'Paso 3 Redacción RA'!I$3:I$11,'Paso 3 Redacción RA'!C$3:C$11,,0,1)</f>
        <v>Saber</v>
      </c>
      <c r="B17" s="32" t="s">
        <v>96</v>
      </c>
      <c r="C17" s="133"/>
      <c r="D17" s="81"/>
      <c r="E17" s="98"/>
      <c r="F17" s="108"/>
      <c r="G17" s="81"/>
      <c r="H17" s="81"/>
      <c r="I17" s="81"/>
      <c r="J17" s="81"/>
      <c r="K17" s="81"/>
      <c r="L17" s="81"/>
      <c r="M17" s="98"/>
      <c r="N17" s="98"/>
      <c r="O17" s="98"/>
      <c r="P17" s="94"/>
    </row>
    <row r="18" spans="1:16" s="25" customFormat="1" ht="84" x14ac:dyDescent="0.3">
      <c r="A18" s="36" t="str">
        <f>_xlfn.XLOOKUP(B18,'Paso 3 Redacción RA'!I$3:I$11,'Paso 3 Redacción RA'!C$3:C$11,,0,1)</f>
        <v>Saberhacer</v>
      </c>
      <c r="B18" s="31" t="s">
        <v>91</v>
      </c>
      <c r="C18" s="111">
        <v>1</v>
      </c>
      <c r="D18" s="111" t="s">
        <v>183</v>
      </c>
      <c r="E18" s="109" t="s">
        <v>184</v>
      </c>
      <c r="F18" s="111" t="s">
        <v>160</v>
      </c>
      <c r="G18" s="111" t="s">
        <v>161</v>
      </c>
      <c r="H18" s="111"/>
      <c r="I18" s="111">
        <v>3</v>
      </c>
      <c r="J18" s="111">
        <f>12*I18</f>
        <v>36</v>
      </c>
      <c r="K18" s="111">
        <f>36*I18</f>
        <v>108</v>
      </c>
      <c r="L18" s="111">
        <f>SUM(J18:K18)</f>
        <v>144</v>
      </c>
      <c r="M18" s="109" t="s">
        <v>185</v>
      </c>
      <c r="N18" s="109" t="s">
        <v>170</v>
      </c>
      <c r="O18" s="109" t="s">
        <v>186</v>
      </c>
      <c r="P18" s="95" t="s">
        <v>172</v>
      </c>
    </row>
    <row r="19" spans="1:16" s="25" customFormat="1" ht="100.8" x14ac:dyDescent="0.3">
      <c r="A19" s="36" t="str">
        <f>_xlfn.XLOOKUP(B19,'Paso 3 Redacción RA'!I$3:I$11,'Paso 3 Redacción RA'!C$3:C$11,,0,1)</f>
        <v>Saberser</v>
      </c>
      <c r="B19" s="32" t="s">
        <v>94</v>
      </c>
      <c r="C19" s="112"/>
      <c r="D19" s="112"/>
      <c r="E19" s="110"/>
      <c r="F19" s="112"/>
      <c r="G19" s="112"/>
      <c r="H19" s="112"/>
      <c r="I19" s="112"/>
      <c r="J19" s="112"/>
      <c r="K19" s="112"/>
      <c r="L19" s="112"/>
      <c r="M19" s="110"/>
      <c r="N19" s="110"/>
      <c r="O19" s="110"/>
      <c r="P19" s="96"/>
    </row>
    <row r="20" spans="1:16" s="25" customFormat="1" ht="84" x14ac:dyDescent="0.3">
      <c r="A20" s="36" t="str">
        <f>_xlfn.XLOOKUP(B20,'Paso 3 Redacción RA'!I$3:I$11,'Paso 3 Redacción RA'!C$3:C$11,,0,1)</f>
        <v>Saber</v>
      </c>
      <c r="B20" s="32" t="s">
        <v>96</v>
      </c>
      <c r="C20" s="112"/>
      <c r="D20" s="112"/>
      <c r="E20" s="110"/>
      <c r="F20" s="112"/>
      <c r="G20" s="112"/>
      <c r="H20" s="112"/>
      <c r="I20" s="112"/>
      <c r="J20" s="112"/>
      <c r="K20" s="112"/>
      <c r="L20" s="112"/>
      <c r="M20" s="110"/>
      <c r="N20" s="110"/>
      <c r="O20" s="110"/>
      <c r="P20" s="96"/>
    </row>
    <row r="21" spans="1:16" s="26" customFormat="1" ht="84" x14ac:dyDescent="0.45">
      <c r="A21" s="36" t="str">
        <f>_xlfn.XLOOKUP(B21,'Paso 3 Redacción RA'!I$3:I$11,'Paso 3 Redacción RA'!C$3:C$11,,0,1)</f>
        <v>Saber</v>
      </c>
      <c r="B21" s="31" t="s">
        <v>87</v>
      </c>
      <c r="C21" s="99">
        <v>2</v>
      </c>
      <c r="D21" s="113" t="s">
        <v>187</v>
      </c>
      <c r="E21" s="105" t="s">
        <v>188</v>
      </c>
      <c r="F21" s="116" t="s">
        <v>160</v>
      </c>
      <c r="G21" s="113"/>
      <c r="H21" s="113" t="s">
        <v>161</v>
      </c>
      <c r="I21" s="113">
        <v>3</v>
      </c>
      <c r="J21" s="113">
        <f>12*I21</f>
        <v>36</v>
      </c>
      <c r="K21" s="113">
        <f>36*I21</f>
        <v>108</v>
      </c>
      <c r="L21" s="113">
        <f>SUM(J21:K23)</f>
        <v>144</v>
      </c>
      <c r="M21" s="105" t="s">
        <v>189</v>
      </c>
      <c r="N21" s="105" t="s">
        <v>170</v>
      </c>
      <c r="O21" s="105" t="s">
        <v>190</v>
      </c>
      <c r="P21" s="82" t="s">
        <v>172</v>
      </c>
    </row>
    <row r="22" spans="1:16" s="26" customFormat="1" ht="84" x14ac:dyDescent="0.45">
      <c r="A22" s="36" t="str">
        <f>_xlfn.XLOOKUP(B22,'Paso 3 Redacción RA'!I$3:I$11,'Paso 3 Redacción RA'!C$3:C$11,,0,1)</f>
        <v>Saberhacer</v>
      </c>
      <c r="B22" s="32" t="s">
        <v>91</v>
      </c>
      <c r="C22" s="100"/>
      <c r="D22" s="114"/>
      <c r="E22" s="106"/>
      <c r="F22" s="117"/>
      <c r="G22" s="114"/>
      <c r="H22" s="114"/>
      <c r="I22" s="114"/>
      <c r="J22" s="114"/>
      <c r="K22" s="114"/>
      <c r="L22" s="114"/>
      <c r="M22" s="106"/>
      <c r="N22" s="106"/>
      <c r="O22" s="106"/>
      <c r="P22" s="83"/>
    </row>
    <row r="23" spans="1:16" s="26" customFormat="1" ht="84" x14ac:dyDescent="0.45">
      <c r="A23" s="36" t="str">
        <f>_xlfn.XLOOKUP(B23,'Paso 3 Redacción RA'!I$3:I$11,'Paso 3 Redacción RA'!C$3:C$11,,0,1)</f>
        <v>Saber</v>
      </c>
      <c r="B23" s="32" t="s">
        <v>96</v>
      </c>
      <c r="C23" s="100"/>
      <c r="D23" s="114"/>
      <c r="E23" s="106"/>
      <c r="F23" s="117"/>
      <c r="G23" s="114"/>
      <c r="H23" s="114"/>
      <c r="I23" s="114"/>
      <c r="J23" s="114"/>
      <c r="K23" s="114"/>
      <c r="L23" s="114"/>
      <c r="M23" s="106"/>
      <c r="N23" s="106"/>
      <c r="O23" s="106"/>
      <c r="P23" s="83"/>
    </row>
    <row r="24" spans="1:16" s="26" customFormat="1" ht="84" x14ac:dyDescent="0.45">
      <c r="A24" s="36" t="str">
        <f>_xlfn.XLOOKUP(B24,'Paso 3 Redacción RA'!I$3:I$11,'Paso 3 Redacción RA'!C$3:C$11,,0,1)</f>
        <v>Saber</v>
      </c>
      <c r="B24" s="31" t="s">
        <v>87</v>
      </c>
      <c r="C24" s="156">
        <v>2</v>
      </c>
      <c r="D24" s="158" t="s">
        <v>191</v>
      </c>
      <c r="E24" s="138" t="s">
        <v>192</v>
      </c>
      <c r="F24" s="158" t="s">
        <v>160</v>
      </c>
      <c r="G24" s="134" t="s">
        <v>161</v>
      </c>
      <c r="H24" s="134"/>
      <c r="I24" s="134">
        <v>2</v>
      </c>
      <c r="J24" s="134">
        <f>12*I24</f>
        <v>24</v>
      </c>
      <c r="K24" s="134">
        <f>36*I24</f>
        <v>72</v>
      </c>
      <c r="L24" s="134">
        <f>SUM(J24:K27)</f>
        <v>96</v>
      </c>
      <c r="M24" s="138" t="s">
        <v>193</v>
      </c>
      <c r="N24" s="138" t="s">
        <v>170</v>
      </c>
      <c r="O24" s="138" t="s">
        <v>177</v>
      </c>
      <c r="P24" s="146" t="s">
        <v>172</v>
      </c>
    </row>
    <row r="25" spans="1:16" s="26" customFormat="1" ht="84" x14ac:dyDescent="0.45">
      <c r="A25" s="36" t="str">
        <f>_xlfn.XLOOKUP(B25,'Paso 3 Redacción RA'!I$3:I$11,'Paso 3 Redacción RA'!C$3:C$11,,0,1)</f>
        <v>Saberhacer</v>
      </c>
      <c r="B25" s="32" t="s">
        <v>91</v>
      </c>
      <c r="C25" s="157"/>
      <c r="D25" s="159"/>
      <c r="E25" s="139"/>
      <c r="F25" s="159"/>
      <c r="G25" s="135"/>
      <c r="H25" s="135"/>
      <c r="I25" s="135"/>
      <c r="J25" s="135"/>
      <c r="K25" s="135"/>
      <c r="L25" s="135"/>
      <c r="M25" s="139"/>
      <c r="N25" s="139"/>
      <c r="O25" s="139"/>
      <c r="P25" s="147"/>
    </row>
    <row r="26" spans="1:16" s="26" customFormat="1" ht="100.8" x14ac:dyDescent="0.45">
      <c r="A26" s="36" t="str">
        <f>_xlfn.XLOOKUP(B26,'Paso 3 Redacción RA'!I$3:I$11,'Paso 3 Redacción RA'!C$3:C$11,,0,1)</f>
        <v>Saberser</v>
      </c>
      <c r="B26" s="32" t="s">
        <v>94</v>
      </c>
      <c r="C26" s="157"/>
      <c r="D26" s="159"/>
      <c r="E26" s="139"/>
      <c r="F26" s="159"/>
      <c r="G26" s="135"/>
      <c r="H26" s="135"/>
      <c r="I26" s="135"/>
      <c r="J26" s="135"/>
      <c r="K26" s="135"/>
      <c r="L26" s="135"/>
      <c r="M26" s="139"/>
      <c r="N26" s="139"/>
      <c r="O26" s="139"/>
      <c r="P26" s="147"/>
    </row>
    <row r="27" spans="1:16" s="26" customFormat="1" ht="84.6" thickBot="1" x14ac:dyDescent="0.5">
      <c r="A27" s="36" t="str">
        <f>_xlfn.XLOOKUP(B27,'Paso 3 Redacción RA'!I$3:I$11,'Paso 3 Redacción RA'!C$3:C$11,,0,1)</f>
        <v>Saber</v>
      </c>
      <c r="B27" s="32" t="s">
        <v>96</v>
      </c>
      <c r="C27" s="157"/>
      <c r="D27" s="159"/>
      <c r="E27" s="139"/>
      <c r="F27" s="159"/>
      <c r="G27" s="135"/>
      <c r="H27" s="135"/>
      <c r="I27" s="135"/>
      <c r="J27" s="135"/>
      <c r="K27" s="135"/>
      <c r="L27" s="135"/>
      <c r="M27" s="139"/>
      <c r="N27" s="139"/>
      <c r="O27" s="139"/>
      <c r="P27" s="147"/>
    </row>
    <row r="28" spans="1:16" s="26" customFormat="1" ht="84" x14ac:dyDescent="0.45">
      <c r="A28" s="36" t="str">
        <f>_xlfn.XLOOKUP(B28,'Paso 3 Redacción RA'!I$3:I$11,'Paso 3 Redacción RA'!C$3:C$11,,0,1)</f>
        <v>Saber</v>
      </c>
      <c r="B28" s="31" t="s">
        <v>87</v>
      </c>
      <c r="C28" s="148">
        <v>2</v>
      </c>
      <c r="D28" s="150" t="s">
        <v>194</v>
      </c>
      <c r="E28" s="152" t="s">
        <v>195</v>
      </c>
      <c r="F28" s="150" t="s">
        <v>160</v>
      </c>
      <c r="G28" s="154"/>
      <c r="H28" s="154" t="s">
        <v>161</v>
      </c>
      <c r="I28" s="154">
        <v>2</v>
      </c>
      <c r="J28" s="154">
        <f>12*I28</f>
        <v>24</v>
      </c>
      <c r="K28" s="154">
        <f>36*I28</f>
        <v>72</v>
      </c>
      <c r="L28" s="154">
        <f>SUM(J28:K30)</f>
        <v>96</v>
      </c>
      <c r="M28" s="152" t="s">
        <v>196</v>
      </c>
      <c r="N28" s="152" t="s">
        <v>170</v>
      </c>
      <c r="O28" s="152" t="s">
        <v>190</v>
      </c>
      <c r="P28" s="172" t="s">
        <v>172</v>
      </c>
    </row>
    <row r="29" spans="1:16" s="26" customFormat="1" ht="84" x14ac:dyDescent="0.45">
      <c r="A29" s="36" t="str">
        <f>_xlfn.XLOOKUP(B29,'Paso 3 Redacción RA'!I$3:I$11,'Paso 3 Redacción RA'!C$3:C$11,,0,1)</f>
        <v>Saberhacer</v>
      </c>
      <c r="B29" s="32" t="s">
        <v>91</v>
      </c>
      <c r="C29" s="149"/>
      <c r="D29" s="151"/>
      <c r="E29" s="153"/>
      <c r="F29" s="151"/>
      <c r="G29" s="155"/>
      <c r="H29" s="155"/>
      <c r="I29" s="155"/>
      <c r="J29" s="155"/>
      <c r="K29" s="155"/>
      <c r="L29" s="155"/>
      <c r="M29" s="153"/>
      <c r="N29" s="153"/>
      <c r="O29" s="153"/>
      <c r="P29" s="173"/>
    </row>
    <row r="30" spans="1:16" s="26" customFormat="1" ht="84" x14ac:dyDescent="0.45">
      <c r="A30" s="36" t="str">
        <f>_xlfn.XLOOKUP(B30,'Paso 3 Redacción RA'!I$3:I$11,'Paso 3 Redacción RA'!C$3:C$11,,0,1)</f>
        <v>Saber</v>
      </c>
      <c r="B30" s="32" t="s">
        <v>96</v>
      </c>
      <c r="C30" s="149"/>
      <c r="D30" s="151"/>
      <c r="E30" s="153"/>
      <c r="F30" s="151"/>
      <c r="G30" s="155"/>
      <c r="H30" s="155"/>
      <c r="I30" s="155"/>
      <c r="J30" s="155"/>
      <c r="K30" s="155"/>
      <c r="L30" s="155"/>
      <c r="M30" s="153"/>
      <c r="N30" s="153"/>
      <c r="O30" s="153"/>
      <c r="P30" s="173"/>
    </row>
    <row r="31" spans="1:16" s="26" customFormat="1" ht="84" x14ac:dyDescent="0.45">
      <c r="A31" s="36" t="str">
        <f>_xlfn.XLOOKUP(B31,'Paso 3 Redacción RA'!I$3:I$11,'Paso 3 Redacción RA'!C$3:C$11,,0,1)</f>
        <v>Saber</v>
      </c>
      <c r="B31" s="31" t="s">
        <v>87</v>
      </c>
      <c r="C31" s="123">
        <v>2</v>
      </c>
      <c r="D31" s="129" t="s">
        <v>197</v>
      </c>
      <c r="E31" s="140" t="s">
        <v>198</v>
      </c>
      <c r="F31" s="129" t="s">
        <v>160</v>
      </c>
      <c r="G31" s="126"/>
      <c r="H31" s="126" t="s">
        <v>161</v>
      </c>
      <c r="I31" s="126">
        <v>2</v>
      </c>
      <c r="J31" s="126">
        <f>12*I31</f>
        <v>24</v>
      </c>
      <c r="K31" s="126">
        <f>36*I31</f>
        <v>72</v>
      </c>
      <c r="L31" s="126">
        <f>SUM(J31:K34)</f>
        <v>96</v>
      </c>
      <c r="M31" s="140" t="s">
        <v>199</v>
      </c>
      <c r="N31" s="140" t="s">
        <v>170</v>
      </c>
      <c r="O31" s="140" t="s">
        <v>182</v>
      </c>
      <c r="P31" s="169" t="s">
        <v>172</v>
      </c>
    </row>
    <row r="32" spans="1:16" s="26" customFormat="1" ht="84" x14ac:dyDescent="0.45">
      <c r="A32" s="36" t="str">
        <f>_xlfn.XLOOKUP(B32,'Paso 3 Redacción RA'!I$3:I$11,'Paso 3 Redacción RA'!C$3:C$11,,0,1)</f>
        <v>Saberhacer</v>
      </c>
      <c r="B32" s="32" t="s">
        <v>91</v>
      </c>
      <c r="C32" s="124"/>
      <c r="D32" s="130"/>
      <c r="E32" s="141"/>
      <c r="F32" s="130"/>
      <c r="G32" s="127"/>
      <c r="H32" s="127"/>
      <c r="I32" s="127"/>
      <c r="J32" s="127"/>
      <c r="K32" s="127"/>
      <c r="L32" s="127"/>
      <c r="M32" s="141"/>
      <c r="N32" s="141"/>
      <c r="O32" s="141"/>
      <c r="P32" s="170"/>
    </row>
    <row r="33" spans="1:16" s="26" customFormat="1" ht="100.8" x14ac:dyDescent="0.45">
      <c r="A33" s="36" t="str">
        <f>_xlfn.XLOOKUP(B33,'Paso 3 Redacción RA'!I$3:I$11,'Paso 3 Redacción RA'!C$3:C$11,,0,1)</f>
        <v>Saberser</v>
      </c>
      <c r="B33" s="32" t="s">
        <v>94</v>
      </c>
      <c r="C33" s="124"/>
      <c r="D33" s="130"/>
      <c r="E33" s="141"/>
      <c r="F33" s="130"/>
      <c r="G33" s="127"/>
      <c r="H33" s="127"/>
      <c r="I33" s="127"/>
      <c r="J33" s="127"/>
      <c r="K33" s="127"/>
      <c r="L33" s="127"/>
      <c r="M33" s="141"/>
      <c r="N33" s="141"/>
      <c r="O33" s="141"/>
      <c r="P33" s="170"/>
    </row>
    <row r="34" spans="1:16" s="26" customFormat="1" ht="84" x14ac:dyDescent="0.45">
      <c r="A34" s="36" t="str">
        <f>_xlfn.XLOOKUP(B34,'Paso 3 Redacción RA'!I$3:I$11,'Paso 3 Redacción RA'!C$3:C$11,,0,1)</f>
        <v>Saber</v>
      </c>
      <c r="B34" s="33" t="s">
        <v>96</v>
      </c>
      <c r="C34" s="125"/>
      <c r="D34" s="131"/>
      <c r="E34" s="142"/>
      <c r="F34" s="131"/>
      <c r="G34" s="128"/>
      <c r="H34" s="128"/>
      <c r="I34" s="128"/>
      <c r="J34" s="128"/>
      <c r="K34" s="128"/>
      <c r="L34" s="128"/>
      <c r="M34" s="142"/>
      <c r="N34" s="142"/>
      <c r="O34" s="142"/>
      <c r="P34" s="171"/>
    </row>
    <row r="35" spans="1:16" s="26" customFormat="1" ht="84" x14ac:dyDescent="0.45">
      <c r="A35" s="36" t="str">
        <f>_xlfn.XLOOKUP(B35,'Paso 3 Redacción RA'!I$3:I$11,'Paso 3 Redacción RA'!C$3:C$11,,0,1)</f>
        <v>Saber</v>
      </c>
      <c r="B35" s="31" t="s">
        <v>87</v>
      </c>
      <c r="C35" s="174">
        <v>2</v>
      </c>
      <c r="D35" s="177" t="s">
        <v>200</v>
      </c>
      <c r="E35" s="180" t="s">
        <v>201</v>
      </c>
      <c r="F35" s="177" t="s">
        <v>160</v>
      </c>
      <c r="G35" s="183"/>
      <c r="H35" s="183" t="s">
        <v>161</v>
      </c>
      <c r="I35" s="183">
        <v>3</v>
      </c>
      <c r="J35" s="183">
        <f>12*I35</f>
        <v>36</v>
      </c>
      <c r="K35" s="183">
        <f>36*I35</f>
        <v>108</v>
      </c>
      <c r="L35" s="183">
        <f>SUM(J35:K38)</f>
        <v>144</v>
      </c>
      <c r="M35" s="143" t="s">
        <v>202</v>
      </c>
      <c r="N35" s="143" t="s">
        <v>170</v>
      </c>
      <c r="O35" s="143" t="s">
        <v>164</v>
      </c>
      <c r="P35" s="166" t="s">
        <v>165</v>
      </c>
    </row>
    <row r="36" spans="1:16" s="26" customFormat="1" ht="84" x14ac:dyDescent="0.45">
      <c r="A36" s="36" t="str">
        <f>_xlfn.XLOOKUP(B36,'Paso 3 Redacción RA'!I$3:I$11,'Paso 3 Redacción RA'!C$3:C$11,,0,1)</f>
        <v>Saberhacer</v>
      </c>
      <c r="B36" s="32" t="s">
        <v>91</v>
      </c>
      <c r="C36" s="175"/>
      <c r="D36" s="178"/>
      <c r="E36" s="181"/>
      <c r="F36" s="178"/>
      <c r="G36" s="184"/>
      <c r="H36" s="184"/>
      <c r="I36" s="184"/>
      <c r="J36" s="184"/>
      <c r="K36" s="184"/>
      <c r="L36" s="184"/>
      <c r="M36" s="144"/>
      <c r="N36" s="144"/>
      <c r="O36" s="144"/>
      <c r="P36" s="167"/>
    </row>
    <row r="37" spans="1:16" s="27" customFormat="1" ht="100.8" x14ac:dyDescent="0.45">
      <c r="A37" s="36" t="str">
        <f>_xlfn.XLOOKUP(B37,'Paso 3 Redacción RA'!I$3:I$11,'Paso 3 Redacción RA'!C$3:C$11,,0,1)</f>
        <v>Saberser</v>
      </c>
      <c r="B37" s="32" t="s">
        <v>94</v>
      </c>
      <c r="C37" s="175"/>
      <c r="D37" s="178"/>
      <c r="E37" s="181"/>
      <c r="F37" s="178"/>
      <c r="G37" s="184"/>
      <c r="H37" s="184"/>
      <c r="I37" s="184"/>
      <c r="J37" s="184"/>
      <c r="K37" s="184"/>
      <c r="L37" s="184"/>
      <c r="M37" s="144"/>
      <c r="N37" s="144"/>
      <c r="O37" s="144"/>
      <c r="P37" s="167"/>
    </row>
    <row r="38" spans="1:16" s="26" customFormat="1" ht="84" x14ac:dyDescent="0.45">
      <c r="A38" s="37" t="str">
        <f>_xlfn.XLOOKUP(B38,'Paso 3 Redacción RA'!I$3:I$11,'Paso 3 Redacción RA'!C$3:C$11,,0,1)</f>
        <v>Saber</v>
      </c>
      <c r="B38" s="38" t="s">
        <v>96</v>
      </c>
      <c r="C38" s="176"/>
      <c r="D38" s="179"/>
      <c r="E38" s="182"/>
      <c r="F38" s="179"/>
      <c r="G38" s="185"/>
      <c r="H38" s="185"/>
      <c r="I38" s="185"/>
      <c r="J38" s="185"/>
      <c r="K38" s="185"/>
      <c r="L38" s="185"/>
      <c r="M38" s="145"/>
      <c r="N38" s="145"/>
      <c r="O38" s="145"/>
      <c r="P38" s="168"/>
    </row>
    <row r="39" spans="1:16" s="26" customFormat="1" ht="36" x14ac:dyDescent="0.45">
      <c r="A39" s="36"/>
      <c r="B39" s="27"/>
      <c r="C39" s="197" t="s">
        <v>662</v>
      </c>
      <c r="D39" s="24">
        <f>COUNTA(D3:D38)</f>
        <v>10</v>
      </c>
      <c r="F39" s="29"/>
      <c r="G39" s="24"/>
      <c r="H39" s="39" t="s">
        <v>203</v>
      </c>
      <c r="I39" s="24">
        <f>SUM(I3:I38)</f>
        <v>25</v>
      </c>
      <c r="J39" s="28"/>
      <c r="K39" s="28"/>
      <c r="L39" s="28"/>
      <c r="M39" s="34"/>
      <c r="N39" s="34"/>
      <c r="O39" s="34"/>
      <c r="P39" s="34"/>
    </row>
    <row r="40" spans="1:16" s="26" customFormat="1" ht="27.6" x14ac:dyDescent="0.45">
      <c r="A40" s="36"/>
      <c r="B40" s="27"/>
      <c r="D40" s="28"/>
      <c r="F40" s="29"/>
      <c r="G40" s="24"/>
      <c r="H40" s="35" t="s">
        <v>204</v>
      </c>
      <c r="I40" s="28">
        <f>SUM(I24,I11,I7,I18)</f>
        <v>9</v>
      </c>
      <c r="J40" s="28"/>
      <c r="K40" s="28"/>
      <c r="L40" s="28"/>
      <c r="M40" s="34"/>
      <c r="N40" s="34"/>
      <c r="O40" s="34"/>
      <c r="P40" s="34"/>
    </row>
    <row r="41" spans="1:16" s="26" customFormat="1" ht="27.6" x14ac:dyDescent="0.45">
      <c r="A41" s="36"/>
      <c r="B41" s="27"/>
      <c r="D41" s="28"/>
      <c r="F41" s="29"/>
      <c r="G41" s="24"/>
      <c r="H41" s="35" t="s">
        <v>205</v>
      </c>
      <c r="I41" s="28">
        <f>SUM(I31,I35,I28,I14,I21,I3)</f>
        <v>16</v>
      </c>
      <c r="J41" s="28"/>
      <c r="K41" s="28"/>
      <c r="L41" s="28"/>
      <c r="M41" s="34"/>
      <c r="N41" s="34"/>
      <c r="O41" s="34"/>
      <c r="P41" s="34"/>
    </row>
    <row r="42" spans="1:16" s="26" customFormat="1" ht="16.8" x14ac:dyDescent="0.45">
      <c r="A42" s="36"/>
      <c r="B42" s="27"/>
      <c r="D42" s="28"/>
      <c r="F42" s="29"/>
      <c r="G42" s="24"/>
      <c r="H42" s="24"/>
      <c r="I42" s="28"/>
      <c r="J42" s="28"/>
      <c r="K42" s="28"/>
      <c r="L42" s="28"/>
      <c r="M42" s="34"/>
      <c r="N42" s="34"/>
      <c r="O42" s="34"/>
      <c r="P42" s="34"/>
    </row>
    <row r="43" spans="1:16" s="26" customFormat="1" ht="16.8" x14ac:dyDescent="0.45">
      <c r="A43" s="36"/>
      <c r="B43" s="27"/>
      <c r="D43" s="28"/>
      <c r="F43" s="29"/>
      <c r="G43" s="24"/>
      <c r="H43" s="24"/>
      <c r="I43" s="28"/>
      <c r="J43" s="28"/>
      <c r="K43" s="28"/>
      <c r="L43" s="28"/>
      <c r="M43" s="34"/>
      <c r="N43" s="34"/>
      <c r="O43" s="34"/>
      <c r="P43" s="34"/>
    </row>
    <row r="44" spans="1:16" s="26" customFormat="1" ht="16.8" x14ac:dyDescent="0.45">
      <c r="A44" s="36"/>
      <c r="B44" s="27"/>
      <c r="D44" s="28"/>
      <c r="F44" s="29"/>
      <c r="G44" s="24"/>
      <c r="H44" s="24"/>
      <c r="I44" s="28"/>
      <c r="J44" s="28"/>
      <c r="K44" s="28"/>
      <c r="L44" s="28"/>
      <c r="M44" s="34"/>
      <c r="N44" s="34"/>
      <c r="O44" s="34"/>
      <c r="P44" s="34"/>
    </row>
    <row r="45" spans="1:16" s="26" customFormat="1" ht="16.8" x14ac:dyDescent="0.45">
      <c r="A45" s="36"/>
      <c r="B45" s="27"/>
      <c r="D45" s="28"/>
      <c r="F45" s="29"/>
      <c r="G45" s="24"/>
      <c r="H45" s="24"/>
      <c r="I45" s="28"/>
      <c r="J45" s="28"/>
      <c r="K45" s="28"/>
      <c r="L45" s="28"/>
      <c r="M45" s="34"/>
      <c r="N45" s="34"/>
      <c r="O45" s="34"/>
      <c r="P45" s="34"/>
    </row>
    <row r="46" spans="1:16" x14ac:dyDescent="0.5">
      <c r="F46" s="29"/>
    </row>
    <row r="47" spans="1:16" x14ac:dyDescent="0.5">
      <c r="F47" s="29"/>
    </row>
    <row r="48" spans="1:16" x14ac:dyDescent="0.5">
      <c r="F48" s="29"/>
    </row>
    <row r="49" spans="6:6" x14ac:dyDescent="0.5">
      <c r="F49" s="29"/>
    </row>
    <row r="50" spans="6:6" x14ac:dyDescent="0.5">
      <c r="F50" s="29"/>
    </row>
    <row r="51" spans="6:6" x14ac:dyDescent="0.5">
      <c r="F51" s="29"/>
    </row>
    <row r="52" spans="6:6" x14ac:dyDescent="0.5">
      <c r="F52" s="29"/>
    </row>
    <row r="53" spans="6:6" x14ac:dyDescent="0.5">
      <c r="F53" s="29"/>
    </row>
    <row r="54" spans="6:6" x14ac:dyDescent="0.5">
      <c r="F54" s="29"/>
    </row>
    <row r="55" spans="6:6" x14ac:dyDescent="0.5">
      <c r="F55" s="29"/>
    </row>
    <row r="56" spans="6:6" x14ac:dyDescent="0.5">
      <c r="F56" s="29"/>
    </row>
    <row r="57" spans="6:6" x14ac:dyDescent="0.5">
      <c r="F57" s="29"/>
    </row>
    <row r="58" spans="6:6" x14ac:dyDescent="0.5">
      <c r="F58" s="29"/>
    </row>
    <row r="59" spans="6:6" x14ac:dyDescent="0.5">
      <c r="F59" s="29"/>
    </row>
    <row r="60" spans="6:6" x14ac:dyDescent="0.5">
      <c r="F60" s="29"/>
    </row>
    <row r="61" spans="6:6" x14ac:dyDescent="0.5">
      <c r="F61" s="29"/>
    </row>
    <row r="62" spans="6:6" x14ac:dyDescent="0.5">
      <c r="F62" s="29"/>
    </row>
    <row r="63" spans="6:6" x14ac:dyDescent="0.5">
      <c r="F63" s="29"/>
    </row>
    <row r="64" spans="6:6" x14ac:dyDescent="0.5">
      <c r="F64" s="29"/>
    </row>
    <row r="65" spans="6:6" x14ac:dyDescent="0.5">
      <c r="F65" s="29"/>
    </row>
    <row r="66" spans="6:6" x14ac:dyDescent="0.5">
      <c r="F66" s="29"/>
    </row>
    <row r="67" spans="6:6" x14ac:dyDescent="0.5">
      <c r="F67" s="29"/>
    </row>
    <row r="68" spans="6:6" x14ac:dyDescent="0.5">
      <c r="F68" s="29"/>
    </row>
    <row r="69" spans="6:6" x14ac:dyDescent="0.5">
      <c r="F69" s="29"/>
    </row>
    <row r="70" spans="6:6" x14ac:dyDescent="0.5">
      <c r="F70" s="29"/>
    </row>
    <row r="71" spans="6:6" x14ac:dyDescent="0.5">
      <c r="F71" s="29"/>
    </row>
    <row r="72" spans="6:6" x14ac:dyDescent="0.5">
      <c r="F72" s="29"/>
    </row>
    <row r="73" spans="6:6" x14ac:dyDescent="0.5">
      <c r="F73" s="29"/>
    </row>
    <row r="74" spans="6:6" x14ac:dyDescent="0.5">
      <c r="F74" s="29"/>
    </row>
    <row r="75" spans="6:6" x14ac:dyDescent="0.5">
      <c r="F75" s="29"/>
    </row>
    <row r="76" spans="6:6" x14ac:dyDescent="0.5">
      <c r="F76" s="29"/>
    </row>
    <row r="77" spans="6:6" x14ac:dyDescent="0.5">
      <c r="F77" s="29"/>
    </row>
    <row r="78" spans="6:6" x14ac:dyDescent="0.5">
      <c r="F78" s="29"/>
    </row>
    <row r="79" spans="6:6" x14ac:dyDescent="0.5">
      <c r="F79" s="29"/>
    </row>
    <row r="80" spans="6:6" x14ac:dyDescent="0.5">
      <c r="F80" s="29"/>
    </row>
    <row r="81" spans="6:6" x14ac:dyDescent="0.5">
      <c r="F81" s="29"/>
    </row>
    <row r="82" spans="6:6" x14ac:dyDescent="0.5">
      <c r="F82" s="29"/>
    </row>
    <row r="83" spans="6:6" x14ac:dyDescent="0.5">
      <c r="F83" s="29"/>
    </row>
    <row r="84" spans="6:6" x14ac:dyDescent="0.5">
      <c r="F84" s="29"/>
    </row>
    <row r="85" spans="6:6" x14ac:dyDescent="0.5">
      <c r="F85" s="29"/>
    </row>
    <row r="86" spans="6:6" x14ac:dyDescent="0.5">
      <c r="F86" s="29"/>
    </row>
    <row r="87" spans="6:6" x14ac:dyDescent="0.5">
      <c r="F87" s="29"/>
    </row>
    <row r="88" spans="6:6" x14ac:dyDescent="0.5">
      <c r="F88" s="29"/>
    </row>
    <row r="89" spans="6:6" x14ac:dyDescent="0.5">
      <c r="F89" s="29"/>
    </row>
    <row r="90" spans="6:6" x14ac:dyDescent="0.5">
      <c r="F90" s="29"/>
    </row>
    <row r="91" spans="6:6" x14ac:dyDescent="0.5">
      <c r="F91" s="29"/>
    </row>
    <row r="92" spans="6:6" x14ac:dyDescent="0.5">
      <c r="F92" s="29"/>
    </row>
    <row r="93" spans="6:6" x14ac:dyDescent="0.5">
      <c r="F93" s="29"/>
    </row>
    <row r="94" spans="6:6" x14ac:dyDescent="0.5">
      <c r="F94" s="29"/>
    </row>
    <row r="95" spans="6:6" x14ac:dyDescent="0.5">
      <c r="F95" s="29"/>
    </row>
    <row r="96" spans="6:6" x14ac:dyDescent="0.5">
      <c r="F96" s="29"/>
    </row>
    <row r="97" spans="6:6" x14ac:dyDescent="0.5">
      <c r="F97" s="29"/>
    </row>
    <row r="98" spans="6:6" x14ac:dyDescent="0.5">
      <c r="F98" s="29"/>
    </row>
    <row r="99" spans="6:6" x14ac:dyDescent="0.5">
      <c r="F99" s="29"/>
    </row>
    <row r="100" spans="6:6" x14ac:dyDescent="0.5">
      <c r="F100" s="29"/>
    </row>
    <row r="101" spans="6:6" x14ac:dyDescent="0.5">
      <c r="F101" s="29"/>
    </row>
    <row r="102" spans="6:6" x14ac:dyDescent="0.5">
      <c r="F102" s="29"/>
    </row>
    <row r="103" spans="6:6" x14ac:dyDescent="0.5">
      <c r="F103" s="29"/>
    </row>
    <row r="104" spans="6:6" x14ac:dyDescent="0.5">
      <c r="F104" s="29"/>
    </row>
    <row r="105" spans="6:6" x14ac:dyDescent="0.5">
      <c r="F105" s="29"/>
    </row>
    <row r="106" spans="6:6" x14ac:dyDescent="0.5">
      <c r="F106" s="29"/>
    </row>
    <row r="107" spans="6:6" x14ac:dyDescent="0.5">
      <c r="F107" s="29"/>
    </row>
    <row r="108" spans="6:6" x14ac:dyDescent="0.5">
      <c r="F108" s="29"/>
    </row>
    <row r="109" spans="6:6" x14ac:dyDescent="0.5">
      <c r="F109" s="29"/>
    </row>
    <row r="110" spans="6:6" x14ac:dyDescent="0.5">
      <c r="F110" s="29"/>
    </row>
    <row r="111" spans="6:6" x14ac:dyDescent="0.5">
      <c r="F111" s="29"/>
    </row>
    <row r="112" spans="6:6" x14ac:dyDescent="0.5">
      <c r="F112" s="29"/>
    </row>
    <row r="113" spans="6:6" x14ac:dyDescent="0.5">
      <c r="F113" s="29"/>
    </row>
    <row r="114" spans="6:6" x14ac:dyDescent="0.5">
      <c r="F114" s="29"/>
    </row>
    <row r="115" spans="6:6" x14ac:dyDescent="0.5">
      <c r="F115" s="29"/>
    </row>
    <row r="116" spans="6:6" x14ac:dyDescent="0.5">
      <c r="F116" s="29"/>
    </row>
    <row r="117" spans="6:6" x14ac:dyDescent="0.5">
      <c r="F117" s="29"/>
    </row>
    <row r="118" spans="6:6" x14ac:dyDescent="0.5">
      <c r="F118" s="29"/>
    </row>
    <row r="119" spans="6:6" x14ac:dyDescent="0.5">
      <c r="F119" s="29"/>
    </row>
    <row r="120" spans="6:6" x14ac:dyDescent="0.5">
      <c r="F120" s="29"/>
    </row>
    <row r="121" spans="6:6" x14ac:dyDescent="0.5">
      <c r="F121" s="29"/>
    </row>
    <row r="122" spans="6:6" x14ac:dyDescent="0.5">
      <c r="F122" s="29"/>
    </row>
    <row r="123" spans="6:6" x14ac:dyDescent="0.5">
      <c r="F123" s="29"/>
    </row>
    <row r="124" spans="6:6" x14ac:dyDescent="0.5">
      <c r="F124" s="29"/>
    </row>
    <row r="125" spans="6:6" x14ac:dyDescent="0.5">
      <c r="F125" s="29"/>
    </row>
    <row r="126" spans="6:6" x14ac:dyDescent="0.5">
      <c r="F126" s="29"/>
    </row>
    <row r="127" spans="6:6" x14ac:dyDescent="0.5">
      <c r="F127" s="29"/>
    </row>
    <row r="128" spans="6:6" x14ac:dyDescent="0.5">
      <c r="F128" s="29"/>
    </row>
    <row r="129" spans="6:6" x14ac:dyDescent="0.5">
      <c r="F129" s="29"/>
    </row>
    <row r="130" spans="6:6" x14ac:dyDescent="0.5">
      <c r="F130" s="29"/>
    </row>
    <row r="131" spans="6:6" x14ac:dyDescent="0.5">
      <c r="F131" s="29"/>
    </row>
    <row r="132" spans="6:6" x14ac:dyDescent="0.5">
      <c r="F132" s="29"/>
    </row>
    <row r="133" spans="6:6" x14ac:dyDescent="0.5">
      <c r="F133" s="29"/>
    </row>
    <row r="134" spans="6:6" x14ac:dyDescent="0.5">
      <c r="F134" s="29"/>
    </row>
    <row r="135" spans="6:6" x14ac:dyDescent="0.5">
      <c r="F135" s="29"/>
    </row>
    <row r="136" spans="6:6" x14ac:dyDescent="0.5">
      <c r="F136" s="29"/>
    </row>
    <row r="137" spans="6:6" x14ac:dyDescent="0.5">
      <c r="F137" s="29"/>
    </row>
    <row r="138" spans="6:6" x14ac:dyDescent="0.5">
      <c r="F138" s="29"/>
    </row>
    <row r="139" spans="6:6" x14ac:dyDescent="0.5">
      <c r="F139" s="29"/>
    </row>
    <row r="140" spans="6:6" x14ac:dyDescent="0.5">
      <c r="F140" s="29"/>
    </row>
    <row r="141" spans="6:6" x14ac:dyDescent="0.5">
      <c r="F141" s="29"/>
    </row>
    <row r="142" spans="6:6" x14ac:dyDescent="0.5">
      <c r="F142" s="29"/>
    </row>
    <row r="143" spans="6:6" x14ac:dyDescent="0.5">
      <c r="F143" s="29"/>
    </row>
    <row r="144" spans="6:6" x14ac:dyDescent="0.5">
      <c r="F144" s="29"/>
    </row>
    <row r="145" spans="6:6" x14ac:dyDescent="0.5">
      <c r="F145" s="29"/>
    </row>
    <row r="146" spans="6:6" x14ac:dyDescent="0.5">
      <c r="F146" s="29"/>
    </row>
    <row r="147" spans="6:6" x14ac:dyDescent="0.5">
      <c r="F147" s="29"/>
    </row>
    <row r="148" spans="6:6" x14ac:dyDescent="0.5">
      <c r="F148" s="29"/>
    </row>
    <row r="149" spans="6:6" x14ac:dyDescent="0.5">
      <c r="F149" s="29"/>
    </row>
    <row r="150" spans="6:6" x14ac:dyDescent="0.5">
      <c r="F150" s="29"/>
    </row>
    <row r="151" spans="6:6" x14ac:dyDescent="0.5">
      <c r="F151" s="29"/>
    </row>
    <row r="152" spans="6:6" x14ac:dyDescent="0.5">
      <c r="F152" s="29"/>
    </row>
    <row r="153" spans="6:6" x14ac:dyDescent="0.5">
      <c r="F153" s="29"/>
    </row>
    <row r="154" spans="6:6" x14ac:dyDescent="0.5">
      <c r="F154" s="29"/>
    </row>
    <row r="155" spans="6:6" x14ac:dyDescent="0.5">
      <c r="F155" s="29"/>
    </row>
    <row r="156" spans="6:6" x14ac:dyDescent="0.5">
      <c r="F156" s="29"/>
    </row>
    <row r="157" spans="6:6" x14ac:dyDescent="0.5">
      <c r="F157" s="29"/>
    </row>
    <row r="158" spans="6:6" x14ac:dyDescent="0.5">
      <c r="F158" s="29"/>
    </row>
    <row r="159" spans="6:6" x14ac:dyDescent="0.5">
      <c r="F159" s="29"/>
    </row>
    <row r="160" spans="6:6" x14ac:dyDescent="0.5">
      <c r="F160" s="29"/>
    </row>
    <row r="161" spans="6:6" x14ac:dyDescent="0.5">
      <c r="F161" s="29"/>
    </row>
    <row r="162" spans="6:6" x14ac:dyDescent="0.5">
      <c r="F162" s="29"/>
    </row>
    <row r="163" spans="6:6" x14ac:dyDescent="0.5">
      <c r="F163" s="29"/>
    </row>
    <row r="164" spans="6:6" x14ac:dyDescent="0.5">
      <c r="F164" s="29"/>
    </row>
    <row r="165" spans="6:6" x14ac:dyDescent="0.5">
      <c r="F165" s="29"/>
    </row>
    <row r="166" spans="6:6" x14ac:dyDescent="0.5">
      <c r="F166" s="29"/>
    </row>
    <row r="167" spans="6:6" x14ac:dyDescent="0.5">
      <c r="F167" s="29"/>
    </row>
    <row r="168" spans="6:6" x14ac:dyDescent="0.5">
      <c r="F168" s="29"/>
    </row>
    <row r="169" spans="6:6" x14ac:dyDescent="0.5">
      <c r="F169" s="29"/>
    </row>
    <row r="170" spans="6:6" x14ac:dyDescent="0.5">
      <c r="F170" s="29"/>
    </row>
    <row r="171" spans="6:6" x14ac:dyDescent="0.5">
      <c r="F171" s="29"/>
    </row>
    <row r="172" spans="6:6" x14ac:dyDescent="0.5">
      <c r="F172" s="29"/>
    </row>
    <row r="173" spans="6:6" x14ac:dyDescent="0.5">
      <c r="F173" s="29"/>
    </row>
    <row r="174" spans="6:6" x14ac:dyDescent="0.5">
      <c r="F174" s="29"/>
    </row>
    <row r="175" spans="6:6" x14ac:dyDescent="0.5">
      <c r="F175" s="29"/>
    </row>
    <row r="176" spans="6:6" x14ac:dyDescent="0.5">
      <c r="F176" s="29"/>
    </row>
    <row r="177" spans="6:6" x14ac:dyDescent="0.5">
      <c r="F177" s="29"/>
    </row>
    <row r="178" spans="6:6" x14ac:dyDescent="0.5">
      <c r="F178" s="29"/>
    </row>
    <row r="179" spans="6:6" x14ac:dyDescent="0.5">
      <c r="F179" s="29"/>
    </row>
    <row r="180" spans="6:6" x14ac:dyDescent="0.5">
      <c r="F180" s="29"/>
    </row>
    <row r="181" spans="6:6" x14ac:dyDescent="0.5">
      <c r="F181" s="29"/>
    </row>
    <row r="182" spans="6:6" x14ac:dyDescent="0.5">
      <c r="F182" s="29"/>
    </row>
    <row r="183" spans="6:6" x14ac:dyDescent="0.5">
      <c r="F183" s="29"/>
    </row>
    <row r="184" spans="6:6" x14ac:dyDescent="0.5">
      <c r="F184" s="29"/>
    </row>
    <row r="185" spans="6:6" x14ac:dyDescent="0.5">
      <c r="F185" s="29"/>
    </row>
    <row r="186" spans="6:6" x14ac:dyDescent="0.5">
      <c r="F186" s="29"/>
    </row>
    <row r="187" spans="6:6" x14ac:dyDescent="0.5">
      <c r="F187" s="29"/>
    </row>
    <row r="188" spans="6:6" x14ac:dyDescent="0.5">
      <c r="F188" s="29"/>
    </row>
    <row r="189" spans="6:6" x14ac:dyDescent="0.5">
      <c r="F189" s="29"/>
    </row>
    <row r="190" spans="6:6" x14ac:dyDescent="0.5">
      <c r="F190" s="29"/>
    </row>
    <row r="191" spans="6:6" x14ac:dyDescent="0.5">
      <c r="F191" s="29"/>
    </row>
    <row r="192" spans="6:6" x14ac:dyDescent="0.5">
      <c r="F192" s="29"/>
    </row>
    <row r="193" spans="6:6" x14ac:dyDescent="0.5">
      <c r="F193" s="29"/>
    </row>
    <row r="194" spans="6:6" x14ac:dyDescent="0.5">
      <c r="F194" s="29"/>
    </row>
    <row r="195" spans="6:6" x14ac:dyDescent="0.5">
      <c r="F195" s="29"/>
    </row>
    <row r="196" spans="6:6" x14ac:dyDescent="0.5">
      <c r="F196" s="29"/>
    </row>
    <row r="197" spans="6:6" x14ac:dyDescent="0.5">
      <c r="F197" s="29"/>
    </row>
    <row r="198" spans="6:6" x14ac:dyDescent="0.5">
      <c r="F198" s="29"/>
    </row>
    <row r="199" spans="6:6" x14ac:dyDescent="0.5">
      <c r="F199" s="29"/>
    </row>
    <row r="200" spans="6:6" x14ac:dyDescent="0.5">
      <c r="F200" s="29"/>
    </row>
    <row r="201" spans="6:6" x14ac:dyDescent="0.5">
      <c r="F201" s="29"/>
    </row>
    <row r="202" spans="6:6" x14ac:dyDescent="0.5">
      <c r="F202" s="29"/>
    </row>
    <row r="203" spans="6:6" x14ac:dyDescent="0.5">
      <c r="F203" s="29"/>
    </row>
    <row r="204" spans="6:6" x14ac:dyDescent="0.5">
      <c r="F204" s="29"/>
    </row>
    <row r="205" spans="6:6" x14ac:dyDescent="0.5">
      <c r="F205" s="29"/>
    </row>
    <row r="206" spans="6:6" x14ac:dyDescent="0.5">
      <c r="F206" s="29"/>
    </row>
    <row r="207" spans="6:6" x14ac:dyDescent="0.5">
      <c r="F207" s="29"/>
    </row>
    <row r="208" spans="6:6" x14ac:dyDescent="0.5">
      <c r="F208" s="29"/>
    </row>
    <row r="209" spans="6:6" x14ac:dyDescent="0.5">
      <c r="F209" s="29"/>
    </row>
    <row r="210" spans="6:6" x14ac:dyDescent="0.5">
      <c r="F210" s="29"/>
    </row>
    <row r="211" spans="6:6" x14ac:dyDescent="0.5">
      <c r="F211" s="29"/>
    </row>
    <row r="212" spans="6:6" x14ac:dyDescent="0.5">
      <c r="F212" s="29"/>
    </row>
    <row r="213" spans="6:6" x14ac:dyDescent="0.5">
      <c r="F213" s="29"/>
    </row>
    <row r="214" spans="6:6" x14ac:dyDescent="0.5">
      <c r="F214" s="29"/>
    </row>
    <row r="215" spans="6:6" x14ac:dyDescent="0.5">
      <c r="F215" s="29"/>
    </row>
    <row r="216" spans="6:6" x14ac:dyDescent="0.5">
      <c r="F216" s="29"/>
    </row>
    <row r="217" spans="6:6" x14ac:dyDescent="0.5">
      <c r="F217" s="29"/>
    </row>
    <row r="218" spans="6:6" x14ac:dyDescent="0.5">
      <c r="F218" s="29"/>
    </row>
    <row r="219" spans="6:6" x14ac:dyDescent="0.5">
      <c r="F219" s="29"/>
    </row>
    <row r="220" spans="6:6" x14ac:dyDescent="0.5">
      <c r="F220" s="29"/>
    </row>
    <row r="221" spans="6:6" x14ac:dyDescent="0.5">
      <c r="F221" s="29"/>
    </row>
    <row r="222" spans="6:6" x14ac:dyDescent="0.5">
      <c r="F222" s="29"/>
    </row>
    <row r="223" spans="6:6" x14ac:dyDescent="0.5">
      <c r="F223" s="29"/>
    </row>
    <row r="224" spans="6:6" x14ac:dyDescent="0.5">
      <c r="F224" s="29"/>
    </row>
    <row r="225" spans="6:6" x14ac:dyDescent="0.5">
      <c r="F225" s="29"/>
    </row>
    <row r="226" spans="6:6" x14ac:dyDescent="0.5">
      <c r="F226" s="29"/>
    </row>
    <row r="227" spans="6:6" x14ac:dyDescent="0.5">
      <c r="F227" s="29"/>
    </row>
    <row r="228" spans="6:6" x14ac:dyDescent="0.5">
      <c r="F228" s="29"/>
    </row>
    <row r="229" spans="6:6" x14ac:dyDescent="0.5">
      <c r="F229" s="29"/>
    </row>
    <row r="230" spans="6:6" x14ac:dyDescent="0.5">
      <c r="F230" s="29"/>
    </row>
    <row r="231" spans="6:6" x14ac:dyDescent="0.5">
      <c r="F231" s="29"/>
    </row>
    <row r="232" spans="6:6" x14ac:dyDescent="0.5">
      <c r="F232" s="29"/>
    </row>
    <row r="233" spans="6:6" x14ac:dyDescent="0.5">
      <c r="F233" s="29"/>
    </row>
    <row r="234" spans="6:6" x14ac:dyDescent="0.5">
      <c r="F234" s="29"/>
    </row>
    <row r="235" spans="6:6" x14ac:dyDescent="0.5">
      <c r="F235" s="29"/>
    </row>
    <row r="236" spans="6:6" x14ac:dyDescent="0.5">
      <c r="F236" s="29"/>
    </row>
    <row r="237" spans="6:6" x14ac:dyDescent="0.5">
      <c r="F237" s="29"/>
    </row>
    <row r="238" spans="6:6" x14ac:dyDescent="0.5">
      <c r="F238" s="29"/>
    </row>
    <row r="239" spans="6:6" x14ac:dyDescent="0.5">
      <c r="F239" s="29"/>
    </row>
    <row r="240" spans="6:6" x14ac:dyDescent="0.5">
      <c r="F240" s="29"/>
    </row>
    <row r="241" spans="6:6" x14ac:dyDescent="0.5">
      <c r="F241" s="29"/>
    </row>
    <row r="242" spans="6:6" x14ac:dyDescent="0.5">
      <c r="F242" s="29"/>
    </row>
    <row r="243" spans="6:6" x14ac:dyDescent="0.5">
      <c r="F243" s="29"/>
    </row>
    <row r="244" spans="6:6" x14ac:dyDescent="0.5">
      <c r="F244" s="29"/>
    </row>
    <row r="245" spans="6:6" x14ac:dyDescent="0.5">
      <c r="F245" s="29"/>
    </row>
    <row r="246" spans="6:6" x14ac:dyDescent="0.5">
      <c r="F246" s="29"/>
    </row>
    <row r="247" spans="6:6" x14ac:dyDescent="0.5">
      <c r="F247" s="29"/>
    </row>
    <row r="248" spans="6:6" x14ac:dyDescent="0.5">
      <c r="F248" s="29"/>
    </row>
    <row r="249" spans="6:6" x14ac:dyDescent="0.5">
      <c r="F249" s="29"/>
    </row>
    <row r="250" spans="6:6" x14ac:dyDescent="0.5">
      <c r="F250" s="29"/>
    </row>
    <row r="251" spans="6:6" x14ac:dyDescent="0.5">
      <c r="F251" s="29"/>
    </row>
    <row r="252" spans="6:6" x14ac:dyDescent="0.5">
      <c r="F252" s="29"/>
    </row>
    <row r="253" spans="6:6" x14ac:dyDescent="0.5">
      <c r="F253" s="29"/>
    </row>
    <row r="254" spans="6:6" x14ac:dyDescent="0.5">
      <c r="F254" s="29"/>
    </row>
    <row r="255" spans="6:6" x14ac:dyDescent="0.5">
      <c r="F255" s="29"/>
    </row>
    <row r="256" spans="6:6" x14ac:dyDescent="0.5">
      <c r="F256" s="29"/>
    </row>
    <row r="257" spans="6:6" x14ac:dyDescent="0.5">
      <c r="F257" s="29"/>
    </row>
    <row r="258" spans="6:6" x14ac:dyDescent="0.5">
      <c r="F258" s="29"/>
    </row>
    <row r="259" spans="6:6" x14ac:dyDescent="0.5">
      <c r="F259" s="29"/>
    </row>
    <row r="260" spans="6:6" x14ac:dyDescent="0.5">
      <c r="F260" s="29"/>
    </row>
    <row r="261" spans="6:6" x14ac:dyDescent="0.5">
      <c r="F261" s="29"/>
    </row>
    <row r="262" spans="6:6" x14ac:dyDescent="0.5">
      <c r="F262" s="29"/>
    </row>
    <row r="263" spans="6:6" x14ac:dyDescent="0.5">
      <c r="F263" s="29"/>
    </row>
    <row r="264" spans="6:6" x14ac:dyDescent="0.5">
      <c r="F264" s="29"/>
    </row>
    <row r="265" spans="6:6" x14ac:dyDescent="0.5">
      <c r="F265" s="29"/>
    </row>
    <row r="266" spans="6:6" x14ac:dyDescent="0.5">
      <c r="F266" s="29"/>
    </row>
    <row r="267" spans="6:6" x14ac:dyDescent="0.5">
      <c r="F267" s="29"/>
    </row>
    <row r="268" spans="6:6" x14ac:dyDescent="0.5">
      <c r="F268" s="29"/>
    </row>
    <row r="269" spans="6:6" x14ac:dyDescent="0.5">
      <c r="F269" s="29"/>
    </row>
    <row r="270" spans="6:6" x14ac:dyDescent="0.5">
      <c r="F270" s="29"/>
    </row>
    <row r="271" spans="6:6" x14ac:dyDescent="0.5">
      <c r="F271" s="29"/>
    </row>
    <row r="272" spans="6:6" x14ac:dyDescent="0.5">
      <c r="F272" s="29"/>
    </row>
    <row r="273" spans="6:6" x14ac:dyDescent="0.5">
      <c r="F273" s="29"/>
    </row>
    <row r="274" spans="6:6" x14ac:dyDescent="0.5">
      <c r="F274" s="29"/>
    </row>
    <row r="275" spans="6:6" x14ac:dyDescent="0.5">
      <c r="F275" s="29"/>
    </row>
    <row r="276" spans="6:6" x14ac:dyDescent="0.5">
      <c r="F276" s="29"/>
    </row>
    <row r="277" spans="6:6" x14ac:dyDescent="0.5">
      <c r="F277" s="29"/>
    </row>
    <row r="278" spans="6:6" x14ac:dyDescent="0.5">
      <c r="F278" s="29"/>
    </row>
    <row r="279" spans="6:6" x14ac:dyDescent="0.5">
      <c r="F279" s="29"/>
    </row>
    <row r="280" spans="6:6" x14ac:dyDescent="0.5">
      <c r="F280" s="29"/>
    </row>
    <row r="281" spans="6:6" x14ac:dyDescent="0.5">
      <c r="F281" s="29"/>
    </row>
    <row r="282" spans="6:6" x14ac:dyDescent="0.5">
      <c r="F282" s="29"/>
    </row>
    <row r="283" spans="6:6" x14ac:dyDescent="0.5">
      <c r="F283" s="29"/>
    </row>
    <row r="284" spans="6:6" x14ac:dyDescent="0.5">
      <c r="F284" s="29"/>
    </row>
    <row r="285" spans="6:6" x14ac:dyDescent="0.5">
      <c r="F285" s="29"/>
    </row>
    <row r="286" spans="6:6" x14ac:dyDescent="0.5">
      <c r="F286" s="29"/>
    </row>
    <row r="287" spans="6:6" x14ac:dyDescent="0.5">
      <c r="F287" s="29"/>
    </row>
    <row r="288" spans="6:6" x14ac:dyDescent="0.5">
      <c r="F288" s="29"/>
    </row>
    <row r="289" spans="6:6" x14ac:dyDescent="0.5">
      <c r="F289" s="29"/>
    </row>
    <row r="290" spans="6:6" x14ac:dyDescent="0.5">
      <c r="F290" s="29"/>
    </row>
    <row r="291" spans="6:6" x14ac:dyDescent="0.5">
      <c r="F291" s="29"/>
    </row>
    <row r="292" spans="6:6" x14ac:dyDescent="0.5">
      <c r="F292" s="29"/>
    </row>
    <row r="293" spans="6:6" x14ac:dyDescent="0.5">
      <c r="F293" s="29"/>
    </row>
    <row r="294" spans="6:6" x14ac:dyDescent="0.5">
      <c r="F294" s="29"/>
    </row>
    <row r="295" spans="6:6" x14ac:dyDescent="0.5">
      <c r="F295" s="29"/>
    </row>
    <row r="296" spans="6:6" x14ac:dyDescent="0.5">
      <c r="F296" s="29"/>
    </row>
    <row r="297" spans="6:6" x14ac:dyDescent="0.5">
      <c r="F297" s="29"/>
    </row>
    <row r="298" spans="6:6" x14ac:dyDescent="0.5">
      <c r="F298" s="29"/>
    </row>
    <row r="299" spans="6:6" x14ac:dyDescent="0.5">
      <c r="F299" s="29"/>
    </row>
    <row r="300" spans="6:6" x14ac:dyDescent="0.5">
      <c r="F300" s="29"/>
    </row>
    <row r="301" spans="6:6" x14ac:dyDescent="0.5">
      <c r="F301" s="29"/>
    </row>
    <row r="302" spans="6:6" x14ac:dyDescent="0.5">
      <c r="F302" s="29"/>
    </row>
    <row r="303" spans="6:6" x14ac:dyDescent="0.5">
      <c r="F303" s="29"/>
    </row>
    <row r="304" spans="6:6" x14ac:dyDescent="0.5">
      <c r="F304" s="29"/>
    </row>
    <row r="305" spans="6:6" x14ac:dyDescent="0.5">
      <c r="F305" s="29"/>
    </row>
    <row r="306" spans="6:6" x14ac:dyDescent="0.5">
      <c r="F306" s="29"/>
    </row>
    <row r="307" spans="6:6" x14ac:dyDescent="0.5">
      <c r="F307" s="29"/>
    </row>
    <row r="308" spans="6:6" x14ac:dyDescent="0.5">
      <c r="F308" s="29"/>
    </row>
    <row r="309" spans="6:6" x14ac:dyDescent="0.5">
      <c r="F309" s="29"/>
    </row>
    <row r="310" spans="6:6" x14ac:dyDescent="0.5">
      <c r="F310" s="29"/>
    </row>
    <row r="311" spans="6:6" x14ac:dyDescent="0.5">
      <c r="F311" s="29"/>
    </row>
    <row r="312" spans="6:6" x14ac:dyDescent="0.5">
      <c r="F312" s="29"/>
    </row>
    <row r="313" spans="6:6" x14ac:dyDescent="0.5">
      <c r="F313" s="29"/>
    </row>
    <row r="314" spans="6:6" x14ac:dyDescent="0.5">
      <c r="F314" s="29"/>
    </row>
    <row r="315" spans="6:6" x14ac:dyDescent="0.5">
      <c r="F315" s="29"/>
    </row>
    <row r="316" spans="6:6" x14ac:dyDescent="0.5">
      <c r="F316" s="29"/>
    </row>
    <row r="317" spans="6:6" x14ac:dyDescent="0.5">
      <c r="F317" s="29"/>
    </row>
    <row r="318" spans="6:6" x14ac:dyDescent="0.5">
      <c r="F318" s="29"/>
    </row>
    <row r="319" spans="6:6" x14ac:dyDescent="0.5">
      <c r="F319" s="29"/>
    </row>
    <row r="320" spans="6:6" x14ac:dyDescent="0.5">
      <c r="F320" s="29"/>
    </row>
    <row r="321" spans="6:6" x14ac:dyDescent="0.5">
      <c r="F321" s="29"/>
    </row>
    <row r="322" spans="6:6" x14ac:dyDescent="0.5">
      <c r="F322" s="29"/>
    </row>
    <row r="323" spans="6:6" x14ac:dyDescent="0.5">
      <c r="F323" s="29"/>
    </row>
    <row r="324" spans="6:6" x14ac:dyDescent="0.5">
      <c r="F324" s="29"/>
    </row>
    <row r="325" spans="6:6" x14ac:dyDescent="0.5">
      <c r="F325" s="29"/>
    </row>
    <row r="326" spans="6:6" x14ac:dyDescent="0.5">
      <c r="F326" s="29"/>
    </row>
    <row r="327" spans="6:6" x14ac:dyDescent="0.5">
      <c r="F327" s="29"/>
    </row>
    <row r="328" spans="6:6" x14ac:dyDescent="0.5">
      <c r="F328" s="29"/>
    </row>
    <row r="329" spans="6:6" x14ac:dyDescent="0.5">
      <c r="F329" s="29"/>
    </row>
    <row r="330" spans="6:6" x14ac:dyDescent="0.5">
      <c r="F330" s="29"/>
    </row>
    <row r="331" spans="6:6" x14ac:dyDescent="0.5">
      <c r="F331" s="29"/>
    </row>
    <row r="332" spans="6:6" x14ac:dyDescent="0.5">
      <c r="F332" s="29"/>
    </row>
    <row r="333" spans="6:6" x14ac:dyDescent="0.5">
      <c r="F333" s="29"/>
    </row>
    <row r="334" spans="6:6" x14ac:dyDescent="0.5">
      <c r="F334" s="29"/>
    </row>
    <row r="335" spans="6:6" x14ac:dyDescent="0.5">
      <c r="F335" s="29"/>
    </row>
    <row r="336" spans="6:6" x14ac:dyDescent="0.5">
      <c r="F336" s="29"/>
    </row>
    <row r="337" spans="6:6" x14ac:dyDescent="0.5">
      <c r="F337" s="29"/>
    </row>
    <row r="338" spans="6:6" x14ac:dyDescent="0.5">
      <c r="F338" s="29"/>
    </row>
    <row r="339" spans="6:6" x14ac:dyDescent="0.5">
      <c r="F339" s="29"/>
    </row>
    <row r="340" spans="6:6" x14ac:dyDescent="0.5">
      <c r="F340" s="29"/>
    </row>
    <row r="341" spans="6:6" x14ac:dyDescent="0.5">
      <c r="F341" s="29"/>
    </row>
    <row r="342" spans="6:6" x14ac:dyDescent="0.5">
      <c r="F342" s="29"/>
    </row>
    <row r="343" spans="6:6" x14ac:dyDescent="0.5">
      <c r="F343" s="29"/>
    </row>
    <row r="344" spans="6:6" x14ac:dyDescent="0.5">
      <c r="F344" s="29"/>
    </row>
    <row r="345" spans="6:6" x14ac:dyDescent="0.5">
      <c r="F345" s="29"/>
    </row>
    <row r="346" spans="6:6" x14ac:dyDescent="0.5">
      <c r="F346" s="29"/>
    </row>
    <row r="347" spans="6:6" x14ac:dyDescent="0.5">
      <c r="F347" s="29"/>
    </row>
    <row r="348" spans="6:6" x14ac:dyDescent="0.5">
      <c r="F348" s="29"/>
    </row>
    <row r="349" spans="6:6" x14ac:dyDescent="0.5">
      <c r="F349" s="29"/>
    </row>
    <row r="350" spans="6:6" x14ac:dyDescent="0.5">
      <c r="F350" s="29"/>
    </row>
    <row r="351" spans="6:6" x14ac:dyDescent="0.5">
      <c r="F351" s="29"/>
    </row>
    <row r="352" spans="6:6" x14ac:dyDescent="0.5">
      <c r="F352" s="29"/>
    </row>
    <row r="353" spans="6:6" x14ac:dyDescent="0.5">
      <c r="F353" s="29"/>
    </row>
  </sheetData>
  <mergeCells count="141">
    <mergeCell ref="G1:H1"/>
    <mergeCell ref="C3:C6"/>
    <mergeCell ref="D3:D6"/>
    <mergeCell ref="E3:E6"/>
    <mergeCell ref="F3:F6"/>
    <mergeCell ref="G3:G6"/>
    <mergeCell ref="M14:M17"/>
    <mergeCell ref="P35:P38"/>
    <mergeCell ref="P31:P34"/>
    <mergeCell ref="O31:O34"/>
    <mergeCell ref="N31:N34"/>
    <mergeCell ref="O28:O30"/>
    <mergeCell ref="P28:P30"/>
    <mergeCell ref="C35:C38"/>
    <mergeCell ref="D35:D38"/>
    <mergeCell ref="E35:E38"/>
    <mergeCell ref="F35:F38"/>
    <mergeCell ref="G35:G38"/>
    <mergeCell ref="H35:H38"/>
    <mergeCell ref="I35:I38"/>
    <mergeCell ref="J35:J38"/>
    <mergeCell ref="K35:K38"/>
    <mergeCell ref="L35:L38"/>
    <mergeCell ref="M35:M38"/>
    <mergeCell ref="N35:N38"/>
    <mergeCell ref="M31:M34"/>
    <mergeCell ref="L31:L34"/>
    <mergeCell ref="K31:K34"/>
    <mergeCell ref="J31:J34"/>
    <mergeCell ref="I31:I34"/>
    <mergeCell ref="O35:O38"/>
    <mergeCell ref="P24:P27"/>
    <mergeCell ref="C28:C30"/>
    <mergeCell ref="D28:D30"/>
    <mergeCell ref="E28:E30"/>
    <mergeCell ref="F28:F30"/>
    <mergeCell ref="G28:G30"/>
    <mergeCell ref="H28:H30"/>
    <mergeCell ref="I28:I30"/>
    <mergeCell ref="J28:J30"/>
    <mergeCell ref="K28:K30"/>
    <mergeCell ref="L28:L30"/>
    <mergeCell ref="M28:M30"/>
    <mergeCell ref="N28:N30"/>
    <mergeCell ref="C24:C27"/>
    <mergeCell ref="D24:D27"/>
    <mergeCell ref="E24:E27"/>
    <mergeCell ref="F24:F27"/>
    <mergeCell ref="N24:N27"/>
    <mergeCell ref="O24:O27"/>
    <mergeCell ref="J24:J27"/>
    <mergeCell ref="K24:K27"/>
    <mergeCell ref="L24:L27"/>
    <mergeCell ref="M24:M27"/>
    <mergeCell ref="I21:I23"/>
    <mergeCell ref="J21:J23"/>
    <mergeCell ref="J14:J17"/>
    <mergeCell ref="C31:C34"/>
    <mergeCell ref="H31:H34"/>
    <mergeCell ref="G31:G34"/>
    <mergeCell ref="F31:F34"/>
    <mergeCell ref="C14:C17"/>
    <mergeCell ref="H24:H27"/>
    <mergeCell ref="I24:I27"/>
    <mergeCell ref="C21:C23"/>
    <mergeCell ref="C18:C20"/>
    <mergeCell ref="D18:D20"/>
    <mergeCell ref="E18:E20"/>
    <mergeCell ref="F18:F20"/>
    <mergeCell ref="G18:G20"/>
    <mergeCell ref="H18:H20"/>
    <mergeCell ref="I18:I20"/>
    <mergeCell ref="D21:D23"/>
    <mergeCell ref="E21:E23"/>
    <mergeCell ref="F21:F23"/>
    <mergeCell ref="G21:G23"/>
    <mergeCell ref="D14:D17"/>
    <mergeCell ref="G24:G27"/>
    <mergeCell ref="E31:E34"/>
    <mergeCell ref="D31:D34"/>
    <mergeCell ref="H21:H23"/>
    <mergeCell ref="C7:C10"/>
    <mergeCell ref="P7:P10"/>
    <mergeCell ref="D7:D10"/>
    <mergeCell ref="E7:E10"/>
    <mergeCell ref="F7:F10"/>
    <mergeCell ref="G7:G10"/>
    <mergeCell ref="H7:H10"/>
    <mergeCell ref="I7:I10"/>
    <mergeCell ref="O7:O10"/>
    <mergeCell ref="M7:M10"/>
    <mergeCell ref="P11:P13"/>
    <mergeCell ref="C11:C13"/>
    <mergeCell ref="D11:D13"/>
    <mergeCell ref="E11:E13"/>
    <mergeCell ref="F11:F13"/>
    <mergeCell ref="G11:G13"/>
    <mergeCell ref="E14:E17"/>
    <mergeCell ref="F14:F17"/>
    <mergeCell ref="G14:G17"/>
    <mergeCell ref="H14:H17"/>
    <mergeCell ref="I14:I17"/>
    <mergeCell ref="N18:N20"/>
    <mergeCell ref="O18:O20"/>
    <mergeCell ref="J18:J20"/>
    <mergeCell ref="K18:K20"/>
    <mergeCell ref="L18:L20"/>
    <mergeCell ref="M18:M20"/>
    <mergeCell ref="H3:H6"/>
    <mergeCell ref="I3:I6"/>
    <mergeCell ref="J3:J6"/>
    <mergeCell ref="N14:N17"/>
    <mergeCell ref="O14:O17"/>
    <mergeCell ref="O11:O13"/>
    <mergeCell ref="J7:J10"/>
    <mergeCell ref="K7:K10"/>
    <mergeCell ref="L7:L10"/>
    <mergeCell ref="N7:N10"/>
    <mergeCell ref="L14:L17"/>
    <mergeCell ref="H11:H13"/>
    <mergeCell ref="N11:N13"/>
    <mergeCell ref="I11:I13"/>
    <mergeCell ref="J11:J13"/>
    <mergeCell ref="P3:P6"/>
    <mergeCell ref="K14:K17"/>
    <mergeCell ref="P21:P23"/>
    <mergeCell ref="K11:K13"/>
    <mergeCell ref="L11:L13"/>
    <mergeCell ref="M11:M13"/>
    <mergeCell ref="O3:O6"/>
    <mergeCell ref="K3:K6"/>
    <mergeCell ref="L3:L6"/>
    <mergeCell ref="M3:M6"/>
    <mergeCell ref="N3:N6"/>
    <mergeCell ref="P14:P17"/>
    <mergeCell ref="P18:P20"/>
    <mergeCell ref="N21:N23"/>
    <mergeCell ref="O21:O23"/>
    <mergeCell ref="K21:K23"/>
    <mergeCell ref="L21:L23"/>
    <mergeCell ref="M21:M23"/>
  </mergeCells>
  <dataValidations count="3">
    <dataValidation type="list" allowBlank="1" showInputMessage="1" showErrorMessage="1" sqref="F353" xr:uid="{9E33739C-5186-4DCA-A170-9062CC1FB777}">
      <formula1>"Teórico,Teórico-práctico,Práctico,Proyecto"</formula1>
    </dataValidation>
    <dataValidation type="list" allowBlank="1" showInputMessage="1" showErrorMessage="1" sqref="F39:F352" xr:uid="{27DF0689-BF97-477F-8C08-1CEB3DB79908}">
      <formula1>"Teórico,Teórico-práctico,Proyecto,Práctica"</formula1>
    </dataValidation>
    <dataValidation type="list" allowBlank="1" showInputMessage="1" showErrorMessage="1" sqref="B39:B53" xr:uid="{149936BB-E9F7-467B-9B8A-466861C21273}">
      <formula1>resultadoaprendizaje</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FC97223-AA02-4FC1-A2BA-B62258B69801}">
          <x14:formula1>
            <xm:f>'Paso 3 Redacción RA'!$I$3:$I$11</xm:f>
          </x14:formula1>
          <xm:sqref>B3:B38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6"/>
  <sheetViews>
    <sheetView workbookViewId="0"/>
  </sheetViews>
  <sheetFormatPr baseColWidth="10" defaultColWidth="11.44140625" defaultRowHeight="14.4" x14ac:dyDescent="0.3"/>
  <cols>
    <col min="2" max="2" width="27.21875" customWidth="1"/>
  </cols>
  <sheetData>
    <row r="1" spans="2:2" ht="18" x14ac:dyDescent="0.5">
      <c r="B1" s="1" t="s">
        <v>206</v>
      </c>
    </row>
    <row r="2" spans="2:2" ht="18" x14ac:dyDescent="0.5">
      <c r="B2" s="1" t="s">
        <v>207</v>
      </c>
    </row>
    <row r="3" spans="2:2" ht="18" x14ac:dyDescent="0.5">
      <c r="B3" s="1" t="s">
        <v>208</v>
      </c>
    </row>
    <row r="4" spans="2:2" ht="18" x14ac:dyDescent="0.5">
      <c r="B4" s="1" t="s">
        <v>209</v>
      </c>
    </row>
    <row r="5" spans="2:2" ht="18" x14ac:dyDescent="0.5">
      <c r="B5" s="1" t="s">
        <v>210</v>
      </c>
    </row>
    <row r="6" spans="2:2" ht="18" x14ac:dyDescent="0.5">
      <c r="B6" s="1" t="s">
        <v>211</v>
      </c>
    </row>
    <row r="7" spans="2:2" ht="18" x14ac:dyDescent="0.5">
      <c r="B7" s="1" t="s">
        <v>212</v>
      </c>
    </row>
    <row r="8" spans="2:2" ht="18" x14ac:dyDescent="0.5">
      <c r="B8" s="1" t="s">
        <v>213</v>
      </c>
    </row>
    <row r="9" spans="2:2" ht="18" x14ac:dyDescent="0.5">
      <c r="B9" s="1" t="s">
        <v>63</v>
      </c>
    </row>
    <row r="10" spans="2:2" ht="18" x14ac:dyDescent="0.5">
      <c r="B10" s="1" t="s">
        <v>214</v>
      </c>
    </row>
    <row r="11" spans="2:2" ht="18" x14ac:dyDescent="0.5">
      <c r="B11" s="1" t="s">
        <v>215</v>
      </c>
    </row>
    <row r="12" spans="2:2" ht="18" x14ac:dyDescent="0.5">
      <c r="B12" s="1" t="s">
        <v>216</v>
      </c>
    </row>
    <row r="13" spans="2:2" ht="18" x14ac:dyDescent="0.5">
      <c r="B13" s="1" t="s">
        <v>217</v>
      </c>
    </row>
    <row r="14" spans="2:2" ht="18" x14ac:dyDescent="0.5">
      <c r="B14" s="1" t="s">
        <v>90</v>
      </c>
    </row>
    <row r="15" spans="2:2" ht="18" x14ac:dyDescent="0.5">
      <c r="B15" s="1" t="s">
        <v>218</v>
      </c>
    </row>
    <row r="16" spans="2:2" ht="18" x14ac:dyDescent="0.5">
      <c r="B16" s="1" t="s">
        <v>93</v>
      </c>
    </row>
    <row r="17" spans="2:2" ht="18" x14ac:dyDescent="0.5">
      <c r="B17" s="1" t="s">
        <v>61</v>
      </c>
    </row>
    <row r="18" spans="2:2" ht="18" x14ac:dyDescent="0.5">
      <c r="B18" s="1" t="s">
        <v>219</v>
      </c>
    </row>
    <row r="19" spans="2:2" ht="18" x14ac:dyDescent="0.5">
      <c r="B19" s="1" t="s">
        <v>58</v>
      </c>
    </row>
    <row r="20" spans="2:2" ht="18" x14ac:dyDescent="0.5">
      <c r="B20" s="1" t="s">
        <v>220</v>
      </c>
    </row>
    <row r="21" spans="2:2" ht="18" x14ac:dyDescent="0.5">
      <c r="B21" s="1" t="s">
        <v>221</v>
      </c>
    </row>
    <row r="22" spans="2:2" ht="18" x14ac:dyDescent="0.5">
      <c r="B22" s="1" t="s">
        <v>222</v>
      </c>
    </row>
    <row r="23" spans="2:2" ht="18" x14ac:dyDescent="0.5">
      <c r="B23" s="1" t="s">
        <v>223</v>
      </c>
    </row>
    <row r="24" spans="2:2" ht="18" x14ac:dyDescent="0.5">
      <c r="B24" s="1" t="s">
        <v>224</v>
      </c>
    </row>
    <row r="25" spans="2:2" ht="18" x14ac:dyDescent="0.5">
      <c r="B25" s="1" t="s">
        <v>225</v>
      </c>
    </row>
    <row r="26" spans="2:2" ht="18" x14ac:dyDescent="0.5">
      <c r="B26" s="1" t="s">
        <v>226</v>
      </c>
    </row>
    <row r="27" spans="2:2" ht="18" x14ac:dyDescent="0.5">
      <c r="B27" s="1" t="s">
        <v>227</v>
      </c>
    </row>
    <row r="28" spans="2:2" ht="18" x14ac:dyDescent="0.5">
      <c r="B28" s="1" t="s">
        <v>228</v>
      </c>
    </row>
    <row r="29" spans="2:2" ht="18" x14ac:dyDescent="0.5">
      <c r="B29" s="1" t="s">
        <v>229</v>
      </c>
    </row>
    <row r="30" spans="2:2" ht="18" x14ac:dyDescent="0.5">
      <c r="B30" s="1" t="s">
        <v>230</v>
      </c>
    </row>
    <row r="31" spans="2:2" ht="18" x14ac:dyDescent="0.5">
      <c r="B31" s="1" t="s">
        <v>231</v>
      </c>
    </row>
    <row r="32" spans="2:2" ht="18" x14ac:dyDescent="0.5">
      <c r="B32" s="1" t="s">
        <v>232</v>
      </c>
    </row>
    <row r="33" spans="2:2" ht="18" x14ac:dyDescent="0.5">
      <c r="B33" s="1" t="s">
        <v>233</v>
      </c>
    </row>
    <row r="34" spans="2:2" ht="18" x14ac:dyDescent="0.5">
      <c r="B34" s="1" t="s">
        <v>234</v>
      </c>
    </row>
    <row r="35" spans="2:2" ht="18" x14ac:dyDescent="0.5">
      <c r="B35" s="1" t="s">
        <v>235</v>
      </c>
    </row>
    <row r="36" spans="2:2" ht="18" x14ac:dyDescent="0.5">
      <c r="B36" s="1" t="s">
        <v>236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zoomScale="66" workbookViewId="0">
      <selection activeCell="BE1" sqref="BE1"/>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0.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19" width="15.5546875" style="1" customWidth="1"/>
    <col min="20" max="20" width="15" style="1" customWidth="1"/>
    <col min="21" max="25" width="13.21875" style="1" customWidth="1"/>
    <col min="26" max="26" width="16.5546875" style="1" customWidth="1"/>
    <col min="27" max="28" width="13.21875" style="1" customWidth="1"/>
    <col min="29" max="29" width="19.44140625" style="1" customWidth="1"/>
    <col min="30" max="30" width="13.77734375" style="1" customWidth="1"/>
    <col min="31" max="31" width="13.21875" style="1" customWidth="1"/>
    <col min="32" max="32" width="13.44140625" style="1" customWidth="1"/>
    <col min="33" max="33" width="30.77734375" style="1" customWidth="1"/>
    <col min="34" max="36" width="13.21875" style="1" customWidth="1"/>
    <col min="37" max="37" width="14.5546875" style="1" customWidth="1"/>
    <col min="38" max="43" width="16.77734375" style="1" customWidth="1"/>
    <col min="44" max="45" width="13.21875" style="1" customWidth="1"/>
    <col min="46" max="46" width="23.77734375" style="1" customWidth="1"/>
    <col min="47" max="47" width="22.5546875" style="1" customWidth="1"/>
    <col min="48" max="48" width="24.21875" style="1" customWidth="1"/>
    <col min="49" max="49" width="27.77734375" style="1" customWidth="1"/>
    <col min="50" max="50" width="24.77734375" style="1" customWidth="1"/>
    <col min="51" max="51" width="22.77734375" style="1" customWidth="1"/>
    <col min="52" max="55" width="13.21875" style="1" customWidth="1"/>
    <col min="56" max="16384" width="11.44140625" style="1"/>
  </cols>
  <sheetData>
    <row r="1" spans="1:55" x14ac:dyDescent="0.5">
      <c r="S1" s="194" t="s">
        <v>237</v>
      </c>
      <c r="T1" s="194"/>
      <c r="U1" s="194"/>
      <c r="V1" s="194"/>
      <c r="W1" s="194"/>
      <c r="X1" s="194"/>
      <c r="Y1" s="194"/>
      <c r="Z1" s="194"/>
      <c r="AA1" s="194"/>
      <c r="AB1" s="194"/>
      <c r="AC1" s="194"/>
      <c r="AD1" s="194"/>
      <c r="AE1" s="194"/>
      <c r="AF1" s="194"/>
      <c r="AG1" s="194"/>
      <c r="AH1" s="10"/>
      <c r="AI1" s="10"/>
      <c r="AJ1" s="10"/>
      <c r="AL1" s="194" t="s">
        <v>238</v>
      </c>
      <c r="AM1" s="194"/>
      <c r="AN1" s="194"/>
      <c r="AO1" s="194"/>
      <c r="AP1" s="194"/>
      <c r="AQ1" s="194"/>
      <c r="AR1" s="10"/>
      <c r="AS1" s="10"/>
      <c r="AT1" s="194" t="s">
        <v>239</v>
      </c>
      <c r="AU1" s="194"/>
      <c r="AV1" s="194"/>
      <c r="AW1" s="194"/>
      <c r="AX1" s="194"/>
      <c r="AY1" s="194"/>
      <c r="AZ1" s="10"/>
      <c r="BC1" s="10"/>
    </row>
    <row r="2" spans="1:55" x14ac:dyDescent="0.5">
      <c r="L2" s="194" t="s">
        <v>240</v>
      </c>
      <c r="M2" s="194"/>
      <c r="N2" s="194"/>
      <c r="O2" s="194"/>
      <c r="P2" s="194"/>
      <c r="Q2" s="194"/>
      <c r="S2" s="195" t="s">
        <v>241</v>
      </c>
      <c r="T2" s="195"/>
      <c r="U2" s="195"/>
      <c r="V2" s="195"/>
      <c r="W2" s="195"/>
      <c r="X2" s="195"/>
      <c r="Y2" s="195" t="s">
        <v>242</v>
      </c>
      <c r="Z2" s="195"/>
      <c r="AA2" s="195"/>
      <c r="AB2" s="195"/>
      <c r="AC2" s="195" t="s">
        <v>243</v>
      </c>
      <c r="AD2" s="195"/>
      <c r="AE2" s="195"/>
      <c r="AF2" s="195"/>
      <c r="AG2" s="195"/>
      <c r="AH2" s="10"/>
      <c r="AI2" s="10"/>
      <c r="AJ2" s="10"/>
      <c r="AL2" s="194"/>
      <c r="AM2" s="194"/>
      <c r="AN2" s="194"/>
      <c r="AO2" s="194"/>
      <c r="AP2" s="194"/>
      <c r="AQ2" s="194"/>
      <c r="AR2" s="10"/>
      <c r="AS2" s="10"/>
      <c r="AT2" s="10"/>
      <c r="AU2" s="10"/>
      <c r="AV2" s="10"/>
      <c r="AW2" s="10"/>
      <c r="AX2" s="10"/>
      <c r="AY2" s="10"/>
      <c r="AZ2" s="10"/>
      <c r="BC2" s="10"/>
    </row>
    <row r="3" spans="1:55" x14ac:dyDescent="0.5">
      <c r="A3" s="1" t="s">
        <v>244</v>
      </c>
      <c r="C3" s="1" t="s">
        <v>245</v>
      </c>
      <c r="D3" s="1" t="s">
        <v>246</v>
      </c>
      <c r="E3" s="1" t="s">
        <v>247</v>
      </c>
      <c r="G3" s="1" t="s">
        <v>84</v>
      </c>
      <c r="H3" s="1" t="s">
        <v>88</v>
      </c>
      <c r="I3" s="1" t="s">
        <v>92</v>
      </c>
      <c r="L3" s="1" t="s">
        <v>248</v>
      </c>
      <c r="M3" s="1" t="s">
        <v>249</v>
      </c>
      <c r="N3" s="1" t="s">
        <v>250</v>
      </c>
      <c r="O3" s="1" t="s">
        <v>85</v>
      </c>
      <c r="P3" s="1" t="s">
        <v>89</v>
      </c>
      <c r="Q3" s="1" t="s">
        <v>95</v>
      </c>
      <c r="S3" s="1" t="s">
        <v>251</v>
      </c>
      <c r="T3" s="1" t="s">
        <v>252</v>
      </c>
      <c r="U3" s="1" t="s">
        <v>253</v>
      </c>
      <c r="V3" s="1" t="s">
        <v>254</v>
      </c>
      <c r="W3" s="1" t="s">
        <v>255</v>
      </c>
      <c r="X3" s="1" t="s">
        <v>256</v>
      </c>
      <c r="Y3" s="1" t="s">
        <v>257</v>
      </c>
      <c r="Z3" s="1" t="s">
        <v>258</v>
      </c>
      <c r="AA3" s="1" t="s">
        <v>259</v>
      </c>
      <c r="AB3" s="1" t="s">
        <v>260</v>
      </c>
      <c r="AC3" s="1" t="s">
        <v>261</v>
      </c>
      <c r="AD3" s="1" t="s">
        <v>262</v>
      </c>
      <c r="AE3" s="1" t="s">
        <v>263</v>
      </c>
      <c r="AF3" s="1" t="s">
        <v>264</v>
      </c>
      <c r="AG3" s="1" t="s">
        <v>265</v>
      </c>
      <c r="AL3" s="196" t="s">
        <v>266</v>
      </c>
      <c r="AM3" s="196"/>
      <c r="AN3" s="196"/>
      <c r="AO3" s="196" t="s">
        <v>267</v>
      </c>
      <c r="AP3" s="196"/>
      <c r="AQ3" s="196"/>
      <c r="AR3" s="11"/>
      <c r="AS3" s="11"/>
      <c r="AT3" s="11"/>
      <c r="AU3" s="11"/>
      <c r="AV3" s="11"/>
      <c r="AW3" s="11"/>
      <c r="AX3" s="11"/>
      <c r="AY3" s="11"/>
      <c r="AZ3" s="11"/>
      <c r="BC3" s="11"/>
    </row>
    <row r="4" spans="1:55" x14ac:dyDescent="0.5">
      <c r="A4" s="1" t="s">
        <v>83</v>
      </c>
      <c r="C4" s="1" t="s">
        <v>268</v>
      </c>
      <c r="D4" s="1" t="s">
        <v>269</v>
      </c>
      <c r="E4" s="1" t="s">
        <v>270</v>
      </c>
      <c r="G4" s="1" t="s">
        <v>248</v>
      </c>
      <c r="H4" s="1" t="s">
        <v>248</v>
      </c>
      <c r="I4" s="1" t="s">
        <v>248</v>
      </c>
      <c r="L4" s="1" t="s">
        <v>271</v>
      </c>
      <c r="M4" s="1" t="s">
        <v>211</v>
      </c>
      <c r="N4" s="1" t="s">
        <v>272</v>
      </c>
      <c r="O4" s="1" t="s">
        <v>273</v>
      </c>
      <c r="P4" s="1" t="s">
        <v>274</v>
      </c>
      <c r="Q4" s="1" t="s">
        <v>275</v>
      </c>
      <c r="S4" s="1" t="s">
        <v>271</v>
      </c>
      <c r="T4" s="1" t="s">
        <v>211</v>
      </c>
      <c r="U4" s="1" t="s">
        <v>272</v>
      </c>
      <c r="V4" s="1" t="s">
        <v>273</v>
      </c>
      <c r="W4" s="1" t="s">
        <v>274</v>
      </c>
      <c r="X4" s="1" t="s">
        <v>275</v>
      </c>
      <c r="Y4" s="1" t="s">
        <v>276</v>
      </c>
      <c r="Z4" s="1" t="s">
        <v>277</v>
      </c>
      <c r="AA4" s="1" t="s">
        <v>278</v>
      </c>
      <c r="AB4" s="1" t="s">
        <v>279</v>
      </c>
      <c r="AC4" s="1" t="s">
        <v>222</v>
      </c>
      <c r="AD4" s="1" t="s">
        <v>280</v>
      </c>
      <c r="AE4" s="1" t="s">
        <v>281</v>
      </c>
      <c r="AF4" s="1" t="s">
        <v>282</v>
      </c>
      <c r="AG4" s="1" t="s">
        <v>283</v>
      </c>
      <c r="AL4" s="12" t="s">
        <v>284</v>
      </c>
      <c r="AM4" s="12" t="s">
        <v>285</v>
      </c>
      <c r="AN4" s="12" t="s">
        <v>286</v>
      </c>
      <c r="AO4" s="12" t="s">
        <v>287</v>
      </c>
      <c r="AP4" s="13" t="s">
        <v>288</v>
      </c>
      <c r="AQ4" s="12" t="s">
        <v>289</v>
      </c>
      <c r="AR4" s="11"/>
      <c r="AS4" s="11"/>
      <c r="AT4" s="1" t="s">
        <v>290</v>
      </c>
      <c r="AU4" s="1" t="s">
        <v>291</v>
      </c>
      <c r="AV4" s="1" t="s">
        <v>292</v>
      </c>
      <c r="AW4" s="1" t="s">
        <v>293</v>
      </c>
      <c r="AX4" s="1" t="s">
        <v>294</v>
      </c>
      <c r="AY4" s="1" t="s">
        <v>295</v>
      </c>
      <c r="AZ4" s="11"/>
      <c r="BC4" s="11"/>
    </row>
    <row r="5" spans="1:55" x14ac:dyDescent="0.5">
      <c r="A5" s="1" t="s">
        <v>245</v>
      </c>
      <c r="C5" s="1" t="s">
        <v>296</v>
      </c>
      <c r="D5" s="1" t="s">
        <v>297</v>
      </c>
      <c r="E5" s="1" t="s">
        <v>298</v>
      </c>
      <c r="G5" s="1" t="s">
        <v>249</v>
      </c>
      <c r="H5" s="1" t="s">
        <v>249</v>
      </c>
      <c r="I5" s="1" t="s">
        <v>249</v>
      </c>
      <c r="L5" s="1" t="s">
        <v>299</v>
      </c>
      <c r="M5" s="1" t="s">
        <v>300</v>
      </c>
      <c r="N5" s="1" t="s">
        <v>301</v>
      </c>
      <c r="O5" s="1" t="s">
        <v>302</v>
      </c>
      <c r="P5" s="1" t="s">
        <v>208</v>
      </c>
      <c r="Q5" s="1" t="s">
        <v>303</v>
      </c>
      <c r="S5" s="1" t="s">
        <v>299</v>
      </c>
      <c r="T5" s="1" t="s">
        <v>300</v>
      </c>
      <c r="U5" s="1" t="s">
        <v>301</v>
      </c>
      <c r="V5" s="1" t="s">
        <v>302</v>
      </c>
      <c r="W5" s="1" t="s">
        <v>208</v>
      </c>
      <c r="X5" s="1" t="s">
        <v>303</v>
      </c>
      <c r="Y5" s="1" t="s">
        <v>274</v>
      </c>
      <c r="Z5" s="1" t="s">
        <v>304</v>
      </c>
      <c r="AA5" s="1" t="s">
        <v>227</v>
      </c>
      <c r="AB5" s="1" t="s">
        <v>305</v>
      </c>
      <c r="AC5" s="1" t="s">
        <v>213</v>
      </c>
      <c r="AD5" s="1" t="s">
        <v>306</v>
      </c>
      <c r="AE5" s="1" t="s">
        <v>280</v>
      </c>
      <c r="AF5" s="1" t="s">
        <v>307</v>
      </c>
      <c r="AG5" s="1" t="s">
        <v>308</v>
      </c>
      <c r="AL5" s="2" t="s">
        <v>309</v>
      </c>
      <c r="AM5" s="2" t="s">
        <v>310</v>
      </c>
      <c r="AN5" s="2" t="s">
        <v>311</v>
      </c>
      <c r="AO5" s="2" t="s">
        <v>312</v>
      </c>
      <c r="AP5" s="2" t="s">
        <v>274</v>
      </c>
      <c r="AQ5" s="2" t="s">
        <v>216</v>
      </c>
      <c r="AR5" s="2"/>
      <c r="AS5" s="2"/>
      <c r="AT5" s="14" t="s">
        <v>309</v>
      </c>
      <c r="AU5" s="16" t="s">
        <v>211</v>
      </c>
      <c r="AV5" s="14" t="s">
        <v>312</v>
      </c>
      <c r="AW5" s="14" t="s">
        <v>311</v>
      </c>
      <c r="AX5" s="16" t="s">
        <v>313</v>
      </c>
      <c r="AY5" s="16" t="s">
        <v>313</v>
      </c>
      <c r="AZ5" s="2"/>
      <c r="BC5" s="2"/>
    </row>
    <row r="6" spans="1:55" x14ac:dyDescent="0.5">
      <c r="A6" s="1" t="s">
        <v>246</v>
      </c>
      <c r="C6" s="1" t="s">
        <v>314</v>
      </c>
      <c r="D6" s="1" t="s">
        <v>315</v>
      </c>
      <c r="E6" s="1" t="s">
        <v>316</v>
      </c>
      <c r="G6" s="1" t="s">
        <v>250</v>
      </c>
      <c r="H6" s="1" t="s">
        <v>250</v>
      </c>
      <c r="I6" s="1" t="s">
        <v>250</v>
      </c>
      <c r="L6" s="1" t="s">
        <v>317</v>
      </c>
      <c r="M6" s="1" t="s">
        <v>318</v>
      </c>
      <c r="N6" s="1" t="s">
        <v>319</v>
      </c>
      <c r="O6" s="1" t="s">
        <v>320</v>
      </c>
      <c r="P6" s="1" t="s">
        <v>321</v>
      </c>
      <c r="Q6" s="1" t="s">
        <v>322</v>
      </c>
      <c r="S6" s="1" t="s">
        <v>317</v>
      </c>
      <c r="T6" s="1" t="s">
        <v>318</v>
      </c>
      <c r="U6" s="1" t="s">
        <v>319</v>
      </c>
      <c r="V6" s="1" t="s">
        <v>320</v>
      </c>
      <c r="W6" s="1" t="s">
        <v>321</v>
      </c>
      <c r="X6" s="1" t="s">
        <v>322</v>
      </c>
      <c r="Y6" s="1" t="s">
        <v>323</v>
      </c>
      <c r="Z6" s="1" t="s">
        <v>324</v>
      </c>
      <c r="AA6" s="1" t="s">
        <v>325</v>
      </c>
      <c r="AB6" s="1" t="s">
        <v>326</v>
      </c>
      <c r="AC6" s="1" t="s">
        <v>217</v>
      </c>
      <c r="AD6" s="1" t="s">
        <v>327</v>
      </c>
      <c r="AE6" s="1" t="s">
        <v>313</v>
      </c>
      <c r="AF6" s="1" t="s">
        <v>328</v>
      </c>
      <c r="AG6" s="1" t="s">
        <v>213</v>
      </c>
      <c r="AL6" s="2" t="s">
        <v>317</v>
      </c>
      <c r="AM6" s="2" t="s">
        <v>329</v>
      </c>
      <c r="AN6" s="2" t="s">
        <v>312</v>
      </c>
      <c r="AO6" s="2" t="s">
        <v>273</v>
      </c>
      <c r="AP6" s="2" t="s">
        <v>330</v>
      </c>
      <c r="AQ6" s="2" t="s">
        <v>331</v>
      </c>
      <c r="AR6" s="2"/>
      <c r="AS6" s="2"/>
      <c r="AT6" s="15" t="s">
        <v>317</v>
      </c>
      <c r="AU6" s="17" t="s">
        <v>300</v>
      </c>
      <c r="AV6" s="16" t="s">
        <v>273</v>
      </c>
      <c r="AW6" s="15" t="s">
        <v>312</v>
      </c>
      <c r="AX6" s="17" t="s">
        <v>332</v>
      </c>
      <c r="AY6" s="16" t="s">
        <v>281</v>
      </c>
      <c r="AZ6" s="2"/>
      <c r="BC6" s="2"/>
    </row>
    <row r="7" spans="1:55" x14ac:dyDescent="0.5">
      <c r="A7" s="1" t="s">
        <v>247</v>
      </c>
      <c r="D7" s="1" t="s">
        <v>333</v>
      </c>
      <c r="G7" s="1" t="s">
        <v>85</v>
      </c>
      <c r="H7" s="1" t="s">
        <v>85</v>
      </c>
      <c r="I7" s="1" t="s">
        <v>85</v>
      </c>
      <c r="L7" s="1" t="s">
        <v>334</v>
      </c>
      <c r="M7" s="1" t="s">
        <v>212</v>
      </c>
      <c r="N7" s="1" t="s">
        <v>335</v>
      </c>
      <c r="O7" s="1" t="s">
        <v>336</v>
      </c>
      <c r="P7" s="1" t="s">
        <v>321</v>
      </c>
      <c r="Q7" s="1" t="s">
        <v>337</v>
      </c>
      <c r="S7" s="1" t="s">
        <v>334</v>
      </c>
      <c r="T7" s="1" t="s">
        <v>212</v>
      </c>
      <c r="U7" s="1" t="s">
        <v>335</v>
      </c>
      <c r="V7" s="1" t="s">
        <v>336</v>
      </c>
      <c r="W7" s="1" t="s">
        <v>321</v>
      </c>
      <c r="X7" s="1" t="s">
        <v>337</v>
      </c>
      <c r="Y7" s="1" t="s">
        <v>338</v>
      </c>
      <c r="Z7" s="1" t="s">
        <v>339</v>
      </c>
      <c r="AA7" s="1" t="s">
        <v>340</v>
      </c>
      <c r="AB7" s="1" t="s">
        <v>341</v>
      </c>
      <c r="AC7" s="1" t="s">
        <v>277</v>
      </c>
      <c r="AD7" s="1" t="s">
        <v>309</v>
      </c>
      <c r="AE7" s="1" t="s">
        <v>309</v>
      </c>
      <c r="AF7" s="1" t="s">
        <v>332</v>
      </c>
      <c r="AG7" s="1" t="s">
        <v>342</v>
      </c>
      <c r="AL7" s="2" t="s">
        <v>343</v>
      </c>
      <c r="AM7" s="2" t="s">
        <v>344</v>
      </c>
      <c r="AN7" s="2" t="s">
        <v>320</v>
      </c>
      <c r="AO7" s="2" t="s">
        <v>345</v>
      </c>
      <c r="AP7" s="2" t="s">
        <v>346</v>
      </c>
      <c r="AQ7" s="2" t="s">
        <v>347</v>
      </c>
      <c r="AR7" s="2"/>
      <c r="AS7" s="2"/>
      <c r="AT7" s="14" t="s">
        <v>343</v>
      </c>
      <c r="AU7" s="1" t="s">
        <v>310</v>
      </c>
      <c r="AV7" s="17" t="s">
        <v>302</v>
      </c>
      <c r="AW7" s="16" t="s">
        <v>272</v>
      </c>
      <c r="AX7" s="16" t="s">
        <v>281</v>
      </c>
      <c r="AY7" s="16" t="s">
        <v>348</v>
      </c>
      <c r="AZ7" s="2"/>
      <c r="BC7" s="2"/>
    </row>
    <row r="8" spans="1:55" x14ac:dyDescent="0.5">
      <c r="G8" s="1" t="s">
        <v>89</v>
      </c>
      <c r="H8" s="1" t="s">
        <v>89</v>
      </c>
      <c r="I8" s="1" t="s">
        <v>89</v>
      </c>
      <c r="L8" s="1" t="s">
        <v>349</v>
      </c>
      <c r="M8" s="1" t="s">
        <v>350</v>
      </c>
      <c r="N8" s="1" t="s">
        <v>213</v>
      </c>
      <c r="O8" s="1" t="s">
        <v>329</v>
      </c>
      <c r="P8" s="1" t="s">
        <v>351</v>
      </c>
      <c r="Q8" s="1" t="s">
        <v>352</v>
      </c>
      <c r="S8" s="1" t="s">
        <v>349</v>
      </c>
      <c r="T8" s="1" t="s">
        <v>350</v>
      </c>
      <c r="U8" s="1" t="s">
        <v>213</v>
      </c>
      <c r="V8" s="1" t="s">
        <v>329</v>
      </c>
      <c r="W8" s="1" t="s">
        <v>351</v>
      </c>
      <c r="X8" s="1" t="s">
        <v>352</v>
      </c>
      <c r="Y8" s="1" t="s">
        <v>209</v>
      </c>
      <c r="Z8" s="1" t="s">
        <v>353</v>
      </c>
      <c r="AA8" s="1" t="s">
        <v>354</v>
      </c>
      <c r="AB8" s="1" t="s">
        <v>355</v>
      </c>
      <c r="AC8" s="1" t="s">
        <v>272</v>
      </c>
      <c r="AD8" s="1" t="s">
        <v>209</v>
      </c>
      <c r="AE8" s="1" t="s">
        <v>356</v>
      </c>
      <c r="AF8" s="1" t="s">
        <v>357</v>
      </c>
      <c r="AG8" s="1" t="s">
        <v>358</v>
      </c>
      <c r="AL8" s="2" t="s">
        <v>349</v>
      </c>
      <c r="AM8" s="2" t="s">
        <v>327</v>
      </c>
      <c r="AN8" s="2" t="s">
        <v>336</v>
      </c>
      <c r="AO8" s="2" t="s">
        <v>359</v>
      </c>
      <c r="AP8" s="2" t="s">
        <v>360</v>
      </c>
      <c r="AQ8" s="2" t="s">
        <v>361</v>
      </c>
      <c r="AR8" s="2"/>
      <c r="AS8" s="2"/>
      <c r="AT8" s="15" t="s">
        <v>349</v>
      </c>
      <c r="AU8" s="16" t="s">
        <v>318</v>
      </c>
      <c r="AV8" s="16" t="s">
        <v>272</v>
      </c>
      <c r="AW8" s="14" t="s">
        <v>320</v>
      </c>
      <c r="AX8" s="17" t="s">
        <v>348</v>
      </c>
      <c r="AY8" s="16" t="s">
        <v>362</v>
      </c>
      <c r="AZ8" s="2"/>
      <c r="BC8" s="2"/>
    </row>
    <row r="9" spans="1:55" x14ac:dyDescent="0.5">
      <c r="G9" s="1" t="s">
        <v>95</v>
      </c>
      <c r="H9" s="1" t="s">
        <v>95</v>
      </c>
      <c r="I9" s="1" t="s">
        <v>95</v>
      </c>
      <c r="L9" s="1" t="s">
        <v>215</v>
      </c>
      <c r="M9" s="1" t="s">
        <v>363</v>
      </c>
      <c r="N9" s="1" t="s">
        <v>364</v>
      </c>
      <c r="O9" s="1" t="s">
        <v>365</v>
      </c>
      <c r="P9" s="1" t="s">
        <v>366</v>
      </c>
      <c r="Q9" s="1" t="s">
        <v>209</v>
      </c>
      <c r="S9" s="1" t="s">
        <v>215</v>
      </c>
      <c r="T9" s="1" t="s">
        <v>363</v>
      </c>
      <c r="U9" s="1" t="s">
        <v>364</v>
      </c>
      <c r="V9" s="1" t="s">
        <v>365</v>
      </c>
      <c r="W9" s="1" t="s">
        <v>366</v>
      </c>
      <c r="X9" s="1" t="s">
        <v>209</v>
      </c>
      <c r="Y9" s="1" t="s">
        <v>337</v>
      </c>
      <c r="Z9" s="1" t="s">
        <v>367</v>
      </c>
      <c r="AA9" s="1" t="s">
        <v>368</v>
      </c>
      <c r="AB9" s="1" t="s">
        <v>369</v>
      </c>
      <c r="AC9" s="1" t="s">
        <v>370</v>
      </c>
      <c r="AD9" s="1" t="s">
        <v>222</v>
      </c>
      <c r="AE9" s="1" t="s">
        <v>371</v>
      </c>
      <c r="AF9" s="1" t="s">
        <v>372</v>
      </c>
      <c r="AG9" s="1" t="s">
        <v>348</v>
      </c>
      <c r="AL9" s="2" t="s">
        <v>215</v>
      </c>
      <c r="AM9" s="2" t="s">
        <v>373</v>
      </c>
      <c r="AN9" s="2" t="s">
        <v>374</v>
      </c>
      <c r="AO9" s="2" t="s">
        <v>336</v>
      </c>
      <c r="AP9" s="2" t="s">
        <v>375</v>
      </c>
      <c r="AQ9" s="2" t="s">
        <v>376</v>
      </c>
      <c r="AR9" s="2"/>
      <c r="AS9" s="2"/>
      <c r="AT9" s="14" t="s">
        <v>215</v>
      </c>
      <c r="AU9" s="15" t="s">
        <v>329</v>
      </c>
      <c r="AV9" s="16" t="s">
        <v>345</v>
      </c>
      <c r="AW9" s="17" t="s">
        <v>301</v>
      </c>
      <c r="AX9" s="17" t="s">
        <v>309</v>
      </c>
      <c r="AY9" s="17" t="s">
        <v>377</v>
      </c>
      <c r="AZ9" s="2"/>
      <c r="BC9" s="2"/>
    </row>
    <row r="10" spans="1:55" x14ac:dyDescent="0.5">
      <c r="L10" s="1" t="s">
        <v>378</v>
      </c>
      <c r="M10" s="1" t="s">
        <v>379</v>
      </c>
      <c r="N10" s="1" t="s">
        <v>327</v>
      </c>
      <c r="O10" s="1" t="s">
        <v>344</v>
      </c>
      <c r="P10" s="1" t="s">
        <v>320</v>
      </c>
      <c r="Q10" s="1" t="s">
        <v>210</v>
      </c>
      <c r="S10" s="1" t="s">
        <v>378</v>
      </c>
      <c r="T10" s="1" t="s">
        <v>379</v>
      </c>
      <c r="U10" s="1" t="s">
        <v>327</v>
      </c>
      <c r="V10" s="1" t="s">
        <v>344</v>
      </c>
      <c r="W10" s="1" t="s">
        <v>320</v>
      </c>
      <c r="X10" s="1" t="s">
        <v>210</v>
      </c>
      <c r="Y10" s="1" t="s">
        <v>302</v>
      </c>
      <c r="Z10" s="1" t="s">
        <v>222</v>
      </c>
      <c r="AA10" s="1" t="s">
        <v>380</v>
      </c>
      <c r="AB10" s="1" t="s">
        <v>381</v>
      </c>
      <c r="AC10" s="1" t="s">
        <v>382</v>
      </c>
      <c r="AD10" s="1" t="s">
        <v>212</v>
      </c>
      <c r="AE10" s="1" t="s">
        <v>383</v>
      </c>
      <c r="AF10" s="1" t="s">
        <v>236</v>
      </c>
      <c r="AG10" s="1" t="s">
        <v>384</v>
      </c>
      <c r="AL10" s="2" t="s">
        <v>378</v>
      </c>
      <c r="AM10" s="2" t="s">
        <v>385</v>
      </c>
      <c r="AN10" s="2" t="s">
        <v>386</v>
      </c>
      <c r="AO10" s="2" t="s">
        <v>387</v>
      </c>
      <c r="AP10" s="2" t="s">
        <v>319</v>
      </c>
      <c r="AQ10" s="2" t="s">
        <v>225</v>
      </c>
      <c r="AR10" s="2"/>
      <c r="AS10" s="2"/>
      <c r="AT10" s="15" t="s">
        <v>378</v>
      </c>
      <c r="AU10" s="17" t="s">
        <v>212</v>
      </c>
      <c r="AV10" s="17" t="s">
        <v>359</v>
      </c>
      <c r="AW10" s="15" t="s">
        <v>336</v>
      </c>
      <c r="AX10" s="17" t="s">
        <v>362</v>
      </c>
      <c r="AY10" s="16" t="s">
        <v>388</v>
      </c>
      <c r="AZ10" s="2"/>
      <c r="BC10" s="2"/>
    </row>
    <row r="11" spans="1:55" x14ac:dyDescent="0.5">
      <c r="G11" s="1" t="s">
        <v>269</v>
      </c>
      <c r="H11" s="1" t="s">
        <v>297</v>
      </c>
      <c r="I11" s="1" t="s">
        <v>389</v>
      </c>
      <c r="J11" s="1" t="s">
        <v>333</v>
      </c>
      <c r="L11" s="1" t="s">
        <v>327</v>
      </c>
      <c r="M11" s="1" t="s">
        <v>390</v>
      </c>
      <c r="N11" s="1" t="s">
        <v>391</v>
      </c>
      <c r="O11" s="1" t="s">
        <v>363</v>
      </c>
      <c r="P11" s="1" t="s">
        <v>335</v>
      </c>
      <c r="Q11" s="1" t="s">
        <v>392</v>
      </c>
      <c r="S11" s="1" t="s">
        <v>327</v>
      </c>
      <c r="T11" s="1" t="s">
        <v>390</v>
      </c>
      <c r="U11" s="1" t="s">
        <v>391</v>
      </c>
      <c r="V11" s="1" t="s">
        <v>363</v>
      </c>
      <c r="W11" s="1" t="s">
        <v>335</v>
      </c>
      <c r="X11" s="1" t="s">
        <v>392</v>
      </c>
      <c r="Y11" s="1" t="s">
        <v>272</v>
      </c>
      <c r="Z11" s="1" t="s">
        <v>282</v>
      </c>
      <c r="AA11" s="1" t="s">
        <v>393</v>
      </c>
      <c r="AB11" s="1" t="s">
        <v>222</v>
      </c>
      <c r="AC11" s="1" t="s">
        <v>394</v>
      </c>
      <c r="AD11" s="1" t="s">
        <v>395</v>
      </c>
      <c r="AE11" s="1" t="s">
        <v>362</v>
      </c>
      <c r="AF11" s="1" t="s">
        <v>396</v>
      </c>
      <c r="AG11" s="1" t="s">
        <v>397</v>
      </c>
      <c r="AL11" s="2" t="s">
        <v>398</v>
      </c>
      <c r="AM11" s="2" t="s">
        <v>399</v>
      </c>
      <c r="AN11" s="2" t="s">
        <v>327</v>
      </c>
      <c r="AO11" s="2" t="s">
        <v>329</v>
      </c>
      <c r="AP11" s="2" t="s">
        <v>329</v>
      </c>
      <c r="AQ11" s="2" t="s">
        <v>400</v>
      </c>
      <c r="AR11" s="2"/>
      <c r="AS11" s="2"/>
      <c r="AT11" s="14" t="s">
        <v>398</v>
      </c>
      <c r="AU11" s="14" t="s">
        <v>344</v>
      </c>
      <c r="AV11" s="16" t="s">
        <v>320</v>
      </c>
      <c r="AW11" s="16" t="s">
        <v>319</v>
      </c>
      <c r="AX11" s="17" t="s">
        <v>377</v>
      </c>
      <c r="AY11" s="16" t="s">
        <v>372</v>
      </c>
      <c r="AZ11" s="2"/>
      <c r="BC11" s="2"/>
    </row>
    <row r="12" spans="1:55" x14ac:dyDescent="0.5">
      <c r="G12" s="1" t="s">
        <v>284</v>
      </c>
      <c r="H12" s="1" t="s">
        <v>284</v>
      </c>
      <c r="I12" s="1" t="s">
        <v>284</v>
      </c>
      <c r="J12" s="1" t="s">
        <v>284</v>
      </c>
      <c r="L12" s="1" t="s">
        <v>401</v>
      </c>
      <c r="M12" s="1" t="s">
        <v>401</v>
      </c>
      <c r="N12" s="1" t="s">
        <v>353</v>
      </c>
      <c r="O12" s="1" t="s">
        <v>402</v>
      </c>
      <c r="P12" s="1" t="s">
        <v>403</v>
      </c>
      <c r="Q12" s="1" t="s">
        <v>320</v>
      </c>
      <c r="S12" s="1" t="s">
        <v>401</v>
      </c>
      <c r="T12" s="1" t="s">
        <v>401</v>
      </c>
      <c r="U12" s="1" t="s">
        <v>353</v>
      </c>
      <c r="V12" s="1" t="s">
        <v>402</v>
      </c>
      <c r="W12" s="1" t="s">
        <v>403</v>
      </c>
      <c r="X12" s="1" t="s">
        <v>320</v>
      </c>
      <c r="Y12" s="1" t="s">
        <v>321</v>
      </c>
      <c r="Z12" s="1" t="s">
        <v>404</v>
      </c>
      <c r="AA12" s="1" t="s">
        <v>405</v>
      </c>
      <c r="AB12" s="1" t="s">
        <v>406</v>
      </c>
      <c r="AC12" s="1" t="s">
        <v>407</v>
      </c>
      <c r="AD12" s="1" t="s">
        <v>373</v>
      </c>
      <c r="AE12" s="1" t="s">
        <v>408</v>
      </c>
      <c r="AF12" s="1" t="s">
        <v>409</v>
      </c>
      <c r="AG12" s="1" t="s">
        <v>410</v>
      </c>
      <c r="AL12" s="2" t="s">
        <v>411</v>
      </c>
      <c r="AM12" s="2" t="s">
        <v>412</v>
      </c>
      <c r="AN12" s="2" t="s">
        <v>216</v>
      </c>
      <c r="AO12" s="2" t="s">
        <v>413</v>
      </c>
      <c r="AP12" s="2" t="s">
        <v>414</v>
      </c>
      <c r="AQ12" s="2" t="s">
        <v>415</v>
      </c>
      <c r="AR12" s="2"/>
      <c r="AS12" s="2"/>
      <c r="AT12" s="15" t="s">
        <v>411</v>
      </c>
      <c r="AU12" s="16" t="s">
        <v>350</v>
      </c>
      <c r="AV12" s="17" t="s">
        <v>301</v>
      </c>
      <c r="AW12" s="17" t="s">
        <v>335</v>
      </c>
      <c r="AX12" s="16" t="s">
        <v>388</v>
      </c>
      <c r="AY12" s="17" t="s">
        <v>371</v>
      </c>
      <c r="AZ12" s="2"/>
      <c r="BC12" s="2"/>
    </row>
    <row r="13" spans="1:55" x14ac:dyDescent="0.5">
      <c r="G13" s="1" t="s">
        <v>285</v>
      </c>
      <c r="H13" s="1" t="s">
        <v>285</v>
      </c>
      <c r="I13" s="1" t="s">
        <v>285</v>
      </c>
      <c r="J13" s="1" t="s">
        <v>285</v>
      </c>
      <c r="L13" s="1" t="s">
        <v>411</v>
      </c>
      <c r="M13" s="1" t="s">
        <v>416</v>
      </c>
      <c r="N13" s="1" t="s">
        <v>417</v>
      </c>
      <c r="O13" s="1" t="s">
        <v>390</v>
      </c>
      <c r="P13" s="1" t="s">
        <v>418</v>
      </c>
      <c r="Q13" s="1" t="s">
        <v>419</v>
      </c>
      <c r="S13" s="1" t="s">
        <v>411</v>
      </c>
      <c r="T13" s="1" t="s">
        <v>416</v>
      </c>
      <c r="U13" s="1" t="s">
        <v>417</v>
      </c>
      <c r="V13" s="1" t="s">
        <v>390</v>
      </c>
      <c r="W13" s="1" t="s">
        <v>418</v>
      </c>
      <c r="X13" s="1" t="s">
        <v>419</v>
      </c>
      <c r="Y13" s="1" t="s">
        <v>420</v>
      </c>
      <c r="Z13" s="1" t="s">
        <v>421</v>
      </c>
      <c r="AA13" s="1" t="s">
        <v>93</v>
      </c>
      <c r="AB13" s="1" t="s">
        <v>422</v>
      </c>
      <c r="AC13" s="1" t="s">
        <v>313</v>
      </c>
      <c r="AD13" s="1" t="s">
        <v>423</v>
      </c>
      <c r="AE13" s="1" t="s">
        <v>424</v>
      </c>
      <c r="AF13" s="1" t="s">
        <v>215</v>
      </c>
      <c r="AG13" s="1" t="s">
        <v>423</v>
      </c>
      <c r="AL13" s="2" t="s">
        <v>425</v>
      </c>
      <c r="AM13" s="2" t="s">
        <v>426</v>
      </c>
      <c r="AN13" s="2" t="s">
        <v>324</v>
      </c>
      <c r="AO13" s="2" t="s">
        <v>427</v>
      </c>
      <c r="AP13" s="2" t="s">
        <v>335</v>
      </c>
      <c r="AQ13" s="2" t="s">
        <v>236</v>
      </c>
      <c r="AR13" s="2"/>
      <c r="AS13" s="2"/>
      <c r="AT13" s="14" t="s">
        <v>425</v>
      </c>
      <c r="AU13" s="17" t="s">
        <v>363</v>
      </c>
      <c r="AV13" s="17" t="s">
        <v>336</v>
      </c>
      <c r="AW13" s="16" t="s">
        <v>213</v>
      </c>
      <c r="AX13" s="17" t="s">
        <v>372</v>
      </c>
      <c r="AY13" s="16" t="s">
        <v>280</v>
      </c>
      <c r="AZ13" s="2"/>
      <c r="BC13" s="2"/>
    </row>
    <row r="14" spans="1:55" x14ac:dyDescent="0.5">
      <c r="G14" s="1" t="s">
        <v>286</v>
      </c>
      <c r="H14" s="1" t="s">
        <v>286</v>
      </c>
      <c r="I14" s="1" t="s">
        <v>286</v>
      </c>
      <c r="J14" s="1" t="s">
        <v>286</v>
      </c>
      <c r="L14" s="1" t="s">
        <v>428</v>
      </c>
      <c r="M14" s="1" t="s">
        <v>353</v>
      </c>
      <c r="N14" s="1" t="s">
        <v>90</v>
      </c>
      <c r="O14" s="1" t="s">
        <v>429</v>
      </c>
      <c r="P14" s="1" t="s">
        <v>374</v>
      </c>
      <c r="Q14" s="1" t="s">
        <v>430</v>
      </c>
      <c r="S14" s="1" t="s">
        <v>428</v>
      </c>
      <c r="T14" s="1" t="s">
        <v>353</v>
      </c>
      <c r="U14" s="1" t="s">
        <v>90</v>
      </c>
      <c r="V14" s="1" t="s">
        <v>429</v>
      </c>
      <c r="W14" s="1" t="s">
        <v>374</v>
      </c>
      <c r="X14" s="1" t="s">
        <v>430</v>
      </c>
      <c r="Y14" s="1" t="s">
        <v>431</v>
      </c>
      <c r="Z14" s="1" t="s">
        <v>428</v>
      </c>
      <c r="AA14" s="1" t="s">
        <v>432</v>
      </c>
      <c r="AB14" s="1" t="s">
        <v>433</v>
      </c>
      <c r="AC14" s="1" t="s">
        <v>434</v>
      </c>
      <c r="AD14" s="1" t="s">
        <v>435</v>
      </c>
      <c r="AE14" s="1" t="s">
        <v>436</v>
      </c>
      <c r="AF14" s="1" t="s">
        <v>391</v>
      </c>
      <c r="AG14" s="1" t="s">
        <v>435</v>
      </c>
      <c r="AL14" s="2" t="s">
        <v>437</v>
      </c>
      <c r="AM14" s="2" t="s">
        <v>438</v>
      </c>
      <c r="AN14" s="2" t="s">
        <v>411</v>
      </c>
      <c r="AO14" s="2" t="s">
        <v>439</v>
      </c>
      <c r="AP14" s="2" t="s">
        <v>364</v>
      </c>
      <c r="AQ14" s="2" t="s">
        <v>440</v>
      </c>
      <c r="AR14" s="2"/>
      <c r="AS14" s="2"/>
      <c r="AT14" s="15" t="s">
        <v>437</v>
      </c>
      <c r="AU14" s="16" t="s">
        <v>379</v>
      </c>
      <c r="AV14" s="15" t="s">
        <v>387</v>
      </c>
      <c r="AW14" s="14" t="s">
        <v>374</v>
      </c>
      <c r="AX14" s="17" t="s">
        <v>346</v>
      </c>
      <c r="AY14" s="16" t="s">
        <v>441</v>
      </c>
      <c r="AZ14" s="2"/>
      <c r="BC14" s="2"/>
    </row>
    <row r="15" spans="1:55" x14ac:dyDescent="0.5">
      <c r="G15" s="1" t="s">
        <v>287</v>
      </c>
      <c r="H15" s="1" t="s">
        <v>287</v>
      </c>
      <c r="I15" s="1" t="s">
        <v>287</v>
      </c>
      <c r="J15" s="1" t="s">
        <v>287</v>
      </c>
      <c r="L15" s="1" t="s">
        <v>425</v>
      </c>
      <c r="M15" s="1" t="s">
        <v>373</v>
      </c>
      <c r="N15" s="1" t="s">
        <v>324</v>
      </c>
      <c r="O15" s="1" t="s">
        <v>216</v>
      </c>
      <c r="P15" s="1" t="s">
        <v>364</v>
      </c>
      <c r="Q15" s="1" t="s">
        <v>310</v>
      </c>
      <c r="S15" s="1" t="s">
        <v>425</v>
      </c>
      <c r="T15" s="1" t="s">
        <v>373</v>
      </c>
      <c r="U15" s="1" t="s">
        <v>324</v>
      </c>
      <c r="V15" s="1" t="s">
        <v>216</v>
      </c>
      <c r="W15" s="1" t="s">
        <v>364</v>
      </c>
      <c r="X15" s="1" t="s">
        <v>310</v>
      </c>
      <c r="Y15" s="1" t="s">
        <v>278</v>
      </c>
      <c r="Z15" s="1" t="s">
        <v>213</v>
      </c>
      <c r="AA15" s="1" t="s">
        <v>442</v>
      </c>
      <c r="AB15" s="1" t="s">
        <v>213</v>
      </c>
      <c r="AC15" s="1" t="s">
        <v>61</v>
      </c>
      <c r="AD15" s="1" t="s">
        <v>443</v>
      </c>
      <c r="AE15" s="1" t="s">
        <v>377</v>
      </c>
      <c r="AF15" s="1" t="s">
        <v>365</v>
      </c>
      <c r="AG15" s="1" t="s">
        <v>417</v>
      </c>
      <c r="AL15" s="2" t="s">
        <v>444</v>
      </c>
      <c r="AM15" s="2" t="s">
        <v>445</v>
      </c>
      <c r="AN15" s="2" t="s">
        <v>407</v>
      </c>
      <c r="AO15" s="2" t="s">
        <v>446</v>
      </c>
      <c r="AP15" s="2" t="s">
        <v>447</v>
      </c>
      <c r="AQ15" s="2" t="s">
        <v>448</v>
      </c>
      <c r="AR15" s="2"/>
      <c r="AS15" s="2"/>
      <c r="AT15" s="14" t="s">
        <v>444</v>
      </c>
      <c r="AU15" s="17" t="s">
        <v>390</v>
      </c>
      <c r="AV15" s="16" t="s">
        <v>319</v>
      </c>
      <c r="AW15" s="17" t="s">
        <v>364</v>
      </c>
      <c r="AX15" s="17" t="s">
        <v>371</v>
      </c>
      <c r="AY15" s="16" t="s">
        <v>436</v>
      </c>
      <c r="AZ15" s="2"/>
      <c r="BC15" s="2"/>
    </row>
    <row r="16" spans="1:55" x14ac:dyDescent="0.5">
      <c r="G16" s="1" t="s">
        <v>288</v>
      </c>
      <c r="H16" s="1" t="s">
        <v>288</v>
      </c>
      <c r="I16" s="1" t="s">
        <v>288</v>
      </c>
      <c r="J16" s="1" t="s">
        <v>288</v>
      </c>
      <c r="L16" s="1" t="s">
        <v>93</v>
      </c>
      <c r="M16" s="1" t="s">
        <v>90</v>
      </c>
      <c r="N16" s="1" t="s">
        <v>449</v>
      </c>
      <c r="O16" s="1" t="s">
        <v>450</v>
      </c>
      <c r="P16" s="1" t="s">
        <v>451</v>
      </c>
      <c r="Q16" s="1" t="s">
        <v>403</v>
      </c>
      <c r="S16" s="1" t="s">
        <v>93</v>
      </c>
      <c r="T16" s="1" t="s">
        <v>90</v>
      </c>
      <c r="U16" s="1" t="s">
        <v>449</v>
      </c>
      <c r="V16" s="1" t="s">
        <v>450</v>
      </c>
      <c r="W16" s="1" t="s">
        <v>451</v>
      </c>
      <c r="X16" s="1" t="s">
        <v>403</v>
      </c>
      <c r="Y16" s="1" t="s">
        <v>452</v>
      </c>
      <c r="Z16" s="1" t="s">
        <v>217</v>
      </c>
      <c r="AA16" s="1" t="s">
        <v>453</v>
      </c>
      <c r="AB16" s="1" t="s">
        <v>277</v>
      </c>
      <c r="AC16" s="1" t="s">
        <v>454</v>
      </c>
      <c r="AD16" s="1" t="s">
        <v>455</v>
      </c>
      <c r="AE16" s="1" t="s">
        <v>388</v>
      </c>
      <c r="AF16" s="1" t="s">
        <v>456</v>
      </c>
      <c r="AG16" s="1" t="s">
        <v>446</v>
      </c>
      <c r="AL16" s="2" t="s">
        <v>368</v>
      </c>
      <c r="AM16" s="2" t="s">
        <v>457</v>
      </c>
      <c r="AN16" s="2" t="s">
        <v>428</v>
      </c>
      <c r="AO16" s="2" t="s">
        <v>458</v>
      </c>
      <c r="AP16" s="2" t="s">
        <v>451</v>
      </c>
      <c r="AQ16" s="2" t="s">
        <v>459</v>
      </c>
      <c r="AR16" s="2"/>
      <c r="AS16" s="2"/>
      <c r="AT16" s="15" t="s">
        <v>368</v>
      </c>
      <c r="AU16" s="15" t="s">
        <v>327</v>
      </c>
      <c r="AV16" s="16" t="s">
        <v>329</v>
      </c>
      <c r="AW16" s="14" t="s">
        <v>327</v>
      </c>
      <c r="AX16" s="17" t="s">
        <v>280</v>
      </c>
      <c r="AY16" s="16" t="s">
        <v>460</v>
      </c>
      <c r="AZ16" s="2"/>
      <c r="BC16" s="2"/>
    </row>
    <row r="17" spans="7:55" x14ac:dyDescent="0.5">
      <c r="G17" s="1" t="s">
        <v>289</v>
      </c>
      <c r="H17" s="1" t="s">
        <v>289</v>
      </c>
      <c r="I17" s="1" t="s">
        <v>289</v>
      </c>
      <c r="J17" s="1" t="s">
        <v>289</v>
      </c>
      <c r="L17" s="1" t="s">
        <v>461</v>
      </c>
      <c r="M17" s="1" t="s">
        <v>93</v>
      </c>
      <c r="N17" s="1" t="s">
        <v>411</v>
      </c>
      <c r="O17" s="1" t="s">
        <v>462</v>
      </c>
      <c r="P17" s="1" t="s">
        <v>463</v>
      </c>
      <c r="Q17" s="1" t="s">
        <v>418</v>
      </c>
      <c r="S17" s="1" t="s">
        <v>461</v>
      </c>
      <c r="T17" s="1" t="s">
        <v>93</v>
      </c>
      <c r="U17" s="1" t="s">
        <v>411</v>
      </c>
      <c r="V17" s="1" t="s">
        <v>462</v>
      </c>
      <c r="W17" s="1" t="s">
        <v>463</v>
      </c>
      <c r="X17" s="1" t="s">
        <v>418</v>
      </c>
      <c r="Y17" s="1" t="s">
        <v>221</v>
      </c>
      <c r="Z17" s="1" t="s">
        <v>370</v>
      </c>
      <c r="AA17" s="1" t="s">
        <v>464</v>
      </c>
      <c r="AB17" s="1" t="s">
        <v>465</v>
      </c>
      <c r="AC17" s="1" t="s">
        <v>371</v>
      </c>
      <c r="AD17" s="1" t="s">
        <v>466</v>
      </c>
      <c r="AE17" s="1" t="s">
        <v>467</v>
      </c>
      <c r="AF17" s="1" t="s">
        <v>468</v>
      </c>
      <c r="AG17" s="1" t="s">
        <v>336</v>
      </c>
      <c r="AL17" s="2" t="s">
        <v>469</v>
      </c>
      <c r="AM17" s="2" t="s">
        <v>470</v>
      </c>
      <c r="AN17" s="2" t="s">
        <v>471</v>
      </c>
      <c r="AO17" s="2" t="s">
        <v>411</v>
      </c>
      <c r="AP17" s="2" t="s">
        <v>363</v>
      </c>
      <c r="AQ17" s="2" t="s">
        <v>472</v>
      </c>
      <c r="AR17" s="2"/>
      <c r="AS17" s="2"/>
      <c r="AT17" s="14" t="s">
        <v>469</v>
      </c>
      <c r="AU17" s="16" t="s">
        <v>401</v>
      </c>
      <c r="AV17" s="17" t="s">
        <v>335</v>
      </c>
      <c r="AW17" s="15" t="s">
        <v>216</v>
      </c>
      <c r="AX17" s="17" t="s">
        <v>321</v>
      </c>
      <c r="AY17" s="16" t="s">
        <v>336</v>
      </c>
      <c r="AZ17" s="2"/>
      <c r="BC17" s="2"/>
    </row>
    <row r="18" spans="7:55" x14ac:dyDescent="0.5">
      <c r="L18" s="1" t="s">
        <v>473</v>
      </c>
      <c r="M18" s="1" t="s">
        <v>473</v>
      </c>
      <c r="N18" s="1" t="s">
        <v>474</v>
      </c>
      <c r="O18" s="1" t="s">
        <v>439</v>
      </c>
      <c r="P18" s="1" t="s">
        <v>429</v>
      </c>
      <c r="Q18" s="1" t="s">
        <v>475</v>
      </c>
      <c r="S18" s="1" t="s">
        <v>473</v>
      </c>
      <c r="T18" s="1" t="s">
        <v>473</v>
      </c>
      <c r="U18" s="1" t="s">
        <v>474</v>
      </c>
      <c r="V18" s="1" t="s">
        <v>439</v>
      </c>
      <c r="W18" s="1" t="s">
        <v>429</v>
      </c>
      <c r="X18" s="1" t="s">
        <v>475</v>
      </c>
      <c r="Y18" s="1" t="s">
        <v>476</v>
      </c>
      <c r="Z18" s="1" t="s">
        <v>382</v>
      </c>
      <c r="AA18" s="1" t="s">
        <v>370</v>
      </c>
      <c r="AB18" s="1" t="s">
        <v>335</v>
      </c>
      <c r="AC18" s="1" t="s">
        <v>424</v>
      </c>
      <c r="AD18" s="1" t="s">
        <v>349</v>
      </c>
      <c r="AE18" s="1" t="s">
        <v>477</v>
      </c>
      <c r="AF18" s="1" t="s">
        <v>478</v>
      </c>
      <c r="AG18" s="1" t="s">
        <v>479</v>
      </c>
      <c r="AL18" s="2" t="s">
        <v>480</v>
      </c>
      <c r="AM18" s="2" t="s">
        <v>481</v>
      </c>
      <c r="AN18" s="2" t="s">
        <v>482</v>
      </c>
      <c r="AO18" s="2" t="s">
        <v>393</v>
      </c>
      <c r="AP18" s="2" t="s">
        <v>390</v>
      </c>
      <c r="AQ18" s="2" t="s">
        <v>483</v>
      </c>
      <c r="AR18" s="2"/>
      <c r="AS18" s="2"/>
      <c r="AT18" s="15" t="s">
        <v>480</v>
      </c>
      <c r="AU18" s="17" t="s">
        <v>416</v>
      </c>
      <c r="AV18" s="16" t="s">
        <v>213</v>
      </c>
      <c r="AW18" s="14" t="s">
        <v>391</v>
      </c>
      <c r="AX18" s="17" t="s">
        <v>441</v>
      </c>
      <c r="AY18" s="16" t="s">
        <v>310</v>
      </c>
      <c r="AZ18" s="2"/>
      <c r="BC18" s="2"/>
    </row>
    <row r="19" spans="7:55" x14ac:dyDescent="0.5">
      <c r="G19" s="1" t="s">
        <v>270</v>
      </c>
      <c r="H19" s="1" t="s">
        <v>484</v>
      </c>
      <c r="I19" s="1" t="s">
        <v>316</v>
      </c>
      <c r="L19" s="1" t="s">
        <v>473</v>
      </c>
      <c r="M19" s="1" t="s">
        <v>412</v>
      </c>
      <c r="N19" s="1" t="s">
        <v>407</v>
      </c>
      <c r="O19" s="1" t="s">
        <v>456</v>
      </c>
      <c r="P19" s="1" t="s">
        <v>485</v>
      </c>
      <c r="Q19" s="1" t="s">
        <v>486</v>
      </c>
      <c r="S19" s="1" t="s">
        <v>473</v>
      </c>
      <c r="T19" s="1" t="s">
        <v>412</v>
      </c>
      <c r="U19" s="1" t="s">
        <v>407</v>
      </c>
      <c r="V19" s="1" t="s">
        <v>456</v>
      </c>
      <c r="W19" s="1" t="s">
        <v>485</v>
      </c>
      <c r="X19" s="1" t="s">
        <v>486</v>
      </c>
      <c r="Y19" s="1" t="s">
        <v>487</v>
      </c>
      <c r="Z19" s="1" t="s">
        <v>473</v>
      </c>
      <c r="AA19" s="1" t="s">
        <v>488</v>
      </c>
      <c r="AB19" s="1" t="s">
        <v>489</v>
      </c>
      <c r="AC19" s="1" t="s">
        <v>408</v>
      </c>
      <c r="AD19" s="1" t="s">
        <v>490</v>
      </c>
      <c r="AE19" s="1" t="s">
        <v>491</v>
      </c>
      <c r="AF19" s="1" t="s">
        <v>86</v>
      </c>
      <c r="AG19" s="1" t="s">
        <v>226</v>
      </c>
      <c r="AL19" s="2" t="s">
        <v>492</v>
      </c>
      <c r="AM19" s="2" t="s">
        <v>480</v>
      </c>
      <c r="AN19" s="2" t="s">
        <v>478</v>
      </c>
      <c r="AO19" s="2" t="s">
        <v>493</v>
      </c>
      <c r="AP19" s="2" t="s">
        <v>463</v>
      </c>
      <c r="AQ19" s="2" t="s">
        <v>494</v>
      </c>
      <c r="AR19" s="2"/>
      <c r="AS19" s="2"/>
      <c r="AT19" s="14" t="s">
        <v>492</v>
      </c>
      <c r="AU19" s="16" t="s">
        <v>353</v>
      </c>
      <c r="AV19" s="17" t="s">
        <v>365</v>
      </c>
      <c r="AW19" s="14" t="s">
        <v>353</v>
      </c>
      <c r="AX19" s="16" t="s">
        <v>436</v>
      </c>
      <c r="AY19" s="16" t="s">
        <v>358</v>
      </c>
      <c r="AZ19" s="2"/>
      <c r="BC19" s="2"/>
    </row>
    <row r="20" spans="7:55" x14ac:dyDescent="0.5">
      <c r="G20" s="1" t="s">
        <v>290</v>
      </c>
      <c r="H20" s="1" t="s">
        <v>290</v>
      </c>
      <c r="I20" s="1" t="s">
        <v>290</v>
      </c>
      <c r="L20" s="1" t="s">
        <v>495</v>
      </c>
      <c r="M20" s="1" t="s">
        <v>496</v>
      </c>
      <c r="N20" s="1" t="s">
        <v>399</v>
      </c>
      <c r="O20" s="1" t="s">
        <v>417</v>
      </c>
      <c r="P20" s="1" t="s">
        <v>216</v>
      </c>
      <c r="Q20" s="1" t="s">
        <v>497</v>
      </c>
      <c r="S20" s="1" t="s">
        <v>495</v>
      </c>
      <c r="T20" s="1" t="s">
        <v>496</v>
      </c>
      <c r="U20" s="1" t="s">
        <v>399</v>
      </c>
      <c r="V20" s="1" t="s">
        <v>417</v>
      </c>
      <c r="W20" s="1" t="s">
        <v>216</v>
      </c>
      <c r="X20" s="1" t="s">
        <v>497</v>
      </c>
      <c r="Y20" s="1" t="s">
        <v>498</v>
      </c>
      <c r="Z20" s="1" t="s">
        <v>499</v>
      </c>
      <c r="AA20" s="1" t="s">
        <v>500</v>
      </c>
      <c r="AB20" s="1" t="s">
        <v>472</v>
      </c>
      <c r="AC20" s="1" t="s">
        <v>501</v>
      </c>
      <c r="AD20" s="1" t="s">
        <v>502</v>
      </c>
      <c r="AE20" s="1" t="s">
        <v>460</v>
      </c>
      <c r="AF20" s="1" t="s">
        <v>58</v>
      </c>
      <c r="AG20" s="1" t="s">
        <v>460</v>
      </c>
      <c r="AL20" s="2" t="s">
        <v>503</v>
      </c>
      <c r="AM20" s="2" t="s">
        <v>503</v>
      </c>
      <c r="AN20" s="2" t="s">
        <v>481</v>
      </c>
      <c r="AO20" s="2" t="s">
        <v>93</v>
      </c>
      <c r="AP20" s="2" t="s">
        <v>429</v>
      </c>
      <c r="AQ20" s="2" t="s">
        <v>233</v>
      </c>
      <c r="AR20" s="2"/>
      <c r="AS20" s="2"/>
      <c r="AT20" s="15" t="s">
        <v>503</v>
      </c>
      <c r="AU20" s="14" t="s">
        <v>373</v>
      </c>
      <c r="AV20" s="17" t="s">
        <v>364</v>
      </c>
      <c r="AW20" s="14" t="s">
        <v>417</v>
      </c>
      <c r="AX20" s="16" t="s">
        <v>460</v>
      </c>
      <c r="AY20" s="16" t="s">
        <v>383</v>
      </c>
      <c r="AZ20" s="2"/>
      <c r="BC20" s="2"/>
    </row>
    <row r="21" spans="7:55" x14ac:dyDescent="0.5">
      <c r="G21" s="1" t="s">
        <v>291</v>
      </c>
      <c r="H21" s="1" t="s">
        <v>291</v>
      </c>
      <c r="I21" s="1" t="s">
        <v>291</v>
      </c>
      <c r="L21" s="1" t="s">
        <v>222</v>
      </c>
      <c r="M21" s="1" t="s">
        <v>426</v>
      </c>
      <c r="N21" s="1" t="s">
        <v>408</v>
      </c>
      <c r="O21" s="1" t="s">
        <v>446</v>
      </c>
      <c r="P21" s="1" t="s">
        <v>401</v>
      </c>
      <c r="Q21" s="1" t="s">
        <v>504</v>
      </c>
      <c r="S21" s="1" t="s">
        <v>222</v>
      </c>
      <c r="T21" s="1" t="s">
        <v>426</v>
      </c>
      <c r="U21" s="1" t="s">
        <v>408</v>
      </c>
      <c r="V21" s="1" t="s">
        <v>446</v>
      </c>
      <c r="W21" s="1" t="s">
        <v>401</v>
      </c>
      <c r="X21" s="1" t="s">
        <v>504</v>
      </c>
      <c r="Y21" s="1" t="s">
        <v>364</v>
      </c>
      <c r="Z21" s="1" t="s">
        <v>505</v>
      </c>
      <c r="AA21" s="1" t="s">
        <v>506</v>
      </c>
      <c r="AB21" s="1" t="s">
        <v>507</v>
      </c>
      <c r="AC21" s="1" t="s">
        <v>508</v>
      </c>
      <c r="AD21" s="1" t="s">
        <v>509</v>
      </c>
      <c r="AE21" s="1" t="s">
        <v>441</v>
      </c>
      <c r="AF21" s="1" t="s">
        <v>321</v>
      </c>
      <c r="AG21" s="1" t="s">
        <v>510</v>
      </c>
      <c r="AL21" s="2" t="s">
        <v>511</v>
      </c>
      <c r="AM21" s="2" t="s">
        <v>512</v>
      </c>
      <c r="AN21" s="2" t="s">
        <v>464</v>
      </c>
      <c r="AO21" s="2" t="s">
        <v>473</v>
      </c>
      <c r="AP21" s="2" t="s">
        <v>396</v>
      </c>
      <c r="AQ21" s="2" t="s">
        <v>513</v>
      </c>
      <c r="AR21" s="2"/>
      <c r="AS21" s="2"/>
      <c r="AT21" s="14" t="s">
        <v>511</v>
      </c>
      <c r="AU21" s="16" t="s">
        <v>90</v>
      </c>
      <c r="AV21" s="16" t="s">
        <v>344</v>
      </c>
      <c r="AW21" s="14" t="s">
        <v>90</v>
      </c>
      <c r="AX21" s="17" t="s">
        <v>514</v>
      </c>
      <c r="AY21" s="16" t="s">
        <v>213</v>
      </c>
      <c r="AZ21" s="2"/>
      <c r="BC21" s="2"/>
    </row>
    <row r="22" spans="7:55" x14ac:dyDescent="0.5">
      <c r="G22" s="1" t="s">
        <v>292</v>
      </c>
      <c r="H22" s="1" t="s">
        <v>292</v>
      </c>
      <c r="I22" s="1" t="s">
        <v>292</v>
      </c>
      <c r="L22" s="1" t="s">
        <v>478</v>
      </c>
      <c r="M22" s="1" t="s">
        <v>282</v>
      </c>
      <c r="N22" s="1" t="s">
        <v>515</v>
      </c>
      <c r="O22" s="1" t="s">
        <v>515</v>
      </c>
      <c r="P22" s="1" t="s">
        <v>516</v>
      </c>
      <c r="Q22" s="1" t="s">
        <v>517</v>
      </c>
      <c r="S22" s="1" t="s">
        <v>478</v>
      </c>
      <c r="T22" s="1" t="s">
        <v>282</v>
      </c>
      <c r="U22" s="1" t="s">
        <v>515</v>
      </c>
      <c r="V22" s="1" t="s">
        <v>515</v>
      </c>
      <c r="W22" s="1" t="s">
        <v>516</v>
      </c>
      <c r="X22" s="1" t="s">
        <v>517</v>
      </c>
      <c r="Y22" s="1" t="s">
        <v>518</v>
      </c>
      <c r="Z22" s="1" t="s">
        <v>426</v>
      </c>
      <c r="AA22" s="1" t="s">
        <v>458</v>
      </c>
      <c r="AB22" s="1" t="s">
        <v>405</v>
      </c>
      <c r="AC22" s="1" t="s">
        <v>519</v>
      </c>
      <c r="AD22" s="1" t="s">
        <v>230</v>
      </c>
      <c r="AE22" s="1" t="s">
        <v>520</v>
      </c>
      <c r="AF22" s="1" t="s">
        <v>501</v>
      </c>
      <c r="AG22" s="1" t="s">
        <v>521</v>
      </c>
      <c r="AL22" s="2" t="s">
        <v>522</v>
      </c>
      <c r="AM22" s="2" t="s">
        <v>523</v>
      </c>
      <c r="AN22" s="2" t="s">
        <v>420</v>
      </c>
      <c r="AO22" s="2" t="s">
        <v>457</v>
      </c>
      <c r="AP22" s="2" t="s">
        <v>327</v>
      </c>
      <c r="AT22" s="14" t="s">
        <v>512</v>
      </c>
      <c r="AU22" s="16" t="s">
        <v>385</v>
      </c>
      <c r="AV22" s="17" t="s">
        <v>413</v>
      </c>
      <c r="AW22" s="14" t="s">
        <v>324</v>
      </c>
      <c r="AX22" s="17" t="s">
        <v>336</v>
      </c>
      <c r="AY22" s="16" t="s">
        <v>374</v>
      </c>
    </row>
    <row r="23" spans="7:55" x14ac:dyDescent="0.5">
      <c r="G23" s="1" t="s">
        <v>293</v>
      </c>
      <c r="H23" s="1" t="s">
        <v>293</v>
      </c>
      <c r="I23" s="1" t="s">
        <v>293</v>
      </c>
      <c r="L23" s="1" t="s">
        <v>445</v>
      </c>
      <c r="M23" s="1" t="s">
        <v>438</v>
      </c>
      <c r="N23" s="1" t="s">
        <v>515</v>
      </c>
      <c r="O23" s="1" t="s">
        <v>473</v>
      </c>
      <c r="P23" s="1" t="s">
        <v>217</v>
      </c>
      <c r="Q23" s="1" t="s">
        <v>363</v>
      </c>
      <c r="S23" s="1" t="s">
        <v>445</v>
      </c>
      <c r="T23" s="1" t="s">
        <v>438</v>
      </c>
      <c r="U23" s="1" t="s">
        <v>515</v>
      </c>
      <c r="V23" s="1" t="s">
        <v>473</v>
      </c>
      <c r="W23" s="1" t="s">
        <v>217</v>
      </c>
      <c r="X23" s="1" t="s">
        <v>363</v>
      </c>
      <c r="Y23" s="1" t="s">
        <v>222</v>
      </c>
      <c r="Z23" s="1" t="s">
        <v>524</v>
      </c>
      <c r="AA23" s="1" t="s">
        <v>525</v>
      </c>
      <c r="AB23" s="1" t="s">
        <v>380</v>
      </c>
      <c r="AC23" s="1" t="s">
        <v>526</v>
      </c>
      <c r="AD23" s="1" t="s">
        <v>452</v>
      </c>
      <c r="AE23" s="1" t="s">
        <v>411</v>
      </c>
      <c r="AF23" s="1" t="s">
        <v>402</v>
      </c>
      <c r="AG23" s="1" t="s">
        <v>527</v>
      </c>
      <c r="AL23" s="2" t="s">
        <v>466</v>
      </c>
      <c r="AM23" s="2" t="s">
        <v>501</v>
      </c>
      <c r="AN23" s="2" t="s">
        <v>227</v>
      </c>
      <c r="AO23" s="2" t="s">
        <v>528</v>
      </c>
      <c r="AP23" s="2" t="s">
        <v>529</v>
      </c>
      <c r="AT23" s="15" t="s">
        <v>522</v>
      </c>
      <c r="AU23" s="16" t="s">
        <v>399</v>
      </c>
      <c r="AV23" s="17" t="s">
        <v>363</v>
      </c>
      <c r="AW23" s="16" t="s">
        <v>449</v>
      </c>
      <c r="AX23" s="16" t="s">
        <v>310</v>
      </c>
      <c r="AY23" s="16" t="s">
        <v>365</v>
      </c>
    </row>
    <row r="24" spans="7:55" x14ac:dyDescent="0.5">
      <c r="G24" s="1" t="s">
        <v>294</v>
      </c>
      <c r="H24" s="1" t="s">
        <v>294</v>
      </c>
      <c r="I24" s="1" t="s">
        <v>294</v>
      </c>
      <c r="L24" s="1" t="s">
        <v>444</v>
      </c>
      <c r="M24" s="1" t="s">
        <v>222</v>
      </c>
      <c r="N24" s="1" t="s">
        <v>61</v>
      </c>
      <c r="O24" s="1" t="s">
        <v>530</v>
      </c>
      <c r="P24" s="1" t="s">
        <v>90</v>
      </c>
      <c r="Q24" s="1" t="s">
        <v>402</v>
      </c>
      <c r="S24" s="1" t="s">
        <v>444</v>
      </c>
      <c r="T24" s="1" t="s">
        <v>222</v>
      </c>
      <c r="U24" s="1" t="s">
        <v>61</v>
      </c>
      <c r="V24" s="1" t="s">
        <v>530</v>
      </c>
      <c r="W24" s="1" t="s">
        <v>90</v>
      </c>
      <c r="X24" s="1" t="s">
        <v>402</v>
      </c>
      <c r="Y24" s="1" t="s">
        <v>367</v>
      </c>
      <c r="Z24" s="1" t="s">
        <v>276</v>
      </c>
      <c r="AA24" s="1" t="s">
        <v>531</v>
      </c>
      <c r="AB24" s="1" t="s">
        <v>499</v>
      </c>
      <c r="AC24" s="1" t="s">
        <v>460</v>
      </c>
      <c r="AD24" s="1" t="s">
        <v>532</v>
      </c>
      <c r="AE24" s="1" t="s">
        <v>532</v>
      </c>
      <c r="AF24" s="1" t="s">
        <v>533</v>
      </c>
      <c r="AG24" s="1" t="s">
        <v>433</v>
      </c>
      <c r="AL24" s="2" t="s">
        <v>86</v>
      </c>
      <c r="AM24" s="2" t="s">
        <v>533</v>
      </c>
      <c r="AN24" s="2" t="s">
        <v>534</v>
      </c>
      <c r="AO24" s="2" t="s">
        <v>535</v>
      </c>
      <c r="AP24" s="2" t="s">
        <v>90</v>
      </c>
      <c r="AT24" s="14" t="s">
        <v>466</v>
      </c>
      <c r="AU24" s="16" t="s">
        <v>93</v>
      </c>
      <c r="AV24" s="16" t="s">
        <v>402</v>
      </c>
      <c r="AW24" s="15" t="s">
        <v>411</v>
      </c>
      <c r="AX24" s="16" t="s">
        <v>435</v>
      </c>
      <c r="AY24" s="16" t="s">
        <v>536</v>
      </c>
    </row>
    <row r="25" spans="7:55" x14ac:dyDescent="0.5">
      <c r="G25" s="1" t="s">
        <v>537</v>
      </c>
      <c r="H25" s="1" t="s">
        <v>537</v>
      </c>
      <c r="I25" s="1" t="s">
        <v>537</v>
      </c>
      <c r="L25" s="1" t="s">
        <v>538</v>
      </c>
      <c r="M25" s="1" t="s">
        <v>478</v>
      </c>
      <c r="N25" s="1" t="s">
        <v>530</v>
      </c>
      <c r="O25" s="1" t="s">
        <v>528</v>
      </c>
      <c r="P25" s="1" t="s">
        <v>527</v>
      </c>
      <c r="Q25" s="1" t="s">
        <v>539</v>
      </c>
      <c r="S25" s="1" t="s">
        <v>538</v>
      </c>
      <c r="T25" s="1" t="s">
        <v>478</v>
      </c>
      <c r="U25" s="1" t="s">
        <v>530</v>
      </c>
      <c r="V25" s="1" t="s">
        <v>528</v>
      </c>
      <c r="W25" s="1" t="s">
        <v>527</v>
      </c>
      <c r="X25" s="1" t="s">
        <v>539</v>
      </c>
      <c r="Y25" s="1" t="s">
        <v>540</v>
      </c>
      <c r="Z25" s="1" t="s">
        <v>541</v>
      </c>
      <c r="AA25" s="1" t="s">
        <v>542</v>
      </c>
      <c r="AB25" s="1" t="s">
        <v>543</v>
      </c>
      <c r="AC25" s="1" t="s">
        <v>510</v>
      </c>
      <c r="AD25" s="1" t="s">
        <v>411</v>
      </c>
      <c r="AE25" s="1" t="s">
        <v>544</v>
      </c>
      <c r="AF25" s="1" t="s">
        <v>374</v>
      </c>
      <c r="AG25" s="1" t="s">
        <v>346</v>
      </c>
      <c r="AL25" s="2" t="s">
        <v>533</v>
      </c>
      <c r="AM25" s="2" t="s">
        <v>307</v>
      </c>
      <c r="AN25" s="2" t="s">
        <v>230</v>
      </c>
      <c r="AO25" s="2" t="s">
        <v>545</v>
      </c>
      <c r="AP25" s="2" t="s">
        <v>408</v>
      </c>
      <c r="AT25" s="15" t="s">
        <v>86</v>
      </c>
      <c r="AU25" s="16" t="s">
        <v>473</v>
      </c>
      <c r="AV25" s="17" t="s">
        <v>390</v>
      </c>
      <c r="AW25" s="16" t="s">
        <v>474</v>
      </c>
      <c r="AX25" s="16" t="s">
        <v>546</v>
      </c>
      <c r="AY25" s="16" t="s">
        <v>410</v>
      </c>
    </row>
    <row r="26" spans="7:55" x14ac:dyDescent="0.5">
      <c r="L26" s="1" t="s">
        <v>492</v>
      </c>
      <c r="M26" s="1" t="s">
        <v>547</v>
      </c>
      <c r="N26" s="1" t="s">
        <v>445</v>
      </c>
      <c r="O26" s="1" t="s">
        <v>548</v>
      </c>
      <c r="P26" s="1" t="s">
        <v>487</v>
      </c>
      <c r="Q26" s="1" t="s">
        <v>390</v>
      </c>
      <c r="S26" s="1" t="s">
        <v>492</v>
      </c>
      <c r="T26" s="1" t="s">
        <v>547</v>
      </c>
      <c r="U26" s="1" t="s">
        <v>445</v>
      </c>
      <c r="V26" s="1" t="s">
        <v>548</v>
      </c>
      <c r="W26" s="1" t="s">
        <v>487</v>
      </c>
      <c r="X26" s="1" t="s">
        <v>390</v>
      </c>
      <c r="Y26" s="1" t="s">
        <v>375</v>
      </c>
      <c r="Z26" s="1" t="s">
        <v>321</v>
      </c>
      <c r="AA26" s="1" t="s">
        <v>323</v>
      </c>
      <c r="AB26" s="1" t="s">
        <v>549</v>
      </c>
      <c r="AC26" s="1" t="s">
        <v>550</v>
      </c>
      <c r="AD26" s="1" t="s">
        <v>544</v>
      </c>
      <c r="AE26" s="1" t="s">
        <v>310</v>
      </c>
      <c r="AF26" s="1" t="s">
        <v>551</v>
      </c>
      <c r="AG26" s="1" t="s">
        <v>552</v>
      </c>
      <c r="AL26" s="2" t="s">
        <v>533</v>
      </c>
      <c r="AM26" s="2" t="s">
        <v>553</v>
      </c>
      <c r="AN26" s="2" t="s">
        <v>307</v>
      </c>
      <c r="AO26" s="2" t="s">
        <v>503</v>
      </c>
      <c r="AP26" s="2" t="s">
        <v>61</v>
      </c>
      <c r="AT26" s="14" t="s">
        <v>533</v>
      </c>
      <c r="AU26" s="16" t="s">
        <v>412</v>
      </c>
      <c r="AV26" s="16" t="s">
        <v>429</v>
      </c>
      <c r="AW26" s="17" t="s">
        <v>407</v>
      </c>
      <c r="AX26" s="16" t="s">
        <v>358</v>
      </c>
      <c r="AY26" s="16" t="s">
        <v>402</v>
      </c>
    </row>
    <row r="27" spans="7:55" x14ac:dyDescent="0.5">
      <c r="L27" s="1" t="s">
        <v>554</v>
      </c>
      <c r="M27" s="1" t="s">
        <v>457</v>
      </c>
      <c r="N27" s="1" t="s">
        <v>547</v>
      </c>
      <c r="O27" s="1" t="s">
        <v>535</v>
      </c>
      <c r="P27" s="1" t="s">
        <v>425</v>
      </c>
      <c r="Q27" s="1" t="s">
        <v>463</v>
      </c>
      <c r="S27" s="1" t="s">
        <v>554</v>
      </c>
      <c r="T27" s="1" t="s">
        <v>457</v>
      </c>
      <c r="U27" s="1" t="s">
        <v>547</v>
      </c>
      <c r="V27" s="1" t="s">
        <v>535</v>
      </c>
      <c r="W27" s="1" t="s">
        <v>425</v>
      </c>
      <c r="X27" s="1" t="s">
        <v>463</v>
      </c>
      <c r="Y27" s="1" t="s">
        <v>323</v>
      </c>
      <c r="Z27" s="1" t="s">
        <v>361</v>
      </c>
      <c r="AA27" s="1" t="s">
        <v>276</v>
      </c>
      <c r="AB27" s="1" t="s">
        <v>370</v>
      </c>
      <c r="AC27" s="1" t="s">
        <v>411</v>
      </c>
      <c r="AD27" s="1" t="s">
        <v>310</v>
      </c>
      <c r="AE27" s="1" t="s">
        <v>555</v>
      </c>
      <c r="AF27" s="1" t="s">
        <v>556</v>
      </c>
      <c r="AG27" s="1" t="s">
        <v>235</v>
      </c>
      <c r="AL27" s="2" t="s">
        <v>557</v>
      </c>
      <c r="AM27" s="2" t="s">
        <v>422</v>
      </c>
      <c r="AN27" s="2" t="s">
        <v>532</v>
      </c>
      <c r="AO27" s="2" t="s">
        <v>431</v>
      </c>
      <c r="AP27" s="2" t="s">
        <v>530</v>
      </c>
      <c r="AT27" s="19" t="s">
        <v>557</v>
      </c>
      <c r="AU27" s="16" t="s">
        <v>496</v>
      </c>
      <c r="AV27" s="16" t="s">
        <v>327</v>
      </c>
      <c r="AW27" s="15" t="s">
        <v>428</v>
      </c>
      <c r="AX27" s="17" t="s">
        <v>342</v>
      </c>
      <c r="AY27" s="16" t="s">
        <v>491</v>
      </c>
    </row>
    <row r="28" spans="7:55" x14ac:dyDescent="0.5">
      <c r="L28" s="1" t="s">
        <v>503</v>
      </c>
      <c r="M28" s="1" t="s">
        <v>481</v>
      </c>
      <c r="N28" s="1" t="s">
        <v>481</v>
      </c>
      <c r="O28" s="1" t="s">
        <v>444</v>
      </c>
      <c r="P28" s="1" t="s">
        <v>93</v>
      </c>
      <c r="Q28" s="1" t="s">
        <v>429</v>
      </c>
      <c r="S28" s="1" t="s">
        <v>503</v>
      </c>
      <c r="T28" s="1" t="s">
        <v>481</v>
      </c>
      <c r="U28" s="1" t="s">
        <v>481</v>
      </c>
      <c r="V28" s="1" t="s">
        <v>444</v>
      </c>
      <c r="W28" s="1" t="s">
        <v>93</v>
      </c>
      <c r="X28" s="1" t="s">
        <v>429</v>
      </c>
      <c r="Y28" s="1" t="s">
        <v>233</v>
      </c>
      <c r="Z28" s="1" t="s">
        <v>464</v>
      </c>
      <c r="AA28" s="1" t="s">
        <v>558</v>
      </c>
      <c r="AB28" s="1" t="s">
        <v>559</v>
      </c>
      <c r="AC28" s="1" t="s">
        <v>544</v>
      </c>
      <c r="AD28" s="1" t="s">
        <v>560</v>
      </c>
      <c r="AE28" s="1" t="s">
        <v>561</v>
      </c>
      <c r="AF28" s="1" t="s">
        <v>562</v>
      </c>
      <c r="AG28" s="1" t="s">
        <v>536</v>
      </c>
      <c r="AL28" s="2"/>
      <c r="AM28" s="2"/>
      <c r="AN28" s="2" t="s">
        <v>563</v>
      </c>
      <c r="AO28" s="2" t="s">
        <v>501</v>
      </c>
      <c r="AP28" s="2" t="s">
        <v>412</v>
      </c>
      <c r="AT28" s="19"/>
      <c r="AU28" s="16" t="s">
        <v>426</v>
      </c>
      <c r="AV28" s="17" t="s">
        <v>216</v>
      </c>
      <c r="AW28" s="14" t="s">
        <v>471</v>
      </c>
      <c r="AX28" s="16" t="s">
        <v>383</v>
      </c>
      <c r="AY28" s="16" t="s">
        <v>521</v>
      </c>
    </row>
    <row r="29" spans="7:55" x14ac:dyDescent="0.5">
      <c r="L29" s="1" t="s">
        <v>564</v>
      </c>
      <c r="M29" s="1" t="s">
        <v>548</v>
      </c>
      <c r="N29" s="1" t="s">
        <v>535</v>
      </c>
      <c r="O29" s="1" t="s">
        <v>488</v>
      </c>
      <c r="P29" s="1" t="s">
        <v>565</v>
      </c>
      <c r="Q29" s="1" t="s">
        <v>396</v>
      </c>
      <c r="S29" s="1" t="s">
        <v>564</v>
      </c>
      <c r="T29" s="1" t="s">
        <v>548</v>
      </c>
      <c r="U29" s="1" t="s">
        <v>535</v>
      </c>
      <c r="V29" s="1" t="s">
        <v>488</v>
      </c>
      <c r="W29" s="1" t="s">
        <v>565</v>
      </c>
      <c r="X29" s="1" t="s">
        <v>396</v>
      </c>
      <c r="Y29" s="1" t="s">
        <v>566</v>
      </c>
      <c r="Z29" s="1" t="s">
        <v>567</v>
      </c>
      <c r="AA29" s="1" t="s">
        <v>567</v>
      </c>
      <c r="AB29" s="1" t="s">
        <v>568</v>
      </c>
      <c r="AC29" s="1" t="s">
        <v>532</v>
      </c>
      <c r="AD29" s="1" t="s">
        <v>569</v>
      </c>
      <c r="AE29" s="1" t="s">
        <v>487</v>
      </c>
      <c r="AF29" s="1" t="s">
        <v>416</v>
      </c>
      <c r="AG29" s="1" t="s">
        <v>504</v>
      </c>
      <c r="AL29" s="2"/>
      <c r="AN29" s="2" t="s">
        <v>570</v>
      </c>
      <c r="AO29" s="2" t="s">
        <v>571</v>
      </c>
      <c r="AP29" s="2" t="s">
        <v>572</v>
      </c>
      <c r="AU29" s="16" t="s">
        <v>282</v>
      </c>
      <c r="AV29" s="16" t="s">
        <v>427</v>
      </c>
      <c r="AW29" s="16" t="s">
        <v>399</v>
      </c>
      <c r="AX29" s="16" t="s">
        <v>213</v>
      </c>
      <c r="AY29" s="16" t="s">
        <v>396</v>
      </c>
    </row>
    <row r="30" spans="7:55" x14ac:dyDescent="0.5">
      <c r="L30" s="1" t="s">
        <v>431</v>
      </c>
      <c r="M30" s="1" t="s">
        <v>368</v>
      </c>
      <c r="N30" s="1" t="s">
        <v>444</v>
      </c>
      <c r="O30" s="1" t="s">
        <v>227</v>
      </c>
      <c r="P30" s="1" t="s">
        <v>573</v>
      </c>
      <c r="Q30" s="1" t="s">
        <v>396</v>
      </c>
      <c r="S30" s="1" t="s">
        <v>431</v>
      </c>
      <c r="T30" s="1" t="s">
        <v>368</v>
      </c>
      <c r="U30" s="1" t="s">
        <v>444</v>
      </c>
      <c r="V30" s="1" t="s">
        <v>227</v>
      </c>
      <c r="W30" s="1" t="s">
        <v>573</v>
      </c>
      <c r="X30" s="1" t="s">
        <v>396</v>
      </c>
      <c r="Y30" s="1" t="s">
        <v>235</v>
      </c>
      <c r="Z30" s="1" t="s">
        <v>478</v>
      </c>
      <c r="AA30" s="1" t="s">
        <v>221</v>
      </c>
      <c r="AB30" s="1" t="s">
        <v>223</v>
      </c>
      <c r="AC30" s="1" t="s">
        <v>574</v>
      </c>
      <c r="AD30" s="1" t="s">
        <v>547</v>
      </c>
      <c r="AE30" s="1" t="s">
        <v>226</v>
      </c>
      <c r="AL30" s="2"/>
      <c r="AN30" s="2" t="s">
        <v>561</v>
      </c>
      <c r="AO30" s="2" t="s">
        <v>575</v>
      </c>
      <c r="AP30" s="2" t="s">
        <v>58</v>
      </c>
      <c r="AU30" s="16" t="s">
        <v>438</v>
      </c>
      <c r="AV30" s="16" t="s">
        <v>450</v>
      </c>
      <c r="AW30" s="17" t="s">
        <v>408</v>
      </c>
      <c r="AX30" s="17" t="s">
        <v>374</v>
      </c>
      <c r="AY30" s="16" t="s">
        <v>391</v>
      </c>
    </row>
    <row r="31" spans="7:55" x14ac:dyDescent="0.5">
      <c r="L31" s="1" t="s">
        <v>420</v>
      </c>
      <c r="M31" s="1" t="s">
        <v>502</v>
      </c>
      <c r="N31" s="1" t="s">
        <v>464</v>
      </c>
      <c r="O31" s="1" t="s">
        <v>501</v>
      </c>
      <c r="P31" s="1" t="s">
        <v>58</v>
      </c>
      <c r="Q31" s="1" t="s">
        <v>391</v>
      </c>
      <c r="S31" s="1" t="s">
        <v>420</v>
      </c>
      <c r="T31" s="1" t="s">
        <v>502</v>
      </c>
      <c r="U31" s="1" t="s">
        <v>464</v>
      </c>
      <c r="V31" s="1" t="s">
        <v>501</v>
      </c>
      <c r="W31" s="1" t="s">
        <v>58</v>
      </c>
      <c r="X31" s="1" t="s">
        <v>391</v>
      </c>
      <c r="Y31" s="1" t="s">
        <v>504</v>
      </c>
      <c r="Z31" s="1" t="s">
        <v>528</v>
      </c>
      <c r="AA31" s="1" t="s">
        <v>283</v>
      </c>
      <c r="AB31" s="1" t="s">
        <v>576</v>
      </c>
      <c r="AC31" s="1" t="s">
        <v>577</v>
      </c>
      <c r="AD31" s="1" t="s">
        <v>446</v>
      </c>
      <c r="AE31" s="1" t="s">
        <v>514</v>
      </c>
      <c r="AL31" s="2"/>
      <c r="AN31" s="2" t="s">
        <v>578</v>
      </c>
      <c r="AO31" s="2" t="s">
        <v>579</v>
      </c>
      <c r="AP31" s="2" t="s">
        <v>580</v>
      </c>
      <c r="AU31" s="16" t="s">
        <v>222</v>
      </c>
      <c r="AV31" s="17" t="s">
        <v>391</v>
      </c>
      <c r="AW31" s="16" t="s">
        <v>515</v>
      </c>
      <c r="AX31" s="17" t="s">
        <v>365</v>
      </c>
      <c r="AY31" s="16" t="s">
        <v>456</v>
      </c>
    </row>
    <row r="32" spans="7:55" x14ac:dyDescent="0.5">
      <c r="L32" s="1" t="s">
        <v>501</v>
      </c>
      <c r="M32" s="1" t="s">
        <v>512</v>
      </c>
      <c r="N32" s="1" t="s">
        <v>225</v>
      </c>
      <c r="O32" s="1" t="s">
        <v>575</v>
      </c>
      <c r="P32" s="1" t="s">
        <v>220</v>
      </c>
      <c r="Q32" s="1" t="s">
        <v>373</v>
      </c>
      <c r="S32" s="1" t="s">
        <v>501</v>
      </c>
      <c r="T32" s="1" t="s">
        <v>512</v>
      </c>
      <c r="U32" s="1" t="s">
        <v>225</v>
      </c>
      <c r="V32" s="1" t="s">
        <v>575</v>
      </c>
      <c r="W32" s="1" t="s">
        <v>220</v>
      </c>
      <c r="X32" s="1" t="s">
        <v>373</v>
      </c>
      <c r="Y32" s="1" t="s">
        <v>344</v>
      </c>
      <c r="Z32" s="1" t="s">
        <v>553</v>
      </c>
      <c r="AA32" s="1" t="s">
        <v>581</v>
      </c>
      <c r="AB32" s="1" t="s">
        <v>582</v>
      </c>
      <c r="AC32" s="1" t="s">
        <v>503</v>
      </c>
      <c r="AD32" s="1" t="s">
        <v>551</v>
      </c>
      <c r="AE32" s="1" t="s">
        <v>583</v>
      </c>
      <c r="AL32" s="2"/>
      <c r="AO32" s="2" t="s">
        <v>584</v>
      </c>
      <c r="AP32" s="2" t="s">
        <v>585</v>
      </c>
      <c r="AU32" s="16" t="s">
        <v>478</v>
      </c>
      <c r="AV32" s="17" t="s">
        <v>462</v>
      </c>
      <c r="AW32" s="16" t="s">
        <v>61</v>
      </c>
      <c r="AX32" s="16" t="s">
        <v>536</v>
      </c>
      <c r="AY32" s="16" t="s">
        <v>417</v>
      </c>
    </row>
    <row r="33" spans="12:51" x14ac:dyDescent="0.5">
      <c r="L33" s="1" t="s">
        <v>586</v>
      </c>
      <c r="M33" s="1" t="s">
        <v>586</v>
      </c>
      <c r="N33" s="1" t="s">
        <v>587</v>
      </c>
      <c r="O33" s="1" t="s">
        <v>86</v>
      </c>
      <c r="P33" s="1" t="s">
        <v>221</v>
      </c>
      <c r="Q33" s="1" t="s">
        <v>411</v>
      </c>
      <c r="S33" s="1" t="s">
        <v>586</v>
      </c>
      <c r="T33" s="1" t="s">
        <v>586</v>
      </c>
      <c r="U33" s="1" t="s">
        <v>587</v>
      </c>
      <c r="V33" s="1" t="s">
        <v>86</v>
      </c>
      <c r="W33" s="1" t="s">
        <v>221</v>
      </c>
      <c r="X33" s="1" t="s">
        <v>411</v>
      </c>
      <c r="Y33" s="1" t="s">
        <v>560</v>
      </c>
      <c r="Z33" s="1" t="s">
        <v>588</v>
      </c>
      <c r="AA33" s="1" t="s">
        <v>589</v>
      </c>
      <c r="AB33" s="1" t="s">
        <v>510</v>
      </c>
      <c r="AC33" s="1" t="s">
        <v>521</v>
      </c>
      <c r="AD33" s="1" t="s">
        <v>63</v>
      </c>
      <c r="AE33" s="1" t="s">
        <v>354</v>
      </c>
      <c r="AO33" s="2" t="s">
        <v>590</v>
      </c>
      <c r="AP33" s="2" t="s">
        <v>591</v>
      </c>
      <c r="AU33" s="16" t="s">
        <v>445</v>
      </c>
      <c r="AV33" s="16" t="s">
        <v>353</v>
      </c>
      <c r="AW33" s="17" t="s">
        <v>530</v>
      </c>
      <c r="AX33" s="16" t="s">
        <v>410</v>
      </c>
      <c r="AY33" s="16" t="s">
        <v>446</v>
      </c>
    </row>
    <row r="34" spans="12:51" x14ac:dyDescent="0.5">
      <c r="L34" s="1" t="s">
        <v>575</v>
      </c>
      <c r="M34" s="1" t="s">
        <v>551</v>
      </c>
      <c r="N34" s="1" t="s">
        <v>420</v>
      </c>
      <c r="O34" s="1" t="s">
        <v>533</v>
      </c>
      <c r="P34" s="1" t="s">
        <v>222</v>
      </c>
      <c r="Q34" s="1" t="s">
        <v>487</v>
      </c>
      <c r="S34" s="1" t="s">
        <v>575</v>
      </c>
      <c r="T34" s="1" t="s">
        <v>551</v>
      </c>
      <c r="U34" s="1" t="s">
        <v>420</v>
      </c>
      <c r="V34" s="1" t="s">
        <v>533</v>
      </c>
      <c r="W34" s="1" t="s">
        <v>222</v>
      </c>
      <c r="X34" s="1" t="s">
        <v>487</v>
      </c>
      <c r="Y34" s="1" t="s">
        <v>592</v>
      </c>
      <c r="Z34" s="1" t="s">
        <v>86</v>
      </c>
      <c r="AA34" s="1" t="s">
        <v>593</v>
      </c>
      <c r="AB34" s="1" t="s">
        <v>594</v>
      </c>
      <c r="AC34" s="1" t="s">
        <v>473</v>
      </c>
      <c r="AE34" s="1" t="s">
        <v>595</v>
      </c>
      <c r="AO34" s="2" t="s">
        <v>596</v>
      </c>
      <c r="AP34" s="2" t="s">
        <v>597</v>
      </c>
      <c r="AU34" s="16" t="s">
        <v>547</v>
      </c>
      <c r="AV34" s="16" t="s">
        <v>439</v>
      </c>
      <c r="AW34" s="15" t="s">
        <v>482</v>
      </c>
      <c r="AX34" s="16" t="s">
        <v>595</v>
      </c>
      <c r="AY34" s="16" t="s">
        <v>527</v>
      </c>
    </row>
    <row r="35" spans="12:51" x14ac:dyDescent="0.5">
      <c r="L35" s="1" t="s">
        <v>394</v>
      </c>
      <c r="M35" s="1" t="s">
        <v>598</v>
      </c>
      <c r="N35" s="1" t="s">
        <v>599</v>
      </c>
      <c r="O35" s="1" t="s">
        <v>596</v>
      </c>
      <c r="P35" s="1" t="s">
        <v>457</v>
      </c>
      <c r="Q35" s="1" t="s">
        <v>544</v>
      </c>
      <c r="S35" s="1" t="s">
        <v>394</v>
      </c>
      <c r="T35" s="1" t="s">
        <v>598</v>
      </c>
      <c r="U35" s="1" t="s">
        <v>599</v>
      </c>
      <c r="V35" s="1" t="s">
        <v>596</v>
      </c>
      <c r="W35" s="1" t="s">
        <v>457</v>
      </c>
      <c r="X35" s="1" t="s">
        <v>544</v>
      </c>
      <c r="Y35" s="1" t="s">
        <v>600</v>
      </c>
      <c r="Z35" s="1" t="s">
        <v>601</v>
      </c>
      <c r="AA35" s="1" t="s">
        <v>602</v>
      </c>
      <c r="AB35" s="1" t="s">
        <v>603</v>
      </c>
      <c r="AC35" s="1" t="s">
        <v>578</v>
      </c>
      <c r="AE35" s="1" t="s">
        <v>604</v>
      </c>
      <c r="AO35" s="2" t="s">
        <v>448</v>
      </c>
      <c r="AP35" s="2" t="s">
        <v>479</v>
      </c>
      <c r="AU35" s="16" t="s">
        <v>457</v>
      </c>
      <c r="AV35" s="17" t="s">
        <v>456</v>
      </c>
      <c r="AW35" s="14" t="s">
        <v>478</v>
      </c>
      <c r="AX35" s="17" t="s">
        <v>504</v>
      </c>
      <c r="AY35" s="16" t="s">
        <v>411</v>
      </c>
    </row>
    <row r="36" spans="12:51" x14ac:dyDescent="0.5">
      <c r="L36" s="1" t="s">
        <v>86</v>
      </c>
      <c r="M36" s="1" t="s">
        <v>307</v>
      </c>
      <c r="N36" s="1" t="s">
        <v>534</v>
      </c>
      <c r="O36" s="1" t="s">
        <v>605</v>
      </c>
      <c r="P36" s="1" t="s">
        <v>601</v>
      </c>
      <c r="Q36" s="1" t="s">
        <v>93</v>
      </c>
      <c r="S36" s="1" t="s">
        <v>86</v>
      </c>
      <c r="T36" s="1" t="s">
        <v>307</v>
      </c>
      <c r="U36" s="1" t="s">
        <v>534</v>
      </c>
      <c r="V36" s="1" t="s">
        <v>605</v>
      </c>
      <c r="W36" s="1" t="s">
        <v>601</v>
      </c>
      <c r="X36" s="1" t="s">
        <v>93</v>
      </c>
      <c r="Y36" s="1" t="s">
        <v>544</v>
      </c>
      <c r="Z36" s="1" t="s">
        <v>606</v>
      </c>
      <c r="AA36" s="1" t="s">
        <v>587</v>
      </c>
      <c r="AB36" s="1" t="s">
        <v>310</v>
      </c>
      <c r="AC36" s="1" t="s">
        <v>349</v>
      </c>
      <c r="AE36" s="1" t="s">
        <v>546</v>
      </c>
      <c r="AP36" s="2" t="s">
        <v>488</v>
      </c>
      <c r="AU36" s="16" t="s">
        <v>470</v>
      </c>
      <c r="AV36" s="16" t="s">
        <v>417</v>
      </c>
      <c r="AW36" s="16" t="s">
        <v>445</v>
      </c>
      <c r="AX36" s="17" t="s">
        <v>555</v>
      </c>
      <c r="AY36" s="16" t="s">
        <v>544</v>
      </c>
    </row>
    <row r="37" spans="12:51" x14ac:dyDescent="0.5">
      <c r="L37" s="1" t="s">
        <v>607</v>
      </c>
      <c r="M37" s="1" t="s">
        <v>553</v>
      </c>
      <c r="N37" s="1" t="s">
        <v>608</v>
      </c>
      <c r="P37" s="1" t="s">
        <v>481</v>
      </c>
      <c r="Q37" s="1" t="s">
        <v>408</v>
      </c>
      <c r="S37" s="1" t="s">
        <v>607</v>
      </c>
      <c r="T37" s="1" t="s">
        <v>553</v>
      </c>
      <c r="U37" s="1" t="s">
        <v>608</v>
      </c>
      <c r="W37" s="1" t="s">
        <v>481</v>
      </c>
      <c r="X37" s="1" t="s">
        <v>408</v>
      </c>
      <c r="Y37" s="1" t="s">
        <v>608</v>
      </c>
      <c r="Z37" s="1" t="s">
        <v>405</v>
      </c>
      <c r="AA37" s="1" t="s">
        <v>217</v>
      </c>
      <c r="AB37" s="1" t="s">
        <v>431</v>
      </c>
      <c r="AC37" s="1" t="s">
        <v>371</v>
      </c>
      <c r="AE37" s="1" t="s">
        <v>346</v>
      </c>
      <c r="AP37" s="2" t="s">
        <v>609</v>
      </c>
      <c r="AU37" s="16" t="s">
        <v>481</v>
      </c>
      <c r="AV37" s="16" t="s">
        <v>90</v>
      </c>
      <c r="AW37" s="17" t="s">
        <v>547</v>
      </c>
      <c r="AX37" s="17" t="s">
        <v>423</v>
      </c>
      <c r="AY37" s="16" t="s">
        <v>408</v>
      </c>
    </row>
    <row r="38" spans="12:51" x14ac:dyDescent="0.5">
      <c r="L38" s="1" t="s">
        <v>588</v>
      </c>
      <c r="M38" s="1" t="s">
        <v>532</v>
      </c>
      <c r="N38" s="1" t="s">
        <v>533</v>
      </c>
      <c r="P38" s="1" t="s">
        <v>610</v>
      </c>
      <c r="Q38" s="1" t="s">
        <v>61</v>
      </c>
      <c r="S38" s="1" t="s">
        <v>588</v>
      </c>
      <c r="T38" s="1" t="s">
        <v>532</v>
      </c>
      <c r="U38" s="1" t="s">
        <v>533</v>
      </c>
      <c r="W38" s="1" t="s">
        <v>610</v>
      </c>
      <c r="X38" s="1" t="s">
        <v>61</v>
      </c>
      <c r="Y38" s="1" t="s">
        <v>611</v>
      </c>
      <c r="Z38" s="1" t="s">
        <v>548</v>
      </c>
      <c r="AA38" s="1" t="s">
        <v>612</v>
      </c>
      <c r="AB38" s="1" t="s">
        <v>321</v>
      </c>
      <c r="AC38" s="1" t="s">
        <v>446</v>
      </c>
      <c r="AE38" s="1" t="s">
        <v>552</v>
      </c>
      <c r="AP38" s="2" t="s">
        <v>613</v>
      </c>
      <c r="AU38" s="16" t="s">
        <v>548</v>
      </c>
      <c r="AV38" s="14" t="s">
        <v>446</v>
      </c>
      <c r="AW38" s="14" t="s">
        <v>481</v>
      </c>
      <c r="AX38" s="17" t="s">
        <v>467</v>
      </c>
      <c r="AY38" s="16" t="s">
        <v>354</v>
      </c>
    </row>
    <row r="39" spans="12:51" x14ac:dyDescent="0.5">
      <c r="L39" s="1" t="s">
        <v>533</v>
      </c>
      <c r="M39" s="1" t="s">
        <v>596</v>
      </c>
      <c r="N39" s="1" t="s">
        <v>598</v>
      </c>
      <c r="P39" s="1" t="s">
        <v>614</v>
      </c>
      <c r="Q39" s="1" t="s">
        <v>61</v>
      </c>
      <c r="S39" s="1" t="s">
        <v>533</v>
      </c>
      <c r="T39" s="1" t="s">
        <v>596</v>
      </c>
      <c r="U39" s="1" t="s">
        <v>598</v>
      </c>
      <c r="W39" s="1" t="s">
        <v>614</v>
      </c>
      <c r="X39" s="1" t="s">
        <v>61</v>
      </c>
      <c r="Y39" s="1" t="s">
        <v>615</v>
      </c>
      <c r="Z39" s="1" t="s">
        <v>273</v>
      </c>
      <c r="AA39" s="1" t="s">
        <v>420</v>
      </c>
      <c r="AB39" s="1" t="s">
        <v>572</v>
      </c>
      <c r="AC39" s="1" t="s">
        <v>450</v>
      </c>
      <c r="AP39" s="2" t="s">
        <v>468</v>
      </c>
      <c r="AU39" s="16" t="s">
        <v>368</v>
      </c>
      <c r="AV39" s="15" t="s">
        <v>458</v>
      </c>
      <c r="AW39" s="17" t="s">
        <v>535</v>
      </c>
      <c r="AX39" s="17" t="s">
        <v>402</v>
      </c>
      <c r="AY39" s="16" t="s">
        <v>562</v>
      </c>
    </row>
    <row r="40" spans="12:51" x14ac:dyDescent="0.5">
      <c r="L40" s="1" t="s">
        <v>551</v>
      </c>
      <c r="M40" s="1" t="s">
        <v>422</v>
      </c>
      <c r="N40" s="1" t="s">
        <v>230</v>
      </c>
      <c r="P40" s="1" t="s">
        <v>615</v>
      </c>
      <c r="Q40" s="1" t="s">
        <v>616</v>
      </c>
      <c r="S40" s="1" t="s">
        <v>551</v>
      </c>
      <c r="T40" s="1" t="s">
        <v>422</v>
      </c>
      <c r="U40" s="1" t="s">
        <v>230</v>
      </c>
      <c r="W40" s="1" t="s">
        <v>615</v>
      </c>
      <c r="X40" s="1" t="s">
        <v>616</v>
      </c>
      <c r="Y40" s="1" t="s">
        <v>329</v>
      </c>
      <c r="Z40" s="1" t="s">
        <v>617</v>
      </c>
      <c r="AA40" s="1" t="s">
        <v>431</v>
      </c>
      <c r="AB40" s="1" t="s">
        <v>618</v>
      </c>
      <c r="AC40" s="1" t="s">
        <v>310</v>
      </c>
      <c r="AP40" s="2" t="s">
        <v>619</v>
      </c>
      <c r="AU40" s="16" t="s">
        <v>480</v>
      </c>
      <c r="AV40" s="17" t="s">
        <v>324</v>
      </c>
      <c r="AW40" s="16" t="s">
        <v>444</v>
      </c>
      <c r="AX40" s="17" t="s">
        <v>491</v>
      </c>
      <c r="AY40" s="16" t="s">
        <v>282</v>
      </c>
    </row>
    <row r="41" spans="12:51" x14ac:dyDescent="0.5">
      <c r="L41" s="1" t="s">
        <v>406</v>
      </c>
      <c r="M41" s="1" t="s">
        <v>233</v>
      </c>
      <c r="N41" s="1" t="s">
        <v>570</v>
      </c>
      <c r="P41" s="1" t="s">
        <v>464</v>
      </c>
      <c r="Q41" s="1" t="s">
        <v>620</v>
      </c>
      <c r="S41" s="1" t="s">
        <v>406</v>
      </c>
      <c r="T41" s="1" t="s">
        <v>233</v>
      </c>
      <c r="U41" s="1" t="s">
        <v>570</v>
      </c>
      <c r="W41" s="1" t="s">
        <v>464</v>
      </c>
      <c r="X41" s="1" t="s">
        <v>620</v>
      </c>
      <c r="Y41" s="1" t="s">
        <v>621</v>
      </c>
      <c r="AA41" s="1" t="s">
        <v>553</v>
      </c>
      <c r="AB41" s="1" t="s">
        <v>501</v>
      </c>
      <c r="AP41" s="2" t="s">
        <v>622</v>
      </c>
      <c r="AU41" s="16" t="s">
        <v>502</v>
      </c>
      <c r="AV41" s="16" t="s">
        <v>449</v>
      </c>
      <c r="AW41" s="17" t="s">
        <v>464</v>
      </c>
      <c r="AX41" s="16" t="s">
        <v>521</v>
      </c>
      <c r="AY41" s="16" t="s">
        <v>58</v>
      </c>
    </row>
    <row r="42" spans="12:51" x14ac:dyDescent="0.5">
      <c r="L42" s="1" t="s">
        <v>553</v>
      </c>
      <c r="M42" s="1" t="s">
        <v>380</v>
      </c>
      <c r="N42" s="1" t="s">
        <v>578</v>
      </c>
      <c r="P42" s="1" t="s">
        <v>361</v>
      </c>
      <c r="Q42" s="1" t="s">
        <v>597</v>
      </c>
      <c r="S42" s="1" t="s">
        <v>553</v>
      </c>
      <c r="T42" s="1" t="s">
        <v>380</v>
      </c>
      <c r="U42" s="1" t="s">
        <v>578</v>
      </c>
      <c r="W42" s="1" t="s">
        <v>361</v>
      </c>
      <c r="X42" s="1" t="s">
        <v>597</v>
      </c>
      <c r="Y42" s="1" t="s">
        <v>213</v>
      </c>
      <c r="AA42" s="1" t="s">
        <v>623</v>
      </c>
      <c r="AB42" s="1" t="s">
        <v>558</v>
      </c>
      <c r="AP42" s="2" t="s">
        <v>575</v>
      </c>
      <c r="AU42" s="16" t="s">
        <v>503</v>
      </c>
      <c r="AV42" s="14" t="s">
        <v>411</v>
      </c>
      <c r="AW42" s="16" t="s">
        <v>225</v>
      </c>
      <c r="AX42" s="17" t="s">
        <v>396</v>
      </c>
      <c r="AY42" s="16" t="s">
        <v>478</v>
      </c>
    </row>
    <row r="43" spans="12:51" x14ac:dyDescent="0.5">
      <c r="L43" s="1" t="s">
        <v>624</v>
      </c>
      <c r="N43" s="1" t="s">
        <v>454</v>
      </c>
      <c r="P43" s="1" t="s">
        <v>323</v>
      </c>
      <c r="Q43" s="1" t="s">
        <v>479</v>
      </c>
      <c r="S43" s="1" t="s">
        <v>624</v>
      </c>
      <c r="U43" s="1" t="s">
        <v>454</v>
      </c>
      <c r="W43" s="1" t="s">
        <v>323</v>
      </c>
      <c r="X43" s="1" t="s">
        <v>479</v>
      </c>
      <c r="Y43" s="1" t="s">
        <v>277</v>
      </c>
      <c r="AA43" s="1" t="s">
        <v>625</v>
      </c>
      <c r="AB43" s="1" t="s">
        <v>626</v>
      </c>
      <c r="AP43" s="2" t="s">
        <v>627</v>
      </c>
      <c r="AU43" s="16" t="s">
        <v>523</v>
      </c>
      <c r="AV43" s="16" t="s">
        <v>474</v>
      </c>
      <c r="AW43" s="17" t="s">
        <v>587</v>
      </c>
      <c r="AX43" s="17" t="s">
        <v>215</v>
      </c>
      <c r="AY43" s="16" t="s">
        <v>479</v>
      </c>
    </row>
    <row r="44" spans="12:51" x14ac:dyDescent="0.5">
      <c r="L44" s="1" t="s">
        <v>532</v>
      </c>
      <c r="P44" s="1" t="s">
        <v>554</v>
      </c>
      <c r="Q44" s="1" t="s">
        <v>628</v>
      </c>
      <c r="S44" s="1" t="s">
        <v>532</v>
      </c>
      <c r="W44" s="1" t="s">
        <v>554</v>
      </c>
      <c r="X44" s="1" t="s">
        <v>628</v>
      </c>
      <c r="Y44" s="1" t="s">
        <v>528</v>
      </c>
      <c r="AA44" s="1" t="s">
        <v>629</v>
      </c>
      <c r="AB44" s="1" t="s">
        <v>86</v>
      </c>
      <c r="AP44" s="2" t="s">
        <v>532</v>
      </c>
      <c r="AU44" s="16" t="s">
        <v>501</v>
      </c>
      <c r="AV44" s="17" t="s">
        <v>407</v>
      </c>
      <c r="AW44" s="16" t="s">
        <v>420</v>
      </c>
      <c r="AX44" s="17" t="s">
        <v>416</v>
      </c>
      <c r="AY44" s="16" t="s">
        <v>283</v>
      </c>
    </row>
    <row r="45" spans="12:51" x14ac:dyDescent="0.5">
      <c r="L45" s="1" t="s">
        <v>630</v>
      </c>
      <c r="P45" s="1" t="s">
        <v>564</v>
      </c>
      <c r="Q45" s="1" t="s">
        <v>628</v>
      </c>
      <c r="S45" s="1" t="s">
        <v>630</v>
      </c>
      <c r="W45" s="1" t="s">
        <v>564</v>
      </c>
      <c r="X45" s="1" t="s">
        <v>628</v>
      </c>
      <c r="Y45" s="1" t="s">
        <v>214</v>
      </c>
      <c r="AA45" s="1" t="s">
        <v>631</v>
      </c>
      <c r="AB45" s="1" t="s">
        <v>528</v>
      </c>
      <c r="AP45" s="2" t="s">
        <v>494</v>
      </c>
      <c r="AU45" s="16" t="s">
        <v>586</v>
      </c>
      <c r="AV45" s="15" t="s">
        <v>393</v>
      </c>
      <c r="AW45" s="17" t="s">
        <v>599</v>
      </c>
      <c r="AX45" s="16" t="s">
        <v>391</v>
      </c>
      <c r="AY45" s="16" t="s">
        <v>308</v>
      </c>
    </row>
    <row r="46" spans="12:51" x14ac:dyDescent="0.5">
      <c r="P46" s="1" t="s">
        <v>431</v>
      </c>
      <c r="Q46" s="1" t="s">
        <v>488</v>
      </c>
      <c r="W46" s="1" t="s">
        <v>431</v>
      </c>
      <c r="X46" s="1" t="s">
        <v>488</v>
      </c>
      <c r="Y46" s="1" t="s">
        <v>632</v>
      </c>
      <c r="AA46" s="1" t="s">
        <v>394</v>
      </c>
      <c r="AB46" s="1" t="s">
        <v>90</v>
      </c>
      <c r="AP46" s="2" t="s">
        <v>454</v>
      </c>
      <c r="AU46" s="16" t="s">
        <v>533</v>
      </c>
      <c r="AV46" s="14" t="s">
        <v>493</v>
      </c>
      <c r="AW46" s="14" t="s">
        <v>227</v>
      </c>
      <c r="AX46" s="16" t="s">
        <v>456</v>
      </c>
      <c r="AY46" s="16" t="s">
        <v>226</v>
      </c>
    </row>
    <row r="47" spans="12:51" x14ac:dyDescent="0.5">
      <c r="P47" s="1" t="s">
        <v>420</v>
      </c>
      <c r="Q47" s="1" t="s">
        <v>323</v>
      </c>
      <c r="W47" s="1" t="s">
        <v>420</v>
      </c>
      <c r="X47" s="1" t="s">
        <v>323</v>
      </c>
      <c r="Y47" s="1" t="s">
        <v>633</v>
      </c>
      <c r="AA47" s="1" t="s">
        <v>222</v>
      </c>
      <c r="AB47" s="1" t="s">
        <v>634</v>
      </c>
      <c r="AP47" s="2"/>
      <c r="AU47" s="16" t="s">
        <v>551</v>
      </c>
      <c r="AV47" s="16" t="s">
        <v>399</v>
      </c>
      <c r="AW47" s="16" t="s">
        <v>534</v>
      </c>
      <c r="AX47" s="17" t="s">
        <v>417</v>
      </c>
      <c r="AY47" s="16" t="s">
        <v>468</v>
      </c>
    </row>
    <row r="48" spans="12:51" x14ac:dyDescent="0.5">
      <c r="P48" s="1" t="s">
        <v>420</v>
      </c>
      <c r="Q48" s="1" t="s">
        <v>554</v>
      </c>
      <c r="W48" s="1" t="s">
        <v>420</v>
      </c>
      <c r="X48" s="1" t="s">
        <v>554</v>
      </c>
      <c r="Y48" s="1" t="s">
        <v>635</v>
      </c>
      <c r="AA48" s="1" t="s">
        <v>499</v>
      </c>
      <c r="AB48" s="1" t="s">
        <v>235</v>
      </c>
      <c r="AU48" s="16" t="s">
        <v>598</v>
      </c>
      <c r="AV48" s="15" t="s">
        <v>93</v>
      </c>
      <c r="AW48" s="17" t="s">
        <v>608</v>
      </c>
      <c r="AX48" s="16" t="s">
        <v>446</v>
      </c>
      <c r="AY48" s="16" t="s">
        <v>501</v>
      </c>
    </row>
    <row r="49" spans="16:51" x14ac:dyDescent="0.5">
      <c r="P49" s="1" t="s">
        <v>636</v>
      </c>
      <c r="Q49" s="1" t="s">
        <v>637</v>
      </c>
      <c r="W49" s="1" t="s">
        <v>636</v>
      </c>
      <c r="X49" s="1" t="s">
        <v>637</v>
      </c>
      <c r="Y49" s="1" t="s">
        <v>327</v>
      </c>
      <c r="AA49" s="1" t="s">
        <v>521</v>
      </c>
      <c r="AB49" s="1" t="s">
        <v>234</v>
      </c>
      <c r="AU49" s="16" t="s">
        <v>307</v>
      </c>
      <c r="AV49" s="17" t="s">
        <v>408</v>
      </c>
      <c r="AW49" s="16" t="s">
        <v>533</v>
      </c>
      <c r="AX49" s="17" t="s">
        <v>527</v>
      </c>
      <c r="AY49" s="16" t="s">
        <v>328</v>
      </c>
    </row>
    <row r="50" spans="16:51" x14ac:dyDescent="0.5">
      <c r="P50" s="1" t="s">
        <v>227</v>
      </c>
      <c r="Q50" s="1" t="s">
        <v>523</v>
      </c>
      <c r="W50" s="1" t="s">
        <v>227</v>
      </c>
      <c r="X50" s="1" t="s">
        <v>523</v>
      </c>
      <c r="Y50" s="1" t="s">
        <v>450</v>
      </c>
      <c r="AA50" s="1" t="s">
        <v>311</v>
      </c>
      <c r="AB50" s="1" t="s">
        <v>553</v>
      </c>
      <c r="AU50" s="16" t="s">
        <v>553</v>
      </c>
      <c r="AV50" s="16" t="s">
        <v>515</v>
      </c>
      <c r="AW50" s="17" t="s">
        <v>598</v>
      </c>
      <c r="AX50" s="17" t="s">
        <v>411</v>
      </c>
      <c r="AY50" s="16" t="s">
        <v>236</v>
      </c>
    </row>
    <row r="51" spans="16:51" x14ac:dyDescent="0.5">
      <c r="P51" s="1" t="s">
        <v>638</v>
      </c>
      <c r="Q51" s="1" t="s">
        <v>639</v>
      </c>
      <c r="W51" s="1" t="s">
        <v>638</v>
      </c>
      <c r="X51" s="1" t="s">
        <v>639</v>
      </c>
      <c r="Y51" s="1" t="s">
        <v>640</v>
      </c>
      <c r="AA51" s="1" t="s">
        <v>527</v>
      </c>
      <c r="AB51" s="1" t="s">
        <v>575</v>
      </c>
      <c r="AU51" s="16" t="s">
        <v>532</v>
      </c>
      <c r="AV51" s="16" t="s">
        <v>61</v>
      </c>
      <c r="AW51" s="16" t="s">
        <v>230</v>
      </c>
      <c r="AX51" s="17" t="s">
        <v>487</v>
      </c>
      <c r="AY51" s="16" t="s">
        <v>583</v>
      </c>
    </row>
    <row r="52" spans="16:51" x14ac:dyDescent="0.5">
      <c r="P52" s="1" t="s">
        <v>606</v>
      </c>
      <c r="Q52" s="1" t="s">
        <v>627</v>
      </c>
      <c r="W52" s="1" t="s">
        <v>606</v>
      </c>
      <c r="X52" s="1" t="s">
        <v>627</v>
      </c>
      <c r="Y52" s="1" t="s">
        <v>575</v>
      </c>
      <c r="AA52" s="1" t="s">
        <v>481</v>
      </c>
      <c r="AB52" s="1" t="s">
        <v>641</v>
      </c>
      <c r="AU52" s="16" t="s">
        <v>596</v>
      </c>
      <c r="AV52" s="14" t="s">
        <v>473</v>
      </c>
      <c r="AW52" s="15" t="s">
        <v>307</v>
      </c>
      <c r="AX52" s="16" t="s">
        <v>433</v>
      </c>
      <c r="AY52" s="16" t="s">
        <v>604</v>
      </c>
    </row>
    <row r="53" spans="16:51" x14ac:dyDescent="0.5">
      <c r="P53" s="1" t="s">
        <v>523</v>
      </c>
      <c r="Q53" s="1" t="s">
        <v>525</v>
      </c>
      <c r="W53" s="1" t="s">
        <v>523</v>
      </c>
      <c r="X53" s="1" t="s">
        <v>525</v>
      </c>
      <c r="AA53" s="1" t="s">
        <v>642</v>
      </c>
      <c r="AB53" s="1" t="s">
        <v>643</v>
      </c>
      <c r="AU53" s="16" t="s">
        <v>422</v>
      </c>
      <c r="AV53" s="16" t="s">
        <v>530</v>
      </c>
      <c r="AW53" s="14" t="s">
        <v>532</v>
      </c>
      <c r="AX53" s="17" t="s">
        <v>544</v>
      </c>
      <c r="AY53" s="16" t="s">
        <v>86</v>
      </c>
    </row>
    <row r="54" spans="16:51" x14ac:dyDescent="0.5">
      <c r="P54" s="1" t="s">
        <v>540</v>
      </c>
      <c r="Q54" s="1" t="s">
        <v>230</v>
      </c>
      <c r="W54" s="1" t="s">
        <v>540</v>
      </c>
      <c r="X54" s="1" t="s">
        <v>230</v>
      </c>
      <c r="AA54" s="1" t="s">
        <v>644</v>
      </c>
      <c r="AB54" s="1" t="s">
        <v>230</v>
      </c>
      <c r="AU54" s="16" t="s">
        <v>233</v>
      </c>
      <c r="AV54" s="16" t="s">
        <v>445</v>
      </c>
      <c r="AW54" s="15" t="s">
        <v>563</v>
      </c>
      <c r="AX54" s="16" t="s">
        <v>408</v>
      </c>
      <c r="AY54" s="16" t="s">
        <v>533</v>
      </c>
    </row>
    <row r="55" spans="16:51" x14ac:dyDescent="0.5">
      <c r="P55" s="1" t="s">
        <v>229</v>
      </c>
      <c r="Q55" s="1" t="s">
        <v>498</v>
      </c>
      <c r="W55" s="1" t="s">
        <v>229</v>
      </c>
      <c r="X55" s="1" t="s">
        <v>498</v>
      </c>
      <c r="AA55" s="1" t="s">
        <v>534</v>
      </c>
      <c r="AB55" s="1" t="s">
        <v>645</v>
      </c>
      <c r="AU55" s="16" t="s">
        <v>380</v>
      </c>
      <c r="AV55" s="17" t="s">
        <v>547</v>
      </c>
      <c r="AW55" s="17" t="s">
        <v>570</v>
      </c>
      <c r="AX55" s="17" t="s">
        <v>354</v>
      </c>
      <c r="AY55" s="16" t="s">
        <v>307</v>
      </c>
    </row>
    <row r="56" spans="16:51" x14ac:dyDescent="0.5">
      <c r="P56" s="1" t="s">
        <v>236</v>
      </c>
      <c r="Q56" s="1" t="s">
        <v>553</v>
      </c>
      <c r="W56" s="1" t="s">
        <v>236</v>
      </c>
      <c r="X56" s="1" t="s">
        <v>553</v>
      </c>
      <c r="AA56" s="1" t="s">
        <v>646</v>
      </c>
      <c r="AB56" s="1" t="s">
        <v>578</v>
      </c>
      <c r="AU56" s="18"/>
      <c r="AV56" s="15" t="s">
        <v>457</v>
      </c>
      <c r="AW56" s="15" t="s">
        <v>561</v>
      </c>
      <c r="AX56" s="16" t="s">
        <v>562</v>
      </c>
      <c r="AY56" s="16" t="s">
        <v>532</v>
      </c>
    </row>
    <row r="57" spans="16:51" x14ac:dyDescent="0.5">
      <c r="P57" s="1" t="s">
        <v>647</v>
      </c>
      <c r="Q57" s="1" t="s">
        <v>532</v>
      </c>
      <c r="W57" s="1" t="s">
        <v>647</v>
      </c>
      <c r="X57" s="1" t="s">
        <v>532</v>
      </c>
      <c r="AA57" s="1" t="s">
        <v>495</v>
      </c>
      <c r="AB57" s="1" t="s">
        <v>407</v>
      </c>
      <c r="AV57" s="17" t="s">
        <v>528</v>
      </c>
      <c r="AW57" s="16" t="s">
        <v>578</v>
      </c>
      <c r="AX57" s="16" t="s">
        <v>282</v>
      </c>
      <c r="AY57" s="16" t="s">
        <v>477</v>
      </c>
    </row>
    <row r="58" spans="16:51" x14ac:dyDescent="0.5">
      <c r="P58" s="1" t="s">
        <v>230</v>
      </c>
      <c r="Q58" s="1" t="s">
        <v>231</v>
      </c>
      <c r="W58" s="1" t="s">
        <v>230</v>
      </c>
      <c r="X58" s="1" t="s">
        <v>231</v>
      </c>
      <c r="AA58" s="1" t="s">
        <v>648</v>
      </c>
      <c r="AB58" s="1" t="s">
        <v>649</v>
      </c>
      <c r="AV58" s="16" t="s">
        <v>481</v>
      </c>
      <c r="AW58" s="14"/>
      <c r="AX58" s="16" t="s">
        <v>357</v>
      </c>
      <c r="AY58" s="16" t="s">
        <v>561</v>
      </c>
    </row>
    <row r="59" spans="16:51" x14ac:dyDescent="0.5">
      <c r="P59" s="1" t="s">
        <v>498</v>
      </c>
      <c r="Q59" s="1" t="s">
        <v>650</v>
      </c>
      <c r="W59" s="1" t="s">
        <v>498</v>
      </c>
      <c r="X59" s="1" t="s">
        <v>650</v>
      </c>
      <c r="AA59" s="1" t="s">
        <v>651</v>
      </c>
      <c r="AB59" s="1" t="s">
        <v>652</v>
      </c>
      <c r="AU59" s="2"/>
      <c r="AV59" s="16" t="s">
        <v>548</v>
      </c>
      <c r="AW59" s="14"/>
      <c r="AX59" s="16" t="s">
        <v>58</v>
      </c>
      <c r="AY59" s="16" t="s">
        <v>454</v>
      </c>
    </row>
    <row r="60" spans="16:51" x14ac:dyDescent="0.5">
      <c r="P60" s="1" t="s">
        <v>640</v>
      </c>
      <c r="Q60" s="1" t="s">
        <v>424</v>
      </c>
      <c r="W60" s="1" t="s">
        <v>640</v>
      </c>
      <c r="X60" s="1" t="s">
        <v>424</v>
      </c>
      <c r="AA60" s="1" t="s">
        <v>653</v>
      </c>
      <c r="AB60" s="1" t="s">
        <v>654</v>
      </c>
      <c r="AV60" s="17" t="s">
        <v>535</v>
      </c>
      <c r="AW60" s="14"/>
      <c r="AX60" s="16" t="s">
        <v>478</v>
      </c>
      <c r="AY60" s="16"/>
    </row>
    <row r="61" spans="16:51" x14ac:dyDescent="0.5">
      <c r="P61" s="1" t="s">
        <v>448</v>
      </c>
      <c r="Q61" s="1" t="s">
        <v>397</v>
      </c>
      <c r="W61" s="1" t="s">
        <v>448</v>
      </c>
      <c r="X61" s="1" t="s">
        <v>397</v>
      </c>
      <c r="AA61" s="1" t="s">
        <v>282</v>
      </c>
      <c r="AB61" s="1" t="s">
        <v>655</v>
      </c>
      <c r="AV61" s="16" t="s">
        <v>444</v>
      </c>
      <c r="AW61" s="14"/>
      <c r="AX61" s="16" t="s">
        <v>479</v>
      </c>
      <c r="AY61" s="16"/>
    </row>
    <row r="62" spans="16:51" x14ac:dyDescent="0.5">
      <c r="P62" s="1" t="s">
        <v>605</v>
      </c>
      <c r="Q62" s="1" t="s">
        <v>561</v>
      </c>
      <c r="W62" s="1" t="s">
        <v>605</v>
      </c>
      <c r="X62" s="1" t="s">
        <v>561</v>
      </c>
      <c r="AA62" s="1" t="s">
        <v>229</v>
      </c>
      <c r="AB62" s="1" t="s">
        <v>656</v>
      </c>
      <c r="AV62" s="17" t="s">
        <v>464</v>
      </c>
      <c r="AW62" s="14"/>
      <c r="AX62" s="16" t="s">
        <v>283</v>
      </c>
      <c r="AY62" s="16"/>
    </row>
    <row r="63" spans="16:51" x14ac:dyDescent="0.5">
      <c r="P63" s="1" t="s">
        <v>459</v>
      </c>
      <c r="Q63" s="1" t="s">
        <v>234</v>
      </c>
      <c r="W63" s="1" t="s">
        <v>459</v>
      </c>
      <c r="X63" s="1" t="s">
        <v>234</v>
      </c>
      <c r="AA63" s="1" t="s">
        <v>657</v>
      </c>
      <c r="AU63" s="2"/>
      <c r="AV63" s="17" t="s">
        <v>488</v>
      </c>
      <c r="AW63" s="14"/>
      <c r="AX63" s="17" t="s">
        <v>308</v>
      </c>
      <c r="AY63" s="16"/>
    </row>
    <row r="64" spans="16:51" x14ac:dyDescent="0.5">
      <c r="Q64" s="1" t="s">
        <v>454</v>
      </c>
      <c r="X64" s="1" t="s">
        <v>454</v>
      </c>
      <c r="AA64" s="1" t="s">
        <v>586</v>
      </c>
      <c r="AV64" s="16" t="s">
        <v>225</v>
      </c>
      <c r="AW64" s="14"/>
      <c r="AX64" s="16" t="s">
        <v>226</v>
      </c>
      <c r="AY64" s="16"/>
    </row>
    <row r="65" spans="17:51" x14ac:dyDescent="0.5">
      <c r="Q65" s="1" t="s">
        <v>235</v>
      </c>
      <c r="X65" s="1" t="s">
        <v>235</v>
      </c>
      <c r="AA65" s="1" t="s">
        <v>632</v>
      </c>
      <c r="AV65" s="14" t="s">
        <v>545</v>
      </c>
      <c r="AW65" s="14"/>
      <c r="AX65" s="17" t="s">
        <v>468</v>
      </c>
      <c r="AY65" s="16"/>
    </row>
    <row r="66" spans="17:51" x14ac:dyDescent="0.5">
      <c r="Q66" s="1" t="s">
        <v>658</v>
      </c>
      <c r="X66" s="1" t="s">
        <v>658</v>
      </c>
      <c r="AA66" s="1" t="s">
        <v>659</v>
      </c>
      <c r="AV66" s="15" t="s">
        <v>503</v>
      </c>
      <c r="AW66" s="14"/>
      <c r="AX66" s="16" t="s">
        <v>501</v>
      </c>
      <c r="AY66" s="16"/>
    </row>
    <row r="67" spans="17:51" x14ac:dyDescent="0.5">
      <c r="AA67" s="1" t="s">
        <v>660</v>
      </c>
      <c r="AV67" s="17" t="s">
        <v>587</v>
      </c>
      <c r="AW67" s="14"/>
      <c r="AX67" s="16" t="s">
        <v>520</v>
      </c>
      <c r="AY67" s="16"/>
    </row>
    <row r="68" spans="17:51" x14ac:dyDescent="0.5">
      <c r="AA68" s="1" t="s">
        <v>581</v>
      </c>
      <c r="AV68" s="14" t="s">
        <v>431</v>
      </c>
      <c r="AW68" s="14"/>
      <c r="AX68" s="16" t="s">
        <v>328</v>
      </c>
      <c r="AY68" s="16"/>
    </row>
    <row r="69" spans="17:51" x14ac:dyDescent="0.5">
      <c r="AV69" s="16" t="s">
        <v>420</v>
      </c>
      <c r="AW69" s="14"/>
      <c r="AX69" s="16" t="s">
        <v>236</v>
      </c>
      <c r="AY69" s="16"/>
    </row>
    <row r="70" spans="17:51" x14ac:dyDescent="0.5">
      <c r="AV70" s="17" t="s">
        <v>599</v>
      </c>
      <c r="AW70" s="19"/>
      <c r="AX70" s="16" t="s">
        <v>583</v>
      </c>
      <c r="AY70" s="16"/>
    </row>
    <row r="71" spans="17:51" x14ac:dyDescent="0.5">
      <c r="AV71" s="16" t="s">
        <v>227</v>
      </c>
      <c r="AX71" s="16" t="s">
        <v>409</v>
      </c>
      <c r="AY71" s="16"/>
    </row>
    <row r="72" spans="17:51" x14ac:dyDescent="0.5">
      <c r="AV72" s="16" t="s">
        <v>534</v>
      </c>
      <c r="AX72" s="17" t="s">
        <v>604</v>
      </c>
      <c r="AY72" s="16"/>
    </row>
    <row r="73" spans="17:51" x14ac:dyDescent="0.5">
      <c r="AV73" s="17" t="s">
        <v>501</v>
      </c>
      <c r="AX73" s="16" t="s">
        <v>356</v>
      </c>
      <c r="AY73" s="16"/>
    </row>
    <row r="74" spans="17:51" x14ac:dyDescent="0.5">
      <c r="AV74" s="14" t="s">
        <v>571</v>
      </c>
      <c r="AX74" s="17" t="s">
        <v>86</v>
      </c>
      <c r="AY74" s="16"/>
    </row>
    <row r="75" spans="17:51" x14ac:dyDescent="0.5">
      <c r="AV75" s="15" t="s">
        <v>575</v>
      </c>
      <c r="AX75" s="16" t="s">
        <v>533</v>
      </c>
      <c r="AY75" s="16"/>
    </row>
    <row r="76" spans="17:51" x14ac:dyDescent="0.5">
      <c r="AV76" s="14" t="s">
        <v>579</v>
      </c>
      <c r="AX76" s="16" t="s">
        <v>551</v>
      </c>
      <c r="AY76" s="16"/>
    </row>
    <row r="77" spans="17:51" x14ac:dyDescent="0.5">
      <c r="AV77" s="17" t="s">
        <v>608</v>
      </c>
      <c r="AX77" s="17" t="s">
        <v>307</v>
      </c>
      <c r="AY77" s="16"/>
    </row>
    <row r="78" spans="17:51" x14ac:dyDescent="0.5">
      <c r="AV78" s="17" t="s">
        <v>86</v>
      </c>
      <c r="AX78" s="17" t="s">
        <v>556</v>
      </c>
      <c r="AY78" s="16"/>
    </row>
    <row r="79" spans="17:51" x14ac:dyDescent="0.5">
      <c r="AV79" s="16" t="s">
        <v>533</v>
      </c>
      <c r="AX79" s="16" t="s">
        <v>532</v>
      </c>
      <c r="AY79" s="16"/>
    </row>
    <row r="80" spans="17:51" x14ac:dyDescent="0.5">
      <c r="AV80" s="15" t="s">
        <v>584</v>
      </c>
      <c r="AX80" s="16" t="s">
        <v>477</v>
      </c>
      <c r="AY80" s="16"/>
    </row>
    <row r="81" spans="48:51" x14ac:dyDescent="0.5">
      <c r="AV81" s="17" t="s">
        <v>598</v>
      </c>
      <c r="AX81" s="17" t="s">
        <v>510</v>
      </c>
      <c r="AY81" s="17"/>
    </row>
    <row r="82" spans="48:51" x14ac:dyDescent="0.5">
      <c r="AV82" s="14" t="s">
        <v>590</v>
      </c>
      <c r="AX82" s="16" t="s">
        <v>552</v>
      </c>
      <c r="AY82" s="16"/>
    </row>
    <row r="83" spans="48:51" x14ac:dyDescent="0.5">
      <c r="AV83" s="16" t="s">
        <v>230</v>
      </c>
      <c r="AX83" s="17" t="s">
        <v>424</v>
      </c>
      <c r="AY83" s="17"/>
    </row>
    <row r="84" spans="48:51" x14ac:dyDescent="0.5">
      <c r="AV84" s="17" t="s">
        <v>596</v>
      </c>
      <c r="AX84" s="17" t="s">
        <v>397</v>
      </c>
      <c r="AY84" s="16"/>
    </row>
    <row r="85" spans="48:51" x14ac:dyDescent="0.5">
      <c r="AV85" s="14" t="s">
        <v>448</v>
      </c>
      <c r="AX85" s="16" t="s">
        <v>561</v>
      </c>
      <c r="AY85" s="16"/>
    </row>
    <row r="86" spans="48:51" x14ac:dyDescent="0.5">
      <c r="AV86" s="16" t="s">
        <v>605</v>
      </c>
      <c r="AX86" s="20" t="s">
        <v>454</v>
      </c>
      <c r="AY86" s="16"/>
    </row>
    <row r="87" spans="48:51" x14ac:dyDescent="0.5">
      <c r="AV87" s="17" t="s">
        <v>570</v>
      </c>
      <c r="AX87" s="17" t="s">
        <v>235</v>
      </c>
      <c r="AY87" s="20"/>
    </row>
    <row r="88" spans="48:51" x14ac:dyDescent="0.5">
      <c r="AV88" s="16" t="s">
        <v>578</v>
      </c>
      <c r="AX88" s="17"/>
    </row>
    <row r="89" spans="48:51" x14ac:dyDescent="0.5">
      <c r="AV89" s="17"/>
      <c r="AX89" s="17"/>
    </row>
    <row r="90" spans="48:51" x14ac:dyDescent="0.5">
      <c r="AV90" s="17"/>
      <c r="AX90" s="17"/>
    </row>
    <row r="91" spans="48:51" x14ac:dyDescent="0.5">
      <c r="AV91" s="16"/>
      <c r="AX91" s="17"/>
    </row>
    <row r="92" spans="48:51" x14ac:dyDescent="0.5">
      <c r="AV92" s="17"/>
      <c r="AX92" s="20"/>
    </row>
    <row r="93" spans="48:51" x14ac:dyDescent="0.5">
      <c r="AV93" s="17"/>
    </row>
    <row r="94" spans="48:51" x14ac:dyDescent="0.5">
      <c r="AV94" s="17"/>
    </row>
    <row r="95" spans="48:51" x14ac:dyDescent="0.5">
      <c r="AV95" s="17"/>
    </row>
    <row r="96" spans="48:51" x14ac:dyDescent="0.5">
      <c r="AV96" s="17"/>
    </row>
    <row r="97" spans="48:48" x14ac:dyDescent="0.5">
      <c r="AV97" s="16"/>
    </row>
    <row r="98" spans="48:48" x14ac:dyDescent="0.5">
      <c r="AV98" s="17"/>
    </row>
    <row r="99" spans="48:48" x14ac:dyDescent="0.5">
      <c r="AV99" s="17"/>
    </row>
    <row r="100" spans="48:48" x14ac:dyDescent="0.5">
      <c r="AV100" s="17"/>
    </row>
    <row r="101" spans="48:48" x14ac:dyDescent="0.5">
      <c r="AV101" s="17"/>
    </row>
    <row r="102" spans="48:48" x14ac:dyDescent="0.5">
      <c r="AV102" s="17"/>
    </row>
    <row r="103" spans="48:48" x14ac:dyDescent="0.5">
      <c r="AV103" s="15"/>
    </row>
    <row r="104" spans="48:48" x14ac:dyDescent="0.5">
      <c r="AV104" s="17"/>
    </row>
    <row r="105" spans="48:48" x14ac:dyDescent="0.5">
      <c r="AV105" s="17"/>
    </row>
    <row r="106" spans="48:48" x14ac:dyDescent="0.5">
      <c r="AV106" s="17"/>
    </row>
    <row r="107" spans="48:48" x14ac:dyDescent="0.5">
      <c r="AV107" s="17"/>
    </row>
    <row r="108" spans="48:48" x14ac:dyDescent="0.5">
      <c r="AV108" s="20"/>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vt:lpstr>
      <vt:lpstr>Paso 4 Estrategias mesocurricu</vt:lpstr>
      <vt:lpstr>Paso 5 Estrategias micro</vt:lpstr>
      <vt:lpstr>Taxonomía para competencias</vt:lpstr>
      <vt:lpstr>Taxonomias para RA</vt:lpstr>
      <vt:lpstr>'Paso 3 Redacción RA'!actitudinalB</vt:lpstr>
      <vt:lpstr>actitudinalB</vt:lpstr>
      <vt:lpstr>ActitudinalBAK</vt:lpstr>
      <vt:lpstr>'Paso 3 Redacción RA'!AK</vt:lpstr>
      <vt:lpstr>AK</vt:lpstr>
      <vt:lpstr>'Paso 3 Redacción RA'!AnálisisAK</vt:lpstr>
      <vt:lpstr>AnálisisAK</vt:lpstr>
      <vt:lpstr>'Paso 3 Redacción RA'!AnálisisB</vt:lpstr>
      <vt:lpstr>AnálisisB</vt:lpstr>
      <vt:lpstr>'Paso 3 Redacción RA'!AnálisisBAK</vt:lpstr>
      <vt:lpstr>AnálisisBAK</vt:lpstr>
      <vt:lpstr>'Paso 3 Redacción RA'!AnalizarLK</vt:lpstr>
      <vt:lpstr>AnalizarLK</vt:lpstr>
      <vt:lpstr>'Paso 3 Redacción RA'!AplicaciónB</vt:lpstr>
      <vt:lpstr>AplicaciónB</vt:lpstr>
      <vt:lpstr>'Paso 3 Redacción RA'!AplicaciónBAK</vt:lpstr>
      <vt:lpstr>AplicaciónBAK</vt:lpstr>
      <vt:lpstr>'Paso 3 Redacción RA'!AplicarLK</vt:lpstr>
      <vt:lpstr>AplicarLK</vt:lpstr>
      <vt:lpstr>'Paso 3 Redacción RA'!áreasprofesionales</vt:lpstr>
      <vt:lpstr>áreasprofesionales</vt:lpstr>
      <vt:lpstr>'Paso 3 Redacción RA'!BAK</vt:lpstr>
      <vt:lpstr>BAK</vt:lpstr>
      <vt:lpstr>Bloom</vt:lpstr>
      <vt:lpstr>'Paso 3 Redacción RA'!CaracterizarBAK</vt:lpstr>
      <vt:lpstr>CaracterizarBAK</vt:lpstr>
      <vt:lpstr>'Paso 3 Redacción RA'!Cognitivo</vt:lpstr>
      <vt:lpstr>Cognitivo</vt:lpstr>
      <vt:lpstr>'Paso 3 Redacción RA'!cognitivoB</vt:lpstr>
      <vt:lpstr>cognitivoB</vt:lpstr>
      <vt:lpstr>CognitivoBAK</vt:lpstr>
      <vt:lpstr>'Paso 3 Redacción RA'!competencias</vt:lpstr>
      <vt:lpstr>competencias</vt:lpstr>
      <vt:lpstr>ComprenderLK</vt:lpstr>
      <vt:lpstr>'Paso 3 Redacción RA'!ComprensiónAK</vt:lpstr>
      <vt:lpstr>ComprensiónAK</vt:lpstr>
      <vt:lpstr>'Paso 3 Redacción RA'!ComprensionB</vt:lpstr>
      <vt:lpstr>ComprensionB</vt:lpstr>
      <vt:lpstr>'Paso 3 Redacción RA'!ComprensiónBAK</vt:lpstr>
      <vt:lpstr>ComprensiónBAK</vt:lpstr>
      <vt:lpstr>'Paso 3 Redacción RA'!ConceptosLK</vt:lpstr>
      <vt:lpstr>ConceptosLK</vt:lpstr>
      <vt:lpstr>'Paso 3 Redacción RA'!ConocimientoB</vt:lpstr>
      <vt:lpstr>ConocimientoB</vt:lpstr>
      <vt:lpstr>'Paso 3 Redacción RA'!ConocimientoBAK</vt:lpstr>
      <vt:lpstr>ConocimientoBAK</vt:lpstr>
      <vt:lpstr>'Paso 3 Redacción RA'!Conocimientos</vt:lpstr>
      <vt:lpstr>Conocimientos</vt:lpstr>
      <vt:lpstr>'Paso 3 Redacción RA'!ControlBAK</vt:lpstr>
      <vt:lpstr>ControlBAK</vt:lpstr>
      <vt:lpstr>'Paso 3 Redacción RA'!CrearLK</vt:lpstr>
      <vt:lpstr>CrearLK</vt:lpstr>
      <vt:lpstr>dominios</vt:lpstr>
      <vt:lpstr>'Paso 3 Redacción RA'!EvaluaciónB</vt:lpstr>
      <vt:lpstr>EvaluaciónB</vt:lpstr>
      <vt:lpstr>'Paso 3 Redacción RA'!EvaluaciónBAK</vt:lpstr>
      <vt:lpstr>EvaluaciónBAK</vt:lpstr>
      <vt:lpstr>EvaluarLK</vt:lpstr>
      <vt:lpstr>'Paso 3 Redacción RA'!HechosLK</vt:lpstr>
      <vt:lpstr>HechosLK</vt:lpstr>
      <vt:lpstr>'Paso 3 Redacción RA'!ImitaciónBAK</vt:lpstr>
      <vt:lpstr>ImitaciónBAK</vt:lpstr>
      <vt:lpstr>'Paso 3 Redacción RA'!InformaciónAK</vt:lpstr>
      <vt:lpstr>InformaciónAK</vt:lpstr>
      <vt:lpstr>'Paso 3 Redacción RA'!LK</vt:lpstr>
      <vt:lpstr>LK</vt:lpstr>
      <vt:lpstr>'Paso 3 Redacción RA'!ManipulaciónBAK</vt:lpstr>
      <vt:lpstr>ManipulaciónBAK</vt:lpstr>
      <vt:lpstr>'Paso 3 Redacción RA'!MetacogniciónAK</vt:lpstr>
      <vt:lpstr>MetacogniciónAK</vt:lpstr>
      <vt:lpstr>'Paso 3 Redacción RA'!MetacogniciónLK</vt:lpstr>
      <vt:lpstr>MetacogniciónLK</vt:lpstr>
      <vt:lpstr>'Paso 3 Redacción RA'!MetocogniciónAK</vt:lpstr>
      <vt:lpstr>MetocogniciónAK</vt:lpstr>
      <vt:lpstr>ocupacional</vt:lpstr>
      <vt:lpstr>'Paso 3 Redacción RA'!OrganizarBAK</vt:lpstr>
      <vt:lpstr>OrganizarBAK</vt:lpstr>
      <vt:lpstr>PercepciónBAK</vt:lpstr>
      <vt:lpstr>'Paso 3 Redacción RA'!poblacionactuacion</vt:lpstr>
      <vt:lpstr>poblacionactuacion</vt:lpstr>
      <vt:lpstr>'Paso 3 Redacción RA'!poblaciones</vt:lpstr>
      <vt:lpstr>poblaciones</vt:lpstr>
      <vt:lpstr>'Paso 3 Redacción RA'!poblacionesactuación</vt:lpstr>
      <vt:lpstr>poblacionesactuación</vt:lpstr>
      <vt:lpstr>'Paso 3 Redacción RA'!PrecisiónBAK</vt:lpstr>
      <vt:lpstr>PrecisiónBAK</vt:lpstr>
      <vt:lpstr>'Paso 3 Redacción RA'!procedimentalB</vt:lpstr>
      <vt:lpstr>procedimentalB</vt:lpstr>
      <vt:lpstr>ProcedimentalBAK</vt:lpstr>
      <vt:lpstr>'Paso 3 Redacción RA'!ProcedimientosLK</vt:lpstr>
      <vt:lpstr>ProcedimientosLK</vt:lpstr>
      <vt:lpstr>'Paso 3 Redacción RA'!ProcesosAK</vt:lpstr>
      <vt:lpstr>ProcesosAK</vt:lpstr>
      <vt:lpstr>'Paso 3 Redacción RA'!PsicomotorAK</vt:lpstr>
      <vt:lpstr>PsicomotorAK</vt:lpstr>
      <vt:lpstr>RecordarLK</vt:lpstr>
      <vt:lpstr>RecuperaciónAK</vt:lpstr>
      <vt:lpstr>'Paso 3 Redacción RA'!ResponderBAK</vt:lpstr>
      <vt:lpstr>ResponderBAK</vt:lpstr>
      <vt:lpstr>'Paso 3 Redacción RA'!Saberhacer</vt:lpstr>
      <vt:lpstr>Saberhacer</vt:lpstr>
      <vt:lpstr>'Paso 3 Redacción RA'!saberser</vt:lpstr>
      <vt:lpstr>saberser</vt:lpstr>
      <vt:lpstr>'Paso 3 Redacción RA'!SíntesisB</vt:lpstr>
      <vt:lpstr>SíntesisB</vt:lpstr>
      <vt:lpstr>'Paso 3 Redacción RA'!SíntesisBAK</vt:lpstr>
      <vt:lpstr>SíntesisBAK</vt:lpstr>
      <vt:lpstr>'Paso 3 Redacción RA'!tareas</vt:lpstr>
      <vt:lpstr>tareas</vt:lpstr>
      <vt:lpstr>'Paso 3 Redacción RA'!tareasprofesionales</vt:lpstr>
      <vt:lpstr>tareasprofesionales</vt:lpstr>
      <vt:lpstr>'Paso 3 Redacción RA'!taxonomiasra</vt:lpstr>
      <vt:lpstr>taxonomiasra</vt:lpstr>
      <vt:lpstr>UsoConocimientoAK</vt:lpstr>
      <vt:lpstr>'Paso 3 Redacción RA'!Valoragregado</vt:lpstr>
      <vt:lpstr>Valoragregado</vt:lpstr>
      <vt:lpstr>'Paso 3 Redacción RA'!ValorarBAK</vt:lpstr>
      <vt:lpstr>ValorarBAK</vt:lpstr>
      <vt:lpstr>'Paso 3 Redacción RA'!Verboscompetencias</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2026-05-14T05:01:07Z</dcterms:modified>
  <cp:category/>
  <cp:contentStatus/>
</cp:coreProperties>
</file>