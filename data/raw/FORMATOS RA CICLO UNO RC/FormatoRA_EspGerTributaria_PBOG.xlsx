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1422" documentId="13_ncr:1_{4A024314-7386-440D-8DC3-D4ADFD25CD12}" xr6:coauthVersionLast="47" xr6:coauthVersionMax="47" xr10:uidLastSave="{0FB2ACE5-286A-4465-9FEB-7AAF8F677FBE}"/>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'!$A$2:$I$8</definedName>
    <definedName name="_xlnm._FilterDatabase" localSheetId="4" hidden="1">'Paso 5 Estrategias micro'!$B$1:$P$34</definedName>
    <definedName name="actitudinalB">Tabla5785[ActitudinalB]</definedName>
    <definedName name="ActitudinalBAK">'Taxonomias para RA'!$AC$3:$AG$3</definedName>
    <definedName name="AK">Tabla6088[AK]</definedName>
    <definedName name="AnálisisAK">Tabla99[AnálisisAK]</definedName>
    <definedName name="AnálisisB">Tabla385280[AnálisisB]</definedName>
    <definedName name="AnálisisBAK">Tabla3865[AnálisisBAK]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'Paso1 Analisis perfil egreso'!$H$3:$H$14</definedName>
    <definedName name="BAK">Tabla5886[BAK]</definedName>
    <definedName name="Bloom">'Taxonomias para RA'!$G$3:$I$3</definedName>
    <definedName name="CaracterizarBAK">Tabla4776[CaracterizarBAK]</definedName>
    <definedName name="Cognitivo">'Paso1 Analisis perfil egreso'!$E$3:$E$15</definedName>
    <definedName name="cognitivoB">Tabla5583[CognitivoB]</definedName>
    <definedName name="CognitivoBAK">'Taxonomias para RA'!$S$3:$X$3</definedName>
    <definedName name="competencias">#REF!</definedName>
    <definedName name="ComprenderLK">'Taxonomias para RA'!$AM$5:$AM$27</definedName>
    <definedName name="ComprensiónAK">Tabla98[ComprensiónAK]</definedName>
    <definedName name="ComprensionB">Tabla365078[ComprensiónB]</definedName>
    <definedName name="ComprensiónB">Tabla365078[ComprensiónB]</definedName>
    <definedName name="ComprensiónBAK">Tabla3663[ComprensiónBAK]</definedName>
    <definedName name="ConceptosLK">Tabla91[ConceptosLK]</definedName>
    <definedName name="ConocimientoB">Tabla354977[ConocimientoB]</definedName>
    <definedName name="ConocimientoBAK">Tabla3555[ConocimientoBAK]</definedName>
    <definedName name="Conocimientos">'Paso1 Analisis perfil egreso'!$E$3:$E$15</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Tabla90[HechosLK]</definedName>
    <definedName name="ImitaciónBAK">Tabla1168[ImitaciónBAK]</definedName>
    <definedName name="InformaciónAK">Tabla94[InformaciónAK]</definedName>
    <definedName name="LK">Tabla5987[LK]</definedName>
    <definedName name="ManipulaciónBAK">Tabla3069[ManipulaciónBAK]</definedName>
    <definedName name="MetacogniciónAK">Tabla101[MetacogniciónAK]</definedName>
    <definedName name="MetacogniciónLK">Tabla93[MetacogniciónLK]</definedName>
    <definedName name="MetocogniciónAK">Tabla101[MetacogniciónAK]</definedName>
    <definedName name="ocupacional">'Paso1 Analisis perfil egreso'!$H$2:$J$2</definedName>
    <definedName name="OrganizarBAK">Tabla4675[OrganizarBAK]</definedName>
    <definedName name="PercepciónBAK">'Taxonomias para RA'!$AC$4:$AC$40</definedName>
    <definedName name="poblacionactuacion">'Paso1 Analisis perfil egreso'!$J$3:$J$8</definedName>
    <definedName name="poblaciones">'Paso1 Analisis perfil egreso'!$J$3:$J$8</definedName>
    <definedName name="poblacionesactuación">'Paso1 Analisis perfil egreso'!$J$3:$J$8</definedName>
    <definedName name="PrecisiónBAK">Tabla4170[PrecisiónBAK]</definedName>
    <definedName name="procedimentalB">Tabla5684[ProcedimentalB]</definedName>
    <definedName name="ProcedimentalBAK">'Taxonomias para RA'!$Y$3:$AB$3</definedName>
    <definedName name="ProcedimientosLK">Tabla92[ProcedimientosLK]</definedName>
    <definedName name="ProcesosAK">Tabla95[ProcesosAK]</definedName>
    <definedName name="PsicomotorAK">Tabla96[PsicomotorAK]</definedName>
    <definedName name="RecordarLK">'Taxonomias para RA'!$AL$5:$AL$27</definedName>
    <definedName name="RecuperaciónAK">'Taxonomias para RA'!$AT$4:$AT$27</definedName>
    <definedName name="ResponderBAK">Tabla4473[ResponderBAK]</definedName>
    <definedName name="resultadoaprendizaje">'Paso 3 Redacción RA '!$I$3:$I$22</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tareas">'Paso1 Analisis perfil egreso'!$I$3:$I$14</definedName>
    <definedName name="tareasprofesionales">'Paso1 Analisis perfil egreso'!$I$3:$I$14</definedName>
    <definedName name="taxonomiasra">Tabla1715[Taxonomías]</definedName>
    <definedName name="UsoConocimientoAK">'Taxonomias para RA'!$AW$4:$AW$70</definedName>
    <definedName name="Valoragregado">'Paso1 Analisis perfil egreso'!$K$3:$K$8</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7" l="1"/>
  <c r="I31" i="7"/>
  <c r="I30" i="7"/>
  <c r="I29" i="7"/>
  <c r="K28" i="7"/>
  <c r="J28" i="7"/>
  <c r="K25" i="7"/>
  <c r="J25" i="7"/>
  <c r="L25" i="7" s="1"/>
  <c r="K22" i="7"/>
  <c r="J22" i="7"/>
  <c r="L22" i="7" s="1"/>
  <c r="K19" i="7"/>
  <c r="J19" i="7"/>
  <c r="L19" i="7" s="1"/>
  <c r="K16" i="7"/>
  <c r="J16" i="7"/>
  <c r="L16" i="7" s="1"/>
  <c r="K13" i="7"/>
  <c r="J13" i="7"/>
  <c r="L13" i="7" s="1"/>
  <c r="K10" i="7"/>
  <c r="J10" i="7"/>
  <c r="L10" i="7" s="1"/>
  <c r="L7" i="7"/>
  <c r="K7" i="7"/>
  <c r="J7" i="7"/>
  <c r="K5" i="7"/>
  <c r="J5" i="7"/>
  <c r="L5" i="7" s="1"/>
  <c r="K3" i="7"/>
  <c r="J3" i="7"/>
  <c r="L3" i="7" s="1"/>
  <c r="A4" i="7"/>
  <c r="A5" i="7"/>
  <c r="A6" i="7"/>
  <c r="A7" i="7"/>
  <c r="A8" i="7"/>
  <c r="A9" i="7"/>
  <c r="A10" i="7"/>
  <c r="A11" i="7"/>
  <c r="A12" i="7"/>
  <c r="A13" i="7"/>
  <c r="A14" i="7"/>
  <c r="A15" i="7"/>
  <c r="A16" i="7"/>
  <c r="A17" i="7"/>
  <c r="A18" i="7"/>
  <c r="A19" i="7"/>
  <c r="A20" i="7"/>
  <c r="A21" i="7"/>
  <c r="A22" i="7"/>
  <c r="A23" i="7"/>
  <c r="A24" i="7"/>
  <c r="A25" i="7"/>
  <c r="A26" i="7"/>
  <c r="A27" i="7"/>
  <c r="A3" i="7"/>
  <c r="L28"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6F1967E6-402A-48C2-A321-7D14B3D41B38}">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<sst xmlns="http://schemas.openxmlformats.org/spreadsheetml/2006/main" count="1979" uniqueCount="685">
  <si>
    <t>[Escribir el nombre del programa]</t>
  </si>
  <si>
    <t>[Escribir la modalidad: presencial o virtual]</t>
  </si>
  <si>
    <t>[Escribir el perfil profesional del egresado.]</t>
  </si>
  <si>
    <t>[Escribir el perfil ocupacional del egresado.]</t>
  </si>
  <si>
    <r>
      <t xml:space="preserve">Componentes fundamentales aplicables a la solución de problemas en la vida profesional
</t>
    </r>
    <r>
      <rPr>
        <sz val="9"/>
        <color theme="0"/>
        <rFont val="Gill Sans MT"/>
        <family val="2"/>
      </rPr>
      <t>[Listar, según lo escrito en los perfiles, qué debe saber el egresado en las categorías de Saber -conocimientos, hechos, teorías-, Saber hacer -técnicas, procedimientos, metodologías-, y Saber ser -valores, condiciones, .]</t>
    </r>
  </si>
  <si>
    <r>
      <t xml:space="preserve">Componentes fundamentales de la ocupación laboral del profesional
</t>
    </r>
    <r>
      <rPr>
        <sz val="9"/>
        <color theme="0"/>
        <rFont val="Gill Sans MT"/>
        <family val="2"/>
      </rPr>
      <t>[Listar, según lo escrito en los perfiles, en qué áreas, qué tareas potenciales y en qué poblaciones o contextos podrá laborar el profesional.]</t>
    </r>
  </si>
  <si>
    <r>
      <t xml:space="preserve">Diferencial (valor agregado) del profesional
</t>
    </r>
    <r>
      <rPr>
        <sz val="9"/>
        <color theme="0"/>
        <rFont val="Gill Sans MT"/>
        <family val="2"/>
      </rPr>
      <t>[Listar, según lo escrito en los perfiles, los elementos que son diferenciales y generan un valor agregado al egresado.]</t>
    </r>
  </si>
  <si>
    <t>Programa</t>
  </si>
  <si>
    <t>Modalidad</t>
  </si>
  <si>
    <t>Perfil profesional</t>
  </si>
  <si>
    <t>Perfil ocupacional</t>
  </si>
  <si>
    <t>Saber</t>
  </si>
  <si>
    <t>Saberhacer</t>
  </si>
  <si>
    <t>Saberser</t>
  </si>
  <si>
    <t>ÁreasProfesionales</t>
  </si>
  <si>
    <t>TareasProfesionales</t>
  </si>
  <si>
    <t>PoblacionesActuación</t>
  </si>
  <si>
    <t>ValorAgregado</t>
  </si>
  <si>
    <t>Especialización en Gerencia Tributaria</t>
  </si>
  <si>
    <t xml:space="preserve">
Presencial</t>
  </si>
  <si>
    <t>El egresado de la Especialización en Gerencia Tributaria posee saberes en el campo del Derecho Tributario nacional e internacional en los impuestos nacionales y subnacionales, así como en el régimen cambiario y aduanero, y se caracteriza por tener un pensamiento estratégico y un accionar ético con el cual gerencia de forma integral los diversos sectores de la tributación, para generar valor en la sociedad y garantizar la calidad de la información tributaria.</t>
  </si>
  <si>
    <t>El Especialista en Gerencia Tributaría de la Institución Universitaria Politécnico Grancolombiano está en capacidad de gestionar prospectivamente los diversos sectores de la tributación a nivel nacional e internacional, asesorando e investigando los escenarios cambiantes que representan un desafío para los diferentes actores de la sociedad.</t>
  </si>
  <si>
    <t xml:space="preserve">Normatividad tributaria nacional e internacional </t>
  </si>
  <si>
    <t>aplicarla a los diferentes contextos</t>
  </si>
  <si>
    <t>garantizando el cumplimiento de las obligaciones tributarias y la optimización de los tributos, en el marco de la legalidad.</t>
  </si>
  <si>
    <t>Departamento de impuestos</t>
  </si>
  <si>
    <t>Gestión de los tributos de las empresas y todo lo que se relacione con las exigencias en materia de regulación dentro de la potestad del estado.</t>
  </si>
  <si>
    <t>La Especialización en Gerencia tributaria del Politécnico Grancolombiano, se diferenciará porque en su proceso formativo se enfocará en formar lideres y gerentes de equipos a partir de un planteamiento estratégico que contribuya a la planeación tributaria y garantice la calidad del sistema de información de los tributos, orientado al crecimiento y sostenibilidad, con responsabilidad social empresarial.</t>
  </si>
  <si>
    <t>Estrategias de planeación e implementación</t>
  </si>
  <si>
    <t>gerenciar la tributación</t>
  </si>
  <si>
    <t>con un accionar guiado hacia la creación permanente de valor orientada a la sostenibilidad.</t>
  </si>
  <si>
    <t xml:space="preserve">Secretarias de Hacienda </t>
  </si>
  <si>
    <t>Asesor de Impuestos y consultor en planeación tributaria aplicando       normas nacionales e internacionales fiscales.</t>
  </si>
  <si>
    <t>Tributación</t>
  </si>
  <si>
    <t xml:space="preserve">Liderar procesos en materia de impuestos en las organizaciones, interpretando y orientando la normatividad vigente para una mejor proyección y gestión de los impuestos fiscales por parte de las empresas ante el estado. </t>
  </si>
  <si>
    <t>Auditoría de impuestos</t>
  </si>
  <si>
    <t>Gerenciar las áreas de Impuestos y Auditoría tributaria.</t>
  </si>
  <si>
    <t>Planeación Tributaria</t>
  </si>
  <si>
    <t>Investigar en temas relacionados con Impuestos.</t>
  </si>
  <si>
    <t>Tributarista independiente</t>
  </si>
  <si>
    <t>Docencia Universitaria en temas relacionados con la gestión tributaria.</t>
  </si>
  <si>
    <t>Educación superior</t>
  </si>
  <si>
    <t>Veeduría tributaria en concordancia con la Constitución de 1991 para el control y fiscalización de los bienes y servicios públicos.</t>
  </si>
  <si>
    <t>Peritaje en conflictos fiscales que culminan en los estrados judiciales.</t>
  </si>
  <si>
    <t>Consultoría ante las entidades del estado para controvertir acerca de los proyectos de reformas tributarias.</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</si>
  <si>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</si>
  <si>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</si>
  <si>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</si>
  <si>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</si>
  <si>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</si>
  <si>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</si>
  <si>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[Redactar la competencia, articulando los elementos de las anteriores columnar.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</si>
  <si>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</si>
  <si>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</si>
  <si>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t>
  </si>
  <si>
    <t>Objeto conceptual</t>
  </si>
  <si>
    <t>Finalidad</t>
  </si>
  <si>
    <t>Condición de contexto o referencia</t>
  </si>
  <si>
    <t>Redacción de la competencia a desarrollar</t>
  </si>
  <si>
    <t>Tipo de Competencia</t>
  </si>
  <si>
    <t>Dominar</t>
  </si>
  <si>
    <t>Dominar la normatividad tributaria nacional e internacional para aplicarla a los diferentes contextos garantizando el cumplimiento de las obligaciones tributarias y la optimización de los tributos, en el marco de la legalidad.</t>
  </si>
  <si>
    <t>Específica</t>
  </si>
  <si>
    <t>Diseñar</t>
  </si>
  <si>
    <t>Diseñar estrategias de planeación e implementación para gerenciar la tributación, con un accionar guiado hacia la creación permanente de valor orientada a la sostenibilidad.</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</si>
  <si>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</si>
  <si>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</si>
  <si>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</si>
  <si>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</si>
  <si>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</si>
  <si>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</si>
  <si>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</si>
  <si>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</si>
  <si>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</si>
  <si>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</si>
  <si>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</si>
  <si>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 de saber</t>
  </si>
  <si>
    <t>Saber Asociado</t>
  </si>
  <si>
    <t>Taxonomía</t>
  </si>
  <si>
    <t>Dominio Asociado</t>
  </si>
  <si>
    <t>Nivel del dominio</t>
  </si>
  <si>
    <t>Redacción del resultado de aprendizaje del programa</t>
  </si>
  <si>
    <t>Bloom</t>
  </si>
  <si>
    <t>CognitivoB</t>
  </si>
  <si>
    <t>SíntesisB</t>
  </si>
  <si>
    <t>Interpretar</t>
  </si>
  <si>
    <t>Interpreta la normativa tributaria nacional e internacional para identificar las acciones estratégicas y de planeación a través de las cuales se da cumplimiento a las prestaciones tributarias.</t>
  </si>
  <si>
    <t>ProcedimentalB</t>
  </si>
  <si>
    <t>Diseña estrategias de planeación tributaria para optimizar las cargas fiscales del contribuyente o verificar el cumplimiento del marco normativo vigente.</t>
  </si>
  <si>
    <t>ActitudinalB</t>
  </si>
  <si>
    <t>Aplicar</t>
  </si>
  <si>
    <t>Aplica la normatividad tributaria para diseñar estrategias tributarias y fiscales, según las necesidades de los contribuyentes respecto a la optimización de cargas fiscales o a la verificación de su cumplimiento.</t>
  </si>
  <si>
    <t>[A partir de la celda A3 despliegue el(los) resultado(s) de aprendizaje y elija aquel (aquellos)  al(a los) que se contribuye desde la estrategia.]</t>
  </si>
  <si>
    <t>[Participación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</si>
  <si>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</si>
  <si>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</si>
  <si>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</si>
  <si>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</si>
  <si>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</si>
  <si>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</si>
  <si>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</si>
  <si>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</si>
  <si>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</si>
  <si>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t>
  </si>
  <si>
    <t>Clases espejo</t>
  </si>
  <si>
    <t>Las clases espejo hacen parte de las iniciativas de internacionalización del currículo. Estas clases tiene como objetivo facilitar el acercamiento de la comunidad estudiantil y docente a las diferentes tendencias académicas globales dentro del aula de clase.</t>
  </si>
  <si>
    <t>Número de clases espejo realizadas durante un año.</t>
  </si>
  <si>
    <t>Formar e informar a los estudiantes sobre temas en el campo profesional y gerencial del programa.</t>
  </si>
  <si>
    <t>Informe o reporte</t>
  </si>
  <si>
    <t>Número de estudiantes que participan en las clases espejo durante un año.</t>
  </si>
  <si>
    <t>Listados de participación</t>
  </si>
  <si>
    <t>Congresos, conversatorios, capacitaciones  seminarios y workshop</t>
  </si>
  <si>
    <t>Involucrar nuestra comunidad académica en eventos académicos del ámbito nacional e internacional como congresos, conversatorios, capacitaciones, seminarios y workshop.</t>
  </si>
  <si>
    <t>Valoración por parte de los estudiantes, del nivel de contribución de la estrategia a los resultados de aprendizaje del programa.</t>
  </si>
  <si>
    <t>Formar e informar a los estudiantes sobre temas de actualidad en el campo profesional y gerencial del programa.</t>
  </si>
  <si>
    <t>Encuesta</t>
  </si>
  <si>
    <t>Número de eventos académicos realizados durante un año.</t>
  </si>
  <si>
    <t>Piezas publicitarias/Informe, reporte o memorias/Medio de la convocatoria</t>
  </si>
  <si>
    <t>Número de estudiantes que participan en la estrategia durante un año.</t>
  </si>
  <si>
    <t>Listados de participación/Certificaciones</t>
  </si>
  <si>
    <t>Consultorio tributario</t>
  </si>
  <si>
    <t>El Consultorio Tributario y Empresarial presencial y Virtual de la Facultad Negocios, Gestión y Sostenibilidad, presta sus servicios de consultoría virtual sin costo, liderado por estudiantes y por un equipo interdisciplinario de profesionales, especialistas con una gran trayectoria en el campo laboral y académico, los cuales apoyaran a través de la consultoría a la población desde una proyección social de la Facultad de Negocios, Gestión y Sostenibilidad.</t>
  </si>
  <si>
    <t>Numero de publicaciones por año (boletines, videos, cartillas).</t>
  </si>
  <si>
    <t>Formar, informar, prevenir y ayuda a tomar decisiones en el campo profesional y gerencial del programa.</t>
  </si>
  <si>
    <t>Publicaciones/Boletines/Videos o Cartillas</t>
  </si>
  <si>
    <t>Numero de casos atendidos por año.</t>
  </si>
  <si>
    <t>Numero de estudiantes que participan en el consultorio por año.</t>
  </si>
  <si>
    <t>Programa radial</t>
  </si>
  <si>
    <t>Estrategia divulgativa para el fortalecimiento del conocimiento a través de poliradio y plataformas digitales. </t>
  </si>
  <si>
    <t>Número de programas emitidos durante el año con participación de docentes o estudiantes de la Especialización.</t>
  </si>
  <si>
    <t>Informe o reporte/Certificados de participación/Repositorio Ivoox</t>
  </si>
  <si>
    <t>Número de invitados de la Especialización por año.</t>
  </si>
  <si>
    <t>Número de estudiantes que participan en la estrategia por año.</t>
  </si>
  <si>
    <t>Diplomados/MOOC</t>
  </si>
  <si>
    <t>Alternativas de programas de educación permanente, cursos, seminarios y demás programas destinados a la difusión de los conocimientos, al intercambio de experiencias.</t>
  </si>
  <si>
    <t>Número de estrategias desarrolladas en proyección social por año.</t>
  </si>
  <si>
    <t>Formar e informar y ayudar a tomar decisiones a los estudiantes sobre temas en el campo profesional y gerencial del programa.</t>
  </si>
  <si>
    <t>Número de personas naturales que participaron por año.</t>
  </si>
  <si>
    <t>Número de personas jurídicas que participaron por año.</t>
  </si>
  <si>
    <t>Redes</t>
  </si>
  <si>
    <t>Participación a nivel nacional e internacional en los diferentes eventos que las redes ofrecen como cursos, conferencias, proyectos entre otros, fortaleciendo formación continua, competencias investigativa, participación en comunidades interdisciplinarias.</t>
  </si>
  <si>
    <t>Número de redes en las que se esta vinculado durante un año.</t>
  </si>
  <si>
    <t>Informe o reporte/Publicaciones</t>
  </si>
  <si>
    <t>Número de actividades realizadas con las redes durante el año.</t>
  </si>
  <si>
    <t>Número de estudiantes que participan en las actividades con redes durante el año.</t>
  </si>
  <si>
    <t>Semilleros de investigación</t>
  </si>
  <si>
    <t>Los semilleros son espacios extracurriculares en los que se aprende y crea colectivamente. De esta manera docentes y estudiantes investigan para profundizar los conocimientos en diferentes áreas de la tributación</t>
  </si>
  <si>
    <t>Numero de participaciones de estudiantes en los diferentes medios de divulgación del conocimiento durante un año.</t>
  </si>
  <si>
    <t>Certificados y publicaciones</t>
  </si>
  <si>
    <t>Número de asesorías que realizan los estudiantes durante un año.</t>
  </si>
  <si>
    <t>Planes de trabajo e informe en SIGIIP anuales.</t>
  </si>
  <si>
    <t>Planes o informes o reporte</t>
  </si>
  <si>
    <t>Tutorías</t>
  </si>
  <si>
    <t>Estrategia de reforzamiento curricular para los estudiantes que requieran un acompañamiento personalizado en su proceso de formación.</t>
  </si>
  <si>
    <t>Número de tutorías realizadas durante el año.</t>
  </si>
  <si>
    <t>Número de estudiantes atendidos durante el año.</t>
  </si>
  <si>
    <t>[Estas celdas se llenan automáticamente.]</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</si>
  <si>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</si>
  <si>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</si>
  <si>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</si>
  <si>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</si>
  <si>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</si>
  <si>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</si>
  <si>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del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</si>
  <si>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</si>
  <si>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</si>
  <si>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</si>
  <si>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</si>
  <si>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</si>
  <si>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</si>
  <si>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</si>
  <si>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Semestre</t>
  </si>
  <si>
    <t>Nombre asignatura o módulo</t>
  </si>
  <si>
    <t>Indicadores de logro de la asignatura o módulo</t>
  </si>
  <si>
    <t>Tipología asignatura o módulo</t>
  </si>
  <si>
    <t>C.Fundamentación</t>
  </si>
  <si>
    <t>C.Profundización</t>
  </si>
  <si>
    <t>Créditos</t>
  </si>
  <si>
    <t>Número de horas de trabajo directo</t>
  </si>
  <si>
    <t>Número de horas de trabajo independiente</t>
  </si>
  <si>
    <t>Total de horas</t>
  </si>
  <si>
    <t>Núcleos temáticos</t>
  </si>
  <si>
    <t>Actividades de aprendizaje</t>
  </si>
  <si>
    <t>Actividades de evaluación</t>
  </si>
  <si>
    <t>Acciones de retroalimentación</t>
  </si>
  <si>
    <t>I</t>
  </si>
  <si>
    <t>Habilidades Gerenciales</t>
  </si>
  <si>
    <t>Reconoce las herramientas de liderazgo y manejo de equipo, para generar planes de trabajo de acuerdo con el contexto específico.
Identifica los estilos de liderazgo para reconocer las habilidades personales y cómo desarrollarlas en un contexto específico.</t>
  </si>
  <si>
    <t>TP</t>
  </si>
  <si>
    <t>X</t>
  </si>
  <si>
    <t xml:space="preserve">1. Gestión del tiempo  
2.  Liderazgo  
3. Técnicas de Negociación  
4. Trabajo en Equipo  </t>
  </si>
  <si>
    <t>Trabajo directo:
- Cátedra magistral activa.
- Talleres individuales o grupales.
- Estudio de caso.
- Lecturas.
Trabajo independiente:
- Talleres individuales o grupales.
- Estudio de caso.
- Lecturas.</t>
  </si>
  <si>
    <t>Evaluación Formativa:
- Preguntas por medio de cuestionario
 - Exposición de los temas asociados a la asignatura
- Estudio de casos.
- Diálogo reflexivo.
Evaluación Sumativa:
- Quiz.
- Talleres.
- Estudio de sentencias.</t>
  </si>
  <si>
    <t xml:space="preserve">Las alternativas de retroalimentación del programa varían entre las siguientes:
Informar: a través de los anuncios, mensajería o foros sobre las bases de datos para el desarrollo de las investigaciones necesarias para los casos de estudio propuestos por los estudiantes. 
Formar: con el análisis de los documentos presentados a los largo del módulo, se analizan las respuesta de los estudiantes y a partir de ello se realizan las anotaciones sobre las necesidades del caso expuesto para contribuir a la mejora del proyecto propuesto.  
Prevenir: a través de foros de participación en los que los estudiantes pueden exponer sus dudas. 
Ayudar a tomar de tomar decisiones: con respecto a las investigaciones en el tema a tratar. </t>
  </si>
  <si>
    <t>Hermenéutica Jurídica Tributaria</t>
  </si>
  <si>
    <t>Interpreta la normatividad tributaria para determinar el contexto de aplicación.</t>
  </si>
  <si>
    <t>T</t>
  </si>
  <si>
    <t>1, Aspectos generales de la hermenéutica jurídica
2, Evolución y tendencias de la hermenéutica jurídica
3, Interpretación jurídico-tributaria: características y postulados
4,Técnicas de interpretación jurídico-tributaria</t>
  </si>
  <si>
    <t>Impuestos de Renta y Complementarios</t>
  </si>
  <si>
    <t>Reconoce la normativa relacionada con el impuesto sobre la renta y complementarios para proponer estrategias de cumplimiento y optimización de la carga fiscal en casos concretos de aplicación.</t>
  </si>
  <si>
    <t>1, Patrimonio fiscal
2, Ingresos, costos, deducciones y depuración de los dividendos
3,Ganancias ocasionales y determinación de la renta liquida
4,Determinación del impuesto y tasa de tributación depurada</t>
  </si>
  <si>
    <t>Impuestos Nacionales</t>
  </si>
  <si>
    <t>Reconoce la normativa relacionada con impuestos directos e indirectos del orden nacional para proponer estrategias de cumplimiento y optimización de la carga fiscal en casos concretos de aplicación.</t>
  </si>
  <si>
    <t>1, Teoría General del Tributo
2,Impuestos directos,  indirectos y Retención en la Fuente
3, otros tributos
4, Impuestos directos e indirectos en el ámbito internacional</t>
  </si>
  <si>
    <t>Impuestos Subnacionales</t>
  </si>
  <si>
    <t>Reconoce la normativa relacionada con los impuestos subnacionales para proponer estrategias de cumplimiento y optimización de la carga fiscal en casos concretos de aplicación.</t>
  </si>
  <si>
    <t>1, Teoría de la descentralización
2, Impuestos subnacionales y retención en la fuente
3,Impuestos subnacionales en el ámbito de internacional
4, Procedimiento tributario casos específicos</t>
  </si>
  <si>
    <t>II</t>
  </si>
  <si>
    <t>Régimen Cambiario y Aduanero</t>
  </si>
  <si>
    <t>Reconoce la normativa relacionada con el régimen cambiario y aduanero para proponer estrategias de cumplimiento en los procesos de importación y exportación, y de optimización de las cargas fiscales en casos concretos de aplicación.</t>
  </si>
  <si>
    <t>1. Régimen Aduanero
2. Régimen de Importación y Modalidades
3. Régimen de Exportación e Instrumentos de Promoción al Comercio Exterior
4. Fiscalización Aduanera, Régimen Sancionatorio y Procedimientos Administrativos</t>
  </si>
  <si>
    <t>Régimen Procedimental aplicado a la Obligación Tributaria</t>
  </si>
  <si>
    <t>Reconoce la normatividad relacionada con el régimen procedimental aplicado a la aplicación tributaria para proponer estrategias de cumplimiento de la obligación y presentación de argumentos cuando proceda.</t>
  </si>
  <si>
    <t>1, Fuentes directas e Indirectas
2,Capacidad y representación
3, Notificación y Cumplimiento de principio de publicidad
4, Etapas de Procedimiento</t>
  </si>
  <si>
    <t>Auditoría y Planeación Tributaria</t>
  </si>
  <si>
    <t>Reconoce procedimientos y técnicas de auditoría y planeación tributaria para proponer estrategias de cumplimiento y optimización de la carga fiscal en casos concretos de aplicación.</t>
  </si>
  <si>
    <t>1, Fundamentos de la planeación tributaria
2,Estructuración de esquemas de planeación tributaria
3,Detección y evaluación de riesgos tributarios
4,Auditoría en materia tributaria</t>
  </si>
  <si>
    <t>Tributación Internacional y Precios de Transferencia</t>
  </si>
  <si>
    <t>Reconoce la normatividad relacionada con tributación internacional y precios de transferencia para proponer estrategias de cumplimiento y optimización de la carga fiscal en casos concretos de aplicación.</t>
  </si>
  <si>
    <t>1, Principios y fundamentos básicos de la tributación internacional.
2, Aspectos tributarios de los precios de transferencia
3, Determinación de los precios de Transferencia
4,Documentación comprobatoria</t>
  </si>
  <si>
    <t xml:space="preserve">Trabajo directo:
- Cátedra magistral activa.
- Talleres individuales o grupales.
- Estudio de caso.
- Lecturas.
Trabajo independiente:
- Talleres individuales o grupales.
- Estudio de caso.
- Lecturas.
</t>
  </si>
  <si>
    <t>Electiva</t>
  </si>
  <si>
    <t>Número de módulos del programa</t>
  </si>
  <si>
    <t>Total créditos programa</t>
  </si>
  <si>
    <t>Total créditos fundamentación</t>
  </si>
  <si>
    <t>Total créditos profundización</t>
  </si>
  <si>
    <t>Verbos Competencias</t>
  </si>
  <si>
    <t>Actualizar</t>
  </si>
  <si>
    <t>Administrar</t>
  </si>
  <si>
    <t>Asegurar</t>
  </si>
  <si>
    <t>Asesorar</t>
  </si>
  <si>
    <t>Auditar</t>
  </si>
  <si>
    <t>Comunicar</t>
  </si>
  <si>
    <t>Conducir</t>
  </si>
  <si>
    <t>Conocer</t>
  </si>
  <si>
    <t>Coordinar</t>
  </si>
  <si>
    <t>Definir</t>
  </si>
  <si>
    <t>Desarrollar</t>
  </si>
  <si>
    <t>Dirigir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</si>
  <si>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</si>
  <si>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</si>
  <si>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</si>
  <si>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</si>
  <si>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</si>
  <si>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</si>
  <si>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</si>
  <si>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</si>
  <si>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</si>
  <si>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</si>
  <si>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</si>
  <si>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</si>
  <si>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</si>
  <si>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</si>
  <si>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</si>
  <si>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</si>
  <si>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</si>
  <si>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</si>
  <si>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</si>
  <si>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</si>
  <si>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</si>
  <si>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</si>
  <si>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</si>
  <si>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</si>
  <si>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</si>
  <si>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</si>
  <si>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</si>
  <si>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</si>
  <si>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</si>
  <si>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</si>
  <si>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</si>
  <si>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ConocimientoB</t>
  </si>
  <si>
    <t>ComprensiónB</t>
  </si>
  <si>
    <t>AplicaciónB</t>
  </si>
  <si>
    <t>AnálisisB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</si>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</sst>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9"/>
      <color theme="0"/>
      <name val="Gill Sans MT"/>
      <family val="2"/>
    </font>
    <font>
      <sz val="11"/>
      <color theme="0"/>
      <name val="Gill Sans MT"/>
      <family val="2"/>
    </font>
    <font>
      <sz val="9"/>
      <color theme="1"/>
      <name val="Gill Sans MT"/>
      <family val="2"/>
    </font>
    <font>
      <b/>
      <sz val="9"/>
      <color theme="0"/>
      <name val="Gill Sans MT"/>
      <family val="2"/>
    </font>
    <font>
      <sz val="9"/>
      <color rgb="FFFF0000"/>
      <name val="Gill Sans MT"/>
      <family val="2"/>
    </font>
    <font>
      <sz val="9"/>
      <color rgb="FF0070C0"/>
      <name val="Gill Sans MT"/>
      <family val="2"/>
    </font>
    <font>
      <sz val="9"/>
      <color rgb="FF00B050"/>
      <name val="Gill Sans MT"/>
      <family val="2"/>
    </font>
    <font>
      <sz val="11"/>
      <color rgb="FFFF0000"/>
      <name val="Gill Sans MT"/>
      <family val="2"/>
    </font>
    <font>
      <sz val="9"/>
      <color theme="1"/>
      <name val="Gill Sans MT"/>
    </font>
    <font>
      <sz val="8"/>
      <color theme="1"/>
      <name val="Gill Sans MT"/>
      <family val="2"/>
    </font>
    <font>
      <b/>
      <sz val="11"/>
      <color theme="0"/>
      <name val="Gill Sans MT"/>
    </font>
    <font>
      <b/>
      <sz val="11"/>
      <color theme="1"/>
      <name val="Gill Sans MT"/>
    </font>
    <font>
      <b/>
      <sz val="11"/>
      <color rgb="FF000000"/>
      <name val="Gill Sans MT"/>
    </font>
    <font>
      <sz val="8"/>
      <color theme="0"/>
      <name val="Gill Sans MT"/>
    </font>
    <font>
      <sz val="8"/>
      <color theme="1"/>
      <name val="Gill Sans MT"/>
    </font>
    <font>
      <sz val="11"/>
      <color theme="1"/>
      <name val="Gill Sans MT"/>
    </font>
    <font>
      <sz val="8"/>
      <color theme="0"/>
      <name val="Gill Sans MT"/>
      <family val="2"/>
    </font>
    <font>
      <b/>
      <sz val="11"/>
      <color theme="1"/>
      <name val="Gill Sans MT"/>
      <family val="2"/>
    </font>
    <font>
      <sz val="8"/>
      <color rgb="FFFFFFFF"/>
      <name val="Gill Sans MT"/>
    </font>
    <font>
      <b/>
      <sz val="11"/>
      <color rgb="FFFFFFFF"/>
      <name val="Gill Sans MT"/>
      <family val="2"/>
    </font>
    <font>
      <sz val="11"/>
      <name val="Gill Sans MT"/>
      <family val="2"/>
    </font>
    <font>
      <sz val="11"/>
      <color rgb="FF000000"/>
      <name val="Gill Sans MT"/>
    </font>
    <font>
      <sz val="8"/>
      <color rgb="FFFFFFFF"/>
      <name val="Gill Sans MT"/>
      <family val="2"/>
    </font>
    <font>
      <b/>
      <sz val="11"/>
      <name val="Gill Sans MT"/>
      <family val="2"/>
    </font>
  </fonts>
  <fills count="9">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8" tint="0.79998168889431442"/>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4" tint="0.79998168889431442"/>
        <bgColor indexed="64"/>
      </patternFill>
    </fill>
  </fills>
  <borders count="28">
    <border>
      <left/>
      <right/>
      <top/>
      <bottom/>
      <diagonal/>
    </border>
    <border>
      <left/>
      <right/>
      <top style="thin">
        <color rgb="FF1FB2DE"/>
      </top>
      <bottom/>
      <diagonal/>
    </border>
    <border>
      <left style="thin">
        <color auto="1"/>
      </left>
      <right style="thin">
        <color auto="1"/>
      </right>
      <top style="thin">
        <color auto="1"/>
      </top>
      <bottom style="thin">
        <color auto="1"/>
      </bottom>
      <diagonal/>
    </border>
    <border>
      <left/>
      <right/>
      <top style="thin">
        <color theme="0"/>
      </top>
      <bottom/>
      <diagonal/>
    </border>
    <border>
      <left style="thin">
        <color theme="0"/>
      </left>
      <right/>
      <top/>
      <bottom/>
      <diagonal/>
    </border>
    <border>
      <left/>
      <right style="thin">
        <color theme="0"/>
      </right>
      <top/>
      <bottom/>
      <diagonal/>
    </border>
    <border>
      <left style="thin">
        <color rgb="FF1FB2DE"/>
      </left>
      <right style="thin">
        <color rgb="FF1FB2DE"/>
      </right>
      <top style="thin">
        <color rgb="FF1FB2DE"/>
      </top>
      <bottom style="thin">
        <color rgb="FF1FB2DE"/>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style="thin">
        <color rgb="FF1FB2DE"/>
      </right>
      <top style="thin">
        <color rgb="FF1FB2DE"/>
      </top>
      <bottom style="thin">
        <color rgb="FF1FB2DE"/>
      </bottom>
      <diagonal/>
    </border>
    <border>
      <left/>
      <right/>
      <top style="thin">
        <color rgb="FF0F385A"/>
      </top>
      <bottom/>
      <diagonal/>
    </border>
    <border>
      <left style="thin">
        <color rgb="FF0F385A"/>
      </left>
      <right style="thin">
        <color rgb="FF0F385A"/>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thin">
        <color rgb="FF0F385A"/>
      </right>
      <top style="thin">
        <color auto="1"/>
      </top>
      <bottom/>
      <diagonal/>
    </border>
    <border>
      <left style="thin">
        <color rgb="FF000000"/>
      </left>
      <right style="thin">
        <color rgb="FF000000"/>
      </right>
      <top style="thin">
        <color rgb="FF000000"/>
      </top>
      <bottom style="thin">
        <color rgb="FF000000"/>
      </bottom>
      <diagonal/>
    </border>
    <border>
      <left style="thin">
        <color rgb="FF0F385A"/>
      </left>
      <right/>
      <top style="thin">
        <color auto="1"/>
      </top>
      <bottom/>
      <diagonal/>
    </border>
    <border>
      <left style="thin">
        <color auto="1"/>
      </left>
      <right/>
      <top style="thin">
        <color auto="1"/>
      </top>
      <bottom/>
      <diagonal/>
    </border>
    <border>
      <left/>
      <right/>
      <top/>
      <bottom style="medium">
        <color rgb="FF000000"/>
      </bottom>
      <diagonal/>
    </border>
    <border>
      <left style="thin">
        <color rgb="FF1FB2DE"/>
      </left>
      <right/>
      <top style="thin">
        <color rgb="FF1FB2DE"/>
      </top>
      <bottom style="thin">
        <color rgb="FF1FB2DE"/>
      </bottom>
      <diagonal/>
    </border>
    <border>
      <left style="thin">
        <color rgb="FF1FB2DE"/>
      </left>
      <right style="thin">
        <color rgb="FF1FB2DE"/>
      </right>
      <top/>
      <bottom style="thin">
        <color rgb="FF1FB2DE"/>
      </bottom>
      <diagonal/>
    </border>
    <border>
      <left/>
      <right/>
      <top style="thin">
        <color rgb="FF000000"/>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rgb="FF1FB2DE"/>
      </left>
      <right style="thin">
        <color auto="1"/>
      </right>
      <top style="thin">
        <color auto="1"/>
      </top>
      <bottom/>
      <diagonal/>
    </border>
    <border>
      <left style="thin">
        <color theme="0"/>
      </left>
      <right style="thin">
        <color auto="1"/>
      </right>
      <top style="thin">
        <color auto="1"/>
      </top>
      <bottom/>
      <diagonal/>
    </border>
  </borders>
  <cellStyleXfs count="1">
    <xf numFmtId="0" fontId="0" fillId="0" borderId="0"/>
  </cellStyleXfs>
  <cellXfs count="148">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horizontal="center"/>
    </xf>
    <xf numFmtId="0" fontId="4"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4" fillId="6" borderId="8" xfId="0" applyFont="1" applyFill="1" applyBorder="1" applyAlignment="1">
      <alignment vertical="center"/>
    </xf>
    <xf numFmtId="0" fontId="4" fillId="0" borderId="8" xfId="0" applyFont="1" applyBorder="1" applyAlignment="1">
      <alignment vertical="center"/>
    </xf>
    <xf numFmtId="0" fontId="3" fillId="6" borderId="8" xfId="0" applyFont="1" applyFill="1" applyBorder="1"/>
    <xf numFmtId="0" fontId="3" fillId="0" borderId="8" xfId="0" applyFont="1" applyBorder="1"/>
    <xf numFmtId="0" fontId="3" fillId="6" borderId="9" xfId="0" applyFont="1" applyFill="1" applyBorder="1"/>
    <xf numFmtId="0" fontId="4" fillId="6" borderId="9" xfId="0" applyFont="1" applyFill="1" applyBorder="1" applyAlignment="1">
      <alignment vertical="center"/>
    </xf>
    <xf numFmtId="0" fontId="3" fillId="0" borderId="9" xfId="0" applyFont="1" applyBorder="1"/>
    <xf numFmtId="0" fontId="8" fillId="0" borderId="0" xfId="0" applyFont="1"/>
    <xf numFmtId="0" fontId="8" fillId="0" borderId="0" xfId="0" applyFont="1" applyAlignment="1">
      <alignmen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center" wrapText="1"/>
    </xf>
    <xf numFmtId="0" fontId="8" fillId="0" borderId="0" xfId="0" applyFont="1" applyAlignment="1">
      <alignment horizontal="center"/>
    </xf>
    <xf numFmtId="0" fontId="8" fillId="0" borderId="0" xfId="0" applyFont="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9" fillId="2" borderId="4" xfId="0" applyFont="1" applyFill="1" applyBorder="1" applyAlignment="1">
      <alignment horizontal="center" vertical="center" wrapText="1"/>
    </xf>
    <xf numFmtId="0" fontId="8" fillId="0" borderId="4"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3" xfId="0" applyFont="1" applyBorder="1" applyAlignment="1">
      <alignment horizontal="left" vertical="center" wrapText="1"/>
    </xf>
    <xf numFmtId="0" fontId="3"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0" applyFont="1" applyAlignment="1">
      <alignment vertical="center" wrapText="1"/>
    </xf>
    <xf numFmtId="0" fontId="13" fillId="0" borderId="0" xfId="0" applyFont="1" applyAlignment="1">
      <alignment vertical="center"/>
    </xf>
    <xf numFmtId="0" fontId="13" fillId="0" borderId="0" xfId="0" applyFont="1" applyAlignment="1">
      <alignment horizontal="left" vertical="center" wrapText="1"/>
    </xf>
    <xf numFmtId="0" fontId="15" fillId="0" borderId="0" xfId="0" applyFont="1" applyAlignment="1">
      <alignment horizontal="center" vertical="center" wrapText="1"/>
    </xf>
    <xf numFmtId="0" fontId="18" fillId="3" borderId="12" xfId="0" applyFont="1" applyFill="1" applyBorder="1" applyAlignment="1">
      <alignment horizontal="center" vertical="center" wrapText="1"/>
    </xf>
    <xf numFmtId="0" fontId="18" fillId="3" borderId="14"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14" fillId="0" borderId="0" xfId="0" applyFont="1" applyAlignment="1">
      <alignment vertical="center" wrapText="1"/>
    </xf>
    <xf numFmtId="0" fontId="21" fillId="0" borderId="11" xfId="0" applyFont="1" applyBorder="1" applyAlignment="1">
      <alignment horizontal="left" vertical="center"/>
    </xf>
    <xf numFmtId="0" fontId="21" fillId="0" borderId="11" xfId="0" applyFont="1" applyBorder="1" applyAlignment="1">
      <alignment horizontal="left" vertical="center" wrapText="1"/>
    </xf>
    <xf numFmtId="0" fontId="15" fillId="0" borderId="0" xfId="0" applyFont="1" applyAlignment="1">
      <alignment vertical="center" wrapText="1"/>
    </xf>
    <xf numFmtId="0" fontId="20" fillId="3" borderId="15"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20" fillId="3" borderId="17"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left" vertical="center" wrapText="1"/>
    </xf>
    <xf numFmtId="0" fontId="26" fillId="0" borderId="0" xfId="0" applyFont="1" applyAlignment="1">
      <alignment horizontal="left" vertical="center" wrapText="1"/>
    </xf>
    <xf numFmtId="0" fontId="22" fillId="0" borderId="0" xfId="0" applyFont="1" applyAlignment="1">
      <alignment horizontal="center" vertical="center" wrapText="1"/>
    </xf>
    <xf numFmtId="0" fontId="24" fillId="7" borderId="16" xfId="0" applyFont="1" applyFill="1" applyBorder="1" applyAlignment="1">
      <alignment horizontal="center" vertical="center" wrapText="1"/>
    </xf>
    <xf numFmtId="0" fontId="25" fillId="7" borderId="16" xfId="0" applyFont="1" applyFill="1" applyBorder="1" applyAlignment="1">
      <alignment horizontal="center" vertical="center" wrapText="1"/>
    </xf>
    <xf numFmtId="0" fontId="4" fillId="0" borderId="0" xfId="0" applyFont="1" applyAlignment="1">
      <alignment horizontal="left" vertical="center"/>
    </xf>
    <xf numFmtId="0" fontId="4" fillId="0" borderId="0" xfId="0" applyFont="1" applyAlignment="1">
      <alignment vertical="center" wrapText="1"/>
    </xf>
    <xf numFmtId="0" fontId="22" fillId="2" borderId="16" xfId="0" applyFont="1" applyFill="1" applyBorder="1" applyAlignment="1">
      <alignment horizontal="center" vertical="center" wrapText="1"/>
    </xf>
    <xf numFmtId="0" fontId="24" fillId="7" borderId="16" xfId="0" applyFont="1" applyFill="1" applyBorder="1" applyAlignment="1">
      <alignment horizontal="center" wrapText="1"/>
    </xf>
    <xf numFmtId="0" fontId="23" fillId="4" borderId="16"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0" xfId="0" applyFont="1" applyAlignment="1">
      <alignment vertical="center" wrapText="1"/>
    </xf>
    <xf numFmtId="0" fontId="27" fillId="0" borderId="13" xfId="0" applyFont="1" applyBorder="1" applyAlignment="1">
      <alignment horizontal="left" vertical="center" wrapText="1"/>
    </xf>
    <xf numFmtId="0" fontId="21" fillId="0" borderId="13" xfId="0" applyFont="1" applyBorder="1" applyAlignment="1">
      <alignment horizontal="left" vertical="center" wrapText="1"/>
    </xf>
    <xf numFmtId="0" fontId="21" fillId="0" borderId="13" xfId="0" applyFont="1" applyBorder="1" applyAlignment="1">
      <alignment vertical="center"/>
    </xf>
    <xf numFmtId="0" fontId="21" fillId="0" borderId="19" xfId="0" applyFont="1" applyBorder="1" applyAlignment="1">
      <alignment vertical="center" wrapText="1"/>
    </xf>
    <xf numFmtId="0" fontId="3" fillId="0" borderId="19" xfId="0" applyFont="1" applyBorder="1" applyAlignment="1">
      <alignment horizontal="center" vertical="center" wrapText="1"/>
    </xf>
    <xf numFmtId="0" fontId="4" fillId="0" borderId="19" xfId="0" applyFont="1" applyBorder="1" applyAlignment="1">
      <alignment horizontal="left" vertical="center" wrapText="1"/>
    </xf>
    <xf numFmtId="0" fontId="3" fillId="0" borderId="19" xfId="0" applyFont="1" applyBorder="1" applyAlignment="1">
      <alignment horizontal="left" vertical="center" wrapText="1"/>
    </xf>
    <xf numFmtId="0" fontId="3" fillId="0" borderId="19" xfId="0" applyFont="1" applyBorder="1" applyAlignment="1">
      <alignment vertical="center"/>
    </xf>
    <xf numFmtId="0" fontId="3" fillId="0" borderId="19" xfId="0" applyFont="1" applyBorder="1" applyAlignment="1">
      <alignment vertical="center" wrapText="1"/>
    </xf>
    <xf numFmtId="0" fontId="21" fillId="0" borderId="19" xfId="0" applyFont="1" applyBorder="1" applyAlignment="1">
      <alignment vertical="center"/>
    </xf>
    <xf numFmtId="0" fontId="28" fillId="7" borderId="6" xfId="0" applyFont="1" applyFill="1" applyBorder="1" applyAlignment="1">
      <alignment horizontal="center" vertical="center" wrapText="1"/>
    </xf>
    <xf numFmtId="0" fontId="28" fillId="7" borderId="2" xfId="0" applyFont="1" applyFill="1" applyBorder="1" applyAlignment="1">
      <alignment horizontal="center" vertical="center" wrapText="1"/>
    </xf>
    <xf numFmtId="0" fontId="26" fillId="0" borderId="0" xfId="0" applyFont="1" applyAlignment="1">
      <alignment horizontal="center" vertical="center" wrapText="1"/>
    </xf>
    <xf numFmtId="0" fontId="26" fillId="0" borderId="0" xfId="0" applyFont="1"/>
    <xf numFmtId="0" fontId="3" fillId="0" borderId="0" xfId="0" applyFont="1" applyAlignment="1">
      <alignment horizontal="left"/>
    </xf>
    <xf numFmtId="0" fontId="8" fillId="0" borderId="0" xfId="0" applyFont="1" applyAlignment="1">
      <alignment horizontal="left"/>
    </xf>
    <xf numFmtId="0" fontId="4" fillId="0" borderId="22" xfId="0" applyFont="1" applyBorder="1" applyAlignment="1">
      <alignment horizontal="left" vertical="center" wrapText="1"/>
    </xf>
    <xf numFmtId="0" fontId="26" fillId="0" borderId="22" xfId="0" applyFont="1" applyBorder="1" applyAlignment="1">
      <alignment horizontal="left" vertical="center" wrapText="1"/>
    </xf>
    <xf numFmtId="0" fontId="4" fillId="0" borderId="22" xfId="0" applyFont="1" applyBorder="1" applyAlignment="1">
      <alignment horizontal="left" vertical="center"/>
    </xf>
    <xf numFmtId="0" fontId="4" fillId="0" borderId="23" xfId="0" applyFont="1" applyBorder="1" applyAlignment="1">
      <alignment horizontal="left" vertical="center" wrapText="1"/>
    </xf>
    <xf numFmtId="0" fontId="4" fillId="0" borderId="23" xfId="0" applyFont="1" applyBorder="1" applyAlignment="1">
      <alignment horizontal="center" vertical="center" wrapText="1"/>
    </xf>
    <xf numFmtId="0" fontId="26" fillId="0" borderId="23" xfId="0" applyFont="1" applyBorder="1" applyAlignment="1">
      <alignment horizontal="left" vertical="center" wrapText="1"/>
    </xf>
    <xf numFmtId="0" fontId="4" fillId="0" borderId="25" xfId="0" applyFont="1" applyBorder="1" applyAlignment="1">
      <alignment horizontal="left" vertical="center" wrapText="1"/>
    </xf>
    <xf numFmtId="0" fontId="4" fillId="0" borderId="25" xfId="0" applyFont="1" applyBorder="1" applyAlignment="1">
      <alignment horizontal="center" vertical="center" wrapText="1"/>
    </xf>
    <xf numFmtId="0" fontId="26" fillId="0" borderId="25" xfId="0" applyFont="1" applyBorder="1" applyAlignment="1">
      <alignment horizontal="left" vertical="center" wrapText="1"/>
    </xf>
    <xf numFmtId="0" fontId="4" fillId="0" borderId="0" xfId="0" applyFont="1" applyAlignment="1">
      <alignment horizontal="center" vertical="center" wrapText="1"/>
    </xf>
    <xf numFmtId="0" fontId="27" fillId="0" borderId="0" xfId="0" applyFont="1" applyAlignment="1">
      <alignment horizontal="left" vertical="center"/>
    </xf>
    <xf numFmtId="0" fontId="26" fillId="0" borderId="25" xfId="0" applyFont="1" applyBorder="1" applyAlignment="1">
      <alignment vertical="center" wrapText="1"/>
    </xf>
    <xf numFmtId="0" fontId="27" fillId="0" borderId="0" xfId="0" applyFont="1" applyAlignment="1">
      <alignment horizontal="left" vertical="center" wrapText="1"/>
    </xf>
    <xf numFmtId="0" fontId="26" fillId="0" borderId="0" xfId="0" applyFont="1" applyAlignment="1">
      <alignment vertical="center"/>
    </xf>
    <xf numFmtId="0" fontId="27" fillId="0" borderId="23" xfId="0" applyFont="1" applyBorder="1" applyAlignment="1">
      <alignment horizontal="left" vertical="center" wrapText="1"/>
    </xf>
    <xf numFmtId="0" fontId="26" fillId="0" borderId="23" xfId="0" applyFont="1" applyBorder="1" applyAlignment="1">
      <alignment vertical="center"/>
    </xf>
    <xf numFmtId="0" fontId="27" fillId="0" borderId="25" xfId="0" applyFont="1" applyBorder="1" applyAlignment="1">
      <alignment horizontal="left" vertical="center"/>
    </xf>
    <xf numFmtId="0" fontId="4" fillId="0" borderId="25" xfId="0" applyFont="1" applyBorder="1" applyAlignment="1">
      <alignment horizontal="left" vertical="center"/>
    </xf>
    <xf numFmtId="0" fontId="4" fillId="0" borderId="23" xfId="0" applyFont="1" applyBorder="1" applyAlignment="1">
      <alignment horizontal="left" vertical="center"/>
    </xf>
    <xf numFmtId="0" fontId="26" fillId="0" borderId="0" xfId="0" applyFont="1" applyAlignment="1">
      <alignment horizontal="center"/>
    </xf>
    <xf numFmtId="0" fontId="26" fillId="8" borderId="24" xfId="0" applyFont="1" applyFill="1" applyBorder="1" applyAlignment="1">
      <alignment horizontal="center" vertical="center" wrapText="1"/>
    </xf>
    <xf numFmtId="0" fontId="27" fillId="8" borderId="24" xfId="0" applyFont="1" applyFill="1" applyBorder="1" applyAlignment="1">
      <alignment horizontal="center" vertical="center"/>
    </xf>
    <xf numFmtId="0" fontId="3" fillId="0" borderId="3" xfId="0" applyFont="1" applyBorder="1" applyAlignment="1">
      <alignment vertical="center" wrapText="1"/>
    </xf>
    <xf numFmtId="0" fontId="22" fillId="2" borderId="0" xfId="0" applyFont="1" applyFill="1" applyAlignment="1">
      <alignment horizontal="center" vertical="center" wrapText="1"/>
    </xf>
    <xf numFmtId="0" fontId="5" fillId="2" borderId="0" xfId="0" applyFont="1" applyFill="1" applyAlignment="1">
      <alignment horizontal="center" vertical="center" wrapText="1"/>
    </xf>
    <xf numFmtId="0" fontId="29" fillId="3" borderId="27"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3" fillId="3" borderId="27"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9" fillId="3" borderId="26" xfId="0" applyFont="1" applyFill="1" applyBorder="1" applyAlignment="1">
      <alignment horizontal="center" vertical="center" wrapText="1"/>
    </xf>
    <xf numFmtId="0" fontId="25" fillId="7" borderId="6" xfId="0" applyFont="1" applyFill="1" applyBorder="1" applyAlignment="1">
      <alignment horizontal="center" vertical="center" wrapText="1"/>
    </xf>
    <xf numFmtId="0" fontId="25" fillId="7" borderId="7" xfId="0" applyFont="1" applyFill="1" applyBorder="1" applyAlignment="1">
      <alignment horizontal="center" vertical="center" wrapText="1"/>
    </xf>
    <xf numFmtId="0" fontId="25" fillId="7" borderId="21" xfId="0" applyFont="1" applyFill="1" applyBorder="1" applyAlignment="1">
      <alignment horizontal="center" vertical="center" wrapText="1"/>
    </xf>
    <xf numFmtId="0" fontId="26" fillId="0" borderId="25" xfId="0" applyFont="1" applyBorder="1" applyAlignment="1">
      <alignment vertical="center"/>
    </xf>
    <xf numFmtId="0" fontId="26" fillId="8" borderId="24" xfId="0" applyFont="1" applyFill="1" applyBorder="1" applyAlignment="1">
      <alignment horizontal="center" vertical="center"/>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5" fillId="2" borderId="16" xfId="0" applyFont="1" applyFill="1" applyBorder="1" applyAlignment="1">
      <alignment horizontal="center" vertical="center" wrapText="1"/>
    </xf>
    <xf numFmtId="0" fontId="4" fillId="0" borderId="25" xfId="0" applyFont="1" applyBorder="1" applyAlignment="1">
      <alignment horizontal="center" vertical="center" wrapText="1"/>
    </xf>
    <xf numFmtId="0" fontId="4" fillId="0" borderId="0" xfId="0" applyFont="1" applyAlignment="1">
      <alignment horizontal="center" vertical="center" wrapText="1"/>
    </xf>
    <xf numFmtId="0" fontId="4" fillId="0" borderId="23" xfId="0" applyFont="1" applyBorder="1" applyAlignment="1">
      <alignment horizontal="center" vertical="center" wrapText="1"/>
    </xf>
    <xf numFmtId="0" fontId="4" fillId="0" borderId="25" xfId="0" applyFont="1" applyBorder="1" applyAlignment="1">
      <alignment horizontal="left" vertical="center" wrapText="1"/>
    </xf>
    <xf numFmtId="0" fontId="4" fillId="0" borderId="0" xfId="0" applyFont="1" applyAlignment="1">
      <alignment horizontal="left" vertical="center" wrapText="1"/>
    </xf>
    <xf numFmtId="0" fontId="4" fillId="0" borderId="23" xfId="0" applyFont="1" applyBorder="1" applyAlignment="1">
      <alignment horizontal="left" vertical="center" wrapText="1"/>
    </xf>
    <xf numFmtId="0" fontId="27" fillId="0" borderId="25" xfId="0" applyFont="1" applyBorder="1" applyAlignment="1">
      <alignment horizontal="center" vertical="center" wrapText="1"/>
    </xf>
    <xf numFmtId="0" fontId="27" fillId="0" borderId="0" xfId="0" applyFont="1" applyAlignment="1">
      <alignment horizontal="center" vertical="center" wrapText="1"/>
    </xf>
    <xf numFmtId="0" fontId="27" fillId="0" borderId="23" xfId="0" applyFont="1" applyBorder="1" applyAlignment="1">
      <alignment horizontal="center" vertical="center" wrapText="1"/>
    </xf>
    <xf numFmtId="0" fontId="27" fillId="0" borderId="25" xfId="0" applyFont="1" applyBorder="1" applyAlignment="1">
      <alignment horizontal="left" vertical="center" wrapText="1"/>
    </xf>
    <xf numFmtId="0" fontId="27" fillId="0" borderId="0" xfId="0" applyFont="1" applyAlignment="1">
      <alignment horizontal="left" vertical="center" wrapText="1"/>
    </xf>
    <xf numFmtId="0" fontId="27" fillId="0" borderId="23" xfId="0" applyFont="1" applyBorder="1" applyAlignment="1">
      <alignment horizontal="left" vertical="center" wrapText="1"/>
    </xf>
    <xf numFmtId="0" fontId="4" fillId="0" borderId="22" xfId="0" applyFont="1" applyBorder="1" applyAlignment="1">
      <alignment horizontal="center" vertical="center" wrapText="1"/>
    </xf>
    <xf numFmtId="0" fontId="4" fillId="0" borderId="22" xfId="0" applyFont="1" applyBorder="1" applyAlignment="1">
      <alignment horizontal="left" vertical="center" wrapText="1"/>
    </xf>
    <xf numFmtId="0" fontId="28" fillId="7" borderId="20" xfId="0" applyFont="1" applyFill="1" applyBorder="1" applyAlignment="1">
      <alignment horizontal="center" vertical="center" wrapText="1"/>
    </xf>
    <xf numFmtId="0" fontId="28" fillId="7" borderId="10" xfId="0" applyFont="1" applyFill="1" applyBorder="1" applyAlignment="1">
      <alignment horizontal="center" vertical="center" wrapText="1"/>
    </xf>
    <xf numFmtId="0" fontId="26" fillId="0" borderId="0" xfId="0" applyFont="1" applyAlignment="1">
      <alignment horizontal="center" vertical="center" wrapText="1"/>
    </xf>
    <xf numFmtId="0" fontId="26" fillId="0" borderId="23"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25" xfId="0" applyFont="1" applyBorder="1" applyAlignment="1">
      <alignment horizontal="left" vertical="center" wrapText="1"/>
    </xf>
    <xf numFmtId="0" fontId="26" fillId="0" borderId="0" xfId="0" applyFont="1" applyAlignment="1">
      <alignment horizontal="left" vertical="center" wrapText="1"/>
    </xf>
    <xf numFmtId="0" fontId="26" fillId="0" borderId="23" xfId="0" applyFont="1" applyBorder="1" applyAlignment="1">
      <alignment horizontal="left" vertical="center" wrapText="1"/>
    </xf>
    <xf numFmtId="0" fontId="26" fillId="0" borderId="1" xfId="0"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xf>
    <xf numFmtId="0" fontId="5" fillId="5" borderId="2"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5" totalsRowShown="0" headerRowDxfId="148" dataDxfId="147">
  <autoFilter ref="B1:B35" xr:uid="{B2A92B26-EF0C-4878-B50A-6837C8B938F9}"/>
  <sortState xmlns:xlrd2="http://schemas.microsoft.com/office/spreadsheetml/2017/richdata2" ref="B2:B35">
    <sortCondition ref="B2:B36"/>
  </sortState>
  <tableColumns count="1">
    <tableColumn id="1" xr3:uid="{29152045-E0EB-4BF0-98F0-61C280340B30}"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00" dataDxfId="99">
  <autoFilter ref="AA3:AA68"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91" dataDxfId="90">
  <autoFilter ref="AD3:AD33"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4" totalsRowShown="0" headerRowDxfId="67" dataDxfId="66">
  <autoFilter ref="P3:P64"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5.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5.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L19"/>
  <sheetViews>
    <sheetView zoomScaleNormal="100" workbookViewId="0"/>
  </sheetViews>
  <sheetFormatPr baseColWidth="10" defaultColWidth="76.26953125" defaultRowHeight="15" x14ac:dyDescent="0.35"/>
  <cols>
    <col min="1" max="1" width="21.26953125" style="15" customWidth="1"/>
    <col min="2" max="2" width="16" style="15" customWidth="1"/>
    <col min="3" max="3" width="44.26953125" style="15" customWidth="1"/>
    <col min="4" max="4" width="34.453125" style="15" customWidth="1"/>
    <col min="5" max="5" width="24.453125" style="15" customWidth="1"/>
    <col min="6" max="6" width="19.26953125" style="17" bestFit="1" customWidth="1"/>
    <col min="7" max="7" width="38.7265625" style="17" customWidth="1"/>
    <col min="8" max="8" width="26" style="15" bestFit="1" customWidth="1"/>
    <col min="9" max="9" width="49.81640625" style="15" customWidth="1"/>
    <col min="10" max="10" width="26.26953125" style="15" customWidth="1"/>
    <col min="11" max="11" width="75.81640625" style="15" bestFit="1" customWidth="1"/>
    <col min="12" max="16384" width="76.26953125" style="15"/>
  </cols>
  <sheetData>
    <row r="1" spans="1:12" ht="45" x14ac:dyDescent="0.35">
      <c r="A1" s="104" t="s">
        <v>0</v>
      </c>
      <c r="B1" s="104" t="s">
        <v>1</v>
      </c>
      <c r="C1" s="104" t="s">
        <v>2</v>
      </c>
      <c r="D1" s="104" t="s">
        <v>3</v>
      </c>
      <c r="E1" s="116" t="s">
        <v>4</v>
      </c>
      <c r="F1" s="117"/>
      <c r="G1" s="118"/>
      <c r="H1" s="116" t="s">
        <v>5</v>
      </c>
      <c r="I1" s="117"/>
      <c r="J1" s="117"/>
      <c r="K1" s="24" t="s">
        <v>6</v>
      </c>
      <c r="L1" s="25"/>
    </row>
    <row r="2" spans="1:12" s="18" customFormat="1" ht="16.5" x14ac:dyDescent="0.35">
      <c r="A2" s="105" t="s">
        <v>7</v>
      </c>
      <c r="B2" s="105" t="s">
        <v>8</v>
      </c>
      <c r="C2" s="105" t="s">
        <v>9</v>
      </c>
      <c r="D2" s="105" t="s">
        <v>10</v>
      </c>
      <c r="E2" s="106" t="s">
        <v>11</v>
      </c>
      <c r="F2" s="107" t="s">
        <v>12</v>
      </c>
      <c r="G2" s="107" t="s">
        <v>13</v>
      </c>
      <c r="H2" s="108" t="s">
        <v>14</v>
      </c>
      <c r="I2" s="109" t="s">
        <v>15</v>
      </c>
      <c r="J2" s="109" t="s">
        <v>16</v>
      </c>
      <c r="K2" s="110" t="s">
        <v>17</v>
      </c>
    </row>
    <row r="3" spans="1:12" s="27" customFormat="1" ht="51.75" customHeight="1" x14ac:dyDescent="0.35">
      <c r="A3" s="120" t="s">
        <v>18</v>
      </c>
      <c r="B3" s="120" t="s">
        <v>19</v>
      </c>
      <c r="C3" s="120" t="s">
        <v>20</v>
      </c>
      <c r="D3" s="120" t="s">
        <v>21</v>
      </c>
      <c r="E3" s="28" t="s">
        <v>22</v>
      </c>
      <c r="F3" s="28" t="s">
        <v>23</v>
      </c>
      <c r="G3" s="28" t="s">
        <v>24</v>
      </c>
      <c r="H3" s="103" t="s">
        <v>25</v>
      </c>
      <c r="I3" s="103" t="s">
        <v>26</v>
      </c>
      <c r="K3" s="119" t="s">
        <v>27</v>
      </c>
    </row>
    <row r="4" spans="1:12" s="27" customFormat="1" ht="49.5" x14ac:dyDescent="0.35">
      <c r="A4" s="120"/>
      <c r="B4" s="120"/>
      <c r="C4" s="120"/>
      <c r="D4" s="120"/>
      <c r="E4" s="27" t="s">
        <v>28</v>
      </c>
      <c r="F4" s="27" t="s">
        <v>29</v>
      </c>
      <c r="G4" s="27" t="s">
        <v>30</v>
      </c>
      <c r="H4" s="27" t="s">
        <v>31</v>
      </c>
      <c r="I4" s="27" t="s">
        <v>32</v>
      </c>
      <c r="K4" s="119"/>
    </row>
    <row r="5" spans="1:12" s="27" customFormat="1" ht="66" x14ac:dyDescent="0.35">
      <c r="A5" s="120"/>
      <c r="B5" s="120"/>
      <c r="C5" s="120"/>
      <c r="D5" s="120"/>
      <c r="H5" s="27" t="s">
        <v>33</v>
      </c>
      <c r="I5" s="27" t="s">
        <v>34</v>
      </c>
    </row>
    <row r="6" spans="1:12" s="27" customFormat="1" ht="16.5" x14ac:dyDescent="0.35">
      <c r="C6" s="58"/>
      <c r="G6" s="29"/>
      <c r="H6" s="27" t="s">
        <v>35</v>
      </c>
      <c r="I6" s="27" t="s">
        <v>36</v>
      </c>
    </row>
    <row r="7" spans="1:12" s="27" customFormat="1" ht="16.5" x14ac:dyDescent="0.35">
      <c r="C7" s="58"/>
      <c r="E7" s="30"/>
      <c r="F7" s="30"/>
      <c r="G7" s="29"/>
      <c r="H7" s="27" t="s">
        <v>37</v>
      </c>
      <c r="I7" s="27" t="s">
        <v>38</v>
      </c>
    </row>
    <row r="8" spans="1:12" s="27" customFormat="1" ht="33" x14ac:dyDescent="0.35">
      <c r="C8" s="58"/>
      <c r="E8" s="30"/>
      <c r="F8" s="30"/>
      <c r="G8" s="18"/>
      <c r="H8" s="30" t="s">
        <v>39</v>
      </c>
      <c r="I8" s="27" t="s">
        <v>40</v>
      </c>
    </row>
    <row r="9" spans="1:12" s="27" customFormat="1" ht="49.5" x14ac:dyDescent="0.35">
      <c r="C9" s="58"/>
      <c r="E9" s="30"/>
      <c r="F9" s="30"/>
      <c r="G9" s="18"/>
      <c r="H9" s="30" t="s">
        <v>41</v>
      </c>
      <c r="I9" s="27" t="s">
        <v>42</v>
      </c>
    </row>
    <row r="10" spans="1:12" s="27" customFormat="1" ht="33" x14ac:dyDescent="0.35">
      <c r="C10" s="58"/>
      <c r="E10" s="30"/>
      <c r="F10" s="30"/>
      <c r="G10" s="18"/>
      <c r="H10" s="30"/>
      <c r="I10" s="27" t="s">
        <v>43</v>
      </c>
    </row>
    <row r="11" spans="1:12" s="27" customFormat="1" ht="33" x14ac:dyDescent="0.35">
      <c r="C11" s="58"/>
      <c r="E11" s="30"/>
      <c r="F11" s="30"/>
      <c r="G11" s="18"/>
      <c r="H11" s="30"/>
      <c r="I11" s="27" t="s">
        <v>44</v>
      </c>
    </row>
    <row r="12" spans="1:12" s="27" customFormat="1" ht="16.5" x14ac:dyDescent="0.35">
      <c r="C12" s="58"/>
      <c r="E12" s="30"/>
      <c r="F12" s="30"/>
      <c r="G12" s="18"/>
      <c r="H12" s="30"/>
    </row>
    <row r="13" spans="1:12" s="27" customFormat="1" ht="16.5" x14ac:dyDescent="0.35">
      <c r="C13" s="58"/>
      <c r="E13" s="30"/>
      <c r="F13" s="30"/>
      <c r="G13" s="18"/>
      <c r="H13" s="30"/>
    </row>
    <row r="14" spans="1:12" ht="16.5" x14ac:dyDescent="0.35">
      <c r="B14" s="27"/>
      <c r="E14" s="18"/>
      <c r="F14" s="18"/>
      <c r="G14" s="18"/>
      <c r="H14" s="18"/>
    </row>
    <row r="15" spans="1:12" x14ac:dyDescent="0.35">
      <c r="E15" s="18"/>
      <c r="F15" s="18"/>
      <c r="G15" s="18"/>
    </row>
    <row r="16" spans="1:12" x14ac:dyDescent="0.35">
      <c r="E16" s="18"/>
      <c r="F16" s="18"/>
      <c r="G16" s="18"/>
    </row>
    <row r="17" spans="5:7" x14ac:dyDescent="0.35">
      <c r="E17" s="18"/>
      <c r="F17" s="18"/>
      <c r="G17" s="18"/>
    </row>
    <row r="18" spans="5:7" x14ac:dyDescent="0.35">
      <c r="E18" s="18"/>
      <c r="F18" s="18"/>
      <c r="G18" s="18"/>
    </row>
    <row r="19" spans="5:7" x14ac:dyDescent="0.35">
      <c r="E19" s="18"/>
      <c r="F19" s="18"/>
      <c r="G19" s="18"/>
    </row>
  </sheetData>
  <mergeCells count="7">
    <mergeCell ref="H1:J1"/>
    <mergeCell ref="E1:G1"/>
    <mergeCell ref="K3:K4"/>
    <mergeCell ref="A3:A5"/>
    <mergeCell ref="B3:B5"/>
    <mergeCell ref="C3:C5"/>
    <mergeCell ref="D3:D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H17"/>
  <sheetViews>
    <sheetView zoomScale="110" zoomScaleNormal="110" workbookViewId="0">
      <selection activeCell="A4" sqref="A4"/>
    </sheetView>
  </sheetViews>
  <sheetFormatPr baseColWidth="10" defaultColWidth="11.453125" defaultRowHeight="15" x14ac:dyDescent="0.35"/>
  <cols>
    <col min="1" max="1" width="15.453125" style="15" customWidth="1"/>
    <col min="2" max="2" width="23.7265625" style="15" customWidth="1"/>
    <col min="3" max="3" width="28.81640625" style="15" customWidth="1"/>
    <col min="4" max="4" width="28" style="15" customWidth="1"/>
    <col min="5" max="5" width="42" style="15" customWidth="1"/>
    <col min="6" max="6" width="61.81640625" style="15" customWidth="1"/>
    <col min="7" max="7" width="43.81640625" style="15" customWidth="1"/>
    <col min="8" max="16384" width="11.453125" style="15"/>
  </cols>
  <sheetData>
    <row r="1" spans="1:8" ht="15" customHeight="1" x14ac:dyDescent="0.35">
      <c r="A1" s="121" t="s">
        <v>45</v>
      </c>
      <c r="B1" s="121"/>
      <c r="C1" s="121"/>
      <c r="D1" s="121"/>
      <c r="E1" s="121"/>
      <c r="F1" s="121"/>
      <c r="G1" s="121"/>
    </row>
    <row r="2" spans="1:8" s="43" customFormat="1" ht="52" x14ac:dyDescent="0.4">
      <c r="A2" s="59" t="s">
        <v>46</v>
      </c>
      <c r="B2" s="59" t="s">
        <v>47</v>
      </c>
      <c r="C2" s="59" t="s">
        <v>48</v>
      </c>
      <c r="D2" s="59" t="s">
        <v>49</v>
      </c>
      <c r="E2" s="59" t="s">
        <v>50</v>
      </c>
      <c r="F2" s="59" t="s">
        <v>51</v>
      </c>
      <c r="G2" s="60" t="s">
        <v>52</v>
      </c>
    </row>
    <row r="3" spans="1:8" s="27" customFormat="1" ht="16.5" x14ac:dyDescent="0.35">
      <c r="A3" s="61" t="s">
        <v>53</v>
      </c>
      <c r="B3" s="62" t="s">
        <v>54</v>
      </c>
      <c r="C3" s="62" t="s">
        <v>55</v>
      </c>
      <c r="D3" s="62" t="s">
        <v>56</v>
      </c>
      <c r="E3" s="62" t="s">
        <v>57</v>
      </c>
      <c r="F3" s="47" t="s">
        <v>58</v>
      </c>
      <c r="G3" s="47" t="s">
        <v>59</v>
      </c>
    </row>
    <row r="4" spans="1:8" s="27" customFormat="1" ht="87.75" customHeight="1" x14ac:dyDescent="0.35">
      <c r="A4" s="27">
        <v>1</v>
      </c>
      <c r="B4" s="41" t="s">
        <v>60</v>
      </c>
      <c r="C4" s="42" t="s">
        <v>22</v>
      </c>
      <c r="D4" s="42" t="s">
        <v>23</v>
      </c>
      <c r="E4" s="42" t="s">
        <v>24</v>
      </c>
      <c r="F4" s="42" t="s">
        <v>61</v>
      </c>
      <c r="G4" s="63" t="s">
        <v>62</v>
      </c>
    </row>
    <row r="5" spans="1:8" s="27" customFormat="1" ht="49.5" x14ac:dyDescent="0.35">
      <c r="A5" s="27">
        <v>2</v>
      </c>
      <c r="B5" s="31" t="s">
        <v>63</v>
      </c>
      <c r="C5" s="30" t="s">
        <v>28</v>
      </c>
      <c r="D5" s="27" t="s">
        <v>29</v>
      </c>
      <c r="E5" s="27" t="s">
        <v>30</v>
      </c>
      <c r="F5" s="27" t="s">
        <v>64</v>
      </c>
      <c r="G5" s="26" t="s">
        <v>62</v>
      </c>
    </row>
    <row r="6" spans="1:8" s="27" customFormat="1" ht="16.5" x14ac:dyDescent="0.35">
      <c r="B6" s="31"/>
      <c r="C6" s="30"/>
    </row>
    <row r="7" spans="1:8" s="27" customFormat="1" ht="16.5" x14ac:dyDescent="0.35">
      <c r="B7" s="31"/>
      <c r="C7" s="30"/>
      <c r="E7" s="29"/>
    </row>
    <row r="8" spans="1:8" s="27" customFormat="1" ht="16.5" x14ac:dyDescent="0.35">
      <c r="A8" s="32"/>
      <c r="B8" s="33"/>
      <c r="C8" s="32"/>
      <c r="D8" s="34"/>
      <c r="E8" s="33"/>
      <c r="G8" s="32"/>
      <c r="H8" s="32"/>
    </row>
    <row r="9" spans="1:8" s="27" customFormat="1" ht="16.5" x14ac:dyDescent="0.35"/>
    <row r="10" spans="1:8" s="27" customFormat="1" ht="16.5" x14ac:dyDescent="0.35"/>
    <row r="11" spans="1:8" s="27" customFormat="1" ht="16.5" x14ac:dyDescent="0.35"/>
    <row r="12" spans="1:8" s="27" customFormat="1" ht="16.5" x14ac:dyDescent="0.35"/>
    <row r="13" spans="1:8" s="27" customFormat="1" ht="16.5" x14ac:dyDescent="0.35"/>
    <row r="14" spans="1:8" s="27" customFormat="1" ht="16.5" x14ac:dyDescent="0.35"/>
    <row r="15" spans="1:8" s="27" customFormat="1" ht="16.5" x14ac:dyDescent="0.35"/>
    <row r="16" spans="1:8" s="27" customFormat="1" ht="16.5" x14ac:dyDescent="0.35"/>
    <row r="17" s="27" customFormat="1" ht="16.5" x14ac:dyDescent="0.35"/>
  </sheetData>
  <mergeCells count="1">
    <mergeCell ref="A1:G1"/>
  </mergeCells>
  <dataValidations count="2">
    <dataValidation type="list" allowBlank="1" showInputMessage="1" showErrorMessage="1" sqref="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8"/>
  <sheetViews>
    <sheetView zoomScaleNormal="100" workbookViewId="0">
      <selection activeCell="A3" sqref="A3"/>
    </sheetView>
  </sheetViews>
  <sheetFormatPr baseColWidth="10" defaultColWidth="11.453125" defaultRowHeight="15" x14ac:dyDescent="0.5"/>
  <cols>
    <col min="1" max="1" width="55.54296875" style="18" customWidth="1"/>
    <col min="2" max="2" width="23.1796875" style="20" customWidth="1"/>
    <col min="3" max="3" width="20.7265625" style="18" customWidth="1"/>
    <col min="4" max="4" width="23.7265625" style="18" customWidth="1"/>
    <col min="5" max="5" width="25.54296875" style="18" customWidth="1"/>
    <col min="6" max="6" width="20.453125" style="18" customWidth="1"/>
    <col min="7" max="7" width="20" style="16" customWidth="1"/>
    <col min="8" max="8" width="19.453125" style="14" customWidth="1"/>
    <col min="9" max="9" width="63.1796875" style="14" customWidth="1"/>
    <col min="10" max="16384" width="11.453125" style="18"/>
  </cols>
  <sheetData>
    <row r="1" spans="1:9" s="35" customFormat="1" ht="52" x14ac:dyDescent="0.35">
      <c r="A1" s="46" t="s">
        <v>65</v>
      </c>
      <c r="B1" s="46" t="s">
        <v>66</v>
      </c>
      <c r="C1" s="44" t="s">
        <v>67</v>
      </c>
      <c r="D1" s="39" t="s">
        <v>68</v>
      </c>
      <c r="E1" s="39" t="s">
        <v>69</v>
      </c>
      <c r="F1" s="39" t="s">
        <v>70</v>
      </c>
      <c r="G1" s="39" t="s">
        <v>71</v>
      </c>
      <c r="H1" s="49" t="s">
        <v>72</v>
      </c>
      <c r="I1" s="46" t="s">
        <v>73</v>
      </c>
    </row>
    <row r="2" spans="1:9" s="30" customFormat="1" ht="16.5" x14ac:dyDescent="0.35">
      <c r="A2" s="47" t="s">
        <v>74</v>
      </c>
      <c r="B2" s="48" t="s">
        <v>75</v>
      </c>
      <c r="C2" s="45" t="s">
        <v>76</v>
      </c>
      <c r="D2" s="36" t="s">
        <v>77</v>
      </c>
      <c r="E2" s="37" t="s">
        <v>78</v>
      </c>
      <c r="F2" s="38" t="s">
        <v>79</v>
      </c>
      <c r="G2" s="38" t="s">
        <v>80</v>
      </c>
      <c r="H2" s="50" t="s">
        <v>54</v>
      </c>
      <c r="I2" s="48" t="s">
        <v>81</v>
      </c>
    </row>
    <row r="3" spans="1:9" s="30" customFormat="1" ht="66" x14ac:dyDescent="0.35">
      <c r="A3" s="64" t="s">
        <v>61</v>
      </c>
      <c r="B3" s="26">
        <v>1</v>
      </c>
      <c r="C3" s="65" t="s">
        <v>11</v>
      </c>
      <c r="D3" s="66" t="s">
        <v>22</v>
      </c>
      <c r="E3" s="66" t="s">
        <v>82</v>
      </c>
      <c r="F3" s="67" t="s">
        <v>83</v>
      </c>
      <c r="G3" s="67" t="s">
        <v>84</v>
      </c>
      <c r="H3" s="67" t="s">
        <v>85</v>
      </c>
      <c r="I3" s="27" t="s">
        <v>86</v>
      </c>
    </row>
    <row r="4" spans="1:9" s="30" customFormat="1" ht="66" x14ac:dyDescent="0.35">
      <c r="A4" s="64" t="s">
        <v>61</v>
      </c>
      <c r="B4" s="26">
        <v>2</v>
      </c>
      <c r="C4" s="52" t="s">
        <v>12</v>
      </c>
      <c r="D4" s="30" t="s">
        <v>23</v>
      </c>
      <c r="E4" s="30" t="s">
        <v>82</v>
      </c>
      <c r="F4" s="29" t="s">
        <v>87</v>
      </c>
      <c r="G4" s="29" t="s">
        <v>84</v>
      </c>
      <c r="H4" s="29" t="s">
        <v>63</v>
      </c>
      <c r="I4" s="27" t="s">
        <v>88</v>
      </c>
    </row>
    <row r="5" spans="1:9" s="30" customFormat="1" ht="99.5" thickBot="1" x14ac:dyDescent="0.4">
      <c r="A5" s="68" t="s">
        <v>61</v>
      </c>
      <c r="B5" s="69">
        <v>3</v>
      </c>
      <c r="C5" s="70" t="s">
        <v>13</v>
      </c>
      <c r="D5" s="71" t="s">
        <v>24</v>
      </c>
      <c r="E5" s="71" t="s">
        <v>82</v>
      </c>
      <c r="F5" s="72" t="s">
        <v>89</v>
      </c>
      <c r="G5" s="72" t="s">
        <v>84</v>
      </c>
      <c r="H5" s="72" t="s">
        <v>90</v>
      </c>
      <c r="I5" s="73" t="s">
        <v>91</v>
      </c>
    </row>
    <row r="6" spans="1:9" s="30" customFormat="1" ht="49.5" x14ac:dyDescent="0.35">
      <c r="A6" s="64" t="s">
        <v>64</v>
      </c>
      <c r="B6" s="26">
        <v>1</v>
      </c>
      <c r="C6" s="52" t="s">
        <v>11</v>
      </c>
      <c r="D6" s="30" t="s">
        <v>28</v>
      </c>
      <c r="E6" s="66" t="s">
        <v>82</v>
      </c>
      <c r="F6" s="67" t="s">
        <v>83</v>
      </c>
      <c r="G6" s="67" t="s">
        <v>84</v>
      </c>
      <c r="H6" s="67" t="s">
        <v>85</v>
      </c>
      <c r="I6" s="27" t="s">
        <v>86</v>
      </c>
    </row>
    <row r="7" spans="1:9" s="30" customFormat="1" ht="49.5" x14ac:dyDescent="0.35">
      <c r="A7" s="64" t="s">
        <v>64</v>
      </c>
      <c r="B7" s="26">
        <v>2</v>
      </c>
      <c r="C7" s="52" t="s">
        <v>12</v>
      </c>
      <c r="D7" s="30" t="s">
        <v>29</v>
      </c>
      <c r="E7" s="27" t="s">
        <v>82</v>
      </c>
      <c r="F7" s="29" t="s">
        <v>87</v>
      </c>
      <c r="G7" s="29" t="s">
        <v>84</v>
      </c>
      <c r="H7" s="29" t="s">
        <v>63</v>
      </c>
      <c r="I7" s="27" t="s">
        <v>88</v>
      </c>
    </row>
    <row r="8" spans="1:9" s="30" customFormat="1" ht="66.5" thickBot="1" x14ac:dyDescent="0.4">
      <c r="A8" s="68" t="s">
        <v>64</v>
      </c>
      <c r="B8" s="69">
        <v>3</v>
      </c>
      <c r="C8" s="70" t="s">
        <v>13</v>
      </c>
      <c r="D8" s="71" t="s">
        <v>30</v>
      </c>
      <c r="E8" s="73" t="s">
        <v>82</v>
      </c>
      <c r="F8" s="72" t="s">
        <v>89</v>
      </c>
      <c r="G8" s="72" t="s">
        <v>84</v>
      </c>
      <c r="H8" s="74" t="s">
        <v>90</v>
      </c>
      <c r="I8" s="68" t="s">
        <v>91</v>
      </c>
    </row>
    <row r="9" spans="1:9" x14ac:dyDescent="0.35">
      <c r="A9" s="40"/>
      <c r="C9" s="21"/>
      <c r="F9" s="17"/>
      <c r="G9" s="17"/>
      <c r="H9" s="17"/>
      <c r="I9" s="15"/>
    </row>
    <row r="10" spans="1:9" x14ac:dyDescent="0.35">
      <c r="A10" s="40"/>
      <c r="C10" s="22"/>
      <c r="F10" s="17"/>
      <c r="G10" s="17"/>
      <c r="H10" s="17"/>
      <c r="I10" s="15"/>
    </row>
    <row r="11" spans="1:9" x14ac:dyDescent="0.35">
      <c r="A11" s="40"/>
      <c r="C11" s="23"/>
      <c r="F11" s="17"/>
      <c r="G11" s="17"/>
      <c r="H11" s="17"/>
      <c r="I11" s="15"/>
    </row>
    <row r="12" spans="1:9" x14ac:dyDescent="0.35">
      <c r="A12" s="40"/>
      <c r="C12" s="22"/>
      <c r="F12" s="17"/>
      <c r="G12" s="17"/>
      <c r="H12" s="17"/>
      <c r="I12" s="15"/>
    </row>
    <row r="13" spans="1:9" x14ac:dyDescent="0.35">
      <c r="A13" s="40"/>
      <c r="C13" s="22"/>
      <c r="F13" s="17"/>
      <c r="G13" s="17"/>
      <c r="H13" s="17"/>
      <c r="I13" s="15"/>
    </row>
    <row r="14" spans="1:9" x14ac:dyDescent="0.35">
      <c r="A14" s="40"/>
      <c r="C14" s="23"/>
      <c r="F14" s="17"/>
      <c r="G14" s="17"/>
      <c r="H14" s="17"/>
      <c r="I14" s="15"/>
    </row>
    <row r="15" spans="1:9" x14ac:dyDescent="0.5">
      <c r="A15" s="40"/>
      <c r="F15" s="14"/>
      <c r="G15" s="14"/>
    </row>
    <row r="16" spans="1:9" x14ac:dyDescent="0.5">
      <c r="A16" s="40"/>
      <c r="F16" s="14"/>
      <c r="G16" s="14"/>
    </row>
    <row r="17" spans="1:7" x14ac:dyDescent="0.5">
      <c r="A17" s="40"/>
      <c r="F17" s="14"/>
      <c r="G17" s="14"/>
    </row>
    <row r="18" spans="1:7" x14ac:dyDescent="0.5">
      <c r="A18" s="40"/>
      <c r="F18" s="14"/>
      <c r="G18" s="14"/>
    </row>
  </sheetData>
  <autoFilter ref="A2:I8" xr:uid="{94AAF649-42F4-466A-BE11-44357078F961}"/>
  <dataValidations count="8">
    <dataValidation type="list" allowBlank="1" showInputMessage="1" showErrorMessage="1" sqref="C3:C18" xr:uid="{3B0FAE21-4414-4928-BE47-40DBF73D85A6}">
      <formula1>dominios</formula1>
    </dataValidation>
    <dataValidation type="list" allowBlank="1" showInputMessage="1" showErrorMessage="1" sqref="A3:A18" xr:uid="{1BC8411C-0029-4475-BC4D-F429B66D863D}">
      <formula1>competencias</formula1>
    </dataValidation>
    <dataValidation type="list" allowBlank="1" showInputMessage="1" showErrorMessage="1" sqref="F3:F18" xr:uid="{EDC32C5E-443E-464B-B420-6F6CD6A8E099}">
      <formula1>INDIRECT($E3)</formula1>
    </dataValidation>
    <dataValidation type="list" allowBlank="1" showInputMessage="1" showErrorMessage="1" sqref="D3:D18" xr:uid="{D2786A4C-D4BE-47D1-BDF5-271CFB539CAE}">
      <formula1>INDIRECT($C3)</formula1>
    </dataValidation>
    <dataValidation type="list" allowBlank="1" showInputMessage="1" showErrorMessage="1" sqref="H3:H18" xr:uid="{5DC517A5-FC6B-4375-B3E1-04A2C1D437C5}">
      <formula1>INDIRECT($G3)</formula1>
    </dataValidation>
    <dataValidation type="list" allowBlank="1" showInputMessage="1" showErrorMessage="1" sqref="G3:G18" xr:uid="{DF3498F9-E1A3-4395-90A6-D9BF5E92F1D0}">
      <formula1>INDIRECT($F3)</formula1>
    </dataValidation>
    <dataValidation type="list" allowBlank="1" showInputMessage="1" showErrorMessage="1" sqref="G19" xr:uid="{2147F390-DEA6-46FC-B015-E96EFBEBA5F9}">
      <formula1>INDIRECT($E8)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8"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9"/>
  <sheetViews>
    <sheetView zoomScaleNormal="100" workbookViewId="0">
      <selection activeCell="A3" sqref="A3"/>
    </sheetView>
  </sheetViews>
  <sheetFormatPr baseColWidth="10" defaultColWidth="11.453125" defaultRowHeight="16.5" x14ac:dyDescent="0.35"/>
  <cols>
    <col min="1" max="1" width="46.26953125" style="30" customWidth="1"/>
    <col min="2" max="2" width="47.54296875" style="51" customWidth="1"/>
    <col min="3" max="3" width="38.54296875" style="51" customWidth="1"/>
    <col min="4" max="4" width="46.81640625" style="31" customWidth="1"/>
    <col min="5" max="5" width="39.1796875" style="31" customWidth="1"/>
    <col min="6" max="6" width="36.26953125" style="51" customWidth="1"/>
    <col min="7" max="16384" width="11.453125" style="51"/>
  </cols>
  <sheetData>
    <row r="1" spans="1:6" s="54" customFormat="1" ht="52" x14ac:dyDescent="0.35">
      <c r="A1" s="55" t="s">
        <v>92</v>
      </c>
      <c r="B1" s="55" t="s">
        <v>93</v>
      </c>
      <c r="C1" s="55" t="s">
        <v>94</v>
      </c>
      <c r="D1" s="55" t="s">
        <v>95</v>
      </c>
      <c r="E1" s="55" t="s">
        <v>96</v>
      </c>
      <c r="F1" s="55" t="s">
        <v>97</v>
      </c>
    </row>
    <row r="2" spans="1:6" ht="33" x14ac:dyDescent="0.35">
      <c r="A2" s="56" t="s">
        <v>98</v>
      </c>
      <c r="B2" s="56" t="s">
        <v>99</v>
      </c>
      <c r="C2" s="56" t="s">
        <v>100</v>
      </c>
      <c r="D2" s="56" t="s">
        <v>101</v>
      </c>
      <c r="E2" s="56" t="s">
        <v>102</v>
      </c>
      <c r="F2" s="56" t="s">
        <v>103</v>
      </c>
    </row>
    <row r="3" spans="1:6" ht="66" x14ac:dyDescent="0.35">
      <c r="A3" s="81" t="s">
        <v>86</v>
      </c>
      <c r="B3" s="134" t="s">
        <v>104</v>
      </c>
      <c r="C3" s="135" t="s">
        <v>105</v>
      </c>
      <c r="D3" s="82" t="s">
        <v>106</v>
      </c>
      <c r="E3" s="135" t="s">
        <v>107</v>
      </c>
      <c r="F3" s="83" t="s">
        <v>108</v>
      </c>
    </row>
    <row r="4" spans="1:6" ht="66.5" thickBot="1" x14ac:dyDescent="0.4">
      <c r="A4" s="84" t="s">
        <v>91</v>
      </c>
      <c r="B4" s="124"/>
      <c r="C4" s="127"/>
      <c r="D4" s="86" t="s">
        <v>109</v>
      </c>
      <c r="E4" s="127"/>
      <c r="F4" s="84" t="s">
        <v>110</v>
      </c>
    </row>
    <row r="5" spans="1:6" ht="66" x14ac:dyDescent="0.35">
      <c r="A5" s="87" t="s">
        <v>86</v>
      </c>
      <c r="B5" s="122" t="s">
        <v>111</v>
      </c>
      <c r="C5" s="125" t="s">
        <v>112</v>
      </c>
      <c r="D5" s="89" t="s">
        <v>113</v>
      </c>
      <c r="E5" s="125" t="s">
        <v>114</v>
      </c>
      <c r="F5" s="87" t="s">
        <v>115</v>
      </c>
    </row>
    <row r="6" spans="1:6" ht="49.5" x14ac:dyDescent="0.35">
      <c r="A6" s="52" t="s">
        <v>88</v>
      </c>
      <c r="B6" s="123"/>
      <c r="C6" s="126"/>
      <c r="D6" s="53" t="s">
        <v>116</v>
      </c>
      <c r="E6" s="126"/>
      <c r="F6" s="52" t="s">
        <v>117</v>
      </c>
    </row>
    <row r="7" spans="1:6" ht="66.5" thickBot="1" x14ac:dyDescent="0.4">
      <c r="A7" s="84" t="s">
        <v>91</v>
      </c>
      <c r="B7" s="124"/>
      <c r="C7" s="127"/>
      <c r="D7" s="86" t="s">
        <v>118</v>
      </c>
      <c r="E7" s="127"/>
      <c r="F7" s="84" t="s">
        <v>119</v>
      </c>
    </row>
    <row r="8" spans="1:6" ht="66" x14ac:dyDescent="0.35">
      <c r="A8" s="87" t="s">
        <v>86</v>
      </c>
      <c r="B8" s="122" t="s">
        <v>120</v>
      </c>
      <c r="C8" s="125" t="s">
        <v>121</v>
      </c>
      <c r="D8" s="89" t="s">
        <v>122</v>
      </c>
      <c r="E8" s="125" t="s">
        <v>123</v>
      </c>
      <c r="F8" s="87" t="s">
        <v>124</v>
      </c>
    </row>
    <row r="9" spans="1:6" ht="49.5" x14ac:dyDescent="0.35">
      <c r="A9" s="52" t="s">
        <v>88</v>
      </c>
      <c r="B9" s="123"/>
      <c r="C9" s="126"/>
      <c r="D9" s="53" t="s">
        <v>125</v>
      </c>
      <c r="E9" s="126"/>
      <c r="F9" s="91" t="s">
        <v>108</v>
      </c>
    </row>
    <row r="10" spans="1:6" ht="66" x14ac:dyDescent="0.35">
      <c r="A10" s="52" t="s">
        <v>91</v>
      </c>
      <c r="B10" s="123"/>
      <c r="C10" s="126"/>
      <c r="D10" s="53" t="s">
        <v>126</v>
      </c>
      <c r="E10" s="126"/>
      <c r="F10" s="57" t="s">
        <v>110</v>
      </c>
    </row>
    <row r="11" spans="1:6" ht="50" thickBot="1" x14ac:dyDescent="0.4">
      <c r="A11" s="84"/>
      <c r="B11" s="124"/>
      <c r="C11" s="127"/>
      <c r="D11" s="86" t="s">
        <v>113</v>
      </c>
      <c r="E11" s="127"/>
      <c r="F11" s="84" t="s">
        <v>115</v>
      </c>
    </row>
    <row r="12" spans="1:6" ht="66" x14ac:dyDescent="0.35">
      <c r="A12" s="87" t="s">
        <v>86</v>
      </c>
      <c r="B12" s="128" t="s">
        <v>127</v>
      </c>
      <c r="C12" s="131" t="s">
        <v>128</v>
      </c>
      <c r="D12" s="92" t="s">
        <v>129</v>
      </c>
      <c r="E12" s="125" t="s">
        <v>107</v>
      </c>
      <c r="F12" s="125" t="s">
        <v>130</v>
      </c>
    </row>
    <row r="13" spans="1:6" x14ac:dyDescent="0.35">
      <c r="A13" s="52"/>
      <c r="B13" s="129"/>
      <c r="C13" s="132"/>
      <c r="D13" s="94" t="s">
        <v>131</v>
      </c>
      <c r="E13" s="126"/>
      <c r="F13" s="126"/>
    </row>
    <row r="14" spans="1:6" ht="17" thickBot="1" x14ac:dyDescent="0.4">
      <c r="A14" s="84"/>
      <c r="B14" s="130"/>
      <c r="C14" s="133"/>
      <c r="D14" s="96" t="s">
        <v>132</v>
      </c>
      <c r="E14" s="84"/>
      <c r="F14" s="84" t="s">
        <v>110</v>
      </c>
    </row>
    <row r="15" spans="1:6" ht="66" x14ac:dyDescent="0.35">
      <c r="A15" s="87" t="s">
        <v>86</v>
      </c>
      <c r="B15" s="122" t="s">
        <v>133</v>
      </c>
      <c r="C15" s="125" t="s">
        <v>134</v>
      </c>
      <c r="D15" s="89" t="s">
        <v>135</v>
      </c>
      <c r="E15" s="125" t="s">
        <v>136</v>
      </c>
      <c r="F15" s="97" t="s">
        <v>108</v>
      </c>
    </row>
    <row r="16" spans="1:6" ht="49.5" x14ac:dyDescent="0.35">
      <c r="A16" s="52" t="s">
        <v>88</v>
      </c>
      <c r="B16" s="123"/>
      <c r="C16" s="126"/>
      <c r="D16" s="53" t="s">
        <v>137</v>
      </c>
      <c r="E16" s="126"/>
      <c r="F16" s="93" t="s">
        <v>110</v>
      </c>
    </row>
    <row r="17" spans="1:6" ht="66.5" thickBot="1" x14ac:dyDescent="0.4">
      <c r="A17" s="84" t="s">
        <v>91</v>
      </c>
      <c r="B17" s="124"/>
      <c r="C17" s="127"/>
      <c r="D17" s="86" t="s">
        <v>138</v>
      </c>
      <c r="E17" s="127"/>
      <c r="F17" s="95" t="s">
        <v>110</v>
      </c>
    </row>
    <row r="18" spans="1:6" ht="115.5" x14ac:dyDescent="0.35">
      <c r="A18" s="87" t="s">
        <v>86</v>
      </c>
      <c r="B18" s="88" t="s">
        <v>139</v>
      </c>
      <c r="C18" s="87" t="s">
        <v>140</v>
      </c>
      <c r="D18" s="89" t="s">
        <v>141</v>
      </c>
      <c r="E18" s="87" t="s">
        <v>107</v>
      </c>
      <c r="F18" s="87" t="s">
        <v>142</v>
      </c>
    </row>
    <row r="19" spans="1:6" ht="66" x14ac:dyDescent="0.35">
      <c r="A19" s="52" t="s">
        <v>91</v>
      </c>
      <c r="B19" s="90"/>
      <c r="C19" s="52"/>
      <c r="D19" s="53" t="s">
        <v>143</v>
      </c>
      <c r="E19" s="52"/>
      <c r="F19" s="52" t="s">
        <v>108</v>
      </c>
    </row>
    <row r="20" spans="1:6" ht="33.5" thickBot="1" x14ac:dyDescent="0.4">
      <c r="A20" s="84"/>
      <c r="B20" s="85"/>
      <c r="C20" s="84"/>
      <c r="D20" s="86" t="s">
        <v>144</v>
      </c>
      <c r="E20" s="84"/>
      <c r="F20" s="84" t="s">
        <v>110</v>
      </c>
    </row>
    <row r="21" spans="1:6" ht="66" x14ac:dyDescent="0.35">
      <c r="A21" s="87" t="s">
        <v>86</v>
      </c>
      <c r="B21" s="122" t="s">
        <v>145</v>
      </c>
      <c r="C21" s="125" t="s">
        <v>146</v>
      </c>
      <c r="D21" s="89" t="s">
        <v>118</v>
      </c>
      <c r="E21" s="125" t="s">
        <v>114</v>
      </c>
      <c r="F21" s="87" t="s">
        <v>110</v>
      </c>
    </row>
    <row r="22" spans="1:6" ht="49.5" x14ac:dyDescent="0.35">
      <c r="A22" s="52" t="s">
        <v>88</v>
      </c>
      <c r="B22" s="123"/>
      <c r="C22" s="126"/>
      <c r="D22" s="53" t="s">
        <v>147</v>
      </c>
      <c r="E22" s="126"/>
      <c r="F22" s="52" t="s">
        <v>148</v>
      </c>
    </row>
    <row r="23" spans="1:6" ht="66" x14ac:dyDescent="0.35">
      <c r="A23" s="52" t="s">
        <v>91</v>
      </c>
      <c r="B23" s="123"/>
      <c r="C23" s="126"/>
      <c r="D23" s="53" t="s">
        <v>149</v>
      </c>
      <c r="E23" s="126"/>
      <c r="F23" s="91" t="s">
        <v>108</v>
      </c>
    </row>
    <row r="24" spans="1:6" ht="17" thickBot="1" x14ac:dyDescent="0.4">
      <c r="A24" s="84"/>
      <c r="B24" s="124"/>
      <c r="C24" s="127"/>
      <c r="D24" s="86" t="s">
        <v>150</v>
      </c>
      <c r="E24" s="127"/>
      <c r="F24" s="84" t="s">
        <v>151</v>
      </c>
    </row>
    <row r="25" spans="1:6" ht="66" x14ac:dyDescent="0.35">
      <c r="A25" s="87" t="s">
        <v>86</v>
      </c>
      <c r="B25" s="122" t="s">
        <v>152</v>
      </c>
      <c r="C25" s="125" t="s">
        <v>153</v>
      </c>
      <c r="D25" s="89" t="s">
        <v>154</v>
      </c>
      <c r="E25" s="125" t="s">
        <v>107</v>
      </c>
      <c r="F25" s="98" t="s">
        <v>108</v>
      </c>
    </row>
    <row r="26" spans="1:6" ht="17" thickBot="1" x14ac:dyDescent="0.4">
      <c r="A26" s="84"/>
      <c r="B26" s="124"/>
      <c r="C26" s="127"/>
      <c r="D26" s="86" t="s">
        <v>155</v>
      </c>
      <c r="E26" s="127"/>
      <c r="F26" s="99" t="s">
        <v>108</v>
      </c>
    </row>
    <row r="27" spans="1:6" x14ac:dyDescent="0.35">
      <c r="A27" s="52"/>
      <c r="B27" s="4"/>
      <c r="C27" s="4"/>
      <c r="D27" s="53"/>
      <c r="E27" s="57"/>
      <c r="F27" s="4"/>
    </row>
    <row r="28" spans="1:6" x14ac:dyDescent="0.35">
      <c r="A28" s="52"/>
      <c r="B28" s="4"/>
      <c r="C28" s="4"/>
      <c r="D28" s="53"/>
      <c r="E28" s="57"/>
      <c r="F28" s="4"/>
    </row>
    <row r="29" spans="1:6" x14ac:dyDescent="0.35">
      <c r="A29" s="52"/>
      <c r="B29" s="4"/>
      <c r="C29" s="4"/>
      <c r="D29" s="53"/>
      <c r="E29" s="57"/>
      <c r="F29" s="4"/>
    </row>
  </sheetData>
  <mergeCells count="22">
    <mergeCell ref="B25:B26"/>
    <mergeCell ref="C25:C26"/>
    <mergeCell ref="E25:E26"/>
    <mergeCell ref="F12:F13"/>
    <mergeCell ref="B15:B17"/>
    <mergeCell ref="C15:C17"/>
    <mergeCell ref="E15:E17"/>
    <mergeCell ref="B21:B24"/>
    <mergeCell ref="C21:C24"/>
    <mergeCell ref="E21:E24"/>
    <mergeCell ref="B3:B4"/>
    <mergeCell ref="C3:C4"/>
    <mergeCell ref="E3:E4"/>
    <mergeCell ref="B5:B7"/>
    <mergeCell ref="C5:C7"/>
    <mergeCell ref="E5:E7"/>
    <mergeCell ref="B8:B11"/>
    <mergeCell ref="C8:C11"/>
    <mergeCell ref="E8:E11"/>
    <mergeCell ref="E12:E13"/>
    <mergeCell ref="B12:B14"/>
    <mergeCell ref="C12:C1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274CE14-B2DD-4EB6-BEB6-225A55AAFD18}">
          <x14:formula1>
            <xm:f>'Paso 3 Redacción RA '!$I$3:$I$8</xm:f>
          </x14:formula1>
          <xm:sqref>A3:A26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P44"/>
  <sheetViews>
    <sheetView tabSelected="1" topLeftCell="E1" zoomScaleNormal="100" workbookViewId="0">
      <pane ySplit="1" topLeftCell="A29" activePane="bottomLeft" state="frozen"/>
      <selection activeCell="G1" sqref="G1"/>
      <selection pane="bottomLeft" activeCell="I30" sqref="I30"/>
    </sheetView>
  </sheetViews>
  <sheetFormatPr baseColWidth="10" defaultColWidth="11.453125" defaultRowHeight="15" x14ac:dyDescent="0.5"/>
  <cols>
    <col min="1" max="1" width="14.81640625" style="17" customWidth="1"/>
    <col min="2" max="2" width="39.81640625" style="80" customWidth="1"/>
    <col min="3" max="3" width="18.7265625" style="16" customWidth="1"/>
    <col min="4" max="4" width="23.26953125" style="16" customWidth="1"/>
    <col min="5" max="5" width="54.81640625" style="80" customWidth="1"/>
    <col min="6" max="6" width="22.1796875" style="14" customWidth="1"/>
    <col min="7" max="8" width="21.26953125" style="16" customWidth="1"/>
    <col min="9" max="9" width="17" style="19" customWidth="1"/>
    <col min="10" max="10" width="23.26953125" style="14" customWidth="1"/>
    <col min="11" max="11" width="26.453125" style="14" customWidth="1"/>
    <col min="12" max="12" width="20.7265625" style="14" customWidth="1"/>
    <col min="13" max="13" width="23.81640625" style="80" customWidth="1"/>
    <col min="14" max="14" width="31.1796875" style="80" customWidth="1"/>
    <col min="15" max="15" width="38.26953125" style="80" customWidth="1"/>
    <col min="16" max="16" width="86" style="80" customWidth="1"/>
    <col min="17" max="16384" width="11.453125" style="14"/>
  </cols>
  <sheetData>
    <row r="1" spans="1:16" ht="52" x14ac:dyDescent="0.5">
      <c r="A1" s="75" t="s">
        <v>156</v>
      </c>
      <c r="B1" s="75" t="s">
        <v>157</v>
      </c>
      <c r="C1" s="75" t="s">
        <v>158</v>
      </c>
      <c r="D1" s="75" t="s">
        <v>159</v>
      </c>
      <c r="E1" s="75" t="s">
        <v>160</v>
      </c>
      <c r="F1" s="75" t="s">
        <v>161</v>
      </c>
      <c r="G1" s="136" t="s">
        <v>162</v>
      </c>
      <c r="H1" s="137"/>
      <c r="I1" s="75" t="s">
        <v>163</v>
      </c>
      <c r="J1" s="75" t="s">
        <v>164</v>
      </c>
      <c r="K1" s="75" t="s">
        <v>165</v>
      </c>
      <c r="L1" s="75" t="s">
        <v>166</v>
      </c>
      <c r="M1" s="75" t="s">
        <v>167</v>
      </c>
      <c r="N1" s="75" t="s">
        <v>168</v>
      </c>
      <c r="O1" s="75" t="s">
        <v>169</v>
      </c>
      <c r="P1" s="76" t="s">
        <v>170</v>
      </c>
    </row>
    <row r="2" spans="1:16" s="1" customFormat="1" ht="33" x14ac:dyDescent="0.5">
      <c r="A2" s="111" t="s">
        <v>76</v>
      </c>
      <c r="B2" s="111" t="s">
        <v>98</v>
      </c>
      <c r="C2" s="111" t="s">
        <v>171</v>
      </c>
      <c r="D2" s="111" t="s">
        <v>172</v>
      </c>
      <c r="E2" s="112" t="s">
        <v>173</v>
      </c>
      <c r="F2" s="112" t="s">
        <v>174</v>
      </c>
      <c r="G2" s="112" t="s">
        <v>175</v>
      </c>
      <c r="H2" s="112" t="s">
        <v>176</v>
      </c>
      <c r="I2" s="111" t="s">
        <v>177</v>
      </c>
      <c r="J2" s="111" t="s">
        <v>178</v>
      </c>
      <c r="K2" s="111" t="s">
        <v>179</v>
      </c>
      <c r="L2" s="111" t="s">
        <v>180</v>
      </c>
      <c r="M2" s="111" t="s">
        <v>181</v>
      </c>
      <c r="N2" s="111" t="s">
        <v>182</v>
      </c>
      <c r="O2" s="111" t="s">
        <v>183</v>
      </c>
      <c r="P2" s="111" t="s">
        <v>184</v>
      </c>
    </row>
    <row r="3" spans="1:16" s="78" customFormat="1" ht="66" x14ac:dyDescent="0.5">
      <c r="A3" s="94" t="str">
        <f>_xlfn.XLOOKUP(B3,'Paso 3 Redacción RA '!I$3:I$8,'Paso 3 Redacción RA '!C$3:C$8,,0,1)</f>
        <v>Saberhacer</v>
      </c>
      <c r="B3" s="53" t="s">
        <v>88</v>
      </c>
      <c r="C3" s="144" t="s">
        <v>185</v>
      </c>
      <c r="D3" s="144" t="s">
        <v>186</v>
      </c>
      <c r="E3" s="142" t="s">
        <v>187</v>
      </c>
      <c r="F3" s="138" t="s">
        <v>188</v>
      </c>
      <c r="G3" s="138"/>
      <c r="H3" s="138" t="s">
        <v>189</v>
      </c>
      <c r="I3" s="138">
        <v>2</v>
      </c>
      <c r="J3" s="138">
        <f>12*I3</f>
        <v>24</v>
      </c>
      <c r="K3" s="138">
        <f>36*I3</f>
        <v>72</v>
      </c>
      <c r="L3" s="138">
        <f>SUM(J3:K3)</f>
        <v>96</v>
      </c>
      <c r="M3" s="142" t="s">
        <v>190</v>
      </c>
      <c r="N3" s="142" t="s">
        <v>191</v>
      </c>
      <c r="O3" s="142" t="s">
        <v>192</v>
      </c>
      <c r="P3" s="142" t="s">
        <v>193</v>
      </c>
    </row>
    <row r="4" spans="1:16" s="78" customFormat="1" ht="82.5" x14ac:dyDescent="0.5">
      <c r="A4" s="96" t="str">
        <f>_xlfn.XLOOKUP(B4,'Paso 3 Redacción RA '!I$3:I$8,'Paso 3 Redacción RA '!C$3:C$8,,0,1)</f>
        <v>Saberser</v>
      </c>
      <c r="B4" s="86" t="s">
        <v>91</v>
      </c>
      <c r="C4" s="139"/>
      <c r="D4" s="139"/>
      <c r="E4" s="143"/>
      <c r="F4" s="139"/>
      <c r="G4" s="139"/>
      <c r="H4" s="139"/>
      <c r="I4" s="139"/>
      <c r="J4" s="139"/>
      <c r="K4" s="139"/>
      <c r="L4" s="139"/>
      <c r="M4" s="143"/>
      <c r="N4" s="143"/>
      <c r="O4" s="143"/>
      <c r="P4" s="143"/>
    </row>
    <row r="5" spans="1:16" s="78" customFormat="1" ht="82.5" x14ac:dyDescent="0.5">
      <c r="A5" s="114" t="str">
        <f>_xlfn.XLOOKUP(B5,'Paso 3 Redacción RA '!I$3:I$8,'Paso 3 Redacción RA '!C$3:C$8,,0,1)</f>
        <v>Saber</v>
      </c>
      <c r="B5" s="89" t="s">
        <v>86</v>
      </c>
      <c r="C5" s="140" t="s">
        <v>185</v>
      </c>
      <c r="D5" s="140" t="s">
        <v>194</v>
      </c>
      <c r="E5" s="141" t="s">
        <v>195</v>
      </c>
      <c r="F5" s="140" t="s">
        <v>196</v>
      </c>
      <c r="G5" s="140" t="s">
        <v>189</v>
      </c>
      <c r="H5" s="140"/>
      <c r="I5" s="140">
        <v>3</v>
      </c>
      <c r="J5" s="138">
        <f>12*I5</f>
        <v>36</v>
      </c>
      <c r="K5" s="138">
        <f>36*I5</f>
        <v>108</v>
      </c>
      <c r="L5" s="138">
        <f>SUM(J5:K5)</f>
        <v>144</v>
      </c>
      <c r="M5" s="141" t="s">
        <v>197</v>
      </c>
      <c r="N5" s="141" t="s">
        <v>191</v>
      </c>
      <c r="O5" s="141" t="s">
        <v>192</v>
      </c>
      <c r="P5" s="142" t="s">
        <v>193</v>
      </c>
    </row>
    <row r="6" spans="1:16" s="78" customFormat="1" ht="82.5" x14ac:dyDescent="0.5">
      <c r="A6" s="96" t="str">
        <f>_xlfn.XLOOKUP(B6,'Paso 3 Redacción RA '!I$3:I$8,'Paso 3 Redacción RA '!C$3:C$8,,0,1)</f>
        <v>Saberser</v>
      </c>
      <c r="B6" s="86" t="s">
        <v>91</v>
      </c>
      <c r="C6" s="139"/>
      <c r="D6" s="139"/>
      <c r="E6" s="143"/>
      <c r="F6" s="139"/>
      <c r="G6" s="139"/>
      <c r="H6" s="139"/>
      <c r="I6" s="139"/>
      <c r="J6" s="139"/>
      <c r="K6" s="139"/>
      <c r="L6" s="139"/>
      <c r="M6" s="143"/>
      <c r="N6" s="143"/>
      <c r="O6" s="143"/>
      <c r="P6" s="143"/>
    </row>
    <row r="7" spans="1:16" s="78" customFormat="1" ht="82.5" x14ac:dyDescent="0.5">
      <c r="A7" s="114" t="str">
        <f>_xlfn.XLOOKUP(B7,'Paso 3 Redacción RA '!I$3:I$8,'Paso 3 Redacción RA '!C$3:C$8,,0,1)</f>
        <v>Saber</v>
      </c>
      <c r="B7" s="89" t="s">
        <v>86</v>
      </c>
      <c r="C7" s="140" t="s">
        <v>185</v>
      </c>
      <c r="D7" s="140" t="s">
        <v>198</v>
      </c>
      <c r="E7" s="141" t="s">
        <v>199</v>
      </c>
      <c r="F7" s="140" t="s">
        <v>188</v>
      </c>
      <c r="G7" s="140" t="s">
        <v>189</v>
      </c>
      <c r="H7" s="140"/>
      <c r="I7" s="140">
        <v>2</v>
      </c>
      <c r="J7" s="140">
        <f>12*I7</f>
        <v>24</v>
      </c>
      <c r="K7" s="140">
        <f>36*I7</f>
        <v>72</v>
      </c>
      <c r="L7" s="140">
        <f>SUM(J7:K9)</f>
        <v>96</v>
      </c>
      <c r="M7" s="141" t="s">
        <v>200</v>
      </c>
      <c r="N7" s="141" t="s">
        <v>191</v>
      </c>
      <c r="O7" s="141" t="s">
        <v>192</v>
      </c>
      <c r="P7" s="141" t="s">
        <v>193</v>
      </c>
    </row>
    <row r="8" spans="1:16" s="78" customFormat="1" ht="66" x14ac:dyDescent="0.5">
      <c r="A8" s="94" t="str">
        <f>_xlfn.XLOOKUP(B8,'Paso 3 Redacción RA '!I$3:I$8,'Paso 3 Redacción RA '!C$3:C$8,,0,1)</f>
        <v>Saberhacer</v>
      </c>
      <c r="B8" s="53" t="s">
        <v>88</v>
      </c>
      <c r="C8" s="138"/>
      <c r="D8" s="138"/>
      <c r="E8" s="142"/>
      <c r="F8" s="138"/>
      <c r="G8" s="138"/>
      <c r="H8" s="138"/>
      <c r="I8" s="138"/>
      <c r="J8" s="138"/>
      <c r="K8" s="138"/>
      <c r="L8" s="138"/>
      <c r="M8" s="142"/>
      <c r="N8" s="142"/>
      <c r="O8" s="142"/>
      <c r="P8" s="142"/>
    </row>
    <row r="9" spans="1:16" s="78" customFormat="1" ht="82.5" x14ac:dyDescent="0.5">
      <c r="A9" s="96" t="str">
        <f>_xlfn.XLOOKUP(B9,'Paso 3 Redacción RA '!I$3:I$8,'Paso 3 Redacción RA '!C$3:C$8,,0,1)</f>
        <v>Saberser</v>
      </c>
      <c r="B9" s="86" t="s">
        <v>91</v>
      </c>
      <c r="C9" s="139"/>
      <c r="D9" s="139"/>
      <c r="E9" s="143"/>
      <c r="F9" s="139"/>
      <c r="G9" s="139"/>
      <c r="H9" s="139"/>
      <c r="I9" s="139"/>
      <c r="J9" s="139"/>
      <c r="K9" s="139"/>
      <c r="L9" s="139"/>
      <c r="M9" s="143"/>
      <c r="N9" s="143"/>
      <c r="O9" s="143"/>
      <c r="P9" s="143"/>
    </row>
    <row r="10" spans="1:16" s="78" customFormat="1" ht="82.5" x14ac:dyDescent="0.5">
      <c r="A10" s="114" t="str">
        <f>_xlfn.XLOOKUP(B10,'Paso 3 Redacción RA '!I$3:I$8,'Paso 3 Redacción RA '!C$3:C$8,,0,1)</f>
        <v>Saber</v>
      </c>
      <c r="B10" s="89" t="s">
        <v>86</v>
      </c>
      <c r="C10" s="140" t="s">
        <v>185</v>
      </c>
      <c r="D10" s="140" t="s">
        <v>201</v>
      </c>
      <c r="E10" s="141" t="s">
        <v>202</v>
      </c>
      <c r="F10" s="140" t="s">
        <v>188</v>
      </c>
      <c r="G10" s="140" t="s">
        <v>189</v>
      </c>
      <c r="H10" s="140"/>
      <c r="I10" s="140">
        <v>3</v>
      </c>
      <c r="J10" s="140">
        <f>12*I10</f>
        <v>36</v>
      </c>
      <c r="K10" s="140">
        <f>36*I10</f>
        <v>108</v>
      </c>
      <c r="L10" s="140">
        <f>SUM(J10:K12)</f>
        <v>144</v>
      </c>
      <c r="M10" s="141" t="s">
        <v>203</v>
      </c>
      <c r="N10" s="141" t="s">
        <v>191</v>
      </c>
      <c r="O10" s="141" t="s">
        <v>192</v>
      </c>
      <c r="P10" s="141" t="s">
        <v>193</v>
      </c>
    </row>
    <row r="11" spans="1:16" s="78" customFormat="1" ht="66" x14ac:dyDescent="0.5">
      <c r="A11" s="94" t="str">
        <f>_xlfn.XLOOKUP(B11,'Paso 3 Redacción RA '!I$3:I$8,'Paso 3 Redacción RA '!C$3:C$8,,0,1)</f>
        <v>Saberhacer</v>
      </c>
      <c r="B11" s="53" t="s">
        <v>88</v>
      </c>
      <c r="C11" s="138"/>
      <c r="D11" s="138"/>
      <c r="E11" s="142"/>
      <c r="F11" s="138"/>
      <c r="G11" s="138"/>
      <c r="H11" s="138"/>
      <c r="I11" s="138"/>
      <c r="J11" s="138"/>
      <c r="K11" s="138"/>
      <c r="L11" s="138"/>
      <c r="M11" s="142"/>
      <c r="N11" s="142"/>
      <c r="O11" s="142"/>
      <c r="P11" s="142"/>
    </row>
    <row r="12" spans="1:16" s="78" customFormat="1" ht="82.5" x14ac:dyDescent="0.5">
      <c r="A12" s="96" t="str">
        <f>_xlfn.XLOOKUP(B12,'Paso 3 Redacción RA '!I$3:I$8,'Paso 3 Redacción RA '!C$3:C$8,,0,1)</f>
        <v>Saberser</v>
      </c>
      <c r="B12" s="86" t="s">
        <v>91</v>
      </c>
      <c r="C12" s="139"/>
      <c r="D12" s="139"/>
      <c r="E12" s="143"/>
      <c r="F12" s="139"/>
      <c r="G12" s="139"/>
      <c r="H12" s="139"/>
      <c r="I12" s="139"/>
      <c r="J12" s="139"/>
      <c r="K12" s="139"/>
      <c r="L12" s="139"/>
      <c r="M12" s="143"/>
      <c r="N12" s="143"/>
      <c r="O12" s="143"/>
      <c r="P12" s="143"/>
    </row>
    <row r="13" spans="1:16" s="78" customFormat="1" ht="82.5" x14ac:dyDescent="0.5">
      <c r="A13" s="114" t="str">
        <f>_xlfn.XLOOKUP(B13,'Paso 3 Redacción RA '!I$3:I$8,'Paso 3 Redacción RA '!C$3:C$8,,0,1)</f>
        <v>Saber</v>
      </c>
      <c r="B13" s="89" t="s">
        <v>86</v>
      </c>
      <c r="C13" s="140" t="s">
        <v>185</v>
      </c>
      <c r="D13" s="140" t="s">
        <v>204</v>
      </c>
      <c r="E13" s="141" t="s">
        <v>205</v>
      </c>
      <c r="F13" s="140" t="s">
        <v>188</v>
      </c>
      <c r="G13" s="140" t="s">
        <v>189</v>
      </c>
      <c r="H13" s="140"/>
      <c r="I13" s="140">
        <v>3</v>
      </c>
      <c r="J13" s="140">
        <f>12*I13</f>
        <v>36</v>
      </c>
      <c r="K13" s="140">
        <f>36*I13</f>
        <v>108</v>
      </c>
      <c r="L13" s="140">
        <f>SUM(J13:K15)</f>
        <v>144</v>
      </c>
      <c r="M13" s="141" t="s">
        <v>206</v>
      </c>
      <c r="N13" s="141" t="s">
        <v>191</v>
      </c>
      <c r="O13" s="141" t="s">
        <v>192</v>
      </c>
      <c r="P13" s="141" t="s">
        <v>193</v>
      </c>
    </row>
    <row r="14" spans="1:16" s="78" customFormat="1" ht="66" x14ac:dyDescent="0.5">
      <c r="A14" s="94" t="str">
        <f>_xlfn.XLOOKUP(B14,'Paso 3 Redacción RA '!I$3:I$8,'Paso 3 Redacción RA '!C$3:C$8,,0,1)</f>
        <v>Saberhacer</v>
      </c>
      <c r="B14" s="53" t="s">
        <v>88</v>
      </c>
      <c r="C14" s="138"/>
      <c r="D14" s="138"/>
      <c r="E14" s="142"/>
      <c r="F14" s="138"/>
      <c r="G14" s="138"/>
      <c r="H14" s="138"/>
      <c r="I14" s="138"/>
      <c r="J14" s="138"/>
      <c r="K14" s="138"/>
      <c r="L14" s="138"/>
      <c r="M14" s="142"/>
      <c r="N14" s="142"/>
      <c r="O14" s="142"/>
      <c r="P14" s="142"/>
    </row>
    <row r="15" spans="1:16" s="78" customFormat="1" ht="82.5" x14ac:dyDescent="0.5">
      <c r="A15" s="96" t="str">
        <f>_xlfn.XLOOKUP(B15,'Paso 3 Redacción RA '!I$3:I$8,'Paso 3 Redacción RA '!C$3:C$8,,0,1)</f>
        <v>Saberser</v>
      </c>
      <c r="B15" s="86" t="s">
        <v>91</v>
      </c>
      <c r="C15" s="139"/>
      <c r="D15" s="139"/>
      <c r="E15" s="143"/>
      <c r="F15" s="139"/>
      <c r="G15" s="139"/>
      <c r="H15" s="139"/>
      <c r="I15" s="139"/>
      <c r="J15" s="139"/>
      <c r="K15" s="139"/>
      <c r="L15" s="139"/>
      <c r="M15" s="143"/>
      <c r="N15" s="143"/>
      <c r="O15" s="143"/>
      <c r="P15" s="143"/>
    </row>
    <row r="16" spans="1:16" s="78" customFormat="1" ht="82.5" x14ac:dyDescent="0.5">
      <c r="A16" s="114" t="str">
        <f>_xlfn.XLOOKUP(B16,'Paso 3 Redacción RA '!I$3:I$8,'Paso 3 Redacción RA '!C$3:C$8,,0,1)</f>
        <v>Saber</v>
      </c>
      <c r="B16" s="89" t="s">
        <v>86</v>
      </c>
      <c r="C16" s="140" t="s">
        <v>207</v>
      </c>
      <c r="D16" s="140" t="s">
        <v>208</v>
      </c>
      <c r="E16" s="141" t="s">
        <v>209</v>
      </c>
      <c r="F16" s="140" t="s">
        <v>188</v>
      </c>
      <c r="G16" s="140"/>
      <c r="H16" s="140" t="s">
        <v>189</v>
      </c>
      <c r="I16" s="140">
        <v>2</v>
      </c>
      <c r="J16" s="140">
        <f>12*I16</f>
        <v>24</v>
      </c>
      <c r="K16" s="140">
        <f>36*I16</f>
        <v>72</v>
      </c>
      <c r="L16" s="140">
        <f>SUM(J16:K18)</f>
        <v>96</v>
      </c>
      <c r="M16" s="141" t="s">
        <v>210</v>
      </c>
      <c r="N16" s="141" t="s">
        <v>191</v>
      </c>
      <c r="O16" s="141" t="s">
        <v>192</v>
      </c>
      <c r="P16" s="141" t="s">
        <v>193</v>
      </c>
    </row>
    <row r="17" spans="1:16" s="78" customFormat="1" ht="66" x14ac:dyDescent="0.5">
      <c r="A17" s="94" t="str">
        <f>_xlfn.XLOOKUP(B17,'Paso 3 Redacción RA '!I$3:I$8,'Paso 3 Redacción RA '!C$3:C$8,,0,1)</f>
        <v>Saberhacer</v>
      </c>
      <c r="B17" s="53" t="s">
        <v>88</v>
      </c>
      <c r="C17" s="138"/>
      <c r="D17" s="138"/>
      <c r="E17" s="142"/>
      <c r="F17" s="138"/>
      <c r="G17" s="138"/>
      <c r="H17" s="138"/>
      <c r="I17" s="138"/>
      <c r="J17" s="138"/>
      <c r="K17" s="138"/>
      <c r="L17" s="138"/>
      <c r="M17" s="142"/>
      <c r="N17" s="142"/>
      <c r="O17" s="142"/>
      <c r="P17" s="142"/>
    </row>
    <row r="18" spans="1:16" s="78" customFormat="1" ht="82.5" x14ac:dyDescent="0.5">
      <c r="A18" s="96" t="str">
        <f>_xlfn.XLOOKUP(B18,'Paso 3 Redacción RA '!I$3:I$8,'Paso 3 Redacción RA '!C$3:C$8,,0,1)</f>
        <v>Saberser</v>
      </c>
      <c r="B18" s="86" t="s">
        <v>91</v>
      </c>
      <c r="C18" s="139"/>
      <c r="D18" s="139"/>
      <c r="E18" s="143"/>
      <c r="F18" s="139"/>
      <c r="G18" s="139"/>
      <c r="H18" s="139"/>
      <c r="I18" s="139"/>
      <c r="J18" s="139"/>
      <c r="K18" s="139"/>
      <c r="L18" s="139"/>
      <c r="M18" s="143"/>
      <c r="N18" s="143"/>
      <c r="O18" s="143"/>
      <c r="P18" s="143"/>
    </row>
    <row r="19" spans="1:16" s="78" customFormat="1" ht="82.5" x14ac:dyDescent="0.5">
      <c r="A19" s="114" t="str">
        <f>_xlfn.XLOOKUP(B19,'Paso 3 Redacción RA '!I$3:I$8,'Paso 3 Redacción RA '!C$3:C$8,,0,1)</f>
        <v>Saber</v>
      </c>
      <c r="B19" s="89" t="s">
        <v>86</v>
      </c>
      <c r="C19" s="140" t="s">
        <v>207</v>
      </c>
      <c r="D19" s="140" t="s">
        <v>211</v>
      </c>
      <c r="E19" s="141" t="s">
        <v>212</v>
      </c>
      <c r="F19" s="140" t="s">
        <v>188</v>
      </c>
      <c r="G19" s="140"/>
      <c r="H19" s="140" t="s">
        <v>189</v>
      </c>
      <c r="I19" s="140">
        <v>2</v>
      </c>
      <c r="J19" s="140">
        <f>12*I19</f>
        <v>24</v>
      </c>
      <c r="K19" s="140">
        <f>36*I19</f>
        <v>72</v>
      </c>
      <c r="L19" s="140">
        <f>SUM(J19:K21)</f>
        <v>96</v>
      </c>
      <c r="M19" s="141" t="s">
        <v>213</v>
      </c>
      <c r="N19" s="141" t="s">
        <v>191</v>
      </c>
      <c r="O19" s="141" t="s">
        <v>192</v>
      </c>
      <c r="P19" s="141" t="s">
        <v>193</v>
      </c>
    </row>
    <row r="20" spans="1:16" s="78" customFormat="1" ht="66" x14ac:dyDescent="0.5">
      <c r="A20" s="94" t="str">
        <f>_xlfn.XLOOKUP(B20,'Paso 3 Redacción RA '!I$3:I$8,'Paso 3 Redacción RA '!C$3:C$8,,0,1)</f>
        <v>Saberhacer</v>
      </c>
      <c r="B20" s="53" t="s">
        <v>88</v>
      </c>
      <c r="C20" s="138"/>
      <c r="D20" s="138"/>
      <c r="E20" s="142"/>
      <c r="F20" s="138"/>
      <c r="G20" s="138"/>
      <c r="H20" s="138"/>
      <c r="I20" s="138"/>
      <c r="J20" s="138"/>
      <c r="K20" s="138"/>
      <c r="L20" s="138"/>
      <c r="M20" s="142"/>
      <c r="N20" s="142"/>
      <c r="O20" s="142"/>
      <c r="P20" s="142"/>
    </row>
    <row r="21" spans="1:16" s="78" customFormat="1" ht="82.5" x14ac:dyDescent="0.5">
      <c r="A21" s="96" t="str">
        <f>_xlfn.XLOOKUP(B21,'Paso 3 Redacción RA '!I$3:I$8,'Paso 3 Redacción RA '!C$3:C$8,,0,1)</f>
        <v>Saberser</v>
      </c>
      <c r="B21" s="86" t="s">
        <v>91</v>
      </c>
      <c r="C21" s="139"/>
      <c r="D21" s="139"/>
      <c r="E21" s="143"/>
      <c r="F21" s="139"/>
      <c r="G21" s="139"/>
      <c r="H21" s="139"/>
      <c r="I21" s="139"/>
      <c r="J21" s="139"/>
      <c r="K21" s="139"/>
      <c r="L21" s="139"/>
      <c r="M21" s="143"/>
      <c r="N21" s="143"/>
      <c r="O21" s="143"/>
      <c r="P21" s="143"/>
    </row>
    <row r="22" spans="1:16" s="78" customFormat="1" ht="82.5" x14ac:dyDescent="0.5">
      <c r="A22" s="114" t="str">
        <f>_xlfn.XLOOKUP(B22,'Paso 3 Redacción RA '!I$3:I$8,'Paso 3 Redacción RA '!C$3:C$8,,0,1)</f>
        <v>Saber</v>
      </c>
      <c r="B22" s="89" t="s">
        <v>86</v>
      </c>
      <c r="C22" s="140" t="s">
        <v>207</v>
      </c>
      <c r="D22" s="140" t="s">
        <v>214</v>
      </c>
      <c r="E22" s="141" t="s">
        <v>215</v>
      </c>
      <c r="F22" s="140" t="s">
        <v>188</v>
      </c>
      <c r="G22" s="140"/>
      <c r="H22" s="140" t="s">
        <v>189</v>
      </c>
      <c r="I22" s="140">
        <v>3</v>
      </c>
      <c r="J22" s="140">
        <f>12*I22</f>
        <v>36</v>
      </c>
      <c r="K22" s="140">
        <f>36*I22</f>
        <v>108</v>
      </c>
      <c r="L22" s="140">
        <f>SUM(J22:K24)</f>
        <v>144</v>
      </c>
      <c r="M22" s="141" t="s">
        <v>216</v>
      </c>
      <c r="N22" s="141" t="s">
        <v>191</v>
      </c>
      <c r="O22" s="141" t="s">
        <v>192</v>
      </c>
      <c r="P22" s="141" t="s">
        <v>193</v>
      </c>
    </row>
    <row r="23" spans="1:16" s="78" customFormat="1" ht="66" x14ac:dyDescent="0.5">
      <c r="A23" s="94" t="str">
        <f>_xlfn.XLOOKUP(B23,'Paso 3 Redacción RA '!I$3:I$8,'Paso 3 Redacción RA '!C$3:C$8,,0,1)</f>
        <v>Saberhacer</v>
      </c>
      <c r="B23" s="53" t="s">
        <v>88</v>
      </c>
      <c r="C23" s="138"/>
      <c r="D23" s="138"/>
      <c r="E23" s="142"/>
      <c r="F23" s="138"/>
      <c r="G23" s="138"/>
      <c r="H23" s="138"/>
      <c r="I23" s="138"/>
      <c r="J23" s="138"/>
      <c r="K23" s="138"/>
      <c r="L23" s="138"/>
      <c r="M23" s="142"/>
      <c r="N23" s="142"/>
      <c r="O23" s="142"/>
      <c r="P23" s="142"/>
    </row>
    <row r="24" spans="1:16" s="78" customFormat="1" ht="82.5" x14ac:dyDescent="0.5">
      <c r="A24" s="96" t="str">
        <f>_xlfn.XLOOKUP(B24,'Paso 3 Redacción RA '!I$3:I$8,'Paso 3 Redacción RA '!C$3:C$8,,0,1)</f>
        <v>Saberser</v>
      </c>
      <c r="B24" s="86" t="s">
        <v>91</v>
      </c>
      <c r="C24" s="139"/>
      <c r="D24" s="139"/>
      <c r="E24" s="143"/>
      <c r="F24" s="139"/>
      <c r="G24" s="139"/>
      <c r="H24" s="139"/>
      <c r="I24" s="139"/>
      <c r="J24" s="139"/>
      <c r="K24" s="139"/>
      <c r="L24" s="139"/>
      <c r="M24" s="143"/>
      <c r="N24" s="143"/>
      <c r="O24" s="143"/>
      <c r="P24" s="143"/>
    </row>
    <row r="25" spans="1:16" s="78" customFormat="1" ht="82.5" x14ac:dyDescent="0.5">
      <c r="A25" s="114" t="str">
        <f>_xlfn.XLOOKUP(B25,'Paso 3 Redacción RA '!I$3:I$8,'Paso 3 Redacción RA '!C$3:C$8,,0,1)</f>
        <v>Saber</v>
      </c>
      <c r="B25" s="89" t="s">
        <v>86</v>
      </c>
      <c r="C25" s="140" t="s">
        <v>207</v>
      </c>
      <c r="D25" s="140" t="s">
        <v>217</v>
      </c>
      <c r="E25" s="141" t="s">
        <v>218</v>
      </c>
      <c r="F25" s="140" t="s">
        <v>188</v>
      </c>
      <c r="G25" s="140"/>
      <c r="H25" s="140" t="s">
        <v>189</v>
      </c>
      <c r="I25" s="140">
        <v>2</v>
      </c>
      <c r="J25" s="140">
        <f>12*I25</f>
        <v>24</v>
      </c>
      <c r="K25" s="140">
        <f>36*I25</f>
        <v>72</v>
      </c>
      <c r="L25" s="140">
        <f>SUM(J25:K27)</f>
        <v>96</v>
      </c>
      <c r="M25" s="141" t="s">
        <v>219</v>
      </c>
      <c r="N25" s="141" t="s">
        <v>220</v>
      </c>
      <c r="O25" s="141" t="s">
        <v>192</v>
      </c>
      <c r="P25" s="141" t="s">
        <v>193</v>
      </c>
    </row>
    <row r="26" spans="1:16" s="78" customFormat="1" ht="66" x14ac:dyDescent="0.5">
      <c r="A26" s="94" t="str">
        <f>_xlfn.XLOOKUP(B26,'Paso 3 Redacción RA '!I$3:I$8,'Paso 3 Redacción RA '!C$3:C$8,,0,1)</f>
        <v>Saberhacer</v>
      </c>
      <c r="B26" s="53" t="s">
        <v>88</v>
      </c>
      <c r="C26" s="138"/>
      <c r="D26" s="138"/>
      <c r="E26" s="142"/>
      <c r="F26" s="138"/>
      <c r="G26" s="138"/>
      <c r="H26" s="138"/>
      <c r="I26" s="138"/>
      <c r="J26" s="138"/>
      <c r="K26" s="138"/>
      <c r="L26" s="138"/>
      <c r="M26" s="142"/>
      <c r="N26" s="142"/>
      <c r="O26" s="142"/>
      <c r="P26" s="142"/>
    </row>
    <row r="27" spans="1:16" s="78" customFormat="1" ht="82.5" x14ac:dyDescent="0.5">
      <c r="A27" s="96" t="str">
        <f>_xlfn.XLOOKUP(B27,'Paso 3 Redacción RA '!I$3:I$8,'Paso 3 Redacción RA '!C$3:C$8,,0,1)</f>
        <v>Saberser</v>
      </c>
      <c r="B27" s="86" t="s">
        <v>91</v>
      </c>
      <c r="C27" s="139"/>
      <c r="D27" s="139"/>
      <c r="E27" s="143"/>
      <c r="F27" s="139"/>
      <c r="G27" s="139"/>
      <c r="H27" s="139"/>
      <c r="I27" s="139"/>
      <c r="J27" s="139"/>
      <c r="K27" s="139"/>
      <c r="L27" s="139"/>
      <c r="M27" s="143"/>
      <c r="N27" s="143"/>
      <c r="O27" s="143"/>
      <c r="P27" s="143"/>
    </row>
    <row r="28" spans="1:16" s="100" customFormat="1" ht="16.5" x14ac:dyDescent="0.5">
      <c r="A28" s="115"/>
      <c r="B28" s="101"/>
      <c r="C28" s="101" t="s">
        <v>207</v>
      </c>
      <c r="D28" s="101" t="s">
        <v>221</v>
      </c>
      <c r="E28" s="101"/>
      <c r="F28" s="101"/>
      <c r="G28" s="101"/>
      <c r="H28" s="101" t="s">
        <v>189</v>
      </c>
      <c r="I28" s="101">
        <v>2</v>
      </c>
      <c r="J28" s="102">
        <f>12*I28</f>
        <v>24</v>
      </c>
      <c r="K28" s="102">
        <f>36*I28</f>
        <v>72</v>
      </c>
      <c r="L28" s="102">
        <f>SUM(J28:K28)</f>
        <v>96</v>
      </c>
      <c r="M28" s="101"/>
      <c r="N28" s="101"/>
      <c r="O28" s="101"/>
      <c r="P28" s="101"/>
    </row>
    <row r="29" spans="1:16" s="78" customFormat="1" ht="49.5" x14ac:dyDescent="0.5">
      <c r="A29" s="94"/>
      <c r="B29" s="53"/>
      <c r="C29" s="113" t="s">
        <v>222</v>
      </c>
      <c r="D29" s="4">
        <f>COUNTA(D3:D28)</f>
        <v>10</v>
      </c>
      <c r="E29" s="53"/>
      <c r="F29" s="77"/>
      <c r="G29" s="77"/>
      <c r="H29" s="113" t="s">
        <v>223</v>
      </c>
      <c r="I29" s="4">
        <f>SUM(I3:I28)</f>
        <v>24</v>
      </c>
      <c r="J29" s="77"/>
      <c r="K29" s="77"/>
      <c r="L29" s="77"/>
      <c r="M29" s="53"/>
      <c r="N29" s="53"/>
      <c r="O29" s="53"/>
      <c r="P29" s="53"/>
    </row>
    <row r="30" spans="1:16" s="78" customFormat="1" ht="33" x14ac:dyDescent="0.5">
      <c r="A30" s="94"/>
      <c r="B30" s="53"/>
      <c r="C30" s="77"/>
      <c r="D30" s="77"/>
      <c r="E30" s="53"/>
      <c r="F30" s="77"/>
      <c r="G30" s="77"/>
      <c r="H30" s="112" t="s">
        <v>224</v>
      </c>
      <c r="I30" s="4">
        <f>SUM(I5,I7,I10,I13)</f>
        <v>11</v>
      </c>
      <c r="J30" s="77"/>
      <c r="K30" s="77"/>
      <c r="L30" s="77"/>
      <c r="M30" s="53"/>
      <c r="N30" s="53"/>
      <c r="O30" s="53"/>
      <c r="P30" s="53"/>
    </row>
    <row r="31" spans="1:16" s="78" customFormat="1" ht="33" x14ac:dyDescent="0.5">
      <c r="A31" s="94"/>
      <c r="B31" s="53"/>
      <c r="C31" s="77"/>
      <c r="D31" s="77"/>
      <c r="E31" s="53"/>
      <c r="F31" s="77"/>
      <c r="G31" s="77"/>
      <c r="H31" s="112" t="s">
        <v>225</v>
      </c>
      <c r="I31" s="4">
        <f>SUM(I3,I16,I19,I22,I25,I28)</f>
        <v>13</v>
      </c>
      <c r="J31" s="77"/>
      <c r="K31" s="77"/>
      <c r="L31" s="77"/>
      <c r="M31" s="53"/>
      <c r="N31" s="53"/>
      <c r="O31" s="53"/>
      <c r="P31" s="53"/>
    </row>
    <row r="32" spans="1:16" s="78" customFormat="1" ht="16.5" x14ac:dyDescent="0.5">
      <c r="A32" s="94"/>
      <c r="B32" s="53"/>
      <c r="C32" s="77"/>
      <c r="D32" s="77"/>
      <c r="E32" s="53"/>
      <c r="F32" s="77"/>
      <c r="G32" s="77"/>
      <c r="H32" s="77"/>
      <c r="I32" s="77"/>
      <c r="J32" s="77"/>
      <c r="K32" s="77"/>
      <c r="L32" s="77"/>
      <c r="M32" s="53"/>
      <c r="N32" s="53"/>
      <c r="O32" s="53"/>
      <c r="P32" s="53"/>
    </row>
    <row r="33" spans="1:16" s="78" customFormat="1" ht="16.5" x14ac:dyDescent="0.5">
      <c r="A33" s="94"/>
      <c r="B33" s="53"/>
      <c r="C33" s="77"/>
      <c r="D33" s="77"/>
      <c r="E33" s="53"/>
      <c r="F33" s="77"/>
      <c r="G33" s="77"/>
      <c r="H33" s="77"/>
      <c r="I33" s="77"/>
      <c r="J33" s="77"/>
      <c r="K33" s="77"/>
      <c r="L33" s="77"/>
      <c r="M33" s="53"/>
      <c r="N33" s="53"/>
      <c r="O33" s="53"/>
      <c r="P33" s="53"/>
    </row>
    <row r="34" spans="1:16" s="78" customFormat="1" ht="16.5" x14ac:dyDescent="0.5">
      <c r="A34" s="94"/>
      <c r="B34" s="53"/>
      <c r="C34" s="77"/>
      <c r="D34" s="77"/>
      <c r="E34" s="53"/>
      <c r="F34" s="77"/>
      <c r="G34" s="77"/>
      <c r="H34" s="77"/>
      <c r="I34" s="77"/>
      <c r="J34" s="77"/>
      <c r="K34" s="77"/>
      <c r="L34" s="77"/>
      <c r="M34" s="53"/>
      <c r="N34" s="53"/>
      <c r="O34" s="53"/>
      <c r="P34" s="53"/>
    </row>
    <row r="35" spans="1:16" s="1" customFormat="1" ht="16.5" x14ac:dyDescent="0.5">
      <c r="A35" s="29"/>
      <c r="B35" s="79"/>
      <c r="C35" s="51"/>
      <c r="D35" s="51"/>
      <c r="E35" s="79"/>
      <c r="G35" s="51"/>
      <c r="H35" s="51"/>
      <c r="I35" s="3"/>
      <c r="M35" s="79"/>
      <c r="N35" s="79"/>
      <c r="O35" s="79"/>
      <c r="P35" s="79"/>
    </row>
    <row r="36" spans="1:16" s="1" customFormat="1" ht="16.5" x14ac:dyDescent="0.5">
      <c r="A36" s="29"/>
      <c r="B36" s="79"/>
      <c r="C36" s="51"/>
      <c r="D36" s="51"/>
      <c r="E36" s="79"/>
      <c r="G36" s="51"/>
      <c r="H36" s="51"/>
      <c r="I36" s="3"/>
      <c r="M36" s="79"/>
      <c r="N36" s="79"/>
      <c r="O36" s="79"/>
      <c r="P36" s="79"/>
    </row>
    <row r="37" spans="1:16" s="1" customFormat="1" ht="16.5" x14ac:dyDescent="0.5">
      <c r="A37" s="29"/>
      <c r="B37" s="79"/>
      <c r="C37" s="51"/>
      <c r="D37" s="51"/>
      <c r="E37" s="79"/>
      <c r="G37" s="51"/>
      <c r="H37" s="51"/>
      <c r="I37" s="3"/>
      <c r="M37" s="79"/>
      <c r="N37" s="79"/>
      <c r="O37" s="79"/>
      <c r="P37" s="79"/>
    </row>
    <row r="38" spans="1:16" s="1" customFormat="1" ht="16.5" x14ac:dyDescent="0.5">
      <c r="A38" s="29"/>
      <c r="B38" s="79"/>
      <c r="C38" s="51"/>
      <c r="D38" s="51"/>
      <c r="E38" s="79"/>
      <c r="G38" s="51"/>
      <c r="H38" s="51"/>
      <c r="I38" s="3"/>
      <c r="M38" s="79"/>
      <c r="N38" s="79"/>
      <c r="O38" s="79"/>
      <c r="P38" s="79"/>
    </row>
    <row r="39" spans="1:16" s="1" customFormat="1" ht="16.5" x14ac:dyDescent="0.5">
      <c r="A39" s="29"/>
      <c r="B39" s="79"/>
      <c r="C39" s="51"/>
      <c r="D39" s="51"/>
      <c r="E39" s="79"/>
      <c r="G39" s="51"/>
      <c r="H39" s="51"/>
      <c r="I39" s="3"/>
      <c r="M39" s="79"/>
      <c r="N39" s="79"/>
      <c r="O39" s="79"/>
      <c r="P39" s="79"/>
    </row>
    <row r="40" spans="1:16" s="1" customFormat="1" ht="16.5" x14ac:dyDescent="0.5">
      <c r="A40" s="29"/>
      <c r="B40" s="79"/>
      <c r="C40" s="51"/>
      <c r="D40" s="51"/>
      <c r="E40" s="79"/>
      <c r="G40" s="51"/>
      <c r="H40" s="51"/>
      <c r="I40" s="3"/>
      <c r="M40" s="79"/>
      <c r="N40" s="79"/>
      <c r="O40" s="79"/>
      <c r="P40" s="79"/>
    </row>
    <row r="41" spans="1:16" s="1" customFormat="1" ht="16.5" x14ac:dyDescent="0.5">
      <c r="A41" s="29"/>
      <c r="B41" s="79"/>
      <c r="C41" s="51"/>
      <c r="D41" s="51"/>
      <c r="E41" s="79"/>
      <c r="G41" s="51"/>
      <c r="H41" s="51"/>
      <c r="I41" s="3"/>
      <c r="M41" s="79"/>
      <c r="N41" s="79"/>
      <c r="O41" s="79"/>
      <c r="P41" s="79"/>
    </row>
    <row r="42" spans="1:16" s="1" customFormat="1" ht="16.5" x14ac:dyDescent="0.5">
      <c r="A42" s="29"/>
      <c r="B42" s="79"/>
      <c r="C42" s="51"/>
      <c r="D42" s="51"/>
      <c r="E42" s="79"/>
      <c r="G42" s="51"/>
      <c r="H42" s="51"/>
      <c r="I42" s="3"/>
      <c r="M42" s="79"/>
      <c r="N42" s="79"/>
      <c r="O42" s="79"/>
      <c r="P42" s="79"/>
    </row>
    <row r="43" spans="1:16" s="1" customFormat="1" ht="16.5" x14ac:dyDescent="0.5">
      <c r="A43" s="29"/>
      <c r="B43" s="79"/>
      <c r="C43" s="51"/>
      <c r="D43" s="51"/>
      <c r="E43" s="79"/>
      <c r="G43" s="51"/>
      <c r="H43" s="51"/>
      <c r="I43" s="3"/>
      <c r="M43" s="79"/>
      <c r="N43" s="79"/>
      <c r="O43" s="79"/>
      <c r="P43" s="79"/>
    </row>
    <row r="44" spans="1:16" s="1" customFormat="1" ht="16.5" x14ac:dyDescent="0.5">
      <c r="A44" s="29"/>
      <c r="B44" s="79"/>
      <c r="C44" s="51"/>
      <c r="D44" s="51"/>
      <c r="E44" s="79"/>
      <c r="G44" s="51"/>
      <c r="H44" s="51"/>
      <c r="I44" s="3"/>
      <c r="M44" s="79"/>
      <c r="N44" s="79"/>
      <c r="O44" s="79"/>
      <c r="P44" s="79"/>
    </row>
  </sheetData>
  <autoFilter ref="B1:P34" xr:uid="{1B248250-C92C-4D02-A0C3-2CB27C341894}">
    <filterColumn colId="5" showButton="0"/>
    <filterColumn colId="6" showButton="0"/>
  </autoFilter>
  <mergeCells count="127">
    <mergeCell ref="L25:L27"/>
    <mergeCell ref="M25:M27"/>
    <mergeCell ref="N25:N27"/>
    <mergeCell ref="O25:O27"/>
    <mergeCell ref="P25:P27"/>
    <mergeCell ref="C25:C27"/>
    <mergeCell ref="D25:D27"/>
    <mergeCell ref="E25:E27"/>
    <mergeCell ref="F25:F27"/>
    <mergeCell ref="G25:G27"/>
    <mergeCell ref="H25:H27"/>
    <mergeCell ref="I25:I27"/>
    <mergeCell ref="J25:J27"/>
    <mergeCell ref="K25:K27"/>
    <mergeCell ref="L22:L24"/>
    <mergeCell ref="M22:M24"/>
    <mergeCell ref="N22:N24"/>
    <mergeCell ref="O22:O24"/>
    <mergeCell ref="P22:P24"/>
    <mergeCell ref="C19:C21"/>
    <mergeCell ref="D19:D21"/>
    <mergeCell ref="E19:E21"/>
    <mergeCell ref="F19:F21"/>
    <mergeCell ref="G19:G21"/>
    <mergeCell ref="C22:C24"/>
    <mergeCell ref="D22:D24"/>
    <mergeCell ref="E22:E24"/>
    <mergeCell ref="F22:F24"/>
    <mergeCell ref="G22:G24"/>
    <mergeCell ref="H22:H24"/>
    <mergeCell ref="I22:I24"/>
    <mergeCell ref="J22:J24"/>
    <mergeCell ref="K22:K24"/>
    <mergeCell ref="H19:H21"/>
    <mergeCell ref="I19:I21"/>
    <mergeCell ref="J19:J21"/>
    <mergeCell ref="K19:K21"/>
    <mergeCell ref="L13:L15"/>
    <mergeCell ref="M13:M15"/>
    <mergeCell ref="N13:N15"/>
    <mergeCell ref="O13:O15"/>
    <mergeCell ref="P13:P15"/>
    <mergeCell ref="L16:L18"/>
    <mergeCell ref="M16:M18"/>
    <mergeCell ref="N16:N18"/>
    <mergeCell ref="O16:O18"/>
    <mergeCell ref="P16:P18"/>
    <mergeCell ref="L19:L21"/>
    <mergeCell ref="M19:M21"/>
    <mergeCell ref="N19:N21"/>
    <mergeCell ref="O19:O21"/>
    <mergeCell ref="P19:P21"/>
    <mergeCell ref="C16:C18"/>
    <mergeCell ref="D16:D18"/>
    <mergeCell ref="E16:E18"/>
    <mergeCell ref="F16:F18"/>
    <mergeCell ref="G16:G18"/>
    <mergeCell ref="H16:H18"/>
    <mergeCell ref="I16:I18"/>
    <mergeCell ref="J16:J18"/>
    <mergeCell ref="K16:K18"/>
    <mergeCell ref="C13:C15"/>
    <mergeCell ref="D13:D15"/>
    <mergeCell ref="E13:E15"/>
    <mergeCell ref="F13:F15"/>
    <mergeCell ref="G13:G15"/>
    <mergeCell ref="H13:H15"/>
    <mergeCell ref="I13:I15"/>
    <mergeCell ref="J13:J15"/>
    <mergeCell ref="K13:K15"/>
    <mergeCell ref="L7:L9"/>
    <mergeCell ref="M7:M9"/>
    <mergeCell ref="N7:N9"/>
    <mergeCell ref="O7:O9"/>
    <mergeCell ref="P7:P9"/>
    <mergeCell ref="C10:C12"/>
    <mergeCell ref="D10:D12"/>
    <mergeCell ref="E10:E12"/>
    <mergeCell ref="F10:F12"/>
    <mergeCell ref="G10:G12"/>
    <mergeCell ref="H10:H12"/>
    <mergeCell ref="I10:I12"/>
    <mergeCell ref="J10:J12"/>
    <mergeCell ref="K10:K12"/>
    <mergeCell ref="L10:L12"/>
    <mergeCell ref="M10:M12"/>
    <mergeCell ref="N10:N12"/>
    <mergeCell ref="O10:O12"/>
    <mergeCell ref="P10:P12"/>
    <mergeCell ref="L3:L4"/>
    <mergeCell ref="M3:M4"/>
    <mergeCell ref="N3:N4"/>
    <mergeCell ref="O3:O4"/>
    <mergeCell ref="P3:P4"/>
    <mergeCell ref="C5:C6"/>
    <mergeCell ref="D5:D6"/>
    <mergeCell ref="E5:E6"/>
    <mergeCell ref="F5:F6"/>
    <mergeCell ref="G5:G6"/>
    <mergeCell ref="H5:H6"/>
    <mergeCell ref="I5:I6"/>
    <mergeCell ref="J5:J6"/>
    <mergeCell ref="K5:K6"/>
    <mergeCell ref="L5:L6"/>
    <mergeCell ref="M5:M6"/>
    <mergeCell ref="N5:N6"/>
    <mergeCell ref="O5:O6"/>
    <mergeCell ref="P5:P6"/>
    <mergeCell ref="C3:C4"/>
    <mergeCell ref="D3:D4"/>
    <mergeCell ref="E3:E4"/>
    <mergeCell ref="F3:F4"/>
    <mergeCell ref="G3:G4"/>
    <mergeCell ref="G1:H1"/>
    <mergeCell ref="H3:H4"/>
    <mergeCell ref="I3:I4"/>
    <mergeCell ref="J3:J4"/>
    <mergeCell ref="K3:K4"/>
    <mergeCell ref="C7:C9"/>
    <mergeCell ref="D7:D9"/>
    <mergeCell ref="E7:E9"/>
    <mergeCell ref="F7:F9"/>
    <mergeCell ref="G7:G9"/>
    <mergeCell ref="H7:H9"/>
    <mergeCell ref="I7:I9"/>
    <mergeCell ref="J7:J9"/>
    <mergeCell ref="K7:K9"/>
  </mergeCells>
  <dataValidations count="1">
    <dataValidation type="list" allowBlank="1" showInputMessage="1" showErrorMessage="1" sqref="B35" xr:uid="{149936BB-E9F7-467B-9B8A-466861C21273}">
      <formula1>resultadoaprendizaje</formula1>
    </dataValidation>
  </dataValidations>
  <pageMargins left="0.7" right="0.7" top="0.75" bottom="0.75" header="0.3" footer="0.3"/>
  <pageSetup orientation="portrait" horizontalDpi="4294967293"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1555E1A-6604-40ED-90CD-65A3D3E7C743}">
          <x14:formula1>
            <xm:f>'Paso 3 Redacción RA '!$I$3:$I$8</xm:f>
          </x14:formula1>
          <xm:sqref>B3:B28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5"/>
  <sheetViews>
    <sheetView topLeftCell="AB1" workbookViewId="0">
      <selection activeCell="D9" sqref="D9"/>
    </sheetView>
  </sheetViews>
  <sheetFormatPr baseColWidth="10" defaultColWidth="11.453125" defaultRowHeight="14.5" x14ac:dyDescent="0.35"/>
  <cols>
    <col min="2" max="2" width="27.1796875" customWidth="1"/>
  </cols>
  <sheetData>
    <row r="1" spans="2:2" ht="16.5" x14ac:dyDescent="0.5">
      <c r="B1" s="1" t="s">
        <v>226</v>
      </c>
    </row>
    <row r="2" spans="2:2" ht="16.5" x14ac:dyDescent="0.5">
      <c r="B2" s="1" t="s">
        <v>227</v>
      </c>
    </row>
    <row r="3" spans="2:2" ht="16.5" x14ac:dyDescent="0.5">
      <c r="B3" s="1" t="s">
        <v>228</v>
      </c>
    </row>
    <row r="4" spans="2:2" ht="16.5" x14ac:dyDescent="0.5">
      <c r="B4" s="1" t="s">
        <v>229</v>
      </c>
    </row>
    <row r="5" spans="2:2" ht="16.5" x14ac:dyDescent="0.5">
      <c r="B5" s="1" t="s">
        <v>230</v>
      </c>
    </row>
    <row r="6" spans="2:2" ht="16.5" x14ac:dyDescent="0.5">
      <c r="B6" s="1" t="s">
        <v>231</v>
      </c>
    </row>
    <row r="7" spans="2:2" ht="16.5" x14ac:dyDescent="0.5">
      <c r="B7" s="1" t="s">
        <v>232</v>
      </c>
    </row>
    <row r="8" spans="2:2" ht="16.5" x14ac:dyDescent="0.5">
      <c r="B8" s="1" t="s">
        <v>233</v>
      </c>
    </row>
    <row r="9" spans="2:2" ht="16.5" x14ac:dyDescent="0.5">
      <c r="B9" s="1" t="s">
        <v>234</v>
      </c>
    </row>
    <row r="10" spans="2:2" ht="16.5" x14ac:dyDescent="0.5">
      <c r="B10" s="1" t="s">
        <v>235</v>
      </c>
    </row>
    <row r="11" spans="2:2" ht="16.5" x14ac:dyDescent="0.5">
      <c r="B11" s="1" t="s">
        <v>236</v>
      </c>
    </row>
    <row r="12" spans="2:2" ht="16.5" x14ac:dyDescent="0.5">
      <c r="B12" s="1" t="s">
        <v>237</v>
      </c>
    </row>
    <row r="13" spans="2:2" ht="16.5" x14ac:dyDescent="0.5">
      <c r="B13" s="1" t="s">
        <v>238</v>
      </c>
    </row>
    <row r="14" spans="2:2" ht="16.5" x14ac:dyDescent="0.5">
      <c r="B14" s="1" t="s">
        <v>63</v>
      </c>
    </row>
    <row r="15" spans="2:2" ht="16.5" x14ac:dyDescent="0.5">
      <c r="B15" s="1" t="s">
        <v>60</v>
      </c>
    </row>
    <row r="16" spans="2:2" ht="16.5" x14ac:dyDescent="0.5">
      <c r="B16" s="1" t="s">
        <v>239</v>
      </c>
    </row>
    <row r="17" spans="2:2" ht="16.5" x14ac:dyDescent="0.5">
      <c r="B17" s="1" t="s">
        <v>240</v>
      </c>
    </row>
    <row r="18" spans="2:2" ht="16.5" x14ac:dyDescent="0.5">
      <c r="B18" s="1" t="s">
        <v>241</v>
      </c>
    </row>
    <row r="19" spans="2:2" ht="16.5" x14ac:dyDescent="0.5">
      <c r="B19" s="1" t="s">
        <v>242</v>
      </c>
    </row>
    <row r="20" spans="2:2" ht="16.5" x14ac:dyDescent="0.5">
      <c r="B20" s="1" t="s">
        <v>243</v>
      </c>
    </row>
    <row r="21" spans="2:2" ht="16.5" x14ac:dyDescent="0.5">
      <c r="B21" s="1" t="s">
        <v>244</v>
      </c>
    </row>
    <row r="22" spans="2:2" ht="16.5" x14ac:dyDescent="0.5">
      <c r="B22" s="1" t="s">
        <v>245</v>
      </c>
    </row>
    <row r="23" spans="2:2" ht="16.5" x14ac:dyDescent="0.5">
      <c r="B23" s="1" t="s">
        <v>246</v>
      </c>
    </row>
    <row r="24" spans="2:2" ht="16.5" x14ac:dyDescent="0.5">
      <c r="B24" s="1" t="s">
        <v>247</v>
      </c>
    </row>
    <row r="25" spans="2:2" ht="16.5" x14ac:dyDescent="0.5">
      <c r="B25" s="1" t="s">
        <v>248</v>
      </c>
    </row>
    <row r="26" spans="2:2" ht="16.5" x14ac:dyDescent="0.5">
      <c r="B26" s="1" t="s">
        <v>249</v>
      </c>
    </row>
    <row r="27" spans="2:2" ht="16.5" x14ac:dyDescent="0.5">
      <c r="B27" s="1" t="s">
        <v>250</v>
      </c>
    </row>
    <row r="28" spans="2:2" ht="16.5" x14ac:dyDescent="0.5">
      <c r="B28" s="1" t="s">
        <v>251</v>
      </c>
    </row>
    <row r="29" spans="2:2" ht="16.5" x14ac:dyDescent="0.5">
      <c r="B29" s="1" t="s">
        <v>252</v>
      </c>
    </row>
    <row r="30" spans="2:2" ht="16.5" x14ac:dyDescent="0.5">
      <c r="B30" s="1" t="s">
        <v>253</v>
      </c>
    </row>
    <row r="31" spans="2:2" ht="16.5" x14ac:dyDescent="0.5">
      <c r="B31" s="1" t="s">
        <v>254</v>
      </c>
    </row>
    <row r="32" spans="2:2" ht="16.5" x14ac:dyDescent="0.5">
      <c r="B32" s="1" t="s">
        <v>255</v>
      </c>
    </row>
    <row r="33" spans="2:2" ht="16.5" x14ac:dyDescent="0.5">
      <c r="B33" s="1" t="s">
        <v>256</v>
      </c>
    </row>
    <row r="34" spans="2:2" ht="16.5" x14ac:dyDescent="0.5">
      <c r="B34" s="1" t="s">
        <v>257</v>
      </c>
    </row>
    <row r="35" spans="2:2" ht="16.5" x14ac:dyDescent="0.5">
      <c r="B35" s="1" t="s">
        <v>258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S1" zoomScale="110" zoomScaleNormal="110" workbookViewId="0">
      <selection activeCell="X5" sqref="X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46" t="s">
        <v>259</v>
      </c>
      <c r="T1" s="146"/>
      <c r="U1" s="146"/>
      <c r="V1" s="146"/>
      <c r="W1" s="146"/>
      <c r="X1" s="146"/>
      <c r="Y1" s="146"/>
      <c r="Z1" s="146"/>
      <c r="AA1" s="146"/>
      <c r="AB1" s="146"/>
      <c r="AC1" s="146"/>
      <c r="AD1" s="146"/>
      <c r="AE1" s="146"/>
      <c r="AF1" s="146"/>
      <c r="AG1" s="146"/>
      <c r="AH1" s="3"/>
      <c r="AI1" s="3"/>
      <c r="AJ1" s="3"/>
      <c r="AL1" s="146" t="s">
        <v>260</v>
      </c>
      <c r="AM1" s="146"/>
      <c r="AN1" s="146"/>
      <c r="AO1" s="146"/>
      <c r="AP1" s="146"/>
      <c r="AQ1" s="146"/>
      <c r="AR1" s="3"/>
      <c r="AS1" s="3"/>
      <c r="AT1" s="146" t="s">
        <v>261</v>
      </c>
      <c r="AU1" s="146"/>
      <c r="AV1" s="146"/>
      <c r="AW1" s="146"/>
      <c r="AX1" s="146"/>
      <c r="AY1" s="146"/>
      <c r="AZ1" s="3"/>
      <c r="BC1" s="3"/>
    </row>
    <row r="2" spans="1:55" x14ac:dyDescent="0.5">
      <c r="L2" s="146" t="s">
        <v>262</v>
      </c>
      <c r="M2" s="146"/>
      <c r="N2" s="146"/>
      <c r="O2" s="146"/>
      <c r="P2" s="146"/>
      <c r="Q2" s="146"/>
      <c r="S2" s="147" t="s">
        <v>263</v>
      </c>
      <c r="T2" s="147"/>
      <c r="U2" s="147"/>
      <c r="V2" s="147"/>
      <c r="W2" s="147"/>
      <c r="X2" s="147"/>
      <c r="Y2" s="147" t="s">
        <v>264</v>
      </c>
      <c r="Z2" s="147"/>
      <c r="AA2" s="147"/>
      <c r="AB2" s="147"/>
      <c r="AC2" s="147" t="s">
        <v>265</v>
      </c>
      <c r="AD2" s="147"/>
      <c r="AE2" s="147"/>
      <c r="AF2" s="147"/>
      <c r="AG2" s="147"/>
      <c r="AH2" s="3"/>
      <c r="AI2" s="3"/>
      <c r="AJ2" s="3"/>
      <c r="AL2" s="146"/>
      <c r="AM2" s="146"/>
      <c r="AN2" s="146"/>
      <c r="AO2" s="146"/>
      <c r="AP2" s="146"/>
      <c r="AQ2" s="146"/>
      <c r="AR2" s="3"/>
      <c r="AS2" s="3"/>
      <c r="AT2" s="3"/>
      <c r="AU2" s="3"/>
      <c r="AV2" s="3"/>
      <c r="AW2" s="3"/>
      <c r="AX2" s="3"/>
      <c r="AY2" s="3"/>
      <c r="AZ2" s="3"/>
      <c r="BC2" s="3"/>
    </row>
    <row r="3" spans="1:55" x14ac:dyDescent="0.5">
      <c r="A3" s="1" t="s">
        <v>266</v>
      </c>
      <c r="C3" s="1" t="s">
        <v>267</v>
      </c>
      <c r="D3" s="1" t="s">
        <v>268</v>
      </c>
      <c r="E3" s="1" t="s">
        <v>269</v>
      </c>
      <c r="G3" s="1" t="s">
        <v>83</v>
      </c>
      <c r="H3" s="1" t="s">
        <v>87</v>
      </c>
      <c r="I3" s="1" t="s">
        <v>89</v>
      </c>
      <c r="L3" s="1" t="s">
        <v>270</v>
      </c>
      <c r="M3" s="1" t="s">
        <v>271</v>
      </c>
      <c r="N3" s="1" t="s">
        <v>272</v>
      </c>
      <c r="O3" s="1" t="s">
        <v>273</v>
      </c>
      <c r="P3" s="1" t="s">
        <v>84</v>
      </c>
      <c r="Q3" s="1" t="s">
        <v>274</v>
      </c>
      <c r="S3" s="1" t="s">
        <v>275</v>
      </c>
      <c r="T3" s="1" t="s">
        <v>276</v>
      </c>
      <c r="U3" s="1" t="s">
        <v>277</v>
      </c>
      <c r="V3" s="1" t="s">
        <v>278</v>
      </c>
      <c r="W3" s="1" t="s">
        <v>279</v>
      </c>
      <c r="X3" s="1" t="s">
        <v>280</v>
      </c>
      <c r="Y3" s="1" t="s">
        <v>281</v>
      </c>
      <c r="Z3" s="1" t="s">
        <v>282</v>
      </c>
      <c r="AA3" s="1" t="s">
        <v>283</v>
      </c>
      <c r="AB3" s="1" t="s">
        <v>284</v>
      </c>
      <c r="AC3" s="1" t="s">
        <v>285</v>
      </c>
      <c r="AD3" s="1" t="s">
        <v>286</v>
      </c>
      <c r="AE3" s="1" t="s">
        <v>287</v>
      </c>
      <c r="AF3" s="1" t="s">
        <v>288</v>
      </c>
      <c r="AG3" s="1" t="s">
        <v>289</v>
      </c>
      <c r="AL3" s="145" t="s">
        <v>290</v>
      </c>
      <c r="AM3" s="145"/>
      <c r="AN3" s="145"/>
      <c r="AO3" s="145" t="s">
        <v>291</v>
      </c>
      <c r="AP3" s="145"/>
      <c r="AQ3" s="145"/>
      <c r="AR3" s="4"/>
      <c r="AS3" s="4"/>
      <c r="AT3" s="4"/>
      <c r="AU3" s="4"/>
      <c r="AV3" s="4"/>
      <c r="AW3" s="4"/>
      <c r="AX3" s="4"/>
      <c r="AY3" s="4"/>
      <c r="AZ3" s="4"/>
      <c r="BC3" s="4"/>
    </row>
    <row r="4" spans="1:55" x14ac:dyDescent="0.5">
      <c r="A4" s="1" t="s">
        <v>82</v>
      </c>
      <c r="C4" s="1" t="s">
        <v>292</v>
      </c>
      <c r="D4" s="1" t="s">
        <v>293</v>
      </c>
      <c r="E4" s="1" t="s">
        <v>294</v>
      </c>
      <c r="G4" s="1" t="s">
        <v>270</v>
      </c>
      <c r="H4" s="1" t="s">
        <v>270</v>
      </c>
      <c r="I4" s="1" t="s">
        <v>270</v>
      </c>
      <c r="L4" s="1" t="s">
        <v>295</v>
      </c>
      <c r="M4" s="1" t="s">
        <v>231</v>
      </c>
      <c r="N4" s="1" t="s">
        <v>90</v>
      </c>
      <c r="O4" s="1" t="s">
        <v>296</v>
      </c>
      <c r="P4" s="1" t="s">
        <v>297</v>
      </c>
      <c r="Q4" s="1" t="s">
        <v>298</v>
      </c>
      <c r="S4" s="1" t="s">
        <v>295</v>
      </c>
      <c r="T4" s="1" t="s">
        <v>231</v>
      </c>
      <c r="U4" s="1" t="s">
        <v>90</v>
      </c>
      <c r="V4" s="1" t="s">
        <v>296</v>
      </c>
      <c r="W4" s="1" t="s">
        <v>297</v>
      </c>
      <c r="X4" s="1" t="s">
        <v>298</v>
      </c>
      <c r="Y4" s="1" t="s">
        <v>299</v>
      </c>
      <c r="Z4" s="1" t="s">
        <v>300</v>
      </c>
      <c r="AA4" s="1" t="s">
        <v>301</v>
      </c>
      <c r="AB4" s="1" t="s">
        <v>302</v>
      </c>
      <c r="AC4" s="1" t="s">
        <v>245</v>
      </c>
      <c r="AD4" s="1" t="s">
        <v>303</v>
      </c>
      <c r="AE4" s="1" t="s">
        <v>304</v>
      </c>
      <c r="AF4" s="1" t="s">
        <v>305</v>
      </c>
      <c r="AG4" s="1" t="s">
        <v>306</v>
      </c>
      <c r="AL4" s="5" t="s">
        <v>307</v>
      </c>
      <c r="AM4" s="5" t="s">
        <v>308</v>
      </c>
      <c r="AN4" s="5" t="s">
        <v>309</v>
      </c>
      <c r="AO4" s="5" t="s">
        <v>310</v>
      </c>
      <c r="AP4" s="6" t="s">
        <v>311</v>
      </c>
      <c r="AQ4" s="5" t="s">
        <v>312</v>
      </c>
      <c r="AR4" s="4"/>
      <c r="AS4" s="4"/>
      <c r="AT4" s="1" t="s">
        <v>313</v>
      </c>
      <c r="AU4" s="1" t="s">
        <v>314</v>
      </c>
      <c r="AV4" s="1" t="s">
        <v>315</v>
      </c>
      <c r="AW4" s="1" t="s">
        <v>316</v>
      </c>
      <c r="AX4" s="1" t="s">
        <v>317</v>
      </c>
      <c r="AY4" s="1" t="s">
        <v>318</v>
      </c>
      <c r="AZ4" s="4"/>
      <c r="BC4" s="4"/>
    </row>
    <row r="5" spans="1:55" x14ac:dyDescent="0.5">
      <c r="A5" s="1" t="s">
        <v>267</v>
      </c>
      <c r="C5" s="1" t="s">
        <v>319</v>
      </c>
      <c r="D5" s="1" t="s">
        <v>320</v>
      </c>
      <c r="E5" s="1" t="s">
        <v>321</v>
      </c>
      <c r="G5" s="1" t="s">
        <v>271</v>
      </c>
      <c r="H5" s="1" t="s">
        <v>271</v>
      </c>
      <c r="I5" s="1" t="s">
        <v>271</v>
      </c>
      <c r="L5" s="1" t="s">
        <v>322</v>
      </c>
      <c r="M5" s="1" t="s">
        <v>323</v>
      </c>
      <c r="N5" s="1" t="s">
        <v>324</v>
      </c>
      <c r="O5" s="1" t="s">
        <v>325</v>
      </c>
      <c r="P5" s="1" t="s">
        <v>228</v>
      </c>
      <c r="Q5" s="1" t="s">
        <v>326</v>
      </c>
      <c r="S5" s="1" t="s">
        <v>322</v>
      </c>
      <c r="T5" s="1" t="s">
        <v>323</v>
      </c>
      <c r="U5" s="1" t="s">
        <v>324</v>
      </c>
      <c r="V5" s="1" t="s">
        <v>325</v>
      </c>
      <c r="W5" s="1" t="s">
        <v>228</v>
      </c>
      <c r="X5" s="1" t="s">
        <v>326</v>
      </c>
      <c r="Y5" s="1" t="s">
        <v>297</v>
      </c>
      <c r="Z5" s="1" t="s">
        <v>327</v>
      </c>
      <c r="AA5" s="1" t="s">
        <v>250</v>
      </c>
      <c r="AB5" s="1" t="s">
        <v>328</v>
      </c>
      <c r="AC5" s="1" t="s">
        <v>233</v>
      </c>
      <c r="AD5" s="1" t="s">
        <v>329</v>
      </c>
      <c r="AE5" s="1" t="s">
        <v>303</v>
      </c>
      <c r="AF5" s="1" t="s">
        <v>330</v>
      </c>
      <c r="AG5" s="1" t="s">
        <v>331</v>
      </c>
      <c r="AL5" s="2" t="s">
        <v>332</v>
      </c>
      <c r="AM5" s="2" t="s">
        <v>333</v>
      </c>
      <c r="AN5" s="2" t="s">
        <v>334</v>
      </c>
      <c r="AO5" s="2" t="s">
        <v>335</v>
      </c>
      <c r="AP5" s="2" t="s">
        <v>297</v>
      </c>
      <c r="AQ5" s="2" t="s">
        <v>237</v>
      </c>
      <c r="AR5" s="2"/>
      <c r="AS5" s="2"/>
      <c r="AT5" s="7" t="s">
        <v>332</v>
      </c>
      <c r="AU5" s="9" t="s">
        <v>231</v>
      </c>
      <c r="AV5" s="7" t="s">
        <v>335</v>
      </c>
      <c r="AW5" s="7" t="s">
        <v>334</v>
      </c>
      <c r="AX5" s="9" t="s">
        <v>336</v>
      </c>
      <c r="AY5" s="9" t="s">
        <v>336</v>
      </c>
      <c r="AZ5" s="2"/>
      <c r="BC5" s="2"/>
    </row>
    <row r="6" spans="1:55" x14ac:dyDescent="0.5">
      <c r="A6" s="1" t="s">
        <v>268</v>
      </c>
      <c r="C6" s="1" t="s">
        <v>337</v>
      </c>
      <c r="D6" s="1" t="s">
        <v>338</v>
      </c>
      <c r="E6" s="1" t="s">
        <v>339</v>
      </c>
      <c r="G6" s="1" t="s">
        <v>272</v>
      </c>
      <c r="H6" s="1" t="s">
        <v>272</v>
      </c>
      <c r="I6" s="1" t="s">
        <v>272</v>
      </c>
      <c r="L6" s="1" t="s">
        <v>340</v>
      </c>
      <c r="M6" s="1" t="s">
        <v>341</v>
      </c>
      <c r="N6" s="1" t="s">
        <v>342</v>
      </c>
      <c r="O6" s="1" t="s">
        <v>343</v>
      </c>
      <c r="P6" s="1" t="s">
        <v>344</v>
      </c>
      <c r="Q6" s="1" t="s">
        <v>345</v>
      </c>
      <c r="S6" s="1" t="s">
        <v>340</v>
      </c>
      <c r="T6" s="1" t="s">
        <v>341</v>
      </c>
      <c r="U6" s="1" t="s">
        <v>342</v>
      </c>
      <c r="V6" s="1" t="s">
        <v>343</v>
      </c>
      <c r="W6" s="1" t="s">
        <v>344</v>
      </c>
      <c r="X6" s="1" t="s">
        <v>345</v>
      </c>
      <c r="Y6" s="1" t="s">
        <v>346</v>
      </c>
      <c r="Z6" s="1" t="s">
        <v>347</v>
      </c>
      <c r="AA6" s="1" t="s">
        <v>348</v>
      </c>
      <c r="AB6" s="1" t="s">
        <v>349</v>
      </c>
      <c r="AC6" s="1" t="s">
        <v>238</v>
      </c>
      <c r="AD6" s="1" t="s">
        <v>350</v>
      </c>
      <c r="AE6" s="1" t="s">
        <v>336</v>
      </c>
      <c r="AF6" s="1" t="s">
        <v>351</v>
      </c>
      <c r="AG6" s="1" t="s">
        <v>233</v>
      </c>
      <c r="AL6" s="2" t="s">
        <v>340</v>
      </c>
      <c r="AM6" s="2" t="s">
        <v>352</v>
      </c>
      <c r="AN6" s="2" t="s">
        <v>335</v>
      </c>
      <c r="AO6" s="2" t="s">
        <v>296</v>
      </c>
      <c r="AP6" s="2" t="s">
        <v>353</v>
      </c>
      <c r="AQ6" s="2" t="s">
        <v>354</v>
      </c>
      <c r="AR6" s="2"/>
      <c r="AS6" s="2"/>
      <c r="AT6" s="8" t="s">
        <v>340</v>
      </c>
      <c r="AU6" s="10" t="s">
        <v>323</v>
      </c>
      <c r="AV6" s="9" t="s">
        <v>296</v>
      </c>
      <c r="AW6" s="8" t="s">
        <v>335</v>
      </c>
      <c r="AX6" s="10" t="s">
        <v>355</v>
      </c>
      <c r="AY6" s="9" t="s">
        <v>304</v>
      </c>
      <c r="AZ6" s="2"/>
      <c r="BC6" s="2"/>
    </row>
    <row r="7" spans="1:55" x14ac:dyDescent="0.5">
      <c r="A7" s="1" t="s">
        <v>269</v>
      </c>
      <c r="D7" s="1" t="s">
        <v>356</v>
      </c>
      <c r="G7" s="1" t="s">
        <v>273</v>
      </c>
      <c r="H7" s="1" t="s">
        <v>273</v>
      </c>
      <c r="I7" s="1" t="s">
        <v>273</v>
      </c>
      <c r="L7" s="1" t="s">
        <v>357</v>
      </c>
      <c r="M7" s="1" t="s">
        <v>232</v>
      </c>
      <c r="N7" s="1" t="s">
        <v>358</v>
      </c>
      <c r="O7" s="1" t="s">
        <v>359</v>
      </c>
      <c r="P7" s="1" t="s">
        <v>344</v>
      </c>
      <c r="Q7" s="1" t="s">
        <v>360</v>
      </c>
      <c r="S7" s="1" t="s">
        <v>357</v>
      </c>
      <c r="T7" s="1" t="s">
        <v>232</v>
      </c>
      <c r="U7" s="1" t="s">
        <v>358</v>
      </c>
      <c r="V7" s="1" t="s">
        <v>359</v>
      </c>
      <c r="W7" s="1" t="s">
        <v>344</v>
      </c>
      <c r="X7" s="1" t="s">
        <v>360</v>
      </c>
      <c r="Y7" s="1" t="s">
        <v>361</v>
      </c>
      <c r="Z7" s="1" t="s">
        <v>362</v>
      </c>
      <c r="AA7" s="1" t="s">
        <v>363</v>
      </c>
      <c r="AB7" s="1" t="s">
        <v>364</v>
      </c>
      <c r="AC7" s="1" t="s">
        <v>300</v>
      </c>
      <c r="AD7" s="1" t="s">
        <v>332</v>
      </c>
      <c r="AE7" s="1" t="s">
        <v>332</v>
      </c>
      <c r="AF7" s="1" t="s">
        <v>355</v>
      </c>
      <c r="AG7" s="1" t="s">
        <v>365</v>
      </c>
      <c r="AL7" s="2" t="s">
        <v>366</v>
      </c>
      <c r="AM7" s="2" t="s">
        <v>367</v>
      </c>
      <c r="AN7" s="2" t="s">
        <v>343</v>
      </c>
      <c r="AO7" s="2" t="s">
        <v>368</v>
      </c>
      <c r="AP7" s="2" t="s">
        <v>369</v>
      </c>
      <c r="AQ7" s="2" t="s">
        <v>370</v>
      </c>
      <c r="AR7" s="2"/>
      <c r="AS7" s="2"/>
      <c r="AT7" s="7" t="s">
        <v>366</v>
      </c>
      <c r="AU7" s="1" t="s">
        <v>333</v>
      </c>
      <c r="AV7" s="10" t="s">
        <v>325</v>
      </c>
      <c r="AW7" s="9" t="s">
        <v>90</v>
      </c>
      <c r="AX7" s="9" t="s">
        <v>304</v>
      </c>
      <c r="AY7" s="9" t="s">
        <v>371</v>
      </c>
      <c r="AZ7" s="2"/>
      <c r="BC7" s="2"/>
    </row>
    <row r="8" spans="1:55" x14ac:dyDescent="0.5">
      <c r="G8" s="1" t="s">
        <v>84</v>
      </c>
      <c r="H8" s="1" t="s">
        <v>84</v>
      </c>
      <c r="I8" s="1" t="s">
        <v>84</v>
      </c>
      <c r="L8" s="1" t="s">
        <v>372</v>
      </c>
      <c r="M8" s="1" t="s">
        <v>373</v>
      </c>
      <c r="N8" s="1" t="s">
        <v>233</v>
      </c>
      <c r="O8" s="1" t="s">
        <v>352</v>
      </c>
      <c r="P8" s="1" t="s">
        <v>374</v>
      </c>
      <c r="Q8" s="1" t="s">
        <v>375</v>
      </c>
      <c r="S8" s="1" t="s">
        <v>372</v>
      </c>
      <c r="T8" s="1" t="s">
        <v>373</v>
      </c>
      <c r="U8" s="1" t="s">
        <v>233</v>
      </c>
      <c r="V8" s="1" t="s">
        <v>352</v>
      </c>
      <c r="W8" s="1" t="s">
        <v>374</v>
      </c>
      <c r="X8" s="1" t="s">
        <v>375</v>
      </c>
      <c r="Y8" s="1" t="s">
        <v>229</v>
      </c>
      <c r="Z8" s="1" t="s">
        <v>376</v>
      </c>
      <c r="AA8" s="1" t="s">
        <v>377</v>
      </c>
      <c r="AB8" s="1" t="s">
        <v>378</v>
      </c>
      <c r="AC8" s="1" t="s">
        <v>90</v>
      </c>
      <c r="AD8" s="1" t="s">
        <v>229</v>
      </c>
      <c r="AE8" s="1" t="s">
        <v>379</v>
      </c>
      <c r="AF8" s="1" t="s">
        <v>380</v>
      </c>
      <c r="AG8" s="1" t="s">
        <v>381</v>
      </c>
      <c r="AL8" s="2" t="s">
        <v>372</v>
      </c>
      <c r="AM8" s="2" t="s">
        <v>350</v>
      </c>
      <c r="AN8" s="2" t="s">
        <v>359</v>
      </c>
      <c r="AO8" s="2" t="s">
        <v>382</v>
      </c>
      <c r="AP8" s="2" t="s">
        <v>383</v>
      </c>
      <c r="AQ8" s="2" t="s">
        <v>384</v>
      </c>
      <c r="AR8" s="2"/>
      <c r="AS8" s="2"/>
      <c r="AT8" s="8" t="s">
        <v>372</v>
      </c>
      <c r="AU8" s="9" t="s">
        <v>341</v>
      </c>
      <c r="AV8" s="9" t="s">
        <v>90</v>
      </c>
      <c r="AW8" s="7" t="s">
        <v>343</v>
      </c>
      <c r="AX8" s="10" t="s">
        <v>371</v>
      </c>
      <c r="AY8" s="9" t="s">
        <v>385</v>
      </c>
      <c r="AZ8" s="2"/>
      <c r="BC8" s="2"/>
    </row>
    <row r="9" spans="1:55" x14ac:dyDescent="0.5">
      <c r="G9" s="1" t="s">
        <v>274</v>
      </c>
      <c r="H9" s="1" t="s">
        <v>274</v>
      </c>
      <c r="I9" s="1" t="s">
        <v>274</v>
      </c>
      <c r="L9" s="1" t="s">
        <v>236</v>
      </c>
      <c r="M9" s="1" t="s">
        <v>386</v>
      </c>
      <c r="N9" s="1" t="s">
        <v>387</v>
      </c>
      <c r="O9" s="1" t="s">
        <v>388</v>
      </c>
      <c r="P9" s="1" t="s">
        <v>389</v>
      </c>
      <c r="Q9" s="1" t="s">
        <v>229</v>
      </c>
      <c r="S9" s="1" t="s">
        <v>236</v>
      </c>
      <c r="T9" s="1" t="s">
        <v>386</v>
      </c>
      <c r="U9" s="1" t="s">
        <v>387</v>
      </c>
      <c r="V9" s="1" t="s">
        <v>388</v>
      </c>
      <c r="W9" s="1" t="s">
        <v>389</v>
      </c>
      <c r="X9" s="1" t="s">
        <v>229</v>
      </c>
      <c r="Y9" s="1" t="s">
        <v>360</v>
      </c>
      <c r="Z9" s="1" t="s">
        <v>390</v>
      </c>
      <c r="AA9" s="1" t="s">
        <v>391</v>
      </c>
      <c r="AB9" s="1" t="s">
        <v>392</v>
      </c>
      <c r="AC9" s="1" t="s">
        <v>393</v>
      </c>
      <c r="AD9" s="1" t="s">
        <v>245</v>
      </c>
      <c r="AE9" s="1" t="s">
        <v>394</v>
      </c>
      <c r="AF9" s="1" t="s">
        <v>395</v>
      </c>
      <c r="AG9" s="1" t="s">
        <v>371</v>
      </c>
      <c r="AL9" s="2" t="s">
        <v>236</v>
      </c>
      <c r="AM9" s="2" t="s">
        <v>396</v>
      </c>
      <c r="AN9" s="2" t="s">
        <v>397</v>
      </c>
      <c r="AO9" s="2" t="s">
        <v>359</v>
      </c>
      <c r="AP9" s="2" t="s">
        <v>398</v>
      </c>
      <c r="AQ9" s="2" t="s">
        <v>399</v>
      </c>
      <c r="AR9" s="2"/>
      <c r="AS9" s="2"/>
      <c r="AT9" s="7" t="s">
        <v>236</v>
      </c>
      <c r="AU9" s="8" t="s">
        <v>352</v>
      </c>
      <c r="AV9" s="9" t="s">
        <v>368</v>
      </c>
      <c r="AW9" s="10" t="s">
        <v>324</v>
      </c>
      <c r="AX9" s="10" t="s">
        <v>332</v>
      </c>
      <c r="AY9" s="10" t="s">
        <v>400</v>
      </c>
      <c r="AZ9" s="2"/>
      <c r="BC9" s="2"/>
    </row>
    <row r="10" spans="1:55" x14ac:dyDescent="0.5">
      <c r="L10" s="1" t="s">
        <v>401</v>
      </c>
      <c r="M10" s="1" t="s">
        <v>402</v>
      </c>
      <c r="N10" s="1" t="s">
        <v>350</v>
      </c>
      <c r="O10" s="1" t="s">
        <v>367</v>
      </c>
      <c r="P10" s="1" t="s">
        <v>343</v>
      </c>
      <c r="Q10" s="1" t="s">
        <v>230</v>
      </c>
      <c r="S10" s="1" t="s">
        <v>401</v>
      </c>
      <c r="T10" s="1" t="s">
        <v>402</v>
      </c>
      <c r="U10" s="1" t="s">
        <v>350</v>
      </c>
      <c r="V10" s="1" t="s">
        <v>367</v>
      </c>
      <c r="W10" s="1" t="s">
        <v>343</v>
      </c>
      <c r="X10" s="1" t="s">
        <v>230</v>
      </c>
      <c r="Y10" s="1" t="s">
        <v>325</v>
      </c>
      <c r="Z10" s="1" t="s">
        <v>245</v>
      </c>
      <c r="AA10" s="1" t="s">
        <v>403</v>
      </c>
      <c r="AB10" s="1" t="s">
        <v>404</v>
      </c>
      <c r="AC10" s="1" t="s">
        <v>405</v>
      </c>
      <c r="AD10" s="1" t="s">
        <v>232</v>
      </c>
      <c r="AE10" s="1" t="s">
        <v>406</v>
      </c>
      <c r="AF10" s="1" t="s">
        <v>407</v>
      </c>
      <c r="AG10" s="1" t="s">
        <v>408</v>
      </c>
      <c r="AL10" s="2" t="s">
        <v>401</v>
      </c>
      <c r="AM10" s="2" t="s">
        <v>409</v>
      </c>
      <c r="AN10" s="2" t="s">
        <v>410</v>
      </c>
      <c r="AO10" s="2" t="s">
        <v>411</v>
      </c>
      <c r="AP10" s="2" t="s">
        <v>342</v>
      </c>
      <c r="AQ10" s="2" t="s">
        <v>248</v>
      </c>
      <c r="AR10" s="2"/>
      <c r="AS10" s="2"/>
      <c r="AT10" s="8" t="s">
        <v>401</v>
      </c>
      <c r="AU10" s="10" t="s">
        <v>232</v>
      </c>
      <c r="AV10" s="10" t="s">
        <v>382</v>
      </c>
      <c r="AW10" s="8" t="s">
        <v>359</v>
      </c>
      <c r="AX10" s="10" t="s">
        <v>385</v>
      </c>
      <c r="AY10" s="9" t="s">
        <v>412</v>
      </c>
      <c r="AZ10" s="2"/>
      <c r="BC10" s="2"/>
    </row>
    <row r="11" spans="1:55" x14ac:dyDescent="0.5">
      <c r="G11" s="1" t="s">
        <v>293</v>
      </c>
      <c r="H11" s="1" t="s">
        <v>320</v>
      </c>
      <c r="I11" s="1" t="s">
        <v>413</v>
      </c>
      <c r="J11" s="1" t="s">
        <v>356</v>
      </c>
      <c r="L11" s="1" t="s">
        <v>350</v>
      </c>
      <c r="M11" s="1" t="s">
        <v>414</v>
      </c>
      <c r="N11" s="1" t="s">
        <v>415</v>
      </c>
      <c r="O11" s="1" t="s">
        <v>386</v>
      </c>
      <c r="P11" s="1" t="s">
        <v>358</v>
      </c>
      <c r="Q11" s="1" t="s">
        <v>416</v>
      </c>
      <c r="S11" s="1" t="s">
        <v>350</v>
      </c>
      <c r="T11" s="1" t="s">
        <v>414</v>
      </c>
      <c r="U11" s="1" t="s">
        <v>415</v>
      </c>
      <c r="V11" s="1" t="s">
        <v>386</v>
      </c>
      <c r="W11" s="1" t="s">
        <v>358</v>
      </c>
      <c r="X11" s="1" t="s">
        <v>416</v>
      </c>
      <c r="Y11" s="1" t="s">
        <v>90</v>
      </c>
      <c r="Z11" s="1" t="s">
        <v>305</v>
      </c>
      <c r="AA11" s="1" t="s">
        <v>417</v>
      </c>
      <c r="AB11" s="1" t="s">
        <v>245</v>
      </c>
      <c r="AC11" s="1" t="s">
        <v>418</v>
      </c>
      <c r="AD11" s="1" t="s">
        <v>419</v>
      </c>
      <c r="AE11" s="1" t="s">
        <v>385</v>
      </c>
      <c r="AF11" s="1" t="s">
        <v>420</v>
      </c>
      <c r="AG11" s="1" t="s">
        <v>421</v>
      </c>
      <c r="AL11" s="2" t="s">
        <v>422</v>
      </c>
      <c r="AM11" s="2" t="s">
        <v>423</v>
      </c>
      <c r="AN11" s="2" t="s">
        <v>350</v>
      </c>
      <c r="AO11" s="2" t="s">
        <v>352</v>
      </c>
      <c r="AP11" s="2" t="s">
        <v>352</v>
      </c>
      <c r="AQ11" s="2" t="s">
        <v>424</v>
      </c>
      <c r="AR11" s="2"/>
      <c r="AS11" s="2"/>
      <c r="AT11" s="7" t="s">
        <v>422</v>
      </c>
      <c r="AU11" s="7" t="s">
        <v>367</v>
      </c>
      <c r="AV11" s="9" t="s">
        <v>343</v>
      </c>
      <c r="AW11" s="9" t="s">
        <v>342</v>
      </c>
      <c r="AX11" s="10" t="s">
        <v>400</v>
      </c>
      <c r="AY11" s="9" t="s">
        <v>395</v>
      </c>
      <c r="AZ11" s="2"/>
      <c r="BC11" s="2"/>
    </row>
    <row r="12" spans="1:55" x14ac:dyDescent="0.5">
      <c r="G12" s="1" t="s">
        <v>307</v>
      </c>
      <c r="H12" s="1" t="s">
        <v>307</v>
      </c>
      <c r="I12" s="1" t="s">
        <v>307</v>
      </c>
      <c r="J12" s="1" t="s">
        <v>307</v>
      </c>
      <c r="L12" s="1" t="s">
        <v>425</v>
      </c>
      <c r="M12" s="1" t="s">
        <v>425</v>
      </c>
      <c r="N12" s="1" t="s">
        <v>376</v>
      </c>
      <c r="O12" s="1" t="s">
        <v>426</v>
      </c>
      <c r="P12" s="1" t="s">
        <v>427</v>
      </c>
      <c r="Q12" s="1" t="s">
        <v>343</v>
      </c>
      <c r="S12" s="1" t="s">
        <v>425</v>
      </c>
      <c r="T12" s="1" t="s">
        <v>425</v>
      </c>
      <c r="U12" s="1" t="s">
        <v>376</v>
      </c>
      <c r="V12" s="1" t="s">
        <v>426</v>
      </c>
      <c r="W12" s="1" t="s">
        <v>427</v>
      </c>
      <c r="X12" s="1" t="s">
        <v>343</v>
      </c>
      <c r="Y12" s="1" t="s">
        <v>344</v>
      </c>
      <c r="Z12" s="1" t="s">
        <v>428</v>
      </c>
      <c r="AA12" s="1" t="s">
        <v>429</v>
      </c>
      <c r="AB12" s="1" t="s">
        <v>430</v>
      </c>
      <c r="AC12" s="1" t="s">
        <v>431</v>
      </c>
      <c r="AD12" s="1" t="s">
        <v>396</v>
      </c>
      <c r="AE12" s="1" t="s">
        <v>432</v>
      </c>
      <c r="AF12" s="1" t="s">
        <v>433</v>
      </c>
      <c r="AG12" s="1" t="s">
        <v>434</v>
      </c>
      <c r="AL12" s="2" t="s">
        <v>435</v>
      </c>
      <c r="AM12" s="2" t="s">
        <v>436</v>
      </c>
      <c r="AN12" s="2" t="s">
        <v>237</v>
      </c>
      <c r="AO12" s="2" t="s">
        <v>437</v>
      </c>
      <c r="AP12" s="2" t="s">
        <v>438</v>
      </c>
      <c r="AQ12" s="2" t="s">
        <v>439</v>
      </c>
      <c r="AR12" s="2"/>
      <c r="AS12" s="2"/>
      <c r="AT12" s="8" t="s">
        <v>435</v>
      </c>
      <c r="AU12" s="9" t="s">
        <v>373</v>
      </c>
      <c r="AV12" s="10" t="s">
        <v>324</v>
      </c>
      <c r="AW12" s="10" t="s">
        <v>358</v>
      </c>
      <c r="AX12" s="9" t="s">
        <v>412</v>
      </c>
      <c r="AY12" s="10" t="s">
        <v>394</v>
      </c>
      <c r="AZ12" s="2"/>
      <c r="BC12" s="2"/>
    </row>
    <row r="13" spans="1:55" x14ac:dyDescent="0.5">
      <c r="G13" s="1" t="s">
        <v>308</v>
      </c>
      <c r="H13" s="1" t="s">
        <v>308</v>
      </c>
      <c r="I13" s="1" t="s">
        <v>308</v>
      </c>
      <c r="J13" s="1" t="s">
        <v>308</v>
      </c>
      <c r="L13" s="1" t="s">
        <v>435</v>
      </c>
      <c r="M13" s="1" t="s">
        <v>440</v>
      </c>
      <c r="N13" s="1" t="s">
        <v>441</v>
      </c>
      <c r="O13" s="1" t="s">
        <v>414</v>
      </c>
      <c r="P13" s="1" t="s">
        <v>442</v>
      </c>
      <c r="Q13" s="1" t="s">
        <v>443</v>
      </c>
      <c r="S13" s="1" t="s">
        <v>435</v>
      </c>
      <c r="T13" s="1" t="s">
        <v>440</v>
      </c>
      <c r="U13" s="1" t="s">
        <v>441</v>
      </c>
      <c r="V13" s="1" t="s">
        <v>414</v>
      </c>
      <c r="W13" s="1" t="s">
        <v>442</v>
      </c>
      <c r="X13" s="1" t="s">
        <v>443</v>
      </c>
      <c r="Y13" s="1" t="s">
        <v>444</v>
      </c>
      <c r="Z13" s="1" t="s">
        <v>445</v>
      </c>
      <c r="AA13" s="1" t="s">
        <v>239</v>
      </c>
      <c r="AB13" s="1" t="s">
        <v>446</v>
      </c>
      <c r="AC13" s="1" t="s">
        <v>336</v>
      </c>
      <c r="AD13" s="1" t="s">
        <v>447</v>
      </c>
      <c r="AE13" s="1" t="s">
        <v>448</v>
      </c>
      <c r="AF13" s="1" t="s">
        <v>236</v>
      </c>
      <c r="AG13" s="1" t="s">
        <v>447</v>
      </c>
      <c r="AL13" s="2" t="s">
        <v>449</v>
      </c>
      <c r="AM13" s="2" t="s">
        <v>450</v>
      </c>
      <c r="AN13" s="2" t="s">
        <v>347</v>
      </c>
      <c r="AO13" s="2" t="s">
        <v>451</v>
      </c>
      <c r="AP13" s="2" t="s">
        <v>358</v>
      </c>
      <c r="AQ13" s="2" t="s">
        <v>407</v>
      </c>
      <c r="AR13" s="2"/>
      <c r="AS13" s="2"/>
      <c r="AT13" s="7" t="s">
        <v>449</v>
      </c>
      <c r="AU13" s="10" t="s">
        <v>386</v>
      </c>
      <c r="AV13" s="10" t="s">
        <v>359</v>
      </c>
      <c r="AW13" s="9" t="s">
        <v>233</v>
      </c>
      <c r="AX13" s="10" t="s">
        <v>395</v>
      </c>
      <c r="AY13" s="9" t="s">
        <v>303</v>
      </c>
      <c r="AZ13" s="2"/>
      <c r="BC13" s="2"/>
    </row>
    <row r="14" spans="1:55" x14ac:dyDescent="0.5">
      <c r="G14" s="1" t="s">
        <v>309</v>
      </c>
      <c r="H14" s="1" t="s">
        <v>309</v>
      </c>
      <c r="I14" s="1" t="s">
        <v>309</v>
      </c>
      <c r="J14" s="1" t="s">
        <v>309</v>
      </c>
      <c r="L14" s="1" t="s">
        <v>452</v>
      </c>
      <c r="M14" s="1" t="s">
        <v>376</v>
      </c>
      <c r="N14" s="1" t="s">
        <v>63</v>
      </c>
      <c r="O14" s="1" t="s">
        <v>453</v>
      </c>
      <c r="P14" s="1" t="s">
        <v>397</v>
      </c>
      <c r="Q14" s="1" t="s">
        <v>454</v>
      </c>
      <c r="S14" s="1" t="s">
        <v>452</v>
      </c>
      <c r="T14" s="1" t="s">
        <v>376</v>
      </c>
      <c r="U14" s="1" t="s">
        <v>63</v>
      </c>
      <c r="V14" s="1" t="s">
        <v>453</v>
      </c>
      <c r="W14" s="1" t="s">
        <v>397</v>
      </c>
      <c r="X14" s="1" t="s">
        <v>454</v>
      </c>
      <c r="Y14" s="1" t="s">
        <v>455</v>
      </c>
      <c r="Z14" s="1" t="s">
        <v>452</v>
      </c>
      <c r="AA14" s="1" t="s">
        <v>456</v>
      </c>
      <c r="AB14" s="1" t="s">
        <v>457</v>
      </c>
      <c r="AC14" s="1" t="s">
        <v>458</v>
      </c>
      <c r="AD14" s="1" t="s">
        <v>459</v>
      </c>
      <c r="AE14" s="1" t="s">
        <v>460</v>
      </c>
      <c r="AF14" s="1" t="s">
        <v>415</v>
      </c>
      <c r="AG14" s="1" t="s">
        <v>459</v>
      </c>
      <c r="AL14" s="2" t="s">
        <v>461</v>
      </c>
      <c r="AM14" s="2" t="s">
        <v>462</v>
      </c>
      <c r="AN14" s="2" t="s">
        <v>435</v>
      </c>
      <c r="AO14" s="2" t="s">
        <v>463</v>
      </c>
      <c r="AP14" s="2" t="s">
        <v>387</v>
      </c>
      <c r="AQ14" s="2" t="s">
        <v>464</v>
      </c>
      <c r="AR14" s="2"/>
      <c r="AS14" s="2"/>
      <c r="AT14" s="8" t="s">
        <v>461</v>
      </c>
      <c r="AU14" s="9" t="s">
        <v>402</v>
      </c>
      <c r="AV14" s="8" t="s">
        <v>411</v>
      </c>
      <c r="AW14" s="7" t="s">
        <v>397</v>
      </c>
      <c r="AX14" s="10" t="s">
        <v>369</v>
      </c>
      <c r="AY14" s="9" t="s">
        <v>465</v>
      </c>
      <c r="AZ14" s="2"/>
      <c r="BC14" s="2"/>
    </row>
    <row r="15" spans="1:55" x14ac:dyDescent="0.5">
      <c r="G15" s="1" t="s">
        <v>310</v>
      </c>
      <c r="H15" s="1" t="s">
        <v>310</v>
      </c>
      <c r="I15" s="1" t="s">
        <v>310</v>
      </c>
      <c r="J15" s="1" t="s">
        <v>310</v>
      </c>
      <c r="L15" s="1" t="s">
        <v>449</v>
      </c>
      <c r="M15" s="1" t="s">
        <v>396</v>
      </c>
      <c r="N15" s="1" t="s">
        <v>347</v>
      </c>
      <c r="O15" s="1" t="s">
        <v>237</v>
      </c>
      <c r="P15" s="1" t="s">
        <v>387</v>
      </c>
      <c r="Q15" s="1" t="s">
        <v>333</v>
      </c>
      <c r="S15" s="1" t="s">
        <v>449</v>
      </c>
      <c r="T15" s="1" t="s">
        <v>396</v>
      </c>
      <c r="U15" s="1" t="s">
        <v>347</v>
      </c>
      <c r="V15" s="1" t="s">
        <v>237</v>
      </c>
      <c r="W15" s="1" t="s">
        <v>387</v>
      </c>
      <c r="X15" s="1" t="s">
        <v>333</v>
      </c>
      <c r="Y15" s="1" t="s">
        <v>301</v>
      </c>
      <c r="Z15" s="1" t="s">
        <v>233</v>
      </c>
      <c r="AA15" s="1" t="s">
        <v>466</v>
      </c>
      <c r="AB15" s="1" t="s">
        <v>233</v>
      </c>
      <c r="AC15" s="1" t="s">
        <v>240</v>
      </c>
      <c r="AD15" s="1" t="s">
        <v>467</v>
      </c>
      <c r="AE15" s="1" t="s">
        <v>400</v>
      </c>
      <c r="AF15" s="1" t="s">
        <v>388</v>
      </c>
      <c r="AG15" s="1" t="s">
        <v>441</v>
      </c>
      <c r="AL15" s="2" t="s">
        <v>468</v>
      </c>
      <c r="AM15" s="2" t="s">
        <v>469</v>
      </c>
      <c r="AN15" s="2" t="s">
        <v>431</v>
      </c>
      <c r="AO15" s="2" t="s">
        <v>470</v>
      </c>
      <c r="AP15" s="2" t="s">
        <v>471</v>
      </c>
      <c r="AQ15" s="2" t="s">
        <v>472</v>
      </c>
      <c r="AR15" s="2"/>
      <c r="AS15" s="2"/>
      <c r="AT15" s="7" t="s">
        <v>468</v>
      </c>
      <c r="AU15" s="10" t="s">
        <v>414</v>
      </c>
      <c r="AV15" s="9" t="s">
        <v>342</v>
      </c>
      <c r="AW15" s="10" t="s">
        <v>387</v>
      </c>
      <c r="AX15" s="10" t="s">
        <v>394</v>
      </c>
      <c r="AY15" s="9" t="s">
        <v>460</v>
      </c>
      <c r="AZ15" s="2"/>
      <c r="BC15" s="2"/>
    </row>
    <row r="16" spans="1:55" x14ac:dyDescent="0.5">
      <c r="G16" s="1" t="s">
        <v>311</v>
      </c>
      <c r="H16" s="1" t="s">
        <v>311</v>
      </c>
      <c r="I16" s="1" t="s">
        <v>311</v>
      </c>
      <c r="J16" s="1" t="s">
        <v>311</v>
      </c>
      <c r="L16" s="1" t="s">
        <v>239</v>
      </c>
      <c r="M16" s="1" t="s">
        <v>63</v>
      </c>
      <c r="N16" s="1" t="s">
        <v>473</v>
      </c>
      <c r="O16" s="1" t="s">
        <v>474</v>
      </c>
      <c r="P16" s="1" t="s">
        <v>475</v>
      </c>
      <c r="Q16" s="1" t="s">
        <v>427</v>
      </c>
      <c r="S16" s="1" t="s">
        <v>239</v>
      </c>
      <c r="T16" s="1" t="s">
        <v>63</v>
      </c>
      <c r="U16" s="1" t="s">
        <v>473</v>
      </c>
      <c r="V16" s="1" t="s">
        <v>474</v>
      </c>
      <c r="W16" s="1" t="s">
        <v>475</v>
      </c>
      <c r="X16" s="1" t="s">
        <v>427</v>
      </c>
      <c r="Y16" s="1" t="s">
        <v>476</v>
      </c>
      <c r="Z16" s="1" t="s">
        <v>238</v>
      </c>
      <c r="AA16" s="1" t="s">
        <v>477</v>
      </c>
      <c r="AB16" s="1" t="s">
        <v>300</v>
      </c>
      <c r="AC16" s="1" t="s">
        <v>478</v>
      </c>
      <c r="AD16" s="1" t="s">
        <v>479</v>
      </c>
      <c r="AE16" s="1" t="s">
        <v>412</v>
      </c>
      <c r="AF16" s="1" t="s">
        <v>480</v>
      </c>
      <c r="AG16" s="1" t="s">
        <v>470</v>
      </c>
      <c r="AL16" s="2" t="s">
        <v>391</v>
      </c>
      <c r="AM16" s="2" t="s">
        <v>481</v>
      </c>
      <c r="AN16" s="2" t="s">
        <v>452</v>
      </c>
      <c r="AO16" s="2" t="s">
        <v>482</v>
      </c>
      <c r="AP16" s="2" t="s">
        <v>475</v>
      </c>
      <c r="AQ16" s="2" t="s">
        <v>483</v>
      </c>
      <c r="AR16" s="2"/>
      <c r="AS16" s="2"/>
      <c r="AT16" s="8" t="s">
        <v>391</v>
      </c>
      <c r="AU16" s="8" t="s">
        <v>350</v>
      </c>
      <c r="AV16" s="9" t="s">
        <v>352</v>
      </c>
      <c r="AW16" s="7" t="s">
        <v>350</v>
      </c>
      <c r="AX16" s="10" t="s">
        <v>303</v>
      </c>
      <c r="AY16" s="9" t="s">
        <v>484</v>
      </c>
      <c r="AZ16" s="2"/>
      <c r="BC16" s="2"/>
    </row>
    <row r="17" spans="7:55" x14ac:dyDescent="0.5">
      <c r="G17" s="1" t="s">
        <v>312</v>
      </c>
      <c r="H17" s="1" t="s">
        <v>312</v>
      </c>
      <c r="I17" s="1" t="s">
        <v>312</v>
      </c>
      <c r="J17" s="1" t="s">
        <v>312</v>
      </c>
      <c r="L17" s="1" t="s">
        <v>485</v>
      </c>
      <c r="M17" s="1" t="s">
        <v>239</v>
      </c>
      <c r="N17" s="1" t="s">
        <v>435</v>
      </c>
      <c r="O17" s="1" t="s">
        <v>486</v>
      </c>
      <c r="P17" s="1" t="s">
        <v>487</v>
      </c>
      <c r="Q17" s="1" t="s">
        <v>442</v>
      </c>
      <c r="S17" s="1" t="s">
        <v>485</v>
      </c>
      <c r="T17" s="1" t="s">
        <v>239</v>
      </c>
      <c r="U17" s="1" t="s">
        <v>435</v>
      </c>
      <c r="V17" s="1" t="s">
        <v>486</v>
      </c>
      <c r="W17" s="1" t="s">
        <v>487</v>
      </c>
      <c r="X17" s="1" t="s">
        <v>442</v>
      </c>
      <c r="Y17" s="1" t="s">
        <v>244</v>
      </c>
      <c r="Z17" s="1" t="s">
        <v>393</v>
      </c>
      <c r="AA17" s="1" t="s">
        <v>488</v>
      </c>
      <c r="AB17" s="1" t="s">
        <v>489</v>
      </c>
      <c r="AC17" s="1" t="s">
        <v>394</v>
      </c>
      <c r="AD17" s="1" t="s">
        <v>490</v>
      </c>
      <c r="AE17" s="1" t="s">
        <v>491</v>
      </c>
      <c r="AF17" s="1" t="s">
        <v>492</v>
      </c>
      <c r="AG17" s="1" t="s">
        <v>359</v>
      </c>
      <c r="AL17" s="2" t="s">
        <v>493</v>
      </c>
      <c r="AM17" s="2" t="s">
        <v>494</v>
      </c>
      <c r="AN17" s="2" t="s">
        <v>495</v>
      </c>
      <c r="AO17" s="2" t="s">
        <v>435</v>
      </c>
      <c r="AP17" s="2" t="s">
        <v>386</v>
      </c>
      <c r="AQ17" s="2" t="s">
        <v>496</v>
      </c>
      <c r="AR17" s="2"/>
      <c r="AS17" s="2"/>
      <c r="AT17" s="7" t="s">
        <v>493</v>
      </c>
      <c r="AU17" s="9" t="s">
        <v>425</v>
      </c>
      <c r="AV17" s="10" t="s">
        <v>358</v>
      </c>
      <c r="AW17" s="8" t="s">
        <v>237</v>
      </c>
      <c r="AX17" s="10" t="s">
        <v>344</v>
      </c>
      <c r="AY17" s="9" t="s">
        <v>359</v>
      </c>
      <c r="AZ17" s="2"/>
      <c r="BC17" s="2"/>
    </row>
    <row r="18" spans="7:55" x14ac:dyDescent="0.5">
      <c r="L18" s="1" t="s">
        <v>497</v>
      </c>
      <c r="M18" s="1" t="s">
        <v>497</v>
      </c>
      <c r="N18" s="1" t="s">
        <v>498</v>
      </c>
      <c r="O18" s="1" t="s">
        <v>463</v>
      </c>
      <c r="P18" s="1" t="s">
        <v>453</v>
      </c>
      <c r="Q18" s="1" t="s">
        <v>499</v>
      </c>
      <c r="S18" s="1" t="s">
        <v>497</v>
      </c>
      <c r="T18" s="1" t="s">
        <v>497</v>
      </c>
      <c r="U18" s="1" t="s">
        <v>498</v>
      </c>
      <c r="V18" s="1" t="s">
        <v>463</v>
      </c>
      <c r="W18" s="1" t="s">
        <v>453</v>
      </c>
      <c r="X18" s="1" t="s">
        <v>499</v>
      </c>
      <c r="Y18" s="1" t="s">
        <v>500</v>
      </c>
      <c r="Z18" s="1" t="s">
        <v>405</v>
      </c>
      <c r="AA18" s="1" t="s">
        <v>393</v>
      </c>
      <c r="AB18" s="1" t="s">
        <v>358</v>
      </c>
      <c r="AC18" s="1" t="s">
        <v>448</v>
      </c>
      <c r="AD18" s="1" t="s">
        <v>372</v>
      </c>
      <c r="AE18" s="1" t="s">
        <v>501</v>
      </c>
      <c r="AF18" s="1" t="s">
        <v>502</v>
      </c>
      <c r="AG18" s="1" t="s">
        <v>503</v>
      </c>
      <c r="AL18" s="2" t="s">
        <v>504</v>
      </c>
      <c r="AM18" s="2" t="s">
        <v>85</v>
      </c>
      <c r="AN18" s="2" t="s">
        <v>505</v>
      </c>
      <c r="AO18" s="2" t="s">
        <v>417</v>
      </c>
      <c r="AP18" s="2" t="s">
        <v>414</v>
      </c>
      <c r="AQ18" s="2" t="s">
        <v>506</v>
      </c>
      <c r="AR18" s="2"/>
      <c r="AS18" s="2"/>
      <c r="AT18" s="8" t="s">
        <v>504</v>
      </c>
      <c r="AU18" s="10" t="s">
        <v>440</v>
      </c>
      <c r="AV18" s="9" t="s">
        <v>233</v>
      </c>
      <c r="AW18" s="7" t="s">
        <v>415</v>
      </c>
      <c r="AX18" s="10" t="s">
        <v>465</v>
      </c>
      <c r="AY18" s="9" t="s">
        <v>333</v>
      </c>
      <c r="AZ18" s="2"/>
      <c r="BC18" s="2"/>
    </row>
    <row r="19" spans="7:55" x14ac:dyDescent="0.5">
      <c r="G19" s="1" t="s">
        <v>294</v>
      </c>
      <c r="H19" s="1" t="s">
        <v>507</v>
      </c>
      <c r="I19" s="1" t="s">
        <v>339</v>
      </c>
      <c r="L19" s="1" t="s">
        <v>497</v>
      </c>
      <c r="M19" s="1" t="s">
        <v>436</v>
      </c>
      <c r="N19" s="1" t="s">
        <v>431</v>
      </c>
      <c r="O19" s="1" t="s">
        <v>480</v>
      </c>
      <c r="P19" s="1" t="s">
        <v>508</v>
      </c>
      <c r="Q19" s="1" t="s">
        <v>509</v>
      </c>
      <c r="S19" s="1" t="s">
        <v>497</v>
      </c>
      <c r="T19" s="1" t="s">
        <v>436</v>
      </c>
      <c r="U19" s="1" t="s">
        <v>431</v>
      </c>
      <c r="V19" s="1" t="s">
        <v>480</v>
      </c>
      <c r="W19" s="1" t="s">
        <v>508</v>
      </c>
      <c r="X19" s="1" t="s">
        <v>509</v>
      </c>
      <c r="Y19" s="1" t="s">
        <v>510</v>
      </c>
      <c r="Z19" s="1" t="s">
        <v>497</v>
      </c>
      <c r="AA19" s="1" t="s">
        <v>511</v>
      </c>
      <c r="AB19" s="1" t="s">
        <v>512</v>
      </c>
      <c r="AC19" s="1" t="s">
        <v>432</v>
      </c>
      <c r="AD19" s="1" t="s">
        <v>513</v>
      </c>
      <c r="AE19" s="1" t="s">
        <v>514</v>
      </c>
      <c r="AF19" s="1" t="s">
        <v>515</v>
      </c>
      <c r="AG19" s="1" t="s">
        <v>249</v>
      </c>
      <c r="AL19" s="2" t="s">
        <v>516</v>
      </c>
      <c r="AM19" s="2" t="s">
        <v>504</v>
      </c>
      <c r="AN19" s="2" t="s">
        <v>502</v>
      </c>
      <c r="AO19" s="2" t="s">
        <v>517</v>
      </c>
      <c r="AP19" s="2" t="s">
        <v>487</v>
      </c>
      <c r="AQ19" s="2" t="s">
        <v>518</v>
      </c>
      <c r="AR19" s="2"/>
      <c r="AS19" s="2"/>
      <c r="AT19" s="7" t="s">
        <v>516</v>
      </c>
      <c r="AU19" s="9" t="s">
        <v>376</v>
      </c>
      <c r="AV19" s="10" t="s">
        <v>388</v>
      </c>
      <c r="AW19" s="7" t="s">
        <v>376</v>
      </c>
      <c r="AX19" s="9" t="s">
        <v>460</v>
      </c>
      <c r="AY19" s="9" t="s">
        <v>381</v>
      </c>
      <c r="AZ19" s="2"/>
      <c r="BC19" s="2"/>
    </row>
    <row r="20" spans="7:55" x14ac:dyDescent="0.5">
      <c r="G20" s="1" t="s">
        <v>313</v>
      </c>
      <c r="H20" s="1" t="s">
        <v>313</v>
      </c>
      <c r="I20" s="1" t="s">
        <v>313</v>
      </c>
      <c r="L20" s="1" t="s">
        <v>519</v>
      </c>
      <c r="M20" s="1" t="s">
        <v>520</v>
      </c>
      <c r="N20" s="1" t="s">
        <v>423</v>
      </c>
      <c r="O20" s="1" t="s">
        <v>441</v>
      </c>
      <c r="P20" s="1" t="s">
        <v>237</v>
      </c>
      <c r="Q20" s="1" t="s">
        <v>521</v>
      </c>
      <c r="S20" s="1" t="s">
        <v>519</v>
      </c>
      <c r="T20" s="1" t="s">
        <v>520</v>
      </c>
      <c r="U20" s="1" t="s">
        <v>423</v>
      </c>
      <c r="V20" s="1" t="s">
        <v>441</v>
      </c>
      <c r="W20" s="1" t="s">
        <v>237</v>
      </c>
      <c r="X20" s="1" t="s">
        <v>521</v>
      </c>
      <c r="Y20" s="1" t="s">
        <v>522</v>
      </c>
      <c r="Z20" s="1" t="s">
        <v>523</v>
      </c>
      <c r="AA20" s="1" t="s">
        <v>524</v>
      </c>
      <c r="AB20" s="1" t="s">
        <v>496</v>
      </c>
      <c r="AC20" s="1" t="s">
        <v>525</v>
      </c>
      <c r="AD20" s="1" t="s">
        <v>526</v>
      </c>
      <c r="AE20" s="1" t="s">
        <v>484</v>
      </c>
      <c r="AF20" s="1" t="s">
        <v>242</v>
      </c>
      <c r="AG20" s="1" t="s">
        <v>484</v>
      </c>
      <c r="AL20" s="2" t="s">
        <v>527</v>
      </c>
      <c r="AM20" s="2" t="s">
        <v>527</v>
      </c>
      <c r="AN20" s="2" t="s">
        <v>85</v>
      </c>
      <c r="AO20" s="2" t="s">
        <v>239</v>
      </c>
      <c r="AP20" s="2" t="s">
        <v>453</v>
      </c>
      <c r="AQ20" s="2" t="s">
        <v>256</v>
      </c>
      <c r="AR20" s="2"/>
      <c r="AS20" s="2"/>
      <c r="AT20" s="8" t="s">
        <v>527</v>
      </c>
      <c r="AU20" s="7" t="s">
        <v>396</v>
      </c>
      <c r="AV20" s="10" t="s">
        <v>387</v>
      </c>
      <c r="AW20" s="7" t="s">
        <v>441</v>
      </c>
      <c r="AX20" s="9" t="s">
        <v>484</v>
      </c>
      <c r="AY20" s="9" t="s">
        <v>406</v>
      </c>
      <c r="AZ20" s="2"/>
      <c r="BC20" s="2"/>
    </row>
    <row r="21" spans="7:55" x14ac:dyDescent="0.5">
      <c r="G21" s="1" t="s">
        <v>314</v>
      </c>
      <c r="H21" s="1" t="s">
        <v>314</v>
      </c>
      <c r="I21" s="1" t="s">
        <v>314</v>
      </c>
      <c r="L21" s="1" t="s">
        <v>245</v>
      </c>
      <c r="M21" s="1" t="s">
        <v>450</v>
      </c>
      <c r="N21" s="1" t="s">
        <v>432</v>
      </c>
      <c r="O21" s="1" t="s">
        <v>470</v>
      </c>
      <c r="P21" s="1" t="s">
        <v>425</v>
      </c>
      <c r="Q21" s="1" t="s">
        <v>528</v>
      </c>
      <c r="S21" s="1" t="s">
        <v>245</v>
      </c>
      <c r="T21" s="1" t="s">
        <v>450</v>
      </c>
      <c r="U21" s="1" t="s">
        <v>432</v>
      </c>
      <c r="V21" s="1" t="s">
        <v>470</v>
      </c>
      <c r="W21" s="1" t="s">
        <v>425</v>
      </c>
      <c r="X21" s="1" t="s">
        <v>528</v>
      </c>
      <c r="Y21" s="1" t="s">
        <v>387</v>
      </c>
      <c r="Z21" s="1" t="s">
        <v>529</v>
      </c>
      <c r="AA21" s="1" t="s">
        <v>530</v>
      </c>
      <c r="AB21" s="1" t="s">
        <v>531</v>
      </c>
      <c r="AC21" s="1" t="s">
        <v>532</v>
      </c>
      <c r="AD21" s="1" t="s">
        <v>533</v>
      </c>
      <c r="AE21" s="1" t="s">
        <v>465</v>
      </c>
      <c r="AF21" s="1" t="s">
        <v>344</v>
      </c>
      <c r="AG21" s="1" t="s">
        <v>534</v>
      </c>
      <c r="AL21" s="2" t="s">
        <v>535</v>
      </c>
      <c r="AM21" s="2" t="s">
        <v>536</v>
      </c>
      <c r="AN21" s="2" t="s">
        <v>488</v>
      </c>
      <c r="AO21" s="2" t="s">
        <v>497</v>
      </c>
      <c r="AP21" s="2" t="s">
        <v>420</v>
      </c>
      <c r="AQ21" s="2" t="s">
        <v>537</v>
      </c>
      <c r="AR21" s="2"/>
      <c r="AS21" s="2"/>
      <c r="AT21" s="7" t="s">
        <v>535</v>
      </c>
      <c r="AU21" s="9" t="s">
        <v>63</v>
      </c>
      <c r="AV21" s="9" t="s">
        <v>367</v>
      </c>
      <c r="AW21" s="7" t="s">
        <v>63</v>
      </c>
      <c r="AX21" s="10" t="s">
        <v>538</v>
      </c>
      <c r="AY21" s="9" t="s">
        <v>233</v>
      </c>
      <c r="AZ21" s="2"/>
      <c r="BC21" s="2"/>
    </row>
    <row r="22" spans="7:55" x14ac:dyDescent="0.5">
      <c r="G22" s="1" t="s">
        <v>315</v>
      </c>
      <c r="H22" s="1" t="s">
        <v>315</v>
      </c>
      <c r="I22" s="1" t="s">
        <v>315</v>
      </c>
      <c r="L22" s="1" t="s">
        <v>502</v>
      </c>
      <c r="M22" s="1" t="s">
        <v>305</v>
      </c>
      <c r="N22" s="1" t="s">
        <v>539</v>
      </c>
      <c r="O22" s="1" t="s">
        <v>539</v>
      </c>
      <c r="P22" s="1" t="s">
        <v>540</v>
      </c>
      <c r="Q22" s="1" t="s">
        <v>541</v>
      </c>
      <c r="S22" s="1" t="s">
        <v>502</v>
      </c>
      <c r="T22" s="1" t="s">
        <v>305</v>
      </c>
      <c r="U22" s="1" t="s">
        <v>539</v>
      </c>
      <c r="V22" s="1" t="s">
        <v>539</v>
      </c>
      <c r="W22" s="1" t="s">
        <v>540</v>
      </c>
      <c r="X22" s="1" t="s">
        <v>541</v>
      </c>
      <c r="Y22" s="1" t="s">
        <v>542</v>
      </c>
      <c r="Z22" s="1" t="s">
        <v>450</v>
      </c>
      <c r="AA22" s="1" t="s">
        <v>482</v>
      </c>
      <c r="AB22" s="1" t="s">
        <v>429</v>
      </c>
      <c r="AC22" s="1" t="s">
        <v>543</v>
      </c>
      <c r="AD22" s="1" t="s">
        <v>253</v>
      </c>
      <c r="AE22" s="1" t="s">
        <v>544</v>
      </c>
      <c r="AF22" s="1" t="s">
        <v>525</v>
      </c>
      <c r="AG22" s="1" t="s">
        <v>545</v>
      </c>
      <c r="AL22" s="2" t="s">
        <v>546</v>
      </c>
      <c r="AM22" s="2" t="s">
        <v>547</v>
      </c>
      <c r="AN22" s="2" t="s">
        <v>444</v>
      </c>
      <c r="AO22" s="2" t="s">
        <v>481</v>
      </c>
      <c r="AP22" s="2" t="s">
        <v>350</v>
      </c>
      <c r="AT22" s="7" t="s">
        <v>536</v>
      </c>
      <c r="AU22" s="9" t="s">
        <v>409</v>
      </c>
      <c r="AV22" s="10" t="s">
        <v>437</v>
      </c>
      <c r="AW22" s="7" t="s">
        <v>347</v>
      </c>
      <c r="AX22" s="10" t="s">
        <v>359</v>
      </c>
      <c r="AY22" s="9" t="s">
        <v>397</v>
      </c>
    </row>
    <row r="23" spans="7:55" x14ac:dyDescent="0.5">
      <c r="G23" s="1" t="s">
        <v>316</v>
      </c>
      <c r="H23" s="1" t="s">
        <v>316</v>
      </c>
      <c r="I23" s="1" t="s">
        <v>316</v>
      </c>
      <c r="L23" s="1" t="s">
        <v>469</v>
      </c>
      <c r="M23" s="1" t="s">
        <v>462</v>
      </c>
      <c r="N23" s="1" t="s">
        <v>539</v>
      </c>
      <c r="O23" s="1" t="s">
        <v>497</v>
      </c>
      <c r="P23" s="1" t="s">
        <v>238</v>
      </c>
      <c r="Q23" s="1" t="s">
        <v>386</v>
      </c>
      <c r="S23" s="1" t="s">
        <v>469</v>
      </c>
      <c r="T23" s="1" t="s">
        <v>462</v>
      </c>
      <c r="U23" s="1" t="s">
        <v>539</v>
      </c>
      <c r="V23" s="1" t="s">
        <v>497</v>
      </c>
      <c r="W23" s="1" t="s">
        <v>238</v>
      </c>
      <c r="X23" s="1" t="s">
        <v>386</v>
      </c>
      <c r="Y23" s="1" t="s">
        <v>245</v>
      </c>
      <c r="Z23" s="1" t="s">
        <v>548</v>
      </c>
      <c r="AA23" s="1" t="s">
        <v>549</v>
      </c>
      <c r="AB23" s="1" t="s">
        <v>403</v>
      </c>
      <c r="AC23" s="1" t="s">
        <v>550</v>
      </c>
      <c r="AD23" s="1" t="s">
        <v>476</v>
      </c>
      <c r="AE23" s="1" t="s">
        <v>435</v>
      </c>
      <c r="AF23" s="1" t="s">
        <v>426</v>
      </c>
      <c r="AG23" s="1" t="s">
        <v>551</v>
      </c>
      <c r="AL23" s="2" t="s">
        <v>490</v>
      </c>
      <c r="AM23" s="2" t="s">
        <v>525</v>
      </c>
      <c r="AN23" s="2" t="s">
        <v>250</v>
      </c>
      <c r="AO23" s="2" t="s">
        <v>552</v>
      </c>
      <c r="AP23" s="2" t="s">
        <v>553</v>
      </c>
      <c r="AT23" s="8" t="s">
        <v>546</v>
      </c>
      <c r="AU23" s="9" t="s">
        <v>423</v>
      </c>
      <c r="AV23" s="10" t="s">
        <v>386</v>
      </c>
      <c r="AW23" s="9" t="s">
        <v>473</v>
      </c>
      <c r="AX23" s="9" t="s">
        <v>333</v>
      </c>
      <c r="AY23" s="9" t="s">
        <v>388</v>
      </c>
    </row>
    <row r="24" spans="7:55" x14ac:dyDescent="0.5">
      <c r="G24" s="1" t="s">
        <v>317</v>
      </c>
      <c r="H24" s="1" t="s">
        <v>317</v>
      </c>
      <c r="I24" s="1" t="s">
        <v>317</v>
      </c>
      <c r="L24" s="1" t="s">
        <v>468</v>
      </c>
      <c r="M24" s="1" t="s">
        <v>245</v>
      </c>
      <c r="N24" s="1" t="s">
        <v>240</v>
      </c>
      <c r="O24" s="1" t="s">
        <v>554</v>
      </c>
      <c r="P24" s="1" t="s">
        <v>63</v>
      </c>
      <c r="Q24" s="1" t="s">
        <v>426</v>
      </c>
      <c r="S24" s="1" t="s">
        <v>468</v>
      </c>
      <c r="T24" s="1" t="s">
        <v>245</v>
      </c>
      <c r="U24" s="1" t="s">
        <v>240</v>
      </c>
      <c r="V24" s="1" t="s">
        <v>554</v>
      </c>
      <c r="W24" s="1" t="s">
        <v>63</v>
      </c>
      <c r="X24" s="1" t="s">
        <v>426</v>
      </c>
      <c r="Y24" s="1" t="s">
        <v>390</v>
      </c>
      <c r="Z24" s="1" t="s">
        <v>299</v>
      </c>
      <c r="AA24" s="1" t="s">
        <v>555</v>
      </c>
      <c r="AB24" s="1" t="s">
        <v>523</v>
      </c>
      <c r="AC24" s="1" t="s">
        <v>484</v>
      </c>
      <c r="AD24" s="1" t="s">
        <v>556</v>
      </c>
      <c r="AE24" s="1" t="s">
        <v>556</v>
      </c>
      <c r="AF24" s="1" t="s">
        <v>557</v>
      </c>
      <c r="AG24" s="1" t="s">
        <v>457</v>
      </c>
      <c r="AL24" s="2" t="s">
        <v>515</v>
      </c>
      <c r="AM24" s="2" t="s">
        <v>557</v>
      </c>
      <c r="AN24" s="2" t="s">
        <v>558</v>
      </c>
      <c r="AO24" s="2" t="s">
        <v>559</v>
      </c>
      <c r="AP24" s="2" t="s">
        <v>63</v>
      </c>
      <c r="AT24" s="7" t="s">
        <v>490</v>
      </c>
      <c r="AU24" s="9" t="s">
        <v>239</v>
      </c>
      <c r="AV24" s="9" t="s">
        <v>426</v>
      </c>
      <c r="AW24" s="8" t="s">
        <v>435</v>
      </c>
      <c r="AX24" s="9" t="s">
        <v>459</v>
      </c>
      <c r="AY24" s="9" t="s">
        <v>560</v>
      </c>
    </row>
    <row r="25" spans="7:55" x14ac:dyDescent="0.5">
      <c r="G25" s="1" t="s">
        <v>561</v>
      </c>
      <c r="H25" s="1" t="s">
        <v>561</v>
      </c>
      <c r="I25" s="1" t="s">
        <v>561</v>
      </c>
      <c r="L25" s="1" t="s">
        <v>562</v>
      </c>
      <c r="M25" s="1" t="s">
        <v>502</v>
      </c>
      <c r="N25" s="1" t="s">
        <v>554</v>
      </c>
      <c r="O25" s="1" t="s">
        <v>552</v>
      </c>
      <c r="P25" s="1" t="s">
        <v>551</v>
      </c>
      <c r="Q25" s="1" t="s">
        <v>563</v>
      </c>
      <c r="S25" s="1" t="s">
        <v>562</v>
      </c>
      <c r="T25" s="1" t="s">
        <v>502</v>
      </c>
      <c r="U25" s="1" t="s">
        <v>554</v>
      </c>
      <c r="V25" s="1" t="s">
        <v>552</v>
      </c>
      <c r="W25" s="1" t="s">
        <v>551</v>
      </c>
      <c r="X25" s="1" t="s">
        <v>563</v>
      </c>
      <c r="Y25" s="1" t="s">
        <v>564</v>
      </c>
      <c r="Z25" s="1" t="s">
        <v>565</v>
      </c>
      <c r="AA25" s="1" t="s">
        <v>566</v>
      </c>
      <c r="AB25" s="1" t="s">
        <v>567</v>
      </c>
      <c r="AC25" s="1" t="s">
        <v>534</v>
      </c>
      <c r="AD25" s="1" t="s">
        <v>435</v>
      </c>
      <c r="AE25" s="1" t="s">
        <v>568</v>
      </c>
      <c r="AF25" s="1" t="s">
        <v>397</v>
      </c>
      <c r="AG25" s="1" t="s">
        <v>369</v>
      </c>
      <c r="AL25" s="2" t="s">
        <v>557</v>
      </c>
      <c r="AM25" s="2" t="s">
        <v>330</v>
      </c>
      <c r="AN25" s="2" t="s">
        <v>253</v>
      </c>
      <c r="AO25" s="2" t="s">
        <v>569</v>
      </c>
      <c r="AP25" s="2" t="s">
        <v>432</v>
      </c>
      <c r="AT25" s="8" t="s">
        <v>515</v>
      </c>
      <c r="AU25" s="9" t="s">
        <v>497</v>
      </c>
      <c r="AV25" s="10" t="s">
        <v>414</v>
      </c>
      <c r="AW25" s="9" t="s">
        <v>498</v>
      </c>
      <c r="AX25" s="9" t="s">
        <v>570</v>
      </c>
      <c r="AY25" s="9" t="s">
        <v>434</v>
      </c>
    </row>
    <row r="26" spans="7:55" x14ac:dyDescent="0.5">
      <c r="L26" s="1" t="s">
        <v>516</v>
      </c>
      <c r="M26" s="1" t="s">
        <v>571</v>
      </c>
      <c r="N26" s="1" t="s">
        <v>469</v>
      </c>
      <c r="O26" s="1" t="s">
        <v>572</v>
      </c>
      <c r="P26" s="1" t="s">
        <v>510</v>
      </c>
      <c r="Q26" s="1" t="s">
        <v>414</v>
      </c>
      <c r="S26" s="1" t="s">
        <v>516</v>
      </c>
      <c r="T26" s="1" t="s">
        <v>571</v>
      </c>
      <c r="U26" s="1" t="s">
        <v>469</v>
      </c>
      <c r="V26" s="1" t="s">
        <v>572</v>
      </c>
      <c r="W26" s="1" t="s">
        <v>510</v>
      </c>
      <c r="X26" s="1" t="s">
        <v>414</v>
      </c>
      <c r="Y26" s="1" t="s">
        <v>398</v>
      </c>
      <c r="Z26" s="1" t="s">
        <v>344</v>
      </c>
      <c r="AA26" s="1" t="s">
        <v>346</v>
      </c>
      <c r="AB26" s="1" t="s">
        <v>573</v>
      </c>
      <c r="AC26" s="1" t="s">
        <v>574</v>
      </c>
      <c r="AD26" s="1" t="s">
        <v>568</v>
      </c>
      <c r="AE26" s="1" t="s">
        <v>333</v>
      </c>
      <c r="AF26" s="1" t="s">
        <v>575</v>
      </c>
      <c r="AG26" s="1" t="s">
        <v>576</v>
      </c>
      <c r="AL26" s="2" t="s">
        <v>557</v>
      </c>
      <c r="AM26" s="2" t="s">
        <v>577</v>
      </c>
      <c r="AN26" s="2" t="s">
        <v>330</v>
      </c>
      <c r="AO26" s="2" t="s">
        <v>527</v>
      </c>
      <c r="AP26" s="2" t="s">
        <v>240</v>
      </c>
      <c r="AT26" s="7" t="s">
        <v>557</v>
      </c>
      <c r="AU26" s="9" t="s">
        <v>436</v>
      </c>
      <c r="AV26" s="9" t="s">
        <v>453</v>
      </c>
      <c r="AW26" s="10" t="s">
        <v>431</v>
      </c>
      <c r="AX26" s="9" t="s">
        <v>381</v>
      </c>
      <c r="AY26" s="9" t="s">
        <v>426</v>
      </c>
    </row>
    <row r="27" spans="7:55" x14ac:dyDescent="0.5">
      <c r="L27" s="1" t="s">
        <v>578</v>
      </c>
      <c r="M27" s="1" t="s">
        <v>481</v>
      </c>
      <c r="N27" s="1" t="s">
        <v>571</v>
      </c>
      <c r="O27" s="1" t="s">
        <v>559</v>
      </c>
      <c r="P27" s="1" t="s">
        <v>449</v>
      </c>
      <c r="Q27" s="1" t="s">
        <v>487</v>
      </c>
      <c r="S27" s="1" t="s">
        <v>578</v>
      </c>
      <c r="T27" s="1" t="s">
        <v>481</v>
      </c>
      <c r="U27" s="1" t="s">
        <v>571</v>
      </c>
      <c r="V27" s="1" t="s">
        <v>559</v>
      </c>
      <c r="W27" s="1" t="s">
        <v>449</v>
      </c>
      <c r="X27" s="1" t="s">
        <v>487</v>
      </c>
      <c r="Y27" s="1" t="s">
        <v>346</v>
      </c>
      <c r="Z27" s="1" t="s">
        <v>384</v>
      </c>
      <c r="AA27" s="1" t="s">
        <v>299</v>
      </c>
      <c r="AB27" s="1" t="s">
        <v>393</v>
      </c>
      <c r="AC27" s="1" t="s">
        <v>435</v>
      </c>
      <c r="AD27" s="1" t="s">
        <v>333</v>
      </c>
      <c r="AE27" s="1" t="s">
        <v>579</v>
      </c>
      <c r="AF27" s="1" t="s">
        <v>580</v>
      </c>
      <c r="AG27" s="1" t="s">
        <v>258</v>
      </c>
      <c r="AL27" s="2" t="s">
        <v>581</v>
      </c>
      <c r="AM27" s="2" t="s">
        <v>446</v>
      </c>
      <c r="AN27" s="2" t="s">
        <v>556</v>
      </c>
      <c r="AO27" s="2" t="s">
        <v>455</v>
      </c>
      <c r="AP27" s="2" t="s">
        <v>554</v>
      </c>
      <c r="AT27" s="12" t="s">
        <v>581</v>
      </c>
      <c r="AU27" s="9" t="s">
        <v>520</v>
      </c>
      <c r="AV27" s="9" t="s">
        <v>350</v>
      </c>
      <c r="AW27" s="8" t="s">
        <v>452</v>
      </c>
      <c r="AX27" s="10" t="s">
        <v>365</v>
      </c>
      <c r="AY27" s="9" t="s">
        <v>514</v>
      </c>
    </row>
    <row r="28" spans="7:55" x14ac:dyDescent="0.5">
      <c r="L28" s="1" t="s">
        <v>527</v>
      </c>
      <c r="M28" s="1" t="s">
        <v>85</v>
      </c>
      <c r="N28" s="1" t="s">
        <v>85</v>
      </c>
      <c r="O28" s="1" t="s">
        <v>468</v>
      </c>
      <c r="P28" s="1" t="s">
        <v>239</v>
      </c>
      <c r="Q28" s="1" t="s">
        <v>453</v>
      </c>
      <c r="S28" s="1" t="s">
        <v>527</v>
      </c>
      <c r="T28" s="1" t="s">
        <v>85</v>
      </c>
      <c r="U28" s="1" t="s">
        <v>85</v>
      </c>
      <c r="V28" s="1" t="s">
        <v>468</v>
      </c>
      <c r="W28" s="1" t="s">
        <v>239</v>
      </c>
      <c r="X28" s="1" t="s">
        <v>453</v>
      </c>
      <c r="Y28" s="1" t="s">
        <v>256</v>
      </c>
      <c r="Z28" s="1" t="s">
        <v>488</v>
      </c>
      <c r="AA28" s="1" t="s">
        <v>582</v>
      </c>
      <c r="AB28" s="1" t="s">
        <v>583</v>
      </c>
      <c r="AC28" s="1" t="s">
        <v>568</v>
      </c>
      <c r="AD28" s="1" t="s">
        <v>584</v>
      </c>
      <c r="AE28" s="1" t="s">
        <v>585</v>
      </c>
      <c r="AF28" s="1" t="s">
        <v>586</v>
      </c>
      <c r="AG28" s="1" t="s">
        <v>560</v>
      </c>
      <c r="AL28" s="2"/>
      <c r="AM28" s="2"/>
      <c r="AN28" s="2" t="s">
        <v>587</v>
      </c>
      <c r="AO28" s="2" t="s">
        <v>525</v>
      </c>
      <c r="AP28" s="2" t="s">
        <v>436</v>
      </c>
      <c r="AT28" s="12"/>
      <c r="AU28" s="9" t="s">
        <v>450</v>
      </c>
      <c r="AV28" s="10" t="s">
        <v>237</v>
      </c>
      <c r="AW28" s="7" t="s">
        <v>495</v>
      </c>
      <c r="AX28" s="9" t="s">
        <v>406</v>
      </c>
      <c r="AY28" s="9" t="s">
        <v>545</v>
      </c>
    </row>
    <row r="29" spans="7:55" x14ac:dyDescent="0.5">
      <c r="L29" s="1" t="s">
        <v>588</v>
      </c>
      <c r="M29" s="1" t="s">
        <v>572</v>
      </c>
      <c r="N29" s="1" t="s">
        <v>559</v>
      </c>
      <c r="O29" s="1" t="s">
        <v>511</v>
      </c>
      <c r="P29" s="1" t="s">
        <v>589</v>
      </c>
      <c r="Q29" s="1" t="s">
        <v>420</v>
      </c>
      <c r="S29" s="1" t="s">
        <v>588</v>
      </c>
      <c r="T29" s="1" t="s">
        <v>572</v>
      </c>
      <c r="U29" s="1" t="s">
        <v>559</v>
      </c>
      <c r="V29" s="1" t="s">
        <v>511</v>
      </c>
      <c r="W29" s="1" t="s">
        <v>589</v>
      </c>
      <c r="X29" s="1" t="s">
        <v>420</v>
      </c>
      <c r="Y29" s="1" t="s">
        <v>590</v>
      </c>
      <c r="Z29" s="1" t="s">
        <v>591</v>
      </c>
      <c r="AA29" s="1" t="s">
        <v>591</v>
      </c>
      <c r="AB29" s="1" t="s">
        <v>592</v>
      </c>
      <c r="AC29" s="1" t="s">
        <v>556</v>
      </c>
      <c r="AD29" s="1" t="s">
        <v>593</v>
      </c>
      <c r="AE29" s="1" t="s">
        <v>510</v>
      </c>
      <c r="AF29" s="1" t="s">
        <v>440</v>
      </c>
      <c r="AG29" s="1" t="s">
        <v>528</v>
      </c>
      <c r="AL29" s="2"/>
      <c r="AN29" s="2" t="s">
        <v>594</v>
      </c>
      <c r="AO29" s="2" t="s">
        <v>595</v>
      </c>
      <c r="AP29" s="2" t="s">
        <v>596</v>
      </c>
      <c r="AU29" s="9" t="s">
        <v>305</v>
      </c>
      <c r="AV29" s="9" t="s">
        <v>451</v>
      </c>
      <c r="AW29" s="9" t="s">
        <v>423</v>
      </c>
      <c r="AX29" s="9" t="s">
        <v>233</v>
      </c>
      <c r="AY29" s="9" t="s">
        <v>420</v>
      </c>
    </row>
    <row r="30" spans="7:55" x14ac:dyDescent="0.5">
      <c r="L30" s="1" t="s">
        <v>455</v>
      </c>
      <c r="M30" s="1" t="s">
        <v>391</v>
      </c>
      <c r="N30" s="1" t="s">
        <v>468</v>
      </c>
      <c r="O30" s="1" t="s">
        <v>250</v>
      </c>
      <c r="P30" s="1" t="s">
        <v>597</v>
      </c>
      <c r="Q30" s="1" t="s">
        <v>420</v>
      </c>
      <c r="S30" s="1" t="s">
        <v>455</v>
      </c>
      <c r="T30" s="1" t="s">
        <v>391</v>
      </c>
      <c r="U30" s="1" t="s">
        <v>468</v>
      </c>
      <c r="V30" s="1" t="s">
        <v>250</v>
      </c>
      <c r="W30" s="1" t="s">
        <v>597</v>
      </c>
      <c r="X30" s="1" t="s">
        <v>420</v>
      </c>
      <c r="Y30" s="1" t="s">
        <v>258</v>
      </c>
      <c r="Z30" s="1" t="s">
        <v>502</v>
      </c>
      <c r="AA30" s="1" t="s">
        <v>244</v>
      </c>
      <c r="AB30" s="1" t="s">
        <v>246</v>
      </c>
      <c r="AC30" s="1" t="s">
        <v>598</v>
      </c>
      <c r="AD30" s="1" t="s">
        <v>571</v>
      </c>
      <c r="AE30" s="1" t="s">
        <v>249</v>
      </c>
      <c r="AL30" s="2"/>
      <c r="AN30" s="2" t="s">
        <v>585</v>
      </c>
      <c r="AO30" s="2" t="s">
        <v>599</v>
      </c>
      <c r="AP30" s="2" t="s">
        <v>242</v>
      </c>
      <c r="AU30" s="9" t="s">
        <v>462</v>
      </c>
      <c r="AV30" s="9" t="s">
        <v>474</v>
      </c>
      <c r="AW30" s="10" t="s">
        <v>432</v>
      </c>
      <c r="AX30" s="10" t="s">
        <v>397</v>
      </c>
      <c r="AY30" s="9" t="s">
        <v>415</v>
      </c>
    </row>
    <row r="31" spans="7:55" x14ac:dyDescent="0.5">
      <c r="L31" s="1" t="s">
        <v>444</v>
      </c>
      <c r="M31" s="1" t="s">
        <v>526</v>
      </c>
      <c r="N31" s="1" t="s">
        <v>488</v>
      </c>
      <c r="O31" s="1" t="s">
        <v>525</v>
      </c>
      <c r="P31" s="1" t="s">
        <v>242</v>
      </c>
      <c r="Q31" s="1" t="s">
        <v>415</v>
      </c>
      <c r="S31" s="1" t="s">
        <v>444</v>
      </c>
      <c r="T31" s="1" t="s">
        <v>526</v>
      </c>
      <c r="U31" s="1" t="s">
        <v>488</v>
      </c>
      <c r="V31" s="1" t="s">
        <v>525</v>
      </c>
      <c r="W31" s="1" t="s">
        <v>242</v>
      </c>
      <c r="X31" s="1" t="s">
        <v>415</v>
      </c>
      <c r="Y31" s="1" t="s">
        <v>528</v>
      </c>
      <c r="Z31" s="1" t="s">
        <v>552</v>
      </c>
      <c r="AA31" s="1" t="s">
        <v>306</v>
      </c>
      <c r="AB31" s="1" t="s">
        <v>600</v>
      </c>
      <c r="AC31" s="1" t="s">
        <v>601</v>
      </c>
      <c r="AD31" s="1" t="s">
        <v>470</v>
      </c>
      <c r="AE31" s="1" t="s">
        <v>538</v>
      </c>
      <c r="AL31" s="2"/>
      <c r="AN31" s="2" t="s">
        <v>602</v>
      </c>
      <c r="AO31" s="2" t="s">
        <v>603</v>
      </c>
      <c r="AP31" s="2" t="s">
        <v>604</v>
      </c>
      <c r="AU31" s="9" t="s">
        <v>245</v>
      </c>
      <c r="AV31" s="10" t="s">
        <v>415</v>
      </c>
      <c r="AW31" s="9" t="s">
        <v>539</v>
      </c>
      <c r="AX31" s="10" t="s">
        <v>388</v>
      </c>
      <c r="AY31" s="9" t="s">
        <v>480</v>
      </c>
    </row>
    <row r="32" spans="7:55" x14ac:dyDescent="0.5">
      <c r="L32" s="1" t="s">
        <v>525</v>
      </c>
      <c r="M32" s="1" t="s">
        <v>536</v>
      </c>
      <c r="N32" s="1" t="s">
        <v>248</v>
      </c>
      <c r="O32" s="1" t="s">
        <v>599</v>
      </c>
      <c r="P32" s="1" t="s">
        <v>243</v>
      </c>
      <c r="Q32" s="1" t="s">
        <v>396</v>
      </c>
      <c r="S32" s="1" t="s">
        <v>525</v>
      </c>
      <c r="T32" s="1" t="s">
        <v>536</v>
      </c>
      <c r="U32" s="1" t="s">
        <v>248</v>
      </c>
      <c r="V32" s="1" t="s">
        <v>599</v>
      </c>
      <c r="W32" s="1" t="s">
        <v>243</v>
      </c>
      <c r="X32" s="1" t="s">
        <v>396</v>
      </c>
      <c r="Y32" s="1" t="s">
        <v>367</v>
      </c>
      <c r="Z32" s="1" t="s">
        <v>577</v>
      </c>
      <c r="AA32" s="1" t="s">
        <v>605</v>
      </c>
      <c r="AB32" s="1" t="s">
        <v>606</v>
      </c>
      <c r="AC32" s="1" t="s">
        <v>527</v>
      </c>
      <c r="AD32" s="1" t="s">
        <v>575</v>
      </c>
      <c r="AE32" s="1" t="s">
        <v>607</v>
      </c>
      <c r="AL32" s="2"/>
      <c r="AO32" s="2" t="s">
        <v>608</v>
      </c>
      <c r="AP32" s="2" t="s">
        <v>609</v>
      </c>
      <c r="AU32" s="9" t="s">
        <v>502</v>
      </c>
      <c r="AV32" s="10" t="s">
        <v>486</v>
      </c>
      <c r="AW32" s="9" t="s">
        <v>240</v>
      </c>
      <c r="AX32" s="9" t="s">
        <v>560</v>
      </c>
      <c r="AY32" s="9" t="s">
        <v>441</v>
      </c>
    </row>
    <row r="33" spans="12:51" x14ac:dyDescent="0.5">
      <c r="L33" s="1" t="s">
        <v>610</v>
      </c>
      <c r="M33" s="1" t="s">
        <v>610</v>
      </c>
      <c r="N33" s="1" t="s">
        <v>611</v>
      </c>
      <c r="O33" s="1" t="s">
        <v>515</v>
      </c>
      <c r="P33" s="1" t="s">
        <v>244</v>
      </c>
      <c r="Q33" s="1" t="s">
        <v>435</v>
      </c>
      <c r="S33" s="1" t="s">
        <v>610</v>
      </c>
      <c r="T33" s="1" t="s">
        <v>610</v>
      </c>
      <c r="U33" s="1" t="s">
        <v>611</v>
      </c>
      <c r="V33" s="1" t="s">
        <v>515</v>
      </c>
      <c r="W33" s="1" t="s">
        <v>244</v>
      </c>
      <c r="X33" s="1" t="s">
        <v>435</v>
      </c>
      <c r="Y33" s="1" t="s">
        <v>584</v>
      </c>
      <c r="Z33" s="1" t="s">
        <v>612</v>
      </c>
      <c r="AA33" s="1" t="s">
        <v>613</v>
      </c>
      <c r="AB33" s="1" t="s">
        <v>534</v>
      </c>
      <c r="AC33" s="1" t="s">
        <v>545</v>
      </c>
      <c r="AD33" s="1" t="s">
        <v>234</v>
      </c>
      <c r="AE33" s="1" t="s">
        <v>377</v>
      </c>
      <c r="AO33" s="2" t="s">
        <v>614</v>
      </c>
      <c r="AP33" s="2" t="s">
        <v>615</v>
      </c>
      <c r="AU33" s="9" t="s">
        <v>469</v>
      </c>
      <c r="AV33" s="9" t="s">
        <v>376</v>
      </c>
      <c r="AW33" s="10" t="s">
        <v>554</v>
      </c>
      <c r="AX33" s="9" t="s">
        <v>434</v>
      </c>
      <c r="AY33" s="9" t="s">
        <v>470</v>
      </c>
    </row>
    <row r="34" spans="12:51" x14ac:dyDescent="0.5">
      <c r="L34" s="1" t="s">
        <v>599</v>
      </c>
      <c r="M34" s="1" t="s">
        <v>575</v>
      </c>
      <c r="N34" s="1" t="s">
        <v>444</v>
      </c>
      <c r="O34" s="1" t="s">
        <v>557</v>
      </c>
      <c r="P34" s="1" t="s">
        <v>245</v>
      </c>
      <c r="Q34" s="1" t="s">
        <v>510</v>
      </c>
      <c r="S34" s="1" t="s">
        <v>599</v>
      </c>
      <c r="T34" s="1" t="s">
        <v>575</v>
      </c>
      <c r="U34" s="1" t="s">
        <v>444</v>
      </c>
      <c r="V34" s="1" t="s">
        <v>557</v>
      </c>
      <c r="W34" s="1" t="s">
        <v>245</v>
      </c>
      <c r="X34" s="1" t="s">
        <v>510</v>
      </c>
      <c r="Y34" s="1" t="s">
        <v>616</v>
      </c>
      <c r="Z34" s="1" t="s">
        <v>515</v>
      </c>
      <c r="AA34" s="1" t="s">
        <v>617</v>
      </c>
      <c r="AB34" s="1" t="s">
        <v>618</v>
      </c>
      <c r="AC34" s="1" t="s">
        <v>497</v>
      </c>
      <c r="AE34" s="1" t="s">
        <v>619</v>
      </c>
      <c r="AO34" s="2" t="s">
        <v>620</v>
      </c>
      <c r="AP34" s="2" t="s">
        <v>621</v>
      </c>
      <c r="AU34" s="9" t="s">
        <v>571</v>
      </c>
      <c r="AV34" s="9" t="s">
        <v>463</v>
      </c>
      <c r="AW34" s="8" t="s">
        <v>505</v>
      </c>
      <c r="AX34" s="9" t="s">
        <v>619</v>
      </c>
      <c r="AY34" s="9" t="s">
        <v>551</v>
      </c>
    </row>
    <row r="35" spans="12:51" x14ac:dyDescent="0.5">
      <c r="L35" s="1" t="s">
        <v>418</v>
      </c>
      <c r="M35" s="1" t="s">
        <v>622</v>
      </c>
      <c r="N35" s="1" t="s">
        <v>623</v>
      </c>
      <c r="O35" s="1" t="s">
        <v>620</v>
      </c>
      <c r="P35" s="1" t="s">
        <v>481</v>
      </c>
      <c r="Q35" s="1" t="s">
        <v>568</v>
      </c>
      <c r="S35" s="1" t="s">
        <v>418</v>
      </c>
      <c r="T35" s="1" t="s">
        <v>622</v>
      </c>
      <c r="U35" s="1" t="s">
        <v>623</v>
      </c>
      <c r="V35" s="1" t="s">
        <v>620</v>
      </c>
      <c r="W35" s="1" t="s">
        <v>481</v>
      </c>
      <c r="X35" s="1" t="s">
        <v>568</v>
      </c>
      <c r="Y35" s="1" t="s">
        <v>624</v>
      </c>
      <c r="Z35" s="1" t="s">
        <v>625</v>
      </c>
      <c r="AA35" s="1" t="s">
        <v>626</v>
      </c>
      <c r="AB35" s="1" t="s">
        <v>627</v>
      </c>
      <c r="AC35" s="1" t="s">
        <v>602</v>
      </c>
      <c r="AE35" s="1" t="s">
        <v>628</v>
      </c>
      <c r="AO35" s="2" t="s">
        <v>472</v>
      </c>
      <c r="AP35" s="2" t="s">
        <v>503</v>
      </c>
      <c r="AU35" s="9" t="s">
        <v>481</v>
      </c>
      <c r="AV35" s="10" t="s">
        <v>480</v>
      </c>
      <c r="AW35" s="7" t="s">
        <v>502</v>
      </c>
      <c r="AX35" s="10" t="s">
        <v>528</v>
      </c>
      <c r="AY35" s="9" t="s">
        <v>435</v>
      </c>
    </row>
    <row r="36" spans="12:51" x14ac:dyDescent="0.5">
      <c r="L36" s="1" t="s">
        <v>515</v>
      </c>
      <c r="M36" s="1" t="s">
        <v>330</v>
      </c>
      <c r="N36" s="1" t="s">
        <v>558</v>
      </c>
      <c r="O36" s="1" t="s">
        <v>629</v>
      </c>
      <c r="P36" s="1" t="s">
        <v>625</v>
      </c>
      <c r="Q36" s="1" t="s">
        <v>239</v>
      </c>
      <c r="S36" s="1" t="s">
        <v>515</v>
      </c>
      <c r="T36" s="1" t="s">
        <v>330</v>
      </c>
      <c r="U36" s="1" t="s">
        <v>558</v>
      </c>
      <c r="V36" s="1" t="s">
        <v>629</v>
      </c>
      <c r="W36" s="1" t="s">
        <v>625</v>
      </c>
      <c r="X36" s="1" t="s">
        <v>239</v>
      </c>
      <c r="Y36" s="1" t="s">
        <v>568</v>
      </c>
      <c r="Z36" s="1" t="s">
        <v>630</v>
      </c>
      <c r="AA36" s="1" t="s">
        <v>611</v>
      </c>
      <c r="AB36" s="1" t="s">
        <v>333</v>
      </c>
      <c r="AC36" s="1" t="s">
        <v>372</v>
      </c>
      <c r="AE36" s="1" t="s">
        <v>570</v>
      </c>
      <c r="AP36" s="2" t="s">
        <v>511</v>
      </c>
      <c r="AU36" s="9" t="s">
        <v>494</v>
      </c>
      <c r="AV36" s="9" t="s">
        <v>441</v>
      </c>
      <c r="AW36" s="9" t="s">
        <v>469</v>
      </c>
      <c r="AX36" s="10" t="s">
        <v>579</v>
      </c>
      <c r="AY36" s="9" t="s">
        <v>568</v>
      </c>
    </row>
    <row r="37" spans="12:51" x14ac:dyDescent="0.5">
      <c r="L37" s="1" t="s">
        <v>631</v>
      </c>
      <c r="M37" s="1" t="s">
        <v>577</v>
      </c>
      <c r="N37" s="1" t="s">
        <v>632</v>
      </c>
      <c r="P37" s="1" t="s">
        <v>85</v>
      </c>
      <c r="Q37" s="1" t="s">
        <v>432</v>
      </c>
      <c r="S37" s="1" t="s">
        <v>631</v>
      </c>
      <c r="T37" s="1" t="s">
        <v>577</v>
      </c>
      <c r="U37" s="1" t="s">
        <v>632</v>
      </c>
      <c r="W37" s="1" t="s">
        <v>85</v>
      </c>
      <c r="X37" s="1" t="s">
        <v>432</v>
      </c>
      <c r="Y37" s="1" t="s">
        <v>632</v>
      </c>
      <c r="Z37" s="1" t="s">
        <v>429</v>
      </c>
      <c r="AA37" s="1" t="s">
        <v>238</v>
      </c>
      <c r="AB37" s="1" t="s">
        <v>455</v>
      </c>
      <c r="AC37" s="1" t="s">
        <v>394</v>
      </c>
      <c r="AE37" s="1" t="s">
        <v>369</v>
      </c>
      <c r="AP37" s="2" t="s">
        <v>633</v>
      </c>
      <c r="AU37" s="9" t="s">
        <v>85</v>
      </c>
      <c r="AV37" s="9" t="s">
        <v>63</v>
      </c>
      <c r="AW37" s="10" t="s">
        <v>571</v>
      </c>
      <c r="AX37" s="10" t="s">
        <v>447</v>
      </c>
      <c r="AY37" s="9" t="s">
        <v>432</v>
      </c>
    </row>
    <row r="38" spans="12:51" x14ac:dyDescent="0.5">
      <c r="L38" s="1" t="s">
        <v>612</v>
      </c>
      <c r="M38" s="1" t="s">
        <v>556</v>
      </c>
      <c r="N38" s="1" t="s">
        <v>557</v>
      </c>
      <c r="P38" s="1" t="s">
        <v>634</v>
      </c>
      <c r="Q38" s="1" t="s">
        <v>240</v>
      </c>
      <c r="S38" s="1" t="s">
        <v>612</v>
      </c>
      <c r="T38" s="1" t="s">
        <v>556</v>
      </c>
      <c r="U38" s="1" t="s">
        <v>557</v>
      </c>
      <c r="W38" s="1" t="s">
        <v>634</v>
      </c>
      <c r="X38" s="1" t="s">
        <v>240</v>
      </c>
      <c r="Y38" s="1" t="s">
        <v>635</v>
      </c>
      <c r="Z38" s="1" t="s">
        <v>572</v>
      </c>
      <c r="AA38" s="1" t="s">
        <v>636</v>
      </c>
      <c r="AB38" s="1" t="s">
        <v>344</v>
      </c>
      <c r="AC38" s="1" t="s">
        <v>470</v>
      </c>
      <c r="AE38" s="1" t="s">
        <v>576</v>
      </c>
      <c r="AP38" s="2" t="s">
        <v>637</v>
      </c>
      <c r="AU38" s="9" t="s">
        <v>572</v>
      </c>
      <c r="AV38" s="7" t="s">
        <v>470</v>
      </c>
      <c r="AW38" s="7" t="s">
        <v>85</v>
      </c>
      <c r="AX38" s="10" t="s">
        <v>491</v>
      </c>
      <c r="AY38" s="9" t="s">
        <v>377</v>
      </c>
    </row>
    <row r="39" spans="12:51" x14ac:dyDescent="0.5">
      <c r="L39" s="1" t="s">
        <v>557</v>
      </c>
      <c r="M39" s="1" t="s">
        <v>620</v>
      </c>
      <c r="N39" s="1" t="s">
        <v>622</v>
      </c>
      <c r="P39" s="1" t="s">
        <v>638</v>
      </c>
      <c r="Q39" s="1" t="s">
        <v>240</v>
      </c>
      <c r="S39" s="1" t="s">
        <v>557</v>
      </c>
      <c r="T39" s="1" t="s">
        <v>620</v>
      </c>
      <c r="U39" s="1" t="s">
        <v>622</v>
      </c>
      <c r="W39" s="1" t="s">
        <v>638</v>
      </c>
      <c r="X39" s="1" t="s">
        <v>240</v>
      </c>
      <c r="Y39" s="1" t="s">
        <v>639</v>
      </c>
      <c r="Z39" s="1" t="s">
        <v>296</v>
      </c>
      <c r="AA39" s="1" t="s">
        <v>444</v>
      </c>
      <c r="AB39" s="1" t="s">
        <v>596</v>
      </c>
      <c r="AC39" s="1" t="s">
        <v>474</v>
      </c>
      <c r="AP39" s="2" t="s">
        <v>492</v>
      </c>
      <c r="AU39" s="9" t="s">
        <v>391</v>
      </c>
      <c r="AV39" s="8" t="s">
        <v>482</v>
      </c>
      <c r="AW39" s="10" t="s">
        <v>559</v>
      </c>
      <c r="AX39" s="10" t="s">
        <v>426</v>
      </c>
      <c r="AY39" s="9" t="s">
        <v>586</v>
      </c>
    </row>
    <row r="40" spans="12:51" x14ac:dyDescent="0.5">
      <c r="L40" s="1" t="s">
        <v>575</v>
      </c>
      <c r="M40" s="1" t="s">
        <v>446</v>
      </c>
      <c r="N40" s="1" t="s">
        <v>253</v>
      </c>
      <c r="P40" s="1" t="s">
        <v>639</v>
      </c>
      <c r="Q40" s="1" t="s">
        <v>640</v>
      </c>
      <c r="S40" s="1" t="s">
        <v>575</v>
      </c>
      <c r="T40" s="1" t="s">
        <v>446</v>
      </c>
      <c r="U40" s="1" t="s">
        <v>253</v>
      </c>
      <c r="W40" s="1" t="s">
        <v>639</v>
      </c>
      <c r="X40" s="1" t="s">
        <v>640</v>
      </c>
      <c r="Y40" s="1" t="s">
        <v>352</v>
      </c>
      <c r="Z40" s="1" t="s">
        <v>641</v>
      </c>
      <c r="AA40" s="1" t="s">
        <v>455</v>
      </c>
      <c r="AB40" s="1" t="s">
        <v>642</v>
      </c>
      <c r="AC40" s="1" t="s">
        <v>333</v>
      </c>
      <c r="AP40" s="2" t="s">
        <v>643</v>
      </c>
      <c r="AU40" s="9" t="s">
        <v>504</v>
      </c>
      <c r="AV40" s="10" t="s">
        <v>347</v>
      </c>
      <c r="AW40" s="9" t="s">
        <v>468</v>
      </c>
      <c r="AX40" s="10" t="s">
        <v>514</v>
      </c>
      <c r="AY40" s="9" t="s">
        <v>305</v>
      </c>
    </row>
    <row r="41" spans="12:51" x14ac:dyDescent="0.5">
      <c r="L41" s="1" t="s">
        <v>430</v>
      </c>
      <c r="M41" s="1" t="s">
        <v>256</v>
      </c>
      <c r="N41" s="1" t="s">
        <v>594</v>
      </c>
      <c r="P41" s="1" t="s">
        <v>488</v>
      </c>
      <c r="Q41" s="1" t="s">
        <v>644</v>
      </c>
      <c r="S41" s="1" t="s">
        <v>430</v>
      </c>
      <c r="T41" s="1" t="s">
        <v>256</v>
      </c>
      <c r="U41" s="1" t="s">
        <v>594</v>
      </c>
      <c r="W41" s="1" t="s">
        <v>488</v>
      </c>
      <c r="X41" s="1" t="s">
        <v>644</v>
      </c>
      <c r="Y41" s="1" t="s">
        <v>645</v>
      </c>
      <c r="AA41" s="1" t="s">
        <v>577</v>
      </c>
      <c r="AB41" s="1" t="s">
        <v>525</v>
      </c>
      <c r="AP41" s="2" t="s">
        <v>646</v>
      </c>
      <c r="AU41" s="9" t="s">
        <v>526</v>
      </c>
      <c r="AV41" s="9" t="s">
        <v>473</v>
      </c>
      <c r="AW41" s="10" t="s">
        <v>488</v>
      </c>
      <c r="AX41" s="9" t="s">
        <v>545</v>
      </c>
      <c r="AY41" s="9" t="s">
        <v>242</v>
      </c>
    </row>
    <row r="42" spans="12:51" x14ac:dyDescent="0.5">
      <c r="L42" s="1" t="s">
        <v>577</v>
      </c>
      <c r="M42" s="1" t="s">
        <v>403</v>
      </c>
      <c r="N42" s="1" t="s">
        <v>602</v>
      </c>
      <c r="P42" s="1" t="s">
        <v>384</v>
      </c>
      <c r="Q42" s="1" t="s">
        <v>621</v>
      </c>
      <c r="S42" s="1" t="s">
        <v>577</v>
      </c>
      <c r="T42" s="1" t="s">
        <v>403</v>
      </c>
      <c r="U42" s="1" t="s">
        <v>602</v>
      </c>
      <c r="W42" s="1" t="s">
        <v>384</v>
      </c>
      <c r="X42" s="1" t="s">
        <v>621</v>
      </c>
      <c r="Y42" s="1" t="s">
        <v>233</v>
      </c>
      <c r="AA42" s="1" t="s">
        <v>647</v>
      </c>
      <c r="AB42" s="1" t="s">
        <v>582</v>
      </c>
      <c r="AP42" s="2" t="s">
        <v>599</v>
      </c>
      <c r="AU42" s="9" t="s">
        <v>527</v>
      </c>
      <c r="AV42" s="7" t="s">
        <v>435</v>
      </c>
      <c r="AW42" s="9" t="s">
        <v>248</v>
      </c>
      <c r="AX42" s="10" t="s">
        <v>420</v>
      </c>
      <c r="AY42" s="9" t="s">
        <v>502</v>
      </c>
    </row>
    <row r="43" spans="12:51" x14ac:dyDescent="0.5">
      <c r="L43" s="1" t="s">
        <v>648</v>
      </c>
      <c r="N43" s="1" t="s">
        <v>478</v>
      </c>
      <c r="P43" s="1" t="s">
        <v>346</v>
      </c>
      <c r="Q43" s="1" t="s">
        <v>503</v>
      </c>
      <c r="S43" s="1" t="s">
        <v>648</v>
      </c>
      <c r="U43" s="1" t="s">
        <v>478</v>
      </c>
      <c r="W43" s="1" t="s">
        <v>346</v>
      </c>
      <c r="X43" s="1" t="s">
        <v>503</v>
      </c>
      <c r="Y43" s="1" t="s">
        <v>300</v>
      </c>
      <c r="AA43" s="1" t="s">
        <v>649</v>
      </c>
      <c r="AB43" s="1" t="s">
        <v>650</v>
      </c>
      <c r="AP43" s="2" t="s">
        <v>651</v>
      </c>
      <c r="AU43" s="9" t="s">
        <v>547</v>
      </c>
      <c r="AV43" s="9" t="s">
        <v>498</v>
      </c>
      <c r="AW43" s="10" t="s">
        <v>611</v>
      </c>
      <c r="AX43" s="10" t="s">
        <v>236</v>
      </c>
      <c r="AY43" s="9" t="s">
        <v>503</v>
      </c>
    </row>
    <row r="44" spans="12:51" x14ac:dyDescent="0.5">
      <c r="L44" s="1" t="s">
        <v>556</v>
      </c>
      <c r="P44" s="1" t="s">
        <v>578</v>
      </c>
      <c r="Q44" s="1" t="s">
        <v>652</v>
      </c>
      <c r="S44" s="1" t="s">
        <v>556</v>
      </c>
      <c r="W44" s="1" t="s">
        <v>578</v>
      </c>
      <c r="X44" s="1" t="s">
        <v>652</v>
      </c>
      <c r="Y44" s="1" t="s">
        <v>552</v>
      </c>
      <c r="AA44" s="1" t="s">
        <v>653</v>
      </c>
      <c r="AB44" s="1" t="s">
        <v>515</v>
      </c>
      <c r="AP44" s="2" t="s">
        <v>556</v>
      </c>
      <c r="AU44" s="9" t="s">
        <v>525</v>
      </c>
      <c r="AV44" s="10" t="s">
        <v>431</v>
      </c>
      <c r="AW44" s="9" t="s">
        <v>444</v>
      </c>
      <c r="AX44" s="10" t="s">
        <v>440</v>
      </c>
      <c r="AY44" s="9" t="s">
        <v>306</v>
      </c>
    </row>
    <row r="45" spans="12:51" x14ac:dyDescent="0.5">
      <c r="L45" s="1" t="s">
        <v>654</v>
      </c>
      <c r="P45" s="1" t="s">
        <v>588</v>
      </c>
      <c r="Q45" s="1" t="s">
        <v>652</v>
      </c>
      <c r="S45" s="1" t="s">
        <v>654</v>
      </c>
      <c r="W45" s="1" t="s">
        <v>588</v>
      </c>
      <c r="X45" s="1" t="s">
        <v>652</v>
      </c>
      <c r="Y45" s="1" t="s">
        <v>235</v>
      </c>
      <c r="AA45" s="1" t="s">
        <v>655</v>
      </c>
      <c r="AB45" s="1" t="s">
        <v>552</v>
      </c>
      <c r="AP45" s="2" t="s">
        <v>518</v>
      </c>
      <c r="AU45" s="9" t="s">
        <v>610</v>
      </c>
      <c r="AV45" s="8" t="s">
        <v>417</v>
      </c>
      <c r="AW45" s="10" t="s">
        <v>623</v>
      </c>
      <c r="AX45" s="9" t="s">
        <v>415</v>
      </c>
      <c r="AY45" s="9" t="s">
        <v>331</v>
      </c>
    </row>
    <row r="46" spans="12:51" x14ac:dyDescent="0.5">
      <c r="P46" s="1" t="s">
        <v>455</v>
      </c>
      <c r="Q46" s="1" t="s">
        <v>511</v>
      </c>
      <c r="W46" s="1" t="s">
        <v>455</v>
      </c>
      <c r="X46" s="1" t="s">
        <v>511</v>
      </c>
      <c r="Y46" s="1" t="s">
        <v>656</v>
      </c>
      <c r="AA46" s="1" t="s">
        <v>418</v>
      </c>
      <c r="AB46" s="1" t="s">
        <v>63</v>
      </c>
      <c r="AP46" s="2" t="s">
        <v>478</v>
      </c>
      <c r="AU46" s="9" t="s">
        <v>557</v>
      </c>
      <c r="AV46" s="7" t="s">
        <v>517</v>
      </c>
      <c r="AW46" s="7" t="s">
        <v>250</v>
      </c>
      <c r="AX46" s="9" t="s">
        <v>480</v>
      </c>
      <c r="AY46" s="9" t="s">
        <v>249</v>
      </c>
    </row>
    <row r="47" spans="12:51" x14ac:dyDescent="0.5">
      <c r="P47" s="1" t="s">
        <v>444</v>
      </c>
      <c r="Q47" s="1" t="s">
        <v>346</v>
      </c>
      <c r="W47" s="1" t="s">
        <v>444</v>
      </c>
      <c r="X47" s="1" t="s">
        <v>346</v>
      </c>
      <c r="Y47" s="1" t="s">
        <v>657</v>
      </c>
      <c r="AA47" s="1" t="s">
        <v>245</v>
      </c>
      <c r="AB47" s="1" t="s">
        <v>658</v>
      </c>
      <c r="AP47" s="2"/>
      <c r="AU47" s="9" t="s">
        <v>575</v>
      </c>
      <c r="AV47" s="9" t="s">
        <v>423</v>
      </c>
      <c r="AW47" s="9" t="s">
        <v>558</v>
      </c>
      <c r="AX47" s="10" t="s">
        <v>441</v>
      </c>
      <c r="AY47" s="9" t="s">
        <v>492</v>
      </c>
    </row>
    <row r="48" spans="12:51" x14ac:dyDescent="0.5">
      <c r="P48" s="1" t="s">
        <v>444</v>
      </c>
      <c r="Q48" s="1" t="s">
        <v>578</v>
      </c>
      <c r="W48" s="1" t="s">
        <v>444</v>
      </c>
      <c r="X48" s="1" t="s">
        <v>578</v>
      </c>
      <c r="Y48" s="1" t="s">
        <v>659</v>
      </c>
      <c r="AA48" s="1" t="s">
        <v>523</v>
      </c>
      <c r="AB48" s="1" t="s">
        <v>258</v>
      </c>
      <c r="AU48" s="9" t="s">
        <v>622</v>
      </c>
      <c r="AV48" s="8" t="s">
        <v>239</v>
      </c>
      <c r="AW48" s="10" t="s">
        <v>632</v>
      </c>
      <c r="AX48" s="9" t="s">
        <v>470</v>
      </c>
      <c r="AY48" s="9" t="s">
        <v>525</v>
      </c>
    </row>
    <row r="49" spans="16:51" x14ac:dyDescent="0.5">
      <c r="P49" s="1" t="s">
        <v>660</v>
      </c>
      <c r="Q49" s="1" t="s">
        <v>661</v>
      </c>
      <c r="W49" s="1" t="s">
        <v>660</v>
      </c>
      <c r="X49" s="1" t="s">
        <v>661</v>
      </c>
      <c r="Y49" s="1" t="s">
        <v>350</v>
      </c>
      <c r="AA49" s="1" t="s">
        <v>545</v>
      </c>
      <c r="AB49" s="1" t="s">
        <v>257</v>
      </c>
      <c r="AU49" s="9" t="s">
        <v>330</v>
      </c>
      <c r="AV49" s="10" t="s">
        <v>432</v>
      </c>
      <c r="AW49" s="9" t="s">
        <v>557</v>
      </c>
      <c r="AX49" s="10" t="s">
        <v>551</v>
      </c>
      <c r="AY49" s="9" t="s">
        <v>351</v>
      </c>
    </row>
    <row r="50" spans="16:51" x14ac:dyDescent="0.5">
      <c r="P50" s="1" t="s">
        <v>250</v>
      </c>
      <c r="Q50" s="1" t="s">
        <v>547</v>
      </c>
      <c r="W50" s="1" t="s">
        <v>250</v>
      </c>
      <c r="X50" s="1" t="s">
        <v>547</v>
      </c>
      <c r="Y50" s="1" t="s">
        <v>474</v>
      </c>
      <c r="AA50" s="1" t="s">
        <v>334</v>
      </c>
      <c r="AB50" s="1" t="s">
        <v>577</v>
      </c>
      <c r="AU50" s="9" t="s">
        <v>577</v>
      </c>
      <c r="AV50" s="9" t="s">
        <v>539</v>
      </c>
      <c r="AW50" s="10" t="s">
        <v>622</v>
      </c>
      <c r="AX50" s="10" t="s">
        <v>435</v>
      </c>
      <c r="AY50" s="9" t="s">
        <v>407</v>
      </c>
    </row>
    <row r="51" spans="16:51" x14ac:dyDescent="0.5">
      <c r="P51" s="1" t="s">
        <v>662</v>
      </c>
      <c r="Q51" s="1" t="s">
        <v>663</v>
      </c>
      <c r="W51" s="1" t="s">
        <v>662</v>
      </c>
      <c r="X51" s="1" t="s">
        <v>663</v>
      </c>
      <c r="Y51" s="1" t="s">
        <v>664</v>
      </c>
      <c r="AA51" s="1" t="s">
        <v>551</v>
      </c>
      <c r="AB51" s="1" t="s">
        <v>599</v>
      </c>
      <c r="AU51" s="9" t="s">
        <v>556</v>
      </c>
      <c r="AV51" s="9" t="s">
        <v>240</v>
      </c>
      <c r="AW51" s="9" t="s">
        <v>253</v>
      </c>
      <c r="AX51" s="10" t="s">
        <v>510</v>
      </c>
      <c r="AY51" s="9" t="s">
        <v>607</v>
      </c>
    </row>
    <row r="52" spans="16:51" x14ac:dyDescent="0.5">
      <c r="P52" s="1" t="s">
        <v>630</v>
      </c>
      <c r="Q52" s="1" t="s">
        <v>651</v>
      </c>
      <c r="W52" s="1" t="s">
        <v>630</v>
      </c>
      <c r="X52" s="1" t="s">
        <v>651</v>
      </c>
      <c r="Y52" s="1" t="s">
        <v>599</v>
      </c>
      <c r="AA52" s="1" t="s">
        <v>85</v>
      </c>
      <c r="AB52" s="1" t="s">
        <v>665</v>
      </c>
      <c r="AU52" s="9" t="s">
        <v>620</v>
      </c>
      <c r="AV52" s="7" t="s">
        <v>497</v>
      </c>
      <c r="AW52" s="8" t="s">
        <v>330</v>
      </c>
      <c r="AX52" s="9" t="s">
        <v>457</v>
      </c>
      <c r="AY52" s="9" t="s">
        <v>628</v>
      </c>
    </row>
    <row r="53" spans="16:51" x14ac:dyDescent="0.5">
      <c r="P53" s="1" t="s">
        <v>547</v>
      </c>
      <c r="Q53" s="1" t="s">
        <v>549</v>
      </c>
      <c r="W53" s="1" t="s">
        <v>547</v>
      </c>
      <c r="X53" s="1" t="s">
        <v>549</v>
      </c>
      <c r="AA53" s="1" t="s">
        <v>666</v>
      </c>
      <c r="AB53" s="1" t="s">
        <v>667</v>
      </c>
      <c r="AU53" s="9" t="s">
        <v>446</v>
      </c>
      <c r="AV53" s="9" t="s">
        <v>554</v>
      </c>
      <c r="AW53" s="7" t="s">
        <v>556</v>
      </c>
      <c r="AX53" s="10" t="s">
        <v>568</v>
      </c>
      <c r="AY53" s="9" t="s">
        <v>515</v>
      </c>
    </row>
    <row r="54" spans="16:51" x14ac:dyDescent="0.5">
      <c r="P54" s="1" t="s">
        <v>564</v>
      </c>
      <c r="Q54" s="1" t="s">
        <v>253</v>
      </c>
      <c r="W54" s="1" t="s">
        <v>564</v>
      </c>
      <c r="X54" s="1" t="s">
        <v>253</v>
      </c>
      <c r="AA54" s="1" t="s">
        <v>668</v>
      </c>
      <c r="AB54" s="1" t="s">
        <v>253</v>
      </c>
      <c r="AU54" s="9" t="s">
        <v>256</v>
      </c>
      <c r="AV54" s="9" t="s">
        <v>469</v>
      </c>
      <c r="AW54" s="8" t="s">
        <v>587</v>
      </c>
      <c r="AX54" s="9" t="s">
        <v>432</v>
      </c>
      <c r="AY54" s="9" t="s">
        <v>557</v>
      </c>
    </row>
    <row r="55" spans="16:51" x14ac:dyDescent="0.5">
      <c r="P55" s="1" t="s">
        <v>252</v>
      </c>
      <c r="Q55" s="1" t="s">
        <v>522</v>
      </c>
      <c r="W55" s="1" t="s">
        <v>252</v>
      </c>
      <c r="X55" s="1" t="s">
        <v>522</v>
      </c>
      <c r="AA55" s="1" t="s">
        <v>558</v>
      </c>
      <c r="AB55" s="1" t="s">
        <v>669</v>
      </c>
      <c r="AU55" s="9" t="s">
        <v>403</v>
      </c>
      <c r="AV55" s="10" t="s">
        <v>571</v>
      </c>
      <c r="AW55" s="10" t="s">
        <v>594</v>
      </c>
      <c r="AX55" s="10" t="s">
        <v>377</v>
      </c>
      <c r="AY55" s="9" t="s">
        <v>330</v>
      </c>
    </row>
    <row r="56" spans="16:51" x14ac:dyDescent="0.5">
      <c r="P56" s="1" t="s">
        <v>407</v>
      </c>
      <c r="Q56" s="1" t="s">
        <v>577</v>
      </c>
      <c r="W56" s="1" t="s">
        <v>407</v>
      </c>
      <c r="X56" s="1" t="s">
        <v>577</v>
      </c>
      <c r="AA56" s="1" t="s">
        <v>670</v>
      </c>
      <c r="AB56" s="1" t="s">
        <v>602</v>
      </c>
      <c r="AU56" s="11"/>
      <c r="AV56" s="8" t="s">
        <v>481</v>
      </c>
      <c r="AW56" s="8" t="s">
        <v>585</v>
      </c>
      <c r="AX56" s="9" t="s">
        <v>586</v>
      </c>
      <c r="AY56" s="9" t="s">
        <v>556</v>
      </c>
    </row>
    <row r="57" spans="16:51" x14ac:dyDescent="0.5">
      <c r="P57" s="1" t="s">
        <v>671</v>
      </c>
      <c r="Q57" s="1" t="s">
        <v>556</v>
      </c>
      <c r="W57" s="1" t="s">
        <v>671</v>
      </c>
      <c r="X57" s="1" t="s">
        <v>556</v>
      </c>
      <c r="AA57" s="1" t="s">
        <v>519</v>
      </c>
      <c r="AB57" s="1" t="s">
        <v>431</v>
      </c>
      <c r="AV57" s="10" t="s">
        <v>552</v>
      </c>
      <c r="AW57" s="9" t="s">
        <v>602</v>
      </c>
      <c r="AX57" s="9" t="s">
        <v>305</v>
      </c>
      <c r="AY57" s="9" t="s">
        <v>501</v>
      </c>
    </row>
    <row r="58" spans="16:51" x14ac:dyDescent="0.5">
      <c r="P58" s="1" t="s">
        <v>253</v>
      </c>
      <c r="Q58" s="1" t="s">
        <v>254</v>
      </c>
      <c r="W58" s="1" t="s">
        <v>253</v>
      </c>
      <c r="X58" s="1" t="s">
        <v>254</v>
      </c>
      <c r="AA58" s="1" t="s">
        <v>672</v>
      </c>
      <c r="AB58" s="1" t="s">
        <v>673</v>
      </c>
      <c r="AV58" s="9" t="s">
        <v>85</v>
      </c>
      <c r="AW58" s="7"/>
      <c r="AX58" s="9" t="s">
        <v>380</v>
      </c>
      <c r="AY58" s="9" t="s">
        <v>585</v>
      </c>
    </row>
    <row r="59" spans="16:51" x14ac:dyDescent="0.5">
      <c r="P59" s="1" t="s">
        <v>522</v>
      </c>
      <c r="Q59" s="1" t="s">
        <v>674</v>
      </c>
      <c r="W59" s="1" t="s">
        <v>522</v>
      </c>
      <c r="X59" s="1" t="s">
        <v>674</v>
      </c>
      <c r="AA59" s="1" t="s">
        <v>675</v>
      </c>
      <c r="AB59" s="1" t="s">
        <v>676</v>
      </c>
      <c r="AU59" s="2"/>
      <c r="AV59" s="9" t="s">
        <v>572</v>
      </c>
      <c r="AW59" s="7"/>
      <c r="AX59" s="9" t="s">
        <v>242</v>
      </c>
      <c r="AY59" s="9" t="s">
        <v>478</v>
      </c>
    </row>
    <row r="60" spans="16:51" x14ac:dyDescent="0.5">
      <c r="P60" s="1" t="s">
        <v>664</v>
      </c>
      <c r="Q60" s="1" t="s">
        <v>448</v>
      </c>
      <c r="W60" s="1" t="s">
        <v>664</v>
      </c>
      <c r="X60" s="1" t="s">
        <v>448</v>
      </c>
      <c r="AA60" s="1" t="s">
        <v>677</v>
      </c>
      <c r="AB60" s="1" t="s">
        <v>678</v>
      </c>
      <c r="AV60" s="10" t="s">
        <v>559</v>
      </c>
      <c r="AW60" s="7"/>
      <c r="AX60" s="9" t="s">
        <v>502</v>
      </c>
      <c r="AY60" s="9"/>
    </row>
    <row r="61" spans="16:51" x14ac:dyDescent="0.5">
      <c r="P61" s="1" t="s">
        <v>472</v>
      </c>
      <c r="Q61" s="1" t="s">
        <v>421</v>
      </c>
      <c r="W61" s="1" t="s">
        <v>472</v>
      </c>
      <c r="X61" s="1" t="s">
        <v>421</v>
      </c>
      <c r="AA61" s="1" t="s">
        <v>305</v>
      </c>
      <c r="AB61" s="1" t="s">
        <v>679</v>
      </c>
      <c r="AV61" s="9" t="s">
        <v>468</v>
      </c>
      <c r="AW61" s="7"/>
      <c r="AX61" s="9" t="s">
        <v>503</v>
      </c>
      <c r="AY61" s="9"/>
    </row>
    <row r="62" spans="16:51" x14ac:dyDescent="0.5">
      <c r="P62" s="1" t="s">
        <v>629</v>
      </c>
      <c r="Q62" s="1" t="s">
        <v>585</v>
      </c>
      <c r="W62" s="1" t="s">
        <v>629</v>
      </c>
      <c r="X62" s="1" t="s">
        <v>585</v>
      </c>
      <c r="AA62" s="1" t="s">
        <v>252</v>
      </c>
      <c r="AB62" s="1" t="s">
        <v>680</v>
      </c>
      <c r="AV62" s="10" t="s">
        <v>488</v>
      </c>
      <c r="AW62" s="7"/>
      <c r="AX62" s="9" t="s">
        <v>306</v>
      </c>
      <c r="AY62" s="9"/>
    </row>
    <row r="63" spans="16:51" x14ac:dyDescent="0.5">
      <c r="P63" s="1" t="s">
        <v>483</v>
      </c>
      <c r="Q63" s="1" t="s">
        <v>257</v>
      </c>
      <c r="W63" s="1" t="s">
        <v>483</v>
      </c>
      <c r="X63" s="1" t="s">
        <v>257</v>
      </c>
      <c r="AA63" s="1" t="s">
        <v>681</v>
      </c>
      <c r="AU63" s="2"/>
      <c r="AV63" s="10" t="s">
        <v>511</v>
      </c>
      <c r="AW63" s="7"/>
      <c r="AX63" s="10" t="s">
        <v>331</v>
      </c>
      <c r="AY63" s="9"/>
    </row>
    <row r="64" spans="16:51" x14ac:dyDescent="0.5">
      <c r="P64" s="1" t="s">
        <v>90</v>
      </c>
      <c r="Q64" s="1" t="s">
        <v>478</v>
      </c>
      <c r="X64" s="1" t="s">
        <v>478</v>
      </c>
      <c r="AA64" s="1" t="s">
        <v>610</v>
      </c>
      <c r="AV64" s="9" t="s">
        <v>248</v>
      </c>
      <c r="AW64" s="7"/>
      <c r="AX64" s="9" t="s">
        <v>249</v>
      </c>
      <c r="AY64" s="9"/>
    </row>
    <row r="65" spans="17:51" x14ac:dyDescent="0.5">
      <c r="Q65" s="1" t="s">
        <v>258</v>
      </c>
      <c r="X65" s="1" t="s">
        <v>258</v>
      </c>
      <c r="AA65" s="1" t="s">
        <v>656</v>
      </c>
      <c r="AV65" s="7" t="s">
        <v>569</v>
      </c>
      <c r="AW65" s="7"/>
      <c r="AX65" s="10" t="s">
        <v>492</v>
      </c>
      <c r="AY65" s="9"/>
    </row>
    <row r="66" spans="17:51" x14ac:dyDescent="0.5">
      <c r="Q66" s="1" t="s">
        <v>682</v>
      </c>
      <c r="X66" s="1" t="s">
        <v>682</v>
      </c>
      <c r="AA66" s="1" t="s">
        <v>683</v>
      </c>
      <c r="AV66" s="8" t="s">
        <v>527</v>
      </c>
      <c r="AW66" s="7"/>
      <c r="AX66" s="9" t="s">
        <v>525</v>
      </c>
      <c r="AY66" s="9"/>
    </row>
    <row r="67" spans="17:51" x14ac:dyDescent="0.5">
      <c r="AA67" s="1" t="s">
        <v>684</v>
      </c>
      <c r="AV67" s="10" t="s">
        <v>611</v>
      </c>
      <c r="AW67" s="7"/>
      <c r="AX67" s="9" t="s">
        <v>544</v>
      </c>
      <c r="AY67" s="9"/>
    </row>
    <row r="68" spans="17:51" x14ac:dyDescent="0.5">
      <c r="AA68" s="1" t="s">
        <v>605</v>
      </c>
      <c r="AV68" s="7" t="s">
        <v>455</v>
      </c>
      <c r="AW68" s="7"/>
      <c r="AX68" s="9" t="s">
        <v>351</v>
      </c>
      <c r="AY68" s="9"/>
    </row>
    <row r="69" spans="17:51" x14ac:dyDescent="0.5">
      <c r="AV69" s="9" t="s">
        <v>444</v>
      </c>
      <c r="AW69" s="7"/>
      <c r="AX69" s="9" t="s">
        <v>407</v>
      </c>
      <c r="AY69" s="9"/>
    </row>
    <row r="70" spans="17:51" x14ac:dyDescent="0.5">
      <c r="AV70" s="10" t="s">
        <v>623</v>
      </c>
      <c r="AW70" s="12"/>
      <c r="AX70" s="9" t="s">
        <v>607</v>
      </c>
      <c r="AY70" s="9"/>
    </row>
    <row r="71" spans="17:51" x14ac:dyDescent="0.5">
      <c r="AV71" s="9" t="s">
        <v>250</v>
      </c>
      <c r="AX71" s="9" t="s">
        <v>433</v>
      </c>
      <c r="AY71" s="9"/>
    </row>
    <row r="72" spans="17:51" x14ac:dyDescent="0.5">
      <c r="AV72" s="9" t="s">
        <v>558</v>
      </c>
      <c r="AX72" s="10" t="s">
        <v>628</v>
      </c>
      <c r="AY72" s="9"/>
    </row>
    <row r="73" spans="17:51" x14ac:dyDescent="0.5">
      <c r="AV73" s="10" t="s">
        <v>525</v>
      </c>
      <c r="AX73" s="9" t="s">
        <v>379</v>
      </c>
      <c r="AY73" s="9"/>
    </row>
    <row r="74" spans="17:51" x14ac:dyDescent="0.5">
      <c r="AV74" s="7" t="s">
        <v>595</v>
      </c>
      <c r="AX74" s="10" t="s">
        <v>515</v>
      </c>
      <c r="AY74" s="9"/>
    </row>
    <row r="75" spans="17:51" x14ac:dyDescent="0.5">
      <c r="AV75" s="8" t="s">
        <v>599</v>
      </c>
      <c r="AX75" s="9" t="s">
        <v>557</v>
      </c>
      <c r="AY75" s="9"/>
    </row>
    <row r="76" spans="17:51" x14ac:dyDescent="0.5">
      <c r="AV76" s="7" t="s">
        <v>603</v>
      </c>
      <c r="AX76" s="9" t="s">
        <v>575</v>
      </c>
      <c r="AY76" s="9"/>
    </row>
    <row r="77" spans="17:51" x14ac:dyDescent="0.5">
      <c r="AV77" s="10" t="s">
        <v>632</v>
      </c>
      <c r="AX77" s="10" t="s">
        <v>330</v>
      </c>
      <c r="AY77" s="9"/>
    </row>
    <row r="78" spans="17:51" x14ac:dyDescent="0.5">
      <c r="AV78" s="10" t="s">
        <v>515</v>
      </c>
      <c r="AX78" s="10" t="s">
        <v>580</v>
      </c>
      <c r="AY78" s="9"/>
    </row>
    <row r="79" spans="17:51" x14ac:dyDescent="0.5">
      <c r="AV79" s="9" t="s">
        <v>557</v>
      </c>
      <c r="AX79" s="9" t="s">
        <v>556</v>
      </c>
      <c r="AY79" s="9"/>
    </row>
    <row r="80" spans="17:51" x14ac:dyDescent="0.5">
      <c r="AV80" s="8" t="s">
        <v>608</v>
      </c>
      <c r="AX80" s="9" t="s">
        <v>501</v>
      </c>
      <c r="AY80" s="9"/>
    </row>
    <row r="81" spans="48:51" x14ac:dyDescent="0.5">
      <c r="AV81" s="10" t="s">
        <v>622</v>
      </c>
      <c r="AX81" s="10" t="s">
        <v>534</v>
      </c>
      <c r="AY81" s="10"/>
    </row>
    <row r="82" spans="48:51" x14ac:dyDescent="0.5">
      <c r="AV82" s="7" t="s">
        <v>614</v>
      </c>
      <c r="AX82" s="9" t="s">
        <v>576</v>
      </c>
      <c r="AY82" s="9"/>
    </row>
    <row r="83" spans="48:51" x14ac:dyDescent="0.5">
      <c r="AV83" s="9" t="s">
        <v>253</v>
      </c>
      <c r="AX83" s="10" t="s">
        <v>448</v>
      </c>
      <c r="AY83" s="10"/>
    </row>
    <row r="84" spans="48:51" x14ac:dyDescent="0.5">
      <c r="AV84" s="10" t="s">
        <v>620</v>
      </c>
      <c r="AX84" s="10" t="s">
        <v>421</v>
      </c>
      <c r="AY84" s="9"/>
    </row>
    <row r="85" spans="48:51" x14ac:dyDescent="0.5">
      <c r="AV85" s="7" t="s">
        <v>472</v>
      </c>
      <c r="AX85" s="9" t="s">
        <v>585</v>
      </c>
      <c r="AY85" s="9"/>
    </row>
    <row r="86" spans="48:51" x14ac:dyDescent="0.5">
      <c r="AV86" s="9" t="s">
        <v>629</v>
      </c>
      <c r="AX86" s="13" t="s">
        <v>478</v>
      </c>
      <c r="AY86" s="9"/>
    </row>
    <row r="87" spans="48:51" x14ac:dyDescent="0.5">
      <c r="AV87" s="10" t="s">
        <v>594</v>
      </c>
      <c r="AX87" s="10" t="s">
        <v>258</v>
      </c>
      <c r="AY87" s="13"/>
    </row>
    <row r="88" spans="48:51" x14ac:dyDescent="0.5">
      <c r="AV88" s="9" t="s">
        <v>602</v>
      </c>
      <c r="AX88" s="10"/>
    </row>
    <row r="89" spans="48:51" x14ac:dyDescent="0.5">
      <c r="AV89" s="10"/>
      <c r="AX89" s="10"/>
    </row>
    <row r="90" spans="48:51" x14ac:dyDescent="0.5">
      <c r="AV90" s="10"/>
      <c r="AX90" s="10"/>
    </row>
    <row r="91" spans="48:51" x14ac:dyDescent="0.5">
      <c r="AV91" s="9"/>
      <c r="AX91" s="10"/>
    </row>
    <row r="92" spans="48:51" x14ac:dyDescent="0.5">
      <c r="AV92" s="10"/>
      <c r="AX92" s="13"/>
    </row>
    <row r="93" spans="48:51" x14ac:dyDescent="0.5">
      <c r="AV93" s="10"/>
    </row>
    <row r="94" spans="48:51" x14ac:dyDescent="0.5">
      <c r="AV94" s="10"/>
    </row>
    <row r="95" spans="48:51" x14ac:dyDescent="0.5">
      <c r="AV95" s="10"/>
    </row>
    <row r="96" spans="48:51" x14ac:dyDescent="0.5">
      <c r="AV96" s="10"/>
    </row>
    <row r="97" spans="48:48" x14ac:dyDescent="0.5">
      <c r="AV97" s="9"/>
    </row>
    <row r="98" spans="48:48" x14ac:dyDescent="0.5">
      <c r="AV98" s="10"/>
    </row>
    <row r="99" spans="48:48" x14ac:dyDescent="0.5">
      <c r="AV99" s="10"/>
    </row>
    <row r="100" spans="48:48" x14ac:dyDescent="0.5">
      <c r="AV100" s="10"/>
    </row>
    <row r="101" spans="48:48" x14ac:dyDescent="0.5">
      <c r="AV101" s="10"/>
    </row>
    <row r="102" spans="48:48" x14ac:dyDescent="0.5">
      <c r="AV102" s="10"/>
    </row>
    <row r="103" spans="48:48" x14ac:dyDescent="0.5">
      <c r="AV103" s="8"/>
    </row>
    <row r="104" spans="48:48" x14ac:dyDescent="0.5">
      <c r="AV104" s="10"/>
    </row>
    <row r="105" spans="48:48" x14ac:dyDescent="0.5">
      <c r="AV105" s="10"/>
    </row>
    <row r="106" spans="48:48" x14ac:dyDescent="0.5">
      <c r="AV106" s="10"/>
    </row>
    <row r="107" spans="48:48" x14ac:dyDescent="0.5">
      <c r="AV107" s="10"/>
    </row>
    <row r="108" spans="48:48" x14ac:dyDescent="0.5">
      <c r="AV108" s="13"/>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67</vt:i4>
      </vt:variant>
    </vt:vector>
  </HeadingPairs>
  <TitlesOfParts>
    <vt:vector size="74"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AnálisisAK</vt:lpstr>
      <vt:lpstr>AnálisisB</vt:lpstr>
      <vt:lpstr>AnálisisBAK</vt:lpstr>
      <vt:lpstr>AnalizarLK</vt:lpstr>
      <vt:lpstr>AplicaciónB</vt:lpstr>
      <vt:lpstr>AplicaciónBAK</vt:lpstr>
      <vt:lpstr>AplicarLK</vt:lpstr>
      <vt:lpstr>áreasprofesionales</vt:lpstr>
      <vt:lpstr>BAK</vt:lpstr>
      <vt:lpstr>Bloom</vt:lpstr>
      <vt:lpstr>CaracterizarBAK</vt:lpstr>
      <vt:lpstr>Cognitivo</vt:lpstr>
      <vt:lpstr>cognitivoB</vt:lpstr>
      <vt:lpstr>CognitivoBAK</vt:lpstr>
      <vt:lpstr>ComprenderLK</vt:lpstr>
      <vt:lpstr>ComprensiónAK</vt:lpstr>
      <vt:lpstr>ComprensionB</vt:lpstr>
      <vt:lpstr>ComprensiónB</vt:lpstr>
      <vt:lpstr>ComprensiónBAK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InformaciónAK</vt:lpstr>
      <vt:lpstr>LK</vt:lpstr>
      <vt:lpstr>ManipulaciónBAK</vt:lpstr>
      <vt:lpstr>MetacogniciónAK</vt:lpstr>
      <vt:lpstr>MetacogniciónLK</vt:lpstr>
      <vt:lpstr>MetocogniciónAK</vt:lpstr>
      <vt:lpstr>ocupacional</vt:lpstr>
      <vt:lpstr>OrganizarBAK</vt:lpstr>
      <vt:lpstr>PercepciónBAK</vt:lpstr>
      <vt:lpstr>poblacionactuacion</vt:lpstr>
      <vt:lpstr>poblaciones</vt:lpstr>
      <vt:lpstr>poblacionesactuación</vt:lpstr>
      <vt:lpstr>PrecisiónBAK</vt:lpstr>
      <vt:lpstr>procedimentalB</vt:lpstr>
      <vt:lpstr>ProcedimentalBAK</vt:lpstr>
      <vt:lpstr>ProcedimientosLK</vt:lpstr>
      <vt:lpstr>ProcesosAK</vt:lpstr>
      <vt:lpstr>PsicomotorAK</vt:lpstr>
      <vt:lpstr>RecordarLK</vt:lpstr>
      <vt:lpstr>RecuperaciónAK</vt:lpstr>
      <vt:lpstr>ResponderBAK</vt:lpstr>
      <vt:lpstr>resultadoaprendizaje</vt:lpstr>
      <vt:lpstr>Saberhacer</vt:lpstr>
      <vt:lpstr>saberser</vt:lpstr>
      <vt:lpstr>SíntesisB</vt:lpstr>
      <vt:lpstr>SíntesisBAK</vt:lpstr>
      <vt:lpstr>tareas</vt:lpstr>
      <vt:lpstr>tareasprofesionales</vt:lpstr>
      <vt:lpstr>taxonomiasra</vt:lpstr>
      <vt:lpstr>UsoConocimientoAK</vt:lpstr>
      <vt:lpstr>Valoragregado</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2026-05-12T16:05:52Z</dcterms:modified>
  <cp:category/>
  <cp:contentStatus/>
</cp:coreProperties>
</file>