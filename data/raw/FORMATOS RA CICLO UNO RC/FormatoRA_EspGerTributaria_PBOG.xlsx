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comments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https://d.docs.live.net/5f15395a9ed9a48f/Proyectos_DS/Analisis_Curricular/data/raw/FORMATOS RA CICLO UNO RC/"/>
    </mc:Choice>
  </mc:AlternateContent>
  <xr:revisionPtr revIDLastSave="1423" documentId="13_ncr:1_{4A024314-7386-440D-8DC3-D4ADFD25CD12}" xr6:coauthVersionLast="47" xr6:coauthVersionMax="47" xr10:uidLastSave="{610BF832-0598-435C-836D-B2983C20DFCF}"/>
  <bookViews>
    <workbookView xWindow="-108" yWindow="-108" windowWidth="23256" windowHeight="12456" firstSheet="3" activeTab="4" xr2:uid="{BD68381A-4EB3-42BA-ADD5-D7B5B6C7E498}"/>
  </bookViews>
  <sheets>
    <sheet name="Paso1 Analisis perfil egreso" sheetId="1" r:id="rId1"/>
    <sheet name="Paso 2 Redacción competen" sheetId="6" r:id="rId2"/>
    <sheet name="Paso 3 Redacción RA " sheetId="5" r:id="rId3"/>
    <sheet name="Paso 4 Estrategias mesocurricu" sheetId="8" r:id="rId4"/>
    <sheet name="Paso 5 Estrategias micro" sheetId="7" r:id="rId5"/>
    <sheet name="Taxonomía para competencias" sheetId="10" r:id="rId6"/>
    <sheet name="Taxonomias para RA" sheetId="9" r:id="rId7"/>
  </sheets>
  <definedNames>
    <definedName name="_xlnm._FilterDatabase" localSheetId="2" hidden="1">'Paso 3 Redacción RA '!$A$2:$I$8</definedName>
    <definedName name="_xlnm._FilterDatabase" localSheetId="4" hidden="1">'Paso 5 Estrategias micro'!$B$1:$P$34</definedName>
    <definedName name="actitudinalB">Tabla5785[ActitudinalB]</definedName>
    <definedName name="ActitudinalBAK">'Taxonomias para RA'!$AC$3:$AG$3</definedName>
    <definedName name="AK">Tabla6088[AK]</definedName>
    <definedName name="AnálisisAK">Tabla99[AnálisisAK]</definedName>
    <definedName name="AnálisisB">Tabla385280[AnálisisB]</definedName>
    <definedName name="AnálisisBAK">Tabla3865[AnálisisBAK]</definedName>
    <definedName name="AnalizarLK">Tabla2129[AnalizarLK]</definedName>
    <definedName name="AplicaciónB">Tabla375179[AplicaciónB]</definedName>
    <definedName name="AplicaciónBAK">Tabla3764[AplicaciónBAK]</definedName>
    <definedName name="AplicarLK">Tabla2028[AplicarLK]</definedName>
    <definedName name="áreasprofesionales">'Paso1 Analisis perfil egreso'!$H$3:$H$14</definedName>
    <definedName name="BAK">Tabla5886[BAK]</definedName>
    <definedName name="Bloom">'Taxonomias para RA'!$G$3:$I$3</definedName>
    <definedName name="CaracterizarBAK">Tabla4776[CaracterizarBAK]</definedName>
    <definedName name="Cognitivo">'Paso1 Analisis perfil egreso'!$E$3:$E$15</definedName>
    <definedName name="cognitivoB">Tabla5583[CognitivoB]</definedName>
    <definedName name="CognitivoBAK">'Taxonomias para RA'!$S$3:$X$3</definedName>
    <definedName name="competencias">#REF!</definedName>
    <definedName name="ComprenderLK">'Taxonomias para RA'!$AM$5:$AM$27</definedName>
    <definedName name="ComprensiónAK">Tabla98[ComprensiónAK]</definedName>
    <definedName name="ComprensionB">Tabla365078[ComprensiónB]</definedName>
    <definedName name="ComprensiónB">Tabla365078[ComprensiónB]</definedName>
    <definedName name="ComprensiónBAK">Tabla3663[ComprensiónBAK]</definedName>
    <definedName name="ConceptosLK">Tabla91[ConceptosLK]</definedName>
    <definedName name="ConocimientoB">Tabla354977[ConocimientoB]</definedName>
    <definedName name="ConocimientoBAK">Tabla3555[ConocimientoBAK]</definedName>
    <definedName name="Conocimientos">'Paso1 Analisis perfil egreso'!$E$3:$E$15</definedName>
    <definedName name="ControlBAK">Tabla4271[ControlBAK]</definedName>
    <definedName name="CrearLK">Tabla2333[CrearLK]</definedName>
    <definedName name="dominios">'Paso1 Analisis perfil egreso'!$E$2:$G$2</definedName>
    <definedName name="EvaluaciónB">Tabla405482[EvaluaciónB]</definedName>
    <definedName name="EvaluaciónBAK">Tabla4067[EvaluaciónBAK]</definedName>
    <definedName name="EvaluarLK">'Taxonomias para RA'!$AP$5:$AP$46</definedName>
    <definedName name="HechosLK">Tabla90[HechosLK]</definedName>
    <definedName name="ImitaciónBAK">Tabla1168[ImitaciónBAK]</definedName>
    <definedName name="InformaciónAK">Tabla94[InformaciónAK]</definedName>
    <definedName name="LK">Tabla5987[LK]</definedName>
    <definedName name="ManipulaciónBAK">Tabla3069[ManipulaciónBAK]</definedName>
    <definedName name="MetacogniciónAK">Tabla101[MetacogniciónAK]</definedName>
    <definedName name="MetacogniciónLK">Tabla93[MetacogniciónLK]</definedName>
    <definedName name="MetocogniciónAK">Tabla101[MetacogniciónAK]</definedName>
    <definedName name="ocupacional">'Paso1 Analisis perfil egreso'!$H$2:$J$2</definedName>
    <definedName name="OrganizarBAK">Tabla4675[OrganizarBAK]</definedName>
    <definedName name="PercepciónBAK">'Taxonomias para RA'!$AC$4:$AC$40</definedName>
    <definedName name="poblacionactuacion">'Paso1 Analisis perfil egreso'!$J$3:$J$8</definedName>
    <definedName name="poblaciones">'Paso1 Analisis perfil egreso'!$J$3:$J$8</definedName>
    <definedName name="poblacionesactuación">'Paso1 Analisis perfil egreso'!$J$3:$J$8</definedName>
    <definedName name="PrecisiónBAK">Tabla4170[PrecisiónBAK]</definedName>
    <definedName name="procedimentalB">Tabla5684[ProcedimentalB]</definedName>
    <definedName name="ProcedimentalBAK">'Taxonomias para RA'!$Y$3:$AB$3</definedName>
    <definedName name="ProcedimientosLK">Tabla92[ProcedimientosLK]</definedName>
    <definedName name="ProcesosAK">Tabla95[ProcesosAK]</definedName>
    <definedName name="PsicomotorAK">Tabla96[PsicomotorAK]</definedName>
    <definedName name="RecordarLK">'Taxonomias para RA'!$AL$5:$AL$27</definedName>
    <definedName name="RecuperaciónAK">'Taxonomias para RA'!$AT$4:$AT$27</definedName>
    <definedName name="ResponderBAK">Tabla4473[ResponderBAK]</definedName>
    <definedName name="resultadoaprendizaje">'Paso 3 Redacción RA '!$I$3:$I$22</definedName>
    <definedName name="Saberhacer">'Paso1 Analisis perfil egreso'!$F$3:$F$15</definedName>
    <definedName name="saberser">'Paso1 Analisis perfil egreso'!$G$3:$G$15</definedName>
    <definedName name="SíntesisB">Tabla395381[SíntesisB]</definedName>
    <definedName name="SíntesisBAK">Tabla3966[SíntesisBAK]</definedName>
    <definedName name="tareas">'Paso1 Analisis perfil egreso'!$I$3:$I$14</definedName>
    <definedName name="tareasprofesionales">'Paso1 Analisis perfil egreso'!$I$3:$I$14</definedName>
    <definedName name="taxonomiasra">Tabla1715[Taxonomías]</definedName>
    <definedName name="UsoConocimientoAK">'Taxonomias para RA'!$AW$4:$AW$70</definedName>
    <definedName name="Valoragregado">'Paso1 Analisis perfil egreso'!$K$3:$K$8</definedName>
    <definedName name="ValorarBAK">Tabla4574[ValorarBAK]</definedName>
    <definedName name="Verboscompetencias">Tabla33103[Verbos Competencias]</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9" i="7" l="1"/>
  <c r="I31" i="7"/>
  <c r="I30" i="7"/>
  <c r="I29" i="7"/>
  <c r="K28" i="7"/>
  <c r="J28" i="7"/>
  <c r="K25" i="7"/>
  <c r="J25" i="7"/>
  <c r="L25" i="7" s="1"/>
  <c r="K22" i="7"/>
  <c r="J22" i="7"/>
  <c r="L22" i="7" s="1"/>
  <c r="K19" i="7"/>
  <c r="J19" i="7"/>
  <c r="L19" i="7" s="1"/>
  <c r="K16" i="7"/>
  <c r="J16" i="7"/>
  <c r="L16" i="7" s="1"/>
  <c r="K13" i="7"/>
  <c r="J13" i="7"/>
  <c r="L13" i="7" s="1"/>
  <c r="K10" i="7"/>
  <c r="J10" i="7"/>
  <c r="L10" i="7" s="1"/>
  <c r="L7" i="7"/>
  <c r="K7" i="7"/>
  <c r="J7" i="7"/>
  <c r="K5" i="7"/>
  <c r="J5" i="7"/>
  <c r="L5" i="7" s="1"/>
  <c r="K3" i="7"/>
  <c r="J3" i="7"/>
  <c r="L3" i="7" s="1"/>
  <c r="A4" i="7"/>
  <c r="A5" i="7"/>
  <c r="A6" i="7"/>
  <c r="A7" i="7"/>
  <c r="A8" i="7"/>
  <c r="A9" i="7"/>
  <c r="A10" i="7"/>
  <c r="A11" i="7"/>
  <c r="A12" i="7"/>
  <c r="A13" i="7"/>
  <c r="A14" i="7"/>
  <c r="A15" i="7"/>
  <c r="A16" i="7"/>
  <c r="A17" i="7"/>
  <c r="A18" i="7"/>
  <c r="A19" i="7"/>
  <c r="A20" i="7"/>
  <c r="A21" i="7"/>
  <c r="A22" i="7"/>
  <c r="A23" i="7"/>
  <c r="A24" i="7"/>
  <c r="A25" i="7"/>
  <c r="A26" i="7"/>
  <c r="A27" i="7"/>
  <c r="A3" i="7"/>
  <c r="L28" i="7"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C1" authorId="0" shapeId="0" xr:uid="{6F1967E6-402A-48C2-A321-7D14B3D41B38}">
      <text>
        <r>
          <rPr>
            <b/>
            <sz val="9"/>
            <color indexed="81"/>
            <rFont val="Tahoma"/>
            <family val="2"/>
          </rPr>
          <t>Dir. Currículo:</t>
        </r>
        <r>
          <rPr>
            <sz val="9"/>
            <color indexed="81"/>
            <rFont val="Tahoma"/>
            <family val="2"/>
          </rPr>
          <t xml:space="preserve">
Escriba el perfil del egresado que tiene el programa en su documento maestro o el que se haya ajustado de acuerdo con las tendencias o necesidades del entorno que lo hayan generado.</t>
        </r>
      </text>
    </comment>
    <comment ref="E2" authorId="0" shapeId="0" xr:uid="{8DF8FF82-47F7-4410-B4E7-CB5780418179}">
      <text>
        <r>
          <rPr>
            <b/>
            <sz val="9"/>
            <color indexed="81"/>
            <rFont val="Tahoma"/>
            <family val="2"/>
          </rPr>
          <t>Dir. Currículo:</t>
        </r>
        <r>
          <rPr>
            <sz val="9"/>
            <color indexed="81"/>
            <rFont val="Tahoma"/>
            <family val="2"/>
          </rPr>
          <t xml:space="preserve">
Son los conocimientos generales que caracterizan el saber del egresado.</t>
        </r>
      </text>
    </comment>
    <comment ref="H2" authorId="0" shapeId="0" xr:uid="{4C8FD7BF-69F3-4EE3-BF00-86DAE4C95B59}">
      <text>
        <r>
          <rPr>
            <b/>
            <sz val="9"/>
            <color indexed="81"/>
            <rFont val="Tahoma"/>
            <family val="2"/>
          </rPr>
          <t>Dir. Currículo:</t>
        </r>
        <r>
          <rPr>
            <sz val="9"/>
            <color indexed="81"/>
            <rFont val="Tahoma"/>
            <family val="2"/>
          </rPr>
          <t xml:space="preserve">
Áreas en las que podrá laborar el profesional.</t>
        </r>
      </text>
    </comment>
    <comment ref="I2" authorId="0" shapeId="0" xr:uid="{D80561B2-9238-40B1-BCAC-A2900C16BB2A}">
      <text>
        <r>
          <rPr>
            <b/>
            <sz val="9"/>
            <color indexed="81"/>
            <rFont val="Tahoma"/>
            <family val="2"/>
          </rPr>
          <t>Dir. Currículo:</t>
        </r>
        <r>
          <rPr>
            <sz val="9"/>
            <color indexed="81"/>
            <rFont val="Tahoma"/>
            <family val="2"/>
          </rPr>
          <t xml:space="preserve">
Tareas potenciales que hará el profesional.</t>
        </r>
      </text>
    </comment>
    <comment ref="J2" authorId="0" shapeId="0" xr:uid="{910BAA13-07A6-4EFE-A19E-F083161C96F3}">
      <text>
        <r>
          <rPr>
            <b/>
            <sz val="9"/>
            <color indexed="81"/>
            <rFont val="Tahoma"/>
            <family val="2"/>
          </rPr>
          <t>Dir. Currículo:</t>
        </r>
        <r>
          <rPr>
            <sz val="9"/>
            <color indexed="81"/>
            <rFont val="Tahoma"/>
            <family val="2"/>
          </rPr>
          <t xml:space="preserve">
Poblaciones o contextos donde podrán laborar los profesionales o dónde podrán ejercer su profesión.</t>
        </r>
      </text>
    </comment>
    <comment ref="K2" authorId="0" shapeId="0" xr:uid="{BABE39E6-C0DA-47B6-A10D-ECA03B3BA910}">
      <text>
        <r>
          <rPr>
            <b/>
            <sz val="9"/>
            <color indexed="81"/>
            <rFont val="Tahoma"/>
            <family val="2"/>
          </rPr>
          <t>Dir. Currículo:</t>
        </r>
        <r>
          <rPr>
            <sz val="9"/>
            <color indexed="81"/>
            <rFont val="Tahoma"/>
            <family val="2"/>
          </rPr>
          <t xml:space="preserve">
Elementos diferenciales que caracterizan al egresado.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3" authorId="0" shapeId="0" xr:uid="{AE119CD1-D0D7-4F88-8CD5-00081530DC87}">
      <text>
        <r>
          <rPr>
            <b/>
            <sz val="9"/>
            <color indexed="81"/>
            <rFont val="Tahoma"/>
            <family val="2"/>
          </rPr>
          <t>Dir. Currículo:</t>
        </r>
        <r>
          <rPr>
            <sz val="9"/>
            <color indexed="81"/>
            <rFont val="Tahoma"/>
            <family val="2"/>
          </rPr>
          <t xml:space="preserve">
Respecto al número de competencias a redactar no hay una restricción ni número limitante, solo se debe tener en cuenta que el programa deberá garantizar y demostrar su desarrollo a través del proceso de aprendizaje que lleve a cabo el estudiante y que se desglosarán y declararán por medio de los resultados de aprendizaje.</t>
        </r>
      </text>
    </comment>
    <comment ref="B3" authorId="0" shapeId="0" xr:uid="{A8E80D42-94C0-4781-8FCE-3D3530E25D52}">
      <text>
        <r>
          <rPr>
            <b/>
            <sz val="9"/>
            <color indexed="81"/>
            <rFont val="Tahoma"/>
            <family val="2"/>
          </rPr>
          <t xml:space="preserve">Dir. de Currículo:
</t>
        </r>
        <r>
          <rPr>
            <sz val="9"/>
            <color indexed="81"/>
            <rFont val="Tahoma"/>
            <family val="2"/>
          </rPr>
          <t>Si desea incluir un verbo puede hacerlo en la hoja Taxonomía para competencias, solo procure usar verbos que pueda desagregarse en verbos medibles</t>
        </r>
        <r>
          <rPr>
            <b/>
            <sz val="9"/>
            <color indexed="81"/>
            <rFont val="Tahoma"/>
            <family val="2"/>
          </rPr>
          <t xml:space="preserve">. </t>
        </r>
        <r>
          <rPr>
            <sz val="9"/>
            <color indexed="81"/>
            <rFont val="Tahoma"/>
            <family val="2"/>
          </rPr>
          <t xml:space="preserve">Después de incluirlo podrá elegirlo en la celda que lo requiera.
</t>
        </r>
      </text>
    </comment>
    <comment ref="C3" authorId="0" shapeId="0" xr:uid="{F4110995-1467-4D20-B839-29023BFAEBFF}">
      <text>
        <r>
          <rPr>
            <b/>
            <sz val="9"/>
            <color indexed="81"/>
            <rFont val="Tahoma"/>
            <family val="2"/>
          </rPr>
          <t>Dir. Currículo:</t>
        </r>
        <r>
          <rPr>
            <sz val="9"/>
            <color indexed="81"/>
            <rFont val="Tahoma"/>
            <family val="2"/>
          </rPr>
          <t xml:space="preserve">
Recuerde que el objeto conceptual hace referencia a qué debe saber (conocimientos, hechos, teorías) el egresado cuando termine su formación profesional.</t>
        </r>
      </text>
    </comment>
    <comment ref="D3" authorId="0" shapeId="0" xr:uid="{4E14A77D-E3A8-4B7B-B617-3C89D59C2DC3}">
      <text>
        <r>
          <rPr>
            <b/>
            <sz val="9"/>
            <color indexed="81"/>
            <rFont val="Tahoma"/>
            <family val="2"/>
          </rPr>
          <t>Dir. Currículo:</t>
        </r>
        <r>
          <rPr>
            <sz val="9"/>
            <color indexed="81"/>
            <rFont val="Tahoma"/>
            <family val="2"/>
          </rPr>
          <t xml:space="preserve">
La finalidad se refiere al para qué, se centra en qué es lo que el egresado sabrá hacer (procedimientos, procesos, metodologías, entre otros) con el saber enunciado como objeto conceptual.
El saber hacer o los elementos del componente ocupacional pueden ayudar a declarar la finalidad. Se listaron en la hoja Paso 1.</t>
        </r>
      </text>
    </comment>
    <comment ref="E3" authorId="0" shapeId="0" xr:uid="{60DC37CE-D668-474D-8A19-C4AF0EAA5C5A}">
      <text>
        <r>
          <rPr>
            <b/>
            <sz val="9"/>
            <color indexed="81"/>
            <rFont val="Tahoma"/>
            <family val="2"/>
          </rPr>
          <t>Dir. Currículo:</t>
        </r>
        <r>
          <rPr>
            <sz val="9"/>
            <color indexed="81"/>
            <rFont val="Tahoma"/>
            <family val="2"/>
          </rPr>
          <t xml:space="preserve">
Describe los referentes y parámetros, requerimientos o retos que se necesitan para alcanzar las características del perfil en el contexto donde el egresado se desenvolverá. 
Una pregunta orientadora para diligenciar esta componente es: ¿Qué condición se requiere para que lograr lo establecido en el perfil, en el contexto donde se desenvolverá el egresado? </t>
        </r>
      </text>
    </comment>
    <comment ref="F3" authorId="0" shapeId="0" xr:uid="{8003939F-4001-4AFA-B7C4-32352928747B}">
      <text>
        <r>
          <rPr>
            <b/>
            <sz val="9"/>
            <color indexed="81"/>
            <rFont val="Tahoma"/>
            <family val="2"/>
          </rPr>
          <t>Dir. Currículo:</t>
        </r>
        <r>
          <rPr>
            <sz val="9"/>
            <color indexed="81"/>
            <rFont val="Tahoma"/>
            <family val="2"/>
          </rPr>
          <t xml:space="preserve">
Tenga en cuenta que la competencia indica qué acción hará el egresado con un saber determinado, con un fin asociado a lo que debe saber hacer con el saber y unas condiciones de contexto o referencia, que enmarcan su comportamiento en el ámbito profesional.</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2" authorId="0" shapeId="0" xr:uid="{25311C46-2FC3-42D4-A3B5-88FB3744D009}">
      <text>
        <r>
          <rPr>
            <b/>
            <sz val="9"/>
            <color indexed="81"/>
            <rFont val="Tahoma"/>
            <family val="2"/>
          </rPr>
          <t>Dir. Currículo:</t>
        </r>
        <r>
          <rPr>
            <sz val="9"/>
            <color indexed="81"/>
            <rFont val="Tahoma"/>
            <family val="2"/>
          </rPr>
          <t xml:space="preserve">
Recuerde que cada competencia hace referencia a tres dominios que demostrará el estudiante, el cognitivo, el procedimental y el actitudinal o valorativo.
La competencia es lo que demostrará el estudiante en el ámbito profesional y en la academia se implementarán acciones educativas que mostrarán los resultados de lo que el estudiante aprendió y que están orientados a verificar que el estudiante saber, saber hacer y sabe ser en un contexto determinado.</t>
        </r>
      </text>
    </comment>
    <comment ref="B2" authorId="0" shapeId="0" xr:uid="{7140CF9E-D100-4E5C-90C3-42313D04E6B1}">
      <text>
        <r>
          <rPr>
            <b/>
            <sz val="9"/>
            <color indexed="81"/>
            <rFont val="Tahoma"/>
            <family val="2"/>
          </rPr>
          <t>Dir. Currículo:</t>
        </r>
        <r>
          <rPr>
            <sz val="9"/>
            <color indexed="81"/>
            <rFont val="Tahoma"/>
            <family val="2"/>
          </rPr>
          <t xml:space="preserve">
Los resultados deben ser concretos, entre más competencias se declaren más resultados se deberán demostrar.</t>
        </r>
      </text>
    </comment>
    <comment ref="C2" authorId="0" shapeId="0" xr:uid="{71C91D79-1C70-4973-8345-EC0D06B65442}">
      <text>
        <r>
          <rPr>
            <b/>
            <sz val="9"/>
            <color indexed="81"/>
            <rFont val="Tahoma"/>
            <family val="2"/>
          </rPr>
          <t>Dir. Currículo:</t>
        </r>
        <r>
          <rPr>
            <sz val="9"/>
            <color indexed="81"/>
            <rFont val="Tahoma"/>
            <family val="2"/>
          </rPr>
          <t xml:space="preserve">
Dado que la competencia se determina por el saber, saber hacer y saber ser, se va a redactar por lo menos un resultado de aprendizaje por cada saber.
Pero puede ocurrir que un resultado sea el mismo para dos o más competencias.</t>
        </r>
      </text>
    </comment>
    <comment ref="D2" authorId="0" shapeId="0" xr:uid="{4EA1BD48-9072-4F8B-8C17-7A54409F3A6B}">
      <text>
        <r>
          <rPr>
            <b/>
            <sz val="9"/>
            <color indexed="81"/>
            <rFont val="Tahoma"/>
            <family val="2"/>
          </rPr>
          <t>Dir. Currículo:</t>
        </r>
        <r>
          <rPr>
            <sz val="9"/>
            <color indexed="81"/>
            <rFont val="Tahoma"/>
            <family val="2"/>
          </rPr>
          <t xml:space="preserve">
El listado despliega, según el saber elegido en la columna C, lo que se escribió en el paso 1 para ese tipo de saber.</t>
        </r>
      </text>
    </comment>
    <comment ref="E2" authorId="0" shapeId="0" xr:uid="{189C3EC2-1514-4019-89E2-899E92CD0DB4}">
      <text>
        <r>
          <rPr>
            <b/>
            <sz val="9"/>
            <color indexed="81"/>
            <rFont val="Tahoma"/>
            <family val="2"/>
          </rPr>
          <t xml:space="preserve">Dir. Currículo:
</t>
        </r>
        <r>
          <rPr>
            <sz val="9"/>
            <color indexed="81"/>
            <rFont val="Tahoma"/>
            <family val="2"/>
          </rPr>
          <t>Se elije según los conocimientos que se tienen sobre ellas, la más empleada es la de Bloom, pero existen muchas otras.
Si requiere emplear una distinta puede adaptar el formato a sus necesidades.</t>
        </r>
      </text>
    </comment>
    <comment ref="F2" authorId="0" shapeId="0" xr:uid="{3C6787FC-5463-4833-8BE4-AF8F90510697}">
      <text>
        <r>
          <rPr>
            <b/>
            <sz val="9"/>
            <color indexed="81"/>
            <rFont val="Tahoma"/>
            <family val="2"/>
          </rPr>
          <t>Dir. Currículo:</t>
        </r>
        <r>
          <rPr>
            <sz val="9"/>
            <color indexed="81"/>
            <rFont val="Tahoma"/>
            <family val="2"/>
          </rPr>
          <t xml:space="preserve">
En la columna C se indicó el saber que se trabajará por lo que aquí se debe elegir el dominio que debe alcanzar el estudiante.
Recuerde, el saber corresponde al dominio cognitivo en alguna taxonomía, el saber hacer hace referencia al dominio procedimental y el saber ser al dominio actitudinal.</t>
        </r>
      </text>
    </comment>
    <comment ref="G2" authorId="0" shapeId="0" xr:uid="{9224DA72-3F2C-4C5C-BF71-F42A4DB09567}">
      <text>
        <r>
          <rPr>
            <b/>
            <sz val="9"/>
            <color indexed="81"/>
            <rFont val="Tahoma"/>
            <family val="2"/>
          </rPr>
          <t>Dir. Currículo:</t>
        </r>
        <r>
          <rPr>
            <sz val="9"/>
            <color indexed="81"/>
            <rFont val="Tahoma"/>
            <family val="2"/>
          </rPr>
          <t xml:space="preserve">
Las taxonomías se clasifican en niveles, por eso, al elegirlo en la columna E, las filas los despliegan y se selecciona según la coherencia de éste con el dominio por desarrollará. Elegir el nivel permite que en la columna H aparezcan los verbos recomendados.</t>
        </r>
      </text>
    </comment>
    <comment ref="H2" authorId="0" shapeId="0" xr:uid="{AC4EFDC9-F052-42E3-B096-C8C6DA737167}">
      <text>
        <r>
          <rPr>
            <b/>
            <sz val="9"/>
            <color indexed="81"/>
            <rFont val="Tahoma"/>
            <family val="2"/>
          </rPr>
          <t>Dir. Currículo:</t>
        </r>
        <r>
          <rPr>
            <sz val="9"/>
            <color indexed="81"/>
            <rFont val="Tahoma"/>
            <family val="2"/>
          </rPr>
          <t xml:space="preserve">
En las celdas se despliegan los verbos sugeridos para la categoría seleccionada en la columna G.</t>
        </r>
      </text>
    </comment>
    <comment ref="I2" authorId="0" shapeId="0" xr:uid="{6C037D87-33E8-4C70-A592-AA6328FE8FC5}">
      <text>
        <r>
          <rPr>
            <b/>
            <sz val="9"/>
            <color indexed="81"/>
            <rFont val="Tahoma"/>
            <family val="2"/>
          </rPr>
          <t>Dir. Currículo:</t>
        </r>
        <r>
          <rPr>
            <sz val="9"/>
            <color indexed="81"/>
            <rFont val="Tahoma"/>
            <family val="2"/>
          </rPr>
          <t xml:space="preserve">
En las filas de esta columna articule las columnas H y D en una oración que comience por el verbo (col. H), que recaiga sobre el objeto conceptual (col. D) y termine con un complemento de oración, conocida como condición de contexto, que indique para qué, como, con qué, o lo que considere conveniente para dar cierre al resultado de aprendizaje.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E1" authorId="0" shapeId="0" xr:uid="{5A4FA51A-E64C-4DA0-8526-EBB4BDEB2B61}">
      <text>
        <r>
          <rPr>
            <b/>
            <sz val="9"/>
            <color indexed="81"/>
            <rFont val="Tahoma"/>
            <family val="2"/>
          </rPr>
          <t>Dir. Currículo:</t>
        </r>
        <r>
          <rPr>
            <sz val="9"/>
            <color indexed="81"/>
            <rFont val="Tahoma"/>
            <family val="2"/>
          </rPr>
          <t xml:space="preserve">
Los indicadores de logro, indican cómo cada asignatura o módulo contribuye al resultado de aprendizaje y serán aquellos a los que los docentes deberán apuntar para que con sus estrategias sean alcanzados por los estudiantes.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Y4" authorId="0" shapeId="0" xr:uid="{9607C37A-C8B3-44AC-90C2-DDC4836F9013}">
      <text>
        <r>
          <rPr>
            <b/>
            <sz val="9"/>
            <color indexed="81"/>
            <rFont val="Tahoma"/>
            <family val="2"/>
          </rPr>
          <t>Dir. Currículo:</t>
        </r>
        <r>
          <rPr>
            <sz val="9"/>
            <color indexed="81"/>
            <rFont val="Tahoma"/>
            <family val="2"/>
          </rPr>
          <t xml:space="preserve">
Hay cuatro tipos de pensamiento del sistema del yo que son relevantes para la Nueva Taxonomía: (1) examinar la importancia, (2) examinar la eficacia, (3) examinar la respuesta emocional y (4) examinar la motivación general.</t>
        </r>
      </text>
    </comment>
  </commentList>
</comments>
</file>

<file path=xl/sharedStrings.xml><?xml version="1.0" encoding="utf-8"?>
<sst xmlns="http://schemas.openxmlformats.org/spreadsheetml/2006/main" count="1979" uniqueCount="685">
  <si>
    <t>[Escribir el nombre del programa]</t>
  </si>
  <si>
    <t>[Escribir la modalidad: presencial o virtual]</t>
  </si>
  <si>
    <t>[Escribir el perfil profesional del egresado.]</t>
  </si>
  <si>
    <t>[Escribir el perfil ocupacional del egresado.]</t>
  </si>
  <si>
    <r>
      <t xml:space="preserve">Componentes fundamentales aplicables a la solución de problemas en la vida profesional
</t>
    </r>
    <r>
      <rPr>
        <sz val="9"/>
        <color theme="0"/>
        <rFont val="Gill Sans MT"/>
        <family val="2"/>
      </rPr>
      <t>[Listar, según lo escrito en los perfiles, qué debe saber el egresado en las categorías de Saber -conocimientos, hechos, teorías-, Saber hacer -técnicas, procedimientos, metodologías-, y Saber ser -valores, condiciones, .]</t>
    </r>
  </si>
  <si>
    <r>
      <t xml:space="preserve">Componentes fundamentales de la ocupación laboral del profesional
</t>
    </r>
    <r>
      <rPr>
        <sz val="9"/>
        <color theme="0"/>
        <rFont val="Gill Sans MT"/>
        <family val="2"/>
      </rPr>
      <t>[Listar, según lo escrito en los perfiles, en qué áreas, qué tareas potenciales y en qué poblaciones o contextos podrá laborar el profesional.]</t>
    </r>
  </si>
  <si>
    <r>
      <t xml:space="preserve">Diferencial (valor agregado) del profesional
</t>
    </r>
    <r>
      <rPr>
        <sz val="9"/>
        <color theme="0"/>
        <rFont val="Gill Sans MT"/>
        <family val="2"/>
      </rPr>
      <t>[Listar, según lo escrito en los perfiles, los elementos que son diferenciales y generan un valor agregado al egresado.]</t>
    </r>
  </si>
  <si>
    <t>Programa</t>
  </si>
  <si>
    <t>Modalidad</t>
  </si>
  <si>
    <t>Perfil profesional</t>
  </si>
  <si>
    <t>Perfil ocupacional</t>
  </si>
  <si>
    <t>Saber</t>
  </si>
  <si>
    <t>Saberhacer</t>
  </si>
  <si>
    <t>Saberser</t>
  </si>
  <si>
    <t>ÁreasProfesionales</t>
  </si>
  <si>
    <t>TareasProfesionales</t>
  </si>
  <si>
    <t>PoblacionesActuación</t>
  </si>
  <si>
    <t>ValorAgregado</t>
  </si>
  <si>
    <t>Especialización en Gerencia Tributaria</t>
  </si>
  <si>
    <t xml:space="preserve">
Presencial</t>
  </si>
  <si>
    <t>El egresado de la Especialización en Gerencia Tributaria posee saberes en el campo del Derecho Tributario nacional e internacional en los impuestos nacionales y subnacionales, así como en el régimen cambiario y aduanero, y se caracteriza por tener un pensamiento estratégico y un accionar ético con el cual gerencia de forma integral los diversos sectores de la tributación, para generar valor en la sociedad y garantizar la calidad de la información tributaria.</t>
  </si>
  <si>
    <t>El Especialista en Gerencia Tributaría de la Institución Universitaria Politécnico Grancolombiano está en capacidad de gestionar prospectivamente los diversos sectores de la tributación a nivel nacional e internacional, asesorando e investigando los escenarios cambiantes que representan un desafío para los diferentes actores de la sociedad.</t>
  </si>
  <si>
    <t xml:space="preserve">Normatividad tributaria nacional e internacional </t>
  </si>
  <si>
    <t>aplicarla a los diferentes contextos</t>
  </si>
  <si>
    <t>garantizando el cumplimiento de las obligaciones tributarias y la optimización de los tributos, en el marco de la legalidad.</t>
  </si>
  <si>
    <t>Departamento de impuestos</t>
  </si>
  <si>
    <t>Gestión de los tributos de las empresas y todo lo que se relacione con las exigencias en materia de regulación dentro de la potestad del estado.</t>
  </si>
  <si>
    <t>La Especialización en Gerencia tributaria del Politécnico Grancolombiano, se diferenciará porque en su proceso formativo se enfocará en formar lideres y gerentes de equipos a partir de un planteamiento estratégico que contribuya a la planeación tributaria y garantice la calidad del sistema de información de los tributos, orientado al crecimiento y sostenibilidad, con responsabilidad social empresarial.</t>
  </si>
  <si>
    <t>Estrategias de planeación e implementación</t>
  </si>
  <si>
    <t>gerenciar la tributación</t>
  </si>
  <si>
    <t>con un accionar guiado hacia la creación permanente de valor orientada a la sostenibilidad.</t>
  </si>
  <si>
    <t xml:space="preserve">Secretarias de Hacienda </t>
  </si>
  <si>
    <t>Asesor de Impuestos y consultor en planeación tributaria aplicando       normas nacionales e internacionales fiscales.</t>
  </si>
  <si>
    <t>Tributación</t>
  </si>
  <si>
    <t xml:space="preserve">Liderar procesos en materia de impuestos en las organizaciones, interpretando y orientando la normatividad vigente para una mejor proyección y gestión de los impuestos fiscales por parte de las empresas ante el estado. </t>
  </si>
  <si>
    <t>Auditoría de impuestos</t>
  </si>
  <si>
    <t>Gerenciar las áreas de Impuestos y Auditoría tributaria.</t>
  </si>
  <si>
    <t>Planeación Tributaria</t>
  </si>
  <si>
    <t>Investigar en temas relacionados con Impuestos.</t>
  </si>
  <si>
    <t>Tributarista independiente</t>
  </si>
  <si>
    <t>Docencia Universitaria en temas relacionados con la gestión tributaria.</t>
  </si>
  <si>
    <t>Educación superior</t>
  </si>
  <si>
    <t>Veeduría tributaria en concordancia con la Constitución de 1991 para el control y fiscalización de los bienes y servicios públicos.</t>
  </si>
  <si>
    <t>Peritaje en conflictos fiscales que culminan en los estrados judiciales.</t>
  </si>
  <si>
    <t>Consultoría ante las entidades del estado para controvertir acerca de los proyectos de reformas tributarias.</t>
  </si>
  <si>
    <t>Elementos para redactar las competencias que desarrollará el programa</t>
  </si>
  <si>
    <t>[Enumerar las competencias que se van a declarar.]</t>
  </si>
  <si>
    <t>[A partir de la celda B2 dar clic sobre el ícono de lista desplegable y elegir el verbo que considere adecuado.]</t>
  </si>
  <si>
    <t>[A partir de la celda C2 dar clic sobre la lista desplegable y elegir el saber extraído del perfil de egreso.]</t>
  </si>
  <si>
    <t>[Escribir para qué se abordará el saber elegido. Se sugiere apoyarse en el saber hacer.]</t>
  </si>
  <si>
    <t>[Escribir la condición describiendo los referentes, parámetros, principios, requerimientos o retos que se necesitan para alcanzar las características del perfil en el contexto donde el egresado se desenvolverá.]</t>
  </si>
  <si>
    <t>[Redactar la competencia, articulando los elementos de las anteriores columnar. Iniciar con el verbo, continuar con el objeto conceptual, luego la finalidad y condición de contexto o referencia; estos últimos no requieren un orden particular.]</t>
  </si>
  <si>
    <t>[Escribir el tipo de competencia del perfil: Específica (si es del bloque Disciplinar para pregrado o de los componentes para el caso de posgrado) o Genérica (si aplica bloque institucional pregrado)]</t>
  </si>
  <si>
    <t>No.</t>
  </si>
  <si>
    <t>Verbo</t>
  </si>
  <si>
    <t>Objeto conceptual</t>
  </si>
  <si>
    <t>Finalidad</t>
  </si>
  <si>
    <t>Condición de contexto o referencia</t>
  </si>
  <si>
    <t>Redacción de la competencia a desarrollar</t>
  </si>
  <si>
    <t>Tipo de Competencia</t>
  </si>
  <si>
    <t>Dominar</t>
  </si>
  <si>
    <t>Dominar la normatividad tributaria nacional e internacional para aplicarla a los diferentes contextos garantizando el cumplimiento de las obligaciones tributarias y la optimización de los tributos, en el marco de la legalidad.</t>
  </si>
  <si>
    <t>Específica</t>
  </si>
  <si>
    <t>Diseñar</t>
  </si>
  <si>
    <t>Diseñar estrategias de planeación e implementación para gerenciar la tributación, con un accionar guiado hacia la creación permanente de valor orientada a la sostenibilidad.</t>
  </si>
  <si>
    <t>[A partir de la celda A2 dar clic en la lista desplegable y seleccionar la competencia redactada en el paso 2.]</t>
  </si>
  <si>
    <t>[Enumerar los resultados de aprendizaje que se van a declarar.]</t>
  </si>
  <si>
    <t>[A partir de la celda C2, dar clic en la lista desplegable y elegir el tipo de dominio a tratar en el resultado de aprendizaje.]</t>
  </si>
  <si>
    <t>[A partir de la cela D2, dar clic en la lista desplegable y elegir el saber correspondiente al dominio.]</t>
  </si>
  <si>
    <t>[A partir de la celda E2, dar clic en la lista desplegable y elegir la  taxonomía que se considere adecuada, solo se elige una para todos los saberes.]</t>
  </si>
  <si>
    <t>[A partir de la celda F2, dar clic en la lista desplegable y elegir el dominio que se considera adecuado.]</t>
  </si>
  <si>
    <t>[A partir de la celda G2, dar clic en la lista desplegable y elegir el nivel del dominio que se considera adecuado.]</t>
  </si>
  <si>
    <t>[A partir de la celda H2, dar clic en la lista desplegable y elegir el verbo que se considera adecuado.]</t>
  </si>
  <si>
    <t>[Iniciar con el verbo elegido (columna H), en infinitivo, luego el objeto sobre el cual recae la acción (columna D) y finalmente la condición de contexto (académico, disciplinar, social u otro).]</t>
  </si>
  <si>
    <t>Competencia por desarrollar</t>
  </si>
  <si>
    <t>Número de resultado</t>
  </si>
  <si>
    <t>Tipo de saber</t>
  </si>
  <si>
    <t>Saber Asociado</t>
  </si>
  <si>
    <t>Taxonomía</t>
  </si>
  <si>
    <t>Dominio Asociado</t>
  </si>
  <si>
    <t>Nivel del dominio</t>
  </si>
  <si>
    <t>Redacción del resultado de aprendizaje del programa</t>
  </si>
  <si>
    <t>Bloom</t>
  </si>
  <si>
    <t>CognitivoB</t>
  </si>
  <si>
    <t>SíntesisB</t>
  </si>
  <si>
    <t>Interpretar</t>
  </si>
  <si>
    <t>Interpreta la normativa tributaria nacional e internacional para identificar las acciones estratégicas y de planeación a través de las cuales se da cumplimiento a las prestaciones tributarias.</t>
  </si>
  <si>
    <t>ProcedimentalB</t>
  </si>
  <si>
    <t>Diseña estrategias de planeación tributaria para optimizar las cargas fiscales del contribuyente o verificar el cumplimiento del marco normativo vigente.</t>
  </si>
  <si>
    <t>ActitudinalB</t>
  </si>
  <si>
    <t>Aplicar</t>
  </si>
  <si>
    <t>Aplica la normatividad tributaria para diseñar estrategias tributarias y fiscales, según las necesidades de los contribuyentes respecto a la optimización de cargas fiscales o a la verificación de su cumplimiento.</t>
  </si>
  <si>
    <t>[A partir de la celda A3 despliegue el(los) resultado(s) de aprendizaje y elija aquel (aquellos)  al(a los) que se contribuye desde la estrategia.]</t>
  </si>
  <si>
    <t>[Participación de los estudiantes en cursos, talleres, seminarios, conferencias, pruebas estandarizadas, investigaciones, actividades o experiencias, cuerpos académicos, redes, comunidades, la elaboración de textos y materiales, así como las publicaciones, entre otros.]</t>
  </si>
  <si>
    <t>[Describir la(s) estrategia(s) definidas por el programa.]</t>
  </si>
  <si>
    <t>[Se sugieren indicadores como: Valora el nivel de contribución de la estrategia a los resultados de aprendizaje; Número de estudiantes que participan en la estrategia; Número de veces que se realiza la estrategia, entre otros.]</t>
  </si>
  <si>
    <t>[Escribir las acciones de retroalimentación que usará el programa para comunicar a los estudiantes sobre el alcance de sus resultados de aprendizaje.]</t>
  </si>
  <si>
    <t>[Escribir, para cada indicador con qué instrumento recogerá información para evidenciar el (los) impacto (s) declarados. Encuesta, lista de asistencia, informe, entre otros.]</t>
  </si>
  <si>
    <t>Resultado de aprendizaje</t>
  </si>
  <si>
    <t>Estrategia del programa</t>
  </si>
  <si>
    <t>Descripción</t>
  </si>
  <si>
    <t>Indicador de Impacto de la Estrategia</t>
  </si>
  <si>
    <t>Acciones de retroalimentación para los estudiantes</t>
  </si>
  <si>
    <t>Instrumentos</t>
  </si>
  <si>
    <t>Clases espejo</t>
  </si>
  <si>
    <t>Las clases espejo hacen parte de las iniciativas de internacionalización del currículo. Estas clases tiene como objetivo facilitar el acercamiento de la comunidad estudiantil y docente a las diferentes tendencias académicas globales dentro del aula de clase.</t>
  </si>
  <si>
    <t>Número de clases espejo realizadas durante un año.</t>
  </si>
  <si>
    <t>Formar e informar a los estudiantes sobre temas en el campo profesional y gerencial del programa.</t>
  </si>
  <si>
    <t>Informe o reporte</t>
  </si>
  <si>
    <t>Número de estudiantes que participan en las clases espejo durante un año.</t>
  </si>
  <si>
    <t>Listados de participación</t>
  </si>
  <si>
    <t>Congresos, conversatorios, capacitaciones  seminarios y workshop</t>
  </si>
  <si>
    <t>Involucrar nuestra comunidad académica en eventos académicos del ámbito nacional e internacional como congresos, conversatorios, capacitaciones, seminarios y workshop.</t>
  </si>
  <si>
    <t>Valoración por parte de los estudiantes, del nivel de contribución de la estrategia a los resultados de aprendizaje del programa.</t>
  </si>
  <si>
    <t>Formar e informar a los estudiantes sobre temas de actualidad en el campo profesional y gerencial del programa.</t>
  </si>
  <si>
    <t>Encuesta</t>
  </si>
  <si>
    <t>Número de eventos académicos realizados durante un año.</t>
  </si>
  <si>
    <t>Piezas publicitarias/Informe, reporte o memorias/Medio de la convocatoria</t>
  </si>
  <si>
    <t>Número de estudiantes que participan en la estrategia durante un año.</t>
  </si>
  <si>
    <t>Listados de participación/Certificaciones</t>
  </si>
  <si>
    <t>Consultorio tributario</t>
  </si>
  <si>
    <t>El Consultorio Tributario y Empresarial presencial y Virtual de la Facultad Negocios, Gestión y Sostenibilidad, presta sus servicios de consultoría virtual sin costo, liderado por estudiantes y por un equipo interdisciplinario de profesionales, especialistas con una gran trayectoria en el campo laboral y académico, los cuales apoyaran a través de la consultoría a la población desde una proyección social de la Facultad de Negocios, Gestión y Sostenibilidad.</t>
  </si>
  <si>
    <t>Numero de publicaciones por año (boletines, videos, cartillas).</t>
  </si>
  <si>
    <t>Formar, informar, prevenir y ayuda a tomar decisiones en el campo profesional y gerencial del programa.</t>
  </si>
  <si>
    <t>Publicaciones/Boletines/Videos o Cartillas</t>
  </si>
  <si>
    <t>Numero de casos atendidos por año.</t>
  </si>
  <si>
    <t>Numero de estudiantes que participan en el consultorio por año.</t>
  </si>
  <si>
    <t>Programa radial</t>
  </si>
  <si>
    <t>Estrategia divulgativa para el fortalecimiento del conocimiento a través de poliradio y plataformas digitales. </t>
  </si>
  <si>
    <t>Número de programas emitidos durante el año con participación de docentes o estudiantes de la Especialización.</t>
  </si>
  <si>
    <t>Informe o reporte/Certificados de participación/Repositorio Ivoox</t>
  </si>
  <si>
    <t>Número de invitados de la Especialización por año.</t>
  </si>
  <si>
    <t>Número de estudiantes que participan en la estrategia por año.</t>
  </si>
  <si>
    <t>Diplomados/MOOC</t>
  </si>
  <si>
    <t>Alternativas de programas de educación permanente, cursos, seminarios y demás programas destinados a la difusión de los conocimientos, al intercambio de experiencias.</t>
  </si>
  <si>
    <t>Número de estrategias desarrolladas en proyección social por año.</t>
  </si>
  <si>
    <t>Formar e informar y ayudar a tomar decisiones a los estudiantes sobre temas en el campo profesional y gerencial del programa.</t>
  </si>
  <si>
    <t>Número de personas naturales que participaron por año.</t>
  </si>
  <si>
    <t>Número de personas jurídicas que participaron por año.</t>
  </si>
  <si>
    <t>Redes</t>
  </si>
  <si>
    <t>Participación a nivel nacional e internacional en los diferentes eventos que las redes ofrecen como cursos, conferencias, proyectos entre otros, fortaleciendo formación continua, competencias investigativa, participación en comunidades interdisciplinarias.</t>
  </si>
  <si>
    <t>Número de redes en las que se esta vinculado durante un año.</t>
  </si>
  <si>
    <t>Informe o reporte/Publicaciones</t>
  </si>
  <si>
    <t>Número de actividades realizadas con las redes durante el año.</t>
  </si>
  <si>
    <t>Número de estudiantes que participan en las actividades con redes durante el año.</t>
  </si>
  <si>
    <t>Semilleros de investigación</t>
  </si>
  <si>
    <t>Los semilleros son espacios extracurriculares en los que se aprende y crea colectivamente. De esta manera docentes y estudiantes investigan para profundizar los conocimientos en diferentes áreas de la tributación</t>
  </si>
  <si>
    <t>Numero de participaciones de estudiantes en los diferentes medios de divulgación del conocimiento durante un año.</t>
  </si>
  <si>
    <t>Certificados y publicaciones</t>
  </si>
  <si>
    <t>Número de asesorías que realizan los estudiantes durante un año.</t>
  </si>
  <si>
    <t>Planes de trabajo e informe en SIGIIP anuales.</t>
  </si>
  <si>
    <t>Planes o informes o reporte</t>
  </si>
  <si>
    <t>Tutorías</t>
  </si>
  <si>
    <t>Estrategia de reforzamiento curricular para los estudiantes que requieran un acompañamiento personalizado en su proceso de formación.</t>
  </si>
  <si>
    <t>Número de tutorías realizadas durante el año.</t>
  </si>
  <si>
    <t>Número de estudiantes atendidos durante el año.</t>
  </si>
  <si>
    <t>[Estas celdas se llenan automáticamente.]</t>
  </si>
  <si>
    <t>[A partir de la celda A3 despliegue el(los) resultado(s) de aprendizaje y elija aquel (aquellos) al(a los) que se contribuye desde la asignatura o módulo).]</t>
  </si>
  <si>
    <t>[Escribir el semestre en el que se cursa la asignatura o módulo.]</t>
  </si>
  <si>
    <t>[Escribir el nombre de la asignatura o módulo que contribuye al logro del resultado de aprendizaje.]</t>
  </si>
  <si>
    <t>[Redactar los indicadores iniciando con el verbo en presente indicativo, luego el objeto conceptual y finalmente el complemento de oración (que indique una condición o finalidad, con, para, de, entre otros conectores).]</t>
  </si>
  <si>
    <t>[Escribir la tipología: T (teórico), P (Práctico), TP (Teórico Práctico)]</t>
  </si>
  <si>
    <t>[Marcar con X el bloque o componente al que pertenece la asignatura o módulo. Por favor ajustar para posgrado, eliminar una columna y ubicar los títulos C.Fundamentación y C.Profundización.]</t>
  </si>
  <si>
    <t>[Escribir el número de créditos de la asignatura o del módulo]</t>
  </si>
  <si>
    <t>[Escribir el número de horas de trabajo directo: 16*# o 12*#, para presencial o virtual, según sea el caso.]</t>
  </si>
  <si>
    <t>[Escribir el número de horas de trabajo independiente: 32*# columna J o 36*# columna J, para presencial o virtual, respectivamente.]</t>
  </si>
  <si>
    <t>[Escribir la suma de los números de horas de las dos celdas anteriores.]</t>
  </si>
  <si>
    <t>[Escribir el nombre de los cuatro núcleos temáticos que abordará la asignatura o el módulo.]</t>
  </si>
  <si>
    <t>[Escribir las lecturas, talleres, análisis, referentes, etc., que realiza el estudiante, clasificadas en trabajo directo e independiente.]</t>
  </si>
  <si>
    <t xml:space="preserve">[Escribir las actividades de evaluación que se emplean para identificar el alcance del (de los) indicador(es) de logro(s).] </t>
  </si>
  <si>
    <t>[Escribir las acciones de retroalimentación que se emplearán en la asignatura o módulo, para retroalimentar a los estudiantes respecto al alcance de los indicadores de logro. Recordar que son cuatro acciones: informar, formar, prevenir y ayudar a tomar decisiones e indique cómo.]</t>
  </si>
  <si>
    <t>Semestre</t>
  </si>
  <si>
    <t>Nombre asignatura o módulo</t>
  </si>
  <si>
    <t>Tipología asignatura o módulo</t>
  </si>
  <si>
    <t>C.Fundamentación</t>
  </si>
  <si>
    <t>C.Profundización</t>
  </si>
  <si>
    <t>Créditos</t>
  </si>
  <si>
    <t>Número de horas de trabajo directo</t>
  </si>
  <si>
    <t>Número de horas de trabajo independiente</t>
  </si>
  <si>
    <t>Total de horas</t>
  </si>
  <si>
    <t>Núcleos temáticos</t>
  </si>
  <si>
    <t>Actividades de aprendizaje</t>
  </si>
  <si>
    <t>Actividades de evaluación</t>
  </si>
  <si>
    <t>Acciones de retroalimentación</t>
  </si>
  <si>
    <t>I</t>
  </si>
  <si>
    <t>Habilidades Gerenciales</t>
  </si>
  <si>
    <t>Reconoce las herramientas de liderazgo y manejo de equipo, para generar planes de trabajo de acuerdo con el contexto específico.
Identifica los estilos de liderazgo para reconocer las habilidades personales y cómo desarrollarlas en un contexto específico.</t>
  </si>
  <si>
    <t>TP</t>
  </si>
  <si>
    <t>X</t>
  </si>
  <si>
    <t xml:space="preserve">1. Gestión del tiempo  
2.  Liderazgo  
3. Técnicas de Negociación  
4. Trabajo en Equipo  </t>
  </si>
  <si>
    <t>Trabajo directo:
- Cátedra magistral activa.
- Talleres individuales o grupales.
- Estudio de caso.
- Lecturas.
Trabajo independiente:
- Talleres individuales o grupales.
- Estudio de caso.
- Lecturas.</t>
  </si>
  <si>
    <t>Evaluación Formativa:
- Preguntas por medio de cuestionario
 - Exposición de los temas asociados a la asignatura
- Estudio de casos.
- Diálogo reflexivo.
Evaluación Sumativa:
- Quiz.
- Talleres.
- Estudio de sentencias.</t>
  </si>
  <si>
    <t xml:space="preserve">Las alternativas de retroalimentación del programa varían entre las siguientes:
Informar: a través de los anuncios, mensajería o foros sobre las bases de datos para el desarrollo de las investigaciones necesarias para los casos de estudio propuestos por los estudiantes. 
Formar: con el análisis de los documentos presentados a los largo del módulo, se analizan las respuesta de los estudiantes y a partir de ello se realizan las anotaciones sobre las necesidades del caso expuesto para contribuir a la mejora del proyecto propuesto.  
Prevenir: a través de foros de participación en los que los estudiantes pueden exponer sus dudas. 
Ayudar a tomar de tomar decisiones: con respecto a las investigaciones en el tema a tratar. </t>
  </si>
  <si>
    <t>Hermenéutica Jurídica Tributaria</t>
  </si>
  <si>
    <t>Interpreta la normatividad tributaria para determinar el contexto de aplicación.</t>
  </si>
  <si>
    <t>T</t>
  </si>
  <si>
    <t>1, Aspectos generales de la hermenéutica jurídica
2, Evolución y tendencias de la hermenéutica jurídica
3, Interpretación jurídico-tributaria: características y postulados
4,Técnicas de interpretación jurídico-tributaria</t>
  </si>
  <si>
    <t>Impuestos de Renta y Complementarios</t>
  </si>
  <si>
    <t>Reconoce la normativa relacionada con el impuesto sobre la renta y complementarios para proponer estrategias de cumplimiento y optimización de la carga fiscal en casos concretos de aplicación.</t>
  </si>
  <si>
    <t>1, Patrimonio fiscal
2, Ingresos, costos, deducciones y depuración de los dividendos
3,Ganancias ocasionales y determinación de la renta liquida
4,Determinación del impuesto y tasa de tributación depurada</t>
  </si>
  <si>
    <t>Impuestos Nacionales</t>
  </si>
  <si>
    <t>Reconoce la normativa relacionada con impuestos directos e indirectos del orden nacional para proponer estrategias de cumplimiento y optimización de la carga fiscal en casos concretos de aplicación.</t>
  </si>
  <si>
    <t>1, Teoría General del Tributo
2,Impuestos directos,  indirectos y Retención en la Fuente
3, otros tributos
4, Impuestos directos e indirectos en el ámbito internacional</t>
  </si>
  <si>
    <t>Impuestos Subnacionales</t>
  </si>
  <si>
    <t>Reconoce la normativa relacionada con los impuestos subnacionales para proponer estrategias de cumplimiento y optimización de la carga fiscal en casos concretos de aplicación.</t>
  </si>
  <si>
    <t>1, Teoría de la descentralización
2, Impuestos subnacionales y retención en la fuente
3,Impuestos subnacionales en el ámbito de internacional
4, Procedimiento tributario casos específicos</t>
  </si>
  <si>
    <t>II</t>
  </si>
  <si>
    <t>Régimen Cambiario y Aduanero</t>
  </si>
  <si>
    <t>Reconoce la normativa relacionada con el régimen cambiario y aduanero para proponer estrategias de cumplimiento en los procesos de importación y exportación, y de optimización de las cargas fiscales en casos concretos de aplicación.</t>
  </si>
  <si>
    <t>1. Régimen Aduanero
2. Régimen de Importación y Modalidades
3. Régimen de Exportación e Instrumentos de Promoción al Comercio Exterior
4. Fiscalización Aduanera, Régimen Sancionatorio y Procedimientos Administrativos</t>
  </si>
  <si>
    <t>Régimen Procedimental aplicado a la Obligación Tributaria</t>
  </si>
  <si>
    <t>Reconoce la normatividad relacionada con el régimen procedimental aplicado a la aplicación tributaria para proponer estrategias de cumplimiento de la obligación y presentación de argumentos cuando proceda.</t>
  </si>
  <si>
    <t>1, Fuentes directas e Indirectas
2,Capacidad y representación
3, Notificación y Cumplimiento de principio de publicidad
4, Etapas de Procedimiento</t>
  </si>
  <si>
    <t>Auditoría y Planeación Tributaria</t>
  </si>
  <si>
    <t>Reconoce procedimientos y técnicas de auditoría y planeación tributaria para proponer estrategias de cumplimiento y optimización de la carga fiscal en casos concretos de aplicación.</t>
  </si>
  <si>
    <t>1, Fundamentos de la planeación tributaria
2,Estructuración de esquemas de planeación tributaria
3,Detección y evaluación de riesgos tributarios
4,Auditoría en materia tributaria</t>
  </si>
  <si>
    <t>Tributación Internacional y Precios de Transferencia</t>
  </si>
  <si>
    <t>Reconoce la normatividad relacionada con tributación internacional y precios de transferencia para proponer estrategias de cumplimiento y optimización de la carga fiscal en casos concretos de aplicación.</t>
  </si>
  <si>
    <t>1, Principios y fundamentos básicos de la tributación internacional.
2, Aspectos tributarios de los precios de transferencia
3, Determinación de los precios de Transferencia
4,Documentación comprobatoria</t>
  </si>
  <si>
    <t xml:space="preserve">Trabajo directo:
- Cátedra magistral activa.
- Talleres individuales o grupales.
- Estudio de caso.
- Lecturas.
Trabajo independiente:
- Talleres individuales o grupales.
- Estudio de caso.
- Lecturas.
</t>
  </si>
  <si>
    <t>Electiva</t>
  </si>
  <si>
    <t>Número de módulos del programa</t>
  </si>
  <si>
    <t>Total créditos programa</t>
  </si>
  <si>
    <t>Total créditos fundamentación</t>
  </si>
  <si>
    <t>Total créditos profundización</t>
  </si>
  <si>
    <t>Verbos Competencias</t>
  </si>
  <si>
    <t>Actualizar</t>
  </si>
  <si>
    <t>Administrar</t>
  </si>
  <si>
    <t>Asegurar</t>
  </si>
  <si>
    <t>Asesorar</t>
  </si>
  <si>
    <t>Auditar</t>
  </si>
  <si>
    <t>Comunicar</t>
  </si>
  <si>
    <t>Conducir</t>
  </si>
  <si>
    <t>Conocer</t>
  </si>
  <si>
    <t>Coordinar</t>
  </si>
  <si>
    <t>Definir</t>
  </si>
  <si>
    <t>Desarrollar</t>
  </si>
  <si>
    <t>Dirigir</t>
  </si>
  <si>
    <t>Establecer</t>
  </si>
  <si>
    <t>Evaluar</t>
  </si>
  <si>
    <t>Fiscalizar</t>
  </si>
  <si>
    <t>Formular</t>
  </si>
  <si>
    <t>Generar</t>
  </si>
  <si>
    <t>Gestionar</t>
  </si>
  <si>
    <t>Hacer</t>
  </si>
  <si>
    <t>Implementar</t>
  </si>
  <si>
    <t>Liderar</t>
  </si>
  <si>
    <t>Modelar</t>
  </si>
  <si>
    <t>Participar</t>
  </si>
  <si>
    <t>Planear</t>
  </si>
  <si>
    <t>Presidir</t>
  </si>
  <si>
    <t>Producir</t>
  </si>
  <si>
    <t>Resolver</t>
  </si>
  <si>
    <t>Sistematizar</t>
  </si>
  <si>
    <t>Supervisar</t>
  </si>
  <si>
    <t>Transformar</t>
  </si>
  <si>
    <t>Validar</t>
  </si>
  <si>
    <t>Verificar</t>
  </si>
  <si>
    <t>Taxonomía de Bloom Adaptada bajo las ideas de Anderson y Krathwohl</t>
  </si>
  <si>
    <t>Taxonomía de Bloom adaptada bajo las ideas de Lorin y Krathwohl (LK)</t>
  </si>
  <si>
    <t>Taxonomía de Bloom adaptada bajo las ideas de Anderson y Kendal (AK)</t>
  </si>
  <si>
    <t>Taxonomía de Bloom</t>
  </si>
  <si>
    <t>Cognitivo(BAK)</t>
  </si>
  <si>
    <t>Procedimental(BAK)</t>
  </si>
  <si>
    <t>Actitudinal(BAK)</t>
  </si>
  <si>
    <t>Taxonomías</t>
  </si>
  <si>
    <t>BAK</t>
  </si>
  <si>
    <t>LK</t>
  </si>
  <si>
    <t>AK</t>
  </si>
  <si>
    <t>ConocimientoB</t>
  </si>
  <si>
    <t>ComprensiónB</t>
  </si>
  <si>
    <t>AplicaciónB</t>
  </si>
  <si>
    <t>AnálisisB</t>
  </si>
  <si>
    <t>EvaluaciónB</t>
  </si>
  <si>
    <t>ConocimientoBAK</t>
  </si>
  <si>
    <t>ComprensiónBAK</t>
  </si>
  <si>
    <t>AplicaciónBAK</t>
  </si>
  <si>
    <t>AnálisisBAK</t>
  </si>
  <si>
    <t>SíntesisBAK</t>
  </si>
  <si>
    <t>EvaluaciónBAK</t>
  </si>
  <si>
    <t>ImitaciónBAK</t>
  </si>
  <si>
    <t>ManipulaciónBAK</t>
  </si>
  <si>
    <t>PrecisiónBAK</t>
  </si>
  <si>
    <t>ControlBAK</t>
  </si>
  <si>
    <t>PercepciónBAK</t>
  </si>
  <si>
    <t>ResponderBAK</t>
  </si>
  <si>
    <t>ValorarBAK</t>
  </si>
  <si>
    <t>OrganizarBAK</t>
  </si>
  <si>
    <t>CaracterizarBAK</t>
  </si>
  <si>
    <t>Procesos cognitivos de orden inferior</t>
  </si>
  <si>
    <t>Procesos cognitivos de orden superior</t>
  </si>
  <si>
    <t>CognitivoBAK</t>
  </si>
  <si>
    <t>HechosLK</t>
  </si>
  <si>
    <t>InformaciónAK</t>
  </si>
  <si>
    <t>Adquirir</t>
  </si>
  <si>
    <t>Aislar</t>
  </si>
  <si>
    <t>Adaptar</t>
  </si>
  <si>
    <t>Aconsejar</t>
  </si>
  <si>
    <t>Ajustar</t>
  </si>
  <si>
    <t>Direccionar</t>
  </si>
  <si>
    <t>Disponer</t>
  </si>
  <si>
    <t>Remover</t>
  </si>
  <si>
    <t>Aprobar</t>
  </si>
  <si>
    <t>Adoptar</t>
  </si>
  <si>
    <t>Extraer</t>
  </si>
  <si>
    <t>Negociar</t>
  </si>
  <si>
    <t>RecordarLK</t>
  </si>
  <si>
    <t>ComprenderLK</t>
  </si>
  <si>
    <t>AplicarLK</t>
  </si>
  <si>
    <t>AnalizarLK</t>
  </si>
  <si>
    <t>EvaluarLK</t>
  </si>
  <si>
    <t>CrearLK</t>
  </si>
  <si>
    <t>RecuperaciónAK</t>
  </si>
  <si>
    <t>ComprensiónAK</t>
  </si>
  <si>
    <t>AnálisisAK</t>
  </si>
  <si>
    <t>UsoConocimientoAK</t>
  </si>
  <si>
    <t>MetacogniciónAK</t>
  </si>
  <si>
    <t>SistemadelYoAK</t>
  </si>
  <si>
    <t>ProcedimentalBAK</t>
  </si>
  <si>
    <t>ConceptosLK</t>
  </si>
  <si>
    <t>ProcesosMentalesAK</t>
  </si>
  <si>
    <t>Buscar</t>
  </si>
  <si>
    <t>Bosquejar</t>
  </si>
  <si>
    <t>Calisificar</t>
  </si>
  <si>
    <t>Analizar</t>
  </si>
  <si>
    <t>Adjuntar</t>
  </si>
  <si>
    <t>Desmontar</t>
  </si>
  <si>
    <t>Quitar</t>
  </si>
  <si>
    <t>Autorizar</t>
  </si>
  <si>
    <t>Resumir</t>
  </si>
  <si>
    <t>Ofrecer</t>
  </si>
  <si>
    <t>Afirmar</t>
  </si>
  <si>
    <t>Clasificar</t>
  </si>
  <si>
    <t>Actuar</t>
  </si>
  <si>
    <t>Agrupar</t>
  </si>
  <si>
    <t>Aceptar</t>
  </si>
  <si>
    <t>ActitudinalBAK</t>
  </si>
  <si>
    <t>ProcedimientoslLK</t>
  </si>
  <si>
    <t>PsicomotorAK</t>
  </si>
  <si>
    <t>Citar</t>
  </si>
  <si>
    <t>Comentar</t>
  </si>
  <si>
    <t>Combinar</t>
  </si>
  <si>
    <t>Calcular</t>
  </si>
  <si>
    <t>Arreglar</t>
  </si>
  <si>
    <t>Agregar</t>
  </si>
  <si>
    <t>Modificar</t>
  </si>
  <si>
    <t>Dramatizar</t>
  </si>
  <si>
    <t>Apalancar</t>
  </si>
  <si>
    <t>Suprimir</t>
  </si>
  <si>
    <t>Demostrar</t>
  </si>
  <si>
    <t>Promover</t>
  </si>
  <si>
    <t>Comparar</t>
  </si>
  <si>
    <t>Añadir</t>
  </si>
  <si>
    <t>Elaborar</t>
  </si>
  <si>
    <t>Adelantar</t>
  </si>
  <si>
    <t>MetacogniciónLK</t>
  </si>
  <si>
    <t>Consignar</t>
  </si>
  <si>
    <t>Componer</t>
  </si>
  <si>
    <t>Categorizar</t>
  </si>
  <si>
    <t>Alinear</t>
  </si>
  <si>
    <t>Concretar</t>
  </si>
  <si>
    <t>Docificar</t>
  </si>
  <si>
    <t>Levantar</t>
  </si>
  <si>
    <t>Eliminar</t>
  </si>
  <si>
    <t>Comportarse bajo condiciones</t>
  </si>
  <si>
    <t>Copiar</t>
  </si>
  <si>
    <t>Contrastar</t>
  </si>
  <si>
    <t>Asumir</t>
  </si>
  <si>
    <t>Apoyar</t>
  </si>
  <si>
    <t>Maximizar</t>
  </si>
  <si>
    <t>Afinar</t>
  </si>
  <si>
    <t>Decir</t>
  </si>
  <si>
    <t>Convertir</t>
  </si>
  <si>
    <t>Articular</t>
  </si>
  <si>
    <t>Arbitrar</t>
  </si>
  <si>
    <t>Dibujar</t>
  </si>
  <si>
    <t>Estimular</t>
  </si>
  <si>
    <t>Retirar</t>
  </si>
  <si>
    <t>Ratificar</t>
  </si>
  <si>
    <t>Fomentar</t>
  </si>
  <si>
    <t>Completar</t>
  </si>
  <si>
    <t>Buscar similitudes</t>
  </si>
  <si>
    <t>Argumentar</t>
  </si>
  <si>
    <t>Mejorar</t>
  </si>
  <si>
    <t>Agradecer</t>
  </si>
  <si>
    <t>Criticar</t>
  </si>
  <si>
    <t>Construir</t>
  </si>
  <si>
    <t>Considerar</t>
  </si>
  <si>
    <t>Aumentar</t>
  </si>
  <si>
    <t>Trazar</t>
  </si>
  <si>
    <t>Localizar</t>
  </si>
  <si>
    <t>Extirpar</t>
  </si>
  <si>
    <t>Manejar</t>
  </si>
  <si>
    <t>Apreciar</t>
  </si>
  <si>
    <t>Anticipar</t>
  </si>
  <si>
    <t>Discutir</t>
  </si>
  <si>
    <t>Conectar</t>
  </si>
  <si>
    <t>Cambiar</t>
  </si>
  <si>
    <t>Minimizar</t>
  </si>
  <si>
    <t>Ambicionar</t>
  </si>
  <si>
    <t>Deletrear</t>
  </si>
  <si>
    <t>Dar ejemplos</t>
  </si>
  <si>
    <t>Ubicar</t>
  </si>
  <si>
    <t>Disipar</t>
  </si>
  <si>
    <t>Guiar</t>
  </si>
  <si>
    <t>Comprender</t>
  </si>
  <si>
    <t>Proponer</t>
  </si>
  <si>
    <t>Acabar</t>
  </si>
  <si>
    <t>Ejemplificar</t>
  </si>
  <si>
    <t xml:space="preserve">Construir </t>
  </si>
  <si>
    <t>Centrarse</t>
  </si>
  <si>
    <t>Anhelar</t>
  </si>
  <si>
    <t>ProcedimientosLK</t>
  </si>
  <si>
    <t>Debatir</t>
  </si>
  <si>
    <t>Determinar</t>
  </si>
  <si>
    <t>Atar</t>
  </si>
  <si>
    <t>Encontrar</t>
  </si>
  <si>
    <t>Realizar</t>
  </si>
  <si>
    <t>Hablar</t>
  </si>
  <si>
    <t>Defender</t>
  </si>
  <si>
    <t>Terminar</t>
  </si>
  <si>
    <t xml:space="preserve">Duplicar </t>
  </si>
  <si>
    <t>Esquematizar</t>
  </si>
  <si>
    <t>Pensar</t>
  </si>
  <si>
    <t>Describir</t>
  </si>
  <si>
    <t>Cuestionar</t>
  </si>
  <si>
    <t>Computar</t>
  </si>
  <si>
    <t>Perforar</t>
  </si>
  <si>
    <t>Colocar</t>
  </si>
  <si>
    <t>Reproducir</t>
  </si>
  <si>
    <t>Emplear</t>
  </si>
  <si>
    <t>Estimar</t>
  </si>
  <si>
    <t>Proteger</t>
  </si>
  <si>
    <t>Contextualizar</t>
  </si>
  <si>
    <t>Elegir</t>
  </si>
  <si>
    <t>Explicar</t>
  </si>
  <si>
    <t>Correlacionar</t>
  </si>
  <si>
    <t>Compilar</t>
  </si>
  <si>
    <t xml:space="preserve">Planear </t>
  </si>
  <si>
    <t>Desplegar</t>
  </si>
  <si>
    <t>Discriminar</t>
  </si>
  <si>
    <t>Concluir</t>
  </si>
  <si>
    <t>Calificar</t>
  </si>
  <si>
    <t>Organizar</t>
  </si>
  <si>
    <t>Ejercitar</t>
  </si>
  <si>
    <t>Traducir</t>
  </si>
  <si>
    <t>Cooperar</t>
  </si>
  <si>
    <t>Tasar</t>
  </si>
  <si>
    <t>Escribir</t>
  </si>
  <si>
    <t>Expresar</t>
  </si>
  <si>
    <t>Descomponer</t>
  </si>
  <si>
    <t>Enseñar</t>
  </si>
  <si>
    <t>Deducir</t>
  </si>
  <si>
    <t>Censurar</t>
  </si>
  <si>
    <t>Ordenar</t>
  </si>
  <si>
    <t>Hallar</t>
  </si>
  <si>
    <t>Entregar</t>
  </si>
  <si>
    <t>Admitir</t>
  </si>
  <si>
    <t>Colaborar</t>
  </si>
  <si>
    <t>Aspirar</t>
  </si>
  <si>
    <t>Leer</t>
  </si>
  <si>
    <t>Generalizar</t>
  </si>
  <si>
    <t>Diferenciar</t>
  </si>
  <si>
    <t>Reescribir</t>
  </si>
  <si>
    <t>Asistir</t>
  </si>
  <si>
    <t>Situar</t>
  </si>
  <si>
    <t>Actuar recíprocamente</t>
  </si>
  <si>
    <t>Listar</t>
  </si>
  <si>
    <t>Ilustrar</t>
  </si>
  <si>
    <t>Distinguir</t>
  </si>
  <si>
    <t>Convencer</t>
  </si>
  <si>
    <t>Simplificar</t>
  </si>
  <si>
    <t>Duplicar</t>
  </si>
  <si>
    <t>Detectar</t>
  </si>
  <si>
    <t>Crear</t>
  </si>
  <si>
    <t>Acordar</t>
  </si>
  <si>
    <t>Bajar</t>
  </si>
  <si>
    <t>Valorar</t>
  </si>
  <si>
    <t>Obrar recíprocamente</t>
  </si>
  <si>
    <t>Discernir</t>
  </si>
  <si>
    <t>Inferir</t>
  </si>
  <si>
    <t>Dividir</t>
  </si>
  <si>
    <t>Suponer</t>
  </si>
  <si>
    <t>Atender</t>
  </si>
  <si>
    <t>Etiquetar</t>
  </si>
  <si>
    <t>Diagramar</t>
  </si>
  <si>
    <t>Decidir</t>
  </si>
  <si>
    <t>Manipular</t>
  </si>
  <si>
    <t>Reparar</t>
  </si>
  <si>
    <t>Recitar</t>
  </si>
  <si>
    <t>Creer</t>
  </si>
  <si>
    <t>Percibir</t>
  </si>
  <si>
    <t>Memorizar</t>
  </si>
  <si>
    <t xml:space="preserve">Informar </t>
  </si>
  <si>
    <t>Entrevistar</t>
  </si>
  <si>
    <t>Sustituir</t>
  </si>
  <si>
    <t>Examinar</t>
  </si>
  <si>
    <t>Emparejar</t>
  </si>
  <si>
    <t>Conformar</t>
  </si>
  <si>
    <t>Armar</t>
  </si>
  <si>
    <t>Ser partidario de</t>
  </si>
  <si>
    <t>Identificar</t>
  </si>
  <si>
    <t>Juzgar</t>
  </si>
  <si>
    <t>Mostrar</t>
  </si>
  <si>
    <t>Hacer uso</t>
  </si>
  <si>
    <t>Teorizar</t>
  </si>
  <si>
    <t>ProcesosAK</t>
  </si>
  <si>
    <t>Derivar</t>
  </si>
  <si>
    <t>Constrastar</t>
  </si>
  <si>
    <t>Ensamblar</t>
  </si>
  <si>
    <t>Medir</t>
  </si>
  <si>
    <t>Reemplazar</t>
  </si>
  <si>
    <t>Enumerar</t>
  </si>
  <si>
    <t>Cuidar</t>
  </si>
  <si>
    <t>Reconocer</t>
  </si>
  <si>
    <t>Nombrar</t>
  </si>
  <si>
    <t>Encuestar</t>
  </si>
  <si>
    <t>Testar</t>
  </si>
  <si>
    <t>Grabar</t>
  </si>
  <si>
    <t>Exponer</t>
  </si>
  <si>
    <t>Contabilizar</t>
  </si>
  <si>
    <t>Reunir</t>
  </si>
  <si>
    <t>Ejecutar</t>
  </si>
  <si>
    <t>Racionar</t>
  </si>
  <si>
    <t>Preguntar</t>
  </si>
  <si>
    <t>Narrar</t>
  </si>
  <si>
    <t>Observar</t>
  </si>
  <si>
    <t>Controlar</t>
  </si>
  <si>
    <t>Explorar</t>
  </si>
  <si>
    <t>Separer</t>
  </si>
  <si>
    <t>Reponer</t>
  </si>
  <si>
    <t>Interrogar</t>
  </si>
  <si>
    <t>Referir</t>
  </si>
  <si>
    <t>Servir</t>
  </si>
  <si>
    <t>Omitir</t>
  </si>
  <si>
    <t>Parafrasear</t>
  </si>
  <si>
    <t>Visualizar</t>
  </si>
  <si>
    <t>Aunar</t>
  </si>
  <si>
    <t>Estructurar</t>
  </si>
  <si>
    <t>Desempeñar</t>
  </si>
  <si>
    <t>Corregir</t>
  </si>
  <si>
    <t>Edificar</t>
  </si>
  <si>
    <t>Publicar</t>
  </si>
  <si>
    <t>Preocuparse de o por</t>
  </si>
  <si>
    <t>Cumplir</t>
  </si>
  <si>
    <t>Rastrear</t>
  </si>
  <si>
    <t>Predecir</t>
  </si>
  <si>
    <t>Encajar</t>
  </si>
  <si>
    <t>Repartir</t>
  </si>
  <si>
    <t>Asisitir</t>
  </si>
  <si>
    <t>Ejercer</t>
  </si>
  <si>
    <t>Inspeccionar</t>
  </si>
  <si>
    <t>Descubrir</t>
  </si>
  <si>
    <t>Experimentar</t>
  </si>
  <si>
    <t>Mezclar</t>
  </si>
  <si>
    <t>Seleccionar</t>
  </si>
  <si>
    <t>Relacionar</t>
  </si>
  <si>
    <t>Practicar</t>
  </si>
  <si>
    <t>Investigar</t>
  </si>
  <si>
    <t>Constatar</t>
  </si>
  <si>
    <t>AutoSistemaAK</t>
  </si>
  <si>
    <t>Mostar</t>
  </si>
  <si>
    <t>Culminar</t>
  </si>
  <si>
    <t>Preparar</t>
  </si>
  <si>
    <t>Acceder</t>
  </si>
  <si>
    <t>Porcionar</t>
  </si>
  <si>
    <t>Correr</t>
  </si>
  <si>
    <t>Escoger</t>
  </si>
  <si>
    <t>Motivar</t>
  </si>
  <si>
    <t>Compartir</t>
  </si>
  <si>
    <t>Indicar</t>
  </si>
  <si>
    <t>Inventariar</t>
  </si>
  <si>
    <t>Llevar</t>
  </si>
  <si>
    <t>Ocupar</t>
  </si>
  <si>
    <t>Relatar</t>
  </si>
  <si>
    <t>Soportar</t>
  </si>
  <si>
    <t>Revisar</t>
  </si>
  <si>
    <t>Numerar</t>
  </si>
  <si>
    <t>Convocar</t>
  </si>
  <si>
    <t>Revelar</t>
  </si>
  <si>
    <t>Repetir</t>
  </si>
  <si>
    <t>Mover</t>
  </si>
  <si>
    <t>Seguir</t>
  </si>
  <si>
    <t>Contar</t>
  </si>
  <si>
    <t>Unir</t>
  </si>
  <si>
    <t>Exteriorizar</t>
  </si>
  <si>
    <t>Simular</t>
  </si>
  <si>
    <t>Obtener</t>
  </si>
  <si>
    <t>Estudiar</t>
  </si>
  <si>
    <t>Comprobar</t>
  </si>
  <si>
    <t>Maniobrar</t>
  </si>
  <si>
    <t>Trasladar</t>
  </si>
  <si>
    <t>Informar</t>
  </si>
  <si>
    <t>Transferir</t>
  </si>
  <si>
    <t>Priorizar</t>
  </si>
  <si>
    <t>Extender</t>
  </si>
  <si>
    <t>Figurar</t>
  </si>
  <si>
    <t>Escuchar</t>
  </si>
  <si>
    <t>Probar</t>
  </si>
  <si>
    <t>Esculpir</t>
  </si>
  <si>
    <t>Anotar</t>
  </si>
  <si>
    <t>Usar</t>
  </si>
  <si>
    <t>Razonar</t>
  </si>
  <si>
    <t>Hipotetizar</t>
  </si>
  <si>
    <t>Emitir</t>
  </si>
  <si>
    <t>Entallar</t>
  </si>
  <si>
    <t>Proporcionar</t>
  </si>
  <si>
    <t>Reorganizar</t>
  </si>
  <si>
    <t>Influir</t>
  </si>
  <si>
    <t>Presentar</t>
  </si>
  <si>
    <t>Operar</t>
  </si>
  <si>
    <t>Registrar</t>
  </si>
  <si>
    <t>Abrir</t>
  </si>
  <si>
    <t>Resaltar</t>
  </si>
  <si>
    <t>Innovar</t>
  </si>
  <si>
    <t>Limpiar</t>
  </si>
  <si>
    <t>Destapar</t>
  </si>
  <si>
    <t>Coser</t>
  </si>
  <si>
    <t>Contribuir</t>
  </si>
  <si>
    <t>Separar</t>
  </si>
  <si>
    <t>Justificar</t>
  </si>
  <si>
    <t>Reportar</t>
  </si>
  <si>
    <t>Patronar</t>
  </si>
  <si>
    <t>Filtrar</t>
  </si>
  <si>
    <t>Instalar</t>
  </si>
  <si>
    <t>Comenzar</t>
  </si>
  <si>
    <t>Soldar</t>
  </si>
  <si>
    <t>Provocar</t>
  </si>
  <si>
    <t>Subdividir</t>
  </si>
  <si>
    <t>Poner</t>
  </si>
  <si>
    <t>Recordar</t>
  </si>
  <si>
    <t>Recoger</t>
  </si>
  <si>
    <t>Opinar</t>
  </si>
  <si>
    <t>Introducir</t>
  </si>
  <si>
    <t>Recaudar</t>
  </si>
  <si>
    <t>Impulsar</t>
  </si>
  <si>
    <t>Originar</t>
  </si>
  <si>
    <t>Inventar</t>
  </si>
  <si>
    <t>Juntar</t>
  </si>
  <si>
    <t>Finalizar</t>
  </si>
  <si>
    <t>Ampliar</t>
  </si>
  <si>
    <t>Ensanchar</t>
  </si>
  <si>
    <t>Persuadir</t>
  </si>
  <si>
    <t>Formar</t>
  </si>
  <si>
    <t>Cotejar</t>
  </si>
  <si>
    <t>Premiar</t>
  </si>
  <si>
    <t>Repasar</t>
  </si>
  <si>
    <t>Rotular</t>
  </si>
  <si>
    <t>Empaquetar</t>
  </si>
  <si>
    <t>Balancear</t>
  </si>
  <si>
    <t>Recomendar</t>
  </si>
  <si>
    <t>Marcar</t>
  </si>
  <si>
    <t>Envasar</t>
  </si>
  <si>
    <t>Subrayar</t>
  </si>
  <si>
    <t>Pintar</t>
  </si>
  <si>
    <t>Cortar</t>
  </si>
  <si>
    <t>Recortar</t>
  </si>
  <si>
    <t>Sincronizar</t>
  </si>
  <si>
    <t>Bailar</t>
  </si>
  <si>
    <t>Perfeccionar</t>
  </si>
  <si>
    <t>Peritar</t>
  </si>
  <si>
    <t>Planificar</t>
  </si>
  <si>
    <t>Pronosticar</t>
  </si>
  <si>
    <t>Señalar</t>
  </si>
  <si>
    <t>Difundir</t>
  </si>
  <si>
    <t>Tocar</t>
  </si>
  <si>
    <t>Transmitir</t>
  </si>
  <si>
    <t>Representar</t>
  </si>
  <si>
    <t>Tapizar</t>
  </si>
  <si>
    <t>Entrenar</t>
  </si>
  <si>
    <t>Proyectar</t>
  </si>
  <si>
    <t>Sacar</t>
  </si>
  <si>
    <t>Utilizar</t>
  </si>
  <si>
    <t>Sugerir</t>
  </si>
  <si>
    <t>Imprimir</t>
  </si>
  <si>
    <t>Ponderar</t>
  </si>
  <si>
    <t>Estampar</t>
  </si>
  <si>
    <t>Mecanizar</t>
  </si>
  <si>
    <t>Industrializar</t>
  </si>
  <si>
    <t>Codificar</t>
  </si>
  <si>
    <t>Fabricar</t>
  </si>
  <si>
    <t>Vincular</t>
  </si>
  <si>
    <t>Reducir</t>
  </si>
  <si>
    <t>Mitigar</t>
  </si>
  <si>
    <t>Indicadores de logro asignatura o módulo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</si>
</sst>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0" x14ac:knownFonts="1">
    <font>
      <sz val="11"/>
      <color theme="1"/>
      <name val="Calibri"/>
      <family val="2"/>
      <scheme val="minor"/>
    </font>
    <font>
      <sz val="9"/>
      <color indexed="81"/>
      <name val="Tahoma"/>
      <family val="2"/>
    </font>
    <font>
      <b/>
      <sz val="9"/>
      <color indexed="81"/>
      <name val="Tahoma"/>
      <family val="2"/>
    </font>
    <font>
      <sz val="11"/>
      <color theme="1"/>
      <name val="Gill Sans MT"/>
      <family val="2"/>
    </font>
    <font>
      <sz val="11"/>
      <color rgb="FF000000"/>
      <name val="Gill Sans MT"/>
      <family val="2"/>
    </font>
    <font>
      <b/>
      <sz val="11"/>
      <color theme="0"/>
      <name val="Gill Sans MT"/>
      <family val="2"/>
    </font>
    <font>
      <sz val="9"/>
      <color theme="0"/>
      <name val="Gill Sans MT"/>
      <family val="2"/>
    </font>
    <font>
      <sz val="11"/>
      <color theme="0"/>
      <name val="Gill Sans MT"/>
      <family val="2"/>
    </font>
    <font>
      <sz val="9"/>
      <color theme="1"/>
      <name val="Gill Sans MT"/>
      <family val="2"/>
    </font>
    <font>
      <b/>
      <sz val="9"/>
      <color theme="0"/>
      <name val="Gill Sans MT"/>
      <family val="2"/>
    </font>
    <font>
      <sz val="9"/>
      <color rgb="FFFF0000"/>
      <name val="Gill Sans MT"/>
      <family val="2"/>
    </font>
    <font>
      <sz val="9"/>
      <color rgb="FF0070C0"/>
      <name val="Gill Sans MT"/>
      <family val="2"/>
    </font>
    <font>
      <sz val="9"/>
      <color rgb="FF00B050"/>
      <name val="Gill Sans MT"/>
      <family val="2"/>
    </font>
    <font>
      <sz val="11"/>
      <color rgb="FFFF0000"/>
      <name val="Gill Sans MT"/>
      <family val="2"/>
    </font>
    <font>
      <sz val="9"/>
      <color theme="1"/>
      <name val="Gill Sans MT"/>
    </font>
    <font>
      <sz val="8"/>
      <color theme="1"/>
      <name val="Gill Sans MT"/>
      <family val="2"/>
    </font>
    <font>
      <b/>
      <sz val="11"/>
      <color theme="0"/>
      <name val="Gill Sans MT"/>
    </font>
    <font>
      <b/>
      <sz val="11"/>
      <color theme="1"/>
      <name val="Gill Sans MT"/>
    </font>
    <font>
      <b/>
      <sz val="11"/>
      <color rgb="FF000000"/>
      <name val="Gill Sans MT"/>
    </font>
    <font>
      <sz val="8"/>
      <color theme="0"/>
      <name val="Gill Sans MT"/>
    </font>
    <font>
      <sz val="8"/>
      <color theme="1"/>
      <name val="Gill Sans MT"/>
    </font>
    <font>
      <sz val="11"/>
      <color theme="1"/>
      <name val="Gill Sans MT"/>
    </font>
    <font>
      <sz val="8"/>
      <color theme="0"/>
      <name val="Gill Sans MT"/>
      <family val="2"/>
    </font>
    <font>
      <b/>
      <sz val="11"/>
      <color theme="1"/>
      <name val="Gill Sans MT"/>
      <family val="2"/>
    </font>
    <font>
      <sz val="8"/>
      <color rgb="FFFFFFFF"/>
      <name val="Gill Sans MT"/>
    </font>
    <font>
      <b/>
      <sz val="11"/>
      <color rgb="FFFFFFFF"/>
      <name val="Gill Sans MT"/>
      <family val="2"/>
    </font>
    <font>
      <sz val="11"/>
      <name val="Gill Sans MT"/>
      <family val="2"/>
    </font>
    <font>
      <sz val="11"/>
      <color rgb="FF000000"/>
      <name val="Gill Sans MT"/>
    </font>
    <font>
      <sz val="8"/>
      <color rgb="FFFFFFFF"/>
      <name val="Gill Sans MT"/>
      <family val="2"/>
    </font>
    <font>
      <b/>
      <sz val="11"/>
      <name val="Gill Sans MT"/>
      <family val="2"/>
    </font>
  </fonts>
  <fills count="9">
    <fill>
      <patternFill patternType="none"/>
    </fill>
    <fill>
      <patternFill patternType="gray125"/>
    </fill>
    <fill>
      <patternFill patternType="solid">
        <fgColor rgb="FF0F385A"/>
        <bgColor indexed="64"/>
      </patternFill>
    </fill>
    <fill>
      <patternFill patternType="solid">
        <fgColor rgb="FF1FB2DE"/>
        <bgColor indexed="64"/>
      </patternFill>
    </fill>
    <fill>
      <patternFill patternType="solid">
        <fgColor theme="8" tint="0.79998168889431442"/>
        <bgColor indexed="64"/>
      </patternFill>
    </fill>
    <fill>
      <patternFill patternType="solid">
        <fgColor theme="4"/>
        <bgColor indexed="64"/>
      </patternFill>
    </fill>
    <fill>
      <patternFill patternType="solid">
        <fgColor theme="4" tint="0.79998168889431442"/>
        <bgColor theme="4" tint="0.79998168889431442"/>
      </patternFill>
    </fill>
    <fill>
      <patternFill patternType="solid">
        <fgColor rgb="FF0F385A"/>
        <bgColor rgb="FF000000"/>
      </patternFill>
    </fill>
    <fill>
      <patternFill patternType="solid">
        <fgColor theme="4" tint="0.79998168889431442"/>
        <bgColor indexed="64"/>
      </patternFill>
    </fill>
  </fills>
  <borders count="28">
    <border>
      <left/>
      <right/>
      <top/>
      <bottom/>
      <diagonal/>
    </border>
    <border>
      <left/>
      <right/>
      <top style="thin">
        <color rgb="FF1FB2DE"/>
      </top>
      <bottom/>
      <diagonal/>
    </border>
    <border>
      <left style="thin">
        <color auto="1"/>
      </left>
      <right style="thin">
        <color auto="1"/>
      </right>
      <top style="thin">
        <color auto="1"/>
      </top>
      <bottom style="thin">
        <color auto="1"/>
      </bottom>
      <diagonal/>
    </border>
    <border>
      <left/>
      <right/>
      <top style="thin">
        <color theme="0"/>
      </top>
      <bottom/>
      <diagonal/>
    </border>
    <border>
      <left style="thin">
        <color theme="0"/>
      </left>
      <right/>
      <top/>
      <bottom/>
      <diagonal/>
    </border>
    <border>
      <left/>
      <right style="thin">
        <color theme="0"/>
      </right>
      <top/>
      <bottom/>
      <diagonal/>
    </border>
    <border>
      <left style="thin">
        <color rgb="FF1FB2DE"/>
      </left>
      <right style="thin">
        <color rgb="FF1FB2DE"/>
      </right>
      <top style="thin">
        <color rgb="FF1FB2DE"/>
      </top>
      <bottom style="thin">
        <color rgb="FF1FB2DE"/>
      </bottom>
      <diagonal/>
    </border>
    <border>
      <left style="thin">
        <color rgb="FF1FB2DE"/>
      </left>
      <right style="thin">
        <color rgb="FF1FB2DE"/>
      </right>
      <top style="thin">
        <color rgb="FF1FB2DE"/>
      </top>
      <bottom/>
      <diagonal/>
    </border>
    <border>
      <left style="thin">
        <color theme="4" tint="0.39997558519241921"/>
      </left>
      <right style="thin">
        <color theme="4" tint="0.39997558519241921"/>
      </right>
      <top style="thin">
        <color theme="4" tint="0.39997558519241921"/>
      </top>
      <bottom style="thin">
        <color theme="4" tint="0.39997558519241921"/>
      </bottom>
      <diagonal/>
    </border>
    <border>
      <left style="thin">
        <color theme="4" tint="0.39997558519241921"/>
      </left>
      <right style="thin">
        <color theme="4" tint="0.39997558519241921"/>
      </right>
      <top style="thin">
        <color theme="4" tint="0.39997558519241921"/>
      </top>
      <bottom/>
      <diagonal/>
    </border>
    <border>
      <left/>
      <right style="thin">
        <color rgb="FF1FB2DE"/>
      </right>
      <top style="thin">
        <color rgb="FF1FB2DE"/>
      </top>
      <bottom style="thin">
        <color rgb="FF1FB2DE"/>
      </bottom>
      <diagonal/>
    </border>
    <border>
      <left/>
      <right/>
      <top style="thin">
        <color rgb="FF0F385A"/>
      </top>
      <bottom/>
      <diagonal/>
    </border>
    <border>
      <left style="thin">
        <color rgb="FF0F385A"/>
      </left>
      <right style="thin">
        <color rgb="FF0F385A"/>
      </right>
      <top style="thin">
        <color auto="1"/>
      </top>
      <bottom/>
      <diagonal/>
    </border>
    <border>
      <left/>
      <right/>
      <top style="thin">
        <color auto="1"/>
      </top>
      <bottom/>
      <diagonal/>
    </border>
    <border>
      <left style="thin">
        <color auto="1"/>
      </left>
      <right style="thin">
        <color auto="1"/>
      </right>
      <top style="thin">
        <color auto="1"/>
      </top>
      <bottom/>
      <diagonal/>
    </border>
    <border>
      <left/>
      <right style="thin">
        <color rgb="FF0F385A"/>
      </right>
      <top style="thin">
        <color auto="1"/>
      </top>
      <bottom/>
      <diagonal/>
    </border>
    <border>
      <left style="thin">
        <color rgb="FF000000"/>
      </left>
      <right style="thin">
        <color rgb="FF000000"/>
      </right>
      <top style="thin">
        <color rgb="FF000000"/>
      </top>
      <bottom style="thin">
        <color rgb="FF000000"/>
      </bottom>
      <diagonal/>
    </border>
    <border>
      <left style="thin">
        <color rgb="FF0F385A"/>
      </left>
      <right/>
      <top style="thin">
        <color auto="1"/>
      </top>
      <bottom/>
      <diagonal/>
    </border>
    <border>
      <left style="thin">
        <color auto="1"/>
      </left>
      <right/>
      <top style="thin">
        <color auto="1"/>
      </top>
      <bottom/>
      <diagonal/>
    </border>
    <border>
      <left/>
      <right/>
      <top/>
      <bottom style="medium">
        <color rgb="FF000000"/>
      </bottom>
      <diagonal/>
    </border>
    <border>
      <left style="thin">
        <color rgb="FF1FB2DE"/>
      </left>
      <right/>
      <top style="thin">
        <color rgb="FF1FB2DE"/>
      </top>
      <bottom style="thin">
        <color rgb="FF1FB2DE"/>
      </bottom>
      <diagonal/>
    </border>
    <border>
      <left style="thin">
        <color rgb="FF1FB2DE"/>
      </left>
      <right style="thin">
        <color rgb="FF1FB2DE"/>
      </right>
      <top/>
      <bottom style="thin">
        <color rgb="FF1FB2DE"/>
      </bottom>
      <diagonal/>
    </border>
    <border>
      <left/>
      <right/>
      <top style="thin">
        <color rgb="FF000000"/>
      </top>
      <bottom/>
      <diagonal/>
    </border>
    <border>
      <left/>
      <right/>
      <top/>
      <bottom style="medium">
        <color indexed="64"/>
      </bottom>
      <diagonal/>
    </border>
    <border>
      <left/>
      <right/>
      <top style="medium">
        <color indexed="64"/>
      </top>
      <bottom style="medium">
        <color indexed="64"/>
      </bottom>
      <diagonal/>
    </border>
    <border>
      <left/>
      <right/>
      <top style="medium">
        <color indexed="64"/>
      </top>
      <bottom/>
      <diagonal/>
    </border>
    <border>
      <left style="thin">
        <color rgb="FF1FB2DE"/>
      </left>
      <right style="thin">
        <color auto="1"/>
      </right>
      <top style="thin">
        <color auto="1"/>
      </top>
      <bottom/>
      <diagonal/>
    </border>
    <border>
      <left style="thin">
        <color theme="0"/>
      </left>
      <right style="thin">
        <color auto="1"/>
      </right>
      <top style="thin">
        <color auto="1"/>
      </top>
      <bottom/>
      <diagonal/>
    </border>
  </borders>
  <cellStyleXfs count="1">
    <xf numFmtId="0" fontId="0" fillId="0" borderId="0"/>
  </cellStyleXfs>
  <cellXfs count="148">
    <xf numFmtId="0" fontId="0" fillId="0" borderId="0" xfId="0"/>
    <xf numFmtId="0" fontId="3" fillId="0" borderId="0" xfId="0" applyFont="1"/>
    <xf numFmtId="0" fontId="4" fillId="0" borderId="0" xfId="0" applyFont="1" applyAlignment="1">
      <alignment vertical="center"/>
    </xf>
    <xf numFmtId="0" fontId="3" fillId="0" borderId="0" xfId="0" applyFont="1" applyAlignment="1">
      <alignment horizontal="center"/>
    </xf>
    <xf numFmtId="0" fontId="4" fillId="0" borderId="0" xfId="0" applyFont="1" applyAlignment="1">
      <alignment horizontal="center" vertical="center"/>
    </xf>
    <xf numFmtId="0" fontId="7" fillId="0" borderId="0" xfId="0" applyFont="1" applyAlignment="1">
      <alignment horizontal="center" vertical="center"/>
    </xf>
    <xf numFmtId="0" fontId="7" fillId="0" borderId="0" xfId="0" applyFont="1" applyAlignment="1">
      <alignment vertical="center"/>
    </xf>
    <xf numFmtId="0" fontId="4" fillId="6" borderId="8" xfId="0" applyFont="1" applyFill="1" applyBorder="1" applyAlignment="1">
      <alignment vertical="center"/>
    </xf>
    <xf numFmtId="0" fontId="4" fillId="0" borderId="8" xfId="0" applyFont="1" applyBorder="1" applyAlignment="1">
      <alignment vertical="center"/>
    </xf>
    <xf numFmtId="0" fontId="3" fillId="6" borderId="8" xfId="0" applyFont="1" applyFill="1" applyBorder="1"/>
    <xf numFmtId="0" fontId="3" fillId="0" borderId="8" xfId="0" applyFont="1" applyBorder="1"/>
    <xf numFmtId="0" fontId="3" fillId="6" borderId="9" xfId="0" applyFont="1" applyFill="1" applyBorder="1"/>
    <xf numFmtId="0" fontId="4" fillId="6" borderId="9" xfId="0" applyFont="1" applyFill="1" applyBorder="1" applyAlignment="1">
      <alignment vertical="center"/>
    </xf>
    <xf numFmtId="0" fontId="3" fillId="0" borderId="9" xfId="0" applyFont="1" applyBorder="1"/>
    <xf numFmtId="0" fontId="8" fillId="0" borderId="0" xfId="0" applyFont="1"/>
    <xf numFmtId="0" fontId="8" fillId="0" borderId="0" xfId="0" applyFont="1" applyAlignment="1">
      <alignment vertical="center" wrapText="1"/>
    </xf>
    <xf numFmtId="0" fontId="8" fillId="0" borderId="0" xfId="0" applyFont="1" applyAlignment="1">
      <alignment horizontal="center" vertical="center"/>
    </xf>
    <xf numFmtId="0" fontId="8" fillId="0" borderId="0" xfId="0" applyFont="1" applyAlignment="1">
      <alignment vertical="center"/>
    </xf>
    <xf numFmtId="0" fontId="8" fillId="0" borderId="0" xfId="0" applyFont="1" applyAlignment="1">
      <alignment horizontal="left" vertical="center" wrapText="1"/>
    </xf>
    <xf numFmtId="0" fontId="8" fillId="0" borderId="0" xfId="0" applyFont="1" applyAlignment="1">
      <alignment horizontal="center"/>
    </xf>
    <xf numFmtId="0" fontId="8" fillId="0" borderId="0" xfId="0" applyFont="1" applyAlignment="1">
      <alignment horizontal="center" vertical="center" wrapText="1"/>
    </xf>
    <xf numFmtId="0" fontId="10" fillId="0" borderId="0" xfId="0" applyFont="1" applyAlignment="1">
      <alignment horizontal="left" vertical="center" wrapText="1"/>
    </xf>
    <xf numFmtId="0" fontId="11" fillId="0" borderId="0" xfId="0" applyFont="1" applyAlignment="1">
      <alignment horizontal="left" vertical="center" wrapText="1"/>
    </xf>
    <xf numFmtId="0" fontId="12" fillId="0" borderId="0" xfId="0" applyFont="1" applyAlignment="1">
      <alignment horizontal="left" vertical="center" wrapText="1"/>
    </xf>
    <xf numFmtId="0" fontId="9" fillId="2" borderId="4" xfId="0" applyFont="1" applyFill="1" applyBorder="1" applyAlignment="1">
      <alignment horizontal="center" vertical="center" wrapText="1"/>
    </xf>
    <xf numFmtId="0" fontId="8" fillId="0" borderId="4" xfId="0" applyFont="1" applyBorder="1" applyAlignment="1">
      <alignment vertical="center" wrapText="1"/>
    </xf>
    <xf numFmtId="0" fontId="3" fillId="0" borderId="0" xfId="0" applyFont="1" applyAlignment="1">
      <alignment horizontal="center" vertical="center" wrapText="1"/>
    </xf>
    <xf numFmtId="0" fontId="3" fillId="0" borderId="0" xfId="0" applyFont="1" applyAlignment="1">
      <alignment vertical="center" wrapText="1"/>
    </xf>
    <xf numFmtId="0" fontId="3" fillId="0" borderId="3" xfId="0" applyFont="1" applyBorder="1" applyAlignment="1">
      <alignment horizontal="left" vertical="center" wrapText="1"/>
    </xf>
    <xf numFmtId="0" fontId="3" fillId="0" borderId="0" xfId="0" applyFont="1" applyAlignment="1">
      <alignment vertical="center"/>
    </xf>
    <xf numFmtId="0" fontId="3" fillId="0" borderId="0" xfId="0" applyFont="1" applyAlignment="1">
      <alignment horizontal="left" vertical="center" wrapText="1"/>
    </xf>
    <xf numFmtId="0" fontId="3" fillId="0" borderId="0" xfId="0" applyFont="1" applyAlignment="1">
      <alignment horizontal="left" vertical="center"/>
    </xf>
    <xf numFmtId="0" fontId="13" fillId="0" borderId="0" xfId="0" applyFont="1" applyAlignment="1">
      <alignment vertical="center" wrapText="1"/>
    </xf>
    <xf numFmtId="0" fontId="13" fillId="0" borderId="0" xfId="0" applyFont="1" applyAlignment="1">
      <alignment vertical="center"/>
    </xf>
    <xf numFmtId="0" fontId="13" fillId="0" borderId="0" xfId="0" applyFont="1" applyAlignment="1">
      <alignment horizontal="left" vertical="center" wrapText="1"/>
    </xf>
    <xf numFmtId="0" fontId="15" fillId="0" borderId="0" xfId="0" applyFont="1" applyAlignment="1">
      <alignment horizontal="center" vertical="center" wrapText="1"/>
    </xf>
    <xf numFmtId="0" fontId="18" fillId="3" borderId="12" xfId="0" applyFont="1" applyFill="1" applyBorder="1" applyAlignment="1">
      <alignment horizontal="center" vertical="center" wrapText="1"/>
    </xf>
    <xf numFmtId="0" fontId="18" fillId="3" borderId="14" xfId="0" applyFont="1" applyFill="1" applyBorder="1" applyAlignment="1">
      <alignment horizontal="center" vertical="center" wrapText="1"/>
    </xf>
    <xf numFmtId="0" fontId="17" fillId="3" borderId="14" xfId="0" applyFont="1" applyFill="1" applyBorder="1" applyAlignment="1">
      <alignment horizontal="center" vertical="center" wrapText="1"/>
    </xf>
    <xf numFmtId="0" fontId="20" fillId="3" borderId="12" xfId="0" applyFont="1" applyFill="1" applyBorder="1" applyAlignment="1">
      <alignment horizontal="center" vertical="center" wrapText="1"/>
    </xf>
    <xf numFmtId="0" fontId="14" fillId="0" borderId="0" xfId="0" applyFont="1" applyAlignment="1">
      <alignment vertical="center" wrapText="1"/>
    </xf>
    <xf numFmtId="0" fontId="21" fillId="0" borderId="11" xfId="0" applyFont="1" applyBorder="1" applyAlignment="1">
      <alignment horizontal="left" vertical="center"/>
    </xf>
    <xf numFmtId="0" fontId="21" fillId="0" borderId="11" xfId="0" applyFont="1" applyBorder="1" applyAlignment="1">
      <alignment horizontal="left" vertical="center" wrapText="1"/>
    </xf>
    <xf numFmtId="0" fontId="15" fillId="0" borderId="0" xfId="0" applyFont="1" applyAlignment="1">
      <alignment vertical="center" wrapText="1"/>
    </xf>
    <xf numFmtId="0" fontId="20" fillId="3" borderId="15" xfId="0" applyFont="1" applyFill="1" applyBorder="1" applyAlignment="1">
      <alignment horizontal="center" vertical="center" wrapText="1"/>
    </xf>
    <xf numFmtId="0" fontId="17" fillId="3" borderId="15" xfId="0" applyFont="1" applyFill="1" applyBorder="1" applyAlignment="1">
      <alignment horizontal="center" vertical="center" wrapText="1"/>
    </xf>
    <xf numFmtId="0" fontId="19" fillId="2" borderId="16" xfId="0" applyFont="1" applyFill="1" applyBorder="1" applyAlignment="1">
      <alignment horizontal="center" vertical="center" wrapText="1"/>
    </xf>
    <xf numFmtId="0" fontId="16" fillId="2" borderId="16" xfId="0" applyFont="1" applyFill="1" applyBorder="1" applyAlignment="1">
      <alignment horizontal="center" vertical="center" wrapText="1"/>
    </xf>
    <xf numFmtId="0" fontId="5" fillId="2" borderId="16" xfId="0" applyFont="1" applyFill="1" applyBorder="1" applyAlignment="1">
      <alignment horizontal="center" vertical="center" wrapText="1"/>
    </xf>
    <xf numFmtId="0" fontId="20" fillId="3" borderId="17" xfId="0" applyFont="1" applyFill="1" applyBorder="1" applyAlignment="1">
      <alignment horizontal="center" vertical="center" wrapText="1"/>
    </xf>
    <xf numFmtId="0" fontId="17" fillId="3" borderId="18" xfId="0" applyFont="1" applyFill="1" applyBorder="1" applyAlignment="1">
      <alignment horizontal="center" vertical="center" wrapText="1"/>
    </xf>
    <xf numFmtId="0" fontId="3" fillId="0" borderId="0" xfId="0" applyFont="1" applyAlignment="1">
      <alignment horizontal="center" vertical="center"/>
    </xf>
    <xf numFmtId="0" fontId="4" fillId="0" borderId="0" xfId="0" applyFont="1" applyAlignment="1">
      <alignment horizontal="left" vertical="center" wrapText="1"/>
    </xf>
    <xf numFmtId="0" fontId="26" fillId="0" borderId="0" xfId="0" applyFont="1" applyAlignment="1">
      <alignment horizontal="left" vertical="center" wrapText="1"/>
    </xf>
    <xf numFmtId="0" fontId="22" fillId="0" borderId="0" xfId="0" applyFont="1" applyAlignment="1">
      <alignment horizontal="center" vertical="center" wrapText="1"/>
    </xf>
    <xf numFmtId="0" fontId="24" fillId="7" borderId="16" xfId="0" applyFont="1" applyFill="1" applyBorder="1" applyAlignment="1">
      <alignment horizontal="center" vertical="center" wrapText="1"/>
    </xf>
    <xf numFmtId="0" fontId="25" fillId="7" borderId="16" xfId="0" applyFont="1" applyFill="1" applyBorder="1" applyAlignment="1">
      <alignment horizontal="center" vertical="center" wrapText="1"/>
    </xf>
    <xf numFmtId="0" fontId="4" fillId="0" borderId="0" xfId="0" applyFont="1" applyAlignment="1">
      <alignment horizontal="left" vertical="center"/>
    </xf>
    <xf numFmtId="0" fontId="4" fillId="0" borderId="0" xfId="0" applyFont="1" applyAlignment="1">
      <alignment vertical="center" wrapText="1"/>
    </xf>
    <xf numFmtId="0" fontId="22" fillId="2" borderId="16" xfId="0" applyFont="1" applyFill="1" applyBorder="1" applyAlignment="1">
      <alignment horizontal="center" vertical="center" wrapText="1"/>
    </xf>
    <xf numFmtId="0" fontId="24" fillId="7" borderId="16" xfId="0" applyFont="1" applyFill="1" applyBorder="1" applyAlignment="1">
      <alignment horizontal="center" wrapText="1"/>
    </xf>
    <xf numFmtId="0" fontId="23" fillId="4" borderId="16" xfId="0" applyFont="1" applyFill="1" applyBorder="1" applyAlignment="1">
      <alignment horizontal="center" vertical="center" wrapText="1"/>
    </xf>
    <xf numFmtId="0" fontId="17" fillId="3" borderId="16" xfId="0" applyFont="1" applyFill="1" applyBorder="1" applyAlignment="1">
      <alignment horizontal="center" vertical="center" wrapText="1"/>
    </xf>
    <xf numFmtId="0" fontId="21" fillId="0" borderId="11" xfId="0" applyFont="1" applyBorder="1" applyAlignment="1">
      <alignment horizontal="center" vertical="center" wrapText="1"/>
    </xf>
    <xf numFmtId="0" fontId="21" fillId="0" borderId="0" xfId="0" applyFont="1" applyAlignment="1">
      <alignment vertical="center" wrapText="1"/>
    </xf>
    <xf numFmtId="0" fontId="27" fillId="0" borderId="13" xfId="0" applyFont="1" applyBorder="1" applyAlignment="1">
      <alignment horizontal="left" vertical="center" wrapText="1"/>
    </xf>
    <xf numFmtId="0" fontId="21" fillId="0" borderId="13" xfId="0" applyFont="1" applyBorder="1" applyAlignment="1">
      <alignment horizontal="left" vertical="center" wrapText="1"/>
    </xf>
    <xf numFmtId="0" fontId="21" fillId="0" borderId="13" xfId="0" applyFont="1" applyBorder="1" applyAlignment="1">
      <alignment vertical="center"/>
    </xf>
    <xf numFmtId="0" fontId="21" fillId="0" borderId="19" xfId="0" applyFont="1" applyBorder="1" applyAlignment="1">
      <alignment vertical="center" wrapText="1"/>
    </xf>
    <xf numFmtId="0" fontId="3" fillId="0" borderId="19" xfId="0" applyFont="1" applyBorder="1" applyAlignment="1">
      <alignment horizontal="center" vertical="center" wrapText="1"/>
    </xf>
    <xf numFmtId="0" fontId="4" fillId="0" borderId="19" xfId="0" applyFont="1" applyBorder="1" applyAlignment="1">
      <alignment horizontal="left" vertical="center" wrapText="1"/>
    </xf>
    <xf numFmtId="0" fontId="3" fillId="0" borderId="19" xfId="0" applyFont="1" applyBorder="1" applyAlignment="1">
      <alignment horizontal="left" vertical="center" wrapText="1"/>
    </xf>
    <xf numFmtId="0" fontId="3" fillId="0" borderId="19" xfId="0" applyFont="1" applyBorder="1" applyAlignment="1">
      <alignment vertical="center"/>
    </xf>
    <xf numFmtId="0" fontId="3" fillId="0" borderId="19" xfId="0" applyFont="1" applyBorder="1" applyAlignment="1">
      <alignment vertical="center" wrapText="1"/>
    </xf>
    <xf numFmtId="0" fontId="21" fillId="0" borderId="19" xfId="0" applyFont="1" applyBorder="1" applyAlignment="1">
      <alignment vertical="center"/>
    </xf>
    <xf numFmtId="0" fontId="28" fillId="7" borderId="6" xfId="0" applyFont="1" applyFill="1" applyBorder="1" applyAlignment="1">
      <alignment horizontal="center" vertical="center" wrapText="1"/>
    </xf>
    <xf numFmtId="0" fontId="28" fillId="7" borderId="2" xfId="0" applyFont="1" applyFill="1" applyBorder="1" applyAlignment="1">
      <alignment horizontal="center" vertical="center" wrapText="1"/>
    </xf>
    <xf numFmtId="0" fontId="26" fillId="0" borderId="0" xfId="0" applyFont="1" applyAlignment="1">
      <alignment horizontal="center" vertical="center" wrapText="1"/>
    </xf>
    <xf numFmtId="0" fontId="26" fillId="0" borderId="0" xfId="0" applyFont="1"/>
    <xf numFmtId="0" fontId="3" fillId="0" borderId="0" xfId="0" applyFont="1" applyAlignment="1">
      <alignment horizontal="left"/>
    </xf>
    <xf numFmtId="0" fontId="8" fillId="0" borderId="0" xfId="0" applyFont="1" applyAlignment="1">
      <alignment horizontal="left"/>
    </xf>
    <xf numFmtId="0" fontId="4" fillId="0" borderId="22" xfId="0" applyFont="1" applyBorder="1" applyAlignment="1">
      <alignment horizontal="left" vertical="center" wrapText="1"/>
    </xf>
    <xf numFmtId="0" fontId="26" fillId="0" borderId="22" xfId="0" applyFont="1" applyBorder="1" applyAlignment="1">
      <alignment horizontal="left" vertical="center" wrapText="1"/>
    </xf>
    <xf numFmtId="0" fontId="4" fillId="0" borderId="22" xfId="0" applyFont="1" applyBorder="1" applyAlignment="1">
      <alignment horizontal="left" vertical="center"/>
    </xf>
    <xf numFmtId="0" fontId="4" fillId="0" borderId="23" xfId="0" applyFont="1" applyBorder="1" applyAlignment="1">
      <alignment horizontal="left" vertical="center" wrapText="1"/>
    </xf>
    <xf numFmtId="0" fontId="4" fillId="0" borderId="23" xfId="0" applyFont="1" applyBorder="1" applyAlignment="1">
      <alignment horizontal="center" vertical="center" wrapText="1"/>
    </xf>
    <xf numFmtId="0" fontId="26" fillId="0" borderId="23" xfId="0" applyFont="1" applyBorder="1" applyAlignment="1">
      <alignment horizontal="left" vertical="center" wrapText="1"/>
    </xf>
    <xf numFmtId="0" fontId="4" fillId="0" borderId="25" xfId="0" applyFont="1" applyBorder="1" applyAlignment="1">
      <alignment horizontal="left" vertical="center" wrapText="1"/>
    </xf>
    <xf numFmtId="0" fontId="4" fillId="0" borderId="25" xfId="0" applyFont="1" applyBorder="1" applyAlignment="1">
      <alignment horizontal="center" vertical="center" wrapText="1"/>
    </xf>
    <xf numFmtId="0" fontId="26" fillId="0" borderId="25" xfId="0" applyFont="1" applyBorder="1" applyAlignment="1">
      <alignment horizontal="left" vertical="center" wrapText="1"/>
    </xf>
    <xf numFmtId="0" fontId="4" fillId="0" borderId="0" xfId="0" applyFont="1" applyAlignment="1">
      <alignment horizontal="center" vertical="center" wrapText="1"/>
    </xf>
    <xf numFmtId="0" fontId="27" fillId="0" borderId="0" xfId="0" applyFont="1" applyAlignment="1">
      <alignment horizontal="left" vertical="center"/>
    </xf>
    <xf numFmtId="0" fontId="26" fillId="0" borderId="25" xfId="0" applyFont="1" applyBorder="1" applyAlignment="1">
      <alignment vertical="center" wrapText="1"/>
    </xf>
    <xf numFmtId="0" fontId="27" fillId="0" borderId="0" xfId="0" applyFont="1" applyAlignment="1">
      <alignment horizontal="left" vertical="center" wrapText="1"/>
    </xf>
    <xf numFmtId="0" fontId="26" fillId="0" borderId="0" xfId="0" applyFont="1" applyAlignment="1">
      <alignment vertical="center"/>
    </xf>
    <xf numFmtId="0" fontId="27" fillId="0" borderId="23" xfId="0" applyFont="1" applyBorder="1" applyAlignment="1">
      <alignment horizontal="left" vertical="center" wrapText="1"/>
    </xf>
    <xf numFmtId="0" fontId="26" fillId="0" borderId="23" xfId="0" applyFont="1" applyBorder="1" applyAlignment="1">
      <alignment vertical="center"/>
    </xf>
    <xf numFmtId="0" fontId="27" fillId="0" borderId="25" xfId="0" applyFont="1" applyBorder="1" applyAlignment="1">
      <alignment horizontal="left" vertical="center"/>
    </xf>
    <xf numFmtId="0" fontId="4" fillId="0" borderId="25" xfId="0" applyFont="1" applyBorder="1" applyAlignment="1">
      <alignment horizontal="left" vertical="center"/>
    </xf>
    <xf numFmtId="0" fontId="4" fillId="0" borderId="23" xfId="0" applyFont="1" applyBorder="1" applyAlignment="1">
      <alignment horizontal="left" vertical="center"/>
    </xf>
    <xf numFmtId="0" fontId="26" fillId="0" borderId="0" xfId="0" applyFont="1" applyAlignment="1">
      <alignment horizontal="center"/>
    </xf>
    <xf numFmtId="0" fontId="26" fillId="8" borderId="24" xfId="0" applyFont="1" applyFill="1" applyBorder="1" applyAlignment="1">
      <alignment horizontal="center" vertical="center" wrapText="1"/>
    </xf>
    <xf numFmtId="0" fontId="27" fillId="8" borderId="24" xfId="0" applyFont="1" applyFill="1" applyBorder="1" applyAlignment="1">
      <alignment horizontal="center" vertical="center"/>
    </xf>
    <xf numFmtId="0" fontId="3" fillId="0" borderId="3" xfId="0" applyFont="1" applyBorder="1" applyAlignment="1">
      <alignment vertical="center" wrapText="1"/>
    </xf>
    <xf numFmtId="0" fontId="22" fillId="2" borderId="0" xfId="0" applyFont="1" applyFill="1" applyAlignment="1">
      <alignment horizontal="center" vertical="center" wrapText="1"/>
    </xf>
    <xf numFmtId="0" fontId="5" fillId="2" borderId="0" xfId="0" applyFont="1" applyFill="1" applyAlignment="1">
      <alignment horizontal="center" vertical="center" wrapText="1"/>
    </xf>
    <xf numFmtId="0" fontId="29" fillId="3" borderId="27" xfId="0" applyFont="1" applyFill="1" applyBorder="1" applyAlignment="1">
      <alignment horizontal="center" vertical="center" wrapText="1"/>
    </xf>
    <xf numFmtId="0" fontId="29" fillId="3" borderId="4" xfId="0" applyFont="1" applyFill="1" applyBorder="1" applyAlignment="1">
      <alignment horizontal="center" vertical="center" wrapText="1"/>
    </xf>
    <xf numFmtId="0" fontId="23" fillId="3" borderId="27" xfId="0" applyFont="1" applyFill="1" applyBorder="1" applyAlignment="1">
      <alignment horizontal="center" vertical="center" wrapText="1"/>
    </xf>
    <xf numFmtId="0" fontId="23" fillId="3" borderId="14" xfId="0" applyFont="1" applyFill="1" applyBorder="1" applyAlignment="1">
      <alignment horizontal="center" vertical="center" wrapText="1"/>
    </xf>
    <xf numFmtId="0" fontId="29" fillId="3" borderId="26" xfId="0" applyFont="1" applyFill="1" applyBorder="1" applyAlignment="1">
      <alignment horizontal="center" vertical="center" wrapText="1"/>
    </xf>
    <xf numFmtId="0" fontId="25" fillId="7" borderId="6" xfId="0" applyFont="1" applyFill="1" applyBorder="1" applyAlignment="1">
      <alignment horizontal="center" vertical="center" wrapText="1"/>
    </xf>
    <xf numFmtId="0" fontId="25" fillId="7" borderId="7" xfId="0" applyFont="1" applyFill="1" applyBorder="1" applyAlignment="1">
      <alignment horizontal="center" vertical="center" wrapText="1"/>
    </xf>
    <xf numFmtId="0" fontId="25" fillId="7" borderId="21" xfId="0" applyFont="1" applyFill="1" applyBorder="1" applyAlignment="1">
      <alignment horizontal="center" vertical="center" wrapText="1"/>
    </xf>
    <xf numFmtId="0" fontId="26" fillId="0" borderId="25" xfId="0" applyFont="1" applyBorder="1" applyAlignment="1">
      <alignment vertical="center"/>
    </xf>
    <xf numFmtId="0" fontId="26" fillId="8" borderId="24" xfId="0" applyFont="1" applyFill="1" applyBorder="1" applyAlignment="1">
      <alignment horizontal="center" vertical="center"/>
    </xf>
    <xf numFmtId="0" fontId="26" fillId="0" borderId="25" xfId="0" applyFont="1" applyBorder="1" applyAlignment="1">
      <alignment horizontal="center" vertical="center" wrapText="1"/>
    </xf>
    <xf numFmtId="0" fontId="26" fillId="0" borderId="0" xfId="0" applyFont="1" applyAlignment="1">
      <alignment horizontal="center" vertical="center" wrapText="1"/>
    </xf>
    <xf numFmtId="0" fontId="26" fillId="0" borderId="23" xfId="0" applyFont="1" applyBorder="1" applyAlignment="1">
      <alignment horizontal="center" vertical="center" wrapText="1"/>
    </xf>
    <xf numFmtId="0" fontId="26" fillId="0" borderId="25" xfId="0" applyFont="1" applyBorder="1" applyAlignment="1">
      <alignment horizontal="left" vertical="center" wrapText="1"/>
    </xf>
    <xf numFmtId="0" fontId="26" fillId="0" borderId="0" xfId="0" applyFont="1" applyAlignment="1">
      <alignment horizontal="left" vertical="center" wrapText="1"/>
    </xf>
    <xf numFmtId="0" fontId="26" fillId="0" borderId="23" xfId="0" applyFont="1" applyBorder="1" applyAlignment="1">
      <alignment horizontal="left" vertical="center" wrapText="1"/>
    </xf>
    <xf numFmtId="0" fontId="26" fillId="0" borderId="1" xfId="0" applyFont="1" applyBorder="1" applyAlignment="1">
      <alignment horizontal="center" vertical="center" wrapText="1"/>
    </xf>
    <xf numFmtId="0" fontId="28" fillId="7" borderId="20" xfId="0" applyFont="1" applyFill="1" applyBorder="1" applyAlignment="1">
      <alignment horizontal="center" vertical="center" wrapText="1"/>
    </xf>
    <xf numFmtId="0" fontId="28" fillId="7" borderId="10" xfId="0" applyFont="1" applyFill="1" applyBorder="1" applyAlignment="1">
      <alignment horizontal="center" vertical="center" wrapText="1"/>
    </xf>
    <xf numFmtId="0" fontId="9" fillId="2" borderId="4" xfId="0" applyFont="1" applyFill="1" applyBorder="1" applyAlignment="1">
      <alignment horizontal="center" vertical="center" wrapText="1"/>
    </xf>
    <xf numFmtId="0" fontId="9" fillId="2" borderId="0" xfId="0" applyFont="1" applyFill="1" applyAlignment="1">
      <alignment horizontal="center" vertical="center" wrapText="1"/>
    </xf>
    <xf numFmtId="0" fontId="9" fillId="2" borderId="5" xfId="0" applyFont="1" applyFill="1" applyBorder="1" applyAlignment="1">
      <alignment horizontal="center" vertical="center" wrapText="1"/>
    </xf>
    <xf numFmtId="0" fontId="3" fillId="0" borderId="0" xfId="0" applyFont="1" applyAlignment="1">
      <alignment horizontal="left" vertical="center" wrapText="1"/>
    </xf>
    <xf numFmtId="0" fontId="3" fillId="0" borderId="0" xfId="0" applyFont="1" applyAlignment="1">
      <alignment horizontal="center" vertical="center" wrapText="1"/>
    </xf>
    <xf numFmtId="0" fontId="5" fillId="2" borderId="16" xfId="0" applyFont="1" applyFill="1" applyBorder="1" applyAlignment="1">
      <alignment horizontal="center" vertical="center" wrapText="1"/>
    </xf>
    <xf numFmtId="0" fontId="4" fillId="0" borderId="25" xfId="0" applyFont="1" applyBorder="1" applyAlignment="1">
      <alignment horizontal="center" vertical="center" wrapText="1"/>
    </xf>
    <xf numFmtId="0" fontId="4" fillId="0" borderId="23" xfId="0" applyFont="1" applyBorder="1" applyAlignment="1">
      <alignment horizontal="center" vertical="center" wrapText="1"/>
    </xf>
    <xf numFmtId="0" fontId="4" fillId="0" borderId="25" xfId="0" applyFont="1" applyBorder="1" applyAlignment="1">
      <alignment horizontal="left" vertical="center" wrapText="1"/>
    </xf>
    <xf numFmtId="0" fontId="4" fillId="0" borderId="23" xfId="0" applyFont="1" applyBorder="1" applyAlignment="1">
      <alignment horizontal="left" vertical="center" wrapText="1"/>
    </xf>
    <xf numFmtId="0" fontId="4" fillId="0" borderId="0" xfId="0" applyFont="1" applyAlignment="1">
      <alignment horizontal="left" vertical="center" wrapText="1"/>
    </xf>
    <xf numFmtId="0" fontId="4" fillId="0" borderId="0" xfId="0" applyFont="1" applyAlignment="1">
      <alignment horizontal="center" vertical="center" wrapText="1"/>
    </xf>
    <xf numFmtId="0" fontId="4" fillId="0" borderId="22" xfId="0" applyFont="1" applyBorder="1" applyAlignment="1">
      <alignment horizontal="center" vertical="center" wrapText="1"/>
    </xf>
    <xf numFmtId="0" fontId="4" fillId="0" borderId="22" xfId="0" applyFont="1" applyBorder="1" applyAlignment="1">
      <alignment horizontal="left" vertical="center" wrapText="1"/>
    </xf>
    <xf numFmtId="0" fontId="27" fillId="0" borderId="25" xfId="0" applyFont="1" applyBorder="1" applyAlignment="1">
      <alignment horizontal="center" vertical="center" wrapText="1"/>
    </xf>
    <xf numFmtId="0" fontId="27" fillId="0" borderId="0" xfId="0" applyFont="1" applyAlignment="1">
      <alignment horizontal="center" vertical="center" wrapText="1"/>
    </xf>
    <xf numFmtId="0" fontId="27" fillId="0" borderId="23" xfId="0" applyFont="1" applyBorder="1" applyAlignment="1">
      <alignment horizontal="center" vertical="center" wrapText="1"/>
    </xf>
    <xf numFmtId="0" fontId="27" fillId="0" borderId="25" xfId="0" applyFont="1" applyBorder="1" applyAlignment="1">
      <alignment horizontal="left" vertical="center" wrapText="1"/>
    </xf>
    <xf numFmtId="0" fontId="27" fillId="0" borderId="0" xfId="0" applyFont="1" applyAlignment="1">
      <alignment horizontal="left" vertical="center" wrapText="1"/>
    </xf>
    <xf numFmtId="0" fontId="27" fillId="0" borderId="23" xfId="0" applyFont="1" applyBorder="1" applyAlignment="1">
      <alignment horizontal="left" vertical="center" wrapText="1"/>
    </xf>
    <xf numFmtId="0" fontId="3" fillId="0" borderId="0" xfId="0" applyFont="1" applyAlignment="1">
      <alignment horizontal="center"/>
    </xf>
    <xf numFmtId="0" fontId="5" fillId="5" borderId="2" xfId="0" applyFont="1" applyFill="1" applyBorder="1" applyAlignment="1">
      <alignment horizontal="center"/>
    </xf>
    <xf numFmtId="0" fontId="4" fillId="0" borderId="0" xfId="0" applyFont="1" applyAlignment="1">
      <alignment horizontal="center" vertical="center"/>
    </xf>
  </cellXfs>
  <cellStyles count="1">
    <cellStyle name="Normal" xfId="0" builtinId="0"/>
  </cellStyles>
  <dxfs count="152">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strike val="0"/>
        <outline val="0"/>
        <shadow val="0"/>
        <u val="none"/>
        <vertAlign val="baseline"/>
        <sz val="11"/>
        <name val="Gill Sans MT"/>
        <family val="2"/>
        <scheme val="none"/>
      </font>
    </dxf>
    <dxf>
      <font>
        <strike val="0"/>
        <outline val="0"/>
        <shadow val="0"/>
        <u val="none"/>
        <vertAlign val="baseline"/>
        <sz val="11"/>
        <name val="Gill Sans MT"/>
        <family val="2"/>
        <scheme val="none"/>
      </font>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strike val="0"/>
        <outline val="0"/>
        <shadow val="0"/>
        <u val="none"/>
        <vertAlign val="baseline"/>
        <sz val="11"/>
        <color theme="1"/>
        <name val="Gill Sans MT"/>
        <family val="2"/>
        <scheme val="none"/>
      </font>
    </dxf>
    <dxf>
      <font>
        <strike val="0"/>
        <outline val="0"/>
        <shadow val="0"/>
        <u val="none"/>
        <vertAlign val="baseline"/>
        <sz val="11"/>
        <color theme="1"/>
        <name val="Gill Sans MT"/>
        <family val="2"/>
        <scheme val="none"/>
      </font>
    </dxf>
    <dxf>
      <font>
        <strike val="0"/>
        <outline val="0"/>
        <shadow val="0"/>
        <u val="none"/>
        <vertAlign val="baseline"/>
        <sz val="11"/>
        <color theme="1"/>
        <name val="Gill Sans MT"/>
        <family val="2"/>
        <scheme val="none"/>
      </font>
    </dxf>
    <dxf>
      <fill>
        <patternFill>
          <bgColor theme="8" tint="0.79998168889431442"/>
        </patternFill>
      </fill>
      <border>
        <left style="thin">
          <color auto="1"/>
        </left>
        <right style="thin">
          <color auto="1"/>
        </right>
        <top style="thin">
          <color auto="1"/>
        </top>
        <bottom style="thin">
          <color auto="1"/>
        </bottom>
      </border>
    </dxf>
    <dxf>
      <fill>
        <patternFill patternType="none">
          <bgColor auto="1"/>
        </patternFill>
      </fill>
    </dxf>
    <dxf>
      <fill>
        <patternFill>
          <bgColor theme="4"/>
        </patternFill>
      </fill>
      <border>
        <left style="thin">
          <color auto="1"/>
        </left>
        <right style="thin">
          <color auto="1"/>
        </right>
        <top style="thin">
          <color auto="1"/>
        </top>
        <bottom style="thin">
          <color auto="1"/>
        </bottom>
        <vertical style="thin">
          <color auto="1"/>
        </vertical>
        <horizontal style="thin">
          <color auto="1"/>
        </horizontal>
      </border>
    </dxf>
  </dxfs>
  <tableStyles count="3" defaultTableStyle="TableStyleMedium2" defaultPivotStyle="PivotStyleLight16">
    <tableStyle name="Estilo de tabla 1" pivot="0" count="1" xr9:uid="{D31AC5D5-9EFB-4153-9086-9AA6037B7BF8}">
      <tableStyleElement type="headerRow" dxfId="151"/>
    </tableStyle>
    <tableStyle name="Estilo de tabla 2" pivot="0" count="1" xr9:uid="{C6F8D6C6-DD7E-42E8-8328-19C722F9F97F}">
      <tableStyleElement type="wholeTable" dxfId="150"/>
    </tableStyle>
    <tableStyle name="Estilo de tabla 3" pivot="0" count="1" xr9:uid="{BD8219D8-F95E-4ADD-BD98-5883EDA7E91C}">
      <tableStyleElement type="headerRow" dxfId="149"/>
    </tableStyle>
  </tableStyles>
  <colors>
    <mruColors>
      <color rgb="FF1FB2DE"/>
      <color rgb="FF0F385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B2A92B26-EF0C-4878-B50A-6837C8B938F9}" name="Tabla33103" displayName="Tabla33103" ref="B1:B35" totalsRowShown="0" headerRowDxfId="148" dataDxfId="147">
  <autoFilter ref="B1:B35" xr:uid="{B2A92B26-EF0C-4878-B50A-6837C8B938F9}"/>
  <sortState xmlns:xlrd2="http://schemas.microsoft.com/office/spreadsheetml/2017/richdata2" ref="B2:B35">
    <sortCondition ref="B2:B36"/>
  </sortState>
  <tableColumns count="1">
    <tableColumn id="1" xr3:uid="{29152045-E0EB-4BF0-98F0-61C280340B30}" name="Verbos Competencias" dataDxfId="14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8FC5A9A-4920-4623-A07A-3CF9371DCF4A}" name="Tabla1715" displayName="Tabla1715" ref="A3:A7" totalsRowShown="0" headerRowDxfId="145" dataDxfId="144">
  <autoFilter ref="A3:A7" xr:uid="{48FC5A9A-4920-4623-A07A-3CF9371DCF4A}"/>
  <tableColumns count="1">
    <tableColumn id="1" xr3:uid="{63D540FA-82EB-4145-8DC7-B519D8CD7CC0}" name="Taxonomías" dataDxfId="143"/>
  </tableColumns>
  <tableStyleInfo name="Estilo de tabla 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59BF92EC-A277-4656-A963-5B1EAB7D46D6}" name="Tabla1816" displayName="Tabla1816" ref="AL4:AL32" totalsRowShown="0" headerRowDxfId="142" dataDxfId="141">
  <autoFilter ref="AL4:AL32" xr:uid="{59BF92EC-A277-4656-A963-5B1EAB7D46D6}"/>
  <sortState xmlns:xlrd2="http://schemas.microsoft.com/office/spreadsheetml/2017/richdata2" ref="AL5:AL32">
    <sortCondition ref="AL5:AL32"/>
  </sortState>
  <tableColumns count="1">
    <tableColumn id="1" xr3:uid="{F4C3BEC3-A8BA-43A6-AF00-06D2C8E04D5E}" name="RecordarLK" dataDxfId="140"/>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B3A057E8-BC14-4481-9B47-B7A94BC9D97A}" name="Tabla1926" displayName="Tabla1926" ref="AM4:AM28" totalsRowShown="0" headerRowDxfId="139" dataDxfId="138">
  <autoFilter ref="AM4:AM28" xr:uid="{B3A057E8-BC14-4481-9B47-B7A94BC9D97A}"/>
  <sortState xmlns:xlrd2="http://schemas.microsoft.com/office/spreadsheetml/2017/richdata2" ref="AM5:AM28">
    <sortCondition ref="AM5:AM28"/>
  </sortState>
  <tableColumns count="1">
    <tableColumn id="1" xr3:uid="{22C36FE7-AAEE-4B9D-8345-61BDDF16672A}" name="ComprenderLK" dataDxfId="137"/>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CD6709B3-878C-4665-A64F-6617D841DAF8}" name="Tabla2028" displayName="Tabla2028" ref="AN4:AN31" totalsRowShown="0" headerRowDxfId="136" dataDxfId="135">
  <autoFilter ref="AN4:AN31" xr:uid="{CD6709B3-878C-4665-A64F-6617D841DAF8}"/>
  <sortState xmlns:xlrd2="http://schemas.microsoft.com/office/spreadsheetml/2017/richdata2" ref="AN5:AN31">
    <sortCondition ref="AN5:AN31"/>
  </sortState>
  <tableColumns count="1">
    <tableColumn id="1" xr3:uid="{E0748E34-505E-4B6C-88AD-69D1650A1458}" name="AplicarLK" dataDxfId="134"/>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C6F0B0E8-A8D0-4F61-A40D-B1423DE7B813}" name="Tabla2129" displayName="Tabla2129" ref="AO4:AO35" totalsRowShown="0" headerRowDxfId="133" dataDxfId="132">
  <autoFilter ref="AO4:AO35" xr:uid="{C6F0B0E8-A8D0-4F61-A40D-B1423DE7B813}"/>
  <sortState xmlns:xlrd2="http://schemas.microsoft.com/office/spreadsheetml/2017/richdata2" ref="AO5:AO35">
    <sortCondition ref="AO5:AO35"/>
  </sortState>
  <tableColumns count="1">
    <tableColumn id="1" xr3:uid="{4EC3AE28-DA86-4BC0-BF7B-BF5699537101}" name="AnalizarLK" dataDxfId="131"/>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7847CBB9-9D6E-4D0E-8127-07F853DB7AC6}" name="Tabla2230" displayName="Tabla2230" ref="AP4:AP47" totalsRowShown="0" headerRowDxfId="130" dataDxfId="129">
  <autoFilter ref="AP4:AP47" xr:uid="{7847CBB9-9D6E-4D0E-8127-07F853DB7AC6}"/>
  <sortState xmlns:xlrd2="http://schemas.microsoft.com/office/spreadsheetml/2017/richdata2" ref="AP5:AP47">
    <sortCondition ref="AP5:AP47"/>
  </sortState>
  <tableColumns count="1">
    <tableColumn id="1" xr3:uid="{47FDF88B-30DA-4104-BC28-92F05B1464DC}" name="EvaluarLK" dataDxfId="128"/>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1D29FBDA-C4C7-4802-9945-B1136AA1A5B6}" name="Tabla2333" displayName="Tabla2333" ref="AQ4:AQ21" totalsRowShown="0" headerRowDxfId="127" dataDxfId="126">
  <autoFilter ref="AQ4:AQ21" xr:uid="{1D29FBDA-C4C7-4802-9945-B1136AA1A5B6}"/>
  <sortState xmlns:xlrd2="http://schemas.microsoft.com/office/spreadsheetml/2017/richdata2" ref="AQ5:AQ21">
    <sortCondition ref="AQ5:AQ21"/>
  </sortState>
  <tableColumns count="1">
    <tableColumn id="1" xr3:uid="{695E3FF0-9053-4D06-82E6-12950FD1BCA1}" name="CrearLK" dataDxfId="125"/>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F8CECA1C-3082-403C-A916-A3F7860E419B}" name="Tabla3555" displayName="Tabla3555" ref="S3:S45" totalsRowShown="0" headerRowDxfId="124" dataDxfId="123">
  <autoFilter ref="S3:S45" xr:uid="{F8CECA1C-3082-403C-A916-A3F7860E419B}"/>
  <sortState xmlns:xlrd2="http://schemas.microsoft.com/office/spreadsheetml/2017/richdata2" ref="S4:S45">
    <sortCondition ref="S4:S45"/>
  </sortState>
  <tableColumns count="1">
    <tableColumn id="1" xr3:uid="{E8288FDF-6DC1-467B-8083-3BB5E5966D23}" name="ConocimientoBAK" dataDxfId="122"/>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91DAFDAE-F212-4BAF-BC19-DDD22FBAA62D}" name="Tabla3663" displayName="Tabla3663" ref="T3:T42" totalsRowShown="0" headerRowDxfId="121" dataDxfId="120">
  <autoFilter ref="T3:T42" xr:uid="{91DAFDAE-F212-4BAF-BC19-DDD22FBAA62D}"/>
  <sortState xmlns:xlrd2="http://schemas.microsoft.com/office/spreadsheetml/2017/richdata2" ref="T4:T42">
    <sortCondition ref="T4:T42"/>
  </sortState>
  <tableColumns count="1">
    <tableColumn id="1" xr3:uid="{BE0B8AE9-98EE-44F6-8C48-260F8C2558A0}" name="ComprensiónBAK" dataDxfId="119"/>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B1A040A9-8CFD-4596-8FBC-27FD56392945}" name="Tabla3764" displayName="Tabla3764" ref="U3:U43" totalsRowShown="0" headerRowDxfId="118" dataDxfId="117">
  <autoFilter ref="U3:U43" xr:uid="{B1A040A9-8CFD-4596-8FBC-27FD56392945}"/>
  <sortState xmlns:xlrd2="http://schemas.microsoft.com/office/spreadsheetml/2017/richdata2" ref="U4:U43">
    <sortCondition ref="U4:U43"/>
  </sortState>
  <tableColumns count="1">
    <tableColumn id="1" xr3:uid="{37523E1E-21F0-4AD5-AE5F-B4C6B322C81C}" name="AplicaciónBAK" dataDxfId="116"/>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2AA761F5-FCA1-4A0B-90D8-1C642DDF1D1A}" name="Tabla3865" displayName="Tabla3865" ref="V3:V36" totalsRowShown="0" headerRowDxfId="115" dataDxfId="114">
  <autoFilter ref="V3:V36" xr:uid="{2AA761F5-FCA1-4A0B-90D8-1C642DDF1D1A}"/>
  <sortState xmlns:xlrd2="http://schemas.microsoft.com/office/spreadsheetml/2017/richdata2" ref="V4:V36">
    <sortCondition ref="V4:V36"/>
  </sortState>
  <tableColumns count="1">
    <tableColumn id="1" xr3:uid="{AF14FE7A-A899-43F9-A3C0-8119863088B1}" name="AnálisisBAK" dataDxfId="113"/>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F6A45780-86A0-4428-88DB-1A555C4970E6}" name="Tabla3966" displayName="Tabla3966" ref="W3:W63" totalsRowShown="0" headerRowDxfId="112" dataDxfId="111">
  <autoFilter ref="W3:W63" xr:uid="{F6A45780-86A0-4428-88DB-1A555C4970E6}"/>
  <sortState xmlns:xlrd2="http://schemas.microsoft.com/office/spreadsheetml/2017/richdata2" ref="W4:W63">
    <sortCondition ref="W4:W63"/>
  </sortState>
  <tableColumns count="1">
    <tableColumn id="1" xr3:uid="{8D1F3CAA-A929-411E-B3AB-90C77CB5BC14}" name="SíntesisBAK" dataDxfId="110"/>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3245156A-EE8E-4F9F-B3E3-F1F013A29E6E}" name="Tabla4067" displayName="Tabla4067" ref="X3:X66" totalsRowShown="0" headerRowDxfId="109" dataDxfId="108">
  <autoFilter ref="X3:X66" xr:uid="{3245156A-EE8E-4F9F-B3E3-F1F013A29E6E}"/>
  <sortState xmlns:xlrd2="http://schemas.microsoft.com/office/spreadsheetml/2017/richdata2" ref="X4:X66">
    <sortCondition ref="X4:X66"/>
  </sortState>
  <tableColumns count="1">
    <tableColumn id="1" xr3:uid="{D08EDAAB-166E-48F7-9B09-46F65D2F2270}" name="EvaluaciónBAK" dataDxfId="107"/>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0C46EE9B-0911-4522-BB5D-1931406AB4AB}" name="Tabla1168" displayName="Tabla1168" ref="Y3:Y52" totalsRowShown="0" headerRowDxfId="106" dataDxfId="105">
  <autoFilter ref="Y3:Y52" xr:uid="{0C46EE9B-0911-4522-BB5D-1931406AB4AB}"/>
  <tableColumns count="1">
    <tableColumn id="1" xr3:uid="{CDE7758F-9A83-44EB-B2E4-CC670F5593B8}" name="ImitaciónBAK" dataDxfId="104"/>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300A78DD-9219-4A2F-A2DA-93669B9B6AF3}" name="Tabla3069" displayName="Tabla3069" ref="Z3:Z40" totalsRowShown="0" headerRowDxfId="103" dataDxfId="102">
  <autoFilter ref="Z3:Z40" xr:uid="{300A78DD-9219-4A2F-A2DA-93669B9B6AF3}"/>
  <tableColumns count="1">
    <tableColumn id="1" xr3:uid="{3C407CCE-B486-4656-BA81-116BE1090143}" name="ManipulaciónBAK" dataDxfId="101"/>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6877FA86-1F49-4E2D-9448-AFF0346B8BB8}" name="Tabla4170" displayName="Tabla4170" ref="AA3:AA68" totalsRowShown="0" headerRowDxfId="100" dataDxfId="99">
  <autoFilter ref="AA3:AA68" xr:uid="{6877FA86-1F49-4E2D-9448-AFF0346B8BB8}"/>
  <tableColumns count="1">
    <tableColumn id="1" xr3:uid="{D21AF291-1BAF-43EA-AFD3-DAFB2D955E09}" name="PrecisiónBAK" dataDxfId="98"/>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FD38FA61-1361-4EA5-A764-8E58B96581E9}" name="Tabla4271" displayName="Tabla4271" ref="AB3:AB62" totalsRowShown="0" headerRowDxfId="97" dataDxfId="96">
  <autoFilter ref="AB3:AB62" xr:uid="{FD38FA61-1361-4EA5-A764-8E58B96581E9}"/>
  <tableColumns count="1">
    <tableColumn id="1" xr3:uid="{982D722A-3D7A-4AAD-A2DF-5EE8DF5E4D9D}" name="ControlBAK" dataDxfId="95"/>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503448E5-D0D5-4B82-B461-0CD544CE9D23}" name="Tabla4372" displayName="Tabla4372" ref="AC3:AC43" totalsRowShown="0" headerRowDxfId="94" dataDxfId="93">
  <autoFilter ref="AC3:AC43" xr:uid="{503448E5-D0D5-4B82-B461-0CD544CE9D23}"/>
  <tableColumns count="1">
    <tableColumn id="1" xr3:uid="{03441D59-E383-407F-99E2-74596636CEF0}" name="PercepciónBAK" dataDxfId="92"/>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08B46976-D2F4-4AEA-B0BA-6ECF06521BA8}" name="Tabla4473" displayName="Tabla4473" ref="AD3:AD33" totalsRowShown="0" headerRowDxfId="91" dataDxfId="90">
  <autoFilter ref="AD3:AD33" xr:uid="{08B46976-D2F4-4AEA-B0BA-6ECF06521BA8}"/>
  <tableColumns count="1">
    <tableColumn id="1" xr3:uid="{0C49A45E-6C59-4AAB-BD6C-F53324766649}" name="ResponderBAK" dataDxfId="89"/>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49448539-0C4F-43C9-9924-5A219B16757C}" name="Tabla4574" displayName="Tabla4574" ref="AE3:AE38" totalsRowShown="0" headerRowDxfId="88" dataDxfId="87">
  <autoFilter ref="AE3:AE38" xr:uid="{49448539-0C4F-43C9-9924-5A219B16757C}"/>
  <tableColumns count="1">
    <tableColumn id="1" xr3:uid="{E2890547-6570-4474-811E-70109D5F5465}" name="ValorarBAK" dataDxfId="8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21E76DB2-0E8B-466D-A413-2ABD524DDEEA}" name="Tabla4675" displayName="Tabla4675" ref="AF3:AF29" totalsRowShown="0" headerRowDxfId="85" dataDxfId="84">
  <autoFilter ref="AF3:AF29" xr:uid="{21E76DB2-0E8B-466D-A413-2ABD524DDEEA}"/>
  <tableColumns count="1">
    <tableColumn id="1" xr3:uid="{674DA899-A4D0-4618-B839-C8613BA61338}" name="OrganizarBAK" dataDxfId="83"/>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835318B2-CEAD-4A84-8E6B-21115489F3F9}" name="Tabla4776" displayName="Tabla4776" ref="AG3:AG29" totalsRowShown="0" headerRowDxfId="82" dataDxfId="81">
  <autoFilter ref="AG3:AG29" xr:uid="{835318B2-CEAD-4A84-8E6B-21115489F3F9}"/>
  <tableColumns count="1">
    <tableColumn id="1" xr3:uid="{C98AB4FD-C9CE-4966-B509-E36C390C09C7}" name="CaracterizarBAK" dataDxfId="80"/>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9E4643CC-87B6-4485-9E83-A8ED35E11905}" name="Tabla354977" displayName="Tabla354977" ref="L3:L45" totalsRowShown="0" headerRowDxfId="79" dataDxfId="78">
  <autoFilter ref="L3:L45" xr:uid="{9E4643CC-87B6-4485-9E83-A8ED35E11905}"/>
  <sortState xmlns:xlrd2="http://schemas.microsoft.com/office/spreadsheetml/2017/richdata2" ref="L4:L45">
    <sortCondition ref="L4:L45"/>
  </sortState>
  <tableColumns count="1">
    <tableColumn id="1" xr3:uid="{29725637-71B1-4F7E-96A8-CB90D5C646B2}" name="ConocimientoB" dataDxfId="77"/>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C726BD4C-A167-44A9-8F1B-6936952A7A59}" name="Tabla365078" displayName="Tabla365078" ref="M3:M42" totalsRowShown="0" headerRowDxfId="76" dataDxfId="75">
  <autoFilter ref="M3:M42" xr:uid="{C726BD4C-A167-44A9-8F1B-6936952A7A59}"/>
  <sortState xmlns:xlrd2="http://schemas.microsoft.com/office/spreadsheetml/2017/richdata2" ref="M4:M42">
    <sortCondition ref="M4:M42"/>
  </sortState>
  <tableColumns count="1">
    <tableColumn id="1" xr3:uid="{302CEF3F-D9B7-44E2-B341-CAA4B0E1BEB1}" name="ComprensiónB" dataDxfId="74"/>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85965F80-D722-4217-9624-BAE055366227}" name="Tabla375179" displayName="Tabla375179" ref="N3:N43" totalsRowShown="0" headerRowDxfId="73" dataDxfId="72">
  <autoFilter ref="N3:N43" xr:uid="{85965F80-D722-4217-9624-BAE055366227}"/>
  <sortState xmlns:xlrd2="http://schemas.microsoft.com/office/spreadsheetml/2017/richdata2" ref="N4:N43">
    <sortCondition ref="N4:N43"/>
  </sortState>
  <tableColumns count="1">
    <tableColumn id="1" xr3:uid="{8CDFD0B2-187A-490F-B898-52C789C626A8}" name="AplicaciónB" dataDxfId="7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4F44782F-9CE2-445E-8EAA-F5D6BC4CE9FF}" name="Tabla385280" displayName="Tabla385280" ref="O3:O36" totalsRowShown="0" headerRowDxfId="70" dataDxfId="69">
  <autoFilter ref="O3:O36" xr:uid="{4F44782F-9CE2-445E-8EAA-F5D6BC4CE9FF}"/>
  <sortState xmlns:xlrd2="http://schemas.microsoft.com/office/spreadsheetml/2017/richdata2" ref="O4:O36">
    <sortCondition ref="O4:O36"/>
  </sortState>
  <tableColumns count="1">
    <tableColumn id="1" xr3:uid="{7941CE9F-DC23-4AFF-A5EC-374F0F21BBEB}" name="AnálisisB" dataDxfId="68"/>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8357A631-F2AC-40DB-8ACA-80F00DED06A3}" name="Tabla395381" displayName="Tabla395381" ref="P3:P64" totalsRowShown="0" headerRowDxfId="67" dataDxfId="66">
  <autoFilter ref="P3:P64" xr:uid="{8357A631-F2AC-40DB-8ACA-80F00DED06A3}"/>
  <sortState xmlns:xlrd2="http://schemas.microsoft.com/office/spreadsheetml/2017/richdata2" ref="P4:P63">
    <sortCondition ref="P4:P63"/>
  </sortState>
  <tableColumns count="1">
    <tableColumn id="1" xr3:uid="{E9C49887-DB96-4751-9494-F1CFAE7E02AD}" name="SíntesisB" dataDxfId="65"/>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41F631B-4F40-430C-9880-8A1F264F50D0}" name="Tabla405482" displayName="Tabla405482" ref="Q3:Q66" totalsRowShown="0" headerRowDxfId="64" dataDxfId="63">
  <autoFilter ref="Q3:Q66" xr:uid="{141F631B-4F40-430C-9880-8A1F264F50D0}"/>
  <sortState xmlns:xlrd2="http://schemas.microsoft.com/office/spreadsheetml/2017/richdata2" ref="Q4:Q66">
    <sortCondition ref="Q4:Q66"/>
  </sortState>
  <tableColumns count="1">
    <tableColumn id="1" xr3:uid="{42FB5979-4CFB-474A-948A-4C9E2A15A2FA}" name="EvaluaciónB" dataDxfId="62"/>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284779C2-7F70-4C90-85C0-9E3404733D87}" name="Tabla6088" displayName="Tabla6088" ref="E3:E6" totalsRowShown="0" headerRowDxfId="61" dataDxfId="60">
  <autoFilter ref="E3:E6" xr:uid="{284779C2-7F70-4C90-85C0-9E3404733D87}"/>
  <tableColumns count="1">
    <tableColumn id="1" xr3:uid="{CE47A420-A4CC-4416-8E2B-4A40C2078194}" name="AK" dataDxfId="59"/>
  </tableColumns>
  <tableStyleInfo name="Estilo de tabla 1"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0359C141-9677-47C3-845D-242D3C20A7BD}" name="Tabla5987" displayName="Tabla5987" ref="D3:D7" totalsRowShown="0" headerRowDxfId="58" dataDxfId="57">
  <autoFilter ref="D3:D7" xr:uid="{0359C141-9677-47C3-845D-242D3C20A7BD}"/>
  <tableColumns count="1">
    <tableColumn id="1" xr3:uid="{027F3234-EBF7-434A-A95C-3D90248F7600}" name="LK" dataDxfId="56"/>
  </tableColumns>
  <tableStyleInfo name="Estilo de tabla 1"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60F5C8CF-3F5B-45A8-90A3-91960BC0CC3F}" name="Tabla5886" displayName="Tabla5886" ref="C3:C6" totalsRowShown="0" headerRowDxfId="55" dataDxfId="54">
  <autoFilter ref="C3:C6" xr:uid="{60F5C8CF-3F5B-45A8-90A3-91960BC0CC3F}"/>
  <tableColumns count="1">
    <tableColumn id="1" xr3:uid="{7261A279-5B41-48E2-A232-E66D4B2C997C}" name="BAK" dataDxfId="53"/>
  </tableColumns>
  <tableStyleInfo name="Estilo de tabla 1"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6409B6B-E133-4AC9-A20A-4A73C6DBD813}" name="Tabla5785" displayName="Tabla5785" ref="I3:I9" totalsRowShown="0" headerRowDxfId="52" dataDxfId="51">
  <autoFilter ref="I3:I9" xr:uid="{46409B6B-E133-4AC9-A20A-4A73C6DBD813}"/>
  <tableColumns count="1">
    <tableColumn id="1" xr3:uid="{12B3014A-6B1D-4C6D-9FA4-0161E9656EA6}" name="ActitudinalB" dataDxfId="50"/>
  </tableColumns>
  <tableStyleInfo name="Estilo de tabla 1"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4FBECC47-261F-41D0-B554-ADEA02FBDD3E}" name="Tabla5684" displayName="Tabla5684" ref="H3:H9" totalsRowShown="0" headerRowDxfId="49" dataDxfId="48">
  <autoFilter ref="H3:H9" xr:uid="{4FBECC47-261F-41D0-B554-ADEA02FBDD3E}"/>
  <tableColumns count="1">
    <tableColumn id="1" xr3:uid="{D263AD73-E936-424B-80A9-E791CCE4D60C}" name="ProcedimentalB" dataDxfId="47"/>
  </tableColumns>
  <tableStyleInfo name="Estilo de tabla 1"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E7A59938-F7EA-457A-87F1-AA0873A8FDA8}" name="Tabla5583" displayName="Tabla5583" ref="G3:G9" totalsRowShown="0" headerRowDxfId="46" dataDxfId="45">
  <autoFilter ref="G3:G9" xr:uid="{E7A59938-F7EA-457A-87F1-AA0873A8FDA8}"/>
  <tableColumns count="1">
    <tableColumn id="1" xr3:uid="{9BE87125-AAAE-4780-B69A-FA583B2B341A}" name="CognitivoB" dataDxfId="44"/>
  </tableColumns>
  <tableStyleInfo name="Estilo de tabla 1"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FB5563E9-3423-496B-A7C6-740A8638246F}" name="Tabla90" displayName="Tabla90" ref="G11:G17" totalsRowShown="0" headerRowDxfId="43" dataDxfId="42">
  <autoFilter ref="G11:G17" xr:uid="{FB5563E9-3423-496B-A7C6-740A8638246F}"/>
  <tableColumns count="1">
    <tableColumn id="1" xr3:uid="{D2F8054E-C594-43A9-96F5-5294D078E620}" name="HechosLK" dataDxfId="41"/>
  </tableColumns>
  <tableStyleInfo name="Estilo de tabla 1"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5235961D-4B2F-4CB8-AC75-46CF8A859099}" name="Tabla91" displayName="Tabla91" ref="H11:H17" totalsRowShown="0" headerRowDxfId="40" dataDxfId="39">
  <autoFilter ref="H11:H17" xr:uid="{5235961D-4B2F-4CB8-AC75-46CF8A859099}"/>
  <tableColumns count="1">
    <tableColumn id="1" xr3:uid="{DF3A0232-2B49-4FF7-B62E-7F56B2A16095}" name="ConceptosLK" dataDxfId="38"/>
  </tableColumns>
  <tableStyleInfo name="Estilo de tabla 1"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74EFBE03-70FE-4E61-AF1A-7CAE74394FB0}" name="Tabla92" displayName="Tabla92" ref="I11:I17" totalsRowShown="0" headerRowDxfId="37" dataDxfId="36">
  <autoFilter ref="I11:I17" xr:uid="{74EFBE03-70FE-4E61-AF1A-7CAE74394FB0}"/>
  <tableColumns count="1">
    <tableColumn id="1" xr3:uid="{02D20833-4DB8-415C-A919-A0178DA3CC95}" name="ProcedimientosLK" dataDxfId="35"/>
  </tableColumns>
  <tableStyleInfo name="Estilo de tabla 1"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01D445B2-006B-45B1-9326-AB65B144ABD8}" name="Tabla93" displayName="Tabla93" ref="J11:J17" totalsRowShown="0" headerRowDxfId="34" dataDxfId="33">
  <autoFilter ref="J11:J17" xr:uid="{01D445B2-006B-45B1-9326-AB65B144ABD8}"/>
  <tableColumns count="1">
    <tableColumn id="1" xr3:uid="{B548BB39-2B40-4E98-AE24-D564B24A0831}" name="MetacogniciónLK" dataDxfId="32"/>
  </tableColumns>
  <tableStyleInfo name="Estilo de tabla 1"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8F99EDF7-BECB-4CB8-94CB-15DEF8DBE8E0}" name="Tabla94" displayName="Tabla94" ref="G19:G25" totalsRowShown="0" headerRowDxfId="31" dataDxfId="30">
  <autoFilter ref="G19:G25" xr:uid="{8F99EDF7-BECB-4CB8-94CB-15DEF8DBE8E0}"/>
  <tableColumns count="1">
    <tableColumn id="1" xr3:uid="{995D4B7F-2557-48EF-AE97-D4FE09E63D59}" name="InformaciónAK" dataDxfId="29"/>
  </tableColumns>
  <tableStyleInfo name="Estilo de tabla 1"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DFB0C1EA-F7F7-4443-9626-BCD7D06ACAA7}" name="Tabla95" displayName="Tabla95" ref="H19:H25" totalsRowShown="0" headerRowDxfId="28" dataDxfId="27">
  <autoFilter ref="H19:H25" xr:uid="{DFB0C1EA-F7F7-4443-9626-BCD7D06ACAA7}"/>
  <tableColumns count="1">
    <tableColumn id="1" xr3:uid="{977268A2-A618-4E2F-BE67-44E018AA2B3D}" name="ProcesosAK" dataDxfId="26"/>
  </tableColumns>
  <tableStyleInfo name="Estilo de tabla 1"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AC2042AB-A078-4FDF-91CA-322668C40EBE}" name="Tabla96" displayName="Tabla96" ref="I19:I25" totalsRowShown="0" headerRowDxfId="25" dataDxfId="24">
  <autoFilter ref="I19:I25" xr:uid="{AC2042AB-A078-4FDF-91CA-322668C40EBE}"/>
  <tableColumns count="1">
    <tableColumn id="1" xr3:uid="{AAE35896-9168-4715-8D56-25997B0AB9C8}" name="PsicomotorAK" dataDxfId="23"/>
  </tableColumns>
  <tableStyleInfo name="Estilo de tabla 1"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538ED7E5-6B58-402B-94DF-D07C13DE2D9E}" name="Tabla97" displayName="Tabla97" ref="AT4:AT28" totalsRowShown="0" headerRowDxfId="22" dataDxfId="21" tableBorderDxfId="20">
  <autoFilter ref="AT4:AT28" xr:uid="{538ED7E5-6B58-402B-94DF-D07C13DE2D9E}"/>
  <sortState xmlns:xlrd2="http://schemas.microsoft.com/office/spreadsheetml/2017/richdata2" ref="AT5:AT28">
    <sortCondition ref="AT5:AT28"/>
  </sortState>
  <tableColumns count="1">
    <tableColumn id="1" xr3:uid="{BBBA71C3-D37D-42D2-B57F-3792E560AED8}" name="RecuperaciónAK" dataDxfId="19"/>
  </tableColumns>
  <tableStyleInfo name="TableStyleMedium2"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0217E0C4-2DD9-4417-BE26-3FF0FF3F395D}" name="Tabla98" displayName="Tabla98" ref="AU4:AU56" totalsRowShown="0" headerRowDxfId="18" dataDxfId="17">
  <autoFilter ref="AU4:AU56" xr:uid="{0217E0C4-2DD9-4417-BE26-3FF0FF3F395D}"/>
  <sortState xmlns:xlrd2="http://schemas.microsoft.com/office/spreadsheetml/2017/richdata2" ref="AU5:AU56">
    <sortCondition ref="AU5:AU56"/>
  </sortState>
  <tableColumns count="1">
    <tableColumn id="1" xr3:uid="{EEF7A2C9-904A-475E-B946-D75F88E5CF1A}" name="ComprensiónAK" dataDxfId="16"/>
  </tableColumns>
  <tableStyleInfo name="TableStyleMedium2"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522023D2-447B-4863-8827-33272C577B77}" name="Tabla99" displayName="Tabla99" ref="AV4:AV108" totalsRowShown="0" headerRowDxfId="15" dataDxfId="14" tableBorderDxfId="13">
  <autoFilter ref="AV4:AV108" xr:uid="{522023D2-447B-4863-8827-33272C577B77}"/>
  <sortState xmlns:xlrd2="http://schemas.microsoft.com/office/spreadsheetml/2017/richdata2" ref="AV5:AV108">
    <sortCondition ref="AV5:AV108"/>
  </sortState>
  <tableColumns count="1">
    <tableColumn id="1" xr3:uid="{9344A526-D889-455B-8393-6E992E4F8707}" name="AnálisisAK" dataDxfId="12"/>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6AB46F11-6BD0-4EBD-B99F-F1D1FC283558}" name="Tabla100" displayName="Tabla100" ref="AW4:AW70" totalsRowShown="0" headerRowDxfId="11" dataDxfId="10" tableBorderDxfId="9">
  <autoFilter ref="AW4:AW70" xr:uid="{6AB46F11-6BD0-4EBD-B99F-F1D1FC283558}"/>
  <sortState xmlns:xlrd2="http://schemas.microsoft.com/office/spreadsheetml/2017/richdata2" ref="AW5:AW70">
    <sortCondition ref="AW5:AW70"/>
  </sortState>
  <tableColumns count="1">
    <tableColumn id="1" xr3:uid="{9B864D54-9851-4B93-B3C8-06FA6FD5E1D3}" name="UsoConocimientoAK" dataDxfId="8"/>
  </tableColumns>
  <tableStyleInfo name="TableStyleMedium2"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5C094C7C-8551-4EC0-B36D-BC7DA6369C48}" name="Tabla101" displayName="Tabla101" ref="AX4:AX92" totalsRowShown="0" headerRowDxfId="7" dataDxfId="6" tableBorderDxfId="5">
  <autoFilter ref="AX4:AX92" xr:uid="{5C094C7C-8551-4EC0-B36D-BC7DA6369C48}"/>
  <sortState xmlns:xlrd2="http://schemas.microsoft.com/office/spreadsheetml/2017/richdata2" ref="AX5:AX92">
    <sortCondition ref="AX5:AX92"/>
  </sortState>
  <tableColumns count="1">
    <tableColumn id="1" xr3:uid="{02A922E1-8BFE-426F-8C44-897F7B4F7498}" name="MetacogniciónAK" dataDxfId="4"/>
  </tableColumns>
  <tableStyleInfo name="TableStyleMedium2"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028CBBA-0913-46A4-9A7A-1484F73BB293}" name="Tabla11" displayName="Tabla11" ref="AY4:AY87" totalsRowShown="0" headerRowDxfId="3" dataDxfId="2" tableBorderDxfId="1">
  <autoFilter ref="AY4:AY87" xr:uid="{E028CBBA-0913-46A4-9A7A-1484F73BB293}"/>
  <tableColumns count="1">
    <tableColumn id="1" xr3:uid="{0478638C-EFB5-452E-960C-8B4E2E4D8F5A}" name="SistemadelYoAK" dataDxfId="0"/>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3" Type="http://schemas.openxmlformats.org/officeDocument/2006/relationships/table" Target="../tables/table13.xml"/><Relationship Id="rId18" Type="http://schemas.openxmlformats.org/officeDocument/2006/relationships/table" Target="../tables/table18.xml"/><Relationship Id="rId26" Type="http://schemas.openxmlformats.org/officeDocument/2006/relationships/table" Target="../tables/table26.xml"/><Relationship Id="rId39" Type="http://schemas.openxmlformats.org/officeDocument/2006/relationships/table" Target="../tables/table39.xml"/><Relationship Id="rId21" Type="http://schemas.openxmlformats.org/officeDocument/2006/relationships/table" Target="../tables/table21.xml"/><Relationship Id="rId34" Type="http://schemas.openxmlformats.org/officeDocument/2006/relationships/table" Target="../tables/table34.xml"/><Relationship Id="rId42" Type="http://schemas.openxmlformats.org/officeDocument/2006/relationships/table" Target="../tables/table42.xml"/><Relationship Id="rId47" Type="http://schemas.openxmlformats.org/officeDocument/2006/relationships/table" Target="../tables/table47.xml"/><Relationship Id="rId7" Type="http://schemas.openxmlformats.org/officeDocument/2006/relationships/table" Target="../tables/table7.xml"/><Relationship Id="rId2" Type="http://schemas.openxmlformats.org/officeDocument/2006/relationships/table" Target="../tables/table2.xml"/><Relationship Id="rId16" Type="http://schemas.openxmlformats.org/officeDocument/2006/relationships/table" Target="../tables/table16.xml"/><Relationship Id="rId29" Type="http://schemas.openxmlformats.org/officeDocument/2006/relationships/table" Target="../tables/table29.xml"/><Relationship Id="rId11" Type="http://schemas.openxmlformats.org/officeDocument/2006/relationships/table" Target="../tables/table11.xml"/><Relationship Id="rId24" Type="http://schemas.openxmlformats.org/officeDocument/2006/relationships/table" Target="../tables/table24.xml"/><Relationship Id="rId32" Type="http://schemas.openxmlformats.org/officeDocument/2006/relationships/table" Target="../tables/table32.xml"/><Relationship Id="rId37" Type="http://schemas.openxmlformats.org/officeDocument/2006/relationships/table" Target="../tables/table37.xml"/><Relationship Id="rId40" Type="http://schemas.openxmlformats.org/officeDocument/2006/relationships/table" Target="../tables/table40.xml"/><Relationship Id="rId45" Type="http://schemas.openxmlformats.org/officeDocument/2006/relationships/table" Target="../tables/table45.xml"/><Relationship Id="rId5" Type="http://schemas.openxmlformats.org/officeDocument/2006/relationships/table" Target="../tables/table5.xml"/><Relationship Id="rId15" Type="http://schemas.openxmlformats.org/officeDocument/2006/relationships/table" Target="../tables/table15.xml"/><Relationship Id="rId23" Type="http://schemas.openxmlformats.org/officeDocument/2006/relationships/table" Target="../tables/table23.xml"/><Relationship Id="rId28" Type="http://schemas.openxmlformats.org/officeDocument/2006/relationships/table" Target="../tables/table28.xml"/><Relationship Id="rId36" Type="http://schemas.openxmlformats.org/officeDocument/2006/relationships/table" Target="../tables/table36.xml"/><Relationship Id="rId49" Type="http://schemas.openxmlformats.org/officeDocument/2006/relationships/comments" Target="../comments5.xml"/><Relationship Id="rId10" Type="http://schemas.openxmlformats.org/officeDocument/2006/relationships/table" Target="../tables/table10.xml"/><Relationship Id="rId19" Type="http://schemas.openxmlformats.org/officeDocument/2006/relationships/table" Target="../tables/table19.xml"/><Relationship Id="rId31" Type="http://schemas.openxmlformats.org/officeDocument/2006/relationships/table" Target="../tables/table31.xml"/><Relationship Id="rId44" Type="http://schemas.openxmlformats.org/officeDocument/2006/relationships/table" Target="../tables/table44.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 Id="rId27" Type="http://schemas.openxmlformats.org/officeDocument/2006/relationships/table" Target="../tables/table27.xml"/><Relationship Id="rId30" Type="http://schemas.openxmlformats.org/officeDocument/2006/relationships/table" Target="../tables/table30.xml"/><Relationship Id="rId35" Type="http://schemas.openxmlformats.org/officeDocument/2006/relationships/table" Target="../tables/table35.xml"/><Relationship Id="rId43" Type="http://schemas.openxmlformats.org/officeDocument/2006/relationships/table" Target="../tables/table43.xml"/><Relationship Id="rId48" Type="http://schemas.openxmlformats.org/officeDocument/2006/relationships/table" Target="../tables/table48.xml"/><Relationship Id="rId8" Type="http://schemas.openxmlformats.org/officeDocument/2006/relationships/table" Target="../tables/table8.xml"/><Relationship Id="rId3" Type="http://schemas.openxmlformats.org/officeDocument/2006/relationships/table" Target="../tables/table3.xml"/><Relationship Id="rId12" Type="http://schemas.openxmlformats.org/officeDocument/2006/relationships/table" Target="../tables/table12.xml"/><Relationship Id="rId17" Type="http://schemas.openxmlformats.org/officeDocument/2006/relationships/table" Target="../tables/table17.xml"/><Relationship Id="rId25" Type="http://schemas.openxmlformats.org/officeDocument/2006/relationships/table" Target="../tables/table25.xml"/><Relationship Id="rId33" Type="http://schemas.openxmlformats.org/officeDocument/2006/relationships/table" Target="../tables/table33.xml"/><Relationship Id="rId38" Type="http://schemas.openxmlformats.org/officeDocument/2006/relationships/table" Target="../tables/table38.xml"/><Relationship Id="rId46" Type="http://schemas.openxmlformats.org/officeDocument/2006/relationships/table" Target="../tables/table46.xml"/><Relationship Id="rId20" Type="http://schemas.openxmlformats.org/officeDocument/2006/relationships/table" Target="../tables/table20.xml"/><Relationship Id="rId41" Type="http://schemas.openxmlformats.org/officeDocument/2006/relationships/table" Target="../tables/table41.xml"/><Relationship Id="rId1" Type="http://schemas.openxmlformats.org/officeDocument/2006/relationships/vmlDrawing" Target="../drawings/vmlDrawing5.vml"/><Relationship Id="rId6"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A7EDF-246F-4EE0-BFE4-7EACACD45C48}">
  <dimension ref="A1:L19"/>
  <sheetViews>
    <sheetView zoomScaleNormal="100" workbookViewId="0"/>
  </sheetViews>
  <sheetFormatPr baseColWidth="10" defaultColWidth="76.21875" defaultRowHeight="13.8" x14ac:dyDescent="0.3"/>
  <cols>
    <col min="1" max="1" width="21.21875" style="15" customWidth="1"/>
    <col min="2" max="2" width="16" style="15" customWidth="1"/>
    <col min="3" max="3" width="44.21875" style="15" customWidth="1"/>
    <col min="4" max="4" width="34.44140625" style="15" customWidth="1"/>
    <col min="5" max="5" width="24.44140625" style="15" customWidth="1"/>
    <col min="6" max="6" width="19.21875" style="17" bestFit="1" customWidth="1"/>
    <col min="7" max="7" width="38.77734375" style="17" customWidth="1"/>
    <col min="8" max="8" width="26" style="15" bestFit="1" customWidth="1"/>
    <col min="9" max="9" width="49.77734375" style="15" customWidth="1"/>
    <col min="10" max="10" width="26.21875" style="15" customWidth="1"/>
    <col min="11" max="11" width="75.77734375" style="15" bestFit="1" customWidth="1"/>
    <col min="12" max="16384" width="76.21875" style="15"/>
  </cols>
  <sheetData>
    <row r="1" spans="1:12" ht="41.4" x14ac:dyDescent="0.3">
      <c r="A1" s="104" t="s">
        <v>0</v>
      </c>
      <c r="B1" s="104" t="s">
        <v>1</v>
      </c>
      <c r="C1" s="104" t="s">
        <v>2</v>
      </c>
      <c r="D1" s="104" t="s">
        <v>3</v>
      </c>
      <c r="E1" s="125" t="s">
        <v>4</v>
      </c>
      <c r="F1" s="126"/>
      <c r="G1" s="127"/>
      <c r="H1" s="125" t="s">
        <v>5</v>
      </c>
      <c r="I1" s="126"/>
      <c r="J1" s="126"/>
      <c r="K1" s="24" t="s">
        <v>6</v>
      </c>
      <c r="L1" s="25"/>
    </row>
    <row r="2" spans="1:12" s="18" customFormat="1" ht="18" x14ac:dyDescent="0.3">
      <c r="A2" s="105" t="s">
        <v>7</v>
      </c>
      <c r="B2" s="105" t="s">
        <v>8</v>
      </c>
      <c r="C2" s="105" t="s">
        <v>9</v>
      </c>
      <c r="D2" s="105" t="s">
        <v>10</v>
      </c>
      <c r="E2" s="106" t="s">
        <v>11</v>
      </c>
      <c r="F2" s="107" t="s">
        <v>12</v>
      </c>
      <c r="G2" s="107" t="s">
        <v>13</v>
      </c>
      <c r="H2" s="108" t="s">
        <v>14</v>
      </c>
      <c r="I2" s="109" t="s">
        <v>15</v>
      </c>
      <c r="J2" s="109" t="s">
        <v>16</v>
      </c>
      <c r="K2" s="110" t="s">
        <v>17</v>
      </c>
    </row>
    <row r="3" spans="1:12" s="27" customFormat="1" ht="51.75" customHeight="1" x14ac:dyDescent="0.3">
      <c r="A3" s="129" t="s">
        <v>18</v>
      </c>
      <c r="B3" s="129" t="s">
        <v>19</v>
      </c>
      <c r="C3" s="129" t="s">
        <v>20</v>
      </c>
      <c r="D3" s="129" t="s">
        <v>21</v>
      </c>
      <c r="E3" s="28" t="s">
        <v>22</v>
      </c>
      <c r="F3" s="28" t="s">
        <v>23</v>
      </c>
      <c r="G3" s="28" t="s">
        <v>24</v>
      </c>
      <c r="H3" s="103" t="s">
        <v>25</v>
      </c>
      <c r="I3" s="103" t="s">
        <v>26</v>
      </c>
      <c r="K3" s="128" t="s">
        <v>27</v>
      </c>
    </row>
    <row r="4" spans="1:12" s="27" customFormat="1" ht="54" x14ac:dyDescent="0.3">
      <c r="A4" s="129"/>
      <c r="B4" s="129"/>
      <c r="C4" s="129"/>
      <c r="D4" s="129"/>
      <c r="E4" s="27" t="s">
        <v>28</v>
      </c>
      <c r="F4" s="27" t="s">
        <v>29</v>
      </c>
      <c r="G4" s="27" t="s">
        <v>30</v>
      </c>
      <c r="H4" s="27" t="s">
        <v>31</v>
      </c>
      <c r="I4" s="27" t="s">
        <v>32</v>
      </c>
      <c r="K4" s="128"/>
    </row>
    <row r="5" spans="1:12" s="27" customFormat="1" ht="90" x14ac:dyDescent="0.3">
      <c r="A5" s="129"/>
      <c r="B5" s="129"/>
      <c r="C5" s="129"/>
      <c r="D5" s="129"/>
      <c r="H5" s="27" t="s">
        <v>33</v>
      </c>
      <c r="I5" s="27" t="s">
        <v>34</v>
      </c>
    </row>
    <row r="6" spans="1:12" s="27" customFormat="1" ht="18" x14ac:dyDescent="0.3">
      <c r="C6" s="58"/>
      <c r="G6" s="29"/>
      <c r="H6" s="27" t="s">
        <v>35</v>
      </c>
      <c r="I6" s="27" t="s">
        <v>36</v>
      </c>
    </row>
    <row r="7" spans="1:12" s="27" customFormat="1" ht="18" x14ac:dyDescent="0.3">
      <c r="C7" s="58"/>
      <c r="E7" s="30"/>
      <c r="F7" s="30"/>
      <c r="G7" s="29"/>
      <c r="H7" s="27" t="s">
        <v>37</v>
      </c>
      <c r="I7" s="27" t="s">
        <v>38</v>
      </c>
    </row>
    <row r="8" spans="1:12" s="27" customFormat="1" ht="36" x14ac:dyDescent="0.3">
      <c r="C8" s="58"/>
      <c r="E8" s="30"/>
      <c r="F8" s="30"/>
      <c r="G8" s="18"/>
      <c r="H8" s="30" t="s">
        <v>39</v>
      </c>
      <c r="I8" s="27" t="s">
        <v>40</v>
      </c>
    </row>
    <row r="9" spans="1:12" s="27" customFormat="1" ht="54" x14ac:dyDescent="0.3">
      <c r="C9" s="58"/>
      <c r="E9" s="30"/>
      <c r="F9" s="30"/>
      <c r="G9" s="18"/>
      <c r="H9" s="30" t="s">
        <v>41</v>
      </c>
      <c r="I9" s="27" t="s">
        <v>42</v>
      </c>
    </row>
    <row r="10" spans="1:12" s="27" customFormat="1" ht="36" x14ac:dyDescent="0.3">
      <c r="C10" s="58"/>
      <c r="E10" s="30"/>
      <c r="F10" s="30"/>
      <c r="G10" s="18"/>
      <c r="H10" s="30"/>
      <c r="I10" s="27" t="s">
        <v>43</v>
      </c>
    </row>
    <row r="11" spans="1:12" s="27" customFormat="1" ht="54" x14ac:dyDescent="0.3">
      <c r="C11" s="58"/>
      <c r="E11" s="30"/>
      <c r="F11" s="30"/>
      <c r="G11" s="18"/>
      <c r="H11" s="30"/>
      <c r="I11" s="27" t="s">
        <v>44</v>
      </c>
    </row>
    <row r="12" spans="1:12" s="27" customFormat="1" ht="18" x14ac:dyDescent="0.3">
      <c r="C12" s="58"/>
      <c r="E12" s="30"/>
      <c r="F12" s="30"/>
      <c r="G12" s="18"/>
      <c r="H12" s="30"/>
    </row>
    <row r="13" spans="1:12" s="27" customFormat="1" ht="18" x14ac:dyDescent="0.3">
      <c r="C13" s="58"/>
      <c r="E13" s="30"/>
      <c r="F13" s="30"/>
      <c r="G13" s="18"/>
      <c r="H13" s="30"/>
    </row>
    <row r="14" spans="1:12" ht="18" x14ac:dyDescent="0.3">
      <c r="B14" s="27"/>
      <c r="E14" s="18"/>
      <c r="F14" s="18"/>
      <c r="G14" s="18"/>
      <c r="H14" s="18"/>
    </row>
    <row r="15" spans="1:12" x14ac:dyDescent="0.3">
      <c r="E15" s="18"/>
      <c r="F15" s="18"/>
      <c r="G15" s="18"/>
    </row>
    <row r="16" spans="1:12" x14ac:dyDescent="0.3">
      <c r="E16" s="18"/>
      <c r="F16" s="18"/>
      <c r="G16" s="18"/>
    </row>
    <row r="17" spans="5:7" x14ac:dyDescent="0.3">
      <c r="E17" s="18"/>
      <c r="F17" s="18"/>
      <c r="G17" s="18"/>
    </row>
    <row r="18" spans="5:7" x14ac:dyDescent="0.3">
      <c r="E18" s="18"/>
      <c r="F18" s="18"/>
      <c r="G18" s="18"/>
    </row>
    <row r="19" spans="5:7" x14ac:dyDescent="0.3">
      <c r="E19" s="18"/>
      <c r="F19" s="18"/>
      <c r="G19" s="18"/>
    </row>
  </sheetData>
  <mergeCells count="7">
    <mergeCell ref="H1:J1"/>
    <mergeCell ref="E1:G1"/>
    <mergeCell ref="K3:K4"/>
    <mergeCell ref="A3:A5"/>
    <mergeCell ref="B3:B5"/>
    <mergeCell ref="C3:C5"/>
    <mergeCell ref="D3:D5"/>
  </mergeCells>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C1850E-A9C8-4F69-8E80-DEAF9721FFBF}">
  <dimension ref="A1:H17"/>
  <sheetViews>
    <sheetView zoomScale="110" zoomScaleNormal="110" workbookViewId="0">
      <selection activeCell="A4" sqref="A4"/>
    </sheetView>
  </sheetViews>
  <sheetFormatPr baseColWidth="10" defaultColWidth="11.44140625" defaultRowHeight="13.8" x14ac:dyDescent="0.3"/>
  <cols>
    <col min="1" max="1" width="15.44140625" style="15" customWidth="1"/>
    <col min="2" max="2" width="23.77734375" style="15" customWidth="1"/>
    <col min="3" max="3" width="28.77734375" style="15" customWidth="1"/>
    <col min="4" max="4" width="28" style="15" customWidth="1"/>
    <col min="5" max="5" width="42" style="15" customWidth="1"/>
    <col min="6" max="6" width="61.77734375" style="15" customWidth="1"/>
    <col min="7" max="7" width="43.77734375" style="15" customWidth="1"/>
    <col min="8" max="16384" width="11.44140625" style="15"/>
  </cols>
  <sheetData>
    <row r="1" spans="1:8" ht="15" customHeight="1" x14ac:dyDescent="0.3">
      <c r="A1" s="130" t="s">
        <v>45</v>
      </c>
      <c r="B1" s="130"/>
      <c r="C1" s="130"/>
      <c r="D1" s="130"/>
      <c r="E1" s="130"/>
      <c r="F1" s="130"/>
      <c r="G1" s="130"/>
    </row>
    <row r="2" spans="1:8" s="43" customFormat="1" ht="48" x14ac:dyDescent="0.3">
      <c r="A2" s="59" t="s">
        <v>46</v>
      </c>
      <c r="B2" s="59" t="s">
        <v>47</v>
      </c>
      <c r="C2" s="59" t="s">
        <v>48</v>
      </c>
      <c r="D2" s="59" t="s">
        <v>49</v>
      </c>
      <c r="E2" s="59" t="s">
        <v>50</v>
      </c>
      <c r="F2" s="59" t="s">
        <v>51</v>
      </c>
      <c r="G2" s="60" t="s">
        <v>52</v>
      </c>
    </row>
    <row r="3" spans="1:8" s="27" customFormat="1" ht="18" x14ac:dyDescent="0.3">
      <c r="A3" s="61" t="s">
        <v>53</v>
      </c>
      <c r="B3" s="62" t="s">
        <v>54</v>
      </c>
      <c r="C3" s="62" t="s">
        <v>55</v>
      </c>
      <c r="D3" s="62" t="s">
        <v>56</v>
      </c>
      <c r="E3" s="62" t="s">
        <v>57</v>
      </c>
      <c r="F3" s="47" t="s">
        <v>58</v>
      </c>
      <c r="G3" s="47" t="s">
        <v>59</v>
      </c>
    </row>
    <row r="4" spans="1:8" s="27" customFormat="1" ht="87.75" customHeight="1" x14ac:dyDescent="0.3">
      <c r="A4" s="27">
        <v>1</v>
      </c>
      <c r="B4" s="41" t="s">
        <v>60</v>
      </c>
      <c r="C4" s="42" t="s">
        <v>22</v>
      </c>
      <c r="D4" s="42" t="s">
        <v>23</v>
      </c>
      <c r="E4" s="42" t="s">
        <v>24</v>
      </c>
      <c r="F4" s="42" t="s">
        <v>61</v>
      </c>
      <c r="G4" s="63" t="s">
        <v>62</v>
      </c>
    </row>
    <row r="5" spans="1:8" s="27" customFormat="1" ht="54" x14ac:dyDescent="0.3">
      <c r="A5" s="27">
        <v>2</v>
      </c>
      <c r="B5" s="31" t="s">
        <v>63</v>
      </c>
      <c r="C5" s="30" t="s">
        <v>28</v>
      </c>
      <c r="D5" s="27" t="s">
        <v>29</v>
      </c>
      <c r="E5" s="27" t="s">
        <v>30</v>
      </c>
      <c r="F5" s="27" t="s">
        <v>64</v>
      </c>
      <c r="G5" s="26" t="s">
        <v>62</v>
      </c>
    </row>
    <row r="6" spans="1:8" s="27" customFormat="1" ht="18" x14ac:dyDescent="0.3">
      <c r="B6" s="31"/>
      <c r="C6" s="30"/>
    </row>
    <row r="7" spans="1:8" s="27" customFormat="1" ht="18" x14ac:dyDescent="0.3">
      <c r="B7" s="31"/>
      <c r="C7" s="30"/>
      <c r="E7" s="29"/>
    </row>
    <row r="8" spans="1:8" s="27" customFormat="1" ht="18" x14ac:dyDescent="0.3">
      <c r="A8" s="32"/>
      <c r="B8" s="33"/>
      <c r="C8" s="32"/>
      <c r="D8" s="34"/>
      <c r="E8" s="33"/>
      <c r="G8" s="32"/>
      <c r="H8" s="32"/>
    </row>
    <row r="9" spans="1:8" s="27" customFormat="1" ht="18" x14ac:dyDescent="0.3"/>
    <row r="10" spans="1:8" s="27" customFormat="1" ht="18" x14ac:dyDescent="0.3"/>
    <row r="11" spans="1:8" s="27" customFormat="1" ht="18" x14ac:dyDescent="0.3"/>
    <row r="12" spans="1:8" s="27" customFormat="1" ht="18" x14ac:dyDescent="0.3"/>
    <row r="13" spans="1:8" s="27" customFormat="1" ht="18" x14ac:dyDescent="0.3"/>
    <row r="14" spans="1:8" s="27" customFormat="1" ht="18" x14ac:dyDescent="0.3"/>
    <row r="15" spans="1:8" s="27" customFormat="1" ht="18" x14ac:dyDescent="0.3"/>
    <row r="16" spans="1:8" s="27" customFormat="1" ht="18" x14ac:dyDescent="0.3"/>
    <row r="17" s="27" customFormat="1" ht="18" x14ac:dyDescent="0.3"/>
  </sheetData>
  <mergeCells count="1">
    <mergeCell ref="A1:G1"/>
  </mergeCells>
  <dataValidations count="2">
    <dataValidation type="list" allowBlank="1" showInputMessage="1" showErrorMessage="1" sqref="C4:C8" xr:uid="{296160A6-FB03-49EA-93B2-DD1CAF2E1EB2}">
      <formula1>Conocimientos</formula1>
    </dataValidation>
    <dataValidation type="list" allowBlank="1" showInputMessage="1" showErrorMessage="1" sqref="B4:B8" xr:uid="{7FF6EE86-2F70-4AF5-821E-634C08680A10}">
      <formula1>Verboscompetencias</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F649-42F4-466A-BE11-44357078F961}">
  <dimension ref="A1:I18"/>
  <sheetViews>
    <sheetView zoomScaleNormal="100" workbookViewId="0">
      <selection activeCell="A3" sqref="A3"/>
    </sheetView>
  </sheetViews>
  <sheetFormatPr baseColWidth="10" defaultColWidth="11.44140625" defaultRowHeight="13.8" x14ac:dyDescent="0.35"/>
  <cols>
    <col min="1" max="1" width="55.5546875" style="18" customWidth="1"/>
    <col min="2" max="2" width="23.21875" style="20" customWidth="1"/>
    <col min="3" max="3" width="20.77734375" style="18" customWidth="1"/>
    <col min="4" max="4" width="23.77734375" style="18" customWidth="1"/>
    <col min="5" max="5" width="25.5546875" style="18" customWidth="1"/>
    <col min="6" max="6" width="20.44140625" style="18" customWidth="1"/>
    <col min="7" max="7" width="20" style="16" customWidth="1"/>
    <col min="8" max="8" width="19.44140625" style="14" customWidth="1"/>
    <col min="9" max="9" width="63.21875" style="14" customWidth="1"/>
    <col min="10" max="16384" width="11.44140625" style="18"/>
  </cols>
  <sheetData>
    <row r="1" spans="1:9" s="35" customFormat="1" ht="48" x14ac:dyDescent="0.3">
      <c r="A1" s="46" t="s">
        <v>65</v>
      </c>
      <c r="B1" s="46" t="s">
        <v>66</v>
      </c>
      <c r="C1" s="44" t="s">
        <v>67</v>
      </c>
      <c r="D1" s="39" t="s">
        <v>68</v>
      </c>
      <c r="E1" s="39" t="s">
        <v>69</v>
      </c>
      <c r="F1" s="39" t="s">
        <v>70</v>
      </c>
      <c r="G1" s="39" t="s">
        <v>71</v>
      </c>
      <c r="H1" s="49" t="s">
        <v>72</v>
      </c>
      <c r="I1" s="46" t="s">
        <v>73</v>
      </c>
    </row>
    <row r="2" spans="1:9" s="30" customFormat="1" ht="18" x14ac:dyDescent="0.3">
      <c r="A2" s="47" t="s">
        <v>74</v>
      </c>
      <c r="B2" s="48" t="s">
        <v>75</v>
      </c>
      <c r="C2" s="45" t="s">
        <v>76</v>
      </c>
      <c r="D2" s="36" t="s">
        <v>77</v>
      </c>
      <c r="E2" s="37" t="s">
        <v>78</v>
      </c>
      <c r="F2" s="38" t="s">
        <v>79</v>
      </c>
      <c r="G2" s="38" t="s">
        <v>80</v>
      </c>
      <c r="H2" s="50" t="s">
        <v>54</v>
      </c>
      <c r="I2" s="48" t="s">
        <v>81</v>
      </c>
    </row>
    <row r="3" spans="1:9" s="30" customFormat="1" ht="72" x14ac:dyDescent="0.3">
      <c r="A3" s="64" t="s">
        <v>61</v>
      </c>
      <c r="B3" s="26">
        <v>1</v>
      </c>
      <c r="C3" s="65" t="s">
        <v>11</v>
      </c>
      <c r="D3" s="66" t="s">
        <v>22</v>
      </c>
      <c r="E3" s="66" t="s">
        <v>82</v>
      </c>
      <c r="F3" s="67" t="s">
        <v>83</v>
      </c>
      <c r="G3" s="67" t="s">
        <v>84</v>
      </c>
      <c r="H3" s="67" t="s">
        <v>85</v>
      </c>
      <c r="I3" s="27" t="s">
        <v>86</v>
      </c>
    </row>
    <row r="4" spans="1:9" s="30" customFormat="1" ht="72" x14ac:dyDescent="0.3">
      <c r="A4" s="64" t="s">
        <v>61</v>
      </c>
      <c r="B4" s="26">
        <v>2</v>
      </c>
      <c r="C4" s="52" t="s">
        <v>12</v>
      </c>
      <c r="D4" s="30" t="s">
        <v>23</v>
      </c>
      <c r="E4" s="30" t="s">
        <v>82</v>
      </c>
      <c r="F4" s="29" t="s">
        <v>87</v>
      </c>
      <c r="G4" s="29" t="s">
        <v>84</v>
      </c>
      <c r="H4" s="29" t="s">
        <v>63</v>
      </c>
      <c r="I4" s="27" t="s">
        <v>88</v>
      </c>
    </row>
    <row r="5" spans="1:9" s="30" customFormat="1" ht="108.6" thickBot="1" x14ac:dyDescent="0.35">
      <c r="A5" s="68" t="s">
        <v>61</v>
      </c>
      <c r="B5" s="69">
        <v>3</v>
      </c>
      <c r="C5" s="70" t="s">
        <v>13</v>
      </c>
      <c r="D5" s="71" t="s">
        <v>24</v>
      </c>
      <c r="E5" s="71" t="s">
        <v>82</v>
      </c>
      <c r="F5" s="72" t="s">
        <v>89</v>
      </c>
      <c r="G5" s="72" t="s">
        <v>84</v>
      </c>
      <c r="H5" s="72" t="s">
        <v>90</v>
      </c>
      <c r="I5" s="73" t="s">
        <v>91</v>
      </c>
    </row>
    <row r="6" spans="1:9" s="30" customFormat="1" ht="54" x14ac:dyDescent="0.3">
      <c r="A6" s="64" t="s">
        <v>64</v>
      </c>
      <c r="B6" s="26">
        <v>1</v>
      </c>
      <c r="C6" s="52" t="s">
        <v>11</v>
      </c>
      <c r="D6" s="30" t="s">
        <v>28</v>
      </c>
      <c r="E6" s="66" t="s">
        <v>82</v>
      </c>
      <c r="F6" s="67" t="s">
        <v>83</v>
      </c>
      <c r="G6" s="67" t="s">
        <v>84</v>
      </c>
      <c r="H6" s="67" t="s">
        <v>85</v>
      </c>
      <c r="I6" s="27" t="s">
        <v>86</v>
      </c>
    </row>
    <row r="7" spans="1:9" s="30" customFormat="1" ht="54" x14ac:dyDescent="0.3">
      <c r="A7" s="64" t="s">
        <v>64</v>
      </c>
      <c r="B7" s="26">
        <v>2</v>
      </c>
      <c r="C7" s="52" t="s">
        <v>12</v>
      </c>
      <c r="D7" s="30" t="s">
        <v>29</v>
      </c>
      <c r="E7" s="27" t="s">
        <v>82</v>
      </c>
      <c r="F7" s="29" t="s">
        <v>87</v>
      </c>
      <c r="G7" s="29" t="s">
        <v>84</v>
      </c>
      <c r="H7" s="29" t="s">
        <v>63</v>
      </c>
      <c r="I7" s="27" t="s">
        <v>88</v>
      </c>
    </row>
    <row r="8" spans="1:9" s="30" customFormat="1" ht="90.6" thickBot="1" x14ac:dyDescent="0.35">
      <c r="A8" s="68" t="s">
        <v>64</v>
      </c>
      <c r="B8" s="69">
        <v>3</v>
      </c>
      <c r="C8" s="70" t="s">
        <v>13</v>
      </c>
      <c r="D8" s="71" t="s">
        <v>30</v>
      </c>
      <c r="E8" s="73" t="s">
        <v>82</v>
      </c>
      <c r="F8" s="72" t="s">
        <v>89</v>
      </c>
      <c r="G8" s="72" t="s">
        <v>84</v>
      </c>
      <c r="H8" s="74" t="s">
        <v>90</v>
      </c>
      <c r="I8" s="68" t="s">
        <v>91</v>
      </c>
    </row>
    <row r="9" spans="1:9" x14ac:dyDescent="0.3">
      <c r="A9" s="40"/>
      <c r="C9" s="21"/>
      <c r="F9" s="17"/>
      <c r="G9" s="17"/>
      <c r="H9" s="17"/>
      <c r="I9" s="15"/>
    </row>
    <row r="10" spans="1:9" x14ac:dyDescent="0.3">
      <c r="A10" s="40"/>
      <c r="C10" s="22"/>
      <c r="F10" s="17"/>
      <c r="G10" s="17"/>
      <c r="H10" s="17"/>
      <c r="I10" s="15"/>
    </row>
    <row r="11" spans="1:9" x14ac:dyDescent="0.3">
      <c r="A11" s="40"/>
      <c r="C11" s="23"/>
      <c r="F11" s="17"/>
      <c r="G11" s="17"/>
      <c r="H11" s="17"/>
      <c r="I11" s="15"/>
    </row>
    <row r="12" spans="1:9" x14ac:dyDescent="0.3">
      <c r="A12" s="40"/>
      <c r="C12" s="22"/>
      <c r="F12" s="17"/>
      <c r="G12" s="17"/>
      <c r="H12" s="17"/>
      <c r="I12" s="15"/>
    </row>
    <row r="13" spans="1:9" x14ac:dyDescent="0.3">
      <c r="A13" s="40"/>
      <c r="C13" s="22"/>
      <c r="F13" s="17"/>
      <c r="G13" s="17"/>
      <c r="H13" s="17"/>
      <c r="I13" s="15"/>
    </row>
    <row r="14" spans="1:9" x14ac:dyDescent="0.3">
      <c r="A14" s="40"/>
      <c r="C14" s="23"/>
      <c r="F14" s="17"/>
      <c r="G14" s="17"/>
      <c r="H14" s="17"/>
      <c r="I14" s="15"/>
    </row>
    <row r="15" spans="1:9" x14ac:dyDescent="0.35">
      <c r="A15" s="40"/>
      <c r="F15" s="14"/>
      <c r="G15" s="14"/>
    </row>
    <row r="16" spans="1:9" x14ac:dyDescent="0.35">
      <c r="A16" s="40"/>
      <c r="F16" s="14"/>
      <c r="G16" s="14"/>
    </row>
    <row r="17" spans="1:7" x14ac:dyDescent="0.35">
      <c r="A17" s="40"/>
      <c r="F17" s="14"/>
      <c r="G17" s="14"/>
    </row>
    <row r="18" spans="1:7" x14ac:dyDescent="0.35">
      <c r="A18" s="40"/>
      <c r="F18" s="14"/>
      <c r="G18" s="14"/>
    </row>
  </sheetData>
  <autoFilter ref="A2:I8" xr:uid="{94AAF649-42F4-466A-BE11-44357078F961}"/>
  <dataValidations count="8">
    <dataValidation type="list" allowBlank="1" showInputMessage="1" showErrorMessage="1" sqref="C3:C18" xr:uid="{3B0FAE21-4414-4928-BE47-40DBF73D85A6}">
      <formula1>dominios</formula1>
    </dataValidation>
    <dataValidation type="list" allowBlank="1" showInputMessage="1" showErrorMessage="1" sqref="A3:A18" xr:uid="{1BC8411C-0029-4475-BC4D-F429B66D863D}">
      <formula1>competencias</formula1>
    </dataValidation>
    <dataValidation type="list" allowBlank="1" showInputMessage="1" showErrorMessage="1" sqref="F3:F18" xr:uid="{EDC32C5E-443E-464B-B420-6F6CD6A8E099}">
      <formula1>INDIRECT($E3)</formula1>
    </dataValidation>
    <dataValidation type="list" allowBlank="1" showInputMessage="1" showErrorMessage="1" sqref="D3:D18" xr:uid="{D2786A4C-D4BE-47D1-BDF5-271CFB539CAE}">
      <formula1>INDIRECT($C3)</formula1>
    </dataValidation>
    <dataValidation type="list" allowBlank="1" showInputMessage="1" showErrorMessage="1" sqref="H3:H18" xr:uid="{5DC517A5-FC6B-4375-B3E1-04A2C1D437C5}">
      <formula1>INDIRECT($G3)</formula1>
    </dataValidation>
    <dataValidation type="list" allowBlank="1" showInputMessage="1" showErrorMessage="1" sqref="G3:G18" xr:uid="{DF3498F9-E1A3-4395-90A6-D9BF5E92F1D0}">
      <formula1>INDIRECT($F3)</formula1>
    </dataValidation>
    <dataValidation type="list" allowBlank="1" showInputMessage="1" showErrorMessage="1" sqref="G19" xr:uid="{2147F390-DEA6-46FC-B015-E96EFBEBA5F9}">
      <formula1>INDIRECT($E8)</formula1>
    </dataValidation>
    <dataValidation type="list" allowBlank="1" showInputMessage="1" showErrorMessage="1" promptTitle="Taxonomías" prompt="De la lista elija la taxonomía que considere pertinente para establecer los verbos de los resultados de aprendizaje._x000a_B: Taxonomía de Bloom_x000a_BAK: Taxonomía según Anderson y Krathwohl_x000a_LK: Taxonomía según Lors y Krathwohl_x000a_AK: Taxonomía según Anderson y Kendal" sqref="E3:E18" xr:uid="{91AF69DB-29AC-4636-A60A-F864E6B2F972}">
      <formula1>taxonomiasra</formula1>
    </dataValidation>
  </dataValidations>
  <pageMargins left="0.7" right="0.7" top="0.75" bottom="0.75" header="0.3" footer="0.3"/>
  <pageSetup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26B80-E6B4-4ED4-A764-E59AF4E18393}">
  <dimension ref="A1:F29"/>
  <sheetViews>
    <sheetView zoomScaleNormal="100" workbookViewId="0">
      <selection activeCell="A3" sqref="A3"/>
    </sheetView>
  </sheetViews>
  <sheetFormatPr baseColWidth="10" defaultColWidth="11.44140625" defaultRowHeight="18" x14ac:dyDescent="0.3"/>
  <cols>
    <col min="1" max="1" width="46.21875" style="30" customWidth="1"/>
    <col min="2" max="2" width="47.5546875" style="51" customWidth="1"/>
    <col min="3" max="3" width="38.5546875" style="51" customWidth="1"/>
    <col min="4" max="4" width="46.77734375" style="31" customWidth="1"/>
    <col min="5" max="5" width="39.21875" style="31" customWidth="1"/>
    <col min="6" max="6" width="36.21875" style="51" customWidth="1"/>
    <col min="7" max="16384" width="11.44140625" style="51"/>
  </cols>
  <sheetData>
    <row r="1" spans="1:6" s="54" customFormat="1" ht="48" x14ac:dyDescent="0.3">
      <c r="A1" s="55" t="s">
        <v>92</v>
      </c>
      <c r="B1" s="55" t="s">
        <v>93</v>
      </c>
      <c r="C1" s="55" t="s">
        <v>94</v>
      </c>
      <c r="D1" s="55" t="s">
        <v>95</v>
      </c>
      <c r="E1" s="55" t="s">
        <v>96</v>
      </c>
      <c r="F1" s="55" t="s">
        <v>97</v>
      </c>
    </row>
    <row r="2" spans="1:6" ht="36" x14ac:dyDescent="0.3">
      <c r="A2" s="56" t="s">
        <v>98</v>
      </c>
      <c r="B2" s="56" t="s">
        <v>99</v>
      </c>
      <c r="C2" s="56" t="s">
        <v>100</v>
      </c>
      <c r="D2" s="56" t="s">
        <v>101</v>
      </c>
      <c r="E2" s="56" t="s">
        <v>102</v>
      </c>
      <c r="F2" s="56" t="s">
        <v>103</v>
      </c>
    </row>
    <row r="3" spans="1:6" ht="72" x14ac:dyDescent="0.3">
      <c r="A3" s="81" t="s">
        <v>86</v>
      </c>
      <c r="B3" s="137" t="s">
        <v>104</v>
      </c>
      <c r="C3" s="138" t="s">
        <v>105</v>
      </c>
      <c r="D3" s="82" t="s">
        <v>106</v>
      </c>
      <c r="E3" s="138" t="s">
        <v>107</v>
      </c>
      <c r="F3" s="83" t="s">
        <v>108</v>
      </c>
    </row>
    <row r="4" spans="1:6" ht="72.599999999999994" thickBot="1" x14ac:dyDescent="0.35">
      <c r="A4" s="84" t="s">
        <v>91</v>
      </c>
      <c r="B4" s="132"/>
      <c r="C4" s="134"/>
      <c r="D4" s="86" t="s">
        <v>109</v>
      </c>
      <c r="E4" s="134"/>
      <c r="F4" s="84" t="s">
        <v>110</v>
      </c>
    </row>
    <row r="5" spans="1:6" ht="72" x14ac:dyDescent="0.3">
      <c r="A5" s="87" t="s">
        <v>86</v>
      </c>
      <c r="B5" s="131" t="s">
        <v>111</v>
      </c>
      <c r="C5" s="133" t="s">
        <v>112</v>
      </c>
      <c r="D5" s="89" t="s">
        <v>113</v>
      </c>
      <c r="E5" s="133" t="s">
        <v>114</v>
      </c>
      <c r="F5" s="87" t="s">
        <v>115</v>
      </c>
    </row>
    <row r="6" spans="1:6" ht="72" x14ac:dyDescent="0.3">
      <c r="A6" s="52" t="s">
        <v>88</v>
      </c>
      <c r="B6" s="136"/>
      <c r="C6" s="135"/>
      <c r="D6" s="53" t="s">
        <v>116</v>
      </c>
      <c r="E6" s="135"/>
      <c r="F6" s="52" t="s">
        <v>117</v>
      </c>
    </row>
    <row r="7" spans="1:6" ht="72.599999999999994" thickBot="1" x14ac:dyDescent="0.35">
      <c r="A7" s="84" t="s">
        <v>91</v>
      </c>
      <c r="B7" s="132"/>
      <c r="C7" s="134"/>
      <c r="D7" s="86" t="s">
        <v>118</v>
      </c>
      <c r="E7" s="134"/>
      <c r="F7" s="84" t="s">
        <v>119</v>
      </c>
    </row>
    <row r="8" spans="1:6" ht="72" x14ac:dyDescent="0.3">
      <c r="A8" s="87" t="s">
        <v>86</v>
      </c>
      <c r="B8" s="131" t="s">
        <v>120</v>
      </c>
      <c r="C8" s="133" t="s">
        <v>121</v>
      </c>
      <c r="D8" s="89" t="s">
        <v>122</v>
      </c>
      <c r="E8" s="133" t="s">
        <v>123</v>
      </c>
      <c r="F8" s="87" t="s">
        <v>124</v>
      </c>
    </row>
    <row r="9" spans="1:6" ht="72" x14ac:dyDescent="0.3">
      <c r="A9" s="52" t="s">
        <v>88</v>
      </c>
      <c r="B9" s="136"/>
      <c r="C9" s="135"/>
      <c r="D9" s="53" t="s">
        <v>125</v>
      </c>
      <c r="E9" s="135"/>
      <c r="F9" s="91" t="s">
        <v>108</v>
      </c>
    </row>
    <row r="10" spans="1:6" ht="72" x14ac:dyDescent="0.3">
      <c r="A10" s="52" t="s">
        <v>91</v>
      </c>
      <c r="B10" s="136"/>
      <c r="C10" s="135"/>
      <c r="D10" s="53" t="s">
        <v>126</v>
      </c>
      <c r="E10" s="135"/>
      <c r="F10" s="57" t="s">
        <v>110</v>
      </c>
    </row>
    <row r="11" spans="1:6" ht="54.6" thickBot="1" x14ac:dyDescent="0.35">
      <c r="A11" s="84"/>
      <c r="B11" s="132"/>
      <c r="C11" s="134"/>
      <c r="D11" s="86" t="s">
        <v>113</v>
      </c>
      <c r="E11" s="134"/>
      <c r="F11" s="84" t="s">
        <v>115</v>
      </c>
    </row>
    <row r="12" spans="1:6" ht="72" x14ac:dyDescent="0.3">
      <c r="A12" s="87" t="s">
        <v>86</v>
      </c>
      <c r="B12" s="139" t="s">
        <v>127</v>
      </c>
      <c r="C12" s="142" t="s">
        <v>128</v>
      </c>
      <c r="D12" s="92" t="s">
        <v>129</v>
      </c>
      <c r="E12" s="133" t="s">
        <v>107</v>
      </c>
      <c r="F12" s="133" t="s">
        <v>130</v>
      </c>
    </row>
    <row r="13" spans="1:6" x14ac:dyDescent="0.3">
      <c r="A13" s="52"/>
      <c r="B13" s="140"/>
      <c r="C13" s="143"/>
      <c r="D13" s="94" t="s">
        <v>131</v>
      </c>
      <c r="E13" s="135"/>
      <c r="F13" s="135"/>
    </row>
    <row r="14" spans="1:6" ht="18.600000000000001" thickBot="1" x14ac:dyDescent="0.35">
      <c r="A14" s="84"/>
      <c r="B14" s="141"/>
      <c r="C14" s="144"/>
      <c r="D14" s="96" t="s">
        <v>132</v>
      </c>
      <c r="E14" s="84"/>
      <c r="F14" s="84" t="s">
        <v>110</v>
      </c>
    </row>
    <row r="15" spans="1:6" ht="72" x14ac:dyDescent="0.3">
      <c r="A15" s="87" t="s">
        <v>86</v>
      </c>
      <c r="B15" s="131" t="s">
        <v>133</v>
      </c>
      <c r="C15" s="133" t="s">
        <v>134</v>
      </c>
      <c r="D15" s="89" t="s">
        <v>135</v>
      </c>
      <c r="E15" s="133" t="s">
        <v>136</v>
      </c>
      <c r="F15" s="97" t="s">
        <v>108</v>
      </c>
    </row>
    <row r="16" spans="1:6" ht="72" x14ac:dyDescent="0.3">
      <c r="A16" s="52" t="s">
        <v>88</v>
      </c>
      <c r="B16" s="136"/>
      <c r="C16" s="135"/>
      <c r="D16" s="53" t="s">
        <v>137</v>
      </c>
      <c r="E16" s="135"/>
      <c r="F16" s="93" t="s">
        <v>110</v>
      </c>
    </row>
    <row r="17" spans="1:6" ht="72.599999999999994" thickBot="1" x14ac:dyDescent="0.35">
      <c r="A17" s="84" t="s">
        <v>91</v>
      </c>
      <c r="B17" s="132"/>
      <c r="C17" s="134"/>
      <c r="D17" s="86" t="s">
        <v>138</v>
      </c>
      <c r="E17" s="134"/>
      <c r="F17" s="95" t="s">
        <v>110</v>
      </c>
    </row>
    <row r="18" spans="1:6" ht="126" x14ac:dyDescent="0.3">
      <c r="A18" s="87" t="s">
        <v>86</v>
      </c>
      <c r="B18" s="88" t="s">
        <v>139</v>
      </c>
      <c r="C18" s="87" t="s">
        <v>140</v>
      </c>
      <c r="D18" s="89" t="s">
        <v>141</v>
      </c>
      <c r="E18" s="87" t="s">
        <v>107</v>
      </c>
      <c r="F18" s="87" t="s">
        <v>142</v>
      </c>
    </row>
    <row r="19" spans="1:6" ht="72" x14ac:dyDescent="0.3">
      <c r="A19" s="52" t="s">
        <v>91</v>
      </c>
      <c r="B19" s="90"/>
      <c r="C19" s="52"/>
      <c r="D19" s="53" t="s">
        <v>143</v>
      </c>
      <c r="E19" s="52"/>
      <c r="F19" s="52" t="s">
        <v>108</v>
      </c>
    </row>
    <row r="20" spans="1:6" ht="36.6" thickBot="1" x14ac:dyDescent="0.35">
      <c r="A20" s="84"/>
      <c r="B20" s="85"/>
      <c r="C20" s="84"/>
      <c r="D20" s="86" t="s">
        <v>144</v>
      </c>
      <c r="E20" s="84"/>
      <c r="F20" s="84" t="s">
        <v>110</v>
      </c>
    </row>
    <row r="21" spans="1:6" ht="72" x14ac:dyDescent="0.3">
      <c r="A21" s="87" t="s">
        <v>86</v>
      </c>
      <c r="B21" s="131" t="s">
        <v>145</v>
      </c>
      <c r="C21" s="133" t="s">
        <v>146</v>
      </c>
      <c r="D21" s="89" t="s">
        <v>118</v>
      </c>
      <c r="E21" s="133" t="s">
        <v>114</v>
      </c>
      <c r="F21" s="87" t="s">
        <v>110</v>
      </c>
    </row>
    <row r="22" spans="1:6" ht="72" x14ac:dyDescent="0.3">
      <c r="A22" s="52" t="s">
        <v>88</v>
      </c>
      <c r="B22" s="136"/>
      <c r="C22" s="135"/>
      <c r="D22" s="53" t="s">
        <v>147</v>
      </c>
      <c r="E22" s="135"/>
      <c r="F22" s="52" t="s">
        <v>148</v>
      </c>
    </row>
    <row r="23" spans="1:6" ht="72" x14ac:dyDescent="0.3">
      <c r="A23" s="52" t="s">
        <v>91</v>
      </c>
      <c r="B23" s="136"/>
      <c r="C23" s="135"/>
      <c r="D23" s="53" t="s">
        <v>149</v>
      </c>
      <c r="E23" s="135"/>
      <c r="F23" s="91" t="s">
        <v>108</v>
      </c>
    </row>
    <row r="24" spans="1:6" ht="18.600000000000001" thickBot="1" x14ac:dyDescent="0.35">
      <c r="A24" s="84"/>
      <c r="B24" s="132"/>
      <c r="C24" s="134"/>
      <c r="D24" s="86" t="s">
        <v>150</v>
      </c>
      <c r="E24" s="134"/>
      <c r="F24" s="84" t="s">
        <v>151</v>
      </c>
    </row>
    <row r="25" spans="1:6" ht="72" x14ac:dyDescent="0.3">
      <c r="A25" s="87" t="s">
        <v>86</v>
      </c>
      <c r="B25" s="131" t="s">
        <v>152</v>
      </c>
      <c r="C25" s="133" t="s">
        <v>153</v>
      </c>
      <c r="D25" s="89" t="s">
        <v>154</v>
      </c>
      <c r="E25" s="133" t="s">
        <v>107</v>
      </c>
      <c r="F25" s="98" t="s">
        <v>108</v>
      </c>
    </row>
    <row r="26" spans="1:6" ht="18.600000000000001" thickBot="1" x14ac:dyDescent="0.35">
      <c r="A26" s="84"/>
      <c r="B26" s="132"/>
      <c r="C26" s="134"/>
      <c r="D26" s="86" t="s">
        <v>155</v>
      </c>
      <c r="E26" s="134"/>
      <c r="F26" s="99" t="s">
        <v>108</v>
      </c>
    </row>
    <row r="27" spans="1:6" x14ac:dyDescent="0.3">
      <c r="A27" s="52"/>
      <c r="B27" s="4"/>
      <c r="C27" s="4"/>
      <c r="D27" s="53"/>
      <c r="E27" s="57"/>
      <c r="F27" s="4"/>
    </row>
    <row r="28" spans="1:6" x14ac:dyDescent="0.3">
      <c r="A28" s="52"/>
      <c r="B28" s="4"/>
      <c r="C28" s="4"/>
      <c r="D28" s="53"/>
      <c r="E28" s="57"/>
      <c r="F28" s="4"/>
    </row>
    <row r="29" spans="1:6" x14ac:dyDescent="0.3">
      <c r="A29" s="52"/>
      <c r="B29" s="4"/>
      <c r="C29" s="4"/>
      <c r="D29" s="53"/>
      <c r="E29" s="57"/>
      <c r="F29" s="4"/>
    </row>
  </sheetData>
  <mergeCells count="22">
    <mergeCell ref="B8:B11"/>
    <mergeCell ref="C8:C11"/>
    <mergeCell ref="E8:E11"/>
    <mergeCell ref="E12:E13"/>
    <mergeCell ref="B12:B14"/>
    <mergeCell ref="C12:C14"/>
    <mergeCell ref="B3:B4"/>
    <mergeCell ref="C3:C4"/>
    <mergeCell ref="E3:E4"/>
    <mergeCell ref="B5:B7"/>
    <mergeCell ref="C5:C7"/>
    <mergeCell ref="E5:E7"/>
    <mergeCell ref="B25:B26"/>
    <mergeCell ref="C25:C26"/>
    <mergeCell ref="E25:E26"/>
    <mergeCell ref="F12:F13"/>
    <mergeCell ref="B15:B17"/>
    <mergeCell ref="C15:C17"/>
    <mergeCell ref="E15:E17"/>
    <mergeCell ref="B21:B24"/>
    <mergeCell ref="C21:C24"/>
    <mergeCell ref="E21:E24"/>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C274CE14-B2DD-4EB6-BEB6-225A55AAFD18}">
          <x14:formula1>
            <xm:f>'Paso 3 Redacción RA '!$I$3:$I$8</xm:f>
          </x14:formula1>
          <xm:sqref>A3:A26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248250-C92C-4D02-A0C3-2CB27C341894}">
  <dimension ref="A1:P44"/>
  <sheetViews>
    <sheetView tabSelected="1" zoomScaleNormal="100" workbookViewId="0">
      <pane ySplit="1" topLeftCell="A2" activePane="bottomLeft" state="frozen"/>
      <selection activeCell="G1" sqref="G1"/>
      <selection pane="bottomLeft" activeCell="E2" sqref="E2"/>
    </sheetView>
  </sheetViews>
  <sheetFormatPr baseColWidth="10" defaultColWidth="11.44140625" defaultRowHeight="13.8" x14ac:dyDescent="0.35"/>
  <cols>
    <col min="1" max="1" width="14.77734375" style="17" customWidth="1"/>
    <col min="2" max="2" width="39.77734375" style="80" customWidth="1"/>
    <col min="3" max="3" width="18.77734375" style="16" customWidth="1"/>
    <col min="4" max="4" width="23.21875" style="16" customWidth="1"/>
    <col min="5" max="5" width="54.77734375" style="80" customWidth="1"/>
    <col min="6" max="6" width="22.21875" style="14" customWidth="1"/>
    <col min="7" max="8" width="21.21875" style="16" customWidth="1"/>
    <col min="9" max="9" width="17" style="19" customWidth="1"/>
    <col min="10" max="10" width="23.21875" style="14" customWidth="1"/>
    <col min="11" max="11" width="26.44140625" style="14" customWidth="1"/>
    <col min="12" max="12" width="20.77734375" style="14" customWidth="1"/>
    <col min="13" max="13" width="23.77734375" style="80" customWidth="1"/>
    <col min="14" max="14" width="31.21875" style="80" customWidth="1"/>
    <col min="15" max="15" width="38.21875" style="80" customWidth="1"/>
    <col min="16" max="16" width="86" style="80" customWidth="1"/>
    <col min="17" max="16384" width="11.44140625" style="14"/>
  </cols>
  <sheetData>
    <row r="1" spans="1:16" ht="48" x14ac:dyDescent="0.35">
      <c r="A1" s="75" t="s">
        <v>156</v>
      </c>
      <c r="B1" s="75" t="s">
        <v>157</v>
      </c>
      <c r="C1" s="75" t="s">
        <v>158</v>
      </c>
      <c r="D1" s="75" t="s">
        <v>159</v>
      </c>
      <c r="E1" s="75" t="s">
        <v>160</v>
      </c>
      <c r="F1" s="75" t="s">
        <v>161</v>
      </c>
      <c r="G1" s="123" t="s">
        <v>162</v>
      </c>
      <c r="H1" s="124"/>
      <c r="I1" s="75" t="s">
        <v>163</v>
      </c>
      <c r="J1" s="75" t="s">
        <v>164</v>
      </c>
      <c r="K1" s="75" t="s">
        <v>165</v>
      </c>
      <c r="L1" s="75" t="s">
        <v>166</v>
      </c>
      <c r="M1" s="75" t="s">
        <v>167</v>
      </c>
      <c r="N1" s="75" t="s">
        <v>168</v>
      </c>
      <c r="O1" s="75" t="s">
        <v>169</v>
      </c>
      <c r="P1" s="76" t="s">
        <v>170</v>
      </c>
    </row>
    <row r="2" spans="1:16" s="1" customFormat="1" ht="36" x14ac:dyDescent="0.5">
      <c r="A2" s="111" t="s">
        <v>76</v>
      </c>
      <c r="B2" s="111" t="s">
        <v>98</v>
      </c>
      <c r="C2" s="111" t="s">
        <v>171</v>
      </c>
      <c r="D2" s="111" t="s">
        <v>172</v>
      </c>
      <c r="E2" s="112" t="s">
        <v>684</v>
      </c>
      <c r="F2" s="112" t="s">
        <v>173</v>
      </c>
      <c r="G2" s="112" t="s">
        <v>174</v>
      </c>
      <c r="H2" s="112" t="s">
        <v>175</v>
      </c>
      <c r="I2" s="111" t="s">
        <v>176</v>
      </c>
      <c r="J2" s="111" t="s">
        <v>177</v>
      </c>
      <c r="K2" s="111" t="s">
        <v>178</v>
      </c>
      <c r="L2" s="111" t="s">
        <v>179</v>
      </c>
      <c r="M2" s="111" t="s">
        <v>180</v>
      </c>
      <c r="N2" s="111" t="s">
        <v>181</v>
      </c>
      <c r="O2" s="111" t="s">
        <v>182</v>
      </c>
      <c r="P2" s="111" t="s">
        <v>183</v>
      </c>
    </row>
    <row r="3" spans="1:16" s="78" customFormat="1" ht="72" x14ac:dyDescent="0.5">
      <c r="A3" s="94" t="str">
        <f>_xlfn.XLOOKUP(B3,'Paso 3 Redacción RA '!I$3:I$8,'Paso 3 Redacción RA '!C$3:C$8,,0,1)</f>
        <v>Saberhacer</v>
      </c>
      <c r="B3" s="53" t="s">
        <v>88</v>
      </c>
      <c r="C3" s="122" t="s">
        <v>184</v>
      </c>
      <c r="D3" s="122" t="s">
        <v>185</v>
      </c>
      <c r="E3" s="120" t="s">
        <v>186</v>
      </c>
      <c r="F3" s="117" t="s">
        <v>187</v>
      </c>
      <c r="G3" s="117"/>
      <c r="H3" s="117" t="s">
        <v>188</v>
      </c>
      <c r="I3" s="117">
        <v>2</v>
      </c>
      <c r="J3" s="117">
        <f>12*I3</f>
        <v>24</v>
      </c>
      <c r="K3" s="117">
        <f>36*I3</f>
        <v>72</v>
      </c>
      <c r="L3" s="117">
        <f>SUM(J3:K3)</f>
        <v>96</v>
      </c>
      <c r="M3" s="120" t="s">
        <v>189</v>
      </c>
      <c r="N3" s="120" t="s">
        <v>190</v>
      </c>
      <c r="O3" s="120" t="s">
        <v>191</v>
      </c>
      <c r="P3" s="120" t="s">
        <v>192</v>
      </c>
    </row>
    <row r="4" spans="1:16" s="78" customFormat="1" ht="90" x14ac:dyDescent="0.5">
      <c r="A4" s="96" t="str">
        <f>_xlfn.XLOOKUP(B4,'Paso 3 Redacción RA '!I$3:I$8,'Paso 3 Redacción RA '!C$3:C$8,,0,1)</f>
        <v>Saberser</v>
      </c>
      <c r="B4" s="86" t="s">
        <v>91</v>
      </c>
      <c r="C4" s="118"/>
      <c r="D4" s="118"/>
      <c r="E4" s="121"/>
      <c r="F4" s="118"/>
      <c r="G4" s="118"/>
      <c r="H4" s="118"/>
      <c r="I4" s="118"/>
      <c r="J4" s="118"/>
      <c r="K4" s="118"/>
      <c r="L4" s="118"/>
      <c r="M4" s="121"/>
      <c r="N4" s="121"/>
      <c r="O4" s="121"/>
      <c r="P4" s="121"/>
    </row>
    <row r="5" spans="1:16" s="78" customFormat="1" ht="90" x14ac:dyDescent="0.5">
      <c r="A5" s="114" t="str">
        <f>_xlfn.XLOOKUP(B5,'Paso 3 Redacción RA '!I$3:I$8,'Paso 3 Redacción RA '!C$3:C$8,,0,1)</f>
        <v>Saber</v>
      </c>
      <c r="B5" s="89" t="s">
        <v>86</v>
      </c>
      <c r="C5" s="116" t="s">
        <v>184</v>
      </c>
      <c r="D5" s="116" t="s">
        <v>193</v>
      </c>
      <c r="E5" s="119" t="s">
        <v>194</v>
      </c>
      <c r="F5" s="116" t="s">
        <v>195</v>
      </c>
      <c r="G5" s="116" t="s">
        <v>188</v>
      </c>
      <c r="H5" s="116"/>
      <c r="I5" s="116">
        <v>3</v>
      </c>
      <c r="J5" s="117">
        <f>12*I5</f>
        <v>36</v>
      </c>
      <c r="K5" s="117">
        <f>36*I5</f>
        <v>108</v>
      </c>
      <c r="L5" s="117">
        <f>SUM(J5:K5)</f>
        <v>144</v>
      </c>
      <c r="M5" s="119" t="s">
        <v>196</v>
      </c>
      <c r="N5" s="119" t="s">
        <v>190</v>
      </c>
      <c r="O5" s="119" t="s">
        <v>191</v>
      </c>
      <c r="P5" s="120" t="s">
        <v>192</v>
      </c>
    </row>
    <row r="6" spans="1:16" s="78" customFormat="1" ht="90" x14ac:dyDescent="0.5">
      <c r="A6" s="96" t="str">
        <f>_xlfn.XLOOKUP(B6,'Paso 3 Redacción RA '!I$3:I$8,'Paso 3 Redacción RA '!C$3:C$8,,0,1)</f>
        <v>Saberser</v>
      </c>
      <c r="B6" s="86" t="s">
        <v>91</v>
      </c>
      <c r="C6" s="118"/>
      <c r="D6" s="118"/>
      <c r="E6" s="121"/>
      <c r="F6" s="118"/>
      <c r="G6" s="118"/>
      <c r="H6" s="118"/>
      <c r="I6" s="118"/>
      <c r="J6" s="118"/>
      <c r="K6" s="118"/>
      <c r="L6" s="118"/>
      <c r="M6" s="121"/>
      <c r="N6" s="121"/>
      <c r="O6" s="121"/>
      <c r="P6" s="121"/>
    </row>
    <row r="7" spans="1:16" s="78" customFormat="1" ht="90" x14ac:dyDescent="0.5">
      <c r="A7" s="114" t="str">
        <f>_xlfn.XLOOKUP(B7,'Paso 3 Redacción RA '!I$3:I$8,'Paso 3 Redacción RA '!C$3:C$8,,0,1)</f>
        <v>Saber</v>
      </c>
      <c r="B7" s="89" t="s">
        <v>86</v>
      </c>
      <c r="C7" s="116" t="s">
        <v>184</v>
      </c>
      <c r="D7" s="116" t="s">
        <v>197</v>
      </c>
      <c r="E7" s="119" t="s">
        <v>198</v>
      </c>
      <c r="F7" s="116" t="s">
        <v>187</v>
      </c>
      <c r="G7" s="116" t="s">
        <v>188</v>
      </c>
      <c r="H7" s="116"/>
      <c r="I7" s="116">
        <v>2</v>
      </c>
      <c r="J7" s="116">
        <f>12*I7</f>
        <v>24</v>
      </c>
      <c r="K7" s="116">
        <f>36*I7</f>
        <v>72</v>
      </c>
      <c r="L7" s="116">
        <f>SUM(J7:K9)</f>
        <v>96</v>
      </c>
      <c r="M7" s="119" t="s">
        <v>199</v>
      </c>
      <c r="N7" s="119" t="s">
        <v>190</v>
      </c>
      <c r="O7" s="119" t="s">
        <v>191</v>
      </c>
      <c r="P7" s="119" t="s">
        <v>192</v>
      </c>
    </row>
    <row r="8" spans="1:16" s="78" customFormat="1" ht="72" x14ac:dyDescent="0.5">
      <c r="A8" s="94" t="str">
        <f>_xlfn.XLOOKUP(B8,'Paso 3 Redacción RA '!I$3:I$8,'Paso 3 Redacción RA '!C$3:C$8,,0,1)</f>
        <v>Saberhacer</v>
      </c>
      <c r="B8" s="53" t="s">
        <v>88</v>
      </c>
      <c r="C8" s="117"/>
      <c r="D8" s="117"/>
      <c r="E8" s="120"/>
      <c r="F8" s="117"/>
      <c r="G8" s="117"/>
      <c r="H8" s="117"/>
      <c r="I8" s="117"/>
      <c r="J8" s="117"/>
      <c r="K8" s="117"/>
      <c r="L8" s="117"/>
      <c r="M8" s="120"/>
      <c r="N8" s="120"/>
      <c r="O8" s="120"/>
      <c r="P8" s="120"/>
    </row>
    <row r="9" spans="1:16" s="78" customFormat="1" ht="90" x14ac:dyDescent="0.5">
      <c r="A9" s="96" t="str">
        <f>_xlfn.XLOOKUP(B9,'Paso 3 Redacción RA '!I$3:I$8,'Paso 3 Redacción RA '!C$3:C$8,,0,1)</f>
        <v>Saberser</v>
      </c>
      <c r="B9" s="86" t="s">
        <v>91</v>
      </c>
      <c r="C9" s="118"/>
      <c r="D9" s="118"/>
      <c r="E9" s="121"/>
      <c r="F9" s="118"/>
      <c r="G9" s="118"/>
      <c r="H9" s="118"/>
      <c r="I9" s="118"/>
      <c r="J9" s="118"/>
      <c r="K9" s="118"/>
      <c r="L9" s="118"/>
      <c r="M9" s="121"/>
      <c r="N9" s="121"/>
      <c r="O9" s="121"/>
      <c r="P9" s="121"/>
    </row>
    <row r="10" spans="1:16" s="78" customFormat="1" ht="90" x14ac:dyDescent="0.5">
      <c r="A10" s="114" t="str">
        <f>_xlfn.XLOOKUP(B10,'Paso 3 Redacción RA '!I$3:I$8,'Paso 3 Redacción RA '!C$3:C$8,,0,1)</f>
        <v>Saber</v>
      </c>
      <c r="B10" s="89" t="s">
        <v>86</v>
      </c>
      <c r="C10" s="116" t="s">
        <v>184</v>
      </c>
      <c r="D10" s="116" t="s">
        <v>200</v>
      </c>
      <c r="E10" s="119" t="s">
        <v>201</v>
      </c>
      <c r="F10" s="116" t="s">
        <v>187</v>
      </c>
      <c r="G10" s="116" t="s">
        <v>188</v>
      </c>
      <c r="H10" s="116"/>
      <c r="I10" s="116">
        <v>3</v>
      </c>
      <c r="J10" s="116">
        <f>12*I10</f>
        <v>36</v>
      </c>
      <c r="K10" s="116">
        <f>36*I10</f>
        <v>108</v>
      </c>
      <c r="L10" s="116">
        <f>SUM(J10:K12)</f>
        <v>144</v>
      </c>
      <c r="M10" s="119" t="s">
        <v>202</v>
      </c>
      <c r="N10" s="119" t="s">
        <v>190</v>
      </c>
      <c r="O10" s="119" t="s">
        <v>191</v>
      </c>
      <c r="P10" s="119" t="s">
        <v>192</v>
      </c>
    </row>
    <row r="11" spans="1:16" s="78" customFormat="1" ht="72" x14ac:dyDescent="0.5">
      <c r="A11" s="94" t="str">
        <f>_xlfn.XLOOKUP(B11,'Paso 3 Redacción RA '!I$3:I$8,'Paso 3 Redacción RA '!C$3:C$8,,0,1)</f>
        <v>Saberhacer</v>
      </c>
      <c r="B11" s="53" t="s">
        <v>88</v>
      </c>
      <c r="C11" s="117"/>
      <c r="D11" s="117"/>
      <c r="E11" s="120"/>
      <c r="F11" s="117"/>
      <c r="G11" s="117"/>
      <c r="H11" s="117"/>
      <c r="I11" s="117"/>
      <c r="J11" s="117"/>
      <c r="K11" s="117"/>
      <c r="L11" s="117"/>
      <c r="M11" s="120"/>
      <c r="N11" s="120"/>
      <c r="O11" s="120"/>
      <c r="P11" s="120"/>
    </row>
    <row r="12" spans="1:16" s="78" customFormat="1" ht="90" x14ac:dyDescent="0.5">
      <c r="A12" s="96" t="str">
        <f>_xlfn.XLOOKUP(B12,'Paso 3 Redacción RA '!I$3:I$8,'Paso 3 Redacción RA '!C$3:C$8,,0,1)</f>
        <v>Saberser</v>
      </c>
      <c r="B12" s="86" t="s">
        <v>91</v>
      </c>
      <c r="C12" s="118"/>
      <c r="D12" s="118"/>
      <c r="E12" s="121"/>
      <c r="F12" s="118"/>
      <c r="G12" s="118"/>
      <c r="H12" s="118"/>
      <c r="I12" s="118"/>
      <c r="J12" s="118"/>
      <c r="K12" s="118"/>
      <c r="L12" s="118"/>
      <c r="M12" s="121"/>
      <c r="N12" s="121"/>
      <c r="O12" s="121"/>
      <c r="P12" s="121"/>
    </row>
    <row r="13" spans="1:16" s="78" customFormat="1" ht="90" x14ac:dyDescent="0.5">
      <c r="A13" s="114" t="str">
        <f>_xlfn.XLOOKUP(B13,'Paso 3 Redacción RA '!I$3:I$8,'Paso 3 Redacción RA '!C$3:C$8,,0,1)</f>
        <v>Saber</v>
      </c>
      <c r="B13" s="89" t="s">
        <v>86</v>
      </c>
      <c r="C13" s="116" t="s">
        <v>184</v>
      </c>
      <c r="D13" s="116" t="s">
        <v>203</v>
      </c>
      <c r="E13" s="119" t="s">
        <v>204</v>
      </c>
      <c r="F13" s="116" t="s">
        <v>187</v>
      </c>
      <c r="G13" s="116" t="s">
        <v>188</v>
      </c>
      <c r="H13" s="116"/>
      <c r="I13" s="116">
        <v>3</v>
      </c>
      <c r="J13" s="116">
        <f>12*I13</f>
        <v>36</v>
      </c>
      <c r="K13" s="116">
        <f>36*I13</f>
        <v>108</v>
      </c>
      <c r="L13" s="116">
        <f>SUM(J13:K15)</f>
        <v>144</v>
      </c>
      <c r="M13" s="119" t="s">
        <v>205</v>
      </c>
      <c r="N13" s="119" t="s">
        <v>190</v>
      </c>
      <c r="O13" s="119" t="s">
        <v>191</v>
      </c>
      <c r="P13" s="119" t="s">
        <v>192</v>
      </c>
    </row>
    <row r="14" spans="1:16" s="78" customFormat="1" ht="72" x14ac:dyDescent="0.5">
      <c r="A14" s="94" t="str">
        <f>_xlfn.XLOOKUP(B14,'Paso 3 Redacción RA '!I$3:I$8,'Paso 3 Redacción RA '!C$3:C$8,,0,1)</f>
        <v>Saberhacer</v>
      </c>
      <c r="B14" s="53" t="s">
        <v>88</v>
      </c>
      <c r="C14" s="117"/>
      <c r="D14" s="117"/>
      <c r="E14" s="120"/>
      <c r="F14" s="117"/>
      <c r="G14" s="117"/>
      <c r="H14" s="117"/>
      <c r="I14" s="117"/>
      <c r="J14" s="117"/>
      <c r="K14" s="117"/>
      <c r="L14" s="117"/>
      <c r="M14" s="120"/>
      <c r="N14" s="120"/>
      <c r="O14" s="120"/>
      <c r="P14" s="120"/>
    </row>
    <row r="15" spans="1:16" s="78" customFormat="1" ht="90" x14ac:dyDescent="0.5">
      <c r="A15" s="96" t="str">
        <f>_xlfn.XLOOKUP(B15,'Paso 3 Redacción RA '!I$3:I$8,'Paso 3 Redacción RA '!C$3:C$8,,0,1)</f>
        <v>Saberser</v>
      </c>
      <c r="B15" s="86" t="s">
        <v>91</v>
      </c>
      <c r="C15" s="118"/>
      <c r="D15" s="118"/>
      <c r="E15" s="121"/>
      <c r="F15" s="118"/>
      <c r="G15" s="118"/>
      <c r="H15" s="118"/>
      <c r="I15" s="118"/>
      <c r="J15" s="118"/>
      <c r="K15" s="118"/>
      <c r="L15" s="118"/>
      <c r="M15" s="121"/>
      <c r="N15" s="121"/>
      <c r="O15" s="121"/>
      <c r="P15" s="121"/>
    </row>
    <row r="16" spans="1:16" s="78" customFormat="1" ht="90" x14ac:dyDescent="0.5">
      <c r="A16" s="114" t="str">
        <f>_xlfn.XLOOKUP(B16,'Paso 3 Redacción RA '!I$3:I$8,'Paso 3 Redacción RA '!C$3:C$8,,0,1)</f>
        <v>Saber</v>
      </c>
      <c r="B16" s="89" t="s">
        <v>86</v>
      </c>
      <c r="C16" s="116" t="s">
        <v>206</v>
      </c>
      <c r="D16" s="116" t="s">
        <v>207</v>
      </c>
      <c r="E16" s="119" t="s">
        <v>208</v>
      </c>
      <c r="F16" s="116" t="s">
        <v>187</v>
      </c>
      <c r="G16" s="116"/>
      <c r="H16" s="116" t="s">
        <v>188</v>
      </c>
      <c r="I16" s="116">
        <v>2</v>
      </c>
      <c r="J16" s="116">
        <f>12*I16</f>
        <v>24</v>
      </c>
      <c r="K16" s="116">
        <f>36*I16</f>
        <v>72</v>
      </c>
      <c r="L16" s="116">
        <f>SUM(J16:K18)</f>
        <v>96</v>
      </c>
      <c r="M16" s="119" t="s">
        <v>209</v>
      </c>
      <c r="N16" s="119" t="s">
        <v>190</v>
      </c>
      <c r="O16" s="119" t="s">
        <v>191</v>
      </c>
      <c r="P16" s="119" t="s">
        <v>192</v>
      </c>
    </row>
    <row r="17" spans="1:16" s="78" customFormat="1" ht="72" x14ac:dyDescent="0.5">
      <c r="A17" s="94" t="str">
        <f>_xlfn.XLOOKUP(B17,'Paso 3 Redacción RA '!I$3:I$8,'Paso 3 Redacción RA '!C$3:C$8,,0,1)</f>
        <v>Saberhacer</v>
      </c>
      <c r="B17" s="53" t="s">
        <v>88</v>
      </c>
      <c r="C17" s="117"/>
      <c r="D17" s="117"/>
      <c r="E17" s="120"/>
      <c r="F17" s="117"/>
      <c r="G17" s="117"/>
      <c r="H17" s="117"/>
      <c r="I17" s="117"/>
      <c r="J17" s="117"/>
      <c r="K17" s="117"/>
      <c r="L17" s="117"/>
      <c r="M17" s="120"/>
      <c r="N17" s="120"/>
      <c r="O17" s="120"/>
      <c r="P17" s="120"/>
    </row>
    <row r="18" spans="1:16" s="78" customFormat="1" ht="90" x14ac:dyDescent="0.5">
      <c r="A18" s="96" t="str">
        <f>_xlfn.XLOOKUP(B18,'Paso 3 Redacción RA '!I$3:I$8,'Paso 3 Redacción RA '!C$3:C$8,,0,1)</f>
        <v>Saberser</v>
      </c>
      <c r="B18" s="86" t="s">
        <v>91</v>
      </c>
      <c r="C18" s="118"/>
      <c r="D18" s="118"/>
      <c r="E18" s="121"/>
      <c r="F18" s="118"/>
      <c r="G18" s="118"/>
      <c r="H18" s="118"/>
      <c r="I18" s="118"/>
      <c r="J18" s="118"/>
      <c r="K18" s="118"/>
      <c r="L18" s="118"/>
      <c r="M18" s="121"/>
      <c r="N18" s="121"/>
      <c r="O18" s="121"/>
      <c r="P18" s="121"/>
    </row>
    <row r="19" spans="1:16" s="78" customFormat="1" ht="90" x14ac:dyDescent="0.5">
      <c r="A19" s="114" t="str">
        <f>_xlfn.XLOOKUP(B19,'Paso 3 Redacción RA '!I$3:I$8,'Paso 3 Redacción RA '!C$3:C$8,,0,1)</f>
        <v>Saber</v>
      </c>
      <c r="B19" s="89" t="s">
        <v>86</v>
      </c>
      <c r="C19" s="116" t="s">
        <v>206</v>
      </c>
      <c r="D19" s="116" t="s">
        <v>210</v>
      </c>
      <c r="E19" s="119" t="s">
        <v>211</v>
      </c>
      <c r="F19" s="116" t="s">
        <v>187</v>
      </c>
      <c r="G19" s="116"/>
      <c r="H19" s="116" t="s">
        <v>188</v>
      </c>
      <c r="I19" s="116">
        <v>2</v>
      </c>
      <c r="J19" s="116">
        <f>12*I19</f>
        <v>24</v>
      </c>
      <c r="K19" s="116">
        <f>36*I19</f>
        <v>72</v>
      </c>
      <c r="L19" s="116">
        <f>SUM(J19:K21)</f>
        <v>96</v>
      </c>
      <c r="M19" s="119" t="s">
        <v>212</v>
      </c>
      <c r="N19" s="119" t="s">
        <v>190</v>
      </c>
      <c r="O19" s="119" t="s">
        <v>191</v>
      </c>
      <c r="P19" s="119" t="s">
        <v>192</v>
      </c>
    </row>
    <row r="20" spans="1:16" s="78" customFormat="1" ht="72" x14ac:dyDescent="0.5">
      <c r="A20" s="94" t="str">
        <f>_xlfn.XLOOKUP(B20,'Paso 3 Redacción RA '!I$3:I$8,'Paso 3 Redacción RA '!C$3:C$8,,0,1)</f>
        <v>Saberhacer</v>
      </c>
      <c r="B20" s="53" t="s">
        <v>88</v>
      </c>
      <c r="C20" s="117"/>
      <c r="D20" s="117"/>
      <c r="E20" s="120"/>
      <c r="F20" s="117"/>
      <c r="G20" s="117"/>
      <c r="H20" s="117"/>
      <c r="I20" s="117"/>
      <c r="J20" s="117"/>
      <c r="K20" s="117"/>
      <c r="L20" s="117"/>
      <c r="M20" s="120"/>
      <c r="N20" s="120"/>
      <c r="O20" s="120"/>
      <c r="P20" s="120"/>
    </row>
    <row r="21" spans="1:16" s="78" customFormat="1" ht="90" x14ac:dyDescent="0.5">
      <c r="A21" s="96" t="str">
        <f>_xlfn.XLOOKUP(B21,'Paso 3 Redacción RA '!I$3:I$8,'Paso 3 Redacción RA '!C$3:C$8,,0,1)</f>
        <v>Saberser</v>
      </c>
      <c r="B21" s="86" t="s">
        <v>91</v>
      </c>
      <c r="C21" s="118"/>
      <c r="D21" s="118"/>
      <c r="E21" s="121"/>
      <c r="F21" s="118"/>
      <c r="G21" s="118"/>
      <c r="H21" s="118"/>
      <c r="I21" s="118"/>
      <c r="J21" s="118"/>
      <c r="K21" s="118"/>
      <c r="L21" s="118"/>
      <c r="M21" s="121"/>
      <c r="N21" s="121"/>
      <c r="O21" s="121"/>
      <c r="P21" s="121"/>
    </row>
    <row r="22" spans="1:16" s="78" customFormat="1" ht="90" x14ac:dyDescent="0.5">
      <c r="A22" s="114" t="str">
        <f>_xlfn.XLOOKUP(B22,'Paso 3 Redacción RA '!I$3:I$8,'Paso 3 Redacción RA '!C$3:C$8,,0,1)</f>
        <v>Saber</v>
      </c>
      <c r="B22" s="89" t="s">
        <v>86</v>
      </c>
      <c r="C22" s="116" t="s">
        <v>206</v>
      </c>
      <c r="D22" s="116" t="s">
        <v>213</v>
      </c>
      <c r="E22" s="119" t="s">
        <v>214</v>
      </c>
      <c r="F22" s="116" t="s">
        <v>187</v>
      </c>
      <c r="G22" s="116"/>
      <c r="H22" s="116" t="s">
        <v>188</v>
      </c>
      <c r="I22" s="116">
        <v>3</v>
      </c>
      <c r="J22" s="116">
        <f>12*I22</f>
        <v>36</v>
      </c>
      <c r="K22" s="116">
        <f>36*I22</f>
        <v>108</v>
      </c>
      <c r="L22" s="116">
        <f>SUM(J22:K24)</f>
        <v>144</v>
      </c>
      <c r="M22" s="119" t="s">
        <v>215</v>
      </c>
      <c r="N22" s="119" t="s">
        <v>190</v>
      </c>
      <c r="O22" s="119" t="s">
        <v>191</v>
      </c>
      <c r="P22" s="119" t="s">
        <v>192</v>
      </c>
    </row>
    <row r="23" spans="1:16" s="78" customFormat="1" ht="72" x14ac:dyDescent="0.5">
      <c r="A23" s="94" t="str">
        <f>_xlfn.XLOOKUP(B23,'Paso 3 Redacción RA '!I$3:I$8,'Paso 3 Redacción RA '!C$3:C$8,,0,1)</f>
        <v>Saberhacer</v>
      </c>
      <c r="B23" s="53" t="s">
        <v>88</v>
      </c>
      <c r="C23" s="117"/>
      <c r="D23" s="117"/>
      <c r="E23" s="120"/>
      <c r="F23" s="117"/>
      <c r="G23" s="117"/>
      <c r="H23" s="117"/>
      <c r="I23" s="117"/>
      <c r="J23" s="117"/>
      <c r="K23" s="117"/>
      <c r="L23" s="117"/>
      <c r="M23" s="120"/>
      <c r="N23" s="120"/>
      <c r="O23" s="120"/>
      <c r="P23" s="120"/>
    </row>
    <row r="24" spans="1:16" s="78" customFormat="1" ht="90" x14ac:dyDescent="0.5">
      <c r="A24" s="96" t="str">
        <f>_xlfn.XLOOKUP(B24,'Paso 3 Redacción RA '!I$3:I$8,'Paso 3 Redacción RA '!C$3:C$8,,0,1)</f>
        <v>Saberser</v>
      </c>
      <c r="B24" s="86" t="s">
        <v>91</v>
      </c>
      <c r="C24" s="118"/>
      <c r="D24" s="118"/>
      <c r="E24" s="121"/>
      <c r="F24" s="118"/>
      <c r="G24" s="118"/>
      <c r="H24" s="118"/>
      <c r="I24" s="118"/>
      <c r="J24" s="118"/>
      <c r="K24" s="118"/>
      <c r="L24" s="118"/>
      <c r="M24" s="121"/>
      <c r="N24" s="121"/>
      <c r="O24" s="121"/>
      <c r="P24" s="121"/>
    </row>
    <row r="25" spans="1:16" s="78" customFormat="1" ht="90" x14ac:dyDescent="0.5">
      <c r="A25" s="114" t="str">
        <f>_xlfn.XLOOKUP(B25,'Paso 3 Redacción RA '!I$3:I$8,'Paso 3 Redacción RA '!C$3:C$8,,0,1)</f>
        <v>Saber</v>
      </c>
      <c r="B25" s="89" t="s">
        <v>86</v>
      </c>
      <c r="C25" s="116" t="s">
        <v>206</v>
      </c>
      <c r="D25" s="116" t="s">
        <v>216</v>
      </c>
      <c r="E25" s="119" t="s">
        <v>217</v>
      </c>
      <c r="F25" s="116" t="s">
        <v>187</v>
      </c>
      <c r="G25" s="116"/>
      <c r="H25" s="116" t="s">
        <v>188</v>
      </c>
      <c r="I25" s="116">
        <v>2</v>
      </c>
      <c r="J25" s="116">
        <f>12*I25</f>
        <v>24</v>
      </c>
      <c r="K25" s="116">
        <f>36*I25</f>
        <v>72</v>
      </c>
      <c r="L25" s="116">
        <f>SUM(J25:K27)</f>
        <v>96</v>
      </c>
      <c r="M25" s="119" t="s">
        <v>218</v>
      </c>
      <c r="N25" s="119" t="s">
        <v>219</v>
      </c>
      <c r="O25" s="119" t="s">
        <v>191</v>
      </c>
      <c r="P25" s="119" t="s">
        <v>192</v>
      </c>
    </row>
    <row r="26" spans="1:16" s="78" customFormat="1" ht="72" x14ac:dyDescent="0.5">
      <c r="A26" s="94" t="str">
        <f>_xlfn.XLOOKUP(B26,'Paso 3 Redacción RA '!I$3:I$8,'Paso 3 Redacción RA '!C$3:C$8,,0,1)</f>
        <v>Saberhacer</v>
      </c>
      <c r="B26" s="53" t="s">
        <v>88</v>
      </c>
      <c r="C26" s="117"/>
      <c r="D26" s="117"/>
      <c r="E26" s="120"/>
      <c r="F26" s="117"/>
      <c r="G26" s="117"/>
      <c r="H26" s="117"/>
      <c r="I26" s="117"/>
      <c r="J26" s="117"/>
      <c r="K26" s="117"/>
      <c r="L26" s="117"/>
      <c r="M26" s="120"/>
      <c r="N26" s="120"/>
      <c r="O26" s="120"/>
      <c r="P26" s="120"/>
    </row>
    <row r="27" spans="1:16" s="78" customFormat="1" ht="90" x14ac:dyDescent="0.5">
      <c r="A27" s="96" t="str">
        <f>_xlfn.XLOOKUP(B27,'Paso 3 Redacción RA '!I$3:I$8,'Paso 3 Redacción RA '!C$3:C$8,,0,1)</f>
        <v>Saberser</v>
      </c>
      <c r="B27" s="86" t="s">
        <v>91</v>
      </c>
      <c r="C27" s="118"/>
      <c r="D27" s="118"/>
      <c r="E27" s="121"/>
      <c r="F27" s="118"/>
      <c r="G27" s="118"/>
      <c r="H27" s="118"/>
      <c r="I27" s="118"/>
      <c r="J27" s="118"/>
      <c r="K27" s="118"/>
      <c r="L27" s="118"/>
      <c r="M27" s="121"/>
      <c r="N27" s="121"/>
      <c r="O27" s="121"/>
      <c r="P27" s="121"/>
    </row>
    <row r="28" spans="1:16" s="100" customFormat="1" ht="18" x14ac:dyDescent="0.5">
      <c r="A28" s="115"/>
      <c r="B28" s="101"/>
      <c r="C28" s="101" t="s">
        <v>206</v>
      </c>
      <c r="D28" s="101" t="s">
        <v>220</v>
      </c>
      <c r="E28" s="101"/>
      <c r="F28" s="101"/>
      <c r="G28" s="101"/>
      <c r="H28" s="101" t="s">
        <v>188</v>
      </c>
      <c r="I28" s="101">
        <v>2</v>
      </c>
      <c r="J28" s="102">
        <f>12*I28</f>
        <v>24</v>
      </c>
      <c r="K28" s="102">
        <f>36*I28</f>
        <v>72</v>
      </c>
      <c r="L28" s="102">
        <f>SUM(J28:K28)</f>
        <v>96</v>
      </c>
      <c r="M28" s="101"/>
      <c r="N28" s="101"/>
      <c r="O28" s="101"/>
      <c r="P28" s="101"/>
    </row>
    <row r="29" spans="1:16" s="78" customFormat="1" ht="54" x14ac:dyDescent="0.5">
      <c r="A29" s="94"/>
      <c r="B29" s="53"/>
      <c r="C29" s="113" t="s">
        <v>221</v>
      </c>
      <c r="D29" s="4">
        <f>COUNTA(D3:D28)</f>
        <v>10</v>
      </c>
      <c r="E29" s="53"/>
      <c r="F29" s="77"/>
      <c r="G29" s="77"/>
      <c r="H29" s="113" t="s">
        <v>222</v>
      </c>
      <c r="I29" s="4">
        <f>SUM(I3:I28)</f>
        <v>24</v>
      </c>
      <c r="J29" s="77"/>
      <c r="K29" s="77"/>
      <c r="L29" s="77"/>
      <c r="M29" s="53"/>
      <c r="N29" s="53"/>
      <c r="O29" s="53"/>
      <c r="P29" s="53"/>
    </row>
    <row r="30" spans="1:16" s="78" customFormat="1" ht="36" x14ac:dyDescent="0.5">
      <c r="A30" s="94"/>
      <c r="B30" s="53"/>
      <c r="C30" s="77"/>
      <c r="D30" s="77"/>
      <c r="E30" s="53"/>
      <c r="F30" s="77"/>
      <c r="G30" s="77"/>
      <c r="H30" s="112" t="s">
        <v>223</v>
      </c>
      <c r="I30" s="4">
        <f>SUM(I5,I7,I10,I13)</f>
        <v>11</v>
      </c>
      <c r="J30" s="77"/>
      <c r="K30" s="77"/>
      <c r="L30" s="77"/>
      <c r="M30" s="53"/>
      <c r="N30" s="53"/>
      <c r="O30" s="53"/>
      <c r="P30" s="53"/>
    </row>
    <row r="31" spans="1:16" s="78" customFormat="1" ht="36" x14ac:dyDescent="0.5">
      <c r="A31" s="94"/>
      <c r="B31" s="53"/>
      <c r="C31" s="77"/>
      <c r="D31" s="77"/>
      <c r="E31" s="53"/>
      <c r="F31" s="77"/>
      <c r="G31" s="77"/>
      <c r="H31" s="112" t="s">
        <v>224</v>
      </c>
      <c r="I31" s="4">
        <f>SUM(I3,I16,I19,I22,I25,I28)</f>
        <v>13</v>
      </c>
      <c r="J31" s="77"/>
      <c r="K31" s="77"/>
      <c r="L31" s="77"/>
      <c r="M31" s="53"/>
      <c r="N31" s="53"/>
      <c r="O31" s="53"/>
      <c r="P31" s="53"/>
    </row>
    <row r="32" spans="1:16" s="78" customFormat="1" ht="18" x14ac:dyDescent="0.5">
      <c r="A32" s="94"/>
      <c r="B32" s="53"/>
      <c r="C32" s="77"/>
      <c r="D32" s="77"/>
      <c r="E32" s="53"/>
      <c r="F32" s="77"/>
      <c r="G32" s="77"/>
      <c r="H32" s="77"/>
      <c r="I32" s="77"/>
      <c r="J32" s="77"/>
      <c r="K32" s="77"/>
      <c r="L32" s="77"/>
      <c r="M32" s="53"/>
      <c r="N32" s="53"/>
      <c r="O32" s="53"/>
      <c r="P32" s="53"/>
    </row>
    <row r="33" spans="1:16" s="78" customFormat="1" ht="18" x14ac:dyDescent="0.5">
      <c r="A33" s="94"/>
      <c r="B33" s="53"/>
      <c r="C33" s="77"/>
      <c r="D33" s="77"/>
      <c r="E33" s="53"/>
      <c r="F33" s="77"/>
      <c r="G33" s="77"/>
      <c r="H33" s="77"/>
      <c r="I33" s="77"/>
      <c r="J33" s="77"/>
      <c r="K33" s="77"/>
      <c r="L33" s="77"/>
      <c r="M33" s="53"/>
      <c r="N33" s="53"/>
      <c r="O33" s="53"/>
      <c r="P33" s="53"/>
    </row>
    <row r="34" spans="1:16" s="78" customFormat="1" ht="18" x14ac:dyDescent="0.5">
      <c r="A34" s="94"/>
      <c r="B34" s="53"/>
      <c r="C34" s="77"/>
      <c r="D34" s="77"/>
      <c r="E34" s="53"/>
      <c r="F34" s="77"/>
      <c r="G34" s="77"/>
      <c r="H34" s="77"/>
      <c r="I34" s="77"/>
      <c r="J34" s="77"/>
      <c r="K34" s="77"/>
      <c r="L34" s="77"/>
      <c r="M34" s="53"/>
      <c r="N34" s="53"/>
      <c r="O34" s="53"/>
      <c r="P34" s="53"/>
    </row>
    <row r="35" spans="1:16" s="1" customFormat="1" ht="18" x14ac:dyDescent="0.5">
      <c r="A35" s="29"/>
      <c r="B35" s="79"/>
      <c r="C35" s="51"/>
      <c r="D35" s="51"/>
      <c r="E35" s="79"/>
      <c r="G35" s="51"/>
      <c r="H35" s="51"/>
      <c r="I35" s="3"/>
      <c r="M35" s="79"/>
      <c r="N35" s="79"/>
      <c r="O35" s="79"/>
      <c r="P35" s="79"/>
    </row>
    <row r="36" spans="1:16" s="1" customFormat="1" ht="18" x14ac:dyDescent="0.5">
      <c r="A36" s="29"/>
      <c r="B36" s="79"/>
      <c r="C36" s="51"/>
      <c r="D36" s="51"/>
      <c r="E36" s="79"/>
      <c r="G36" s="51"/>
      <c r="H36" s="51"/>
      <c r="I36" s="3"/>
      <c r="M36" s="79"/>
      <c r="N36" s="79"/>
      <c r="O36" s="79"/>
      <c r="P36" s="79"/>
    </row>
    <row r="37" spans="1:16" s="1" customFormat="1" ht="18" x14ac:dyDescent="0.5">
      <c r="A37" s="29"/>
      <c r="B37" s="79"/>
      <c r="C37" s="51"/>
      <c r="D37" s="51"/>
      <c r="E37" s="79"/>
      <c r="G37" s="51"/>
      <c r="H37" s="51"/>
      <c r="I37" s="3"/>
      <c r="M37" s="79"/>
      <c r="N37" s="79"/>
      <c r="O37" s="79"/>
      <c r="P37" s="79"/>
    </row>
    <row r="38" spans="1:16" s="1" customFormat="1" ht="18" x14ac:dyDescent="0.5">
      <c r="A38" s="29"/>
      <c r="B38" s="79"/>
      <c r="C38" s="51"/>
      <c r="D38" s="51"/>
      <c r="E38" s="79"/>
      <c r="G38" s="51"/>
      <c r="H38" s="51"/>
      <c r="I38" s="3"/>
      <c r="M38" s="79"/>
      <c r="N38" s="79"/>
      <c r="O38" s="79"/>
      <c r="P38" s="79"/>
    </row>
    <row r="39" spans="1:16" s="1" customFormat="1" ht="18" x14ac:dyDescent="0.5">
      <c r="A39" s="29"/>
      <c r="B39" s="79"/>
      <c r="C39" s="51"/>
      <c r="D39" s="51"/>
      <c r="E39" s="79"/>
      <c r="G39" s="51"/>
      <c r="H39" s="51"/>
      <c r="I39" s="3"/>
      <c r="M39" s="79"/>
      <c r="N39" s="79"/>
      <c r="O39" s="79"/>
      <c r="P39" s="79"/>
    </row>
    <row r="40" spans="1:16" s="1" customFormat="1" ht="18" x14ac:dyDescent="0.5">
      <c r="A40" s="29"/>
      <c r="B40" s="79"/>
      <c r="C40" s="51"/>
      <c r="D40" s="51"/>
      <c r="E40" s="79"/>
      <c r="G40" s="51"/>
      <c r="H40" s="51"/>
      <c r="I40" s="3"/>
      <c r="M40" s="79"/>
      <c r="N40" s="79"/>
      <c r="O40" s="79"/>
      <c r="P40" s="79"/>
    </row>
    <row r="41" spans="1:16" s="1" customFormat="1" ht="18" x14ac:dyDescent="0.5">
      <c r="A41" s="29"/>
      <c r="B41" s="79"/>
      <c r="C41" s="51"/>
      <c r="D41" s="51"/>
      <c r="E41" s="79"/>
      <c r="G41" s="51"/>
      <c r="H41" s="51"/>
      <c r="I41" s="3"/>
      <c r="M41" s="79"/>
      <c r="N41" s="79"/>
      <c r="O41" s="79"/>
      <c r="P41" s="79"/>
    </row>
    <row r="42" spans="1:16" s="1" customFormat="1" ht="18" x14ac:dyDescent="0.5">
      <c r="A42" s="29"/>
      <c r="B42" s="79"/>
      <c r="C42" s="51"/>
      <c r="D42" s="51"/>
      <c r="E42" s="79"/>
      <c r="G42" s="51"/>
      <c r="H42" s="51"/>
      <c r="I42" s="3"/>
      <c r="M42" s="79"/>
      <c r="N42" s="79"/>
      <c r="O42" s="79"/>
      <c r="P42" s="79"/>
    </row>
    <row r="43" spans="1:16" s="1" customFormat="1" ht="18" x14ac:dyDescent="0.5">
      <c r="A43" s="29"/>
      <c r="B43" s="79"/>
      <c r="C43" s="51"/>
      <c r="D43" s="51"/>
      <c r="E43" s="79"/>
      <c r="G43" s="51"/>
      <c r="H43" s="51"/>
      <c r="I43" s="3"/>
      <c r="M43" s="79"/>
      <c r="N43" s="79"/>
      <c r="O43" s="79"/>
      <c r="P43" s="79"/>
    </row>
    <row r="44" spans="1:16" s="1" customFormat="1" ht="18" x14ac:dyDescent="0.5">
      <c r="A44" s="29"/>
      <c r="B44" s="79"/>
      <c r="C44" s="51"/>
      <c r="D44" s="51"/>
      <c r="E44" s="79"/>
      <c r="G44" s="51"/>
      <c r="H44" s="51"/>
      <c r="I44" s="3"/>
      <c r="M44" s="79"/>
      <c r="N44" s="79"/>
      <c r="O44" s="79"/>
      <c r="P44" s="79"/>
    </row>
  </sheetData>
  <autoFilter ref="B1:P34" xr:uid="{1B248250-C92C-4D02-A0C3-2CB27C341894}">
    <filterColumn colId="5" showButton="0"/>
    <filterColumn colId="6" showButton="0"/>
  </autoFilter>
  <mergeCells count="127">
    <mergeCell ref="G1:H1"/>
    <mergeCell ref="H3:H4"/>
    <mergeCell ref="I3:I4"/>
    <mergeCell ref="J3:J4"/>
    <mergeCell ref="K3:K4"/>
    <mergeCell ref="C7:C9"/>
    <mergeCell ref="D7:D9"/>
    <mergeCell ref="E7:E9"/>
    <mergeCell ref="F7:F9"/>
    <mergeCell ref="G7:G9"/>
    <mergeCell ref="H7:H9"/>
    <mergeCell ref="I7:I9"/>
    <mergeCell ref="J7:J9"/>
    <mergeCell ref="K7:K9"/>
    <mergeCell ref="L3:L4"/>
    <mergeCell ref="M3:M4"/>
    <mergeCell ref="N3:N4"/>
    <mergeCell ref="O3:O4"/>
    <mergeCell ref="P3:P4"/>
    <mergeCell ref="C5:C6"/>
    <mergeCell ref="D5:D6"/>
    <mergeCell ref="E5:E6"/>
    <mergeCell ref="F5:F6"/>
    <mergeCell ref="G5:G6"/>
    <mergeCell ref="H5:H6"/>
    <mergeCell ref="I5:I6"/>
    <mergeCell ref="J5:J6"/>
    <mergeCell ref="K5:K6"/>
    <mergeCell ref="L5:L6"/>
    <mergeCell ref="M5:M6"/>
    <mergeCell ref="N5:N6"/>
    <mergeCell ref="O5:O6"/>
    <mergeCell ref="P5:P6"/>
    <mergeCell ref="C3:C4"/>
    <mergeCell ref="D3:D4"/>
    <mergeCell ref="E3:E4"/>
    <mergeCell ref="F3:F4"/>
    <mergeCell ref="G3:G4"/>
    <mergeCell ref="L7:L9"/>
    <mergeCell ref="M7:M9"/>
    <mergeCell ref="N7:N9"/>
    <mergeCell ref="O7:O9"/>
    <mergeCell ref="P7:P9"/>
    <mergeCell ref="C10:C12"/>
    <mergeCell ref="D10:D12"/>
    <mergeCell ref="E10:E12"/>
    <mergeCell ref="F10:F12"/>
    <mergeCell ref="G10:G12"/>
    <mergeCell ref="H10:H12"/>
    <mergeCell ref="I10:I12"/>
    <mergeCell ref="J10:J12"/>
    <mergeCell ref="K10:K12"/>
    <mergeCell ref="L10:L12"/>
    <mergeCell ref="M10:M12"/>
    <mergeCell ref="N10:N12"/>
    <mergeCell ref="O10:O12"/>
    <mergeCell ref="P10:P12"/>
    <mergeCell ref="C13:C15"/>
    <mergeCell ref="D13:D15"/>
    <mergeCell ref="E13:E15"/>
    <mergeCell ref="F13:F15"/>
    <mergeCell ref="G13:G15"/>
    <mergeCell ref="H13:H15"/>
    <mergeCell ref="I13:I15"/>
    <mergeCell ref="J13:J15"/>
    <mergeCell ref="K13:K15"/>
    <mergeCell ref="M19:M21"/>
    <mergeCell ref="N19:N21"/>
    <mergeCell ref="O19:O21"/>
    <mergeCell ref="P19:P21"/>
    <mergeCell ref="C16:C18"/>
    <mergeCell ref="D16:D18"/>
    <mergeCell ref="E16:E18"/>
    <mergeCell ref="F16:F18"/>
    <mergeCell ref="G16:G18"/>
    <mergeCell ref="H16:H18"/>
    <mergeCell ref="I16:I18"/>
    <mergeCell ref="J16:J18"/>
    <mergeCell ref="K16:K18"/>
    <mergeCell ref="L13:L15"/>
    <mergeCell ref="M13:M15"/>
    <mergeCell ref="N13:N15"/>
    <mergeCell ref="O13:O15"/>
    <mergeCell ref="P13:P15"/>
    <mergeCell ref="L16:L18"/>
    <mergeCell ref="M16:M18"/>
    <mergeCell ref="N16:N18"/>
    <mergeCell ref="O16:O18"/>
    <mergeCell ref="P16:P18"/>
    <mergeCell ref="L22:L24"/>
    <mergeCell ref="M22:M24"/>
    <mergeCell ref="N22:N24"/>
    <mergeCell ref="O22:O24"/>
    <mergeCell ref="P22:P24"/>
    <mergeCell ref="C19:C21"/>
    <mergeCell ref="D19:D21"/>
    <mergeCell ref="E19:E21"/>
    <mergeCell ref="F19:F21"/>
    <mergeCell ref="G19:G21"/>
    <mergeCell ref="C22:C24"/>
    <mergeCell ref="D22:D24"/>
    <mergeCell ref="E22:E24"/>
    <mergeCell ref="F22:F24"/>
    <mergeCell ref="G22:G24"/>
    <mergeCell ref="H22:H24"/>
    <mergeCell ref="I22:I24"/>
    <mergeCell ref="J22:J24"/>
    <mergeCell ref="K22:K24"/>
    <mergeCell ref="H19:H21"/>
    <mergeCell ref="I19:I21"/>
    <mergeCell ref="J19:J21"/>
    <mergeCell ref="K19:K21"/>
    <mergeCell ref="L19:L21"/>
    <mergeCell ref="L25:L27"/>
    <mergeCell ref="M25:M27"/>
    <mergeCell ref="N25:N27"/>
    <mergeCell ref="O25:O27"/>
    <mergeCell ref="P25:P27"/>
    <mergeCell ref="C25:C27"/>
    <mergeCell ref="D25:D27"/>
    <mergeCell ref="E25:E27"/>
    <mergeCell ref="F25:F27"/>
    <mergeCell ref="G25:G27"/>
    <mergeCell ref="H25:H27"/>
    <mergeCell ref="I25:I27"/>
    <mergeCell ref="J25:J27"/>
    <mergeCell ref="K25:K27"/>
  </mergeCells>
  <dataValidations count="1">
    <dataValidation type="list" allowBlank="1" showInputMessage="1" showErrorMessage="1" sqref="B35" xr:uid="{149936BB-E9F7-467B-9B8A-466861C21273}">
      <formula1>resultadoaprendizaje</formula1>
    </dataValidation>
  </dataValidations>
  <pageMargins left="0.7" right="0.7" top="0.75" bottom="0.75" header="0.3" footer="0.3"/>
  <pageSetup orientation="portrait" horizontalDpi="4294967293"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91555E1A-6604-40ED-90CD-65A3D3E7C743}">
          <x14:formula1>
            <xm:f>'Paso 3 Redacción RA '!$I$3:$I$8</xm:f>
          </x14:formula1>
          <xm:sqref>B3:B28</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64FCBD-ADC1-40F4-BFE8-98BA12AA9611}">
  <dimension ref="B1:B35"/>
  <sheetViews>
    <sheetView topLeftCell="AB1" workbookViewId="0">
      <selection activeCell="D9" sqref="D9"/>
    </sheetView>
  </sheetViews>
  <sheetFormatPr baseColWidth="10" defaultColWidth="11.44140625" defaultRowHeight="14.4" x14ac:dyDescent="0.3"/>
  <cols>
    <col min="2" max="2" width="27.21875" customWidth="1"/>
  </cols>
  <sheetData>
    <row r="1" spans="2:2" ht="18" x14ac:dyDescent="0.5">
      <c r="B1" s="1" t="s">
        <v>225</v>
      </c>
    </row>
    <row r="2" spans="2:2" ht="18" x14ac:dyDescent="0.5">
      <c r="B2" s="1" t="s">
        <v>226</v>
      </c>
    </row>
    <row r="3" spans="2:2" ht="18" x14ac:dyDescent="0.5">
      <c r="B3" s="1" t="s">
        <v>227</v>
      </c>
    </row>
    <row r="4" spans="2:2" ht="18" x14ac:dyDescent="0.5">
      <c r="B4" s="1" t="s">
        <v>228</v>
      </c>
    </row>
    <row r="5" spans="2:2" ht="18" x14ac:dyDescent="0.5">
      <c r="B5" s="1" t="s">
        <v>229</v>
      </c>
    </row>
    <row r="6" spans="2:2" ht="18" x14ac:dyDescent="0.5">
      <c r="B6" s="1" t="s">
        <v>230</v>
      </c>
    </row>
    <row r="7" spans="2:2" ht="18" x14ac:dyDescent="0.5">
      <c r="B7" s="1" t="s">
        <v>231</v>
      </c>
    </row>
    <row r="8" spans="2:2" ht="18" x14ac:dyDescent="0.5">
      <c r="B8" s="1" t="s">
        <v>232</v>
      </c>
    </row>
    <row r="9" spans="2:2" ht="18" x14ac:dyDescent="0.5">
      <c r="B9" s="1" t="s">
        <v>233</v>
      </c>
    </row>
    <row r="10" spans="2:2" ht="18" x14ac:dyDescent="0.5">
      <c r="B10" s="1" t="s">
        <v>234</v>
      </c>
    </row>
    <row r="11" spans="2:2" ht="18" x14ac:dyDescent="0.5">
      <c r="B11" s="1" t="s">
        <v>235</v>
      </c>
    </row>
    <row r="12" spans="2:2" ht="18" x14ac:dyDescent="0.5">
      <c r="B12" s="1" t="s">
        <v>236</v>
      </c>
    </row>
    <row r="13" spans="2:2" ht="18" x14ac:dyDescent="0.5">
      <c r="B13" s="1" t="s">
        <v>237</v>
      </c>
    </row>
    <row r="14" spans="2:2" ht="18" x14ac:dyDescent="0.5">
      <c r="B14" s="1" t="s">
        <v>63</v>
      </c>
    </row>
    <row r="15" spans="2:2" ht="18" x14ac:dyDescent="0.5">
      <c r="B15" s="1" t="s">
        <v>60</v>
      </c>
    </row>
    <row r="16" spans="2:2" ht="18" x14ac:dyDescent="0.5">
      <c r="B16" s="1" t="s">
        <v>238</v>
      </c>
    </row>
    <row r="17" spans="2:2" ht="18" x14ac:dyDescent="0.5">
      <c r="B17" s="1" t="s">
        <v>239</v>
      </c>
    </row>
    <row r="18" spans="2:2" ht="18" x14ac:dyDescent="0.5">
      <c r="B18" s="1" t="s">
        <v>240</v>
      </c>
    </row>
    <row r="19" spans="2:2" ht="18" x14ac:dyDescent="0.5">
      <c r="B19" s="1" t="s">
        <v>241</v>
      </c>
    </row>
    <row r="20" spans="2:2" ht="18" x14ac:dyDescent="0.5">
      <c r="B20" s="1" t="s">
        <v>242</v>
      </c>
    </row>
    <row r="21" spans="2:2" ht="18" x14ac:dyDescent="0.5">
      <c r="B21" s="1" t="s">
        <v>243</v>
      </c>
    </row>
    <row r="22" spans="2:2" ht="18" x14ac:dyDescent="0.5">
      <c r="B22" s="1" t="s">
        <v>244</v>
      </c>
    </row>
    <row r="23" spans="2:2" ht="18" x14ac:dyDescent="0.5">
      <c r="B23" s="1" t="s">
        <v>245</v>
      </c>
    </row>
    <row r="24" spans="2:2" ht="18" x14ac:dyDescent="0.5">
      <c r="B24" s="1" t="s">
        <v>246</v>
      </c>
    </row>
    <row r="25" spans="2:2" ht="18" x14ac:dyDescent="0.5">
      <c r="B25" s="1" t="s">
        <v>247</v>
      </c>
    </row>
    <row r="26" spans="2:2" ht="18" x14ac:dyDescent="0.5">
      <c r="B26" s="1" t="s">
        <v>248</v>
      </c>
    </row>
    <row r="27" spans="2:2" ht="18" x14ac:dyDescent="0.5">
      <c r="B27" s="1" t="s">
        <v>249</v>
      </c>
    </row>
    <row r="28" spans="2:2" ht="18" x14ac:dyDescent="0.5">
      <c r="B28" s="1" t="s">
        <v>250</v>
      </c>
    </row>
    <row r="29" spans="2:2" ht="18" x14ac:dyDescent="0.5">
      <c r="B29" s="1" t="s">
        <v>251</v>
      </c>
    </row>
    <row r="30" spans="2:2" ht="18" x14ac:dyDescent="0.5">
      <c r="B30" s="1" t="s">
        <v>252</v>
      </c>
    </row>
    <row r="31" spans="2:2" ht="18" x14ac:dyDescent="0.5">
      <c r="B31" s="1" t="s">
        <v>253</v>
      </c>
    </row>
    <row r="32" spans="2:2" ht="18" x14ac:dyDescent="0.5">
      <c r="B32" s="1" t="s">
        <v>254</v>
      </c>
    </row>
    <row r="33" spans="2:2" ht="18" x14ac:dyDescent="0.5">
      <c r="B33" s="1" t="s">
        <v>255</v>
      </c>
    </row>
    <row r="34" spans="2:2" ht="18" x14ac:dyDescent="0.5">
      <c r="B34" s="1" t="s">
        <v>256</v>
      </c>
    </row>
    <row r="35" spans="2:2" ht="18" x14ac:dyDescent="0.5">
      <c r="B35" s="1" t="s">
        <v>257</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97597-49CE-4804-805A-84A20592BE98}">
  <dimension ref="A1:BC108"/>
  <sheetViews>
    <sheetView topLeftCell="S1" zoomScale="110" zoomScaleNormal="110" workbookViewId="0">
      <selection activeCell="X5" sqref="X5"/>
    </sheetView>
  </sheetViews>
  <sheetFormatPr baseColWidth="10" defaultColWidth="11.44140625" defaultRowHeight="18" x14ac:dyDescent="0.5"/>
  <cols>
    <col min="1" max="1" width="20.44140625" style="1" customWidth="1"/>
    <col min="2" max="2" width="14.21875" style="1" customWidth="1"/>
    <col min="3" max="3" width="22.21875" style="1" customWidth="1"/>
    <col min="4" max="4" width="21.5546875" style="1" customWidth="1"/>
    <col min="5" max="5" width="20.77734375" style="1" customWidth="1"/>
    <col min="6" max="6" width="16.77734375" style="1" customWidth="1"/>
    <col min="7" max="7" width="21.77734375" style="1" customWidth="1"/>
    <col min="8" max="8" width="26.21875" style="1" customWidth="1"/>
    <col min="9" max="9" width="25.21875" style="1" customWidth="1"/>
    <col min="10" max="10" width="24.44140625" style="1" customWidth="1"/>
    <col min="11" max="11" width="15.21875" style="1" customWidth="1"/>
    <col min="12" max="17" width="17.77734375" style="1" customWidth="1"/>
    <col min="18" max="18" width="22.5546875" style="1" customWidth="1"/>
    <col min="19" max="19" width="15.5546875" style="1" customWidth="1"/>
    <col min="20" max="20" width="15" style="1" customWidth="1"/>
    <col min="21" max="25" width="13.21875" style="1" customWidth="1"/>
    <col min="26" max="26" width="16.5546875" style="1" customWidth="1"/>
    <col min="27" max="28" width="13.21875" style="1" customWidth="1"/>
    <col min="29" max="29" width="19.44140625" style="1" customWidth="1"/>
    <col min="30" max="30" width="13.77734375" style="1" customWidth="1"/>
    <col min="31" max="31" width="13.21875" style="1" customWidth="1"/>
    <col min="32" max="32" width="13.44140625" style="1" customWidth="1"/>
    <col min="33" max="33" width="30.77734375" style="1" customWidth="1"/>
    <col min="34" max="36" width="13.21875" style="1" customWidth="1"/>
    <col min="37" max="37" width="14.5546875" style="1" customWidth="1"/>
    <col min="38" max="43" width="16.77734375" style="1" customWidth="1"/>
    <col min="44" max="45" width="13.21875" style="1" customWidth="1"/>
    <col min="46" max="46" width="23.77734375" style="1" customWidth="1"/>
    <col min="47" max="47" width="22.5546875" style="1" customWidth="1"/>
    <col min="48" max="48" width="24.21875" style="1" customWidth="1"/>
    <col min="49" max="49" width="27.77734375" style="1" customWidth="1"/>
    <col min="50" max="50" width="24.77734375" style="1" customWidth="1"/>
    <col min="51" max="51" width="22.77734375" style="1" customWidth="1"/>
    <col min="52" max="55" width="13.21875" style="1" customWidth="1"/>
    <col min="56" max="16384" width="11.44140625" style="1"/>
  </cols>
  <sheetData>
    <row r="1" spans="1:55" x14ac:dyDescent="0.5">
      <c r="S1" s="145" t="s">
        <v>258</v>
      </c>
      <c r="T1" s="145"/>
      <c r="U1" s="145"/>
      <c r="V1" s="145"/>
      <c r="W1" s="145"/>
      <c r="X1" s="145"/>
      <c r="Y1" s="145"/>
      <c r="Z1" s="145"/>
      <c r="AA1" s="145"/>
      <c r="AB1" s="145"/>
      <c r="AC1" s="145"/>
      <c r="AD1" s="145"/>
      <c r="AE1" s="145"/>
      <c r="AF1" s="145"/>
      <c r="AG1" s="145"/>
      <c r="AH1" s="3"/>
      <c r="AI1" s="3"/>
      <c r="AJ1" s="3"/>
      <c r="AL1" s="145" t="s">
        <v>259</v>
      </c>
      <c r="AM1" s="145"/>
      <c r="AN1" s="145"/>
      <c r="AO1" s="145"/>
      <c r="AP1" s="145"/>
      <c r="AQ1" s="145"/>
      <c r="AR1" s="3"/>
      <c r="AS1" s="3"/>
      <c r="AT1" s="145" t="s">
        <v>260</v>
      </c>
      <c r="AU1" s="145"/>
      <c r="AV1" s="145"/>
      <c r="AW1" s="145"/>
      <c r="AX1" s="145"/>
      <c r="AY1" s="145"/>
      <c r="AZ1" s="3"/>
      <c r="BC1" s="3"/>
    </row>
    <row r="2" spans="1:55" x14ac:dyDescent="0.5">
      <c r="L2" s="145" t="s">
        <v>261</v>
      </c>
      <c r="M2" s="145"/>
      <c r="N2" s="145"/>
      <c r="O2" s="145"/>
      <c r="P2" s="145"/>
      <c r="Q2" s="145"/>
      <c r="S2" s="146" t="s">
        <v>262</v>
      </c>
      <c r="T2" s="146"/>
      <c r="U2" s="146"/>
      <c r="V2" s="146"/>
      <c r="W2" s="146"/>
      <c r="X2" s="146"/>
      <c r="Y2" s="146" t="s">
        <v>263</v>
      </c>
      <c r="Z2" s="146"/>
      <c r="AA2" s="146"/>
      <c r="AB2" s="146"/>
      <c r="AC2" s="146" t="s">
        <v>264</v>
      </c>
      <c r="AD2" s="146"/>
      <c r="AE2" s="146"/>
      <c r="AF2" s="146"/>
      <c r="AG2" s="146"/>
      <c r="AH2" s="3"/>
      <c r="AI2" s="3"/>
      <c r="AJ2" s="3"/>
      <c r="AL2" s="145"/>
      <c r="AM2" s="145"/>
      <c r="AN2" s="145"/>
      <c r="AO2" s="145"/>
      <c r="AP2" s="145"/>
      <c r="AQ2" s="145"/>
      <c r="AR2" s="3"/>
      <c r="AS2" s="3"/>
      <c r="AT2" s="3"/>
      <c r="AU2" s="3"/>
      <c r="AV2" s="3"/>
      <c r="AW2" s="3"/>
      <c r="AX2" s="3"/>
      <c r="AY2" s="3"/>
      <c r="AZ2" s="3"/>
      <c r="BC2" s="3"/>
    </row>
    <row r="3" spans="1:55" x14ac:dyDescent="0.5">
      <c r="A3" s="1" t="s">
        <v>265</v>
      </c>
      <c r="C3" s="1" t="s">
        <v>266</v>
      </c>
      <c r="D3" s="1" t="s">
        <v>267</v>
      </c>
      <c r="E3" s="1" t="s">
        <v>268</v>
      </c>
      <c r="G3" s="1" t="s">
        <v>83</v>
      </c>
      <c r="H3" s="1" t="s">
        <v>87</v>
      </c>
      <c r="I3" s="1" t="s">
        <v>89</v>
      </c>
      <c r="L3" s="1" t="s">
        <v>269</v>
      </c>
      <c r="M3" s="1" t="s">
        <v>270</v>
      </c>
      <c r="N3" s="1" t="s">
        <v>271</v>
      </c>
      <c r="O3" s="1" t="s">
        <v>272</v>
      </c>
      <c r="P3" s="1" t="s">
        <v>84</v>
      </c>
      <c r="Q3" s="1" t="s">
        <v>273</v>
      </c>
      <c r="S3" s="1" t="s">
        <v>274</v>
      </c>
      <c r="T3" s="1" t="s">
        <v>275</v>
      </c>
      <c r="U3" s="1" t="s">
        <v>276</v>
      </c>
      <c r="V3" s="1" t="s">
        <v>277</v>
      </c>
      <c r="W3" s="1" t="s">
        <v>278</v>
      </c>
      <c r="X3" s="1" t="s">
        <v>279</v>
      </c>
      <c r="Y3" s="1" t="s">
        <v>280</v>
      </c>
      <c r="Z3" s="1" t="s">
        <v>281</v>
      </c>
      <c r="AA3" s="1" t="s">
        <v>282</v>
      </c>
      <c r="AB3" s="1" t="s">
        <v>283</v>
      </c>
      <c r="AC3" s="1" t="s">
        <v>284</v>
      </c>
      <c r="AD3" s="1" t="s">
        <v>285</v>
      </c>
      <c r="AE3" s="1" t="s">
        <v>286</v>
      </c>
      <c r="AF3" s="1" t="s">
        <v>287</v>
      </c>
      <c r="AG3" s="1" t="s">
        <v>288</v>
      </c>
      <c r="AL3" s="147" t="s">
        <v>289</v>
      </c>
      <c r="AM3" s="147"/>
      <c r="AN3" s="147"/>
      <c r="AO3" s="147" t="s">
        <v>290</v>
      </c>
      <c r="AP3" s="147"/>
      <c r="AQ3" s="147"/>
      <c r="AR3" s="4"/>
      <c r="AS3" s="4"/>
      <c r="AT3" s="4"/>
      <c r="AU3" s="4"/>
      <c r="AV3" s="4"/>
      <c r="AW3" s="4"/>
      <c r="AX3" s="4"/>
      <c r="AY3" s="4"/>
      <c r="AZ3" s="4"/>
      <c r="BC3" s="4"/>
    </row>
    <row r="4" spans="1:55" x14ac:dyDescent="0.5">
      <c r="A4" s="1" t="s">
        <v>82</v>
      </c>
      <c r="C4" s="1" t="s">
        <v>291</v>
      </c>
      <c r="D4" s="1" t="s">
        <v>292</v>
      </c>
      <c r="E4" s="1" t="s">
        <v>293</v>
      </c>
      <c r="G4" s="1" t="s">
        <v>269</v>
      </c>
      <c r="H4" s="1" t="s">
        <v>269</v>
      </c>
      <c r="I4" s="1" t="s">
        <v>269</v>
      </c>
      <c r="L4" s="1" t="s">
        <v>294</v>
      </c>
      <c r="M4" s="1" t="s">
        <v>230</v>
      </c>
      <c r="N4" s="1" t="s">
        <v>90</v>
      </c>
      <c r="O4" s="1" t="s">
        <v>295</v>
      </c>
      <c r="P4" s="1" t="s">
        <v>296</v>
      </c>
      <c r="Q4" s="1" t="s">
        <v>297</v>
      </c>
      <c r="S4" s="1" t="s">
        <v>294</v>
      </c>
      <c r="T4" s="1" t="s">
        <v>230</v>
      </c>
      <c r="U4" s="1" t="s">
        <v>90</v>
      </c>
      <c r="V4" s="1" t="s">
        <v>295</v>
      </c>
      <c r="W4" s="1" t="s">
        <v>296</v>
      </c>
      <c r="X4" s="1" t="s">
        <v>297</v>
      </c>
      <c r="Y4" s="1" t="s">
        <v>298</v>
      </c>
      <c r="Z4" s="1" t="s">
        <v>299</v>
      </c>
      <c r="AA4" s="1" t="s">
        <v>300</v>
      </c>
      <c r="AB4" s="1" t="s">
        <v>301</v>
      </c>
      <c r="AC4" s="1" t="s">
        <v>244</v>
      </c>
      <c r="AD4" s="1" t="s">
        <v>302</v>
      </c>
      <c r="AE4" s="1" t="s">
        <v>303</v>
      </c>
      <c r="AF4" s="1" t="s">
        <v>304</v>
      </c>
      <c r="AG4" s="1" t="s">
        <v>305</v>
      </c>
      <c r="AL4" s="5" t="s">
        <v>306</v>
      </c>
      <c r="AM4" s="5" t="s">
        <v>307</v>
      </c>
      <c r="AN4" s="5" t="s">
        <v>308</v>
      </c>
      <c r="AO4" s="5" t="s">
        <v>309</v>
      </c>
      <c r="AP4" s="6" t="s">
        <v>310</v>
      </c>
      <c r="AQ4" s="5" t="s">
        <v>311</v>
      </c>
      <c r="AR4" s="4"/>
      <c r="AS4" s="4"/>
      <c r="AT4" s="1" t="s">
        <v>312</v>
      </c>
      <c r="AU4" s="1" t="s">
        <v>313</v>
      </c>
      <c r="AV4" s="1" t="s">
        <v>314</v>
      </c>
      <c r="AW4" s="1" t="s">
        <v>315</v>
      </c>
      <c r="AX4" s="1" t="s">
        <v>316</v>
      </c>
      <c r="AY4" s="1" t="s">
        <v>317</v>
      </c>
      <c r="AZ4" s="4"/>
      <c r="BC4" s="4"/>
    </row>
    <row r="5" spans="1:55" x14ac:dyDescent="0.5">
      <c r="A5" s="1" t="s">
        <v>266</v>
      </c>
      <c r="C5" s="1" t="s">
        <v>318</v>
      </c>
      <c r="D5" s="1" t="s">
        <v>319</v>
      </c>
      <c r="E5" s="1" t="s">
        <v>320</v>
      </c>
      <c r="G5" s="1" t="s">
        <v>270</v>
      </c>
      <c r="H5" s="1" t="s">
        <v>270</v>
      </c>
      <c r="I5" s="1" t="s">
        <v>270</v>
      </c>
      <c r="L5" s="1" t="s">
        <v>321</v>
      </c>
      <c r="M5" s="1" t="s">
        <v>322</v>
      </c>
      <c r="N5" s="1" t="s">
        <v>323</v>
      </c>
      <c r="O5" s="1" t="s">
        <v>324</v>
      </c>
      <c r="P5" s="1" t="s">
        <v>227</v>
      </c>
      <c r="Q5" s="1" t="s">
        <v>325</v>
      </c>
      <c r="S5" s="1" t="s">
        <v>321</v>
      </c>
      <c r="T5" s="1" t="s">
        <v>322</v>
      </c>
      <c r="U5" s="1" t="s">
        <v>323</v>
      </c>
      <c r="V5" s="1" t="s">
        <v>324</v>
      </c>
      <c r="W5" s="1" t="s">
        <v>227</v>
      </c>
      <c r="X5" s="1" t="s">
        <v>325</v>
      </c>
      <c r="Y5" s="1" t="s">
        <v>296</v>
      </c>
      <c r="Z5" s="1" t="s">
        <v>326</v>
      </c>
      <c r="AA5" s="1" t="s">
        <v>249</v>
      </c>
      <c r="AB5" s="1" t="s">
        <v>327</v>
      </c>
      <c r="AC5" s="1" t="s">
        <v>232</v>
      </c>
      <c r="AD5" s="1" t="s">
        <v>328</v>
      </c>
      <c r="AE5" s="1" t="s">
        <v>302</v>
      </c>
      <c r="AF5" s="1" t="s">
        <v>329</v>
      </c>
      <c r="AG5" s="1" t="s">
        <v>330</v>
      </c>
      <c r="AL5" s="2" t="s">
        <v>331</v>
      </c>
      <c r="AM5" s="2" t="s">
        <v>332</v>
      </c>
      <c r="AN5" s="2" t="s">
        <v>333</v>
      </c>
      <c r="AO5" s="2" t="s">
        <v>334</v>
      </c>
      <c r="AP5" s="2" t="s">
        <v>296</v>
      </c>
      <c r="AQ5" s="2" t="s">
        <v>236</v>
      </c>
      <c r="AR5" s="2"/>
      <c r="AS5" s="2"/>
      <c r="AT5" s="7" t="s">
        <v>331</v>
      </c>
      <c r="AU5" s="9" t="s">
        <v>230</v>
      </c>
      <c r="AV5" s="7" t="s">
        <v>334</v>
      </c>
      <c r="AW5" s="7" t="s">
        <v>333</v>
      </c>
      <c r="AX5" s="9" t="s">
        <v>335</v>
      </c>
      <c r="AY5" s="9" t="s">
        <v>335</v>
      </c>
      <c r="AZ5" s="2"/>
      <c r="BC5" s="2"/>
    </row>
    <row r="6" spans="1:55" x14ac:dyDescent="0.5">
      <c r="A6" s="1" t="s">
        <v>267</v>
      </c>
      <c r="C6" s="1" t="s">
        <v>336</v>
      </c>
      <c r="D6" s="1" t="s">
        <v>337</v>
      </c>
      <c r="E6" s="1" t="s">
        <v>338</v>
      </c>
      <c r="G6" s="1" t="s">
        <v>271</v>
      </c>
      <c r="H6" s="1" t="s">
        <v>271</v>
      </c>
      <c r="I6" s="1" t="s">
        <v>271</v>
      </c>
      <c r="L6" s="1" t="s">
        <v>339</v>
      </c>
      <c r="M6" s="1" t="s">
        <v>340</v>
      </c>
      <c r="N6" s="1" t="s">
        <v>341</v>
      </c>
      <c r="O6" s="1" t="s">
        <v>342</v>
      </c>
      <c r="P6" s="1" t="s">
        <v>343</v>
      </c>
      <c r="Q6" s="1" t="s">
        <v>344</v>
      </c>
      <c r="S6" s="1" t="s">
        <v>339</v>
      </c>
      <c r="T6" s="1" t="s">
        <v>340</v>
      </c>
      <c r="U6" s="1" t="s">
        <v>341</v>
      </c>
      <c r="V6" s="1" t="s">
        <v>342</v>
      </c>
      <c r="W6" s="1" t="s">
        <v>343</v>
      </c>
      <c r="X6" s="1" t="s">
        <v>344</v>
      </c>
      <c r="Y6" s="1" t="s">
        <v>345</v>
      </c>
      <c r="Z6" s="1" t="s">
        <v>346</v>
      </c>
      <c r="AA6" s="1" t="s">
        <v>347</v>
      </c>
      <c r="AB6" s="1" t="s">
        <v>348</v>
      </c>
      <c r="AC6" s="1" t="s">
        <v>237</v>
      </c>
      <c r="AD6" s="1" t="s">
        <v>349</v>
      </c>
      <c r="AE6" s="1" t="s">
        <v>335</v>
      </c>
      <c r="AF6" s="1" t="s">
        <v>350</v>
      </c>
      <c r="AG6" s="1" t="s">
        <v>232</v>
      </c>
      <c r="AL6" s="2" t="s">
        <v>339</v>
      </c>
      <c r="AM6" s="2" t="s">
        <v>351</v>
      </c>
      <c r="AN6" s="2" t="s">
        <v>334</v>
      </c>
      <c r="AO6" s="2" t="s">
        <v>295</v>
      </c>
      <c r="AP6" s="2" t="s">
        <v>352</v>
      </c>
      <c r="AQ6" s="2" t="s">
        <v>353</v>
      </c>
      <c r="AR6" s="2"/>
      <c r="AS6" s="2"/>
      <c r="AT6" s="8" t="s">
        <v>339</v>
      </c>
      <c r="AU6" s="10" t="s">
        <v>322</v>
      </c>
      <c r="AV6" s="9" t="s">
        <v>295</v>
      </c>
      <c r="AW6" s="8" t="s">
        <v>334</v>
      </c>
      <c r="AX6" s="10" t="s">
        <v>354</v>
      </c>
      <c r="AY6" s="9" t="s">
        <v>303</v>
      </c>
      <c r="AZ6" s="2"/>
      <c r="BC6" s="2"/>
    </row>
    <row r="7" spans="1:55" x14ac:dyDescent="0.5">
      <c r="A7" s="1" t="s">
        <v>268</v>
      </c>
      <c r="D7" s="1" t="s">
        <v>355</v>
      </c>
      <c r="G7" s="1" t="s">
        <v>272</v>
      </c>
      <c r="H7" s="1" t="s">
        <v>272</v>
      </c>
      <c r="I7" s="1" t="s">
        <v>272</v>
      </c>
      <c r="L7" s="1" t="s">
        <v>356</v>
      </c>
      <c r="M7" s="1" t="s">
        <v>231</v>
      </c>
      <c r="N7" s="1" t="s">
        <v>357</v>
      </c>
      <c r="O7" s="1" t="s">
        <v>358</v>
      </c>
      <c r="P7" s="1" t="s">
        <v>343</v>
      </c>
      <c r="Q7" s="1" t="s">
        <v>359</v>
      </c>
      <c r="S7" s="1" t="s">
        <v>356</v>
      </c>
      <c r="T7" s="1" t="s">
        <v>231</v>
      </c>
      <c r="U7" s="1" t="s">
        <v>357</v>
      </c>
      <c r="V7" s="1" t="s">
        <v>358</v>
      </c>
      <c r="W7" s="1" t="s">
        <v>343</v>
      </c>
      <c r="X7" s="1" t="s">
        <v>359</v>
      </c>
      <c r="Y7" s="1" t="s">
        <v>360</v>
      </c>
      <c r="Z7" s="1" t="s">
        <v>361</v>
      </c>
      <c r="AA7" s="1" t="s">
        <v>362</v>
      </c>
      <c r="AB7" s="1" t="s">
        <v>363</v>
      </c>
      <c r="AC7" s="1" t="s">
        <v>299</v>
      </c>
      <c r="AD7" s="1" t="s">
        <v>331</v>
      </c>
      <c r="AE7" s="1" t="s">
        <v>331</v>
      </c>
      <c r="AF7" s="1" t="s">
        <v>354</v>
      </c>
      <c r="AG7" s="1" t="s">
        <v>364</v>
      </c>
      <c r="AL7" s="2" t="s">
        <v>365</v>
      </c>
      <c r="AM7" s="2" t="s">
        <v>366</v>
      </c>
      <c r="AN7" s="2" t="s">
        <v>342</v>
      </c>
      <c r="AO7" s="2" t="s">
        <v>367</v>
      </c>
      <c r="AP7" s="2" t="s">
        <v>368</v>
      </c>
      <c r="AQ7" s="2" t="s">
        <v>369</v>
      </c>
      <c r="AR7" s="2"/>
      <c r="AS7" s="2"/>
      <c r="AT7" s="7" t="s">
        <v>365</v>
      </c>
      <c r="AU7" s="1" t="s">
        <v>332</v>
      </c>
      <c r="AV7" s="10" t="s">
        <v>324</v>
      </c>
      <c r="AW7" s="9" t="s">
        <v>90</v>
      </c>
      <c r="AX7" s="9" t="s">
        <v>303</v>
      </c>
      <c r="AY7" s="9" t="s">
        <v>370</v>
      </c>
      <c r="AZ7" s="2"/>
      <c r="BC7" s="2"/>
    </row>
    <row r="8" spans="1:55" x14ac:dyDescent="0.5">
      <c r="G8" s="1" t="s">
        <v>84</v>
      </c>
      <c r="H8" s="1" t="s">
        <v>84</v>
      </c>
      <c r="I8" s="1" t="s">
        <v>84</v>
      </c>
      <c r="L8" s="1" t="s">
        <v>371</v>
      </c>
      <c r="M8" s="1" t="s">
        <v>372</v>
      </c>
      <c r="N8" s="1" t="s">
        <v>232</v>
      </c>
      <c r="O8" s="1" t="s">
        <v>351</v>
      </c>
      <c r="P8" s="1" t="s">
        <v>373</v>
      </c>
      <c r="Q8" s="1" t="s">
        <v>374</v>
      </c>
      <c r="S8" s="1" t="s">
        <v>371</v>
      </c>
      <c r="T8" s="1" t="s">
        <v>372</v>
      </c>
      <c r="U8" s="1" t="s">
        <v>232</v>
      </c>
      <c r="V8" s="1" t="s">
        <v>351</v>
      </c>
      <c r="W8" s="1" t="s">
        <v>373</v>
      </c>
      <c r="X8" s="1" t="s">
        <v>374</v>
      </c>
      <c r="Y8" s="1" t="s">
        <v>228</v>
      </c>
      <c r="Z8" s="1" t="s">
        <v>375</v>
      </c>
      <c r="AA8" s="1" t="s">
        <v>376</v>
      </c>
      <c r="AB8" s="1" t="s">
        <v>377</v>
      </c>
      <c r="AC8" s="1" t="s">
        <v>90</v>
      </c>
      <c r="AD8" s="1" t="s">
        <v>228</v>
      </c>
      <c r="AE8" s="1" t="s">
        <v>378</v>
      </c>
      <c r="AF8" s="1" t="s">
        <v>379</v>
      </c>
      <c r="AG8" s="1" t="s">
        <v>380</v>
      </c>
      <c r="AL8" s="2" t="s">
        <v>371</v>
      </c>
      <c r="AM8" s="2" t="s">
        <v>349</v>
      </c>
      <c r="AN8" s="2" t="s">
        <v>358</v>
      </c>
      <c r="AO8" s="2" t="s">
        <v>381</v>
      </c>
      <c r="AP8" s="2" t="s">
        <v>382</v>
      </c>
      <c r="AQ8" s="2" t="s">
        <v>383</v>
      </c>
      <c r="AR8" s="2"/>
      <c r="AS8" s="2"/>
      <c r="AT8" s="8" t="s">
        <v>371</v>
      </c>
      <c r="AU8" s="9" t="s">
        <v>340</v>
      </c>
      <c r="AV8" s="9" t="s">
        <v>90</v>
      </c>
      <c r="AW8" s="7" t="s">
        <v>342</v>
      </c>
      <c r="AX8" s="10" t="s">
        <v>370</v>
      </c>
      <c r="AY8" s="9" t="s">
        <v>384</v>
      </c>
      <c r="AZ8" s="2"/>
      <c r="BC8" s="2"/>
    </row>
    <row r="9" spans="1:55" x14ac:dyDescent="0.5">
      <c r="G9" s="1" t="s">
        <v>273</v>
      </c>
      <c r="H9" s="1" t="s">
        <v>273</v>
      </c>
      <c r="I9" s="1" t="s">
        <v>273</v>
      </c>
      <c r="L9" s="1" t="s">
        <v>235</v>
      </c>
      <c r="M9" s="1" t="s">
        <v>385</v>
      </c>
      <c r="N9" s="1" t="s">
        <v>386</v>
      </c>
      <c r="O9" s="1" t="s">
        <v>387</v>
      </c>
      <c r="P9" s="1" t="s">
        <v>388</v>
      </c>
      <c r="Q9" s="1" t="s">
        <v>228</v>
      </c>
      <c r="S9" s="1" t="s">
        <v>235</v>
      </c>
      <c r="T9" s="1" t="s">
        <v>385</v>
      </c>
      <c r="U9" s="1" t="s">
        <v>386</v>
      </c>
      <c r="V9" s="1" t="s">
        <v>387</v>
      </c>
      <c r="W9" s="1" t="s">
        <v>388</v>
      </c>
      <c r="X9" s="1" t="s">
        <v>228</v>
      </c>
      <c r="Y9" s="1" t="s">
        <v>359</v>
      </c>
      <c r="Z9" s="1" t="s">
        <v>389</v>
      </c>
      <c r="AA9" s="1" t="s">
        <v>390</v>
      </c>
      <c r="AB9" s="1" t="s">
        <v>391</v>
      </c>
      <c r="AC9" s="1" t="s">
        <v>392</v>
      </c>
      <c r="AD9" s="1" t="s">
        <v>244</v>
      </c>
      <c r="AE9" s="1" t="s">
        <v>393</v>
      </c>
      <c r="AF9" s="1" t="s">
        <v>394</v>
      </c>
      <c r="AG9" s="1" t="s">
        <v>370</v>
      </c>
      <c r="AL9" s="2" t="s">
        <v>235</v>
      </c>
      <c r="AM9" s="2" t="s">
        <v>395</v>
      </c>
      <c r="AN9" s="2" t="s">
        <v>396</v>
      </c>
      <c r="AO9" s="2" t="s">
        <v>358</v>
      </c>
      <c r="AP9" s="2" t="s">
        <v>397</v>
      </c>
      <c r="AQ9" s="2" t="s">
        <v>398</v>
      </c>
      <c r="AR9" s="2"/>
      <c r="AS9" s="2"/>
      <c r="AT9" s="7" t="s">
        <v>235</v>
      </c>
      <c r="AU9" s="8" t="s">
        <v>351</v>
      </c>
      <c r="AV9" s="9" t="s">
        <v>367</v>
      </c>
      <c r="AW9" s="10" t="s">
        <v>323</v>
      </c>
      <c r="AX9" s="10" t="s">
        <v>331</v>
      </c>
      <c r="AY9" s="10" t="s">
        <v>399</v>
      </c>
      <c r="AZ9" s="2"/>
      <c r="BC9" s="2"/>
    </row>
    <row r="10" spans="1:55" x14ac:dyDescent="0.5">
      <c r="L10" s="1" t="s">
        <v>400</v>
      </c>
      <c r="M10" s="1" t="s">
        <v>401</v>
      </c>
      <c r="N10" s="1" t="s">
        <v>349</v>
      </c>
      <c r="O10" s="1" t="s">
        <v>366</v>
      </c>
      <c r="P10" s="1" t="s">
        <v>342</v>
      </c>
      <c r="Q10" s="1" t="s">
        <v>229</v>
      </c>
      <c r="S10" s="1" t="s">
        <v>400</v>
      </c>
      <c r="T10" s="1" t="s">
        <v>401</v>
      </c>
      <c r="U10" s="1" t="s">
        <v>349</v>
      </c>
      <c r="V10" s="1" t="s">
        <v>366</v>
      </c>
      <c r="W10" s="1" t="s">
        <v>342</v>
      </c>
      <c r="X10" s="1" t="s">
        <v>229</v>
      </c>
      <c r="Y10" s="1" t="s">
        <v>324</v>
      </c>
      <c r="Z10" s="1" t="s">
        <v>244</v>
      </c>
      <c r="AA10" s="1" t="s">
        <v>402</v>
      </c>
      <c r="AB10" s="1" t="s">
        <v>403</v>
      </c>
      <c r="AC10" s="1" t="s">
        <v>404</v>
      </c>
      <c r="AD10" s="1" t="s">
        <v>231</v>
      </c>
      <c r="AE10" s="1" t="s">
        <v>405</v>
      </c>
      <c r="AF10" s="1" t="s">
        <v>406</v>
      </c>
      <c r="AG10" s="1" t="s">
        <v>407</v>
      </c>
      <c r="AL10" s="2" t="s">
        <v>400</v>
      </c>
      <c r="AM10" s="2" t="s">
        <v>408</v>
      </c>
      <c r="AN10" s="2" t="s">
        <v>409</v>
      </c>
      <c r="AO10" s="2" t="s">
        <v>410</v>
      </c>
      <c r="AP10" s="2" t="s">
        <v>341</v>
      </c>
      <c r="AQ10" s="2" t="s">
        <v>247</v>
      </c>
      <c r="AR10" s="2"/>
      <c r="AS10" s="2"/>
      <c r="AT10" s="8" t="s">
        <v>400</v>
      </c>
      <c r="AU10" s="10" t="s">
        <v>231</v>
      </c>
      <c r="AV10" s="10" t="s">
        <v>381</v>
      </c>
      <c r="AW10" s="8" t="s">
        <v>358</v>
      </c>
      <c r="AX10" s="10" t="s">
        <v>384</v>
      </c>
      <c r="AY10" s="9" t="s">
        <v>411</v>
      </c>
      <c r="AZ10" s="2"/>
      <c r="BC10" s="2"/>
    </row>
    <row r="11" spans="1:55" x14ac:dyDescent="0.5">
      <c r="G11" s="1" t="s">
        <v>292</v>
      </c>
      <c r="H11" s="1" t="s">
        <v>319</v>
      </c>
      <c r="I11" s="1" t="s">
        <v>412</v>
      </c>
      <c r="J11" s="1" t="s">
        <v>355</v>
      </c>
      <c r="L11" s="1" t="s">
        <v>349</v>
      </c>
      <c r="M11" s="1" t="s">
        <v>413</v>
      </c>
      <c r="N11" s="1" t="s">
        <v>414</v>
      </c>
      <c r="O11" s="1" t="s">
        <v>385</v>
      </c>
      <c r="P11" s="1" t="s">
        <v>357</v>
      </c>
      <c r="Q11" s="1" t="s">
        <v>415</v>
      </c>
      <c r="S11" s="1" t="s">
        <v>349</v>
      </c>
      <c r="T11" s="1" t="s">
        <v>413</v>
      </c>
      <c r="U11" s="1" t="s">
        <v>414</v>
      </c>
      <c r="V11" s="1" t="s">
        <v>385</v>
      </c>
      <c r="W11" s="1" t="s">
        <v>357</v>
      </c>
      <c r="X11" s="1" t="s">
        <v>415</v>
      </c>
      <c r="Y11" s="1" t="s">
        <v>90</v>
      </c>
      <c r="Z11" s="1" t="s">
        <v>304</v>
      </c>
      <c r="AA11" s="1" t="s">
        <v>416</v>
      </c>
      <c r="AB11" s="1" t="s">
        <v>244</v>
      </c>
      <c r="AC11" s="1" t="s">
        <v>417</v>
      </c>
      <c r="AD11" s="1" t="s">
        <v>418</v>
      </c>
      <c r="AE11" s="1" t="s">
        <v>384</v>
      </c>
      <c r="AF11" s="1" t="s">
        <v>419</v>
      </c>
      <c r="AG11" s="1" t="s">
        <v>420</v>
      </c>
      <c r="AL11" s="2" t="s">
        <v>421</v>
      </c>
      <c r="AM11" s="2" t="s">
        <v>422</v>
      </c>
      <c r="AN11" s="2" t="s">
        <v>349</v>
      </c>
      <c r="AO11" s="2" t="s">
        <v>351</v>
      </c>
      <c r="AP11" s="2" t="s">
        <v>351</v>
      </c>
      <c r="AQ11" s="2" t="s">
        <v>423</v>
      </c>
      <c r="AR11" s="2"/>
      <c r="AS11" s="2"/>
      <c r="AT11" s="7" t="s">
        <v>421</v>
      </c>
      <c r="AU11" s="7" t="s">
        <v>366</v>
      </c>
      <c r="AV11" s="9" t="s">
        <v>342</v>
      </c>
      <c r="AW11" s="9" t="s">
        <v>341</v>
      </c>
      <c r="AX11" s="10" t="s">
        <v>399</v>
      </c>
      <c r="AY11" s="9" t="s">
        <v>394</v>
      </c>
      <c r="AZ11" s="2"/>
      <c r="BC11" s="2"/>
    </row>
    <row r="12" spans="1:55" x14ac:dyDescent="0.5">
      <c r="G12" s="1" t="s">
        <v>306</v>
      </c>
      <c r="H12" s="1" t="s">
        <v>306</v>
      </c>
      <c r="I12" s="1" t="s">
        <v>306</v>
      </c>
      <c r="J12" s="1" t="s">
        <v>306</v>
      </c>
      <c r="L12" s="1" t="s">
        <v>424</v>
      </c>
      <c r="M12" s="1" t="s">
        <v>424</v>
      </c>
      <c r="N12" s="1" t="s">
        <v>375</v>
      </c>
      <c r="O12" s="1" t="s">
        <v>425</v>
      </c>
      <c r="P12" s="1" t="s">
        <v>426</v>
      </c>
      <c r="Q12" s="1" t="s">
        <v>342</v>
      </c>
      <c r="S12" s="1" t="s">
        <v>424</v>
      </c>
      <c r="T12" s="1" t="s">
        <v>424</v>
      </c>
      <c r="U12" s="1" t="s">
        <v>375</v>
      </c>
      <c r="V12" s="1" t="s">
        <v>425</v>
      </c>
      <c r="W12" s="1" t="s">
        <v>426</v>
      </c>
      <c r="X12" s="1" t="s">
        <v>342</v>
      </c>
      <c r="Y12" s="1" t="s">
        <v>343</v>
      </c>
      <c r="Z12" s="1" t="s">
        <v>427</v>
      </c>
      <c r="AA12" s="1" t="s">
        <v>428</v>
      </c>
      <c r="AB12" s="1" t="s">
        <v>429</v>
      </c>
      <c r="AC12" s="1" t="s">
        <v>430</v>
      </c>
      <c r="AD12" s="1" t="s">
        <v>395</v>
      </c>
      <c r="AE12" s="1" t="s">
        <v>431</v>
      </c>
      <c r="AF12" s="1" t="s">
        <v>432</v>
      </c>
      <c r="AG12" s="1" t="s">
        <v>433</v>
      </c>
      <c r="AL12" s="2" t="s">
        <v>434</v>
      </c>
      <c r="AM12" s="2" t="s">
        <v>435</v>
      </c>
      <c r="AN12" s="2" t="s">
        <v>236</v>
      </c>
      <c r="AO12" s="2" t="s">
        <v>436</v>
      </c>
      <c r="AP12" s="2" t="s">
        <v>437</v>
      </c>
      <c r="AQ12" s="2" t="s">
        <v>438</v>
      </c>
      <c r="AR12" s="2"/>
      <c r="AS12" s="2"/>
      <c r="AT12" s="8" t="s">
        <v>434</v>
      </c>
      <c r="AU12" s="9" t="s">
        <v>372</v>
      </c>
      <c r="AV12" s="10" t="s">
        <v>323</v>
      </c>
      <c r="AW12" s="10" t="s">
        <v>357</v>
      </c>
      <c r="AX12" s="9" t="s">
        <v>411</v>
      </c>
      <c r="AY12" s="10" t="s">
        <v>393</v>
      </c>
      <c r="AZ12" s="2"/>
      <c r="BC12" s="2"/>
    </row>
    <row r="13" spans="1:55" x14ac:dyDescent="0.5">
      <c r="G13" s="1" t="s">
        <v>307</v>
      </c>
      <c r="H13" s="1" t="s">
        <v>307</v>
      </c>
      <c r="I13" s="1" t="s">
        <v>307</v>
      </c>
      <c r="J13" s="1" t="s">
        <v>307</v>
      </c>
      <c r="L13" s="1" t="s">
        <v>434</v>
      </c>
      <c r="M13" s="1" t="s">
        <v>439</v>
      </c>
      <c r="N13" s="1" t="s">
        <v>440</v>
      </c>
      <c r="O13" s="1" t="s">
        <v>413</v>
      </c>
      <c r="P13" s="1" t="s">
        <v>441</v>
      </c>
      <c r="Q13" s="1" t="s">
        <v>442</v>
      </c>
      <c r="S13" s="1" t="s">
        <v>434</v>
      </c>
      <c r="T13" s="1" t="s">
        <v>439</v>
      </c>
      <c r="U13" s="1" t="s">
        <v>440</v>
      </c>
      <c r="V13" s="1" t="s">
        <v>413</v>
      </c>
      <c r="W13" s="1" t="s">
        <v>441</v>
      </c>
      <c r="X13" s="1" t="s">
        <v>442</v>
      </c>
      <c r="Y13" s="1" t="s">
        <v>443</v>
      </c>
      <c r="Z13" s="1" t="s">
        <v>444</v>
      </c>
      <c r="AA13" s="1" t="s">
        <v>238</v>
      </c>
      <c r="AB13" s="1" t="s">
        <v>445</v>
      </c>
      <c r="AC13" s="1" t="s">
        <v>335</v>
      </c>
      <c r="AD13" s="1" t="s">
        <v>446</v>
      </c>
      <c r="AE13" s="1" t="s">
        <v>447</v>
      </c>
      <c r="AF13" s="1" t="s">
        <v>235</v>
      </c>
      <c r="AG13" s="1" t="s">
        <v>446</v>
      </c>
      <c r="AL13" s="2" t="s">
        <v>448</v>
      </c>
      <c r="AM13" s="2" t="s">
        <v>449</v>
      </c>
      <c r="AN13" s="2" t="s">
        <v>346</v>
      </c>
      <c r="AO13" s="2" t="s">
        <v>450</v>
      </c>
      <c r="AP13" s="2" t="s">
        <v>357</v>
      </c>
      <c r="AQ13" s="2" t="s">
        <v>406</v>
      </c>
      <c r="AR13" s="2"/>
      <c r="AS13" s="2"/>
      <c r="AT13" s="7" t="s">
        <v>448</v>
      </c>
      <c r="AU13" s="10" t="s">
        <v>385</v>
      </c>
      <c r="AV13" s="10" t="s">
        <v>358</v>
      </c>
      <c r="AW13" s="9" t="s">
        <v>232</v>
      </c>
      <c r="AX13" s="10" t="s">
        <v>394</v>
      </c>
      <c r="AY13" s="9" t="s">
        <v>302</v>
      </c>
      <c r="AZ13" s="2"/>
      <c r="BC13" s="2"/>
    </row>
    <row r="14" spans="1:55" x14ac:dyDescent="0.5">
      <c r="G14" s="1" t="s">
        <v>308</v>
      </c>
      <c r="H14" s="1" t="s">
        <v>308</v>
      </c>
      <c r="I14" s="1" t="s">
        <v>308</v>
      </c>
      <c r="J14" s="1" t="s">
        <v>308</v>
      </c>
      <c r="L14" s="1" t="s">
        <v>451</v>
      </c>
      <c r="M14" s="1" t="s">
        <v>375</v>
      </c>
      <c r="N14" s="1" t="s">
        <v>63</v>
      </c>
      <c r="O14" s="1" t="s">
        <v>452</v>
      </c>
      <c r="P14" s="1" t="s">
        <v>396</v>
      </c>
      <c r="Q14" s="1" t="s">
        <v>453</v>
      </c>
      <c r="S14" s="1" t="s">
        <v>451</v>
      </c>
      <c r="T14" s="1" t="s">
        <v>375</v>
      </c>
      <c r="U14" s="1" t="s">
        <v>63</v>
      </c>
      <c r="V14" s="1" t="s">
        <v>452</v>
      </c>
      <c r="W14" s="1" t="s">
        <v>396</v>
      </c>
      <c r="X14" s="1" t="s">
        <v>453</v>
      </c>
      <c r="Y14" s="1" t="s">
        <v>454</v>
      </c>
      <c r="Z14" s="1" t="s">
        <v>451</v>
      </c>
      <c r="AA14" s="1" t="s">
        <v>455</v>
      </c>
      <c r="AB14" s="1" t="s">
        <v>456</v>
      </c>
      <c r="AC14" s="1" t="s">
        <v>457</v>
      </c>
      <c r="AD14" s="1" t="s">
        <v>458</v>
      </c>
      <c r="AE14" s="1" t="s">
        <v>459</v>
      </c>
      <c r="AF14" s="1" t="s">
        <v>414</v>
      </c>
      <c r="AG14" s="1" t="s">
        <v>458</v>
      </c>
      <c r="AL14" s="2" t="s">
        <v>460</v>
      </c>
      <c r="AM14" s="2" t="s">
        <v>461</v>
      </c>
      <c r="AN14" s="2" t="s">
        <v>434</v>
      </c>
      <c r="AO14" s="2" t="s">
        <v>462</v>
      </c>
      <c r="AP14" s="2" t="s">
        <v>386</v>
      </c>
      <c r="AQ14" s="2" t="s">
        <v>463</v>
      </c>
      <c r="AR14" s="2"/>
      <c r="AS14" s="2"/>
      <c r="AT14" s="8" t="s">
        <v>460</v>
      </c>
      <c r="AU14" s="9" t="s">
        <v>401</v>
      </c>
      <c r="AV14" s="8" t="s">
        <v>410</v>
      </c>
      <c r="AW14" s="7" t="s">
        <v>396</v>
      </c>
      <c r="AX14" s="10" t="s">
        <v>368</v>
      </c>
      <c r="AY14" s="9" t="s">
        <v>464</v>
      </c>
      <c r="AZ14" s="2"/>
      <c r="BC14" s="2"/>
    </row>
    <row r="15" spans="1:55" x14ac:dyDescent="0.5">
      <c r="G15" s="1" t="s">
        <v>309</v>
      </c>
      <c r="H15" s="1" t="s">
        <v>309</v>
      </c>
      <c r="I15" s="1" t="s">
        <v>309</v>
      </c>
      <c r="J15" s="1" t="s">
        <v>309</v>
      </c>
      <c r="L15" s="1" t="s">
        <v>448</v>
      </c>
      <c r="M15" s="1" t="s">
        <v>395</v>
      </c>
      <c r="N15" s="1" t="s">
        <v>346</v>
      </c>
      <c r="O15" s="1" t="s">
        <v>236</v>
      </c>
      <c r="P15" s="1" t="s">
        <v>386</v>
      </c>
      <c r="Q15" s="1" t="s">
        <v>332</v>
      </c>
      <c r="S15" s="1" t="s">
        <v>448</v>
      </c>
      <c r="T15" s="1" t="s">
        <v>395</v>
      </c>
      <c r="U15" s="1" t="s">
        <v>346</v>
      </c>
      <c r="V15" s="1" t="s">
        <v>236</v>
      </c>
      <c r="W15" s="1" t="s">
        <v>386</v>
      </c>
      <c r="X15" s="1" t="s">
        <v>332</v>
      </c>
      <c r="Y15" s="1" t="s">
        <v>300</v>
      </c>
      <c r="Z15" s="1" t="s">
        <v>232</v>
      </c>
      <c r="AA15" s="1" t="s">
        <v>465</v>
      </c>
      <c r="AB15" s="1" t="s">
        <v>232</v>
      </c>
      <c r="AC15" s="1" t="s">
        <v>239</v>
      </c>
      <c r="AD15" s="1" t="s">
        <v>466</v>
      </c>
      <c r="AE15" s="1" t="s">
        <v>399</v>
      </c>
      <c r="AF15" s="1" t="s">
        <v>387</v>
      </c>
      <c r="AG15" s="1" t="s">
        <v>440</v>
      </c>
      <c r="AL15" s="2" t="s">
        <v>467</v>
      </c>
      <c r="AM15" s="2" t="s">
        <v>468</v>
      </c>
      <c r="AN15" s="2" t="s">
        <v>430</v>
      </c>
      <c r="AO15" s="2" t="s">
        <v>469</v>
      </c>
      <c r="AP15" s="2" t="s">
        <v>470</v>
      </c>
      <c r="AQ15" s="2" t="s">
        <v>471</v>
      </c>
      <c r="AR15" s="2"/>
      <c r="AS15" s="2"/>
      <c r="AT15" s="7" t="s">
        <v>467</v>
      </c>
      <c r="AU15" s="10" t="s">
        <v>413</v>
      </c>
      <c r="AV15" s="9" t="s">
        <v>341</v>
      </c>
      <c r="AW15" s="10" t="s">
        <v>386</v>
      </c>
      <c r="AX15" s="10" t="s">
        <v>393</v>
      </c>
      <c r="AY15" s="9" t="s">
        <v>459</v>
      </c>
      <c r="AZ15" s="2"/>
      <c r="BC15" s="2"/>
    </row>
    <row r="16" spans="1:55" x14ac:dyDescent="0.5">
      <c r="G16" s="1" t="s">
        <v>310</v>
      </c>
      <c r="H16" s="1" t="s">
        <v>310</v>
      </c>
      <c r="I16" s="1" t="s">
        <v>310</v>
      </c>
      <c r="J16" s="1" t="s">
        <v>310</v>
      </c>
      <c r="L16" s="1" t="s">
        <v>238</v>
      </c>
      <c r="M16" s="1" t="s">
        <v>63</v>
      </c>
      <c r="N16" s="1" t="s">
        <v>472</v>
      </c>
      <c r="O16" s="1" t="s">
        <v>473</v>
      </c>
      <c r="P16" s="1" t="s">
        <v>474</v>
      </c>
      <c r="Q16" s="1" t="s">
        <v>426</v>
      </c>
      <c r="S16" s="1" t="s">
        <v>238</v>
      </c>
      <c r="T16" s="1" t="s">
        <v>63</v>
      </c>
      <c r="U16" s="1" t="s">
        <v>472</v>
      </c>
      <c r="V16" s="1" t="s">
        <v>473</v>
      </c>
      <c r="W16" s="1" t="s">
        <v>474</v>
      </c>
      <c r="X16" s="1" t="s">
        <v>426</v>
      </c>
      <c r="Y16" s="1" t="s">
        <v>475</v>
      </c>
      <c r="Z16" s="1" t="s">
        <v>237</v>
      </c>
      <c r="AA16" s="1" t="s">
        <v>476</v>
      </c>
      <c r="AB16" s="1" t="s">
        <v>299</v>
      </c>
      <c r="AC16" s="1" t="s">
        <v>477</v>
      </c>
      <c r="AD16" s="1" t="s">
        <v>478</v>
      </c>
      <c r="AE16" s="1" t="s">
        <v>411</v>
      </c>
      <c r="AF16" s="1" t="s">
        <v>479</v>
      </c>
      <c r="AG16" s="1" t="s">
        <v>469</v>
      </c>
      <c r="AL16" s="2" t="s">
        <v>390</v>
      </c>
      <c r="AM16" s="2" t="s">
        <v>480</v>
      </c>
      <c r="AN16" s="2" t="s">
        <v>451</v>
      </c>
      <c r="AO16" s="2" t="s">
        <v>481</v>
      </c>
      <c r="AP16" s="2" t="s">
        <v>474</v>
      </c>
      <c r="AQ16" s="2" t="s">
        <v>482</v>
      </c>
      <c r="AR16" s="2"/>
      <c r="AS16" s="2"/>
      <c r="AT16" s="8" t="s">
        <v>390</v>
      </c>
      <c r="AU16" s="8" t="s">
        <v>349</v>
      </c>
      <c r="AV16" s="9" t="s">
        <v>351</v>
      </c>
      <c r="AW16" s="7" t="s">
        <v>349</v>
      </c>
      <c r="AX16" s="10" t="s">
        <v>302</v>
      </c>
      <c r="AY16" s="9" t="s">
        <v>483</v>
      </c>
      <c r="AZ16" s="2"/>
      <c r="BC16" s="2"/>
    </row>
    <row r="17" spans="7:55" x14ac:dyDescent="0.5">
      <c r="G17" s="1" t="s">
        <v>311</v>
      </c>
      <c r="H17" s="1" t="s">
        <v>311</v>
      </c>
      <c r="I17" s="1" t="s">
        <v>311</v>
      </c>
      <c r="J17" s="1" t="s">
        <v>311</v>
      </c>
      <c r="L17" s="1" t="s">
        <v>484</v>
      </c>
      <c r="M17" s="1" t="s">
        <v>238</v>
      </c>
      <c r="N17" s="1" t="s">
        <v>434</v>
      </c>
      <c r="O17" s="1" t="s">
        <v>485</v>
      </c>
      <c r="P17" s="1" t="s">
        <v>486</v>
      </c>
      <c r="Q17" s="1" t="s">
        <v>441</v>
      </c>
      <c r="S17" s="1" t="s">
        <v>484</v>
      </c>
      <c r="T17" s="1" t="s">
        <v>238</v>
      </c>
      <c r="U17" s="1" t="s">
        <v>434</v>
      </c>
      <c r="V17" s="1" t="s">
        <v>485</v>
      </c>
      <c r="W17" s="1" t="s">
        <v>486</v>
      </c>
      <c r="X17" s="1" t="s">
        <v>441</v>
      </c>
      <c r="Y17" s="1" t="s">
        <v>243</v>
      </c>
      <c r="Z17" s="1" t="s">
        <v>392</v>
      </c>
      <c r="AA17" s="1" t="s">
        <v>487</v>
      </c>
      <c r="AB17" s="1" t="s">
        <v>488</v>
      </c>
      <c r="AC17" s="1" t="s">
        <v>393</v>
      </c>
      <c r="AD17" s="1" t="s">
        <v>489</v>
      </c>
      <c r="AE17" s="1" t="s">
        <v>490</v>
      </c>
      <c r="AF17" s="1" t="s">
        <v>491</v>
      </c>
      <c r="AG17" s="1" t="s">
        <v>358</v>
      </c>
      <c r="AL17" s="2" t="s">
        <v>492</v>
      </c>
      <c r="AM17" s="2" t="s">
        <v>493</v>
      </c>
      <c r="AN17" s="2" t="s">
        <v>494</v>
      </c>
      <c r="AO17" s="2" t="s">
        <v>434</v>
      </c>
      <c r="AP17" s="2" t="s">
        <v>385</v>
      </c>
      <c r="AQ17" s="2" t="s">
        <v>495</v>
      </c>
      <c r="AR17" s="2"/>
      <c r="AS17" s="2"/>
      <c r="AT17" s="7" t="s">
        <v>492</v>
      </c>
      <c r="AU17" s="9" t="s">
        <v>424</v>
      </c>
      <c r="AV17" s="10" t="s">
        <v>357</v>
      </c>
      <c r="AW17" s="8" t="s">
        <v>236</v>
      </c>
      <c r="AX17" s="10" t="s">
        <v>343</v>
      </c>
      <c r="AY17" s="9" t="s">
        <v>358</v>
      </c>
      <c r="AZ17" s="2"/>
      <c r="BC17" s="2"/>
    </row>
    <row r="18" spans="7:55" x14ac:dyDescent="0.5">
      <c r="L18" s="1" t="s">
        <v>496</v>
      </c>
      <c r="M18" s="1" t="s">
        <v>496</v>
      </c>
      <c r="N18" s="1" t="s">
        <v>497</v>
      </c>
      <c r="O18" s="1" t="s">
        <v>462</v>
      </c>
      <c r="P18" s="1" t="s">
        <v>452</v>
      </c>
      <c r="Q18" s="1" t="s">
        <v>498</v>
      </c>
      <c r="S18" s="1" t="s">
        <v>496</v>
      </c>
      <c r="T18" s="1" t="s">
        <v>496</v>
      </c>
      <c r="U18" s="1" t="s">
        <v>497</v>
      </c>
      <c r="V18" s="1" t="s">
        <v>462</v>
      </c>
      <c r="W18" s="1" t="s">
        <v>452</v>
      </c>
      <c r="X18" s="1" t="s">
        <v>498</v>
      </c>
      <c r="Y18" s="1" t="s">
        <v>499</v>
      </c>
      <c r="Z18" s="1" t="s">
        <v>404</v>
      </c>
      <c r="AA18" s="1" t="s">
        <v>392</v>
      </c>
      <c r="AB18" s="1" t="s">
        <v>357</v>
      </c>
      <c r="AC18" s="1" t="s">
        <v>447</v>
      </c>
      <c r="AD18" s="1" t="s">
        <v>371</v>
      </c>
      <c r="AE18" s="1" t="s">
        <v>500</v>
      </c>
      <c r="AF18" s="1" t="s">
        <v>501</v>
      </c>
      <c r="AG18" s="1" t="s">
        <v>502</v>
      </c>
      <c r="AL18" s="2" t="s">
        <v>503</v>
      </c>
      <c r="AM18" s="2" t="s">
        <v>85</v>
      </c>
      <c r="AN18" s="2" t="s">
        <v>504</v>
      </c>
      <c r="AO18" s="2" t="s">
        <v>416</v>
      </c>
      <c r="AP18" s="2" t="s">
        <v>413</v>
      </c>
      <c r="AQ18" s="2" t="s">
        <v>505</v>
      </c>
      <c r="AR18" s="2"/>
      <c r="AS18" s="2"/>
      <c r="AT18" s="8" t="s">
        <v>503</v>
      </c>
      <c r="AU18" s="10" t="s">
        <v>439</v>
      </c>
      <c r="AV18" s="9" t="s">
        <v>232</v>
      </c>
      <c r="AW18" s="7" t="s">
        <v>414</v>
      </c>
      <c r="AX18" s="10" t="s">
        <v>464</v>
      </c>
      <c r="AY18" s="9" t="s">
        <v>332</v>
      </c>
      <c r="AZ18" s="2"/>
      <c r="BC18" s="2"/>
    </row>
    <row r="19" spans="7:55" x14ac:dyDescent="0.5">
      <c r="G19" s="1" t="s">
        <v>293</v>
      </c>
      <c r="H19" s="1" t="s">
        <v>506</v>
      </c>
      <c r="I19" s="1" t="s">
        <v>338</v>
      </c>
      <c r="L19" s="1" t="s">
        <v>496</v>
      </c>
      <c r="M19" s="1" t="s">
        <v>435</v>
      </c>
      <c r="N19" s="1" t="s">
        <v>430</v>
      </c>
      <c r="O19" s="1" t="s">
        <v>479</v>
      </c>
      <c r="P19" s="1" t="s">
        <v>507</v>
      </c>
      <c r="Q19" s="1" t="s">
        <v>508</v>
      </c>
      <c r="S19" s="1" t="s">
        <v>496</v>
      </c>
      <c r="T19" s="1" t="s">
        <v>435</v>
      </c>
      <c r="U19" s="1" t="s">
        <v>430</v>
      </c>
      <c r="V19" s="1" t="s">
        <v>479</v>
      </c>
      <c r="W19" s="1" t="s">
        <v>507</v>
      </c>
      <c r="X19" s="1" t="s">
        <v>508</v>
      </c>
      <c r="Y19" s="1" t="s">
        <v>509</v>
      </c>
      <c r="Z19" s="1" t="s">
        <v>496</v>
      </c>
      <c r="AA19" s="1" t="s">
        <v>510</v>
      </c>
      <c r="AB19" s="1" t="s">
        <v>511</v>
      </c>
      <c r="AC19" s="1" t="s">
        <v>431</v>
      </c>
      <c r="AD19" s="1" t="s">
        <v>512</v>
      </c>
      <c r="AE19" s="1" t="s">
        <v>513</v>
      </c>
      <c r="AF19" s="1" t="s">
        <v>514</v>
      </c>
      <c r="AG19" s="1" t="s">
        <v>248</v>
      </c>
      <c r="AL19" s="2" t="s">
        <v>515</v>
      </c>
      <c r="AM19" s="2" t="s">
        <v>503</v>
      </c>
      <c r="AN19" s="2" t="s">
        <v>501</v>
      </c>
      <c r="AO19" s="2" t="s">
        <v>516</v>
      </c>
      <c r="AP19" s="2" t="s">
        <v>486</v>
      </c>
      <c r="AQ19" s="2" t="s">
        <v>517</v>
      </c>
      <c r="AR19" s="2"/>
      <c r="AS19" s="2"/>
      <c r="AT19" s="7" t="s">
        <v>515</v>
      </c>
      <c r="AU19" s="9" t="s">
        <v>375</v>
      </c>
      <c r="AV19" s="10" t="s">
        <v>387</v>
      </c>
      <c r="AW19" s="7" t="s">
        <v>375</v>
      </c>
      <c r="AX19" s="9" t="s">
        <v>459</v>
      </c>
      <c r="AY19" s="9" t="s">
        <v>380</v>
      </c>
      <c r="AZ19" s="2"/>
      <c r="BC19" s="2"/>
    </row>
    <row r="20" spans="7:55" x14ac:dyDescent="0.5">
      <c r="G20" s="1" t="s">
        <v>312</v>
      </c>
      <c r="H20" s="1" t="s">
        <v>312</v>
      </c>
      <c r="I20" s="1" t="s">
        <v>312</v>
      </c>
      <c r="L20" s="1" t="s">
        <v>518</v>
      </c>
      <c r="M20" s="1" t="s">
        <v>519</v>
      </c>
      <c r="N20" s="1" t="s">
        <v>422</v>
      </c>
      <c r="O20" s="1" t="s">
        <v>440</v>
      </c>
      <c r="P20" s="1" t="s">
        <v>236</v>
      </c>
      <c r="Q20" s="1" t="s">
        <v>520</v>
      </c>
      <c r="S20" s="1" t="s">
        <v>518</v>
      </c>
      <c r="T20" s="1" t="s">
        <v>519</v>
      </c>
      <c r="U20" s="1" t="s">
        <v>422</v>
      </c>
      <c r="V20" s="1" t="s">
        <v>440</v>
      </c>
      <c r="W20" s="1" t="s">
        <v>236</v>
      </c>
      <c r="X20" s="1" t="s">
        <v>520</v>
      </c>
      <c r="Y20" s="1" t="s">
        <v>521</v>
      </c>
      <c r="Z20" s="1" t="s">
        <v>522</v>
      </c>
      <c r="AA20" s="1" t="s">
        <v>523</v>
      </c>
      <c r="AB20" s="1" t="s">
        <v>495</v>
      </c>
      <c r="AC20" s="1" t="s">
        <v>524</v>
      </c>
      <c r="AD20" s="1" t="s">
        <v>525</v>
      </c>
      <c r="AE20" s="1" t="s">
        <v>483</v>
      </c>
      <c r="AF20" s="1" t="s">
        <v>241</v>
      </c>
      <c r="AG20" s="1" t="s">
        <v>483</v>
      </c>
      <c r="AL20" s="2" t="s">
        <v>526</v>
      </c>
      <c r="AM20" s="2" t="s">
        <v>526</v>
      </c>
      <c r="AN20" s="2" t="s">
        <v>85</v>
      </c>
      <c r="AO20" s="2" t="s">
        <v>238</v>
      </c>
      <c r="AP20" s="2" t="s">
        <v>452</v>
      </c>
      <c r="AQ20" s="2" t="s">
        <v>255</v>
      </c>
      <c r="AR20" s="2"/>
      <c r="AS20" s="2"/>
      <c r="AT20" s="8" t="s">
        <v>526</v>
      </c>
      <c r="AU20" s="7" t="s">
        <v>395</v>
      </c>
      <c r="AV20" s="10" t="s">
        <v>386</v>
      </c>
      <c r="AW20" s="7" t="s">
        <v>440</v>
      </c>
      <c r="AX20" s="9" t="s">
        <v>483</v>
      </c>
      <c r="AY20" s="9" t="s">
        <v>405</v>
      </c>
      <c r="AZ20" s="2"/>
      <c r="BC20" s="2"/>
    </row>
    <row r="21" spans="7:55" x14ac:dyDescent="0.5">
      <c r="G21" s="1" t="s">
        <v>313</v>
      </c>
      <c r="H21" s="1" t="s">
        <v>313</v>
      </c>
      <c r="I21" s="1" t="s">
        <v>313</v>
      </c>
      <c r="L21" s="1" t="s">
        <v>244</v>
      </c>
      <c r="M21" s="1" t="s">
        <v>449</v>
      </c>
      <c r="N21" s="1" t="s">
        <v>431</v>
      </c>
      <c r="O21" s="1" t="s">
        <v>469</v>
      </c>
      <c r="P21" s="1" t="s">
        <v>424</v>
      </c>
      <c r="Q21" s="1" t="s">
        <v>527</v>
      </c>
      <c r="S21" s="1" t="s">
        <v>244</v>
      </c>
      <c r="T21" s="1" t="s">
        <v>449</v>
      </c>
      <c r="U21" s="1" t="s">
        <v>431</v>
      </c>
      <c r="V21" s="1" t="s">
        <v>469</v>
      </c>
      <c r="W21" s="1" t="s">
        <v>424</v>
      </c>
      <c r="X21" s="1" t="s">
        <v>527</v>
      </c>
      <c r="Y21" s="1" t="s">
        <v>386</v>
      </c>
      <c r="Z21" s="1" t="s">
        <v>528</v>
      </c>
      <c r="AA21" s="1" t="s">
        <v>529</v>
      </c>
      <c r="AB21" s="1" t="s">
        <v>530</v>
      </c>
      <c r="AC21" s="1" t="s">
        <v>531</v>
      </c>
      <c r="AD21" s="1" t="s">
        <v>532</v>
      </c>
      <c r="AE21" s="1" t="s">
        <v>464</v>
      </c>
      <c r="AF21" s="1" t="s">
        <v>343</v>
      </c>
      <c r="AG21" s="1" t="s">
        <v>533</v>
      </c>
      <c r="AL21" s="2" t="s">
        <v>534</v>
      </c>
      <c r="AM21" s="2" t="s">
        <v>535</v>
      </c>
      <c r="AN21" s="2" t="s">
        <v>487</v>
      </c>
      <c r="AO21" s="2" t="s">
        <v>496</v>
      </c>
      <c r="AP21" s="2" t="s">
        <v>419</v>
      </c>
      <c r="AQ21" s="2" t="s">
        <v>536</v>
      </c>
      <c r="AR21" s="2"/>
      <c r="AS21" s="2"/>
      <c r="AT21" s="7" t="s">
        <v>534</v>
      </c>
      <c r="AU21" s="9" t="s">
        <v>63</v>
      </c>
      <c r="AV21" s="9" t="s">
        <v>366</v>
      </c>
      <c r="AW21" s="7" t="s">
        <v>63</v>
      </c>
      <c r="AX21" s="10" t="s">
        <v>537</v>
      </c>
      <c r="AY21" s="9" t="s">
        <v>232</v>
      </c>
      <c r="AZ21" s="2"/>
      <c r="BC21" s="2"/>
    </row>
    <row r="22" spans="7:55" x14ac:dyDescent="0.5">
      <c r="G22" s="1" t="s">
        <v>314</v>
      </c>
      <c r="H22" s="1" t="s">
        <v>314</v>
      </c>
      <c r="I22" s="1" t="s">
        <v>314</v>
      </c>
      <c r="L22" s="1" t="s">
        <v>501</v>
      </c>
      <c r="M22" s="1" t="s">
        <v>304</v>
      </c>
      <c r="N22" s="1" t="s">
        <v>538</v>
      </c>
      <c r="O22" s="1" t="s">
        <v>538</v>
      </c>
      <c r="P22" s="1" t="s">
        <v>539</v>
      </c>
      <c r="Q22" s="1" t="s">
        <v>540</v>
      </c>
      <c r="S22" s="1" t="s">
        <v>501</v>
      </c>
      <c r="T22" s="1" t="s">
        <v>304</v>
      </c>
      <c r="U22" s="1" t="s">
        <v>538</v>
      </c>
      <c r="V22" s="1" t="s">
        <v>538</v>
      </c>
      <c r="W22" s="1" t="s">
        <v>539</v>
      </c>
      <c r="X22" s="1" t="s">
        <v>540</v>
      </c>
      <c r="Y22" s="1" t="s">
        <v>541</v>
      </c>
      <c r="Z22" s="1" t="s">
        <v>449</v>
      </c>
      <c r="AA22" s="1" t="s">
        <v>481</v>
      </c>
      <c r="AB22" s="1" t="s">
        <v>428</v>
      </c>
      <c r="AC22" s="1" t="s">
        <v>542</v>
      </c>
      <c r="AD22" s="1" t="s">
        <v>252</v>
      </c>
      <c r="AE22" s="1" t="s">
        <v>543</v>
      </c>
      <c r="AF22" s="1" t="s">
        <v>524</v>
      </c>
      <c r="AG22" s="1" t="s">
        <v>544</v>
      </c>
      <c r="AL22" s="2" t="s">
        <v>545</v>
      </c>
      <c r="AM22" s="2" t="s">
        <v>546</v>
      </c>
      <c r="AN22" s="2" t="s">
        <v>443</v>
      </c>
      <c r="AO22" s="2" t="s">
        <v>480</v>
      </c>
      <c r="AP22" s="2" t="s">
        <v>349</v>
      </c>
      <c r="AT22" s="7" t="s">
        <v>535</v>
      </c>
      <c r="AU22" s="9" t="s">
        <v>408</v>
      </c>
      <c r="AV22" s="10" t="s">
        <v>436</v>
      </c>
      <c r="AW22" s="7" t="s">
        <v>346</v>
      </c>
      <c r="AX22" s="10" t="s">
        <v>358</v>
      </c>
      <c r="AY22" s="9" t="s">
        <v>396</v>
      </c>
    </row>
    <row r="23" spans="7:55" x14ac:dyDescent="0.5">
      <c r="G23" s="1" t="s">
        <v>315</v>
      </c>
      <c r="H23" s="1" t="s">
        <v>315</v>
      </c>
      <c r="I23" s="1" t="s">
        <v>315</v>
      </c>
      <c r="L23" s="1" t="s">
        <v>468</v>
      </c>
      <c r="M23" s="1" t="s">
        <v>461</v>
      </c>
      <c r="N23" s="1" t="s">
        <v>538</v>
      </c>
      <c r="O23" s="1" t="s">
        <v>496</v>
      </c>
      <c r="P23" s="1" t="s">
        <v>237</v>
      </c>
      <c r="Q23" s="1" t="s">
        <v>385</v>
      </c>
      <c r="S23" s="1" t="s">
        <v>468</v>
      </c>
      <c r="T23" s="1" t="s">
        <v>461</v>
      </c>
      <c r="U23" s="1" t="s">
        <v>538</v>
      </c>
      <c r="V23" s="1" t="s">
        <v>496</v>
      </c>
      <c r="W23" s="1" t="s">
        <v>237</v>
      </c>
      <c r="X23" s="1" t="s">
        <v>385</v>
      </c>
      <c r="Y23" s="1" t="s">
        <v>244</v>
      </c>
      <c r="Z23" s="1" t="s">
        <v>547</v>
      </c>
      <c r="AA23" s="1" t="s">
        <v>548</v>
      </c>
      <c r="AB23" s="1" t="s">
        <v>402</v>
      </c>
      <c r="AC23" s="1" t="s">
        <v>549</v>
      </c>
      <c r="AD23" s="1" t="s">
        <v>475</v>
      </c>
      <c r="AE23" s="1" t="s">
        <v>434</v>
      </c>
      <c r="AF23" s="1" t="s">
        <v>425</v>
      </c>
      <c r="AG23" s="1" t="s">
        <v>550</v>
      </c>
      <c r="AL23" s="2" t="s">
        <v>489</v>
      </c>
      <c r="AM23" s="2" t="s">
        <v>524</v>
      </c>
      <c r="AN23" s="2" t="s">
        <v>249</v>
      </c>
      <c r="AO23" s="2" t="s">
        <v>551</v>
      </c>
      <c r="AP23" s="2" t="s">
        <v>552</v>
      </c>
      <c r="AT23" s="8" t="s">
        <v>545</v>
      </c>
      <c r="AU23" s="9" t="s">
        <v>422</v>
      </c>
      <c r="AV23" s="10" t="s">
        <v>385</v>
      </c>
      <c r="AW23" s="9" t="s">
        <v>472</v>
      </c>
      <c r="AX23" s="9" t="s">
        <v>332</v>
      </c>
      <c r="AY23" s="9" t="s">
        <v>387</v>
      </c>
    </row>
    <row r="24" spans="7:55" x14ac:dyDescent="0.5">
      <c r="G24" s="1" t="s">
        <v>316</v>
      </c>
      <c r="H24" s="1" t="s">
        <v>316</v>
      </c>
      <c r="I24" s="1" t="s">
        <v>316</v>
      </c>
      <c r="L24" s="1" t="s">
        <v>467</v>
      </c>
      <c r="M24" s="1" t="s">
        <v>244</v>
      </c>
      <c r="N24" s="1" t="s">
        <v>239</v>
      </c>
      <c r="O24" s="1" t="s">
        <v>553</v>
      </c>
      <c r="P24" s="1" t="s">
        <v>63</v>
      </c>
      <c r="Q24" s="1" t="s">
        <v>425</v>
      </c>
      <c r="S24" s="1" t="s">
        <v>467</v>
      </c>
      <c r="T24" s="1" t="s">
        <v>244</v>
      </c>
      <c r="U24" s="1" t="s">
        <v>239</v>
      </c>
      <c r="V24" s="1" t="s">
        <v>553</v>
      </c>
      <c r="W24" s="1" t="s">
        <v>63</v>
      </c>
      <c r="X24" s="1" t="s">
        <v>425</v>
      </c>
      <c r="Y24" s="1" t="s">
        <v>389</v>
      </c>
      <c r="Z24" s="1" t="s">
        <v>298</v>
      </c>
      <c r="AA24" s="1" t="s">
        <v>554</v>
      </c>
      <c r="AB24" s="1" t="s">
        <v>522</v>
      </c>
      <c r="AC24" s="1" t="s">
        <v>483</v>
      </c>
      <c r="AD24" s="1" t="s">
        <v>555</v>
      </c>
      <c r="AE24" s="1" t="s">
        <v>555</v>
      </c>
      <c r="AF24" s="1" t="s">
        <v>556</v>
      </c>
      <c r="AG24" s="1" t="s">
        <v>456</v>
      </c>
      <c r="AL24" s="2" t="s">
        <v>514</v>
      </c>
      <c r="AM24" s="2" t="s">
        <v>556</v>
      </c>
      <c r="AN24" s="2" t="s">
        <v>557</v>
      </c>
      <c r="AO24" s="2" t="s">
        <v>558</v>
      </c>
      <c r="AP24" s="2" t="s">
        <v>63</v>
      </c>
      <c r="AT24" s="7" t="s">
        <v>489</v>
      </c>
      <c r="AU24" s="9" t="s">
        <v>238</v>
      </c>
      <c r="AV24" s="9" t="s">
        <v>425</v>
      </c>
      <c r="AW24" s="8" t="s">
        <v>434</v>
      </c>
      <c r="AX24" s="9" t="s">
        <v>458</v>
      </c>
      <c r="AY24" s="9" t="s">
        <v>559</v>
      </c>
    </row>
    <row r="25" spans="7:55" x14ac:dyDescent="0.5">
      <c r="G25" s="1" t="s">
        <v>560</v>
      </c>
      <c r="H25" s="1" t="s">
        <v>560</v>
      </c>
      <c r="I25" s="1" t="s">
        <v>560</v>
      </c>
      <c r="L25" s="1" t="s">
        <v>561</v>
      </c>
      <c r="M25" s="1" t="s">
        <v>501</v>
      </c>
      <c r="N25" s="1" t="s">
        <v>553</v>
      </c>
      <c r="O25" s="1" t="s">
        <v>551</v>
      </c>
      <c r="P25" s="1" t="s">
        <v>550</v>
      </c>
      <c r="Q25" s="1" t="s">
        <v>562</v>
      </c>
      <c r="S25" s="1" t="s">
        <v>561</v>
      </c>
      <c r="T25" s="1" t="s">
        <v>501</v>
      </c>
      <c r="U25" s="1" t="s">
        <v>553</v>
      </c>
      <c r="V25" s="1" t="s">
        <v>551</v>
      </c>
      <c r="W25" s="1" t="s">
        <v>550</v>
      </c>
      <c r="X25" s="1" t="s">
        <v>562</v>
      </c>
      <c r="Y25" s="1" t="s">
        <v>563</v>
      </c>
      <c r="Z25" s="1" t="s">
        <v>564</v>
      </c>
      <c r="AA25" s="1" t="s">
        <v>565</v>
      </c>
      <c r="AB25" s="1" t="s">
        <v>566</v>
      </c>
      <c r="AC25" s="1" t="s">
        <v>533</v>
      </c>
      <c r="AD25" s="1" t="s">
        <v>434</v>
      </c>
      <c r="AE25" s="1" t="s">
        <v>567</v>
      </c>
      <c r="AF25" s="1" t="s">
        <v>396</v>
      </c>
      <c r="AG25" s="1" t="s">
        <v>368</v>
      </c>
      <c r="AL25" s="2" t="s">
        <v>556</v>
      </c>
      <c r="AM25" s="2" t="s">
        <v>329</v>
      </c>
      <c r="AN25" s="2" t="s">
        <v>252</v>
      </c>
      <c r="AO25" s="2" t="s">
        <v>568</v>
      </c>
      <c r="AP25" s="2" t="s">
        <v>431</v>
      </c>
      <c r="AT25" s="8" t="s">
        <v>514</v>
      </c>
      <c r="AU25" s="9" t="s">
        <v>496</v>
      </c>
      <c r="AV25" s="10" t="s">
        <v>413</v>
      </c>
      <c r="AW25" s="9" t="s">
        <v>497</v>
      </c>
      <c r="AX25" s="9" t="s">
        <v>569</v>
      </c>
      <c r="AY25" s="9" t="s">
        <v>433</v>
      </c>
    </row>
    <row r="26" spans="7:55" x14ac:dyDescent="0.5">
      <c r="L26" s="1" t="s">
        <v>515</v>
      </c>
      <c r="M26" s="1" t="s">
        <v>570</v>
      </c>
      <c r="N26" s="1" t="s">
        <v>468</v>
      </c>
      <c r="O26" s="1" t="s">
        <v>571</v>
      </c>
      <c r="P26" s="1" t="s">
        <v>509</v>
      </c>
      <c r="Q26" s="1" t="s">
        <v>413</v>
      </c>
      <c r="S26" s="1" t="s">
        <v>515</v>
      </c>
      <c r="T26" s="1" t="s">
        <v>570</v>
      </c>
      <c r="U26" s="1" t="s">
        <v>468</v>
      </c>
      <c r="V26" s="1" t="s">
        <v>571</v>
      </c>
      <c r="W26" s="1" t="s">
        <v>509</v>
      </c>
      <c r="X26" s="1" t="s">
        <v>413</v>
      </c>
      <c r="Y26" s="1" t="s">
        <v>397</v>
      </c>
      <c r="Z26" s="1" t="s">
        <v>343</v>
      </c>
      <c r="AA26" s="1" t="s">
        <v>345</v>
      </c>
      <c r="AB26" s="1" t="s">
        <v>572</v>
      </c>
      <c r="AC26" s="1" t="s">
        <v>573</v>
      </c>
      <c r="AD26" s="1" t="s">
        <v>567</v>
      </c>
      <c r="AE26" s="1" t="s">
        <v>332</v>
      </c>
      <c r="AF26" s="1" t="s">
        <v>574</v>
      </c>
      <c r="AG26" s="1" t="s">
        <v>575</v>
      </c>
      <c r="AL26" s="2" t="s">
        <v>556</v>
      </c>
      <c r="AM26" s="2" t="s">
        <v>576</v>
      </c>
      <c r="AN26" s="2" t="s">
        <v>329</v>
      </c>
      <c r="AO26" s="2" t="s">
        <v>526</v>
      </c>
      <c r="AP26" s="2" t="s">
        <v>239</v>
      </c>
      <c r="AT26" s="7" t="s">
        <v>556</v>
      </c>
      <c r="AU26" s="9" t="s">
        <v>435</v>
      </c>
      <c r="AV26" s="9" t="s">
        <v>452</v>
      </c>
      <c r="AW26" s="10" t="s">
        <v>430</v>
      </c>
      <c r="AX26" s="9" t="s">
        <v>380</v>
      </c>
      <c r="AY26" s="9" t="s">
        <v>425</v>
      </c>
    </row>
    <row r="27" spans="7:55" x14ac:dyDescent="0.5">
      <c r="L27" s="1" t="s">
        <v>577</v>
      </c>
      <c r="M27" s="1" t="s">
        <v>480</v>
      </c>
      <c r="N27" s="1" t="s">
        <v>570</v>
      </c>
      <c r="O27" s="1" t="s">
        <v>558</v>
      </c>
      <c r="P27" s="1" t="s">
        <v>448</v>
      </c>
      <c r="Q27" s="1" t="s">
        <v>486</v>
      </c>
      <c r="S27" s="1" t="s">
        <v>577</v>
      </c>
      <c r="T27" s="1" t="s">
        <v>480</v>
      </c>
      <c r="U27" s="1" t="s">
        <v>570</v>
      </c>
      <c r="V27" s="1" t="s">
        <v>558</v>
      </c>
      <c r="W27" s="1" t="s">
        <v>448</v>
      </c>
      <c r="X27" s="1" t="s">
        <v>486</v>
      </c>
      <c r="Y27" s="1" t="s">
        <v>345</v>
      </c>
      <c r="Z27" s="1" t="s">
        <v>383</v>
      </c>
      <c r="AA27" s="1" t="s">
        <v>298</v>
      </c>
      <c r="AB27" s="1" t="s">
        <v>392</v>
      </c>
      <c r="AC27" s="1" t="s">
        <v>434</v>
      </c>
      <c r="AD27" s="1" t="s">
        <v>332</v>
      </c>
      <c r="AE27" s="1" t="s">
        <v>578</v>
      </c>
      <c r="AF27" s="1" t="s">
        <v>579</v>
      </c>
      <c r="AG27" s="1" t="s">
        <v>257</v>
      </c>
      <c r="AL27" s="2" t="s">
        <v>580</v>
      </c>
      <c r="AM27" s="2" t="s">
        <v>445</v>
      </c>
      <c r="AN27" s="2" t="s">
        <v>555</v>
      </c>
      <c r="AO27" s="2" t="s">
        <v>454</v>
      </c>
      <c r="AP27" s="2" t="s">
        <v>553</v>
      </c>
      <c r="AT27" s="12" t="s">
        <v>580</v>
      </c>
      <c r="AU27" s="9" t="s">
        <v>519</v>
      </c>
      <c r="AV27" s="9" t="s">
        <v>349</v>
      </c>
      <c r="AW27" s="8" t="s">
        <v>451</v>
      </c>
      <c r="AX27" s="10" t="s">
        <v>364</v>
      </c>
      <c r="AY27" s="9" t="s">
        <v>513</v>
      </c>
    </row>
    <row r="28" spans="7:55" x14ac:dyDescent="0.5">
      <c r="L28" s="1" t="s">
        <v>526</v>
      </c>
      <c r="M28" s="1" t="s">
        <v>85</v>
      </c>
      <c r="N28" s="1" t="s">
        <v>85</v>
      </c>
      <c r="O28" s="1" t="s">
        <v>467</v>
      </c>
      <c r="P28" s="1" t="s">
        <v>238</v>
      </c>
      <c r="Q28" s="1" t="s">
        <v>452</v>
      </c>
      <c r="S28" s="1" t="s">
        <v>526</v>
      </c>
      <c r="T28" s="1" t="s">
        <v>85</v>
      </c>
      <c r="U28" s="1" t="s">
        <v>85</v>
      </c>
      <c r="V28" s="1" t="s">
        <v>467</v>
      </c>
      <c r="W28" s="1" t="s">
        <v>238</v>
      </c>
      <c r="X28" s="1" t="s">
        <v>452</v>
      </c>
      <c r="Y28" s="1" t="s">
        <v>255</v>
      </c>
      <c r="Z28" s="1" t="s">
        <v>487</v>
      </c>
      <c r="AA28" s="1" t="s">
        <v>581</v>
      </c>
      <c r="AB28" s="1" t="s">
        <v>582</v>
      </c>
      <c r="AC28" s="1" t="s">
        <v>567</v>
      </c>
      <c r="AD28" s="1" t="s">
        <v>583</v>
      </c>
      <c r="AE28" s="1" t="s">
        <v>584</v>
      </c>
      <c r="AF28" s="1" t="s">
        <v>585</v>
      </c>
      <c r="AG28" s="1" t="s">
        <v>559</v>
      </c>
      <c r="AL28" s="2"/>
      <c r="AM28" s="2"/>
      <c r="AN28" s="2" t="s">
        <v>586</v>
      </c>
      <c r="AO28" s="2" t="s">
        <v>524</v>
      </c>
      <c r="AP28" s="2" t="s">
        <v>435</v>
      </c>
      <c r="AT28" s="12"/>
      <c r="AU28" s="9" t="s">
        <v>449</v>
      </c>
      <c r="AV28" s="10" t="s">
        <v>236</v>
      </c>
      <c r="AW28" s="7" t="s">
        <v>494</v>
      </c>
      <c r="AX28" s="9" t="s">
        <v>405</v>
      </c>
      <c r="AY28" s="9" t="s">
        <v>544</v>
      </c>
    </row>
    <row r="29" spans="7:55" x14ac:dyDescent="0.5">
      <c r="L29" s="1" t="s">
        <v>587</v>
      </c>
      <c r="M29" s="1" t="s">
        <v>571</v>
      </c>
      <c r="N29" s="1" t="s">
        <v>558</v>
      </c>
      <c r="O29" s="1" t="s">
        <v>510</v>
      </c>
      <c r="P29" s="1" t="s">
        <v>588</v>
      </c>
      <c r="Q29" s="1" t="s">
        <v>419</v>
      </c>
      <c r="S29" s="1" t="s">
        <v>587</v>
      </c>
      <c r="T29" s="1" t="s">
        <v>571</v>
      </c>
      <c r="U29" s="1" t="s">
        <v>558</v>
      </c>
      <c r="V29" s="1" t="s">
        <v>510</v>
      </c>
      <c r="W29" s="1" t="s">
        <v>588</v>
      </c>
      <c r="X29" s="1" t="s">
        <v>419</v>
      </c>
      <c r="Y29" s="1" t="s">
        <v>589</v>
      </c>
      <c r="Z29" s="1" t="s">
        <v>590</v>
      </c>
      <c r="AA29" s="1" t="s">
        <v>590</v>
      </c>
      <c r="AB29" s="1" t="s">
        <v>591</v>
      </c>
      <c r="AC29" s="1" t="s">
        <v>555</v>
      </c>
      <c r="AD29" s="1" t="s">
        <v>592</v>
      </c>
      <c r="AE29" s="1" t="s">
        <v>509</v>
      </c>
      <c r="AF29" s="1" t="s">
        <v>439</v>
      </c>
      <c r="AG29" s="1" t="s">
        <v>527</v>
      </c>
      <c r="AL29" s="2"/>
      <c r="AN29" s="2" t="s">
        <v>593</v>
      </c>
      <c r="AO29" s="2" t="s">
        <v>594</v>
      </c>
      <c r="AP29" s="2" t="s">
        <v>595</v>
      </c>
      <c r="AU29" s="9" t="s">
        <v>304</v>
      </c>
      <c r="AV29" s="9" t="s">
        <v>450</v>
      </c>
      <c r="AW29" s="9" t="s">
        <v>422</v>
      </c>
      <c r="AX29" s="9" t="s">
        <v>232</v>
      </c>
      <c r="AY29" s="9" t="s">
        <v>419</v>
      </c>
    </row>
    <row r="30" spans="7:55" x14ac:dyDescent="0.5">
      <c r="L30" s="1" t="s">
        <v>454</v>
      </c>
      <c r="M30" s="1" t="s">
        <v>390</v>
      </c>
      <c r="N30" s="1" t="s">
        <v>467</v>
      </c>
      <c r="O30" s="1" t="s">
        <v>249</v>
      </c>
      <c r="P30" s="1" t="s">
        <v>596</v>
      </c>
      <c r="Q30" s="1" t="s">
        <v>419</v>
      </c>
      <c r="S30" s="1" t="s">
        <v>454</v>
      </c>
      <c r="T30" s="1" t="s">
        <v>390</v>
      </c>
      <c r="U30" s="1" t="s">
        <v>467</v>
      </c>
      <c r="V30" s="1" t="s">
        <v>249</v>
      </c>
      <c r="W30" s="1" t="s">
        <v>596</v>
      </c>
      <c r="X30" s="1" t="s">
        <v>419</v>
      </c>
      <c r="Y30" s="1" t="s">
        <v>257</v>
      </c>
      <c r="Z30" s="1" t="s">
        <v>501</v>
      </c>
      <c r="AA30" s="1" t="s">
        <v>243</v>
      </c>
      <c r="AB30" s="1" t="s">
        <v>245</v>
      </c>
      <c r="AC30" s="1" t="s">
        <v>597</v>
      </c>
      <c r="AD30" s="1" t="s">
        <v>570</v>
      </c>
      <c r="AE30" s="1" t="s">
        <v>248</v>
      </c>
      <c r="AL30" s="2"/>
      <c r="AN30" s="2" t="s">
        <v>584</v>
      </c>
      <c r="AO30" s="2" t="s">
        <v>598</v>
      </c>
      <c r="AP30" s="2" t="s">
        <v>241</v>
      </c>
      <c r="AU30" s="9" t="s">
        <v>461</v>
      </c>
      <c r="AV30" s="9" t="s">
        <v>473</v>
      </c>
      <c r="AW30" s="10" t="s">
        <v>431</v>
      </c>
      <c r="AX30" s="10" t="s">
        <v>396</v>
      </c>
      <c r="AY30" s="9" t="s">
        <v>414</v>
      </c>
    </row>
    <row r="31" spans="7:55" x14ac:dyDescent="0.5">
      <c r="L31" s="1" t="s">
        <v>443</v>
      </c>
      <c r="M31" s="1" t="s">
        <v>525</v>
      </c>
      <c r="N31" s="1" t="s">
        <v>487</v>
      </c>
      <c r="O31" s="1" t="s">
        <v>524</v>
      </c>
      <c r="P31" s="1" t="s">
        <v>241</v>
      </c>
      <c r="Q31" s="1" t="s">
        <v>414</v>
      </c>
      <c r="S31" s="1" t="s">
        <v>443</v>
      </c>
      <c r="T31" s="1" t="s">
        <v>525</v>
      </c>
      <c r="U31" s="1" t="s">
        <v>487</v>
      </c>
      <c r="V31" s="1" t="s">
        <v>524</v>
      </c>
      <c r="W31" s="1" t="s">
        <v>241</v>
      </c>
      <c r="X31" s="1" t="s">
        <v>414</v>
      </c>
      <c r="Y31" s="1" t="s">
        <v>527</v>
      </c>
      <c r="Z31" s="1" t="s">
        <v>551</v>
      </c>
      <c r="AA31" s="1" t="s">
        <v>305</v>
      </c>
      <c r="AB31" s="1" t="s">
        <v>599</v>
      </c>
      <c r="AC31" s="1" t="s">
        <v>600</v>
      </c>
      <c r="AD31" s="1" t="s">
        <v>469</v>
      </c>
      <c r="AE31" s="1" t="s">
        <v>537</v>
      </c>
      <c r="AL31" s="2"/>
      <c r="AN31" s="2" t="s">
        <v>601</v>
      </c>
      <c r="AO31" s="2" t="s">
        <v>602</v>
      </c>
      <c r="AP31" s="2" t="s">
        <v>603</v>
      </c>
      <c r="AU31" s="9" t="s">
        <v>244</v>
      </c>
      <c r="AV31" s="10" t="s">
        <v>414</v>
      </c>
      <c r="AW31" s="9" t="s">
        <v>538</v>
      </c>
      <c r="AX31" s="10" t="s">
        <v>387</v>
      </c>
      <c r="AY31" s="9" t="s">
        <v>479</v>
      </c>
    </row>
    <row r="32" spans="7:55" x14ac:dyDescent="0.5">
      <c r="L32" s="1" t="s">
        <v>524</v>
      </c>
      <c r="M32" s="1" t="s">
        <v>535</v>
      </c>
      <c r="N32" s="1" t="s">
        <v>247</v>
      </c>
      <c r="O32" s="1" t="s">
        <v>598</v>
      </c>
      <c r="P32" s="1" t="s">
        <v>242</v>
      </c>
      <c r="Q32" s="1" t="s">
        <v>395</v>
      </c>
      <c r="S32" s="1" t="s">
        <v>524</v>
      </c>
      <c r="T32" s="1" t="s">
        <v>535</v>
      </c>
      <c r="U32" s="1" t="s">
        <v>247</v>
      </c>
      <c r="V32" s="1" t="s">
        <v>598</v>
      </c>
      <c r="W32" s="1" t="s">
        <v>242</v>
      </c>
      <c r="X32" s="1" t="s">
        <v>395</v>
      </c>
      <c r="Y32" s="1" t="s">
        <v>366</v>
      </c>
      <c r="Z32" s="1" t="s">
        <v>576</v>
      </c>
      <c r="AA32" s="1" t="s">
        <v>604</v>
      </c>
      <c r="AB32" s="1" t="s">
        <v>605</v>
      </c>
      <c r="AC32" s="1" t="s">
        <v>526</v>
      </c>
      <c r="AD32" s="1" t="s">
        <v>574</v>
      </c>
      <c r="AE32" s="1" t="s">
        <v>606</v>
      </c>
      <c r="AL32" s="2"/>
      <c r="AO32" s="2" t="s">
        <v>607</v>
      </c>
      <c r="AP32" s="2" t="s">
        <v>608</v>
      </c>
      <c r="AU32" s="9" t="s">
        <v>501</v>
      </c>
      <c r="AV32" s="10" t="s">
        <v>485</v>
      </c>
      <c r="AW32" s="9" t="s">
        <v>239</v>
      </c>
      <c r="AX32" s="9" t="s">
        <v>559</v>
      </c>
      <c r="AY32" s="9" t="s">
        <v>440</v>
      </c>
    </row>
    <row r="33" spans="12:51" x14ac:dyDescent="0.5">
      <c r="L33" s="1" t="s">
        <v>609</v>
      </c>
      <c r="M33" s="1" t="s">
        <v>609</v>
      </c>
      <c r="N33" s="1" t="s">
        <v>610</v>
      </c>
      <c r="O33" s="1" t="s">
        <v>514</v>
      </c>
      <c r="P33" s="1" t="s">
        <v>243</v>
      </c>
      <c r="Q33" s="1" t="s">
        <v>434</v>
      </c>
      <c r="S33" s="1" t="s">
        <v>609</v>
      </c>
      <c r="T33" s="1" t="s">
        <v>609</v>
      </c>
      <c r="U33" s="1" t="s">
        <v>610</v>
      </c>
      <c r="V33" s="1" t="s">
        <v>514</v>
      </c>
      <c r="W33" s="1" t="s">
        <v>243</v>
      </c>
      <c r="X33" s="1" t="s">
        <v>434</v>
      </c>
      <c r="Y33" s="1" t="s">
        <v>583</v>
      </c>
      <c r="Z33" s="1" t="s">
        <v>611</v>
      </c>
      <c r="AA33" s="1" t="s">
        <v>612</v>
      </c>
      <c r="AB33" s="1" t="s">
        <v>533</v>
      </c>
      <c r="AC33" s="1" t="s">
        <v>544</v>
      </c>
      <c r="AD33" s="1" t="s">
        <v>233</v>
      </c>
      <c r="AE33" s="1" t="s">
        <v>376</v>
      </c>
      <c r="AO33" s="2" t="s">
        <v>613</v>
      </c>
      <c r="AP33" s="2" t="s">
        <v>614</v>
      </c>
      <c r="AU33" s="9" t="s">
        <v>468</v>
      </c>
      <c r="AV33" s="9" t="s">
        <v>375</v>
      </c>
      <c r="AW33" s="10" t="s">
        <v>553</v>
      </c>
      <c r="AX33" s="9" t="s">
        <v>433</v>
      </c>
      <c r="AY33" s="9" t="s">
        <v>469</v>
      </c>
    </row>
    <row r="34" spans="12:51" x14ac:dyDescent="0.5">
      <c r="L34" s="1" t="s">
        <v>598</v>
      </c>
      <c r="M34" s="1" t="s">
        <v>574</v>
      </c>
      <c r="N34" s="1" t="s">
        <v>443</v>
      </c>
      <c r="O34" s="1" t="s">
        <v>556</v>
      </c>
      <c r="P34" s="1" t="s">
        <v>244</v>
      </c>
      <c r="Q34" s="1" t="s">
        <v>509</v>
      </c>
      <c r="S34" s="1" t="s">
        <v>598</v>
      </c>
      <c r="T34" s="1" t="s">
        <v>574</v>
      </c>
      <c r="U34" s="1" t="s">
        <v>443</v>
      </c>
      <c r="V34" s="1" t="s">
        <v>556</v>
      </c>
      <c r="W34" s="1" t="s">
        <v>244</v>
      </c>
      <c r="X34" s="1" t="s">
        <v>509</v>
      </c>
      <c r="Y34" s="1" t="s">
        <v>615</v>
      </c>
      <c r="Z34" s="1" t="s">
        <v>514</v>
      </c>
      <c r="AA34" s="1" t="s">
        <v>616</v>
      </c>
      <c r="AB34" s="1" t="s">
        <v>617</v>
      </c>
      <c r="AC34" s="1" t="s">
        <v>496</v>
      </c>
      <c r="AE34" s="1" t="s">
        <v>618</v>
      </c>
      <c r="AO34" s="2" t="s">
        <v>619</v>
      </c>
      <c r="AP34" s="2" t="s">
        <v>620</v>
      </c>
      <c r="AU34" s="9" t="s">
        <v>570</v>
      </c>
      <c r="AV34" s="9" t="s">
        <v>462</v>
      </c>
      <c r="AW34" s="8" t="s">
        <v>504</v>
      </c>
      <c r="AX34" s="9" t="s">
        <v>618</v>
      </c>
      <c r="AY34" s="9" t="s">
        <v>550</v>
      </c>
    </row>
    <row r="35" spans="12:51" x14ac:dyDescent="0.5">
      <c r="L35" s="1" t="s">
        <v>417</v>
      </c>
      <c r="M35" s="1" t="s">
        <v>621</v>
      </c>
      <c r="N35" s="1" t="s">
        <v>622</v>
      </c>
      <c r="O35" s="1" t="s">
        <v>619</v>
      </c>
      <c r="P35" s="1" t="s">
        <v>480</v>
      </c>
      <c r="Q35" s="1" t="s">
        <v>567</v>
      </c>
      <c r="S35" s="1" t="s">
        <v>417</v>
      </c>
      <c r="T35" s="1" t="s">
        <v>621</v>
      </c>
      <c r="U35" s="1" t="s">
        <v>622</v>
      </c>
      <c r="V35" s="1" t="s">
        <v>619</v>
      </c>
      <c r="W35" s="1" t="s">
        <v>480</v>
      </c>
      <c r="X35" s="1" t="s">
        <v>567</v>
      </c>
      <c r="Y35" s="1" t="s">
        <v>623</v>
      </c>
      <c r="Z35" s="1" t="s">
        <v>624</v>
      </c>
      <c r="AA35" s="1" t="s">
        <v>625</v>
      </c>
      <c r="AB35" s="1" t="s">
        <v>626</v>
      </c>
      <c r="AC35" s="1" t="s">
        <v>601</v>
      </c>
      <c r="AE35" s="1" t="s">
        <v>627</v>
      </c>
      <c r="AO35" s="2" t="s">
        <v>471</v>
      </c>
      <c r="AP35" s="2" t="s">
        <v>502</v>
      </c>
      <c r="AU35" s="9" t="s">
        <v>480</v>
      </c>
      <c r="AV35" s="10" t="s">
        <v>479</v>
      </c>
      <c r="AW35" s="7" t="s">
        <v>501</v>
      </c>
      <c r="AX35" s="10" t="s">
        <v>527</v>
      </c>
      <c r="AY35" s="9" t="s">
        <v>434</v>
      </c>
    </row>
    <row r="36" spans="12:51" x14ac:dyDescent="0.5">
      <c r="L36" s="1" t="s">
        <v>514</v>
      </c>
      <c r="M36" s="1" t="s">
        <v>329</v>
      </c>
      <c r="N36" s="1" t="s">
        <v>557</v>
      </c>
      <c r="O36" s="1" t="s">
        <v>628</v>
      </c>
      <c r="P36" s="1" t="s">
        <v>624</v>
      </c>
      <c r="Q36" s="1" t="s">
        <v>238</v>
      </c>
      <c r="S36" s="1" t="s">
        <v>514</v>
      </c>
      <c r="T36" s="1" t="s">
        <v>329</v>
      </c>
      <c r="U36" s="1" t="s">
        <v>557</v>
      </c>
      <c r="V36" s="1" t="s">
        <v>628</v>
      </c>
      <c r="W36" s="1" t="s">
        <v>624</v>
      </c>
      <c r="X36" s="1" t="s">
        <v>238</v>
      </c>
      <c r="Y36" s="1" t="s">
        <v>567</v>
      </c>
      <c r="Z36" s="1" t="s">
        <v>629</v>
      </c>
      <c r="AA36" s="1" t="s">
        <v>610</v>
      </c>
      <c r="AB36" s="1" t="s">
        <v>332</v>
      </c>
      <c r="AC36" s="1" t="s">
        <v>371</v>
      </c>
      <c r="AE36" s="1" t="s">
        <v>569</v>
      </c>
      <c r="AP36" s="2" t="s">
        <v>510</v>
      </c>
      <c r="AU36" s="9" t="s">
        <v>493</v>
      </c>
      <c r="AV36" s="9" t="s">
        <v>440</v>
      </c>
      <c r="AW36" s="9" t="s">
        <v>468</v>
      </c>
      <c r="AX36" s="10" t="s">
        <v>578</v>
      </c>
      <c r="AY36" s="9" t="s">
        <v>567</v>
      </c>
    </row>
    <row r="37" spans="12:51" x14ac:dyDescent="0.5">
      <c r="L37" s="1" t="s">
        <v>630</v>
      </c>
      <c r="M37" s="1" t="s">
        <v>576</v>
      </c>
      <c r="N37" s="1" t="s">
        <v>631</v>
      </c>
      <c r="P37" s="1" t="s">
        <v>85</v>
      </c>
      <c r="Q37" s="1" t="s">
        <v>431</v>
      </c>
      <c r="S37" s="1" t="s">
        <v>630</v>
      </c>
      <c r="T37" s="1" t="s">
        <v>576</v>
      </c>
      <c r="U37" s="1" t="s">
        <v>631</v>
      </c>
      <c r="W37" s="1" t="s">
        <v>85</v>
      </c>
      <c r="X37" s="1" t="s">
        <v>431</v>
      </c>
      <c r="Y37" s="1" t="s">
        <v>631</v>
      </c>
      <c r="Z37" s="1" t="s">
        <v>428</v>
      </c>
      <c r="AA37" s="1" t="s">
        <v>237</v>
      </c>
      <c r="AB37" s="1" t="s">
        <v>454</v>
      </c>
      <c r="AC37" s="1" t="s">
        <v>393</v>
      </c>
      <c r="AE37" s="1" t="s">
        <v>368</v>
      </c>
      <c r="AP37" s="2" t="s">
        <v>632</v>
      </c>
      <c r="AU37" s="9" t="s">
        <v>85</v>
      </c>
      <c r="AV37" s="9" t="s">
        <v>63</v>
      </c>
      <c r="AW37" s="10" t="s">
        <v>570</v>
      </c>
      <c r="AX37" s="10" t="s">
        <v>446</v>
      </c>
      <c r="AY37" s="9" t="s">
        <v>431</v>
      </c>
    </row>
    <row r="38" spans="12:51" x14ac:dyDescent="0.5">
      <c r="L38" s="1" t="s">
        <v>611</v>
      </c>
      <c r="M38" s="1" t="s">
        <v>555</v>
      </c>
      <c r="N38" s="1" t="s">
        <v>556</v>
      </c>
      <c r="P38" s="1" t="s">
        <v>633</v>
      </c>
      <c r="Q38" s="1" t="s">
        <v>239</v>
      </c>
      <c r="S38" s="1" t="s">
        <v>611</v>
      </c>
      <c r="T38" s="1" t="s">
        <v>555</v>
      </c>
      <c r="U38" s="1" t="s">
        <v>556</v>
      </c>
      <c r="W38" s="1" t="s">
        <v>633</v>
      </c>
      <c r="X38" s="1" t="s">
        <v>239</v>
      </c>
      <c r="Y38" s="1" t="s">
        <v>634</v>
      </c>
      <c r="Z38" s="1" t="s">
        <v>571</v>
      </c>
      <c r="AA38" s="1" t="s">
        <v>635</v>
      </c>
      <c r="AB38" s="1" t="s">
        <v>343</v>
      </c>
      <c r="AC38" s="1" t="s">
        <v>469</v>
      </c>
      <c r="AE38" s="1" t="s">
        <v>575</v>
      </c>
      <c r="AP38" s="2" t="s">
        <v>636</v>
      </c>
      <c r="AU38" s="9" t="s">
        <v>571</v>
      </c>
      <c r="AV38" s="7" t="s">
        <v>469</v>
      </c>
      <c r="AW38" s="7" t="s">
        <v>85</v>
      </c>
      <c r="AX38" s="10" t="s">
        <v>490</v>
      </c>
      <c r="AY38" s="9" t="s">
        <v>376</v>
      </c>
    </row>
    <row r="39" spans="12:51" x14ac:dyDescent="0.5">
      <c r="L39" s="1" t="s">
        <v>556</v>
      </c>
      <c r="M39" s="1" t="s">
        <v>619</v>
      </c>
      <c r="N39" s="1" t="s">
        <v>621</v>
      </c>
      <c r="P39" s="1" t="s">
        <v>637</v>
      </c>
      <c r="Q39" s="1" t="s">
        <v>239</v>
      </c>
      <c r="S39" s="1" t="s">
        <v>556</v>
      </c>
      <c r="T39" s="1" t="s">
        <v>619</v>
      </c>
      <c r="U39" s="1" t="s">
        <v>621</v>
      </c>
      <c r="W39" s="1" t="s">
        <v>637</v>
      </c>
      <c r="X39" s="1" t="s">
        <v>239</v>
      </c>
      <c r="Y39" s="1" t="s">
        <v>638</v>
      </c>
      <c r="Z39" s="1" t="s">
        <v>295</v>
      </c>
      <c r="AA39" s="1" t="s">
        <v>443</v>
      </c>
      <c r="AB39" s="1" t="s">
        <v>595</v>
      </c>
      <c r="AC39" s="1" t="s">
        <v>473</v>
      </c>
      <c r="AP39" s="2" t="s">
        <v>491</v>
      </c>
      <c r="AU39" s="9" t="s">
        <v>390</v>
      </c>
      <c r="AV39" s="8" t="s">
        <v>481</v>
      </c>
      <c r="AW39" s="10" t="s">
        <v>558</v>
      </c>
      <c r="AX39" s="10" t="s">
        <v>425</v>
      </c>
      <c r="AY39" s="9" t="s">
        <v>585</v>
      </c>
    </row>
    <row r="40" spans="12:51" x14ac:dyDescent="0.5">
      <c r="L40" s="1" t="s">
        <v>574</v>
      </c>
      <c r="M40" s="1" t="s">
        <v>445</v>
      </c>
      <c r="N40" s="1" t="s">
        <v>252</v>
      </c>
      <c r="P40" s="1" t="s">
        <v>638</v>
      </c>
      <c r="Q40" s="1" t="s">
        <v>639</v>
      </c>
      <c r="S40" s="1" t="s">
        <v>574</v>
      </c>
      <c r="T40" s="1" t="s">
        <v>445</v>
      </c>
      <c r="U40" s="1" t="s">
        <v>252</v>
      </c>
      <c r="W40" s="1" t="s">
        <v>638</v>
      </c>
      <c r="X40" s="1" t="s">
        <v>639</v>
      </c>
      <c r="Y40" s="1" t="s">
        <v>351</v>
      </c>
      <c r="Z40" s="1" t="s">
        <v>640</v>
      </c>
      <c r="AA40" s="1" t="s">
        <v>454</v>
      </c>
      <c r="AB40" s="1" t="s">
        <v>641</v>
      </c>
      <c r="AC40" s="1" t="s">
        <v>332</v>
      </c>
      <c r="AP40" s="2" t="s">
        <v>642</v>
      </c>
      <c r="AU40" s="9" t="s">
        <v>503</v>
      </c>
      <c r="AV40" s="10" t="s">
        <v>346</v>
      </c>
      <c r="AW40" s="9" t="s">
        <v>467</v>
      </c>
      <c r="AX40" s="10" t="s">
        <v>513</v>
      </c>
      <c r="AY40" s="9" t="s">
        <v>304</v>
      </c>
    </row>
    <row r="41" spans="12:51" x14ac:dyDescent="0.5">
      <c r="L41" s="1" t="s">
        <v>429</v>
      </c>
      <c r="M41" s="1" t="s">
        <v>255</v>
      </c>
      <c r="N41" s="1" t="s">
        <v>593</v>
      </c>
      <c r="P41" s="1" t="s">
        <v>487</v>
      </c>
      <c r="Q41" s="1" t="s">
        <v>643</v>
      </c>
      <c r="S41" s="1" t="s">
        <v>429</v>
      </c>
      <c r="T41" s="1" t="s">
        <v>255</v>
      </c>
      <c r="U41" s="1" t="s">
        <v>593</v>
      </c>
      <c r="W41" s="1" t="s">
        <v>487</v>
      </c>
      <c r="X41" s="1" t="s">
        <v>643</v>
      </c>
      <c r="Y41" s="1" t="s">
        <v>644</v>
      </c>
      <c r="AA41" s="1" t="s">
        <v>576</v>
      </c>
      <c r="AB41" s="1" t="s">
        <v>524</v>
      </c>
      <c r="AP41" s="2" t="s">
        <v>645</v>
      </c>
      <c r="AU41" s="9" t="s">
        <v>525</v>
      </c>
      <c r="AV41" s="9" t="s">
        <v>472</v>
      </c>
      <c r="AW41" s="10" t="s">
        <v>487</v>
      </c>
      <c r="AX41" s="9" t="s">
        <v>544</v>
      </c>
      <c r="AY41" s="9" t="s">
        <v>241</v>
      </c>
    </row>
    <row r="42" spans="12:51" x14ac:dyDescent="0.5">
      <c r="L42" s="1" t="s">
        <v>576</v>
      </c>
      <c r="M42" s="1" t="s">
        <v>402</v>
      </c>
      <c r="N42" s="1" t="s">
        <v>601</v>
      </c>
      <c r="P42" s="1" t="s">
        <v>383</v>
      </c>
      <c r="Q42" s="1" t="s">
        <v>620</v>
      </c>
      <c r="S42" s="1" t="s">
        <v>576</v>
      </c>
      <c r="T42" s="1" t="s">
        <v>402</v>
      </c>
      <c r="U42" s="1" t="s">
        <v>601</v>
      </c>
      <c r="W42" s="1" t="s">
        <v>383</v>
      </c>
      <c r="X42" s="1" t="s">
        <v>620</v>
      </c>
      <c r="Y42" s="1" t="s">
        <v>232</v>
      </c>
      <c r="AA42" s="1" t="s">
        <v>646</v>
      </c>
      <c r="AB42" s="1" t="s">
        <v>581</v>
      </c>
      <c r="AP42" s="2" t="s">
        <v>598</v>
      </c>
      <c r="AU42" s="9" t="s">
        <v>526</v>
      </c>
      <c r="AV42" s="7" t="s">
        <v>434</v>
      </c>
      <c r="AW42" s="9" t="s">
        <v>247</v>
      </c>
      <c r="AX42" s="10" t="s">
        <v>419</v>
      </c>
      <c r="AY42" s="9" t="s">
        <v>501</v>
      </c>
    </row>
    <row r="43" spans="12:51" x14ac:dyDescent="0.5">
      <c r="L43" s="1" t="s">
        <v>647</v>
      </c>
      <c r="N43" s="1" t="s">
        <v>477</v>
      </c>
      <c r="P43" s="1" t="s">
        <v>345</v>
      </c>
      <c r="Q43" s="1" t="s">
        <v>502</v>
      </c>
      <c r="S43" s="1" t="s">
        <v>647</v>
      </c>
      <c r="U43" s="1" t="s">
        <v>477</v>
      </c>
      <c r="W43" s="1" t="s">
        <v>345</v>
      </c>
      <c r="X43" s="1" t="s">
        <v>502</v>
      </c>
      <c r="Y43" s="1" t="s">
        <v>299</v>
      </c>
      <c r="AA43" s="1" t="s">
        <v>648</v>
      </c>
      <c r="AB43" s="1" t="s">
        <v>649</v>
      </c>
      <c r="AP43" s="2" t="s">
        <v>650</v>
      </c>
      <c r="AU43" s="9" t="s">
        <v>546</v>
      </c>
      <c r="AV43" s="9" t="s">
        <v>497</v>
      </c>
      <c r="AW43" s="10" t="s">
        <v>610</v>
      </c>
      <c r="AX43" s="10" t="s">
        <v>235</v>
      </c>
      <c r="AY43" s="9" t="s">
        <v>502</v>
      </c>
    </row>
    <row r="44" spans="12:51" x14ac:dyDescent="0.5">
      <c r="L44" s="1" t="s">
        <v>555</v>
      </c>
      <c r="P44" s="1" t="s">
        <v>577</v>
      </c>
      <c r="Q44" s="1" t="s">
        <v>651</v>
      </c>
      <c r="S44" s="1" t="s">
        <v>555</v>
      </c>
      <c r="W44" s="1" t="s">
        <v>577</v>
      </c>
      <c r="X44" s="1" t="s">
        <v>651</v>
      </c>
      <c r="Y44" s="1" t="s">
        <v>551</v>
      </c>
      <c r="AA44" s="1" t="s">
        <v>652</v>
      </c>
      <c r="AB44" s="1" t="s">
        <v>514</v>
      </c>
      <c r="AP44" s="2" t="s">
        <v>555</v>
      </c>
      <c r="AU44" s="9" t="s">
        <v>524</v>
      </c>
      <c r="AV44" s="10" t="s">
        <v>430</v>
      </c>
      <c r="AW44" s="9" t="s">
        <v>443</v>
      </c>
      <c r="AX44" s="10" t="s">
        <v>439</v>
      </c>
      <c r="AY44" s="9" t="s">
        <v>305</v>
      </c>
    </row>
    <row r="45" spans="12:51" x14ac:dyDescent="0.5">
      <c r="L45" s="1" t="s">
        <v>653</v>
      </c>
      <c r="P45" s="1" t="s">
        <v>587</v>
      </c>
      <c r="Q45" s="1" t="s">
        <v>651</v>
      </c>
      <c r="S45" s="1" t="s">
        <v>653</v>
      </c>
      <c r="W45" s="1" t="s">
        <v>587</v>
      </c>
      <c r="X45" s="1" t="s">
        <v>651</v>
      </c>
      <c r="Y45" s="1" t="s">
        <v>234</v>
      </c>
      <c r="AA45" s="1" t="s">
        <v>654</v>
      </c>
      <c r="AB45" s="1" t="s">
        <v>551</v>
      </c>
      <c r="AP45" s="2" t="s">
        <v>517</v>
      </c>
      <c r="AU45" s="9" t="s">
        <v>609</v>
      </c>
      <c r="AV45" s="8" t="s">
        <v>416</v>
      </c>
      <c r="AW45" s="10" t="s">
        <v>622</v>
      </c>
      <c r="AX45" s="9" t="s">
        <v>414</v>
      </c>
      <c r="AY45" s="9" t="s">
        <v>330</v>
      </c>
    </row>
    <row r="46" spans="12:51" x14ac:dyDescent="0.5">
      <c r="P46" s="1" t="s">
        <v>454</v>
      </c>
      <c r="Q46" s="1" t="s">
        <v>510</v>
      </c>
      <c r="W46" s="1" t="s">
        <v>454</v>
      </c>
      <c r="X46" s="1" t="s">
        <v>510</v>
      </c>
      <c r="Y46" s="1" t="s">
        <v>655</v>
      </c>
      <c r="AA46" s="1" t="s">
        <v>417</v>
      </c>
      <c r="AB46" s="1" t="s">
        <v>63</v>
      </c>
      <c r="AP46" s="2" t="s">
        <v>477</v>
      </c>
      <c r="AU46" s="9" t="s">
        <v>556</v>
      </c>
      <c r="AV46" s="7" t="s">
        <v>516</v>
      </c>
      <c r="AW46" s="7" t="s">
        <v>249</v>
      </c>
      <c r="AX46" s="9" t="s">
        <v>479</v>
      </c>
      <c r="AY46" s="9" t="s">
        <v>248</v>
      </c>
    </row>
    <row r="47" spans="12:51" x14ac:dyDescent="0.5">
      <c r="P47" s="1" t="s">
        <v>443</v>
      </c>
      <c r="Q47" s="1" t="s">
        <v>345</v>
      </c>
      <c r="W47" s="1" t="s">
        <v>443</v>
      </c>
      <c r="X47" s="1" t="s">
        <v>345</v>
      </c>
      <c r="Y47" s="1" t="s">
        <v>656</v>
      </c>
      <c r="AA47" s="1" t="s">
        <v>244</v>
      </c>
      <c r="AB47" s="1" t="s">
        <v>657</v>
      </c>
      <c r="AP47" s="2"/>
      <c r="AU47" s="9" t="s">
        <v>574</v>
      </c>
      <c r="AV47" s="9" t="s">
        <v>422</v>
      </c>
      <c r="AW47" s="9" t="s">
        <v>557</v>
      </c>
      <c r="AX47" s="10" t="s">
        <v>440</v>
      </c>
      <c r="AY47" s="9" t="s">
        <v>491</v>
      </c>
    </row>
    <row r="48" spans="12:51" x14ac:dyDescent="0.5">
      <c r="P48" s="1" t="s">
        <v>443</v>
      </c>
      <c r="Q48" s="1" t="s">
        <v>577</v>
      </c>
      <c r="W48" s="1" t="s">
        <v>443</v>
      </c>
      <c r="X48" s="1" t="s">
        <v>577</v>
      </c>
      <c r="Y48" s="1" t="s">
        <v>658</v>
      </c>
      <c r="AA48" s="1" t="s">
        <v>522</v>
      </c>
      <c r="AB48" s="1" t="s">
        <v>257</v>
      </c>
      <c r="AU48" s="9" t="s">
        <v>621</v>
      </c>
      <c r="AV48" s="8" t="s">
        <v>238</v>
      </c>
      <c r="AW48" s="10" t="s">
        <v>631</v>
      </c>
      <c r="AX48" s="9" t="s">
        <v>469</v>
      </c>
      <c r="AY48" s="9" t="s">
        <v>524</v>
      </c>
    </row>
    <row r="49" spans="16:51" x14ac:dyDescent="0.5">
      <c r="P49" s="1" t="s">
        <v>659</v>
      </c>
      <c r="Q49" s="1" t="s">
        <v>660</v>
      </c>
      <c r="W49" s="1" t="s">
        <v>659</v>
      </c>
      <c r="X49" s="1" t="s">
        <v>660</v>
      </c>
      <c r="Y49" s="1" t="s">
        <v>349</v>
      </c>
      <c r="AA49" s="1" t="s">
        <v>544</v>
      </c>
      <c r="AB49" s="1" t="s">
        <v>256</v>
      </c>
      <c r="AU49" s="9" t="s">
        <v>329</v>
      </c>
      <c r="AV49" s="10" t="s">
        <v>431</v>
      </c>
      <c r="AW49" s="9" t="s">
        <v>556</v>
      </c>
      <c r="AX49" s="10" t="s">
        <v>550</v>
      </c>
      <c r="AY49" s="9" t="s">
        <v>350</v>
      </c>
    </row>
    <row r="50" spans="16:51" x14ac:dyDescent="0.5">
      <c r="P50" s="1" t="s">
        <v>249</v>
      </c>
      <c r="Q50" s="1" t="s">
        <v>546</v>
      </c>
      <c r="W50" s="1" t="s">
        <v>249</v>
      </c>
      <c r="X50" s="1" t="s">
        <v>546</v>
      </c>
      <c r="Y50" s="1" t="s">
        <v>473</v>
      </c>
      <c r="AA50" s="1" t="s">
        <v>333</v>
      </c>
      <c r="AB50" s="1" t="s">
        <v>576</v>
      </c>
      <c r="AU50" s="9" t="s">
        <v>576</v>
      </c>
      <c r="AV50" s="9" t="s">
        <v>538</v>
      </c>
      <c r="AW50" s="10" t="s">
        <v>621</v>
      </c>
      <c r="AX50" s="10" t="s">
        <v>434</v>
      </c>
      <c r="AY50" s="9" t="s">
        <v>406</v>
      </c>
    </row>
    <row r="51" spans="16:51" x14ac:dyDescent="0.5">
      <c r="P51" s="1" t="s">
        <v>661</v>
      </c>
      <c r="Q51" s="1" t="s">
        <v>662</v>
      </c>
      <c r="W51" s="1" t="s">
        <v>661</v>
      </c>
      <c r="X51" s="1" t="s">
        <v>662</v>
      </c>
      <c r="Y51" s="1" t="s">
        <v>663</v>
      </c>
      <c r="AA51" s="1" t="s">
        <v>550</v>
      </c>
      <c r="AB51" s="1" t="s">
        <v>598</v>
      </c>
      <c r="AU51" s="9" t="s">
        <v>555</v>
      </c>
      <c r="AV51" s="9" t="s">
        <v>239</v>
      </c>
      <c r="AW51" s="9" t="s">
        <v>252</v>
      </c>
      <c r="AX51" s="10" t="s">
        <v>509</v>
      </c>
      <c r="AY51" s="9" t="s">
        <v>606</v>
      </c>
    </row>
    <row r="52" spans="16:51" x14ac:dyDescent="0.5">
      <c r="P52" s="1" t="s">
        <v>629</v>
      </c>
      <c r="Q52" s="1" t="s">
        <v>650</v>
      </c>
      <c r="W52" s="1" t="s">
        <v>629</v>
      </c>
      <c r="X52" s="1" t="s">
        <v>650</v>
      </c>
      <c r="Y52" s="1" t="s">
        <v>598</v>
      </c>
      <c r="AA52" s="1" t="s">
        <v>85</v>
      </c>
      <c r="AB52" s="1" t="s">
        <v>664</v>
      </c>
      <c r="AU52" s="9" t="s">
        <v>619</v>
      </c>
      <c r="AV52" s="7" t="s">
        <v>496</v>
      </c>
      <c r="AW52" s="8" t="s">
        <v>329</v>
      </c>
      <c r="AX52" s="9" t="s">
        <v>456</v>
      </c>
      <c r="AY52" s="9" t="s">
        <v>627</v>
      </c>
    </row>
    <row r="53" spans="16:51" x14ac:dyDescent="0.5">
      <c r="P53" s="1" t="s">
        <v>546</v>
      </c>
      <c r="Q53" s="1" t="s">
        <v>548</v>
      </c>
      <c r="W53" s="1" t="s">
        <v>546</v>
      </c>
      <c r="X53" s="1" t="s">
        <v>548</v>
      </c>
      <c r="AA53" s="1" t="s">
        <v>665</v>
      </c>
      <c r="AB53" s="1" t="s">
        <v>666</v>
      </c>
      <c r="AU53" s="9" t="s">
        <v>445</v>
      </c>
      <c r="AV53" s="9" t="s">
        <v>553</v>
      </c>
      <c r="AW53" s="7" t="s">
        <v>555</v>
      </c>
      <c r="AX53" s="10" t="s">
        <v>567</v>
      </c>
      <c r="AY53" s="9" t="s">
        <v>514</v>
      </c>
    </row>
    <row r="54" spans="16:51" x14ac:dyDescent="0.5">
      <c r="P54" s="1" t="s">
        <v>563</v>
      </c>
      <c r="Q54" s="1" t="s">
        <v>252</v>
      </c>
      <c r="W54" s="1" t="s">
        <v>563</v>
      </c>
      <c r="X54" s="1" t="s">
        <v>252</v>
      </c>
      <c r="AA54" s="1" t="s">
        <v>667</v>
      </c>
      <c r="AB54" s="1" t="s">
        <v>252</v>
      </c>
      <c r="AU54" s="9" t="s">
        <v>255</v>
      </c>
      <c r="AV54" s="9" t="s">
        <v>468</v>
      </c>
      <c r="AW54" s="8" t="s">
        <v>586</v>
      </c>
      <c r="AX54" s="9" t="s">
        <v>431</v>
      </c>
      <c r="AY54" s="9" t="s">
        <v>556</v>
      </c>
    </row>
    <row r="55" spans="16:51" x14ac:dyDescent="0.5">
      <c r="P55" s="1" t="s">
        <v>251</v>
      </c>
      <c r="Q55" s="1" t="s">
        <v>521</v>
      </c>
      <c r="W55" s="1" t="s">
        <v>251</v>
      </c>
      <c r="X55" s="1" t="s">
        <v>521</v>
      </c>
      <c r="AA55" s="1" t="s">
        <v>557</v>
      </c>
      <c r="AB55" s="1" t="s">
        <v>668</v>
      </c>
      <c r="AU55" s="9" t="s">
        <v>402</v>
      </c>
      <c r="AV55" s="10" t="s">
        <v>570</v>
      </c>
      <c r="AW55" s="10" t="s">
        <v>593</v>
      </c>
      <c r="AX55" s="10" t="s">
        <v>376</v>
      </c>
      <c r="AY55" s="9" t="s">
        <v>329</v>
      </c>
    </row>
    <row r="56" spans="16:51" x14ac:dyDescent="0.5">
      <c r="P56" s="1" t="s">
        <v>406</v>
      </c>
      <c r="Q56" s="1" t="s">
        <v>576</v>
      </c>
      <c r="W56" s="1" t="s">
        <v>406</v>
      </c>
      <c r="X56" s="1" t="s">
        <v>576</v>
      </c>
      <c r="AA56" s="1" t="s">
        <v>669</v>
      </c>
      <c r="AB56" s="1" t="s">
        <v>601</v>
      </c>
      <c r="AU56" s="11"/>
      <c r="AV56" s="8" t="s">
        <v>480</v>
      </c>
      <c r="AW56" s="8" t="s">
        <v>584</v>
      </c>
      <c r="AX56" s="9" t="s">
        <v>585</v>
      </c>
      <c r="AY56" s="9" t="s">
        <v>555</v>
      </c>
    </row>
    <row r="57" spans="16:51" x14ac:dyDescent="0.5">
      <c r="P57" s="1" t="s">
        <v>670</v>
      </c>
      <c r="Q57" s="1" t="s">
        <v>555</v>
      </c>
      <c r="W57" s="1" t="s">
        <v>670</v>
      </c>
      <c r="X57" s="1" t="s">
        <v>555</v>
      </c>
      <c r="AA57" s="1" t="s">
        <v>518</v>
      </c>
      <c r="AB57" s="1" t="s">
        <v>430</v>
      </c>
      <c r="AV57" s="10" t="s">
        <v>551</v>
      </c>
      <c r="AW57" s="9" t="s">
        <v>601</v>
      </c>
      <c r="AX57" s="9" t="s">
        <v>304</v>
      </c>
      <c r="AY57" s="9" t="s">
        <v>500</v>
      </c>
    </row>
    <row r="58" spans="16:51" x14ac:dyDescent="0.5">
      <c r="P58" s="1" t="s">
        <v>252</v>
      </c>
      <c r="Q58" s="1" t="s">
        <v>253</v>
      </c>
      <c r="W58" s="1" t="s">
        <v>252</v>
      </c>
      <c r="X58" s="1" t="s">
        <v>253</v>
      </c>
      <c r="AA58" s="1" t="s">
        <v>671</v>
      </c>
      <c r="AB58" s="1" t="s">
        <v>672</v>
      </c>
      <c r="AV58" s="9" t="s">
        <v>85</v>
      </c>
      <c r="AW58" s="7"/>
      <c r="AX58" s="9" t="s">
        <v>379</v>
      </c>
      <c r="AY58" s="9" t="s">
        <v>584</v>
      </c>
    </row>
    <row r="59" spans="16:51" x14ac:dyDescent="0.5">
      <c r="P59" s="1" t="s">
        <v>521</v>
      </c>
      <c r="Q59" s="1" t="s">
        <v>673</v>
      </c>
      <c r="W59" s="1" t="s">
        <v>521</v>
      </c>
      <c r="X59" s="1" t="s">
        <v>673</v>
      </c>
      <c r="AA59" s="1" t="s">
        <v>674</v>
      </c>
      <c r="AB59" s="1" t="s">
        <v>675</v>
      </c>
      <c r="AU59" s="2"/>
      <c r="AV59" s="9" t="s">
        <v>571</v>
      </c>
      <c r="AW59" s="7"/>
      <c r="AX59" s="9" t="s">
        <v>241</v>
      </c>
      <c r="AY59" s="9" t="s">
        <v>477</v>
      </c>
    </row>
    <row r="60" spans="16:51" x14ac:dyDescent="0.5">
      <c r="P60" s="1" t="s">
        <v>663</v>
      </c>
      <c r="Q60" s="1" t="s">
        <v>447</v>
      </c>
      <c r="W60" s="1" t="s">
        <v>663</v>
      </c>
      <c r="X60" s="1" t="s">
        <v>447</v>
      </c>
      <c r="AA60" s="1" t="s">
        <v>676</v>
      </c>
      <c r="AB60" s="1" t="s">
        <v>677</v>
      </c>
      <c r="AV60" s="10" t="s">
        <v>558</v>
      </c>
      <c r="AW60" s="7"/>
      <c r="AX60" s="9" t="s">
        <v>501</v>
      </c>
      <c r="AY60" s="9"/>
    </row>
    <row r="61" spans="16:51" x14ac:dyDescent="0.5">
      <c r="P61" s="1" t="s">
        <v>471</v>
      </c>
      <c r="Q61" s="1" t="s">
        <v>420</v>
      </c>
      <c r="W61" s="1" t="s">
        <v>471</v>
      </c>
      <c r="X61" s="1" t="s">
        <v>420</v>
      </c>
      <c r="AA61" s="1" t="s">
        <v>304</v>
      </c>
      <c r="AB61" s="1" t="s">
        <v>678</v>
      </c>
      <c r="AV61" s="9" t="s">
        <v>467</v>
      </c>
      <c r="AW61" s="7"/>
      <c r="AX61" s="9" t="s">
        <v>502</v>
      </c>
      <c r="AY61" s="9"/>
    </row>
    <row r="62" spans="16:51" x14ac:dyDescent="0.5">
      <c r="P62" s="1" t="s">
        <v>628</v>
      </c>
      <c r="Q62" s="1" t="s">
        <v>584</v>
      </c>
      <c r="W62" s="1" t="s">
        <v>628</v>
      </c>
      <c r="X62" s="1" t="s">
        <v>584</v>
      </c>
      <c r="AA62" s="1" t="s">
        <v>251</v>
      </c>
      <c r="AB62" s="1" t="s">
        <v>679</v>
      </c>
      <c r="AV62" s="10" t="s">
        <v>487</v>
      </c>
      <c r="AW62" s="7"/>
      <c r="AX62" s="9" t="s">
        <v>305</v>
      </c>
      <c r="AY62" s="9"/>
    </row>
    <row r="63" spans="16:51" x14ac:dyDescent="0.5">
      <c r="P63" s="1" t="s">
        <v>482</v>
      </c>
      <c r="Q63" s="1" t="s">
        <v>256</v>
      </c>
      <c r="W63" s="1" t="s">
        <v>482</v>
      </c>
      <c r="X63" s="1" t="s">
        <v>256</v>
      </c>
      <c r="AA63" s="1" t="s">
        <v>680</v>
      </c>
      <c r="AU63" s="2"/>
      <c r="AV63" s="10" t="s">
        <v>510</v>
      </c>
      <c r="AW63" s="7"/>
      <c r="AX63" s="10" t="s">
        <v>330</v>
      </c>
      <c r="AY63" s="9"/>
    </row>
    <row r="64" spans="16:51" x14ac:dyDescent="0.5">
      <c r="P64" s="1" t="s">
        <v>90</v>
      </c>
      <c r="Q64" s="1" t="s">
        <v>477</v>
      </c>
      <c r="X64" s="1" t="s">
        <v>477</v>
      </c>
      <c r="AA64" s="1" t="s">
        <v>609</v>
      </c>
      <c r="AV64" s="9" t="s">
        <v>247</v>
      </c>
      <c r="AW64" s="7"/>
      <c r="AX64" s="9" t="s">
        <v>248</v>
      </c>
      <c r="AY64" s="9"/>
    </row>
    <row r="65" spans="17:51" x14ac:dyDescent="0.5">
      <c r="Q65" s="1" t="s">
        <v>257</v>
      </c>
      <c r="X65" s="1" t="s">
        <v>257</v>
      </c>
      <c r="AA65" s="1" t="s">
        <v>655</v>
      </c>
      <c r="AV65" s="7" t="s">
        <v>568</v>
      </c>
      <c r="AW65" s="7"/>
      <c r="AX65" s="10" t="s">
        <v>491</v>
      </c>
      <c r="AY65" s="9"/>
    </row>
    <row r="66" spans="17:51" x14ac:dyDescent="0.5">
      <c r="Q66" s="1" t="s">
        <v>681</v>
      </c>
      <c r="X66" s="1" t="s">
        <v>681</v>
      </c>
      <c r="AA66" s="1" t="s">
        <v>682</v>
      </c>
      <c r="AV66" s="8" t="s">
        <v>526</v>
      </c>
      <c r="AW66" s="7"/>
      <c r="AX66" s="9" t="s">
        <v>524</v>
      </c>
      <c r="AY66" s="9"/>
    </row>
    <row r="67" spans="17:51" x14ac:dyDescent="0.5">
      <c r="AA67" s="1" t="s">
        <v>683</v>
      </c>
      <c r="AV67" s="10" t="s">
        <v>610</v>
      </c>
      <c r="AW67" s="7"/>
      <c r="AX67" s="9" t="s">
        <v>543</v>
      </c>
      <c r="AY67" s="9"/>
    </row>
    <row r="68" spans="17:51" x14ac:dyDescent="0.5">
      <c r="AA68" s="1" t="s">
        <v>604</v>
      </c>
      <c r="AV68" s="7" t="s">
        <v>454</v>
      </c>
      <c r="AW68" s="7"/>
      <c r="AX68" s="9" t="s">
        <v>350</v>
      </c>
      <c r="AY68" s="9"/>
    </row>
    <row r="69" spans="17:51" x14ac:dyDescent="0.5">
      <c r="AV69" s="9" t="s">
        <v>443</v>
      </c>
      <c r="AW69" s="7"/>
      <c r="AX69" s="9" t="s">
        <v>406</v>
      </c>
      <c r="AY69" s="9"/>
    </row>
    <row r="70" spans="17:51" x14ac:dyDescent="0.5">
      <c r="AV70" s="10" t="s">
        <v>622</v>
      </c>
      <c r="AW70" s="12"/>
      <c r="AX70" s="9" t="s">
        <v>606</v>
      </c>
      <c r="AY70" s="9"/>
    </row>
    <row r="71" spans="17:51" x14ac:dyDescent="0.5">
      <c r="AV71" s="9" t="s">
        <v>249</v>
      </c>
      <c r="AX71" s="9" t="s">
        <v>432</v>
      </c>
      <c r="AY71" s="9"/>
    </row>
    <row r="72" spans="17:51" x14ac:dyDescent="0.5">
      <c r="AV72" s="9" t="s">
        <v>557</v>
      </c>
      <c r="AX72" s="10" t="s">
        <v>627</v>
      </c>
      <c r="AY72" s="9"/>
    </row>
    <row r="73" spans="17:51" x14ac:dyDescent="0.5">
      <c r="AV73" s="10" t="s">
        <v>524</v>
      </c>
      <c r="AX73" s="9" t="s">
        <v>378</v>
      </c>
      <c r="AY73" s="9"/>
    </row>
    <row r="74" spans="17:51" x14ac:dyDescent="0.5">
      <c r="AV74" s="7" t="s">
        <v>594</v>
      </c>
      <c r="AX74" s="10" t="s">
        <v>514</v>
      </c>
      <c r="AY74" s="9"/>
    </row>
    <row r="75" spans="17:51" x14ac:dyDescent="0.5">
      <c r="AV75" s="8" t="s">
        <v>598</v>
      </c>
      <c r="AX75" s="9" t="s">
        <v>556</v>
      </c>
      <c r="AY75" s="9"/>
    </row>
    <row r="76" spans="17:51" x14ac:dyDescent="0.5">
      <c r="AV76" s="7" t="s">
        <v>602</v>
      </c>
      <c r="AX76" s="9" t="s">
        <v>574</v>
      </c>
      <c r="AY76" s="9"/>
    </row>
    <row r="77" spans="17:51" x14ac:dyDescent="0.5">
      <c r="AV77" s="10" t="s">
        <v>631</v>
      </c>
      <c r="AX77" s="10" t="s">
        <v>329</v>
      </c>
      <c r="AY77" s="9"/>
    </row>
    <row r="78" spans="17:51" x14ac:dyDescent="0.5">
      <c r="AV78" s="10" t="s">
        <v>514</v>
      </c>
      <c r="AX78" s="10" t="s">
        <v>579</v>
      </c>
      <c r="AY78" s="9"/>
    </row>
    <row r="79" spans="17:51" x14ac:dyDescent="0.5">
      <c r="AV79" s="9" t="s">
        <v>556</v>
      </c>
      <c r="AX79" s="9" t="s">
        <v>555</v>
      </c>
      <c r="AY79" s="9"/>
    </row>
    <row r="80" spans="17:51" x14ac:dyDescent="0.5">
      <c r="AV80" s="8" t="s">
        <v>607</v>
      </c>
      <c r="AX80" s="9" t="s">
        <v>500</v>
      </c>
      <c r="AY80" s="9"/>
    </row>
    <row r="81" spans="48:51" x14ac:dyDescent="0.5">
      <c r="AV81" s="10" t="s">
        <v>621</v>
      </c>
      <c r="AX81" s="10" t="s">
        <v>533</v>
      </c>
      <c r="AY81" s="10"/>
    </row>
    <row r="82" spans="48:51" x14ac:dyDescent="0.5">
      <c r="AV82" s="7" t="s">
        <v>613</v>
      </c>
      <c r="AX82" s="9" t="s">
        <v>575</v>
      </c>
      <c r="AY82" s="9"/>
    </row>
    <row r="83" spans="48:51" x14ac:dyDescent="0.5">
      <c r="AV83" s="9" t="s">
        <v>252</v>
      </c>
      <c r="AX83" s="10" t="s">
        <v>447</v>
      </c>
      <c r="AY83" s="10"/>
    </row>
    <row r="84" spans="48:51" x14ac:dyDescent="0.5">
      <c r="AV84" s="10" t="s">
        <v>619</v>
      </c>
      <c r="AX84" s="10" t="s">
        <v>420</v>
      </c>
      <c r="AY84" s="9"/>
    </row>
    <row r="85" spans="48:51" x14ac:dyDescent="0.5">
      <c r="AV85" s="7" t="s">
        <v>471</v>
      </c>
      <c r="AX85" s="9" t="s">
        <v>584</v>
      </c>
      <c r="AY85" s="9"/>
    </row>
    <row r="86" spans="48:51" x14ac:dyDescent="0.5">
      <c r="AV86" s="9" t="s">
        <v>628</v>
      </c>
      <c r="AX86" s="13" t="s">
        <v>477</v>
      </c>
      <c r="AY86" s="9"/>
    </row>
    <row r="87" spans="48:51" x14ac:dyDescent="0.5">
      <c r="AV87" s="10" t="s">
        <v>593</v>
      </c>
      <c r="AX87" s="10" t="s">
        <v>257</v>
      </c>
      <c r="AY87" s="13"/>
    </row>
    <row r="88" spans="48:51" x14ac:dyDescent="0.5">
      <c r="AV88" s="9" t="s">
        <v>601</v>
      </c>
      <c r="AX88" s="10"/>
    </row>
    <row r="89" spans="48:51" x14ac:dyDescent="0.5">
      <c r="AV89" s="10"/>
      <c r="AX89" s="10"/>
    </row>
    <row r="90" spans="48:51" x14ac:dyDescent="0.5">
      <c r="AV90" s="10"/>
      <c r="AX90" s="10"/>
    </row>
    <row r="91" spans="48:51" x14ac:dyDescent="0.5">
      <c r="AV91" s="9"/>
      <c r="AX91" s="10"/>
    </row>
    <row r="92" spans="48:51" x14ac:dyDescent="0.5">
      <c r="AV92" s="10"/>
      <c r="AX92" s="13"/>
    </row>
    <row r="93" spans="48:51" x14ac:dyDescent="0.5">
      <c r="AV93" s="10"/>
    </row>
    <row r="94" spans="48:51" x14ac:dyDescent="0.5">
      <c r="AV94" s="10"/>
    </row>
    <row r="95" spans="48:51" x14ac:dyDescent="0.5">
      <c r="AV95" s="10"/>
    </row>
    <row r="96" spans="48:51" x14ac:dyDescent="0.5">
      <c r="AV96" s="10"/>
    </row>
    <row r="97" spans="48:48" x14ac:dyDescent="0.5">
      <c r="AV97" s="9"/>
    </row>
    <row r="98" spans="48:48" x14ac:dyDescent="0.5">
      <c r="AV98" s="10"/>
    </row>
    <row r="99" spans="48:48" x14ac:dyDescent="0.5">
      <c r="AV99" s="10"/>
    </row>
    <row r="100" spans="48:48" x14ac:dyDescent="0.5">
      <c r="AV100" s="10"/>
    </row>
    <row r="101" spans="48:48" x14ac:dyDescent="0.5">
      <c r="AV101" s="10"/>
    </row>
    <row r="102" spans="48:48" x14ac:dyDescent="0.5">
      <c r="AV102" s="10"/>
    </row>
    <row r="103" spans="48:48" x14ac:dyDescent="0.5">
      <c r="AV103" s="8"/>
    </row>
    <row r="104" spans="48:48" x14ac:dyDescent="0.5">
      <c r="AV104" s="10"/>
    </row>
    <row r="105" spans="48:48" x14ac:dyDescent="0.5">
      <c r="AV105" s="10"/>
    </row>
    <row r="106" spans="48:48" x14ac:dyDescent="0.5">
      <c r="AV106" s="10"/>
    </row>
    <row r="107" spans="48:48" x14ac:dyDescent="0.5">
      <c r="AV107" s="10"/>
    </row>
    <row r="108" spans="48:48" x14ac:dyDescent="0.5">
      <c r="AV108" s="13"/>
    </row>
  </sheetData>
  <sortState xmlns:xlrd2="http://schemas.microsoft.com/office/spreadsheetml/2017/richdata2" ref="AU6:AU66">
    <sortCondition ref="AU5:AU66"/>
  </sortState>
  <mergeCells count="10">
    <mergeCell ref="AL3:AN3"/>
    <mergeCell ref="AO3:AQ3"/>
    <mergeCell ref="AT1:AY1"/>
    <mergeCell ref="S1:AG1"/>
    <mergeCell ref="AL1:AQ1"/>
    <mergeCell ref="L2:Q2"/>
    <mergeCell ref="S2:X2"/>
    <mergeCell ref="Y2:AB2"/>
    <mergeCell ref="AC2:AG2"/>
    <mergeCell ref="AL2:AQ2"/>
  </mergeCells>
  <pageMargins left="0.7" right="0.7" top="0.75" bottom="0.75" header="0.3" footer="0.3"/>
  <legacyDrawing r:id="rId1"/>
  <tableParts count="4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7</vt:i4>
      </vt:variant>
      <vt:variant>
        <vt:lpstr>Rangos con nombre</vt:lpstr>
      </vt:variant>
      <vt:variant>
        <vt:i4>67</vt:i4>
      </vt:variant>
    </vt:vector>
  </HeadingPairs>
  <TitlesOfParts>
    <vt:vector size="74" baseType="lpstr">
      <vt:lpstr>Paso1 Analisis perfil egreso</vt:lpstr>
      <vt:lpstr>Paso 2 Redacción competen</vt:lpstr>
      <vt:lpstr>Paso 3 Redacción RA </vt:lpstr>
      <vt:lpstr>Paso 4 Estrategias mesocurricu</vt:lpstr>
      <vt:lpstr>Paso 5 Estrategias micro</vt:lpstr>
      <vt:lpstr>Taxonomía para competencias</vt:lpstr>
      <vt:lpstr>Taxonomias para RA</vt:lpstr>
      <vt:lpstr>actitudinalB</vt:lpstr>
      <vt:lpstr>ActitudinalBAK</vt:lpstr>
      <vt:lpstr>AK</vt:lpstr>
      <vt:lpstr>AnálisisAK</vt:lpstr>
      <vt:lpstr>AnálisisB</vt:lpstr>
      <vt:lpstr>AnálisisBAK</vt:lpstr>
      <vt:lpstr>AnalizarLK</vt:lpstr>
      <vt:lpstr>AplicaciónB</vt:lpstr>
      <vt:lpstr>AplicaciónBAK</vt:lpstr>
      <vt:lpstr>AplicarLK</vt:lpstr>
      <vt:lpstr>áreasprofesionales</vt:lpstr>
      <vt:lpstr>BAK</vt:lpstr>
      <vt:lpstr>Bloom</vt:lpstr>
      <vt:lpstr>CaracterizarBAK</vt:lpstr>
      <vt:lpstr>Cognitivo</vt:lpstr>
      <vt:lpstr>cognitivoB</vt:lpstr>
      <vt:lpstr>CognitivoBAK</vt:lpstr>
      <vt:lpstr>ComprenderLK</vt:lpstr>
      <vt:lpstr>ComprensiónAK</vt:lpstr>
      <vt:lpstr>ComprensionB</vt:lpstr>
      <vt:lpstr>ComprensiónB</vt:lpstr>
      <vt:lpstr>ComprensiónBAK</vt:lpstr>
      <vt:lpstr>ConceptosLK</vt:lpstr>
      <vt:lpstr>ConocimientoB</vt:lpstr>
      <vt:lpstr>ConocimientoBAK</vt:lpstr>
      <vt:lpstr>Conocimientos</vt:lpstr>
      <vt:lpstr>ControlBAK</vt:lpstr>
      <vt:lpstr>CrearLK</vt:lpstr>
      <vt:lpstr>dominios</vt:lpstr>
      <vt:lpstr>EvaluaciónB</vt:lpstr>
      <vt:lpstr>EvaluaciónBAK</vt:lpstr>
      <vt:lpstr>EvaluarLK</vt:lpstr>
      <vt:lpstr>HechosLK</vt:lpstr>
      <vt:lpstr>ImitaciónBAK</vt:lpstr>
      <vt:lpstr>InformaciónAK</vt:lpstr>
      <vt:lpstr>LK</vt:lpstr>
      <vt:lpstr>ManipulaciónBAK</vt:lpstr>
      <vt:lpstr>MetacogniciónAK</vt:lpstr>
      <vt:lpstr>MetacogniciónLK</vt:lpstr>
      <vt:lpstr>MetocogniciónAK</vt:lpstr>
      <vt:lpstr>ocupacional</vt:lpstr>
      <vt:lpstr>OrganizarBAK</vt:lpstr>
      <vt:lpstr>PercepciónBAK</vt:lpstr>
      <vt:lpstr>poblacionactuacion</vt:lpstr>
      <vt:lpstr>poblaciones</vt:lpstr>
      <vt:lpstr>poblacionesactuación</vt:lpstr>
      <vt:lpstr>PrecisiónBAK</vt:lpstr>
      <vt:lpstr>procedimentalB</vt:lpstr>
      <vt:lpstr>ProcedimentalBAK</vt:lpstr>
      <vt:lpstr>ProcedimientosLK</vt:lpstr>
      <vt:lpstr>ProcesosAK</vt:lpstr>
      <vt:lpstr>PsicomotorAK</vt:lpstr>
      <vt:lpstr>RecordarLK</vt:lpstr>
      <vt:lpstr>RecuperaciónAK</vt:lpstr>
      <vt:lpstr>ResponderBAK</vt:lpstr>
      <vt:lpstr>resultadoaprendizaje</vt:lpstr>
      <vt:lpstr>Saberhacer</vt:lpstr>
      <vt:lpstr>saberser</vt:lpstr>
      <vt:lpstr>SíntesisB</vt:lpstr>
      <vt:lpstr>SíntesisBAK</vt:lpstr>
      <vt:lpstr>tareas</vt:lpstr>
      <vt:lpstr>tareasprofesionales</vt:lpstr>
      <vt:lpstr>taxonomiasra</vt:lpstr>
      <vt:lpstr>UsoConocimientoAK</vt:lpstr>
      <vt:lpstr>Valoragregado</vt:lpstr>
      <vt:lpstr>ValorarBAK</vt:lpstr>
      <vt:lpstr>Verboscompetencias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Diana Shirley Velasquez Rojas</dc:creator>
  <cp:keywords/>
  <dc:description/>
  <cp:lastModifiedBy>Ximena Silva</cp:lastModifiedBy>
  <cp:revision/>
  <dcterms:created xsi:type="dcterms:W3CDTF">2021-03-03T13:22:18Z</dcterms:created>
  <dcterms:modified xsi:type="dcterms:W3CDTF">2026-05-13T04:17:02Z</dcterms:modified>
  <cp:category/>
  <cp:contentStatus/>
</cp:coreProperties>
</file>