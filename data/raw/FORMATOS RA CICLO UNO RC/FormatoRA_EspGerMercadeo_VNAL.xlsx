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FORMATOS RA CICLO UNO RC/"/>
    </mc:Choice>
  </mc:AlternateContent>
  <xr:revisionPtr revIDLastSave="4" documentId="13_ncr:1_{4A644C99-43BB-4A2D-A390-707205923635}" xr6:coauthVersionLast="47" xr6:coauthVersionMax="47" xr10:uidLastSave="{ADEAC43E-9562-4837-839F-5A2EDD015267}"/>
  <bookViews>
    <workbookView xWindow="-108" yWindow="-108" windowWidth="23256" windowHeight="12456" firstSheet="3"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4" hidden="1">'Paso 5 Estrategias micro'!$B$1:$Q$30</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egreso'!$E$3:$E$16</definedName>
    <definedName name="CognitivoAK">'Taxonomias para RA'!$AL$4:$AQ$4</definedName>
    <definedName name="cognitivoB">Tabla5583[CognitivoB]</definedName>
    <definedName name="CognitivoBAK">'Taxonomias para RA'!$S$3:$X$3</definedName>
    <definedName name="competencias">'Paso 2 Redacción competen'!$F$4:$F$8</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egreso'!$E$3:$E$16</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hacer">'Paso1 Analisis perfil egreso'!$F$3:$F$15</definedName>
    <definedName name="saberser">'Paso1 Analisis perfil egreso'!$G$3:$G$15</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7" l="1"/>
  <c r="I32" i="7"/>
  <c r="K11" i="7" l="1"/>
  <c r="J11" i="7"/>
  <c r="D31" i="7"/>
  <c r="I31" i="7" l="1"/>
  <c r="K3" i="7" l="1"/>
  <c r="J3" i="7"/>
  <c r="L3" i="7" s="1"/>
  <c r="A30" i="7"/>
  <c r="A29" i="7"/>
  <c r="A28" i="7"/>
  <c r="K28" i="7"/>
  <c r="J28" i="7"/>
  <c r="L28" i="7" s="1"/>
  <c r="A23" i="7"/>
  <c r="A17" i="7"/>
  <c r="A4" i="7"/>
  <c r="A9" i="7"/>
  <c r="A5" i="7"/>
  <c r="A6" i="7"/>
  <c r="A7" i="7"/>
  <c r="A8" i="7"/>
  <c r="A10" i="7"/>
  <c r="A11" i="7"/>
  <c r="A12" i="7"/>
  <c r="A13" i="7"/>
  <c r="A14" i="7"/>
  <c r="A15" i="7"/>
  <c r="A16" i="7"/>
  <c r="A18" i="7"/>
  <c r="A19" i="7"/>
  <c r="A20" i="7"/>
  <c r="A21" i="7"/>
  <c r="A22" i="7"/>
  <c r="A24" i="7"/>
  <c r="A25" i="7"/>
  <c r="A26" i="7"/>
  <c r="A27" i="7"/>
  <c r="A3" i="7"/>
  <c r="J25" i="7" l="1"/>
  <c r="K25" i="7"/>
  <c r="J22" i="7"/>
  <c r="K22" i="7"/>
  <c r="J19" i="7"/>
  <c r="K19" i="7"/>
  <c r="J16" i="7"/>
  <c r="K16" i="7"/>
  <c r="J13" i="7"/>
  <c r="K13" i="7"/>
  <c r="J8" i="7"/>
  <c r="K8" i="7"/>
  <c r="K6" i="7"/>
  <c r="J6" i="7"/>
  <c r="L16" i="7" l="1"/>
  <c r="L8" i="7"/>
  <c r="L6" i="7"/>
  <c r="L19" i="7"/>
  <c r="L22" i="7"/>
  <c r="L25" i="7"/>
  <c r="L13" i="7"/>
  <c r="L1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<sst xmlns="http://schemas.openxmlformats.org/spreadsheetml/2006/main" count="2374" uniqueCount="671">
  <si>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</si>
  <si>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</si>
  <si>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</si>
  <si>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</si>
  <si>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</si>
  <si>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</si>
  <si>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</si>
  <si>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</si>
  <si>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</si>
  <si>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</si>
  <si>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</si>
  <si>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</si>
  <si>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</si>
  <si>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</si>
  <si>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</si>
  <si>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</si>
  <si>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</si>
  <si>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</si>
  <si>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Especialización en Gerencia de Mercadeo</t>
  </si>
  <si>
    <t>Virtual</t>
  </si>
  <si>
    <t>El egresado de la Especialización en Gerencia de Mercadeo profundiza en enfoques estratégicos del mercadeo, el comportamiento del consumidor, la investigación e inteligencia de mercados y la gestión comercial, integrando estos conocimientos para evaluar escenarios competitivos y analizar información que respalda la toma de decisiones de mercadeo en las organizaciones. Aplica métodos y herramientas de mercadeo digital, omnicanalidad y experiencia del cliente para proponer, ajustar y operacionalizar estrategias orientadas al fortalecimiento de la marca y al desarrollo comercial. Asimismo, gestiona proyectos y coordina actividades en procesos de planeación comercial y comunicación estratégica, participando en espacios de articulación técnica e interdisciplinaria, con orientación a la generación de valor en contextos organizacionales dinámicos.</t>
  </si>
  <si>
    <t>El egresado de la Especialización en Gerencia de Mercadeo se desempeña en funciones de análisis aplicado y gestión especializada en áreas de mercadeo, comportamiento del consumidor, investigación de mercados, gestión comercial, comunicación y experiencia del cliente en organizaciones de diversos sectores. Participa en la ejecución, seguimiento y ajuste de iniciativas de mercadeo, comerciales, digitales y de marca, y desarrolla acciones de comunicación, posicionamiento y experiencia del cliente que contribuyen a la toma de decisiones organizacionales a partir del análisis del entorno y del desempeño comercial.</t>
  </si>
  <si>
    <t>escenarios competitivos, información del mercado y estudios del comportamiento del consumidor</t>
  </si>
  <si>
    <t>orientar la toma de decisiones de mercadeo</t>
  </si>
  <si>
    <t>con criterio analítico y conceptual,  a partir del uso de datos y evidencias del entorno organizacional</t>
  </si>
  <si>
    <t>Coordinador(a) de Mercadeo/Profesional de Apoyo en Gerencia de Mercadeo/Analista de Mercadeo Estratégico/Gestor(a) de Proyectos de Mercadeo/Consultor(a) Junior en Mercadeo/Analista de Investigación de Mercados/Analista de Inteligencia de Mercados/Profesional de Estudios de Mercado/Analista de Información Comercial/Asistente de Inteligencia de Negocios (Marketing)/Coordinador(a) Comercial/Analista de Gestión Comercial/Profesional de Apoyo a Ventas/Ejecutivo(a) de Desarrollo Comercial/Analista de Indicadores de Ventas/Coordinador(a) de Mercadeo Digital/Analista de Mercadeo Digital/Gestor(a) de Contenidos Digitales/Coordinador(a) de E-commerce/Analista de Canales Digitales y Omnicanalidad/Coordinador(a) de Marca/Analista de Comunicación Estratégica/Profesional de Comunicaciones de Mercadeo/Gestor(a) de Marca y Posicionamiento/Coordinador(a) de Comunicaciones Integradas de Mercadeo/Coordinador(a) de Experiencia del Cliente (CX)/Analista de CRM/Gestor(a) de Relacionamiento con Clientes/Profesional de Fidelización y Retención/Analista de Servicio y Experiencia del Cliente/Coordinador(a) de Planeación de Mercadeo/Analista de Planeación Comercial/Gestor(a) de Proyectos de Mercadeo/Profesional de Apoyo Estratégico en Mercadeo/Analista de Proyectos Comerciales.</t>
  </si>
  <si>
    <t>Analizar información del mercado, la competencia y el consumidor para apoyar la toma de decisiones mercadológicas/Evaluar escenarios competitivos y tendencias del entorno económico y sectorial/Interpretar datos provenientes de estudios de mercado y fuentes secundarias/Participar en la formulación, ajuste y seguimiento de planes estratégicos de mercadeo/Apoyar la definición de objetivos, estrategias y tácticas de mercadeo alineadas con los objetivos organizacionales/Coordinar actividades relacionadas con la ejecución del plan de mercadeo/Aplicar métodos de investigación cualitativa y cuantitativa para el análisis del mercado y del consumidor/Procesar y analizar información para generar insumos que orienten decisiones de mercadeo/Elaborar informes de investigación y análisis de inteligencia de mercados/Apoyar el diseño, implementación y seguimiento de estrategias de mercadeo digital/Analizar el desempeño de canales digitales, e-commerce y puntos de contacto omnicanal/Proponer ajustes a estrategias digitales a partir de métricas y analítica/Implementar tácticas de comunicación y posicionamiento de marca/Coordinar acciones de comunicaciones integradas de mercadeo/Apoyar el desarrollo y seguimiento de planes de comunicación estratégica/Diseñar y dar seguimiento a iniciativas de experiencia del cliente y CRM/Analizar métricas de satisfacción, fidelización y valor del cliente/Proponer acciones de mejora en los puntos de contacto con el cliente/Analizar indicadores de gestión comercial y desempeño de ventas/Apoyar la planeación y seguimiento de estrategias comerciales/Coordinar acciones entre las áreas de mercadeo y ventas/Gestionar y hacer seguimiento a proyectos de mercadeo/Coordinar recursos, cronogramas y actividades de proyectos comerciales y de mercadeo/Elaborar informes de avance y resultados de proyectos/Realizar seguimiento a indicadores de desempeño de mercadeo y comerciales/Evaluar resultados de campañas, estrategias y proyectos de mercadeo/Proponer acciones de mejora basadas en análisis de desempeño/Participar en equipos de trabajo interdisciplinarios/Articular acciones de mercadeo con áreas como ventas, comunicación, finanzas y operaciones/Apoyar procesos de toma de decisiones organizacionales desde el ámbito del mercadeo.</t>
  </si>
  <si>
    <t>Empresas privadas de bienes y servicios en sectores tradicionales y emergentes/Empresas y proyectos de base digital y tecnológica, incluyendo startups y plataformas digitales/Agencias y firmas especializadas en marketing, comunicación estratégica, publicidad, medios, investigación de mercados, mercadeo digital y experiencia del cliente/Consultoras en estrategia, innovación, analítica y desarrollo de negocios/Entidades públicas, mixtas y organizaciones sociales que requieren gestión estratégica de mercados y comunicación/Centros de investigación aplicada y unidades de análisis de datos/Emprendimientos y unidades de negocio propias en etapas de creación, crecimiento o consolidación.</t>
  </si>
  <si>
    <t>La Especialización en Gerencia de Mercadeo se distingue por su enfoque integral, aplicado y orientado a la toma de decisiones estratégicas, que articula el análisis del mercado y del consumidor, la investigación e inteligencia de mercados, la gestión comercial y la integración de estrategias digitales, omnicanales y de experiencia del cliente. El programa incorpora la gestión de relaciones con clientes (CRM) y la experiencia del cliente (CX) como factores de desarrollo para la generación de valor y la sostenibilidad comercial, y adopta una visión sistémica del mercadeo que conecta el análisis, la evaluación y la aplicación de estrategias, fortaleciendo la capacidad del egresado para generar valor, coordinar proyectos y apoyar la competitividad de las organizaciones en contextos empresariales dinámicos y altamente competitivos.</t>
  </si>
  <si>
    <t>estrategias de mercadeo, comunicación, marca y experiencia del cliente</t>
  </si>
  <si>
    <t>proponer ajustes orientados al fortalecimiento de la marca, el desarrollo comercial y el crecimiento organizacional</t>
  </si>
  <si>
    <t>en coherencia con los objetivos estratégicos y las dinámicas del mercado.</t>
  </si>
  <si>
    <t>métodos y herramientas de mercadeo digital, omnicanalidad y experiencia del cliente</t>
  </si>
  <si>
    <t>ejecutar acciones de mercadeo derivadas de estrategias definidas</t>
  </si>
  <si>
    <t>con orientación a la generación de valor en función de las dinámicas del mercado</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</si>
  <si>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</si>
  <si>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</si>
  <si>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</si>
  <si>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</si>
  <si>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</si>
  <si>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</si>
  <si>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</si>
  <si>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</si>
  <si>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</si>
  <si>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</si>
  <si>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</si>
  <si>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</si>
  <si>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</si>
  <si>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</si>
  <si>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Diagnosticar</t>
  </si>
  <si>
    <t>Diagnosticar escenarios competitivos, información del mercado y estudios del comportamiento del consumidor, para orientar la toma de decisiones de mercadeo con criterio analítico y conceptual.</t>
  </si>
  <si>
    <t>Específica</t>
  </si>
  <si>
    <t>Evaluar</t>
  </si>
  <si>
    <t>Evaluar estrategias de mercadeo, comunicación, marca y experiencia del cliente, para proponer ajustes orientados al fortalecimiento de la marca, el desarrollo comercial y el crecimiento organizacional, en coherencia con los objetivos estratégicos y las dinámicas del mercado.</t>
  </si>
  <si>
    <t>Implementar</t>
  </si>
  <si>
    <t>Implementar métodos y herramientas de mercadeo digital, omnicanalidad y experiencia del cliente, para ejecutar acciones de mercadeo derivadas de estrategias definidas, con orientación a la generación de valor en función de las dinámicas del mercado.</t>
  </si>
  <si>
    <t xml:space="preserve"> </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</si>
  <si>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</si>
  <si>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</si>
  <si>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</si>
  <si>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</si>
  <si>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</si>
  <si>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</si>
  <si>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</si>
  <si>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</si>
  <si>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</si>
  <si>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</si>
  <si>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</si>
  <si>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</si>
  <si>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</si>
  <si>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</si>
  <si>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</si>
  <si>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</si>
  <si>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</si>
  <si>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</si>
  <si>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</si>
  <si>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</si>
  <si>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</si>
  <si>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Analizar</t>
  </si>
  <si>
    <t>Analiza escenarios competitivos, información del mercado y estudios del comportamiento del consumidor para establecer criterios estratégicos que orienten la toma de decisiones de mercadeo.</t>
  </si>
  <si>
    <t>ProcedimentalB</t>
  </si>
  <si>
    <t>AplicaciónB</t>
  </si>
  <si>
    <t>Aplicar</t>
  </si>
  <si>
    <t>Aplica métodos y herramientas de mercadeo estratégico, digital, omnicanal y de experiencia del cliente para diseñar acciones de mercadeo derivadas de estrategias definidas.</t>
  </si>
  <si>
    <t>ActitudinalB</t>
  </si>
  <si>
    <t>EvaluaciónB</t>
  </si>
  <si>
    <t>Evalúa decisiones y acciones de mercadeo para determinar su alineación con los objetivos estratégicos y su aporte a la generación de valor en contextos dinámicos de mercado.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</si>
  <si>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</si>
  <si>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</si>
  <si>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</si>
  <si>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</si>
  <si>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</si>
  <si>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</si>
  <si>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</si>
  <si>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</si>
  <si>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</si>
  <si>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</si>
  <si>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</si>
  <si>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</si>
  <si>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Incorporate: Ejecutivos Destacados</t>
  </si>
  <si>
    <t>Espacio académico en el que ejecutivos de empresas reconocidas comparten con los estudiantes casos empresariales de éxito y experiencias de su ejercicio profesional, fortaleciendo el vínculo entre la teoría y la práctica profesional.</t>
  </si>
  <si>
    <t>Número de estudiantes que participan en la estrategia anualmente.</t>
  </si>
  <si>
    <t>Formar a los estudiantes mediante el aprendizaje logrado a partir de los casos de éxito compartidos por profesionales del sector, promoviendo la conexión entre la teoría y la práctica.</t>
  </si>
  <si>
    <t>Listados de participación</t>
  </si>
  <si>
    <t>Número de empresas que participan en la actividad de aprendizaje por anualidad.</t>
  </si>
  <si>
    <t>Número de veces que se realiza la estrategia anualmente.</t>
  </si>
  <si>
    <t>Informe o Reporte</t>
  </si>
  <si>
    <t>Valoración del nivel de aporte de la estrategia a los resultados de aprendizaje del programa.</t>
  </si>
  <si>
    <t>Encuesta de valoración</t>
  </si>
  <si>
    <t>Feedback: Experiencias Educativas</t>
  </si>
  <si>
    <t>Encuentro entre egresados y estudiantes actuales del programa, para socializar la experiencia educativa en el POLI y su impacto en el desarrollo profesional y personal, promoviendo el sentido de pertenencia institucional.</t>
  </si>
  <si>
    <t>Número de estudiantes y egresados que participan en la estrategia anualmente.</t>
  </si>
  <si>
    <t>Informar y ayudar a decidir a los estudiantes mediante el intercambio con egresados, para que reconozcan las oportunidades, desafíos y proyecciones del campo profesional, orientando sus decisiones académicas y laborales.</t>
  </si>
  <si>
    <t>Working Together: Retos</t>
  </si>
  <si>
    <t>Estrategia de aula invertida y trabajo colaborativo entre academia y empresa, en la que los estudiantes enfrentan situaciones reales del entorno organizacional para diseñar soluciones de mercadeo y comunicación.</t>
  </si>
  <si>
    <t>Formar al propiciar experiencias de aprendizaje basadas en retos colaborativos con empresas, que fortalecen la resolución de problemas reales y preparan al estudiante para enfrentar escenarios laborales complejos.</t>
  </si>
  <si>
    <t>Marketing Boulevard</t>
  </si>
  <si>
    <t>Estrategia de comunicación, relacionamiento y divulgación académica que fomenta el trabajo en red con instituciones nacionales e internacionales, para promover el intercambio de conocimiento e investigación en mercadeo y comunicación.</t>
  </si>
  <si>
    <t>Informar y formar sobre las tendencias, investigaciones y buenas prácticas del sector, promoviendo el pensamiento crítico y el aprendizaje continuo a través del intercambio académico con expertos nacionales e internacionales.</t>
  </si>
  <si>
    <t>Listas de participación</t>
  </si>
  <si>
    <t>Poli Digital Day</t>
  </si>
  <si>
    <t>Evento académico que aborda temáticas especializadas en mercadeo y publicidad digital, con la participación de invitados expertos del sector que comparten tendencias, herramientas y casos de éxito.</t>
  </si>
  <si>
    <t>Formar e informar a los estudiantes sobre las tendencias del mercadeo y la publicidad digital, fortaleciendo competencias tecnológicas y estratégicas orientadas al entorno digital.</t>
  </si>
  <si>
    <t>Seminario Internacional</t>
  </si>
  <si>
    <t>Espacio académico en el que expertos presentan y desarrollan un tema específico de la disciplina. En este escenario, los estudiantes elaboran y exponen trabajos de aplicación relacionados con los conceptos abordados, lo que permite profundizar en su comprensión y favorecer la discusión académica.</t>
  </si>
  <si>
    <t>Informar y formar a los estudiantes en temas de gerencia, estrategia, investigación, mercadeo y publicidad, que permitan fortalecer las teorías, los conceptos y las buenas prácticas de la Gerencia de Mercadeo en el sector empresarial.</t>
  </si>
  <si>
    <t>Número de trabajos desarrollados que apliquen las temáticas vistas en el seminario.</t>
  </si>
  <si>
    <t>Misión Académica</t>
  </si>
  <si>
    <t xml:space="preserve">Viajes académicos grupales de corta duración (entre una y dos semanas) en las que se desarrollan actividades con componentes académicos, empresariales o culturales. </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</si>
  <si>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</si>
  <si>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</si>
  <si>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</si>
  <si>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</si>
  <si>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</si>
  <si>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</si>
  <si>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</si>
  <si>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</si>
  <si>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</si>
  <si>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</si>
  <si>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</si>
  <si>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</si>
  <si>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</si>
  <si>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</si>
  <si>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</si>
  <si>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</si>
  <si>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</si>
  <si>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</si>
  <si>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</si>
  <si>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</si>
  <si>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</si>
  <si>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</si>
  <si>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</si>
  <si>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</si>
  <si>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</si>
  <si>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</si>
  <si>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</si>
  <si>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</si>
  <si>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</si>
  <si>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Gerencia Estratégica de Mercadeo</t>
  </si>
  <si>
    <t>Analiza los fundamentos y las variables estratégicas del mercadeo para establecer lineamientos orientados a la gerencia estratégica del mercadeo desde una perspectiva de liderazgo.</t>
  </si>
  <si>
    <t>TP</t>
  </si>
  <si>
    <t>X</t>
  </si>
  <si>
    <t>1. Fundamentos y rol estratégico del mercadeo.
2. Identificación y análisis estratégico de las variables de mercadeo.
3. Dirección, control y evaluación estratégica del mercadeo.
4. Gestión del cambio, innovación y liderazgo estratégico.</t>
  </si>
  <si>
    <t>Trabajo directo:
Encuentros sincrónicos, mensajería interna, foros generales, anuncios.  
Trabajo independiente: 
Lecturas Fundamentales y complementarias
Anuncios
Foros
Actividades de refuerzo y recursos del modulo</t>
  </si>
  <si>
    <t>Evaluación diagnóstica (semana 1 -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6 - Foro individual o grupal, creado para que el estudiante participe activamente en la construcción de su conocimiento y desarrollo de habilidades. Varía entre una actividad entregable y la participación en un foro).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</si>
  <si>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</si>
  <si>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Comportamiento del Consumidor</t>
  </si>
  <si>
    <t>Analiza los patrones y procesos de decisión del consumidor para determinar criterios estratégicos que orienten acciones de mercadeo que generen valor.</t>
  </si>
  <si>
    <t>1. Fundamentos del comportamiento del consumidor y su rol estratégico en el mercadeo.
2. Procesos psicológicos y de decisión del consumidor.
3. Influencias sociales y culturales en el comportamiento del consumidor.
4. Aplicación estratégica e investigación del comportamiento del consumidor.</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</si>
  <si>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</si>
  <si>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</si>
  <si>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Comunicación Estratégica</t>
  </si>
  <si>
    <t>Identifica los procesos de comunicación y las herramientas de las comunicaciones integradas de mercadeo, para estructurar un Plan Estratégico de Comunicación (PEC) orientado a la creación de valor.</t>
  </si>
  <si>
    <t>1. Conceptualización de la Comunicación Estratégica y las Comunicaciones Integradas de Mercadeo (CIM).
2. Herramientas de las Comunicaciones Integradas de Mercadeo (CIM).
3. Análisis y diseño del Plan Estratégico de Comunicación (PEC) y definición de la mezcla de comunicación.
4. Implementación, evaluación y control del Plan Estratégico de Comunicación (PEC).</t>
  </si>
  <si>
    <t xml:space="preserve">Trabajo directo 
Sincrónico
Clases magistrales activas
Estudios de caso
Lectura de artículos científicos
Cuadernillo de ejercicios prácticos
Asincrónico
Mensajería a través de Teams, Drive o Correo electrónico
Trabajo independiente
Lecturas complementarias (en segunda lengua)
Talleres
Uso de recursos audiovisuales y tecnológicos
</t>
  </si>
  <si>
    <t>Habilidades Gerenciales</t>
  </si>
  <si>
    <t>Desarrolla estrategias para la productividad a través de propuestas  que evidencian la gestión del tiempo basado los propósitos laborales, personales, familiares y sociales para la generación de valor.
Propone acciones estratégicas reconociendo los diferentes enfoques de liderazgo para la solución de problemáticas organizaciones en diversos contextos
Diseña  modelos para desarrollar habilidades de negociación a través de acciones  que le permitan lograr los propósitos laborales, personales, familiares y sociales.</t>
  </si>
  <si>
    <t>Evaluación formativa:
Preguntas intercalas en la sesiones sincrónicas.
Respuesta a los foros de dudas y a la mensajería interna. 
Realimentación de entregables: ensayo, artículo, cuadro comparativo, revisión y foro analítico o argumentativo documental.
Evaluación sumativa:
Entrega proyecto #01.
Entrega proyecto #02.
Entrega final y sustentación del proyecto.</t>
  </si>
  <si>
    <t>Investigación e Inteligencia de Mercados</t>
  </si>
  <si>
    <t>Aplica métodos de investigación y sistemas de inteligencia de mercados para determinar criterios que orienten decisiones estratégicas de mercadeo en situaciones de estudio.</t>
  </si>
  <si>
    <t>1.  Fundamentos y formulación de proyectos de investigación de mercados.
2. Diseño metodológico: investigaciones exploratorias y concluyentes.
3. Muestreo, análisis de datos y comunicación de resultados.
4. Sistemas de información e inteligencia de mercados.</t>
  </si>
  <si>
    <t>Estrategias de CRM y CX</t>
  </si>
  <si>
    <t>Aplica datos y procesos automatizados de CRM y CX para diseñar estrategias de relacionamiento y experiencia del cliente.</t>
  </si>
  <si>
    <t>1. Fundamentos de CRM y CX.
2. Diseño de estrategias de CX.
3. Automatización, tecnología y datos.
4. Fidelización y relacionamiento.</t>
  </si>
  <si>
    <t>Mercadeo Digital y Social Media</t>
  </si>
  <si>
    <t>Aplica fundamentos de mercadeo digital y social media para diseñar propuestas estratégicas sustentadas en información de analítica digital.</t>
  </si>
  <si>
    <t>1. Fundamentos del mercadeo digital y ecosistemas transmedia.
2. Social Media Marketing, gestión de contenidos y comunidad.
3. Publicidad y analítica digital, Paid Media, performance marketing  y optimización de campañas.
4. Estrategia digital integrada, automatización y analítica avanzada.</t>
  </si>
  <si>
    <t>Distribución, E-commerce y Omnicanalidad</t>
  </si>
  <si>
    <t>Analiza alternativas de distribución, e-commerce y omnicanalidad para proponer procesos comerciales en entornos físicos o digitales.</t>
  </si>
  <si>
    <t xml:space="preserve">1. Fundamentos de distribución y canales comerciales.
2. E-commerce: modelos, operación y logística.
3. Omnicanalidad y ecosistemas integrados.
4. Tecnologías, analítica y optimización.
</t>
  </si>
  <si>
    <t xml:space="preserve">Trabajo directo 
Sincrónico
Clases magistrales activas
Estudios de caso
Lectura de artículos científicos
Cuadernillo de ejercicios prácticos
Asincrónico
Mensajería a través de Teams, Drive o Correo electrónico
Trabajo independiente
Lecturas complementarias (en segunda lengua)
Talleres
Uso de recursos audiovisuales y tecnológicos"
</t>
  </si>
  <si>
    <t>Gerencia Comercial</t>
  </si>
  <si>
    <t>Aplica indicadores y métricas de gestión comercial para formular estrategias de ventas y relaciones comerciales.</t>
  </si>
  <si>
    <t>1. Fundamentos y dirección de la gestión comercial.
2. Estrategias de ventas y relaciones comerciales.
3. Indicadores, métricas y gestión del desempeño comercial.
4. Liderazgo, talento comercial y transformación comercial.</t>
  </si>
  <si>
    <t>Planeación Estratégica de Mercadeo</t>
  </si>
  <si>
    <t>Formula estrategias de mercadeo a partir del diagnóstico del mercado y la organización, para integrar criterios de innovación, sostenibilidad y ética en un plan estratégico.</t>
  </si>
  <si>
    <t>1. Fundamentos de la planeación estratégica de mercadeo y análisis del entorno.
2. Formulación de estrategias de mercadeo.
3. Implementación, control y evaluación estratégica.
4. Innovación, sostenibilidad y ética en la estrategia de mercadeo.</t>
  </si>
  <si>
    <t>II</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</si>
  <si>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</si>
  <si>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</si>
  <si>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</si>
  <si>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</si>
  <si>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</si>
  <si>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</si>
  <si>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</si>
  <si>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</si>
  <si>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Asegurar</t>
  </si>
  <si>
    <t>Asesorar</t>
  </si>
  <si>
    <t>Auditar</t>
  </si>
  <si>
    <t>Comunicar</t>
  </si>
  <si>
    <t>Conducir</t>
  </si>
  <si>
    <t>Conocer</t>
  </si>
  <si>
    <t>Coordinar</t>
  </si>
  <si>
    <t>Definir</t>
  </si>
  <si>
    <t>Desarrollar</t>
  </si>
  <si>
    <t>Dirigir</t>
  </si>
  <si>
    <t>Diseñar</t>
  </si>
  <si>
    <t>Dominar</t>
  </si>
  <si>
    <t>Establecer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</si>
  <si>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</si>
  <si>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</si>
  <si>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</si>
  <si>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</si>
  <si>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</si>
  <si>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</si>
  <si>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</si>
  <si>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</si>
  <si>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</si>
  <si>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</si>
  <si>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</si>
  <si>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</si>
  <si>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</si>
  <si>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</si>
  <si>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</si>
  <si>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</si>
  <si>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</si>
  <si>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</si>
  <si>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</si>
  <si>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</si>
  <si>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</si>
  <si>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</si>
  <si>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</si>
  <si>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</si>
  <si>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</si>
  <si>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</si>
  <si>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</si>
  <si>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</si>
  <si>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</si>
  <si>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ConocimientoB</t>
  </si>
  <si>
    <t>ComprensiónB</t>
  </si>
  <si>
    <t>SíntesisB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</si>
  <si>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</si>
  <si>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</si>
  <si>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</si>
  <si>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</si>
  <si>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</si>
  <si>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</si>
  <si>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</si>
  <si>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</si>
  <si>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</si>
  <si>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</si>
  <si>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</si>
  <si>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</si>
  <si>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</si>
  <si>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</si>
  <si>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</si>
  <si>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</si>
  <si>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</si>
  <si>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</si>
  <si>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</si>
  <si>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</si>
  <si>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</si>
  <si>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</si>
  <si>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</si>
  <si>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</si>
  <si>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</si>
  <si>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</si>
  <si>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</si>
  <si>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</si>
  <si>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</si>
  <si>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</si>
  <si>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</si>
  <si>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</si>
  <si>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</si>
  <si>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</si>
  <si>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</si>
  <si>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</si>
  <si>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</si>
  <si>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</si>
  <si>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</si>
  <si>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</si>
  <si>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</si>
  <si>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</si>
  <si>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</si>
  <si>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</si>
  <si>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</si>
  <si>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</si>
  <si>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</si>
  <si>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</si>
  <si>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</si>
  <si>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</si>
  <si>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</si>
  <si>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</si>
  <si>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</si>
  <si>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</si>
  <si>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</si>
  <si>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</si>
  <si>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</si>
  <si>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</si>
  <si>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</si>
  <si>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</si>
  <si>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</si>
  <si>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</si>
  <si>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</si>
  <si>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</si>
  <si>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</si>
  <si>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</si>
  <si>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</si>
  <si>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</si>
  <si>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</si>
  <si>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</si>
  <si>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</si>
  <si>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</si>
  <si>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</si>
  <si>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</si>
  <si>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</si>
  <si>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</si>
  <si>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</si>
  <si>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</si>
  <si>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</si>
  <si>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</si>
  <si>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</si>
  <si>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</si>
  <si>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</si>
  <si>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</si>
  <si>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</si>
  <si>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</si>
  <si>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</si>
  <si>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</si>
  <si>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</si>
  <si>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</si>
  <si>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</si>
  <si>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</si>
  <si>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</si>
  <si>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</si>
  <si>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</si>
  <si>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</si>
  <si>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</si>
  <si>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</si>
  <si>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</si>
  <si>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</si>
  <si>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</si>
  <si>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</si>
  <si>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</si>
  <si>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</si>
  <si>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</si>
  <si>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</si>
  <si>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</si>
  <si>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</si>
  <si>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</si>
  <si>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</si>
  <si>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</si>
  <si>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</si>
  <si>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</si>
  <si>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</si>
  <si>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</si>
  <si>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</si>
  <si>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</si>
  <si>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</si>
  <si>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</si>
  <si>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</si>
  <si>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</si>
  <si>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</si>
  <si>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</si>
  <si>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</si>
  <si>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</si>
  <si>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</si>
  <si>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</si>
  <si>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</si>
  <si>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</si>
  <si>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</si>
  <si>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</si>
  <si>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</si>
  <si>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</si>
  <si>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</si>
  <si>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</si>
  <si>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</si>
  <si>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</si>
  <si>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</si>
  <si>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</si>
  <si>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</si>
  <si>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</si>
  <si>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</si>
  <si>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</si>
  <si>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</si>
  <si>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</si>
  <si>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</si>
  <si>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</si>
  <si>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</si>
  <si>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</si>
  <si>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</si>
  <si>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</si>
  <si>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</si>
  <si>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</si>
  <si>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</si>
  <si>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</si>
  <si>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</si>
  <si>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</si>
  <si>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</si>
  <si>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</si>
  <si>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</si>
  <si>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</si>
  <si>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</si>
  <si>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</si>
  <si>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</si>
  <si>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</si>
  <si>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</si>
  <si>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</si>
  <si>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</si>
  <si>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</si>
  <si>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</si>
  <si>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</si>
  <si>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</si>
  <si>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</si>
  <si>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</si>
  <si>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</si>
  <si>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</si>
  <si>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</si>
  <si>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</si>
  <si>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</si>
  <si>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</si>
  <si>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</si>
  <si>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</si>
  <si>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</si>
  <si>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</si>
  <si>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</si>
  <si>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</si>
  <si>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</si>
  <si>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</si>
  <si>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</si>
  <si>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</si>
  <si>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</si>
  <si>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</si>
  <si>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</si>
  <si>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</si>
  <si>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</si>
  <si>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</si>
  <si>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</si>
  <si>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</si>
  <si>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</si>
  <si>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</si>
  <si>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</si>
  <si>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</si>
  <si>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</si>
  <si>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</si>
  <si>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</si>
  <si>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</si>
  <si>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</si>
  <si>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</si>
  <si>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</si>
  <si>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</si>
  <si>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</si>
  <si>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</si>
  <si>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</si>
  <si>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</si>
  <si>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</si>
  <si>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</si>
  <si>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</si>
  <si>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</si>
  <si>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</si>
  <si>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</si>
  <si>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</si>
  <si>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</si>
  <si>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</si>
  <si>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</si>
  <si>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</si>
  <si>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</si>
  <si>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</si>
  <si>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</si>
  <si>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</si>
  <si>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</si>
  <si>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</si>
  <si>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</si>
  <si>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</si>
  <si>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</si>
  <si>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</si>
  <si>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</si>
  <si>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</si>
  <si>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</si>
  <si>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</si>
  <si>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</si>
  <si>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</si>
  <si>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</si>
  <si>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</si>
  <si>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</si>
  <si>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</si>
  <si>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</si>
  <si>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</si>
  <si>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</si>
  <si>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</si>
  <si>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</si>
  <si>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</si>
  <si>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</si>
  <si>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</si>
  <si>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</si>
  <si>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</si>
  <si>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</si>
  <si>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</si>
  <si>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</si>
  <si>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</si>
  <si>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</si>
  <si>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</si>
  <si>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</si>
  <si>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</si>
  <si>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</si>
  <si>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</si>
  <si>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</si>
  <si>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</si>
  <si>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</si>
  <si>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</si>
  <si>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</si>
  <si>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</si>
  <si>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</si>
  <si>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</si>
  <si>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</si>
  <si>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</si>
  <si>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</si>
  <si>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</si>
  <si>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</si>
  <si>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</si>
  <si>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</si>
  <si>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</si>
  <si>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</si>
  <si>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</si>
  <si>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</si>
  <si>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</si>
  <si>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</si>
  <si>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</si>
  <si>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</si>
  <si>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</si>
  <si>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</si>
  <si>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</si>
  <si>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</si>
  <si>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</si>
  <si>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</si>
  <si>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</si>
  <si>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</si>
  <si>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</si>
  <si>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</si>
  <si>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</si>
  <si>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</si>
  <si>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</si>
  <si>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</si>
  <si>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</si>
  <si>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</si>
  <si>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</si>
  <si>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</si>
  <si>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</si>
  <si>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</si>
  <si>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</si>
  <si>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</si>
  <si>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</si>
  <si>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</si>
  <si>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</si>
  <si>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</si>
  <si>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</si>
  <si>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</si>
  <si>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</si>
  <si>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</si>
  <si>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</si>
  <si>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</si>
  <si>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</si>
  <si>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</si>
  <si>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</si>
  <si>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</si>
  <si>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</si>
  <si>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</si>
  <si>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</si>
  <si>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</si>
  <si>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</si>
  <si>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</si>
  <si>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</si>
  <si>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</si>
  <si>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</si>
  <si>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</si>
  <si>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</si>
  <si>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</si>
  <si>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</si>
  <si>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</si>
  <si>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</si>
  <si>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</si>
  <si>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</si>
  <si>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</si>
  <si>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</si>
  <si>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</si>
  <si>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</si>
  <si>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</si>
  <si>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</si>
  <si>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</si>
  <si>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</si>
  <si>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</si>
  <si>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</si>
  <si>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</si>
  <si>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</si>
  <si>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</si>
  <si>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</si>
  <si>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</si>
  <si>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</si>
  <si>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</si>
  <si>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</si>
  <si>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</si>
  <si>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</si>
  <si>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</si>
  <si>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</si>
  <si>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</si>
  <si>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</si>
  <si>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</si>
  <si>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</si>
  <si>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</si>
  <si>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</si>
  <si>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</si>
  <si>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</si>
  <si>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</si>
  <si>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</si>
  <si>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</si>
  <si>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</si>
  <si>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</si>
  <si>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</si>
  <si>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</si>
  <si>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</si>
  <si>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</si>
  <si>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</si>
  <si>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</si>
  <si>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</si>
  <si>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</si>
  <si>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</si>
  <si>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</si>
  <si>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</si>
  <si>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</si>
  <si>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</si>
  <si>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</si>
  <si>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</si>
  <si>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</si>
  <si>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</si>
  <si>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</si>
  <si>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</si>
  <si>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</si>
  <si>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</si>
  <si>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</si>
  <si>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</si>
  <si>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</si>
  <si>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</si>
  <si>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</si>
  <si>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</si>
  <si>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</si>
  <si>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</si>
  <si>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</si>
  <si>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</si>
  <si>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</si>
  <si>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</si>
  <si>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</si>
  <si>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</si>
  <si>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</si>
  <si>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</si>
  <si>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</si>
  <si>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</si>
  <si>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</si>
  <si>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</si>
  <si>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1. Gestión del tiempo.
2. Liderazgo. 
3. Técnicas de negociación. 
4. Trabajo en equipo.</t>
  </si>
  <si>
    <t>Elementos para redactar las competencias que desarrollará el programa</t>
  </si>
  <si>
    <t>C.Fundamentación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</si>
</sst>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b/>
      <sz val="11"/>
      <color theme="1"/>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2"/>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medium">
        <color rgb="FF000000"/>
      </bottom>
      <diagonal/>
    </border>
    <border>
      <left/>
      <right/>
      <top style="thin">
        <color rgb="FF0F385A"/>
      </top>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medium">
        <color indexed="64"/>
      </top>
      <bottom style="hair">
        <color theme="1" tint="0.499984740745262"/>
      </bottom>
      <diagonal/>
    </border>
    <border>
      <left/>
      <right/>
      <top style="hair">
        <color theme="1" tint="0.499984740745262"/>
      </top>
      <bottom style="hair">
        <color theme="1" tint="0.499984740745262"/>
      </bottom>
      <diagonal/>
    </border>
    <border>
      <left/>
      <right/>
      <top style="medium">
        <color rgb="FF000000"/>
      </top>
      <bottom/>
      <diagonal/>
    </border>
    <border>
      <left style="thin">
        <color rgb="FF1FB2DE"/>
      </left>
      <right/>
      <top/>
      <bottom style="thin">
        <color indexed="64"/>
      </bottom>
      <diagonal/>
    </border>
    <border>
      <left/>
      <right/>
      <top/>
      <bottom style="thin">
        <color indexed="64"/>
      </bottom>
      <diagonal/>
    </border>
  </borders>
  <cellStyleXfs count="1">
    <xf numFmtId="0" fontId="0" fillId="0" borderId="0"/>
  </cellStyleXfs>
  <cellXfs count="113">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3" fillId="0" borderId="0" xfId="0" applyFont="1" applyAlignment="1">
      <alignment vertical="center"/>
    </xf>
    <xf numFmtId="0" fontId="9" fillId="0" borderId="0" xfId="0" applyFont="1" applyAlignment="1">
      <alignment horizontal="left" vertical="center" wrapText="1"/>
    </xf>
    <xf numFmtId="0" fontId="3" fillId="0" borderId="8"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wrapText="1"/>
    </xf>
    <xf numFmtId="0" fontId="4" fillId="0" borderId="7" xfId="0" applyFont="1" applyBorder="1" applyAlignment="1">
      <alignment vertical="center" wrapText="1"/>
    </xf>
    <xf numFmtId="0" fontId="3" fillId="0" borderId="8" xfId="0" applyFont="1" applyBorder="1" applyAlignment="1">
      <alignment wrapText="1"/>
    </xf>
    <xf numFmtId="0" fontId="3" fillId="0" borderId="7" xfId="0" applyFont="1" applyBorder="1" applyAlignment="1">
      <alignment vertical="center"/>
    </xf>
    <xf numFmtId="0" fontId="3" fillId="0" borderId="8" xfId="0" applyFont="1" applyBorder="1" applyAlignment="1">
      <alignment vertical="center"/>
    </xf>
    <xf numFmtId="0" fontId="5" fillId="2" borderId="1"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8" fillId="8" borderId="13" xfId="0" applyFont="1" applyFill="1" applyBorder="1" applyAlignment="1">
      <alignment horizontal="center" vertical="center" wrapText="1"/>
    </xf>
    <xf numFmtId="0" fontId="18" fillId="7" borderId="14"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4"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4" fillId="0" borderId="8" xfId="0" applyFont="1" applyBorder="1" applyAlignment="1">
      <alignment vertical="center" wrapText="1"/>
    </xf>
    <xf numFmtId="0" fontId="4" fillId="0" borderId="8" xfId="0" applyFont="1" applyBorder="1" applyAlignment="1">
      <alignment horizontal="left"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5" fillId="2" borderId="7" xfId="0" applyFont="1" applyFill="1" applyBorder="1" applyAlignment="1">
      <alignment horizontal="center" vertical="center" wrapText="1"/>
    </xf>
    <xf numFmtId="0" fontId="19" fillId="9" borderId="0" xfId="0" applyFont="1" applyFill="1" applyAlignment="1">
      <alignment horizontal="center" vertical="center" wrapText="1"/>
    </xf>
    <xf numFmtId="0" fontId="5" fillId="2" borderId="15" xfId="0" applyFont="1" applyFill="1" applyBorder="1" applyAlignment="1">
      <alignment horizontal="center" vertical="center" wrapText="1"/>
    </xf>
    <xf numFmtId="0" fontId="19" fillId="9" borderId="15"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9" fillId="9" borderId="16" xfId="0" applyFont="1" applyFill="1" applyBorder="1" applyAlignment="1">
      <alignment horizontal="center" vertical="center" wrapText="1"/>
    </xf>
    <xf numFmtId="0" fontId="9" fillId="0" borderId="0" xfId="0" applyFont="1" applyAlignment="1">
      <alignment vertical="center" wrapText="1"/>
    </xf>
    <xf numFmtId="0" fontId="4" fillId="0" borderId="9" xfId="0" applyFont="1" applyBorder="1" applyAlignment="1">
      <alignment vertical="center" wrapText="1"/>
    </xf>
    <xf numFmtId="0" fontId="9" fillId="0" borderId="0" xfId="0" applyFont="1" applyAlignment="1">
      <alignment horizontal="center" vertical="center" wrapText="1"/>
    </xf>
    <xf numFmtId="0" fontId="9" fillId="0" borderId="12" xfId="0" applyFont="1" applyBorder="1" applyAlignment="1">
      <alignment vertical="center" wrapText="1"/>
    </xf>
    <xf numFmtId="0" fontId="9" fillId="0" borderId="10" xfId="0" applyFont="1" applyBorder="1" applyAlignment="1">
      <alignment vertical="center"/>
    </xf>
    <xf numFmtId="0" fontId="9" fillId="0" borderId="10" xfId="0" applyFont="1" applyBorder="1" applyAlignment="1">
      <alignment vertical="center" wrapText="1"/>
    </xf>
    <xf numFmtId="0" fontId="9" fillId="0" borderId="0" xfId="0" applyFont="1" applyAlignment="1">
      <alignment vertical="center"/>
    </xf>
    <xf numFmtId="0" fontId="9" fillId="0" borderId="0" xfId="0" applyFont="1" applyAlignment="1">
      <alignment wrapText="1"/>
    </xf>
    <xf numFmtId="0" fontId="3" fillId="0" borderId="9" xfId="0" applyFont="1" applyBorder="1" applyAlignment="1">
      <alignment vertic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0" xfId="0" applyFont="1" applyAlignment="1">
      <alignment horizontal="left" vertical="center" wrapText="1"/>
    </xf>
    <xf numFmtId="0" fontId="14" fillId="6" borderId="4"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3" fillId="0" borderId="12" xfId="0" applyFont="1" applyBorder="1" applyAlignment="1">
      <alignment horizontal="left" vertical="center" wrapText="1"/>
    </xf>
    <xf numFmtId="0" fontId="15" fillId="2" borderId="1" xfId="0" applyFont="1" applyFill="1" applyBorder="1" applyAlignment="1">
      <alignment horizontal="center"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4" fillId="0" borderId="9" xfId="0" applyFont="1" applyBorder="1" applyAlignment="1">
      <alignment horizontal="center" vertical="center" wrapText="1"/>
    </xf>
    <xf numFmtId="0" fontId="9" fillId="0" borderId="9" xfId="0" applyFont="1" applyBorder="1" applyAlignment="1">
      <alignment horizontal="left" vertical="center" wrapText="1"/>
    </xf>
    <xf numFmtId="0" fontId="9" fillId="0" borderId="17" xfId="0" applyFont="1" applyBorder="1" applyAlignment="1">
      <alignment horizontal="center" vertical="center" wrapText="1"/>
    </xf>
    <xf numFmtId="0" fontId="3" fillId="0" borderId="0" xfId="0" applyFont="1" applyAlignment="1">
      <alignment horizontal="center"/>
    </xf>
    <xf numFmtId="0" fontId="5" fillId="4" borderId="1" xfId="0" applyFont="1" applyFill="1" applyBorder="1" applyAlignment="1">
      <alignment horizontal="center"/>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9" totalsRowShown="0" headerRowDxfId="175" dataDxfId="174">
  <autoFilter ref="B1:B39"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8"/>
  <sheetViews>
    <sheetView zoomScaleNormal="100" workbookViewId="0">
      <selection activeCell="A3" sqref="A3:A5"/>
    </sheetView>
  </sheetViews>
  <sheetFormatPr baseColWidth="10" defaultColWidth="76.21875" defaultRowHeight="18" x14ac:dyDescent="0.5"/>
  <cols>
    <col min="1" max="1" width="19.77734375" style="3" customWidth="1"/>
    <col min="2" max="2" width="16.77734375" style="3" customWidth="1"/>
    <col min="3" max="4" width="69.21875" style="3" customWidth="1"/>
    <col min="5" max="5" width="34.21875" style="3" customWidth="1"/>
    <col min="6" max="7" width="34.21875" style="1" customWidth="1"/>
    <col min="8" max="8" width="87" style="3" customWidth="1"/>
    <col min="9" max="9" width="95.21875" style="3" customWidth="1"/>
    <col min="10" max="10" width="67.21875" style="3" customWidth="1"/>
    <col min="11" max="11" width="76.77734375" style="3" customWidth="1"/>
    <col min="12" max="16384" width="76.21875" style="3"/>
  </cols>
  <sheetData>
    <row r="1" spans="1:11" ht="42" x14ac:dyDescent="0.5">
      <c r="A1" s="35" t="s">
        <v>0</v>
      </c>
      <c r="B1" s="35" t="s">
        <v>1</v>
      </c>
      <c r="C1" s="35" t="s">
        <v>2</v>
      </c>
      <c r="D1" s="35" t="s">
        <v>3</v>
      </c>
      <c r="E1" s="98" t="s">
        <v>4</v>
      </c>
      <c r="F1" s="98"/>
      <c r="G1" s="98"/>
      <c r="H1" s="98" t="s">
        <v>5</v>
      </c>
      <c r="I1" s="98"/>
      <c r="J1" s="98"/>
      <c r="K1" s="36" t="s">
        <v>6</v>
      </c>
    </row>
    <row r="2" spans="1:11" s="4" customFormat="1" x14ac:dyDescent="0.5">
      <c r="A2" s="33" t="s">
        <v>7</v>
      </c>
      <c r="B2" s="33" t="s">
        <v>8</v>
      </c>
      <c r="C2" s="33" t="s">
        <v>9</v>
      </c>
      <c r="D2" s="33" t="s">
        <v>10</v>
      </c>
      <c r="E2" s="34" t="s">
        <v>11</v>
      </c>
      <c r="F2" s="34" t="s">
        <v>12</v>
      </c>
      <c r="G2" s="34" t="s">
        <v>13</v>
      </c>
      <c r="H2" s="37" t="s">
        <v>14</v>
      </c>
      <c r="I2" s="37" t="s">
        <v>15</v>
      </c>
      <c r="J2" s="37" t="s">
        <v>16</v>
      </c>
      <c r="K2" s="37" t="s">
        <v>17</v>
      </c>
    </row>
    <row r="3" spans="1:11" s="6" customFormat="1" ht="77.099999999999994" customHeight="1" x14ac:dyDescent="0.3">
      <c r="A3" s="73" t="s">
        <v>18</v>
      </c>
      <c r="B3" s="73" t="s">
        <v>19</v>
      </c>
      <c r="C3" s="76" t="s">
        <v>20</v>
      </c>
      <c r="D3" s="76" t="s">
        <v>21</v>
      </c>
      <c r="E3" s="66" t="s">
        <v>22</v>
      </c>
      <c r="F3" s="66" t="s">
        <v>23</v>
      </c>
      <c r="G3" s="66" t="s">
        <v>24</v>
      </c>
      <c r="H3" s="97" t="s">
        <v>25</v>
      </c>
      <c r="I3" s="97" t="s">
        <v>26</v>
      </c>
      <c r="J3" s="97" t="s">
        <v>27</v>
      </c>
      <c r="K3" s="97" t="s">
        <v>28</v>
      </c>
    </row>
    <row r="4" spans="1:11" s="6" customFormat="1" ht="77.099999999999994" customHeight="1" x14ac:dyDescent="0.3">
      <c r="A4" s="73"/>
      <c r="B4" s="73"/>
      <c r="C4" s="76"/>
      <c r="D4" s="76"/>
      <c r="E4" s="25" t="s">
        <v>29</v>
      </c>
      <c r="F4" s="63" t="s">
        <v>30</v>
      </c>
      <c r="G4" s="63" t="s">
        <v>31</v>
      </c>
      <c r="H4" s="76"/>
      <c r="I4" s="76"/>
      <c r="J4" s="76"/>
      <c r="K4" s="76"/>
    </row>
    <row r="5" spans="1:11" s="5" customFormat="1" ht="113.55" customHeight="1" x14ac:dyDescent="0.3">
      <c r="A5" s="73"/>
      <c r="B5" s="73"/>
      <c r="C5" s="76"/>
      <c r="D5" s="76"/>
      <c r="E5" s="63" t="s">
        <v>32</v>
      </c>
      <c r="F5" s="63" t="s">
        <v>33</v>
      </c>
      <c r="G5" s="63" t="s">
        <v>34</v>
      </c>
      <c r="H5" s="76"/>
      <c r="I5" s="76"/>
      <c r="J5" s="76"/>
      <c r="K5" s="76"/>
    </row>
    <row r="6" spans="1:11" x14ac:dyDescent="0.5">
      <c r="A6" s="5"/>
      <c r="B6" s="5"/>
      <c r="C6" s="65"/>
      <c r="D6" s="65"/>
      <c r="E6" s="5"/>
      <c r="F6" s="4"/>
      <c r="H6" s="4"/>
    </row>
    <row r="7" spans="1:11" x14ac:dyDescent="0.5">
      <c r="A7" s="5"/>
      <c r="B7" s="5"/>
      <c r="C7" s="65"/>
      <c r="D7" s="65"/>
      <c r="E7" s="5"/>
      <c r="F7" s="4"/>
      <c r="H7" s="4"/>
    </row>
    <row r="8" spans="1:11" x14ac:dyDescent="0.5">
      <c r="A8" s="5"/>
      <c r="B8" s="5"/>
      <c r="C8" s="65"/>
      <c r="D8" s="65"/>
      <c r="E8" s="5"/>
      <c r="F8" s="4"/>
    </row>
    <row r="9" spans="1:11" x14ac:dyDescent="0.5">
      <c r="A9" s="5"/>
      <c r="B9" s="5"/>
      <c r="C9" s="65"/>
      <c r="D9" s="65"/>
      <c r="E9" s="4"/>
      <c r="F9" s="4"/>
    </row>
    <row r="10" spans="1:11" x14ac:dyDescent="0.5">
      <c r="A10" s="5"/>
      <c r="B10" s="5"/>
      <c r="C10" s="65"/>
      <c r="D10" s="65"/>
      <c r="E10" s="4"/>
      <c r="F10" s="4"/>
    </row>
    <row r="11" spans="1:11" x14ac:dyDescent="0.5">
      <c r="A11" s="5"/>
      <c r="B11" s="5"/>
      <c r="C11" s="65"/>
      <c r="D11" s="65"/>
      <c r="E11" s="4"/>
      <c r="F11" s="4"/>
    </row>
    <row r="12" spans="1:11" x14ac:dyDescent="0.5">
      <c r="A12" s="5"/>
      <c r="B12" s="5"/>
      <c r="C12" s="65"/>
      <c r="D12" s="65"/>
      <c r="E12" s="4"/>
      <c r="F12" s="4"/>
    </row>
    <row r="13" spans="1:11" x14ac:dyDescent="0.5">
      <c r="A13" s="5"/>
      <c r="B13" s="5"/>
      <c r="C13" s="63"/>
      <c r="D13" s="70"/>
      <c r="E13" s="4"/>
      <c r="F13" s="4"/>
    </row>
    <row r="14" spans="1:11" x14ac:dyDescent="0.5">
      <c r="A14" s="5"/>
      <c r="B14" s="5"/>
      <c r="C14" s="63"/>
      <c r="D14" s="70"/>
      <c r="E14" s="4"/>
      <c r="F14" s="4"/>
    </row>
    <row r="15" spans="1:11" x14ac:dyDescent="0.5">
      <c r="A15" s="5"/>
      <c r="B15" s="5"/>
      <c r="C15" s="63"/>
      <c r="D15" s="70"/>
      <c r="E15" s="4"/>
      <c r="F15" s="4"/>
    </row>
    <row r="16" spans="1:11" x14ac:dyDescent="0.5">
      <c r="A16" s="5"/>
      <c r="B16" s="5"/>
      <c r="C16" s="63"/>
      <c r="D16" s="70"/>
      <c r="E16" s="4"/>
    </row>
    <row r="17" spans="1:4" x14ac:dyDescent="0.5">
      <c r="A17" s="5"/>
      <c r="B17" s="5"/>
      <c r="C17" s="63"/>
      <c r="D17" s="70"/>
    </row>
    <row r="18" spans="1:4" x14ac:dyDescent="0.5">
      <c r="A18" s="5"/>
      <c r="B18" s="5"/>
      <c r="C18" s="5"/>
      <c r="D18" s="70"/>
    </row>
    <row r="19" spans="1:4" x14ac:dyDescent="0.5">
      <c r="A19" s="5"/>
      <c r="B19" s="5"/>
      <c r="C19" s="5"/>
      <c r="D19" s="70"/>
    </row>
    <row r="20" spans="1:4" x14ac:dyDescent="0.5">
      <c r="A20" s="5"/>
      <c r="B20" s="5"/>
      <c r="C20" s="5"/>
      <c r="D20" s="70"/>
    </row>
    <row r="21" spans="1:4" x14ac:dyDescent="0.5">
      <c r="A21" s="5"/>
      <c r="B21" s="5"/>
      <c r="C21" s="5"/>
      <c r="D21" s="70"/>
    </row>
    <row r="22" spans="1:4" x14ac:dyDescent="0.5">
      <c r="D22" s="70"/>
    </row>
    <row r="23" spans="1:4" x14ac:dyDescent="0.5">
      <c r="D23" s="70"/>
    </row>
    <row r="24" spans="1:4" x14ac:dyDescent="0.5">
      <c r="D24" s="70"/>
    </row>
    <row r="25" spans="1:4" x14ac:dyDescent="0.5">
      <c r="D25" s="70"/>
    </row>
    <row r="26" spans="1:4" x14ac:dyDescent="0.5">
      <c r="D26" s="70"/>
    </row>
    <row r="27" spans="1:4" x14ac:dyDescent="0.5">
      <c r="D27" s="70"/>
    </row>
    <row r="28" spans="1:4" x14ac:dyDescent="0.5">
      <c r="D28" s="70"/>
    </row>
  </sheetData>
  <mergeCells count="10">
    <mergeCell ref="K3:K5"/>
    <mergeCell ref="C3:C5"/>
    <mergeCell ref="D3:D5"/>
    <mergeCell ref="H1:J1"/>
    <mergeCell ref="E1:G1"/>
    <mergeCell ref="A3:A5"/>
    <mergeCell ref="B3:B5"/>
    <mergeCell ref="H3:H5"/>
    <mergeCell ref="I3:I5"/>
    <mergeCell ref="J3:J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4140625" defaultRowHeight="18" x14ac:dyDescent="0.5"/>
  <cols>
    <col min="1" max="1" width="19" style="3" customWidth="1"/>
    <col min="2" max="2" width="24" style="3" customWidth="1"/>
    <col min="3" max="3" width="32.21875" style="3" customWidth="1"/>
    <col min="4" max="4" width="36.77734375" style="3" customWidth="1"/>
    <col min="5" max="5" width="41.5546875" style="3" customWidth="1"/>
    <col min="6" max="6" width="96.77734375" style="3" customWidth="1"/>
    <col min="7" max="7" width="27.77734375" style="3" customWidth="1"/>
    <col min="8" max="16384" width="11.44140625" style="3"/>
  </cols>
  <sheetData>
    <row r="1" spans="1:7" ht="17.25" customHeight="1" x14ac:dyDescent="0.5">
      <c r="A1" s="99" t="s">
        <v>669</v>
      </c>
      <c r="B1" s="100"/>
      <c r="C1" s="100"/>
      <c r="D1" s="100"/>
      <c r="E1" s="100"/>
      <c r="F1" s="100"/>
      <c r="G1" s="100"/>
    </row>
    <row r="2" spans="1:7" ht="60" x14ac:dyDescent="0.5">
      <c r="A2" s="44" t="s">
        <v>35</v>
      </c>
      <c r="B2" s="45" t="s">
        <v>36</v>
      </c>
      <c r="C2" s="45" t="s">
        <v>37</v>
      </c>
      <c r="D2" s="45" t="s">
        <v>38</v>
      </c>
      <c r="E2" s="45" t="s">
        <v>39</v>
      </c>
      <c r="F2" s="46" t="s">
        <v>40</v>
      </c>
      <c r="G2" s="46" t="s">
        <v>41</v>
      </c>
    </row>
    <row r="3" spans="1:7" x14ac:dyDescent="0.5">
      <c r="A3" s="47" t="s">
        <v>42</v>
      </c>
      <c r="B3" s="48" t="s">
        <v>43</v>
      </c>
      <c r="C3" s="48" t="s">
        <v>44</v>
      </c>
      <c r="D3" s="48" t="s">
        <v>45</v>
      </c>
      <c r="E3" s="48" t="s">
        <v>46</v>
      </c>
      <c r="F3" s="49" t="s">
        <v>47</v>
      </c>
      <c r="G3" s="49" t="s">
        <v>48</v>
      </c>
    </row>
    <row r="4" spans="1:7" s="5" customFormat="1" ht="54" x14ac:dyDescent="0.3">
      <c r="A4" s="7">
        <v>1</v>
      </c>
      <c r="B4" s="67" t="s">
        <v>49</v>
      </c>
      <c r="C4" s="68" t="s">
        <v>22</v>
      </c>
      <c r="D4" s="68" t="s">
        <v>23</v>
      </c>
      <c r="E4" s="68" t="s">
        <v>24</v>
      </c>
      <c r="F4" s="25" t="s">
        <v>50</v>
      </c>
      <c r="G4" s="5" t="s">
        <v>51</v>
      </c>
    </row>
    <row r="5" spans="1:7" s="5" customFormat="1" ht="54" x14ac:dyDescent="0.3">
      <c r="A5" s="7">
        <v>2</v>
      </c>
      <c r="B5" s="69" t="s">
        <v>52</v>
      </c>
      <c r="C5" s="63" t="s">
        <v>29</v>
      </c>
      <c r="D5" s="63" t="s">
        <v>30</v>
      </c>
      <c r="E5" s="63" t="s">
        <v>31</v>
      </c>
      <c r="F5" s="25" t="s">
        <v>53</v>
      </c>
      <c r="G5" s="5" t="s">
        <v>51</v>
      </c>
    </row>
    <row r="6" spans="1:7" s="5" customFormat="1" ht="54" x14ac:dyDescent="0.3">
      <c r="A6" s="7">
        <v>3</v>
      </c>
      <c r="B6" s="69" t="s">
        <v>54</v>
      </c>
      <c r="C6" s="63" t="s">
        <v>32</v>
      </c>
      <c r="D6" s="63" t="s">
        <v>33</v>
      </c>
      <c r="E6" s="63" t="s">
        <v>34</v>
      </c>
      <c r="F6" s="25" t="s">
        <v>55</v>
      </c>
      <c r="G6" s="5" t="s">
        <v>51</v>
      </c>
    </row>
    <row r="7" spans="1:7" x14ac:dyDescent="0.5">
      <c r="B7" s="1"/>
      <c r="D7" s="4"/>
      <c r="E7" s="1"/>
    </row>
    <row r="8" spans="1:7" x14ac:dyDescent="0.5">
      <c r="B8" s="1"/>
    </row>
    <row r="13" spans="1:7" x14ac:dyDescent="0.5">
      <c r="E13" s="3" t="s">
        <v>56</v>
      </c>
    </row>
  </sheetData>
  <mergeCells count="1">
    <mergeCell ref="A1:G1"/>
  </mergeCells>
  <dataValidations count="2">
    <dataValidation type="list" allowBlank="1" showInputMessage="1" showErrorMessage="1" sqref="C4: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A7500A7-F309-4DDD-8A6F-4233C463F17F}">
          <x14:formula1>
            <xm:f>'Paso1 Analisis perfil egreso'!$F$3:$F$5</xm:f>
          </x14:formula1>
          <xm:sqref>D4:D6</xm:sqref>
        </x14:dataValidation>
        <x14:dataValidation type="list" allowBlank="1" showInputMessage="1" showErrorMessage="1" xr:uid="{62707FCF-7FEF-4F5A-BD9D-627BBFA45324}">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heetViews>
  <sheetFormatPr baseColWidth="10" defaultColWidth="11.44140625" defaultRowHeight="18" x14ac:dyDescent="0.5"/>
  <cols>
    <col min="1" max="1" width="81.21875" style="6" customWidth="1"/>
    <col min="2" max="2" width="16.77734375" style="7" customWidth="1"/>
    <col min="3" max="3" width="19.21875" style="6" customWidth="1"/>
    <col min="4" max="4" width="28.21875" style="6" customWidth="1"/>
    <col min="5" max="5" width="17.5546875" style="6" customWidth="1"/>
    <col min="6" max="6" width="17.77734375" style="6" customWidth="1"/>
    <col min="7" max="7" width="20.21875" style="8" customWidth="1"/>
    <col min="8" max="8" width="18.21875" style="1" customWidth="1"/>
    <col min="9" max="9" width="72" style="1" customWidth="1"/>
    <col min="10" max="10" width="43.21875" style="6" customWidth="1"/>
    <col min="11" max="16384" width="11.44140625" style="6"/>
  </cols>
  <sheetData>
    <row r="1" spans="1:9" ht="84" x14ac:dyDescent="0.3">
      <c r="A1" s="35" t="s">
        <v>57</v>
      </c>
      <c r="B1" s="35" t="s">
        <v>58</v>
      </c>
      <c r="C1" s="39" t="s">
        <v>59</v>
      </c>
      <c r="D1" s="40" t="s">
        <v>60</v>
      </c>
      <c r="E1" s="40" t="s">
        <v>61</v>
      </c>
      <c r="F1" s="39" t="s">
        <v>62</v>
      </c>
      <c r="G1" s="39" t="s">
        <v>63</v>
      </c>
      <c r="H1" s="39" t="s">
        <v>64</v>
      </c>
      <c r="I1" s="35" t="s">
        <v>65</v>
      </c>
    </row>
    <row r="2" spans="1:9" ht="36.6" thickBot="1" x14ac:dyDescent="0.35">
      <c r="A2" s="38" t="s">
        <v>66</v>
      </c>
      <c r="B2" s="38" t="s">
        <v>67</v>
      </c>
      <c r="C2" s="41" t="s">
        <v>68</v>
      </c>
      <c r="D2" s="42" t="s">
        <v>69</v>
      </c>
      <c r="E2" s="42" t="s">
        <v>70</v>
      </c>
      <c r="F2" s="41" t="s">
        <v>71</v>
      </c>
      <c r="G2" s="41" t="s">
        <v>72</v>
      </c>
      <c r="H2" s="41" t="s">
        <v>73</v>
      </c>
      <c r="I2" s="38" t="s">
        <v>74</v>
      </c>
    </row>
    <row r="3" spans="1:9" ht="72" x14ac:dyDescent="0.3">
      <c r="A3" s="27" t="s">
        <v>50</v>
      </c>
      <c r="B3" s="51">
        <v>1</v>
      </c>
      <c r="C3" s="20" t="s">
        <v>11</v>
      </c>
      <c r="D3" s="20" t="s">
        <v>22</v>
      </c>
      <c r="E3" s="20" t="s">
        <v>75</v>
      </c>
      <c r="F3" s="27" t="s">
        <v>76</v>
      </c>
      <c r="G3" s="31" t="s">
        <v>77</v>
      </c>
      <c r="H3" s="31" t="s">
        <v>78</v>
      </c>
      <c r="I3" s="20" t="s">
        <v>79</v>
      </c>
    </row>
    <row r="4" spans="1:9" ht="54" x14ac:dyDescent="0.3">
      <c r="A4" s="5" t="s">
        <v>50</v>
      </c>
      <c r="B4" s="7">
        <v>2</v>
      </c>
      <c r="C4" s="6" t="s">
        <v>12</v>
      </c>
      <c r="D4" s="6" t="s">
        <v>23</v>
      </c>
      <c r="E4" s="6" t="s">
        <v>75</v>
      </c>
      <c r="F4" s="5" t="s">
        <v>80</v>
      </c>
      <c r="G4" s="24" t="s">
        <v>81</v>
      </c>
      <c r="H4" s="24" t="s">
        <v>82</v>
      </c>
      <c r="I4" s="50" t="s">
        <v>83</v>
      </c>
    </row>
    <row r="5" spans="1:9" ht="54" x14ac:dyDescent="0.3">
      <c r="A5" s="5" t="s">
        <v>50</v>
      </c>
      <c r="B5" s="52">
        <v>3</v>
      </c>
      <c r="C5" s="6" t="s">
        <v>13</v>
      </c>
      <c r="D5" s="6" t="s">
        <v>34</v>
      </c>
      <c r="E5" s="6" t="s">
        <v>75</v>
      </c>
      <c r="F5" s="5" t="s">
        <v>84</v>
      </c>
      <c r="G5" s="24" t="s">
        <v>85</v>
      </c>
      <c r="H5" s="24" t="s">
        <v>52</v>
      </c>
      <c r="I5" s="54" t="s">
        <v>86</v>
      </c>
    </row>
    <row r="6" spans="1:9" ht="54" x14ac:dyDescent="0.3">
      <c r="A6" s="27" t="s">
        <v>53</v>
      </c>
      <c r="B6" s="51">
        <v>1</v>
      </c>
      <c r="C6" s="20" t="s">
        <v>11</v>
      </c>
      <c r="D6" s="20" t="s">
        <v>29</v>
      </c>
      <c r="E6" s="20" t="s">
        <v>75</v>
      </c>
      <c r="F6" s="27" t="s">
        <v>76</v>
      </c>
      <c r="G6" s="31" t="s">
        <v>77</v>
      </c>
      <c r="H6" s="31" t="s">
        <v>78</v>
      </c>
      <c r="I6" s="20" t="s">
        <v>79</v>
      </c>
    </row>
    <row r="7" spans="1:9" ht="72" x14ac:dyDescent="0.3">
      <c r="A7" s="5" t="s">
        <v>53</v>
      </c>
      <c r="B7" s="7">
        <v>2</v>
      </c>
      <c r="C7" s="6" t="s">
        <v>12</v>
      </c>
      <c r="D7" s="6" t="s">
        <v>30</v>
      </c>
      <c r="E7" s="6" t="s">
        <v>75</v>
      </c>
      <c r="F7" s="5" t="s">
        <v>80</v>
      </c>
      <c r="G7" s="24" t="s">
        <v>81</v>
      </c>
      <c r="H7" s="24" t="s">
        <v>82</v>
      </c>
      <c r="I7" s="50" t="s">
        <v>83</v>
      </c>
    </row>
    <row r="8" spans="1:9" ht="54" x14ac:dyDescent="0.3">
      <c r="A8" s="5" t="s">
        <v>53</v>
      </c>
      <c r="B8" s="52">
        <v>3</v>
      </c>
      <c r="C8" s="6" t="s">
        <v>13</v>
      </c>
      <c r="D8" s="6" t="s">
        <v>34</v>
      </c>
      <c r="E8" s="6" t="s">
        <v>75</v>
      </c>
      <c r="F8" s="5" t="s">
        <v>84</v>
      </c>
      <c r="G8" s="24" t="s">
        <v>85</v>
      </c>
      <c r="H8" s="24" t="s">
        <v>52</v>
      </c>
      <c r="I8" s="54" t="s">
        <v>86</v>
      </c>
    </row>
    <row r="9" spans="1:9" ht="54" x14ac:dyDescent="0.3">
      <c r="A9" s="27" t="s">
        <v>55</v>
      </c>
      <c r="B9" s="51">
        <v>1</v>
      </c>
      <c r="C9" s="20" t="s">
        <v>11</v>
      </c>
      <c r="D9" s="20" t="s">
        <v>32</v>
      </c>
      <c r="E9" s="20" t="s">
        <v>75</v>
      </c>
      <c r="F9" s="27" t="s">
        <v>76</v>
      </c>
      <c r="G9" s="31" t="s">
        <v>77</v>
      </c>
      <c r="H9" s="31" t="s">
        <v>78</v>
      </c>
      <c r="I9" s="20" t="s">
        <v>79</v>
      </c>
    </row>
    <row r="10" spans="1:9" ht="54" x14ac:dyDescent="0.3">
      <c r="A10" s="5" t="s">
        <v>55</v>
      </c>
      <c r="B10" s="7">
        <v>2</v>
      </c>
      <c r="C10" s="6" t="s">
        <v>12</v>
      </c>
      <c r="D10" s="6" t="s">
        <v>33</v>
      </c>
      <c r="E10" s="6" t="s">
        <v>75</v>
      </c>
      <c r="F10" s="5" t="s">
        <v>80</v>
      </c>
      <c r="G10" s="24" t="s">
        <v>81</v>
      </c>
      <c r="H10" s="24" t="s">
        <v>82</v>
      </c>
      <c r="I10" s="50" t="s">
        <v>83</v>
      </c>
    </row>
    <row r="11" spans="1:9" ht="54" x14ac:dyDescent="0.3">
      <c r="A11" s="26" t="s">
        <v>55</v>
      </c>
      <c r="B11" s="52">
        <v>3</v>
      </c>
      <c r="C11" s="21" t="s">
        <v>13</v>
      </c>
      <c r="D11" s="21" t="s">
        <v>34</v>
      </c>
      <c r="E11" s="21" t="s">
        <v>75</v>
      </c>
      <c r="F11" s="26" t="s">
        <v>84</v>
      </c>
      <c r="G11" s="71" t="s">
        <v>85</v>
      </c>
      <c r="H11" s="71" t="s">
        <v>52</v>
      </c>
      <c r="I11" s="54" t="s">
        <v>86</v>
      </c>
    </row>
  </sheetData>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 type="list" allowBlank="1" showInputMessage="1" showErrorMessage="1" sqref="D4:D5 D7:D8 D10:D11" xr:uid="{8B694A6C-2F9D-4256-9525-279EF56F94F5}">
      <formula1>INDIRECT($C4)</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2131109-056B-4726-8C6F-55EA011C247B}">
          <x14:formula1>
            <xm:f>'Paso1 Analisis perfil egreso'!$E$3:$E$5</xm:f>
          </x14:formula1>
          <xm:sqref>D3 D6 D9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5"/>
  <sheetViews>
    <sheetView zoomScaleNormal="100" workbookViewId="0"/>
  </sheetViews>
  <sheetFormatPr baseColWidth="10" defaultColWidth="11.44140625" defaultRowHeight="18" x14ac:dyDescent="0.3"/>
  <cols>
    <col min="1" max="1" width="57.21875" style="24" customWidth="1"/>
    <col min="2" max="2" width="43.77734375" style="24" customWidth="1"/>
    <col min="3" max="3" width="48" style="24" customWidth="1"/>
    <col min="4" max="4" width="45.77734375" style="24" customWidth="1"/>
    <col min="5" max="5" width="39.21875" style="24" customWidth="1"/>
    <col min="6" max="6" width="33.44140625" style="24" customWidth="1"/>
    <col min="7" max="16384" width="11.44140625" style="24"/>
  </cols>
  <sheetData>
    <row r="1" spans="1:6" ht="60" x14ac:dyDescent="0.3">
      <c r="A1" s="35" t="s">
        <v>87</v>
      </c>
      <c r="B1" s="35" t="s">
        <v>88</v>
      </c>
      <c r="C1" s="35" t="s">
        <v>89</v>
      </c>
      <c r="D1" s="35" t="s">
        <v>90</v>
      </c>
      <c r="E1" s="35" t="s">
        <v>91</v>
      </c>
      <c r="F1" s="35" t="s">
        <v>92</v>
      </c>
    </row>
    <row r="2" spans="1:6" ht="36.6" thickBot="1" x14ac:dyDescent="0.35">
      <c r="A2" s="38" t="s">
        <v>93</v>
      </c>
      <c r="B2" s="38" t="s">
        <v>94</v>
      </c>
      <c r="C2" s="38" t="s">
        <v>95</v>
      </c>
      <c r="D2" s="38" t="s">
        <v>96</v>
      </c>
      <c r="E2" s="38" t="s">
        <v>97</v>
      </c>
      <c r="F2" s="38" t="s">
        <v>98</v>
      </c>
    </row>
    <row r="3" spans="1:6" ht="72" x14ac:dyDescent="0.3">
      <c r="A3" s="5" t="s">
        <v>79</v>
      </c>
      <c r="B3" s="78" t="s">
        <v>99</v>
      </c>
      <c r="C3" s="91" t="s">
        <v>100</v>
      </c>
      <c r="D3" s="55" t="s">
        <v>101</v>
      </c>
      <c r="E3" s="101" t="s">
        <v>102</v>
      </c>
      <c r="F3" s="29" t="s">
        <v>103</v>
      </c>
    </row>
    <row r="4" spans="1:6" ht="54" x14ac:dyDescent="0.3">
      <c r="A4" s="5" t="s">
        <v>86</v>
      </c>
      <c r="B4" s="79"/>
      <c r="C4" s="92"/>
      <c r="D4" s="25" t="s">
        <v>104</v>
      </c>
      <c r="E4" s="102"/>
      <c r="F4" s="23" t="s">
        <v>103</v>
      </c>
    </row>
    <row r="5" spans="1:6" ht="36" x14ac:dyDescent="0.3">
      <c r="A5" s="5"/>
      <c r="B5" s="79"/>
      <c r="C5" s="92"/>
      <c r="D5" s="50" t="s">
        <v>105</v>
      </c>
      <c r="E5" s="102"/>
      <c r="F5" s="5" t="s">
        <v>106</v>
      </c>
    </row>
    <row r="6" spans="1:6" ht="36.6" thickBot="1" x14ac:dyDescent="0.35">
      <c r="A6" s="26"/>
      <c r="B6" s="80"/>
      <c r="C6" s="93"/>
      <c r="D6" s="56" t="s">
        <v>107</v>
      </c>
      <c r="E6" s="103"/>
      <c r="F6" s="53" t="s">
        <v>108</v>
      </c>
    </row>
    <row r="7" spans="1:6" ht="72" x14ac:dyDescent="0.3">
      <c r="A7" s="5" t="s">
        <v>79</v>
      </c>
      <c r="B7" s="78" t="s">
        <v>109</v>
      </c>
      <c r="C7" s="91" t="s">
        <v>110</v>
      </c>
      <c r="D7" s="55" t="s">
        <v>111</v>
      </c>
      <c r="E7" s="101" t="s">
        <v>112</v>
      </c>
      <c r="F7" s="50" t="s">
        <v>103</v>
      </c>
    </row>
    <row r="8" spans="1:6" ht="54" x14ac:dyDescent="0.3">
      <c r="A8" s="5" t="s">
        <v>86</v>
      </c>
      <c r="B8" s="79"/>
      <c r="C8" s="92"/>
      <c r="D8" s="50" t="s">
        <v>105</v>
      </c>
      <c r="E8" s="102"/>
      <c r="F8" s="50" t="s">
        <v>106</v>
      </c>
    </row>
    <row r="9" spans="1:6" ht="36.6" thickBot="1" x14ac:dyDescent="0.35">
      <c r="A9" s="26"/>
      <c r="B9" s="80"/>
      <c r="C9" s="93"/>
      <c r="D9" s="25" t="s">
        <v>107</v>
      </c>
      <c r="E9" s="103"/>
      <c r="F9" s="50" t="s">
        <v>108</v>
      </c>
    </row>
    <row r="10" spans="1:6" ht="72" x14ac:dyDescent="0.3">
      <c r="A10" s="5" t="s">
        <v>79</v>
      </c>
      <c r="B10" s="78" t="s">
        <v>113</v>
      </c>
      <c r="C10" s="91" t="s">
        <v>114</v>
      </c>
      <c r="D10" s="55" t="s">
        <v>101</v>
      </c>
      <c r="E10" s="101" t="s">
        <v>115</v>
      </c>
      <c r="F10" s="29" t="s">
        <v>103</v>
      </c>
    </row>
    <row r="11" spans="1:6" ht="54" x14ac:dyDescent="0.3">
      <c r="A11" s="5" t="s">
        <v>83</v>
      </c>
      <c r="B11" s="79"/>
      <c r="C11" s="92"/>
      <c r="D11" s="50" t="s">
        <v>105</v>
      </c>
      <c r="E11" s="102"/>
      <c r="F11" s="63" t="s">
        <v>106</v>
      </c>
    </row>
    <row r="12" spans="1:6" ht="36.6" thickBot="1" x14ac:dyDescent="0.35">
      <c r="A12" s="26"/>
      <c r="B12" s="80"/>
      <c r="C12" s="93"/>
      <c r="D12" s="25" t="s">
        <v>107</v>
      </c>
      <c r="E12" s="103"/>
      <c r="F12" s="53" t="s">
        <v>108</v>
      </c>
    </row>
    <row r="13" spans="1:6" ht="72" x14ac:dyDescent="0.3">
      <c r="A13" s="5" t="s">
        <v>79</v>
      </c>
      <c r="B13" s="78" t="s">
        <v>116</v>
      </c>
      <c r="C13" s="91" t="s">
        <v>117</v>
      </c>
      <c r="D13" s="55" t="s">
        <v>101</v>
      </c>
      <c r="E13" s="101" t="s">
        <v>118</v>
      </c>
      <c r="F13" s="23" t="s">
        <v>119</v>
      </c>
    </row>
    <row r="14" spans="1:6" ht="54" x14ac:dyDescent="0.3">
      <c r="A14" s="5" t="s">
        <v>86</v>
      </c>
      <c r="B14" s="79"/>
      <c r="C14" s="92"/>
      <c r="D14" s="50" t="s">
        <v>105</v>
      </c>
      <c r="E14" s="102"/>
      <c r="F14" s="25" t="s">
        <v>106</v>
      </c>
    </row>
    <row r="15" spans="1:6" ht="36.6" thickBot="1" x14ac:dyDescent="0.35">
      <c r="A15" s="26"/>
      <c r="B15" s="80"/>
      <c r="C15" s="93"/>
      <c r="D15" s="56" t="s">
        <v>107</v>
      </c>
      <c r="E15" s="104"/>
      <c r="F15" s="64" t="s">
        <v>108</v>
      </c>
    </row>
    <row r="16" spans="1:6" ht="72" x14ac:dyDescent="0.3">
      <c r="A16" s="5" t="s">
        <v>79</v>
      </c>
      <c r="B16" s="78" t="s">
        <v>120</v>
      </c>
      <c r="C16" s="91" t="s">
        <v>121</v>
      </c>
      <c r="D16" s="55" t="s">
        <v>101</v>
      </c>
      <c r="E16" s="107" t="s">
        <v>122</v>
      </c>
      <c r="F16" s="23" t="s">
        <v>119</v>
      </c>
    </row>
    <row r="17" spans="1:6" ht="54" x14ac:dyDescent="0.3">
      <c r="A17" s="5" t="s">
        <v>86</v>
      </c>
      <c r="B17" s="79"/>
      <c r="C17" s="92"/>
      <c r="D17" s="50" t="s">
        <v>105</v>
      </c>
      <c r="E17" s="102"/>
      <c r="F17" s="23" t="s">
        <v>106</v>
      </c>
    </row>
    <row r="18" spans="1:6" ht="36.6" thickBot="1" x14ac:dyDescent="0.35">
      <c r="A18" s="26"/>
      <c r="B18" s="105"/>
      <c r="C18" s="106"/>
      <c r="D18" s="56" t="s">
        <v>107</v>
      </c>
      <c r="E18" s="104"/>
      <c r="F18" s="64" t="s">
        <v>108</v>
      </c>
    </row>
    <row r="19" spans="1:6" ht="72" x14ac:dyDescent="0.3">
      <c r="A19" s="5" t="s">
        <v>79</v>
      </c>
      <c r="B19" s="78" t="s">
        <v>123</v>
      </c>
      <c r="C19" s="91" t="s">
        <v>124</v>
      </c>
      <c r="D19" s="25" t="s">
        <v>101</v>
      </c>
      <c r="E19" s="101" t="s">
        <v>125</v>
      </c>
      <c r="F19" s="23" t="s">
        <v>119</v>
      </c>
    </row>
    <row r="20" spans="1:6" ht="54" x14ac:dyDescent="0.3">
      <c r="A20" s="5" t="s">
        <v>86</v>
      </c>
      <c r="B20" s="79"/>
      <c r="C20" s="92"/>
      <c r="D20" s="25" t="s">
        <v>105</v>
      </c>
      <c r="E20" s="102"/>
      <c r="F20" s="23" t="s">
        <v>106</v>
      </c>
    </row>
    <row r="21" spans="1:6" ht="36" x14ac:dyDescent="0.3">
      <c r="A21" s="5"/>
      <c r="B21" s="79"/>
      <c r="C21" s="92"/>
      <c r="D21" s="25" t="s">
        <v>126</v>
      </c>
      <c r="E21" s="102"/>
      <c r="F21" s="23" t="s">
        <v>106</v>
      </c>
    </row>
    <row r="22" spans="1:6" ht="36.6" thickBot="1" x14ac:dyDescent="0.35">
      <c r="A22" s="32"/>
      <c r="B22" s="80"/>
      <c r="C22" s="93"/>
      <c r="D22" s="56" t="s">
        <v>107</v>
      </c>
      <c r="E22" s="103"/>
      <c r="F22" s="53" t="s">
        <v>108</v>
      </c>
    </row>
    <row r="23" spans="1:6" ht="72" x14ac:dyDescent="0.3">
      <c r="A23" s="5" t="s">
        <v>79</v>
      </c>
      <c r="B23" s="78" t="s">
        <v>127</v>
      </c>
      <c r="C23" s="91" t="s">
        <v>128</v>
      </c>
      <c r="D23" s="25" t="s">
        <v>101</v>
      </c>
      <c r="E23" s="101" t="s">
        <v>125</v>
      </c>
      <c r="F23" s="23" t="s">
        <v>119</v>
      </c>
    </row>
    <row r="24" spans="1:6" ht="54" x14ac:dyDescent="0.3">
      <c r="A24" s="5" t="s">
        <v>86</v>
      </c>
      <c r="B24" s="79"/>
      <c r="C24" s="92"/>
      <c r="D24" s="25" t="s">
        <v>105</v>
      </c>
      <c r="E24" s="102"/>
      <c r="F24" s="23" t="s">
        <v>106</v>
      </c>
    </row>
    <row r="25" spans="1:6" ht="36.6" thickBot="1" x14ac:dyDescent="0.35">
      <c r="A25" s="26"/>
      <c r="B25" s="80"/>
      <c r="C25" s="93"/>
      <c r="D25" s="56" t="s">
        <v>107</v>
      </c>
      <c r="E25" s="103"/>
      <c r="F25" s="53" t="s">
        <v>108</v>
      </c>
    </row>
  </sheetData>
  <mergeCells count="21">
    <mergeCell ref="E3:E6"/>
    <mergeCell ref="B7:B9"/>
    <mergeCell ref="C7:C9"/>
    <mergeCell ref="E7:E9"/>
    <mergeCell ref="B10:B12"/>
    <mergeCell ref="C10:C12"/>
    <mergeCell ref="E10:E12"/>
    <mergeCell ref="B3:B6"/>
    <mergeCell ref="C3:C6"/>
    <mergeCell ref="E13:E15"/>
    <mergeCell ref="B16:B18"/>
    <mergeCell ref="C16:C18"/>
    <mergeCell ref="E16:E18"/>
    <mergeCell ref="B13:B15"/>
    <mergeCell ref="C13:C15"/>
    <mergeCell ref="E19:E22"/>
    <mergeCell ref="B23:B25"/>
    <mergeCell ref="C23:C25"/>
    <mergeCell ref="E23:E25"/>
    <mergeCell ref="B19:B22"/>
    <mergeCell ref="C19:C22"/>
  </mergeCells>
  <dataValidations count="1">
    <dataValidation type="list" allowBlank="1" showInputMessage="1" showErrorMessage="1" sqref="A23:A25 A3:A21" xr:uid="{3809FD9E-C184-4096-95E4-A87EBEFB4EA5}">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33"/>
  <sheetViews>
    <sheetView tabSelected="1" zoomScaleNormal="100" workbookViewId="0">
      <selection activeCell="E2" sqref="E2"/>
    </sheetView>
  </sheetViews>
  <sheetFormatPr baseColWidth="10" defaultColWidth="11.44140625" defaultRowHeight="18" x14ac:dyDescent="0.3"/>
  <cols>
    <col min="1" max="1" width="11.21875" style="5" customWidth="1"/>
    <col min="2" max="2" width="57" style="5" customWidth="1"/>
    <col min="3" max="3" width="17.21875" style="5" customWidth="1"/>
    <col min="4" max="4" width="26.5546875" style="5" customWidth="1"/>
    <col min="5" max="5" width="57" style="6" customWidth="1"/>
    <col min="6" max="6" width="27.21875" style="7" customWidth="1"/>
    <col min="7" max="7" width="16.77734375" style="7" customWidth="1"/>
    <col min="8" max="8" width="18.21875" style="7" customWidth="1"/>
    <col min="9" max="9" width="13.5546875" style="7" customWidth="1"/>
    <col min="10" max="10" width="20.44140625" style="7" customWidth="1"/>
    <col min="11" max="11" width="24.44140625" style="7" customWidth="1"/>
    <col min="12" max="12" width="11.21875" style="7" customWidth="1"/>
    <col min="13" max="14" width="40.77734375" style="6" customWidth="1"/>
    <col min="15" max="15" width="50.21875" style="6" customWidth="1"/>
    <col min="16" max="16" width="69.21875" style="6" customWidth="1"/>
    <col min="17" max="16384" width="11.44140625" style="5"/>
  </cols>
  <sheetData>
    <row r="1" spans="1:17" s="7" customFormat="1" ht="60" x14ac:dyDescent="0.3">
      <c r="A1" s="35" t="s">
        <v>129</v>
      </c>
      <c r="B1" s="35" t="s">
        <v>130</v>
      </c>
      <c r="C1" s="35" t="s">
        <v>131</v>
      </c>
      <c r="D1" s="35" t="s">
        <v>132</v>
      </c>
      <c r="E1" s="35" t="s">
        <v>133</v>
      </c>
      <c r="F1" s="35" t="s">
        <v>134</v>
      </c>
      <c r="G1" s="87" t="s">
        <v>135</v>
      </c>
      <c r="H1" s="88"/>
      <c r="I1" s="35" t="s">
        <v>136</v>
      </c>
      <c r="J1" s="35" t="s">
        <v>137</v>
      </c>
      <c r="K1" s="35" t="s">
        <v>138</v>
      </c>
      <c r="L1" s="35" t="s">
        <v>139</v>
      </c>
      <c r="M1" s="35" t="s">
        <v>140</v>
      </c>
      <c r="N1" s="35" t="s">
        <v>141</v>
      </c>
      <c r="O1" s="35" t="s">
        <v>142</v>
      </c>
      <c r="P1" s="35" t="s">
        <v>143</v>
      </c>
    </row>
    <row r="2" spans="1:17" s="7" customFormat="1" ht="36" x14ac:dyDescent="0.3">
      <c r="A2" s="38" t="s">
        <v>144</v>
      </c>
      <c r="B2" s="38" t="s">
        <v>93</v>
      </c>
      <c r="C2" s="38" t="s">
        <v>145</v>
      </c>
      <c r="D2" s="38" t="s">
        <v>146</v>
      </c>
      <c r="E2" s="38" t="s">
        <v>147</v>
      </c>
      <c r="F2" s="38" t="s">
        <v>148</v>
      </c>
      <c r="G2" s="43" t="s">
        <v>670</v>
      </c>
      <c r="H2" s="43" t="s">
        <v>149</v>
      </c>
      <c r="I2" s="38" t="s">
        <v>150</v>
      </c>
      <c r="J2" s="38" t="s">
        <v>151</v>
      </c>
      <c r="K2" s="38" t="s">
        <v>152</v>
      </c>
      <c r="L2" s="38" t="s">
        <v>153</v>
      </c>
      <c r="M2" s="38" t="s">
        <v>154</v>
      </c>
      <c r="N2" s="38" t="s">
        <v>155</v>
      </c>
      <c r="O2" s="38" t="s">
        <v>156</v>
      </c>
      <c r="P2" s="38" t="s">
        <v>157</v>
      </c>
    </row>
    <row r="3" spans="1:17" ht="72" x14ac:dyDescent="0.3">
      <c r="A3" s="5" t="str">
        <f>_xlfn.XLOOKUP(B3,'Paso 3 Redacción RA '!I$3:I$11,'Paso 3 Redacción RA '!C$3:C$11,,0,1)</f>
        <v>Saber</v>
      </c>
      <c r="B3" s="5" t="s">
        <v>79</v>
      </c>
      <c r="C3" s="73">
        <v>1</v>
      </c>
      <c r="D3" s="73" t="s">
        <v>158</v>
      </c>
      <c r="E3" s="76" t="s">
        <v>159</v>
      </c>
      <c r="F3" s="79" t="s">
        <v>160</v>
      </c>
      <c r="G3" s="79" t="s">
        <v>161</v>
      </c>
      <c r="H3" s="79"/>
      <c r="I3" s="79">
        <v>3</v>
      </c>
      <c r="J3" s="79">
        <f>12*I3</f>
        <v>36</v>
      </c>
      <c r="K3" s="79">
        <f>36*I3</f>
        <v>108</v>
      </c>
      <c r="L3" s="79">
        <f>SUM(J3:K5)</f>
        <v>144</v>
      </c>
      <c r="M3" s="86" t="s">
        <v>162</v>
      </c>
      <c r="N3" s="86" t="s">
        <v>163</v>
      </c>
      <c r="O3" s="82" t="s">
        <v>164</v>
      </c>
      <c r="P3" s="86" t="s">
        <v>165</v>
      </c>
      <c r="Q3" s="5" t="s">
        <v>56</v>
      </c>
    </row>
    <row r="4" spans="1:17" ht="54" x14ac:dyDescent="0.3">
      <c r="A4" s="5" t="str">
        <f>_xlfn.XLOOKUP(B4,'Paso 3 Redacción RA '!I$3:I$11,'Paso 3 Redacción RA '!C$3:C$11,,0,1)</f>
        <v>Saberhacer</v>
      </c>
      <c r="B4" s="5" t="s">
        <v>83</v>
      </c>
      <c r="C4" s="73"/>
      <c r="D4" s="73"/>
      <c r="E4" s="76"/>
      <c r="F4" s="79"/>
      <c r="G4" s="79"/>
      <c r="H4" s="79"/>
      <c r="I4" s="79"/>
      <c r="J4" s="79"/>
      <c r="K4" s="79"/>
      <c r="L4" s="79"/>
      <c r="M4" s="86"/>
      <c r="N4" s="86"/>
      <c r="O4" s="82"/>
      <c r="P4" s="86"/>
    </row>
    <row r="5" spans="1:17" ht="54" x14ac:dyDescent="0.3">
      <c r="A5" s="26" t="str">
        <f>_xlfn.XLOOKUP(B5,'Paso 3 Redacción RA '!I$3:I$11,'Paso 3 Redacción RA '!C$3:C$11,,0,1)</f>
        <v>Saberser</v>
      </c>
      <c r="B5" s="26" t="s">
        <v>86</v>
      </c>
      <c r="C5" s="74"/>
      <c r="D5" s="74"/>
      <c r="E5" s="77"/>
      <c r="F5" s="80"/>
      <c r="G5" s="80"/>
      <c r="H5" s="80"/>
      <c r="I5" s="80"/>
      <c r="J5" s="80"/>
      <c r="K5" s="80"/>
      <c r="L5" s="80"/>
      <c r="M5" s="85"/>
      <c r="N5" s="85"/>
      <c r="O5" s="83"/>
      <c r="P5" s="85"/>
    </row>
    <row r="6" spans="1:17" ht="72" x14ac:dyDescent="0.5">
      <c r="A6" s="27" t="str">
        <f>_xlfn.XLOOKUP(B6,'Paso 3 Redacción RA '!I$3:I$11,'Paso 3 Redacción RA '!C$3:C$11,,0,1)</f>
        <v>Saber</v>
      </c>
      <c r="B6" s="28" t="s">
        <v>79</v>
      </c>
      <c r="C6" s="72">
        <v>1</v>
      </c>
      <c r="D6" s="72" t="s">
        <v>166</v>
      </c>
      <c r="E6" s="89" t="s">
        <v>167</v>
      </c>
      <c r="F6" s="72" t="s">
        <v>160</v>
      </c>
      <c r="G6" s="78"/>
      <c r="H6" s="78" t="s">
        <v>161</v>
      </c>
      <c r="I6" s="78">
        <v>3</v>
      </c>
      <c r="J6" s="78">
        <f>12*I6</f>
        <v>36</v>
      </c>
      <c r="K6" s="78">
        <f>36*I6</f>
        <v>108</v>
      </c>
      <c r="L6" s="78">
        <f>SUM(J6:K7)</f>
        <v>144</v>
      </c>
      <c r="M6" s="84" t="s">
        <v>168</v>
      </c>
      <c r="N6" s="84" t="s">
        <v>163</v>
      </c>
      <c r="O6" s="81" t="s">
        <v>169</v>
      </c>
      <c r="P6" s="84" t="s">
        <v>170</v>
      </c>
    </row>
    <row r="7" spans="1:17" ht="54" x14ac:dyDescent="0.5">
      <c r="A7" s="26" t="str">
        <f>_xlfn.XLOOKUP(B7,'Paso 3 Redacción RA '!I$3:I$11,'Paso 3 Redacción RA '!C$3:C$11,,0,1)</f>
        <v>Saberser</v>
      </c>
      <c r="B7" s="30" t="s">
        <v>86</v>
      </c>
      <c r="C7" s="74"/>
      <c r="D7" s="74"/>
      <c r="E7" s="90"/>
      <c r="F7" s="74"/>
      <c r="G7" s="80"/>
      <c r="H7" s="80"/>
      <c r="I7" s="80"/>
      <c r="J7" s="80"/>
      <c r="K7" s="80"/>
      <c r="L7" s="80"/>
      <c r="M7" s="85"/>
      <c r="N7" s="85"/>
      <c r="O7" s="83"/>
      <c r="P7" s="85"/>
    </row>
    <row r="8" spans="1:17" ht="72" x14ac:dyDescent="0.3">
      <c r="A8" s="5" t="str">
        <f>_xlfn.XLOOKUP(B8,'Paso 3 Redacción RA '!I$3:I$11,'Paso 3 Redacción RA '!C$3:C$11,,0,1)</f>
        <v>Saber</v>
      </c>
      <c r="B8" s="27" t="s">
        <v>79</v>
      </c>
      <c r="C8" s="72">
        <v>1</v>
      </c>
      <c r="D8" s="72" t="s">
        <v>171</v>
      </c>
      <c r="E8" s="75" t="s">
        <v>172</v>
      </c>
      <c r="F8" s="72" t="s">
        <v>160</v>
      </c>
      <c r="G8" s="78" t="s">
        <v>161</v>
      </c>
      <c r="H8" s="78"/>
      <c r="I8" s="78">
        <v>2</v>
      </c>
      <c r="J8" s="78">
        <f>12*I8</f>
        <v>24</v>
      </c>
      <c r="K8" s="78">
        <f>36*I8</f>
        <v>72</v>
      </c>
      <c r="L8" s="78">
        <f>SUM(J8:K8)</f>
        <v>96</v>
      </c>
      <c r="M8" s="81" t="s">
        <v>173</v>
      </c>
      <c r="N8" s="84" t="s">
        <v>174</v>
      </c>
      <c r="O8" s="81" t="s">
        <v>169</v>
      </c>
      <c r="P8" s="84" t="s">
        <v>165</v>
      </c>
    </row>
    <row r="9" spans="1:17" ht="54" x14ac:dyDescent="0.3">
      <c r="A9" s="5" t="str">
        <f>_xlfn.XLOOKUP(B9,'Paso 3 Redacción RA '!I$3:I$11,'Paso 3 Redacción RA '!C$3:C$11,,0,1)</f>
        <v>Saberhacer</v>
      </c>
      <c r="B9" s="5" t="s">
        <v>83</v>
      </c>
      <c r="C9" s="73"/>
      <c r="D9" s="73"/>
      <c r="E9" s="76"/>
      <c r="F9" s="73"/>
      <c r="G9" s="79"/>
      <c r="H9" s="79"/>
      <c r="I9" s="79"/>
      <c r="J9" s="79"/>
      <c r="K9" s="79"/>
      <c r="L9" s="79"/>
      <c r="M9" s="82"/>
      <c r="N9" s="86"/>
      <c r="O9" s="82"/>
      <c r="P9" s="86"/>
    </row>
    <row r="10" spans="1:17" ht="54" x14ac:dyDescent="0.3">
      <c r="A10" s="26" t="str">
        <f>_xlfn.XLOOKUP(B10,'Paso 3 Redacción RA '!I$3:I$11,'Paso 3 Redacción RA '!C$3:C$11,,0,1)</f>
        <v>Saberser</v>
      </c>
      <c r="B10" s="26" t="s">
        <v>86</v>
      </c>
      <c r="C10" s="74"/>
      <c r="D10" s="74"/>
      <c r="E10" s="77"/>
      <c r="F10" s="74"/>
      <c r="G10" s="80"/>
      <c r="H10" s="80"/>
      <c r="I10" s="80"/>
      <c r="J10" s="80"/>
      <c r="K10" s="80"/>
      <c r="L10" s="80"/>
      <c r="M10" s="83"/>
      <c r="N10" s="85"/>
      <c r="O10" s="83"/>
      <c r="P10" s="85"/>
    </row>
    <row r="11" spans="1:17" ht="72" x14ac:dyDescent="0.3">
      <c r="A11" s="5" t="str">
        <f>_xlfn.XLOOKUP(B11,'Paso 3 Redacción RA '!I$3:I$11,'Paso 3 Redacción RA '!C$3:C$11,,0,1)</f>
        <v>Saber</v>
      </c>
      <c r="B11" s="27" t="s">
        <v>79</v>
      </c>
      <c r="C11" s="72">
        <v>1</v>
      </c>
      <c r="D11" s="72" t="s">
        <v>175</v>
      </c>
      <c r="E11" s="75" t="s">
        <v>176</v>
      </c>
      <c r="F11" s="72" t="s">
        <v>160</v>
      </c>
      <c r="G11" s="72" t="s">
        <v>161</v>
      </c>
      <c r="H11" s="72"/>
      <c r="I11" s="78">
        <v>2</v>
      </c>
      <c r="J11" s="78">
        <f>12*I11</f>
        <v>24</v>
      </c>
      <c r="K11" s="78">
        <f>36*I11</f>
        <v>72</v>
      </c>
      <c r="L11" s="78">
        <f>SUM(J11:K11)</f>
        <v>96</v>
      </c>
      <c r="M11" s="75" t="s">
        <v>668</v>
      </c>
      <c r="N11" s="75" t="s">
        <v>174</v>
      </c>
      <c r="O11" s="81" t="s">
        <v>177</v>
      </c>
      <c r="P11" s="84" t="s">
        <v>165</v>
      </c>
    </row>
    <row r="12" spans="1:17" ht="54" x14ac:dyDescent="0.3">
      <c r="A12" s="26" t="str">
        <f>_xlfn.XLOOKUP(B12,'Paso 3 Redacción RA '!I$3:I$11,'Paso 3 Redacción RA '!C$3:C$11,,0,1)</f>
        <v>Saberser</v>
      </c>
      <c r="B12" s="26" t="s">
        <v>86</v>
      </c>
      <c r="C12" s="74"/>
      <c r="D12" s="74"/>
      <c r="E12" s="77"/>
      <c r="F12" s="74"/>
      <c r="G12" s="74"/>
      <c r="H12" s="74"/>
      <c r="I12" s="80"/>
      <c r="J12" s="80"/>
      <c r="K12" s="80"/>
      <c r="L12" s="80"/>
      <c r="M12" s="77"/>
      <c r="N12" s="77"/>
      <c r="O12" s="83"/>
      <c r="P12" s="85"/>
    </row>
    <row r="13" spans="1:17" ht="72" x14ac:dyDescent="0.3">
      <c r="A13" s="27" t="str">
        <f>_xlfn.XLOOKUP(B13,'Paso 3 Redacción RA '!I$3:I$11,'Paso 3 Redacción RA '!C$3:C$11,,0,1)</f>
        <v>Saber</v>
      </c>
      <c r="B13" s="29" t="s">
        <v>79</v>
      </c>
      <c r="C13" s="72">
        <v>1</v>
      </c>
      <c r="D13" s="72" t="s">
        <v>178</v>
      </c>
      <c r="E13" s="75" t="s">
        <v>179</v>
      </c>
      <c r="F13" s="72" t="s">
        <v>160</v>
      </c>
      <c r="G13" s="72"/>
      <c r="H13" s="78" t="s">
        <v>161</v>
      </c>
      <c r="I13" s="94">
        <v>2</v>
      </c>
      <c r="J13" s="78">
        <f>12*I13</f>
        <v>24</v>
      </c>
      <c r="K13" s="78">
        <f>36*I13</f>
        <v>72</v>
      </c>
      <c r="L13" s="78">
        <f>SUM(J13:K15)</f>
        <v>96</v>
      </c>
      <c r="M13" s="91" t="s">
        <v>180</v>
      </c>
      <c r="N13" s="75" t="s">
        <v>163</v>
      </c>
      <c r="O13" s="81" t="s">
        <v>169</v>
      </c>
      <c r="P13" s="75" t="s">
        <v>165</v>
      </c>
    </row>
    <row r="14" spans="1:17" ht="54" x14ac:dyDescent="0.3">
      <c r="A14" s="5" t="str">
        <f>_xlfn.XLOOKUP(B14,'Paso 3 Redacción RA '!I$3:I$11,'Paso 3 Redacción RA '!C$3:C$11,,0,1)</f>
        <v>Saberhacer</v>
      </c>
      <c r="B14" s="5" t="s">
        <v>83</v>
      </c>
      <c r="C14" s="73"/>
      <c r="D14" s="73"/>
      <c r="E14" s="76"/>
      <c r="F14" s="73"/>
      <c r="G14" s="73"/>
      <c r="H14" s="79"/>
      <c r="I14" s="95"/>
      <c r="J14" s="79"/>
      <c r="K14" s="79"/>
      <c r="L14" s="79"/>
      <c r="M14" s="92"/>
      <c r="N14" s="76"/>
      <c r="O14" s="82"/>
      <c r="P14" s="76"/>
    </row>
    <row r="15" spans="1:17" ht="54" x14ac:dyDescent="0.3">
      <c r="A15" s="26" t="str">
        <f>_xlfn.XLOOKUP(B15,'Paso 3 Redacción RA '!I$3:I$11,'Paso 3 Redacción RA '!C$3:C$11,,0,1)</f>
        <v>Saberser</v>
      </c>
      <c r="B15" s="26" t="s">
        <v>86</v>
      </c>
      <c r="C15" s="74"/>
      <c r="D15" s="74"/>
      <c r="E15" s="77"/>
      <c r="F15" s="74"/>
      <c r="G15" s="74"/>
      <c r="H15" s="80"/>
      <c r="I15" s="96"/>
      <c r="J15" s="80"/>
      <c r="K15" s="80"/>
      <c r="L15" s="80"/>
      <c r="M15" s="93"/>
      <c r="N15" s="77"/>
      <c r="O15" s="83"/>
      <c r="P15" s="77"/>
    </row>
    <row r="16" spans="1:17" ht="72" x14ac:dyDescent="0.3">
      <c r="A16" s="5" t="str">
        <f>_xlfn.XLOOKUP(B16,'Paso 3 Redacción RA '!I$3:I$11,'Paso 3 Redacción RA '!C$3:C$11,,0,1)</f>
        <v>Saber</v>
      </c>
      <c r="B16" s="27" t="s">
        <v>79</v>
      </c>
      <c r="C16" s="72">
        <v>2</v>
      </c>
      <c r="D16" s="72" t="s">
        <v>181</v>
      </c>
      <c r="E16" s="75" t="s">
        <v>182</v>
      </c>
      <c r="F16" s="72" t="s">
        <v>160</v>
      </c>
      <c r="G16" s="72"/>
      <c r="H16" s="72" t="s">
        <v>161</v>
      </c>
      <c r="I16" s="72">
        <v>2</v>
      </c>
      <c r="J16" s="72">
        <f>12*I16</f>
        <v>24</v>
      </c>
      <c r="K16" s="72">
        <f>36*I16</f>
        <v>72</v>
      </c>
      <c r="L16" s="72">
        <f>SUM(J16:K18)</f>
        <v>96</v>
      </c>
      <c r="M16" s="75" t="s">
        <v>183</v>
      </c>
      <c r="N16" s="75" t="s">
        <v>163</v>
      </c>
      <c r="O16" s="81" t="s">
        <v>164</v>
      </c>
      <c r="P16" s="75" t="s">
        <v>165</v>
      </c>
    </row>
    <row r="17" spans="1:16" ht="54" x14ac:dyDescent="0.3">
      <c r="A17" s="5" t="str">
        <f>_xlfn.XLOOKUP(B17,'Paso 3 Redacción RA '!I$3:I$11,'Paso 3 Redacción RA '!C$3:C$11,,0,1)</f>
        <v>Saberhacer</v>
      </c>
      <c r="B17" s="5" t="s">
        <v>83</v>
      </c>
      <c r="C17" s="73"/>
      <c r="D17" s="73"/>
      <c r="E17" s="76"/>
      <c r="F17" s="73"/>
      <c r="G17" s="73"/>
      <c r="H17" s="73"/>
      <c r="I17" s="73"/>
      <c r="J17" s="73"/>
      <c r="K17" s="73"/>
      <c r="L17" s="73"/>
      <c r="M17" s="76"/>
      <c r="N17" s="76"/>
      <c r="O17" s="82"/>
      <c r="P17" s="76"/>
    </row>
    <row r="18" spans="1:16" ht="54" x14ac:dyDescent="0.3">
      <c r="A18" s="26" t="str">
        <f>_xlfn.XLOOKUP(B18,'Paso 3 Redacción RA '!I$3:I$11,'Paso 3 Redacción RA '!C$3:C$11,,0,1)</f>
        <v>Saberser</v>
      </c>
      <c r="B18" s="26" t="s">
        <v>86</v>
      </c>
      <c r="C18" s="74"/>
      <c r="D18" s="74"/>
      <c r="E18" s="77"/>
      <c r="F18" s="74"/>
      <c r="G18" s="74"/>
      <c r="H18" s="74"/>
      <c r="I18" s="74"/>
      <c r="J18" s="74"/>
      <c r="K18" s="74"/>
      <c r="L18" s="74"/>
      <c r="M18" s="77"/>
      <c r="N18" s="77"/>
      <c r="O18" s="83"/>
      <c r="P18" s="77"/>
    </row>
    <row r="19" spans="1:16" ht="72" x14ac:dyDescent="0.3">
      <c r="A19" s="27" t="str">
        <f>_xlfn.XLOOKUP(B19,'Paso 3 Redacción RA '!I$3:I$11,'Paso 3 Redacción RA '!C$3:C$11,,0,1)</f>
        <v>Saber</v>
      </c>
      <c r="B19" s="27" t="s">
        <v>79</v>
      </c>
      <c r="C19" s="72">
        <v>2</v>
      </c>
      <c r="D19" s="72" t="s">
        <v>184</v>
      </c>
      <c r="E19" s="75" t="s">
        <v>185</v>
      </c>
      <c r="F19" s="72" t="s">
        <v>160</v>
      </c>
      <c r="G19" s="72"/>
      <c r="H19" s="72" t="s">
        <v>161</v>
      </c>
      <c r="I19" s="78">
        <v>2</v>
      </c>
      <c r="J19" s="78">
        <f>I19*12</f>
        <v>24</v>
      </c>
      <c r="K19" s="78">
        <f>I19*36</f>
        <v>72</v>
      </c>
      <c r="L19" s="78">
        <f>SUM(J19:K21)</f>
        <v>96</v>
      </c>
      <c r="M19" s="75" t="s">
        <v>186</v>
      </c>
      <c r="N19" s="75" t="s">
        <v>163</v>
      </c>
      <c r="O19" s="81" t="s">
        <v>164</v>
      </c>
      <c r="P19" s="75" t="s">
        <v>165</v>
      </c>
    </row>
    <row r="20" spans="1:16" ht="54" x14ac:dyDescent="0.3">
      <c r="A20" s="5" t="str">
        <f>_xlfn.XLOOKUP(B20,'Paso 3 Redacción RA '!I$3:I$11,'Paso 3 Redacción RA '!C$3:C$11,,0,1)</f>
        <v>Saberhacer</v>
      </c>
      <c r="B20" s="5" t="s">
        <v>83</v>
      </c>
      <c r="C20" s="73"/>
      <c r="D20" s="73"/>
      <c r="E20" s="76"/>
      <c r="F20" s="73"/>
      <c r="G20" s="73"/>
      <c r="H20" s="73"/>
      <c r="I20" s="79"/>
      <c r="J20" s="79"/>
      <c r="K20" s="79"/>
      <c r="L20" s="79"/>
      <c r="M20" s="76"/>
      <c r="N20" s="76"/>
      <c r="O20" s="82"/>
      <c r="P20" s="76"/>
    </row>
    <row r="21" spans="1:16" ht="54" x14ac:dyDescent="0.3">
      <c r="A21" s="26" t="str">
        <f>_xlfn.XLOOKUP(B21,'Paso 3 Redacción RA '!I$3:I$11,'Paso 3 Redacción RA '!C$3:C$11,,0,1)</f>
        <v>Saberser</v>
      </c>
      <c r="B21" s="26" t="s">
        <v>86</v>
      </c>
      <c r="C21" s="74"/>
      <c r="D21" s="74"/>
      <c r="E21" s="77"/>
      <c r="F21" s="74"/>
      <c r="G21" s="74"/>
      <c r="H21" s="74"/>
      <c r="I21" s="80"/>
      <c r="J21" s="80"/>
      <c r="K21" s="80"/>
      <c r="L21" s="80"/>
      <c r="M21" s="77"/>
      <c r="N21" s="77"/>
      <c r="O21" s="83"/>
      <c r="P21" s="77"/>
    </row>
    <row r="22" spans="1:16" ht="72" x14ac:dyDescent="0.3">
      <c r="A22" s="5" t="str">
        <f>_xlfn.XLOOKUP(B22,'Paso 3 Redacción RA '!I$3:I$11,'Paso 3 Redacción RA '!C$3:C$11,,0,1)</f>
        <v>Saber</v>
      </c>
      <c r="B22" s="27" t="s">
        <v>79</v>
      </c>
      <c r="C22" s="72">
        <v>2</v>
      </c>
      <c r="D22" s="72" t="s">
        <v>187</v>
      </c>
      <c r="E22" s="75" t="s">
        <v>188</v>
      </c>
      <c r="F22" s="72" t="s">
        <v>160</v>
      </c>
      <c r="G22" s="72"/>
      <c r="H22" s="72" t="s">
        <v>161</v>
      </c>
      <c r="I22" s="78">
        <v>3</v>
      </c>
      <c r="J22" s="78">
        <f>I22*12</f>
        <v>36</v>
      </c>
      <c r="K22" s="78">
        <f>I22*36</f>
        <v>108</v>
      </c>
      <c r="L22" s="78">
        <f>SUM(J22:K22)</f>
        <v>144</v>
      </c>
      <c r="M22" s="75" t="s">
        <v>189</v>
      </c>
      <c r="N22" s="75" t="s">
        <v>190</v>
      </c>
      <c r="O22" s="81" t="s">
        <v>164</v>
      </c>
      <c r="P22" s="75" t="s">
        <v>165</v>
      </c>
    </row>
    <row r="23" spans="1:16" ht="54" x14ac:dyDescent="0.3">
      <c r="A23" s="5" t="str">
        <f>_xlfn.XLOOKUP(B23,'Paso 3 Redacción RA '!I$3:I$11,'Paso 3 Redacción RA '!C$3:C$11,,0,1)</f>
        <v>Saberhacer</v>
      </c>
      <c r="B23" s="5" t="s">
        <v>83</v>
      </c>
      <c r="C23" s="73"/>
      <c r="D23" s="73"/>
      <c r="E23" s="76"/>
      <c r="F23" s="73"/>
      <c r="G23" s="73"/>
      <c r="H23" s="73"/>
      <c r="I23" s="79"/>
      <c r="J23" s="79"/>
      <c r="K23" s="79"/>
      <c r="L23" s="79"/>
      <c r="M23" s="76"/>
      <c r="N23" s="76"/>
      <c r="O23" s="82"/>
      <c r="P23" s="76"/>
    </row>
    <row r="24" spans="1:16" ht="54" x14ac:dyDescent="0.3">
      <c r="A24" s="26" t="str">
        <f>_xlfn.XLOOKUP(B24,'Paso 3 Redacción RA '!I$3:I$11,'Paso 3 Redacción RA '!C$3:C$11,,0,1)</f>
        <v>Saberser</v>
      </c>
      <c r="B24" s="26" t="s">
        <v>86</v>
      </c>
      <c r="C24" s="74"/>
      <c r="D24" s="74"/>
      <c r="E24" s="77"/>
      <c r="F24" s="74"/>
      <c r="G24" s="74"/>
      <c r="H24" s="74"/>
      <c r="I24" s="80"/>
      <c r="J24" s="80"/>
      <c r="K24" s="80"/>
      <c r="L24" s="80"/>
      <c r="M24" s="77"/>
      <c r="N24" s="77"/>
      <c r="O24" s="83"/>
      <c r="P24" s="77"/>
    </row>
    <row r="25" spans="1:16" ht="72" x14ac:dyDescent="0.3">
      <c r="A25" s="27" t="str">
        <f>_xlfn.XLOOKUP(B25,'Paso 3 Redacción RA '!I$3:I$11,'Paso 3 Redacción RA '!C$3:C$11,,0,1)</f>
        <v>Saber</v>
      </c>
      <c r="B25" s="27" t="s">
        <v>79</v>
      </c>
      <c r="C25" s="72">
        <v>2</v>
      </c>
      <c r="D25" s="72" t="s">
        <v>191</v>
      </c>
      <c r="E25" s="75" t="s">
        <v>192</v>
      </c>
      <c r="F25" s="72" t="s">
        <v>160</v>
      </c>
      <c r="G25" s="72"/>
      <c r="H25" s="72" t="s">
        <v>161</v>
      </c>
      <c r="I25" s="78">
        <v>3</v>
      </c>
      <c r="J25" s="78">
        <f>I25*12</f>
        <v>36</v>
      </c>
      <c r="K25" s="78">
        <f>I25*36</f>
        <v>108</v>
      </c>
      <c r="L25" s="78">
        <f>SUM(J25:K25)</f>
        <v>144</v>
      </c>
      <c r="M25" s="75" t="s">
        <v>193</v>
      </c>
      <c r="N25" s="75" t="s">
        <v>163</v>
      </c>
      <c r="O25" s="81" t="s">
        <v>169</v>
      </c>
      <c r="P25" s="75" t="s">
        <v>165</v>
      </c>
    </row>
    <row r="26" spans="1:16" ht="54" x14ac:dyDescent="0.3">
      <c r="A26" s="5" t="str">
        <f>_xlfn.XLOOKUP(B26,'Paso 3 Redacción RA '!I$3:I$11,'Paso 3 Redacción RA '!C$3:C$11,,0,1)</f>
        <v>Saberhacer</v>
      </c>
      <c r="B26" s="5" t="s">
        <v>83</v>
      </c>
      <c r="C26" s="73"/>
      <c r="D26" s="73"/>
      <c r="E26" s="76"/>
      <c r="F26" s="73"/>
      <c r="G26" s="73"/>
      <c r="H26" s="73"/>
      <c r="I26" s="79"/>
      <c r="J26" s="79"/>
      <c r="K26" s="79"/>
      <c r="L26" s="79"/>
      <c r="M26" s="76"/>
      <c r="N26" s="76"/>
      <c r="O26" s="82"/>
      <c r="P26" s="76"/>
    </row>
    <row r="27" spans="1:16" ht="54" x14ac:dyDescent="0.3">
      <c r="A27" s="26" t="str">
        <f>_xlfn.XLOOKUP(B27,'Paso 3 Redacción RA '!I$3:I$11,'Paso 3 Redacción RA '!C$3:C$11,,0,1)</f>
        <v>Saberser</v>
      </c>
      <c r="B27" s="26" t="s">
        <v>86</v>
      </c>
      <c r="C27" s="74"/>
      <c r="D27" s="74"/>
      <c r="E27" s="77"/>
      <c r="F27" s="74"/>
      <c r="G27" s="74"/>
      <c r="H27" s="74"/>
      <c r="I27" s="80"/>
      <c r="J27" s="80"/>
      <c r="K27" s="80"/>
      <c r="L27" s="80"/>
      <c r="M27" s="77"/>
      <c r="N27" s="77"/>
      <c r="O27" s="83"/>
      <c r="P27" s="77"/>
    </row>
    <row r="28" spans="1:16" ht="72" x14ac:dyDescent="0.3">
      <c r="A28" s="27" t="str">
        <f>_xlfn.XLOOKUP(B28,'Paso 3 Redacción RA '!I$3:I$11,'Paso 3 Redacción RA '!C$3:C$11,,0,1)</f>
        <v>Saber</v>
      </c>
      <c r="B28" s="5" t="s">
        <v>79</v>
      </c>
      <c r="C28" s="72">
        <v>2</v>
      </c>
      <c r="D28" s="72" t="s">
        <v>194</v>
      </c>
      <c r="E28" s="75" t="s">
        <v>195</v>
      </c>
      <c r="F28" s="72" t="s">
        <v>160</v>
      </c>
      <c r="G28" s="72"/>
      <c r="H28" s="72" t="s">
        <v>161</v>
      </c>
      <c r="I28" s="78">
        <v>3</v>
      </c>
      <c r="J28" s="78">
        <f>I28*12</f>
        <v>36</v>
      </c>
      <c r="K28" s="78">
        <f>I28*36</f>
        <v>108</v>
      </c>
      <c r="L28" s="78">
        <f>SUM(J28:K28)</f>
        <v>144</v>
      </c>
      <c r="M28" s="75" t="s">
        <v>196</v>
      </c>
      <c r="N28" s="75" t="s">
        <v>190</v>
      </c>
      <c r="O28" s="81" t="s">
        <v>164</v>
      </c>
      <c r="P28" s="75" t="s">
        <v>165</v>
      </c>
    </row>
    <row r="29" spans="1:16" ht="54" x14ac:dyDescent="0.3">
      <c r="A29" s="5" t="str">
        <f>_xlfn.XLOOKUP(B29,'Paso 3 Redacción RA '!I$3:I$11,'Paso 3 Redacción RA '!C$3:C$11,,0,1)</f>
        <v>Saberhacer</v>
      </c>
      <c r="B29" s="5" t="s">
        <v>83</v>
      </c>
      <c r="C29" s="73"/>
      <c r="D29" s="73"/>
      <c r="E29" s="76"/>
      <c r="F29" s="73"/>
      <c r="G29" s="73"/>
      <c r="H29" s="73"/>
      <c r="I29" s="79"/>
      <c r="J29" s="79"/>
      <c r="K29" s="79"/>
      <c r="L29" s="79"/>
      <c r="M29" s="76"/>
      <c r="N29" s="76"/>
      <c r="O29" s="82"/>
      <c r="P29" s="76"/>
    </row>
    <row r="30" spans="1:16" ht="54" x14ac:dyDescent="0.3">
      <c r="A30" s="26" t="str">
        <f>_xlfn.XLOOKUP(B30,'Paso 3 Redacción RA '!I$3:I$11,'Paso 3 Redacción RA '!C$3:C$11,,0,1)</f>
        <v>Saberser</v>
      </c>
      <c r="B30" s="26" t="s">
        <v>86</v>
      </c>
      <c r="C30" s="74" t="s">
        <v>197</v>
      </c>
      <c r="D30" s="74"/>
      <c r="E30" s="77"/>
      <c r="F30" s="74"/>
      <c r="G30" s="74"/>
      <c r="H30" s="74"/>
      <c r="I30" s="80"/>
      <c r="J30" s="80"/>
      <c r="K30" s="80"/>
      <c r="L30" s="80"/>
      <c r="M30" s="77"/>
      <c r="N30" s="77"/>
      <c r="O30" s="83"/>
      <c r="P30" s="77"/>
    </row>
    <row r="31" spans="1:16" ht="36" x14ac:dyDescent="0.3">
      <c r="C31" s="57" t="s">
        <v>198</v>
      </c>
      <c r="D31" s="58">
        <f>COUNTA(D3:D30)</f>
        <v>10</v>
      </c>
      <c r="H31" s="59" t="s">
        <v>199</v>
      </c>
      <c r="I31" s="60">
        <f>SUM(I3:I30)</f>
        <v>25</v>
      </c>
    </row>
    <row r="32" spans="1:16" ht="36" x14ac:dyDescent="0.3">
      <c r="H32" s="61" t="s">
        <v>200</v>
      </c>
      <c r="I32" s="62">
        <f>SUMIF(G3:G30,"X",I3:I30)</f>
        <v>7</v>
      </c>
    </row>
    <row r="33" spans="8:9" ht="36" x14ac:dyDescent="0.3">
      <c r="H33" s="61" t="s">
        <v>201</v>
      </c>
      <c r="I33" s="62">
        <f>SUMIF(H3:H30,"X",I3:I30)</f>
        <v>18</v>
      </c>
    </row>
  </sheetData>
  <mergeCells count="141">
    <mergeCell ref="C13:C15"/>
    <mergeCell ref="D13:D15"/>
    <mergeCell ref="E13:E15"/>
    <mergeCell ref="G13:G15"/>
    <mergeCell ref="H13:H15"/>
    <mergeCell ref="I13:I15"/>
    <mergeCell ref="J13:J15"/>
    <mergeCell ref="K13:K15"/>
    <mergeCell ref="C22:C24"/>
    <mergeCell ref="D22:D24"/>
    <mergeCell ref="E22:E24"/>
    <mergeCell ref="G22:G24"/>
    <mergeCell ref="H22:H24"/>
    <mergeCell ref="I22:I24"/>
    <mergeCell ref="J22:J24"/>
    <mergeCell ref="K22:K24"/>
    <mergeCell ref="C19:C21"/>
    <mergeCell ref="D19:D21"/>
    <mergeCell ref="E19:E21"/>
    <mergeCell ref="F13:F15"/>
    <mergeCell ref="F16:F18"/>
    <mergeCell ref="F19:F21"/>
    <mergeCell ref="F22:F24"/>
    <mergeCell ref="D25:D27"/>
    <mergeCell ref="I25:I27"/>
    <mergeCell ref="P25:P27"/>
    <mergeCell ref="O25:O27"/>
    <mergeCell ref="N25:N27"/>
    <mergeCell ref="C16:C18"/>
    <mergeCell ref="D16:D18"/>
    <mergeCell ref="E16:E18"/>
    <mergeCell ref="G16:G18"/>
    <mergeCell ref="H16:H18"/>
    <mergeCell ref="I16:I18"/>
    <mergeCell ref="J16:J18"/>
    <mergeCell ref="K16:K18"/>
    <mergeCell ref="L16:L18"/>
    <mergeCell ref="M16:M18"/>
    <mergeCell ref="N16:N18"/>
    <mergeCell ref="C25:C27"/>
    <mergeCell ref="N22:N24"/>
    <mergeCell ref="O22:O24"/>
    <mergeCell ref="P22:P24"/>
    <mergeCell ref="N19:N21"/>
    <mergeCell ref="G25:G27"/>
    <mergeCell ref="H25:H27"/>
    <mergeCell ref="M25:M27"/>
    <mergeCell ref="E25:E27"/>
    <mergeCell ref="M11:M12"/>
    <mergeCell ref="L11:L12"/>
    <mergeCell ref="K11:K12"/>
    <mergeCell ref="J11:J12"/>
    <mergeCell ref="I11:I12"/>
    <mergeCell ref="H11:H12"/>
    <mergeCell ref="L13:L15"/>
    <mergeCell ref="M13:M15"/>
    <mergeCell ref="M22:M24"/>
    <mergeCell ref="K19:K21"/>
    <mergeCell ref="L19:L21"/>
    <mergeCell ref="L22:L24"/>
    <mergeCell ref="F11:F12"/>
    <mergeCell ref="F25:F27"/>
    <mergeCell ref="L25:L27"/>
    <mergeCell ref="K25:K27"/>
    <mergeCell ref="J25:J27"/>
    <mergeCell ref="G19:G21"/>
    <mergeCell ref="H19:H21"/>
    <mergeCell ref="I19:I21"/>
    <mergeCell ref="J19:J21"/>
    <mergeCell ref="M19:M21"/>
    <mergeCell ref="C11:C12"/>
    <mergeCell ref="D11:D12"/>
    <mergeCell ref="E11:E12"/>
    <mergeCell ref="G11:G12"/>
    <mergeCell ref="N8:N10"/>
    <mergeCell ref="N11:N12"/>
    <mergeCell ref="F3:F5"/>
    <mergeCell ref="G1:H1"/>
    <mergeCell ref="O11:O12"/>
    <mergeCell ref="L6:L7"/>
    <mergeCell ref="C6:C7"/>
    <mergeCell ref="D6:D7"/>
    <mergeCell ref="E6:E7"/>
    <mergeCell ref="G6:G7"/>
    <mergeCell ref="C8:C10"/>
    <mergeCell ref="D8:D10"/>
    <mergeCell ref="E8:E10"/>
    <mergeCell ref="G8:G10"/>
    <mergeCell ref="H8:H10"/>
    <mergeCell ref="I8:I10"/>
    <mergeCell ref="J8:J10"/>
    <mergeCell ref="K8:K10"/>
    <mergeCell ref="H6:H7"/>
    <mergeCell ref="I6:I7"/>
    <mergeCell ref="C3:C5"/>
    <mergeCell ref="D3:D5"/>
    <mergeCell ref="E3:E5"/>
    <mergeCell ref="G3:G5"/>
    <mergeCell ref="H3:H5"/>
    <mergeCell ref="I3:I5"/>
    <mergeCell ref="N3:N5"/>
    <mergeCell ref="M3:M5"/>
    <mergeCell ref="L8:L10"/>
    <mergeCell ref="M8:M10"/>
    <mergeCell ref="J3:J5"/>
    <mergeCell ref="K3:K5"/>
    <mergeCell ref="L3:L5"/>
    <mergeCell ref="J6:J7"/>
    <mergeCell ref="K6:K7"/>
    <mergeCell ref="F6:F7"/>
    <mergeCell ref="F8:F10"/>
    <mergeCell ref="P11:P12"/>
    <mergeCell ref="O8:O10"/>
    <mergeCell ref="P8:P10"/>
    <mergeCell ref="P6:P7"/>
    <mergeCell ref="P3:P5"/>
    <mergeCell ref="N6:N7"/>
    <mergeCell ref="M6:M7"/>
    <mergeCell ref="O6:O7"/>
    <mergeCell ref="O3:O5"/>
    <mergeCell ref="O16:O18"/>
    <mergeCell ref="P16:P18"/>
    <mergeCell ref="O13:O15"/>
    <mergeCell ref="P13:P15"/>
    <mergeCell ref="N13:N15"/>
    <mergeCell ref="O19:O21"/>
    <mergeCell ref="P19:P21"/>
    <mergeCell ref="L28:L30"/>
    <mergeCell ref="M28:M30"/>
    <mergeCell ref="N28:N30"/>
    <mergeCell ref="O28:O30"/>
    <mergeCell ref="P28:P30"/>
    <mergeCell ref="C28:C30"/>
    <mergeCell ref="D28:D30"/>
    <mergeCell ref="E28:E30"/>
    <mergeCell ref="F28:F30"/>
    <mergeCell ref="G28:G30"/>
    <mergeCell ref="H28:H30"/>
    <mergeCell ref="I28:I30"/>
    <mergeCell ref="J28:J30"/>
    <mergeCell ref="K28:K30"/>
  </mergeCells>
  <dataValidations count="1">
    <dataValidation type="list" allowBlank="1" showInputMessage="1" showErrorMessage="1" sqref="B3:B44"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9"/>
  <sheetViews>
    <sheetView topLeftCell="A26" workbookViewId="0">
      <selection activeCell="D43" sqref="D43"/>
    </sheetView>
  </sheetViews>
  <sheetFormatPr baseColWidth="10" defaultColWidth="11.44140625" defaultRowHeight="14.4" x14ac:dyDescent="0.3"/>
  <cols>
    <col min="2" max="2" width="27.21875" customWidth="1"/>
    <col min="4" max="4" width="99.21875" customWidth="1"/>
  </cols>
  <sheetData>
    <row r="1" spans="2:4" ht="31.2" x14ac:dyDescent="0.5">
      <c r="B1" s="1" t="s">
        <v>202</v>
      </c>
      <c r="D1" s="22" t="s">
        <v>203</v>
      </c>
    </row>
    <row r="2" spans="2:4" ht="18" x14ac:dyDescent="0.5">
      <c r="B2" s="1" t="s">
        <v>204</v>
      </c>
    </row>
    <row r="3" spans="2:4" ht="18" x14ac:dyDescent="0.5">
      <c r="B3" s="1" t="s">
        <v>205</v>
      </c>
    </row>
    <row r="4" spans="2:4" ht="18" x14ac:dyDescent="0.5">
      <c r="B4" s="1" t="s">
        <v>82</v>
      </c>
    </row>
    <row r="5" spans="2:4" ht="18" x14ac:dyDescent="0.5">
      <c r="B5" s="1" t="s">
        <v>206</v>
      </c>
    </row>
    <row r="6" spans="2:4" ht="18" x14ac:dyDescent="0.5">
      <c r="B6" s="1" t="s">
        <v>207</v>
      </c>
    </row>
    <row r="7" spans="2:4" ht="18" x14ac:dyDescent="0.5">
      <c r="B7" s="1" t="s">
        <v>208</v>
      </c>
    </row>
    <row r="8" spans="2:4" ht="18" x14ac:dyDescent="0.5">
      <c r="B8" s="1" t="s">
        <v>209</v>
      </c>
    </row>
    <row r="9" spans="2:4" ht="18" x14ac:dyDescent="0.5">
      <c r="B9" s="1" t="s">
        <v>210</v>
      </c>
    </row>
    <row r="10" spans="2:4" ht="18" x14ac:dyDescent="0.5">
      <c r="B10" s="1" t="s">
        <v>211</v>
      </c>
    </row>
    <row r="11" spans="2:4" ht="18" x14ac:dyDescent="0.5">
      <c r="B11" s="1" t="s">
        <v>212</v>
      </c>
    </row>
    <row r="12" spans="2:4" ht="18" x14ac:dyDescent="0.5">
      <c r="B12" s="1" t="s">
        <v>213</v>
      </c>
    </row>
    <row r="13" spans="2:4" ht="18" x14ac:dyDescent="0.5">
      <c r="B13" s="1" t="s">
        <v>214</v>
      </c>
    </row>
    <row r="14" spans="2:4" ht="18" x14ac:dyDescent="0.5">
      <c r="B14" s="1" t="s">
        <v>215</v>
      </c>
    </row>
    <row r="15" spans="2:4" ht="18" x14ac:dyDescent="0.5">
      <c r="B15" s="1" t="s">
        <v>216</v>
      </c>
    </row>
    <row r="16" spans="2:4" ht="18" x14ac:dyDescent="0.5">
      <c r="B16" s="1" t="s">
        <v>217</v>
      </c>
    </row>
    <row r="17" spans="2:2" ht="18" x14ac:dyDescent="0.5">
      <c r="B17" s="1" t="s">
        <v>218</v>
      </c>
    </row>
    <row r="18" spans="2:2" ht="18" x14ac:dyDescent="0.5">
      <c r="B18" s="1" t="s">
        <v>52</v>
      </c>
    </row>
    <row r="19" spans="2:2" ht="18" x14ac:dyDescent="0.5">
      <c r="B19" s="1" t="s">
        <v>219</v>
      </c>
    </row>
    <row r="20" spans="2:2" ht="18" x14ac:dyDescent="0.5">
      <c r="B20" s="1" t="s">
        <v>220</v>
      </c>
    </row>
    <row r="21" spans="2:2" ht="18" x14ac:dyDescent="0.5">
      <c r="B21" s="1" t="s">
        <v>221</v>
      </c>
    </row>
    <row r="22" spans="2:2" ht="18" x14ac:dyDescent="0.5">
      <c r="B22" s="1" t="s">
        <v>222</v>
      </c>
    </row>
    <row r="23" spans="2:2" ht="18" x14ac:dyDescent="0.5">
      <c r="B23" s="1" t="s">
        <v>223</v>
      </c>
    </row>
    <row r="24" spans="2:2" ht="18" x14ac:dyDescent="0.5">
      <c r="B24" s="1" t="s">
        <v>54</v>
      </c>
    </row>
    <row r="25" spans="2:2" ht="18" x14ac:dyDescent="0.5">
      <c r="B25" s="1" t="s">
        <v>224</v>
      </c>
    </row>
    <row r="26" spans="2:2" ht="18" x14ac:dyDescent="0.5">
      <c r="B26" s="1" t="s">
        <v>225</v>
      </c>
    </row>
    <row r="27" spans="2:2" ht="18" x14ac:dyDescent="0.5">
      <c r="B27" s="1" t="s">
        <v>226</v>
      </c>
    </row>
    <row r="28" spans="2:2" ht="18" x14ac:dyDescent="0.5">
      <c r="B28" s="1" t="s">
        <v>227</v>
      </c>
    </row>
    <row r="29" spans="2:2" ht="18" x14ac:dyDescent="0.5">
      <c r="B29" s="1" t="s">
        <v>228</v>
      </c>
    </row>
    <row r="30" spans="2:2" ht="18" x14ac:dyDescent="0.5">
      <c r="B30" s="1" t="s">
        <v>229</v>
      </c>
    </row>
    <row r="31" spans="2:2" ht="18" x14ac:dyDescent="0.5">
      <c r="B31" s="1" t="s">
        <v>230</v>
      </c>
    </row>
    <row r="32" spans="2:2" ht="18" x14ac:dyDescent="0.5">
      <c r="B32" s="1" t="s">
        <v>231</v>
      </c>
    </row>
    <row r="33" spans="2:2" ht="18" x14ac:dyDescent="0.5">
      <c r="B33" s="1" t="s">
        <v>232</v>
      </c>
    </row>
    <row r="34" spans="2:2" ht="18" x14ac:dyDescent="0.5">
      <c r="B34" s="1" t="s">
        <v>233</v>
      </c>
    </row>
    <row r="35" spans="2:2" ht="18" x14ac:dyDescent="0.5">
      <c r="B35" s="1" t="s">
        <v>234</v>
      </c>
    </row>
    <row r="36" spans="2:2" ht="18" x14ac:dyDescent="0.5">
      <c r="B36" s="1" t="s">
        <v>235</v>
      </c>
    </row>
    <row r="37" spans="2:2" ht="18" x14ac:dyDescent="0.5">
      <c r="B37" s="1" t="s">
        <v>236</v>
      </c>
    </row>
    <row r="38" spans="2:2" ht="18" x14ac:dyDescent="0.5">
      <c r="B38" s="1" t="s">
        <v>78</v>
      </c>
    </row>
    <row r="39" spans="2:2" ht="18" x14ac:dyDescent="0.5">
      <c r="B39" s="1" t="s">
        <v>49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BA59" zoomScale="66" workbookViewId="0">
      <selection activeCell="BF90" sqref="BF90"/>
    </sheetView>
  </sheetViews>
  <sheetFormatPr baseColWidth="10" defaultColWidth="11.44140625" defaultRowHeight="18" x14ac:dyDescent="0.5"/>
  <cols>
    <col min="1" max="1" width="20.44140625" style="1" customWidth="1"/>
    <col min="2" max="2" width="14.21875" style="1" customWidth="1"/>
    <col min="3" max="3" width="22.21875" style="1" customWidth="1"/>
    <col min="4" max="4" width="21.5546875" style="1" customWidth="1"/>
    <col min="5" max="5" width="22.77734375" style="1" customWidth="1"/>
    <col min="6" max="6" width="16.77734375" style="1" customWidth="1"/>
    <col min="7" max="7" width="21.77734375" style="1" customWidth="1"/>
    <col min="8" max="8" width="26.21875" style="1" customWidth="1"/>
    <col min="9" max="9" width="25.21875" style="1" customWidth="1"/>
    <col min="10" max="10" width="24.44140625" style="1" customWidth="1"/>
    <col min="11" max="11" width="15.21875" style="1" customWidth="1"/>
    <col min="12" max="17" width="17.77734375" style="1" customWidth="1"/>
    <col min="18" max="18" width="22.5546875" style="1" customWidth="1"/>
    <col min="19" max="33" width="17.44140625" style="1" customWidth="1"/>
    <col min="34" max="36" width="13.21875" style="1" customWidth="1"/>
    <col min="37" max="37" width="14.5546875" style="1" customWidth="1"/>
    <col min="38" max="38" width="23.21875" style="1" bestFit="1" customWidth="1"/>
    <col min="39" max="39" width="18" style="1" customWidth="1"/>
    <col min="40" max="40" width="20.44140625" style="1" bestFit="1" customWidth="1"/>
    <col min="41" max="41" width="21.77734375" style="1" bestFit="1" customWidth="1"/>
    <col min="42" max="42" width="17.44140625" style="1" bestFit="1" customWidth="1"/>
    <col min="43" max="43" width="18.5546875" style="1" bestFit="1" customWidth="1"/>
    <col min="44" max="44" width="16.77734375" style="1" customWidth="1"/>
    <col min="45" max="45" width="26.5546875" style="1" bestFit="1" customWidth="1"/>
    <col min="46" max="46" width="21.5546875" style="1" bestFit="1" customWidth="1"/>
    <col min="47" max="47" width="19.21875" style="1" bestFit="1" customWidth="1"/>
    <col min="48" max="48" width="24.21875" style="1" bestFit="1" customWidth="1"/>
    <col min="49" max="49" width="24.77734375" style="1" bestFit="1" customWidth="1"/>
    <col min="50" max="50" width="23.21875" style="1" bestFit="1" customWidth="1"/>
    <col min="51" max="51" width="22.21875" style="1" bestFit="1" customWidth="1"/>
    <col min="52" max="52" width="32.21875" style="1" bestFit="1" customWidth="1"/>
    <col min="53" max="53" width="13.21875" style="1" customWidth="1"/>
    <col min="54" max="54" width="23.77734375" style="1" customWidth="1"/>
    <col min="55" max="55" width="22.5546875" style="1" customWidth="1"/>
    <col min="56" max="56" width="21.44140625" style="1" customWidth="1"/>
    <col min="57" max="57" width="25" style="1" customWidth="1"/>
    <col min="58" max="58" width="24.77734375" style="1" customWidth="1"/>
    <col min="59" max="59" width="22.77734375" style="1" customWidth="1"/>
    <col min="60" max="63" width="13.21875" style="1" customWidth="1"/>
    <col min="64" max="16384" width="11.44140625" style="1"/>
  </cols>
  <sheetData>
    <row r="1" spans="1:63" x14ac:dyDescent="0.5">
      <c r="S1" s="108" t="s">
        <v>237</v>
      </c>
      <c r="T1" s="108"/>
      <c r="U1" s="108"/>
      <c r="V1" s="108"/>
      <c r="W1" s="108"/>
      <c r="X1" s="108"/>
      <c r="Y1" s="108"/>
      <c r="Z1" s="108"/>
      <c r="AA1" s="108"/>
      <c r="AB1" s="108"/>
      <c r="AC1" s="108"/>
      <c r="AD1" s="108"/>
      <c r="AE1" s="108"/>
      <c r="AF1" s="108"/>
      <c r="AG1" s="108"/>
      <c r="AH1" s="9"/>
      <c r="AI1" s="9"/>
      <c r="AJ1" s="9"/>
      <c r="AL1" s="108" t="s">
        <v>238</v>
      </c>
      <c r="AM1" s="108"/>
      <c r="AN1" s="108"/>
      <c r="AO1" s="108"/>
      <c r="AP1" s="108"/>
      <c r="AQ1" s="108"/>
      <c r="AR1" s="108"/>
      <c r="AS1" s="108"/>
      <c r="AT1" s="108"/>
      <c r="AU1" s="108"/>
      <c r="AV1" s="108"/>
      <c r="AW1" s="108"/>
      <c r="AX1" s="108"/>
      <c r="AY1" s="108"/>
      <c r="AZ1" s="108"/>
      <c r="BA1" s="9"/>
      <c r="BB1" s="108" t="s">
        <v>239</v>
      </c>
      <c r="BC1" s="108"/>
      <c r="BD1" s="108"/>
      <c r="BE1" s="108"/>
      <c r="BF1" s="108"/>
      <c r="BG1" s="108"/>
      <c r="BH1" s="9"/>
      <c r="BK1" s="9"/>
    </row>
    <row r="2" spans="1:63" x14ac:dyDescent="0.5">
      <c r="L2" s="108" t="s">
        <v>240</v>
      </c>
      <c r="M2" s="108"/>
      <c r="N2" s="108"/>
      <c r="O2" s="108"/>
      <c r="P2" s="108"/>
      <c r="Q2" s="108"/>
      <c r="S2" s="109" t="s">
        <v>241</v>
      </c>
      <c r="T2" s="109"/>
      <c r="U2" s="109"/>
      <c r="V2" s="109"/>
      <c r="W2" s="109"/>
      <c r="X2" s="109"/>
      <c r="Y2" s="109" t="s">
        <v>242</v>
      </c>
      <c r="Z2" s="109"/>
      <c r="AA2" s="109"/>
      <c r="AB2" s="109"/>
      <c r="AC2" s="109" t="s">
        <v>243</v>
      </c>
      <c r="AD2" s="109"/>
      <c r="AE2" s="109"/>
      <c r="AF2" s="109"/>
      <c r="AG2" s="109"/>
      <c r="AH2" s="9"/>
      <c r="AI2" s="9"/>
      <c r="AJ2" s="9"/>
      <c r="AL2" s="108"/>
      <c r="AM2" s="108"/>
      <c r="AN2" s="108"/>
      <c r="AO2" s="108"/>
      <c r="AP2" s="108"/>
      <c r="AQ2" s="108"/>
      <c r="AR2" s="9"/>
      <c r="AS2" s="9"/>
      <c r="AT2" s="9"/>
      <c r="AU2" s="9"/>
      <c r="AV2" s="9"/>
      <c r="AW2" s="9"/>
      <c r="AX2" s="9"/>
      <c r="AY2" s="9"/>
      <c r="AZ2" s="9"/>
      <c r="BA2" s="9"/>
      <c r="BB2" s="9"/>
      <c r="BC2" s="9"/>
      <c r="BD2" s="9"/>
      <c r="BE2" s="9"/>
      <c r="BF2" s="9"/>
      <c r="BG2" s="9"/>
      <c r="BH2" s="9"/>
      <c r="BK2" s="9"/>
    </row>
    <row r="3" spans="1:63" x14ac:dyDescent="0.5">
      <c r="A3" s="1" t="s">
        <v>244</v>
      </c>
      <c r="C3" s="1" t="s">
        <v>245</v>
      </c>
      <c r="D3" s="1" t="s">
        <v>246</v>
      </c>
      <c r="E3" s="1" t="s">
        <v>247</v>
      </c>
      <c r="G3" s="1" t="s">
        <v>76</v>
      </c>
      <c r="H3" s="1" t="s">
        <v>80</v>
      </c>
      <c r="I3" s="1" t="s">
        <v>84</v>
      </c>
      <c r="L3" s="1" t="s">
        <v>248</v>
      </c>
      <c r="M3" s="1" t="s">
        <v>249</v>
      </c>
      <c r="N3" s="1" t="s">
        <v>81</v>
      </c>
      <c r="O3" s="1" t="s">
        <v>77</v>
      </c>
      <c r="P3" s="1" t="s">
        <v>250</v>
      </c>
      <c r="Q3" s="1" t="s">
        <v>85</v>
      </c>
      <c r="S3" s="1" t="s">
        <v>251</v>
      </c>
      <c r="T3" s="1" t="s">
        <v>252</v>
      </c>
      <c r="U3" s="1" t="s">
        <v>253</v>
      </c>
      <c r="V3" s="1" t="s">
        <v>254</v>
      </c>
      <c r="W3" s="1" t="s">
        <v>255</v>
      </c>
      <c r="X3" s="1" t="s">
        <v>256</v>
      </c>
      <c r="Y3" s="1" t="s">
        <v>257</v>
      </c>
      <c r="Z3" s="1" t="s">
        <v>258</v>
      </c>
      <c r="AA3" s="1" t="s">
        <v>259</v>
      </c>
      <c r="AB3" s="1" t="s">
        <v>260</v>
      </c>
      <c r="AC3" s="1" t="s">
        <v>261</v>
      </c>
      <c r="AD3" s="1" t="s">
        <v>262</v>
      </c>
      <c r="AE3" s="1" t="s">
        <v>263</v>
      </c>
      <c r="AF3" s="1" t="s">
        <v>264</v>
      </c>
      <c r="AG3" s="1" t="s">
        <v>265</v>
      </c>
      <c r="AL3" s="110" t="s">
        <v>266</v>
      </c>
      <c r="AM3" s="111"/>
      <c r="AN3" s="111"/>
      <c r="AO3" s="110" t="s">
        <v>267</v>
      </c>
      <c r="AP3" s="111"/>
      <c r="AQ3" s="111"/>
      <c r="AR3" s="110" t="s">
        <v>268</v>
      </c>
      <c r="AS3" s="111"/>
      <c r="AT3" s="111"/>
      <c r="AU3" s="112"/>
      <c r="AV3" s="110" t="s">
        <v>269</v>
      </c>
      <c r="AW3" s="111"/>
      <c r="AX3" s="111"/>
      <c r="AY3" s="111"/>
      <c r="AZ3" s="112"/>
      <c r="BA3" s="10"/>
      <c r="BB3" s="10"/>
      <c r="BC3" s="10"/>
      <c r="BD3" s="10"/>
      <c r="BE3" s="10"/>
      <c r="BF3" s="10"/>
      <c r="BG3" s="10"/>
      <c r="BH3" s="10"/>
      <c r="BK3" s="10"/>
    </row>
    <row r="4" spans="1:63" x14ac:dyDescent="0.5">
      <c r="A4" s="1" t="s">
        <v>75</v>
      </c>
      <c r="C4" s="1" t="s">
        <v>270</v>
      </c>
      <c r="D4" s="1" t="s">
        <v>271</v>
      </c>
      <c r="E4" s="1" t="s">
        <v>272</v>
      </c>
      <c r="G4" s="1" t="s">
        <v>248</v>
      </c>
      <c r="H4" s="1" t="s">
        <v>248</v>
      </c>
      <c r="I4" s="1" t="s">
        <v>248</v>
      </c>
      <c r="L4" s="1" t="s">
        <v>273</v>
      </c>
      <c r="M4" s="1" t="s">
        <v>208</v>
      </c>
      <c r="N4" s="1" t="s">
        <v>82</v>
      </c>
      <c r="O4" s="1" t="s">
        <v>274</v>
      </c>
      <c r="P4" s="1" t="s">
        <v>275</v>
      </c>
      <c r="Q4" s="1" t="s">
        <v>276</v>
      </c>
      <c r="S4" s="1" t="s">
        <v>273</v>
      </c>
      <c r="T4" s="1" t="s">
        <v>208</v>
      </c>
      <c r="U4" s="1" t="s">
        <v>82</v>
      </c>
      <c r="V4" s="1" t="s">
        <v>274</v>
      </c>
      <c r="W4" s="1" t="s">
        <v>275</v>
      </c>
      <c r="X4" s="1" t="s">
        <v>276</v>
      </c>
      <c r="Y4" s="1" t="s">
        <v>277</v>
      </c>
      <c r="Z4" s="1" t="s">
        <v>278</v>
      </c>
      <c r="AA4" s="1" t="s">
        <v>279</v>
      </c>
      <c r="AB4" s="1" t="s">
        <v>280</v>
      </c>
      <c r="AC4" s="1" t="s">
        <v>223</v>
      </c>
      <c r="AD4" s="1" t="s">
        <v>281</v>
      </c>
      <c r="AE4" s="1" t="s">
        <v>282</v>
      </c>
      <c r="AF4" s="1" t="s">
        <v>283</v>
      </c>
      <c r="AG4" s="1" t="s">
        <v>284</v>
      </c>
      <c r="AL4" s="11" t="s">
        <v>285</v>
      </c>
      <c r="AM4" s="11" t="s">
        <v>286</v>
      </c>
      <c r="AN4" s="11" t="s">
        <v>287</v>
      </c>
      <c r="AO4" s="11" t="s">
        <v>288</v>
      </c>
      <c r="AP4" s="12" t="s">
        <v>289</v>
      </c>
      <c r="AQ4" s="11" t="s">
        <v>290</v>
      </c>
      <c r="AR4" s="1" t="s">
        <v>257</v>
      </c>
      <c r="AS4" s="1" t="s">
        <v>258</v>
      </c>
      <c r="AT4" s="1" t="s">
        <v>259</v>
      </c>
      <c r="AU4" s="1" t="s">
        <v>260</v>
      </c>
      <c r="AV4" s="1" t="s">
        <v>261</v>
      </c>
      <c r="AW4" s="1" t="s">
        <v>262</v>
      </c>
      <c r="AX4" s="1" t="s">
        <v>263</v>
      </c>
      <c r="AY4" s="1" t="s">
        <v>264</v>
      </c>
      <c r="AZ4" s="1" t="s">
        <v>265</v>
      </c>
      <c r="BA4" s="10"/>
      <c r="BB4" s="1" t="s">
        <v>291</v>
      </c>
      <c r="BC4" s="1" t="s">
        <v>292</v>
      </c>
      <c r="BD4" s="1" t="s">
        <v>293</v>
      </c>
      <c r="BE4" s="1" t="s">
        <v>294</v>
      </c>
      <c r="BF4" s="1" t="s">
        <v>295</v>
      </c>
      <c r="BG4" s="1" t="s">
        <v>296</v>
      </c>
      <c r="BH4" s="10"/>
      <c r="BK4" s="10"/>
    </row>
    <row r="5" spans="1:63" x14ac:dyDescent="0.5">
      <c r="A5" s="1" t="s">
        <v>245</v>
      </c>
      <c r="C5" s="1" t="s">
        <v>297</v>
      </c>
      <c r="D5" s="1" t="s">
        <v>298</v>
      </c>
      <c r="E5" s="1" t="s">
        <v>299</v>
      </c>
      <c r="G5" s="1" t="s">
        <v>249</v>
      </c>
      <c r="H5" s="1" t="s">
        <v>249</v>
      </c>
      <c r="I5" s="1" t="s">
        <v>249</v>
      </c>
      <c r="L5" s="1" t="s">
        <v>300</v>
      </c>
      <c r="M5" s="1" t="s">
        <v>301</v>
      </c>
      <c r="N5" s="1" t="s">
        <v>302</v>
      </c>
      <c r="O5" s="1" t="s">
        <v>78</v>
      </c>
      <c r="P5" s="1" t="s">
        <v>205</v>
      </c>
      <c r="Q5" s="1" t="s">
        <v>303</v>
      </c>
      <c r="S5" s="1" t="s">
        <v>300</v>
      </c>
      <c r="T5" s="1" t="s">
        <v>301</v>
      </c>
      <c r="U5" s="1" t="s">
        <v>302</v>
      </c>
      <c r="V5" s="1" t="s">
        <v>78</v>
      </c>
      <c r="W5" s="1" t="s">
        <v>205</v>
      </c>
      <c r="X5" s="1" t="s">
        <v>303</v>
      </c>
      <c r="Y5" s="1" t="s">
        <v>275</v>
      </c>
      <c r="Z5" s="1" t="s">
        <v>304</v>
      </c>
      <c r="AA5" s="1" t="s">
        <v>227</v>
      </c>
      <c r="AB5" s="1" t="s">
        <v>305</v>
      </c>
      <c r="AC5" s="1" t="s">
        <v>210</v>
      </c>
      <c r="AD5" s="1" t="s">
        <v>306</v>
      </c>
      <c r="AE5" s="1" t="s">
        <v>281</v>
      </c>
      <c r="AF5" s="1" t="s">
        <v>307</v>
      </c>
      <c r="AG5" s="1" t="s">
        <v>308</v>
      </c>
      <c r="AL5" s="2" t="s">
        <v>309</v>
      </c>
      <c r="AM5" s="2" t="s">
        <v>310</v>
      </c>
      <c r="AN5" s="2" t="s">
        <v>311</v>
      </c>
      <c r="AO5" s="2" t="s">
        <v>312</v>
      </c>
      <c r="AP5" s="2" t="s">
        <v>275</v>
      </c>
      <c r="AQ5" s="2" t="s">
        <v>214</v>
      </c>
      <c r="AR5" s="1" t="s">
        <v>277</v>
      </c>
      <c r="AS5" s="1" t="s">
        <v>278</v>
      </c>
      <c r="AT5" s="1" t="s">
        <v>279</v>
      </c>
      <c r="AU5" s="1" t="s">
        <v>280</v>
      </c>
      <c r="AV5" s="1" t="s">
        <v>223</v>
      </c>
      <c r="AW5" s="1" t="s">
        <v>281</v>
      </c>
      <c r="AX5" s="1" t="s">
        <v>282</v>
      </c>
      <c r="AY5" s="1" t="s">
        <v>283</v>
      </c>
      <c r="AZ5" s="1" t="s">
        <v>284</v>
      </c>
      <c r="BA5" s="2"/>
      <c r="BB5" s="13" t="s">
        <v>309</v>
      </c>
      <c r="BC5" s="15" t="s">
        <v>208</v>
      </c>
      <c r="BD5" s="13" t="s">
        <v>312</v>
      </c>
      <c r="BE5" s="13" t="s">
        <v>311</v>
      </c>
      <c r="BF5" s="15" t="s">
        <v>313</v>
      </c>
      <c r="BG5" s="15" t="s">
        <v>313</v>
      </c>
      <c r="BH5" s="2"/>
      <c r="BK5" s="2"/>
    </row>
    <row r="6" spans="1:63" x14ac:dyDescent="0.5">
      <c r="A6" s="1" t="s">
        <v>246</v>
      </c>
      <c r="C6" s="1" t="s">
        <v>314</v>
      </c>
      <c r="D6" s="1" t="s">
        <v>315</v>
      </c>
      <c r="E6" s="1" t="s">
        <v>316</v>
      </c>
      <c r="G6" s="1" t="s">
        <v>81</v>
      </c>
      <c r="H6" s="1" t="s">
        <v>81</v>
      </c>
      <c r="I6" s="1" t="s">
        <v>81</v>
      </c>
      <c r="L6" s="1" t="s">
        <v>317</v>
      </c>
      <c r="M6" s="1" t="s">
        <v>318</v>
      </c>
      <c r="N6" s="1" t="s">
        <v>319</v>
      </c>
      <c r="O6" s="1" t="s">
        <v>320</v>
      </c>
      <c r="P6" s="1" t="s">
        <v>321</v>
      </c>
      <c r="Q6" s="1" t="s">
        <v>322</v>
      </c>
      <c r="S6" s="1" t="s">
        <v>317</v>
      </c>
      <c r="T6" s="1" t="s">
        <v>318</v>
      </c>
      <c r="U6" s="1" t="s">
        <v>319</v>
      </c>
      <c r="V6" s="1" t="s">
        <v>320</v>
      </c>
      <c r="W6" s="1" t="s">
        <v>321</v>
      </c>
      <c r="X6" s="1" t="s">
        <v>322</v>
      </c>
      <c r="Y6" s="1" t="s">
        <v>323</v>
      </c>
      <c r="Z6" s="1" t="s">
        <v>324</v>
      </c>
      <c r="AA6" s="1" t="s">
        <v>325</v>
      </c>
      <c r="AB6" s="1" t="s">
        <v>326</v>
      </c>
      <c r="AC6" s="1" t="s">
        <v>215</v>
      </c>
      <c r="AD6" s="1" t="s">
        <v>327</v>
      </c>
      <c r="AE6" s="1" t="s">
        <v>313</v>
      </c>
      <c r="AF6" s="1" t="s">
        <v>328</v>
      </c>
      <c r="AG6" s="1" t="s">
        <v>210</v>
      </c>
      <c r="AL6" s="2" t="s">
        <v>317</v>
      </c>
      <c r="AM6" s="2" t="s">
        <v>329</v>
      </c>
      <c r="AN6" s="2" t="s">
        <v>312</v>
      </c>
      <c r="AO6" s="2" t="s">
        <v>274</v>
      </c>
      <c r="AP6" s="2" t="s">
        <v>330</v>
      </c>
      <c r="AQ6" s="2" t="s">
        <v>331</v>
      </c>
      <c r="AR6" s="1" t="s">
        <v>275</v>
      </c>
      <c r="AS6" s="1" t="s">
        <v>304</v>
      </c>
      <c r="AT6" s="1" t="s">
        <v>227</v>
      </c>
      <c r="AU6" s="1" t="s">
        <v>305</v>
      </c>
      <c r="AV6" s="1" t="s">
        <v>210</v>
      </c>
      <c r="AW6" s="1" t="s">
        <v>306</v>
      </c>
      <c r="AX6" s="1" t="s">
        <v>281</v>
      </c>
      <c r="AY6" s="1" t="s">
        <v>307</v>
      </c>
      <c r="AZ6" s="1" t="s">
        <v>308</v>
      </c>
      <c r="BA6" s="2"/>
      <c r="BB6" s="14" t="s">
        <v>317</v>
      </c>
      <c r="BC6" s="16" t="s">
        <v>301</v>
      </c>
      <c r="BD6" s="15" t="s">
        <v>274</v>
      </c>
      <c r="BE6" s="14" t="s">
        <v>312</v>
      </c>
      <c r="BF6" s="16" t="s">
        <v>332</v>
      </c>
      <c r="BG6" s="15" t="s">
        <v>282</v>
      </c>
      <c r="BH6" s="2"/>
      <c r="BK6" s="2"/>
    </row>
    <row r="7" spans="1:63" x14ac:dyDescent="0.5">
      <c r="A7" s="1" t="s">
        <v>247</v>
      </c>
      <c r="D7" s="1" t="s">
        <v>333</v>
      </c>
      <c r="G7" s="1" t="s">
        <v>77</v>
      </c>
      <c r="H7" s="1" t="s">
        <v>77</v>
      </c>
      <c r="I7" s="1" t="s">
        <v>77</v>
      </c>
      <c r="L7" s="1" t="s">
        <v>334</v>
      </c>
      <c r="M7" s="1" t="s">
        <v>209</v>
      </c>
      <c r="N7" s="1" t="s">
        <v>335</v>
      </c>
      <c r="O7" s="1" t="s">
        <v>336</v>
      </c>
      <c r="P7" s="1" t="s">
        <v>321</v>
      </c>
      <c r="Q7" s="1" t="s">
        <v>337</v>
      </c>
      <c r="S7" s="1" t="s">
        <v>334</v>
      </c>
      <c r="T7" s="1" t="s">
        <v>209</v>
      </c>
      <c r="U7" s="1" t="s">
        <v>335</v>
      </c>
      <c r="V7" s="1" t="s">
        <v>336</v>
      </c>
      <c r="W7" s="1" t="s">
        <v>321</v>
      </c>
      <c r="X7" s="1" t="s">
        <v>337</v>
      </c>
      <c r="Y7" s="1" t="s">
        <v>338</v>
      </c>
      <c r="Z7" s="1" t="s">
        <v>339</v>
      </c>
      <c r="AA7" s="1" t="s">
        <v>340</v>
      </c>
      <c r="AB7" s="1" t="s">
        <v>341</v>
      </c>
      <c r="AC7" s="1" t="s">
        <v>278</v>
      </c>
      <c r="AD7" s="1" t="s">
        <v>309</v>
      </c>
      <c r="AE7" s="1" t="s">
        <v>309</v>
      </c>
      <c r="AF7" s="1" t="s">
        <v>332</v>
      </c>
      <c r="AG7" s="1" t="s">
        <v>342</v>
      </c>
      <c r="AL7" s="2" t="s">
        <v>343</v>
      </c>
      <c r="AM7" s="2" t="s">
        <v>344</v>
      </c>
      <c r="AN7" s="2" t="s">
        <v>320</v>
      </c>
      <c r="AO7" s="2" t="s">
        <v>345</v>
      </c>
      <c r="AP7" s="2" t="s">
        <v>346</v>
      </c>
      <c r="AQ7" s="2" t="s">
        <v>347</v>
      </c>
      <c r="AR7" s="1" t="s">
        <v>323</v>
      </c>
      <c r="AS7" s="1" t="s">
        <v>324</v>
      </c>
      <c r="AT7" s="1" t="s">
        <v>325</v>
      </c>
      <c r="AU7" s="1" t="s">
        <v>326</v>
      </c>
      <c r="AV7" s="1" t="s">
        <v>215</v>
      </c>
      <c r="AW7" s="1" t="s">
        <v>327</v>
      </c>
      <c r="AX7" s="1" t="s">
        <v>313</v>
      </c>
      <c r="AY7" s="1" t="s">
        <v>328</v>
      </c>
      <c r="AZ7" s="1" t="s">
        <v>210</v>
      </c>
      <c r="BA7" s="2"/>
      <c r="BB7" s="13" t="s">
        <v>343</v>
      </c>
      <c r="BC7" s="1" t="s">
        <v>310</v>
      </c>
      <c r="BD7" s="16" t="s">
        <v>78</v>
      </c>
      <c r="BE7" s="15" t="s">
        <v>82</v>
      </c>
      <c r="BF7" s="15" t="s">
        <v>282</v>
      </c>
      <c r="BG7" s="15" t="s">
        <v>348</v>
      </c>
      <c r="BH7" s="2"/>
      <c r="BK7" s="2"/>
    </row>
    <row r="8" spans="1:63" x14ac:dyDescent="0.5">
      <c r="G8" s="1" t="s">
        <v>250</v>
      </c>
      <c r="H8" s="1" t="s">
        <v>250</v>
      </c>
      <c r="I8" s="1" t="s">
        <v>250</v>
      </c>
      <c r="L8" s="1" t="s">
        <v>349</v>
      </c>
      <c r="M8" s="1" t="s">
        <v>350</v>
      </c>
      <c r="N8" s="1" t="s">
        <v>210</v>
      </c>
      <c r="O8" s="1" t="s">
        <v>329</v>
      </c>
      <c r="P8" s="1" t="s">
        <v>351</v>
      </c>
      <c r="Q8" s="1" t="s">
        <v>352</v>
      </c>
      <c r="S8" s="1" t="s">
        <v>349</v>
      </c>
      <c r="T8" s="1" t="s">
        <v>350</v>
      </c>
      <c r="U8" s="1" t="s">
        <v>210</v>
      </c>
      <c r="V8" s="1" t="s">
        <v>329</v>
      </c>
      <c r="W8" s="1" t="s">
        <v>351</v>
      </c>
      <c r="X8" s="1" t="s">
        <v>352</v>
      </c>
      <c r="Y8" s="1" t="s">
        <v>206</v>
      </c>
      <c r="Z8" s="1" t="s">
        <v>353</v>
      </c>
      <c r="AA8" s="1" t="s">
        <v>354</v>
      </c>
      <c r="AB8" s="1" t="s">
        <v>355</v>
      </c>
      <c r="AC8" s="1" t="s">
        <v>82</v>
      </c>
      <c r="AD8" s="1" t="s">
        <v>206</v>
      </c>
      <c r="AE8" s="1" t="s">
        <v>356</v>
      </c>
      <c r="AF8" s="1" t="s">
        <v>357</v>
      </c>
      <c r="AG8" s="1" t="s">
        <v>358</v>
      </c>
      <c r="AL8" s="2" t="s">
        <v>349</v>
      </c>
      <c r="AM8" s="2" t="s">
        <v>327</v>
      </c>
      <c r="AN8" s="2" t="s">
        <v>336</v>
      </c>
      <c r="AO8" s="2" t="s">
        <v>359</v>
      </c>
      <c r="AP8" s="2" t="s">
        <v>360</v>
      </c>
      <c r="AQ8" s="2" t="s">
        <v>361</v>
      </c>
      <c r="AR8" s="1" t="s">
        <v>338</v>
      </c>
      <c r="AS8" s="1" t="s">
        <v>339</v>
      </c>
      <c r="AT8" s="1" t="s">
        <v>340</v>
      </c>
      <c r="AU8" s="1" t="s">
        <v>341</v>
      </c>
      <c r="AV8" s="1" t="s">
        <v>278</v>
      </c>
      <c r="AW8" s="1" t="s">
        <v>309</v>
      </c>
      <c r="AX8" s="1" t="s">
        <v>309</v>
      </c>
      <c r="AY8" s="1" t="s">
        <v>332</v>
      </c>
      <c r="AZ8" s="1" t="s">
        <v>342</v>
      </c>
      <c r="BA8" s="2"/>
      <c r="BB8" s="14" t="s">
        <v>349</v>
      </c>
      <c r="BC8" s="15" t="s">
        <v>318</v>
      </c>
      <c r="BD8" s="15" t="s">
        <v>82</v>
      </c>
      <c r="BE8" s="13" t="s">
        <v>320</v>
      </c>
      <c r="BF8" s="16" t="s">
        <v>348</v>
      </c>
      <c r="BG8" s="15" t="s">
        <v>362</v>
      </c>
      <c r="BH8" s="2"/>
      <c r="BK8" s="2"/>
    </row>
    <row r="9" spans="1:63" x14ac:dyDescent="0.5">
      <c r="G9" s="1" t="s">
        <v>85</v>
      </c>
      <c r="H9" s="1" t="s">
        <v>85</v>
      </c>
      <c r="I9" s="1" t="s">
        <v>85</v>
      </c>
      <c r="L9" s="1" t="s">
        <v>213</v>
      </c>
      <c r="M9" s="1" t="s">
        <v>363</v>
      </c>
      <c r="N9" s="1" t="s">
        <v>364</v>
      </c>
      <c r="O9" s="1" t="s">
        <v>365</v>
      </c>
      <c r="P9" s="1" t="s">
        <v>366</v>
      </c>
      <c r="Q9" s="1" t="s">
        <v>206</v>
      </c>
      <c r="S9" s="1" t="s">
        <v>213</v>
      </c>
      <c r="T9" s="1" t="s">
        <v>363</v>
      </c>
      <c r="U9" s="1" t="s">
        <v>364</v>
      </c>
      <c r="V9" s="1" t="s">
        <v>365</v>
      </c>
      <c r="W9" s="1" t="s">
        <v>366</v>
      </c>
      <c r="X9" s="1" t="s">
        <v>206</v>
      </c>
      <c r="Y9" s="1" t="s">
        <v>337</v>
      </c>
      <c r="Z9" s="1" t="s">
        <v>367</v>
      </c>
      <c r="AA9" s="1" t="s">
        <v>368</v>
      </c>
      <c r="AB9" s="1" t="s">
        <v>369</v>
      </c>
      <c r="AC9" s="1" t="s">
        <v>370</v>
      </c>
      <c r="AD9" s="1" t="s">
        <v>223</v>
      </c>
      <c r="AE9" s="1" t="s">
        <v>371</v>
      </c>
      <c r="AF9" s="1" t="s">
        <v>372</v>
      </c>
      <c r="AG9" s="1" t="s">
        <v>348</v>
      </c>
      <c r="AL9" s="2" t="s">
        <v>213</v>
      </c>
      <c r="AM9" s="2" t="s">
        <v>373</v>
      </c>
      <c r="AN9" s="2" t="s">
        <v>374</v>
      </c>
      <c r="AO9" s="2" t="s">
        <v>336</v>
      </c>
      <c r="AP9" s="2" t="s">
        <v>375</v>
      </c>
      <c r="AQ9" s="2" t="s">
        <v>376</v>
      </c>
      <c r="AR9" s="1" t="s">
        <v>206</v>
      </c>
      <c r="AS9" s="1" t="s">
        <v>353</v>
      </c>
      <c r="AT9" s="1" t="s">
        <v>354</v>
      </c>
      <c r="AU9" s="1" t="s">
        <v>355</v>
      </c>
      <c r="AV9" s="1" t="s">
        <v>82</v>
      </c>
      <c r="AW9" s="1" t="s">
        <v>206</v>
      </c>
      <c r="AX9" s="1" t="s">
        <v>356</v>
      </c>
      <c r="AY9" s="1" t="s">
        <v>357</v>
      </c>
      <c r="AZ9" s="1" t="s">
        <v>358</v>
      </c>
      <c r="BA9" s="2"/>
      <c r="BB9" s="13" t="s">
        <v>213</v>
      </c>
      <c r="BC9" s="14" t="s">
        <v>329</v>
      </c>
      <c r="BD9" s="15" t="s">
        <v>345</v>
      </c>
      <c r="BE9" s="16" t="s">
        <v>302</v>
      </c>
      <c r="BF9" s="16" t="s">
        <v>309</v>
      </c>
      <c r="BG9" s="16" t="s">
        <v>377</v>
      </c>
      <c r="BH9" s="2"/>
      <c r="BK9" s="2"/>
    </row>
    <row r="10" spans="1:63" x14ac:dyDescent="0.5">
      <c r="L10" s="1" t="s">
        <v>378</v>
      </c>
      <c r="M10" s="1" t="s">
        <v>379</v>
      </c>
      <c r="N10" s="1" t="s">
        <v>327</v>
      </c>
      <c r="O10" s="1" t="s">
        <v>344</v>
      </c>
      <c r="P10" s="1" t="s">
        <v>320</v>
      </c>
      <c r="Q10" s="1" t="s">
        <v>207</v>
      </c>
      <c r="S10" s="1" t="s">
        <v>378</v>
      </c>
      <c r="T10" s="1" t="s">
        <v>379</v>
      </c>
      <c r="U10" s="1" t="s">
        <v>327</v>
      </c>
      <c r="V10" s="1" t="s">
        <v>344</v>
      </c>
      <c r="W10" s="1" t="s">
        <v>320</v>
      </c>
      <c r="X10" s="1" t="s">
        <v>207</v>
      </c>
      <c r="Y10" s="1" t="s">
        <v>78</v>
      </c>
      <c r="Z10" s="1" t="s">
        <v>223</v>
      </c>
      <c r="AA10" s="1" t="s">
        <v>380</v>
      </c>
      <c r="AB10" s="1" t="s">
        <v>381</v>
      </c>
      <c r="AC10" s="1" t="s">
        <v>382</v>
      </c>
      <c r="AD10" s="1" t="s">
        <v>209</v>
      </c>
      <c r="AE10" s="1" t="s">
        <v>383</v>
      </c>
      <c r="AF10" s="1" t="s">
        <v>384</v>
      </c>
      <c r="AG10" s="1" t="s">
        <v>385</v>
      </c>
      <c r="AL10" s="2" t="s">
        <v>378</v>
      </c>
      <c r="AM10" s="2" t="s">
        <v>386</v>
      </c>
      <c r="AN10" s="2" t="s">
        <v>387</v>
      </c>
      <c r="AO10" s="2" t="s">
        <v>388</v>
      </c>
      <c r="AP10" s="2" t="s">
        <v>319</v>
      </c>
      <c r="AQ10" s="2" t="s">
        <v>225</v>
      </c>
      <c r="AR10" s="1" t="s">
        <v>337</v>
      </c>
      <c r="AS10" s="1" t="s">
        <v>367</v>
      </c>
      <c r="AT10" s="1" t="s">
        <v>368</v>
      </c>
      <c r="AU10" s="1" t="s">
        <v>369</v>
      </c>
      <c r="AV10" s="1" t="s">
        <v>370</v>
      </c>
      <c r="AW10" s="1" t="s">
        <v>223</v>
      </c>
      <c r="AX10" s="1" t="s">
        <v>371</v>
      </c>
      <c r="AY10" s="1" t="s">
        <v>372</v>
      </c>
      <c r="AZ10" s="1" t="s">
        <v>348</v>
      </c>
      <c r="BA10" s="2"/>
      <c r="BB10" s="14" t="s">
        <v>378</v>
      </c>
      <c r="BC10" s="16" t="s">
        <v>209</v>
      </c>
      <c r="BD10" s="16" t="s">
        <v>359</v>
      </c>
      <c r="BE10" s="14" t="s">
        <v>336</v>
      </c>
      <c r="BF10" s="16" t="s">
        <v>362</v>
      </c>
      <c r="BG10" s="15" t="s">
        <v>389</v>
      </c>
      <c r="BH10" s="2"/>
      <c r="BK10" s="2"/>
    </row>
    <row r="11" spans="1:63" x14ac:dyDescent="0.5">
      <c r="G11" s="1" t="s">
        <v>390</v>
      </c>
      <c r="H11" s="1" t="s">
        <v>298</v>
      </c>
      <c r="I11" s="1" t="s">
        <v>391</v>
      </c>
      <c r="J11" s="1" t="s">
        <v>333</v>
      </c>
      <c r="L11" s="1" t="s">
        <v>327</v>
      </c>
      <c r="M11" s="1" t="s">
        <v>392</v>
      </c>
      <c r="N11" s="1" t="s">
        <v>393</v>
      </c>
      <c r="O11" s="1" t="s">
        <v>363</v>
      </c>
      <c r="P11" s="1" t="s">
        <v>335</v>
      </c>
      <c r="Q11" s="1" t="s">
        <v>394</v>
      </c>
      <c r="S11" s="1" t="s">
        <v>327</v>
      </c>
      <c r="T11" s="1" t="s">
        <v>392</v>
      </c>
      <c r="U11" s="1" t="s">
        <v>393</v>
      </c>
      <c r="V11" s="1" t="s">
        <v>363</v>
      </c>
      <c r="W11" s="1" t="s">
        <v>335</v>
      </c>
      <c r="X11" s="1" t="s">
        <v>394</v>
      </c>
      <c r="Y11" s="1" t="s">
        <v>82</v>
      </c>
      <c r="Z11" s="1" t="s">
        <v>283</v>
      </c>
      <c r="AA11" s="1" t="s">
        <v>395</v>
      </c>
      <c r="AB11" s="1" t="s">
        <v>223</v>
      </c>
      <c r="AC11" s="1" t="s">
        <v>396</v>
      </c>
      <c r="AD11" s="1" t="s">
        <v>397</v>
      </c>
      <c r="AE11" s="1" t="s">
        <v>362</v>
      </c>
      <c r="AF11" s="1" t="s">
        <v>398</v>
      </c>
      <c r="AG11" s="1" t="s">
        <v>399</v>
      </c>
      <c r="AL11" s="2" t="s">
        <v>400</v>
      </c>
      <c r="AM11" s="2" t="s">
        <v>401</v>
      </c>
      <c r="AN11" s="2" t="s">
        <v>327</v>
      </c>
      <c r="AO11" s="2" t="s">
        <v>329</v>
      </c>
      <c r="AP11" s="2" t="s">
        <v>329</v>
      </c>
      <c r="AQ11" s="2" t="s">
        <v>402</v>
      </c>
      <c r="AR11" s="1" t="s">
        <v>78</v>
      </c>
      <c r="AS11" s="1" t="s">
        <v>223</v>
      </c>
      <c r="AT11" s="1" t="s">
        <v>380</v>
      </c>
      <c r="AU11" s="1" t="s">
        <v>381</v>
      </c>
      <c r="AV11" s="1" t="s">
        <v>382</v>
      </c>
      <c r="AW11" s="1" t="s">
        <v>209</v>
      </c>
      <c r="AX11" s="1" t="s">
        <v>383</v>
      </c>
      <c r="AY11" s="1" t="s">
        <v>384</v>
      </c>
      <c r="AZ11" s="1" t="s">
        <v>385</v>
      </c>
      <c r="BA11" s="2"/>
      <c r="BB11" s="13" t="s">
        <v>400</v>
      </c>
      <c r="BC11" s="13" t="s">
        <v>344</v>
      </c>
      <c r="BD11" s="15" t="s">
        <v>320</v>
      </c>
      <c r="BE11" s="15" t="s">
        <v>319</v>
      </c>
      <c r="BF11" s="16" t="s">
        <v>377</v>
      </c>
      <c r="BG11" s="15" t="s">
        <v>372</v>
      </c>
      <c r="BH11" s="2"/>
      <c r="BK11" s="2"/>
    </row>
    <row r="12" spans="1:63" x14ac:dyDescent="0.5">
      <c r="G12" s="1" t="s">
        <v>403</v>
      </c>
      <c r="H12" s="1" t="s">
        <v>403</v>
      </c>
      <c r="I12" s="1" t="s">
        <v>403</v>
      </c>
      <c r="J12" s="1" t="s">
        <v>403</v>
      </c>
      <c r="L12" s="1" t="s">
        <v>404</v>
      </c>
      <c r="M12" s="1" t="s">
        <v>404</v>
      </c>
      <c r="N12" s="1" t="s">
        <v>353</v>
      </c>
      <c r="O12" s="1" t="s">
        <v>405</v>
      </c>
      <c r="P12" s="1" t="s">
        <v>406</v>
      </c>
      <c r="Q12" s="1" t="s">
        <v>320</v>
      </c>
      <c r="S12" s="1" t="s">
        <v>404</v>
      </c>
      <c r="T12" s="1" t="s">
        <v>404</v>
      </c>
      <c r="U12" s="1" t="s">
        <v>353</v>
      </c>
      <c r="V12" s="1" t="s">
        <v>405</v>
      </c>
      <c r="W12" s="1" t="s">
        <v>406</v>
      </c>
      <c r="X12" s="1" t="s">
        <v>320</v>
      </c>
      <c r="Y12" s="1" t="s">
        <v>321</v>
      </c>
      <c r="Z12" s="1" t="s">
        <v>407</v>
      </c>
      <c r="AA12" s="1" t="s">
        <v>408</v>
      </c>
      <c r="AB12" s="1" t="s">
        <v>409</v>
      </c>
      <c r="AC12" s="1" t="s">
        <v>410</v>
      </c>
      <c r="AD12" s="1" t="s">
        <v>373</v>
      </c>
      <c r="AE12" s="1" t="s">
        <v>411</v>
      </c>
      <c r="AF12" s="1" t="s">
        <v>412</v>
      </c>
      <c r="AG12" s="1" t="s">
        <v>413</v>
      </c>
      <c r="AL12" s="2" t="s">
        <v>414</v>
      </c>
      <c r="AM12" s="2" t="s">
        <v>415</v>
      </c>
      <c r="AN12" s="2" t="s">
        <v>214</v>
      </c>
      <c r="AO12" s="2" t="s">
        <v>416</v>
      </c>
      <c r="AP12" s="2" t="s">
        <v>417</v>
      </c>
      <c r="AQ12" s="2" t="s">
        <v>418</v>
      </c>
      <c r="AR12" s="1" t="s">
        <v>82</v>
      </c>
      <c r="AS12" s="1" t="s">
        <v>283</v>
      </c>
      <c r="AT12" s="1" t="s">
        <v>395</v>
      </c>
      <c r="AU12" s="1" t="s">
        <v>223</v>
      </c>
      <c r="AV12" s="1" t="s">
        <v>396</v>
      </c>
      <c r="AW12" s="1" t="s">
        <v>397</v>
      </c>
      <c r="AX12" s="1" t="s">
        <v>362</v>
      </c>
      <c r="AY12" s="1" t="s">
        <v>398</v>
      </c>
      <c r="AZ12" s="1" t="s">
        <v>399</v>
      </c>
      <c r="BA12" s="2"/>
      <c r="BB12" s="14" t="s">
        <v>414</v>
      </c>
      <c r="BC12" s="15" t="s">
        <v>350</v>
      </c>
      <c r="BD12" s="16" t="s">
        <v>310</v>
      </c>
      <c r="BE12" s="16" t="s">
        <v>335</v>
      </c>
      <c r="BF12" s="15" t="s">
        <v>389</v>
      </c>
      <c r="BG12" s="16" t="s">
        <v>371</v>
      </c>
      <c r="BH12" s="2"/>
      <c r="BK12" s="2"/>
    </row>
    <row r="13" spans="1:63" x14ac:dyDescent="0.5">
      <c r="G13" s="1" t="s">
        <v>419</v>
      </c>
      <c r="H13" s="1" t="s">
        <v>419</v>
      </c>
      <c r="I13" s="1" t="s">
        <v>419</v>
      </c>
      <c r="J13" s="1" t="s">
        <v>420</v>
      </c>
      <c r="L13" s="1" t="s">
        <v>414</v>
      </c>
      <c r="M13" s="1" t="s">
        <v>421</v>
      </c>
      <c r="N13" s="1" t="s">
        <v>422</v>
      </c>
      <c r="O13" s="1" t="s">
        <v>392</v>
      </c>
      <c r="P13" s="1" t="s">
        <v>423</v>
      </c>
      <c r="Q13" s="1" t="s">
        <v>424</v>
      </c>
      <c r="S13" s="1" t="s">
        <v>414</v>
      </c>
      <c r="T13" s="1" t="s">
        <v>421</v>
      </c>
      <c r="U13" s="1" t="s">
        <v>422</v>
      </c>
      <c r="V13" s="1" t="s">
        <v>392</v>
      </c>
      <c r="W13" s="1" t="s">
        <v>423</v>
      </c>
      <c r="X13" s="1" t="s">
        <v>424</v>
      </c>
      <c r="Y13" s="1" t="s">
        <v>425</v>
      </c>
      <c r="Z13" s="1" t="s">
        <v>426</v>
      </c>
      <c r="AA13" s="1" t="s">
        <v>218</v>
      </c>
      <c r="AB13" s="1" t="s">
        <v>427</v>
      </c>
      <c r="AC13" s="1" t="s">
        <v>313</v>
      </c>
      <c r="AD13" s="1" t="s">
        <v>428</v>
      </c>
      <c r="AE13" s="1" t="s">
        <v>429</v>
      </c>
      <c r="AF13" s="1" t="s">
        <v>213</v>
      </c>
      <c r="AG13" s="1" t="s">
        <v>428</v>
      </c>
      <c r="AL13" s="2" t="s">
        <v>430</v>
      </c>
      <c r="AM13" s="2" t="s">
        <v>431</v>
      </c>
      <c r="AN13" s="2" t="s">
        <v>324</v>
      </c>
      <c r="AO13" s="2" t="s">
        <v>432</v>
      </c>
      <c r="AP13" s="2" t="s">
        <v>335</v>
      </c>
      <c r="AQ13" s="2" t="s">
        <v>384</v>
      </c>
      <c r="AR13" s="1" t="s">
        <v>321</v>
      </c>
      <c r="AS13" s="1" t="s">
        <v>407</v>
      </c>
      <c r="AT13" s="1" t="s">
        <v>408</v>
      </c>
      <c r="AU13" s="1" t="s">
        <v>409</v>
      </c>
      <c r="AV13" s="1" t="s">
        <v>410</v>
      </c>
      <c r="AW13" s="1" t="s">
        <v>373</v>
      </c>
      <c r="AX13" s="1" t="s">
        <v>411</v>
      </c>
      <c r="AY13" s="1" t="s">
        <v>412</v>
      </c>
      <c r="AZ13" s="1" t="s">
        <v>413</v>
      </c>
      <c r="BA13" s="2"/>
      <c r="BB13" s="13" t="s">
        <v>430</v>
      </c>
      <c r="BC13" s="16" t="s">
        <v>363</v>
      </c>
      <c r="BD13" s="16" t="s">
        <v>336</v>
      </c>
      <c r="BE13" s="15" t="s">
        <v>210</v>
      </c>
      <c r="BF13" s="16" t="s">
        <v>372</v>
      </c>
      <c r="BG13" s="15" t="s">
        <v>281</v>
      </c>
      <c r="BH13" s="2"/>
      <c r="BK13" s="2"/>
    </row>
    <row r="14" spans="1:63" x14ac:dyDescent="0.5">
      <c r="G14" s="1" t="s">
        <v>433</v>
      </c>
      <c r="H14" s="1" t="s">
        <v>433</v>
      </c>
      <c r="I14" s="1" t="s">
        <v>433</v>
      </c>
      <c r="J14" s="1" t="s">
        <v>433</v>
      </c>
      <c r="L14" s="1" t="s">
        <v>434</v>
      </c>
      <c r="M14" s="1" t="s">
        <v>353</v>
      </c>
      <c r="N14" s="1" t="s">
        <v>216</v>
      </c>
      <c r="O14" s="1" t="s">
        <v>435</v>
      </c>
      <c r="P14" s="1" t="s">
        <v>374</v>
      </c>
      <c r="Q14" s="1" t="s">
        <v>436</v>
      </c>
      <c r="S14" s="1" t="s">
        <v>434</v>
      </c>
      <c r="T14" s="1" t="s">
        <v>353</v>
      </c>
      <c r="U14" s="1" t="s">
        <v>216</v>
      </c>
      <c r="V14" s="1" t="s">
        <v>435</v>
      </c>
      <c r="W14" s="1" t="s">
        <v>374</v>
      </c>
      <c r="X14" s="1" t="s">
        <v>436</v>
      </c>
      <c r="Y14" s="1" t="s">
        <v>437</v>
      </c>
      <c r="Z14" s="1" t="s">
        <v>434</v>
      </c>
      <c r="AA14" s="1" t="s">
        <v>438</v>
      </c>
      <c r="AB14" s="1" t="s">
        <v>439</v>
      </c>
      <c r="AC14" s="1" t="s">
        <v>440</v>
      </c>
      <c r="AD14" s="1" t="s">
        <v>441</v>
      </c>
      <c r="AE14" s="1" t="s">
        <v>442</v>
      </c>
      <c r="AF14" s="1" t="s">
        <v>393</v>
      </c>
      <c r="AG14" s="1" t="s">
        <v>441</v>
      </c>
      <c r="AL14" s="2" t="s">
        <v>443</v>
      </c>
      <c r="AM14" s="2" t="s">
        <v>444</v>
      </c>
      <c r="AN14" s="2" t="s">
        <v>414</v>
      </c>
      <c r="AO14" s="2" t="s">
        <v>445</v>
      </c>
      <c r="AP14" s="2" t="s">
        <v>364</v>
      </c>
      <c r="AQ14" s="2" t="s">
        <v>446</v>
      </c>
      <c r="AR14" s="1" t="s">
        <v>425</v>
      </c>
      <c r="AS14" s="1" t="s">
        <v>426</v>
      </c>
      <c r="AT14" s="1" t="s">
        <v>218</v>
      </c>
      <c r="AU14" s="1" t="s">
        <v>427</v>
      </c>
      <c r="AV14" s="1" t="s">
        <v>313</v>
      </c>
      <c r="AW14" s="1" t="s">
        <v>428</v>
      </c>
      <c r="AX14" s="1" t="s">
        <v>429</v>
      </c>
      <c r="AY14" s="1" t="s">
        <v>213</v>
      </c>
      <c r="AZ14" s="1" t="s">
        <v>428</v>
      </c>
      <c r="BA14" s="2"/>
      <c r="BB14" s="14" t="s">
        <v>443</v>
      </c>
      <c r="BC14" s="15" t="s">
        <v>379</v>
      </c>
      <c r="BD14" s="14" t="s">
        <v>388</v>
      </c>
      <c r="BE14" s="13" t="s">
        <v>374</v>
      </c>
      <c r="BF14" s="16" t="s">
        <v>346</v>
      </c>
      <c r="BG14" s="15" t="s">
        <v>447</v>
      </c>
      <c r="BH14" s="2"/>
      <c r="BK14" s="2"/>
    </row>
    <row r="15" spans="1:63" x14ac:dyDescent="0.5">
      <c r="G15" s="1" t="s">
        <v>448</v>
      </c>
      <c r="H15" s="1" t="s">
        <v>448</v>
      </c>
      <c r="I15" s="1" t="s">
        <v>448</v>
      </c>
      <c r="J15" s="1" t="s">
        <v>448</v>
      </c>
      <c r="L15" s="1" t="s">
        <v>430</v>
      </c>
      <c r="M15" s="1" t="s">
        <v>373</v>
      </c>
      <c r="N15" s="1" t="s">
        <v>324</v>
      </c>
      <c r="O15" s="1" t="s">
        <v>214</v>
      </c>
      <c r="P15" s="1" t="s">
        <v>364</v>
      </c>
      <c r="Q15" s="1" t="s">
        <v>310</v>
      </c>
      <c r="S15" s="1" t="s">
        <v>430</v>
      </c>
      <c r="T15" s="1" t="s">
        <v>373</v>
      </c>
      <c r="U15" s="1" t="s">
        <v>324</v>
      </c>
      <c r="V15" s="1" t="s">
        <v>214</v>
      </c>
      <c r="W15" s="1" t="s">
        <v>364</v>
      </c>
      <c r="X15" s="1" t="s">
        <v>310</v>
      </c>
      <c r="Y15" s="1" t="s">
        <v>279</v>
      </c>
      <c r="Z15" s="1" t="s">
        <v>210</v>
      </c>
      <c r="AA15" s="1" t="s">
        <v>449</v>
      </c>
      <c r="AB15" s="1" t="s">
        <v>210</v>
      </c>
      <c r="AC15" s="1" t="s">
        <v>52</v>
      </c>
      <c r="AD15" s="1" t="s">
        <v>450</v>
      </c>
      <c r="AE15" s="1" t="s">
        <v>377</v>
      </c>
      <c r="AF15" s="1" t="s">
        <v>365</v>
      </c>
      <c r="AG15" s="1" t="s">
        <v>422</v>
      </c>
      <c r="AL15" s="2" t="s">
        <v>451</v>
      </c>
      <c r="AM15" s="2" t="s">
        <v>452</v>
      </c>
      <c r="AN15" s="2" t="s">
        <v>410</v>
      </c>
      <c r="AO15" s="2" t="s">
        <v>453</v>
      </c>
      <c r="AP15" s="2" t="s">
        <v>454</v>
      </c>
      <c r="AQ15" s="2" t="s">
        <v>455</v>
      </c>
      <c r="AR15" s="1" t="s">
        <v>437</v>
      </c>
      <c r="AS15" s="1" t="s">
        <v>434</v>
      </c>
      <c r="AT15" s="1" t="s">
        <v>438</v>
      </c>
      <c r="AU15" s="1" t="s">
        <v>439</v>
      </c>
      <c r="AV15" s="1" t="s">
        <v>440</v>
      </c>
      <c r="AW15" s="1" t="s">
        <v>441</v>
      </c>
      <c r="AX15" s="1" t="s">
        <v>442</v>
      </c>
      <c r="AY15" s="1" t="s">
        <v>393</v>
      </c>
      <c r="AZ15" s="1" t="s">
        <v>441</v>
      </c>
      <c r="BA15" s="2"/>
      <c r="BB15" s="13" t="s">
        <v>451</v>
      </c>
      <c r="BC15" s="16" t="s">
        <v>392</v>
      </c>
      <c r="BD15" s="15" t="s">
        <v>319</v>
      </c>
      <c r="BE15" s="16" t="s">
        <v>364</v>
      </c>
      <c r="BF15" s="16" t="s">
        <v>371</v>
      </c>
      <c r="BG15" s="15" t="s">
        <v>442</v>
      </c>
      <c r="BH15" s="2"/>
      <c r="BK15" s="2"/>
    </row>
    <row r="16" spans="1:63" x14ac:dyDescent="0.5">
      <c r="G16" s="1" t="s">
        <v>456</v>
      </c>
      <c r="H16" s="1" t="s">
        <v>456</v>
      </c>
      <c r="I16" s="1" t="s">
        <v>456</v>
      </c>
      <c r="J16" s="1" t="s">
        <v>456</v>
      </c>
      <c r="L16" s="1" t="s">
        <v>218</v>
      </c>
      <c r="M16" s="1" t="s">
        <v>216</v>
      </c>
      <c r="N16" s="1" t="s">
        <v>457</v>
      </c>
      <c r="O16" s="1" t="s">
        <v>458</v>
      </c>
      <c r="P16" s="1" t="s">
        <v>459</v>
      </c>
      <c r="Q16" s="1" t="s">
        <v>406</v>
      </c>
      <c r="S16" s="1" t="s">
        <v>218</v>
      </c>
      <c r="T16" s="1" t="s">
        <v>216</v>
      </c>
      <c r="U16" s="1" t="s">
        <v>457</v>
      </c>
      <c r="V16" s="1" t="s">
        <v>458</v>
      </c>
      <c r="W16" s="1" t="s">
        <v>459</v>
      </c>
      <c r="X16" s="1" t="s">
        <v>406</v>
      </c>
      <c r="Y16" s="1" t="s">
        <v>460</v>
      </c>
      <c r="Z16" s="1" t="s">
        <v>215</v>
      </c>
      <c r="AA16" s="1" t="s">
        <v>461</v>
      </c>
      <c r="AB16" s="1" t="s">
        <v>278</v>
      </c>
      <c r="AC16" s="1" t="s">
        <v>235</v>
      </c>
      <c r="AD16" s="1" t="s">
        <v>462</v>
      </c>
      <c r="AE16" s="1" t="s">
        <v>389</v>
      </c>
      <c r="AF16" s="1" t="s">
        <v>463</v>
      </c>
      <c r="AG16" s="1" t="s">
        <v>453</v>
      </c>
      <c r="AL16" s="2" t="s">
        <v>368</v>
      </c>
      <c r="AM16" s="2" t="s">
        <v>464</v>
      </c>
      <c r="AN16" s="2" t="s">
        <v>434</v>
      </c>
      <c r="AO16" s="2" t="s">
        <v>465</v>
      </c>
      <c r="AP16" s="2" t="s">
        <v>459</v>
      </c>
      <c r="AQ16" s="2" t="s">
        <v>466</v>
      </c>
      <c r="AR16" s="1" t="s">
        <v>279</v>
      </c>
      <c r="AS16" s="1" t="s">
        <v>210</v>
      </c>
      <c r="AT16" s="1" t="s">
        <v>449</v>
      </c>
      <c r="AU16" s="1" t="s">
        <v>210</v>
      </c>
      <c r="AV16" s="1" t="s">
        <v>52</v>
      </c>
      <c r="AW16" s="1" t="s">
        <v>450</v>
      </c>
      <c r="AX16" s="1" t="s">
        <v>377</v>
      </c>
      <c r="AY16" s="1" t="s">
        <v>365</v>
      </c>
      <c r="AZ16" s="1" t="s">
        <v>422</v>
      </c>
      <c r="BA16" s="2"/>
      <c r="BB16" s="14" t="s">
        <v>368</v>
      </c>
      <c r="BC16" s="14" t="s">
        <v>327</v>
      </c>
      <c r="BD16" s="15" t="s">
        <v>329</v>
      </c>
      <c r="BE16" s="13" t="s">
        <v>327</v>
      </c>
      <c r="BF16" s="16" t="s">
        <v>281</v>
      </c>
      <c r="BG16" s="15" t="s">
        <v>467</v>
      </c>
      <c r="BH16" s="2"/>
      <c r="BK16" s="2"/>
    </row>
    <row r="17" spans="7:63" x14ac:dyDescent="0.5">
      <c r="G17" s="1" t="s">
        <v>468</v>
      </c>
      <c r="H17" s="1" t="s">
        <v>468</v>
      </c>
      <c r="I17" s="1" t="s">
        <v>468</v>
      </c>
      <c r="J17" s="1" t="s">
        <v>468</v>
      </c>
      <c r="L17" s="1" t="s">
        <v>469</v>
      </c>
      <c r="M17" s="1" t="s">
        <v>218</v>
      </c>
      <c r="N17" s="1" t="s">
        <v>414</v>
      </c>
      <c r="O17" s="1" t="s">
        <v>470</v>
      </c>
      <c r="P17" s="1" t="s">
        <v>471</v>
      </c>
      <c r="Q17" s="1" t="s">
        <v>423</v>
      </c>
      <c r="S17" s="1" t="s">
        <v>469</v>
      </c>
      <c r="T17" s="1" t="s">
        <v>218</v>
      </c>
      <c r="U17" s="1" t="s">
        <v>414</v>
      </c>
      <c r="V17" s="1" t="s">
        <v>470</v>
      </c>
      <c r="W17" s="1" t="s">
        <v>471</v>
      </c>
      <c r="X17" s="1" t="s">
        <v>423</v>
      </c>
      <c r="Y17" s="1" t="s">
        <v>222</v>
      </c>
      <c r="Z17" s="1" t="s">
        <v>370</v>
      </c>
      <c r="AA17" s="1" t="s">
        <v>472</v>
      </c>
      <c r="AB17" s="1" t="s">
        <v>473</v>
      </c>
      <c r="AC17" s="1" t="s">
        <v>371</v>
      </c>
      <c r="AD17" s="1" t="s">
        <v>474</v>
      </c>
      <c r="AE17" s="1" t="s">
        <v>475</v>
      </c>
      <c r="AF17" s="1" t="s">
        <v>476</v>
      </c>
      <c r="AG17" s="1" t="s">
        <v>336</v>
      </c>
      <c r="AL17" s="2" t="s">
        <v>477</v>
      </c>
      <c r="AM17" s="2" t="s">
        <v>478</v>
      </c>
      <c r="AN17" s="2" t="s">
        <v>479</v>
      </c>
      <c r="AO17" s="2" t="s">
        <v>414</v>
      </c>
      <c r="AP17" s="2" t="s">
        <v>363</v>
      </c>
      <c r="AQ17" s="2" t="s">
        <v>480</v>
      </c>
      <c r="AR17" s="1" t="s">
        <v>460</v>
      </c>
      <c r="AS17" s="1" t="s">
        <v>215</v>
      </c>
      <c r="AT17" s="1" t="s">
        <v>461</v>
      </c>
      <c r="AU17" s="1" t="s">
        <v>278</v>
      </c>
      <c r="AV17" s="1" t="s">
        <v>235</v>
      </c>
      <c r="AW17" s="1" t="s">
        <v>462</v>
      </c>
      <c r="AX17" s="1" t="s">
        <v>389</v>
      </c>
      <c r="AY17" s="1" t="s">
        <v>463</v>
      </c>
      <c r="AZ17" s="1" t="s">
        <v>453</v>
      </c>
      <c r="BA17" s="2"/>
      <c r="BB17" s="13" t="s">
        <v>477</v>
      </c>
      <c r="BC17" s="15" t="s">
        <v>404</v>
      </c>
      <c r="BD17" s="16" t="s">
        <v>335</v>
      </c>
      <c r="BE17" s="14" t="s">
        <v>214</v>
      </c>
      <c r="BF17" s="16" t="s">
        <v>321</v>
      </c>
      <c r="BG17" s="15" t="s">
        <v>336</v>
      </c>
      <c r="BH17" s="2"/>
      <c r="BK17" s="2"/>
    </row>
    <row r="18" spans="7:63" x14ac:dyDescent="0.5">
      <c r="L18" s="1" t="s">
        <v>481</v>
      </c>
      <c r="M18" s="1" t="s">
        <v>481</v>
      </c>
      <c r="N18" s="1" t="s">
        <v>482</v>
      </c>
      <c r="O18" s="1" t="s">
        <v>445</v>
      </c>
      <c r="P18" s="1" t="s">
        <v>435</v>
      </c>
      <c r="Q18" s="1" t="s">
        <v>483</v>
      </c>
      <c r="S18" s="1" t="s">
        <v>481</v>
      </c>
      <c r="T18" s="1" t="s">
        <v>481</v>
      </c>
      <c r="U18" s="1" t="s">
        <v>482</v>
      </c>
      <c r="V18" s="1" t="s">
        <v>445</v>
      </c>
      <c r="W18" s="1" t="s">
        <v>435</v>
      </c>
      <c r="X18" s="1" t="s">
        <v>483</v>
      </c>
      <c r="Y18" s="1" t="s">
        <v>484</v>
      </c>
      <c r="Z18" s="1" t="s">
        <v>382</v>
      </c>
      <c r="AA18" s="1" t="s">
        <v>370</v>
      </c>
      <c r="AB18" s="1" t="s">
        <v>335</v>
      </c>
      <c r="AC18" s="1" t="s">
        <v>429</v>
      </c>
      <c r="AD18" s="1" t="s">
        <v>349</v>
      </c>
      <c r="AE18" s="1" t="s">
        <v>485</v>
      </c>
      <c r="AF18" s="1" t="s">
        <v>486</v>
      </c>
      <c r="AG18" s="1" t="s">
        <v>487</v>
      </c>
      <c r="AL18" s="2" t="s">
        <v>488</v>
      </c>
      <c r="AM18" s="2" t="s">
        <v>489</v>
      </c>
      <c r="AN18" s="2" t="s">
        <v>490</v>
      </c>
      <c r="AO18" s="2" t="s">
        <v>395</v>
      </c>
      <c r="AP18" s="2" t="s">
        <v>392</v>
      </c>
      <c r="AQ18" s="2" t="s">
        <v>491</v>
      </c>
      <c r="AR18" s="1" t="s">
        <v>222</v>
      </c>
      <c r="AS18" s="1" t="s">
        <v>370</v>
      </c>
      <c r="AT18" s="1" t="s">
        <v>472</v>
      </c>
      <c r="AU18" s="1" t="s">
        <v>473</v>
      </c>
      <c r="AV18" s="1" t="s">
        <v>371</v>
      </c>
      <c r="AW18" s="1" t="s">
        <v>474</v>
      </c>
      <c r="AX18" s="1" t="s">
        <v>475</v>
      </c>
      <c r="AY18" s="1" t="s">
        <v>476</v>
      </c>
      <c r="AZ18" s="1" t="s">
        <v>336</v>
      </c>
      <c r="BA18" s="2"/>
      <c r="BB18" s="14" t="s">
        <v>488</v>
      </c>
      <c r="BC18" s="16" t="s">
        <v>421</v>
      </c>
      <c r="BD18" s="15" t="s">
        <v>210</v>
      </c>
      <c r="BE18" s="13" t="s">
        <v>393</v>
      </c>
      <c r="BF18" s="16" t="s">
        <v>447</v>
      </c>
      <c r="BG18" s="15" t="s">
        <v>310</v>
      </c>
      <c r="BH18" s="2"/>
      <c r="BK18" s="2"/>
    </row>
    <row r="19" spans="7:63" x14ac:dyDescent="0.5">
      <c r="G19" s="1" t="s">
        <v>272</v>
      </c>
      <c r="H19" s="1" t="s">
        <v>299</v>
      </c>
      <c r="I19" s="1" t="s">
        <v>316</v>
      </c>
      <c r="L19" s="1" t="s">
        <v>481</v>
      </c>
      <c r="M19" s="1" t="s">
        <v>415</v>
      </c>
      <c r="N19" s="1" t="s">
        <v>410</v>
      </c>
      <c r="O19" s="1" t="s">
        <v>463</v>
      </c>
      <c r="P19" s="1" t="s">
        <v>492</v>
      </c>
      <c r="Q19" s="1" t="s">
        <v>493</v>
      </c>
      <c r="S19" s="1" t="s">
        <v>481</v>
      </c>
      <c r="T19" s="1" t="s">
        <v>415</v>
      </c>
      <c r="U19" s="1" t="s">
        <v>410</v>
      </c>
      <c r="V19" s="1" t="s">
        <v>463</v>
      </c>
      <c r="W19" s="1" t="s">
        <v>492</v>
      </c>
      <c r="X19" s="1" t="s">
        <v>493</v>
      </c>
      <c r="Y19" s="1" t="s">
        <v>494</v>
      </c>
      <c r="Z19" s="1" t="s">
        <v>481</v>
      </c>
      <c r="AA19" s="1" t="s">
        <v>495</v>
      </c>
      <c r="AB19" s="1" t="s">
        <v>496</v>
      </c>
      <c r="AC19" s="1" t="s">
        <v>411</v>
      </c>
      <c r="AD19" s="1" t="s">
        <v>497</v>
      </c>
      <c r="AE19" s="1" t="s">
        <v>498</v>
      </c>
      <c r="AF19" s="1" t="s">
        <v>499</v>
      </c>
      <c r="AG19" s="1" t="s">
        <v>226</v>
      </c>
      <c r="AL19" s="2" t="s">
        <v>500</v>
      </c>
      <c r="AM19" s="2" t="s">
        <v>488</v>
      </c>
      <c r="AN19" s="2" t="s">
        <v>486</v>
      </c>
      <c r="AO19" s="2" t="s">
        <v>501</v>
      </c>
      <c r="AP19" s="2" t="s">
        <v>471</v>
      </c>
      <c r="AQ19" s="2" t="s">
        <v>502</v>
      </c>
      <c r="AR19" s="1" t="s">
        <v>484</v>
      </c>
      <c r="AS19" s="1" t="s">
        <v>382</v>
      </c>
      <c r="AT19" s="1" t="s">
        <v>370</v>
      </c>
      <c r="AU19" s="1" t="s">
        <v>335</v>
      </c>
      <c r="AV19" s="1" t="s">
        <v>429</v>
      </c>
      <c r="AW19" s="1" t="s">
        <v>349</v>
      </c>
      <c r="AX19" s="1" t="s">
        <v>485</v>
      </c>
      <c r="AY19" s="1" t="s">
        <v>486</v>
      </c>
      <c r="AZ19" s="1" t="s">
        <v>487</v>
      </c>
      <c r="BA19" s="2"/>
      <c r="BB19" s="13" t="s">
        <v>500</v>
      </c>
      <c r="BC19" s="15" t="s">
        <v>353</v>
      </c>
      <c r="BD19" s="16" t="s">
        <v>365</v>
      </c>
      <c r="BE19" s="13" t="s">
        <v>353</v>
      </c>
      <c r="BF19" s="15" t="s">
        <v>442</v>
      </c>
      <c r="BG19" s="15" t="s">
        <v>358</v>
      </c>
      <c r="BH19" s="2"/>
      <c r="BK19" s="2"/>
    </row>
    <row r="20" spans="7:63" x14ac:dyDescent="0.5">
      <c r="G20" s="1" t="s">
        <v>291</v>
      </c>
      <c r="H20" s="1" t="s">
        <v>291</v>
      </c>
      <c r="I20" s="1" t="s">
        <v>291</v>
      </c>
      <c r="L20" s="1" t="s">
        <v>503</v>
      </c>
      <c r="M20" s="1" t="s">
        <v>504</v>
      </c>
      <c r="N20" s="1" t="s">
        <v>401</v>
      </c>
      <c r="O20" s="1" t="s">
        <v>422</v>
      </c>
      <c r="P20" s="1" t="s">
        <v>214</v>
      </c>
      <c r="Q20" s="1" t="s">
        <v>505</v>
      </c>
      <c r="S20" s="1" t="s">
        <v>503</v>
      </c>
      <c r="T20" s="1" t="s">
        <v>504</v>
      </c>
      <c r="U20" s="1" t="s">
        <v>401</v>
      </c>
      <c r="V20" s="1" t="s">
        <v>422</v>
      </c>
      <c r="W20" s="1" t="s">
        <v>214</v>
      </c>
      <c r="X20" s="1" t="s">
        <v>505</v>
      </c>
      <c r="Y20" s="1" t="s">
        <v>506</v>
      </c>
      <c r="Z20" s="1" t="s">
        <v>507</v>
      </c>
      <c r="AA20" s="1" t="s">
        <v>508</v>
      </c>
      <c r="AB20" s="1" t="s">
        <v>480</v>
      </c>
      <c r="AC20" s="1" t="s">
        <v>509</v>
      </c>
      <c r="AD20" s="1" t="s">
        <v>510</v>
      </c>
      <c r="AE20" s="1" t="s">
        <v>467</v>
      </c>
      <c r="AF20" s="1" t="s">
        <v>220</v>
      </c>
      <c r="AG20" s="1" t="s">
        <v>467</v>
      </c>
      <c r="AL20" s="2" t="s">
        <v>511</v>
      </c>
      <c r="AM20" s="2" t="s">
        <v>511</v>
      </c>
      <c r="AN20" s="2" t="s">
        <v>489</v>
      </c>
      <c r="AO20" s="2" t="s">
        <v>218</v>
      </c>
      <c r="AP20" s="2" t="s">
        <v>435</v>
      </c>
      <c r="AQ20" s="2" t="s">
        <v>233</v>
      </c>
      <c r="AR20" s="1" t="s">
        <v>494</v>
      </c>
      <c r="AS20" s="1" t="s">
        <v>481</v>
      </c>
      <c r="AT20" s="1" t="s">
        <v>495</v>
      </c>
      <c r="AU20" s="1" t="s">
        <v>496</v>
      </c>
      <c r="AV20" s="1" t="s">
        <v>411</v>
      </c>
      <c r="AW20" s="1" t="s">
        <v>497</v>
      </c>
      <c r="AX20" s="1" t="s">
        <v>498</v>
      </c>
      <c r="AY20" s="1" t="s">
        <v>499</v>
      </c>
      <c r="AZ20" s="1" t="s">
        <v>226</v>
      </c>
      <c r="BA20" s="2"/>
      <c r="BB20" s="14" t="s">
        <v>511</v>
      </c>
      <c r="BC20" s="13" t="s">
        <v>373</v>
      </c>
      <c r="BD20" s="16" t="s">
        <v>364</v>
      </c>
      <c r="BE20" s="13" t="s">
        <v>422</v>
      </c>
      <c r="BF20" s="15" t="s">
        <v>467</v>
      </c>
      <c r="BG20" s="15" t="s">
        <v>383</v>
      </c>
      <c r="BH20" s="2"/>
      <c r="BK20" s="2"/>
    </row>
    <row r="21" spans="7:63" x14ac:dyDescent="0.5">
      <c r="G21" s="1" t="s">
        <v>292</v>
      </c>
      <c r="H21" s="1" t="s">
        <v>292</v>
      </c>
      <c r="I21" s="1" t="s">
        <v>292</v>
      </c>
      <c r="L21" s="1" t="s">
        <v>223</v>
      </c>
      <c r="M21" s="1" t="s">
        <v>431</v>
      </c>
      <c r="N21" s="1" t="s">
        <v>411</v>
      </c>
      <c r="O21" s="1" t="s">
        <v>453</v>
      </c>
      <c r="P21" s="1" t="s">
        <v>404</v>
      </c>
      <c r="Q21" s="1" t="s">
        <v>512</v>
      </c>
      <c r="S21" s="1" t="s">
        <v>223</v>
      </c>
      <c r="T21" s="1" t="s">
        <v>431</v>
      </c>
      <c r="U21" s="1" t="s">
        <v>411</v>
      </c>
      <c r="V21" s="1" t="s">
        <v>453</v>
      </c>
      <c r="W21" s="1" t="s">
        <v>404</v>
      </c>
      <c r="X21" s="1" t="s">
        <v>512</v>
      </c>
      <c r="Y21" s="1" t="s">
        <v>364</v>
      </c>
      <c r="Z21" s="1" t="s">
        <v>513</v>
      </c>
      <c r="AA21" s="1" t="s">
        <v>514</v>
      </c>
      <c r="AB21" s="1" t="s">
        <v>515</v>
      </c>
      <c r="AC21" s="1" t="s">
        <v>516</v>
      </c>
      <c r="AD21" s="1" t="s">
        <v>517</v>
      </c>
      <c r="AE21" s="1" t="s">
        <v>447</v>
      </c>
      <c r="AF21" s="1" t="s">
        <v>321</v>
      </c>
      <c r="AG21" s="1" t="s">
        <v>518</v>
      </c>
      <c r="AL21" s="2" t="s">
        <v>519</v>
      </c>
      <c r="AM21" s="2" t="s">
        <v>520</v>
      </c>
      <c r="AN21" s="2" t="s">
        <v>472</v>
      </c>
      <c r="AO21" s="2" t="s">
        <v>481</v>
      </c>
      <c r="AP21" s="2" t="s">
        <v>398</v>
      </c>
      <c r="AQ21" s="2" t="s">
        <v>521</v>
      </c>
      <c r="AR21" s="1" t="s">
        <v>506</v>
      </c>
      <c r="AS21" s="1" t="s">
        <v>507</v>
      </c>
      <c r="AT21" s="1" t="s">
        <v>508</v>
      </c>
      <c r="AU21" s="1" t="s">
        <v>480</v>
      </c>
      <c r="AV21" s="1" t="s">
        <v>509</v>
      </c>
      <c r="AW21" s="1" t="s">
        <v>510</v>
      </c>
      <c r="AX21" s="1" t="s">
        <v>467</v>
      </c>
      <c r="AY21" s="1" t="s">
        <v>220</v>
      </c>
      <c r="AZ21" s="1" t="s">
        <v>467</v>
      </c>
      <c r="BA21" s="2"/>
      <c r="BB21" s="13" t="s">
        <v>519</v>
      </c>
      <c r="BC21" s="15" t="s">
        <v>216</v>
      </c>
      <c r="BD21" s="15" t="s">
        <v>344</v>
      </c>
      <c r="BE21" s="13" t="s">
        <v>216</v>
      </c>
      <c r="BF21" s="16" t="s">
        <v>522</v>
      </c>
      <c r="BG21" s="15" t="s">
        <v>210</v>
      </c>
      <c r="BH21" s="2"/>
      <c r="BK21" s="2"/>
    </row>
    <row r="22" spans="7:63" x14ac:dyDescent="0.5">
      <c r="G22" s="1" t="s">
        <v>293</v>
      </c>
      <c r="H22" s="1" t="s">
        <v>293</v>
      </c>
      <c r="I22" s="1" t="s">
        <v>293</v>
      </c>
      <c r="L22" s="1" t="s">
        <v>486</v>
      </c>
      <c r="M22" s="1" t="s">
        <v>283</v>
      </c>
      <c r="N22" s="1" t="s">
        <v>523</v>
      </c>
      <c r="O22" s="1" t="s">
        <v>523</v>
      </c>
      <c r="P22" s="1" t="s">
        <v>524</v>
      </c>
      <c r="Q22" s="1" t="s">
        <v>525</v>
      </c>
      <c r="S22" s="1" t="s">
        <v>486</v>
      </c>
      <c r="T22" s="1" t="s">
        <v>283</v>
      </c>
      <c r="U22" s="1" t="s">
        <v>523</v>
      </c>
      <c r="V22" s="1" t="s">
        <v>523</v>
      </c>
      <c r="W22" s="1" t="s">
        <v>524</v>
      </c>
      <c r="X22" s="1" t="s">
        <v>525</v>
      </c>
      <c r="Y22" s="1" t="s">
        <v>526</v>
      </c>
      <c r="Z22" s="1" t="s">
        <v>431</v>
      </c>
      <c r="AA22" s="1" t="s">
        <v>465</v>
      </c>
      <c r="AB22" s="1" t="s">
        <v>408</v>
      </c>
      <c r="AC22" s="1" t="s">
        <v>527</v>
      </c>
      <c r="AD22" s="1" t="s">
        <v>230</v>
      </c>
      <c r="AE22" s="1" t="s">
        <v>528</v>
      </c>
      <c r="AF22" s="1" t="s">
        <v>509</v>
      </c>
      <c r="AG22" s="1" t="s">
        <v>529</v>
      </c>
      <c r="AL22" s="2" t="s">
        <v>530</v>
      </c>
      <c r="AM22" s="2" t="s">
        <v>531</v>
      </c>
      <c r="AN22" s="2" t="s">
        <v>425</v>
      </c>
      <c r="AO22" s="2" t="s">
        <v>464</v>
      </c>
      <c r="AP22" s="2" t="s">
        <v>327</v>
      </c>
      <c r="AR22" s="1" t="s">
        <v>364</v>
      </c>
      <c r="AS22" s="1" t="s">
        <v>513</v>
      </c>
      <c r="AT22" s="1" t="s">
        <v>514</v>
      </c>
      <c r="AU22" s="1" t="s">
        <v>515</v>
      </c>
      <c r="AV22" s="1" t="s">
        <v>516</v>
      </c>
      <c r="AW22" s="1" t="s">
        <v>517</v>
      </c>
      <c r="AX22" s="1" t="s">
        <v>447</v>
      </c>
      <c r="AY22" s="1" t="s">
        <v>321</v>
      </c>
      <c r="AZ22" s="1" t="s">
        <v>518</v>
      </c>
      <c r="BB22" s="13" t="s">
        <v>520</v>
      </c>
      <c r="BC22" s="15" t="s">
        <v>386</v>
      </c>
      <c r="BD22" s="16" t="s">
        <v>416</v>
      </c>
      <c r="BE22" s="13" t="s">
        <v>324</v>
      </c>
      <c r="BF22" s="16" t="s">
        <v>336</v>
      </c>
      <c r="BG22" s="15" t="s">
        <v>374</v>
      </c>
    </row>
    <row r="23" spans="7:63" x14ac:dyDescent="0.5">
      <c r="G23" s="1" t="s">
        <v>294</v>
      </c>
      <c r="H23" s="1" t="s">
        <v>294</v>
      </c>
      <c r="I23" s="1" t="s">
        <v>294</v>
      </c>
      <c r="L23" s="1" t="s">
        <v>452</v>
      </c>
      <c r="M23" s="1" t="s">
        <v>444</v>
      </c>
      <c r="N23" s="1" t="s">
        <v>523</v>
      </c>
      <c r="O23" s="1" t="s">
        <v>481</v>
      </c>
      <c r="P23" s="1" t="s">
        <v>215</v>
      </c>
      <c r="Q23" s="1" t="s">
        <v>363</v>
      </c>
      <c r="S23" s="1" t="s">
        <v>452</v>
      </c>
      <c r="T23" s="1" t="s">
        <v>444</v>
      </c>
      <c r="U23" s="1" t="s">
        <v>523</v>
      </c>
      <c r="V23" s="1" t="s">
        <v>481</v>
      </c>
      <c r="W23" s="1" t="s">
        <v>215</v>
      </c>
      <c r="X23" s="1" t="s">
        <v>363</v>
      </c>
      <c r="Y23" s="1" t="s">
        <v>223</v>
      </c>
      <c r="Z23" s="1" t="s">
        <v>532</v>
      </c>
      <c r="AA23" s="1" t="s">
        <v>533</v>
      </c>
      <c r="AB23" s="1" t="s">
        <v>380</v>
      </c>
      <c r="AC23" s="1" t="s">
        <v>534</v>
      </c>
      <c r="AD23" s="1" t="s">
        <v>460</v>
      </c>
      <c r="AE23" s="1" t="s">
        <v>414</v>
      </c>
      <c r="AF23" s="1" t="s">
        <v>405</v>
      </c>
      <c r="AG23" s="1" t="s">
        <v>535</v>
      </c>
      <c r="AL23" s="2" t="s">
        <v>474</v>
      </c>
      <c r="AM23" s="2" t="s">
        <v>509</v>
      </c>
      <c r="AN23" s="2" t="s">
        <v>227</v>
      </c>
      <c r="AO23" s="2" t="s">
        <v>536</v>
      </c>
      <c r="AP23" s="2" t="s">
        <v>537</v>
      </c>
      <c r="AR23" s="1" t="s">
        <v>526</v>
      </c>
      <c r="AS23" s="1" t="s">
        <v>431</v>
      </c>
      <c r="AT23" s="1" t="s">
        <v>465</v>
      </c>
      <c r="AU23" s="1" t="s">
        <v>408</v>
      </c>
      <c r="AV23" s="1" t="s">
        <v>527</v>
      </c>
      <c r="AW23" s="1" t="s">
        <v>230</v>
      </c>
      <c r="AX23" s="1" t="s">
        <v>528</v>
      </c>
      <c r="AY23" s="1" t="s">
        <v>509</v>
      </c>
      <c r="AZ23" s="1" t="s">
        <v>529</v>
      </c>
      <c r="BB23" s="14" t="s">
        <v>530</v>
      </c>
      <c r="BC23" s="15" t="s">
        <v>401</v>
      </c>
      <c r="BD23" s="16" t="s">
        <v>363</v>
      </c>
      <c r="BE23" s="15" t="s">
        <v>457</v>
      </c>
      <c r="BF23" s="15" t="s">
        <v>310</v>
      </c>
      <c r="BG23" s="15" t="s">
        <v>365</v>
      </c>
    </row>
    <row r="24" spans="7:63" x14ac:dyDescent="0.5">
      <c r="G24" s="1" t="s">
        <v>295</v>
      </c>
      <c r="H24" s="1" t="s">
        <v>295</v>
      </c>
      <c r="I24" s="1" t="s">
        <v>295</v>
      </c>
      <c r="L24" s="1" t="s">
        <v>451</v>
      </c>
      <c r="M24" s="1" t="s">
        <v>223</v>
      </c>
      <c r="N24" s="1" t="s">
        <v>52</v>
      </c>
      <c r="O24" s="1" t="s">
        <v>538</v>
      </c>
      <c r="P24" s="1" t="s">
        <v>216</v>
      </c>
      <c r="Q24" s="1" t="s">
        <v>405</v>
      </c>
      <c r="S24" s="1" t="s">
        <v>451</v>
      </c>
      <c r="T24" s="1" t="s">
        <v>223</v>
      </c>
      <c r="U24" s="1" t="s">
        <v>52</v>
      </c>
      <c r="V24" s="1" t="s">
        <v>538</v>
      </c>
      <c r="W24" s="1" t="s">
        <v>216</v>
      </c>
      <c r="X24" s="1" t="s">
        <v>405</v>
      </c>
      <c r="Y24" s="1" t="s">
        <v>367</v>
      </c>
      <c r="Z24" s="1" t="s">
        <v>277</v>
      </c>
      <c r="AA24" s="1" t="s">
        <v>539</v>
      </c>
      <c r="AB24" s="1" t="s">
        <v>507</v>
      </c>
      <c r="AC24" s="1" t="s">
        <v>467</v>
      </c>
      <c r="AD24" s="1" t="s">
        <v>540</v>
      </c>
      <c r="AE24" s="1" t="s">
        <v>540</v>
      </c>
      <c r="AF24" s="1" t="s">
        <v>541</v>
      </c>
      <c r="AG24" s="1" t="s">
        <v>439</v>
      </c>
      <c r="AL24" s="2" t="s">
        <v>499</v>
      </c>
      <c r="AM24" s="2" t="s">
        <v>541</v>
      </c>
      <c r="AN24" s="2" t="s">
        <v>542</v>
      </c>
      <c r="AO24" s="2" t="s">
        <v>543</v>
      </c>
      <c r="AP24" s="2" t="s">
        <v>216</v>
      </c>
      <c r="AR24" s="1" t="s">
        <v>223</v>
      </c>
      <c r="AS24" s="1" t="s">
        <v>532</v>
      </c>
      <c r="AT24" s="1" t="s">
        <v>533</v>
      </c>
      <c r="AU24" s="1" t="s">
        <v>380</v>
      </c>
      <c r="AV24" s="1" t="s">
        <v>534</v>
      </c>
      <c r="AW24" s="1" t="s">
        <v>460</v>
      </c>
      <c r="AX24" s="1" t="s">
        <v>414</v>
      </c>
      <c r="AY24" s="1" t="s">
        <v>405</v>
      </c>
      <c r="AZ24" s="1" t="s">
        <v>535</v>
      </c>
      <c r="BB24" s="13" t="s">
        <v>474</v>
      </c>
      <c r="BC24" s="15" t="s">
        <v>218</v>
      </c>
      <c r="BD24" s="15" t="s">
        <v>405</v>
      </c>
      <c r="BE24" s="14" t="s">
        <v>414</v>
      </c>
      <c r="BF24" s="15" t="s">
        <v>441</v>
      </c>
      <c r="BG24" s="15" t="s">
        <v>544</v>
      </c>
    </row>
    <row r="25" spans="7:63" x14ac:dyDescent="0.5">
      <c r="G25" s="1" t="s">
        <v>296</v>
      </c>
      <c r="H25" s="1" t="s">
        <v>296</v>
      </c>
      <c r="I25" s="1" t="s">
        <v>296</v>
      </c>
      <c r="L25" s="1" t="s">
        <v>545</v>
      </c>
      <c r="M25" s="1" t="s">
        <v>486</v>
      </c>
      <c r="N25" s="1" t="s">
        <v>538</v>
      </c>
      <c r="O25" s="1" t="s">
        <v>536</v>
      </c>
      <c r="P25" s="1" t="s">
        <v>535</v>
      </c>
      <c r="Q25" s="1" t="s">
        <v>546</v>
      </c>
      <c r="S25" s="1" t="s">
        <v>545</v>
      </c>
      <c r="T25" s="1" t="s">
        <v>486</v>
      </c>
      <c r="U25" s="1" t="s">
        <v>538</v>
      </c>
      <c r="V25" s="1" t="s">
        <v>536</v>
      </c>
      <c r="W25" s="1" t="s">
        <v>535</v>
      </c>
      <c r="X25" s="1" t="s">
        <v>546</v>
      </c>
      <c r="Y25" s="1" t="s">
        <v>547</v>
      </c>
      <c r="Z25" s="1" t="s">
        <v>548</v>
      </c>
      <c r="AA25" s="1" t="s">
        <v>549</v>
      </c>
      <c r="AB25" s="1" t="s">
        <v>550</v>
      </c>
      <c r="AC25" s="1" t="s">
        <v>518</v>
      </c>
      <c r="AD25" s="1" t="s">
        <v>414</v>
      </c>
      <c r="AE25" s="1" t="s">
        <v>551</v>
      </c>
      <c r="AF25" s="1" t="s">
        <v>374</v>
      </c>
      <c r="AG25" s="1" t="s">
        <v>346</v>
      </c>
      <c r="AL25" s="2" t="s">
        <v>541</v>
      </c>
      <c r="AM25" s="2" t="s">
        <v>307</v>
      </c>
      <c r="AN25" s="2" t="s">
        <v>230</v>
      </c>
      <c r="AO25" s="2" t="s">
        <v>552</v>
      </c>
      <c r="AP25" s="2" t="s">
        <v>411</v>
      </c>
      <c r="AR25" s="1" t="s">
        <v>367</v>
      </c>
      <c r="AS25" s="1" t="s">
        <v>277</v>
      </c>
      <c r="AT25" s="1" t="s">
        <v>539</v>
      </c>
      <c r="AU25" s="1" t="s">
        <v>507</v>
      </c>
      <c r="AV25" s="1" t="s">
        <v>467</v>
      </c>
      <c r="AW25" s="1" t="s">
        <v>540</v>
      </c>
      <c r="AX25" s="1" t="s">
        <v>540</v>
      </c>
      <c r="AY25" s="1" t="s">
        <v>541</v>
      </c>
      <c r="AZ25" s="1" t="s">
        <v>439</v>
      </c>
      <c r="BB25" s="14" t="s">
        <v>499</v>
      </c>
      <c r="BC25" s="15" t="s">
        <v>481</v>
      </c>
      <c r="BD25" s="16" t="s">
        <v>392</v>
      </c>
      <c r="BE25" s="15" t="s">
        <v>482</v>
      </c>
      <c r="BF25" s="15" t="s">
        <v>553</v>
      </c>
      <c r="BG25" s="15" t="s">
        <v>413</v>
      </c>
    </row>
    <row r="26" spans="7:63" x14ac:dyDescent="0.5">
      <c r="L26" s="1" t="s">
        <v>500</v>
      </c>
      <c r="M26" s="1" t="s">
        <v>554</v>
      </c>
      <c r="N26" s="1" t="s">
        <v>452</v>
      </c>
      <c r="O26" s="1" t="s">
        <v>555</v>
      </c>
      <c r="P26" s="1" t="s">
        <v>494</v>
      </c>
      <c r="Q26" s="1" t="s">
        <v>392</v>
      </c>
      <c r="S26" s="1" t="s">
        <v>500</v>
      </c>
      <c r="T26" s="1" t="s">
        <v>554</v>
      </c>
      <c r="U26" s="1" t="s">
        <v>452</v>
      </c>
      <c r="V26" s="1" t="s">
        <v>555</v>
      </c>
      <c r="W26" s="1" t="s">
        <v>494</v>
      </c>
      <c r="X26" s="1" t="s">
        <v>392</v>
      </c>
      <c r="Y26" s="1" t="s">
        <v>375</v>
      </c>
      <c r="Z26" s="1" t="s">
        <v>321</v>
      </c>
      <c r="AA26" s="1" t="s">
        <v>323</v>
      </c>
      <c r="AB26" s="1" t="s">
        <v>556</v>
      </c>
      <c r="AC26" s="1" t="s">
        <v>557</v>
      </c>
      <c r="AD26" s="1" t="s">
        <v>551</v>
      </c>
      <c r="AE26" s="1" t="s">
        <v>310</v>
      </c>
      <c r="AF26" s="1" t="s">
        <v>558</v>
      </c>
      <c r="AG26" s="1" t="s">
        <v>559</v>
      </c>
      <c r="AL26" s="2" t="s">
        <v>541</v>
      </c>
      <c r="AM26" s="2" t="s">
        <v>560</v>
      </c>
      <c r="AN26" s="2" t="s">
        <v>307</v>
      </c>
      <c r="AO26" s="2" t="s">
        <v>511</v>
      </c>
      <c r="AP26" s="2" t="s">
        <v>52</v>
      </c>
      <c r="AR26" s="1" t="s">
        <v>547</v>
      </c>
      <c r="AS26" s="1" t="s">
        <v>548</v>
      </c>
      <c r="AT26" s="1" t="s">
        <v>549</v>
      </c>
      <c r="AU26" s="1" t="s">
        <v>550</v>
      </c>
      <c r="AV26" s="1" t="s">
        <v>518</v>
      </c>
      <c r="AW26" s="1" t="s">
        <v>414</v>
      </c>
      <c r="AX26" s="1" t="s">
        <v>551</v>
      </c>
      <c r="AY26" s="1" t="s">
        <v>374</v>
      </c>
      <c r="AZ26" s="1" t="s">
        <v>346</v>
      </c>
      <c r="BB26" s="13" t="s">
        <v>541</v>
      </c>
      <c r="BC26" s="15" t="s">
        <v>415</v>
      </c>
      <c r="BD26" s="15" t="s">
        <v>435</v>
      </c>
      <c r="BE26" s="16" t="s">
        <v>410</v>
      </c>
      <c r="BF26" s="15" t="s">
        <v>358</v>
      </c>
      <c r="BG26" s="15" t="s">
        <v>405</v>
      </c>
    </row>
    <row r="27" spans="7:63" x14ac:dyDescent="0.5">
      <c r="L27" s="1" t="s">
        <v>561</v>
      </c>
      <c r="M27" s="1" t="s">
        <v>464</v>
      </c>
      <c r="N27" s="1" t="s">
        <v>554</v>
      </c>
      <c r="O27" s="1" t="s">
        <v>543</v>
      </c>
      <c r="P27" s="1" t="s">
        <v>430</v>
      </c>
      <c r="Q27" s="1" t="s">
        <v>471</v>
      </c>
      <c r="S27" s="1" t="s">
        <v>561</v>
      </c>
      <c r="T27" s="1" t="s">
        <v>464</v>
      </c>
      <c r="U27" s="1" t="s">
        <v>554</v>
      </c>
      <c r="V27" s="1" t="s">
        <v>543</v>
      </c>
      <c r="W27" s="1" t="s">
        <v>430</v>
      </c>
      <c r="X27" s="1" t="s">
        <v>471</v>
      </c>
      <c r="Y27" s="1" t="s">
        <v>323</v>
      </c>
      <c r="Z27" s="1" t="s">
        <v>361</v>
      </c>
      <c r="AA27" s="1" t="s">
        <v>277</v>
      </c>
      <c r="AB27" s="1" t="s">
        <v>370</v>
      </c>
      <c r="AC27" s="1" t="s">
        <v>414</v>
      </c>
      <c r="AD27" s="1" t="s">
        <v>310</v>
      </c>
      <c r="AE27" s="1" t="s">
        <v>562</v>
      </c>
      <c r="AF27" s="1" t="s">
        <v>563</v>
      </c>
      <c r="AG27" s="1" t="s">
        <v>236</v>
      </c>
      <c r="AL27" s="2" t="s">
        <v>564</v>
      </c>
      <c r="AM27" s="2" t="s">
        <v>427</v>
      </c>
      <c r="AN27" s="2" t="s">
        <v>540</v>
      </c>
      <c r="AO27" s="2" t="s">
        <v>437</v>
      </c>
      <c r="AP27" s="2" t="s">
        <v>538</v>
      </c>
      <c r="AR27" s="1" t="s">
        <v>375</v>
      </c>
      <c r="AS27" s="1" t="s">
        <v>321</v>
      </c>
      <c r="AT27" s="1" t="s">
        <v>323</v>
      </c>
      <c r="AU27" s="1" t="s">
        <v>556</v>
      </c>
      <c r="AV27" s="1" t="s">
        <v>557</v>
      </c>
      <c r="AW27" s="1" t="s">
        <v>551</v>
      </c>
      <c r="AX27" s="1" t="s">
        <v>310</v>
      </c>
      <c r="AY27" s="1" t="s">
        <v>558</v>
      </c>
      <c r="AZ27" s="1" t="s">
        <v>559</v>
      </c>
      <c r="BB27" s="18" t="s">
        <v>564</v>
      </c>
      <c r="BC27" s="15" t="s">
        <v>504</v>
      </c>
      <c r="BD27" s="15" t="s">
        <v>327</v>
      </c>
      <c r="BE27" s="14" t="s">
        <v>434</v>
      </c>
      <c r="BF27" s="16" t="s">
        <v>342</v>
      </c>
      <c r="BG27" s="15" t="s">
        <v>498</v>
      </c>
    </row>
    <row r="28" spans="7:63" x14ac:dyDescent="0.5">
      <c r="L28" s="1" t="s">
        <v>511</v>
      </c>
      <c r="M28" s="1" t="s">
        <v>489</v>
      </c>
      <c r="N28" s="1" t="s">
        <v>489</v>
      </c>
      <c r="O28" s="1" t="s">
        <v>451</v>
      </c>
      <c r="P28" s="1" t="s">
        <v>218</v>
      </c>
      <c r="Q28" s="1" t="s">
        <v>435</v>
      </c>
      <c r="S28" s="1" t="s">
        <v>511</v>
      </c>
      <c r="T28" s="1" t="s">
        <v>489</v>
      </c>
      <c r="U28" s="1" t="s">
        <v>489</v>
      </c>
      <c r="V28" s="1" t="s">
        <v>451</v>
      </c>
      <c r="W28" s="1" t="s">
        <v>218</v>
      </c>
      <c r="X28" s="1" t="s">
        <v>435</v>
      </c>
      <c r="Y28" s="1" t="s">
        <v>233</v>
      </c>
      <c r="Z28" s="1" t="s">
        <v>472</v>
      </c>
      <c r="AA28" s="1" t="s">
        <v>565</v>
      </c>
      <c r="AB28" s="1" t="s">
        <v>566</v>
      </c>
      <c r="AC28" s="1" t="s">
        <v>551</v>
      </c>
      <c r="AD28" s="1" t="s">
        <v>567</v>
      </c>
      <c r="AE28" s="1" t="s">
        <v>568</v>
      </c>
      <c r="AF28" s="1" t="s">
        <v>569</v>
      </c>
      <c r="AG28" s="1" t="s">
        <v>544</v>
      </c>
      <c r="AL28" s="2"/>
      <c r="AM28" s="2"/>
      <c r="AN28" s="2" t="s">
        <v>570</v>
      </c>
      <c r="AO28" s="2" t="s">
        <v>509</v>
      </c>
      <c r="AP28" s="2" t="s">
        <v>415</v>
      </c>
      <c r="AR28" s="1" t="s">
        <v>323</v>
      </c>
      <c r="AS28" s="1" t="s">
        <v>361</v>
      </c>
      <c r="AT28" s="1" t="s">
        <v>277</v>
      </c>
      <c r="AU28" s="1" t="s">
        <v>370</v>
      </c>
      <c r="AV28" s="1" t="s">
        <v>414</v>
      </c>
      <c r="AW28" s="1" t="s">
        <v>310</v>
      </c>
      <c r="AX28" s="1" t="s">
        <v>562</v>
      </c>
      <c r="AY28" s="1" t="s">
        <v>563</v>
      </c>
      <c r="AZ28" s="1" t="s">
        <v>236</v>
      </c>
      <c r="BB28" s="18"/>
      <c r="BC28" s="15" t="s">
        <v>431</v>
      </c>
      <c r="BD28" s="16" t="s">
        <v>214</v>
      </c>
      <c r="BE28" s="13" t="s">
        <v>479</v>
      </c>
      <c r="BF28" s="15" t="s">
        <v>383</v>
      </c>
      <c r="BG28" s="15" t="s">
        <v>529</v>
      </c>
    </row>
    <row r="29" spans="7:63" x14ac:dyDescent="0.5">
      <c r="L29" s="1" t="s">
        <v>571</v>
      </c>
      <c r="M29" s="1" t="s">
        <v>555</v>
      </c>
      <c r="N29" s="1" t="s">
        <v>543</v>
      </c>
      <c r="O29" s="1" t="s">
        <v>495</v>
      </c>
      <c r="P29" s="1" t="s">
        <v>572</v>
      </c>
      <c r="Q29" s="1" t="s">
        <v>398</v>
      </c>
      <c r="S29" s="1" t="s">
        <v>571</v>
      </c>
      <c r="T29" s="1" t="s">
        <v>555</v>
      </c>
      <c r="U29" s="1" t="s">
        <v>543</v>
      </c>
      <c r="V29" s="1" t="s">
        <v>495</v>
      </c>
      <c r="W29" s="1" t="s">
        <v>572</v>
      </c>
      <c r="X29" s="1" t="s">
        <v>398</v>
      </c>
      <c r="Y29" s="1" t="s">
        <v>573</v>
      </c>
      <c r="Z29" s="1" t="s">
        <v>574</v>
      </c>
      <c r="AA29" s="1" t="s">
        <v>574</v>
      </c>
      <c r="AB29" s="1" t="s">
        <v>575</v>
      </c>
      <c r="AC29" s="1" t="s">
        <v>540</v>
      </c>
      <c r="AD29" s="1" t="s">
        <v>576</v>
      </c>
      <c r="AE29" s="1" t="s">
        <v>494</v>
      </c>
      <c r="AF29" s="1" t="s">
        <v>421</v>
      </c>
      <c r="AG29" s="1" t="s">
        <v>512</v>
      </c>
      <c r="AL29" s="2"/>
      <c r="AN29" s="2" t="s">
        <v>577</v>
      </c>
      <c r="AO29" s="2" t="s">
        <v>578</v>
      </c>
      <c r="AP29" s="2" t="s">
        <v>579</v>
      </c>
      <c r="AR29" s="1" t="s">
        <v>233</v>
      </c>
      <c r="AS29" s="1" t="s">
        <v>472</v>
      </c>
      <c r="AT29" s="1" t="s">
        <v>565</v>
      </c>
      <c r="AU29" s="1" t="s">
        <v>566</v>
      </c>
      <c r="AV29" s="1" t="s">
        <v>551</v>
      </c>
      <c r="AW29" s="1" t="s">
        <v>567</v>
      </c>
      <c r="AX29" s="1" t="s">
        <v>568</v>
      </c>
      <c r="AY29" s="1" t="s">
        <v>569</v>
      </c>
      <c r="AZ29" s="1" t="s">
        <v>544</v>
      </c>
      <c r="BC29" s="15" t="s">
        <v>283</v>
      </c>
      <c r="BD29" s="15" t="s">
        <v>432</v>
      </c>
      <c r="BE29" s="15" t="s">
        <v>401</v>
      </c>
      <c r="BF29" s="15" t="s">
        <v>210</v>
      </c>
      <c r="BG29" s="15" t="s">
        <v>398</v>
      </c>
    </row>
    <row r="30" spans="7:63" x14ac:dyDescent="0.5">
      <c r="L30" s="1" t="s">
        <v>437</v>
      </c>
      <c r="M30" s="1" t="s">
        <v>368</v>
      </c>
      <c r="N30" s="1" t="s">
        <v>451</v>
      </c>
      <c r="O30" s="1" t="s">
        <v>227</v>
      </c>
      <c r="P30" s="1" t="s">
        <v>580</v>
      </c>
      <c r="Q30" s="1" t="s">
        <v>398</v>
      </c>
      <c r="S30" s="1" t="s">
        <v>437</v>
      </c>
      <c r="T30" s="1" t="s">
        <v>368</v>
      </c>
      <c r="U30" s="1" t="s">
        <v>451</v>
      </c>
      <c r="V30" s="1" t="s">
        <v>227</v>
      </c>
      <c r="W30" s="1" t="s">
        <v>580</v>
      </c>
      <c r="X30" s="1" t="s">
        <v>398</v>
      </c>
      <c r="Y30" s="1" t="s">
        <v>236</v>
      </c>
      <c r="Z30" s="1" t="s">
        <v>486</v>
      </c>
      <c r="AA30" s="1" t="s">
        <v>222</v>
      </c>
      <c r="AB30" s="1" t="s">
        <v>54</v>
      </c>
      <c r="AC30" s="1" t="s">
        <v>581</v>
      </c>
      <c r="AD30" s="1" t="s">
        <v>554</v>
      </c>
      <c r="AE30" s="1" t="s">
        <v>226</v>
      </c>
      <c r="AL30" s="2"/>
      <c r="AN30" s="2" t="s">
        <v>568</v>
      </c>
      <c r="AO30" s="2" t="s">
        <v>582</v>
      </c>
      <c r="AP30" s="2" t="s">
        <v>220</v>
      </c>
      <c r="AR30" s="1" t="s">
        <v>573</v>
      </c>
      <c r="AS30" s="1" t="s">
        <v>574</v>
      </c>
      <c r="AT30" s="1" t="s">
        <v>574</v>
      </c>
      <c r="AU30" s="1" t="s">
        <v>575</v>
      </c>
      <c r="AV30" s="1" t="s">
        <v>540</v>
      </c>
      <c r="AW30" s="1" t="s">
        <v>576</v>
      </c>
      <c r="AX30" s="1" t="s">
        <v>494</v>
      </c>
      <c r="AY30" s="1" t="s">
        <v>421</v>
      </c>
      <c r="AZ30" s="1" t="s">
        <v>512</v>
      </c>
      <c r="BC30" s="15" t="s">
        <v>444</v>
      </c>
      <c r="BD30" s="15" t="s">
        <v>458</v>
      </c>
      <c r="BE30" s="16" t="s">
        <v>411</v>
      </c>
      <c r="BF30" s="16" t="s">
        <v>374</v>
      </c>
      <c r="BG30" s="15" t="s">
        <v>393</v>
      </c>
    </row>
    <row r="31" spans="7:63" x14ac:dyDescent="0.5">
      <c r="L31" s="1" t="s">
        <v>425</v>
      </c>
      <c r="M31" s="1" t="s">
        <v>510</v>
      </c>
      <c r="N31" s="1" t="s">
        <v>472</v>
      </c>
      <c r="O31" s="1" t="s">
        <v>509</v>
      </c>
      <c r="P31" s="1" t="s">
        <v>220</v>
      </c>
      <c r="Q31" s="1" t="s">
        <v>393</v>
      </c>
      <c r="S31" s="1" t="s">
        <v>425</v>
      </c>
      <c r="T31" s="1" t="s">
        <v>510</v>
      </c>
      <c r="U31" s="1" t="s">
        <v>472</v>
      </c>
      <c r="V31" s="1" t="s">
        <v>509</v>
      </c>
      <c r="W31" s="1" t="s">
        <v>220</v>
      </c>
      <c r="X31" s="1" t="s">
        <v>393</v>
      </c>
      <c r="Y31" s="1" t="s">
        <v>512</v>
      </c>
      <c r="Z31" s="1" t="s">
        <v>536</v>
      </c>
      <c r="AA31" s="1" t="s">
        <v>284</v>
      </c>
      <c r="AB31" s="1" t="s">
        <v>583</v>
      </c>
      <c r="AC31" s="1" t="s">
        <v>584</v>
      </c>
      <c r="AD31" s="1" t="s">
        <v>453</v>
      </c>
      <c r="AE31" s="1" t="s">
        <v>522</v>
      </c>
      <c r="AL31" s="2"/>
      <c r="AN31" s="2" t="s">
        <v>585</v>
      </c>
      <c r="AO31" s="2" t="s">
        <v>586</v>
      </c>
      <c r="AP31" s="2" t="s">
        <v>587</v>
      </c>
      <c r="AR31" s="1" t="s">
        <v>236</v>
      </c>
      <c r="AS31" s="1" t="s">
        <v>486</v>
      </c>
      <c r="AT31" s="1" t="s">
        <v>222</v>
      </c>
      <c r="AU31" s="1" t="s">
        <v>54</v>
      </c>
      <c r="AV31" s="1" t="s">
        <v>581</v>
      </c>
      <c r="AW31" s="1" t="s">
        <v>554</v>
      </c>
      <c r="AX31" s="1" t="s">
        <v>226</v>
      </c>
      <c r="BC31" s="15" t="s">
        <v>223</v>
      </c>
      <c r="BD31" s="16" t="s">
        <v>393</v>
      </c>
      <c r="BE31" s="15" t="s">
        <v>523</v>
      </c>
      <c r="BF31" s="16" t="s">
        <v>365</v>
      </c>
      <c r="BG31" s="15" t="s">
        <v>463</v>
      </c>
    </row>
    <row r="32" spans="7:63" x14ac:dyDescent="0.5">
      <c r="L32" s="1" t="s">
        <v>509</v>
      </c>
      <c r="M32" s="1" t="s">
        <v>520</v>
      </c>
      <c r="N32" s="1" t="s">
        <v>225</v>
      </c>
      <c r="O32" s="1" t="s">
        <v>582</v>
      </c>
      <c r="P32" s="1" t="s">
        <v>221</v>
      </c>
      <c r="Q32" s="1" t="s">
        <v>373</v>
      </c>
      <c r="S32" s="1" t="s">
        <v>509</v>
      </c>
      <c r="T32" s="1" t="s">
        <v>520</v>
      </c>
      <c r="U32" s="1" t="s">
        <v>225</v>
      </c>
      <c r="V32" s="1" t="s">
        <v>582</v>
      </c>
      <c r="W32" s="1" t="s">
        <v>221</v>
      </c>
      <c r="X32" s="1" t="s">
        <v>373</v>
      </c>
      <c r="Y32" s="1" t="s">
        <v>344</v>
      </c>
      <c r="Z32" s="1" t="s">
        <v>560</v>
      </c>
      <c r="AA32" s="1" t="s">
        <v>588</v>
      </c>
      <c r="AB32" s="1" t="s">
        <v>589</v>
      </c>
      <c r="AC32" s="1" t="s">
        <v>511</v>
      </c>
      <c r="AD32" s="1" t="s">
        <v>558</v>
      </c>
      <c r="AE32" s="1" t="s">
        <v>590</v>
      </c>
      <c r="AL32" s="2"/>
      <c r="AO32" s="2" t="s">
        <v>591</v>
      </c>
      <c r="AP32" s="2" t="s">
        <v>592</v>
      </c>
      <c r="AR32" s="1" t="s">
        <v>512</v>
      </c>
      <c r="AS32" s="1" t="s">
        <v>536</v>
      </c>
      <c r="AT32" s="1" t="s">
        <v>284</v>
      </c>
      <c r="AU32" s="1" t="s">
        <v>583</v>
      </c>
      <c r="AV32" s="1" t="s">
        <v>584</v>
      </c>
      <c r="AW32" s="1" t="s">
        <v>453</v>
      </c>
      <c r="AX32" s="1" t="s">
        <v>522</v>
      </c>
      <c r="BC32" s="15" t="s">
        <v>486</v>
      </c>
      <c r="BD32" s="16" t="s">
        <v>470</v>
      </c>
      <c r="BE32" s="15" t="s">
        <v>52</v>
      </c>
      <c r="BF32" s="15" t="s">
        <v>544</v>
      </c>
      <c r="BG32" s="15" t="s">
        <v>422</v>
      </c>
    </row>
    <row r="33" spans="12:59" x14ac:dyDescent="0.5">
      <c r="L33" s="1" t="s">
        <v>593</v>
      </c>
      <c r="M33" s="1" t="s">
        <v>593</v>
      </c>
      <c r="N33" s="1" t="s">
        <v>594</v>
      </c>
      <c r="O33" s="1" t="s">
        <v>499</v>
      </c>
      <c r="P33" s="1" t="s">
        <v>222</v>
      </c>
      <c r="Q33" s="1" t="s">
        <v>414</v>
      </c>
      <c r="S33" s="1" t="s">
        <v>593</v>
      </c>
      <c r="T33" s="1" t="s">
        <v>593</v>
      </c>
      <c r="U33" s="1" t="s">
        <v>594</v>
      </c>
      <c r="V33" s="1" t="s">
        <v>499</v>
      </c>
      <c r="W33" s="1" t="s">
        <v>222</v>
      </c>
      <c r="X33" s="1" t="s">
        <v>414</v>
      </c>
      <c r="Y33" s="1" t="s">
        <v>567</v>
      </c>
      <c r="Z33" s="1" t="s">
        <v>595</v>
      </c>
      <c r="AA33" s="1" t="s">
        <v>596</v>
      </c>
      <c r="AB33" s="1" t="s">
        <v>518</v>
      </c>
      <c r="AC33" s="1" t="s">
        <v>529</v>
      </c>
      <c r="AD33" s="1" t="s">
        <v>211</v>
      </c>
      <c r="AE33" s="1" t="s">
        <v>354</v>
      </c>
      <c r="AO33" s="2" t="s">
        <v>597</v>
      </c>
      <c r="AP33" s="2" t="s">
        <v>598</v>
      </c>
      <c r="AR33" s="1" t="s">
        <v>344</v>
      </c>
      <c r="AS33" s="1" t="s">
        <v>560</v>
      </c>
      <c r="AT33" s="1" t="s">
        <v>588</v>
      </c>
      <c r="AU33" s="1" t="s">
        <v>589</v>
      </c>
      <c r="AV33" s="1" t="s">
        <v>511</v>
      </c>
      <c r="AW33" s="1" t="s">
        <v>558</v>
      </c>
      <c r="AX33" s="1" t="s">
        <v>590</v>
      </c>
      <c r="BC33" s="15" t="s">
        <v>452</v>
      </c>
      <c r="BD33" s="15" t="s">
        <v>353</v>
      </c>
      <c r="BE33" s="16" t="s">
        <v>538</v>
      </c>
      <c r="BF33" s="15" t="s">
        <v>413</v>
      </c>
      <c r="BG33" s="15" t="s">
        <v>453</v>
      </c>
    </row>
    <row r="34" spans="12:59" x14ac:dyDescent="0.5">
      <c r="L34" s="1" t="s">
        <v>582</v>
      </c>
      <c r="M34" s="1" t="s">
        <v>558</v>
      </c>
      <c r="N34" s="1" t="s">
        <v>425</v>
      </c>
      <c r="O34" s="1" t="s">
        <v>541</v>
      </c>
      <c r="P34" s="1" t="s">
        <v>223</v>
      </c>
      <c r="Q34" s="1" t="s">
        <v>494</v>
      </c>
      <c r="S34" s="1" t="s">
        <v>582</v>
      </c>
      <c r="T34" s="1" t="s">
        <v>558</v>
      </c>
      <c r="U34" s="1" t="s">
        <v>425</v>
      </c>
      <c r="V34" s="1" t="s">
        <v>541</v>
      </c>
      <c r="W34" s="1" t="s">
        <v>223</v>
      </c>
      <c r="X34" s="1" t="s">
        <v>494</v>
      </c>
      <c r="Y34" s="1" t="s">
        <v>599</v>
      </c>
      <c r="Z34" s="1" t="s">
        <v>499</v>
      </c>
      <c r="AA34" s="1" t="s">
        <v>600</v>
      </c>
      <c r="AB34" s="1" t="s">
        <v>601</v>
      </c>
      <c r="AC34" s="1" t="s">
        <v>481</v>
      </c>
      <c r="AE34" s="1" t="s">
        <v>602</v>
      </c>
      <c r="AO34" s="2" t="s">
        <v>603</v>
      </c>
      <c r="AP34" s="2" t="s">
        <v>604</v>
      </c>
      <c r="AR34" s="1" t="s">
        <v>567</v>
      </c>
      <c r="AS34" s="1" t="s">
        <v>595</v>
      </c>
      <c r="AT34" s="1" t="s">
        <v>596</v>
      </c>
      <c r="AU34" s="1" t="s">
        <v>518</v>
      </c>
      <c r="AV34" s="1" t="s">
        <v>529</v>
      </c>
      <c r="AW34" s="1" t="s">
        <v>211</v>
      </c>
      <c r="AX34" s="1" t="s">
        <v>354</v>
      </c>
      <c r="BC34" s="15" t="s">
        <v>554</v>
      </c>
      <c r="BD34" s="15" t="s">
        <v>445</v>
      </c>
      <c r="BE34" s="14" t="s">
        <v>490</v>
      </c>
      <c r="BF34" s="15" t="s">
        <v>602</v>
      </c>
      <c r="BG34" s="15" t="s">
        <v>535</v>
      </c>
    </row>
    <row r="35" spans="12:59" x14ac:dyDescent="0.5">
      <c r="L35" s="1" t="s">
        <v>396</v>
      </c>
      <c r="M35" s="1" t="s">
        <v>605</v>
      </c>
      <c r="N35" s="1" t="s">
        <v>606</v>
      </c>
      <c r="O35" s="1" t="s">
        <v>603</v>
      </c>
      <c r="P35" s="1" t="s">
        <v>464</v>
      </c>
      <c r="Q35" s="1" t="s">
        <v>551</v>
      </c>
      <c r="S35" s="1" t="s">
        <v>396</v>
      </c>
      <c r="T35" s="1" t="s">
        <v>605</v>
      </c>
      <c r="U35" s="1" t="s">
        <v>606</v>
      </c>
      <c r="V35" s="1" t="s">
        <v>603</v>
      </c>
      <c r="W35" s="1" t="s">
        <v>464</v>
      </c>
      <c r="X35" s="1" t="s">
        <v>551</v>
      </c>
      <c r="Y35" s="1" t="s">
        <v>607</v>
      </c>
      <c r="Z35" s="1" t="s">
        <v>608</v>
      </c>
      <c r="AA35" s="1" t="s">
        <v>609</v>
      </c>
      <c r="AB35" s="1" t="s">
        <v>610</v>
      </c>
      <c r="AC35" s="1" t="s">
        <v>585</v>
      </c>
      <c r="AE35" s="1" t="s">
        <v>611</v>
      </c>
      <c r="AO35" s="2" t="s">
        <v>455</v>
      </c>
      <c r="AP35" s="2" t="s">
        <v>487</v>
      </c>
      <c r="AR35" s="1" t="s">
        <v>599</v>
      </c>
      <c r="AS35" s="1" t="s">
        <v>499</v>
      </c>
      <c r="AT35" s="1" t="s">
        <v>600</v>
      </c>
      <c r="AU35" s="1" t="s">
        <v>601</v>
      </c>
      <c r="AV35" s="1" t="s">
        <v>481</v>
      </c>
      <c r="AX35" s="1" t="s">
        <v>602</v>
      </c>
      <c r="BC35" s="15" t="s">
        <v>464</v>
      </c>
      <c r="BD35" s="16" t="s">
        <v>463</v>
      </c>
      <c r="BE35" s="13" t="s">
        <v>486</v>
      </c>
      <c r="BF35" s="16" t="s">
        <v>512</v>
      </c>
      <c r="BG35" s="15" t="s">
        <v>414</v>
      </c>
    </row>
    <row r="36" spans="12:59" x14ac:dyDescent="0.5">
      <c r="L36" s="1" t="s">
        <v>499</v>
      </c>
      <c r="M36" s="1" t="s">
        <v>307</v>
      </c>
      <c r="N36" s="1" t="s">
        <v>542</v>
      </c>
      <c r="O36" s="1" t="s">
        <v>612</v>
      </c>
      <c r="P36" s="1" t="s">
        <v>608</v>
      </c>
      <c r="Q36" s="1" t="s">
        <v>218</v>
      </c>
      <c r="S36" s="1" t="s">
        <v>499</v>
      </c>
      <c r="T36" s="1" t="s">
        <v>307</v>
      </c>
      <c r="U36" s="1" t="s">
        <v>542</v>
      </c>
      <c r="V36" s="1" t="s">
        <v>612</v>
      </c>
      <c r="W36" s="1" t="s">
        <v>608</v>
      </c>
      <c r="X36" s="1" t="s">
        <v>218</v>
      </c>
      <c r="Y36" s="1" t="s">
        <v>551</v>
      </c>
      <c r="Z36" s="1" t="s">
        <v>613</v>
      </c>
      <c r="AA36" s="1" t="s">
        <v>594</v>
      </c>
      <c r="AB36" s="1" t="s">
        <v>310</v>
      </c>
      <c r="AC36" s="1" t="s">
        <v>349</v>
      </c>
      <c r="AE36" s="1" t="s">
        <v>553</v>
      </c>
      <c r="AP36" s="2" t="s">
        <v>495</v>
      </c>
      <c r="AR36" s="1" t="s">
        <v>607</v>
      </c>
      <c r="AS36" s="1" t="s">
        <v>608</v>
      </c>
      <c r="AT36" s="1" t="s">
        <v>609</v>
      </c>
      <c r="AU36" s="1" t="s">
        <v>610</v>
      </c>
      <c r="AV36" s="1" t="s">
        <v>585</v>
      </c>
      <c r="AX36" s="1" t="s">
        <v>611</v>
      </c>
      <c r="BC36" s="15" t="s">
        <v>478</v>
      </c>
      <c r="BD36" s="15" t="s">
        <v>422</v>
      </c>
      <c r="BE36" s="15" t="s">
        <v>452</v>
      </c>
      <c r="BF36" s="16" t="s">
        <v>562</v>
      </c>
      <c r="BG36" s="15" t="s">
        <v>551</v>
      </c>
    </row>
    <row r="37" spans="12:59" x14ac:dyDescent="0.5">
      <c r="L37" s="1" t="s">
        <v>614</v>
      </c>
      <c r="M37" s="1" t="s">
        <v>560</v>
      </c>
      <c r="N37" s="1" t="s">
        <v>615</v>
      </c>
      <c r="P37" s="1" t="s">
        <v>489</v>
      </c>
      <c r="Q37" s="1" t="s">
        <v>411</v>
      </c>
      <c r="S37" s="1" t="s">
        <v>614</v>
      </c>
      <c r="T37" s="1" t="s">
        <v>560</v>
      </c>
      <c r="U37" s="1" t="s">
        <v>615</v>
      </c>
      <c r="W37" s="1" t="s">
        <v>489</v>
      </c>
      <c r="X37" s="1" t="s">
        <v>411</v>
      </c>
      <c r="Y37" s="1" t="s">
        <v>615</v>
      </c>
      <c r="Z37" s="1" t="s">
        <v>408</v>
      </c>
      <c r="AA37" s="1" t="s">
        <v>215</v>
      </c>
      <c r="AB37" s="1" t="s">
        <v>437</v>
      </c>
      <c r="AC37" s="1" t="s">
        <v>371</v>
      </c>
      <c r="AE37" s="1" t="s">
        <v>346</v>
      </c>
      <c r="AP37" s="2" t="s">
        <v>616</v>
      </c>
      <c r="AR37" s="1" t="s">
        <v>551</v>
      </c>
      <c r="AS37" s="1" t="s">
        <v>613</v>
      </c>
      <c r="AT37" s="1" t="s">
        <v>594</v>
      </c>
      <c r="AU37" s="1" t="s">
        <v>310</v>
      </c>
      <c r="AV37" s="1" t="s">
        <v>349</v>
      </c>
      <c r="AX37" s="1" t="s">
        <v>553</v>
      </c>
      <c r="BC37" s="15" t="s">
        <v>489</v>
      </c>
      <c r="BD37" s="15" t="s">
        <v>216</v>
      </c>
      <c r="BE37" s="16" t="s">
        <v>554</v>
      </c>
      <c r="BF37" s="16" t="s">
        <v>428</v>
      </c>
      <c r="BG37" s="15" t="s">
        <v>411</v>
      </c>
    </row>
    <row r="38" spans="12:59" x14ac:dyDescent="0.5">
      <c r="L38" s="1" t="s">
        <v>595</v>
      </c>
      <c r="M38" s="1" t="s">
        <v>540</v>
      </c>
      <c r="N38" s="1" t="s">
        <v>541</v>
      </c>
      <c r="P38" s="1" t="s">
        <v>617</v>
      </c>
      <c r="Q38" s="1" t="s">
        <v>52</v>
      </c>
      <c r="S38" s="1" t="s">
        <v>595</v>
      </c>
      <c r="T38" s="1" t="s">
        <v>540</v>
      </c>
      <c r="U38" s="1" t="s">
        <v>541</v>
      </c>
      <c r="W38" s="1" t="s">
        <v>617</v>
      </c>
      <c r="X38" s="1" t="s">
        <v>52</v>
      </c>
      <c r="Y38" s="1" t="s">
        <v>618</v>
      </c>
      <c r="Z38" s="1" t="s">
        <v>555</v>
      </c>
      <c r="AA38" s="1" t="s">
        <v>619</v>
      </c>
      <c r="AB38" s="1" t="s">
        <v>321</v>
      </c>
      <c r="AC38" s="1" t="s">
        <v>453</v>
      </c>
      <c r="AE38" s="1" t="s">
        <v>559</v>
      </c>
      <c r="AP38" s="2" t="s">
        <v>620</v>
      </c>
      <c r="AR38" s="1" t="s">
        <v>615</v>
      </c>
      <c r="AS38" s="1" t="s">
        <v>408</v>
      </c>
      <c r="AT38" s="1" t="s">
        <v>215</v>
      </c>
      <c r="AU38" s="1" t="s">
        <v>437</v>
      </c>
      <c r="AV38" s="1" t="s">
        <v>371</v>
      </c>
      <c r="AX38" s="1" t="s">
        <v>346</v>
      </c>
      <c r="BC38" s="15" t="s">
        <v>555</v>
      </c>
      <c r="BD38" s="13" t="s">
        <v>453</v>
      </c>
      <c r="BE38" s="13" t="s">
        <v>489</v>
      </c>
      <c r="BF38" s="16" t="s">
        <v>475</v>
      </c>
      <c r="BG38" s="15" t="s">
        <v>354</v>
      </c>
    </row>
    <row r="39" spans="12:59" x14ac:dyDescent="0.5">
      <c r="L39" s="1" t="s">
        <v>541</v>
      </c>
      <c r="M39" s="1" t="s">
        <v>603</v>
      </c>
      <c r="N39" s="1" t="s">
        <v>605</v>
      </c>
      <c r="P39" s="1" t="s">
        <v>621</v>
      </c>
      <c r="Q39" s="1" t="s">
        <v>52</v>
      </c>
      <c r="S39" s="1" t="s">
        <v>541</v>
      </c>
      <c r="T39" s="1" t="s">
        <v>603</v>
      </c>
      <c r="U39" s="1" t="s">
        <v>605</v>
      </c>
      <c r="W39" s="1" t="s">
        <v>621</v>
      </c>
      <c r="X39" s="1" t="s">
        <v>52</v>
      </c>
      <c r="Y39" s="1" t="s">
        <v>622</v>
      </c>
      <c r="Z39" s="1" t="s">
        <v>274</v>
      </c>
      <c r="AA39" s="1" t="s">
        <v>425</v>
      </c>
      <c r="AB39" s="1" t="s">
        <v>579</v>
      </c>
      <c r="AC39" s="1" t="s">
        <v>458</v>
      </c>
      <c r="AP39" s="2" t="s">
        <v>476</v>
      </c>
      <c r="AR39" s="1" t="s">
        <v>618</v>
      </c>
      <c r="AS39" s="1" t="s">
        <v>555</v>
      </c>
      <c r="AT39" s="1" t="s">
        <v>619</v>
      </c>
      <c r="AU39" s="1" t="s">
        <v>321</v>
      </c>
      <c r="AV39" s="1" t="s">
        <v>453</v>
      </c>
      <c r="AX39" s="1" t="s">
        <v>559</v>
      </c>
      <c r="BC39" s="15" t="s">
        <v>368</v>
      </c>
      <c r="BD39" s="14" t="s">
        <v>465</v>
      </c>
      <c r="BE39" s="16" t="s">
        <v>543</v>
      </c>
      <c r="BF39" s="16" t="s">
        <v>405</v>
      </c>
      <c r="BG39" s="15" t="s">
        <v>569</v>
      </c>
    </row>
    <row r="40" spans="12:59" x14ac:dyDescent="0.5">
      <c r="L40" s="1" t="s">
        <v>558</v>
      </c>
      <c r="M40" s="1" t="s">
        <v>427</v>
      </c>
      <c r="N40" s="1" t="s">
        <v>230</v>
      </c>
      <c r="P40" s="1" t="s">
        <v>622</v>
      </c>
      <c r="Q40" s="1" t="s">
        <v>623</v>
      </c>
      <c r="S40" s="1" t="s">
        <v>558</v>
      </c>
      <c r="T40" s="1" t="s">
        <v>427</v>
      </c>
      <c r="U40" s="1" t="s">
        <v>230</v>
      </c>
      <c r="W40" s="1" t="s">
        <v>622</v>
      </c>
      <c r="X40" s="1" t="s">
        <v>623</v>
      </c>
      <c r="Y40" s="1" t="s">
        <v>329</v>
      </c>
      <c r="Z40" s="1" t="s">
        <v>624</v>
      </c>
      <c r="AA40" s="1" t="s">
        <v>437</v>
      </c>
      <c r="AB40" s="1" t="s">
        <v>625</v>
      </c>
      <c r="AC40" s="1" t="s">
        <v>310</v>
      </c>
      <c r="AP40" s="2" t="s">
        <v>626</v>
      </c>
      <c r="AR40" s="1" t="s">
        <v>622</v>
      </c>
      <c r="AS40" s="1" t="s">
        <v>274</v>
      </c>
      <c r="AT40" s="1" t="s">
        <v>425</v>
      </c>
      <c r="AU40" s="1" t="s">
        <v>579</v>
      </c>
      <c r="AV40" s="1" t="s">
        <v>458</v>
      </c>
      <c r="BC40" s="15" t="s">
        <v>488</v>
      </c>
      <c r="BD40" s="16" t="s">
        <v>324</v>
      </c>
      <c r="BE40" s="15" t="s">
        <v>451</v>
      </c>
      <c r="BF40" s="16" t="s">
        <v>498</v>
      </c>
      <c r="BG40" s="15" t="s">
        <v>283</v>
      </c>
    </row>
    <row r="41" spans="12:59" x14ac:dyDescent="0.5">
      <c r="L41" s="1" t="s">
        <v>409</v>
      </c>
      <c r="M41" s="1" t="s">
        <v>233</v>
      </c>
      <c r="N41" s="1" t="s">
        <v>577</v>
      </c>
      <c r="P41" s="1" t="s">
        <v>472</v>
      </c>
      <c r="Q41" s="1" t="s">
        <v>627</v>
      </c>
      <c r="S41" s="1" t="s">
        <v>409</v>
      </c>
      <c r="T41" s="1" t="s">
        <v>233</v>
      </c>
      <c r="U41" s="1" t="s">
        <v>577</v>
      </c>
      <c r="W41" s="1" t="s">
        <v>472</v>
      </c>
      <c r="X41" s="1" t="s">
        <v>627</v>
      </c>
      <c r="Y41" s="1" t="s">
        <v>628</v>
      </c>
      <c r="AA41" s="1" t="s">
        <v>560</v>
      </c>
      <c r="AB41" s="1" t="s">
        <v>509</v>
      </c>
      <c r="AP41" s="2" t="s">
        <v>629</v>
      </c>
      <c r="AR41" s="1" t="s">
        <v>329</v>
      </c>
      <c r="AS41" s="1" t="s">
        <v>624</v>
      </c>
      <c r="AT41" s="1" t="s">
        <v>437</v>
      </c>
      <c r="AU41" s="1" t="s">
        <v>625</v>
      </c>
      <c r="AV41" s="1" t="s">
        <v>310</v>
      </c>
      <c r="BC41" s="15" t="s">
        <v>510</v>
      </c>
      <c r="BD41" s="15" t="s">
        <v>457</v>
      </c>
      <c r="BE41" s="16" t="s">
        <v>472</v>
      </c>
      <c r="BF41" s="15" t="s">
        <v>529</v>
      </c>
      <c r="BG41" s="15" t="s">
        <v>220</v>
      </c>
    </row>
    <row r="42" spans="12:59" x14ac:dyDescent="0.5">
      <c r="L42" s="1" t="s">
        <v>560</v>
      </c>
      <c r="M42" s="1" t="s">
        <v>380</v>
      </c>
      <c r="N42" s="1" t="s">
        <v>585</v>
      </c>
      <c r="P42" s="1" t="s">
        <v>361</v>
      </c>
      <c r="Q42" s="1" t="s">
        <v>604</v>
      </c>
      <c r="S42" s="1" t="s">
        <v>560</v>
      </c>
      <c r="T42" s="1" t="s">
        <v>380</v>
      </c>
      <c r="U42" s="1" t="s">
        <v>585</v>
      </c>
      <c r="W42" s="1" t="s">
        <v>361</v>
      </c>
      <c r="X42" s="1" t="s">
        <v>604</v>
      </c>
      <c r="Y42" s="1" t="s">
        <v>210</v>
      </c>
      <c r="AA42" s="1" t="s">
        <v>630</v>
      </c>
      <c r="AB42" s="1" t="s">
        <v>565</v>
      </c>
      <c r="AP42" s="2" t="s">
        <v>582</v>
      </c>
      <c r="AR42" s="1" t="s">
        <v>628</v>
      </c>
      <c r="AT42" s="1" t="s">
        <v>560</v>
      </c>
      <c r="AU42" s="1" t="s">
        <v>509</v>
      </c>
      <c r="BC42" s="15" t="s">
        <v>511</v>
      </c>
      <c r="BD42" s="13" t="s">
        <v>414</v>
      </c>
      <c r="BE42" s="15" t="s">
        <v>225</v>
      </c>
      <c r="BF42" s="16" t="s">
        <v>398</v>
      </c>
      <c r="BG42" s="15" t="s">
        <v>486</v>
      </c>
    </row>
    <row r="43" spans="12:59" x14ac:dyDescent="0.5">
      <c r="L43" s="1" t="s">
        <v>631</v>
      </c>
      <c r="N43" s="1" t="s">
        <v>235</v>
      </c>
      <c r="P43" s="1" t="s">
        <v>323</v>
      </c>
      <c r="Q43" s="1" t="s">
        <v>487</v>
      </c>
      <c r="S43" s="1" t="s">
        <v>631</v>
      </c>
      <c r="U43" s="1" t="s">
        <v>235</v>
      </c>
      <c r="W43" s="1" t="s">
        <v>323</v>
      </c>
      <c r="X43" s="1" t="s">
        <v>487</v>
      </c>
      <c r="Y43" s="1" t="s">
        <v>278</v>
      </c>
      <c r="AA43" s="1" t="s">
        <v>632</v>
      </c>
      <c r="AB43" s="1" t="s">
        <v>633</v>
      </c>
      <c r="AP43" s="2" t="s">
        <v>634</v>
      </c>
      <c r="AR43" s="1" t="s">
        <v>210</v>
      </c>
      <c r="AT43" s="1" t="s">
        <v>630</v>
      </c>
      <c r="AU43" s="1" t="s">
        <v>565</v>
      </c>
      <c r="BC43" s="15" t="s">
        <v>531</v>
      </c>
      <c r="BD43" s="15" t="s">
        <v>482</v>
      </c>
      <c r="BE43" s="16" t="s">
        <v>594</v>
      </c>
      <c r="BF43" s="16" t="s">
        <v>213</v>
      </c>
      <c r="BG43" s="15" t="s">
        <v>487</v>
      </c>
    </row>
    <row r="44" spans="12:59" x14ac:dyDescent="0.5">
      <c r="L44" s="1" t="s">
        <v>540</v>
      </c>
      <c r="P44" s="1" t="s">
        <v>561</v>
      </c>
      <c r="Q44" s="1" t="s">
        <v>635</v>
      </c>
      <c r="S44" s="1" t="s">
        <v>540</v>
      </c>
      <c r="W44" s="1" t="s">
        <v>561</v>
      </c>
      <c r="X44" s="1" t="s">
        <v>635</v>
      </c>
      <c r="Y44" s="1" t="s">
        <v>536</v>
      </c>
      <c r="AA44" s="1" t="s">
        <v>636</v>
      </c>
      <c r="AB44" s="1" t="s">
        <v>499</v>
      </c>
      <c r="AP44" s="2" t="s">
        <v>540</v>
      </c>
      <c r="AR44" s="1" t="s">
        <v>278</v>
      </c>
      <c r="AT44" s="1" t="s">
        <v>632</v>
      </c>
      <c r="AU44" s="1" t="s">
        <v>633</v>
      </c>
      <c r="BC44" s="15" t="s">
        <v>509</v>
      </c>
      <c r="BD44" s="16" t="s">
        <v>410</v>
      </c>
      <c r="BE44" s="15" t="s">
        <v>425</v>
      </c>
      <c r="BF44" s="16" t="s">
        <v>421</v>
      </c>
      <c r="BG44" s="15" t="s">
        <v>284</v>
      </c>
    </row>
    <row r="45" spans="12:59" x14ac:dyDescent="0.5">
      <c r="L45" s="1" t="s">
        <v>637</v>
      </c>
      <c r="P45" s="1" t="s">
        <v>571</v>
      </c>
      <c r="Q45" s="1" t="s">
        <v>635</v>
      </c>
      <c r="S45" s="1" t="s">
        <v>637</v>
      </c>
      <c r="W45" s="1" t="s">
        <v>571</v>
      </c>
      <c r="X45" s="1" t="s">
        <v>635</v>
      </c>
      <c r="Y45" s="1" t="s">
        <v>212</v>
      </c>
      <c r="AA45" s="1" t="s">
        <v>638</v>
      </c>
      <c r="AB45" s="1" t="s">
        <v>536</v>
      </c>
      <c r="AP45" s="2" t="s">
        <v>502</v>
      </c>
      <c r="AR45" s="1" t="s">
        <v>536</v>
      </c>
      <c r="AT45" s="1" t="s">
        <v>636</v>
      </c>
      <c r="AU45" s="1" t="s">
        <v>499</v>
      </c>
      <c r="BC45" s="15" t="s">
        <v>593</v>
      </c>
      <c r="BD45" s="14" t="s">
        <v>395</v>
      </c>
      <c r="BE45" s="16" t="s">
        <v>606</v>
      </c>
      <c r="BF45" s="15" t="s">
        <v>393</v>
      </c>
      <c r="BG45" s="15" t="s">
        <v>308</v>
      </c>
    </row>
    <row r="46" spans="12:59" x14ac:dyDescent="0.5">
      <c r="P46" s="1" t="s">
        <v>437</v>
      </c>
      <c r="Q46" s="1" t="s">
        <v>495</v>
      </c>
      <c r="W46" s="1" t="s">
        <v>437</v>
      </c>
      <c r="X46" s="1" t="s">
        <v>495</v>
      </c>
      <c r="Y46" s="1" t="s">
        <v>639</v>
      </c>
      <c r="AA46" s="1" t="s">
        <v>396</v>
      </c>
      <c r="AB46" s="1" t="s">
        <v>216</v>
      </c>
      <c r="AP46" s="2" t="s">
        <v>235</v>
      </c>
      <c r="AR46" s="1" t="s">
        <v>212</v>
      </c>
      <c r="AT46" s="1" t="s">
        <v>638</v>
      </c>
      <c r="AU46" s="1" t="s">
        <v>536</v>
      </c>
      <c r="BC46" s="15" t="s">
        <v>541</v>
      </c>
      <c r="BD46" s="13" t="s">
        <v>501</v>
      </c>
      <c r="BE46" s="13" t="s">
        <v>227</v>
      </c>
      <c r="BF46" s="15" t="s">
        <v>463</v>
      </c>
      <c r="BG46" s="15" t="s">
        <v>226</v>
      </c>
    </row>
    <row r="47" spans="12:59" x14ac:dyDescent="0.5">
      <c r="P47" s="1" t="s">
        <v>425</v>
      </c>
      <c r="Q47" s="1" t="s">
        <v>323</v>
      </c>
      <c r="W47" s="1" t="s">
        <v>425</v>
      </c>
      <c r="X47" s="1" t="s">
        <v>323</v>
      </c>
      <c r="Y47" s="1" t="s">
        <v>640</v>
      </c>
      <c r="AA47" s="1" t="s">
        <v>223</v>
      </c>
      <c r="AB47" s="1" t="s">
        <v>641</v>
      </c>
      <c r="AP47" s="2"/>
      <c r="AR47" s="1" t="s">
        <v>639</v>
      </c>
      <c r="AT47" s="1" t="s">
        <v>396</v>
      </c>
      <c r="AU47" s="1" t="s">
        <v>216</v>
      </c>
      <c r="BC47" s="15" t="s">
        <v>558</v>
      </c>
      <c r="BD47" s="15" t="s">
        <v>401</v>
      </c>
      <c r="BE47" s="15" t="s">
        <v>542</v>
      </c>
      <c r="BF47" s="16" t="s">
        <v>422</v>
      </c>
      <c r="BG47" s="15" t="s">
        <v>476</v>
      </c>
    </row>
    <row r="48" spans="12:59" x14ac:dyDescent="0.5">
      <c r="P48" s="1" t="s">
        <v>425</v>
      </c>
      <c r="Q48" s="1" t="s">
        <v>561</v>
      </c>
      <c r="W48" s="1" t="s">
        <v>425</v>
      </c>
      <c r="X48" s="1" t="s">
        <v>561</v>
      </c>
      <c r="Y48" s="1" t="s">
        <v>642</v>
      </c>
      <c r="AA48" s="1" t="s">
        <v>507</v>
      </c>
      <c r="AB48" s="1" t="s">
        <v>236</v>
      </c>
      <c r="AR48" s="1" t="s">
        <v>640</v>
      </c>
      <c r="AT48" s="1" t="s">
        <v>223</v>
      </c>
      <c r="AU48" s="1" t="s">
        <v>641</v>
      </c>
      <c r="BC48" s="15" t="s">
        <v>605</v>
      </c>
      <c r="BD48" s="14" t="s">
        <v>218</v>
      </c>
      <c r="BE48" s="16" t="s">
        <v>615</v>
      </c>
      <c r="BF48" s="15" t="s">
        <v>453</v>
      </c>
      <c r="BG48" s="15" t="s">
        <v>509</v>
      </c>
    </row>
    <row r="49" spans="16:59" x14ac:dyDescent="0.5">
      <c r="P49" s="1" t="s">
        <v>643</v>
      </c>
      <c r="Q49" s="1" t="s">
        <v>644</v>
      </c>
      <c r="W49" s="1" t="s">
        <v>643</v>
      </c>
      <c r="X49" s="1" t="s">
        <v>644</v>
      </c>
      <c r="Y49" s="1" t="s">
        <v>327</v>
      </c>
      <c r="AA49" s="1" t="s">
        <v>529</v>
      </c>
      <c r="AB49" s="1" t="s">
        <v>234</v>
      </c>
      <c r="AR49" s="1" t="s">
        <v>642</v>
      </c>
      <c r="AT49" s="1" t="s">
        <v>507</v>
      </c>
      <c r="AU49" s="1" t="s">
        <v>236</v>
      </c>
      <c r="BC49" s="15" t="s">
        <v>307</v>
      </c>
      <c r="BD49" s="16" t="s">
        <v>411</v>
      </c>
      <c r="BE49" s="15" t="s">
        <v>541</v>
      </c>
      <c r="BF49" s="16" t="s">
        <v>535</v>
      </c>
      <c r="BG49" s="15" t="s">
        <v>328</v>
      </c>
    </row>
    <row r="50" spans="16:59" x14ac:dyDescent="0.5">
      <c r="P50" s="1" t="s">
        <v>227</v>
      </c>
      <c r="Q50" s="1" t="s">
        <v>531</v>
      </c>
      <c r="W50" s="1" t="s">
        <v>227</v>
      </c>
      <c r="X50" s="1" t="s">
        <v>531</v>
      </c>
      <c r="Y50" s="1" t="s">
        <v>458</v>
      </c>
      <c r="AA50" s="1" t="s">
        <v>311</v>
      </c>
      <c r="AB50" s="1" t="s">
        <v>560</v>
      </c>
      <c r="AR50" s="1" t="s">
        <v>327</v>
      </c>
      <c r="AT50" s="1" t="s">
        <v>529</v>
      </c>
      <c r="AU50" s="1" t="s">
        <v>234</v>
      </c>
      <c r="BC50" s="15" t="s">
        <v>560</v>
      </c>
      <c r="BD50" s="15" t="s">
        <v>523</v>
      </c>
      <c r="BE50" s="16" t="s">
        <v>605</v>
      </c>
      <c r="BF50" s="16" t="s">
        <v>414</v>
      </c>
      <c r="BG50" s="15" t="s">
        <v>384</v>
      </c>
    </row>
    <row r="51" spans="16:59" x14ac:dyDescent="0.5">
      <c r="P51" s="1" t="s">
        <v>645</v>
      </c>
      <c r="Q51" s="1" t="s">
        <v>646</v>
      </c>
      <c r="W51" s="1" t="s">
        <v>645</v>
      </c>
      <c r="X51" s="1" t="s">
        <v>646</v>
      </c>
      <c r="Y51" s="1" t="s">
        <v>647</v>
      </c>
      <c r="AA51" s="1" t="s">
        <v>535</v>
      </c>
      <c r="AB51" s="1" t="s">
        <v>582</v>
      </c>
      <c r="AR51" s="1" t="s">
        <v>458</v>
      </c>
      <c r="AT51" s="1" t="s">
        <v>311</v>
      </c>
      <c r="AU51" s="1" t="s">
        <v>560</v>
      </c>
      <c r="BC51" s="15" t="s">
        <v>540</v>
      </c>
      <c r="BD51" s="15" t="s">
        <v>52</v>
      </c>
      <c r="BE51" s="15" t="s">
        <v>230</v>
      </c>
      <c r="BF51" s="16" t="s">
        <v>494</v>
      </c>
      <c r="BG51" s="15" t="s">
        <v>590</v>
      </c>
    </row>
    <row r="52" spans="16:59" x14ac:dyDescent="0.5">
      <c r="P52" s="1" t="s">
        <v>613</v>
      </c>
      <c r="Q52" s="1" t="s">
        <v>634</v>
      </c>
      <c r="W52" s="1" t="s">
        <v>613</v>
      </c>
      <c r="X52" s="1" t="s">
        <v>634</v>
      </c>
      <c r="Y52" s="1" t="s">
        <v>582</v>
      </c>
      <c r="AA52" s="1" t="s">
        <v>489</v>
      </c>
      <c r="AB52" s="1" t="s">
        <v>648</v>
      </c>
      <c r="AR52" s="1" t="s">
        <v>647</v>
      </c>
      <c r="AT52" s="1" t="s">
        <v>535</v>
      </c>
      <c r="AU52" s="1" t="s">
        <v>582</v>
      </c>
      <c r="BC52" s="15" t="s">
        <v>603</v>
      </c>
      <c r="BD52" s="13" t="s">
        <v>481</v>
      </c>
      <c r="BE52" s="14" t="s">
        <v>307</v>
      </c>
      <c r="BF52" s="15" t="s">
        <v>439</v>
      </c>
      <c r="BG52" s="15" t="s">
        <v>611</v>
      </c>
    </row>
    <row r="53" spans="16:59" x14ac:dyDescent="0.5">
      <c r="P53" s="1" t="s">
        <v>531</v>
      </c>
      <c r="Q53" s="1" t="s">
        <v>533</v>
      </c>
      <c r="W53" s="1" t="s">
        <v>531</v>
      </c>
      <c r="X53" s="1" t="s">
        <v>533</v>
      </c>
      <c r="AA53" s="1" t="s">
        <v>649</v>
      </c>
      <c r="AB53" s="1" t="s">
        <v>650</v>
      </c>
      <c r="AR53" s="1" t="s">
        <v>582</v>
      </c>
      <c r="AT53" s="1" t="s">
        <v>489</v>
      </c>
      <c r="AU53" s="1" t="s">
        <v>648</v>
      </c>
      <c r="BC53" s="15" t="s">
        <v>427</v>
      </c>
      <c r="BD53" s="15" t="s">
        <v>538</v>
      </c>
      <c r="BE53" s="13" t="s">
        <v>540</v>
      </c>
      <c r="BF53" s="16" t="s">
        <v>551</v>
      </c>
      <c r="BG53" s="15" t="s">
        <v>499</v>
      </c>
    </row>
    <row r="54" spans="16:59" x14ac:dyDescent="0.5">
      <c r="P54" s="1" t="s">
        <v>547</v>
      </c>
      <c r="Q54" s="1" t="s">
        <v>230</v>
      </c>
      <c r="W54" s="1" t="s">
        <v>547</v>
      </c>
      <c r="X54" s="1" t="s">
        <v>230</v>
      </c>
      <c r="AA54" s="1" t="s">
        <v>651</v>
      </c>
      <c r="AB54" s="1" t="s">
        <v>230</v>
      </c>
      <c r="AT54" s="1" t="s">
        <v>649</v>
      </c>
      <c r="AU54" s="1" t="s">
        <v>650</v>
      </c>
      <c r="BC54" s="15" t="s">
        <v>233</v>
      </c>
      <c r="BD54" s="15" t="s">
        <v>452</v>
      </c>
      <c r="BE54" s="14" t="s">
        <v>570</v>
      </c>
      <c r="BF54" s="15" t="s">
        <v>411</v>
      </c>
      <c r="BG54" s="15" t="s">
        <v>541</v>
      </c>
    </row>
    <row r="55" spans="16:59" x14ac:dyDescent="0.5">
      <c r="P55" s="1" t="s">
        <v>229</v>
      </c>
      <c r="Q55" s="1" t="s">
        <v>506</v>
      </c>
      <c r="W55" s="1" t="s">
        <v>229</v>
      </c>
      <c r="X55" s="1" t="s">
        <v>506</v>
      </c>
      <c r="AA55" s="1" t="s">
        <v>542</v>
      </c>
      <c r="AB55" s="1" t="s">
        <v>652</v>
      </c>
      <c r="AT55" s="1" t="s">
        <v>651</v>
      </c>
      <c r="AU55" s="1" t="s">
        <v>230</v>
      </c>
      <c r="BC55" s="15" t="s">
        <v>380</v>
      </c>
      <c r="BD55" s="16" t="s">
        <v>554</v>
      </c>
      <c r="BE55" s="16" t="s">
        <v>577</v>
      </c>
      <c r="BF55" s="16" t="s">
        <v>354</v>
      </c>
      <c r="BG55" s="15" t="s">
        <v>307</v>
      </c>
    </row>
    <row r="56" spans="16:59" x14ac:dyDescent="0.5">
      <c r="P56" s="1" t="s">
        <v>384</v>
      </c>
      <c r="Q56" s="1" t="s">
        <v>560</v>
      </c>
      <c r="W56" s="1" t="s">
        <v>384</v>
      </c>
      <c r="X56" s="1" t="s">
        <v>560</v>
      </c>
      <c r="AA56" s="1" t="s">
        <v>653</v>
      </c>
      <c r="AB56" s="1" t="s">
        <v>585</v>
      </c>
      <c r="AT56" s="1" t="s">
        <v>542</v>
      </c>
      <c r="AU56" s="1" t="s">
        <v>652</v>
      </c>
      <c r="BC56" s="17"/>
      <c r="BD56" s="14" t="s">
        <v>464</v>
      </c>
      <c r="BE56" s="14" t="s">
        <v>568</v>
      </c>
      <c r="BF56" s="15" t="s">
        <v>569</v>
      </c>
      <c r="BG56" s="15" t="s">
        <v>540</v>
      </c>
    </row>
    <row r="57" spans="16:59" x14ac:dyDescent="0.5">
      <c r="P57" s="1" t="s">
        <v>654</v>
      </c>
      <c r="Q57" s="1" t="s">
        <v>540</v>
      </c>
      <c r="W57" s="1" t="s">
        <v>654</v>
      </c>
      <c r="X57" s="1" t="s">
        <v>540</v>
      </c>
      <c r="AA57" s="1" t="s">
        <v>503</v>
      </c>
      <c r="AB57" s="1" t="s">
        <v>410</v>
      </c>
      <c r="AT57" s="1" t="s">
        <v>653</v>
      </c>
      <c r="AU57" s="1" t="s">
        <v>585</v>
      </c>
      <c r="BD57" s="16" t="s">
        <v>536</v>
      </c>
      <c r="BE57" s="15" t="s">
        <v>585</v>
      </c>
      <c r="BF57" s="15" t="s">
        <v>283</v>
      </c>
      <c r="BG57" s="15" t="s">
        <v>485</v>
      </c>
    </row>
    <row r="58" spans="16:59" x14ac:dyDescent="0.5">
      <c r="P58" s="1" t="s">
        <v>230</v>
      </c>
      <c r="Q58" s="1" t="s">
        <v>231</v>
      </c>
      <c r="W58" s="1" t="s">
        <v>230</v>
      </c>
      <c r="X58" s="1" t="s">
        <v>231</v>
      </c>
      <c r="AA58" s="1" t="s">
        <v>655</v>
      </c>
      <c r="AB58" s="1" t="s">
        <v>656</v>
      </c>
      <c r="AT58" s="1" t="s">
        <v>503</v>
      </c>
      <c r="AU58" s="1" t="s">
        <v>410</v>
      </c>
      <c r="BD58" s="15" t="s">
        <v>489</v>
      </c>
      <c r="BE58" s="13"/>
      <c r="BF58" s="15" t="s">
        <v>357</v>
      </c>
      <c r="BG58" s="15" t="s">
        <v>568</v>
      </c>
    </row>
    <row r="59" spans="16:59" x14ac:dyDescent="0.5">
      <c r="P59" s="1" t="s">
        <v>506</v>
      </c>
      <c r="Q59" s="1" t="s">
        <v>657</v>
      </c>
      <c r="W59" s="1" t="s">
        <v>506</v>
      </c>
      <c r="X59" s="1" t="s">
        <v>657</v>
      </c>
      <c r="AA59" s="1" t="s">
        <v>658</v>
      </c>
      <c r="AB59" s="1" t="s">
        <v>659</v>
      </c>
      <c r="AT59" s="1" t="s">
        <v>655</v>
      </c>
      <c r="AU59" s="1" t="s">
        <v>656</v>
      </c>
      <c r="BC59" s="2"/>
      <c r="BD59" s="15" t="s">
        <v>555</v>
      </c>
      <c r="BE59" s="13"/>
      <c r="BF59" s="15" t="s">
        <v>220</v>
      </c>
      <c r="BG59" s="15" t="s">
        <v>235</v>
      </c>
    </row>
    <row r="60" spans="16:59" x14ac:dyDescent="0.5">
      <c r="P60" s="1" t="s">
        <v>647</v>
      </c>
      <c r="Q60" s="1" t="s">
        <v>429</v>
      </c>
      <c r="W60" s="1" t="s">
        <v>647</v>
      </c>
      <c r="X60" s="1" t="s">
        <v>429</v>
      </c>
      <c r="AA60" s="1" t="s">
        <v>660</v>
      </c>
      <c r="AB60" s="1" t="s">
        <v>661</v>
      </c>
      <c r="AT60" s="1" t="s">
        <v>658</v>
      </c>
      <c r="AU60" s="1" t="s">
        <v>659</v>
      </c>
      <c r="BD60" s="16" t="s">
        <v>543</v>
      </c>
      <c r="BE60" s="13"/>
      <c r="BF60" s="15" t="s">
        <v>486</v>
      </c>
      <c r="BG60" s="15"/>
    </row>
    <row r="61" spans="16:59" x14ac:dyDescent="0.5">
      <c r="P61" s="1" t="s">
        <v>455</v>
      </c>
      <c r="Q61" s="1" t="s">
        <v>399</v>
      </c>
      <c r="W61" s="1" t="s">
        <v>455</v>
      </c>
      <c r="X61" s="1" t="s">
        <v>399</v>
      </c>
      <c r="AA61" s="1" t="s">
        <v>283</v>
      </c>
      <c r="AB61" s="1" t="s">
        <v>662</v>
      </c>
      <c r="AT61" s="1" t="s">
        <v>660</v>
      </c>
      <c r="AU61" s="1" t="s">
        <v>661</v>
      </c>
      <c r="BD61" s="15" t="s">
        <v>451</v>
      </c>
      <c r="BE61" s="13"/>
      <c r="BF61" s="15" t="s">
        <v>487</v>
      </c>
      <c r="BG61" s="15"/>
    </row>
    <row r="62" spans="16:59" x14ac:dyDescent="0.5">
      <c r="P62" s="1" t="s">
        <v>612</v>
      </c>
      <c r="Q62" s="1" t="s">
        <v>568</v>
      </c>
      <c r="W62" s="1" t="s">
        <v>612</v>
      </c>
      <c r="X62" s="1" t="s">
        <v>568</v>
      </c>
      <c r="AA62" s="1" t="s">
        <v>229</v>
      </c>
      <c r="AB62" s="1" t="s">
        <v>663</v>
      </c>
      <c r="AT62" s="1" t="s">
        <v>283</v>
      </c>
      <c r="AU62" s="1" t="s">
        <v>662</v>
      </c>
      <c r="BD62" s="16" t="s">
        <v>472</v>
      </c>
      <c r="BE62" s="13"/>
      <c r="BF62" s="15" t="s">
        <v>284</v>
      </c>
      <c r="BG62" s="15"/>
    </row>
    <row r="63" spans="16:59" x14ac:dyDescent="0.5">
      <c r="P63" s="1" t="s">
        <v>466</v>
      </c>
      <c r="Q63" s="1" t="s">
        <v>234</v>
      </c>
      <c r="W63" s="1" t="s">
        <v>466</v>
      </c>
      <c r="X63" s="1" t="s">
        <v>234</v>
      </c>
      <c r="AA63" s="1" t="s">
        <v>664</v>
      </c>
      <c r="AT63" s="1" t="s">
        <v>229</v>
      </c>
      <c r="AU63" s="1" t="s">
        <v>663</v>
      </c>
      <c r="BC63" s="2"/>
      <c r="BD63" s="16" t="s">
        <v>495</v>
      </c>
      <c r="BE63" s="13"/>
      <c r="BF63" s="16" t="s">
        <v>308</v>
      </c>
      <c r="BG63" s="15"/>
    </row>
    <row r="64" spans="16:59" x14ac:dyDescent="0.5">
      <c r="Q64" s="1" t="s">
        <v>235</v>
      </c>
      <c r="X64" s="1" t="s">
        <v>235</v>
      </c>
      <c r="AA64" s="1" t="s">
        <v>593</v>
      </c>
      <c r="AT64" s="1" t="s">
        <v>664</v>
      </c>
      <c r="BD64" s="15" t="s">
        <v>225</v>
      </c>
      <c r="BE64" s="13"/>
      <c r="BF64" s="15" t="s">
        <v>226</v>
      </c>
      <c r="BG64" s="15"/>
    </row>
    <row r="65" spans="17:59" x14ac:dyDescent="0.5">
      <c r="Q65" s="1" t="s">
        <v>236</v>
      </c>
      <c r="X65" s="1" t="s">
        <v>236</v>
      </c>
      <c r="AA65" s="1" t="s">
        <v>639</v>
      </c>
      <c r="AT65" s="1" t="s">
        <v>593</v>
      </c>
      <c r="BD65" s="13" t="s">
        <v>552</v>
      </c>
      <c r="BE65" s="13"/>
      <c r="BF65" s="16" t="s">
        <v>476</v>
      </c>
      <c r="BG65" s="15"/>
    </row>
    <row r="66" spans="17:59" x14ac:dyDescent="0.5">
      <c r="Q66" s="1" t="s">
        <v>665</v>
      </c>
      <c r="X66" s="1" t="s">
        <v>665</v>
      </c>
      <c r="AA66" s="1" t="s">
        <v>666</v>
      </c>
      <c r="AT66" s="1" t="s">
        <v>639</v>
      </c>
      <c r="BD66" s="14" t="s">
        <v>511</v>
      </c>
      <c r="BE66" s="13"/>
      <c r="BF66" s="15" t="s">
        <v>509</v>
      </c>
      <c r="BG66" s="15"/>
    </row>
    <row r="67" spans="17:59" x14ac:dyDescent="0.5">
      <c r="AA67" s="1" t="s">
        <v>667</v>
      </c>
      <c r="AT67" s="1" t="s">
        <v>666</v>
      </c>
      <c r="BD67" s="16" t="s">
        <v>594</v>
      </c>
      <c r="BE67" s="13"/>
      <c r="BF67" s="15" t="s">
        <v>528</v>
      </c>
      <c r="BG67" s="15"/>
    </row>
    <row r="68" spans="17:59" x14ac:dyDescent="0.5">
      <c r="AA68" s="1" t="s">
        <v>588</v>
      </c>
      <c r="AT68" s="1" t="s">
        <v>667</v>
      </c>
      <c r="BD68" s="13" t="s">
        <v>437</v>
      </c>
      <c r="BE68" s="13"/>
      <c r="BF68" s="15" t="s">
        <v>328</v>
      </c>
      <c r="BG68" s="15"/>
    </row>
    <row r="69" spans="17:59" x14ac:dyDescent="0.5">
      <c r="AT69" s="1" t="s">
        <v>588</v>
      </c>
      <c r="BD69" s="15" t="s">
        <v>425</v>
      </c>
      <c r="BE69" s="13"/>
      <c r="BF69" s="15" t="s">
        <v>384</v>
      </c>
      <c r="BG69" s="15"/>
    </row>
    <row r="70" spans="17:59" x14ac:dyDescent="0.5">
      <c r="BD70" s="16" t="s">
        <v>606</v>
      </c>
      <c r="BE70" s="18"/>
      <c r="BF70" s="15" t="s">
        <v>590</v>
      </c>
      <c r="BG70" s="15"/>
    </row>
    <row r="71" spans="17:59" x14ac:dyDescent="0.5">
      <c r="BD71" s="15" t="s">
        <v>227</v>
      </c>
      <c r="BF71" s="15" t="s">
        <v>412</v>
      </c>
      <c r="BG71" s="15"/>
    </row>
    <row r="72" spans="17:59" x14ac:dyDescent="0.5">
      <c r="BD72" s="15" t="s">
        <v>542</v>
      </c>
      <c r="BF72" s="16" t="s">
        <v>611</v>
      </c>
      <c r="BG72" s="15"/>
    </row>
    <row r="73" spans="17:59" x14ac:dyDescent="0.5">
      <c r="BD73" s="16" t="s">
        <v>509</v>
      </c>
      <c r="BF73" s="15" t="s">
        <v>356</v>
      </c>
      <c r="BG73" s="15"/>
    </row>
    <row r="74" spans="17:59" x14ac:dyDescent="0.5">
      <c r="BD74" s="13" t="s">
        <v>578</v>
      </c>
      <c r="BF74" s="16" t="s">
        <v>499</v>
      </c>
      <c r="BG74" s="15"/>
    </row>
    <row r="75" spans="17:59" x14ac:dyDescent="0.5">
      <c r="BD75" s="14" t="s">
        <v>582</v>
      </c>
      <c r="BF75" s="15" t="s">
        <v>541</v>
      </c>
      <c r="BG75" s="15"/>
    </row>
    <row r="76" spans="17:59" x14ac:dyDescent="0.5">
      <c r="BD76" s="13" t="s">
        <v>586</v>
      </c>
      <c r="BF76" s="15" t="s">
        <v>558</v>
      </c>
      <c r="BG76" s="15"/>
    </row>
    <row r="77" spans="17:59" x14ac:dyDescent="0.5">
      <c r="BD77" s="16" t="s">
        <v>615</v>
      </c>
      <c r="BF77" s="16" t="s">
        <v>307</v>
      </c>
      <c r="BG77" s="15"/>
    </row>
    <row r="78" spans="17:59" x14ac:dyDescent="0.5">
      <c r="BD78" s="16" t="s">
        <v>499</v>
      </c>
      <c r="BF78" s="16" t="s">
        <v>563</v>
      </c>
      <c r="BG78" s="15"/>
    </row>
    <row r="79" spans="17:59" x14ac:dyDescent="0.5">
      <c r="BD79" s="15" t="s">
        <v>541</v>
      </c>
      <c r="BF79" s="15" t="s">
        <v>540</v>
      </c>
      <c r="BG79" s="15"/>
    </row>
    <row r="80" spans="17:59" x14ac:dyDescent="0.5">
      <c r="BD80" s="14" t="s">
        <v>591</v>
      </c>
      <c r="BF80" s="15" t="s">
        <v>485</v>
      </c>
      <c r="BG80" s="15"/>
    </row>
    <row r="81" spans="56:59" x14ac:dyDescent="0.5">
      <c r="BD81" s="16" t="s">
        <v>605</v>
      </c>
      <c r="BF81" s="16" t="s">
        <v>518</v>
      </c>
      <c r="BG81" s="16"/>
    </row>
    <row r="82" spans="56:59" x14ac:dyDescent="0.5">
      <c r="BD82" s="13" t="s">
        <v>597</v>
      </c>
      <c r="BF82" s="15" t="s">
        <v>559</v>
      </c>
      <c r="BG82" s="15"/>
    </row>
    <row r="83" spans="56:59" x14ac:dyDescent="0.5">
      <c r="BD83" s="15" t="s">
        <v>230</v>
      </c>
      <c r="BF83" s="16" t="s">
        <v>429</v>
      </c>
      <c r="BG83" s="16"/>
    </row>
    <row r="84" spans="56:59" x14ac:dyDescent="0.5">
      <c r="BD84" s="16" t="s">
        <v>603</v>
      </c>
      <c r="BF84" s="16" t="s">
        <v>399</v>
      </c>
      <c r="BG84" s="15"/>
    </row>
    <row r="85" spans="56:59" x14ac:dyDescent="0.5">
      <c r="BD85" s="13" t="s">
        <v>455</v>
      </c>
      <c r="BF85" s="15" t="s">
        <v>568</v>
      </c>
      <c r="BG85" s="15"/>
    </row>
    <row r="86" spans="56:59" x14ac:dyDescent="0.5">
      <c r="BD86" s="15" t="s">
        <v>612</v>
      </c>
      <c r="BF86" s="19" t="s">
        <v>235</v>
      </c>
      <c r="BG86" s="15"/>
    </row>
    <row r="87" spans="56:59" x14ac:dyDescent="0.5">
      <c r="BD87" s="16" t="s">
        <v>577</v>
      </c>
      <c r="BF87" s="16" t="s">
        <v>236</v>
      </c>
      <c r="BG87" s="19"/>
    </row>
    <row r="88" spans="56:59" x14ac:dyDescent="0.5">
      <c r="BD88" s="15" t="s">
        <v>585</v>
      </c>
      <c r="BF88" s="16" t="s">
        <v>218</v>
      </c>
    </row>
    <row r="89" spans="56:59" x14ac:dyDescent="0.5">
      <c r="BD89" s="16"/>
      <c r="BF89" s="16" t="s">
        <v>489</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AV3:AZ3"/>
    <mergeCell ref="AR3:AU3"/>
    <mergeCell ref="AL3:AN3"/>
    <mergeCell ref="AO3:AQ3"/>
    <mergeCell ref="BB1:BG1"/>
    <mergeCell ref="AL2:AQ2"/>
    <mergeCell ref="AL1:AZ1"/>
    <mergeCell ref="S1:AG1"/>
    <mergeCell ref="L2:Q2"/>
    <mergeCell ref="S2:X2"/>
    <mergeCell ref="Y2:AB2"/>
    <mergeCell ref="AC2:AG2"/>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Props1.xml><?xml version="1.0" encoding="utf-8"?>
<ds:datastoreItem xmlns:ds="http://schemas.openxmlformats.org/officeDocument/2006/customXml" ds:itemID="{9493F5F7-D611-49DF-808E-AFE6C09CB6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715072-900F-43EC-BD52-E1C5E784E778}">
  <ds:schemaRefs>
    <ds:schemaRef ds:uri="http://schemas.microsoft.com/sharepoint/v3/contenttype/forms"/>
  </ds:schemaRefs>
</ds:datastoreItem>
</file>

<file path=customXml/itemProps3.xml><?xml version="1.0" encoding="utf-8"?>
<ds:datastoreItem xmlns:ds="http://schemas.openxmlformats.org/officeDocument/2006/customXml" ds:itemID="{E9F25991-7111-4C83-98CC-569D7D2F527C}">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60</vt:i4>
      </vt:variant>
    </vt:vector>
  </HeadingPairs>
  <TitlesOfParts>
    <vt:vector size="67"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2026-05-13T04:17:15Z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