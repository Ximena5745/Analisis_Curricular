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comments7.xml" ContentType="application/vnd.openxmlformats-officedocument.spreadsheetml.comments+xml"/>
  <Override PartName="/xl/tables/table4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defaultThemeVersion="166925"/>
  <mc:AlternateContent xmlns:mc="http://schemas.openxmlformats.org/markup-compatibility/2006">
    <mc:Choice Requires="x15">
      <x15ac:absPath xmlns:x15ac="http://schemas.microsoft.com/office/spreadsheetml/2010/11/ac" url="https://poligran-my.sharepoint.com/personal/dvelasquez_poligran_edu_co/Documents/02_Curriculo_Virtual/05_Documentos_Reforzamiento curricular/ReforzamientoCurricular2022/03_Entregables/Nivel Micro/06_FormatosRA_AC/05_ReformaCurricular/"/>
    </mc:Choice>
  </mc:AlternateContent>
  <xr:revisionPtr revIDLastSave="95" documentId="13_ncr:1_{AD9E25C2-902C-4F78-BA14-D1D550A48005}" xr6:coauthVersionLast="47" xr6:coauthVersionMax="47" xr10:uidLastSave="{E2491174-BB16-4149-B403-BF11AB48EC29}"/>
  <bookViews>
    <workbookView xWindow="-90" yWindow="0" windowWidth="9780" windowHeight="11370" tabRatio="673" firstSheet="5"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ias para RA" sheetId="7" r:id="rId7"/>
    <sheet name="Taxonomía para competencias" sheetId="10" r:id="rId8"/>
  </sheets>
  <externalReferences>
    <externalReference r:id="rId9"/>
    <externalReference r:id="rId10"/>
    <externalReference r:id="rId11"/>
  </externalReferences>
  <definedNames>
    <definedName name="_xlnm._FilterDatabase" localSheetId="2" hidden="1">'Paso 3 Redacción RA'!$A$2:$K$15</definedName>
    <definedName name="_xlnm._FilterDatabase" localSheetId="3" hidden="1">'Paso 3 Redacción RA - Backup '!$A$2:$K$12</definedName>
    <definedName name="_xlnm._FilterDatabase" localSheetId="4" hidden="1">'Paso 4 Estrategias mesocurricu'!$A$1:$F$22</definedName>
    <definedName name="_xlnm._FilterDatabase" localSheetId="5" hidden="1">'Paso 5 Estrategias micro'!$A$2:$R$121</definedName>
    <definedName name="ActitudinalBAK">'Taxonomias para RA'!$AC$3:$AG$3</definedName>
    <definedName name="Bloom">'Taxonomias para RA'!$G$3:$I$3</definedName>
    <definedName name="Celda_Creditos_por_materia">'[1]Malla con formulas'!$E$19,'[1]Malla con formulas'!$L$19,'[1]Malla con formulas'!$R$23,'[1]Malla con formulas'!$X$23,'[1]Malla con formulas'!$AD$23,'[1]Malla con formulas'!$AK$23,'[1]Malla con formulas'!$G$31,'[1]Malla con formulas'!$M$31,'[1]Malla con formulas'!$R$31,'[1]Malla con formulas'!$X$31,'[1]Malla con formulas'!$AD$31,'[1]Malla con formulas'!$AK$31,'[1]Malla con formulas'!$G$38,'[1]Malla con formulas'!$N$38,'[1]Malla con formulas'!$R$38,'[1]Malla con formulas'!$X$38,'[1]Malla con formulas'!$AD$38,'[1]Malla con formulas'!$G$45,'[1]Malla con formulas'!$M$45,'[1]Malla con formulas'!$R$45,'[1]Malla con formulas'!$X$45,'[1]Malla con formulas'!$AD$45,'[1]Malla con formulas'!$AK$45,'[1]Malla con formulas'!$G$52,'[1]Malla con formulas'!$M$52,'[1]Malla con formulas'!$R$52,'[1]Malla con formulas'!$X$52,'[1]Malla con formulas'!$AD$52,'[1]Malla con formulas'!$G$59,'[1]Malla con formulas'!$M$59,'[1]Malla con formulas'!$R$59,'[1]Malla con formulas'!$X$59,'[1]Malla con formulas'!$AD$59,'[1]Malla con formulas'!$G$66,'[1]Malla con formulas'!$M$66,'[1]Malla con formulas'!$R$66,'[1]Malla con formulas'!$X$66,'[1]Malla con formulas'!$AD$66,'[1]Malla con formulas'!$G$73</definedName>
    <definedName name="Circutos">'Paso 2 Redacción competen'!$F$4</definedName>
    <definedName name="Codigo_de_materia">'[1]Malla con formulas'!$D$23,'[1]Malla con formulas'!$K$23,'[1]Malla con formulas'!$Q$23,'[1]Malla con formulas'!$W$23,'[1]Malla con formulas'!$AC$23,'[1]Malla con formulas'!$AI$23,'[1]Malla con formulas'!$D$31,'[1]Malla con formulas'!$K$31,'[1]Malla con formulas'!$Q$31,'[1]Malla con formulas'!$W$31,'[1]Malla con formulas'!$AC$31,'[1]Malla con formulas'!$AI$31,'[1]Malla con formulas'!$D$38,'[1]Malla con formulas'!$K$38,'[1]Malla con formulas'!$Q$38,'[1]Malla con formulas'!$W$38,'[1]Malla con formulas'!$AC$38,'[1]Malla con formulas'!$D$45,'[1]Malla con formulas'!$K$45,'[1]Malla con formulas'!$Q$45,'[1]Malla con formulas'!$W$45,'[1]Malla con formulas'!$AC$45,'[1]Malla con formulas'!$AI$45,'[1]Malla con formulas'!$D$52,'[1]Malla con formulas'!$K$52,'[1]Malla con formulas'!$Q$52,'[1]Malla con formulas'!$W$52,'[1]Malla con formulas'!$AC$52,'[1]Malla con formulas'!$D$59,'[1]Malla con formulas'!$K$59,'[1]Malla con formulas'!$Q$59,'[1]Malla con formulas'!$W$59,'[1]Malla con formulas'!$AC$59,'[1]Malla con formulas'!$D$66,'[1]Malla con formulas'!$K$66,'[1]Malla con formulas'!$Q$66,'[1]Malla con formulas'!$W$66,'[1]Malla con formulas'!$AC$66,'[1]Malla con formulas'!$D$73</definedName>
    <definedName name="CognitivoBAK">'Taxonomias para RA'!$S$3:$X$3</definedName>
    <definedName name="CompetenciaEspecifica1">'Paso 2 Redacción competen'!$F$4</definedName>
    <definedName name="competencias">'[2]Paso 2 Redacción competen'!$F$4:$F$13</definedName>
    <definedName name="ComponentesCompetencias">'Paso1 Analisis perfil egreso'!$E$2:$G$2</definedName>
    <definedName name="Conocimientos">'[2]Paso1 Analisis perfil egreso'!$E$3:$E$15</definedName>
    <definedName name="Creditos">'[1]Malla con formulas'!$AN$90,'[1]Malla con formulas'!#REF!,'[1]Malla con formulas'!$AN$66,'[1]Malla con formulas'!$AN$59,'[1]Malla con formulas'!$AG$52,'[1]Malla con formulas'!$AN$38,'[1]Malla con formulas'!$AN$31,'[1]Malla con formulas'!$AN$23,'[1]Malla con formulas'!$AN$45</definedName>
    <definedName name="FACULTADES">#REF!</definedName>
    <definedName name="Nombre">'[1]Malla con formulas'!$D$22:$G$22,'[1]Malla con formulas'!$K$22:$M$22,'[1]Malla con formulas'!$P$22:$R$22,'[1]Malla con formulas'!$V$22:$X$22,'[1]Malla con formulas'!$AB$22:$AD$22,'[1]Malla con formulas'!$AG$22:$AK$22,'[1]Malla con formulas'!$C$30:$G$30,'[1]Malla con formulas'!$J$30:$M$30,'[1]Malla con formulas'!$P$30:$R$30,'[1]Malla con formulas'!$V$30:$X$30,'[1]Malla con formulas'!$AB$30:$AD$30,'[1]Malla con formulas'!$AG$30:$AK$30,'[1]Malla con formulas'!$C$37:$G$37,'[1]Malla con formulas'!$J$37:$M$37,'[1]Malla con formulas'!$P$37:$R$37,'[1]Malla con formulas'!$V$37:$X$37,'[1]Malla con formulas'!$AB$37:$AD$37,'[1]Malla con formulas'!$C$44:$G$44,'[1]Malla con formulas'!$J$44:$M$44,'[1]Malla con formulas'!$P$44:$R$44,'[1]Malla con formulas'!$V$44:$X$44,'[1]Malla con formulas'!$AB$44:$AD$44,'[1]Malla con formulas'!$AG$44:$AK$44,'[1]Malla con formulas'!$C$51:$G$51,'[1]Malla con formulas'!$J$51:$M$51,'[1]Malla con formulas'!$P$51:$R$51,'[1]Malla con formulas'!$V$51:$X$51,'[1]Malla con formulas'!$AB$51:$AD$51,'[1]Malla con formulas'!$C$58:$G$58,'[1]Malla con formulas'!$J$58:$M$58,'[1]Malla con formulas'!$P$58:$R$58,'[1]Malla con formulas'!$V$58:$X$58,'[1]Malla con formulas'!$AB$58:$AD$58,'[1]Malla con formulas'!$C$65:$G$65,'[1]Malla con formulas'!$J$65:$M$65,'[1]Malla con formulas'!$P$65:$R$65,'[1]Malla con formulas'!$V$65:$X$65,'[1]Malla con formulas'!$AB$65:$AD$65,'[1]Malla con formulas'!$C$72:$G$72,'[1]Malla con formulas'!$J$72:$M$72,'[1]Malla con formulas'!$P$72:$R$72,'[1]Malla con formulas'!$V$72:$X$72,'[1]Malla con formulas'!$AB$72:$AD$72,'[1]Malla con formulas'!#REF!,'[1]Malla con formulas'!#REF!,'[1]Malla con formulas'!$V$89:$V$89,'[1]Malla con formulas'!#REF!,'[1]Malla con formulas'!$L$88:$L$88</definedName>
    <definedName name="ProcedimentalBAK">'Taxonomias para RA'!$Y$3:$AB$3</definedName>
    <definedName name="RA">'Paso 5 Estrategias micro'!$B$8</definedName>
    <definedName name="resultadoaprendizaje">'[3]Paso1 Analisis perfil egreso'!$I$2:$I$21</definedName>
    <definedName name="Saber">'Paso1 Analisis perfil egreso'!$E$3:$E$6</definedName>
    <definedName name="SaberHacer">'Paso1 Analisis perfil egreso'!$F$3:$F$6</definedName>
    <definedName name="SaberSer">'Paso1 Analisis perfil egreso'!$G$3:$G$6</definedName>
    <definedName name="taxonomiasra">[2]!Tabla1715[Taxonomías]</definedName>
    <definedName name="TIC">'Paso 2 Redacción competen'!$F$7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3" i="14" l="1"/>
  <c r="S133" i="14"/>
  <c r="R133" i="14"/>
  <c r="S132" i="14"/>
  <c r="R132" i="14"/>
  <c r="S121" i="14"/>
  <c r="R121" i="14"/>
  <c r="S102" i="14"/>
  <c r="R102" i="14"/>
  <c r="S79" i="14"/>
  <c r="R79" i="14"/>
  <c r="S60" i="14"/>
  <c r="R60" i="14"/>
  <c r="S45" i="14"/>
  <c r="R45" i="14"/>
  <c r="S31" i="14"/>
  <c r="R31" i="14"/>
  <c r="S17" i="14"/>
  <c r="R17" i="14"/>
  <c r="K130" i="14"/>
  <c r="J136" i="14"/>
  <c r="J135" i="14"/>
  <c r="J134" i="14"/>
  <c r="L132" i="14"/>
  <c r="L131" i="14"/>
  <c r="L130" i="14"/>
  <c r="L126" i="14"/>
  <c r="L122" i="14"/>
  <c r="M122" i="14" s="1"/>
  <c r="L121" i="14"/>
  <c r="L117" i="14"/>
  <c r="M117" i="14" s="1"/>
  <c r="L111" i="14"/>
  <c r="L106" i="14"/>
  <c r="L103" i="14"/>
  <c r="L98" i="14"/>
  <c r="L92" i="14"/>
  <c r="L87" i="14"/>
  <c r="L84" i="14"/>
  <c r="L80" i="14"/>
  <c r="L76" i="14"/>
  <c r="L72" i="14"/>
  <c r="L69" i="14"/>
  <c r="L64" i="14"/>
  <c r="L61" i="14"/>
  <c r="L58" i="14"/>
  <c r="L55" i="14"/>
  <c r="L51" i="14"/>
  <c r="L47" i="14"/>
  <c r="L46" i="14"/>
  <c r="L43" i="14"/>
  <c r="M43" i="14" s="1"/>
  <c r="L40" i="14"/>
  <c r="L37" i="14"/>
  <c r="L34" i="14"/>
  <c r="M34" i="14" s="1"/>
  <c r="L33" i="14"/>
  <c r="L32" i="14"/>
  <c r="L29" i="14"/>
  <c r="L25" i="14"/>
  <c r="L22" i="14"/>
  <c r="L19" i="14"/>
  <c r="L18" i="14"/>
  <c r="L15" i="14"/>
  <c r="M15" i="14" s="1"/>
  <c r="L11" i="14"/>
  <c r="L8" i="14"/>
  <c r="M8" i="14" s="1"/>
  <c r="L5" i="14"/>
  <c r="L4" i="14"/>
  <c r="M4" i="14"/>
  <c r="K132" i="14"/>
  <c r="K131" i="14"/>
  <c r="M131" i="14" s="1"/>
  <c r="K126" i="14"/>
  <c r="K122" i="14"/>
  <c r="K121" i="14"/>
  <c r="K117" i="14"/>
  <c r="K111" i="14"/>
  <c r="K106" i="14"/>
  <c r="K103" i="14"/>
  <c r="K98" i="14"/>
  <c r="K92" i="14"/>
  <c r="M92" i="14" s="1"/>
  <c r="K87" i="14"/>
  <c r="K84" i="14"/>
  <c r="K80" i="14"/>
  <c r="K76" i="14"/>
  <c r="K72" i="14"/>
  <c r="K69" i="14"/>
  <c r="K64" i="14"/>
  <c r="M64" i="14" s="1"/>
  <c r="K61" i="14"/>
  <c r="K58" i="14"/>
  <c r="K55" i="14"/>
  <c r="M55" i="14" s="1"/>
  <c r="K51" i="14"/>
  <c r="K47" i="14"/>
  <c r="K46" i="14"/>
  <c r="K43" i="14"/>
  <c r="K40" i="14"/>
  <c r="K37" i="14"/>
  <c r="M37" i="14" s="1"/>
  <c r="K34" i="14"/>
  <c r="K33" i="14"/>
  <c r="K32" i="14"/>
  <c r="K29" i="14"/>
  <c r="K25" i="14"/>
  <c r="K22" i="14"/>
  <c r="K19" i="14"/>
  <c r="K18" i="14"/>
  <c r="K15" i="14"/>
  <c r="K11" i="14"/>
  <c r="K8" i="14"/>
  <c r="K5" i="14"/>
  <c r="K4" i="14"/>
  <c r="L3" i="14"/>
  <c r="K3" i="14"/>
  <c r="J133" i="14"/>
  <c r="A129" i="14"/>
  <c r="A128" i="14"/>
  <c r="A127" i="14"/>
  <c r="A126" i="14"/>
  <c r="A125" i="14"/>
  <c r="A124" i="14"/>
  <c r="A123" i="14"/>
  <c r="A122" i="14"/>
  <c r="M121" i="14"/>
  <c r="A120" i="14"/>
  <c r="A119" i="14"/>
  <c r="A118" i="14"/>
  <c r="A117" i="14"/>
  <c r="A116" i="14"/>
  <c r="A115" i="14"/>
  <c r="A114" i="14"/>
  <c r="A113" i="14"/>
  <c r="A112" i="14"/>
  <c r="A111" i="14"/>
  <c r="A110" i="14"/>
  <c r="A109" i="14"/>
  <c r="A108" i="14"/>
  <c r="A107" i="14"/>
  <c r="A106" i="14"/>
  <c r="A105" i="14"/>
  <c r="A104" i="14"/>
  <c r="A103" i="14"/>
  <c r="A102" i="14"/>
  <c r="A101" i="14"/>
  <c r="A100" i="14"/>
  <c r="A99" i="14"/>
  <c r="M98"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M72" i="14"/>
  <c r="A72" i="14"/>
  <c r="A71" i="14"/>
  <c r="A70" i="14"/>
  <c r="A69" i="14"/>
  <c r="A68" i="14"/>
  <c r="A67" i="14"/>
  <c r="A66" i="14"/>
  <c r="A65" i="14"/>
  <c r="A64" i="14"/>
  <c r="A63" i="14"/>
  <c r="A62" i="14"/>
  <c r="M61" i="14"/>
  <c r="A61" i="14"/>
  <c r="A60" i="14"/>
  <c r="A59" i="14"/>
  <c r="A58" i="14"/>
  <c r="A57" i="14"/>
  <c r="A56" i="14"/>
  <c r="A55" i="14"/>
  <c r="A54" i="14"/>
  <c r="A53" i="14"/>
  <c r="A52" i="14"/>
  <c r="A51" i="14"/>
  <c r="A50" i="14"/>
  <c r="A49" i="14"/>
  <c r="A48" i="14"/>
  <c r="A47" i="14"/>
  <c r="M46"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M19" i="14"/>
  <c r="A19" i="14"/>
  <c r="A18" i="14"/>
  <c r="A17" i="14"/>
  <c r="A16" i="14"/>
  <c r="A15" i="14"/>
  <c r="A14" i="14"/>
  <c r="A13" i="14"/>
  <c r="A12" i="14"/>
  <c r="A11" i="14"/>
  <c r="A10" i="14"/>
  <c r="A9" i="14"/>
  <c r="A8" i="14"/>
  <c r="A7" i="14"/>
  <c r="A6" i="14"/>
  <c r="A5" i="14"/>
  <c r="A4" i="14"/>
  <c r="A3" i="14"/>
  <c r="M106" i="14" l="1"/>
  <c r="M103" i="14"/>
  <c r="M84" i="14"/>
  <c r="M76" i="14"/>
  <c r="M47" i="14"/>
  <c r="M32" i="14"/>
  <c r="M29" i="14"/>
  <c r="M22" i="14"/>
  <c r="M18" i="14"/>
  <c r="M130" i="14"/>
  <c r="M111" i="14"/>
  <c r="M58" i="14"/>
  <c r="M51" i="14"/>
  <c r="M11" i="14"/>
  <c r="M132" i="14"/>
  <c r="M40" i="14"/>
  <c r="M126" i="14"/>
  <c r="M33" i="14"/>
  <c r="M3" i="14"/>
  <c r="M25" i="14"/>
  <c r="M69" i="14"/>
  <c r="M5" i="14"/>
  <c r="M80" i="14"/>
  <c r="M87"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5A164FEB-4D04-4F5F-A3D6-B6C29D10C83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901D3F5B-B11C-4B98-B654-6A3E483D6D78}">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4B539551-0164-4723-BC18-49949422A701}">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<sst xmlns="http://schemas.openxmlformats.org/spreadsheetml/2006/main" count="2480" uniqueCount="794">
  <si>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</si>
  <si>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</si>
  <si>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</si>
  <si>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</si>
  <si>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</si>
  <si>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</si>
  <si>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</si>
  <si>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</si>
  <si>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</si>
  <si>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</si>
  <si>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</si>
  <si>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</si>
  <si>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</si>
  <si>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</si>
  <si>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</si>
  <si>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</si>
  <si>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</si>
  <si>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</si>
  <si>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Administración de Empresas</t>
  </si>
  <si>
    <t>Presencial</t>
  </si>
  <si>
    <t>El profesional en Administración de Empresas del Politécnico Grancolombiano formula y ejecuta estrategias organizacionales innovadoras, integrando conocimientos en gestión organizacional con metodologías de análisis de información. Su formación integral le permite tomar decisiones informadas en contextos cambiantes, liderar proyectos empresariales, y promover modelos de negocio sostenibles, aportando a la generación de valor organizacional. Se caracteriza por su pensamiento crítico y compromiso con el desarrollo organizacional, según las dinámicas del entorno y el marco legal vigente.</t>
  </si>
  <si>
    <t>El administrador de empresas del Politécnico Grancolombiano está capacitado para desarrollar  estrategias corporativas alineadas con la dinámica del entorno y la competitividad empresarial. Su formación le permite gestionar áreas funcionales clave con visión sostenible y criterio estratégico, dirigir equipos de trabajo según las tendencias organizacionales, implementar planes estratégicos, tácticos y operativos, y administrar sistemas de gestión empresarial. Además, cuenta con las competencias necesarias para identificar oportunidades de negocio y convertirlas en iniciativas productivas que generen valor en distintos sectores económicos.</t>
  </si>
  <si>
    <t>Principios económicos y sociales, y normatividad empresarial</t>
  </si>
  <si>
    <t>tomar decisiones informadas</t>
  </si>
  <si>
    <t>considerando tanto criterios de sostenibilidad como la legislación vigente en contextos organizacionales y empresariales.</t>
  </si>
  <si>
    <t>Gerencia administrativa.
Gestión empresarial.
Gestión de proyectos. 
Análisis estratégico.
Consultoría empresarial.</t>
  </si>
  <si>
    <t>Coordinar o liderar áreas de empresas, así como proyectos empresariales.
Estructurar e implementar planes estratégicos, tácticos y operativos.
Desarrollar proyectos empresariales.
Realizar consultoría en el campo de la gestión empresarial.
Emprender iniciativas empresariales emergentes.
Gerenciar y administrar cualquier tipo de empresa, especialmente medianas o pequeñas.
Gerenciar proyectos de cualquier tipo de organización.</t>
  </si>
  <si>
    <t>Empresas privadas o de economía mixta, existentes o emergentes, de cualquier sector de la economía.
StarUps.
Organizaciones no gubernamentales.
Sector público.
Ecosistemas de innovación y emprendimiento.</t>
  </si>
  <si>
    <t>El programa de Administración de Empresas del Politécnico Grancolombiano ofrece un enfoque distintivo en estrategia empresarial, articulando análisis, planeación y ejecución con el uso de herramientas para la toma de decisiones y la creación de valor sostenible. Forma profesionales capaces de liderar procesos de transformación en organizaciones que enfrentan entornos cambiantes, con visión económica, social y ambiental</t>
  </si>
  <si>
    <t xml:space="preserve">Planeación estratégica y gestión de procesos </t>
  </si>
  <si>
    <t>desarrollar estrategias empresariales</t>
  </si>
  <si>
    <t>contribuyendo a la generación de valor dentro entornos organizacionales cambiantes.</t>
  </si>
  <si>
    <t>Habilidades poderosas o socioemocionales</t>
  </si>
  <si>
    <t>liderar equipos y procesos con enfoque humano</t>
  </si>
  <si>
    <t>orientados a la adapatación y al desarrollo organizacional, según las dinámicas del entorno.</t>
  </si>
  <si>
    <t xml:space="preserve">Modelos de negocio </t>
  </si>
  <si>
    <t>impulsar iniciativas o proyectos de emprendimiento</t>
  </si>
  <si>
    <t>teniendo en cuenta las necesidades económicas, ambientales y sociales del entorno.</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</si>
  <si>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</si>
  <si>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</si>
  <si>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</si>
  <si>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</si>
  <si>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</si>
  <si>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</si>
  <si>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</si>
  <si>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</si>
  <si>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</si>
  <si>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</si>
  <si>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</si>
  <si>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</si>
  <si>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</si>
  <si>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</si>
  <si>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</si>
  <si>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</si>
  <si>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</si>
  <si>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</si>
  <si>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Analizar</t>
  </si>
  <si>
    <t>Analizar los principios económicos y sociales, así como la normatividad empresarial, para tomar decisiones informadas, considerando tanto criterios de sostenibilidad como la legislación vigente en contextos organizacionales y empresariales.</t>
  </si>
  <si>
    <t>Específica</t>
  </si>
  <si>
    <t>Gestionar</t>
  </si>
  <si>
    <t>Planeación estratégica y procesos funcionales</t>
  </si>
  <si>
    <t>Gestiona procesos funcionales y de planeación estratégica para desarrollar estrategias empresariales, contribuyendo a la generación de valor dentro entornos organizacionales cambiantes.</t>
  </si>
  <si>
    <t>Aplicar</t>
  </si>
  <si>
    <t>Aplicar habilidades poderosas o socioemocionales para liderar equipos y procesos con enfoque humano, orientados a la adapatación y al desarrollo organizacional, según las dinámicas del entorno.</t>
  </si>
  <si>
    <t>Desarrollar</t>
  </si>
  <si>
    <t>Desarrolla modelos de negocio para impulsar iniciativas o proyectos de emprendimiento teniendo en cuenta las necesidades económicas, ambientales y sociales del entorno.</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</si>
  <si>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</si>
  <si>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</si>
  <si>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</si>
  <si>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</si>
  <si>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</si>
  <si>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</si>
  <si>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</si>
  <si>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</si>
  <si>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</si>
  <si>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</si>
  <si>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</si>
  <si>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</si>
  <si>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</si>
  <si>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</si>
  <si>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</si>
  <si>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</si>
  <si>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</si>
  <si>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</si>
  <si>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</si>
  <si>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</si>
  <si>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</si>
  <si>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</si>
  <si>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</si>
  <si>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AnálisisBAK</t>
  </si>
  <si>
    <t>Analiza los principios económicos y sociales, así como la normatividad empresarial para determinar rutas estratégicas de acción y procesos asociados a la gestión, según el funcionamiento de los entornos internos y externos que operan en los contextos organizacionales.</t>
  </si>
  <si>
    <t>ProcedimentalBAK</t>
  </si>
  <si>
    <t>ControlBAK</t>
  </si>
  <si>
    <t>Ejecutar</t>
  </si>
  <si>
    <t>Ejecuta acciones de gestión de equipos y procesos, para tomar decisiones informadas que promuevan el liderazgo colaborativo en escenarios organizacionales.</t>
  </si>
  <si>
    <t>ActitudinalBAK</t>
  </si>
  <si>
    <t>ValorarBAK</t>
  </si>
  <si>
    <t>Integrar</t>
  </si>
  <si>
    <t>Integra criterios económicos, sociales y jurídicos que apoyen la toma de decisiones, para contribuir a la generación de valor y al desarrollo organizacional, considerando principios de sostenibilidad, así como las dinámicas y necesidades del entorno.</t>
  </si>
  <si>
    <t>Diseñar</t>
  </si>
  <si>
    <t>Diseña estrategias empresariales para estructurar propuestas de mejora orientadas al fortalecimiento de la competitividad empresarial y al desarrollo de iniciativas de emprendimiento e intraemprendimiento.</t>
  </si>
  <si>
    <t>Reconocer</t>
  </si>
  <si>
    <t>Reconoce las habilidades poderosas o socioemocionales que intervienen en escenarios organizacionales y en las relaciones humanas, para determinar aquellas que son pertinentes en el abordaje de situaciones propias de los distintos ámbitos de la gestión empresarial.</t>
  </si>
  <si>
    <t>Reconoce distintos modelos de negocio y de innovación aplicables tanto a intraemprendimientos como a nuevos negocios, para seleccionar el más adecuado en el diseño de propuestas empresariales sostenibles y coherentes con el entorno.</t>
  </si>
  <si>
    <t>Bloom</t>
  </si>
  <si>
    <t>CognitivoB</t>
  </si>
  <si>
    <t>ComprensiónB</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</si>
  <si>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</si>
  <si>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</si>
  <si>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</si>
  <si>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</si>
  <si>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</si>
  <si>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</si>
  <si>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</si>
  <si>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ManipulaciónBAK</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</si>
  <si>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</si>
  <si>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</si>
  <si>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</si>
  <si>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</si>
  <si>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</si>
  <si>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</si>
  <si>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</si>
  <si>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</si>
  <si>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</si>
  <si>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</si>
  <si>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</si>
  <si>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</si>
  <si>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</si>
  <si>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</si>
  <si>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</si>
  <si>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</si>
  <si>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</si>
  <si>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</si>
  <si>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</si>
  <si>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</si>
  <si>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</si>
  <si>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</si>
  <si>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</si>
  <si>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</si>
  <si>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Prueba estandandarizada (simulacro Pruebas Saber Pro)</t>
  </si>
  <si>
    <t>El proyecto ser pro es un proyecto en el cual la escuela de administracion y competitividad realiza actividades en cuatro frentes. El primero es la capacitacion de docentes en la elaboracion de preguntas por competencias, el segundo es la elaboracion de simulacros de presentacion de pruebas saber pro, en especial en el componente especifico de nucleo básico del conocimiento, el tercero son los talleres de refuerzo para que los estudiantes mejoren sus competencias en la presentacion de las pruebas de estado y por ultimo, en el cuarto frente se encuentra el desarrollo de concursos institucionales e interinstitucionales sustentados en la metodologia de preguntas saber pro.</t>
  </si>
  <si>
    <t>Número de veces que se realiza la estrategia por periodo académico.</t>
  </si>
  <si>
    <t>Informar sobre el desempeño alcanzado en los simulacros, destacando avances y brechas frente al promedio del programa.
Formar en el uso de estrategias para resolver preguntas por competencias, enfocadas en los componentes de menor desempeño.</t>
  </si>
  <si>
    <t>Informe o Reporte.</t>
  </si>
  <si>
    <t>Número de estudiantes que participan en la estrategia por periodo académico.</t>
  </si>
  <si>
    <t>Listados de participación.</t>
  </si>
  <si>
    <t>Valoración del nivel de aporte de la estrategia a los resultados de aprendizaje del programa.</t>
  </si>
  <si>
    <t>Encuesta de valoración.</t>
  </si>
  <si>
    <t>Consultoría a empresas</t>
  </si>
  <si>
    <t xml:space="preserve">El proceso de consultoría estratégica inicia con la búsqueda de empresa por parte del estudiante, para esta empresa se genera un contrato de consultoría a costo cero y al final del proceso a la empresa se le entrega una propuesta estratégica, que se sugiere sea implementada en los años posteriores en la compañía. El proceso termina cuando la empresa entrega a la institución una carta de recibido a conformidad del plan estratégico propuesto. </t>
  </si>
  <si>
    <t>Formar en la aplicación rigurosa de herramientas diagnósticas y en la formulación de propuestas alineadas con las necesidades reales de la empresa.
Ayudar a tomar decisiones sobre las estrategias que pueden ser priorizadas según el contexto empresarial identificado.</t>
  </si>
  <si>
    <t>Diagnóstico de habilidades gerenciales</t>
  </si>
  <si>
    <t>El desarrollo de habilidades gerenciales en los estudiantes del programa es fundamental, para ello desde el centro de liderazgo 360, este se aborda desde las ópticas del liderazgo personal, liderazgo organizacional y liderazgo social. En este sentido, los estudiantes desarrollan actividades y talleres que complementan las labores académicas del programa.</t>
  </si>
  <si>
    <t>Número de estudiantes que participan en la estrategia.</t>
  </si>
  <si>
    <t>Informar sobre el nivel de desarrollo de habilidades blandas evidenciado en las actividades realizadas.
Formar en la identificación de estilos de liderazgo y su aplicación práctica según situaciones organizacionales.</t>
  </si>
  <si>
    <t>Número de oportunidades de consultoría, auditoría e interventoría desarrolladas con medición semestral.</t>
  </si>
  <si>
    <t>Publicación de libros académicos (resultados de las investigaciones de los estudiantes)</t>
  </si>
  <si>
    <t>La convocatoria a publicación de libros académicos se realiza principalmente para los trabajos que surgen de la colaboracion estudiante-docente, de este modo, las publicaciones son conjuntas. El propósito de esta actividad es generar espacios que incentiven el desarrollo de competencias investigativas en los estudiantes del programa.</t>
  </si>
  <si>
    <t>Formar en prácticas de escritura académica, citación y construcción de argumentación sólida, así como en procesos de investigación.</t>
  </si>
  <si>
    <t>Relación de actividades desarrolladas en el grupo de interés con actividades del perfil ocupacional del programa.</t>
  </si>
  <si>
    <t>Coloquios y encuentros de investigación (investigación formativa)</t>
  </si>
  <si>
    <t xml:space="preserve">Existen dos eventos específicos desarrollados, uno es un evento de facultad denominado POLIPIF, en el cual participan los mejores proyectos de investigación formativa de la facultad y tambien participan estudiantes de otras universidades. En segundo lugar, se encuentra el Coloquio de Investigación en Diagnóstico Empresarial, el cual se enfoca en los resultados de investigación del campo de la consultoría empresarial. </t>
  </si>
  <si>
    <t>Formar en habilidades de comunicación científica y sustentación de proyectos ante audiencias académicas.
Ayudar a tomar decisiones sobre cómo continuar el proceso investigativo o transformar el proyecto en otra producción académica.</t>
  </si>
  <si>
    <t>Fomento al empredimiento</t>
  </si>
  <si>
    <t>El fomento al emprendimiento se desarrolla bajo el liderazgo del centro de emprendimiento adscrito a la Escuela de Administración y Competitividad. El centro de emprendimiento se descata principalmente por desarrollar actividades de formación, encuentros con emprendedores, concursos de emprendimiento y acompañamiento a emprendedores para hacer hacer realidad su idea de negocio.</t>
  </si>
  <si>
    <t>Número de estudiantes que participan en la estrategia en el periodo de su realización.</t>
  </si>
  <si>
    <t>Informar sobre los elementos clave que debe contener un modelo de negocio para ser competitivo.
Ayudar a tomar decisiones sobre las acciones requeridas para avanzar o ajustar el desarrollo del proyecto emprendedor.</t>
  </si>
  <si>
    <t>Listas de participación.</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</si>
  <si>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</si>
  <si>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</si>
  <si>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</si>
  <si>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</si>
  <si>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</si>
  <si>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</si>
  <si>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</si>
  <si>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</si>
  <si>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</si>
  <si>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</si>
  <si>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</si>
  <si>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</si>
  <si>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</si>
  <si>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</si>
  <si>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</si>
  <si>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</si>
  <si>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</si>
  <si>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</si>
  <si>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</si>
  <si>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</si>
  <si>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</si>
  <si>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</si>
  <si>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</si>
  <si>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</si>
  <si>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</si>
  <si>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</si>
  <si>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</si>
  <si>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</si>
  <si>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</si>
  <si>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</si>
  <si>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</si>
  <si>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</si>
  <si>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</si>
  <si>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</si>
  <si>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</si>
  <si>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</si>
  <si>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</si>
  <si>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Se sugiere emplear estrategias como las siguientes.
Evaluación formativa: Preguntas intercaladas, presentaciones de situaciones problema.
Evaluación sumativa: Valoración de laboratorios, talleres, estudios de casos y una evaluación final.</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</si>
  <si>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</si>
  <si>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</si>
  <si>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</si>
  <si>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</si>
  <si>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</si>
  <si>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</si>
  <si>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</si>
  <si>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Derecho Comercial y Laboral</t>
  </si>
  <si>
    <t>Caracteriza los negocios jurídicos tanto en los actos de comercio como en las relaciones laborales en atención a la legislación vigente para crear modelos de empresas o contratos civiles, comerciales y laborales.</t>
  </si>
  <si>
    <t>1. Acercamiento al derecho comercial  
2. Costumbre mercantil 
3. Historia, principios generales y fuentes del derecho laboral 
4. Contrato de trabajo, jornada laboral, salario y prestaciones sociales</t>
  </si>
  <si>
    <t>Las estrategias pueden variar entre estas u otras:
Trabajo directo:
Clases magistrales
Talleres / Laboratorios
Soluciones numéricas
Uso de herramientas computacionales
Resolución de problemas
Trabajo independiente:
Lecturas
Resolución de problemas
Soluciones numéricas
Uso de herramientas computacionales</t>
  </si>
  <si>
    <t>Se sugiere emplear estrategias como las siguientes.
Formativa:
Talleres
Exposiciones
Proyectos
Sumativa:
Trabajos escritos
Pruebas conceptuales
Examenes
Exposiciones</t>
  </si>
  <si>
    <t>I</t>
  </si>
  <si>
    <t>Contabilidad General</t>
  </si>
  <si>
    <t>Elabora el registro de las operaciones, conforme a la normatividad vigente y la técnica contable a partir del objeto social de una organización, teniendo en cuenta el marco conceptual de las normas internacionales de información financiera para elaborar los estados financieros.</t>
  </si>
  <si>
    <t>1. Fundamentación teórica y técnica contable
2. Elementos de los Estados Financieros y sus características
3. Transacciones comerciales y operaciones con cuentas de resultado
4. Estructura de los Estados Financieros</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</si>
  <si>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</si>
  <si>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Las actividades varían entre las siguientes y otras que pueda considerar el profesor y funcionan como formativas o sumativas, según sea el caso.
Estudio de casos
Resolución de problemas
Desarrollo de proyectos
Talleres
Exposiciones
Pruebas escritas</t>
  </si>
  <si>
    <t>Proceso Administrativo</t>
  </si>
  <si>
    <t>Reconoce las etapas del proceso administrativo (planeación, organización, dirección y control) para aplicarlas en situaciones organizacionales.</t>
  </si>
  <si>
    <t>T</t>
  </si>
  <si>
    <t>1. Planeación
2. Organización
3. Dirección:  Integración de Personal - Motivación – liderazgo y comunicación
4. Control</t>
  </si>
  <si>
    <t>Gestión del Talento Humano</t>
  </si>
  <si>
    <t>Identifica las características y evolución en el tiempo de la gestión del talento humano, para, a partir de casos concretos, proponer soluciones en un contexto organizacional.</t>
  </si>
  <si>
    <t>1. Importancia del Talento humano en las organizaciones
2. Análisis, descripción y diseño de cargos dentro de la incorporación de las personas en las organizaciones
3. Desarrollo, formación y retribución de las personas en las organizaciones
4. Impacto en las organizaciones, mediante la generación de valor, a través de la evaluación desempeño y el proceso de Seguridad y Salud en el Trabajo</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</si>
  <si>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</si>
  <si>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</si>
  <si>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</si>
  <si>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</si>
  <si>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Se sugiere emplear estrategias como las siguientes.
Evaluación formativa: Preguntas intercaladas, presentaciones de situaciones problema, talleres, exposiciones, análisis de casos, trabajos de campo o proyectos.
Evaluación sumativa: Valoración de trabajo, talleres, estudios de casos y una evaluación final.</t>
  </si>
  <si>
    <t>Razonamiento Variacional</t>
  </si>
  <si>
    <t xml:space="preserve">Aplica el pensamiento variacional y acumulativo para interpretar, modelar y resolver problemas de cambio y acumulación, relacionados con su contexto profesional y personal, mediante el uso reflexivo de las propiedades y aplicaciones de las derivadas e integrales. </t>
  </si>
  <si>
    <t>1. Fundamentos del pensamiento variacional 
2. Análisis del cambio y dinámica 
3. Acumulación y modelado integral 
4. Aplicaciones avanzadas y modelización</t>
  </si>
  <si>
    <t>Las estrategias pueden variar entre estas u otras:
Trabajo directo
Clase magistral activa/Resolución de problemas/Talleres prácticos
Trabajo independiente
Lecturas relacionadas o de materiales complementarios/Resolución de problemas/Ejercicios aplicado/Talleres grupales o individuales/</t>
  </si>
  <si>
    <t>Las actividades varían entre las siguientes y otras que pueda considerar el profesor y funcionan como formativas o sumativas, según sea el caso.
Resolución de problemas
Talleres
Exposiciones
Pruebas escritas</t>
  </si>
  <si>
    <t>Fundamentos de Mercadeo</t>
  </si>
  <si>
    <t>Relaciona los conceptos teóricos del mercadeo como un proceso estratégico y táctico para estructurar propuestas de valor a los clientes (consumidores y empresas), que cumplan con los objetivos que la organización se ha trazado en el mercado.</t>
  </si>
  <si>
    <t>1. Principios y conceptos básicos de Mercadeo
2. Conocimiento del mercado y de los consumidores
3. Mercadeo estratégico
4. Mercadeo táctico</t>
  </si>
  <si>
    <t>Costos y Presupuestos</t>
  </si>
  <si>
    <t>Clasifica los elementos de los costos de producción y la proyección presupuestal para la construcción de información financiera, como el cálculo de los sistemas de acumulación de costos, el Estado de Costos, Estado de Resultados, Estado de Situación Financiera, insumos requeridos en la toma de decisiones estratégicas.</t>
  </si>
  <si>
    <t>1. Conceptualización general de los costos 
2. Sistemas de costeo y aplicación de los costos en la toma de decisiones 
3. Presupuesto maestro
4. Estados financieros proyectados</t>
  </si>
  <si>
    <t>Riesgo Operativo y LA/FT</t>
  </si>
  <si>
    <t>Identifica las características del Sistema de administración de riesgo operativo (SARO)y riesgo de LA y FT en contextos organizacionales para determinar el impacto en el logro de los objetivos estratégicos, tácticos, de proyectos, productos y servicios.</t>
  </si>
  <si>
    <t>1. Generalidades del Riesgo y Sistema de administración de riesgo operativo
2. Medición y tratamiento del riesgo operativo
3. Continuidad de negocio y SARLAFT
4. Salafí y otros sistemas de administración de riesgo de lavado de activos</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</si>
  <si>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</si>
  <si>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</si>
  <si>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</si>
  <si>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</si>
  <si>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</si>
  <si>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</si>
  <si>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</si>
  <si>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</si>
  <si>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</si>
  <si>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Análisis Descriptivo de Datos</t>
  </si>
  <si>
    <t>Aplica herramientas tecnológicas y modelos probabilísticos para representar procesos aleatorios y determinar valores de probabilidad en diferentes escenarios.
Aplica conceptos de probabilidad elemental y distribuciones como la normal y la binomial, para apoyar decisiones en diversos contextos.</t>
  </si>
  <si>
    <t>1. Estadística descriptiva
2. Teoría de la probabilidad 
3. Variables aleatorias y distribuciones de probabilidad
4. Distribuciones de probabilidad discretas y continuas</t>
  </si>
  <si>
    <t>Teoría de las Organizaciones</t>
  </si>
  <si>
    <t>Reconoce la evolución de las organizaciones y las escuelas del pensamiento administrativo, para identificar las transformaciones que han dado lugar a las tendencias contemporáneas en la administración de negocios.</t>
  </si>
  <si>
    <t>1. Relación conceptos de administración,
organización y teorías administrativas
2. Marco temporal de la teoría administrativa: un
enfoque neoclásico
3. Teorías contemporáneas y su impacto en la organización
4. Nuevas tendencias y teorías administrativas un
enfoque internacional</t>
  </si>
  <si>
    <t>Microeconomía</t>
  </si>
  <si>
    <t xml:space="preserve">Calcula el equilibrio de mercado a partir de los cambios generados en la oferta y la demanda y su implicación en los agentes económicos individuales familias y empresas para soportar la toma de decisiones. </t>
  </si>
  <si>
    <t>1. Conceptos básicos de la ciencia económica. Frontera de posibilidades de producción y circuito económico
2. Análisis microeconómico, funciones, demanda y oferta
3. Estudio de la conducta del consumidor y del productor
4. Análisis de los costos de producción y de los mercados de competencia perfecta e imperfecta</t>
  </si>
  <si>
    <t>Matemáticas Financieras</t>
  </si>
  <si>
    <t>Aplica conceptos de costo de dinero en el tiempo para estimar valores presentes y futuros de inversiones y créditos, y elaboración de tablas de amortización.</t>
  </si>
  <si>
    <t>1. Interés simple, descuento simple e interés compuesto
2. Series uniformes
3. Series variables
4. Sistemas de amortización y de capitalización</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</si>
  <si>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</si>
  <si>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</si>
  <si>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</si>
  <si>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Trabajo directo:
Encuentros sincrónicos
Mensajería interna
Anuncios
Trabajo independiente:
Lecturas fundamentales y complementarias
Material de trabajo
Participación en foros</t>
  </si>
  <si>
    <t>Las actividades pueden variar entre estas u otras:
Formativas
Resolución de problemas/Talleres/Representaciones gráficas o visuales (mapas conceptuales, infografías, presentaciones, entre otros)
Sumativas
Pruebas escritas/Proyectos aplicados/Estudios de caso/Simulaciones y modelado de procesos/Informes técnicos/Presentaciones orales o defensa de propuestas</t>
  </si>
  <si>
    <t>Análisis Estratégico</t>
  </si>
  <si>
    <t>Realiza un diagnóstico del macro y micro entorno de una organización, utilizando herramientas estratégicas, para formular estrategias que respondan a las oportunidades y amenazas del mercado y fortalezcan su ventaja competitiva, dependiendo de la realidad específica de la organización.</t>
  </si>
  <si>
    <t>1. Administración estratégica
2. Matrices de insumos
3. Matrices de Adecuación y decisión
4. Formulación de estrategias</t>
  </si>
  <si>
    <t>Taller Financiero Aplicado a BI</t>
  </si>
  <si>
    <t>Utiliza la minería de datos, visualización de datos y tableros de control para realizar reportes financieros que permiten orientar la tomar decisiones y eliminar las ineficiencias basadas en una visión integral en los datos.</t>
  </si>
  <si>
    <t>1. Principales Herramientas de Matemáticas Financieras 
2. Diagnóstico Financiero y análisis de la información 
3. Introducción a herramientas BI 
4. Análisis de información financiera con herramientas BI</t>
  </si>
  <si>
    <t>Estadística Predictiva</t>
  </si>
  <si>
    <t>Aplica conceptos de distribuciones muestrales, intervalos de confianza, pruebas de hipótesis y modelos de regresión lineal para estimar parámetros poblacionales orientados a la predicción del comportamiento de una variable en diferentes escenarios.</t>
  </si>
  <si>
    <t xml:space="preserve">1. Muestreo y distribuciones muestrales 
2. Teoría de la estimación. Estimación de parámetros 
3. Pruebas de hipótesis   
4. Regresión lineal simple </t>
  </si>
  <si>
    <t>Macroeconomía</t>
  </si>
  <si>
    <t>Interpreta las variables macroeconómicas y su impacto en el equilibrio, para desarrollar análisis del comportamiento del mercado de bienes y servicios y de las políticas fiscal, monetaria y cambiaria.</t>
  </si>
  <si>
    <t>1. Generalidades de la macroeconomía, funcionamiento del sistema económico y de las cuentas nacionales
2. Mercado de bienes y servicios y estabilidad macroeconómica
3. Modelo IS-LM
4. La balanza de pagos y el equilibrio general</t>
  </si>
  <si>
    <t>Gerencia Estratégica de Proyectos en Cascada</t>
  </si>
  <si>
    <t>Aplica conceptos, buenas prácticas y herramientas de la gestión de proyectos en cascada, para estructurar proyectos alineados con los objetivos del alcance definido, teniendo en cuenta las partes interesadas.
Determina las restricciones de cronograma, costo y alcance en escenarios reales o simulados, para desarrollar propuestas ejecutables que atiendan el manejo adecuado de recursos y  los requerimientos de las partes interesadas.</t>
  </si>
  <si>
    <t>1. Contexto Organizacional 
2. Fundamentos de la gestión de proyectos 
3. Gestión de la Integración y Alcance del proyecto 
4. Gestión del cronograma y presupuesto del proyecto</t>
  </si>
  <si>
    <t>Gestión Estratégica</t>
  </si>
  <si>
    <t>Reconoce los conceptos asociados a la formulación de objetivos, indicadores, metas y planes de acción para formular estrategias en contextos relacionados con estructuras organizacionales y procesos internos de las empresas.</t>
  </si>
  <si>
    <t>1. Cuadro De Mando Integral
2. Medición De La Gestión
3. Control Y Seguimiento
4. Gestión De Riesgos</t>
  </si>
  <si>
    <t>Gerencia Financiera</t>
  </si>
  <si>
    <t>Analiza los inductores de valor, incluyendo el Valor Económico Agregado (EVA), para diseñar estrategias financieras que contribuyan a la creación de valor en la gestión financiera de la organización.</t>
  </si>
  <si>
    <t>1. Conceptos básicos de la Gerencia Financiera
2. Gerencia del valor
3. Estructura financiera y costo de capital
4. Prospección financiera</t>
  </si>
  <si>
    <t>Gerencia de Desarrollo Sostenible</t>
  </si>
  <si>
    <t>Integra herramientas de gestión y estrategia desde el enfoque de triple cuenta de resultados, para aplicar principios de sostenibilidad en el diseño de propuestas empresariales.</t>
  </si>
  <si>
    <t>1. Introducción a la sostenibilidad empresarial 
2. Gerencia Ambiental 
3. Creación de valor sostenible 
4. Innovación empresarial en sostenibilidad</t>
  </si>
  <si>
    <t>Gerencia de Producción</t>
  </si>
  <si>
    <t>Aplica herramientas de pronóstico, planeación global y gestión de capacidad, para estructurar propuestas de mejora en procesos productivos.</t>
  </si>
  <si>
    <t>1.	Estrategias de producción
2.	Gestión de la demanda - pronósticos
3.	Planeación global de la producción
4.	Planeación de la capacida</t>
  </si>
  <si>
    <t>Gerencia Estratégica de Proyectos Ágiles</t>
  </si>
  <si>
    <t>Aplica conceptos, buenas prácticas y herramientas de la gestión de proyectos ágiles, para estructurar proyectos alineados con los objetivos del alcance definido, teniendo en cuenta las partes interesadas.
Determina las restricciones y roles de un proyecto, a partir de marcos de trabajos ágiles, para desarrollar propuestas ejecutables que atiendan el manejo adecuado de recursos y  los requerimientos de las partes interesadas en escenarios reales o simulados.</t>
  </si>
  <si>
    <t xml:space="preserve">1. Fundamentos de la Gerencia de Proyectos Ágiles 
2. Planificación Ágil de Proyectos 
3. Ejecución y Control Ágil de Proyectos 
4. Mejora Continua y Gestión Estratégica </t>
  </si>
  <si>
    <t>Sistemas Integrados de Gestión (HSEQ)</t>
  </si>
  <si>
    <t>Describe la estructura y operación de los Sistemas Integrados de Gestión de una organización, para diseñar los procesos y procedimientos de acuerdo con la normatividad vigente.</t>
  </si>
  <si>
    <t>1. Sistema de gestión de la calidad (ISO 9001: 2015) o su versión actualizada. 
2. Sistemas de gestión ambiental (ISO 14001:2015) o su versión actualizada
3. Sistemas de gestión de la seguridad y salud en el trabajo (ISO 45001:2018) o su versión actualizada
4. Sistemas de gestión guía para la integración de los sistemas de gestión (une 66177:2005) o su versión actualizada</t>
  </si>
  <si>
    <t>Evaluación de Proyectos</t>
  </si>
  <si>
    <t>Evalúa la factibilidad financiera de un proyecto de inversión mediante la formulación de supuestos, la proyección de estados financieros y la aplicación de métodos de decisión, para determinar su viabilidad y apoyar la toma de decisiones en contextos empresariales.</t>
  </si>
  <si>
    <t>1. Conceptos básicos contables y financieros para la evaluación de proyectos
2. Flujos de caja en proyectos de inversión
3. Métodos de decisión financiera
4. Análisis de sensibilidad en los proyectos</t>
  </si>
  <si>
    <t>Consultorio Empresarial</t>
  </si>
  <si>
    <t xml:space="preserve">Aplica herramientas de diagnóstico empresarial, para formular estrategias competitivas y sostenibles que respondan a las necesidades y problemáticas de la empresa. </t>
  </si>
  <si>
    <t>P</t>
  </si>
  <si>
    <t>1.	Consultoría - Particularidades de una organización empresarial desde el ámbito Interno y Financiero.
2.	Formulación de estrategia y matrices de administración.
3.	Balanced Scorecard y Propuesta de Mejora para la organización.
4.	Lineamientos estratégicos para la intervención organizacional</t>
  </si>
  <si>
    <t>Gobierno Corporativo y Compilance</t>
  </si>
  <si>
    <t>Identifica la normativa nacional e internacional aplicable a la empresa para plantear prácticas de buen gobierno dentro de la organización con miras a generar transparencia en la gestión de cara a sus grupos de interés.</t>
  </si>
  <si>
    <t>1. Órganos sociales
2. Gobierno corporativo y sus clases según el tipo de sociedad empresarial
3. Controversias en el gobierno corporativo
4. Compliance</t>
  </si>
  <si>
    <t>Tendencias Estratégicas</t>
  </si>
  <si>
    <t>Interpreta las tendencias del entorno en el que está posicionada la organización, para identificar las oportunidades y retos frente a los procesos empresariales contemporáneos.</t>
  </si>
  <si>
    <t>1.  Vigilancia Tecnológica y Mega tendencias: búsqueda de información relevante para la toma de decisiones organizacionales.
2. Inteligencia estratégica como un conjunto integral de elementos de análisis, depuración, filtrado, interpretación, planeamiento, evaluación y gestión de la información.
3. Metodologías actuales para la aplicación de estrategias con impacto en el mercado.
4. La nueva realidad organizacional: tendencias y retos modernos de la gerencia.</t>
  </si>
  <si>
    <t>Administración 4.0</t>
  </si>
  <si>
    <t>Aplica herramientas y tecnologías de la Administración 4.0, como el análisis de datos y la inteligencia artificial para proponer mejoras en los procesos organizacionales y contribuir a la innovación y la competitividad.</t>
  </si>
  <si>
    <t>1. Introducción generalidades de la administración 4.0
2. Método y aplicación de la analítica de DATOS  1
3. Método y aplicación de la analítica de DATOS  2
4. El machine learning</t>
  </si>
  <si>
    <t>Prácticas</t>
  </si>
  <si>
    <t>Aplica los conocimientos adquiridos durante su proceso formativo para implementar las fases iniciales de un plan de mejora en un contexto empresarial.</t>
  </si>
  <si>
    <t xml:space="preserve">1.Conceptos Fundamentales de Innovación Empresarial.
2.Estrategias de Innovación Empresarial.
3.Implementación de la innovación empresarial
4.Seguimiento al proceso de innovación </t>
  </si>
  <si>
    <t>Comercio Internacional</t>
  </si>
  <si>
    <t xml:space="preserve">Describe los principales elementos del comercio internacional, incluyendo el concepto y la aplicación de teorías económicas, la gestión logística y documental, el desarrollo de estrategias de marketing, la selección de opciones de financiación y medios de pago y la implementación de las principales herramientas tecnológicas y prácticas sostenibles para explicar una transacción de intercambio comercial internacional segura y eficiente, cumpliendo con las normativas, la entrada exitosa a nuevos mercados y la sostenibilidad en el comercio internacional. </t>
  </si>
  <si>
    <t>1. Definición y conceptos básicos del comercio internacional
2. Logística, Documentación y Estrategias de Mercado
3. Conceptualización de mercadeo internacional, Financiación y Gestión de Riesgos
4. Herramientas, practicas, innovación y sostenibilidad en el comercio internacional</t>
  </si>
  <si>
    <t>Electiva I</t>
  </si>
  <si>
    <t>Liderazgo y Pensamiento Estratégico</t>
  </si>
  <si>
    <t xml:space="preserve">Analiza los principios de liderazgo personal y organizacional, para proponer acciones de desarrollo humano y de equipos de trabajo en contextos organizacionales. </t>
  </si>
  <si>
    <t xml:space="preserve">1. Líder como persona 
2. Desarrollo del liderazgo en equipos 
3. Desarrollo del liderazgo en la Organización 
4. El líder como agente del cambio y del desarrollo organizacional </t>
  </si>
  <si>
    <t>Prospectiva Estratégica</t>
  </si>
  <si>
    <t>Aplica metodologías de análisis de la prospectiva estratégica para diseñar estrategias empresariales orientadas al mejoramiento de las empresas.</t>
  </si>
  <si>
    <t xml:space="preserve"> 1. El problema estratégico 
2. Corrientes del pensamiento estratégico 
 3.  La prospectiva: una actitud frente al futuro 
 4. Aproximación al modelo prospectivo </t>
  </si>
  <si>
    <t>Electiva 2</t>
  </si>
  <si>
    <t>Electiva 3</t>
  </si>
  <si>
    <t>Electiva 4</t>
  </si>
  <si>
    <t>Total asignaturas del programa</t>
  </si>
  <si>
    <t>Total créditos programa</t>
  </si>
  <si>
    <t>Total créditos bloque institucional</t>
  </si>
  <si>
    <t>Total créditos bloque disciplinar</t>
  </si>
  <si>
    <t>Total créditos bloque electivo</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</si>
  <si>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</si>
  <si>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</si>
  <si>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</si>
  <si>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</si>
  <si>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</si>
  <si>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</si>
  <si>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</si>
  <si>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</si>
  <si>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</si>
  <si>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</si>
  <si>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</si>
  <si>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</si>
  <si>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</si>
  <si>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</si>
  <si>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</si>
  <si>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</si>
  <si>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</si>
  <si>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</si>
  <si>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</si>
  <si>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SíntesisBAK</t>
  </si>
  <si>
    <t>EvaluaciónBAK</t>
  </si>
  <si>
    <t>ImitaciónBAK</t>
  </si>
  <si>
    <t>PrecisiónBAK</t>
  </si>
  <si>
    <t>PercepciónBAK</t>
  </si>
  <si>
    <t>ResponderBAK</t>
  </si>
  <si>
    <t>OrganizarBAK</t>
  </si>
  <si>
    <t>CaracterizarBAK</t>
  </si>
  <si>
    <t>Procesos cognitivos de orden inferior</t>
  </si>
  <si>
    <t>Procesos cognitivos de orden superior</t>
  </si>
  <si>
    <t>HechosLK</t>
  </si>
  <si>
    <t>InformaciónAK</t>
  </si>
  <si>
    <t>Adquirir</t>
  </si>
  <si>
    <t>Auditar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</si>
  <si>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</si>
  <si>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</si>
  <si>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</si>
  <si>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</si>
  <si>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</si>
  <si>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</si>
  <si>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</si>
  <si>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</si>
  <si>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</si>
  <si>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</si>
  <si>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</si>
  <si>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</si>
  <si>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</si>
  <si>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</si>
  <si>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</si>
  <si>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</si>
  <si>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</si>
  <si>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</si>
  <si>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</si>
  <si>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</si>
  <si>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</si>
  <si>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</si>
  <si>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</si>
  <si>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</si>
  <si>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</si>
  <si>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</si>
  <si>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</si>
  <si>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Administrar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</si>
  <si>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</si>
  <si>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</si>
  <si>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</si>
  <si>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</si>
  <si>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</si>
  <si>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</si>
  <si>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</si>
  <si>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</si>
  <si>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</si>
  <si>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</si>
  <si>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</si>
  <si>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</si>
  <si>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</si>
  <si>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</si>
  <si>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</si>
  <si>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</si>
  <si>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</si>
  <si>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</si>
  <si>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</si>
  <si>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</si>
  <si>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</si>
  <si>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</si>
  <si>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</si>
  <si>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</si>
  <si>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</si>
  <si>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</si>
  <si>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Comunicar</t>
  </si>
  <si>
    <t>Componer</t>
  </si>
  <si>
    <t>Categorizar</t>
  </si>
  <si>
    <t>Alinear</t>
  </si>
  <si>
    <t>Ampliar</t>
  </si>
  <si>
    <t>Codificar</t>
  </si>
  <si>
    <t>Aprobar</t>
  </si>
  <si>
    <t>Agradecer</t>
  </si>
  <si>
    <t>Conectar</t>
  </si>
  <si>
    <t>Atender</t>
  </si>
  <si>
    <t>Copiar</t>
  </si>
  <si>
    <t>Contrastar</t>
  </si>
  <si>
    <t>Asumir</t>
  </si>
  <si>
    <t>Maximizar</t>
  </si>
  <si>
    <t>Decir</t>
  </si>
  <si>
    <t>Convertir</t>
  </si>
  <si>
    <t>Conducir</t>
  </si>
  <si>
    <t>Articular</t>
  </si>
  <si>
    <t>Arbitrar</t>
  </si>
  <si>
    <t>Apalancar</t>
  </si>
  <si>
    <t>Colocar</t>
  </si>
  <si>
    <t>Apreciar</t>
  </si>
  <si>
    <t>Asegurar</t>
  </si>
  <si>
    <t>Ambicionar</t>
  </si>
  <si>
    <t>Considerar</t>
  </si>
  <si>
    <t>Demostrar</t>
  </si>
  <si>
    <t>Buscar similitudes</t>
  </si>
  <si>
    <t>Argumentar</t>
  </si>
  <si>
    <t>Mejorar</t>
  </si>
  <si>
    <t>Definir</t>
  </si>
  <si>
    <t>Criticar</t>
  </si>
  <si>
    <t>Construir</t>
  </si>
  <si>
    <t>Aumentar</t>
  </si>
  <si>
    <t>Bajar</t>
  </si>
  <si>
    <t>Autorizar</t>
  </si>
  <si>
    <t>Anhelar</t>
  </si>
  <si>
    <t>Cuestionar</t>
  </si>
  <si>
    <t>Colaborar</t>
  </si>
  <si>
    <t>Discutir</t>
  </si>
  <si>
    <t>Cambiar</t>
  </si>
  <si>
    <t>Minimizar</t>
  </si>
  <si>
    <t>Deletrear</t>
  </si>
  <si>
    <t>Dar ejemplos</t>
  </si>
  <si>
    <t>Asesorar</t>
  </si>
  <si>
    <t>Armar</t>
  </si>
  <si>
    <t>Asisitir</t>
  </si>
  <si>
    <t>Defender</t>
  </si>
  <si>
    <t>Completar</t>
  </si>
  <si>
    <t>Ejemplificar</t>
  </si>
  <si>
    <t xml:space="preserve">Construir </t>
  </si>
  <si>
    <t>Centrarse</t>
  </si>
  <si>
    <t>Modelar</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</si>
  <si>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</si>
  <si>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</si>
  <si>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</si>
  <si>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</si>
  <si>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</si>
  <si>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</si>
  <si>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</si>
  <si>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</si>
  <si>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</si>
  <si>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</si>
  <si>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</si>
  <si>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</si>
  <si>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</si>
  <si>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</si>
  <si>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</si>
  <si>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</si>
  <si>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</si>
  <si>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</si>
  <si>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</si>
  <si>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</si>
  <si>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</si>
  <si>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</si>
  <si>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</si>
  <si>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</si>
  <si>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</si>
  <si>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</si>
  <si>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</si>
  <si>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</si>
  <si>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Conocer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</si>
  <si>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</si>
  <si>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</si>
  <si>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</si>
  <si>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</si>
  <si>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</si>
  <si>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</si>
  <si>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</si>
  <si>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</si>
  <si>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</si>
  <si>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</si>
  <si>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</si>
  <si>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</si>
  <si>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</si>
  <si>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</si>
  <si>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</si>
  <si>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</si>
  <si>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</si>
  <si>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</si>
  <si>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</si>
  <si>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</si>
  <si>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Dirigir</t>
  </si>
  <si>
    <t>Cooperar</t>
  </si>
  <si>
    <t>Exteriorizar</t>
  </si>
  <si>
    <t>Controlar</t>
  </si>
  <si>
    <t>Listar</t>
  </si>
  <si>
    <t>Ilustrar</t>
  </si>
  <si>
    <t>Distinguir</t>
  </si>
  <si>
    <t>Convencer</t>
  </si>
  <si>
    <t>Simplificar</t>
  </si>
  <si>
    <t>Establecer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</si>
  <si>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</si>
  <si>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</si>
  <si>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</si>
  <si>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</si>
  <si>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</si>
  <si>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</si>
  <si>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</si>
  <si>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</si>
  <si>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</si>
  <si>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</si>
  <si>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</si>
  <si>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</si>
  <si>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</si>
  <si>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</si>
  <si>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</si>
  <si>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</si>
  <si>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</si>
  <si>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Fomentar</t>
  </si>
  <si>
    <t>Memorizar</t>
  </si>
  <si>
    <t xml:space="preserve">Informar </t>
  </si>
  <si>
    <t>Entrevistar</t>
  </si>
  <si>
    <t>Sustituir</t>
  </si>
  <si>
    <t>Examinar</t>
  </si>
  <si>
    <t>Emparejar</t>
  </si>
  <si>
    <t>Conformar</t>
  </si>
  <si>
    <t>Eliminar</t>
  </si>
  <si>
    <t>Compartir</t>
  </si>
  <si>
    <t>Formular</t>
  </si>
  <si>
    <t>Mostrar</t>
  </si>
  <si>
    <t>Interpretar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</si>
  <si>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</si>
  <si>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</si>
  <si>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</si>
  <si>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</si>
  <si>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</si>
  <si>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</si>
  <si>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</si>
  <si>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</si>
  <si>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</si>
  <si>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</si>
  <si>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</si>
  <si>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</si>
  <si>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</si>
  <si>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</si>
  <si>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</si>
  <si>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</si>
  <si>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</si>
  <si>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</si>
  <si>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</si>
  <si>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</si>
  <si>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</si>
  <si>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Transformar</t>
  </si>
  <si>
    <t>Hacer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</si>
  <si>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</si>
  <si>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</si>
  <si>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</si>
  <si>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</si>
  <si>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</si>
  <si>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</si>
  <si>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</si>
  <si>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</si>
  <si>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</si>
  <si>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</si>
  <si>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</si>
  <si>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</si>
  <si>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</si>
  <si>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</si>
  <si>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</si>
  <si>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</si>
  <si>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</si>
  <si>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</si>
  <si>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</si>
  <si>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</si>
  <si>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</si>
  <si>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Coordinar</t>
  </si>
  <si>
    <t>Explorar</t>
  </si>
  <si>
    <t>Esculpir</t>
  </si>
  <si>
    <t>Escuchar</t>
  </si>
  <si>
    <t>Hablar</t>
  </si>
  <si>
    <t>Cuidar</t>
  </si>
  <si>
    <t>Negociar</t>
  </si>
  <si>
    <t>Recitar</t>
  </si>
  <si>
    <t>Planear</t>
  </si>
  <si>
    <t>Inspeccionar</t>
  </si>
  <si>
    <t>Descubrir</t>
  </si>
  <si>
    <t>Evaluar</t>
  </si>
  <si>
    <t>Experimentar</t>
  </si>
  <si>
    <t>Entrenar</t>
  </si>
  <si>
    <t>Extender</t>
  </si>
  <si>
    <t>Proteger</t>
  </si>
  <si>
    <t>Ofrecer</t>
  </si>
  <si>
    <t>Relacionar</t>
  </si>
  <si>
    <t>Practicar</t>
  </si>
  <si>
    <t>Investigar</t>
  </si>
  <si>
    <t>AutoSistemaAK</t>
  </si>
  <si>
    <t>Mostar</t>
  </si>
  <si>
    <t>Culminar</t>
  </si>
  <si>
    <t>Cotejar</t>
  </si>
  <si>
    <t>Envasar</t>
  </si>
  <si>
    <t>Extirpar</t>
  </si>
  <si>
    <t>Indicar</t>
  </si>
  <si>
    <t>Participar</t>
  </si>
  <si>
    <t>Resumir</t>
  </si>
  <si>
    <t>Resolver</t>
  </si>
  <si>
    <t>Motivar</t>
  </si>
  <si>
    <t>Inventariar</t>
  </si>
  <si>
    <t>Ensamblar</t>
  </si>
  <si>
    <t>Guiar</t>
  </si>
  <si>
    <t>Informar</t>
  </si>
  <si>
    <t>Servir</t>
  </si>
  <si>
    <t>Revisar</t>
  </si>
  <si>
    <t>Numerar</t>
  </si>
  <si>
    <t>Estampar</t>
  </si>
  <si>
    <t>Implementar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</si>
  <si>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</si>
  <si>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</si>
  <si>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</si>
  <si>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</si>
  <si>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</si>
  <si>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</si>
  <si>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</si>
  <si>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</si>
  <si>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</si>
  <si>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</si>
  <si>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</si>
  <si>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</si>
  <si>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</si>
  <si>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</si>
  <si>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</si>
  <si>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</si>
  <si>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</si>
  <si>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Verificar</t>
  </si>
  <si>
    <t>Transferir</t>
  </si>
  <si>
    <t>Priorizar</t>
  </si>
  <si>
    <t>Figurar</t>
  </si>
  <si>
    <t>Edificar</t>
  </si>
  <si>
    <t>Instalar</t>
  </si>
  <si>
    <t>Fabricar</t>
  </si>
  <si>
    <t>Llevar</t>
  </si>
  <si>
    <t>Manejar</t>
  </si>
  <si>
    <t>Referir</t>
  </si>
  <si>
    <t>Unir</t>
  </si>
  <si>
    <t>Probar</t>
  </si>
  <si>
    <t>Preocuparse de o por</t>
  </si>
  <si>
    <t>Usar</t>
  </si>
  <si>
    <t>Razonar</t>
  </si>
  <si>
    <t>Hipotetizar</t>
  </si>
  <si>
    <t>Generar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</si>
  <si>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</si>
  <si>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</si>
  <si>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</si>
  <si>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</si>
  <si>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</si>
  <si>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</si>
  <si>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</si>
  <si>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</si>
  <si>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</si>
  <si>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</si>
  <si>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</si>
  <si>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</si>
  <si>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</si>
  <si>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</si>
  <si>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</si>
  <si>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</si>
  <si>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</si>
  <si>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</si>
  <si>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</si>
  <si>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</si>
  <si>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</si>
  <si>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</si>
  <si>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</si>
  <si>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</si>
  <si>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</si>
  <si>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</si>
  <si>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</si>
  <si>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</si>
  <si>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</si>
  <si>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</si>
  <si>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</si>
  <si>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</si>
  <si>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</si>
  <si>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</si>
  <si>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</si>
  <si>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</si>
  <si>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</si>
  <si>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</si>
  <si>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</si>
  <si>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</si>
  <si>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</si>
  <si>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</si>
  <si>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</si>
  <si>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</si>
  <si>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</si>
  <si>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</si>
  <si>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</si>
  <si>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</si>
  <si>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</si>
  <si>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</si>
  <si>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</si>
  <si>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</si>
  <si>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</si>
  <si>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</si>
  <si>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</si>
  <si>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</si>
  <si>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</si>
  <si>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</si>
  <si>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</si>
  <si>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</si>
  <si>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</si>
  <si>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</si>
  <si>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</si>
  <si>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</si>
  <si>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</si>
  <si>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</si>
  <si>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</si>
  <si>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</si>
  <si>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</si>
  <si>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</si>
  <si>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</si>
  <si>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</si>
  <si>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</si>
  <si>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</si>
  <si>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</si>
  <si>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</si>
  <si>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</si>
  <si>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Producir</t>
  </si>
  <si>
    <t>Transmitir</t>
  </si>
  <si>
    <t>Proyectar</t>
  </si>
  <si>
    <t>Trasladar</t>
  </si>
  <si>
    <t>Sistematizar</t>
  </si>
  <si>
    <t>Racionar</t>
  </si>
  <si>
    <t>Sugerir</t>
  </si>
  <si>
    <t>Reducir</t>
  </si>
  <si>
    <t>Utilizar</t>
  </si>
  <si>
    <t>Validar</t>
  </si>
  <si>
    <t>Repasar</t>
  </si>
  <si>
    <t>Representar</t>
  </si>
  <si>
    <t>Sacar</t>
  </si>
  <si>
    <t>Vincular</t>
  </si>
  <si>
    <t>Separer</t>
  </si>
  <si>
    <t>Situar</t>
  </si>
  <si>
    <t>Tocar</t>
  </si>
  <si>
    <t>Verbos Competencias</t>
  </si>
  <si>
    <t>Actualizar</t>
  </si>
  <si>
    <t>Dominar</t>
  </si>
  <si>
    <t>Fiscalizar</t>
  </si>
  <si>
    <t>Liderar</t>
  </si>
  <si>
    <t>Presidir</t>
  </si>
  <si>
    <t>Supervisar</t>
  </si>
  <si>
    <t>Garantizar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</si>
</sst>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4">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
      <sz val="10"/>
      <color theme="1"/>
      <name val="Candara"/>
      <family val="2"/>
    </font>
    <font>
      <sz val="10"/>
      <color rgb="FF000000"/>
      <name val="Candara"/>
      <family val="2"/>
    </font>
    <font>
      <sz val="10"/>
      <name val="Gill Sans MT"/>
      <family val="2"/>
    </font>
    <font>
      <b/>
      <sz val="10"/>
      <color theme="1"/>
      <name val="Gill Sans MT"/>
      <family val="2"/>
    </font>
    <font>
      <b/>
      <sz val="10"/>
      <color rgb="FF000000"/>
      <name val="Gill Sans MT"/>
      <family val="2"/>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25">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
      <left/>
      <right/>
      <top style="medium">
        <color indexed="64"/>
      </top>
      <bottom style="medium">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7" fillId="0" borderId="0" applyNumberFormat="0" applyFill="0" applyBorder="0" applyAlignment="0" applyProtection="0"/>
  </cellStyleXfs>
  <cellXfs count="227">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5" xfId="0" applyFont="1" applyBorder="1" applyAlignment="1">
      <alignment horizontal="center" vertical="center" wrapText="1"/>
    </xf>
    <xf numFmtId="0" fontId="3" fillId="0" borderId="5"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6" xfId="0" applyFont="1" applyFill="1" applyBorder="1" applyAlignment="1">
      <alignment horizontal="center"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5" xfId="0" applyFont="1" applyBorder="1" applyAlignment="1">
      <alignment vertical="center" wrapText="1"/>
    </xf>
    <xf numFmtId="0" fontId="0" fillId="0" borderId="5" xfId="0" applyBorder="1" applyAlignment="1">
      <alignment vertical="center"/>
    </xf>
    <xf numFmtId="0" fontId="13" fillId="0" borderId="0" xfId="0" applyFont="1" applyAlignment="1">
      <alignment horizontal="left" vertical="center" wrapText="1"/>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3" xfId="0" applyFont="1" applyBorder="1"/>
    <xf numFmtId="0" fontId="3" fillId="0" borderId="14" xfId="0" applyFont="1" applyBorder="1"/>
    <xf numFmtId="0" fontId="7" fillId="0" borderId="0" xfId="0" applyFont="1"/>
    <xf numFmtId="0" fontId="7" fillId="8" borderId="0" xfId="0" applyFont="1" applyFill="1"/>
    <xf numFmtId="0" fontId="7" fillId="0" borderId="13" xfId="0" applyFont="1" applyBorder="1"/>
    <xf numFmtId="0" fontId="7"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6" borderId="0" xfId="0" applyFont="1" applyFill="1"/>
    <xf numFmtId="0" fontId="7" fillId="8" borderId="13"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4" xfId="0" applyFont="1" applyFill="1" applyBorder="1"/>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7" xfId="0" applyFont="1" applyBorder="1" applyAlignment="1">
      <alignment horizontal="center" vertical="center" wrapText="1"/>
    </xf>
    <xf numFmtId="0" fontId="12" fillId="0" borderId="0" xfId="0" applyFont="1" applyAlignment="1">
      <alignment vertical="center" wrapText="1"/>
    </xf>
    <xf numFmtId="0" fontId="3" fillId="0" borderId="0" xfId="0" applyFont="1" applyAlignment="1">
      <alignment vertical="center"/>
    </xf>
    <xf numFmtId="0" fontId="13" fillId="0" borderId="8" xfId="0" applyFont="1" applyBorder="1" applyAlignment="1">
      <alignment horizontal="left" vertical="center" wrapText="1"/>
    </xf>
    <xf numFmtId="0" fontId="11" fillId="0" borderId="8" xfId="0" applyFont="1" applyBorder="1" applyAlignment="1">
      <alignment vertical="center" wrapText="1"/>
    </xf>
    <xf numFmtId="0" fontId="11" fillId="0" borderId="7" xfId="0" applyFont="1" applyBorder="1" applyAlignment="1">
      <alignment vertical="center" wrapText="1"/>
    </xf>
    <xf numFmtId="0" fontId="13" fillId="0" borderId="7" xfId="0" applyFont="1" applyBorder="1" applyAlignment="1">
      <alignment horizontal="left" vertical="center" wrapText="1"/>
    </xf>
    <xf numFmtId="0" fontId="11" fillId="0" borderId="7" xfId="0" applyFont="1" applyBorder="1" applyAlignment="1">
      <alignment horizontal="left" vertical="center" wrapText="1"/>
    </xf>
    <xf numFmtId="0" fontId="13" fillId="0" borderId="19" xfId="0" applyFont="1" applyBorder="1" applyAlignment="1">
      <alignment horizontal="left" vertical="center" wrapText="1"/>
    </xf>
    <xf numFmtId="0" fontId="11" fillId="0" borderId="19" xfId="0" applyFont="1" applyBorder="1" applyAlignment="1">
      <alignment vertical="center" wrapText="1"/>
    </xf>
    <xf numFmtId="0" fontId="3" fillId="0" borderId="0" xfId="0" applyFont="1" applyAlignment="1">
      <alignment horizontal="left" vertical="center"/>
    </xf>
    <xf numFmtId="0" fontId="11" fillId="0" borderId="5" xfId="0" applyFont="1" applyBorder="1" applyAlignment="1">
      <alignment vertical="center" wrapText="1"/>
    </xf>
    <xf numFmtId="0" fontId="13" fillId="0" borderId="5" xfId="0" applyFont="1" applyBorder="1" applyAlignment="1">
      <alignment horizontal="left" vertical="center" wrapText="1"/>
    </xf>
    <xf numFmtId="0" fontId="3" fillId="7" borderId="20" xfId="0" applyFont="1" applyFill="1" applyBorder="1" applyAlignment="1">
      <alignment horizontal="left" vertical="center" wrapText="1"/>
    </xf>
    <xf numFmtId="0" fontId="3" fillId="7" borderId="20" xfId="0" applyFont="1" applyFill="1" applyBorder="1" applyAlignment="1">
      <alignment horizontal="center" vertical="center" wrapText="1"/>
    </xf>
    <xf numFmtId="0" fontId="11" fillId="7" borderId="20" xfId="0" applyFont="1" applyFill="1" applyBorder="1" applyAlignment="1">
      <alignment horizontal="center" vertical="center" wrapText="1"/>
    </xf>
    <xf numFmtId="0" fontId="11" fillId="7" borderId="20" xfId="0" applyFont="1" applyFill="1" applyBorder="1" applyAlignment="1">
      <alignment horizontal="left" vertical="center" wrapText="1"/>
    </xf>
    <xf numFmtId="0" fontId="11" fillId="12" borderId="20"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0" xfId="0" applyFont="1" applyAlignment="1">
      <alignment horizontal="left"/>
    </xf>
    <xf numFmtId="0" fontId="3" fillId="12" borderId="20" xfId="0" applyFont="1" applyFill="1" applyBorder="1" applyAlignment="1">
      <alignment horizontal="center" vertical="center"/>
    </xf>
    <xf numFmtId="0" fontId="3" fillId="12" borderId="20" xfId="0" applyFont="1" applyFill="1" applyBorder="1" applyAlignment="1">
      <alignment horizontal="center" vertical="center" wrapText="1"/>
    </xf>
    <xf numFmtId="0" fontId="3" fillId="12" borderId="20" xfId="0" applyFont="1" applyFill="1" applyBorder="1" applyAlignment="1">
      <alignment horizontal="left" vertical="center" wrapText="1"/>
    </xf>
    <xf numFmtId="0" fontId="26" fillId="0" borderId="0" xfId="0" applyFont="1" applyAlignment="1">
      <alignment horizontal="left" vertical="center"/>
    </xf>
    <xf numFmtId="0" fontId="27" fillId="0" borderId="0" xfId="0" applyFont="1" applyAlignment="1">
      <alignment horizontal="left" vertical="center" wrapText="1"/>
    </xf>
    <xf numFmtId="0" fontId="28" fillId="9" borderId="21" xfId="0" applyFont="1" applyFill="1" applyBorder="1" applyAlignment="1">
      <alignment horizontal="center"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2" xfId="0" applyFont="1" applyFill="1" applyBorder="1" applyAlignment="1">
      <alignment horizontal="center" vertical="center" wrapText="1"/>
    </xf>
    <xf numFmtId="0" fontId="27" fillId="0" borderId="0" xfId="0" applyFont="1" applyAlignment="1">
      <alignment horizontal="center" vertical="center" wrapText="1"/>
    </xf>
    <xf numFmtId="0" fontId="26" fillId="0" borderId="0" xfId="0" applyFont="1" applyAlignment="1">
      <alignment horizontal="center"/>
    </xf>
    <xf numFmtId="0" fontId="28" fillId="9" borderId="2" xfId="0" applyFont="1" applyFill="1" applyBorder="1" applyAlignment="1">
      <alignment horizontal="center" vertical="center" wrapText="1"/>
    </xf>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6" xfId="0" applyFont="1" applyFill="1" applyBorder="1" applyAlignment="1">
      <alignment horizontal="center" vertical="center" wrapText="1"/>
    </xf>
    <xf numFmtId="0" fontId="3" fillId="0" borderId="8" xfId="0" applyFont="1" applyBorder="1" applyAlignment="1">
      <alignment vertical="center" wrapText="1"/>
    </xf>
    <xf numFmtId="0" fontId="13" fillId="0" borderId="0" xfId="0" applyFont="1" applyAlignment="1">
      <alignment horizontal="center" vertical="center" wrapText="1"/>
    </xf>
    <xf numFmtId="0" fontId="3" fillId="0" borderId="7" xfId="0" applyFont="1" applyBorder="1" applyAlignment="1">
      <alignment vertical="center" wrapText="1"/>
    </xf>
    <xf numFmtId="0" fontId="3" fillId="0" borderId="7" xfId="0" applyFont="1" applyBorder="1" applyAlignment="1">
      <alignment vertical="center"/>
    </xf>
    <xf numFmtId="0" fontId="11" fillId="0" borderId="7" xfId="0" applyFont="1" applyBorder="1" applyAlignment="1">
      <alignment vertical="center"/>
    </xf>
    <xf numFmtId="0" fontId="11" fillId="7" borderId="19" xfId="0" applyFont="1" applyFill="1" applyBorder="1" applyAlignment="1">
      <alignment horizontal="center" vertical="center" wrapText="1"/>
    </xf>
    <xf numFmtId="0" fontId="3" fillId="7" borderId="19" xfId="0" applyFont="1" applyFill="1" applyBorder="1" applyAlignment="1">
      <alignment horizontal="left" vertical="center" wrapText="1"/>
    </xf>
    <xf numFmtId="0" fontId="3" fillId="7" borderId="19" xfId="0" applyFont="1" applyFill="1" applyBorder="1" applyAlignment="1">
      <alignment horizontal="center" vertical="center" wrapText="1"/>
    </xf>
    <xf numFmtId="0" fontId="3" fillId="7" borderId="23" xfId="0" applyFont="1" applyFill="1" applyBorder="1" applyAlignment="1">
      <alignment horizontal="center" vertical="center" wrapText="1"/>
    </xf>
    <xf numFmtId="0" fontId="11" fillId="0" borderId="0" xfId="0" applyFont="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11" fillId="7" borderId="19" xfId="0" applyFont="1" applyFill="1" applyBorder="1" applyAlignment="1">
      <alignment horizontal="left" vertical="center" wrapText="1"/>
    </xf>
    <xf numFmtId="0" fontId="3" fillId="7" borderId="19" xfId="0" applyFont="1" applyFill="1" applyBorder="1" applyAlignment="1">
      <alignment horizontal="center" vertical="center"/>
    </xf>
    <xf numFmtId="0" fontId="3" fillId="7" borderId="19" xfId="0" applyFont="1" applyFill="1" applyBorder="1" applyAlignment="1" applyProtection="1">
      <alignment horizontal="center" vertical="center" wrapText="1"/>
      <protection locked="0"/>
    </xf>
    <xf numFmtId="0" fontId="11" fillId="7" borderId="19" xfId="0" applyFont="1" applyFill="1" applyBorder="1" applyAlignment="1">
      <alignment vertical="center" wrapText="1"/>
    </xf>
    <xf numFmtId="0" fontId="3" fillId="12" borderId="20" xfId="0" applyFont="1" applyFill="1" applyBorder="1" applyAlignment="1" applyProtection="1">
      <alignment horizontal="left" vertical="center"/>
      <protection locked="0"/>
    </xf>
    <xf numFmtId="0" fontId="3" fillId="12" borderId="20" xfId="0" applyFont="1" applyFill="1" applyBorder="1" applyAlignment="1" applyProtection="1">
      <alignment horizontal="center" vertical="center" wrapText="1"/>
      <protection locked="0"/>
    </xf>
    <xf numFmtId="0" fontId="3" fillId="12" borderId="7" xfId="0" applyFont="1" applyFill="1" applyBorder="1" applyAlignment="1" applyProtection="1">
      <alignment horizontal="center" vertical="center" wrapText="1"/>
      <protection locked="0"/>
    </xf>
    <xf numFmtId="0" fontId="3" fillId="12" borderId="0" xfId="0" applyFont="1" applyFill="1" applyAlignment="1">
      <alignment horizontal="center" vertical="center" wrapText="1"/>
    </xf>
    <xf numFmtId="0" fontId="11" fillId="12" borderId="0" xfId="0" applyFont="1" applyFill="1" applyAlignment="1" applyProtection="1">
      <alignment horizontal="left" vertical="center" wrapText="1"/>
      <protection locked="0"/>
    </xf>
    <xf numFmtId="0" fontId="3" fillId="12" borderId="19" xfId="0" applyFont="1" applyFill="1" applyBorder="1" applyAlignment="1">
      <alignment horizontal="center" vertical="center" wrapText="1"/>
    </xf>
    <xf numFmtId="0" fontId="3" fillId="12" borderId="19" xfId="0" applyFont="1" applyFill="1" applyBorder="1" applyAlignment="1" applyProtection="1">
      <alignment horizontal="center" vertical="center" wrapText="1"/>
      <protection locked="0"/>
    </xf>
    <xf numFmtId="0" fontId="11" fillId="12" borderId="19" xfId="0" applyFont="1" applyFill="1" applyBorder="1" applyAlignment="1" applyProtection="1">
      <alignment horizontal="left" vertical="center" wrapText="1"/>
      <protection locked="0"/>
    </xf>
    <xf numFmtId="0" fontId="3" fillId="12" borderId="19" xfId="0" applyFont="1" applyFill="1" applyBorder="1" applyAlignment="1">
      <alignment horizontal="left" vertical="center" wrapText="1"/>
    </xf>
    <xf numFmtId="0" fontId="3" fillId="0" borderId="0" xfId="0" applyFont="1" applyAlignment="1" applyProtection="1">
      <alignment horizontal="center" vertical="center" wrapText="1"/>
      <protection locked="0"/>
    </xf>
    <xf numFmtId="0" fontId="3" fillId="0" borderId="0" xfId="0" applyFont="1" applyAlignment="1" applyProtection="1">
      <alignment horizontal="left" vertical="center"/>
      <protection locked="0"/>
    </xf>
    <xf numFmtId="0" fontId="27" fillId="0" borderId="0" xfId="0" applyFont="1" applyAlignment="1">
      <alignment horizontal="center" vertical="center"/>
    </xf>
    <xf numFmtId="0" fontId="26" fillId="0" borderId="0" xfId="0" applyFont="1" applyAlignment="1" applyProtection="1">
      <alignment horizontal="left" vertical="center"/>
      <protection locked="0"/>
    </xf>
    <xf numFmtId="0" fontId="26" fillId="0" borderId="0" xfId="0" applyFont="1" applyAlignment="1" applyProtection="1">
      <alignment horizontal="center" vertical="center" wrapText="1"/>
      <protection locked="0"/>
    </xf>
    <xf numFmtId="0" fontId="29" fillId="0" borderId="0" xfId="0" applyFont="1" applyAlignment="1">
      <alignment horizontal="left" vertical="center" wrapText="1"/>
    </xf>
    <xf numFmtId="0" fontId="29" fillId="0" borderId="0" xfId="0" applyFont="1" applyAlignment="1">
      <alignment horizontal="center" vertical="center" wrapText="1"/>
    </xf>
    <xf numFmtId="0" fontId="30" fillId="0" borderId="0" xfId="0" applyFont="1" applyAlignment="1">
      <alignment horizontal="center" vertical="center" wrapText="1"/>
    </xf>
    <xf numFmtId="0" fontId="26" fillId="0" borderId="0" xfId="0" applyFont="1" applyAlignment="1" applyProtection="1">
      <alignment horizontal="left" vertical="center" wrapText="1"/>
      <protection locked="0"/>
    </xf>
    <xf numFmtId="0" fontId="27" fillId="0" borderId="0" xfId="0" applyFont="1" applyAlignment="1" applyProtection="1">
      <alignment horizontal="left" vertical="center" wrapText="1"/>
      <protection locked="0"/>
    </xf>
    <xf numFmtId="0" fontId="31" fillId="0" borderId="0" xfId="0" applyFont="1" applyAlignment="1">
      <alignment horizontal="left" vertical="center" wrapText="1"/>
    </xf>
    <xf numFmtId="0" fontId="31" fillId="0" borderId="0" xfId="0" applyFont="1" applyAlignment="1">
      <alignment horizontal="center" vertical="center" wrapText="1"/>
    </xf>
    <xf numFmtId="0" fontId="3" fillId="7" borderId="7" xfId="0" applyFont="1" applyFill="1" applyBorder="1" applyAlignment="1">
      <alignment horizontal="left" vertical="center"/>
    </xf>
    <xf numFmtId="0" fontId="3" fillId="0" borderId="5" xfId="0" applyFont="1" applyBorder="1" applyAlignment="1">
      <alignment horizontal="left" vertical="center"/>
    </xf>
    <xf numFmtId="0" fontId="11" fillId="7" borderId="19" xfId="0" applyFont="1" applyFill="1" applyBorder="1" applyAlignment="1" applyProtection="1">
      <alignment horizontal="left" vertical="center" wrapText="1"/>
      <protection locked="0"/>
    </xf>
    <xf numFmtId="0" fontId="11" fillId="12" borderId="20" xfId="0" applyFont="1" applyFill="1" applyBorder="1" applyAlignment="1" applyProtection="1">
      <alignment horizontal="left" vertical="center" wrapText="1"/>
      <protection locked="0"/>
    </xf>
    <xf numFmtId="0" fontId="3" fillId="12" borderId="0" xfId="0" applyFont="1" applyFill="1" applyAlignment="1">
      <alignment horizontal="left" vertical="center" wrapText="1"/>
    </xf>
    <xf numFmtId="0" fontId="0" fillId="0" borderId="7" xfId="0" applyBorder="1" applyAlignment="1">
      <alignment horizontal="left" vertical="center"/>
    </xf>
    <xf numFmtId="0" fontId="3" fillId="12" borderId="5" xfId="0" applyFont="1" applyFill="1" applyBorder="1" applyAlignment="1">
      <alignment horizontal="left" vertical="center" wrapText="1"/>
    </xf>
    <xf numFmtId="0" fontId="19" fillId="9" borderId="24" xfId="0" applyFont="1" applyFill="1" applyBorder="1" applyAlignment="1">
      <alignment horizontal="center" vertical="center" wrapText="1"/>
    </xf>
    <xf numFmtId="0" fontId="21" fillId="9" borderId="24" xfId="0" applyFont="1" applyFill="1" applyBorder="1" applyAlignment="1">
      <alignment horizontal="center" vertical="center" wrapText="1"/>
    </xf>
    <xf numFmtId="0" fontId="3" fillId="7" borderId="7" xfId="0" applyFont="1" applyFill="1" applyBorder="1" applyAlignment="1">
      <alignment horizontal="left" vertical="center" wrapText="1"/>
    </xf>
    <xf numFmtId="0" fontId="3" fillId="7" borderId="7" xfId="0" applyFont="1" applyFill="1" applyBorder="1" applyAlignment="1">
      <alignment horizontal="center" vertical="center" wrapText="1"/>
    </xf>
    <xf numFmtId="0" fontId="11" fillId="7" borderId="0" xfId="0" applyFont="1" applyFill="1" applyAlignment="1">
      <alignment horizontal="center" vertical="center" wrapText="1"/>
    </xf>
    <xf numFmtId="0" fontId="3" fillId="7" borderId="0" xfId="0" applyFont="1" applyFill="1" applyAlignment="1">
      <alignment horizontal="left" vertical="center" wrapText="1"/>
    </xf>
    <xf numFmtId="0" fontId="3" fillId="7" borderId="0" xfId="0" applyFont="1" applyFill="1" applyAlignment="1">
      <alignment horizontal="center" vertical="center" wrapText="1"/>
    </xf>
    <xf numFmtId="49" fontId="3" fillId="7" borderId="0" xfId="0" applyNumberFormat="1" applyFont="1" applyFill="1" applyAlignment="1">
      <alignment horizontal="left" vertical="center" wrapText="1"/>
    </xf>
    <xf numFmtId="0" fontId="11" fillId="7" borderId="7" xfId="0" applyFont="1" applyFill="1" applyBorder="1" applyAlignment="1">
      <alignment horizontal="left" vertical="center" wrapText="1"/>
    </xf>
    <xf numFmtId="0" fontId="32" fillId="0" borderId="0" xfId="0" applyFont="1" applyAlignment="1">
      <alignment horizontal="center" vertical="center"/>
    </xf>
    <xf numFmtId="0" fontId="33" fillId="0" borderId="0" xfId="0" applyFont="1" applyAlignment="1">
      <alignment horizontal="center" vertical="center" wrapText="1"/>
    </xf>
    <xf numFmtId="0" fontId="3" fillId="0" borderId="8" xfId="0" applyFont="1" applyBorder="1" applyAlignment="1">
      <alignment horizontal="center" vertical="center" wrapText="1"/>
    </xf>
    <xf numFmtId="0" fontId="3" fillId="0" borderId="0" xfId="0" applyFont="1" applyAlignment="1">
      <alignment horizontal="center" vertical="center" wrapText="1"/>
    </xf>
    <xf numFmtId="0" fontId="14" fillId="2" borderId="2" xfId="0" applyFont="1" applyFill="1" applyBorder="1" applyAlignment="1">
      <alignment horizontal="center" vertical="center" wrapText="1"/>
    </xf>
    <xf numFmtId="0" fontId="3" fillId="0" borderId="8" xfId="0" applyFont="1" applyBorder="1" applyAlignment="1">
      <alignment horizontal="left" vertical="center" wrapText="1"/>
    </xf>
    <xf numFmtId="0" fontId="3" fillId="0" borderId="0" xfId="0" applyFont="1" applyAlignment="1">
      <alignment horizontal="left"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11" fillId="0" borderId="19" xfId="0" applyFont="1" applyBorder="1" applyAlignment="1">
      <alignment horizontal="center" vertical="center"/>
    </xf>
    <xf numFmtId="0" fontId="11" fillId="0" borderId="0" xfId="0" applyFont="1" applyAlignment="1">
      <alignment horizontal="center" vertical="center"/>
    </xf>
    <xf numFmtId="0" fontId="11" fillId="0" borderId="5" xfId="0" applyFont="1" applyBorder="1" applyAlignment="1">
      <alignment horizontal="center" vertical="center"/>
    </xf>
    <xf numFmtId="0" fontId="11" fillId="0" borderId="19" xfId="0" applyFont="1" applyBorder="1" applyAlignment="1">
      <alignment horizontal="left" vertical="center" wrapText="1"/>
    </xf>
    <xf numFmtId="0" fontId="11" fillId="0" borderId="0" xfId="0" applyFont="1" applyAlignment="1">
      <alignment horizontal="left" vertical="center" wrapText="1"/>
    </xf>
    <xf numFmtId="0" fontId="11" fillId="0" borderId="7" xfId="0" applyFont="1" applyBorder="1" applyAlignment="1">
      <alignment horizontal="left" vertical="center" wrapText="1"/>
    </xf>
    <xf numFmtId="0" fontId="3" fillId="0" borderId="19" xfId="0" applyFont="1" applyBorder="1" applyAlignment="1">
      <alignment horizontal="center" vertical="center" wrapText="1"/>
    </xf>
    <xf numFmtId="0" fontId="3" fillId="0" borderId="7"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0" xfId="0" applyFont="1" applyAlignment="1">
      <alignment horizontal="center" vertical="center" wrapText="1"/>
    </xf>
    <xf numFmtId="0" fontId="11" fillId="0" borderId="5" xfId="0" applyFont="1" applyBorder="1" applyAlignment="1">
      <alignment horizontal="center" vertical="center" wrapText="1"/>
    </xf>
    <xf numFmtId="0" fontId="13" fillId="0" borderId="19" xfId="0" applyFont="1" applyBorder="1" applyAlignment="1">
      <alignment horizontal="left" vertical="center" wrapText="1"/>
    </xf>
    <xf numFmtId="0" fontId="13" fillId="0" borderId="0" xfId="0" applyFont="1" applyAlignment="1">
      <alignment horizontal="left" vertical="center" wrapText="1"/>
    </xf>
    <xf numFmtId="0" fontId="13" fillId="0" borderId="7" xfId="0" applyFont="1" applyBorder="1" applyAlignment="1">
      <alignment horizontal="left" vertical="center" wrapText="1"/>
    </xf>
    <xf numFmtId="0" fontId="11" fillId="0" borderId="8" xfId="0" applyFont="1" applyBorder="1" applyAlignment="1">
      <alignment horizontal="center" vertical="center" wrapText="1"/>
    </xf>
    <xf numFmtId="0" fontId="11" fillId="0" borderId="7" xfId="0" applyFont="1" applyBorder="1" applyAlignment="1">
      <alignment horizontal="center" vertical="center" wrapText="1"/>
    </xf>
    <xf numFmtId="0" fontId="13" fillId="0" borderId="8" xfId="0" applyFont="1" applyBorder="1" applyAlignment="1">
      <alignment horizontal="left" vertical="center" wrapText="1"/>
    </xf>
    <xf numFmtId="0" fontId="3" fillId="0" borderId="19"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7" xfId="0" applyFont="1" applyBorder="1" applyAlignment="1" applyProtection="1">
      <alignment horizontal="left" vertical="center" wrapText="1"/>
      <protection locked="0"/>
    </xf>
    <xf numFmtId="0" fontId="11" fillId="0" borderId="19" xfId="0" applyFont="1" applyBorder="1" applyAlignment="1" applyProtection="1">
      <alignment horizontal="left" vertical="center" wrapText="1"/>
      <protection locked="0"/>
    </xf>
    <xf numFmtId="0" fontId="11" fillId="0" borderId="0" xfId="0" applyFont="1" applyAlignment="1" applyProtection="1">
      <alignment horizontal="left" vertical="center" wrapText="1"/>
      <protection locked="0"/>
    </xf>
    <xf numFmtId="0" fontId="11" fillId="0" borderId="7" xfId="0" applyFont="1" applyBorder="1" applyAlignment="1" applyProtection="1">
      <alignment horizontal="left" vertical="center" wrapText="1"/>
      <protection locked="0"/>
    </xf>
    <xf numFmtId="0" fontId="3" fillId="0" borderId="5" xfId="0" applyFont="1" applyBorder="1" applyAlignment="1" applyProtection="1">
      <alignment horizontal="left" vertical="center" wrapText="1"/>
      <protection locked="0"/>
    </xf>
    <xf numFmtId="0" fontId="3" fillId="0" borderId="5" xfId="0" applyFont="1" applyBorder="1" applyAlignment="1">
      <alignment horizontal="center" vertical="center" wrapText="1"/>
    </xf>
    <xf numFmtId="0" fontId="3" fillId="0" borderId="19" xfId="0" applyFont="1" applyBorder="1" applyAlignment="1">
      <alignment horizontal="left" vertical="center" wrapText="1"/>
    </xf>
    <xf numFmtId="0" fontId="3" fillId="0" borderId="7" xfId="0" applyFont="1" applyBorder="1" applyAlignment="1">
      <alignment horizontal="left" vertical="center" wrapText="1"/>
    </xf>
    <xf numFmtId="0" fontId="3" fillId="0" borderId="19"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1" fillId="0" borderId="5" xfId="0" applyFont="1" applyBorder="1" applyAlignment="1" applyProtection="1">
      <alignment horizontal="left" vertical="center" wrapText="1"/>
      <protection locked="0"/>
    </xf>
    <xf numFmtId="0" fontId="19" fillId="9" borderId="24" xfId="0" applyFont="1" applyFill="1" applyBorder="1" applyAlignment="1">
      <alignment horizontal="center" vertical="center" wrapText="1"/>
    </xf>
    <xf numFmtId="0" fontId="11" fillId="0" borderId="7" xfId="0" applyFont="1" applyBorder="1" applyAlignment="1">
      <alignment horizontal="center" vertical="center"/>
    </xf>
    <xf numFmtId="0" fontId="3" fillId="0" borderId="0" xfId="0" applyFont="1" applyAlignment="1">
      <alignment horizontal="center"/>
    </xf>
    <xf numFmtId="0" fontId="5" fillId="4" borderId="10" xfId="0" applyFont="1" applyFill="1" applyBorder="1" applyAlignment="1">
      <alignment horizontal="center"/>
    </xf>
    <xf numFmtId="0" fontId="5" fillId="4" borderId="11" xfId="0" applyFont="1" applyFill="1" applyBorder="1" applyAlignment="1">
      <alignment horizontal="center"/>
    </xf>
    <xf numFmtId="0" fontId="5" fillId="4" borderId="18" xfId="0" applyFont="1" applyFill="1" applyBorder="1" applyAlignment="1">
      <alignment horizontal="center"/>
    </xf>
    <xf numFmtId="0" fontId="4" fillId="4" borderId="10" xfId="0" applyFont="1" applyFill="1" applyBorder="1" applyAlignment="1">
      <alignment horizontal="center"/>
    </xf>
    <xf numFmtId="0" fontId="4" fillId="4" borderId="11" xfId="0" applyFont="1" applyFill="1" applyBorder="1" applyAlignment="1">
      <alignment horizontal="center"/>
    </xf>
    <xf numFmtId="0" fontId="4" fillId="4" borderId="18" xfId="0" applyFont="1" applyFill="1" applyBorder="1" applyAlignment="1">
      <alignment horizontal="center"/>
    </xf>
    <xf numFmtId="0" fontId="4" fillId="4" borderId="12" xfId="0" applyFont="1" applyFill="1" applyBorder="1" applyAlignment="1">
      <alignment horizontal="center"/>
    </xf>
  </cellXfs>
  <cellStyles count="2">
    <cellStyle name="Hyperlink" xfId="1" xr:uid="{00000000-000B-0000-0000-000008000000}"/>
    <cellStyle name="Normal" xfId="0" builtinId="0"/>
  </cellStyles>
  <dxfs count="152">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rgomezva_poligran_edu_co/Documents/2023-2/Reforzamiento%202023/05.Formato%20programas%20reforzamiento%20-%20Pregrado%20Ing%20Telecomunicaciones.xlsx" TargetMode="External"/><Relationship Id="rId2" Type="http://schemas.openxmlformats.org/officeDocument/2006/relationships/externalLinkPath" Target="https://poligran-my.sharepoint.com/personal/rgomezva_poligran_edu_co/Documents/2023-2/Reforzamiento%202023/05.Formato%20programas%20reforzamiento%20-%20Pregrado%20Ing%20Telecomunicaciones.xlsx" TargetMode="External"/><Relationship Id="rId1" Type="http://schemas.openxmlformats.org/officeDocument/2006/relationships/externalLinkPath" Target="/personal/rgomezva_poligran_edu_co/Documents/2023-2/Reforzamiento%202023/05.Formato%20programas%20reforzamiento%20-%20Pregrado%20Ing%20Telecomunicacione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file:///C:\Users\dvelasquez\Downloads\FormatoRA_AdmonEmpresas_VNAL.xlsx" TargetMode="External"/><Relationship Id="rId2" Type="http://schemas.microsoft.com/office/2019/04/relationships/externalLinkLongPath" Target="FormatoRA_AdmonEmpresas_VNAL.xlsx?FF62EE1C" TargetMode="External"/><Relationship Id="rId1" Type="http://schemas.openxmlformats.org/officeDocument/2006/relationships/externalLinkPath" Target="file:///\\FF62EE1C\FormatoRA_AdmonEmpresas_VNAL.xlsx" TargetMode="External"/></Relationships>
</file>

<file path=xl/externalLinks/_rels/externalLink3.xml.rels><?xml version="1.0" encoding="UTF-8" standalone="yes"?>
<Relationships xmlns="http://schemas.openxmlformats.org/package/2006/relationships"><Relationship Id="rId3" Type="http://schemas.microsoft.com/office/2006/relationships/xlExternalLinkPath/xlPathMissing" Target="FormatoRA_IngSistemas_PBOG.xlsx" TargetMode="External"/><Relationship Id="rId2" Type="http://schemas.microsoft.com/office/2019/04/relationships/externalLinkLongPath" Target="FormatoRA_IngSistemas_PBOG.xlsx?FF62EE1C" TargetMode="External"/><Relationship Id="rId1" Type="http://schemas.openxmlformats.org/officeDocument/2006/relationships/externalLinkPath" Target="file:///\\FF62EE1C\FormatoRA_IngSistemas_PBO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lla - Listado"/>
      <sheetName val="Malla - Gráfica"/>
      <sheetName val="Hoja1"/>
      <sheetName val="Malla con formulas"/>
      <sheetName val="Malla Definitiva "/>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Paso1 Analisis perfil egreso"/>
      <sheetName val="Paso 2 Redacción competen"/>
      <sheetName val="Paso 3 Redacción RA "/>
      <sheetName val="Paso 4 Estrategias mesocurricu"/>
      <sheetName val="P5 Estrat microcurricu"/>
      <sheetName val="Taxonomia para Competencias"/>
      <sheetName val="Taxonomias para RA"/>
      <sheetName val="FormatoRA_AdmonEmpresas_VNAL"/>
      <sheetName val="Hoja1"/>
    </sheetNames>
    <sheetDataSet>
      <sheetData sheetId="0">
        <row r="3">
          <cell r="E3" t="str">
            <v>Principios económicos y sociales, y normatividad empresarial</v>
          </cell>
        </row>
        <row r="4">
          <cell r="E4" t="str">
            <v xml:space="preserve">Planeación estratégica y gestión de procesos </v>
          </cell>
        </row>
        <row r="5">
          <cell r="E5" t="str">
            <v>Habilidades poderosas o socioemocionales</v>
          </cell>
        </row>
        <row r="6">
          <cell r="E6" t="str">
            <v xml:space="preserve">Modelos de negocio </v>
          </cell>
        </row>
        <row r="7">
          <cell r="E7" t="str">
            <v>Fenómenos contemporáneos</v>
          </cell>
        </row>
      </sheetData>
      <sheetData sheetId="1">
        <row r="4">
          <cell r="F4" t="str">
            <v>Analizar los principios económicos y sociales, así como la normatividad empresarial, para tomar decisiones informadas, considerando tanto criterios de sostenibilidad como la legislación vigente en contextos organizacionales y empresariales.</v>
          </cell>
        </row>
        <row r="5">
          <cell r="F5" t="str">
            <v>Gestiona procesos funcionales y de planeación estratégica para desarrollar estrategias empresariales, contribuyendo a la generación de valor dentro entornos organizacionales cambiantes.</v>
          </cell>
        </row>
        <row r="6">
          <cell r="F6" t="str">
            <v>Aplicar habilidades poderosas o socioemocionales para liderar equipos y procesos con enfoque humano, orientados a la adapatación y al desarrollo organizacional, según las dinámicas del entorno.</v>
          </cell>
        </row>
        <row r="7">
          <cell r="F7" t="str">
            <v>Desarrolla modelos de negocio para impulsar iniciativas o proyectos de emprendimiento teniendo en cuenta las necesidades económicas, ambientales y sociales del entorno.</v>
          </cell>
        </row>
        <row r="8">
          <cell r="F8" t="str">
            <v>Analizar los fenómenos contemporáneos desde una perspectiva glocal, soportada en datos, con una mirada ética y crítica, para reconocer sus afectaciones o contribuciones en el marco de las ciudadanías globales y de una sociedad responsable y sostenible.</v>
          </cell>
        </row>
      </sheetData>
      <sheetData sheetId="2">
        <row r="3">
          <cell r="C3" t="str">
            <v>Saber</v>
          </cell>
          <cell r="I3" t="e">
            <v>#VALUE!</v>
          </cell>
        </row>
        <row r="4">
          <cell r="C4" t="str">
            <v>Saberhacer</v>
          </cell>
          <cell r="I4" t="str">
            <v>Ejecuta acciones de gestión de equipos y procesos, para tomar decisiones informadas que promuevan el liderazgo colaborativo en escenarios organizacionales.</v>
          </cell>
        </row>
        <row r="5">
          <cell r="C5" t="str">
            <v>Saberser</v>
          </cell>
          <cell r="I5" t="str">
            <v>Integra criterios económicos, sociales y jurídicos que apoyen la toma de decisiones, para contribuir a la generación de valor y al desarrollo organizacional, considerando principios de sostenibilidad, así como las dinámicas y necesidades del entorno.</v>
          </cell>
        </row>
        <row r="6">
          <cell r="C6" t="str">
            <v>Saber</v>
          </cell>
          <cell r="I6" t="e">
            <v>#VALUE!</v>
          </cell>
        </row>
        <row r="7">
          <cell r="C7" t="str">
            <v>Saberhacer</v>
          </cell>
          <cell r="I7" t="str">
            <v>Diseña estrategias empresariales para estructurar propuestas de mejora orientadas al fortalecimiento de la competitividad empresarial y al desarrollo de iniciativas de emprendimiento e intraemprendimiento.</v>
          </cell>
        </row>
        <row r="8">
          <cell r="C8" t="str">
            <v>Saberser</v>
          </cell>
          <cell r="I8" t="str">
            <v>Integra criterios económicos, sociales y jurídicos que apoyen la toma de decisiones, para contribuir a la generación de valor y al desarrollo organizacional, considerando principios de sostenibilidad, así como las dinámicas y necesidades del entorno.</v>
          </cell>
        </row>
        <row r="9">
          <cell r="C9" t="str">
            <v>Saber</v>
          </cell>
          <cell r="I9" t="e">
            <v>#VALUE!</v>
          </cell>
        </row>
        <row r="10">
          <cell r="C10" t="str">
            <v>Saberhacer</v>
          </cell>
          <cell r="I10" t="str">
            <v>Ejecuta acciones de gestión de equipos y procesos, para tomar decisiones informadas que promuevan el liderazgo colaborativo en escenarios organizacionales.</v>
          </cell>
        </row>
        <row r="11">
          <cell r="C11" t="str">
            <v>Saberser</v>
          </cell>
          <cell r="I11" t="str">
            <v>Integra criterios económicos, sociales y jurídicos que apoyen la toma de decisiones, para contribuir a la generación de valor y al desarrollo organizacional, considerando principios de sostenibilidad, así como las dinámicas y necesidades del entorno.</v>
          </cell>
        </row>
        <row r="12">
          <cell r="C12" t="str">
            <v>Saber</v>
          </cell>
          <cell r="I12" t="str">
            <v>Reconoce distintos modelos de negocio y de innovación aplicables tanto a intraemprendimientos como a nuevos negocios, para seleccionar el más adecuado en el diseño de propuestas empresariales sostenibles y coherentes con el entorno.</v>
          </cell>
        </row>
        <row r="13">
          <cell r="C13" t="str">
            <v>Saberhacer</v>
          </cell>
          <cell r="I13" t="str">
            <v>Diseña estrategias empresariales para estructurar propuestas de mejora orientadas al fortalecimiento de la competitividad empresarial y al desarrollo de iniciativas de emprendimiento e intraemprendimiento.</v>
          </cell>
        </row>
        <row r="14">
          <cell r="C14" t="str">
            <v>Saberser</v>
          </cell>
          <cell r="I14" t="str">
            <v>Integra criterios económicos, sociales y jurídicos que apoyen la toma de decisiones, para contribuir a la generación de valor y al desarrollo organizacional, considerando principios de sostenibilidad, así como las dinámicas y necesidades del entorno.</v>
          </cell>
        </row>
        <row r="15">
          <cell r="C15" t="str">
            <v>Saber</v>
          </cell>
          <cell r="I15" t="str">
            <v>Identifica fenómenos contemporáneos y su relación con la profesión, para determinar sus impactos e influencia en la sociedad, de forma responsable y crítica.</v>
          </cell>
        </row>
      </sheetData>
      <sheetData sheetId="3"/>
      <sheetData sheetId="4"/>
      <sheetData sheetId="5"/>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Paso1 Analisis perfil egreso"/>
      <sheetName val="Paso 2 Redacción competen"/>
      <sheetName val="Paso 3 Redacción RA"/>
      <sheetName val="Paso 4 Estrategias mesocurricu"/>
      <sheetName val="Paso 3 Redacción RA - Backup "/>
      <sheetName val="Paso 5 Estrategias micro"/>
      <sheetName val="Taxonomía para competencias"/>
      <sheetName val="Taxonomias para RA"/>
      <sheetName val="Paso 3 Redacción RA "/>
      <sheetName val="Paso 5 Estrategias microcurricu"/>
    </sheetNames>
    <sheetDataSet>
      <sheetData sheetId="0"/>
      <sheetData sheetId="1"/>
      <sheetData sheetId="2"/>
      <sheetData sheetId="3"/>
      <sheetData sheetId="4"/>
      <sheetData sheetId="5"/>
      <sheetData sheetId="6"/>
      <sheetData sheetId="7"/>
      <sheetData sheetId="8"/>
      <sheetData sheetId="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8" dataDxfId="147">
  <autoFilter ref="A3:A7" xr:uid="{A3FC897C-51A8-40FA-8A6D-16607E1D9337}"/>
  <tableColumns count="1">
    <tableColumn id="1" xr3:uid="{9C710A73-5A6C-4D74-8D35-0922144756C8}" name="Taxonomías" dataDxfId="146"/>
  </tableColumns>
  <tableStyleInfo name="Estilo de tabla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5" dataDxfId="144">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42" dataDxfId="141">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9" dataDxfId="138">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6" dataDxfId="135">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3" dataDxfId="132">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30" dataDxfId="129">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7" dataDxfId="126">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4" dataDxfId="123">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21" dataDxfId="120">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8" dataDxfId="117">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tesisBAK" displayName="SíntesisBAK" ref="W3:W63" totalsRowShown="0" headerRowDxfId="115" dataDxfId="114">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12" dataDxfId="111">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9" dataDxfId="108">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6" dataDxfId="105">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3" dataDxfId="102">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100" dataDxfId="99">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7" dataDxfId="96">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4" dataDxfId="93">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40" totalsRowShown="0" headerRowDxfId="91" dataDxfId="90">
  <autoFilter ref="AE3:AE40" xr:uid="{19344631-8A85-4D95-9EA7-1E2C9FA2E476}"/>
  <sortState xmlns:xlrd2="http://schemas.microsoft.com/office/spreadsheetml/2017/richdata2" ref="AE4:AE39">
    <sortCondition ref="AE3:AE39"/>
  </sortState>
  <tableColumns count="1">
    <tableColumn id="1" xr3:uid="{0A087805-6D7E-496C-A05E-DA355F0095CB}" name="Valora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8" dataDxfId="87">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5" dataDxfId="84">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82" dataDxfId="81">
  <autoFilter ref="L3:L45" xr:uid="{7C8904B1-8D3B-4FF1-8646-69A8D3170D84}"/>
  <sortState xmlns:xlrd2="http://schemas.microsoft.com/office/spreadsheetml/2017/richdata2" ref="L4:L45">
    <sortCondition ref="L4:L45"/>
  </sortState>
  <tableColumns count="1">
    <tableColumn id="1" xr3:uid="{2D5405CD-0CB8-4C58-A15B-F109C33FC9E6}" name="ConocimientoB"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9" dataDxfId="78">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6" dataDxfId="75">
  <autoFilter ref="N3:N43" xr:uid="{6A30BCC7-420C-4D45-B6B6-70195C3538DA}"/>
  <sortState xmlns:xlrd2="http://schemas.microsoft.com/office/spreadsheetml/2017/richdata2" ref="N4:N43">
    <sortCondition ref="N4:N43"/>
  </sortState>
  <tableColumns count="1">
    <tableColumn id="1" xr3:uid="{E0EA56E0-F032-4CC9-AB57-4DE6D1598D57}" name="Aplicac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3" dataDxfId="72">
  <autoFilter ref="O3:O36" xr:uid="{2224BB24-5619-49C4-94FB-96AB72EE5650}"/>
  <sortState xmlns:xlrd2="http://schemas.microsoft.com/office/spreadsheetml/2017/richdata2" ref="O4:O36">
    <sortCondition ref="O4:O36"/>
  </sortState>
  <tableColumns count="1">
    <tableColumn id="1" xr3:uid="{3FBB4F1F-ACA5-49B6-A37D-E5FDFD13ECCD}" name="Análisis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70" dataDxfId="69">
  <autoFilter ref="P3:P63" xr:uid="{53E3557D-51F5-4386-93E4-FD0D818D053F}"/>
  <sortState xmlns:xlrd2="http://schemas.microsoft.com/office/spreadsheetml/2017/richdata2" ref="P4:P63">
    <sortCondition ref="P4:P63"/>
  </sortState>
  <tableColumns count="1">
    <tableColumn id="1" xr3:uid="{9FB3624B-E64E-47DA-9EAA-88AF038A2D7F}" name="Sínte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7" dataDxfId="66">
  <autoFilter ref="Q3:Q66" xr:uid="{C7124FB3-BDFD-4B6E-BBAF-C6598A6D53D7}"/>
  <sortState xmlns:xlrd2="http://schemas.microsoft.com/office/spreadsheetml/2017/richdata2" ref="Q4:Q66">
    <sortCondition ref="Q4:Q66"/>
  </sortState>
  <tableColumns count="1">
    <tableColumn id="1" xr3:uid="{1FA17810-5C9D-44CF-93A5-72EEB62A99C9}" name="Evaluación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4" dataDxfId="63">
  <autoFilter ref="E3:E6" xr:uid="{57EE39A7-1440-4041-A08A-18F25F4968FB}"/>
  <tableColumns count="1">
    <tableColumn id="1" xr3:uid="{2F23B31E-C779-49F9-A954-245BE4177AC0}" name="AK" dataDxfId="62"/>
  </tableColumns>
  <tableStyleInfo name="Estilo de tabla 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61" dataDxfId="60">
  <autoFilter ref="D3:D7" xr:uid="{35438B67-D634-41E1-84F1-39AE403A058D}"/>
  <tableColumns count="1">
    <tableColumn id="1" xr3:uid="{C1C9568F-A125-4329-B453-A058FD8FF630}" name="L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8" dataDxfId="57">
  <autoFilter ref="C3:C6" xr:uid="{28DBD34B-11EF-4749-B2BB-FB22AA7E5F89}"/>
  <tableColumns count="1">
    <tableColumn id="1" xr3:uid="{ACA65BC2-3FD7-48E3-B265-633D5CD395F6}" name="BA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5" dataDxfId="54">
  <autoFilter ref="I3:I9" xr:uid="{85F4526F-E70A-4B01-8F8D-33369EFB479E}"/>
  <tableColumns count="1">
    <tableColumn id="1" xr3:uid="{7511FDFB-CBBA-4DB3-8C4D-FF68B9279AD7}" name="ActitudinalB"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52" dataDxfId="51">
  <autoFilter ref="H3:H9" xr:uid="{DFAA4E58-0E3D-4C38-B134-AE73F0FC0197}"/>
  <tableColumns count="1">
    <tableColumn id="1" xr3:uid="{4ED00E54-4F14-49B9-B701-FF2F463188CD}" name="Procediment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9" dataDxfId="48">
  <autoFilter ref="G3:G9" xr:uid="{0C8B3717-DAFD-4E37-8005-349E9A602EC5}"/>
  <tableColumns count="1">
    <tableColumn id="1" xr3:uid="{E2C7916C-66F2-431E-9B93-D7BAED80FC3A}" name="Cognitivo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6" dataDxfId="45">
  <autoFilter ref="G11:G17" xr:uid="{8A1C521C-B4CD-4DF4-8C25-A075B7B48FD5}"/>
  <tableColumns count="1">
    <tableColumn id="1" xr3:uid="{F205DD3F-58DC-49F6-8DF7-A9FDFA78E901}" name="HechosLK"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3" dataDxfId="42">
  <autoFilter ref="H11:H17" xr:uid="{0EAE1057-104B-4F9B-AE6B-F5F60D430995}"/>
  <tableColumns count="1">
    <tableColumn id="1" xr3:uid="{ED8EB327-17D6-4CBD-BF96-91954DB19DA4}" name="Concept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40" dataDxfId="39">
  <autoFilter ref="I11:I17" xr:uid="{C5704CC1-8D1D-4541-8B3E-782D4827E87D}"/>
  <tableColumns count="1">
    <tableColumn id="1" xr3:uid="{75915474-E335-4868-8B24-B84F8C9C1C63}" name="Procedimien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7" dataDxfId="36">
  <autoFilter ref="J11:J17" xr:uid="{3F9CFB80-8732-4087-B330-0AFF949ED28A}"/>
  <tableColumns count="1">
    <tableColumn id="1" xr3:uid="{18FBF9DB-382A-4F40-9D18-10877C008AF3}" name="Metacognición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4" dataDxfId="33">
  <autoFilter ref="G19:G25" xr:uid="{87470927-1E85-4463-AA7C-1D450FA03673}"/>
  <tableColumns count="1">
    <tableColumn id="1" xr3:uid="{4C03EFC8-95AD-4135-A064-59ED0A2972A4}" name="InformaciónA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31" dataDxfId="30">
  <autoFilter ref="H19:H25" xr:uid="{3FAB6C65-145F-49A1-9056-95330E603DB4}"/>
  <tableColumns count="1">
    <tableColumn id="1" xr3:uid="{67C2A4B2-C2BB-4461-9673-21341948DA03}" name="Procesos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8" dataDxfId="27">
  <autoFilter ref="I19:I25" xr:uid="{7E2DB0D1-A63C-4278-BB90-797F375B1009}"/>
  <tableColumns count="1">
    <tableColumn id="1" xr3:uid="{C11CE8E5-4283-43E3-97B8-F84DDC504C64}" name="Psicomotor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5" dataDxfId="24" tableBorderDxfId="23">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22"/>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21" dataDxfId="20">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8" dataDxfId="17" tableBorderDxfId="16">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5"/>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4" dataDxfId="13" tableBorderDxfId="12">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11"/>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10" dataDxfId="9" tableBorderDxfId="8">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7"/>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6" dataDxfId="5" tableBorderDxfId="4">
  <autoFilter ref="AY4:AY87" xr:uid="{7DEA9F2E-0ED7-409B-99EE-B0425CBC1A14}"/>
  <tableColumns count="1">
    <tableColumn id="1" xr3:uid="{4D5E8ACA-4170-445D-BE28-EA8C4DAEEBDB}" name="SistemadelYoAK" dataDxfId="3"/>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40" totalsRowShown="0" headerRowDxfId="2" dataDxfId="1">
  <autoFilter ref="B1:B40" xr:uid="{362A7F4C-394D-4A63-8C31-6F5A9FA00CF6}"/>
  <sortState xmlns:xlrd2="http://schemas.microsoft.com/office/spreadsheetml/2017/richdata2" ref="B2:B35">
    <sortCondition ref="B2:B36"/>
  </sortState>
  <tableColumns count="1">
    <tableColumn id="1" xr3:uid="{C53878DF-DD9D-4BBB-AA09-333631D819CF}" name="Verbos Competencia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3" Type="http://schemas.openxmlformats.org/officeDocument/2006/relationships/table" Target="../tables/table12.xml"/><Relationship Id="rId18" Type="http://schemas.openxmlformats.org/officeDocument/2006/relationships/table" Target="../tables/table17.xml"/><Relationship Id="rId26" Type="http://schemas.openxmlformats.org/officeDocument/2006/relationships/table" Target="../tables/table25.xml"/><Relationship Id="rId39" Type="http://schemas.openxmlformats.org/officeDocument/2006/relationships/table" Target="../tables/table38.xml"/><Relationship Id="rId21" Type="http://schemas.openxmlformats.org/officeDocument/2006/relationships/table" Target="../tables/table20.xml"/><Relationship Id="rId34" Type="http://schemas.openxmlformats.org/officeDocument/2006/relationships/table" Target="../tables/table33.xml"/><Relationship Id="rId42" Type="http://schemas.openxmlformats.org/officeDocument/2006/relationships/table" Target="../tables/table41.xml"/><Relationship Id="rId47" Type="http://schemas.openxmlformats.org/officeDocument/2006/relationships/table" Target="../tables/table46.xml"/><Relationship Id="rId7" Type="http://schemas.openxmlformats.org/officeDocument/2006/relationships/table" Target="../tables/table6.xml"/><Relationship Id="rId2" Type="http://schemas.openxmlformats.org/officeDocument/2006/relationships/table" Target="../tables/table1.xml"/><Relationship Id="rId16" Type="http://schemas.openxmlformats.org/officeDocument/2006/relationships/table" Target="../tables/table15.xml"/><Relationship Id="rId29" Type="http://schemas.openxmlformats.org/officeDocument/2006/relationships/table" Target="../tables/table28.xml"/><Relationship Id="rId11" Type="http://schemas.openxmlformats.org/officeDocument/2006/relationships/table" Target="../tables/table10.xml"/><Relationship Id="rId24" Type="http://schemas.openxmlformats.org/officeDocument/2006/relationships/table" Target="../tables/table23.xml"/><Relationship Id="rId32" Type="http://schemas.openxmlformats.org/officeDocument/2006/relationships/table" Target="../tables/table31.xml"/><Relationship Id="rId37" Type="http://schemas.openxmlformats.org/officeDocument/2006/relationships/table" Target="../tables/table36.xml"/><Relationship Id="rId40" Type="http://schemas.openxmlformats.org/officeDocument/2006/relationships/table" Target="../tables/table39.xml"/><Relationship Id="rId45" Type="http://schemas.openxmlformats.org/officeDocument/2006/relationships/table" Target="../tables/table44.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28" Type="http://schemas.openxmlformats.org/officeDocument/2006/relationships/table" Target="../tables/table27.xml"/><Relationship Id="rId36" Type="http://schemas.openxmlformats.org/officeDocument/2006/relationships/table" Target="../tables/table35.xml"/><Relationship Id="rId49" Type="http://schemas.openxmlformats.org/officeDocument/2006/relationships/comments" Target="../comments7.xml"/><Relationship Id="rId10" Type="http://schemas.openxmlformats.org/officeDocument/2006/relationships/table" Target="../tables/table9.xml"/><Relationship Id="rId19" Type="http://schemas.openxmlformats.org/officeDocument/2006/relationships/table" Target="../tables/table18.xml"/><Relationship Id="rId31" Type="http://schemas.openxmlformats.org/officeDocument/2006/relationships/table" Target="../tables/table30.xml"/><Relationship Id="rId44" Type="http://schemas.openxmlformats.org/officeDocument/2006/relationships/table" Target="../tables/table43.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 Id="rId27" Type="http://schemas.openxmlformats.org/officeDocument/2006/relationships/table" Target="../tables/table26.xml"/><Relationship Id="rId30" Type="http://schemas.openxmlformats.org/officeDocument/2006/relationships/table" Target="../tables/table29.xml"/><Relationship Id="rId35" Type="http://schemas.openxmlformats.org/officeDocument/2006/relationships/table" Target="../tables/table34.xml"/><Relationship Id="rId43" Type="http://schemas.openxmlformats.org/officeDocument/2006/relationships/table" Target="../tables/table42.xml"/><Relationship Id="rId48" Type="http://schemas.openxmlformats.org/officeDocument/2006/relationships/table" Target="../tables/table47.xml"/><Relationship Id="rId8" Type="http://schemas.openxmlformats.org/officeDocument/2006/relationships/table" Target="../tables/table7.xml"/><Relationship Id="rId3" Type="http://schemas.openxmlformats.org/officeDocument/2006/relationships/table" Target="../tables/table2.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33" Type="http://schemas.openxmlformats.org/officeDocument/2006/relationships/table" Target="../tables/table32.xml"/><Relationship Id="rId38" Type="http://schemas.openxmlformats.org/officeDocument/2006/relationships/table" Target="../tables/table37.xml"/><Relationship Id="rId46" Type="http://schemas.openxmlformats.org/officeDocument/2006/relationships/table" Target="../tables/table45.xml"/><Relationship Id="rId20" Type="http://schemas.openxmlformats.org/officeDocument/2006/relationships/table" Target="../tables/table19.xml"/><Relationship Id="rId41" Type="http://schemas.openxmlformats.org/officeDocument/2006/relationships/table" Target="../tables/table40.xml"/><Relationship Id="rId1" Type="http://schemas.openxmlformats.org/officeDocument/2006/relationships/vmlDrawing" Target="../drawings/vmlDrawing7.vml"/><Relationship Id="rId6"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2"/>
  <sheetViews>
    <sheetView tabSelected="1" topLeftCell="B1" zoomScaleNormal="100" workbookViewId="0">
      <selection activeCell="C3" sqref="C3:C7"/>
    </sheetView>
  </sheetViews>
  <sheetFormatPr defaultColWidth="76.28515625" defaultRowHeight="16.5"/>
  <cols>
    <col min="1" max="1" width="21.140625" style="2" customWidth="1"/>
    <col min="2" max="2" width="16.7109375" style="2" customWidth="1"/>
    <col min="3" max="3" width="51.85546875" style="2" customWidth="1"/>
    <col min="4" max="4" width="55.140625" style="2" customWidth="1"/>
    <col min="5" max="5" width="44.42578125" style="2" customWidth="1"/>
    <col min="6" max="6" width="50.28515625" customWidth="1"/>
    <col min="7" max="7" width="51.28515625" customWidth="1"/>
    <col min="8" max="8" width="30.28515625" style="2" customWidth="1"/>
    <col min="9" max="9" width="35.28515625" style="2" customWidth="1"/>
    <col min="10" max="10" width="33.42578125" style="2" customWidth="1"/>
    <col min="11" max="11" width="45.5703125" style="2" customWidth="1"/>
    <col min="12" max="16384" width="76.28515625" style="2"/>
  </cols>
  <sheetData>
    <row r="1" spans="1:11" s="35" customFormat="1" ht="39">
      <c r="A1" s="38" t="s">
        <v>0</v>
      </c>
      <c r="B1" s="38" t="s">
        <v>1</v>
      </c>
      <c r="C1" s="38" t="s">
        <v>2</v>
      </c>
      <c r="D1" s="38" t="s">
        <v>3</v>
      </c>
      <c r="E1" s="181" t="s">
        <v>4</v>
      </c>
      <c r="F1" s="181"/>
      <c r="G1" s="181"/>
      <c r="H1" s="181" t="s">
        <v>5</v>
      </c>
      <c r="I1" s="181"/>
      <c r="J1" s="181"/>
      <c r="K1" s="38" t="s">
        <v>6</v>
      </c>
    </row>
    <row r="2" spans="1:11" s="29" customFormat="1">
      <c r="A2" s="40" t="s">
        <v>7</v>
      </c>
      <c r="B2" s="40" t="s">
        <v>8</v>
      </c>
      <c r="C2" s="40" t="s">
        <v>9</v>
      </c>
      <c r="D2" s="46" t="s">
        <v>10</v>
      </c>
      <c r="E2" s="124" t="s">
        <v>11</v>
      </c>
      <c r="F2" s="124" t="s">
        <v>12</v>
      </c>
      <c r="G2" s="124" t="s">
        <v>13</v>
      </c>
      <c r="H2" s="48" t="s">
        <v>14</v>
      </c>
      <c r="I2" s="48" t="s">
        <v>15</v>
      </c>
      <c r="J2" s="48" t="s">
        <v>16</v>
      </c>
      <c r="K2" s="47" t="s">
        <v>17</v>
      </c>
    </row>
    <row r="3" spans="1:11" s="4" customFormat="1" ht="49.5">
      <c r="A3" s="179" t="s">
        <v>18</v>
      </c>
      <c r="B3" s="179" t="s">
        <v>19</v>
      </c>
      <c r="C3" s="179" t="s">
        <v>20</v>
      </c>
      <c r="D3" s="179" t="s">
        <v>21</v>
      </c>
      <c r="E3" s="5" t="s">
        <v>22</v>
      </c>
      <c r="F3" s="34" t="s">
        <v>23</v>
      </c>
      <c r="G3" s="34" t="s">
        <v>24</v>
      </c>
      <c r="H3" s="182" t="s">
        <v>25</v>
      </c>
      <c r="I3" s="182" t="s">
        <v>26</v>
      </c>
      <c r="J3" s="182" t="s">
        <v>27</v>
      </c>
      <c r="K3" s="179" t="s">
        <v>28</v>
      </c>
    </row>
    <row r="4" spans="1:11" s="4" customFormat="1" ht="33">
      <c r="A4" s="180"/>
      <c r="B4" s="180"/>
      <c r="C4" s="180"/>
      <c r="D4" s="180"/>
      <c r="E4" s="5" t="s">
        <v>29</v>
      </c>
      <c r="F4" s="34" t="s">
        <v>30</v>
      </c>
      <c r="G4" s="34" t="s">
        <v>31</v>
      </c>
      <c r="H4" s="183"/>
      <c r="I4" s="183"/>
      <c r="J4" s="183"/>
      <c r="K4" s="180"/>
    </row>
    <row r="5" spans="1:11" s="4" customFormat="1" ht="33">
      <c r="A5" s="180"/>
      <c r="B5" s="180"/>
      <c r="C5" s="180"/>
      <c r="D5" s="180"/>
      <c r="E5" s="5" t="s">
        <v>32</v>
      </c>
      <c r="F5" s="34" t="s">
        <v>33</v>
      </c>
      <c r="G5" s="34" t="s">
        <v>34</v>
      </c>
      <c r="H5" s="183"/>
      <c r="I5" s="183"/>
      <c r="J5" s="183"/>
      <c r="K5" s="180"/>
    </row>
    <row r="6" spans="1:11" s="4" customFormat="1" ht="33.6" thickBot="1">
      <c r="A6" s="180"/>
      <c r="B6" s="180"/>
      <c r="C6" s="180"/>
      <c r="D6" s="180"/>
      <c r="E6" s="43" t="s">
        <v>35</v>
      </c>
      <c r="F6" s="43" t="s">
        <v>36</v>
      </c>
      <c r="G6" s="43" t="s">
        <v>37</v>
      </c>
      <c r="H6" s="183"/>
      <c r="I6" s="183"/>
      <c r="J6" s="183"/>
      <c r="K6" s="180"/>
    </row>
    <row r="7" spans="1:11" s="4" customFormat="1" ht="49.5">
      <c r="A7" s="180"/>
      <c r="B7" s="180"/>
      <c r="C7" s="180"/>
      <c r="D7" s="180"/>
      <c r="E7" s="96" t="s">
        <v>38</v>
      </c>
      <c r="F7" s="96" t="s">
        <v>39</v>
      </c>
      <c r="G7" s="96" t="s">
        <v>40</v>
      </c>
      <c r="H7" s="183"/>
      <c r="I7" s="183"/>
      <c r="J7" s="183"/>
      <c r="K7" s="180"/>
    </row>
    <row r="8" spans="1:11" s="4" customFormat="1">
      <c r="C8" s="34"/>
      <c r="D8" s="123"/>
      <c r="E8" s="34"/>
      <c r="F8" s="34"/>
      <c r="G8" s="34"/>
      <c r="H8" s="5"/>
    </row>
    <row r="9" spans="1:11" ht="21">
      <c r="D9" s="28"/>
      <c r="E9" s="8"/>
      <c r="F9" s="8"/>
      <c r="H9" s="3"/>
    </row>
    <row r="10" spans="1:11" ht="21">
      <c r="D10" s="28"/>
      <c r="E10" s="8"/>
      <c r="F10" s="8"/>
      <c r="H10" s="3"/>
    </row>
    <row r="11" spans="1:11" ht="21">
      <c r="C11" s="30"/>
      <c r="D11" s="28"/>
      <c r="E11" s="30"/>
      <c r="F11" s="30"/>
      <c r="H11" s="3"/>
    </row>
    <row r="12" spans="1:11" ht="21">
      <c r="D12" s="28"/>
      <c r="E12" s="8"/>
      <c r="F12" s="8"/>
      <c r="H12" s="3"/>
    </row>
    <row r="13" spans="1:11" ht="21">
      <c r="C13" s="4"/>
      <c r="D13" s="28"/>
      <c r="E13" s="10"/>
      <c r="F13" s="2"/>
      <c r="H13" s="3"/>
    </row>
    <row r="14" spans="1:11" ht="21">
      <c r="D14" s="28"/>
      <c r="E14" s="8"/>
    </row>
    <row r="15" spans="1:11" ht="21">
      <c r="D15" s="28"/>
    </row>
    <row r="16" spans="1:11" ht="21">
      <c r="D16" s="28"/>
    </row>
    <row r="17" spans="4:4" ht="21">
      <c r="D17" s="28"/>
    </row>
    <row r="18" spans="4:4" ht="21">
      <c r="D18" s="28"/>
    </row>
    <row r="19" spans="4:4" ht="21">
      <c r="D19" s="28"/>
    </row>
    <row r="20" spans="4:4" ht="21">
      <c r="D20" s="28"/>
    </row>
    <row r="21" spans="4:4" ht="21">
      <c r="D21" s="28"/>
    </row>
    <row r="22" spans="4:4" ht="21">
      <c r="D22" s="28"/>
    </row>
  </sheetData>
  <mergeCells count="10">
    <mergeCell ref="K3:K7"/>
    <mergeCell ref="E1:G1"/>
    <mergeCell ref="H1:J1"/>
    <mergeCell ref="A3:A7"/>
    <mergeCell ref="B3:B7"/>
    <mergeCell ref="C3:C7"/>
    <mergeCell ref="D3:D7"/>
    <mergeCell ref="J3:J7"/>
    <mergeCell ref="H3:H7"/>
    <mergeCell ref="I3:I7"/>
  </mergeCells>
  <dataValidations count="1">
    <dataValidation allowBlank="1" showInputMessage="1" showErrorMessage="1" sqref="E3:E6" xr:uid="{0BEE2088-060F-477D-BC85-A99F9E2C67E4}"/>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6"/>
  <sheetViews>
    <sheetView topLeftCell="A4" zoomScaleNormal="100" workbookViewId="0">
      <selection activeCell="F8" sqref="F8"/>
    </sheetView>
  </sheetViews>
  <sheetFormatPr defaultColWidth="11.42578125" defaultRowHeight="16.5"/>
  <cols>
    <col min="1" max="1" width="19" style="6" customWidth="1"/>
    <col min="2" max="2" width="23" style="6" customWidth="1"/>
    <col min="3" max="3" width="27" style="6" customWidth="1"/>
    <col min="4" max="4" width="29.28515625" style="6" customWidth="1"/>
    <col min="5" max="5" width="41.85546875" style="6" customWidth="1"/>
    <col min="6" max="6" width="78.5703125" style="6" customWidth="1"/>
    <col min="7" max="7" width="24" style="6" customWidth="1"/>
    <col min="8" max="16384" width="11.42578125" style="6"/>
  </cols>
  <sheetData>
    <row r="1" spans="1:7" s="2" customFormat="1">
      <c r="A1" s="184" t="s">
        <v>41</v>
      </c>
      <c r="B1" s="185"/>
      <c r="C1" s="185"/>
      <c r="D1" s="185"/>
      <c r="E1" s="185"/>
      <c r="F1" s="185"/>
      <c r="G1" s="185"/>
    </row>
    <row r="2" spans="1:7" s="39" customFormat="1" ht="78">
      <c r="A2" s="36" t="s">
        <v>42</v>
      </c>
      <c r="B2" s="37" t="s">
        <v>43</v>
      </c>
      <c r="C2" s="37" t="s">
        <v>44</v>
      </c>
      <c r="D2" s="37" t="s">
        <v>45</v>
      </c>
      <c r="E2" s="37" t="s">
        <v>46</v>
      </c>
      <c r="F2" s="38" t="s">
        <v>47</v>
      </c>
      <c r="G2" s="38" t="s">
        <v>48</v>
      </c>
    </row>
    <row r="3" spans="1:7" s="41" customFormat="1">
      <c r="A3" s="59" t="s">
        <v>49</v>
      </c>
      <c r="B3" s="60" t="s">
        <v>50</v>
      </c>
      <c r="C3" s="60" t="s">
        <v>51</v>
      </c>
      <c r="D3" s="60" t="s">
        <v>52</v>
      </c>
      <c r="E3" s="60" t="s">
        <v>53</v>
      </c>
      <c r="F3" s="50" t="s">
        <v>54</v>
      </c>
      <c r="G3" s="50" t="s">
        <v>55</v>
      </c>
    </row>
    <row r="4" spans="1:7" ht="49.5">
      <c r="A4" s="6">
        <v>1</v>
      </c>
      <c r="B4" s="5" t="s">
        <v>56</v>
      </c>
      <c r="C4" s="4" t="s">
        <v>22</v>
      </c>
      <c r="D4" s="34" t="s">
        <v>23</v>
      </c>
      <c r="E4" s="34" t="s">
        <v>24</v>
      </c>
      <c r="F4" s="125" t="s">
        <v>57</v>
      </c>
      <c r="G4" s="6" t="s">
        <v>58</v>
      </c>
    </row>
    <row r="5" spans="1:7" ht="49.5">
      <c r="A5" s="6">
        <v>2</v>
      </c>
      <c r="B5" s="5" t="s">
        <v>59</v>
      </c>
      <c r="C5" s="4" t="s">
        <v>60</v>
      </c>
      <c r="D5" s="34" t="s">
        <v>30</v>
      </c>
      <c r="E5" s="34" t="s">
        <v>31</v>
      </c>
      <c r="F5" s="4" t="s">
        <v>61</v>
      </c>
      <c r="G5" s="6" t="s">
        <v>58</v>
      </c>
    </row>
    <row r="6" spans="1:7" ht="49.5">
      <c r="A6" s="6">
        <v>3</v>
      </c>
      <c r="B6" s="5" t="s">
        <v>62</v>
      </c>
      <c r="C6" s="4" t="s">
        <v>32</v>
      </c>
      <c r="D6" s="34" t="s">
        <v>33</v>
      </c>
      <c r="E6" s="34" t="s">
        <v>34</v>
      </c>
      <c r="F6" s="4" t="s">
        <v>63</v>
      </c>
      <c r="G6" s="6" t="s">
        <v>58</v>
      </c>
    </row>
    <row r="7" spans="1:7" ht="33.6" thickBot="1">
      <c r="A7" s="87">
        <v>4</v>
      </c>
      <c r="B7" s="86" t="s">
        <v>64</v>
      </c>
      <c r="C7" s="55" t="s">
        <v>35</v>
      </c>
      <c r="D7" s="55" t="s">
        <v>36</v>
      </c>
      <c r="E7" s="55" t="s">
        <v>37</v>
      </c>
      <c r="F7" s="55" t="s">
        <v>65</v>
      </c>
      <c r="G7" s="87" t="s">
        <v>58</v>
      </c>
    </row>
    <row r="8" spans="1:7" ht="66">
      <c r="A8" s="6">
        <v>5</v>
      </c>
      <c r="B8" s="34" t="s">
        <v>56</v>
      </c>
      <c r="C8" s="5" t="s">
        <v>38</v>
      </c>
      <c r="D8" s="34" t="s">
        <v>39</v>
      </c>
      <c r="E8" s="34" t="s">
        <v>66</v>
      </c>
      <c r="F8" s="34" t="s">
        <v>67</v>
      </c>
      <c r="G8" s="6" t="s">
        <v>68</v>
      </c>
    </row>
    <row r="9" spans="1:7">
      <c r="B9" s="5"/>
      <c r="C9" s="32"/>
      <c r="D9" s="33"/>
      <c r="E9" s="33"/>
      <c r="F9" s="5"/>
    </row>
    <row r="10" spans="1:7">
      <c r="C10" s="31"/>
      <c r="D10" s="31"/>
      <c r="E10" s="31"/>
    </row>
    <row r="14" spans="1:7">
      <c r="C14" s="31"/>
      <c r="D14" s="15"/>
      <c r="E14" s="15"/>
    </row>
    <row r="15" spans="1:7">
      <c r="C15" s="31"/>
      <c r="D15" s="15"/>
      <c r="E15" s="15"/>
    </row>
    <row r="16" spans="1:7">
      <c r="C16" s="31"/>
      <c r="D16" s="15"/>
      <c r="E16" s="15"/>
    </row>
  </sheetData>
  <mergeCells count="1">
    <mergeCell ref="A1:G1"/>
  </mergeCells>
  <dataValidations count="2">
    <dataValidation type="list" allowBlank="1" showInputMessage="1" showErrorMessage="1" sqref="B8:B12" xr:uid="{7FF6EE86-2F70-4AF5-821E-634C08680A10}">
      <formula1>Verboscompetencias</formula1>
    </dataValidation>
    <dataValidation type="list" allowBlank="1" showInputMessage="1" showErrorMessage="1" sqref="C4:C7" xr:uid="{DD25D814-0AD3-4722-B68D-3181954494F5}">
      <formula1>Conocimientos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67CCD9FD-C355-4093-9DBF-5B728297BE25}">
          <x14:formula1>
            <xm:f>'Taxonomía para competencias'!$B$2:$B$58</xm:f>
          </x14:formula1>
          <xm:sqref>B13</xm:sqref>
        </x14:dataValidation>
        <x14:dataValidation type="list" allowBlank="1" showInputMessage="1" showErrorMessage="1" xr:uid="{5EADCC8E-A021-41D2-A781-82D42FE181E0}">
          <x14:formula1>
            <xm:f>'Paso1 Analisis perfil egreso'!$E$3:$E$8</xm:f>
          </x14:formula1>
          <xm:sqref>C8</xm:sqref>
        </x14:dataValidation>
        <x14:dataValidation type="list" allowBlank="1" showInputMessage="1" showErrorMessage="1" xr:uid="{27BB9EA1-A522-436A-B320-3844B1FF49FC}">
          <x14:formula1>
            <xm:f>'Taxonomía para competencias'!$B$2:$B$49</xm:f>
          </x14:formula1>
          <xm:sqref>B4:B7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8"/>
  <sheetViews>
    <sheetView topLeftCell="D1" zoomScaleNormal="100" workbookViewId="0">
      <selection activeCell="I3" sqref="I3"/>
    </sheetView>
  </sheetViews>
  <sheetFormatPr defaultColWidth="11.42578125" defaultRowHeight="16.5"/>
  <cols>
    <col min="1" max="1" width="93.28515625" style="5" customWidth="1"/>
    <col min="2" max="2" width="23.140625" style="6" customWidth="1"/>
    <col min="3" max="3" width="25" style="5" customWidth="1"/>
    <col min="4" max="4" width="29.28515625" style="5" customWidth="1"/>
    <col min="5" max="5" width="26.42578125" style="5" customWidth="1"/>
    <col min="6" max="6" width="21.28515625" style="5" customWidth="1"/>
    <col min="7" max="7" width="21.28515625" style="7" customWidth="1"/>
    <col min="8" max="8" width="21.28515625" style="89" customWidth="1"/>
    <col min="9" max="9" width="80" style="9" customWidth="1"/>
    <col min="10" max="10" width="97.140625" style="5" customWidth="1"/>
    <col min="11" max="16384" width="11.42578125" style="5"/>
  </cols>
  <sheetData>
    <row r="1" spans="1:10" s="82" customFormat="1" ht="51.95">
      <c r="A1" s="80" t="s">
        <v>69</v>
      </c>
      <c r="B1" s="80" t="s">
        <v>70</v>
      </c>
      <c r="C1" s="37" t="s">
        <v>71</v>
      </c>
      <c r="D1" s="81" t="s">
        <v>72</v>
      </c>
      <c r="E1" s="81" t="s">
        <v>73</v>
      </c>
      <c r="F1" s="37" t="s">
        <v>74</v>
      </c>
      <c r="G1" s="37" t="s">
        <v>75</v>
      </c>
      <c r="H1" s="37" t="s">
        <v>76</v>
      </c>
      <c r="I1" s="80" t="s">
        <v>77</v>
      </c>
    </row>
    <row r="2" spans="1:10" s="85" customFormat="1">
      <c r="A2" s="83" t="s">
        <v>78</v>
      </c>
      <c r="B2" s="83" t="s">
        <v>79</v>
      </c>
      <c r="C2" s="60" t="s">
        <v>80</v>
      </c>
      <c r="D2" s="84" t="s">
        <v>81</v>
      </c>
      <c r="E2" s="84" t="s">
        <v>82</v>
      </c>
      <c r="F2" s="60" t="s">
        <v>83</v>
      </c>
      <c r="G2" s="60" t="s">
        <v>84</v>
      </c>
      <c r="H2" s="60" t="s">
        <v>85</v>
      </c>
      <c r="I2" s="83" t="s">
        <v>86</v>
      </c>
    </row>
    <row r="3" spans="1:10" ht="66">
      <c r="A3" s="4" t="s">
        <v>57</v>
      </c>
      <c r="B3" s="6">
        <v>1</v>
      </c>
      <c r="C3" s="5" t="s">
        <v>11</v>
      </c>
      <c r="D3" s="4" t="s">
        <v>22</v>
      </c>
      <c r="E3" s="4" t="s">
        <v>87</v>
      </c>
      <c r="F3" s="89" t="s">
        <v>88</v>
      </c>
      <c r="G3" s="89" t="s">
        <v>89</v>
      </c>
      <c r="H3" s="89" t="s">
        <v>56</v>
      </c>
      <c r="I3" s="5" t="s">
        <v>90</v>
      </c>
      <c r="J3" s="27"/>
    </row>
    <row r="4" spans="1:10" ht="49.5">
      <c r="A4" s="4" t="s">
        <v>57</v>
      </c>
      <c r="B4" s="6">
        <v>3</v>
      </c>
      <c r="C4" s="5" t="s">
        <v>12</v>
      </c>
      <c r="D4" s="4" t="s">
        <v>23</v>
      </c>
      <c r="E4" s="4" t="s">
        <v>87</v>
      </c>
      <c r="F4" s="89" t="s">
        <v>91</v>
      </c>
      <c r="G4" s="89" t="s">
        <v>92</v>
      </c>
      <c r="H4" s="89" t="s">
        <v>93</v>
      </c>
      <c r="I4" s="34" t="s">
        <v>94</v>
      </c>
    </row>
    <row r="5" spans="1:10" ht="66.599999999999994" thickBot="1">
      <c r="A5" s="127" t="s">
        <v>57</v>
      </c>
      <c r="B5" s="87">
        <v>4</v>
      </c>
      <c r="C5" s="86" t="s">
        <v>13</v>
      </c>
      <c r="D5" s="127" t="s">
        <v>24</v>
      </c>
      <c r="E5" s="128" t="s">
        <v>87</v>
      </c>
      <c r="F5" s="128" t="s">
        <v>95</v>
      </c>
      <c r="G5" s="128" t="s">
        <v>96</v>
      </c>
      <c r="H5" s="128" t="s">
        <v>97</v>
      </c>
      <c r="I5" s="94" t="s">
        <v>98</v>
      </c>
    </row>
    <row r="6" spans="1:10" ht="66">
      <c r="A6" s="4" t="s">
        <v>61</v>
      </c>
      <c r="B6" s="6">
        <v>1</v>
      </c>
      <c r="C6" s="5" t="s">
        <v>11</v>
      </c>
      <c r="D6" s="34" t="s">
        <v>29</v>
      </c>
      <c r="E6" s="4" t="s">
        <v>87</v>
      </c>
      <c r="F6" s="89" t="s">
        <v>88</v>
      </c>
      <c r="G6" s="18" t="s">
        <v>89</v>
      </c>
      <c r="H6" s="18" t="s">
        <v>56</v>
      </c>
      <c r="I6" s="5" t="s">
        <v>90</v>
      </c>
    </row>
    <row r="7" spans="1:10" ht="49.5">
      <c r="A7" s="4" t="s">
        <v>61</v>
      </c>
      <c r="B7" s="6">
        <v>5</v>
      </c>
      <c r="C7" s="5" t="s">
        <v>12</v>
      </c>
      <c r="D7" s="34" t="s">
        <v>30</v>
      </c>
      <c r="E7" s="4" t="s">
        <v>87</v>
      </c>
      <c r="F7" s="89" t="s">
        <v>91</v>
      </c>
      <c r="G7" s="18" t="s">
        <v>92</v>
      </c>
      <c r="H7" s="18" t="s">
        <v>99</v>
      </c>
      <c r="I7" s="34" t="s">
        <v>100</v>
      </c>
    </row>
    <row r="8" spans="1:10" ht="49.5">
      <c r="A8" s="127" t="s">
        <v>61</v>
      </c>
      <c r="B8" s="87">
        <v>4</v>
      </c>
      <c r="C8" s="86" t="s">
        <v>13</v>
      </c>
      <c r="D8" s="92" t="s">
        <v>31</v>
      </c>
      <c r="E8" s="128" t="s">
        <v>87</v>
      </c>
      <c r="F8" s="128" t="s">
        <v>95</v>
      </c>
      <c r="G8" s="129" t="s">
        <v>96</v>
      </c>
      <c r="H8" s="128" t="s">
        <v>97</v>
      </c>
      <c r="I8" s="94" t="s">
        <v>98</v>
      </c>
      <c r="J8" s="88"/>
    </row>
    <row r="9" spans="1:10" ht="49.5">
      <c r="A9" s="4" t="s">
        <v>63</v>
      </c>
      <c r="B9" s="6">
        <v>6</v>
      </c>
      <c r="C9" s="5" t="s">
        <v>11</v>
      </c>
      <c r="D9" s="34" t="s">
        <v>32</v>
      </c>
      <c r="E9" s="89" t="s">
        <v>87</v>
      </c>
      <c r="F9" s="89" t="s">
        <v>88</v>
      </c>
      <c r="G9" s="18" t="s">
        <v>89</v>
      </c>
      <c r="H9" s="18" t="s">
        <v>101</v>
      </c>
      <c r="I9" s="79" t="s">
        <v>102</v>
      </c>
    </row>
    <row r="10" spans="1:10" ht="33">
      <c r="A10" s="4" t="s">
        <v>63</v>
      </c>
      <c r="B10" s="6">
        <v>3</v>
      </c>
      <c r="C10" s="5" t="s">
        <v>12</v>
      </c>
      <c r="D10" s="34" t="s">
        <v>33</v>
      </c>
      <c r="E10" s="4" t="s">
        <v>87</v>
      </c>
      <c r="F10" s="89" t="s">
        <v>91</v>
      </c>
      <c r="G10" s="18" t="s">
        <v>92</v>
      </c>
      <c r="H10" s="18" t="s">
        <v>93</v>
      </c>
      <c r="I10" s="79" t="s">
        <v>94</v>
      </c>
    </row>
    <row r="11" spans="1:10" ht="49.5">
      <c r="A11" s="127" t="s">
        <v>63</v>
      </c>
      <c r="B11" s="87">
        <v>4</v>
      </c>
      <c r="C11" s="86" t="s">
        <v>13</v>
      </c>
      <c r="D11" s="92" t="s">
        <v>34</v>
      </c>
      <c r="E11" s="127" t="s">
        <v>87</v>
      </c>
      <c r="F11" s="128" t="s">
        <v>95</v>
      </c>
      <c r="G11" s="129" t="s">
        <v>96</v>
      </c>
      <c r="H11" s="128" t="s">
        <v>97</v>
      </c>
      <c r="I11" s="94" t="s">
        <v>98</v>
      </c>
      <c r="J11" s="88"/>
    </row>
    <row r="12" spans="1:10" ht="49.5">
      <c r="A12" s="4" t="s">
        <v>65</v>
      </c>
      <c r="B12" s="6">
        <v>7</v>
      </c>
      <c r="C12" s="5" t="s">
        <v>11</v>
      </c>
      <c r="D12" s="34" t="s">
        <v>35</v>
      </c>
      <c r="E12" s="4" t="s">
        <v>87</v>
      </c>
      <c r="F12" s="89" t="s">
        <v>88</v>
      </c>
      <c r="G12" s="89" t="s">
        <v>89</v>
      </c>
      <c r="H12" s="89" t="s">
        <v>101</v>
      </c>
      <c r="I12" s="5" t="s">
        <v>103</v>
      </c>
    </row>
    <row r="13" spans="1:10" ht="49.5">
      <c r="A13" s="4" t="s">
        <v>65</v>
      </c>
      <c r="B13" s="6">
        <v>5</v>
      </c>
      <c r="C13" s="5" t="s">
        <v>12</v>
      </c>
      <c r="D13" s="34" t="s">
        <v>36</v>
      </c>
      <c r="E13" s="4" t="s">
        <v>87</v>
      </c>
      <c r="F13" s="89" t="s">
        <v>91</v>
      </c>
      <c r="G13" s="89" t="s">
        <v>92</v>
      </c>
      <c r="H13" s="89" t="s">
        <v>99</v>
      </c>
      <c r="I13" s="34" t="s">
        <v>100</v>
      </c>
    </row>
    <row r="14" spans="1:10" ht="66.599999999999994" thickBot="1">
      <c r="A14" s="127" t="s">
        <v>65</v>
      </c>
      <c r="B14" s="87">
        <v>4</v>
      </c>
      <c r="C14" s="86" t="s">
        <v>13</v>
      </c>
      <c r="D14" s="92" t="s">
        <v>37</v>
      </c>
      <c r="E14" s="128" t="s">
        <v>87</v>
      </c>
      <c r="F14" s="128" t="s">
        <v>95</v>
      </c>
      <c r="G14" s="128" t="s">
        <v>96</v>
      </c>
      <c r="H14" s="128" t="s">
        <v>97</v>
      </c>
      <c r="I14" s="94" t="s">
        <v>98</v>
      </c>
      <c r="J14" s="88"/>
    </row>
    <row r="15" spans="1:10" ht="49.5">
      <c r="A15" s="5" t="s">
        <v>67</v>
      </c>
      <c r="B15" s="6">
        <v>2</v>
      </c>
      <c r="C15" s="5" t="s">
        <v>11</v>
      </c>
      <c r="D15" s="5" t="s">
        <v>38</v>
      </c>
      <c r="E15" s="5" t="s">
        <v>104</v>
      </c>
      <c r="F15" s="9" t="s">
        <v>105</v>
      </c>
      <c r="G15" s="9" t="s">
        <v>106</v>
      </c>
      <c r="H15" s="5" t="s">
        <v>107</v>
      </c>
      <c r="I15" s="34" t="s">
        <v>108</v>
      </c>
      <c r="J15" s="88"/>
    </row>
    <row r="16" spans="1:10">
      <c r="A16" s="4"/>
      <c r="F16" s="9"/>
      <c r="G16" s="9"/>
      <c r="H16" s="5"/>
      <c r="I16" s="4"/>
      <c r="J16" s="88"/>
    </row>
    <row r="17" spans="1:9">
      <c r="A17" s="4"/>
      <c r="F17" s="9"/>
      <c r="G17" s="9"/>
      <c r="H17" s="5"/>
      <c r="I17" s="4"/>
    </row>
    <row r="18" spans="1:9">
      <c r="A18" s="4"/>
      <c r="F18" s="9"/>
      <c r="G18" s="9"/>
      <c r="H18" s="5"/>
      <c r="I18" s="4"/>
    </row>
    <row r="19" spans="1:9">
      <c r="A19" s="4"/>
      <c r="F19" s="9"/>
      <c r="G19" s="9"/>
      <c r="H19" s="5"/>
      <c r="I19" s="4"/>
    </row>
    <row r="20" spans="1:9">
      <c r="A20" s="4"/>
      <c r="F20" s="9"/>
      <c r="G20" s="9"/>
      <c r="H20" s="5"/>
      <c r="I20" s="4"/>
    </row>
    <row r="21" spans="1:9">
      <c r="A21" s="4"/>
      <c r="F21" s="9"/>
      <c r="G21" s="9"/>
      <c r="H21" s="5"/>
      <c r="I21" s="4"/>
    </row>
    <row r="22" spans="1:9">
      <c r="A22" s="4"/>
      <c r="H22" s="5"/>
      <c r="I22" s="4"/>
    </row>
    <row r="23" spans="1:9">
      <c r="A23" s="4"/>
      <c r="I23" s="4"/>
    </row>
    <row r="24" spans="1:9">
      <c r="A24" s="4"/>
      <c r="I24" s="4"/>
    </row>
    <row r="25" spans="1:9">
      <c r="A25" s="4"/>
    </row>
    <row r="26" spans="1:9">
      <c r="A26" s="4"/>
    </row>
    <row r="27" spans="1:9">
      <c r="A27" s="4"/>
    </row>
    <row r="28" spans="1:9">
      <c r="A28" s="4"/>
    </row>
  </sheetData>
  <autoFilter ref="A2:K15" xr:uid="{94AAF649-42F4-466A-BE11-44357078F961}"/>
  <dataValidations count="6">
    <dataValidation type="list" allowBlank="1" showInputMessage="1" showErrorMessage="1" sqref="H3:H15" xr:uid="{EF7E0087-1A07-4340-9A8A-E18F2705EAA5}">
      <formula1>INDIRECT($G3)</formula1>
    </dataValidation>
    <dataValidation type="list" allowBlank="1" showInputMessage="1" showErrorMessage="1" sqref="G3:G15" xr:uid="{C824F632-68FF-A845-8310-1160831D753F}">
      <formula1>INDIRECT($F3)</formula1>
    </dataValidation>
    <dataValidation type="list" allowBlank="1" showInputMessage="1" showErrorMessage="1" sqref="F3:F15" xr:uid="{A432778F-7D53-8543-B7B7-9CEB372333AB}">
      <formula1>INDIRECT($E3)</formula1>
    </dataValidation>
    <dataValidation type="list" allowBlank="1" showInputMessage="1" showErrorMessage="1" sqref="D3:D15" xr:uid="{7E1D182A-6AF9-A04C-9AFE-674494F658A5}">
      <formula1>INDIRECT($C3)</formula1>
    </dataValidation>
    <dataValidation type="list" allowBlank="1" showInputMessage="1" showErrorMessage="1" sqref="C3:C15" xr:uid="{75684620-131C-F04B-80D8-C75EA8359587}">
      <formula1>ComponentesCompetencias</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4" xr:uid="{F43BD4C5-20C7-4E5C-A5D2-0F0EB4279FC9}">
      <formula1>taxonomiasra</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E15</xm:sqref>
        </x14:dataValidation>
        <x14:dataValidation type="list" allowBlank="1" showInputMessage="1" showErrorMessage="1" xr:uid="{98578F6C-C527-A048-93A4-A8514981207B}">
          <x14:formula1>
            <xm:f>'Paso 2 Redacción competen'!$F$4:$F$8</xm:f>
          </x14:formula1>
          <xm:sqref>A3:A15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defaultColWidth="11.42578125" defaultRowHeight="70.900000000000006" customHeight="1"/>
  <cols>
    <col min="1" max="1" width="93.28515625" style="5" customWidth="1"/>
    <col min="2" max="2" width="23.140625" style="6" customWidth="1"/>
    <col min="3" max="3" width="25" style="5" customWidth="1"/>
    <col min="4" max="4" width="36.85546875" style="5" customWidth="1"/>
    <col min="5" max="5" width="30.7109375" style="5" customWidth="1"/>
    <col min="6" max="6" width="21.85546875" style="5" customWidth="1"/>
    <col min="7" max="7" width="27.42578125" style="7" customWidth="1"/>
    <col min="8" max="8" width="22.5703125" style="1" customWidth="1"/>
    <col min="9" max="9" width="80" customWidth="1"/>
    <col min="10" max="10" width="97.140625" style="5" customWidth="1"/>
    <col min="11" max="16384" width="11.42578125" style="5"/>
  </cols>
  <sheetData>
    <row r="1" spans="1:11" ht="51.95">
      <c r="A1" s="44" t="s">
        <v>69</v>
      </c>
      <c r="B1" s="44" t="s">
        <v>70</v>
      </c>
      <c r="C1" s="51" t="s">
        <v>71</v>
      </c>
      <c r="D1" s="52" t="s">
        <v>72</v>
      </c>
      <c r="E1" s="52" t="s">
        <v>73</v>
      </c>
      <c r="F1" s="51" t="s">
        <v>74</v>
      </c>
      <c r="G1" s="51" t="s">
        <v>75</v>
      </c>
      <c r="H1" s="51" t="s">
        <v>76</v>
      </c>
      <c r="I1" s="44" t="s">
        <v>77</v>
      </c>
      <c r="J1" s="45"/>
    </row>
    <row r="2" spans="1:11" ht="16.5">
      <c r="A2" s="61" t="s">
        <v>78</v>
      </c>
      <c r="B2" s="58" t="s">
        <v>79</v>
      </c>
      <c r="C2" s="62" t="s">
        <v>80</v>
      </c>
      <c r="D2" s="53" t="s">
        <v>81</v>
      </c>
      <c r="E2" s="53" t="s">
        <v>82</v>
      </c>
      <c r="F2" s="62" t="s">
        <v>83</v>
      </c>
      <c r="G2" s="62" t="s">
        <v>84</v>
      </c>
      <c r="H2" s="62" t="s">
        <v>85</v>
      </c>
      <c r="I2" s="58" t="s">
        <v>86</v>
      </c>
      <c r="J2" s="63"/>
    </row>
    <row r="3" spans="1:11" ht="136.5" hidden="1" customHeight="1">
      <c r="A3" s="4" t="s">
        <v>109</v>
      </c>
      <c r="B3" s="6">
        <v>1</v>
      </c>
      <c r="C3" s="5" t="s">
        <v>11</v>
      </c>
      <c r="D3" s="5" t="s">
        <v>110</v>
      </c>
      <c r="E3" s="5" t="s">
        <v>87</v>
      </c>
      <c r="F3" s="9" t="s">
        <v>88</v>
      </c>
      <c r="G3" s="9" t="s">
        <v>111</v>
      </c>
      <c r="H3" s="5" t="s">
        <v>107</v>
      </c>
      <c r="I3" s="34" t="s">
        <v>112</v>
      </c>
      <c r="J3" s="27"/>
    </row>
    <row r="4" spans="1:11" ht="142.5" hidden="1" customHeight="1">
      <c r="A4" s="4" t="s">
        <v>109</v>
      </c>
      <c r="B4" s="6">
        <v>4</v>
      </c>
      <c r="C4" s="5" t="s">
        <v>12</v>
      </c>
      <c r="D4" s="5" t="s">
        <v>113</v>
      </c>
      <c r="E4" s="5" t="s">
        <v>87</v>
      </c>
      <c r="F4" s="9" t="s">
        <v>91</v>
      </c>
      <c r="G4" s="9" t="s">
        <v>114</v>
      </c>
      <c r="H4" s="5" t="s">
        <v>62</v>
      </c>
      <c r="I4" s="34" t="s">
        <v>115</v>
      </c>
    </row>
    <row r="5" spans="1:11" ht="126" hidden="1" customHeight="1">
      <c r="A5" s="4" t="s">
        <v>109</v>
      </c>
      <c r="B5" s="6">
        <v>7</v>
      </c>
      <c r="C5" s="5" t="s">
        <v>13</v>
      </c>
      <c r="D5" s="5" t="s">
        <v>116</v>
      </c>
      <c r="E5" s="5" t="s">
        <v>87</v>
      </c>
      <c r="F5" s="9" t="s">
        <v>95</v>
      </c>
      <c r="G5" s="9" t="s">
        <v>96</v>
      </c>
      <c r="H5" s="5" t="s">
        <v>117</v>
      </c>
      <c r="I5" s="34" t="s">
        <v>118</v>
      </c>
    </row>
    <row r="6" spans="1:11" ht="99">
      <c r="A6" s="4" t="s">
        <v>119</v>
      </c>
      <c r="B6" s="6">
        <v>1</v>
      </c>
      <c r="C6" s="5" t="s">
        <v>11</v>
      </c>
      <c r="D6" s="5" t="s">
        <v>120</v>
      </c>
      <c r="E6" s="5" t="s">
        <v>87</v>
      </c>
      <c r="F6" s="9" t="s">
        <v>88</v>
      </c>
      <c r="G6" s="9" t="s">
        <v>111</v>
      </c>
      <c r="H6" s="5" t="s">
        <v>107</v>
      </c>
      <c r="I6" s="34" t="s">
        <v>121</v>
      </c>
    </row>
    <row r="7" spans="1:11" ht="115.5">
      <c r="A7" s="4" t="s">
        <v>119</v>
      </c>
      <c r="B7" s="6">
        <v>5</v>
      </c>
      <c r="C7" s="5" t="s">
        <v>12</v>
      </c>
      <c r="D7" s="5" t="s">
        <v>122</v>
      </c>
      <c r="E7" s="5" t="s">
        <v>87</v>
      </c>
      <c r="F7" s="9" t="s">
        <v>91</v>
      </c>
      <c r="G7" s="9" t="s">
        <v>114</v>
      </c>
      <c r="H7" s="5" t="s">
        <v>62</v>
      </c>
      <c r="I7" s="34" t="s">
        <v>115</v>
      </c>
    </row>
    <row r="8" spans="1:11" ht="82.5">
      <c r="A8" s="4" t="s">
        <v>119</v>
      </c>
      <c r="B8" s="6">
        <v>7</v>
      </c>
      <c r="C8" s="5" t="s">
        <v>13</v>
      </c>
      <c r="D8" s="5" t="s">
        <v>116</v>
      </c>
      <c r="E8" s="5" t="s">
        <v>87</v>
      </c>
      <c r="F8" s="9" t="s">
        <v>95</v>
      </c>
      <c r="G8" s="9" t="s">
        <v>96</v>
      </c>
      <c r="H8" s="5" t="s">
        <v>117</v>
      </c>
      <c r="I8" s="34" t="s">
        <v>118</v>
      </c>
      <c r="J8" s="11"/>
    </row>
    <row r="9" spans="1:11" ht="99" hidden="1">
      <c r="A9" s="4" t="s">
        <v>123</v>
      </c>
      <c r="B9" s="6">
        <v>2</v>
      </c>
      <c r="C9" s="5" t="s">
        <v>11</v>
      </c>
      <c r="D9" s="5" t="s">
        <v>124</v>
      </c>
      <c r="E9" s="5" t="s">
        <v>87</v>
      </c>
      <c r="F9" s="9" t="s">
        <v>88</v>
      </c>
      <c r="G9" s="9" t="s">
        <v>111</v>
      </c>
      <c r="H9" s="5" t="s">
        <v>107</v>
      </c>
      <c r="I9" s="34" t="s">
        <v>121</v>
      </c>
      <c r="J9" s="11"/>
    </row>
    <row r="10" spans="1:11" ht="115.5" hidden="1">
      <c r="A10" s="4" t="s">
        <v>123</v>
      </c>
      <c r="B10" s="6">
        <v>6</v>
      </c>
      <c r="C10" s="5" t="s">
        <v>12</v>
      </c>
      <c r="D10" s="5" t="s">
        <v>125</v>
      </c>
      <c r="E10" s="5" t="s">
        <v>87</v>
      </c>
      <c r="F10" s="9" t="s">
        <v>91</v>
      </c>
      <c r="G10" s="9" t="s">
        <v>114</v>
      </c>
      <c r="H10" s="5" t="s">
        <v>62</v>
      </c>
      <c r="I10" s="34" t="s">
        <v>115</v>
      </c>
    </row>
    <row r="11" spans="1:11" ht="82.5" hidden="1">
      <c r="A11" s="55" t="s">
        <v>123</v>
      </c>
      <c r="B11" s="42">
        <v>7</v>
      </c>
      <c r="C11" s="43" t="s">
        <v>13</v>
      </c>
      <c r="D11" s="5" t="s">
        <v>126</v>
      </c>
      <c r="E11" s="43" t="s">
        <v>87</v>
      </c>
      <c r="F11" s="56" t="s">
        <v>95</v>
      </c>
      <c r="G11" s="56" t="s">
        <v>96</v>
      </c>
      <c r="H11" s="43" t="s">
        <v>117</v>
      </c>
      <c r="I11" s="34" t="s">
        <v>118</v>
      </c>
      <c r="J11" s="55"/>
      <c r="K11" s="49"/>
    </row>
    <row r="12" spans="1:11" ht="49.5" hidden="1">
      <c r="A12" s="4" t="s">
        <v>67</v>
      </c>
      <c r="B12" s="6">
        <v>3</v>
      </c>
      <c r="C12" s="5" t="s">
        <v>11</v>
      </c>
      <c r="D12" s="5" t="s">
        <v>38</v>
      </c>
      <c r="E12" s="5" t="s">
        <v>104</v>
      </c>
      <c r="F12" s="9" t="s">
        <v>105</v>
      </c>
      <c r="G12" s="9" t="s">
        <v>106</v>
      </c>
      <c r="H12" s="5" t="s">
        <v>107</v>
      </c>
      <c r="I12" s="54" t="s">
        <v>108</v>
      </c>
      <c r="J12" s="11"/>
    </row>
    <row r="13" spans="1:11" ht="16.5">
      <c r="A13" s="4"/>
      <c r="F13"/>
      <c r="G13"/>
      <c r="H13" s="5"/>
      <c r="I13" s="4"/>
      <c r="J13" s="11"/>
    </row>
    <row r="14" spans="1:11" ht="16.5">
      <c r="A14" s="4"/>
      <c r="F14"/>
      <c r="G14"/>
      <c r="H14" s="5"/>
      <c r="I14" s="4"/>
    </row>
    <row r="15" spans="1:11" ht="16.5">
      <c r="A15" s="4"/>
      <c r="F15"/>
      <c r="G15"/>
      <c r="H15" s="5"/>
      <c r="I15" s="4"/>
    </row>
    <row r="16" spans="1:11" ht="16.5">
      <c r="A16" s="4"/>
      <c r="F16"/>
      <c r="G16"/>
      <c r="H16" s="5"/>
      <c r="I16" s="4"/>
    </row>
    <row r="17" spans="1:9" ht="16.5">
      <c r="A17" s="4"/>
      <c r="F17"/>
      <c r="G17"/>
      <c r="H17" s="5"/>
      <c r="I17" s="4"/>
    </row>
    <row r="18" spans="1:9" ht="16.5">
      <c r="A18" s="4"/>
      <c r="F18"/>
      <c r="G18"/>
      <c r="H18" s="5"/>
      <c r="I18" s="4"/>
    </row>
    <row r="19" spans="1:9" ht="16.5">
      <c r="A19" s="4"/>
      <c r="H19" s="5"/>
      <c r="I19" s="4"/>
    </row>
    <row r="20" spans="1:9" ht="16.5">
      <c r="A20" s="4"/>
      <c r="I20" s="4"/>
    </row>
    <row r="21" spans="1:9" ht="16.5">
      <c r="A21" s="4"/>
      <c r="I21" s="4"/>
    </row>
    <row r="22" spans="1:9" ht="16.5">
      <c r="A22" s="4"/>
    </row>
    <row r="23" spans="1:9" ht="16.5">
      <c r="A23" s="4"/>
    </row>
    <row r="24" spans="1:9" ht="16.5">
      <c r="A24" s="4"/>
    </row>
    <row r="25" spans="1:9" ht="16.5">
      <c r="A25" s="4"/>
    </row>
    <row r="26" spans="1:9" ht="16.5"/>
    <row r="27" spans="1:9" ht="16.5"/>
    <row r="28" spans="1:9" ht="16.5"/>
    <row r="29" spans="1:9" ht="16.5"/>
    <row r="30" spans="1:9" ht="16.5"/>
    <row r="31" spans="1:9" ht="16.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competen'!$F$4:$F$8</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45"/>
  <sheetViews>
    <sheetView topLeftCell="B24" zoomScaleNormal="100" workbookViewId="0">
      <selection activeCell="B28" sqref="B28"/>
    </sheetView>
  </sheetViews>
  <sheetFormatPr defaultColWidth="10.7109375" defaultRowHeight="14.45"/>
  <cols>
    <col min="1" max="1" width="57.5703125" style="13" customWidth="1"/>
    <col min="2" max="2" width="51.28515625" style="13" customWidth="1"/>
    <col min="3" max="3" width="54.7109375" style="26" customWidth="1"/>
    <col min="4" max="5" width="46.42578125" style="26" customWidth="1"/>
    <col min="6" max="6" width="38.28515625" style="26" customWidth="1"/>
    <col min="7" max="16384" width="10.7109375" style="13"/>
  </cols>
  <sheetData>
    <row r="1" spans="1:6" s="89" customFormat="1" ht="51.95">
      <c r="A1" s="80" t="s">
        <v>127</v>
      </c>
      <c r="B1" s="80" t="s">
        <v>128</v>
      </c>
      <c r="C1" s="80" t="s">
        <v>129</v>
      </c>
      <c r="D1" s="80" t="s">
        <v>130</v>
      </c>
      <c r="E1" s="80" t="s">
        <v>131</v>
      </c>
      <c r="F1" s="80" t="s">
        <v>132</v>
      </c>
    </row>
    <row r="2" spans="1:6" s="89" customFormat="1" ht="33">
      <c r="A2" s="83" t="s">
        <v>133</v>
      </c>
      <c r="B2" s="83" t="s">
        <v>134</v>
      </c>
      <c r="C2" s="83" t="s">
        <v>135</v>
      </c>
      <c r="D2" s="83" t="s">
        <v>136</v>
      </c>
      <c r="E2" s="83" t="s">
        <v>137</v>
      </c>
      <c r="F2" s="83" t="s">
        <v>138</v>
      </c>
    </row>
    <row r="3" spans="1:6" ht="82.5">
      <c r="A3" s="34" t="s">
        <v>90</v>
      </c>
      <c r="B3" s="200" t="s">
        <v>139</v>
      </c>
      <c r="C3" s="202" t="s">
        <v>140</v>
      </c>
      <c r="D3" s="90" t="s">
        <v>141</v>
      </c>
      <c r="E3" s="200" t="s">
        <v>142</v>
      </c>
      <c r="F3" s="91" t="s">
        <v>143</v>
      </c>
    </row>
    <row r="4" spans="1:6" ht="66">
      <c r="A4" s="34" t="s">
        <v>98</v>
      </c>
      <c r="B4" s="195"/>
      <c r="C4" s="198"/>
      <c r="D4" s="57" t="s">
        <v>144</v>
      </c>
      <c r="E4" s="195"/>
      <c r="F4" s="34" t="s">
        <v>145</v>
      </c>
    </row>
    <row r="5" spans="1:6" ht="82.5">
      <c r="A5" s="34" t="s">
        <v>102</v>
      </c>
      <c r="B5" s="195"/>
      <c r="C5" s="198"/>
      <c r="D5" s="57" t="s">
        <v>146</v>
      </c>
      <c r="E5" s="195"/>
      <c r="F5" s="4" t="s">
        <v>147</v>
      </c>
    </row>
    <row r="6" spans="1:6" ht="66.599999999999994" thickBot="1">
      <c r="A6" s="92" t="s">
        <v>103</v>
      </c>
      <c r="B6" s="201"/>
      <c r="C6" s="199"/>
      <c r="D6" s="13"/>
      <c r="E6" s="201"/>
      <c r="F6" s="34"/>
    </row>
    <row r="7" spans="1:6" ht="82.5">
      <c r="A7" s="34" t="s">
        <v>90</v>
      </c>
      <c r="B7" s="194" t="s">
        <v>148</v>
      </c>
      <c r="C7" s="197" t="s">
        <v>149</v>
      </c>
      <c r="D7" s="95" t="s">
        <v>144</v>
      </c>
      <c r="E7" s="192" t="s">
        <v>150</v>
      </c>
      <c r="F7" s="96" t="s">
        <v>145</v>
      </c>
    </row>
    <row r="8" spans="1:6" ht="49.5">
      <c r="A8" s="34" t="s">
        <v>94</v>
      </c>
      <c r="B8" s="195"/>
      <c r="C8" s="198"/>
      <c r="D8" s="57" t="s">
        <v>141</v>
      </c>
      <c r="E8" s="180"/>
      <c r="F8" s="34" t="s">
        <v>143</v>
      </c>
    </row>
    <row r="9" spans="1:6" ht="66">
      <c r="A9" s="34" t="s">
        <v>98</v>
      </c>
      <c r="B9" s="195"/>
      <c r="C9" s="198"/>
      <c r="D9" s="57" t="s">
        <v>146</v>
      </c>
      <c r="E9" s="180"/>
      <c r="F9" s="34" t="s">
        <v>147</v>
      </c>
    </row>
    <row r="10" spans="1:6" ht="66">
      <c r="A10" s="34" t="s">
        <v>100</v>
      </c>
      <c r="B10" s="195"/>
      <c r="C10" s="198"/>
      <c r="D10" s="57"/>
      <c r="E10" s="180"/>
      <c r="F10" s="4"/>
    </row>
    <row r="11" spans="1:6" ht="50.1" thickBot="1">
      <c r="A11" s="92" t="s">
        <v>94</v>
      </c>
      <c r="B11" s="201"/>
      <c r="C11" s="199"/>
      <c r="D11" s="93"/>
      <c r="E11" s="193"/>
      <c r="F11" s="92"/>
    </row>
    <row r="12" spans="1:6" ht="82.5">
      <c r="A12" s="34" t="s">
        <v>90</v>
      </c>
      <c r="B12" s="194" t="s">
        <v>151</v>
      </c>
      <c r="C12" s="197" t="s">
        <v>152</v>
      </c>
      <c r="D12" s="57" t="s">
        <v>153</v>
      </c>
      <c r="E12" s="192" t="s">
        <v>154</v>
      </c>
      <c r="F12" s="79" t="s">
        <v>145</v>
      </c>
    </row>
    <row r="13" spans="1:6" ht="49.5">
      <c r="A13" s="34" t="s">
        <v>94</v>
      </c>
      <c r="B13" s="195"/>
      <c r="C13" s="198"/>
      <c r="D13" s="57" t="s">
        <v>155</v>
      </c>
      <c r="E13" s="180"/>
      <c r="F13" s="79" t="s">
        <v>143</v>
      </c>
    </row>
    <row r="14" spans="1:6" ht="66.599999999999994" thickBot="1">
      <c r="A14" s="92" t="s">
        <v>98</v>
      </c>
      <c r="B14" s="201"/>
      <c r="C14" s="199"/>
      <c r="D14" s="57" t="s">
        <v>146</v>
      </c>
      <c r="E14" s="193"/>
      <c r="F14" s="79" t="s">
        <v>147</v>
      </c>
    </row>
    <row r="15" spans="1:6" ht="82.5">
      <c r="A15" s="34" t="s">
        <v>90</v>
      </c>
      <c r="B15" s="192" t="s">
        <v>156</v>
      </c>
      <c r="C15" s="197" t="s">
        <v>157</v>
      </c>
      <c r="D15" s="95" t="s">
        <v>144</v>
      </c>
      <c r="E15" s="192" t="s">
        <v>158</v>
      </c>
      <c r="F15" s="96" t="s">
        <v>145</v>
      </c>
    </row>
    <row r="16" spans="1:6" ht="66">
      <c r="A16" s="34" t="s">
        <v>98</v>
      </c>
      <c r="B16" s="180"/>
      <c r="C16" s="198"/>
      <c r="D16" s="57" t="s">
        <v>159</v>
      </c>
      <c r="E16" s="180"/>
      <c r="F16" s="34" t="s">
        <v>143</v>
      </c>
    </row>
    <row r="17" spans="1:6" ht="82.5">
      <c r="A17" s="34" t="s">
        <v>102</v>
      </c>
      <c r="B17" s="180"/>
      <c r="C17" s="198"/>
      <c r="D17" s="79" t="s">
        <v>146</v>
      </c>
      <c r="E17" s="180"/>
      <c r="F17" s="34" t="s">
        <v>147</v>
      </c>
    </row>
    <row r="18" spans="1:6" ht="66.599999999999994" thickBot="1">
      <c r="A18" s="92" t="s">
        <v>103</v>
      </c>
      <c r="B18" s="193"/>
      <c r="C18" s="199"/>
      <c r="D18" s="57"/>
      <c r="E18" s="193"/>
      <c r="F18" s="34"/>
    </row>
    <row r="19" spans="1:6" ht="82.5">
      <c r="A19" s="34" t="s">
        <v>90</v>
      </c>
      <c r="B19" s="192" t="s">
        <v>160</v>
      </c>
      <c r="C19" s="189" t="s">
        <v>161</v>
      </c>
      <c r="D19" s="95" t="s">
        <v>144</v>
      </c>
      <c r="E19" s="192" t="s">
        <v>162</v>
      </c>
      <c r="F19" s="96" t="s">
        <v>145</v>
      </c>
    </row>
    <row r="20" spans="1:6" ht="49.5">
      <c r="A20" s="34" t="s">
        <v>94</v>
      </c>
      <c r="B20" s="180"/>
      <c r="C20" s="190"/>
      <c r="D20" s="57" t="s">
        <v>141</v>
      </c>
      <c r="E20" s="180"/>
      <c r="F20" s="34" t="s">
        <v>143</v>
      </c>
    </row>
    <row r="21" spans="1:6" ht="66">
      <c r="A21" s="34" t="s">
        <v>98</v>
      </c>
      <c r="B21" s="180"/>
      <c r="C21" s="190"/>
      <c r="D21" s="57" t="s">
        <v>146</v>
      </c>
      <c r="E21" s="180"/>
      <c r="F21" s="34" t="s">
        <v>147</v>
      </c>
    </row>
    <row r="22" spans="1:6" ht="66.599999999999994" thickBot="1">
      <c r="A22" s="92" t="s">
        <v>103</v>
      </c>
      <c r="B22" s="193"/>
      <c r="C22" s="191"/>
      <c r="D22" s="166"/>
      <c r="E22" s="193"/>
      <c r="F22" s="166"/>
    </row>
    <row r="23" spans="1:6" ht="82.5">
      <c r="A23" s="34" t="s">
        <v>90</v>
      </c>
      <c r="B23" s="186" t="s">
        <v>163</v>
      </c>
      <c r="C23" s="189" t="s">
        <v>164</v>
      </c>
      <c r="D23" s="57" t="s">
        <v>165</v>
      </c>
      <c r="E23" s="194" t="s">
        <v>166</v>
      </c>
      <c r="F23" s="34" t="s">
        <v>167</v>
      </c>
    </row>
    <row r="24" spans="1:6" ht="49.5">
      <c r="A24" s="34" t="s">
        <v>94</v>
      </c>
      <c r="B24" s="187"/>
      <c r="C24" s="190"/>
      <c r="D24" s="57" t="s">
        <v>141</v>
      </c>
      <c r="E24" s="195"/>
      <c r="F24" s="34" t="s">
        <v>143</v>
      </c>
    </row>
    <row r="25" spans="1:6" ht="66">
      <c r="A25" s="34" t="s">
        <v>100</v>
      </c>
      <c r="B25" s="187"/>
      <c r="C25" s="190"/>
      <c r="D25" s="57" t="s">
        <v>146</v>
      </c>
      <c r="E25" s="195"/>
      <c r="F25" s="34" t="s">
        <v>147</v>
      </c>
    </row>
    <row r="26" spans="1:6" ht="82.5">
      <c r="A26" s="34" t="s">
        <v>102</v>
      </c>
      <c r="B26" s="187"/>
      <c r="C26" s="190"/>
      <c r="D26" s="79"/>
      <c r="E26" s="195"/>
      <c r="F26" s="79"/>
    </row>
    <row r="27" spans="1:6" ht="66.599999999999994" thickBot="1">
      <c r="A27" s="92" t="s">
        <v>103</v>
      </c>
      <c r="B27" s="188"/>
      <c r="C27" s="191"/>
      <c r="D27" s="99"/>
      <c r="E27" s="196"/>
      <c r="F27" s="98"/>
    </row>
    <row r="28" spans="1:6" ht="16.5">
      <c r="A28" s="34"/>
    </row>
    <row r="29" spans="1:6" ht="16.5">
      <c r="A29" s="34"/>
    </row>
    <row r="30" spans="1:6" ht="16.5">
      <c r="A30" s="34"/>
    </row>
    <row r="31" spans="1:6" ht="16.5">
      <c r="A31" s="34"/>
    </row>
    <row r="32" spans="1:6" ht="16.5">
      <c r="A32" s="34"/>
    </row>
    <row r="33" spans="1:1" ht="16.5">
      <c r="A33" s="34"/>
    </row>
    <row r="34" spans="1:1" ht="16.5">
      <c r="A34" s="34"/>
    </row>
    <row r="35" spans="1:1" ht="16.5">
      <c r="A35" s="34"/>
    </row>
    <row r="36" spans="1:1" ht="16.5">
      <c r="A36" s="34"/>
    </row>
    <row r="37" spans="1:1" ht="16.5">
      <c r="A37" s="34"/>
    </row>
    <row r="38" spans="1:1" ht="16.5">
      <c r="A38" s="34"/>
    </row>
    <row r="39" spans="1:1" ht="16.5">
      <c r="A39" s="34"/>
    </row>
    <row r="40" spans="1:1" ht="16.5">
      <c r="A40" s="34"/>
    </row>
    <row r="41" spans="1:1" ht="16.5">
      <c r="A41" s="34"/>
    </row>
    <row r="42" spans="1:1" ht="16.5">
      <c r="A42" s="34"/>
    </row>
    <row r="43" spans="1:1" ht="16.5">
      <c r="A43" s="34"/>
    </row>
    <row r="44" spans="1:1" ht="16.5">
      <c r="A44" s="34"/>
    </row>
    <row r="45" spans="1:1" ht="16.5">
      <c r="A45" s="34"/>
    </row>
  </sheetData>
  <mergeCells count="18">
    <mergeCell ref="B3:B6"/>
    <mergeCell ref="C3:C6"/>
    <mergeCell ref="E3:E6"/>
    <mergeCell ref="E7:E11"/>
    <mergeCell ref="C12:C14"/>
    <mergeCell ref="E12:E14"/>
    <mergeCell ref="C7:C11"/>
    <mergeCell ref="B12:B14"/>
    <mergeCell ref="B7:B11"/>
    <mergeCell ref="B23:B27"/>
    <mergeCell ref="C23:C27"/>
    <mergeCell ref="E15:E18"/>
    <mergeCell ref="E19:E22"/>
    <mergeCell ref="E23:E27"/>
    <mergeCell ref="C19:C22"/>
    <mergeCell ref="B15:B18"/>
    <mergeCell ref="C15:C18"/>
    <mergeCell ref="B19:B22"/>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T210"/>
  <sheetViews>
    <sheetView topLeftCell="C1" zoomScaleNormal="100" workbookViewId="0">
      <pane ySplit="2" topLeftCell="A3" activePane="bottomLeft" state="frozen"/>
      <selection pane="bottomLeft"/>
      <selection activeCell="B1" sqref="B1"/>
    </sheetView>
  </sheetViews>
  <sheetFormatPr defaultColWidth="14.7109375" defaultRowHeight="16.5"/>
  <cols>
    <col min="1" max="1" width="14.42578125" style="111" customWidth="1"/>
    <col min="2" max="2" width="73.42578125" style="115" customWidth="1"/>
    <col min="3" max="3" width="18.42578125" style="7" customWidth="1"/>
    <col min="4" max="4" width="24.5703125" style="116" customWidth="1"/>
    <col min="5" max="5" width="58.7109375" style="111"/>
    <col min="6" max="6" width="18.85546875" style="114" customWidth="1"/>
    <col min="7" max="7" width="15.42578125" style="114" customWidth="1"/>
    <col min="8" max="10" width="14.28515625" style="114" customWidth="1"/>
    <col min="11" max="11" width="19.7109375" style="114" customWidth="1"/>
    <col min="12" max="12" width="27.42578125" style="114" customWidth="1"/>
    <col min="13" max="13" width="16.7109375" style="114" customWidth="1"/>
    <col min="14" max="14" width="36" style="111" customWidth="1"/>
    <col min="15" max="15" width="40.42578125" style="111" customWidth="1"/>
    <col min="16" max="16" width="45.85546875" style="111" customWidth="1"/>
    <col min="17" max="17" width="58.7109375" style="111"/>
    <col min="18" max="18" width="4.85546875" style="5" customWidth="1"/>
    <col min="19" max="19" width="3.42578125" style="5" customWidth="1"/>
    <col min="20" max="20" width="14.7109375" style="14" customWidth="1"/>
    <col min="21" max="16384" width="14.7109375" style="7"/>
  </cols>
  <sheetData>
    <row r="1" spans="1:20" s="89" customFormat="1" ht="42.75">
      <c r="A1" s="168" t="s">
        <v>168</v>
      </c>
      <c r="B1" s="168" t="s">
        <v>169</v>
      </c>
      <c r="C1" s="168" t="s">
        <v>170</v>
      </c>
      <c r="D1" s="168" t="s">
        <v>171</v>
      </c>
      <c r="E1" s="168" t="s">
        <v>172</v>
      </c>
      <c r="F1" s="168" t="s">
        <v>173</v>
      </c>
      <c r="G1" s="217" t="s">
        <v>174</v>
      </c>
      <c r="H1" s="217"/>
      <c r="I1" s="217"/>
      <c r="J1" s="168" t="s">
        <v>175</v>
      </c>
      <c r="K1" s="168" t="s">
        <v>176</v>
      </c>
      <c r="L1" s="168" t="s">
        <v>177</v>
      </c>
      <c r="M1" s="168" t="s">
        <v>178</v>
      </c>
      <c r="N1" s="168" t="s">
        <v>179</v>
      </c>
      <c r="O1" s="168" t="s">
        <v>180</v>
      </c>
      <c r="P1" s="168" t="s">
        <v>181</v>
      </c>
      <c r="Q1" s="168" t="s">
        <v>182</v>
      </c>
      <c r="R1" s="105"/>
      <c r="S1" s="105"/>
    </row>
    <row r="2" spans="1:20" s="89" customFormat="1" ht="28.5">
      <c r="A2" s="169" t="s">
        <v>183</v>
      </c>
      <c r="B2" s="169" t="s">
        <v>133</v>
      </c>
      <c r="C2" s="169" t="s">
        <v>184</v>
      </c>
      <c r="D2" s="169" t="s">
        <v>185</v>
      </c>
      <c r="E2" s="169" t="s">
        <v>186</v>
      </c>
      <c r="F2" s="169" t="s">
        <v>187</v>
      </c>
      <c r="G2" s="169" t="s">
        <v>188</v>
      </c>
      <c r="H2" s="169" t="s">
        <v>189</v>
      </c>
      <c r="I2" s="169" t="s">
        <v>190</v>
      </c>
      <c r="J2" s="169" t="s">
        <v>191</v>
      </c>
      <c r="K2" s="169" t="s">
        <v>192</v>
      </c>
      <c r="L2" s="169" t="s">
        <v>193</v>
      </c>
      <c r="M2" s="169" t="s">
        <v>194</v>
      </c>
      <c r="N2" s="169" t="s">
        <v>195</v>
      </c>
      <c r="O2" s="169" t="s">
        <v>196</v>
      </c>
      <c r="P2" s="169" t="s">
        <v>197</v>
      </c>
      <c r="Q2" s="169" t="s">
        <v>198</v>
      </c>
      <c r="R2" s="106"/>
      <c r="S2" s="106"/>
    </row>
    <row r="3" spans="1:20" s="89" customFormat="1" ht="243">
      <c r="A3" s="161" t="str">
        <f>_xlfn.XLOOKUP(B3,'[2]Paso 3 Redacción RA '!I$3:I$15,'[2]Paso 3 Redacción RA '!C$3:C$15,,0,1)</f>
        <v>Saber</v>
      </c>
      <c r="B3" s="170" t="s">
        <v>108</v>
      </c>
      <c r="C3" s="171">
        <v>1</v>
      </c>
      <c r="D3" s="172" t="s">
        <v>199</v>
      </c>
      <c r="E3" s="173" t="s">
        <v>200</v>
      </c>
      <c r="F3" s="174" t="s">
        <v>201</v>
      </c>
      <c r="G3" s="174" t="s">
        <v>202</v>
      </c>
      <c r="H3" s="174"/>
      <c r="I3" s="174"/>
      <c r="J3" s="174">
        <v>3</v>
      </c>
      <c r="K3" s="174">
        <f>16*J3</f>
        <v>48</v>
      </c>
      <c r="L3" s="174">
        <f>32*J3</f>
        <v>96</v>
      </c>
      <c r="M3" s="174">
        <f>SUM(K3:L3)</f>
        <v>144</v>
      </c>
      <c r="N3" s="175" t="s">
        <v>203</v>
      </c>
      <c r="O3" s="170" t="s">
        <v>204</v>
      </c>
      <c r="P3" s="176" t="s">
        <v>205</v>
      </c>
      <c r="Q3" s="173" t="s">
        <v>206</v>
      </c>
      <c r="R3" s="5"/>
      <c r="S3" s="5"/>
      <c r="T3" s="7"/>
    </row>
    <row r="4" spans="1:20" s="97" customFormat="1" ht="314.25">
      <c r="A4" s="161" t="str">
        <f>_xlfn.XLOOKUP(B4,'[2]Paso 3 Redacción RA '!I$3:I$15,'[2]Paso 3 Redacción RA '!C$3:C$15,,0,1)</f>
        <v>Saber</v>
      </c>
      <c r="B4" s="100" t="s">
        <v>108</v>
      </c>
      <c r="C4" s="102">
        <v>1</v>
      </c>
      <c r="D4" s="102" t="s">
        <v>207</v>
      </c>
      <c r="E4" s="103" t="s">
        <v>208</v>
      </c>
      <c r="F4" s="102" t="s">
        <v>201</v>
      </c>
      <c r="G4" s="101" t="s">
        <v>202</v>
      </c>
      <c r="H4" s="101"/>
      <c r="I4" s="101"/>
      <c r="J4" s="101">
        <v>3</v>
      </c>
      <c r="K4" s="133">
        <f>16*J4</f>
        <v>48</v>
      </c>
      <c r="L4" s="133">
        <f>32*J4</f>
        <v>96</v>
      </c>
      <c r="M4" s="101">
        <f>SUM(K4:L4)</f>
        <v>144</v>
      </c>
      <c r="N4" s="100" t="s">
        <v>209</v>
      </c>
      <c r="O4" s="100" t="s">
        <v>210</v>
      </c>
      <c r="P4" s="100" t="s">
        <v>211</v>
      </c>
      <c r="Q4" s="100" t="s">
        <v>212</v>
      </c>
      <c r="R4" s="5"/>
      <c r="S4" s="5"/>
      <c r="T4" s="107"/>
    </row>
    <row r="5" spans="1:20" s="97" customFormat="1" ht="66">
      <c r="A5" s="97" t="str">
        <f>_xlfn.XLOOKUP(B5,'[2]Paso 3 Redacción RA '!I$3:I$15,'[2]Paso 3 Redacción RA '!C$3:C$15,,0,1)</f>
        <v>Saber</v>
      </c>
      <c r="B5" s="5" t="s">
        <v>90</v>
      </c>
      <c r="C5" s="186">
        <v>1</v>
      </c>
      <c r="D5" s="180" t="s">
        <v>213</v>
      </c>
      <c r="E5" s="207" t="s">
        <v>214</v>
      </c>
      <c r="F5" s="214" t="s">
        <v>201</v>
      </c>
      <c r="G5" s="214"/>
      <c r="H5" s="214" t="s">
        <v>202</v>
      </c>
      <c r="I5" s="214"/>
      <c r="J5" s="214">
        <v>3</v>
      </c>
      <c r="K5" s="214">
        <f>J5*16</f>
        <v>48</v>
      </c>
      <c r="L5" s="214">
        <f>32*J5</f>
        <v>96</v>
      </c>
      <c r="M5" s="214">
        <f>SUM(K5:L5)</f>
        <v>144</v>
      </c>
      <c r="N5" s="207" t="s">
        <v>215</v>
      </c>
      <c r="O5" s="207" t="s">
        <v>216</v>
      </c>
      <c r="P5" s="207" t="s">
        <v>217</v>
      </c>
      <c r="Q5" s="207" t="s">
        <v>212</v>
      </c>
      <c r="R5" s="5"/>
      <c r="S5" s="5"/>
      <c r="T5" s="107"/>
    </row>
    <row r="6" spans="1:20" s="97" customFormat="1" ht="66">
      <c r="A6" s="97" t="str">
        <f>_xlfn.XLOOKUP(B6,'[2]Paso 3 Redacción RA '!I$3:I$15,'[2]Paso 3 Redacción RA '!C$3:C$15,,0,1)</f>
        <v>Saber</v>
      </c>
      <c r="B6" s="5" t="s">
        <v>102</v>
      </c>
      <c r="C6" s="187"/>
      <c r="D6" s="180"/>
      <c r="E6" s="207"/>
      <c r="F6" s="214"/>
      <c r="G6" s="214"/>
      <c r="H6" s="214"/>
      <c r="I6" s="214"/>
      <c r="J6" s="214"/>
      <c r="K6" s="214"/>
      <c r="L6" s="214"/>
      <c r="M6" s="214"/>
      <c r="N6" s="207"/>
      <c r="O6" s="207"/>
      <c r="P6" s="207"/>
      <c r="Q6" s="207"/>
      <c r="R6" s="5"/>
      <c r="S6" s="5"/>
      <c r="T6" s="107"/>
    </row>
    <row r="7" spans="1:20" s="97" customFormat="1" ht="50.1" thickBot="1">
      <c r="A7" s="162" t="str">
        <f>_xlfn.XLOOKUP(B7,'[2]Paso 3 Redacción RA '!I$3:I$15,'[2]Paso 3 Redacción RA '!C$3:C$15,,0,1)</f>
        <v>Saberser</v>
      </c>
      <c r="B7" s="86" t="s">
        <v>98</v>
      </c>
      <c r="C7" s="218"/>
      <c r="D7" s="193"/>
      <c r="E7" s="208"/>
      <c r="F7" s="215"/>
      <c r="G7" s="215"/>
      <c r="H7" s="215"/>
      <c r="I7" s="215"/>
      <c r="J7" s="215"/>
      <c r="K7" s="215"/>
      <c r="L7" s="215"/>
      <c r="M7" s="215"/>
      <c r="N7" s="208"/>
      <c r="O7" s="208"/>
      <c r="P7" s="208"/>
      <c r="Q7" s="208"/>
      <c r="R7" s="5"/>
      <c r="S7" s="5"/>
      <c r="T7" s="107"/>
    </row>
    <row r="8" spans="1:20" s="97" customFormat="1" ht="66">
      <c r="A8" s="97" t="str">
        <f>_xlfn.XLOOKUP(B8,'[2]Paso 3 Redacción RA '!I$3:I$15,'[2]Paso 3 Redacción RA '!C$3:C$15,,0,1)</f>
        <v>Saber</v>
      </c>
      <c r="B8" s="5" t="s">
        <v>90</v>
      </c>
      <c r="C8" s="186" t="s">
        <v>218</v>
      </c>
      <c r="D8" s="192" t="s">
        <v>219</v>
      </c>
      <c r="E8" s="211" t="s">
        <v>220</v>
      </c>
      <c r="F8" s="192" t="s">
        <v>201</v>
      </c>
      <c r="G8" s="192"/>
      <c r="H8" s="192" t="s">
        <v>202</v>
      </c>
      <c r="I8" s="192"/>
      <c r="J8" s="192">
        <v>3</v>
      </c>
      <c r="K8" s="192">
        <f>J8*16</f>
        <v>48</v>
      </c>
      <c r="L8" s="192">
        <f>32*J8</f>
        <v>96</v>
      </c>
      <c r="M8" s="192">
        <f>SUM(K8:L8)</f>
        <v>144</v>
      </c>
      <c r="N8" s="211" t="s">
        <v>221</v>
      </c>
      <c r="O8" s="211" t="s">
        <v>222</v>
      </c>
      <c r="P8" s="211" t="s">
        <v>223</v>
      </c>
      <c r="Q8" s="211" t="s">
        <v>212</v>
      </c>
      <c r="R8" s="5"/>
      <c r="S8" s="5"/>
      <c r="T8" s="107"/>
    </row>
    <row r="9" spans="1:20" s="97" customFormat="1" ht="49.5">
      <c r="A9" s="97" t="str">
        <f>_xlfn.XLOOKUP(B9,'[2]Paso 3 Redacción RA '!I$3:I$15,'[2]Paso 3 Redacción RA '!C$3:C$15,,0,1)</f>
        <v>Saberhacer</v>
      </c>
      <c r="B9" s="5" t="s">
        <v>100</v>
      </c>
      <c r="C9" s="187"/>
      <c r="D9" s="180"/>
      <c r="E9" s="183"/>
      <c r="F9" s="180"/>
      <c r="G9" s="180"/>
      <c r="H9" s="180"/>
      <c r="I9" s="180"/>
      <c r="J9" s="180"/>
      <c r="K9" s="180"/>
      <c r="L9" s="180"/>
      <c r="M9" s="180"/>
      <c r="N9" s="183"/>
      <c r="O9" s="183"/>
      <c r="P9" s="183"/>
      <c r="Q9" s="183"/>
      <c r="R9" s="5"/>
      <c r="S9" s="5"/>
      <c r="T9" s="107"/>
    </row>
    <row r="10" spans="1:20" s="97" customFormat="1" ht="50.1" thickBot="1">
      <c r="A10" s="162" t="str">
        <f>_xlfn.XLOOKUP(B10,'[2]Paso 3 Redacción RA '!I$3:I$15,'[2]Paso 3 Redacción RA '!C$3:C$15,,0,1)</f>
        <v>Saber</v>
      </c>
      <c r="B10" s="86" t="s">
        <v>103</v>
      </c>
      <c r="C10" s="218"/>
      <c r="D10" s="193"/>
      <c r="E10" s="212"/>
      <c r="F10" s="193"/>
      <c r="G10" s="193"/>
      <c r="H10" s="193"/>
      <c r="I10" s="193"/>
      <c r="J10" s="193"/>
      <c r="K10" s="193"/>
      <c r="L10" s="193"/>
      <c r="M10" s="193"/>
      <c r="N10" s="212"/>
      <c r="O10" s="212"/>
      <c r="P10" s="212"/>
      <c r="Q10" s="212"/>
      <c r="R10" s="5"/>
      <c r="S10" s="5"/>
      <c r="T10" s="107"/>
    </row>
    <row r="11" spans="1:20" s="5" customFormat="1" ht="66">
      <c r="A11" s="97" t="str">
        <f>_xlfn.XLOOKUP(B11,'[2]Paso 3 Redacción RA '!I$3:I$15,'[2]Paso 3 Redacción RA '!C$3:C$15,,0,1)</f>
        <v>Saber</v>
      </c>
      <c r="B11" s="5" t="s">
        <v>90</v>
      </c>
      <c r="C11" s="194" t="s">
        <v>218</v>
      </c>
      <c r="D11" s="192" t="s">
        <v>224</v>
      </c>
      <c r="E11" s="211" t="s">
        <v>225</v>
      </c>
      <c r="F11" s="192" t="s">
        <v>226</v>
      </c>
      <c r="G11" s="192"/>
      <c r="H11" s="192" t="s">
        <v>202</v>
      </c>
      <c r="I11" s="192"/>
      <c r="J11" s="192">
        <v>3</v>
      </c>
      <c r="K11" s="192">
        <f>J11*16</f>
        <v>48</v>
      </c>
      <c r="L11" s="192">
        <f>32*J11</f>
        <v>96</v>
      </c>
      <c r="M11" s="192">
        <f>SUM(K11:L11)</f>
        <v>144</v>
      </c>
      <c r="N11" s="211" t="s">
        <v>227</v>
      </c>
      <c r="O11" s="211" t="s">
        <v>222</v>
      </c>
      <c r="P11" s="211" t="s">
        <v>223</v>
      </c>
      <c r="Q11" s="211" t="s">
        <v>212</v>
      </c>
      <c r="R11" s="79"/>
      <c r="S11" s="79"/>
      <c r="T11" s="3"/>
    </row>
    <row r="12" spans="1:20" s="5" customFormat="1" ht="33">
      <c r="A12" s="97" t="str">
        <f>_xlfn.XLOOKUP(B12,'[2]Paso 3 Redacción RA '!I$3:I$15,'[2]Paso 3 Redacción RA '!C$3:C$15,,0,1)</f>
        <v>Saberhacer</v>
      </c>
      <c r="B12" s="5" t="s">
        <v>94</v>
      </c>
      <c r="C12" s="195"/>
      <c r="D12" s="180"/>
      <c r="E12" s="183"/>
      <c r="F12" s="180"/>
      <c r="G12" s="180"/>
      <c r="H12" s="180"/>
      <c r="I12" s="180"/>
      <c r="J12" s="180"/>
      <c r="K12" s="180"/>
      <c r="L12" s="180"/>
      <c r="M12" s="180"/>
      <c r="N12" s="183"/>
      <c r="O12" s="183"/>
      <c r="P12" s="183"/>
      <c r="Q12" s="183"/>
      <c r="R12" s="79"/>
      <c r="S12" s="79"/>
      <c r="T12" s="3"/>
    </row>
    <row r="13" spans="1:20" s="5" customFormat="1" ht="66">
      <c r="A13" s="97" t="str">
        <f>_xlfn.XLOOKUP(B13,'[2]Paso 3 Redacción RA '!I$3:I$15,'[2]Paso 3 Redacción RA '!C$3:C$15,,0,1)</f>
        <v>Saber</v>
      </c>
      <c r="B13" s="5" t="s">
        <v>102</v>
      </c>
      <c r="C13" s="195"/>
      <c r="D13" s="180"/>
      <c r="E13" s="183"/>
      <c r="F13" s="180"/>
      <c r="G13" s="180"/>
      <c r="H13" s="180"/>
      <c r="I13" s="180"/>
      <c r="J13" s="180"/>
      <c r="K13" s="180"/>
      <c r="L13" s="180"/>
      <c r="M13" s="180"/>
      <c r="N13" s="183"/>
      <c r="O13" s="183"/>
      <c r="P13" s="183"/>
      <c r="Q13" s="183"/>
      <c r="R13" s="79"/>
      <c r="S13" s="79"/>
      <c r="T13" s="3"/>
    </row>
    <row r="14" spans="1:20" s="5" customFormat="1" ht="50.1" thickBot="1">
      <c r="A14" s="86" t="str">
        <f>_xlfn.XLOOKUP(B14,'[2]Paso 3 Redacción RA '!I$3:I$15,'[2]Paso 3 Redacción RA '!C$3:C$15,,0,1)</f>
        <v>Saberser</v>
      </c>
      <c r="B14" s="86" t="s">
        <v>98</v>
      </c>
      <c r="C14" s="201"/>
      <c r="D14" s="193"/>
      <c r="E14" s="212"/>
      <c r="F14" s="193"/>
      <c r="G14" s="193"/>
      <c r="H14" s="193"/>
      <c r="I14" s="193"/>
      <c r="J14" s="193"/>
      <c r="K14" s="193"/>
      <c r="L14" s="193"/>
      <c r="M14" s="193"/>
      <c r="N14" s="212"/>
      <c r="O14" s="212"/>
      <c r="P14" s="212"/>
      <c r="Q14" s="212"/>
      <c r="R14" s="79"/>
      <c r="S14" s="79"/>
      <c r="T14" s="3"/>
    </row>
    <row r="15" spans="1:20" s="5" customFormat="1" ht="66">
      <c r="A15" s="97" t="str">
        <f>_xlfn.XLOOKUP(B15,'[2]Paso 3 Redacción RA '!I$3:I$15,'[2]Paso 3 Redacción RA '!C$3:C$15,,0,1)</f>
        <v>Saber</v>
      </c>
      <c r="B15" s="5" t="s">
        <v>90</v>
      </c>
      <c r="C15" s="194" t="s">
        <v>218</v>
      </c>
      <c r="D15" s="192" t="s">
        <v>228</v>
      </c>
      <c r="E15" s="203" t="s">
        <v>229</v>
      </c>
      <c r="F15" s="213" t="s">
        <v>201</v>
      </c>
      <c r="G15" s="213"/>
      <c r="H15" s="213" t="s">
        <v>202</v>
      </c>
      <c r="I15" s="213"/>
      <c r="J15" s="213">
        <v>3</v>
      </c>
      <c r="K15" s="213">
        <f>J15*16</f>
        <v>48</v>
      </c>
      <c r="L15" s="213">
        <f>32*J15</f>
        <v>96</v>
      </c>
      <c r="M15" s="213">
        <f>SUM(K15:L15)</f>
        <v>144</v>
      </c>
      <c r="N15" s="203" t="s">
        <v>230</v>
      </c>
      <c r="O15" s="211" t="s">
        <v>222</v>
      </c>
      <c r="P15" s="203" t="s">
        <v>223</v>
      </c>
      <c r="Q15" s="203" t="s">
        <v>212</v>
      </c>
      <c r="R15" s="79"/>
      <c r="S15" s="79"/>
      <c r="T15" s="3"/>
    </row>
    <row r="16" spans="1:20" s="5" customFormat="1" ht="33">
      <c r="A16" s="97" t="str">
        <f>_xlfn.XLOOKUP(B16,'[2]Paso 3 Redacción RA '!I$3:I$15,'[2]Paso 3 Redacción RA '!C$3:C$15,,0,1)</f>
        <v>Saberhacer</v>
      </c>
      <c r="B16" s="5" t="s">
        <v>94</v>
      </c>
      <c r="C16" s="195"/>
      <c r="D16" s="180"/>
      <c r="E16" s="204"/>
      <c r="F16" s="214"/>
      <c r="G16" s="214"/>
      <c r="H16" s="214"/>
      <c r="I16" s="214"/>
      <c r="J16" s="214"/>
      <c r="K16" s="214"/>
      <c r="L16" s="214"/>
      <c r="M16" s="214"/>
      <c r="N16" s="204"/>
      <c r="O16" s="183"/>
      <c r="P16" s="204"/>
      <c r="Q16" s="204"/>
      <c r="R16" s="79"/>
      <c r="S16" s="79"/>
      <c r="T16" s="3"/>
    </row>
    <row r="17" spans="1:20" s="97" customFormat="1" ht="50.1" thickBot="1">
      <c r="A17" s="162" t="str">
        <f>_xlfn.XLOOKUP(B17,'[2]Paso 3 Redacción RA '!I$3:I$15,'[2]Paso 3 Redacción RA '!C$3:C$15,,0,1)</f>
        <v>Saberser</v>
      </c>
      <c r="B17" s="86" t="s">
        <v>98</v>
      </c>
      <c r="C17" s="201"/>
      <c r="D17" s="193"/>
      <c r="E17" s="205"/>
      <c r="F17" s="215"/>
      <c r="G17" s="215"/>
      <c r="H17" s="215"/>
      <c r="I17" s="215"/>
      <c r="J17" s="215"/>
      <c r="K17" s="215"/>
      <c r="L17" s="215"/>
      <c r="M17" s="215"/>
      <c r="N17" s="205"/>
      <c r="O17" s="212"/>
      <c r="P17" s="205"/>
      <c r="Q17" s="205"/>
      <c r="R17" s="5">
        <f>SUM(J3:J17)</f>
        <v>18</v>
      </c>
      <c r="S17" s="5">
        <f>COUNTA(D3:D17)</f>
        <v>6</v>
      </c>
      <c r="T17" s="107"/>
    </row>
    <row r="18" spans="1:20" ht="297.60000000000002" thickBot="1">
      <c r="A18" s="161" t="str">
        <f>_xlfn.XLOOKUP(B18,'[2]Paso 3 Redacción RA '!I$3:I$15,'[2]Paso 3 Redacción RA '!C$3:C$15,,0,1)</f>
        <v>Saber</v>
      </c>
      <c r="B18" s="100" t="s">
        <v>108</v>
      </c>
      <c r="C18" s="102">
        <v>2</v>
      </c>
      <c r="D18" s="130" t="s">
        <v>231</v>
      </c>
      <c r="E18" s="131" t="s">
        <v>232</v>
      </c>
      <c r="F18" s="132" t="s">
        <v>201</v>
      </c>
      <c r="G18" s="130" t="s">
        <v>202</v>
      </c>
      <c r="H18" s="130"/>
      <c r="I18" s="130"/>
      <c r="J18" s="132">
        <v>3</v>
      </c>
      <c r="K18" s="132">
        <f>16*J18</f>
        <v>48</v>
      </c>
      <c r="L18" s="132">
        <f>32*J18</f>
        <v>96</v>
      </c>
      <c r="M18" s="132">
        <f>SUM(K18:L18)</f>
        <v>144</v>
      </c>
      <c r="N18" s="136" t="s">
        <v>233</v>
      </c>
      <c r="O18" s="103" t="s">
        <v>234</v>
      </c>
      <c r="P18" s="103" t="s">
        <v>235</v>
      </c>
      <c r="Q18" s="131" t="s">
        <v>212</v>
      </c>
      <c r="T18" s="107"/>
    </row>
    <row r="19" spans="1:20" ht="57.75">
      <c r="A19" s="97" t="str">
        <f>_xlfn.XLOOKUP(B19,'[2]Paso 3 Redacción RA '!I$3:I$15,'[2]Paso 3 Redacción RA '!C$3:C$15,,0,1)</f>
        <v>Saber</v>
      </c>
      <c r="B19" s="5" t="s">
        <v>90</v>
      </c>
      <c r="C19" s="192">
        <v>2</v>
      </c>
      <c r="D19" s="192" t="s">
        <v>236</v>
      </c>
      <c r="E19" s="203" t="s">
        <v>237</v>
      </c>
      <c r="F19" s="192" t="s">
        <v>201</v>
      </c>
      <c r="G19" s="192"/>
      <c r="H19" s="192" t="s">
        <v>202</v>
      </c>
      <c r="I19" s="192"/>
      <c r="J19" s="192">
        <v>3</v>
      </c>
      <c r="K19" s="192">
        <f>J19*16</f>
        <v>48</v>
      </c>
      <c r="L19" s="192">
        <f>32*J19</f>
        <v>96</v>
      </c>
      <c r="M19" s="192">
        <f>SUM(K19:L19)</f>
        <v>144</v>
      </c>
      <c r="N19" s="203" t="s">
        <v>238</v>
      </c>
      <c r="O19" s="203" t="s">
        <v>239</v>
      </c>
      <c r="P19" s="203" t="s">
        <v>240</v>
      </c>
      <c r="Q19" s="203" t="s">
        <v>212</v>
      </c>
      <c r="T19" s="107"/>
    </row>
    <row r="20" spans="1:20" ht="33">
      <c r="A20" s="97" t="str">
        <f>_xlfn.XLOOKUP(B20,'[2]Paso 3 Redacción RA '!I$3:I$15,'[2]Paso 3 Redacción RA '!C$3:C$15,,0,1)</f>
        <v>Saberhacer</v>
      </c>
      <c r="B20" s="5" t="s">
        <v>94</v>
      </c>
      <c r="C20" s="180"/>
      <c r="D20" s="180"/>
      <c r="E20" s="204"/>
      <c r="F20" s="180"/>
      <c r="G20" s="180"/>
      <c r="H20" s="180"/>
      <c r="I20" s="180"/>
      <c r="J20" s="180"/>
      <c r="K20" s="180"/>
      <c r="L20" s="180"/>
      <c r="M20" s="180"/>
      <c r="N20" s="204"/>
      <c r="O20" s="204"/>
      <c r="P20" s="204"/>
      <c r="Q20" s="204"/>
      <c r="T20" s="107"/>
    </row>
    <row r="21" spans="1:20" s="97" customFormat="1" ht="66.599999999999994" thickBot="1">
      <c r="A21" s="162" t="str">
        <f>_xlfn.XLOOKUP(B21,'[2]Paso 3 Redacción RA '!I$3:I$15,'[2]Paso 3 Redacción RA '!C$3:C$15,,0,1)</f>
        <v>Saber</v>
      </c>
      <c r="B21" s="86" t="s">
        <v>102</v>
      </c>
      <c r="C21" s="193"/>
      <c r="D21" s="193"/>
      <c r="E21" s="205"/>
      <c r="F21" s="193"/>
      <c r="G21" s="193"/>
      <c r="H21" s="193"/>
      <c r="I21" s="193"/>
      <c r="J21" s="193"/>
      <c r="K21" s="193"/>
      <c r="L21" s="193"/>
      <c r="M21" s="193"/>
      <c r="N21" s="205"/>
      <c r="O21" s="205"/>
      <c r="P21" s="205"/>
      <c r="Q21" s="205"/>
      <c r="R21" s="5"/>
      <c r="S21" s="5"/>
      <c r="T21" s="107"/>
    </row>
    <row r="22" spans="1:20" s="97" customFormat="1" ht="49.5">
      <c r="A22" s="97" t="str">
        <f>_xlfn.XLOOKUP(B22,'[2]Paso 3 Redacción RA '!I$3:I$15,'[2]Paso 3 Redacción RA '!C$3:C$15,,0,1)</f>
        <v>Saberser</v>
      </c>
      <c r="B22" s="5" t="s">
        <v>98</v>
      </c>
      <c r="C22" s="192">
        <v>2</v>
      </c>
      <c r="D22" s="192" t="s">
        <v>241</v>
      </c>
      <c r="E22" s="203" t="s">
        <v>242</v>
      </c>
      <c r="F22" s="192" t="s">
        <v>201</v>
      </c>
      <c r="G22" s="192"/>
      <c r="H22" s="192" t="s">
        <v>202</v>
      </c>
      <c r="I22" s="192"/>
      <c r="J22" s="192">
        <v>3</v>
      </c>
      <c r="K22" s="192">
        <f>J22*16</f>
        <v>48</v>
      </c>
      <c r="L22" s="192">
        <f>32*J22</f>
        <v>96</v>
      </c>
      <c r="M22" s="192">
        <f>SUM(K22:L22)</f>
        <v>144</v>
      </c>
      <c r="N22" s="203" t="s">
        <v>243</v>
      </c>
      <c r="O22" s="203" t="s">
        <v>222</v>
      </c>
      <c r="P22" s="203" t="s">
        <v>223</v>
      </c>
      <c r="Q22" s="203" t="s">
        <v>212</v>
      </c>
      <c r="R22" s="5"/>
      <c r="S22" s="5"/>
      <c r="T22" s="107"/>
    </row>
    <row r="23" spans="1:20" s="97" customFormat="1" ht="49.5">
      <c r="A23" s="97" t="str">
        <f>_xlfn.XLOOKUP(B23,'[2]Paso 3 Redacción RA '!I$3:I$15,'[2]Paso 3 Redacción RA '!C$3:C$15,,0,1)</f>
        <v>Saberhacer</v>
      </c>
      <c r="B23" s="5" t="s">
        <v>100</v>
      </c>
      <c r="C23" s="180"/>
      <c r="D23" s="180"/>
      <c r="E23" s="204"/>
      <c r="F23" s="180"/>
      <c r="G23" s="180"/>
      <c r="H23" s="180"/>
      <c r="I23" s="180"/>
      <c r="J23" s="180"/>
      <c r="K23" s="180"/>
      <c r="L23" s="180"/>
      <c r="M23" s="180"/>
      <c r="N23" s="204"/>
      <c r="O23" s="204"/>
      <c r="P23" s="204"/>
      <c r="Q23" s="204"/>
      <c r="R23" s="5"/>
      <c r="S23" s="5"/>
      <c r="T23" s="107"/>
    </row>
    <row r="24" spans="1:20" s="97" customFormat="1" ht="66.599999999999994" thickBot="1">
      <c r="A24" s="162" t="str">
        <f>_xlfn.XLOOKUP(B24,'[2]Paso 3 Redacción RA '!I$3:I$15,'[2]Paso 3 Redacción RA '!C$3:C$15,,0,1)</f>
        <v>Saber</v>
      </c>
      <c r="B24" s="86" t="s">
        <v>90</v>
      </c>
      <c r="C24" s="193"/>
      <c r="D24" s="193"/>
      <c r="E24" s="205"/>
      <c r="F24" s="193"/>
      <c r="G24" s="193"/>
      <c r="H24" s="193"/>
      <c r="I24" s="193"/>
      <c r="J24" s="193"/>
      <c r="K24" s="193"/>
      <c r="L24" s="193"/>
      <c r="M24" s="193"/>
      <c r="N24" s="205"/>
      <c r="O24" s="205"/>
      <c r="P24" s="205"/>
      <c r="Q24" s="205"/>
      <c r="R24" s="5"/>
      <c r="S24" s="5"/>
      <c r="T24" s="107"/>
    </row>
    <row r="25" spans="1:20" s="97" customFormat="1" ht="66">
      <c r="A25" s="97" t="str">
        <f>_xlfn.XLOOKUP(B25,'[2]Paso 3 Redacción RA '!I$3:I$15,'[2]Paso 3 Redacción RA '!C$3:C$15,,0,1)</f>
        <v>Saber</v>
      </c>
      <c r="B25" s="5" t="s">
        <v>90</v>
      </c>
      <c r="C25" s="192">
        <v>2</v>
      </c>
      <c r="D25" s="192" t="s">
        <v>244</v>
      </c>
      <c r="E25" s="203" t="s">
        <v>245</v>
      </c>
      <c r="F25" s="192" t="s">
        <v>201</v>
      </c>
      <c r="G25" s="192"/>
      <c r="H25" s="192" t="s">
        <v>202</v>
      </c>
      <c r="I25" s="192"/>
      <c r="J25" s="192">
        <v>3</v>
      </c>
      <c r="K25" s="192">
        <f>J25*16</f>
        <v>48</v>
      </c>
      <c r="L25" s="192">
        <f>32*J25</f>
        <v>96</v>
      </c>
      <c r="M25" s="192">
        <f>SUM(K25:L25)</f>
        <v>144</v>
      </c>
      <c r="N25" s="203" t="s">
        <v>246</v>
      </c>
      <c r="O25" s="203" t="s">
        <v>222</v>
      </c>
      <c r="P25" s="203" t="s">
        <v>223</v>
      </c>
      <c r="Q25" s="203" t="s">
        <v>212</v>
      </c>
      <c r="R25" s="5"/>
      <c r="S25" s="5"/>
      <c r="T25" s="107"/>
    </row>
    <row r="26" spans="1:20" s="97" customFormat="1" ht="33">
      <c r="A26" s="97" t="str">
        <f>_xlfn.XLOOKUP(B26,'[2]Paso 3 Redacción RA '!I$3:I$15,'[2]Paso 3 Redacción RA '!C$3:C$15,,0,1)</f>
        <v>Saberhacer</v>
      </c>
      <c r="B26" s="5" t="s">
        <v>94</v>
      </c>
      <c r="C26" s="180"/>
      <c r="D26" s="180"/>
      <c r="E26" s="204"/>
      <c r="F26" s="180"/>
      <c r="G26" s="180"/>
      <c r="H26" s="180"/>
      <c r="I26" s="180"/>
      <c r="J26" s="180"/>
      <c r="K26" s="180"/>
      <c r="L26" s="180"/>
      <c r="M26" s="180"/>
      <c r="N26" s="204"/>
      <c r="O26" s="204"/>
      <c r="P26" s="204"/>
      <c r="Q26" s="204"/>
      <c r="R26" s="5"/>
      <c r="S26" s="5"/>
      <c r="T26" s="107"/>
    </row>
    <row r="27" spans="1:20" s="97" customFormat="1" ht="49.5">
      <c r="A27" s="97" t="str">
        <f>_xlfn.XLOOKUP(B27,'[2]Paso 3 Redacción RA '!I$3:I$15,'[2]Paso 3 Redacción RA '!C$3:C$15,,0,1)</f>
        <v>Saber</v>
      </c>
      <c r="B27" s="5" t="s">
        <v>103</v>
      </c>
      <c r="C27" s="180"/>
      <c r="D27" s="180"/>
      <c r="E27" s="204"/>
      <c r="F27" s="180"/>
      <c r="G27" s="180"/>
      <c r="H27" s="180"/>
      <c r="I27" s="180"/>
      <c r="J27" s="180"/>
      <c r="K27" s="180"/>
      <c r="L27" s="180"/>
      <c r="M27" s="180"/>
      <c r="N27" s="204"/>
      <c r="O27" s="204"/>
      <c r="P27" s="204"/>
      <c r="Q27" s="204"/>
      <c r="R27" s="5"/>
      <c r="S27" s="5"/>
      <c r="T27" s="107"/>
    </row>
    <row r="28" spans="1:20" s="97" customFormat="1" ht="50.1" thickBot="1">
      <c r="A28" s="162" t="str">
        <f>_xlfn.XLOOKUP(B28,'[2]Paso 3 Redacción RA '!I$3:I$15,'[2]Paso 3 Redacción RA '!C$3:C$15,,0,1)</f>
        <v>Saberser</v>
      </c>
      <c r="B28" s="86" t="s">
        <v>98</v>
      </c>
      <c r="C28" s="193"/>
      <c r="D28" s="193"/>
      <c r="E28" s="205"/>
      <c r="F28" s="193"/>
      <c r="G28" s="193"/>
      <c r="H28" s="193"/>
      <c r="I28" s="193"/>
      <c r="J28" s="193"/>
      <c r="K28" s="193"/>
      <c r="L28" s="193"/>
      <c r="M28" s="193"/>
      <c r="N28" s="205"/>
      <c r="O28" s="205"/>
      <c r="P28" s="205"/>
      <c r="Q28" s="205"/>
      <c r="R28" s="5"/>
      <c r="S28" s="5"/>
      <c r="T28" s="107"/>
    </row>
    <row r="29" spans="1:20" s="97" customFormat="1" ht="57.75">
      <c r="A29" s="97" t="str">
        <f>_xlfn.XLOOKUP(B29,'[2]Paso 3 Redacción RA '!I$3:I$15,'[2]Paso 3 Redacción RA '!C$3:C$15,,0,1)</f>
        <v>Saber</v>
      </c>
      <c r="B29" s="5" t="s">
        <v>90</v>
      </c>
      <c r="C29" s="192">
        <v>2</v>
      </c>
      <c r="D29" s="192" t="s">
        <v>247</v>
      </c>
      <c r="E29" s="203" t="s">
        <v>248</v>
      </c>
      <c r="F29" s="192" t="s">
        <v>226</v>
      </c>
      <c r="G29" s="192"/>
      <c r="H29" s="192" t="s">
        <v>202</v>
      </c>
      <c r="I29" s="192"/>
      <c r="J29" s="192">
        <v>4</v>
      </c>
      <c r="K29" s="192">
        <f>J29*16</f>
        <v>64</v>
      </c>
      <c r="L29" s="192">
        <f>32*J29</f>
        <v>128</v>
      </c>
      <c r="M29" s="192">
        <f>SUM(K29:L29)</f>
        <v>192</v>
      </c>
      <c r="N29" s="203" t="s">
        <v>249</v>
      </c>
      <c r="O29" s="203" t="s">
        <v>222</v>
      </c>
      <c r="P29" s="203" t="s">
        <v>223</v>
      </c>
      <c r="Q29" s="203" t="s">
        <v>212</v>
      </c>
      <c r="R29" s="5"/>
      <c r="S29" s="5"/>
      <c r="T29" s="107"/>
    </row>
    <row r="30" spans="1:20" s="97" customFormat="1" ht="49.5">
      <c r="A30" s="97" t="str">
        <f>_xlfn.XLOOKUP(B30,'[2]Paso 3 Redacción RA '!I$3:I$15,'[2]Paso 3 Redacción RA '!C$3:C$15,,0,1)</f>
        <v>Saberser</v>
      </c>
      <c r="B30" s="5" t="s">
        <v>98</v>
      </c>
      <c r="C30" s="180"/>
      <c r="D30" s="180"/>
      <c r="E30" s="204"/>
      <c r="F30" s="180"/>
      <c r="G30" s="180"/>
      <c r="H30" s="180"/>
      <c r="I30" s="180"/>
      <c r="J30" s="180"/>
      <c r="K30" s="180"/>
      <c r="L30" s="180"/>
      <c r="M30" s="180"/>
      <c r="N30" s="204"/>
      <c r="O30" s="204"/>
      <c r="P30" s="204"/>
      <c r="Q30" s="204"/>
      <c r="R30" s="5"/>
      <c r="S30" s="5"/>
      <c r="T30" s="107"/>
    </row>
    <row r="31" spans="1:20" s="97" customFormat="1" ht="50.1" thickBot="1">
      <c r="A31" s="162" t="str">
        <f>_xlfn.XLOOKUP(B31,'[2]Paso 3 Redacción RA '!I$3:I$15,'[2]Paso 3 Redacción RA '!C$3:C$15,,0,1)</f>
        <v>Saberhacer</v>
      </c>
      <c r="B31" s="86" t="s">
        <v>100</v>
      </c>
      <c r="C31" s="193"/>
      <c r="D31" s="193"/>
      <c r="E31" s="205"/>
      <c r="F31" s="193"/>
      <c r="G31" s="193"/>
      <c r="H31" s="193"/>
      <c r="I31" s="193"/>
      <c r="J31" s="193"/>
      <c r="K31" s="193"/>
      <c r="L31" s="193"/>
      <c r="M31" s="193"/>
      <c r="N31" s="205"/>
      <c r="O31" s="205"/>
      <c r="P31" s="205"/>
      <c r="Q31" s="205"/>
      <c r="R31" s="5">
        <f>SUM(J18:J31)</f>
        <v>16</v>
      </c>
      <c r="S31" s="5">
        <f>COUNTA(D18:D31)</f>
        <v>5</v>
      </c>
      <c r="T31" s="107"/>
    </row>
    <row r="32" spans="1:20" s="97" customFormat="1" ht="297.60000000000002" thickBot="1">
      <c r="A32" s="161" t="str">
        <f>_xlfn.XLOOKUP(B32,'[2]Paso 3 Redacción RA '!I$3:I$15,'[2]Paso 3 Redacción RA '!C$3:C$15,,0,1)</f>
        <v>Saber</v>
      </c>
      <c r="B32" s="100" t="s">
        <v>108</v>
      </c>
      <c r="C32" s="102">
        <v>3</v>
      </c>
      <c r="D32" s="130" t="s">
        <v>250</v>
      </c>
      <c r="E32" s="131" t="s">
        <v>251</v>
      </c>
      <c r="F32" s="132" t="s">
        <v>201</v>
      </c>
      <c r="G32" s="130" t="s">
        <v>202</v>
      </c>
      <c r="H32" s="130"/>
      <c r="I32" s="130"/>
      <c r="J32" s="132">
        <v>3</v>
      </c>
      <c r="K32" s="132">
        <f>16*J32</f>
        <v>48</v>
      </c>
      <c r="L32" s="132">
        <f>32*J32</f>
        <v>96</v>
      </c>
      <c r="M32" s="132">
        <f>SUM(K32:L32)</f>
        <v>144</v>
      </c>
      <c r="N32" s="131" t="s">
        <v>252</v>
      </c>
      <c r="O32" s="103" t="s">
        <v>253</v>
      </c>
      <c r="P32" s="103" t="s">
        <v>235</v>
      </c>
      <c r="Q32" s="131" t="s">
        <v>212</v>
      </c>
      <c r="R32" s="5"/>
      <c r="S32" s="5"/>
      <c r="T32" s="107"/>
    </row>
    <row r="33" spans="1:20" s="97" customFormat="1" ht="328.5">
      <c r="A33" s="161" t="str">
        <f>_xlfn.XLOOKUP(B33,'[2]Paso 3 Redacción RA '!I$3:I$15,'[2]Paso 3 Redacción RA '!C$3:C$15,,0,1)</f>
        <v>Saber</v>
      </c>
      <c r="B33" s="100" t="s">
        <v>108</v>
      </c>
      <c r="C33" s="102">
        <v>3</v>
      </c>
      <c r="D33" s="130" t="s">
        <v>254</v>
      </c>
      <c r="E33" s="131" t="s">
        <v>255</v>
      </c>
      <c r="F33" s="132" t="s">
        <v>201</v>
      </c>
      <c r="G33" s="132" t="s">
        <v>202</v>
      </c>
      <c r="H33" s="132"/>
      <c r="I33" s="132"/>
      <c r="J33" s="137">
        <v>3</v>
      </c>
      <c r="K33" s="132">
        <f>16*J33</f>
        <v>48</v>
      </c>
      <c r="L33" s="132">
        <f>32*J33</f>
        <v>96</v>
      </c>
      <c r="M33" s="132">
        <f>SUM(K33:L33)</f>
        <v>144</v>
      </c>
      <c r="N33" s="131" t="s">
        <v>256</v>
      </c>
      <c r="O33" s="100" t="s">
        <v>257</v>
      </c>
      <c r="P33" s="100" t="s">
        <v>258</v>
      </c>
      <c r="Q33" s="131" t="s">
        <v>212</v>
      </c>
      <c r="R33" s="5"/>
      <c r="S33" s="5"/>
      <c r="T33" s="107"/>
    </row>
    <row r="34" spans="1:20" s="97" customFormat="1" ht="57.75">
      <c r="A34" s="97" t="str">
        <f>_xlfn.XLOOKUP(B34,'[2]Paso 3 Redacción RA '!I$3:I$15,'[2]Paso 3 Redacción RA '!C$3:C$15,,0,1)</f>
        <v>Saber</v>
      </c>
      <c r="B34" s="5" t="s">
        <v>90</v>
      </c>
      <c r="C34" s="192">
        <v>3</v>
      </c>
      <c r="D34" s="192" t="s">
        <v>259</v>
      </c>
      <c r="E34" s="203" t="s">
        <v>260</v>
      </c>
      <c r="F34" s="192" t="s">
        <v>201</v>
      </c>
      <c r="G34" s="192"/>
      <c r="H34" s="192" t="s">
        <v>202</v>
      </c>
      <c r="I34" s="192"/>
      <c r="J34" s="192">
        <v>3</v>
      </c>
      <c r="K34" s="192">
        <f>J34*16</f>
        <v>48</v>
      </c>
      <c r="L34" s="192">
        <f>32*J34</f>
        <v>96</v>
      </c>
      <c r="M34" s="192">
        <f>SUM(K34:L34)</f>
        <v>144</v>
      </c>
      <c r="N34" s="203" t="s">
        <v>261</v>
      </c>
      <c r="O34" s="203" t="s">
        <v>222</v>
      </c>
      <c r="P34" s="203" t="s">
        <v>223</v>
      </c>
      <c r="Q34" s="203" t="s">
        <v>212</v>
      </c>
      <c r="R34" s="5"/>
      <c r="S34" s="5"/>
      <c r="T34" s="107"/>
    </row>
    <row r="35" spans="1:20" s="97" customFormat="1" ht="42.75">
      <c r="A35" s="97" t="str">
        <f>_xlfn.XLOOKUP(B35,'[2]Paso 3 Redacción RA '!I$3:I$15,'[2]Paso 3 Redacción RA '!C$3:C$15,,0,1)</f>
        <v>Saberhacer</v>
      </c>
      <c r="B35" s="5" t="s">
        <v>100</v>
      </c>
      <c r="C35" s="180"/>
      <c r="D35" s="180"/>
      <c r="E35" s="204"/>
      <c r="F35" s="180"/>
      <c r="G35" s="180"/>
      <c r="H35" s="180"/>
      <c r="I35" s="180"/>
      <c r="J35" s="180"/>
      <c r="K35" s="180"/>
      <c r="L35" s="180"/>
      <c r="M35" s="180"/>
      <c r="N35" s="204"/>
      <c r="O35" s="204"/>
      <c r="P35" s="204"/>
      <c r="Q35" s="204"/>
      <c r="R35" s="5"/>
      <c r="S35" s="5"/>
      <c r="T35" s="107"/>
    </row>
    <row r="36" spans="1:20" s="97" customFormat="1" ht="42.75">
      <c r="A36" s="162" t="str">
        <f>_xlfn.XLOOKUP(B36,'[2]Paso 3 Redacción RA '!I$3:I$15,'[2]Paso 3 Redacción RA '!C$3:C$15,,0,1)</f>
        <v>Saberhacer</v>
      </c>
      <c r="B36" s="86" t="s">
        <v>94</v>
      </c>
      <c r="C36" s="193"/>
      <c r="D36" s="193"/>
      <c r="E36" s="205"/>
      <c r="F36" s="193"/>
      <c r="G36" s="193"/>
      <c r="H36" s="193"/>
      <c r="I36" s="193"/>
      <c r="J36" s="193"/>
      <c r="K36" s="193"/>
      <c r="L36" s="193"/>
      <c r="M36" s="193"/>
      <c r="N36" s="205"/>
      <c r="O36" s="205"/>
      <c r="P36" s="205"/>
      <c r="Q36" s="205"/>
      <c r="R36" s="5"/>
      <c r="S36" s="5"/>
      <c r="T36" s="107"/>
    </row>
    <row r="37" spans="1:20" s="97" customFormat="1" ht="66">
      <c r="A37" s="97" t="str">
        <f>_xlfn.XLOOKUP(B37,'[2]Paso 3 Redacción RA '!I$3:I$15,'[2]Paso 3 Redacción RA '!C$3:C$15,,0,1)</f>
        <v>Saber</v>
      </c>
      <c r="B37" s="5" t="s">
        <v>90</v>
      </c>
      <c r="C37" s="192">
        <v>3</v>
      </c>
      <c r="D37" s="192" t="s">
        <v>262</v>
      </c>
      <c r="E37" s="203" t="s">
        <v>263</v>
      </c>
      <c r="F37" s="192" t="s">
        <v>201</v>
      </c>
      <c r="G37" s="192"/>
      <c r="H37" s="192" t="s">
        <v>202</v>
      </c>
      <c r="I37" s="192"/>
      <c r="J37" s="192">
        <v>3</v>
      </c>
      <c r="K37" s="192">
        <f>J37*16</f>
        <v>48</v>
      </c>
      <c r="L37" s="192">
        <f>32*J37</f>
        <v>96</v>
      </c>
      <c r="M37" s="192">
        <f>SUM(K37:L37)</f>
        <v>144</v>
      </c>
      <c r="N37" s="203" t="s">
        <v>264</v>
      </c>
      <c r="O37" s="203" t="s">
        <v>222</v>
      </c>
      <c r="P37" s="203" t="s">
        <v>223</v>
      </c>
      <c r="Q37" s="203" t="s">
        <v>212</v>
      </c>
      <c r="R37" s="5"/>
      <c r="S37" s="5"/>
      <c r="T37" s="107"/>
    </row>
    <row r="38" spans="1:20" s="97" customFormat="1" ht="66">
      <c r="A38" s="97" t="str">
        <f>_xlfn.XLOOKUP(B38,'[2]Paso 3 Redacción RA '!I$3:I$15,'[2]Paso 3 Redacción RA '!C$3:C$15,,0,1)</f>
        <v>Saber</v>
      </c>
      <c r="B38" s="5" t="s">
        <v>102</v>
      </c>
      <c r="C38" s="180"/>
      <c r="D38" s="180"/>
      <c r="E38" s="204"/>
      <c r="F38" s="180"/>
      <c r="G38" s="180"/>
      <c r="H38" s="180"/>
      <c r="I38" s="180"/>
      <c r="J38" s="180"/>
      <c r="K38" s="180"/>
      <c r="L38" s="180"/>
      <c r="M38" s="180"/>
      <c r="N38" s="204"/>
      <c r="O38" s="204"/>
      <c r="P38" s="204"/>
      <c r="Q38" s="204"/>
      <c r="R38" s="5"/>
      <c r="S38" s="5"/>
      <c r="T38" s="107"/>
    </row>
    <row r="39" spans="1:20" s="97" customFormat="1" ht="50.1" thickBot="1">
      <c r="A39" s="162" t="str">
        <f>_xlfn.XLOOKUP(B39,'[2]Paso 3 Redacción RA '!I$3:I$15,'[2]Paso 3 Redacción RA '!C$3:C$15,,0,1)</f>
        <v>Saberser</v>
      </c>
      <c r="B39" s="86" t="s">
        <v>98</v>
      </c>
      <c r="C39" s="193"/>
      <c r="D39" s="193"/>
      <c r="E39" s="205"/>
      <c r="F39" s="193"/>
      <c r="G39" s="193"/>
      <c r="H39" s="193"/>
      <c r="I39" s="193"/>
      <c r="J39" s="193"/>
      <c r="K39" s="193"/>
      <c r="L39" s="193"/>
      <c r="M39" s="193"/>
      <c r="N39" s="205"/>
      <c r="O39" s="205"/>
      <c r="P39" s="205"/>
      <c r="Q39" s="205"/>
      <c r="R39" s="5"/>
      <c r="S39" s="5"/>
      <c r="T39" s="107"/>
    </row>
    <row r="40" spans="1:20" s="97" customFormat="1" ht="66">
      <c r="A40" s="97" t="str">
        <f>_xlfn.XLOOKUP(B40,'[2]Paso 3 Redacción RA '!I$3:I$15,'[2]Paso 3 Redacción RA '!C$3:C$15,,0,1)</f>
        <v>Saber</v>
      </c>
      <c r="B40" s="5" t="s">
        <v>90</v>
      </c>
      <c r="C40" s="192">
        <v>3</v>
      </c>
      <c r="D40" s="192" t="s">
        <v>265</v>
      </c>
      <c r="E40" s="203" t="s">
        <v>266</v>
      </c>
      <c r="F40" s="192" t="s">
        <v>201</v>
      </c>
      <c r="G40" s="192"/>
      <c r="H40" s="192" t="s">
        <v>202</v>
      </c>
      <c r="I40" s="192"/>
      <c r="J40" s="192">
        <v>3</v>
      </c>
      <c r="K40" s="192">
        <f>J40*16</f>
        <v>48</v>
      </c>
      <c r="L40" s="192">
        <f>32*J40</f>
        <v>96</v>
      </c>
      <c r="M40" s="192">
        <f>SUM(K40:L40)</f>
        <v>144</v>
      </c>
      <c r="N40" s="203" t="s">
        <v>267</v>
      </c>
      <c r="O40" s="203" t="s">
        <v>222</v>
      </c>
      <c r="P40" s="203" t="s">
        <v>223</v>
      </c>
      <c r="Q40" s="203" t="s">
        <v>212</v>
      </c>
      <c r="R40" s="5"/>
      <c r="S40" s="5"/>
      <c r="T40" s="107"/>
    </row>
    <row r="41" spans="1:20" s="97" customFormat="1" ht="49.5">
      <c r="A41" s="97" t="str">
        <f>_xlfn.XLOOKUP(B41,'[2]Paso 3 Redacción RA '!I$3:I$15,'[2]Paso 3 Redacción RA '!C$3:C$15,,0,1)</f>
        <v>Saberhacer</v>
      </c>
      <c r="B41" s="5" t="s">
        <v>100</v>
      </c>
      <c r="C41" s="180"/>
      <c r="D41" s="180"/>
      <c r="E41" s="204"/>
      <c r="F41" s="180"/>
      <c r="G41" s="180"/>
      <c r="H41" s="180"/>
      <c r="I41" s="180"/>
      <c r="J41" s="180"/>
      <c r="K41" s="180"/>
      <c r="L41" s="180"/>
      <c r="M41" s="180"/>
      <c r="N41" s="204"/>
      <c r="O41" s="204"/>
      <c r="P41" s="204"/>
      <c r="Q41" s="204"/>
      <c r="R41" s="5"/>
      <c r="S41" s="5"/>
      <c r="T41" s="107"/>
    </row>
    <row r="42" spans="1:20" s="97" customFormat="1" ht="50.1" thickBot="1">
      <c r="A42" s="162" t="str">
        <f>_xlfn.XLOOKUP(B42,'[2]Paso 3 Redacción RA '!I$3:I$15,'[2]Paso 3 Redacción RA '!C$3:C$15,,0,1)</f>
        <v>Saber</v>
      </c>
      <c r="B42" s="86" t="s">
        <v>103</v>
      </c>
      <c r="C42" s="193"/>
      <c r="D42" s="193"/>
      <c r="E42" s="205"/>
      <c r="F42" s="193"/>
      <c r="G42" s="193"/>
      <c r="H42" s="193"/>
      <c r="I42" s="193"/>
      <c r="J42" s="193"/>
      <c r="K42" s="193"/>
      <c r="L42" s="193"/>
      <c r="M42" s="193"/>
      <c r="N42" s="205"/>
      <c r="O42" s="205"/>
      <c r="P42" s="205"/>
      <c r="Q42" s="205"/>
      <c r="R42" s="5"/>
      <c r="S42" s="5"/>
      <c r="T42" s="107"/>
    </row>
    <row r="43" spans="1:20" s="97" customFormat="1" ht="66">
      <c r="A43" s="97" t="str">
        <f>_xlfn.XLOOKUP(B43,'[2]Paso 3 Redacción RA '!I$3:I$15,'[2]Paso 3 Redacción RA '!C$3:C$15,,0,1)</f>
        <v>Saber</v>
      </c>
      <c r="B43" s="5" t="s">
        <v>90</v>
      </c>
      <c r="C43" s="192">
        <v>3</v>
      </c>
      <c r="D43" s="192" t="s">
        <v>268</v>
      </c>
      <c r="E43" s="203" t="s">
        <v>269</v>
      </c>
      <c r="F43" s="192" t="s">
        <v>201</v>
      </c>
      <c r="G43" s="192"/>
      <c r="H43" s="192" t="s">
        <v>202</v>
      </c>
      <c r="I43" s="192"/>
      <c r="J43" s="192">
        <v>3</v>
      </c>
      <c r="K43" s="192">
        <f>J43*16</f>
        <v>48</v>
      </c>
      <c r="L43" s="192">
        <f>32*J43</f>
        <v>96</v>
      </c>
      <c r="M43" s="192">
        <f>SUM(K43:L43)</f>
        <v>144</v>
      </c>
      <c r="N43" s="203" t="s">
        <v>270</v>
      </c>
      <c r="O43" s="203" t="s">
        <v>222</v>
      </c>
      <c r="P43" s="203" t="s">
        <v>223</v>
      </c>
      <c r="Q43" s="203" t="s">
        <v>212</v>
      </c>
      <c r="R43" s="5"/>
      <c r="S43" s="5"/>
      <c r="T43" s="107"/>
    </row>
    <row r="44" spans="1:20" s="97" customFormat="1" ht="33">
      <c r="A44" s="97" t="str">
        <f>_xlfn.XLOOKUP(B44,'[2]Paso 3 Redacción RA '!I$3:I$15,'[2]Paso 3 Redacción RA '!C$3:C$15,,0,1)</f>
        <v>Saberhacer</v>
      </c>
      <c r="B44" s="5" t="s">
        <v>94</v>
      </c>
      <c r="C44" s="180"/>
      <c r="D44" s="180"/>
      <c r="E44" s="204"/>
      <c r="F44" s="180"/>
      <c r="G44" s="180"/>
      <c r="H44" s="180"/>
      <c r="I44" s="180"/>
      <c r="J44" s="180"/>
      <c r="K44" s="180"/>
      <c r="L44" s="180"/>
      <c r="M44" s="180"/>
      <c r="N44" s="204"/>
      <c r="O44" s="204"/>
      <c r="P44" s="204"/>
      <c r="Q44" s="204"/>
      <c r="R44" s="5"/>
      <c r="S44" s="5"/>
      <c r="T44" s="107"/>
    </row>
    <row r="45" spans="1:20" s="97" customFormat="1" ht="50.1" thickBot="1">
      <c r="A45" s="162" t="str">
        <f>_xlfn.XLOOKUP(B45,'[2]Paso 3 Redacción RA '!I$3:I$15,'[2]Paso 3 Redacción RA '!C$3:C$15,,0,1)</f>
        <v>Saberser</v>
      </c>
      <c r="B45" s="86" t="s">
        <v>98</v>
      </c>
      <c r="C45" s="193"/>
      <c r="D45" s="193"/>
      <c r="E45" s="205"/>
      <c r="F45" s="193"/>
      <c r="G45" s="193"/>
      <c r="H45" s="193"/>
      <c r="I45" s="193"/>
      <c r="J45" s="193"/>
      <c r="K45" s="193"/>
      <c r="L45" s="193"/>
      <c r="M45" s="193"/>
      <c r="N45" s="205"/>
      <c r="O45" s="205"/>
      <c r="P45" s="205"/>
      <c r="Q45" s="205"/>
      <c r="R45" s="5">
        <f>SUM(J32:J45)</f>
        <v>18</v>
      </c>
      <c r="S45" s="5">
        <f>COUNTA(D32:D45)</f>
        <v>6</v>
      </c>
      <c r="T45" s="107"/>
    </row>
    <row r="46" spans="1:20" s="97" customFormat="1" ht="297.60000000000002" thickBot="1">
      <c r="A46" s="161" t="str">
        <f>_xlfn.XLOOKUP(B46,'[2]Paso 3 Redacción RA '!I$3:I$15,'[2]Paso 3 Redacción RA '!C$3:C$15,,0,1)</f>
        <v>Saber</v>
      </c>
      <c r="B46" s="100" t="s">
        <v>108</v>
      </c>
      <c r="C46" s="102">
        <v>4</v>
      </c>
      <c r="D46" s="132" t="s">
        <v>271</v>
      </c>
      <c r="E46" s="131" t="s">
        <v>272</v>
      </c>
      <c r="F46" s="132" t="s">
        <v>201</v>
      </c>
      <c r="G46" s="138" t="s">
        <v>202</v>
      </c>
      <c r="H46" s="138"/>
      <c r="I46" s="138"/>
      <c r="J46" s="130">
        <v>3</v>
      </c>
      <c r="K46" s="132">
        <f>16*J46</f>
        <v>48</v>
      </c>
      <c r="L46" s="132">
        <f>32*J46</f>
        <v>96</v>
      </c>
      <c r="M46" s="138">
        <f>SUM(K46:L46)</f>
        <v>144</v>
      </c>
      <c r="N46" s="139" t="s">
        <v>273</v>
      </c>
      <c r="O46" s="103" t="s">
        <v>274</v>
      </c>
      <c r="P46" s="103" t="s">
        <v>275</v>
      </c>
      <c r="Q46" s="163" t="s">
        <v>212</v>
      </c>
      <c r="R46" s="5"/>
      <c r="S46" s="5"/>
      <c r="T46" s="107"/>
    </row>
    <row r="47" spans="1:20" s="97" customFormat="1" ht="66">
      <c r="A47" s="97" t="str">
        <f>_xlfn.XLOOKUP(B47,'[2]Paso 3 Redacción RA '!I$3:I$15,'[2]Paso 3 Redacción RA '!C$3:C$15,,0,1)</f>
        <v>Saber</v>
      </c>
      <c r="B47" s="5" t="s">
        <v>90</v>
      </c>
      <c r="C47" s="192">
        <v>4</v>
      </c>
      <c r="D47" s="192" t="s">
        <v>276</v>
      </c>
      <c r="E47" s="203" t="s">
        <v>277</v>
      </c>
      <c r="F47" s="192" t="s">
        <v>201</v>
      </c>
      <c r="G47" s="192"/>
      <c r="H47" s="192" t="s">
        <v>202</v>
      </c>
      <c r="I47" s="192"/>
      <c r="J47" s="192">
        <v>3</v>
      </c>
      <c r="K47" s="192">
        <f>J47*16</f>
        <v>48</v>
      </c>
      <c r="L47" s="192">
        <f>32*J47</f>
        <v>96</v>
      </c>
      <c r="M47" s="192">
        <f>SUM(K47:L47)</f>
        <v>144</v>
      </c>
      <c r="N47" s="203" t="s">
        <v>278</v>
      </c>
      <c r="O47" s="203" t="s">
        <v>222</v>
      </c>
      <c r="P47" s="203" t="s">
        <v>223</v>
      </c>
      <c r="Q47" s="203" t="s">
        <v>212</v>
      </c>
      <c r="R47" s="5"/>
      <c r="S47" s="5"/>
      <c r="T47" s="107"/>
    </row>
    <row r="48" spans="1:20" s="97" customFormat="1" ht="66">
      <c r="A48" s="97" t="str">
        <f>_xlfn.XLOOKUP(B48,'[2]Paso 3 Redacción RA '!I$3:I$15,'[2]Paso 3 Redacción RA '!C$3:C$15,,0,1)</f>
        <v>Saber</v>
      </c>
      <c r="B48" s="5" t="s">
        <v>102</v>
      </c>
      <c r="C48" s="180"/>
      <c r="D48" s="180"/>
      <c r="E48" s="204"/>
      <c r="F48" s="180"/>
      <c r="G48" s="180"/>
      <c r="H48" s="180"/>
      <c r="I48" s="180"/>
      <c r="J48" s="180"/>
      <c r="K48" s="180"/>
      <c r="L48" s="180"/>
      <c r="M48" s="180"/>
      <c r="N48" s="204"/>
      <c r="O48" s="204"/>
      <c r="P48" s="204"/>
      <c r="Q48" s="204"/>
      <c r="R48" s="5"/>
      <c r="S48" s="5"/>
      <c r="T48" s="107"/>
    </row>
    <row r="49" spans="1:20" s="97" customFormat="1" ht="33">
      <c r="A49" s="97" t="str">
        <f>_xlfn.XLOOKUP(B49,'[2]Paso 3 Redacción RA '!I$3:I$15,'[2]Paso 3 Redacción RA '!C$3:C$15,,0,1)</f>
        <v>Saberhacer</v>
      </c>
      <c r="B49" s="5" t="s">
        <v>94</v>
      </c>
      <c r="C49" s="180"/>
      <c r="D49" s="180"/>
      <c r="E49" s="204"/>
      <c r="F49" s="180"/>
      <c r="G49" s="180"/>
      <c r="H49" s="180"/>
      <c r="I49" s="180"/>
      <c r="J49" s="180"/>
      <c r="K49" s="180"/>
      <c r="L49" s="180"/>
      <c r="M49" s="180"/>
      <c r="N49" s="204"/>
      <c r="O49" s="204"/>
      <c r="P49" s="204"/>
      <c r="Q49" s="204"/>
      <c r="R49" s="5"/>
      <c r="S49" s="5"/>
      <c r="T49" s="107"/>
    </row>
    <row r="50" spans="1:20" s="97" customFormat="1" ht="50.1" thickBot="1">
      <c r="A50" s="162" t="str">
        <f>_xlfn.XLOOKUP(B50,'[2]Paso 3 Redacción RA '!I$3:I$15,'[2]Paso 3 Redacción RA '!C$3:C$15,,0,1)</f>
        <v>Saberhacer</v>
      </c>
      <c r="B50" s="86" t="s">
        <v>100</v>
      </c>
      <c r="C50" s="193"/>
      <c r="D50" s="193"/>
      <c r="E50" s="205"/>
      <c r="F50" s="193"/>
      <c r="G50" s="193"/>
      <c r="H50" s="193"/>
      <c r="I50" s="193"/>
      <c r="J50" s="193"/>
      <c r="K50" s="193"/>
      <c r="L50" s="193"/>
      <c r="M50" s="193"/>
      <c r="N50" s="205"/>
      <c r="O50" s="205"/>
      <c r="P50" s="205"/>
      <c r="Q50" s="205"/>
      <c r="R50" s="5"/>
      <c r="S50" s="5"/>
      <c r="T50" s="107"/>
    </row>
    <row r="51" spans="1:20" s="97" customFormat="1" ht="66">
      <c r="A51" s="97" t="str">
        <f>_xlfn.XLOOKUP(B51,'[2]Paso 3 Redacción RA '!I$3:I$15,'[2]Paso 3 Redacción RA '!C$3:C$15,,0,1)</f>
        <v>Saber</v>
      </c>
      <c r="B51" s="5" t="s">
        <v>90</v>
      </c>
      <c r="C51" s="192">
        <v>4</v>
      </c>
      <c r="D51" s="192" t="s">
        <v>279</v>
      </c>
      <c r="E51" s="211" t="s">
        <v>280</v>
      </c>
      <c r="F51" s="192" t="s">
        <v>201</v>
      </c>
      <c r="G51" s="192"/>
      <c r="H51" s="192" t="s">
        <v>202</v>
      </c>
      <c r="I51" s="192"/>
      <c r="J51" s="192">
        <v>4</v>
      </c>
      <c r="K51" s="192">
        <f>J51*16</f>
        <v>64</v>
      </c>
      <c r="L51" s="192">
        <f>32*J51</f>
        <v>128</v>
      </c>
      <c r="M51" s="192">
        <f>SUM(K51:L51)</f>
        <v>192</v>
      </c>
      <c r="N51" s="203" t="s">
        <v>281</v>
      </c>
      <c r="O51" s="203" t="s">
        <v>222</v>
      </c>
      <c r="P51" s="203" t="s">
        <v>223</v>
      </c>
      <c r="Q51" s="203" t="s">
        <v>212</v>
      </c>
      <c r="R51" s="5"/>
      <c r="S51" s="5"/>
      <c r="T51" s="107"/>
    </row>
    <row r="52" spans="1:20" s="97" customFormat="1" ht="33">
      <c r="A52" s="97" t="str">
        <f>_xlfn.XLOOKUP(B52,'[2]Paso 3 Redacción RA '!I$3:I$15,'[2]Paso 3 Redacción RA '!C$3:C$15,,0,1)</f>
        <v>Saberhacer</v>
      </c>
      <c r="B52" s="5" t="s">
        <v>94</v>
      </c>
      <c r="C52" s="180"/>
      <c r="D52" s="180"/>
      <c r="E52" s="183"/>
      <c r="F52" s="180"/>
      <c r="G52" s="180"/>
      <c r="H52" s="180"/>
      <c r="I52" s="180"/>
      <c r="J52" s="180"/>
      <c r="K52" s="180"/>
      <c r="L52" s="180"/>
      <c r="M52" s="180"/>
      <c r="N52" s="204"/>
      <c r="O52" s="204"/>
      <c r="P52" s="204"/>
      <c r="Q52" s="204"/>
      <c r="R52" s="5"/>
      <c r="S52" s="5"/>
      <c r="T52" s="107"/>
    </row>
    <row r="53" spans="1:20" s="97" customFormat="1" ht="49.5">
      <c r="A53" s="97" t="str">
        <f>_xlfn.XLOOKUP(B53,'[2]Paso 3 Redacción RA '!I$3:I$15,'[2]Paso 3 Redacción RA '!C$3:C$15,,0,1)</f>
        <v>Saberhacer</v>
      </c>
      <c r="B53" s="5" t="s">
        <v>100</v>
      </c>
      <c r="C53" s="180"/>
      <c r="D53" s="180"/>
      <c r="E53" s="183"/>
      <c r="F53" s="180"/>
      <c r="G53" s="180"/>
      <c r="H53" s="180"/>
      <c r="I53" s="180"/>
      <c r="J53" s="180"/>
      <c r="K53" s="180"/>
      <c r="L53" s="180"/>
      <c r="M53" s="180"/>
      <c r="N53" s="204"/>
      <c r="O53" s="204"/>
      <c r="P53" s="204"/>
      <c r="Q53" s="204"/>
      <c r="R53" s="5"/>
      <c r="S53" s="5"/>
      <c r="T53" s="107"/>
    </row>
    <row r="54" spans="1:20" s="97" customFormat="1" ht="50.1" thickBot="1">
      <c r="A54" s="162" t="str">
        <f>_xlfn.XLOOKUP(B54,'[2]Paso 3 Redacción RA '!I$3:I$15,'[2]Paso 3 Redacción RA '!C$3:C$15,,0,1)</f>
        <v>Saber</v>
      </c>
      <c r="B54" s="86" t="s">
        <v>103</v>
      </c>
      <c r="C54" s="193"/>
      <c r="D54" s="193"/>
      <c r="E54" s="212"/>
      <c r="F54" s="193"/>
      <c r="G54" s="193"/>
      <c r="H54" s="193"/>
      <c r="I54" s="193"/>
      <c r="J54" s="193"/>
      <c r="K54" s="193"/>
      <c r="L54" s="193"/>
      <c r="M54" s="193"/>
      <c r="N54" s="205"/>
      <c r="O54" s="205"/>
      <c r="P54" s="205"/>
      <c r="Q54" s="205"/>
      <c r="R54" s="5"/>
      <c r="S54" s="5"/>
      <c r="T54" s="107"/>
    </row>
    <row r="55" spans="1:20" s="97" customFormat="1" ht="66">
      <c r="A55" s="97" t="str">
        <f>_xlfn.XLOOKUP(B55,'[2]Paso 3 Redacción RA '!I$3:I$15,'[2]Paso 3 Redacción RA '!C$3:C$15,,0,1)</f>
        <v>Saber</v>
      </c>
      <c r="B55" s="5" t="s">
        <v>90</v>
      </c>
      <c r="C55" s="192">
        <v>4</v>
      </c>
      <c r="D55" s="192" t="s">
        <v>282</v>
      </c>
      <c r="E55" s="203" t="s">
        <v>283</v>
      </c>
      <c r="F55" s="192" t="s">
        <v>201</v>
      </c>
      <c r="G55" s="192"/>
      <c r="H55" s="192" t="s">
        <v>202</v>
      </c>
      <c r="I55" s="192"/>
      <c r="J55" s="192">
        <v>3</v>
      </c>
      <c r="K55" s="192">
        <f>J55*16</f>
        <v>48</v>
      </c>
      <c r="L55" s="192">
        <f>32*J55</f>
        <v>96</v>
      </c>
      <c r="M55" s="192">
        <f>SUM(K55:L55)</f>
        <v>144</v>
      </c>
      <c r="N55" s="203" t="s">
        <v>284</v>
      </c>
      <c r="O55" s="203" t="s">
        <v>222</v>
      </c>
      <c r="P55" s="203" t="s">
        <v>223</v>
      </c>
      <c r="Q55" s="203" t="s">
        <v>212</v>
      </c>
      <c r="R55" s="5"/>
      <c r="S55" s="5"/>
      <c r="T55" s="107"/>
    </row>
    <row r="56" spans="1:20" s="97" customFormat="1" ht="49.5">
      <c r="A56" s="97" t="str">
        <f>_xlfn.XLOOKUP(B56,'[2]Paso 3 Redacción RA '!I$3:I$15,'[2]Paso 3 Redacción RA '!C$3:C$15,,0,1)</f>
        <v>Saber</v>
      </c>
      <c r="B56" s="5" t="s">
        <v>103</v>
      </c>
      <c r="C56" s="180"/>
      <c r="D56" s="180"/>
      <c r="E56" s="204"/>
      <c r="F56" s="180"/>
      <c r="G56" s="180"/>
      <c r="H56" s="180"/>
      <c r="I56" s="180"/>
      <c r="J56" s="180"/>
      <c r="K56" s="180"/>
      <c r="L56" s="180"/>
      <c r="M56" s="180"/>
      <c r="N56" s="204"/>
      <c r="O56" s="204"/>
      <c r="P56" s="204"/>
      <c r="Q56" s="204"/>
      <c r="R56" s="5"/>
      <c r="S56" s="5"/>
      <c r="T56" s="107"/>
    </row>
    <row r="57" spans="1:20" s="97" customFormat="1" ht="50.1" thickBot="1">
      <c r="A57" s="162" t="str">
        <f>_xlfn.XLOOKUP(B57,'[2]Paso 3 Redacción RA '!I$3:I$15,'[2]Paso 3 Redacción RA '!C$3:C$15,,0,1)</f>
        <v>Saberser</v>
      </c>
      <c r="B57" s="86" t="s">
        <v>98</v>
      </c>
      <c r="C57" s="193"/>
      <c r="D57" s="193"/>
      <c r="E57" s="205"/>
      <c r="F57" s="193"/>
      <c r="G57" s="193"/>
      <c r="H57" s="193"/>
      <c r="I57" s="193"/>
      <c r="J57" s="193"/>
      <c r="K57" s="193"/>
      <c r="L57" s="193"/>
      <c r="M57" s="193"/>
      <c r="N57" s="205"/>
      <c r="O57" s="205"/>
      <c r="P57" s="205"/>
      <c r="Q57" s="205"/>
      <c r="R57" s="5"/>
      <c r="S57" s="5"/>
      <c r="T57" s="107"/>
    </row>
    <row r="58" spans="1:20" s="97" customFormat="1" ht="66">
      <c r="A58" s="97" t="str">
        <f>_xlfn.XLOOKUP(B58,'[2]Paso 3 Redacción RA '!I$3:I$15,'[2]Paso 3 Redacción RA '!C$3:C$15,,0,1)</f>
        <v>Saber</v>
      </c>
      <c r="B58" s="5" t="s">
        <v>90</v>
      </c>
      <c r="C58" s="192">
        <v>4</v>
      </c>
      <c r="D58" s="192" t="s">
        <v>285</v>
      </c>
      <c r="E58" s="203" t="s">
        <v>286</v>
      </c>
      <c r="F58" s="192" t="s">
        <v>201</v>
      </c>
      <c r="G58" s="192"/>
      <c r="H58" s="192" t="s">
        <v>202</v>
      </c>
      <c r="I58" s="192"/>
      <c r="J58" s="192">
        <v>3</v>
      </c>
      <c r="K58" s="192">
        <f>J58*16</f>
        <v>48</v>
      </c>
      <c r="L58" s="192">
        <f>32*J58</f>
        <v>96</v>
      </c>
      <c r="M58" s="192">
        <f>SUM(K58:L58)</f>
        <v>144</v>
      </c>
      <c r="N58" s="203" t="s">
        <v>287</v>
      </c>
      <c r="O58" s="203" t="s">
        <v>222</v>
      </c>
      <c r="P58" s="203" t="s">
        <v>223</v>
      </c>
      <c r="Q58" s="203" t="s">
        <v>212</v>
      </c>
      <c r="R58" s="5"/>
      <c r="S58" s="5"/>
      <c r="T58" s="107"/>
    </row>
    <row r="59" spans="1:20" s="97" customFormat="1" ht="49.5">
      <c r="A59" s="97" t="str">
        <f>_xlfn.XLOOKUP(B59,'[2]Paso 3 Redacción RA '!I$3:I$15,'[2]Paso 3 Redacción RA '!C$3:C$15,,0,1)</f>
        <v>Saberhacer</v>
      </c>
      <c r="B59" s="5" t="s">
        <v>100</v>
      </c>
      <c r="C59" s="180"/>
      <c r="D59" s="180"/>
      <c r="E59" s="204"/>
      <c r="F59" s="180"/>
      <c r="G59" s="180"/>
      <c r="H59" s="180"/>
      <c r="I59" s="180"/>
      <c r="J59" s="180"/>
      <c r="K59" s="180"/>
      <c r="L59" s="180"/>
      <c r="M59" s="180"/>
      <c r="N59" s="204"/>
      <c r="O59" s="204"/>
      <c r="P59" s="204"/>
      <c r="Q59" s="204"/>
      <c r="R59" s="5"/>
      <c r="S59" s="5"/>
      <c r="T59" s="107"/>
    </row>
    <row r="60" spans="1:20" s="97" customFormat="1" ht="50.1" thickBot="1">
      <c r="A60" s="162" t="str">
        <f>_xlfn.XLOOKUP(B60,'[2]Paso 3 Redacción RA '!I$3:I$15,'[2]Paso 3 Redacción RA '!C$3:C$15,,0,1)</f>
        <v>Saberser</v>
      </c>
      <c r="B60" s="86" t="s">
        <v>98</v>
      </c>
      <c r="C60" s="193"/>
      <c r="D60" s="193"/>
      <c r="E60" s="205"/>
      <c r="F60" s="193"/>
      <c r="G60" s="193"/>
      <c r="H60" s="193"/>
      <c r="I60" s="193"/>
      <c r="J60" s="193"/>
      <c r="K60" s="193"/>
      <c r="L60" s="193"/>
      <c r="M60" s="193"/>
      <c r="N60" s="205"/>
      <c r="O60" s="205"/>
      <c r="P60" s="205"/>
      <c r="Q60" s="205"/>
      <c r="R60" s="5">
        <f>SUM(J46:J60)</f>
        <v>16</v>
      </c>
      <c r="S60" s="5">
        <f>COUNTA(D46:D60)</f>
        <v>5</v>
      </c>
      <c r="T60" s="107"/>
    </row>
    <row r="61" spans="1:20" s="97" customFormat="1" ht="66">
      <c r="A61" s="97" t="str">
        <f>_xlfn.XLOOKUP(B61,'[2]Paso 3 Redacción RA '!I$3:I$15,'[2]Paso 3 Redacción RA '!C$3:C$15,,0,1)</f>
        <v>Saber</v>
      </c>
      <c r="B61" s="5" t="s">
        <v>90</v>
      </c>
      <c r="C61" s="192">
        <v>5</v>
      </c>
      <c r="D61" s="192" t="s">
        <v>288</v>
      </c>
      <c r="E61" s="203" t="s">
        <v>289</v>
      </c>
      <c r="F61" s="192" t="s">
        <v>201</v>
      </c>
      <c r="G61" s="192"/>
      <c r="H61" s="192" t="s">
        <v>202</v>
      </c>
      <c r="I61" s="192"/>
      <c r="J61" s="192">
        <v>3</v>
      </c>
      <c r="K61" s="192">
        <f>J61*16</f>
        <v>48</v>
      </c>
      <c r="L61" s="192">
        <f>32*J61</f>
        <v>96</v>
      </c>
      <c r="M61" s="192">
        <f>SUM(K61:L61)</f>
        <v>144</v>
      </c>
      <c r="N61" s="203" t="s">
        <v>290</v>
      </c>
      <c r="O61" s="203" t="s">
        <v>222</v>
      </c>
      <c r="P61" s="203" t="s">
        <v>223</v>
      </c>
      <c r="Q61" s="203" t="s">
        <v>212</v>
      </c>
      <c r="R61" s="5"/>
      <c r="S61" s="5"/>
      <c r="T61" s="107"/>
    </row>
    <row r="62" spans="1:20" s="97" customFormat="1" ht="49.5">
      <c r="A62" s="97" t="str">
        <f>_xlfn.XLOOKUP(B62,'[2]Paso 3 Redacción RA '!I$3:I$15,'[2]Paso 3 Redacción RA '!C$3:C$15,,0,1)</f>
        <v>Saberhacer</v>
      </c>
      <c r="B62" s="5" t="s">
        <v>100</v>
      </c>
      <c r="C62" s="180"/>
      <c r="D62" s="180"/>
      <c r="E62" s="204"/>
      <c r="F62" s="180"/>
      <c r="G62" s="180"/>
      <c r="H62" s="180"/>
      <c r="I62" s="180"/>
      <c r="J62" s="180"/>
      <c r="K62" s="180"/>
      <c r="L62" s="180"/>
      <c r="M62" s="180"/>
      <c r="N62" s="204"/>
      <c r="O62" s="204"/>
      <c r="P62" s="204"/>
      <c r="Q62" s="204"/>
      <c r="R62" s="5"/>
      <c r="S62" s="5"/>
      <c r="T62" s="107"/>
    </row>
    <row r="63" spans="1:20" s="97" customFormat="1" ht="50.1" thickBot="1">
      <c r="A63" s="162" t="str">
        <f>_xlfn.XLOOKUP(B63,'[2]Paso 3 Redacción RA '!I$3:I$15,'[2]Paso 3 Redacción RA '!C$3:C$15,,0,1)</f>
        <v>Saberser</v>
      </c>
      <c r="B63" s="86" t="s">
        <v>98</v>
      </c>
      <c r="C63" s="193"/>
      <c r="D63" s="193"/>
      <c r="E63" s="205"/>
      <c r="F63" s="193"/>
      <c r="G63" s="193"/>
      <c r="H63" s="193"/>
      <c r="I63" s="193"/>
      <c r="J63" s="193"/>
      <c r="K63" s="193"/>
      <c r="L63" s="193"/>
      <c r="M63" s="193"/>
      <c r="N63" s="205"/>
      <c r="O63" s="205"/>
      <c r="P63" s="205"/>
      <c r="Q63" s="205"/>
      <c r="R63" s="5"/>
      <c r="S63" s="5"/>
      <c r="T63" s="107"/>
    </row>
    <row r="64" spans="1:20" s="97" customFormat="1" ht="66">
      <c r="A64" s="97" t="str">
        <f>_xlfn.XLOOKUP(B64,'[2]Paso 3 Redacción RA '!I$3:I$15,'[2]Paso 3 Redacción RA '!C$3:C$15,,0,1)</f>
        <v>Saber</v>
      </c>
      <c r="B64" s="5" t="s">
        <v>90</v>
      </c>
      <c r="C64" s="192">
        <v>5</v>
      </c>
      <c r="D64" s="192" t="s">
        <v>291</v>
      </c>
      <c r="E64" s="203" t="s">
        <v>292</v>
      </c>
      <c r="F64" s="192" t="s">
        <v>201</v>
      </c>
      <c r="G64" s="192"/>
      <c r="H64" s="192" t="s">
        <v>202</v>
      </c>
      <c r="I64" s="192"/>
      <c r="J64" s="192">
        <v>3</v>
      </c>
      <c r="K64" s="192">
        <f>J64*16</f>
        <v>48</v>
      </c>
      <c r="L64" s="192">
        <f>32*J64</f>
        <v>96</v>
      </c>
      <c r="M64" s="192">
        <f>SUM(K64:L64)</f>
        <v>144</v>
      </c>
      <c r="N64" s="203" t="s">
        <v>293</v>
      </c>
      <c r="O64" s="203" t="s">
        <v>222</v>
      </c>
      <c r="P64" s="203" t="s">
        <v>223</v>
      </c>
      <c r="Q64" s="203" t="s">
        <v>212</v>
      </c>
      <c r="R64" s="5"/>
      <c r="S64" s="5"/>
      <c r="T64" s="107"/>
    </row>
    <row r="65" spans="1:20" s="97" customFormat="1" ht="33">
      <c r="A65" s="97" t="str">
        <f>_xlfn.XLOOKUP(B65,'[2]Paso 3 Redacción RA '!I$3:I$15,'[2]Paso 3 Redacción RA '!C$3:C$15,,0,1)</f>
        <v>Saberhacer</v>
      </c>
      <c r="B65" s="5" t="s">
        <v>94</v>
      </c>
      <c r="C65" s="180"/>
      <c r="D65" s="180"/>
      <c r="E65" s="204"/>
      <c r="F65" s="180"/>
      <c r="G65" s="180"/>
      <c r="H65" s="180"/>
      <c r="I65" s="180"/>
      <c r="J65" s="180"/>
      <c r="K65" s="180"/>
      <c r="L65" s="180"/>
      <c r="M65" s="180"/>
      <c r="N65" s="204"/>
      <c r="O65" s="204"/>
      <c r="P65" s="204"/>
      <c r="Q65" s="204"/>
      <c r="R65" s="5"/>
      <c r="S65" s="5"/>
      <c r="T65" s="107"/>
    </row>
    <row r="66" spans="1:20" s="97" customFormat="1" ht="66">
      <c r="A66" s="97" t="str">
        <f>_xlfn.XLOOKUP(B66,'[2]Paso 3 Redacción RA '!I$3:I$15,'[2]Paso 3 Redacción RA '!C$3:C$15,,0,1)</f>
        <v>Saber</v>
      </c>
      <c r="B66" s="5" t="s">
        <v>102</v>
      </c>
      <c r="C66" s="180"/>
      <c r="D66" s="180"/>
      <c r="E66" s="204"/>
      <c r="F66" s="180"/>
      <c r="G66" s="180"/>
      <c r="H66" s="180"/>
      <c r="I66" s="180"/>
      <c r="J66" s="180"/>
      <c r="K66" s="180"/>
      <c r="L66" s="180"/>
      <c r="M66" s="180"/>
      <c r="N66" s="204"/>
      <c r="O66" s="204"/>
      <c r="P66" s="204"/>
      <c r="Q66" s="204"/>
      <c r="R66" s="5"/>
      <c r="S66" s="5"/>
      <c r="T66" s="107"/>
    </row>
    <row r="67" spans="1:20" s="97" customFormat="1" ht="49.5">
      <c r="A67" s="97" t="str">
        <f>_xlfn.XLOOKUP(B67,'[2]Paso 3 Redacción RA '!I$3:I$15,'[2]Paso 3 Redacción RA '!C$3:C$15,,0,1)</f>
        <v>Saberhacer</v>
      </c>
      <c r="B67" s="5" t="s">
        <v>100</v>
      </c>
      <c r="C67" s="180"/>
      <c r="D67" s="180"/>
      <c r="E67" s="204"/>
      <c r="F67" s="180"/>
      <c r="G67" s="180"/>
      <c r="H67" s="180"/>
      <c r="I67" s="180"/>
      <c r="J67" s="180"/>
      <c r="K67" s="180"/>
      <c r="L67" s="180"/>
      <c r="M67" s="180"/>
      <c r="N67" s="204"/>
      <c r="O67" s="204"/>
      <c r="P67" s="204"/>
      <c r="Q67" s="204"/>
      <c r="R67" s="5"/>
      <c r="S67" s="5"/>
      <c r="T67" s="107"/>
    </row>
    <row r="68" spans="1:20" s="97" customFormat="1" ht="50.1" thickBot="1">
      <c r="A68" s="162" t="str">
        <f>_xlfn.XLOOKUP(B68,'[2]Paso 3 Redacción RA '!I$3:I$15,'[2]Paso 3 Redacción RA '!C$3:C$15,,0,1)</f>
        <v>Saberser</v>
      </c>
      <c r="B68" s="86" t="s">
        <v>98</v>
      </c>
      <c r="C68" s="193"/>
      <c r="D68" s="193"/>
      <c r="E68" s="205"/>
      <c r="F68" s="193"/>
      <c r="G68" s="193"/>
      <c r="H68" s="193"/>
      <c r="I68" s="193"/>
      <c r="J68" s="193"/>
      <c r="K68" s="193"/>
      <c r="L68" s="193"/>
      <c r="M68" s="193"/>
      <c r="N68" s="205"/>
      <c r="O68" s="205"/>
      <c r="P68" s="205"/>
      <c r="Q68" s="205"/>
      <c r="S68" s="5"/>
      <c r="T68" s="107"/>
    </row>
    <row r="69" spans="1:20" s="97" customFormat="1" ht="66">
      <c r="A69" s="97" t="str">
        <f>_xlfn.XLOOKUP(B69,'[2]Paso 3 Redacción RA '!I$3:I$15,'[2]Paso 3 Redacción RA '!C$3:C$15,,0,1)</f>
        <v>Saber</v>
      </c>
      <c r="B69" s="5" t="s">
        <v>90</v>
      </c>
      <c r="C69" s="192">
        <v>5</v>
      </c>
      <c r="D69" s="192" t="s">
        <v>294</v>
      </c>
      <c r="E69" s="203" t="s">
        <v>295</v>
      </c>
      <c r="F69" s="192" t="s">
        <v>201</v>
      </c>
      <c r="G69" s="192"/>
      <c r="H69" s="192" t="s">
        <v>202</v>
      </c>
      <c r="I69" s="192"/>
      <c r="J69" s="192">
        <v>3</v>
      </c>
      <c r="K69" s="192">
        <f>J69*16</f>
        <v>48</v>
      </c>
      <c r="L69" s="192">
        <f>32*J69</f>
        <v>96</v>
      </c>
      <c r="M69" s="192">
        <f>SUM(K69:L69)</f>
        <v>144</v>
      </c>
      <c r="N69" s="203" t="s">
        <v>296</v>
      </c>
      <c r="O69" s="203" t="s">
        <v>222</v>
      </c>
      <c r="P69" s="203" t="s">
        <v>223</v>
      </c>
      <c r="Q69" s="203" t="s">
        <v>212</v>
      </c>
      <c r="R69" s="5"/>
      <c r="S69" s="5"/>
      <c r="T69" s="107"/>
    </row>
    <row r="70" spans="1:20" s="97" customFormat="1" ht="49.5">
      <c r="A70" s="97" t="str">
        <f>_xlfn.XLOOKUP(B70,'[2]Paso 3 Redacción RA '!I$3:I$15,'[2]Paso 3 Redacción RA '!C$3:C$15,,0,1)</f>
        <v>Saberser</v>
      </c>
      <c r="B70" s="5" t="s">
        <v>98</v>
      </c>
      <c r="C70" s="180"/>
      <c r="D70" s="180"/>
      <c r="E70" s="204"/>
      <c r="F70" s="180"/>
      <c r="G70" s="180"/>
      <c r="H70" s="180"/>
      <c r="I70" s="180"/>
      <c r="J70" s="180"/>
      <c r="K70" s="180"/>
      <c r="L70" s="180"/>
      <c r="M70" s="180"/>
      <c r="N70" s="204"/>
      <c r="O70" s="204"/>
      <c r="P70" s="204"/>
      <c r="Q70" s="204"/>
      <c r="R70" s="5"/>
      <c r="S70" s="5"/>
      <c r="T70" s="107"/>
    </row>
    <row r="71" spans="1:20" s="97" customFormat="1" ht="50.1" thickBot="1">
      <c r="A71" s="162" t="str">
        <f>_xlfn.XLOOKUP(B71,'[2]Paso 3 Redacción RA '!I$3:I$15,'[2]Paso 3 Redacción RA '!C$3:C$15,,0,1)</f>
        <v>Saber</v>
      </c>
      <c r="B71" s="86" t="s">
        <v>103</v>
      </c>
      <c r="C71" s="193"/>
      <c r="D71" s="193"/>
      <c r="E71" s="209"/>
      <c r="F71" s="193"/>
      <c r="G71" s="193"/>
      <c r="H71" s="193"/>
      <c r="I71" s="193"/>
      <c r="J71" s="193"/>
      <c r="K71" s="193"/>
      <c r="L71" s="193"/>
      <c r="M71" s="193"/>
      <c r="N71" s="205"/>
      <c r="O71" s="205"/>
      <c r="P71" s="205"/>
      <c r="Q71" s="205"/>
      <c r="R71" s="5"/>
      <c r="S71" s="5"/>
      <c r="T71" s="107"/>
    </row>
    <row r="72" spans="1:20" s="97" customFormat="1" ht="66">
      <c r="A72" s="97" t="str">
        <f>_xlfn.XLOOKUP(B72,'[2]Paso 3 Redacción RA '!I$3:I$15,'[2]Paso 3 Redacción RA '!C$3:C$15,,0,1)</f>
        <v>Saber</v>
      </c>
      <c r="B72" s="5" t="s">
        <v>90</v>
      </c>
      <c r="C72" s="192">
        <v>5</v>
      </c>
      <c r="D72" s="192" t="s">
        <v>297</v>
      </c>
      <c r="E72" s="204" t="s">
        <v>298</v>
      </c>
      <c r="F72" s="192" t="s">
        <v>201</v>
      </c>
      <c r="G72" s="192"/>
      <c r="H72" s="192" t="s">
        <v>202</v>
      </c>
      <c r="I72" s="192"/>
      <c r="J72" s="192">
        <v>4</v>
      </c>
      <c r="K72" s="192">
        <f>J72*16</f>
        <v>64</v>
      </c>
      <c r="L72" s="192">
        <f>32*J72</f>
        <v>128</v>
      </c>
      <c r="M72" s="192">
        <f>SUM(K72:L72)</f>
        <v>192</v>
      </c>
      <c r="N72" s="203" t="s">
        <v>299</v>
      </c>
      <c r="O72" s="203" t="s">
        <v>222</v>
      </c>
      <c r="P72" s="203" t="s">
        <v>223</v>
      </c>
      <c r="Q72" s="203" t="s">
        <v>212</v>
      </c>
      <c r="R72" s="5"/>
      <c r="S72" s="5"/>
      <c r="T72" s="107"/>
    </row>
    <row r="73" spans="1:20" s="97" customFormat="1" ht="49.5">
      <c r="A73" s="97" t="str">
        <f>_xlfn.XLOOKUP(B73,'[2]Paso 3 Redacción RA '!I$3:I$15,'[2]Paso 3 Redacción RA '!C$3:C$15,,0,1)</f>
        <v>Saberser</v>
      </c>
      <c r="B73" s="5" t="s">
        <v>98</v>
      </c>
      <c r="C73" s="180"/>
      <c r="D73" s="180"/>
      <c r="E73" s="204"/>
      <c r="F73" s="180"/>
      <c r="G73" s="180"/>
      <c r="H73" s="180"/>
      <c r="I73" s="180"/>
      <c r="J73" s="180"/>
      <c r="K73" s="180"/>
      <c r="L73" s="180"/>
      <c r="M73" s="180"/>
      <c r="N73" s="204"/>
      <c r="O73" s="204"/>
      <c r="P73" s="204"/>
      <c r="Q73" s="204"/>
      <c r="R73" s="5"/>
      <c r="S73" s="5"/>
      <c r="T73" s="107"/>
    </row>
    <row r="74" spans="1:20" s="97" customFormat="1" ht="33">
      <c r="A74" s="97" t="str">
        <f>_xlfn.XLOOKUP(B74,'[2]Paso 3 Redacción RA '!I$3:I$15,'[2]Paso 3 Redacción RA '!C$3:C$15,,0,1)</f>
        <v>Saberhacer</v>
      </c>
      <c r="B74" s="5" t="s">
        <v>94</v>
      </c>
      <c r="C74" s="180"/>
      <c r="D74" s="180"/>
      <c r="E74" s="204"/>
      <c r="F74" s="180"/>
      <c r="G74" s="180"/>
      <c r="H74" s="180"/>
      <c r="I74" s="180"/>
      <c r="J74" s="180"/>
      <c r="K74" s="180"/>
      <c r="L74" s="180"/>
      <c r="M74" s="180"/>
      <c r="N74" s="204"/>
      <c r="O74" s="204"/>
      <c r="P74" s="204"/>
      <c r="Q74" s="204"/>
      <c r="R74" s="5"/>
      <c r="S74" s="5"/>
      <c r="T74" s="107"/>
    </row>
    <row r="75" spans="1:20" s="97" customFormat="1" ht="50.1" thickBot="1">
      <c r="A75" s="162" t="str">
        <f>_xlfn.XLOOKUP(B75,'[2]Paso 3 Redacción RA '!I$3:I$15,'[2]Paso 3 Redacción RA '!C$3:C$15,,0,1)</f>
        <v>Saber</v>
      </c>
      <c r="B75" s="86" t="s">
        <v>103</v>
      </c>
      <c r="C75" s="193"/>
      <c r="D75" s="193"/>
      <c r="E75" s="209"/>
      <c r="F75" s="193"/>
      <c r="G75" s="210"/>
      <c r="H75" s="210"/>
      <c r="I75" s="210"/>
      <c r="J75" s="210"/>
      <c r="K75" s="193"/>
      <c r="L75" s="193"/>
      <c r="M75" s="210"/>
      <c r="N75" s="209"/>
      <c r="O75" s="205"/>
      <c r="P75" s="205"/>
      <c r="Q75" s="205"/>
      <c r="R75" s="5"/>
      <c r="S75" s="5"/>
      <c r="T75" s="107"/>
    </row>
    <row r="76" spans="1:20" s="97" customFormat="1" ht="66">
      <c r="A76" s="97" t="str">
        <f>_xlfn.XLOOKUP(B76,'[2]Paso 3 Redacción RA '!I$3:I$15,'[2]Paso 3 Redacción RA '!C$3:C$15,,0,1)</f>
        <v>Saber</v>
      </c>
      <c r="B76" s="5" t="s">
        <v>90</v>
      </c>
      <c r="C76" s="180">
        <v>5</v>
      </c>
      <c r="D76" s="192" t="s">
        <v>300</v>
      </c>
      <c r="E76" s="204" t="s">
        <v>301</v>
      </c>
      <c r="F76" s="192" t="s">
        <v>201</v>
      </c>
      <c r="G76" s="180"/>
      <c r="H76" s="180" t="s">
        <v>202</v>
      </c>
      <c r="I76" s="180"/>
      <c r="J76" s="180">
        <v>4</v>
      </c>
      <c r="K76" s="192">
        <f>J76*16</f>
        <v>64</v>
      </c>
      <c r="L76" s="192">
        <f>32*J76</f>
        <v>128</v>
      </c>
      <c r="M76" s="180">
        <f>SUM(K76:L76)</f>
        <v>192</v>
      </c>
      <c r="N76" s="204" t="s">
        <v>302</v>
      </c>
      <c r="O76" s="203" t="s">
        <v>222</v>
      </c>
      <c r="P76" s="203" t="s">
        <v>223</v>
      </c>
      <c r="Q76" s="203" t="s">
        <v>212</v>
      </c>
      <c r="R76" s="5"/>
      <c r="S76" s="5"/>
      <c r="T76" s="107"/>
    </row>
    <row r="77" spans="1:20" s="97" customFormat="1" ht="33">
      <c r="A77" s="97" t="str">
        <f>_xlfn.XLOOKUP(B77,'[2]Paso 3 Redacción RA '!I$3:I$15,'[2]Paso 3 Redacción RA '!C$3:C$15,,0,1)</f>
        <v>Saberhacer</v>
      </c>
      <c r="B77" s="5" t="s">
        <v>94</v>
      </c>
      <c r="C77" s="180"/>
      <c r="D77" s="180"/>
      <c r="E77" s="204"/>
      <c r="F77" s="180"/>
      <c r="G77" s="180"/>
      <c r="H77" s="180"/>
      <c r="I77" s="180"/>
      <c r="J77" s="180"/>
      <c r="K77" s="180"/>
      <c r="L77" s="180"/>
      <c r="M77" s="180"/>
      <c r="N77" s="204"/>
      <c r="O77" s="204"/>
      <c r="P77" s="204"/>
      <c r="Q77" s="204"/>
      <c r="R77" s="5"/>
      <c r="S77" s="5"/>
      <c r="T77" s="107"/>
    </row>
    <row r="78" spans="1:20" s="97" customFormat="1" ht="66">
      <c r="A78" s="97" t="str">
        <f>_xlfn.XLOOKUP(B78,'[2]Paso 3 Redacción RA '!I$3:I$15,'[2]Paso 3 Redacción RA '!C$3:C$15,,0,1)</f>
        <v>Saber</v>
      </c>
      <c r="B78" s="5" t="s">
        <v>102</v>
      </c>
      <c r="C78" s="180"/>
      <c r="D78" s="180"/>
      <c r="E78" s="204"/>
      <c r="F78" s="180"/>
      <c r="G78" s="180"/>
      <c r="H78" s="180"/>
      <c r="I78" s="180"/>
      <c r="J78" s="180"/>
      <c r="K78" s="180"/>
      <c r="L78" s="180"/>
      <c r="M78" s="180"/>
      <c r="N78" s="204"/>
      <c r="O78" s="204"/>
      <c r="P78" s="204"/>
      <c r="Q78" s="204"/>
      <c r="R78" s="5"/>
      <c r="S78" s="5"/>
      <c r="T78" s="107"/>
    </row>
    <row r="79" spans="1:20" s="97" customFormat="1" ht="50.1" thickBot="1">
      <c r="A79" s="162" t="str">
        <f>_xlfn.XLOOKUP(B79,'[2]Paso 3 Redacción RA '!I$3:I$15,'[2]Paso 3 Redacción RA '!C$3:C$15,,0,1)</f>
        <v>Saberser</v>
      </c>
      <c r="B79" s="86" t="s">
        <v>98</v>
      </c>
      <c r="C79" s="193"/>
      <c r="D79" s="193"/>
      <c r="E79" s="205"/>
      <c r="F79" s="193"/>
      <c r="G79" s="193"/>
      <c r="H79" s="193"/>
      <c r="I79" s="193"/>
      <c r="J79" s="193"/>
      <c r="K79" s="193"/>
      <c r="L79" s="193"/>
      <c r="M79" s="193"/>
      <c r="N79" s="205"/>
      <c r="O79" s="205"/>
      <c r="P79" s="205"/>
      <c r="Q79" s="205"/>
      <c r="R79" s="5">
        <f>SUM(J61:J79)</f>
        <v>17</v>
      </c>
      <c r="S79" s="5">
        <f>COUNTA(D61:D79)</f>
        <v>5</v>
      </c>
      <c r="T79" s="107"/>
    </row>
    <row r="80" spans="1:20" s="97" customFormat="1" ht="66">
      <c r="A80" s="97" t="str">
        <f>_xlfn.XLOOKUP(B80,'[2]Paso 3 Redacción RA '!I$3:I$15,'[2]Paso 3 Redacción RA '!C$3:C$15,,0,1)</f>
        <v>Saber</v>
      </c>
      <c r="B80" s="5" t="s">
        <v>90</v>
      </c>
      <c r="C80" s="192">
        <v>6</v>
      </c>
      <c r="D80" s="192" t="s">
        <v>303</v>
      </c>
      <c r="E80" s="203" t="s">
        <v>304</v>
      </c>
      <c r="F80" s="192" t="s">
        <v>201</v>
      </c>
      <c r="G80" s="192"/>
      <c r="H80" s="192" t="s">
        <v>202</v>
      </c>
      <c r="I80" s="192"/>
      <c r="J80" s="192">
        <v>3</v>
      </c>
      <c r="K80" s="192">
        <f>J80*16</f>
        <v>48</v>
      </c>
      <c r="L80" s="192">
        <f>32*J80</f>
        <v>96</v>
      </c>
      <c r="M80" s="192">
        <f>SUM(K80:L80)</f>
        <v>144</v>
      </c>
      <c r="N80" s="203" t="s">
        <v>305</v>
      </c>
      <c r="O80" s="203" t="s">
        <v>222</v>
      </c>
      <c r="P80" s="203" t="s">
        <v>223</v>
      </c>
      <c r="Q80" s="203" t="s">
        <v>212</v>
      </c>
      <c r="R80" s="5"/>
      <c r="S80" s="5"/>
      <c r="T80" s="107"/>
    </row>
    <row r="81" spans="1:20" s="97" customFormat="1" ht="49.5">
      <c r="A81" s="97" t="str">
        <f>_xlfn.XLOOKUP(B81,'[2]Paso 3 Redacción RA '!I$3:I$15,'[2]Paso 3 Redacción RA '!C$3:C$15,,0,1)</f>
        <v>Saberser</v>
      </c>
      <c r="B81" s="5" t="s">
        <v>98</v>
      </c>
      <c r="C81" s="180"/>
      <c r="D81" s="180"/>
      <c r="E81" s="204"/>
      <c r="F81" s="180"/>
      <c r="G81" s="180"/>
      <c r="H81" s="180"/>
      <c r="I81" s="180"/>
      <c r="J81" s="180"/>
      <c r="K81" s="180"/>
      <c r="L81" s="180"/>
      <c r="M81" s="180"/>
      <c r="N81" s="204"/>
      <c r="O81" s="204"/>
      <c r="P81" s="204"/>
      <c r="Q81" s="204"/>
      <c r="R81" s="5"/>
      <c r="S81" s="5"/>
      <c r="T81" s="107"/>
    </row>
    <row r="82" spans="1:20" s="97" customFormat="1" ht="33">
      <c r="A82" s="97" t="str">
        <f>_xlfn.XLOOKUP(B82,'[2]Paso 3 Redacción RA '!I$3:I$15,'[2]Paso 3 Redacción RA '!C$3:C$15,,0,1)</f>
        <v>Saberhacer</v>
      </c>
      <c r="B82" s="5" t="s">
        <v>94</v>
      </c>
      <c r="C82" s="180"/>
      <c r="D82" s="180"/>
      <c r="E82" s="204"/>
      <c r="F82" s="180"/>
      <c r="G82" s="180"/>
      <c r="H82" s="180"/>
      <c r="I82" s="180"/>
      <c r="J82" s="180"/>
      <c r="K82" s="180"/>
      <c r="L82" s="180"/>
      <c r="M82" s="180"/>
      <c r="N82" s="204"/>
      <c r="O82" s="204"/>
      <c r="P82" s="204"/>
      <c r="Q82" s="204"/>
      <c r="R82" s="5"/>
      <c r="S82" s="5"/>
      <c r="T82" s="107"/>
    </row>
    <row r="83" spans="1:20" s="97" customFormat="1" ht="50.1" thickBot="1">
      <c r="A83" s="162" t="str">
        <f>_xlfn.XLOOKUP(B83,'[2]Paso 3 Redacción RA '!I$3:I$15,'[2]Paso 3 Redacción RA '!C$3:C$15,,0,1)</f>
        <v>Saber</v>
      </c>
      <c r="B83" s="86" t="s">
        <v>103</v>
      </c>
      <c r="C83" s="193"/>
      <c r="D83" s="193"/>
      <c r="E83" s="205"/>
      <c r="F83" s="193"/>
      <c r="G83" s="193"/>
      <c r="H83" s="193"/>
      <c r="I83" s="193"/>
      <c r="J83" s="193"/>
      <c r="K83" s="193"/>
      <c r="L83" s="193"/>
      <c r="M83" s="193"/>
      <c r="N83" s="205"/>
      <c r="O83" s="205"/>
      <c r="P83" s="205"/>
      <c r="Q83" s="205"/>
      <c r="R83" s="5"/>
      <c r="S83" s="5"/>
      <c r="T83" s="107"/>
    </row>
    <row r="84" spans="1:20" s="97" customFormat="1" ht="66">
      <c r="A84" s="97" t="str">
        <f>_xlfn.XLOOKUP(B84,'[2]Paso 3 Redacción RA '!I$3:I$15,'[2]Paso 3 Redacción RA '!C$3:C$15,,0,1)</f>
        <v>Saber</v>
      </c>
      <c r="B84" s="5" t="s">
        <v>90</v>
      </c>
      <c r="C84" s="192">
        <v>6</v>
      </c>
      <c r="D84" s="192" t="s">
        <v>306</v>
      </c>
      <c r="E84" s="203" t="s">
        <v>307</v>
      </c>
      <c r="F84" s="192" t="s">
        <v>201</v>
      </c>
      <c r="G84" s="192"/>
      <c r="H84" s="192" t="s">
        <v>202</v>
      </c>
      <c r="I84" s="192"/>
      <c r="J84" s="192">
        <v>3</v>
      </c>
      <c r="K84" s="192">
        <f>J84*16</f>
        <v>48</v>
      </c>
      <c r="L84" s="192">
        <f>32*J84</f>
        <v>96</v>
      </c>
      <c r="M84" s="192">
        <f>SUM(K84:L84)</f>
        <v>144</v>
      </c>
      <c r="N84" s="203" t="s">
        <v>308</v>
      </c>
      <c r="O84" s="203" t="s">
        <v>222</v>
      </c>
      <c r="P84" s="203" t="s">
        <v>223</v>
      </c>
      <c r="Q84" s="203" t="s">
        <v>212</v>
      </c>
      <c r="R84" s="5"/>
      <c r="S84" s="5"/>
      <c r="T84" s="107"/>
    </row>
    <row r="85" spans="1:20" s="97" customFormat="1" ht="49.5">
      <c r="A85" s="97" t="str">
        <f>_xlfn.XLOOKUP(B85,'[2]Paso 3 Redacción RA '!I$3:I$15,'[2]Paso 3 Redacción RA '!C$3:C$15,,0,1)</f>
        <v>Saberhacer</v>
      </c>
      <c r="B85" s="5" t="s">
        <v>100</v>
      </c>
      <c r="C85" s="180"/>
      <c r="D85" s="180"/>
      <c r="E85" s="204"/>
      <c r="F85" s="180"/>
      <c r="G85" s="180"/>
      <c r="H85" s="180"/>
      <c r="I85" s="180"/>
      <c r="J85" s="180"/>
      <c r="K85" s="180"/>
      <c r="L85" s="180"/>
      <c r="M85" s="180"/>
      <c r="N85" s="204"/>
      <c r="O85" s="204"/>
      <c r="P85" s="204"/>
      <c r="Q85" s="204"/>
      <c r="R85" s="5"/>
      <c r="S85" s="5"/>
      <c r="T85" s="107"/>
    </row>
    <row r="86" spans="1:20" s="97" customFormat="1" ht="50.1" thickBot="1">
      <c r="A86" s="162" t="str">
        <f>_xlfn.XLOOKUP(B86,'[2]Paso 3 Redacción RA '!I$3:I$15,'[2]Paso 3 Redacción RA '!C$3:C$15,,0,1)</f>
        <v>Saberser</v>
      </c>
      <c r="B86" s="86" t="s">
        <v>98</v>
      </c>
      <c r="C86" s="193"/>
      <c r="D86" s="193"/>
      <c r="E86" s="205"/>
      <c r="F86" s="193"/>
      <c r="G86" s="193"/>
      <c r="H86" s="193"/>
      <c r="I86" s="193"/>
      <c r="J86" s="193"/>
      <c r="K86" s="193"/>
      <c r="L86" s="193"/>
      <c r="M86" s="193"/>
      <c r="N86" s="205"/>
      <c r="O86" s="205"/>
      <c r="P86" s="205"/>
      <c r="Q86" s="205"/>
      <c r="R86" s="5"/>
      <c r="S86" s="5"/>
      <c r="T86" s="107"/>
    </row>
    <row r="87" spans="1:20" s="97" customFormat="1" ht="66">
      <c r="A87" s="97" t="str">
        <f>_xlfn.XLOOKUP(B87,'[2]Paso 3 Redacción RA '!I$3:I$15,'[2]Paso 3 Redacción RA '!C$3:C$15,,0,1)</f>
        <v>Saber</v>
      </c>
      <c r="B87" s="5" t="s">
        <v>90</v>
      </c>
      <c r="C87" s="192">
        <v>6</v>
      </c>
      <c r="D87" s="192" t="s">
        <v>309</v>
      </c>
      <c r="E87" s="203" t="s">
        <v>310</v>
      </c>
      <c r="F87" s="192" t="s">
        <v>201</v>
      </c>
      <c r="G87" s="192"/>
      <c r="H87" s="192" t="s">
        <v>202</v>
      </c>
      <c r="I87" s="192"/>
      <c r="J87" s="192">
        <v>3</v>
      </c>
      <c r="K87" s="192">
        <f>J87*16</f>
        <v>48</v>
      </c>
      <c r="L87" s="192">
        <f>32*J87</f>
        <v>96</v>
      </c>
      <c r="M87" s="192">
        <f>SUM(K87:L87)</f>
        <v>144</v>
      </c>
      <c r="N87" s="203" t="s">
        <v>311</v>
      </c>
      <c r="O87" s="203" t="s">
        <v>222</v>
      </c>
      <c r="P87" s="203" t="s">
        <v>223</v>
      </c>
      <c r="Q87" s="203" t="s">
        <v>212</v>
      </c>
      <c r="R87" s="5"/>
      <c r="S87" s="5"/>
      <c r="T87" s="107"/>
    </row>
    <row r="88" spans="1:20" s="97" customFormat="1" ht="33">
      <c r="A88" s="97" t="str">
        <f>_xlfn.XLOOKUP(B88,'[2]Paso 3 Redacción RA '!I$3:I$15,'[2]Paso 3 Redacción RA '!C$3:C$15,,0,1)</f>
        <v>Saberhacer</v>
      </c>
      <c r="B88" s="5" t="s">
        <v>94</v>
      </c>
      <c r="C88" s="180"/>
      <c r="D88" s="180"/>
      <c r="E88" s="204"/>
      <c r="F88" s="180"/>
      <c r="G88" s="180"/>
      <c r="H88" s="180"/>
      <c r="I88" s="180"/>
      <c r="J88" s="180"/>
      <c r="K88" s="180"/>
      <c r="L88" s="180"/>
      <c r="M88" s="180"/>
      <c r="N88" s="204"/>
      <c r="O88" s="204"/>
      <c r="P88" s="204"/>
      <c r="Q88" s="204"/>
      <c r="R88" s="5"/>
      <c r="S88" s="5"/>
      <c r="T88" s="107"/>
    </row>
    <row r="89" spans="1:20" s="97" customFormat="1" ht="66">
      <c r="A89" s="97" t="str">
        <f>_xlfn.XLOOKUP(B89,'[2]Paso 3 Redacción RA '!I$3:I$15,'[2]Paso 3 Redacción RA '!C$3:C$15,,0,1)</f>
        <v>Saber</v>
      </c>
      <c r="B89" s="5" t="s">
        <v>102</v>
      </c>
      <c r="C89" s="180"/>
      <c r="D89" s="180"/>
      <c r="E89" s="204"/>
      <c r="F89" s="180"/>
      <c r="G89" s="180"/>
      <c r="H89" s="180"/>
      <c r="I89" s="180"/>
      <c r="J89" s="180"/>
      <c r="K89" s="180"/>
      <c r="L89" s="180"/>
      <c r="M89" s="180"/>
      <c r="N89" s="204"/>
      <c r="O89" s="204"/>
      <c r="P89" s="204"/>
      <c r="Q89" s="204"/>
      <c r="R89" s="5"/>
      <c r="S89" s="5"/>
      <c r="T89" s="107"/>
    </row>
    <row r="90" spans="1:20" s="97" customFormat="1" ht="49.5">
      <c r="A90" s="97" t="str">
        <f>_xlfn.XLOOKUP(B90,'[2]Paso 3 Redacción RA '!I$3:I$15,'[2]Paso 3 Redacción RA '!C$3:C$15,,0,1)</f>
        <v>Saberhacer</v>
      </c>
      <c r="B90" s="5" t="s">
        <v>100</v>
      </c>
      <c r="C90" s="180"/>
      <c r="D90" s="180"/>
      <c r="E90" s="204"/>
      <c r="F90" s="180"/>
      <c r="G90" s="180"/>
      <c r="H90" s="180"/>
      <c r="I90" s="180"/>
      <c r="J90" s="180"/>
      <c r="K90" s="180"/>
      <c r="L90" s="180"/>
      <c r="M90" s="180"/>
      <c r="N90" s="204"/>
      <c r="O90" s="204"/>
      <c r="P90" s="204"/>
      <c r="Q90" s="204"/>
      <c r="R90" s="5"/>
      <c r="S90" s="5"/>
      <c r="T90" s="107"/>
    </row>
    <row r="91" spans="1:20" s="97" customFormat="1" ht="50.1" thickBot="1">
      <c r="A91" s="162" t="str">
        <f>_xlfn.XLOOKUP(B91,'[2]Paso 3 Redacción RA '!I$3:I$15,'[2]Paso 3 Redacción RA '!C$3:C$15,,0,1)</f>
        <v>Saber</v>
      </c>
      <c r="B91" s="86" t="s">
        <v>103</v>
      </c>
      <c r="C91" s="193"/>
      <c r="D91" s="193"/>
      <c r="E91" s="205"/>
      <c r="F91" s="193"/>
      <c r="G91" s="193"/>
      <c r="H91" s="193"/>
      <c r="I91" s="193"/>
      <c r="J91" s="193"/>
      <c r="K91" s="193"/>
      <c r="L91" s="193"/>
      <c r="M91" s="193"/>
      <c r="N91" s="205"/>
      <c r="O91" s="205"/>
      <c r="P91" s="205"/>
      <c r="Q91" s="205"/>
      <c r="R91" s="5"/>
      <c r="S91" s="5"/>
      <c r="T91" s="107"/>
    </row>
    <row r="92" spans="1:20" s="97" customFormat="1" ht="66">
      <c r="A92" s="97" t="str">
        <f>_xlfn.XLOOKUP(B92,'[2]Paso 3 Redacción RA '!I$3:I$15,'[2]Paso 3 Redacción RA '!C$3:C$15,,0,1)</f>
        <v>Saber</v>
      </c>
      <c r="B92" s="5" t="s">
        <v>90</v>
      </c>
      <c r="C92" s="192">
        <v>6</v>
      </c>
      <c r="D92" s="192" t="s">
        <v>312</v>
      </c>
      <c r="E92" s="203" t="s">
        <v>313</v>
      </c>
      <c r="F92" s="192" t="s">
        <v>314</v>
      </c>
      <c r="G92" s="192"/>
      <c r="H92" s="192" t="s">
        <v>202</v>
      </c>
      <c r="I92" s="192"/>
      <c r="J92" s="192">
        <v>6</v>
      </c>
      <c r="K92" s="192">
        <f>J92*16</f>
        <v>96</v>
      </c>
      <c r="L92" s="192">
        <f>32*J92</f>
        <v>192</v>
      </c>
      <c r="M92" s="192">
        <f>SUM(K92:L92)</f>
        <v>288</v>
      </c>
      <c r="N92" s="203" t="s">
        <v>315</v>
      </c>
      <c r="O92" s="203" t="s">
        <v>222</v>
      </c>
      <c r="P92" s="203" t="s">
        <v>223</v>
      </c>
      <c r="Q92" s="203" t="s">
        <v>212</v>
      </c>
      <c r="R92" s="5"/>
      <c r="S92" s="5"/>
      <c r="T92" s="107"/>
    </row>
    <row r="93" spans="1:20" s="97" customFormat="1" ht="33">
      <c r="A93" s="97" t="str">
        <f>_xlfn.XLOOKUP(B93,'[2]Paso 3 Redacción RA '!I$3:I$15,'[2]Paso 3 Redacción RA '!C$3:C$15,,0,1)</f>
        <v>Saberhacer</v>
      </c>
      <c r="B93" s="5" t="s">
        <v>94</v>
      </c>
      <c r="C93" s="180"/>
      <c r="D93" s="180"/>
      <c r="E93" s="204"/>
      <c r="F93" s="180"/>
      <c r="G93" s="180"/>
      <c r="H93" s="180"/>
      <c r="I93" s="180"/>
      <c r="J93" s="180"/>
      <c r="K93" s="180"/>
      <c r="L93" s="180"/>
      <c r="M93" s="180"/>
      <c r="N93" s="204"/>
      <c r="O93" s="204"/>
      <c r="P93" s="204"/>
      <c r="Q93" s="204"/>
      <c r="R93" s="5"/>
      <c r="S93" s="5"/>
      <c r="T93" s="107"/>
    </row>
    <row r="94" spans="1:20" s="97" customFormat="1" ht="49.5">
      <c r="A94" s="97" t="str">
        <f>_xlfn.XLOOKUP(B94,'[2]Paso 3 Redacción RA '!I$3:I$15,'[2]Paso 3 Redacción RA '!C$3:C$15,,0,1)</f>
        <v>Saberser</v>
      </c>
      <c r="B94" s="5" t="s">
        <v>98</v>
      </c>
      <c r="C94" s="180"/>
      <c r="D94" s="180"/>
      <c r="E94" s="204"/>
      <c r="F94" s="180"/>
      <c r="G94" s="180"/>
      <c r="H94" s="180"/>
      <c r="I94" s="180"/>
      <c r="J94" s="180"/>
      <c r="K94" s="180"/>
      <c r="L94" s="180"/>
      <c r="M94" s="180"/>
      <c r="N94" s="204"/>
      <c r="O94" s="204"/>
      <c r="P94" s="204"/>
      <c r="Q94" s="204"/>
      <c r="R94" s="5"/>
      <c r="S94" s="5"/>
      <c r="T94" s="107"/>
    </row>
    <row r="95" spans="1:20" s="97" customFormat="1" ht="49.5">
      <c r="A95" s="97" t="str">
        <f>_xlfn.XLOOKUP(B95,'[2]Paso 3 Redacción RA '!I$3:I$15,'[2]Paso 3 Redacción RA '!C$3:C$15,,0,1)</f>
        <v>Saberhacer</v>
      </c>
      <c r="B95" s="5" t="s">
        <v>100</v>
      </c>
      <c r="C95" s="180"/>
      <c r="D95" s="180"/>
      <c r="E95" s="204"/>
      <c r="F95" s="180"/>
      <c r="G95" s="180"/>
      <c r="H95" s="180"/>
      <c r="I95" s="180"/>
      <c r="J95" s="180"/>
      <c r="K95" s="180"/>
      <c r="L95" s="180"/>
      <c r="M95" s="180"/>
      <c r="N95" s="204"/>
      <c r="O95" s="204"/>
      <c r="P95" s="204"/>
      <c r="Q95" s="204"/>
      <c r="R95" s="5"/>
      <c r="S95" s="5"/>
      <c r="T95" s="107"/>
    </row>
    <row r="96" spans="1:20" s="97" customFormat="1" ht="66">
      <c r="A96" s="97" t="str">
        <f>_xlfn.XLOOKUP(B96,'[2]Paso 3 Redacción RA '!I$3:I$15,'[2]Paso 3 Redacción RA '!C$3:C$15,,0,1)</f>
        <v>Saber</v>
      </c>
      <c r="B96" s="5" t="s">
        <v>102</v>
      </c>
      <c r="C96" s="180"/>
      <c r="D96" s="180"/>
      <c r="E96" s="204"/>
      <c r="F96" s="180"/>
      <c r="G96" s="180"/>
      <c r="H96" s="180"/>
      <c r="I96" s="180"/>
      <c r="J96" s="180"/>
      <c r="K96" s="180"/>
      <c r="L96" s="180"/>
      <c r="M96" s="180"/>
      <c r="N96" s="204"/>
      <c r="O96" s="204"/>
      <c r="P96" s="204"/>
      <c r="Q96" s="204"/>
      <c r="R96" s="5"/>
      <c r="S96" s="5"/>
      <c r="T96" s="107"/>
    </row>
    <row r="97" spans="1:20" s="97" customFormat="1" ht="50.1" thickBot="1">
      <c r="A97" s="162" t="str">
        <f>_xlfn.XLOOKUP(B97,'[2]Paso 3 Redacción RA '!I$3:I$15,'[2]Paso 3 Redacción RA '!C$3:C$15,,0,1)</f>
        <v>Saber</v>
      </c>
      <c r="B97" s="86" t="s">
        <v>103</v>
      </c>
      <c r="C97" s="193"/>
      <c r="D97" s="193"/>
      <c r="E97" s="205"/>
      <c r="F97" s="193"/>
      <c r="G97" s="193"/>
      <c r="H97" s="193"/>
      <c r="I97" s="193"/>
      <c r="J97" s="193"/>
      <c r="K97" s="193"/>
      <c r="L97" s="193"/>
      <c r="M97" s="193"/>
      <c r="N97" s="205"/>
      <c r="O97" s="205"/>
      <c r="P97" s="205"/>
      <c r="Q97" s="205"/>
      <c r="R97" s="5"/>
      <c r="S97" s="5"/>
      <c r="T97" s="107"/>
    </row>
    <row r="98" spans="1:20" s="97" customFormat="1" ht="66">
      <c r="A98" s="97" t="str">
        <f>_xlfn.XLOOKUP(B98,'[2]Paso 3 Redacción RA '!I$3:I$15,'[2]Paso 3 Redacción RA '!C$3:C$15,,0,1)</f>
        <v>Saber</v>
      </c>
      <c r="B98" s="5" t="s">
        <v>90</v>
      </c>
      <c r="C98" s="192">
        <v>6</v>
      </c>
      <c r="D98" s="192" t="s">
        <v>316</v>
      </c>
      <c r="E98" s="203" t="s">
        <v>317</v>
      </c>
      <c r="F98" s="192" t="s">
        <v>201</v>
      </c>
      <c r="G98" s="192"/>
      <c r="H98" s="192" t="s">
        <v>202</v>
      </c>
      <c r="I98" s="192"/>
      <c r="J98" s="192">
        <v>3</v>
      </c>
      <c r="K98" s="192">
        <f>J98*16</f>
        <v>48</v>
      </c>
      <c r="L98" s="192">
        <f>32*J98</f>
        <v>96</v>
      </c>
      <c r="M98" s="192">
        <f>SUM(K98:L98)</f>
        <v>144</v>
      </c>
      <c r="N98" s="203" t="s">
        <v>318</v>
      </c>
      <c r="O98" s="203" t="s">
        <v>222</v>
      </c>
      <c r="P98" s="203" t="s">
        <v>223</v>
      </c>
      <c r="Q98" s="203" t="s">
        <v>212</v>
      </c>
      <c r="S98" s="5"/>
      <c r="T98" s="107"/>
    </row>
    <row r="99" spans="1:20" s="97" customFormat="1" ht="33">
      <c r="A99" s="97" t="str">
        <f>_xlfn.XLOOKUP(B99,'[2]Paso 3 Redacción RA '!I$3:I$15,'[2]Paso 3 Redacción RA '!C$3:C$15,,0,1)</f>
        <v>Saberhacer</v>
      </c>
      <c r="B99" s="5" t="s">
        <v>94</v>
      </c>
      <c r="C99" s="180"/>
      <c r="D99" s="180"/>
      <c r="E99" s="204"/>
      <c r="F99" s="180"/>
      <c r="G99" s="180"/>
      <c r="H99" s="180"/>
      <c r="I99" s="180"/>
      <c r="J99" s="180"/>
      <c r="K99" s="180"/>
      <c r="L99" s="180"/>
      <c r="M99" s="180"/>
      <c r="N99" s="204"/>
      <c r="O99" s="204"/>
      <c r="P99" s="204"/>
      <c r="Q99" s="204"/>
      <c r="R99" s="5"/>
      <c r="S99" s="5"/>
      <c r="T99" s="107"/>
    </row>
    <row r="100" spans="1:20" s="97" customFormat="1" ht="66">
      <c r="A100" s="97" t="str">
        <f>_xlfn.XLOOKUP(B100,'[2]Paso 3 Redacción RA '!I$3:I$15,'[2]Paso 3 Redacción RA '!C$3:C$15,,0,1)</f>
        <v>Saber</v>
      </c>
      <c r="B100" s="5" t="s">
        <v>102</v>
      </c>
      <c r="C100" s="180"/>
      <c r="D100" s="180"/>
      <c r="E100" s="204"/>
      <c r="F100" s="180"/>
      <c r="G100" s="180"/>
      <c r="H100" s="180"/>
      <c r="I100" s="180"/>
      <c r="J100" s="180"/>
      <c r="K100" s="180"/>
      <c r="L100" s="180"/>
      <c r="M100" s="180"/>
      <c r="N100" s="204"/>
      <c r="O100" s="204"/>
      <c r="P100" s="204"/>
      <c r="Q100" s="204"/>
      <c r="R100" s="5"/>
      <c r="S100" s="5"/>
      <c r="T100" s="107"/>
    </row>
    <row r="101" spans="1:20" s="97" customFormat="1" ht="49.5">
      <c r="A101" s="97" t="str">
        <f>_xlfn.XLOOKUP(B101,'[2]Paso 3 Redacción RA '!I$3:I$15,'[2]Paso 3 Redacción RA '!C$3:C$15,,0,1)</f>
        <v>Saberser</v>
      </c>
      <c r="B101" s="5" t="s">
        <v>98</v>
      </c>
      <c r="C101" s="180"/>
      <c r="D101" s="180"/>
      <c r="E101" s="204"/>
      <c r="F101" s="180"/>
      <c r="G101" s="180"/>
      <c r="H101" s="180"/>
      <c r="I101" s="180"/>
      <c r="J101" s="180"/>
      <c r="K101" s="180"/>
      <c r="L101" s="180"/>
      <c r="M101" s="180"/>
      <c r="N101" s="204"/>
      <c r="O101" s="204"/>
      <c r="P101" s="204"/>
      <c r="Q101" s="204"/>
      <c r="R101" s="5"/>
      <c r="S101" s="5"/>
      <c r="T101" s="107"/>
    </row>
    <row r="102" spans="1:20" s="97" customFormat="1" ht="50.1" thickBot="1">
      <c r="A102" s="162" t="str">
        <f>_xlfn.XLOOKUP(B102,'[2]Paso 3 Redacción RA '!I$3:I$15,'[2]Paso 3 Redacción RA '!C$3:C$15,,0,1)</f>
        <v>Saberhacer</v>
      </c>
      <c r="B102" s="86" t="s">
        <v>100</v>
      </c>
      <c r="C102" s="193"/>
      <c r="D102" s="193"/>
      <c r="E102" s="205"/>
      <c r="F102" s="193"/>
      <c r="G102" s="193"/>
      <c r="H102" s="193"/>
      <c r="I102" s="193"/>
      <c r="J102" s="193"/>
      <c r="K102" s="193"/>
      <c r="L102" s="193"/>
      <c r="M102" s="193"/>
      <c r="N102" s="205"/>
      <c r="O102" s="205"/>
      <c r="P102" s="205"/>
      <c r="Q102" s="205"/>
      <c r="R102" s="5">
        <f>SUM(J80:J102)</f>
        <v>18</v>
      </c>
      <c r="S102" s="5">
        <f>COUNTA(D80:D102)</f>
        <v>5</v>
      </c>
      <c r="T102" s="107"/>
    </row>
    <row r="103" spans="1:20" s="97" customFormat="1" ht="66">
      <c r="A103" s="97" t="str">
        <f>_xlfn.XLOOKUP(B103,'[2]Paso 3 Redacción RA '!I$3:I$15,'[2]Paso 3 Redacción RA '!C$3:C$15,,0,1)</f>
        <v>Saber</v>
      </c>
      <c r="B103" s="5" t="s">
        <v>90</v>
      </c>
      <c r="C103" s="192">
        <v>7</v>
      </c>
      <c r="D103" s="192" t="s">
        <v>319</v>
      </c>
      <c r="E103" s="203" t="s">
        <v>320</v>
      </c>
      <c r="F103" s="192" t="s">
        <v>201</v>
      </c>
      <c r="G103" s="192"/>
      <c r="H103" s="192" t="s">
        <v>202</v>
      </c>
      <c r="I103" s="192"/>
      <c r="J103" s="192">
        <v>3</v>
      </c>
      <c r="K103" s="192">
        <f>J103*16</f>
        <v>48</v>
      </c>
      <c r="L103" s="192">
        <f>32*J103</f>
        <v>96</v>
      </c>
      <c r="M103" s="192">
        <f>SUM(K103:L103)</f>
        <v>144</v>
      </c>
      <c r="N103" s="203" t="s">
        <v>321</v>
      </c>
      <c r="O103" s="203" t="s">
        <v>222</v>
      </c>
      <c r="P103" s="203" t="s">
        <v>223</v>
      </c>
      <c r="Q103" s="203" t="s">
        <v>212</v>
      </c>
      <c r="R103" s="5"/>
      <c r="S103" s="5"/>
      <c r="T103" s="107"/>
    </row>
    <row r="104" spans="1:20" s="97" customFormat="1" ht="49.5">
      <c r="A104" s="97" t="str">
        <f>_xlfn.XLOOKUP(B104,'[2]Paso 3 Redacción RA '!I$3:I$15,'[2]Paso 3 Redacción RA '!C$3:C$15,,0,1)</f>
        <v>Saberhacer</v>
      </c>
      <c r="B104" s="5" t="s">
        <v>100</v>
      </c>
      <c r="C104" s="180"/>
      <c r="D104" s="180"/>
      <c r="E104" s="204"/>
      <c r="F104" s="180"/>
      <c r="G104" s="180"/>
      <c r="H104" s="180"/>
      <c r="I104" s="180"/>
      <c r="J104" s="180"/>
      <c r="K104" s="180"/>
      <c r="L104" s="180"/>
      <c r="M104" s="180"/>
      <c r="N104" s="204"/>
      <c r="O104" s="204"/>
      <c r="P104" s="204"/>
      <c r="Q104" s="204"/>
      <c r="R104" s="5"/>
      <c r="S104" s="5"/>
      <c r="T104" s="107"/>
    </row>
    <row r="105" spans="1:20" s="97" customFormat="1" ht="50.1" thickBot="1">
      <c r="A105" s="162" t="str">
        <f>_xlfn.XLOOKUP(B105,'[2]Paso 3 Redacción RA '!I$3:I$15,'[2]Paso 3 Redacción RA '!C$3:C$15,,0,1)</f>
        <v>Saberser</v>
      </c>
      <c r="B105" s="86" t="s">
        <v>98</v>
      </c>
      <c r="C105" s="193"/>
      <c r="D105" s="193"/>
      <c r="E105" s="205"/>
      <c r="F105" s="193"/>
      <c r="G105" s="193"/>
      <c r="H105" s="193"/>
      <c r="I105" s="193"/>
      <c r="J105" s="193"/>
      <c r="K105" s="193"/>
      <c r="L105" s="193"/>
      <c r="M105" s="193"/>
      <c r="N105" s="205"/>
      <c r="O105" s="205"/>
      <c r="P105" s="205"/>
      <c r="Q105" s="205"/>
      <c r="R105" s="5"/>
      <c r="S105" s="5"/>
      <c r="T105" s="107"/>
    </row>
    <row r="106" spans="1:20" s="97" customFormat="1" ht="33">
      <c r="A106" s="97" t="str">
        <f>_xlfn.XLOOKUP(B106,'[2]Paso 3 Redacción RA '!I$3:I$15,'[2]Paso 3 Redacción RA '!C$3:C$15,,0,1)</f>
        <v>Saberhacer</v>
      </c>
      <c r="B106" s="5" t="s">
        <v>94</v>
      </c>
      <c r="C106" s="192">
        <v>7</v>
      </c>
      <c r="D106" s="192" t="s">
        <v>322</v>
      </c>
      <c r="E106" s="203" t="s">
        <v>323</v>
      </c>
      <c r="F106" s="192" t="s">
        <v>201</v>
      </c>
      <c r="G106" s="192"/>
      <c r="H106" s="192" t="s">
        <v>202</v>
      </c>
      <c r="I106" s="192"/>
      <c r="J106" s="192">
        <v>4</v>
      </c>
      <c r="K106" s="192">
        <f>J106*16</f>
        <v>64</v>
      </c>
      <c r="L106" s="192">
        <f>32*J106</f>
        <v>128</v>
      </c>
      <c r="M106" s="192">
        <f>SUM(K106:L106)</f>
        <v>192</v>
      </c>
      <c r="N106" s="203" t="s">
        <v>324</v>
      </c>
      <c r="O106" s="203" t="s">
        <v>222</v>
      </c>
      <c r="P106" s="203" t="s">
        <v>223</v>
      </c>
      <c r="Q106" s="203" t="s">
        <v>212</v>
      </c>
      <c r="R106" s="5"/>
      <c r="S106" s="5"/>
      <c r="T106" s="107"/>
    </row>
    <row r="107" spans="1:20" s="97" customFormat="1" ht="49.5">
      <c r="A107" s="97" t="str">
        <f>_xlfn.XLOOKUP(B107,'[2]Paso 3 Redacción RA '!I$3:I$15,'[2]Paso 3 Redacción RA '!C$3:C$15,,0,1)</f>
        <v>Saberser</v>
      </c>
      <c r="B107" s="5" t="s">
        <v>98</v>
      </c>
      <c r="C107" s="180"/>
      <c r="D107" s="180"/>
      <c r="E107" s="204"/>
      <c r="F107" s="180"/>
      <c r="G107" s="180"/>
      <c r="H107" s="180"/>
      <c r="I107" s="180"/>
      <c r="J107" s="180"/>
      <c r="K107" s="180"/>
      <c r="L107" s="180"/>
      <c r="M107" s="180"/>
      <c r="N107" s="204"/>
      <c r="O107" s="204"/>
      <c r="P107" s="204"/>
      <c r="Q107" s="204"/>
      <c r="R107" s="5"/>
      <c r="S107" s="5"/>
      <c r="T107" s="107"/>
    </row>
    <row r="108" spans="1:20" s="97" customFormat="1" ht="66">
      <c r="A108" s="97" t="str">
        <f>_xlfn.XLOOKUP(B108,'[2]Paso 3 Redacción RA '!I$3:I$15,'[2]Paso 3 Redacción RA '!C$3:C$15,,0,1)</f>
        <v>Saber</v>
      </c>
      <c r="B108" s="5" t="s">
        <v>90</v>
      </c>
      <c r="C108" s="180"/>
      <c r="D108" s="180"/>
      <c r="E108" s="204"/>
      <c r="F108" s="180"/>
      <c r="G108" s="180"/>
      <c r="H108" s="180"/>
      <c r="I108" s="180"/>
      <c r="J108" s="180"/>
      <c r="K108" s="180"/>
      <c r="L108" s="180"/>
      <c r="M108" s="180"/>
      <c r="N108" s="204"/>
      <c r="O108" s="204"/>
      <c r="P108" s="204"/>
      <c r="Q108" s="204"/>
      <c r="R108" s="5"/>
      <c r="S108" s="5"/>
      <c r="T108" s="107"/>
    </row>
    <row r="109" spans="1:20" s="97" customFormat="1" ht="49.5">
      <c r="A109" s="97" t="str">
        <f>_xlfn.XLOOKUP(B109,'[2]Paso 3 Redacción RA '!I$3:I$15,'[2]Paso 3 Redacción RA '!C$3:C$15,,0,1)</f>
        <v>Saberhacer</v>
      </c>
      <c r="B109" s="5" t="s">
        <v>100</v>
      </c>
      <c r="C109" s="180"/>
      <c r="D109" s="180"/>
      <c r="E109" s="204"/>
      <c r="F109" s="180"/>
      <c r="G109" s="180"/>
      <c r="H109" s="180"/>
      <c r="I109" s="180"/>
      <c r="J109" s="180"/>
      <c r="K109" s="180"/>
      <c r="L109" s="180"/>
      <c r="M109" s="180"/>
      <c r="N109" s="204"/>
      <c r="O109" s="204"/>
      <c r="P109" s="204"/>
      <c r="Q109" s="204"/>
      <c r="S109" s="5"/>
      <c r="T109" s="107"/>
    </row>
    <row r="110" spans="1:20" s="97" customFormat="1" ht="66.599999999999994" thickBot="1">
      <c r="A110" s="162" t="str">
        <f>_xlfn.XLOOKUP(B110,'[2]Paso 3 Redacción RA '!I$3:I$15,'[2]Paso 3 Redacción RA '!C$3:C$15,,0,1)</f>
        <v>Saber</v>
      </c>
      <c r="B110" s="86" t="s">
        <v>102</v>
      </c>
      <c r="C110" s="193"/>
      <c r="D110" s="193"/>
      <c r="E110" s="205"/>
      <c r="F110" s="193"/>
      <c r="G110" s="193"/>
      <c r="H110" s="193"/>
      <c r="I110" s="193"/>
      <c r="J110" s="193"/>
      <c r="K110" s="193"/>
      <c r="L110" s="193"/>
      <c r="M110" s="193"/>
      <c r="N110" s="205"/>
      <c r="O110" s="205"/>
      <c r="P110" s="205"/>
      <c r="Q110" s="205"/>
      <c r="R110" s="5"/>
      <c r="S110" s="5"/>
      <c r="T110" s="107"/>
    </row>
    <row r="111" spans="1:20" s="97" customFormat="1" ht="66">
      <c r="A111" s="97" t="str">
        <f>_xlfn.XLOOKUP(B111,'[2]Paso 3 Redacción RA '!I$3:I$15,'[2]Paso 3 Redacción RA '!C$3:C$15,,0,1)</f>
        <v>Saber</v>
      </c>
      <c r="B111" s="5" t="s">
        <v>90</v>
      </c>
      <c r="C111" s="180">
        <v>7</v>
      </c>
      <c r="D111" s="192" t="s">
        <v>325</v>
      </c>
      <c r="E111" s="206" t="s">
        <v>326</v>
      </c>
      <c r="F111" s="192" t="s">
        <v>314</v>
      </c>
      <c r="G111" s="192"/>
      <c r="H111" s="192" t="s">
        <v>202</v>
      </c>
      <c r="I111" s="192"/>
      <c r="J111" s="192">
        <v>4</v>
      </c>
      <c r="K111" s="192">
        <f>J111*16</f>
        <v>64</v>
      </c>
      <c r="L111" s="192">
        <f>32*J111</f>
        <v>128</v>
      </c>
      <c r="M111" s="192">
        <f>SUM(K111:L111)</f>
        <v>192</v>
      </c>
      <c r="N111" s="203" t="s">
        <v>327</v>
      </c>
      <c r="O111" s="203" t="s">
        <v>222</v>
      </c>
      <c r="P111" s="203" t="s">
        <v>223</v>
      </c>
      <c r="Q111" s="203" t="s">
        <v>212</v>
      </c>
      <c r="R111" s="5"/>
      <c r="S111" s="5"/>
      <c r="T111" s="107"/>
    </row>
    <row r="112" spans="1:20" s="97" customFormat="1" ht="33">
      <c r="A112" s="97" t="str">
        <f>_xlfn.XLOOKUP(B112,'[2]Paso 3 Redacción RA '!I$3:I$15,'[2]Paso 3 Redacción RA '!C$3:C$15,,0,1)</f>
        <v>Saberhacer</v>
      </c>
      <c r="B112" s="5" t="s">
        <v>94</v>
      </c>
      <c r="C112" s="180"/>
      <c r="D112" s="180"/>
      <c r="E112" s="207"/>
      <c r="F112" s="180"/>
      <c r="G112" s="180"/>
      <c r="H112" s="180"/>
      <c r="I112" s="180"/>
      <c r="J112" s="180"/>
      <c r="K112" s="180"/>
      <c r="L112" s="180"/>
      <c r="M112" s="180"/>
      <c r="N112" s="204"/>
      <c r="O112" s="204"/>
      <c r="P112" s="204"/>
      <c r="Q112" s="204"/>
      <c r="R112" s="5"/>
      <c r="S112" s="5"/>
      <c r="T112" s="107"/>
    </row>
    <row r="113" spans="1:20" s="97" customFormat="1" ht="49.5">
      <c r="A113" s="97" t="str">
        <f>_xlfn.XLOOKUP(B113,'[2]Paso 3 Redacción RA '!I$3:I$15,'[2]Paso 3 Redacción RA '!C$3:C$15,,0,1)</f>
        <v>Saberser</v>
      </c>
      <c r="B113" s="5" t="s">
        <v>98</v>
      </c>
      <c r="C113" s="180"/>
      <c r="D113" s="180"/>
      <c r="E113" s="207"/>
      <c r="F113" s="180"/>
      <c r="G113" s="180"/>
      <c r="H113" s="180"/>
      <c r="I113" s="180"/>
      <c r="J113" s="180"/>
      <c r="K113" s="180"/>
      <c r="L113" s="180"/>
      <c r="M113" s="180"/>
      <c r="N113" s="204"/>
      <c r="O113" s="204"/>
      <c r="P113" s="204"/>
      <c r="Q113" s="204"/>
      <c r="R113" s="5"/>
      <c r="S113" s="5"/>
      <c r="T113" s="107"/>
    </row>
    <row r="114" spans="1:20" s="97" customFormat="1" ht="49.5">
      <c r="A114" s="97" t="str">
        <f>_xlfn.XLOOKUP(B114,'[2]Paso 3 Redacción RA '!I$3:I$15,'[2]Paso 3 Redacción RA '!C$3:C$15,,0,1)</f>
        <v>Saberhacer</v>
      </c>
      <c r="B114" s="5" t="s">
        <v>100</v>
      </c>
      <c r="C114" s="180"/>
      <c r="D114" s="180"/>
      <c r="E114" s="207"/>
      <c r="F114" s="180"/>
      <c r="G114" s="180"/>
      <c r="H114" s="180"/>
      <c r="I114" s="180"/>
      <c r="J114" s="180"/>
      <c r="K114" s="180"/>
      <c r="L114" s="180"/>
      <c r="M114" s="180"/>
      <c r="N114" s="204"/>
      <c r="O114" s="204"/>
      <c r="P114" s="204"/>
      <c r="Q114" s="204"/>
      <c r="R114" s="5"/>
      <c r="S114" s="5"/>
      <c r="T114" s="107"/>
    </row>
    <row r="115" spans="1:20" s="97" customFormat="1" ht="66">
      <c r="A115" s="97" t="str">
        <f>_xlfn.XLOOKUP(B115,'[2]Paso 3 Redacción RA '!I$3:I$15,'[2]Paso 3 Redacción RA '!C$3:C$15,,0,1)</f>
        <v>Saber</v>
      </c>
      <c r="B115" s="5" t="s">
        <v>102</v>
      </c>
      <c r="C115" s="180"/>
      <c r="D115" s="180"/>
      <c r="E115" s="207"/>
      <c r="F115" s="180"/>
      <c r="G115" s="180"/>
      <c r="H115" s="180"/>
      <c r="I115" s="180"/>
      <c r="J115" s="180"/>
      <c r="K115" s="180"/>
      <c r="L115" s="180"/>
      <c r="M115" s="180"/>
      <c r="N115" s="204"/>
      <c r="O115" s="204"/>
      <c r="P115" s="204"/>
      <c r="Q115" s="204"/>
      <c r="R115" s="5"/>
      <c r="S115" s="5"/>
      <c r="T115" s="107"/>
    </row>
    <row r="116" spans="1:20" s="97" customFormat="1" ht="42.75">
      <c r="A116" s="162" t="str">
        <f>_xlfn.XLOOKUP(B116,'[2]Paso 3 Redacción RA '!I$3:I$15,'[2]Paso 3 Redacción RA '!C$3:C$15,,0,1)</f>
        <v>Saber</v>
      </c>
      <c r="B116" s="86" t="s">
        <v>103</v>
      </c>
      <c r="C116" s="193"/>
      <c r="D116" s="193"/>
      <c r="E116" s="208"/>
      <c r="F116" s="193"/>
      <c r="G116" s="193"/>
      <c r="H116" s="193"/>
      <c r="I116" s="193"/>
      <c r="J116" s="193"/>
      <c r="K116" s="193"/>
      <c r="L116" s="193"/>
      <c r="M116" s="193"/>
      <c r="N116" s="205"/>
      <c r="O116" s="205"/>
      <c r="P116" s="205"/>
      <c r="Q116" s="205"/>
      <c r="R116" s="5"/>
      <c r="S116" s="5"/>
      <c r="T116" s="107"/>
    </row>
    <row r="117" spans="1:20" s="97" customFormat="1" ht="57.75">
      <c r="A117" s="97" t="str">
        <f>_xlfn.XLOOKUP(B117,'[2]Paso 3 Redacción RA '!I$3:I$15,'[2]Paso 3 Redacción RA '!C$3:C$15,,0,1)</f>
        <v>Saber</v>
      </c>
      <c r="B117" s="5" t="s">
        <v>90</v>
      </c>
      <c r="C117" s="180">
        <v>7</v>
      </c>
      <c r="D117" s="192" t="s">
        <v>328</v>
      </c>
      <c r="E117" s="203" t="s">
        <v>329</v>
      </c>
      <c r="F117" s="192" t="s">
        <v>226</v>
      </c>
      <c r="G117" s="192"/>
      <c r="H117" s="192" t="s">
        <v>202</v>
      </c>
      <c r="I117" s="192"/>
      <c r="J117" s="192">
        <v>3</v>
      </c>
      <c r="K117" s="192">
        <f>J117*16</f>
        <v>48</v>
      </c>
      <c r="L117" s="192">
        <f>32*J117</f>
        <v>96</v>
      </c>
      <c r="M117" s="192">
        <f>SUM(K117:L117)</f>
        <v>144</v>
      </c>
      <c r="N117" s="203" t="s">
        <v>330</v>
      </c>
      <c r="O117" s="203" t="s">
        <v>222</v>
      </c>
      <c r="P117" s="203" t="s">
        <v>223</v>
      </c>
      <c r="Q117" s="203" t="s">
        <v>212</v>
      </c>
      <c r="R117" s="5"/>
      <c r="S117" s="5"/>
      <c r="T117" s="107"/>
    </row>
    <row r="118" spans="1:20" s="114" customFormat="1" ht="57.75">
      <c r="A118" s="97" t="str">
        <f>_xlfn.XLOOKUP(B118,'[2]Paso 3 Redacción RA '!I$3:I$15,'[2]Paso 3 Redacción RA '!C$3:C$15,,0,1)</f>
        <v>Saberser</v>
      </c>
      <c r="B118" s="5" t="s">
        <v>98</v>
      </c>
      <c r="C118" s="180"/>
      <c r="D118" s="180"/>
      <c r="E118" s="204"/>
      <c r="F118" s="180"/>
      <c r="G118" s="180"/>
      <c r="H118" s="180"/>
      <c r="I118" s="180"/>
      <c r="J118" s="180"/>
      <c r="K118" s="180"/>
      <c r="L118" s="180"/>
      <c r="M118" s="180"/>
      <c r="N118" s="204"/>
      <c r="O118" s="204"/>
      <c r="P118" s="204"/>
      <c r="Q118" s="204"/>
      <c r="R118" s="115"/>
      <c r="S118" s="115"/>
      <c r="T118" s="119"/>
    </row>
    <row r="119" spans="1:20" s="114" customFormat="1" ht="57.75">
      <c r="A119" s="97" t="str">
        <f>_xlfn.XLOOKUP(B119,'[2]Paso 3 Redacción RA '!I$3:I$15,'[2]Paso 3 Redacción RA '!C$3:C$15,,0,1)</f>
        <v>Saber</v>
      </c>
      <c r="B119" s="5" t="s">
        <v>102</v>
      </c>
      <c r="C119" s="180"/>
      <c r="D119" s="180"/>
      <c r="E119" s="204"/>
      <c r="F119" s="180"/>
      <c r="G119" s="180"/>
      <c r="H119" s="180"/>
      <c r="I119" s="180"/>
      <c r="J119" s="180"/>
      <c r="K119" s="180"/>
      <c r="L119" s="180"/>
      <c r="M119" s="180"/>
      <c r="N119" s="204"/>
      <c r="O119" s="204"/>
      <c r="P119" s="204"/>
      <c r="Q119" s="204"/>
      <c r="R119" s="115"/>
      <c r="S119" s="115"/>
      <c r="T119" s="119"/>
    </row>
    <row r="120" spans="1:20" s="114" customFormat="1" ht="42.75">
      <c r="A120" s="162" t="str">
        <f>_xlfn.XLOOKUP(B120,'[2]Paso 3 Redacción RA '!I$3:I$15,'[2]Paso 3 Redacción RA '!C$3:C$15,,0,1)</f>
        <v>Saberhacer</v>
      </c>
      <c r="B120" s="86" t="s">
        <v>100</v>
      </c>
      <c r="C120" s="193"/>
      <c r="D120" s="193"/>
      <c r="E120" s="205"/>
      <c r="F120" s="193"/>
      <c r="G120" s="193"/>
      <c r="H120" s="193"/>
      <c r="I120" s="193"/>
      <c r="J120" s="193"/>
      <c r="K120" s="193"/>
      <c r="L120" s="193"/>
      <c r="M120" s="210"/>
      <c r="N120" s="205"/>
      <c r="O120" s="205"/>
      <c r="P120" s="205"/>
      <c r="Q120" s="205"/>
      <c r="R120" s="115"/>
      <c r="S120" s="115"/>
      <c r="T120" s="119"/>
    </row>
    <row r="121" spans="1:20" s="114" customFormat="1" ht="17.25">
      <c r="A121" s="110"/>
      <c r="B121" s="110"/>
      <c r="C121" s="108">
        <v>7</v>
      </c>
      <c r="D121" s="109" t="s">
        <v>331</v>
      </c>
      <c r="E121" s="140"/>
      <c r="F121" s="109"/>
      <c r="G121" s="141"/>
      <c r="H121" s="141"/>
      <c r="I121" s="141" t="s">
        <v>202</v>
      </c>
      <c r="J121" s="141">
        <v>3</v>
      </c>
      <c r="K121" s="141">
        <f>J121*16</f>
        <v>48</v>
      </c>
      <c r="L121" s="141">
        <f>32*J121</f>
        <v>96</v>
      </c>
      <c r="M121" s="142">
        <f>SUM(K121:L121)</f>
        <v>144</v>
      </c>
      <c r="N121" s="104"/>
      <c r="O121" s="104"/>
      <c r="P121" s="104"/>
      <c r="Q121" s="164"/>
      <c r="R121" s="115">
        <f>SUM(J103:J121)</f>
        <v>17</v>
      </c>
      <c r="S121" s="115">
        <f>COUNTA(D103:D121)</f>
        <v>5</v>
      </c>
      <c r="T121" s="119"/>
    </row>
    <row r="122" spans="1:20" ht="42.75">
      <c r="A122" s="97" t="str">
        <f>_xlfn.XLOOKUP(B122,'[2]Paso 3 Redacción RA '!I$3:I$15,'[2]Paso 3 Redacción RA '!C$3:C$15,,0,1)</f>
        <v>Saberhacer</v>
      </c>
      <c r="B122" s="5" t="s">
        <v>100</v>
      </c>
      <c r="C122" s="192">
        <v>8</v>
      </c>
      <c r="D122" s="192" t="s">
        <v>332</v>
      </c>
      <c r="E122" s="203" t="s">
        <v>333</v>
      </c>
      <c r="F122" s="192" t="s">
        <v>201</v>
      </c>
      <c r="G122" s="192"/>
      <c r="H122" s="192" t="s">
        <v>202</v>
      </c>
      <c r="I122" s="192"/>
      <c r="J122" s="192">
        <v>3</v>
      </c>
      <c r="K122" s="192">
        <f>J122*16</f>
        <v>48</v>
      </c>
      <c r="L122" s="192">
        <f>32*J122</f>
        <v>96</v>
      </c>
      <c r="M122" s="192">
        <f>SUM(K122:L122)</f>
        <v>144</v>
      </c>
      <c r="N122" s="203" t="s">
        <v>334</v>
      </c>
      <c r="O122" s="203" t="s">
        <v>222</v>
      </c>
      <c r="P122" s="203" t="s">
        <v>223</v>
      </c>
      <c r="Q122" s="203" t="s">
        <v>212</v>
      </c>
    </row>
    <row r="123" spans="1:20" ht="33">
      <c r="A123" s="97" t="str">
        <f>_xlfn.XLOOKUP(B123,'[2]Paso 3 Redacción RA '!I$3:I$15,'[2]Paso 3 Redacción RA '!C$3:C$15,,0,1)</f>
        <v>Saberhacer</v>
      </c>
      <c r="B123" s="5" t="s">
        <v>94</v>
      </c>
      <c r="C123" s="180"/>
      <c r="D123" s="180"/>
      <c r="E123" s="204"/>
      <c r="F123" s="180"/>
      <c r="G123" s="180"/>
      <c r="H123" s="180"/>
      <c r="I123" s="180"/>
      <c r="J123" s="180"/>
      <c r="K123" s="180"/>
      <c r="L123" s="180"/>
      <c r="M123" s="180"/>
      <c r="N123" s="204"/>
      <c r="O123" s="204"/>
      <c r="P123" s="204"/>
      <c r="Q123" s="204"/>
    </row>
    <row r="124" spans="1:20" ht="66">
      <c r="A124" s="97" t="str">
        <f>_xlfn.XLOOKUP(B124,'[2]Paso 3 Redacción RA '!I$3:I$15,'[2]Paso 3 Redacción RA '!C$3:C$15,,0,1)</f>
        <v>Saber</v>
      </c>
      <c r="B124" s="5" t="s">
        <v>90</v>
      </c>
      <c r="C124" s="180"/>
      <c r="D124" s="180"/>
      <c r="E124" s="204"/>
      <c r="F124" s="180"/>
      <c r="G124" s="180"/>
      <c r="H124" s="180"/>
      <c r="I124" s="180"/>
      <c r="J124" s="180"/>
      <c r="K124" s="180"/>
      <c r="L124" s="180"/>
      <c r="M124" s="180"/>
      <c r="N124" s="204"/>
      <c r="O124" s="204"/>
      <c r="P124" s="204"/>
      <c r="Q124" s="204"/>
    </row>
    <row r="125" spans="1:20" ht="50.1" thickBot="1">
      <c r="A125" s="162" t="str">
        <f>_xlfn.XLOOKUP(B125,'[2]Paso 3 Redacción RA '!I$3:I$15,'[2]Paso 3 Redacción RA '!C$3:C$15,,0,1)</f>
        <v>Saberser</v>
      </c>
      <c r="B125" s="86" t="s">
        <v>98</v>
      </c>
      <c r="C125" s="193"/>
      <c r="D125" s="193"/>
      <c r="E125" s="205"/>
      <c r="F125" s="193"/>
      <c r="G125" s="193"/>
      <c r="H125" s="193"/>
      <c r="I125" s="193"/>
      <c r="J125" s="193"/>
      <c r="K125" s="193"/>
      <c r="L125" s="193"/>
      <c r="M125" s="193"/>
      <c r="N125" s="205"/>
      <c r="O125" s="205"/>
      <c r="P125" s="205"/>
      <c r="Q125" s="205"/>
    </row>
    <row r="126" spans="1:20" ht="66">
      <c r="A126" s="97" t="str">
        <f>_xlfn.XLOOKUP(B126,'[2]Paso 3 Redacción RA '!I$3:I$15,'[2]Paso 3 Redacción RA '!C$3:C$15,,0,1)</f>
        <v>Saber</v>
      </c>
      <c r="B126" s="5" t="s">
        <v>90</v>
      </c>
      <c r="C126" s="192">
        <v>8</v>
      </c>
      <c r="D126" s="192" t="s">
        <v>335</v>
      </c>
      <c r="E126" s="206" t="s">
        <v>336</v>
      </c>
      <c r="F126" s="192" t="s">
        <v>201</v>
      </c>
      <c r="G126" s="192"/>
      <c r="H126" s="192" t="s">
        <v>202</v>
      </c>
      <c r="I126" s="192"/>
      <c r="J126" s="192">
        <v>3</v>
      </c>
      <c r="K126" s="192">
        <f>J126*16</f>
        <v>48</v>
      </c>
      <c r="L126" s="192">
        <f>32*J126</f>
        <v>96</v>
      </c>
      <c r="M126" s="192">
        <f>SUM(K126:L126)</f>
        <v>144</v>
      </c>
      <c r="N126" s="203" t="s">
        <v>337</v>
      </c>
      <c r="O126" s="203" t="s">
        <v>222</v>
      </c>
      <c r="P126" s="203" t="s">
        <v>223</v>
      </c>
      <c r="Q126" s="203" t="s">
        <v>212</v>
      </c>
    </row>
    <row r="127" spans="1:20" ht="66">
      <c r="A127" s="97" t="str">
        <f>_xlfn.XLOOKUP(B127,'[2]Paso 3 Redacción RA '!I$3:I$15,'[2]Paso 3 Redacción RA '!C$3:C$15,,0,1)</f>
        <v>Saber</v>
      </c>
      <c r="B127" s="5" t="s">
        <v>102</v>
      </c>
      <c r="C127" s="180"/>
      <c r="D127" s="180"/>
      <c r="E127" s="207"/>
      <c r="F127" s="180"/>
      <c r="G127" s="180"/>
      <c r="H127" s="180"/>
      <c r="I127" s="180"/>
      <c r="J127" s="180"/>
      <c r="K127" s="180"/>
      <c r="L127" s="180"/>
      <c r="M127" s="180"/>
      <c r="N127" s="204"/>
      <c r="O127" s="204"/>
      <c r="P127" s="204"/>
      <c r="Q127" s="204"/>
    </row>
    <row r="128" spans="1:20" ht="49.5">
      <c r="A128" s="97" t="str">
        <f>_xlfn.XLOOKUP(B128,'[2]Paso 3 Redacción RA '!I$3:I$15,'[2]Paso 3 Redacción RA '!C$3:C$15,,0,1)</f>
        <v>Saberhacer</v>
      </c>
      <c r="B128" s="5" t="s">
        <v>100</v>
      </c>
      <c r="C128" s="180"/>
      <c r="D128" s="180"/>
      <c r="E128" s="207"/>
      <c r="F128" s="180"/>
      <c r="G128" s="180"/>
      <c r="H128" s="180"/>
      <c r="I128" s="180"/>
      <c r="J128" s="180"/>
      <c r="K128" s="180"/>
      <c r="L128" s="180"/>
      <c r="M128" s="180"/>
      <c r="N128" s="204"/>
      <c r="O128" s="204"/>
      <c r="P128" s="204"/>
      <c r="Q128" s="204"/>
    </row>
    <row r="129" spans="1:19" ht="49.5">
      <c r="A129" s="162" t="str">
        <f>_xlfn.XLOOKUP(B129,'[2]Paso 3 Redacción RA '!I$3:I$15,'[2]Paso 3 Redacción RA '!C$3:C$15,,0,1)</f>
        <v>Saber</v>
      </c>
      <c r="B129" s="86" t="s">
        <v>103</v>
      </c>
      <c r="C129" s="193"/>
      <c r="D129" s="210"/>
      <c r="E129" s="216"/>
      <c r="F129" s="193"/>
      <c r="G129" s="193"/>
      <c r="H129" s="193"/>
      <c r="I129" s="193"/>
      <c r="J129" s="193"/>
      <c r="K129" s="193"/>
      <c r="L129" s="193"/>
      <c r="M129" s="193"/>
      <c r="N129" s="205"/>
      <c r="O129" s="205"/>
      <c r="P129" s="205"/>
      <c r="Q129" s="205"/>
    </row>
    <row r="130" spans="1:19">
      <c r="A130" s="167"/>
      <c r="B130" s="165"/>
      <c r="C130" s="108">
        <v>8</v>
      </c>
      <c r="D130" s="143" t="s">
        <v>338</v>
      </c>
      <c r="E130" s="144"/>
      <c r="F130" s="145"/>
      <c r="G130" s="145"/>
      <c r="H130" s="145"/>
      <c r="I130" s="145" t="s">
        <v>202</v>
      </c>
      <c r="J130" s="145">
        <v>3</v>
      </c>
      <c r="K130" s="141">
        <f>J130*16</f>
        <v>48</v>
      </c>
      <c r="L130" s="141">
        <f>32*J130</f>
        <v>96</v>
      </c>
      <c r="M130" s="146">
        <f>SUM(K130:L130)</f>
        <v>144</v>
      </c>
      <c r="N130" s="147"/>
      <c r="O130" s="147"/>
      <c r="P130" s="147"/>
      <c r="Q130" s="147"/>
    </row>
    <row r="131" spans="1:19">
      <c r="A131" s="167"/>
      <c r="B131" s="148"/>
      <c r="C131" s="108">
        <v>8</v>
      </c>
      <c r="D131" s="145" t="s">
        <v>339</v>
      </c>
      <c r="E131" s="148"/>
      <c r="F131" s="145"/>
      <c r="G131" s="145"/>
      <c r="H131" s="145"/>
      <c r="I131" s="145" t="s">
        <v>202</v>
      </c>
      <c r="J131" s="145">
        <v>3</v>
      </c>
      <c r="K131" s="141">
        <f>J131*16</f>
        <v>48</v>
      </c>
      <c r="L131" s="141">
        <f>32*J131</f>
        <v>96</v>
      </c>
      <c r="M131" s="146">
        <f>SUM(K131:L131)</f>
        <v>144</v>
      </c>
      <c r="N131" s="148"/>
      <c r="O131" s="148"/>
      <c r="P131" s="148"/>
      <c r="Q131" s="147"/>
    </row>
    <row r="132" spans="1:19">
      <c r="A132" s="167"/>
      <c r="B132" s="110"/>
      <c r="C132" s="108">
        <v>8</v>
      </c>
      <c r="D132" s="109" t="s">
        <v>340</v>
      </c>
      <c r="E132" s="110"/>
      <c r="F132" s="109"/>
      <c r="G132" s="109"/>
      <c r="H132" s="109"/>
      <c r="I132" s="109" t="s">
        <v>202</v>
      </c>
      <c r="J132" s="109">
        <v>3</v>
      </c>
      <c r="K132" s="141">
        <f>J132*16</f>
        <v>48</v>
      </c>
      <c r="L132" s="141">
        <f>32*J132</f>
        <v>96</v>
      </c>
      <c r="M132" s="141">
        <f>SUM(K132:L132)</f>
        <v>144</v>
      </c>
      <c r="N132" s="110"/>
      <c r="O132" s="110"/>
      <c r="P132" s="110"/>
      <c r="Q132" s="110"/>
      <c r="R132" s="5">
        <f>SUM(J122:J132)</f>
        <v>15</v>
      </c>
      <c r="S132" s="5">
        <f>COUNTA(D122:D132)</f>
        <v>5</v>
      </c>
    </row>
    <row r="133" spans="1:19" ht="24.75">
      <c r="A133" s="97"/>
      <c r="B133" s="5"/>
      <c r="C133" s="113" t="s">
        <v>341</v>
      </c>
      <c r="D133" s="177">
        <f>COUNTA(D3:D132)</f>
        <v>42</v>
      </c>
      <c r="E133" s="5"/>
      <c r="F133" s="6"/>
      <c r="G133" s="6"/>
      <c r="H133" s="6"/>
      <c r="I133" s="117" t="s">
        <v>342</v>
      </c>
      <c r="J133" s="178">
        <f>SUM(J3:J132)</f>
        <v>135</v>
      </c>
      <c r="K133" s="121"/>
      <c r="L133" s="39"/>
      <c r="M133" s="6"/>
      <c r="N133" s="5"/>
      <c r="O133" s="5"/>
      <c r="P133" s="5"/>
      <c r="Q133" s="5"/>
      <c r="R133" s="5">
        <f>SUM(R132,R121,R102,R79,R60,R45,R31,R17)</f>
        <v>135</v>
      </c>
      <c r="S133" s="5">
        <f>SUM(S3:S132)</f>
        <v>42</v>
      </c>
    </row>
    <row r="134" spans="1:19" ht="48">
      <c r="A134" s="97"/>
      <c r="B134" s="5"/>
      <c r="C134" s="116"/>
      <c r="D134" s="6"/>
      <c r="E134" s="5"/>
      <c r="F134" s="6"/>
      <c r="G134" s="6"/>
      <c r="H134" s="6"/>
      <c r="I134" s="120" t="s">
        <v>343</v>
      </c>
      <c r="J134" s="118">
        <f>SUM(J3:J4,J18,J32:J33,J46)</f>
        <v>18</v>
      </c>
      <c r="K134" s="121"/>
      <c r="L134" s="116"/>
      <c r="M134" s="6"/>
      <c r="N134" s="5"/>
      <c r="O134" s="5"/>
      <c r="P134" s="5"/>
      <c r="Q134" s="5"/>
    </row>
    <row r="135" spans="1:19" ht="48">
      <c r="A135" s="97"/>
      <c r="B135" s="5"/>
      <c r="C135" s="116"/>
      <c r="D135" s="126"/>
      <c r="E135" s="135"/>
      <c r="F135" s="126"/>
      <c r="G135" s="149"/>
      <c r="H135" s="149"/>
      <c r="I135" s="120" t="s">
        <v>344</v>
      </c>
      <c r="J135" s="118">
        <f>SUM(J5:J17,J19:J31,J34:J45,J47:J120,J122:J129)</f>
        <v>105</v>
      </c>
      <c r="K135" s="121"/>
      <c r="L135" s="116"/>
      <c r="M135" s="149"/>
      <c r="N135" s="79"/>
      <c r="O135" s="134"/>
      <c r="P135" s="134"/>
      <c r="Q135" s="134"/>
    </row>
    <row r="136" spans="1:19" ht="32.1">
      <c r="A136" s="97"/>
      <c r="B136" s="5"/>
      <c r="C136" s="116"/>
      <c r="D136" s="126"/>
      <c r="E136" s="135"/>
      <c r="F136" s="126"/>
      <c r="G136" s="149"/>
      <c r="H136" s="149"/>
      <c r="I136" s="120" t="s">
        <v>345</v>
      </c>
      <c r="J136" s="116">
        <f>SUM(J121,J130:J132)</f>
        <v>12</v>
      </c>
      <c r="K136" s="122"/>
      <c r="L136" s="116"/>
      <c r="M136" s="149"/>
      <c r="N136" s="79"/>
      <c r="O136" s="134"/>
      <c r="P136" s="134"/>
      <c r="Q136" s="134"/>
    </row>
    <row r="137" spans="1:19">
      <c r="A137" s="97"/>
      <c r="B137" s="5"/>
      <c r="C137" s="6"/>
      <c r="D137" s="126"/>
      <c r="E137" s="135"/>
      <c r="F137" s="126"/>
      <c r="G137" s="149"/>
      <c r="H137" s="149"/>
      <c r="I137" s="149"/>
      <c r="J137" s="149"/>
      <c r="K137" s="149"/>
      <c r="L137" s="149"/>
      <c r="M137" s="149"/>
      <c r="N137" s="79"/>
      <c r="O137" s="134"/>
      <c r="P137" s="134"/>
      <c r="Q137" s="134"/>
    </row>
    <row r="138" spans="1:19">
      <c r="A138" s="97"/>
      <c r="B138" s="5"/>
      <c r="C138" s="6"/>
      <c r="D138" s="126"/>
      <c r="E138" s="135"/>
      <c r="F138" s="126"/>
      <c r="G138" s="149"/>
      <c r="H138" s="149"/>
      <c r="I138" s="149"/>
      <c r="J138" s="149"/>
      <c r="K138" s="149"/>
      <c r="L138" s="149"/>
      <c r="M138" s="149"/>
      <c r="N138" s="79"/>
      <c r="O138" s="134"/>
      <c r="P138" s="134"/>
      <c r="Q138" s="134"/>
    </row>
    <row r="139" spans="1:19">
      <c r="A139" s="97"/>
      <c r="B139" s="5"/>
      <c r="C139" s="6"/>
      <c r="D139" s="6"/>
      <c r="E139" s="5"/>
      <c r="F139" s="6"/>
      <c r="G139" s="6"/>
      <c r="H139" s="6"/>
      <c r="I139" s="6"/>
      <c r="J139" s="6"/>
      <c r="K139" s="6"/>
      <c r="L139" s="6"/>
      <c r="M139" s="6"/>
      <c r="N139" s="5"/>
      <c r="O139" s="5"/>
      <c r="P139" s="5"/>
      <c r="Q139" s="5"/>
    </row>
    <row r="140" spans="1:19">
      <c r="A140" s="97"/>
      <c r="B140" s="5"/>
      <c r="C140" s="6"/>
      <c r="D140" s="6"/>
      <c r="E140" s="5"/>
      <c r="F140" s="6"/>
      <c r="G140" s="6"/>
      <c r="H140" s="6"/>
      <c r="I140" s="6"/>
      <c r="J140" s="6"/>
      <c r="K140" s="6"/>
      <c r="L140" s="6"/>
      <c r="M140" s="6"/>
      <c r="N140" s="5"/>
      <c r="O140" s="5"/>
      <c r="P140" s="5"/>
      <c r="Q140" s="5"/>
    </row>
    <row r="141" spans="1:19">
      <c r="A141" s="97"/>
      <c r="B141" s="5"/>
      <c r="C141" s="6"/>
      <c r="D141" s="6"/>
      <c r="E141" s="5"/>
      <c r="F141" s="6"/>
      <c r="G141" s="6"/>
      <c r="H141" s="6"/>
      <c r="I141" s="6"/>
      <c r="J141" s="6"/>
      <c r="K141" s="6"/>
      <c r="L141" s="6"/>
      <c r="M141" s="6"/>
      <c r="N141" s="5"/>
      <c r="O141" s="5"/>
      <c r="P141" s="5"/>
      <c r="Q141" s="5"/>
    </row>
    <row r="142" spans="1:19">
      <c r="A142" s="97"/>
      <c r="B142" s="5"/>
      <c r="C142" s="6"/>
      <c r="D142" s="6"/>
      <c r="E142" s="5"/>
      <c r="F142" s="6"/>
      <c r="G142" s="149"/>
      <c r="H142" s="149"/>
      <c r="I142" s="149"/>
      <c r="J142" s="149"/>
      <c r="K142" s="149"/>
      <c r="L142" s="149"/>
      <c r="M142" s="149"/>
      <c r="N142" s="5"/>
      <c r="O142" s="5"/>
      <c r="P142" s="5"/>
      <c r="Q142" s="5"/>
    </row>
    <row r="143" spans="1:19">
      <c r="A143" s="97"/>
      <c r="B143" s="5"/>
      <c r="C143" s="6"/>
      <c r="D143" s="6"/>
      <c r="E143" s="5"/>
      <c r="F143" s="6"/>
      <c r="G143" s="149"/>
      <c r="H143" s="149"/>
      <c r="I143" s="149"/>
      <c r="J143" s="149"/>
      <c r="K143" s="149"/>
      <c r="L143" s="149"/>
      <c r="M143" s="149"/>
      <c r="N143" s="5"/>
      <c r="O143" s="5"/>
      <c r="P143" s="5"/>
      <c r="Q143" s="5"/>
    </row>
    <row r="144" spans="1:19">
      <c r="A144" s="97"/>
      <c r="B144" s="5"/>
      <c r="D144" s="6"/>
      <c r="E144" s="5"/>
      <c r="F144" s="6"/>
      <c r="G144" s="149"/>
      <c r="H144" s="149"/>
      <c r="I144" s="149"/>
      <c r="J144" s="149"/>
      <c r="K144" s="149"/>
      <c r="L144" s="149"/>
      <c r="M144" s="149"/>
      <c r="N144" s="5"/>
      <c r="O144" s="5"/>
      <c r="P144" s="5"/>
      <c r="Q144" s="5"/>
    </row>
    <row r="145" spans="1:17">
      <c r="A145" s="97"/>
      <c r="B145" s="5"/>
      <c r="D145" s="6"/>
      <c r="E145" s="5"/>
      <c r="F145" s="6"/>
      <c r="G145" s="6"/>
      <c r="H145" s="6"/>
      <c r="I145" s="6"/>
      <c r="J145" s="6"/>
      <c r="K145" s="6"/>
      <c r="L145" s="6"/>
      <c r="M145" s="6"/>
      <c r="N145" s="5"/>
      <c r="O145" s="5"/>
      <c r="P145" s="5"/>
      <c r="Q145" s="5"/>
    </row>
    <row r="146" spans="1:17">
      <c r="A146" s="97"/>
      <c r="B146" s="5"/>
      <c r="D146" s="6"/>
      <c r="E146" s="5"/>
      <c r="F146" s="6"/>
      <c r="G146" s="6"/>
      <c r="H146" s="6"/>
      <c r="I146" s="6"/>
      <c r="J146" s="6"/>
      <c r="K146" s="6"/>
      <c r="L146" s="6"/>
      <c r="M146" s="6"/>
      <c r="N146" s="5"/>
      <c r="O146" s="5"/>
      <c r="P146" s="5"/>
      <c r="Q146" s="5"/>
    </row>
    <row r="147" spans="1:17">
      <c r="A147" s="97"/>
      <c r="B147" s="5"/>
      <c r="D147" s="6"/>
      <c r="E147" s="5"/>
      <c r="F147" s="6"/>
      <c r="G147" s="6"/>
      <c r="H147" s="6"/>
      <c r="I147" s="6"/>
      <c r="J147" s="6"/>
      <c r="K147" s="6"/>
      <c r="L147" s="6"/>
      <c r="M147" s="6"/>
      <c r="N147" s="5"/>
      <c r="O147" s="5"/>
      <c r="P147" s="5"/>
      <c r="Q147" s="5"/>
    </row>
    <row r="148" spans="1:17">
      <c r="A148" s="97"/>
      <c r="B148" s="5"/>
      <c r="D148" s="6"/>
      <c r="E148" s="5"/>
      <c r="F148" s="6"/>
      <c r="G148" s="6"/>
      <c r="H148" s="6"/>
      <c r="I148" s="6"/>
      <c r="J148" s="6"/>
      <c r="K148" s="6"/>
      <c r="L148" s="6"/>
      <c r="M148" s="6"/>
      <c r="N148" s="5"/>
      <c r="O148" s="5"/>
      <c r="P148" s="5"/>
      <c r="Q148" s="5"/>
    </row>
    <row r="149" spans="1:17">
      <c r="A149" s="97"/>
      <c r="B149" s="79"/>
      <c r="D149" s="6"/>
      <c r="E149" s="79"/>
      <c r="F149" s="6"/>
      <c r="G149" s="31"/>
      <c r="H149" s="31"/>
      <c r="I149" s="31"/>
      <c r="J149" s="31"/>
      <c r="K149" s="31"/>
      <c r="L149" s="31"/>
      <c r="M149" s="31"/>
      <c r="N149" s="79"/>
      <c r="O149" s="79"/>
      <c r="P149" s="79"/>
      <c r="Q149" s="79"/>
    </row>
    <row r="150" spans="1:17">
      <c r="A150" s="97"/>
      <c r="B150" s="79"/>
      <c r="D150" s="6"/>
      <c r="E150" s="79"/>
      <c r="F150" s="6"/>
      <c r="G150" s="31"/>
      <c r="H150" s="31"/>
      <c r="I150" s="31"/>
      <c r="J150" s="31"/>
      <c r="K150" s="31"/>
      <c r="L150" s="31"/>
      <c r="M150" s="31"/>
      <c r="N150" s="79"/>
      <c r="O150" s="79"/>
      <c r="P150" s="79"/>
      <c r="Q150" s="79"/>
    </row>
    <row r="151" spans="1:17">
      <c r="A151" s="97"/>
      <c r="B151" s="79"/>
      <c r="D151" s="6"/>
      <c r="E151" s="79"/>
      <c r="F151" s="6"/>
      <c r="G151" s="31"/>
      <c r="H151" s="31"/>
      <c r="I151" s="31"/>
      <c r="J151" s="31"/>
      <c r="K151" s="31"/>
      <c r="L151" s="31"/>
      <c r="M151" s="31"/>
      <c r="N151" s="79"/>
      <c r="O151" s="79"/>
      <c r="P151" s="79"/>
      <c r="Q151" s="79"/>
    </row>
    <row r="152" spans="1:17">
      <c r="A152" s="97"/>
      <c r="B152" s="79"/>
      <c r="D152" s="6"/>
      <c r="E152" s="79"/>
      <c r="F152" s="6"/>
      <c r="G152" s="31"/>
      <c r="H152" s="31"/>
      <c r="I152" s="31"/>
      <c r="J152" s="31"/>
      <c r="K152" s="31"/>
      <c r="L152" s="31"/>
      <c r="M152" s="31"/>
      <c r="N152" s="79"/>
      <c r="O152" s="79"/>
      <c r="P152" s="79"/>
      <c r="Q152" s="79"/>
    </row>
    <row r="153" spans="1:17">
      <c r="A153" s="97"/>
      <c r="B153" s="5"/>
      <c r="D153" s="126"/>
      <c r="E153" s="135"/>
      <c r="F153" s="126"/>
      <c r="G153" s="149"/>
      <c r="H153" s="149"/>
      <c r="I153" s="149"/>
      <c r="J153" s="149"/>
      <c r="K153" s="149"/>
      <c r="L153" s="149"/>
      <c r="M153" s="149"/>
      <c r="N153" s="134"/>
      <c r="O153" s="134"/>
      <c r="P153" s="134"/>
      <c r="Q153" s="134"/>
    </row>
    <row r="154" spans="1:17">
      <c r="A154" s="97"/>
      <c r="B154" s="5"/>
      <c r="D154" s="126"/>
      <c r="E154" s="135"/>
      <c r="F154" s="126"/>
      <c r="G154" s="149"/>
      <c r="H154" s="149"/>
      <c r="I154" s="149"/>
      <c r="J154" s="149"/>
      <c r="K154" s="149"/>
      <c r="L154" s="149"/>
      <c r="M154" s="149"/>
      <c r="N154" s="134"/>
      <c r="O154" s="134"/>
      <c r="P154" s="134"/>
      <c r="Q154" s="134"/>
    </row>
    <row r="155" spans="1:17">
      <c r="A155" s="97"/>
      <c r="B155" s="5"/>
      <c r="D155" s="126"/>
      <c r="E155" s="135"/>
      <c r="F155" s="126"/>
      <c r="G155" s="149"/>
      <c r="H155" s="149"/>
      <c r="I155" s="149"/>
      <c r="J155" s="149"/>
      <c r="K155" s="149"/>
      <c r="L155" s="149"/>
      <c r="M155" s="149"/>
      <c r="N155" s="134"/>
      <c r="O155" s="134"/>
      <c r="P155" s="134"/>
      <c r="Q155" s="134"/>
    </row>
    <row r="156" spans="1:17">
      <c r="A156" s="97"/>
      <c r="B156" s="5"/>
      <c r="D156" s="126"/>
      <c r="E156" s="135"/>
      <c r="F156" s="126"/>
      <c r="G156" s="149"/>
      <c r="H156" s="149"/>
      <c r="I156" s="149"/>
      <c r="J156" s="149"/>
      <c r="K156" s="149"/>
      <c r="L156" s="149"/>
      <c r="M156" s="149"/>
      <c r="N156" s="134"/>
      <c r="O156" s="134"/>
      <c r="P156" s="134"/>
      <c r="Q156" s="134"/>
    </row>
    <row r="157" spans="1:17">
      <c r="A157" s="97"/>
      <c r="B157" s="5"/>
      <c r="D157" s="6"/>
      <c r="E157" s="5"/>
      <c r="F157" s="6"/>
      <c r="G157" s="7"/>
      <c r="H157" s="7"/>
      <c r="I157" s="7"/>
      <c r="J157" s="7"/>
      <c r="K157" s="7"/>
      <c r="L157" s="15"/>
      <c r="M157" s="15"/>
      <c r="N157" s="5"/>
      <c r="O157" s="5"/>
      <c r="P157" s="5"/>
      <c r="Q157" s="5"/>
    </row>
    <row r="158" spans="1:17">
      <c r="A158" s="97"/>
      <c r="B158" s="5"/>
      <c r="D158" s="6"/>
      <c r="E158" s="5"/>
      <c r="F158" s="6"/>
      <c r="G158" s="7"/>
      <c r="H158" s="7"/>
      <c r="I158" s="7"/>
      <c r="J158" s="7"/>
      <c r="K158" s="7"/>
      <c r="L158" s="15"/>
      <c r="M158" s="15"/>
      <c r="N158" s="5"/>
      <c r="O158" s="5"/>
      <c r="P158" s="5"/>
      <c r="Q158" s="5"/>
    </row>
    <row r="159" spans="1:17">
      <c r="A159" s="97"/>
      <c r="B159" s="5"/>
      <c r="D159" s="6"/>
      <c r="E159" s="5"/>
      <c r="F159" s="6"/>
      <c r="G159" s="7"/>
      <c r="H159" s="7"/>
      <c r="I159" s="7"/>
      <c r="J159" s="7"/>
      <c r="K159" s="7"/>
      <c r="L159" s="15"/>
      <c r="M159" s="15"/>
      <c r="N159" s="5"/>
      <c r="O159" s="5"/>
      <c r="P159" s="5"/>
      <c r="Q159" s="5"/>
    </row>
    <row r="160" spans="1:17">
      <c r="A160" s="97"/>
      <c r="B160" s="5"/>
      <c r="D160" s="6"/>
      <c r="E160" s="5"/>
      <c r="F160" s="6"/>
      <c r="G160" s="7"/>
      <c r="H160" s="7"/>
      <c r="I160" s="7"/>
      <c r="J160" s="7"/>
      <c r="K160" s="7"/>
      <c r="L160" s="15"/>
      <c r="M160" s="15"/>
      <c r="N160" s="5"/>
      <c r="O160" s="5"/>
      <c r="P160" s="5"/>
      <c r="Q160" s="5"/>
    </row>
    <row r="161" spans="1:17">
      <c r="A161" s="97"/>
      <c r="B161" s="5"/>
      <c r="D161" s="6"/>
      <c r="E161" s="150"/>
      <c r="F161" s="6"/>
      <c r="G161" s="149"/>
      <c r="H161" s="149"/>
      <c r="I161" s="149"/>
      <c r="J161" s="149"/>
      <c r="K161" s="149"/>
      <c r="L161" s="149"/>
      <c r="M161" s="149"/>
      <c r="N161" s="150"/>
      <c r="O161" s="150"/>
      <c r="P161" s="150"/>
      <c r="Q161" s="150"/>
    </row>
    <row r="162" spans="1:17">
      <c r="A162" s="97"/>
      <c r="B162" s="5"/>
      <c r="D162" s="126"/>
      <c r="E162" s="135"/>
      <c r="F162" s="126"/>
      <c r="G162" s="149"/>
      <c r="H162" s="149"/>
      <c r="I162" s="149"/>
      <c r="J162" s="149"/>
      <c r="K162" s="149"/>
      <c r="L162" s="149"/>
      <c r="M162" s="149"/>
      <c r="N162" s="134"/>
      <c r="O162" s="134"/>
      <c r="P162" s="134"/>
      <c r="Q162" s="134"/>
    </row>
    <row r="163" spans="1:17">
      <c r="A163" s="97"/>
      <c r="B163" s="5"/>
      <c r="D163" s="126"/>
      <c r="E163" s="135"/>
      <c r="F163" s="126"/>
      <c r="G163" s="149"/>
      <c r="H163" s="149"/>
      <c r="I163" s="149"/>
      <c r="J163" s="149"/>
      <c r="K163" s="149"/>
      <c r="L163" s="149"/>
      <c r="M163" s="149"/>
      <c r="N163" s="134"/>
      <c r="O163" s="134"/>
      <c r="P163" s="134"/>
      <c r="Q163" s="134"/>
    </row>
    <row r="164" spans="1:17">
      <c r="A164" s="97"/>
      <c r="B164" s="5"/>
      <c r="D164" s="126"/>
      <c r="E164" s="135"/>
      <c r="F164" s="126"/>
      <c r="G164" s="149"/>
      <c r="H164" s="149"/>
      <c r="I164" s="149"/>
      <c r="J164" s="149"/>
      <c r="K164" s="149"/>
      <c r="L164" s="149"/>
      <c r="M164" s="149"/>
      <c r="N164" s="134"/>
      <c r="O164" s="134"/>
      <c r="P164" s="134"/>
      <c r="Q164" s="134"/>
    </row>
    <row r="165" spans="1:17">
      <c r="A165" s="97"/>
      <c r="B165" s="5"/>
      <c r="D165" s="126"/>
      <c r="E165" s="135"/>
      <c r="F165" s="126"/>
      <c r="G165" s="149"/>
      <c r="H165" s="149"/>
      <c r="I165" s="149"/>
      <c r="J165" s="149"/>
      <c r="K165" s="149"/>
      <c r="L165" s="149"/>
      <c r="M165" s="149"/>
      <c r="N165" s="134"/>
      <c r="O165" s="134"/>
      <c r="P165" s="134"/>
      <c r="Q165" s="134"/>
    </row>
    <row r="166" spans="1:17">
      <c r="A166" s="97"/>
      <c r="B166" s="5"/>
      <c r="D166" s="6"/>
      <c r="E166" s="135"/>
      <c r="F166" s="6"/>
      <c r="G166" s="149"/>
      <c r="H166" s="149"/>
      <c r="I166" s="149"/>
      <c r="J166" s="149"/>
      <c r="K166" s="149"/>
      <c r="L166" s="149"/>
      <c r="M166" s="149"/>
      <c r="N166" s="134"/>
      <c r="O166" s="134"/>
      <c r="P166" s="134"/>
      <c r="Q166" s="134"/>
    </row>
    <row r="167" spans="1:17">
      <c r="A167" s="97"/>
      <c r="B167" s="5"/>
      <c r="D167" s="6"/>
      <c r="E167" s="135"/>
      <c r="F167" s="6"/>
      <c r="G167" s="149"/>
      <c r="H167" s="149"/>
      <c r="I167" s="149"/>
      <c r="J167" s="149"/>
      <c r="K167" s="149"/>
      <c r="L167" s="149"/>
      <c r="M167" s="149"/>
      <c r="N167" s="134"/>
      <c r="O167" s="134"/>
      <c r="P167" s="134"/>
      <c r="Q167" s="134"/>
    </row>
    <row r="168" spans="1:17">
      <c r="A168" s="97"/>
      <c r="B168" s="5"/>
      <c r="D168" s="6"/>
      <c r="E168" s="135"/>
      <c r="F168" s="6"/>
      <c r="G168" s="149"/>
      <c r="H168" s="149"/>
      <c r="I168" s="149"/>
      <c r="J168" s="149"/>
      <c r="K168" s="149"/>
      <c r="L168" s="149"/>
      <c r="M168" s="149"/>
      <c r="N168" s="134"/>
      <c r="O168" s="134"/>
      <c r="P168" s="134"/>
      <c r="Q168" s="134"/>
    </row>
    <row r="169" spans="1:17">
      <c r="A169" s="97"/>
      <c r="B169" s="5"/>
      <c r="D169" s="6"/>
      <c r="E169" s="135"/>
      <c r="F169" s="6"/>
      <c r="G169" s="149"/>
      <c r="H169" s="149"/>
      <c r="I169" s="149"/>
      <c r="J169" s="149"/>
      <c r="K169" s="149"/>
      <c r="L169" s="149"/>
      <c r="M169" s="149"/>
      <c r="N169" s="134"/>
      <c r="O169" s="134"/>
      <c r="P169" s="134"/>
      <c r="Q169" s="134"/>
    </row>
    <row r="170" spans="1:17">
      <c r="A170" s="97"/>
      <c r="B170" s="5"/>
      <c r="D170" s="6"/>
      <c r="E170" s="5"/>
      <c r="F170" s="6"/>
      <c r="G170" s="7"/>
      <c r="H170" s="7"/>
      <c r="I170" s="7"/>
      <c r="J170" s="7"/>
      <c r="K170" s="7"/>
      <c r="L170" s="15"/>
      <c r="M170" s="15"/>
      <c r="N170" s="5"/>
      <c r="O170" s="5"/>
      <c r="P170" s="5"/>
      <c r="Q170" s="5"/>
    </row>
    <row r="171" spans="1:17">
      <c r="E171" s="115"/>
      <c r="F171" s="116"/>
      <c r="L171" s="151"/>
      <c r="M171" s="151"/>
      <c r="N171" s="115"/>
      <c r="O171" s="115"/>
      <c r="P171" s="115"/>
      <c r="Q171" s="115"/>
    </row>
    <row r="172" spans="1:17">
      <c r="E172" s="115"/>
      <c r="F172" s="116"/>
      <c r="L172" s="151"/>
      <c r="M172" s="151"/>
      <c r="N172" s="115"/>
      <c r="O172" s="115"/>
      <c r="P172" s="115"/>
      <c r="Q172" s="115"/>
    </row>
    <row r="173" spans="1:17">
      <c r="E173" s="115"/>
      <c r="F173" s="116"/>
      <c r="L173" s="151"/>
      <c r="M173" s="151"/>
      <c r="N173" s="115"/>
      <c r="O173" s="115"/>
      <c r="P173" s="115"/>
      <c r="Q173" s="115"/>
    </row>
    <row r="174" spans="1:17">
      <c r="E174" s="152"/>
      <c r="F174" s="116"/>
      <c r="G174" s="153"/>
      <c r="H174" s="153"/>
      <c r="I174" s="153"/>
      <c r="J174" s="153"/>
      <c r="K174" s="153"/>
      <c r="L174" s="153"/>
      <c r="M174" s="153"/>
      <c r="N174" s="152"/>
      <c r="O174" s="152"/>
      <c r="P174" s="152"/>
      <c r="Q174" s="152"/>
    </row>
    <row r="175" spans="1:17">
      <c r="E175" s="154"/>
      <c r="F175" s="116"/>
      <c r="G175" s="155"/>
      <c r="H175" s="155"/>
      <c r="I175" s="155"/>
      <c r="J175" s="156"/>
      <c r="K175" s="156"/>
      <c r="L175" s="156"/>
      <c r="M175" s="156"/>
      <c r="N175" s="154"/>
      <c r="O175" s="154"/>
      <c r="P175" s="154"/>
      <c r="Q175" s="154"/>
    </row>
    <row r="176" spans="1:17">
      <c r="E176" s="157"/>
      <c r="F176" s="116"/>
      <c r="G176" s="153"/>
      <c r="H176" s="153"/>
      <c r="I176" s="153"/>
      <c r="J176" s="153"/>
      <c r="K176" s="153"/>
      <c r="L176" s="153"/>
      <c r="M176" s="153"/>
      <c r="N176" s="158"/>
      <c r="O176" s="158"/>
      <c r="P176" s="158"/>
      <c r="Q176" s="158"/>
    </row>
    <row r="177" spans="5:17">
      <c r="E177" s="157"/>
      <c r="F177" s="116"/>
      <c r="G177" s="153"/>
      <c r="H177" s="153"/>
      <c r="I177" s="153"/>
      <c r="J177" s="153"/>
      <c r="K177" s="153"/>
      <c r="L177" s="153"/>
      <c r="M177" s="153"/>
      <c r="N177" s="158"/>
      <c r="O177" s="158"/>
      <c r="P177" s="158"/>
      <c r="Q177" s="158"/>
    </row>
    <row r="178" spans="5:17">
      <c r="E178" s="157"/>
      <c r="F178" s="116"/>
      <c r="G178" s="153"/>
      <c r="H178" s="153"/>
      <c r="I178" s="153"/>
      <c r="J178" s="153"/>
      <c r="K178" s="153"/>
      <c r="L178" s="153"/>
      <c r="M178" s="153"/>
      <c r="N178" s="158"/>
      <c r="O178" s="158"/>
      <c r="P178" s="158"/>
      <c r="Q178" s="158"/>
    </row>
    <row r="179" spans="5:17">
      <c r="E179" s="157"/>
      <c r="F179" s="116"/>
      <c r="G179" s="153"/>
      <c r="H179" s="153"/>
      <c r="I179" s="153"/>
      <c r="J179" s="153"/>
      <c r="K179" s="153"/>
      <c r="L179" s="153"/>
      <c r="M179" s="153"/>
      <c r="N179" s="158"/>
      <c r="O179" s="158"/>
      <c r="P179" s="158"/>
      <c r="Q179" s="158"/>
    </row>
    <row r="180" spans="5:17">
      <c r="E180" s="115"/>
      <c r="F180" s="116"/>
      <c r="G180" s="151"/>
      <c r="H180" s="151"/>
      <c r="I180" s="151"/>
      <c r="J180" s="151"/>
      <c r="K180" s="151"/>
      <c r="L180" s="151"/>
      <c r="M180" s="151"/>
      <c r="N180" s="112"/>
      <c r="O180" s="115"/>
      <c r="P180" s="115"/>
      <c r="Q180" s="115"/>
    </row>
    <row r="181" spans="5:17">
      <c r="E181" s="115"/>
      <c r="F181" s="116"/>
      <c r="G181" s="151"/>
      <c r="H181" s="151"/>
      <c r="I181" s="151"/>
      <c r="J181" s="151"/>
      <c r="K181" s="151"/>
      <c r="L181" s="151"/>
      <c r="M181" s="151"/>
      <c r="N181" s="112"/>
      <c r="O181" s="115"/>
      <c r="P181" s="115"/>
      <c r="Q181" s="115"/>
    </row>
    <row r="182" spans="5:17">
      <c r="E182" s="115"/>
      <c r="F182" s="116"/>
      <c r="G182" s="151"/>
      <c r="H182" s="151"/>
      <c r="I182" s="151"/>
      <c r="J182" s="151"/>
      <c r="K182" s="151"/>
      <c r="L182" s="151"/>
      <c r="M182" s="151"/>
      <c r="N182" s="112"/>
      <c r="O182" s="115"/>
      <c r="P182" s="115"/>
      <c r="Q182" s="115"/>
    </row>
    <row r="183" spans="5:17">
      <c r="E183" s="115"/>
      <c r="F183" s="116"/>
      <c r="G183" s="151"/>
      <c r="H183" s="151"/>
      <c r="I183" s="151"/>
      <c r="J183" s="151"/>
      <c r="K183" s="151"/>
      <c r="L183" s="151"/>
      <c r="M183" s="151"/>
      <c r="N183" s="112"/>
      <c r="O183" s="115"/>
      <c r="P183" s="115"/>
      <c r="Q183" s="115"/>
    </row>
    <row r="184" spans="5:17">
      <c r="E184" s="115"/>
      <c r="F184" s="116"/>
      <c r="I184" s="116"/>
      <c r="N184" s="115"/>
      <c r="O184" s="115"/>
      <c r="P184" s="115"/>
      <c r="Q184" s="115"/>
    </row>
    <row r="185" spans="5:17">
      <c r="E185" s="115"/>
      <c r="F185" s="116"/>
      <c r="I185" s="116"/>
      <c r="N185" s="115"/>
      <c r="O185" s="115"/>
      <c r="P185" s="115"/>
      <c r="Q185" s="115"/>
    </row>
    <row r="186" spans="5:17">
      <c r="E186" s="115"/>
      <c r="F186" s="116"/>
      <c r="I186" s="116"/>
      <c r="N186" s="115"/>
      <c r="O186" s="115"/>
      <c r="P186" s="115"/>
      <c r="Q186" s="115"/>
    </row>
    <row r="187" spans="5:17">
      <c r="E187" s="115"/>
      <c r="F187" s="116"/>
      <c r="I187" s="116"/>
      <c r="N187" s="115"/>
      <c r="O187" s="115"/>
      <c r="P187" s="115"/>
      <c r="Q187" s="115"/>
    </row>
    <row r="188" spans="5:17">
      <c r="E188" s="159"/>
      <c r="F188" s="116"/>
      <c r="G188" s="153"/>
      <c r="H188" s="153"/>
      <c r="I188" s="153"/>
      <c r="J188" s="153"/>
      <c r="K188" s="153"/>
      <c r="L188" s="153"/>
      <c r="M188" s="153"/>
      <c r="N188" s="112"/>
      <c r="O188" s="112"/>
      <c r="P188" s="112"/>
      <c r="Q188" s="112"/>
    </row>
    <row r="189" spans="5:17">
      <c r="E189" s="159"/>
      <c r="F189" s="116"/>
      <c r="G189" s="153"/>
      <c r="H189" s="153"/>
      <c r="I189" s="153"/>
      <c r="J189" s="153"/>
      <c r="K189" s="153"/>
      <c r="L189" s="153"/>
      <c r="M189" s="153"/>
      <c r="N189" s="112"/>
      <c r="O189" s="112"/>
      <c r="P189" s="112"/>
      <c r="Q189" s="112"/>
    </row>
    <row r="190" spans="5:17">
      <c r="E190" s="159"/>
      <c r="F190" s="116"/>
      <c r="G190" s="153"/>
      <c r="H190" s="153"/>
      <c r="I190" s="153"/>
      <c r="J190" s="153"/>
      <c r="K190" s="153"/>
      <c r="L190" s="153"/>
      <c r="M190" s="153"/>
      <c r="N190" s="112"/>
      <c r="O190" s="112"/>
      <c r="P190" s="112"/>
      <c r="Q190" s="112"/>
    </row>
    <row r="191" spans="5:17">
      <c r="E191" s="157"/>
      <c r="F191" s="116"/>
      <c r="G191" s="153"/>
      <c r="H191" s="153"/>
      <c r="I191" s="153"/>
      <c r="J191" s="153"/>
      <c r="K191" s="153"/>
      <c r="L191" s="153"/>
      <c r="M191" s="153"/>
      <c r="N191" s="158"/>
      <c r="O191" s="158"/>
      <c r="P191" s="158"/>
      <c r="Q191" s="158"/>
    </row>
    <row r="192" spans="5:17">
      <c r="E192" s="157"/>
      <c r="F192" s="116"/>
      <c r="G192" s="153"/>
      <c r="H192" s="153"/>
      <c r="I192" s="153"/>
      <c r="J192" s="153"/>
      <c r="K192" s="153"/>
      <c r="L192" s="153"/>
      <c r="M192" s="153"/>
      <c r="N192" s="158"/>
      <c r="O192" s="158"/>
      <c r="P192" s="158"/>
      <c r="Q192" s="158"/>
    </row>
    <row r="193" spans="4:17">
      <c r="E193" s="157"/>
      <c r="F193" s="116"/>
      <c r="G193" s="153"/>
      <c r="H193" s="153"/>
      <c r="I193" s="153"/>
      <c r="J193" s="153"/>
      <c r="K193" s="153"/>
      <c r="L193" s="153"/>
      <c r="M193" s="153"/>
      <c r="N193" s="158"/>
      <c r="O193" s="158"/>
      <c r="P193" s="158"/>
      <c r="Q193" s="158"/>
    </row>
    <row r="194" spans="4:17">
      <c r="E194" s="157"/>
      <c r="F194" s="116"/>
      <c r="G194" s="153"/>
      <c r="H194" s="153"/>
      <c r="I194" s="153"/>
      <c r="J194" s="153"/>
      <c r="K194" s="153"/>
      <c r="L194" s="153"/>
      <c r="M194" s="153"/>
      <c r="N194" s="158"/>
      <c r="O194" s="158"/>
      <c r="P194" s="158"/>
      <c r="Q194" s="158"/>
    </row>
    <row r="195" spans="4:17">
      <c r="E195" s="157"/>
      <c r="F195" s="116"/>
      <c r="G195" s="153"/>
      <c r="H195" s="153"/>
      <c r="I195" s="153"/>
      <c r="J195" s="153"/>
      <c r="K195" s="153"/>
      <c r="L195" s="153"/>
      <c r="M195" s="153"/>
      <c r="N195" s="158"/>
      <c r="O195" s="158"/>
      <c r="P195" s="158"/>
      <c r="Q195" s="158"/>
    </row>
    <row r="196" spans="4:17">
      <c r="E196" s="157"/>
      <c r="F196" s="116"/>
      <c r="G196" s="153"/>
      <c r="H196" s="153"/>
      <c r="I196" s="153"/>
      <c r="J196" s="153"/>
      <c r="K196" s="153"/>
      <c r="L196" s="153"/>
      <c r="M196" s="153"/>
      <c r="N196" s="158"/>
      <c r="O196" s="158"/>
      <c r="P196" s="158"/>
      <c r="Q196" s="158"/>
    </row>
    <row r="197" spans="4:17">
      <c r="E197" s="157"/>
      <c r="F197" s="116"/>
      <c r="G197" s="153"/>
      <c r="H197" s="153"/>
      <c r="I197" s="153"/>
      <c r="J197" s="153"/>
      <c r="K197" s="153"/>
      <c r="L197" s="153"/>
      <c r="M197" s="153"/>
      <c r="N197" s="158"/>
      <c r="O197" s="158"/>
      <c r="P197" s="158"/>
      <c r="Q197" s="158"/>
    </row>
    <row r="198" spans="4:17">
      <c r="E198" s="157"/>
      <c r="F198" s="116"/>
      <c r="G198" s="153"/>
      <c r="H198" s="153"/>
      <c r="I198" s="153"/>
      <c r="J198" s="153"/>
      <c r="K198" s="153"/>
      <c r="L198" s="153"/>
      <c r="M198" s="153"/>
      <c r="N198" s="158"/>
      <c r="O198" s="158"/>
      <c r="P198" s="158"/>
      <c r="Q198" s="158"/>
    </row>
    <row r="199" spans="4:17">
      <c r="E199" s="157"/>
      <c r="F199" s="116"/>
      <c r="G199" s="153"/>
      <c r="H199" s="153"/>
      <c r="I199" s="153"/>
      <c r="J199" s="153"/>
      <c r="K199" s="153"/>
      <c r="L199" s="153"/>
      <c r="M199" s="153"/>
      <c r="N199" s="158"/>
      <c r="O199" s="158"/>
      <c r="P199" s="158"/>
      <c r="Q199" s="158"/>
    </row>
    <row r="200" spans="4:17">
      <c r="E200" s="157"/>
      <c r="F200" s="116"/>
      <c r="G200" s="153"/>
      <c r="H200" s="153"/>
      <c r="I200" s="153"/>
      <c r="J200" s="153"/>
      <c r="K200" s="153"/>
      <c r="L200" s="153"/>
      <c r="M200" s="153"/>
      <c r="N200" s="158"/>
      <c r="O200" s="158"/>
      <c r="P200" s="158"/>
      <c r="Q200" s="158"/>
    </row>
    <row r="201" spans="4:17">
      <c r="E201" s="157"/>
      <c r="F201" s="116"/>
      <c r="G201" s="153"/>
      <c r="H201" s="153"/>
      <c r="I201" s="153"/>
      <c r="J201" s="153"/>
      <c r="K201" s="153"/>
      <c r="L201" s="153"/>
      <c r="M201" s="153"/>
      <c r="N201" s="158"/>
      <c r="O201" s="158"/>
      <c r="P201" s="158"/>
      <c r="Q201" s="158"/>
    </row>
    <row r="202" spans="4:17">
      <c r="E202" s="157"/>
      <c r="F202" s="116"/>
      <c r="G202" s="153"/>
      <c r="H202" s="153"/>
      <c r="I202" s="153"/>
      <c r="J202" s="153"/>
      <c r="K202" s="153"/>
      <c r="L202" s="153"/>
      <c r="M202" s="153"/>
      <c r="N202" s="158"/>
      <c r="O202" s="158"/>
      <c r="P202" s="158"/>
      <c r="Q202" s="158"/>
    </row>
    <row r="203" spans="4:17">
      <c r="E203" s="157"/>
      <c r="F203" s="116"/>
      <c r="G203" s="153"/>
      <c r="H203" s="153"/>
      <c r="I203" s="153"/>
      <c r="J203" s="153"/>
      <c r="K203" s="153"/>
      <c r="L203" s="153"/>
      <c r="M203" s="153"/>
      <c r="N203" s="158"/>
      <c r="O203" s="158"/>
      <c r="P203" s="158"/>
      <c r="Q203" s="158"/>
    </row>
    <row r="204" spans="4:17">
      <c r="E204" s="157"/>
      <c r="F204" s="116"/>
      <c r="G204" s="153"/>
      <c r="H204" s="153"/>
      <c r="I204" s="153"/>
      <c r="J204" s="153"/>
      <c r="K204" s="153"/>
      <c r="L204" s="153"/>
      <c r="M204" s="153"/>
      <c r="N204" s="158"/>
      <c r="O204" s="158"/>
      <c r="P204" s="158"/>
      <c r="Q204" s="158"/>
    </row>
    <row r="205" spans="4:17">
      <c r="E205" s="157"/>
      <c r="F205" s="116"/>
      <c r="G205" s="153"/>
      <c r="H205" s="153"/>
      <c r="I205" s="153"/>
      <c r="J205" s="153"/>
      <c r="K205" s="153"/>
      <c r="L205" s="153"/>
      <c r="M205" s="153"/>
      <c r="N205" s="158"/>
      <c r="O205" s="158"/>
      <c r="P205" s="158"/>
      <c r="Q205" s="158"/>
    </row>
    <row r="206" spans="4:17">
      <c r="E206" s="157"/>
      <c r="F206" s="116"/>
      <c r="G206" s="153"/>
      <c r="H206" s="153"/>
      <c r="I206" s="153"/>
      <c r="J206" s="153"/>
      <c r="K206" s="153"/>
      <c r="L206" s="153"/>
      <c r="M206" s="153"/>
      <c r="N206" s="158"/>
      <c r="O206" s="158"/>
      <c r="P206" s="158"/>
      <c r="Q206" s="158"/>
    </row>
    <row r="207" spans="4:17">
      <c r="D207" s="160"/>
      <c r="E207" s="157"/>
      <c r="F207" s="160"/>
      <c r="G207" s="153"/>
      <c r="H207" s="153"/>
      <c r="I207" s="153"/>
      <c r="J207" s="153"/>
      <c r="K207" s="153"/>
      <c r="L207" s="153"/>
      <c r="M207" s="153"/>
      <c r="N207" s="158"/>
      <c r="O207" s="158"/>
      <c r="P207" s="158"/>
      <c r="Q207" s="158"/>
    </row>
    <row r="208" spans="4:17">
      <c r="D208" s="160"/>
      <c r="E208" s="157"/>
      <c r="F208" s="160"/>
      <c r="G208" s="153"/>
      <c r="H208" s="153"/>
      <c r="I208" s="153"/>
      <c r="J208" s="153"/>
      <c r="K208" s="153"/>
      <c r="L208" s="153"/>
      <c r="M208" s="153"/>
      <c r="N208" s="158"/>
      <c r="O208" s="158"/>
      <c r="P208" s="158"/>
      <c r="Q208" s="158"/>
    </row>
    <row r="209" spans="4:17">
      <c r="D209" s="160"/>
      <c r="E209" s="157"/>
      <c r="F209" s="160"/>
      <c r="G209" s="153"/>
      <c r="H209" s="153"/>
      <c r="I209" s="153"/>
      <c r="J209" s="153"/>
      <c r="K209" s="153"/>
      <c r="L209" s="153"/>
      <c r="M209" s="153"/>
      <c r="N209" s="158"/>
      <c r="O209" s="158"/>
      <c r="P209" s="158"/>
      <c r="Q209" s="158"/>
    </row>
    <row r="210" spans="4:17">
      <c r="D210" s="160"/>
      <c r="E210" s="157"/>
      <c r="F210" s="160"/>
      <c r="G210" s="153"/>
      <c r="H210" s="153"/>
      <c r="I210" s="153"/>
      <c r="J210" s="153"/>
      <c r="K210" s="153"/>
      <c r="L210" s="153"/>
      <c r="M210" s="153"/>
      <c r="N210" s="158"/>
      <c r="O210" s="158"/>
      <c r="P210" s="158"/>
      <c r="Q210" s="158"/>
    </row>
  </sheetData>
  <mergeCells count="481">
    <mergeCell ref="C117:C120"/>
    <mergeCell ref="C122:C125"/>
    <mergeCell ref="C126:C129"/>
    <mergeCell ref="C76:C79"/>
    <mergeCell ref="C80:C83"/>
    <mergeCell ref="C84:C86"/>
    <mergeCell ref="C87:C91"/>
    <mergeCell ref="C92:C97"/>
    <mergeCell ref="C98:C102"/>
    <mergeCell ref="C103:C105"/>
    <mergeCell ref="C106:C110"/>
    <mergeCell ref="C111:C116"/>
    <mergeCell ref="C43:C45"/>
    <mergeCell ref="C47:C50"/>
    <mergeCell ref="C51:C54"/>
    <mergeCell ref="C55:C57"/>
    <mergeCell ref="C58:C60"/>
    <mergeCell ref="C61:C63"/>
    <mergeCell ref="C64:C68"/>
    <mergeCell ref="C69:C71"/>
    <mergeCell ref="C72:C75"/>
    <mergeCell ref="C5:C7"/>
    <mergeCell ref="C8:C10"/>
    <mergeCell ref="C11:C14"/>
    <mergeCell ref="C15:C17"/>
    <mergeCell ref="C19:C21"/>
    <mergeCell ref="C22:C24"/>
    <mergeCell ref="C25:C28"/>
    <mergeCell ref="C29:C31"/>
    <mergeCell ref="C34:C36"/>
    <mergeCell ref="Q117:Q120"/>
    <mergeCell ref="D122:D125"/>
    <mergeCell ref="P122:P125"/>
    <mergeCell ref="Q122:Q125"/>
    <mergeCell ref="D126:D129"/>
    <mergeCell ref="P126:P129"/>
    <mergeCell ref="Q126:Q129"/>
    <mergeCell ref="N126:N129"/>
    <mergeCell ref="O126:O129"/>
    <mergeCell ref="O122:O125"/>
    <mergeCell ref="E117:E120"/>
    <mergeCell ref="F117:F120"/>
    <mergeCell ref="G117:G120"/>
    <mergeCell ref="H117:H120"/>
    <mergeCell ref="I117:I120"/>
    <mergeCell ref="J117:J120"/>
    <mergeCell ref="K117:K120"/>
    <mergeCell ref="L117:L120"/>
    <mergeCell ref="M117:M120"/>
    <mergeCell ref="L76:L79"/>
    <mergeCell ref="F76:F79"/>
    <mergeCell ref="G76:G79"/>
    <mergeCell ref="H76:H79"/>
    <mergeCell ref="D117:D120"/>
    <mergeCell ref="P117:P120"/>
    <mergeCell ref="L80:L83"/>
    <mergeCell ref="M80:M83"/>
    <mergeCell ref="E87:E91"/>
    <mergeCell ref="F87:F91"/>
    <mergeCell ref="G87:G91"/>
    <mergeCell ref="H87:H91"/>
    <mergeCell ref="I87:I91"/>
    <mergeCell ref="J87:J91"/>
    <mergeCell ref="K87:K91"/>
    <mergeCell ref="L87:L91"/>
    <mergeCell ref="M87:M91"/>
    <mergeCell ref="I84:I86"/>
    <mergeCell ref="J84:J86"/>
    <mergeCell ref="K84:K86"/>
    <mergeCell ref="L84:L86"/>
    <mergeCell ref="E80:E83"/>
    <mergeCell ref="F80:F83"/>
    <mergeCell ref="G80:G83"/>
    <mergeCell ref="Q55:Q57"/>
    <mergeCell ref="D58:D60"/>
    <mergeCell ref="P58:P60"/>
    <mergeCell ref="Q58:Q60"/>
    <mergeCell ref="D61:D63"/>
    <mergeCell ref="P61:P63"/>
    <mergeCell ref="Q61:Q63"/>
    <mergeCell ref="N58:N60"/>
    <mergeCell ref="O58:O60"/>
    <mergeCell ref="E61:E63"/>
    <mergeCell ref="F61:F63"/>
    <mergeCell ref="G61:G63"/>
    <mergeCell ref="H61:H63"/>
    <mergeCell ref="I61:I63"/>
    <mergeCell ref="J61:J63"/>
    <mergeCell ref="K61:K63"/>
    <mergeCell ref="L61:L63"/>
    <mergeCell ref="M61:M63"/>
    <mergeCell ref="N61:N63"/>
    <mergeCell ref="O61:O63"/>
    <mergeCell ref="E58:E60"/>
    <mergeCell ref="F58:F60"/>
    <mergeCell ref="K58:K60"/>
    <mergeCell ref="L58:L60"/>
    <mergeCell ref="P37:P39"/>
    <mergeCell ref="Q37:Q39"/>
    <mergeCell ref="D40:D42"/>
    <mergeCell ref="P40:P42"/>
    <mergeCell ref="Q40:Q42"/>
    <mergeCell ref="D43:D45"/>
    <mergeCell ref="P43:P45"/>
    <mergeCell ref="Q43:Q45"/>
    <mergeCell ref="D47:D50"/>
    <mergeCell ref="P47:P50"/>
    <mergeCell ref="Q47:Q50"/>
    <mergeCell ref="E47:E50"/>
    <mergeCell ref="F47:F50"/>
    <mergeCell ref="M40:M42"/>
    <mergeCell ref="N40:N42"/>
    <mergeCell ref="O40:O42"/>
    <mergeCell ref="E43:E45"/>
    <mergeCell ref="F43:F45"/>
    <mergeCell ref="G43:G45"/>
    <mergeCell ref="H43:H45"/>
    <mergeCell ref="I43:I45"/>
    <mergeCell ref="J43:J45"/>
    <mergeCell ref="K43:K45"/>
    <mergeCell ref="L43:L45"/>
    <mergeCell ref="G1:I1"/>
    <mergeCell ref="D11:D14"/>
    <mergeCell ref="P11:P14"/>
    <mergeCell ref="Q11:Q14"/>
    <mergeCell ref="D15:D17"/>
    <mergeCell ref="P15:P17"/>
    <mergeCell ref="Q15:Q17"/>
    <mergeCell ref="D19:D21"/>
    <mergeCell ref="P19:P21"/>
    <mergeCell ref="Q19:Q21"/>
    <mergeCell ref="N19:N21"/>
    <mergeCell ref="O19:O21"/>
    <mergeCell ref="E19:E21"/>
    <mergeCell ref="F19:F21"/>
    <mergeCell ref="G19:G21"/>
    <mergeCell ref="H19:H21"/>
    <mergeCell ref="I19:I21"/>
    <mergeCell ref="J19:J21"/>
    <mergeCell ref="K19:K21"/>
    <mergeCell ref="L19:L21"/>
    <mergeCell ref="M19:M21"/>
    <mergeCell ref="M11:M14"/>
    <mergeCell ref="N11:N14"/>
    <mergeCell ref="O11:O14"/>
    <mergeCell ref="D22:D24"/>
    <mergeCell ref="P22:P24"/>
    <mergeCell ref="Q22:Q24"/>
    <mergeCell ref="D25:D28"/>
    <mergeCell ref="P25:P28"/>
    <mergeCell ref="Q25:Q28"/>
    <mergeCell ref="D29:D31"/>
    <mergeCell ref="P29:P31"/>
    <mergeCell ref="Q29:Q31"/>
    <mergeCell ref="N25:N28"/>
    <mergeCell ref="O25:O28"/>
    <mergeCell ref="E29:E31"/>
    <mergeCell ref="F29:F31"/>
    <mergeCell ref="G29:G31"/>
    <mergeCell ref="H29:H31"/>
    <mergeCell ref="I29:I31"/>
    <mergeCell ref="J29:J31"/>
    <mergeCell ref="K29:K31"/>
    <mergeCell ref="L29:L31"/>
    <mergeCell ref="M29:M31"/>
    <mergeCell ref="N29:N31"/>
    <mergeCell ref="O29:O31"/>
    <mergeCell ref="E22:E24"/>
    <mergeCell ref="F22:F24"/>
    <mergeCell ref="D34:D36"/>
    <mergeCell ref="P34:P36"/>
    <mergeCell ref="Q34:Q36"/>
    <mergeCell ref="E126:E129"/>
    <mergeCell ref="F126:F129"/>
    <mergeCell ref="G126:G129"/>
    <mergeCell ref="H126:H129"/>
    <mergeCell ref="I126:I129"/>
    <mergeCell ref="J126:J129"/>
    <mergeCell ref="K126:K129"/>
    <mergeCell ref="L126:L129"/>
    <mergeCell ref="M126:M129"/>
    <mergeCell ref="N117:N120"/>
    <mergeCell ref="O117:O120"/>
    <mergeCell ref="E122:E125"/>
    <mergeCell ref="F122:F125"/>
    <mergeCell ref="G122:G125"/>
    <mergeCell ref="H122:H125"/>
    <mergeCell ref="I122:I125"/>
    <mergeCell ref="J122:J125"/>
    <mergeCell ref="K122:K125"/>
    <mergeCell ref="L122:L125"/>
    <mergeCell ref="M122:M125"/>
    <mergeCell ref="N122:N125"/>
    <mergeCell ref="O47:O50"/>
    <mergeCell ref="N51:N54"/>
    <mergeCell ref="O51:O54"/>
    <mergeCell ref="G47:G50"/>
    <mergeCell ref="H47:H50"/>
    <mergeCell ref="I47:I50"/>
    <mergeCell ref="J47:J50"/>
    <mergeCell ref="K47:K50"/>
    <mergeCell ref="L47:L50"/>
    <mergeCell ref="M47:M50"/>
    <mergeCell ref="M58:M60"/>
    <mergeCell ref="N47:N50"/>
    <mergeCell ref="N55:N57"/>
    <mergeCell ref="I40:I42"/>
    <mergeCell ref="J40:J42"/>
    <mergeCell ref="K40:K42"/>
    <mergeCell ref="L40:L42"/>
    <mergeCell ref="M43:M45"/>
    <mergeCell ref="N43:N45"/>
    <mergeCell ref="O15:O17"/>
    <mergeCell ref="Q5:Q7"/>
    <mergeCell ref="N8:N10"/>
    <mergeCell ref="O8:O10"/>
    <mergeCell ref="P8:P10"/>
    <mergeCell ref="I5:I7"/>
    <mergeCell ref="J5:J7"/>
    <mergeCell ref="K5:K7"/>
    <mergeCell ref="L5:L7"/>
    <mergeCell ref="M5:M7"/>
    <mergeCell ref="Q8:Q10"/>
    <mergeCell ref="N5:N7"/>
    <mergeCell ref="O5:O7"/>
    <mergeCell ref="P5:P7"/>
    <mergeCell ref="I8:I10"/>
    <mergeCell ref="J8:J10"/>
    <mergeCell ref="K8:K10"/>
    <mergeCell ref="L8:L10"/>
    <mergeCell ref="M8:M10"/>
    <mergeCell ref="I11:I14"/>
    <mergeCell ref="M15:M17"/>
    <mergeCell ref="N15:N17"/>
    <mergeCell ref="D5:D7"/>
    <mergeCell ref="F5:F7"/>
    <mergeCell ref="G5:G7"/>
    <mergeCell ref="H5:H7"/>
    <mergeCell ref="D8:D10"/>
    <mergeCell ref="H8:H10"/>
    <mergeCell ref="E8:E10"/>
    <mergeCell ref="E5:E7"/>
    <mergeCell ref="F8:F10"/>
    <mergeCell ref="G8:G10"/>
    <mergeCell ref="E11:E14"/>
    <mergeCell ref="E25:E28"/>
    <mergeCell ref="F25:F28"/>
    <mergeCell ref="G25:G28"/>
    <mergeCell ref="H25:H28"/>
    <mergeCell ref="I25:I28"/>
    <mergeCell ref="J25:J28"/>
    <mergeCell ref="K25:K28"/>
    <mergeCell ref="L25:L28"/>
    <mergeCell ref="E15:E17"/>
    <mergeCell ref="F15:F17"/>
    <mergeCell ref="G15:G17"/>
    <mergeCell ref="H15:H17"/>
    <mergeCell ref="I15:I17"/>
    <mergeCell ref="J15:J17"/>
    <mergeCell ref="K15:K17"/>
    <mergeCell ref="L15:L17"/>
    <mergeCell ref="F11:F14"/>
    <mergeCell ref="G11:G14"/>
    <mergeCell ref="H11:H14"/>
    <mergeCell ref="J11:J14"/>
    <mergeCell ref="K11:K14"/>
    <mergeCell ref="L11:L14"/>
    <mergeCell ref="G22:G24"/>
    <mergeCell ref="M25:M28"/>
    <mergeCell ref="E34:E36"/>
    <mergeCell ref="F34:F36"/>
    <mergeCell ref="G34:G36"/>
    <mergeCell ref="H34:H36"/>
    <mergeCell ref="I34:I36"/>
    <mergeCell ref="O22:O24"/>
    <mergeCell ref="L34:L36"/>
    <mergeCell ref="M34:M36"/>
    <mergeCell ref="N34:N36"/>
    <mergeCell ref="O34:O36"/>
    <mergeCell ref="J34:J36"/>
    <mergeCell ref="K34:K36"/>
    <mergeCell ref="H22:H24"/>
    <mergeCell ref="I22:I24"/>
    <mergeCell ref="J22:J24"/>
    <mergeCell ref="K22:K24"/>
    <mergeCell ref="L22:L24"/>
    <mergeCell ref="M22:M24"/>
    <mergeCell ref="N22:N24"/>
    <mergeCell ref="L72:L75"/>
    <mergeCell ref="O43:O45"/>
    <mergeCell ref="D37:D39"/>
    <mergeCell ref="C37:C39"/>
    <mergeCell ref="C40:C42"/>
    <mergeCell ref="N37:N39"/>
    <mergeCell ref="O37:O39"/>
    <mergeCell ref="E37:E39"/>
    <mergeCell ref="F37:F39"/>
    <mergeCell ref="G37:G39"/>
    <mergeCell ref="H37:H39"/>
    <mergeCell ref="I37:I39"/>
    <mergeCell ref="J37:J39"/>
    <mergeCell ref="K37:K39"/>
    <mergeCell ref="L37:L39"/>
    <mergeCell ref="M37:M39"/>
    <mergeCell ref="E40:E42"/>
    <mergeCell ref="F40:F42"/>
    <mergeCell ref="G40:G42"/>
    <mergeCell ref="H40:H42"/>
    <mergeCell ref="G58:G60"/>
    <mergeCell ref="H58:H60"/>
    <mergeCell ref="I58:I60"/>
    <mergeCell ref="J58:J60"/>
    <mergeCell ref="H80:H83"/>
    <mergeCell ref="I80:I83"/>
    <mergeCell ref="J80:J83"/>
    <mergeCell ref="K80:K83"/>
    <mergeCell ref="I72:I75"/>
    <mergeCell ref="J72:J75"/>
    <mergeCell ref="K72:K75"/>
    <mergeCell ref="I76:I79"/>
    <mergeCell ref="J76:J79"/>
    <mergeCell ref="K76:K79"/>
    <mergeCell ref="F55:F57"/>
    <mergeCell ref="G55:G57"/>
    <mergeCell ref="H55:H57"/>
    <mergeCell ref="I55:I57"/>
    <mergeCell ref="J55:J57"/>
    <mergeCell ref="K55:K57"/>
    <mergeCell ref="L55:L57"/>
    <mergeCell ref="M55:M57"/>
    <mergeCell ref="O55:O57"/>
    <mergeCell ref="D55:D57"/>
    <mergeCell ref="P55:P57"/>
    <mergeCell ref="P72:P75"/>
    <mergeCell ref="D84:D86"/>
    <mergeCell ref="E84:E86"/>
    <mergeCell ref="E64:E68"/>
    <mergeCell ref="F64:F68"/>
    <mergeCell ref="G64:G68"/>
    <mergeCell ref="H64:H68"/>
    <mergeCell ref="E72:E75"/>
    <mergeCell ref="F72:F75"/>
    <mergeCell ref="G72:G75"/>
    <mergeCell ref="H72:H75"/>
    <mergeCell ref="E76:E79"/>
    <mergeCell ref="D72:D75"/>
    <mergeCell ref="F84:F86"/>
    <mergeCell ref="G84:G86"/>
    <mergeCell ref="H84:H86"/>
    <mergeCell ref="D76:D79"/>
    <mergeCell ref="D80:D83"/>
    <mergeCell ref="M84:M86"/>
    <mergeCell ref="N84:N86"/>
    <mergeCell ref="O84:O86"/>
    <mergeCell ref="E55:E57"/>
    <mergeCell ref="D51:D54"/>
    <mergeCell ref="P51:P54"/>
    <mergeCell ref="E51:E54"/>
    <mergeCell ref="F51:F54"/>
    <mergeCell ref="G51:G54"/>
    <mergeCell ref="H51:H54"/>
    <mergeCell ref="I51:I54"/>
    <mergeCell ref="J51:J54"/>
    <mergeCell ref="K51:K54"/>
    <mergeCell ref="L51:L54"/>
    <mergeCell ref="M51:M54"/>
    <mergeCell ref="Q69:Q71"/>
    <mergeCell ref="N98:N102"/>
    <mergeCell ref="O98:O102"/>
    <mergeCell ref="M98:M102"/>
    <mergeCell ref="M76:M79"/>
    <mergeCell ref="N76:N79"/>
    <mergeCell ref="O76:O79"/>
    <mergeCell ref="N80:N83"/>
    <mergeCell ref="P84:P86"/>
    <mergeCell ref="Q84:Q86"/>
    <mergeCell ref="N87:N91"/>
    <mergeCell ref="O87:O91"/>
    <mergeCell ref="Q72:Q75"/>
    <mergeCell ref="P76:P79"/>
    <mergeCell ref="Q76:Q79"/>
    <mergeCell ref="P80:P83"/>
    <mergeCell ref="Q80:Q83"/>
    <mergeCell ref="O80:O83"/>
    <mergeCell ref="M72:M75"/>
    <mergeCell ref="N72:N75"/>
    <mergeCell ref="O72:O75"/>
    <mergeCell ref="Q51:Q54"/>
    <mergeCell ref="D69:D71"/>
    <mergeCell ref="E69:E71"/>
    <mergeCell ref="F69:F71"/>
    <mergeCell ref="G69:G71"/>
    <mergeCell ref="H69:H71"/>
    <mergeCell ref="I64:I68"/>
    <mergeCell ref="J64:J68"/>
    <mergeCell ref="K64:K68"/>
    <mergeCell ref="L64:L68"/>
    <mergeCell ref="M64:M68"/>
    <mergeCell ref="N64:N68"/>
    <mergeCell ref="O64:O68"/>
    <mergeCell ref="D64:D68"/>
    <mergeCell ref="P64:P68"/>
    <mergeCell ref="Q64:Q68"/>
    <mergeCell ref="I69:I71"/>
    <mergeCell ref="J69:J71"/>
    <mergeCell ref="K69:K71"/>
    <mergeCell ref="L69:L71"/>
    <mergeCell ref="M69:M71"/>
    <mergeCell ref="N69:N71"/>
    <mergeCell ref="O69:O71"/>
    <mergeCell ref="P69:P71"/>
    <mergeCell ref="D98:D102"/>
    <mergeCell ref="P98:P102"/>
    <mergeCell ref="Q98:Q102"/>
    <mergeCell ref="I92:I97"/>
    <mergeCell ref="J92:J97"/>
    <mergeCell ref="K92:K97"/>
    <mergeCell ref="L92:L97"/>
    <mergeCell ref="M92:M97"/>
    <mergeCell ref="N92:N97"/>
    <mergeCell ref="O92:O97"/>
    <mergeCell ref="P92:P97"/>
    <mergeCell ref="Q92:Q97"/>
    <mergeCell ref="E92:E97"/>
    <mergeCell ref="F92:F97"/>
    <mergeCell ref="G92:G97"/>
    <mergeCell ref="H92:H97"/>
    <mergeCell ref="E98:E102"/>
    <mergeCell ref="F98:F102"/>
    <mergeCell ref="G98:G102"/>
    <mergeCell ref="H98:H102"/>
    <mergeCell ref="I98:I102"/>
    <mergeCell ref="J98:J102"/>
    <mergeCell ref="K98:K102"/>
    <mergeCell ref="L98:L102"/>
    <mergeCell ref="D87:D91"/>
    <mergeCell ref="D92:D97"/>
    <mergeCell ref="P87:P91"/>
    <mergeCell ref="Q87:Q91"/>
    <mergeCell ref="N103:N105"/>
    <mergeCell ref="O103:O105"/>
    <mergeCell ref="N106:N110"/>
    <mergeCell ref="O106:O110"/>
    <mergeCell ref="N111:N116"/>
    <mergeCell ref="O111:O116"/>
    <mergeCell ref="P103:P105"/>
    <mergeCell ref="Q103:Q105"/>
    <mergeCell ref="P106:P110"/>
    <mergeCell ref="Q106:Q110"/>
    <mergeCell ref="P111:P116"/>
    <mergeCell ref="Q111:Q116"/>
    <mergeCell ref="M103:M105"/>
    <mergeCell ref="M106:M110"/>
    <mergeCell ref="M111:M116"/>
    <mergeCell ref="E111:E116"/>
    <mergeCell ref="F111:F116"/>
    <mergeCell ref="G111:G116"/>
    <mergeCell ref="H111:H116"/>
    <mergeCell ref="I111:I116"/>
    <mergeCell ref="J111:J116"/>
    <mergeCell ref="K111:K116"/>
    <mergeCell ref="L111:L116"/>
    <mergeCell ref="D111:D116"/>
    <mergeCell ref="D103:D105"/>
    <mergeCell ref="E106:E110"/>
    <mergeCell ref="F106:F110"/>
    <mergeCell ref="G106:G110"/>
    <mergeCell ref="H106:H110"/>
    <mergeCell ref="I106:I110"/>
    <mergeCell ref="J106:J110"/>
    <mergeCell ref="K106:K110"/>
    <mergeCell ref="L106:L110"/>
    <mergeCell ref="D106:D110"/>
    <mergeCell ref="E103:E105"/>
    <mergeCell ref="F103:F105"/>
    <mergeCell ref="G103:G105"/>
    <mergeCell ref="H103:H105"/>
    <mergeCell ref="I103:I105"/>
    <mergeCell ref="J103:J105"/>
    <mergeCell ref="K103:K105"/>
    <mergeCell ref="L103:L105"/>
  </mergeCell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AB44EF4-C343-4CC8-B3B2-F37B98C38367}">
          <x14:formula1>
            <xm:f>'Paso 3 Redacción RA'!$I$3:$I$15</xm:f>
          </x14:formula1>
          <xm:sqref>B3:B129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Y1" zoomScale="145" zoomScaleNormal="145" workbookViewId="0">
      <selection activeCell="AI2" sqref="AI2"/>
    </sheetView>
  </sheetViews>
  <sheetFormatPr defaultColWidth="9.140625" defaultRowHeight="16.5"/>
  <cols>
    <col min="1" max="1" width="20.42578125" style="12" customWidth="1"/>
    <col min="2" max="2" width="14.42578125" style="12" customWidth="1"/>
    <col min="3" max="3" width="22.28515625" style="12" customWidth="1"/>
    <col min="4" max="4" width="21.5703125" style="12" customWidth="1"/>
    <col min="5" max="5" width="20.7109375" style="12" customWidth="1"/>
    <col min="6" max="6" width="16.7109375" style="12" customWidth="1"/>
    <col min="7" max="7" width="21.7109375" style="12" customWidth="1"/>
    <col min="8" max="8" width="26.28515625" style="12" customWidth="1"/>
    <col min="9" max="9" width="25.28515625" style="12" customWidth="1"/>
    <col min="10" max="10" width="24.42578125" style="12" customWidth="1"/>
    <col min="11" max="11" width="15.28515625" style="12" customWidth="1"/>
    <col min="12" max="17" width="17.7109375" style="12" customWidth="1"/>
    <col min="18" max="18" width="22.5703125" style="12" customWidth="1"/>
    <col min="19" max="19" width="15.5703125" style="12" customWidth="1"/>
    <col min="20" max="20" width="14.85546875" style="12" customWidth="1"/>
    <col min="21" max="25" width="13.28515625" style="12" customWidth="1"/>
    <col min="26" max="26" width="16.5703125" style="12" customWidth="1"/>
    <col min="27" max="27" width="13.28515625" style="12" customWidth="1"/>
    <col min="28" max="28" width="16" style="12" customWidth="1"/>
    <col min="29" max="29" width="19.5703125" style="12" customWidth="1"/>
    <col min="30" max="30" width="21.7109375" style="12" bestFit="1" customWidth="1"/>
    <col min="31" max="31" width="13.28515625" style="12" customWidth="1"/>
    <col min="32" max="32" width="13.85546875" style="12" customWidth="1"/>
    <col min="33" max="33" width="30.7109375" style="12" customWidth="1"/>
    <col min="34" max="36" width="13.28515625" style="12" customWidth="1"/>
    <col min="37" max="37" width="14.5703125" style="12" customWidth="1"/>
    <col min="38" max="43" width="16.7109375" style="12" customWidth="1"/>
    <col min="44" max="45" width="13.28515625" style="12" customWidth="1"/>
    <col min="46" max="46" width="23.7109375" style="12" customWidth="1"/>
    <col min="47" max="47" width="22.5703125" style="12" customWidth="1"/>
    <col min="48" max="48" width="24.28515625" style="12" customWidth="1"/>
    <col min="49" max="49" width="27.7109375" style="12" customWidth="1"/>
    <col min="50" max="50" width="24.7109375" style="12" customWidth="1"/>
    <col min="51" max="51" width="22.5703125" style="12" customWidth="1"/>
    <col min="52" max="55" width="13.28515625" style="12" customWidth="1"/>
    <col min="56" max="16384" width="9.140625" style="12"/>
  </cols>
  <sheetData>
    <row r="1" spans="1:55" ht="17.100000000000001" thickBot="1">
      <c r="A1" s="1"/>
      <c r="B1" s="1"/>
      <c r="C1" s="1"/>
      <c r="D1" s="1"/>
      <c r="E1" s="1"/>
      <c r="F1" s="1"/>
      <c r="G1" s="1"/>
      <c r="H1" s="1"/>
      <c r="I1" s="1"/>
      <c r="J1" s="1"/>
      <c r="K1" s="1"/>
      <c r="L1" s="1"/>
      <c r="M1" s="1"/>
      <c r="N1" s="1"/>
      <c r="O1" s="1"/>
      <c r="P1" s="1"/>
      <c r="Q1" s="1"/>
      <c r="R1" s="1"/>
      <c r="S1" s="219" t="s">
        <v>346</v>
      </c>
      <c r="T1" s="219"/>
      <c r="U1" s="219"/>
      <c r="V1" s="219"/>
      <c r="W1" s="219"/>
      <c r="X1" s="219"/>
      <c r="Y1" s="219"/>
      <c r="Z1" s="219"/>
      <c r="AA1" s="219"/>
      <c r="AB1" s="219"/>
      <c r="AC1" s="219"/>
      <c r="AD1" s="219"/>
      <c r="AE1" s="219"/>
      <c r="AF1" s="219"/>
      <c r="AG1" s="219"/>
      <c r="AH1" s="14"/>
      <c r="AI1" s="14"/>
      <c r="AJ1" s="14"/>
      <c r="AK1" s="1"/>
      <c r="AL1" s="219" t="s">
        <v>347</v>
      </c>
      <c r="AM1" s="219"/>
      <c r="AN1" s="219"/>
      <c r="AO1" s="219"/>
      <c r="AP1" s="219"/>
      <c r="AQ1" s="219"/>
      <c r="AR1" s="14"/>
      <c r="AS1" s="14"/>
      <c r="AT1" s="219" t="s">
        <v>348</v>
      </c>
      <c r="AU1" s="219"/>
      <c r="AV1" s="219"/>
      <c r="AW1" s="219"/>
      <c r="AX1" s="219"/>
      <c r="AY1" s="219"/>
      <c r="AZ1" s="14"/>
      <c r="BA1" s="1"/>
      <c r="BB1" s="1"/>
      <c r="BC1" s="14"/>
    </row>
    <row r="2" spans="1:55">
      <c r="A2" s="1"/>
      <c r="B2" s="1"/>
      <c r="C2" s="1"/>
      <c r="D2" s="1"/>
      <c r="E2" s="1"/>
      <c r="F2" s="1"/>
      <c r="G2" s="1"/>
      <c r="H2" s="1"/>
      <c r="I2" s="1"/>
      <c r="J2" s="1"/>
      <c r="K2" s="1"/>
      <c r="L2" s="219" t="s">
        <v>349</v>
      </c>
      <c r="M2" s="219"/>
      <c r="N2" s="219"/>
      <c r="O2" s="219"/>
      <c r="P2" s="219"/>
      <c r="Q2" s="219"/>
      <c r="R2" s="1"/>
      <c r="S2" s="220" t="s">
        <v>350</v>
      </c>
      <c r="T2" s="221"/>
      <c r="U2" s="221"/>
      <c r="V2" s="221"/>
      <c r="W2" s="221"/>
      <c r="X2" s="222"/>
      <c r="Y2" s="223" t="s">
        <v>351</v>
      </c>
      <c r="Z2" s="224"/>
      <c r="AA2" s="224"/>
      <c r="AB2" s="225"/>
      <c r="AC2" s="223" t="s">
        <v>352</v>
      </c>
      <c r="AD2" s="224"/>
      <c r="AE2" s="224"/>
      <c r="AF2" s="224"/>
      <c r="AG2" s="226"/>
      <c r="AH2" s="14"/>
      <c r="AI2" s="14"/>
      <c r="AJ2" s="14"/>
      <c r="AK2" s="1"/>
      <c r="AL2" s="219"/>
      <c r="AM2" s="219"/>
      <c r="AN2" s="219"/>
      <c r="AO2" s="219"/>
      <c r="AP2" s="219"/>
      <c r="AQ2" s="219"/>
      <c r="AR2" s="14"/>
      <c r="AS2" s="14"/>
      <c r="AT2" s="14"/>
      <c r="AU2" s="14"/>
      <c r="AV2" s="14"/>
      <c r="AW2" s="14"/>
      <c r="AX2" s="14"/>
      <c r="AY2" s="14"/>
      <c r="AZ2" s="14"/>
      <c r="BA2" s="1"/>
      <c r="BB2" s="1"/>
      <c r="BC2" s="14"/>
    </row>
    <row r="3" spans="1:55">
      <c r="A3" s="1" t="s">
        <v>353</v>
      </c>
      <c r="B3" s="1"/>
      <c r="C3" s="1" t="s">
        <v>87</v>
      </c>
      <c r="D3" s="1" t="s">
        <v>354</v>
      </c>
      <c r="E3" s="1" t="s">
        <v>355</v>
      </c>
      <c r="F3" s="1"/>
      <c r="G3" s="1" t="s">
        <v>105</v>
      </c>
      <c r="H3" s="1" t="s">
        <v>356</v>
      </c>
      <c r="I3" s="1" t="s">
        <v>357</v>
      </c>
      <c r="J3" s="1"/>
      <c r="K3" s="1"/>
      <c r="L3" s="1" t="s">
        <v>358</v>
      </c>
      <c r="M3" s="1" t="s">
        <v>106</v>
      </c>
      <c r="N3" s="1" t="s">
        <v>359</v>
      </c>
      <c r="O3" s="1" t="s">
        <v>360</v>
      </c>
      <c r="P3" s="1" t="s">
        <v>361</v>
      </c>
      <c r="Q3" s="1" t="s">
        <v>362</v>
      </c>
      <c r="R3" s="1"/>
      <c r="S3" s="64" t="s">
        <v>363</v>
      </c>
      <c r="T3" s="1" t="s">
        <v>111</v>
      </c>
      <c r="U3" s="1" t="s">
        <v>364</v>
      </c>
      <c r="V3" s="1" t="s">
        <v>89</v>
      </c>
      <c r="W3" s="1" t="s">
        <v>365</v>
      </c>
      <c r="X3" s="1" t="s">
        <v>366</v>
      </c>
      <c r="Y3" s="64" t="s">
        <v>367</v>
      </c>
      <c r="Z3" s="1" t="s">
        <v>114</v>
      </c>
      <c r="AA3" s="1" t="s">
        <v>368</v>
      </c>
      <c r="AB3" s="1" t="s">
        <v>92</v>
      </c>
      <c r="AC3" s="64" t="s">
        <v>369</v>
      </c>
      <c r="AD3" s="1" t="s">
        <v>370</v>
      </c>
      <c r="AE3" s="1" t="s">
        <v>96</v>
      </c>
      <c r="AF3" s="1" t="s">
        <v>371</v>
      </c>
      <c r="AG3" s="65" t="s">
        <v>372</v>
      </c>
      <c r="AH3" s="1"/>
      <c r="AI3" s="1"/>
      <c r="AJ3" s="1"/>
      <c r="AK3" s="1"/>
      <c r="AL3" s="187" t="s">
        <v>373</v>
      </c>
      <c r="AM3" s="187"/>
      <c r="AN3" s="187"/>
      <c r="AO3" s="187" t="s">
        <v>374</v>
      </c>
      <c r="AP3" s="187"/>
      <c r="AQ3" s="187"/>
      <c r="AR3" s="15"/>
      <c r="AS3" s="15"/>
      <c r="AT3" s="15"/>
      <c r="AU3" s="15"/>
      <c r="AV3" s="15"/>
      <c r="AW3" s="15"/>
      <c r="AX3" s="15"/>
      <c r="AY3" s="15"/>
      <c r="AZ3" s="15"/>
      <c r="BA3" s="1"/>
      <c r="BB3" s="1"/>
      <c r="BC3" s="15"/>
    </row>
    <row r="4" spans="1:55">
      <c r="A4" s="1" t="s">
        <v>104</v>
      </c>
      <c r="B4" s="1"/>
      <c r="C4" s="1" t="s">
        <v>88</v>
      </c>
      <c r="D4" s="1" t="s">
        <v>375</v>
      </c>
      <c r="E4" s="1" t="s">
        <v>376</v>
      </c>
      <c r="F4" s="1"/>
      <c r="G4" s="1" t="s">
        <v>358</v>
      </c>
      <c r="H4" s="1" t="s">
        <v>358</v>
      </c>
      <c r="I4" s="1" t="s">
        <v>358</v>
      </c>
      <c r="J4" s="1"/>
      <c r="K4" s="1"/>
      <c r="L4" s="1" t="s">
        <v>377</v>
      </c>
      <c r="M4" s="1" t="s">
        <v>378</v>
      </c>
      <c r="N4" s="1" t="s">
        <v>62</v>
      </c>
      <c r="O4" s="1" t="s">
        <v>379</v>
      </c>
      <c r="P4" s="1" t="s">
        <v>380</v>
      </c>
      <c r="Q4" s="1" t="s">
        <v>381</v>
      </c>
      <c r="R4" s="1"/>
      <c r="S4" s="64" t="s">
        <v>377</v>
      </c>
      <c r="T4" s="1" t="s">
        <v>378</v>
      </c>
      <c r="U4" s="1" t="s">
        <v>62</v>
      </c>
      <c r="V4" s="1" t="s">
        <v>379</v>
      </c>
      <c r="W4" s="1" t="s">
        <v>380</v>
      </c>
      <c r="X4" s="1" t="s">
        <v>381</v>
      </c>
      <c r="Y4" s="64" t="s">
        <v>382</v>
      </c>
      <c r="Z4" s="1" t="s">
        <v>383</v>
      </c>
      <c r="AA4" s="1" t="s">
        <v>384</v>
      </c>
      <c r="AB4" s="1" t="s">
        <v>385</v>
      </c>
      <c r="AC4" s="64" t="s">
        <v>386</v>
      </c>
      <c r="AD4" s="1" t="s">
        <v>382</v>
      </c>
      <c r="AE4" s="1" t="s">
        <v>386</v>
      </c>
      <c r="AF4" s="1" t="s">
        <v>387</v>
      </c>
      <c r="AG4" s="65" t="s">
        <v>388</v>
      </c>
      <c r="AH4" s="1"/>
      <c r="AI4" s="1"/>
      <c r="AJ4" s="1"/>
      <c r="AK4" s="1"/>
      <c r="AL4" s="16" t="s">
        <v>389</v>
      </c>
      <c r="AM4" s="16" t="s">
        <v>390</v>
      </c>
      <c r="AN4" s="16" t="s">
        <v>391</v>
      </c>
      <c r="AO4" s="16" t="s">
        <v>392</v>
      </c>
      <c r="AP4" s="17" t="s">
        <v>393</v>
      </c>
      <c r="AQ4" s="16" t="s">
        <v>394</v>
      </c>
      <c r="AR4" s="15"/>
      <c r="AS4" s="15"/>
      <c r="AT4" s="1" t="s">
        <v>395</v>
      </c>
      <c r="AU4" s="1" t="s">
        <v>396</v>
      </c>
      <c r="AV4" s="1" t="s">
        <v>397</v>
      </c>
      <c r="AW4" s="1" t="s">
        <v>398</v>
      </c>
      <c r="AX4" s="1" t="s">
        <v>399</v>
      </c>
      <c r="AY4" s="1" t="s">
        <v>400</v>
      </c>
      <c r="AZ4" s="15"/>
      <c r="BA4" s="1"/>
      <c r="BB4" s="1"/>
      <c r="BC4" s="15"/>
    </row>
    <row r="5" spans="1:55">
      <c r="A5" s="1" t="s">
        <v>87</v>
      </c>
      <c r="B5" s="1"/>
      <c r="C5" s="1" t="s">
        <v>91</v>
      </c>
      <c r="D5" s="1" t="s">
        <v>401</v>
      </c>
      <c r="E5" s="1" t="s">
        <v>402</v>
      </c>
      <c r="F5" s="1"/>
      <c r="G5" s="1" t="s">
        <v>106</v>
      </c>
      <c r="H5" s="1" t="s">
        <v>106</v>
      </c>
      <c r="I5" s="1" t="s">
        <v>106</v>
      </c>
      <c r="J5" s="1"/>
      <c r="K5" s="1"/>
      <c r="L5" s="1" t="s">
        <v>403</v>
      </c>
      <c r="M5" s="1" t="s">
        <v>404</v>
      </c>
      <c r="N5" s="1" t="s">
        <v>405</v>
      </c>
      <c r="O5" s="1" t="s">
        <v>56</v>
      </c>
      <c r="P5" s="1" t="s">
        <v>406</v>
      </c>
      <c r="Q5" s="1" t="s">
        <v>407</v>
      </c>
      <c r="R5" s="1"/>
      <c r="S5" s="64" t="s">
        <v>403</v>
      </c>
      <c r="T5" s="1" t="s">
        <v>404</v>
      </c>
      <c r="U5" s="1" t="s">
        <v>405</v>
      </c>
      <c r="V5" s="1" t="s">
        <v>56</v>
      </c>
      <c r="W5" s="1" t="s">
        <v>406</v>
      </c>
      <c r="X5" s="1" t="s">
        <v>407</v>
      </c>
      <c r="Y5" s="64" t="s">
        <v>380</v>
      </c>
      <c r="Z5" s="1" t="s">
        <v>379</v>
      </c>
      <c r="AA5" s="1" t="s">
        <v>408</v>
      </c>
      <c r="AB5" s="1" t="s">
        <v>409</v>
      </c>
      <c r="AC5" s="64" t="s">
        <v>410</v>
      </c>
      <c r="AD5" s="1" t="s">
        <v>411</v>
      </c>
      <c r="AE5" s="66" t="s">
        <v>412</v>
      </c>
      <c r="AF5" s="1" t="s">
        <v>413</v>
      </c>
      <c r="AG5" s="65" t="s">
        <v>414</v>
      </c>
      <c r="AH5" s="1"/>
      <c r="AI5" s="1"/>
      <c r="AJ5" s="1"/>
      <c r="AK5" s="1"/>
      <c r="AL5" s="18" t="s">
        <v>415</v>
      </c>
      <c r="AM5" s="18" t="s">
        <v>416</v>
      </c>
      <c r="AN5" s="18" t="s">
        <v>408</v>
      </c>
      <c r="AO5" s="18" t="s">
        <v>417</v>
      </c>
      <c r="AP5" s="18" t="s">
        <v>380</v>
      </c>
      <c r="AQ5" s="18" t="s">
        <v>64</v>
      </c>
      <c r="AR5" s="18"/>
      <c r="AS5" s="18"/>
      <c r="AT5" s="19" t="s">
        <v>415</v>
      </c>
      <c r="AU5" s="20" t="s">
        <v>378</v>
      </c>
      <c r="AV5" s="19" t="s">
        <v>417</v>
      </c>
      <c r="AW5" s="19" t="s">
        <v>408</v>
      </c>
      <c r="AX5" s="20" t="s">
        <v>386</v>
      </c>
      <c r="AY5" s="20" t="s">
        <v>386</v>
      </c>
      <c r="AZ5" s="18"/>
      <c r="BA5" s="1"/>
      <c r="BB5" s="1"/>
      <c r="BC5" s="18"/>
    </row>
    <row r="6" spans="1:55">
      <c r="A6" s="1" t="s">
        <v>354</v>
      </c>
      <c r="B6" s="1"/>
      <c r="C6" s="1" t="s">
        <v>95</v>
      </c>
      <c r="D6" s="1" t="s">
        <v>418</v>
      </c>
      <c r="E6" s="1" t="s">
        <v>419</v>
      </c>
      <c r="F6" s="1"/>
      <c r="G6" s="1" t="s">
        <v>359</v>
      </c>
      <c r="H6" s="1" t="s">
        <v>359</v>
      </c>
      <c r="I6" s="1" t="s">
        <v>359</v>
      </c>
      <c r="J6" s="1"/>
      <c r="K6" s="1"/>
      <c r="L6" s="1" t="s">
        <v>420</v>
      </c>
      <c r="M6" s="1" t="s">
        <v>421</v>
      </c>
      <c r="N6" s="1" t="s">
        <v>422</v>
      </c>
      <c r="O6" s="1" t="s">
        <v>423</v>
      </c>
      <c r="P6" s="1" t="s">
        <v>385</v>
      </c>
      <c r="Q6" s="1" t="s">
        <v>424</v>
      </c>
      <c r="R6" s="1"/>
      <c r="S6" s="64" t="s">
        <v>420</v>
      </c>
      <c r="T6" s="1" t="s">
        <v>421</v>
      </c>
      <c r="U6" s="1" t="s">
        <v>422</v>
      </c>
      <c r="V6" s="1" t="s">
        <v>423</v>
      </c>
      <c r="W6" s="1" t="s">
        <v>385</v>
      </c>
      <c r="X6" s="1" t="s">
        <v>424</v>
      </c>
      <c r="Y6" s="64" t="s">
        <v>425</v>
      </c>
      <c r="Z6" s="1" t="s">
        <v>425</v>
      </c>
      <c r="AA6" s="1" t="s">
        <v>380</v>
      </c>
      <c r="AB6" s="1" t="s">
        <v>416</v>
      </c>
      <c r="AC6" s="64" t="s">
        <v>426</v>
      </c>
      <c r="AD6" s="1" t="s">
        <v>415</v>
      </c>
      <c r="AE6" s="1" t="s">
        <v>415</v>
      </c>
      <c r="AF6" s="1" t="s">
        <v>385</v>
      </c>
      <c r="AG6" s="65" t="s">
        <v>427</v>
      </c>
      <c r="AH6" s="1"/>
      <c r="AI6" s="1"/>
      <c r="AJ6" s="1"/>
      <c r="AK6" s="1"/>
      <c r="AL6" s="18" t="s">
        <v>420</v>
      </c>
      <c r="AM6" s="18" t="s">
        <v>428</v>
      </c>
      <c r="AN6" s="18" t="s">
        <v>417</v>
      </c>
      <c r="AO6" s="18" t="s">
        <v>379</v>
      </c>
      <c r="AP6" s="18" t="s">
        <v>429</v>
      </c>
      <c r="AQ6" s="18" t="s">
        <v>430</v>
      </c>
      <c r="AR6" s="18"/>
      <c r="AS6" s="18"/>
      <c r="AT6" s="21" t="s">
        <v>420</v>
      </c>
      <c r="AU6" s="22" t="s">
        <v>404</v>
      </c>
      <c r="AV6" s="20" t="s">
        <v>379</v>
      </c>
      <c r="AW6" s="21" t="s">
        <v>417</v>
      </c>
      <c r="AX6" s="22" t="s">
        <v>387</v>
      </c>
      <c r="AY6" s="20" t="s">
        <v>412</v>
      </c>
      <c r="AZ6" s="18"/>
      <c r="BA6" s="1"/>
      <c r="BB6" s="1"/>
      <c r="BC6" s="18"/>
    </row>
    <row r="7" spans="1:55">
      <c r="A7" s="1" t="s">
        <v>355</v>
      </c>
      <c r="B7" s="1"/>
      <c r="C7" s="1"/>
      <c r="D7" s="1" t="s">
        <v>431</v>
      </c>
      <c r="E7" s="1"/>
      <c r="F7" s="1"/>
      <c r="G7" s="1" t="s">
        <v>360</v>
      </c>
      <c r="H7" s="1" t="s">
        <v>360</v>
      </c>
      <c r="I7" s="1" t="s">
        <v>360</v>
      </c>
      <c r="J7" s="1"/>
      <c r="K7" s="1"/>
      <c r="L7" s="1" t="s">
        <v>432</v>
      </c>
      <c r="M7" s="1" t="s">
        <v>433</v>
      </c>
      <c r="N7" s="1" t="s">
        <v>434</v>
      </c>
      <c r="O7" s="1" t="s">
        <v>435</v>
      </c>
      <c r="P7" s="1" t="s">
        <v>385</v>
      </c>
      <c r="Q7" s="1" t="s">
        <v>436</v>
      </c>
      <c r="R7" s="1"/>
      <c r="S7" s="64" t="s">
        <v>432</v>
      </c>
      <c r="T7" s="1" t="s">
        <v>433</v>
      </c>
      <c r="U7" s="1" t="s">
        <v>434</v>
      </c>
      <c r="V7" s="1" t="s">
        <v>435</v>
      </c>
      <c r="W7" s="1" t="s">
        <v>385</v>
      </c>
      <c r="X7" s="1" t="s">
        <v>436</v>
      </c>
      <c r="Y7" s="64" t="s">
        <v>436</v>
      </c>
      <c r="Z7" s="1" t="s">
        <v>437</v>
      </c>
      <c r="AA7" s="1" t="s">
        <v>425</v>
      </c>
      <c r="AB7" s="1" t="s">
        <v>438</v>
      </c>
      <c r="AC7" s="64" t="s">
        <v>62</v>
      </c>
      <c r="AD7" s="1" t="s">
        <v>439</v>
      </c>
      <c r="AE7" s="1" t="s">
        <v>440</v>
      </c>
      <c r="AF7" s="1" t="s">
        <v>441</v>
      </c>
      <c r="AG7" s="65" t="s">
        <v>442</v>
      </c>
      <c r="AH7" s="1"/>
      <c r="AI7" s="1"/>
      <c r="AJ7" s="1"/>
      <c r="AK7" s="1"/>
      <c r="AL7" s="18" t="s">
        <v>443</v>
      </c>
      <c r="AM7" s="18" t="s">
        <v>444</v>
      </c>
      <c r="AN7" s="18" t="s">
        <v>423</v>
      </c>
      <c r="AO7" s="18" t="s">
        <v>445</v>
      </c>
      <c r="AP7" s="18" t="s">
        <v>427</v>
      </c>
      <c r="AQ7" s="18" t="s">
        <v>446</v>
      </c>
      <c r="AR7" s="18"/>
      <c r="AS7" s="18"/>
      <c r="AT7" s="19" t="s">
        <v>443</v>
      </c>
      <c r="AU7" s="1" t="s">
        <v>416</v>
      </c>
      <c r="AV7" s="22" t="s">
        <v>56</v>
      </c>
      <c r="AW7" s="20" t="s">
        <v>62</v>
      </c>
      <c r="AX7" s="20" t="s">
        <v>412</v>
      </c>
      <c r="AY7" s="20" t="s">
        <v>414</v>
      </c>
      <c r="AZ7" s="18"/>
      <c r="BA7" s="1"/>
      <c r="BB7" s="1"/>
      <c r="BC7" s="18"/>
    </row>
    <row r="8" spans="1:55">
      <c r="A8" s="1"/>
      <c r="B8" s="1"/>
      <c r="C8" s="1"/>
      <c r="D8" s="1"/>
      <c r="E8" s="1"/>
      <c r="F8" s="1"/>
      <c r="G8" s="1" t="s">
        <v>361</v>
      </c>
      <c r="H8" s="1" t="s">
        <v>361</v>
      </c>
      <c r="I8" s="1" t="s">
        <v>361</v>
      </c>
      <c r="J8" s="1"/>
      <c r="K8" s="1"/>
      <c r="L8" s="1" t="s">
        <v>447</v>
      </c>
      <c r="M8" s="1" t="s">
        <v>448</v>
      </c>
      <c r="N8" s="1" t="s">
        <v>449</v>
      </c>
      <c r="O8" s="1" t="s">
        <v>428</v>
      </c>
      <c r="P8" s="1" t="s">
        <v>450</v>
      </c>
      <c r="Q8" s="1" t="s">
        <v>451</v>
      </c>
      <c r="R8" s="1"/>
      <c r="S8" s="64" t="s">
        <v>447</v>
      </c>
      <c r="T8" s="1" t="s">
        <v>448</v>
      </c>
      <c r="U8" s="1" t="s">
        <v>449</v>
      </c>
      <c r="V8" s="1" t="s">
        <v>428</v>
      </c>
      <c r="W8" s="1" t="s">
        <v>450</v>
      </c>
      <c r="X8" s="1" t="s">
        <v>451</v>
      </c>
      <c r="Y8" s="64" t="s">
        <v>56</v>
      </c>
      <c r="Z8" s="1" t="s">
        <v>62</v>
      </c>
      <c r="AA8" s="1" t="s">
        <v>452</v>
      </c>
      <c r="AB8" s="1" t="s">
        <v>453</v>
      </c>
      <c r="AC8" s="64" t="s">
        <v>454</v>
      </c>
      <c r="AD8" s="66" t="s">
        <v>455</v>
      </c>
      <c r="AE8" s="1" t="s">
        <v>456</v>
      </c>
      <c r="AF8" s="1" t="s">
        <v>457</v>
      </c>
      <c r="AG8" s="65" t="s">
        <v>435</v>
      </c>
      <c r="AH8" s="1"/>
      <c r="AI8" s="1"/>
      <c r="AJ8" s="1"/>
      <c r="AK8" s="1"/>
      <c r="AL8" s="18" t="s">
        <v>447</v>
      </c>
      <c r="AM8" s="18" t="s">
        <v>458</v>
      </c>
      <c r="AN8" s="18" t="s">
        <v>435</v>
      </c>
      <c r="AO8" s="18" t="s">
        <v>459</v>
      </c>
      <c r="AP8" s="18" t="s">
        <v>460</v>
      </c>
      <c r="AQ8" s="18" t="s">
        <v>461</v>
      </c>
      <c r="AR8" s="18"/>
      <c r="AS8" s="18"/>
      <c r="AT8" s="21" t="s">
        <v>447</v>
      </c>
      <c r="AU8" s="20" t="s">
        <v>421</v>
      </c>
      <c r="AV8" s="20" t="s">
        <v>62</v>
      </c>
      <c r="AW8" s="19" t="s">
        <v>423</v>
      </c>
      <c r="AX8" s="22" t="s">
        <v>414</v>
      </c>
      <c r="AY8" s="20" t="s">
        <v>440</v>
      </c>
      <c r="AZ8" s="18"/>
      <c r="BA8" s="1"/>
      <c r="BB8" s="1"/>
      <c r="BC8" s="18"/>
    </row>
    <row r="9" spans="1:55">
      <c r="A9" s="1"/>
      <c r="B9" s="1"/>
      <c r="C9" s="1"/>
      <c r="D9" s="1"/>
      <c r="E9" s="1"/>
      <c r="F9" s="1"/>
      <c r="G9" s="1" t="s">
        <v>362</v>
      </c>
      <c r="H9" s="1" t="s">
        <v>362</v>
      </c>
      <c r="I9" s="1" t="s">
        <v>362</v>
      </c>
      <c r="J9" s="1"/>
      <c r="K9" s="1"/>
      <c r="L9" s="1" t="s">
        <v>462</v>
      </c>
      <c r="M9" s="1" t="s">
        <v>463</v>
      </c>
      <c r="N9" s="1" t="s">
        <v>464</v>
      </c>
      <c r="O9" s="1" t="s">
        <v>457</v>
      </c>
      <c r="P9" s="1" t="s">
        <v>465</v>
      </c>
      <c r="Q9" s="1" t="s">
        <v>455</v>
      </c>
      <c r="R9" s="1"/>
      <c r="S9" s="64" t="s">
        <v>462</v>
      </c>
      <c r="T9" s="1" t="s">
        <v>463</v>
      </c>
      <c r="U9" s="66" t="s">
        <v>464</v>
      </c>
      <c r="V9" s="1" t="s">
        <v>457</v>
      </c>
      <c r="W9" s="1" t="s">
        <v>465</v>
      </c>
      <c r="X9" s="1" t="s">
        <v>455</v>
      </c>
      <c r="Y9" s="64" t="s">
        <v>62</v>
      </c>
      <c r="Z9" s="1" t="s">
        <v>385</v>
      </c>
      <c r="AA9" s="1" t="s">
        <v>466</v>
      </c>
      <c r="AB9" s="1" t="s">
        <v>434</v>
      </c>
      <c r="AC9" s="64" t="s">
        <v>454</v>
      </c>
      <c r="AD9" s="1" t="s">
        <v>467</v>
      </c>
      <c r="AE9" s="1" t="s">
        <v>468</v>
      </c>
      <c r="AF9" s="1" t="s">
        <v>469</v>
      </c>
      <c r="AG9" s="65" t="s">
        <v>470</v>
      </c>
      <c r="AH9" s="1"/>
      <c r="AI9" s="1"/>
      <c r="AJ9" s="1"/>
      <c r="AK9" s="1"/>
      <c r="AL9" s="18" t="s">
        <v>462</v>
      </c>
      <c r="AM9" s="18" t="s">
        <v>471</v>
      </c>
      <c r="AN9" s="18" t="s">
        <v>441</v>
      </c>
      <c r="AO9" s="18" t="s">
        <v>435</v>
      </c>
      <c r="AP9" s="18" t="s">
        <v>472</v>
      </c>
      <c r="AQ9" s="18" t="s">
        <v>473</v>
      </c>
      <c r="AR9" s="18"/>
      <c r="AS9" s="18"/>
      <c r="AT9" s="19" t="s">
        <v>462</v>
      </c>
      <c r="AU9" s="21" t="s">
        <v>428</v>
      </c>
      <c r="AV9" s="20" t="s">
        <v>445</v>
      </c>
      <c r="AW9" s="22" t="s">
        <v>405</v>
      </c>
      <c r="AX9" s="22" t="s">
        <v>415</v>
      </c>
      <c r="AY9" s="22" t="s">
        <v>456</v>
      </c>
      <c r="AZ9" s="18"/>
      <c r="BA9" s="1"/>
      <c r="BB9" s="1"/>
      <c r="BC9" s="18"/>
    </row>
    <row r="10" spans="1:55">
      <c r="A10" s="1"/>
      <c r="B10" s="1"/>
      <c r="C10" s="1"/>
      <c r="D10" s="1"/>
      <c r="E10" s="1"/>
      <c r="F10" s="1"/>
      <c r="G10" s="1"/>
      <c r="H10" s="1"/>
      <c r="I10" s="1"/>
      <c r="J10" s="1"/>
      <c r="K10" s="1"/>
      <c r="L10" s="1" t="s">
        <v>474</v>
      </c>
      <c r="M10" s="1" t="s">
        <v>475</v>
      </c>
      <c r="N10" s="1" t="s">
        <v>458</v>
      </c>
      <c r="O10" s="1" t="s">
        <v>444</v>
      </c>
      <c r="P10" s="1" t="s">
        <v>423</v>
      </c>
      <c r="Q10" s="1" t="s">
        <v>476</v>
      </c>
      <c r="R10" s="1"/>
      <c r="S10" s="64" t="s">
        <v>474</v>
      </c>
      <c r="T10" s="1" t="s">
        <v>475</v>
      </c>
      <c r="U10" s="1" t="s">
        <v>458</v>
      </c>
      <c r="V10" s="1" t="s">
        <v>444</v>
      </c>
      <c r="W10" s="1" t="s">
        <v>423</v>
      </c>
      <c r="X10" s="1" t="s">
        <v>476</v>
      </c>
      <c r="Y10" s="64" t="s">
        <v>477</v>
      </c>
      <c r="Z10" s="1" t="s">
        <v>453</v>
      </c>
      <c r="AA10" s="1" t="s">
        <v>453</v>
      </c>
      <c r="AB10" s="1" t="s">
        <v>449</v>
      </c>
      <c r="AC10" s="64" t="s">
        <v>478</v>
      </c>
      <c r="AD10" s="1" t="s">
        <v>416</v>
      </c>
      <c r="AE10" s="1" t="s">
        <v>427</v>
      </c>
      <c r="AF10" s="1" t="s">
        <v>479</v>
      </c>
      <c r="AG10" s="65" t="s">
        <v>480</v>
      </c>
      <c r="AH10" s="1"/>
      <c r="AI10" s="1"/>
      <c r="AJ10" s="1"/>
      <c r="AK10" s="1"/>
      <c r="AL10" s="18" t="s">
        <v>474</v>
      </c>
      <c r="AM10" s="18" t="s">
        <v>481</v>
      </c>
      <c r="AN10" s="18" t="s">
        <v>482</v>
      </c>
      <c r="AO10" s="18" t="s">
        <v>483</v>
      </c>
      <c r="AP10" s="18" t="s">
        <v>422</v>
      </c>
      <c r="AQ10" s="18" t="s">
        <v>484</v>
      </c>
      <c r="AR10" s="18"/>
      <c r="AS10" s="18"/>
      <c r="AT10" s="21" t="s">
        <v>474</v>
      </c>
      <c r="AU10" s="22" t="s">
        <v>433</v>
      </c>
      <c r="AV10" s="22" t="s">
        <v>459</v>
      </c>
      <c r="AW10" s="21" t="s">
        <v>435</v>
      </c>
      <c r="AX10" s="22" t="s">
        <v>440</v>
      </c>
      <c r="AY10" s="20" t="s">
        <v>468</v>
      </c>
      <c r="AZ10" s="18"/>
      <c r="BA10" s="1"/>
      <c r="BB10" s="1"/>
      <c r="BC10" s="18"/>
    </row>
    <row r="11" spans="1:55">
      <c r="A11" s="1"/>
      <c r="B11" s="1"/>
      <c r="C11" s="1"/>
      <c r="D11" s="1"/>
      <c r="E11" s="1"/>
      <c r="F11" s="1"/>
      <c r="G11" s="1" t="s">
        <v>375</v>
      </c>
      <c r="H11" s="1" t="s">
        <v>401</v>
      </c>
      <c r="I11" s="1" t="s">
        <v>485</v>
      </c>
      <c r="J11" s="1" t="s">
        <v>431</v>
      </c>
      <c r="K11" s="1"/>
      <c r="L11" s="1" t="s">
        <v>458</v>
      </c>
      <c r="M11" s="1" t="s">
        <v>486</v>
      </c>
      <c r="N11" s="1" t="s">
        <v>487</v>
      </c>
      <c r="O11" s="1" t="s">
        <v>463</v>
      </c>
      <c r="P11" s="1" t="s">
        <v>434</v>
      </c>
      <c r="Q11" s="1" t="s">
        <v>488</v>
      </c>
      <c r="R11" s="1"/>
      <c r="S11" s="64" t="s">
        <v>458</v>
      </c>
      <c r="T11" s="1" t="s">
        <v>486</v>
      </c>
      <c r="U11" s="1" t="s">
        <v>487</v>
      </c>
      <c r="V11" s="1" t="s">
        <v>463</v>
      </c>
      <c r="W11" s="1" t="s">
        <v>434</v>
      </c>
      <c r="X11" s="1" t="s">
        <v>488</v>
      </c>
      <c r="Y11" s="64" t="s">
        <v>385</v>
      </c>
      <c r="Z11" s="1" t="s">
        <v>449</v>
      </c>
      <c r="AA11" s="1" t="s">
        <v>489</v>
      </c>
      <c r="AB11" s="1" t="s">
        <v>490</v>
      </c>
      <c r="AC11" s="74" t="s">
        <v>442</v>
      </c>
      <c r="AD11" s="1" t="s">
        <v>470</v>
      </c>
      <c r="AE11" s="1" t="s">
        <v>454</v>
      </c>
      <c r="AF11" s="67" t="s">
        <v>462</v>
      </c>
      <c r="AG11" s="65" t="s">
        <v>491</v>
      </c>
      <c r="AH11" s="1"/>
      <c r="AI11" s="1"/>
      <c r="AJ11" s="1"/>
      <c r="AK11" s="1"/>
      <c r="AL11" s="18" t="s">
        <v>492</v>
      </c>
      <c r="AM11" s="18" t="s">
        <v>493</v>
      </c>
      <c r="AN11" s="18" t="s">
        <v>458</v>
      </c>
      <c r="AO11" s="18" t="s">
        <v>428</v>
      </c>
      <c r="AP11" s="18" t="s">
        <v>428</v>
      </c>
      <c r="AQ11" s="18" t="s">
        <v>494</v>
      </c>
      <c r="AR11" s="18"/>
      <c r="AS11" s="18"/>
      <c r="AT11" s="19" t="s">
        <v>492</v>
      </c>
      <c r="AU11" s="19" t="s">
        <v>444</v>
      </c>
      <c r="AV11" s="20" t="s">
        <v>423</v>
      </c>
      <c r="AW11" s="20" t="s">
        <v>422</v>
      </c>
      <c r="AX11" s="22" t="s">
        <v>456</v>
      </c>
      <c r="AY11" s="20" t="s">
        <v>413</v>
      </c>
      <c r="AZ11" s="18"/>
      <c r="BA11" s="1"/>
      <c r="BB11" s="1"/>
      <c r="BC11" s="18"/>
    </row>
    <row r="12" spans="1:55">
      <c r="A12" s="1"/>
      <c r="B12" s="1"/>
      <c r="C12" s="1"/>
      <c r="D12" s="1"/>
      <c r="E12" s="1"/>
      <c r="F12" s="1"/>
      <c r="G12" s="1" t="s">
        <v>389</v>
      </c>
      <c r="H12" s="1" t="s">
        <v>389</v>
      </c>
      <c r="I12" s="1" t="s">
        <v>389</v>
      </c>
      <c r="J12" s="1" t="s">
        <v>389</v>
      </c>
      <c r="K12" s="1"/>
      <c r="L12" s="1" t="s">
        <v>495</v>
      </c>
      <c r="M12" s="1" t="s">
        <v>495</v>
      </c>
      <c r="N12" s="1" t="s">
        <v>496</v>
      </c>
      <c r="O12" s="1" t="s">
        <v>469</v>
      </c>
      <c r="P12" s="1" t="s">
        <v>497</v>
      </c>
      <c r="Q12" s="1" t="s">
        <v>423</v>
      </c>
      <c r="R12" s="1"/>
      <c r="S12" s="64" t="s">
        <v>495</v>
      </c>
      <c r="T12" s="1" t="s">
        <v>495</v>
      </c>
      <c r="U12" s="1" t="s">
        <v>496</v>
      </c>
      <c r="V12" s="1" t="s">
        <v>469</v>
      </c>
      <c r="W12" s="1" t="s">
        <v>497</v>
      </c>
      <c r="X12" s="1" t="s">
        <v>423</v>
      </c>
      <c r="Y12" s="64" t="s">
        <v>455</v>
      </c>
      <c r="Z12" s="1" t="s">
        <v>498</v>
      </c>
      <c r="AA12" s="1" t="s">
        <v>499</v>
      </c>
      <c r="AB12" s="1" t="s">
        <v>500</v>
      </c>
      <c r="AC12" s="64" t="s">
        <v>416</v>
      </c>
      <c r="AD12" s="1" t="s">
        <v>433</v>
      </c>
      <c r="AE12" s="1" t="s">
        <v>439</v>
      </c>
      <c r="AF12" s="67" t="s">
        <v>501</v>
      </c>
      <c r="AG12" s="65" t="s">
        <v>449</v>
      </c>
      <c r="AH12" s="1"/>
      <c r="AI12" s="1"/>
      <c r="AJ12" s="1"/>
      <c r="AK12" s="1"/>
      <c r="AL12" s="18" t="s">
        <v>502</v>
      </c>
      <c r="AM12" s="18" t="s">
        <v>503</v>
      </c>
      <c r="AN12" s="18" t="s">
        <v>64</v>
      </c>
      <c r="AO12" s="18" t="s">
        <v>504</v>
      </c>
      <c r="AP12" s="18" t="s">
        <v>505</v>
      </c>
      <c r="AQ12" s="18" t="s">
        <v>506</v>
      </c>
      <c r="AR12" s="18"/>
      <c r="AS12" s="18"/>
      <c r="AT12" s="21" t="s">
        <v>502</v>
      </c>
      <c r="AU12" s="20" t="s">
        <v>448</v>
      </c>
      <c r="AV12" s="22" t="s">
        <v>405</v>
      </c>
      <c r="AW12" s="22" t="s">
        <v>434</v>
      </c>
      <c r="AX12" s="20" t="s">
        <v>468</v>
      </c>
      <c r="AY12" s="22" t="s">
        <v>454</v>
      </c>
      <c r="AZ12" s="18"/>
      <c r="BA12" s="1"/>
      <c r="BB12" s="1"/>
      <c r="BC12" s="18"/>
    </row>
    <row r="13" spans="1:55">
      <c r="A13" s="1"/>
      <c r="B13" s="1"/>
      <c r="C13" s="1"/>
      <c r="D13" s="1"/>
      <c r="E13" s="1"/>
      <c r="F13" s="1"/>
      <c r="G13" s="1" t="s">
        <v>390</v>
      </c>
      <c r="H13" s="1" t="s">
        <v>390</v>
      </c>
      <c r="I13" s="1" t="s">
        <v>390</v>
      </c>
      <c r="J13" s="1" t="s">
        <v>390</v>
      </c>
      <c r="K13" s="1"/>
      <c r="L13" s="1" t="s">
        <v>502</v>
      </c>
      <c r="M13" s="1" t="s">
        <v>501</v>
      </c>
      <c r="N13" s="1" t="s">
        <v>507</v>
      </c>
      <c r="O13" s="1" t="s">
        <v>486</v>
      </c>
      <c r="P13" s="1" t="s">
        <v>508</v>
      </c>
      <c r="Q13" s="1" t="s">
        <v>509</v>
      </c>
      <c r="R13" s="1"/>
      <c r="S13" s="64" t="s">
        <v>502</v>
      </c>
      <c r="T13" s="1" t="s">
        <v>501</v>
      </c>
      <c r="U13" s="1" t="s">
        <v>507</v>
      </c>
      <c r="V13" s="1" t="s">
        <v>486</v>
      </c>
      <c r="W13" s="1" t="s">
        <v>508</v>
      </c>
      <c r="X13" s="1" t="s">
        <v>509</v>
      </c>
      <c r="Y13" s="64" t="s">
        <v>510</v>
      </c>
      <c r="Z13" s="1" t="s">
        <v>496</v>
      </c>
      <c r="AA13" s="1" t="s">
        <v>511</v>
      </c>
      <c r="AB13" s="1" t="s">
        <v>512</v>
      </c>
      <c r="AC13" s="64" t="s">
        <v>449</v>
      </c>
      <c r="AD13" s="1" t="s">
        <v>513</v>
      </c>
      <c r="AE13" s="1" t="s">
        <v>514</v>
      </c>
      <c r="AF13" s="67" t="s">
        <v>487</v>
      </c>
      <c r="AG13" s="65" t="s">
        <v>515</v>
      </c>
      <c r="AH13" s="1"/>
      <c r="AI13" s="1"/>
      <c r="AJ13" s="1"/>
      <c r="AK13" s="1"/>
      <c r="AL13" s="18" t="s">
        <v>516</v>
      </c>
      <c r="AM13" s="18" t="s">
        <v>517</v>
      </c>
      <c r="AN13" s="18" t="s">
        <v>518</v>
      </c>
      <c r="AO13" s="18" t="s">
        <v>519</v>
      </c>
      <c r="AP13" s="18" t="s">
        <v>434</v>
      </c>
      <c r="AQ13" s="18" t="s">
        <v>520</v>
      </c>
      <c r="AR13" s="18"/>
      <c r="AS13" s="18"/>
      <c r="AT13" s="19" t="s">
        <v>516</v>
      </c>
      <c r="AU13" s="22" t="s">
        <v>463</v>
      </c>
      <c r="AV13" s="22" t="s">
        <v>435</v>
      </c>
      <c r="AW13" s="20" t="s">
        <v>449</v>
      </c>
      <c r="AX13" s="22" t="s">
        <v>413</v>
      </c>
      <c r="AY13" s="20" t="s">
        <v>439</v>
      </c>
      <c r="AZ13" s="18"/>
      <c r="BA13" s="1"/>
      <c r="BB13" s="1"/>
      <c r="BC13" s="18"/>
    </row>
    <row r="14" spans="1:55">
      <c r="A14" s="1"/>
      <c r="B14" s="1"/>
      <c r="C14" s="1"/>
      <c r="D14" s="1"/>
      <c r="E14" s="1"/>
      <c r="F14" s="1"/>
      <c r="G14" s="1" t="s">
        <v>391</v>
      </c>
      <c r="H14" s="1" t="s">
        <v>391</v>
      </c>
      <c r="I14" s="1" t="s">
        <v>391</v>
      </c>
      <c r="J14" s="1" t="s">
        <v>391</v>
      </c>
      <c r="K14" s="1"/>
      <c r="L14" s="1" t="s">
        <v>521</v>
      </c>
      <c r="M14" s="1" t="s">
        <v>496</v>
      </c>
      <c r="N14" s="1" t="s">
        <v>99</v>
      </c>
      <c r="O14" s="1" t="s">
        <v>522</v>
      </c>
      <c r="P14" s="1" t="s">
        <v>441</v>
      </c>
      <c r="Q14" s="1" t="s">
        <v>523</v>
      </c>
      <c r="R14" s="1"/>
      <c r="S14" s="64" t="s">
        <v>521</v>
      </c>
      <c r="T14" s="1" t="s">
        <v>496</v>
      </c>
      <c r="U14" s="77" t="s">
        <v>99</v>
      </c>
      <c r="V14" s="1" t="s">
        <v>522</v>
      </c>
      <c r="W14" s="1" t="s">
        <v>441</v>
      </c>
      <c r="X14" s="1" t="s">
        <v>523</v>
      </c>
      <c r="Y14" s="64" t="s">
        <v>472</v>
      </c>
      <c r="Z14" s="1" t="s">
        <v>524</v>
      </c>
      <c r="AA14" s="1" t="s">
        <v>525</v>
      </c>
      <c r="AB14" s="1" t="s">
        <v>524</v>
      </c>
      <c r="AC14" s="64" t="s">
        <v>511</v>
      </c>
      <c r="AD14" s="1" t="s">
        <v>526</v>
      </c>
      <c r="AE14" s="1" t="s">
        <v>527</v>
      </c>
      <c r="AF14" s="1" t="s">
        <v>528</v>
      </c>
      <c r="AG14" s="65" t="s">
        <v>529</v>
      </c>
      <c r="AH14" s="1"/>
      <c r="AI14" s="1"/>
      <c r="AJ14" s="1"/>
      <c r="AK14" s="1"/>
      <c r="AL14" s="18" t="s">
        <v>530</v>
      </c>
      <c r="AM14" s="18" t="s">
        <v>531</v>
      </c>
      <c r="AN14" s="18" t="s">
        <v>502</v>
      </c>
      <c r="AO14" s="18" t="s">
        <v>532</v>
      </c>
      <c r="AP14" s="18" t="s">
        <v>464</v>
      </c>
      <c r="AQ14" s="18" t="s">
        <v>533</v>
      </c>
      <c r="AR14" s="18"/>
      <c r="AS14" s="18"/>
      <c r="AT14" s="21" t="s">
        <v>530</v>
      </c>
      <c r="AU14" s="20" t="s">
        <v>475</v>
      </c>
      <c r="AV14" s="21" t="s">
        <v>483</v>
      </c>
      <c r="AW14" s="19" t="s">
        <v>441</v>
      </c>
      <c r="AX14" s="22" t="s">
        <v>427</v>
      </c>
      <c r="AY14" s="20" t="s">
        <v>514</v>
      </c>
      <c r="AZ14" s="18"/>
      <c r="BA14" s="1"/>
      <c r="BB14" s="1"/>
      <c r="BC14" s="18"/>
    </row>
    <row r="15" spans="1:55">
      <c r="A15" s="1"/>
      <c r="B15" s="1"/>
      <c r="C15" s="1"/>
      <c r="D15" s="1"/>
      <c r="E15" s="1"/>
      <c r="F15" s="1"/>
      <c r="G15" s="1" t="s">
        <v>392</v>
      </c>
      <c r="H15" s="1" t="s">
        <v>392</v>
      </c>
      <c r="I15" s="1" t="s">
        <v>392</v>
      </c>
      <c r="J15" s="1" t="s">
        <v>392</v>
      </c>
      <c r="K15" s="1"/>
      <c r="L15" s="1" t="s">
        <v>516</v>
      </c>
      <c r="M15" s="1" t="s">
        <v>471</v>
      </c>
      <c r="N15" s="1" t="s">
        <v>518</v>
      </c>
      <c r="O15" s="1" t="s">
        <v>64</v>
      </c>
      <c r="P15" s="1" t="s">
        <v>464</v>
      </c>
      <c r="Q15" s="1" t="s">
        <v>416</v>
      </c>
      <c r="R15" s="1"/>
      <c r="S15" s="64" t="s">
        <v>516</v>
      </c>
      <c r="T15" s="1" t="s">
        <v>471</v>
      </c>
      <c r="U15" s="1" t="s">
        <v>518</v>
      </c>
      <c r="V15" s="1" t="s">
        <v>64</v>
      </c>
      <c r="W15" s="1" t="s">
        <v>464</v>
      </c>
      <c r="X15" s="1" t="s">
        <v>416</v>
      </c>
      <c r="Y15" s="64" t="s">
        <v>428</v>
      </c>
      <c r="Z15" s="73" t="s">
        <v>534</v>
      </c>
      <c r="AA15" s="1" t="s">
        <v>534</v>
      </c>
      <c r="AB15" s="67" t="s">
        <v>99</v>
      </c>
      <c r="AC15" s="64" t="s">
        <v>447</v>
      </c>
      <c r="AD15" s="1" t="s">
        <v>535</v>
      </c>
      <c r="AE15" s="1" t="s">
        <v>442</v>
      </c>
      <c r="AF15" s="1" t="s">
        <v>536</v>
      </c>
      <c r="AG15" s="78" t="s">
        <v>537</v>
      </c>
      <c r="AH15" s="1"/>
      <c r="AI15" s="1"/>
      <c r="AJ15" s="1"/>
      <c r="AK15" s="1"/>
      <c r="AL15" s="18" t="s">
        <v>538</v>
      </c>
      <c r="AM15" s="18" t="s">
        <v>539</v>
      </c>
      <c r="AN15" s="18" t="s">
        <v>117</v>
      </c>
      <c r="AO15" s="18" t="s">
        <v>540</v>
      </c>
      <c r="AP15" s="18" t="s">
        <v>541</v>
      </c>
      <c r="AQ15" s="18" t="s">
        <v>542</v>
      </c>
      <c r="AR15" s="18"/>
      <c r="AS15" s="18"/>
      <c r="AT15" s="19" t="s">
        <v>538</v>
      </c>
      <c r="AU15" s="22" t="s">
        <v>486</v>
      </c>
      <c r="AV15" s="20" t="s">
        <v>422</v>
      </c>
      <c r="AW15" s="22" t="s">
        <v>464</v>
      </c>
      <c r="AX15" s="22" t="s">
        <v>454</v>
      </c>
      <c r="AY15" s="20" t="s">
        <v>527</v>
      </c>
      <c r="AZ15" s="18"/>
      <c r="BA15" s="1"/>
      <c r="BB15" s="1"/>
      <c r="BC15" s="18"/>
    </row>
    <row r="16" spans="1:55">
      <c r="A16" s="1"/>
      <c r="B16" s="1"/>
      <c r="C16" s="1"/>
      <c r="D16" s="1"/>
      <c r="E16" s="1"/>
      <c r="F16" s="1"/>
      <c r="G16" s="1" t="s">
        <v>393</v>
      </c>
      <c r="H16" s="1" t="s">
        <v>393</v>
      </c>
      <c r="I16" s="1" t="s">
        <v>393</v>
      </c>
      <c r="J16" s="1" t="s">
        <v>393</v>
      </c>
      <c r="K16" s="1"/>
      <c r="L16" s="1" t="s">
        <v>543</v>
      </c>
      <c r="M16" s="1" t="s">
        <v>99</v>
      </c>
      <c r="N16" s="1" t="s">
        <v>544</v>
      </c>
      <c r="O16" s="1" t="s">
        <v>545</v>
      </c>
      <c r="P16" s="1" t="s">
        <v>546</v>
      </c>
      <c r="Q16" s="1" t="s">
        <v>497</v>
      </c>
      <c r="R16" s="1"/>
      <c r="S16" s="64" t="s">
        <v>543</v>
      </c>
      <c r="T16" s="1" t="s">
        <v>99</v>
      </c>
      <c r="U16" s="1" t="s">
        <v>544</v>
      </c>
      <c r="V16" s="1" t="s">
        <v>545</v>
      </c>
      <c r="W16" s="66" t="s">
        <v>546</v>
      </c>
      <c r="X16" s="1" t="s">
        <v>497</v>
      </c>
      <c r="Y16" s="64" t="s">
        <v>547</v>
      </c>
      <c r="Z16" s="1" t="s">
        <v>548</v>
      </c>
      <c r="AA16" s="1" t="s">
        <v>549</v>
      </c>
      <c r="AB16" s="1" t="s">
        <v>550</v>
      </c>
      <c r="AC16" s="64" t="s">
        <v>545</v>
      </c>
      <c r="AD16" s="1" t="s">
        <v>447</v>
      </c>
      <c r="AE16" s="1" t="s">
        <v>551</v>
      </c>
      <c r="AF16" s="1" t="s">
        <v>552</v>
      </c>
      <c r="AG16" s="65" t="s">
        <v>535</v>
      </c>
      <c r="AH16" s="1"/>
      <c r="AI16" s="1"/>
      <c r="AJ16" s="1"/>
      <c r="AK16" s="1"/>
      <c r="AL16" s="18" t="s">
        <v>553</v>
      </c>
      <c r="AM16" s="18" t="s">
        <v>554</v>
      </c>
      <c r="AN16" s="18" t="s">
        <v>521</v>
      </c>
      <c r="AO16" s="18" t="s">
        <v>555</v>
      </c>
      <c r="AP16" s="18" t="s">
        <v>546</v>
      </c>
      <c r="AQ16" s="18" t="s">
        <v>556</v>
      </c>
      <c r="AR16" s="18"/>
      <c r="AS16" s="18"/>
      <c r="AT16" s="21" t="s">
        <v>553</v>
      </c>
      <c r="AU16" s="21" t="s">
        <v>458</v>
      </c>
      <c r="AV16" s="20" t="s">
        <v>428</v>
      </c>
      <c r="AW16" s="19" t="s">
        <v>458</v>
      </c>
      <c r="AX16" s="22" t="s">
        <v>439</v>
      </c>
      <c r="AY16" s="20" t="s">
        <v>442</v>
      </c>
      <c r="AZ16" s="18"/>
      <c r="BA16" s="1"/>
      <c r="BB16" s="1"/>
      <c r="BC16" s="18"/>
    </row>
    <row r="17" spans="7:55">
      <c r="G17" s="1" t="s">
        <v>394</v>
      </c>
      <c r="H17" s="1" t="s">
        <v>394</v>
      </c>
      <c r="I17" s="1" t="s">
        <v>394</v>
      </c>
      <c r="J17" s="1" t="s">
        <v>394</v>
      </c>
      <c r="K17" s="1"/>
      <c r="L17" s="1" t="s">
        <v>557</v>
      </c>
      <c r="M17" s="1" t="s">
        <v>543</v>
      </c>
      <c r="N17" s="1" t="s">
        <v>502</v>
      </c>
      <c r="O17" s="1" t="s">
        <v>558</v>
      </c>
      <c r="P17" s="1" t="s">
        <v>559</v>
      </c>
      <c r="Q17" s="1" t="s">
        <v>508</v>
      </c>
      <c r="R17" s="1"/>
      <c r="S17" s="64" t="s">
        <v>557</v>
      </c>
      <c r="T17" s="66" t="s">
        <v>543</v>
      </c>
      <c r="U17" s="1" t="s">
        <v>502</v>
      </c>
      <c r="V17" s="66" t="s">
        <v>558</v>
      </c>
      <c r="W17" s="1" t="s">
        <v>559</v>
      </c>
      <c r="X17" s="1" t="s">
        <v>508</v>
      </c>
      <c r="Y17" s="64" t="s">
        <v>560</v>
      </c>
      <c r="Z17" s="1" t="s">
        <v>518</v>
      </c>
      <c r="AA17" s="1" t="s">
        <v>555</v>
      </c>
      <c r="AB17" s="1" t="s">
        <v>93</v>
      </c>
      <c r="AC17" s="64" t="s">
        <v>524</v>
      </c>
      <c r="AD17" s="1" t="s">
        <v>458</v>
      </c>
      <c r="AE17" s="1" t="s">
        <v>416</v>
      </c>
      <c r="AF17" s="1" t="s">
        <v>561</v>
      </c>
      <c r="AG17" s="65" t="s">
        <v>511</v>
      </c>
      <c r="AH17" s="1"/>
      <c r="AI17" s="1"/>
      <c r="AJ17" s="1"/>
      <c r="AK17" s="1"/>
      <c r="AL17" s="18" t="s">
        <v>562</v>
      </c>
      <c r="AM17" s="18" t="s">
        <v>563</v>
      </c>
      <c r="AN17" s="18" t="s">
        <v>564</v>
      </c>
      <c r="AO17" s="18" t="s">
        <v>502</v>
      </c>
      <c r="AP17" s="18" t="s">
        <v>463</v>
      </c>
      <c r="AQ17" s="18" t="s">
        <v>565</v>
      </c>
      <c r="AR17" s="18"/>
      <c r="AS17" s="18"/>
      <c r="AT17" s="19" t="s">
        <v>562</v>
      </c>
      <c r="AU17" s="20" t="s">
        <v>495</v>
      </c>
      <c r="AV17" s="22" t="s">
        <v>434</v>
      </c>
      <c r="AW17" s="21" t="s">
        <v>64</v>
      </c>
      <c r="AX17" s="22" t="s">
        <v>385</v>
      </c>
      <c r="AY17" s="20" t="s">
        <v>435</v>
      </c>
      <c r="AZ17" s="18"/>
      <c r="BA17" s="1"/>
      <c r="BB17" s="1"/>
      <c r="BC17" s="18"/>
    </row>
    <row r="18" spans="7:55">
      <c r="G18" s="1"/>
      <c r="H18" s="1"/>
      <c r="I18" s="1"/>
      <c r="J18" s="1"/>
      <c r="K18" s="1"/>
      <c r="L18" s="1" t="s">
        <v>566</v>
      </c>
      <c r="M18" s="1" t="s">
        <v>566</v>
      </c>
      <c r="N18" s="1" t="s">
        <v>567</v>
      </c>
      <c r="O18" s="1" t="s">
        <v>532</v>
      </c>
      <c r="P18" s="1" t="s">
        <v>522</v>
      </c>
      <c r="Q18" s="1" t="s">
        <v>568</v>
      </c>
      <c r="R18" s="1"/>
      <c r="S18" s="64" t="s">
        <v>566</v>
      </c>
      <c r="T18" s="1" t="s">
        <v>566</v>
      </c>
      <c r="U18" s="1" t="s">
        <v>567</v>
      </c>
      <c r="V18" s="1" t="s">
        <v>532</v>
      </c>
      <c r="W18" s="1" t="s">
        <v>522</v>
      </c>
      <c r="X18" s="1" t="s">
        <v>568</v>
      </c>
      <c r="Y18" s="64" t="s">
        <v>449</v>
      </c>
      <c r="Z18" s="1" t="s">
        <v>93</v>
      </c>
      <c r="AA18" s="1" t="s">
        <v>93</v>
      </c>
      <c r="AB18" s="1" t="s">
        <v>569</v>
      </c>
      <c r="AC18" s="64" t="s">
        <v>534</v>
      </c>
      <c r="AD18" s="1" t="s">
        <v>471</v>
      </c>
      <c r="AE18" s="1" t="s">
        <v>570</v>
      </c>
      <c r="AF18" s="1" t="s">
        <v>571</v>
      </c>
      <c r="AG18" s="65" t="s">
        <v>507</v>
      </c>
      <c r="AH18" s="1"/>
      <c r="AI18" s="1"/>
      <c r="AJ18" s="1"/>
      <c r="AK18" s="1"/>
      <c r="AL18" s="18" t="s">
        <v>572</v>
      </c>
      <c r="AM18" s="18" t="s">
        <v>573</v>
      </c>
      <c r="AN18" s="18" t="s">
        <v>574</v>
      </c>
      <c r="AO18" s="18" t="s">
        <v>575</v>
      </c>
      <c r="AP18" s="18" t="s">
        <v>486</v>
      </c>
      <c r="AQ18" s="18" t="s">
        <v>576</v>
      </c>
      <c r="AR18" s="18"/>
      <c r="AS18" s="18"/>
      <c r="AT18" s="21" t="s">
        <v>572</v>
      </c>
      <c r="AU18" s="22" t="s">
        <v>501</v>
      </c>
      <c r="AV18" s="20" t="s">
        <v>449</v>
      </c>
      <c r="AW18" s="19" t="s">
        <v>487</v>
      </c>
      <c r="AX18" s="22" t="s">
        <v>514</v>
      </c>
      <c r="AY18" s="20" t="s">
        <v>416</v>
      </c>
      <c r="AZ18" s="18"/>
      <c r="BA18" s="1"/>
      <c r="BB18" s="1"/>
      <c r="BC18" s="18"/>
    </row>
    <row r="19" spans="7:55">
      <c r="G19" s="1" t="s">
        <v>376</v>
      </c>
      <c r="H19" s="1" t="s">
        <v>577</v>
      </c>
      <c r="I19" s="1" t="s">
        <v>419</v>
      </c>
      <c r="J19" s="1"/>
      <c r="K19" s="1"/>
      <c r="L19" s="1" t="s">
        <v>566</v>
      </c>
      <c r="M19" s="1" t="s">
        <v>503</v>
      </c>
      <c r="N19" s="1" t="s">
        <v>117</v>
      </c>
      <c r="O19" s="1" t="s">
        <v>528</v>
      </c>
      <c r="P19" s="1" t="s">
        <v>578</v>
      </c>
      <c r="Q19" s="1" t="s">
        <v>579</v>
      </c>
      <c r="R19" s="1"/>
      <c r="S19" s="64" t="s">
        <v>566</v>
      </c>
      <c r="T19" s="1" t="s">
        <v>503</v>
      </c>
      <c r="U19" s="1" t="s">
        <v>117</v>
      </c>
      <c r="V19" s="1" t="s">
        <v>528</v>
      </c>
      <c r="W19" s="1" t="s">
        <v>578</v>
      </c>
      <c r="X19" s="1" t="s">
        <v>579</v>
      </c>
      <c r="Y19" s="74" t="s">
        <v>464</v>
      </c>
      <c r="Z19" s="1" t="s">
        <v>580</v>
      </c>
      <c r="AA19" s="1" t="s">
        <v>581</v>
      </c>
      <c r="AB19" s="1" t="s">
        <v>117</v>
      </c>
      <c r="AC19" s="64" t="s">
        <v>540</v>
      </c>
      <c r="AD19" s="1" t="s">
        <v>540</v>
      </c>
      <c r="AE19" s="66" t="s">
        <v>582</v>
      </c>
      <c r="AF19" s="76" t="s">
        <v>107</v>
      </c>
      <c r="AG19" s="65" t="s">
        <v>540</v>
      </c>
      <c r="AH19" s="1"/>
      <c r="AI19" s="1"/>
      <c r="AJ19" s="1"/>
      <c r="AK19" s="1"/>
      <c r="AL19" s="18" t="s">
        <v>583</v>
      </c>
      <c r="AM19" s="18" t="s">
        <v>572</v>
      </c>
      <c r="AN19" s="18" t="s">
        <v>107</v>
      </c>
      <c r="AO19" s="18" t="s">
        <v>584</v>
      </c>
      <c r="AP19" s="18" t="s">
        <v>559</v>
      </c>
      <c r="AQ19" s="18" t="s">
        <v>585</v>
      </c>
      <c r="AR19" s="18"/>
      <c r="AS19" s="18"/>
      <c r="AT19" s="19" t="s">
        <v>583</v>
      </c>
      <c r="AU19" s="20" t="s">
        <v>496</v>
      </c>
      <c r="AV19" s="22" t="s">
        <v>457</v>
      </c>
      <c r="AW19" s="19" t="s">
        <v>496</v>
      </c>
      <c r="AX19" s="20" t="s">
        <v>527</v>
      </c>
      <c r="AY19" s="20" t="s">
        <v>480</v>
      </c>
      <c r="AZ19" s="18"/>
      <c r="BA19" s="1"/>
      <c r="BB19" s="1"/>
      <c r="BC19" s="18"/>
    </row>
    <row r="20" spans="7:55">
      <c r="G20" s="1" t="s">
        <v>395</v>
      </c>
      <c r="H20" s="1" t="s">
        <v>395</v>
      </c>
      <c r="I20" s="1" t="s">
        <v>395</v>
      </c>
      <c r="J20" s="1"/>
      <c r="K20" s="1"/>
      <c r="L20" s="1" t="s">
        <v>586</v>
      </c>
      <c r="M20" s="1" t="s">
        <v>587</v>
      </c>
      <c r="N20" s="1" t="s">
        <v>493</v>
      </c>
      <c r="O20" s="1" t="s">
        <v>507</v>
      </c>
      <c r="P20" s="1" t="s">
        <v>64</v>
      </c>
      <c r="Q20" s="1" t="s">
        <v>588</v>
      </c>
      <c r="R20" s="1"/>
      <c r="S20" s="64" t="s">
        <v>586</v>
      </c>
      <c r="T20" s="1" t="s">
        <v>587</v>
      </c>
      <c r="U20" s="1" t="s">
        <v>493</v>
      </c>
      <c r="V20" s="1" t="s">
        <v>507</v>
      </c>
      <c r="W20" s="1" t="s">
        <v>64</v>
      </c>
      <c r="X20" s="1" t="s">
        <v>588</v>
      </c>
      <c r="Y20" s="64" t="s">
        <v>526</v>
      </c>
      <c r="Z20" s="1" t="s">
        <v>589</v>
      </c>
      <c r="AA20" s="1" t="s">
        <v>590</v>
      </c>
      <c r="AB20" s="1" t="s">
        <v>591</v>
      </c>
      <c r="AC20" s="64" t="s">
        <v>502</v>
      </c>
      <c r="AD20" s="1" t="s">
        <v>502</v>
      </c>
      <c r="AE20" s="1" t="s">
        <v>592</v>
      </c>
      <c r="AF20" s="1" t="s">
        <v>593</v>
      </c>
      <c r="AG20" s="65" t="s">
        <v>581</v>
      </c>
      <c r="AH20" s="1"/>
      <c r="AI20" s="1"/>
      <c r="AJ20" s="1"/>
      <c r="AK20" s="1"/>
      <c r="AL20" s="18" t="s">
        <v>594</v>
      </c>
      <c r="AM20" s="18" t="s">
        <v>594</v>
      </c>
      <c r="AN20" s="18" t="s">
        <v>573</v>
      </c>
      <c r="AO20" s="18" t="s">
        <v>543</v>
      </c>
      <c r="AP20" s="18" t="s">
        <v>522</v>
      </c>
      <c r="AQ20" s="18" t="s">
        <v>595</v>
      </c>
      <c r="AR20" s="18"/>
      <c r="AS20" s="18"/>
      <c r="AT20" s="21" t="s">
        <v>594</v>
      </c>
      <c r="AU20" s="19" t="s">
        <v>471</v>
      </c>
      <c r="AV20" s="22" t="s">
        <v>464</v>
      </c>
      <c r="AW20" s="19" t="s">
        <v>507</v>
      </c>
      <c r="AX20" s="20" t="s">
        <v>442</v>
      </c>
      <c r="AY20" s="20" t="s">
        <v>582</v>
      </c>
      <c r="AZ20" s="18"/>
      <c r="BA20" s="1"/>
      <c r="BB20" s="1"/>
      <c r="BC20" s="18"/>
    </row>
    <row r="21" spans="7:55">
      <c r="G21" s="1" t="s">
        <v>396</v>
      </c>
      <c r="H21" s="1" t="s">
        <v>396</v>
      </c>
      <c r="I21" s="1" t="s">
        <v>396</v>
      </c>
      <c r="J21" s="1"/>
      <c r="K21" s="1"/>
      <c r="L21" s="1" t="s">
        <v>596</v>
      </c>
      <c r="M21" s="1" t="s">
        <v>517</v>
      </c>
      <c r="N21" s="1" t="s">
        <v>597</v>
      </c>
      <c r="O21" s="1" t="s">
        <v>540</v>
      </c>
      <c r="P21" s="1" t="s">
        <v>495</v>
      </c>
      <c r="Q21" s="1" t="s">
        <v>537</v>
      </c>
      <c r="R21" s="1"/>
      <c r="S21" s="68" t="s">
        <v>596</v>
      </c>
      <c r="T21" s="1" t="s">
        <v>517</v>
      </c>
      <c r="U21" s="1" t="s">
        <v>597</v>
      </c>
      <c r="V21" s="1" t="s">
        <v>540</v>
      </c>
      <c r="W21" s="1" t="s">
        <v>495</v>
      </c>
      <c r="X21" s="1" t="s">
        <v>537</v>
      </c>
      <c r="Y21" s="64" t="s">
        <v>444</v>
      </c>
      <c r="Z21" s="1" t="s">
        <v>521</v>
      </c>
      <c r="AA21" s="1" t="s">
        <v>590</v>
      </c>
      <c r="AB21" s="1" t="s">
        <v>598</v>
      </c>
      <c r="AC21" s="68" t="s">
        <v>117</v>
      </c>
      <c r="AD21" s="1" t="s">
        <v>599</v>
      </c>
      <c r="AE21" s="1" t="s">
        <v>600</v>
      </c>
      <c r="AF21" s="1" t="s">
        <v>601</v>
      </c>
      <c r="AG21" s="65" t="s">
        <v>602</v>
      </c>
      <c r="AH21" s="1"/>
      <c r="AI21" s="1"/>
      <c r="AJ21" s="1"/>
      <c r="AK21" s="1"/>
      <c r="AL21" s="18" t="s">
        <v>603</v>
      </c>
      <c r="AM21" s="18" t="s">
        <v>604</v>
      </c>
      <c r="AN21" s="18" t="s">
        <v>605</v>
      </c>
      <c r="AO21" s="18" t="s">
        <v>566</v>
      </c>
      <c r="AP21" s="18" t="s">
        <v>479</v>
      </c>
      <c r="AQ21" s="18" t="s">
        <v>606</v>
      </c>
      <c r="AR21" s="18"/>
      <c r="AS21" s="18"/>
      <c r="AT21" s="19" t="s">
        <v>603</v>
      </c>
      <c r="AU21" s="20" t="s">
        <v>99</v>
      </c>
      <c r="AV21" s="20" t="s">
        <v>444</v>
      </c>
      <c r="AW21" s="19" t="s">
        <v>99</v>
      </c>
      <c r="AX21" s="22" t="s">
        <v>551</v>
      </c>
      <c r="AY21" s="20" t="s">
        <v>449</v>
      </c>
      <c r="AZ21" s="18"/>
      <c r="BA21" s="1"/>
      <c r="BB21" s="1"/>
      <c r="BC21" s="18"/>
    </row>
    <row r="22" spans="7:55">
      <c r="G22" s="1" t="s">
        <v>397</v>
      </c>
      <c r="H22" s="1" t="s">
        <v>397</v>
      </c>
      <c r="I22" s="1" t="s">
        <v>397</v>
      </c>
      <c r="J22" s="1"/>
      <c r="K22" s="1"/>
      <c r="L22" s="1" t="s">
        <v>107</v>
      </c>
      <c r="M22" s="1" t="s">
        <v>552</v>
      </c>
      <c r="N22" s="1" t="s">
        <v>607</v>
      </c>
      <c r="O22" s="1" t="s">
        <v>607</v>
      </c>
      <c r="P22" s="1" t="s">
        <v>608</v>
      </c>
      <c r="Q22" s="1" t="s">
        <v>609</v>
      </c>
      <c r="R22" s="1"/>
      <c r="S22" s="64" t="s">
        <v>107</v>
      </c>
      <c r="T22" s="1" t="s">
        <v>552</v>
      </c>
      <c r="U22" s="1" t="s">
        <v>607</v>
      </c>
      <c r="V22" s="66" t="s">
        <v>607</v>
      </c>
      <c r="W22" s="1" t="s">
        <v>608</v>
      </c>
      <c r="X22" s="1" t="s">
        <v>609</v>
      </c>
      <c r="Y22" s="64" t="s">
        <v>537</v>
      </c>
      <c r="Z22" s="1" t="s">
        <v>566</v>
      </c>
      <c r="AA22" s="1" t="s">
        <v>610</v>
      </c>
      <c r="AB22" s="1" t="s">
        <v>602</v>
      </c>
      <c r="AC22" s="64" t="s">
        <v>611</v>
      </c>
      <c r="AD22" s="1" t="s">
        <v>611</v>
      </c>
      <c r="AE22" s="1" t="s">
        <v>612</v>
      </c>
      <c r="AF22" s="1" t="s">
        <v>613</v>
      </c>
      <c r="AG22" s="65" t="s">
        <v>614</v>
      </c>
      <c r="AH22" s="1"/>
      <c r="AI22" s="1"/>
      <c r="AJ22" s="1"/>
      <c r="AK22" s="1"/>
      <c r="AL22" s="18" t="s">
        <v>615</v>
      </c>
      <c r="AM22" s="18" t="s">
        <v>616</v>
      </c>
      <c r="AN22" s="18" t="s">
        <v>617</v>
      </c>
      <c r="AO22" s="18" t="s">
        <v>554</v>
      </c>
      <c r="AP22" s="18" t="s">
        <v>458</v>
      </c>
      <c r="AQ22" s="1"/>
      <c r="AR22" s="1"/>
      <c r="AS22" s="1"/>
      <c r="AT22" s="19" t="s">
        <v>604</v>
      </c>
      <c r="AU22" s="20" t="s">
        <v>481</v>
      </c>
      <c r="AV22" s="22" t="s">
        <v>504</v>
      </c>
      <c r="AW22" s="19" t="s">
        <v>518</v>
      </c>
      <c r="AX22" s="22" t="s">
        <v>435</v>
      </c>
      <c r="AY22" s="20" t="s">
        <v>441</v>
      </c>
      <c r="AZ22" s="1"/>
      <c r="BA22" s="1"/>
      <c r="BB22" s="1"/>
      <c r="BC22" s="1"/>
    </row>
    <row r="23" spans="7:55">
      <c r="G23" s="1" t="s">
        <v>398</v>
      </c>
      <c r="H23" s="1" t="s">
        <v>398</v>
      </c>
      <c r="I23" s="1" t="s">
        <v>398</v>
      </c>
      <c r="J23" s="1"/>
      <c r="K23" s="1"/>
      <c r="L23" s="1" t="s">
        <v>539</v>
      </c>
      <c r="M23" s="1" t="s">
        <v>531</v>
      </c>
      <c r="N23" s="1" t="s">
        <v>607</v>
      </c>
      <c r="O23" s="1" t="s">
        <v>566</v>
      </c>
      <c r="P23" s="1" t="s">
        <v>534</v>
      </c>
      <c r="Q23" s="1" t="s">
        <v>463</v>
      </c>
      <c r="R23" s="1"/>
      <c r="S23" s="64" t="s">
        <v>539</v>
      </c>
      <c r="T23" s="1" t="s">
        <v>531</v>
      </c>
      <c r="U23" s="1" t="s">
        <v>607</v>
      </c>
      <c r="V23" s="1" t="s">
        <v>566</v>
      </c>
      <c r="W23" s="1" t="s">
        <v>534</v>
      </c>
      <c r="X23" s="1" t="s">
        <v>463</v>
      </c>
      <c r="Y23" s="64" t="s">
        <v>618</v>
      </c>
      <c r="Z23" s="75" t="s">
        <v>619</v>
      </c>
      <c r="AA23" s="1" t="s">
        <v>575</v>
      </c>
      <c r="AB23" s="1" t="s">
        <v>620</v>
      </c>
      <c r="AC23" s="64" t="s">
        <v>621</v>
      </c>
      <c r="AD23" s="1" t="s">
        <v>622</v>
      </c>
      <c r="AE23" s="1" t="s">
        <v>623</v>
      </c>
      <c r="AF23" s="67" t="s">
        <v>520</v>
      </c>
      <c r="AG23" s="65" t="s">
        <v>624</v>
      </c>
      <c r="AH23" s="1"/>
      <c r="AI23" s="1"/>
      <c r="AJ23" s="1"/>
      <c r="AK23" s="1"/>
      <c r="AL23" s="18" t="s">
        <v>625</v>
      </c>
      <c r="AM23" s="18" t="s">
        <v>601</v>
      </c>
      <c r="AN23" s="18" t="s">
        <v>626</v>
      </c>
      <c r="AO23" s="18" t="s">
        <v>627</v>
      </c>
      <c r="AP23" s="18" t="s">
        <v>628</v>
      </c>
      <c r="AQ23" s="1"/>
      <c r="AR23" s="1"/>
      <c r="AS23" s="1"/>
      <c r="AT23" s="21" t="s">
        <v>615</v>
      </c>
      <c r="AU23" s="20" t="s">
        <v>493</v>
      </c>
      <c r="AV23" s="22" t="s">
        <v>463</v>
      </c>
      <c r="AW23" s="20" t="s">
        <v>544</v>
      </c>
      <c r="AX23" s="20" t="s">
        <v>416</v>
      </c>
      <c r="AY23" s="20" t="s">
        <v>457</v>
      </c>
      <c r="AZ23" s="1"/>
      <c r="BA23" s="1"/>
      <c r="BB23" s="1"/>
      <c r="BC23" s="1"/>
    </row>
    <row r="24" spans="7:55">
      <c r="G24" s="1" t="s">
        <v>399</v>
      </c>
      <c r="H24" s="1" t="s">
        <v>399</v>
      </c>
      <c r="I24" s="1" t="s">
        <v>399</v>
      </c>
      <c r="J24" s="1"/>
      <c r="K24" s="1"/>
      <c r="L24" s="1" t="s">
        <v>538</v>
      </c>
      <c r="M24" s="1" t="s">
        <v>596</v>
      </c>
      <c r="N24" s="1" t="s">
        <v>629</v>
      </c>
      <c r="O24" s="1" t="s">
        <v>630</v>
      </c>
      <c r="P24" s="1" t="s">
        <v>99</v>
      </c>
      <c r="Q24" s="1" t="s">
        <v>469</v>
      </c>
      <c r="R24" s="1"/>
      <c r="S24" s="64" t="s">
        <v>538</v>
      </c>
      <c r="T24" s="1" t="s">
        <v>596</v>
      </c>
      <c r="U24" s="1" t="s">
        <v>629</v>
      </c>
      <c r="V24" s="1" t="s">
        <v>630</v>
      </c>
      <c r="W24" s="66" t="s">
        <v>99</v>
      </c>
      <c r="X24" s="1" t="s">
        <v>469</v>
      </c>
      <c r="Y24" s="64" t="s">
        <v>499</v>
      </c>
      <c r="Z24" s="1" t="s">
        <v>517</v>
      </c>
      <c r="AA24" s="1" t="s">
        <v>631</v>
      </c>
      <c r="AB24" s="1" t="s">
        <v>632</v>
      </c>
      <c r="AC24" s="64" t="s">
        <v>597</v>
      </c>
      <c r="AD24" s="1" t="s">
        <v>596</v>
      </c>
      <c r="AE24" s="1" t="s">
        <v>502</v>
      </c>
      <c r="AF24" s="1" t="s">
        <v>633</v>
      </c>
      <c r="AG24" s="65" t="s">
        <v>634</v>
      </c>
      <c r="AH24" s="1"/>
      <c r="AI24" s="1"/>
      <c r="AJ24" s="1"/>
      <c r="AK24" s="1"/>
      <c r="AL24" s="18" t="s">
        <v>101</v>
      </c>
      <c r="AM24" s="18" t="s">
        <v>635</v>
      </c>
      <c r="AN24" s="18" t="s">
        <v>636</v>
      </c>
      <c r="AO24" s="18" t="s">
        <v>637</v>
      </c>
      <c r="AP24" s="18" t="s">
        <v>99</v>
      </c>
      <c r="AQ24" s="1"/>
      <c r="AR24" s="1"/>
      <c r="AS24" s="1"/>
      <c r="AT24" s="19" t="s">
        <v>625</v>
      </c>
      <c r="AU24" s="20" t="s">
        <v>543</v>
      </c>
      <c r="AV24" s="20" t="s">
        <v>469</v>
      </c>
      <c r="AW24" s="21" t="s">
        <v>502</v>
      </c>
      <c r="AX24" s="20" t="s">
        <v>470</v>
      </c>
      <c r="AY24" s="20" t="s">
        <v>515</v>
      </c>
      <c r="AZ24" s="1"/>
      <c r="BA24" s="1"/>
      <c r="BB24" s="1"/>
      <c r="BC24" s="1"/>
    </row>
    <row r="25" spans="7:55">
      <c r="G25" s="1" t="s">
        <v>638</v>
      </c>
      <c r="H25" s="1" t="s">
        <v>638</v>
      </c>
      <c r="I25" s="1" t="s">
        <v>638</v>
      </c>
      <c r="J25" s="1"/>
      <c r="K25" s="1"/>
      <c r="L25" s="1" t="s">
        <v>639</v>
      </c>
      <c r="M25" s="1" t="s">
        <v>107</v>
      </c>
      <c r="N25" s="1" t="s">
        <v>630</v>
      </c>
      <c r="O25" s="1" t="s">
        <v>627</v>
      </c>
      <c r="P25" s="1" t="s">
        <v>581</v>
      </c>
      <c r="Q25" s="1" t="s">
        <v>640</v>
      </c>
      <c r="R25" s="1"/>
      <c r="S25" s="64" t="s">
        <v>639</v>
      </c>
      <c r="T25" s="1" t="s">
        <v>107</v>
      </c>
      <c r="U25" s="1" t="s">
        <v>630</v>
      </c>
      <c r="V25" s="1" t="s">
        <v>627</v>
      </c>
      <c r="W25" s="1" t="s">
        <v>581</v>
      </c>
      <c r="X25" s="1" t="s">
        <v>640</v>
      </c>
      <c r="Y25" s="64" t="s">
        <v>641</v>
      </c>
      <c r="Z25" s="1" t="s">
        <v>552</v>
      </c>
      <c r="AA25" s="1" t="s">
        <v>642</v>
      </c>
      <c r="AB25" s="1" t="s">
        <v>643</v>
      </c>
      <c r="AC25" s="64" t="s">
        <v>629</v>
      </c>
      <c r="AD25" s="1" t="s">
        <v>644</v>
      </c>
      <c r="AE25" s="1" t="s">
        <v>117</v>
      </c>
      <c r="AF25" s="1" t="s">
        <v>101</v>
      </c>
      <c r="AG25" s="65" t="s">
        <v>645</v>
      </c>
      <c r="AH25" s="1"/>
      <c r="AI25" s="1"/>
      <c r="AJ25" s="1"/>
      <c r="AK25" s="1"/>
      <c r="AL25" s="18" t="s">
        <v>635</v>
      </c>
      <c r="AM25" s="18" t="s">
        <v>646</v>
      </c>
      <c r="AN25" s="18" t="s">
        <v>647</v>
      </c>
      <c r="AO25" s="18" t="s">
        <v>648</v>
      </c>
      <c r="AP25" s="18" t="s">
        <v>597</v>
      </c>
      <c r="AQ25" s="1"/>
      <c r="AR25" s="1"/>
      <c r="AS25" s="1"/>
      <c r="AT25" s="21" t="s">
        <v>101</v>
      </c>
      <c r="AU25" s="20" t="s">
        <v>566</v>
      </c>
      <c r="AV25" s="22" t="s">
        <v>486</v>
      </c>
      <c r="AW25" s="20" t="s">
        <v>567</v>
      </c>
      <c r="AX25" s="20" t="s">
        <v>570</v>
      </c>
      <c r="AY25" s="20" t="s">
        <v>529</v>
      </c>
      <c r="AZ25" s="1"/>
      <c r="BA25" s="1"/>
      <c r="BB25" s="1"/>
      <c r="BC25" s="1"/>
    </row>
    <row r="26" spans="7:55">
      <c r="G26" s="1"/>
      <c r="H26" s="1"/>
      <c r="I26" s="1"/>
      <c r="J26" s="1"/>
      <c r="K26" s="1"/>
      <c r="L26" s="1" t="s">
        <v>583</v>
      </c>
      <c r="M26" s="1" t="s">
        <v>644</v>
      </c>
      <c r="N26" s="1" t="s">
        <v>539</v>
      </c>
      <c r="O26" s="1" t="s">
        <v>649</v>
      </c>
      <c r="P26" s="1" t="s">
        <v>650</v>
      </c>
      <c r="Q26" s="1" t="s">
        <v>486</v>
      </c>
      <c r="R26" s="1"/>
      <c r="S26" s="64" t="s">
        <v>583</v>
      </c>
      <c r="T26" s="1" t="s">
        <v>644</v>
      </c>
      <c r="U26" s="1" t="s">
        <v>539</v>
      </c>
      <c r="V26" s="1" t="s">
        <v>649</v>
      </c>
      <c r="W26" s="1" t="s">
        <v>650</v>
      </c>
      <c r="X26" s="1" t="s">
        <v>486</v>
      </c>
      <c r="Y26" s="64" t="s">
        <v>458</v>
      </c>
      <c r="Z26" s="75" t="s">
        <v>651</v>
      </c>
      <c r="AA26" s="1" t="s">
        <v>543</v>
      </c>
      <c r="AB26" s="1" t="s">
        <v>596</v>
      </c>
      <c r="AC26" s="64" t="s">
        <v>566</v>
      </c>
      <c r="AD26" s="1" t="s">
        <v>652</v>
      </c>
      <c r="AE26" s="1" t="s">
        <v>650</v>
      </c>
      <c r="AF26" s="1" t="s">
        <v>635</v>
      </c>
      <c r="AG26" s="65" t="s">
        <v>653</v>
      </c>
      <c r="AH26" s="1"/>
      <c r="AI26" s="1"/>
      <c r="AJ26" s="1"/>
      <c r="AK26" s="1"/>
      <c r="AL26" s="18" t="s">
        <v>635</v>
      </c>
      <c r="AM26" s="18" t="s">
        <v>654</v>
      </c>
      <c r="AN26" s="18" t="s">
        <v>646</v>
      </c>
      <c r="AO26" s="18" t="s">
        <v>594</v>
      </c>
      <c r="AP26" s="18" t="s">
        <v>629</v>
      </c>
      <c r="AQ26" s="1"/>
      <c r="AR26" s="1"/>
      <c r="AS26" s="1"/>
      <c r="AT26" s="19" t="s">
        <v>635</v>
      </c>
      <c r="AU26" s="20" t="s">
        <v>503</v>
      </c>
      <c r="AV26" s="20" t="s">
        <v>522</v>
      </c>
      <c r="AW26" s="22" t="s">
        <v>117</v>
      </c>
      <c r="AX26" s="20" t="s">
        <v>480</v>
      </c>
      <c r="AY26" s="20" t="s">
        <v>469</v>
      </c>
      <c r="AZ26" s="1"/>
      <c r="BA26" s="1"/>
      <c r="BB26" s="1"/>
      <c r="BC26" s="1"/>
    </row>
    <row r="27" spans="7:55">
      <c r="G27" s="1"/>
      <c r="H27" s="1"/>
      <c r="I27" s="1"/>
      <c r="J27" s="1"/>
      <c r="K27" s="1"/>
      <c r="L27" s="1" t="s">
        <v>655</v>
      </c>
      <c r="M27" s="1" t="s">
        <v>554</v>
      </c>
      <c r="N27" s="1" t="s">
        <v>644</v>
      </c>
      <c r="O27" s="1" t="s">
        <v>637</v>
      </c>
      <c r="P27" s="1" t="s">
        <v>516</v>
      </c>
      <c r="Q27" s="1" t="s">
        <v>559</v>
      </c>
      <c r="R27" s="1"/>
      <c r="S27" s="64" t="s">
        <v>655</v>
      </c>
      <c r="T27" s="1" t="s">
        <v>554</v>
      </c>
      <c r="U27" s="1" t="s">
        <v>644</v>
      </c>
      <c r="V27" s="1" t="s">
        <v>637</v>
      </c>
      <c r="W27" s="1" t="s">
        <v>516</v>
      </c>
      <c r="X27" s="1" t="s">
        <v>559</v>
      </c>
      <c r="Y27" s="64" t="s">
        <v>545</v>
      </c>
      <c r="Z27" s="1" t="s">
        <v>596</v>
      </c>
      <c r="AA27" s="1" t="s">
        <v>656</v>
      </c>
      <c r="AB27" s="77" t="s">
        <v>657</v>
      </c>
      <c r="AC27" s="64" t="s">
        <v>651</v>
      </c>
      <c r="AD27" s="1" t="s">
        <v>658</v>
      </c>
      <c r="AE27" s="1" t="s">
        <v>611</v>
      </c>
      <c r="AF27" s="1" t="s">
        <v>659</v>
      </c>
      <c r="AG27" s="69" t="s">
        <v>660</v>
      </c>
      <c r="AH27" s="1"/>
      <c r="AI27" s="1"/>
      <c r="AJ27" s="1"/>
      <c r="AK27" s="1"/>
      <c r="AL27" s="18" t="s">
        <v>661</v>
      </c>
      <c r="AM27" s="18" t="s">
        <v>662</v>
      </c>
      <c r="AN27" s="18" t="s">
        <v>663</v>
      </c>
      <c r="AO27" s="18" t="s">
        <v>664</v>
      </c>
      <c r="AP27" s="18" t="s">
        <v>630</v>
      </c>
      <c r="AQ27" s="1"/>
      <c r="AR27" s="1"/>
      <c r="AS27" s="1"/>
      <c r="AT27" s="23" t="s">
        <v>661</v>
      </c>
      <c r="AU27" s="20" t="s">
        <v>587</v>
      </c>
      <c r="AV27" s="20" t="s">
        <v>458</v>
      </c>
      <c r="AW27" s="21" t="s">
        <v>521</v>
      </c>
      <c r="AX27" s="22" t="s">
        <v>491</v>
      </c>
      <c r="AY27" s="20" t="s">
        <v>623</v>
      </c>
      <c r="AZ27" s="1"/>
      <c r="BA27" s="1"/>
      <c r="BB27" s="1"/>
      <c r="BC27" s="1"/>
    </row>
    <row r="28" spans="7:55">
      <c r="G28" s="1"/>
      <c r="H28" s="1"/>
      <c r="I28" s="1"/>
      <c r="J28" s="1"/>
      <c r="K28" s="1"/>
      <c r="L28" s="1" t="s">
        <v>594</v>
      </c>
      <c r="M28" s="1" t="s">
        <v>573</v>
      </c>
      <c r="N28" s="1" t="s">
        <v>573</v>
      </c>
      <c r="O28" s="1" t="s">
        <v>538</v>
      </c>
      <c r="P28" s="1" t="s">
        <v>543</v>
      </c>
      <c r="Q28" s="1" t="s">
        <v>522</v>
      </c>
      <c r="R28" s="1"/>
      <c r="S28" s="64" t="s">
        <v>594</v>
      </c>
      <c r="T28" s="1" t="s">
        <v>573</v>
      </c>
      <c r="U28" s="1" t="s">
        <v>573</v>
      </c>
      <c r="V28" s="1" t="s">
        <v>538</v>
      </c>
      <c r="W28" s="1" t="s">
        <v>543</v>
      </c>
      <c r="X28" s="1" t="s">
        <v>522</v>
      </c>
      <c r="Y28" s="64" t="s">
        <v>524</v>
      </c>
      <c r="Z28" s="1" t="s">
        <v>107</v>
      </c>
      <c r="AA28" s="1" t="s">
        <v>665</v>
      </c>
      <c r="AB28" s="1" t="s">
        <v>666</v>
      </c>
      <c r="AC28" s="68" t="s">
        <v>596</v>
      </c>
      <c r="AD28" s="1" t="s">
        <v>667</v>
      </c>
      <c r="AE28" s="1" t="s">
        <v>597</v>
      </c>
      <c r="AF28" s="1" t="s">
        <v>646</v>
      </c>
      <c r="AG28" s="65" t="s">
        <v>668</v>
      </c>
      <c r="AH28" s="1"/>
      <c r="AI28" s="1"/>
      <c r="AJ28" s="1"/>
      <c r="AK28" s="1"/>
      <c r="AL28" s="18"/>
      <c r="AM28" s="18"/>
      <c r="AN28" s="18" t="s">
        <v>669</v>
      </c>
      <c r="AO28" s="18" t="s">
        <v>601</v>
      </c>
      <c r="AP28" s="18" t="s">
        <v>503</v>
      </c>
      <c r="AQ28" s="1"/>
      <c r="AR28" s="1"/>
      <c r="AS28" s="1"/>
      <c r="AT28" s="23"/>
      <c r="AU28" s="20" t="s">
        <v>517</v>
      </c>
      <c r="AV28" s="22" t="s">
        <v>64</v>
      </c>
      <c r="AW28" s="19" t="s">
        <v>564</v>
      </c>
      <c r="AX28" s="20" t="s">
        <v>582</v>
      </c>
      <c r="AY28" s="20" t="s">
        <v>511</v>
      </c>
      <c r="AZ28" s="1"/>
      <c r="BA28" s="1"/>
      <c r="BB28" s="1"/>
      <c r="BC28" s="1"/>
    </row>
    <row r="29" spans="7:55">
      <c r="G29" s="1"/>
      <c r="H29" s="1"/>
      <c r="I29" s="1"/>
      <c r="J29" s="1"/>
      <c r="K29" s="1"/>
      <c r="L29" s="1" t="s">
        <v>670</v>
      </c>
      <c r="M29" s="1" t="s">
        <v>649</v>
      </c>
      <c r="N29" s="1" t="s">
        <v>637</v>
      </c>
      <c r="O29" s="1" t="s">
        <v>671</v>
      </c>
      <c r="P29" s="1" t="s">
        <v>672</v>
      </c>
      <c r="Q29" s="1" t="s">
        <v>479</v>
      </c>
      <c r="R29" s="1"/>
      <c r="S29" s="64" t="s">
        <v>670</v>
      </c>
      <c r="T29" s="1" t="s">
        <v>649</v>
      </c>
      <c r="U29" s="1" t="s">
        <v>637</v>
      </c>
      <c r="V29" s="1" t="s">
        <v>671</v>
      </c>
      <c r="W29" s="1" t="s">
        <v>672</v>
      </c>
      <c r="X29" s="1" t="s">
        <v>479</v>
      </c>
      <c r="Y29" s="64" t="s">
        <v>549</v>
      </c>
      <c r="Z29" s="1" t="s">
        <v>627</v>
      </c>
      <c r="AA29" s="1" t="s">
        <v>552</v>
      </c>
      <c r="AB29" s="1" t="s">
        <v>627</v>
      </c>
      <c r="AC29" s="64" t="s">
        <v>673</v>
      </c>
      <c r="AD29" s="1" t="s">
        <v>625</v>
      </c>
      <c r="AE29" s="1" t="s">
        <v>665</v>
      </c>
      <c r="AF29" s="1" t="s">
        <v>674</v>
      </c>
      <c r="AG29" s="69" t="s">
        <v>675</v>
      </c>
      <c r="AH29" s="1"/>
      <c r="AI29" s="1"/>
      <c r="AJ29" s="1"/>
      <c r="AK29" s="1"/>
      <c r="AL29" s="18"/>
      <c r="AM29" s="1"/>
      <c r="AN29" s="18" t="s">
        <v>676</v>
      </c>
      <c r="AO29" s="18" t="s">
        <v>677</v>
      </c>
      <c r="AP29" s="18" t="s">
        <v>632</v>
      </c>
      <c r="AQ29" s="1"/>
      <c r="AR29" s="1"/>
      <c r="AS29" s="1"/>
      <c r="AT29" s="1"/>
      <c r="AU29" s="20" t="s">
        <v>552</v>
      </c>
      <c r="AV29" s="20" t="s">
        <v>519</v>
      </c>
      <c r="AW29" s="20" t="s">
        <v>493</v>
      </c>
      <c r="AX29" s="20" t="s">
        <v>449</v>
      </c>
      <c r="AY29" s="20" t="s">
        <v>479</v>
      </c>
      <c r="AZ29" s="1"/>
      <c r="BA29" s="1"/>
      <c r="BB29" s="1"/>
      <c r="BC29" s="1"/>
    </row>
    <row r="30" spans="7:55">
      <c r="G30" s="1"/>
      <c r="H30" s="1"/>
      <c r="I30" s="1"/>
      <c r="J30" s="1"/>
      <c r="K30" s="1"/>
      <c r="L30" s="1" t="s">
        <v>664</v>
      </c>
      <c r="M30" s="1" t="s">
        <v>553</v>
      </c>
      <c r="N30" s="1" t="s">
        <v>538</v>
      </c>
      <c r="O30" s="1" t="s">
        <v>626</v>
      </c>
      <c r="P30" s="1" t="s">
        <v>678</v>
      </c>
      <c r="Q30" s="1" t="s">
        <v>479</v>
      </c>
      <c r="R30" s="1"/>
      <c r="S30" s="64" t="s">
        <v>664</v>
      </c>
      <c r="T30" s="1" t="s">
        <v>553</v>
      </c>
      <c r="U30" s="1" t="s">
        <v>538</v>
      </c>
      <c r="V30" s="1" t="s">
        <v>626</v>
      </c>
      <c r="W30" s="1" t="s">
        <v>678</v>
      </c>
      <c r="X30" s="1" t="s">
        <v>479</v>
      </c>
      <c r="Y30" s="64" t="s">
        <v>679</v>
      </c>
      <c r="Z30" s="1" t="s">
        <v>680</v>
      </c>
      <c r="AA30" s="1" t="s">
        <v>681</v>
      </c>
      <c r="AB30" s="1" t="s">
        <v>682</v>
      </c>
      <c r="AC30" s="68" t="s">
        <v>683</v>
      </c>
      <c r="AD30" s="1" t="s">
        <v>684</v>
      </c>
      <c r="AE30" s="1" t="s">
        <v>645</v>
      </c>
      <c r="AF30" s="1"/>
      <c r="AG30" s="65" t="s">
        <v>566</v>
      </c>
      <c r="AH30" s="1"/>
      <c r="AI30" s="1"/>
      <c r="AJ30" s="1"/>
      <c r="AK30" s="1"/>
      <c r="AL30" s="18"/>
      <c r="AM30" s="1"/>
      <c r="AN30" s="18" t="s">
        <v>685</v>
      </c>
      <c r="AO30" s="18" t="s">
        <v>686</v>
      </c>
      <c r="AP30" s="18" t="s">
        <v>571</v>
      </c>
      <c r="AQ30" s="1"/>
      <c r="AR30" s="1"/>
      <c r="AS30" s="1"/>
      <c r="AT30" s="1"/>
      <c r="AU30" s="20" t="s">
        <v>531</v>
      </c>
      <c r="AV30" s="20" t="s">
        <v>545</v>
      </c>
      <c r="AW30" s="22" t="s">
        <v>597</v>
      </c>
      <c r="AX30" s="22" t="s">
        <v>441</v>
      </c>
      <c r="AY30" s="20" t="s">
        <v>487</v>
      </c>
      <c r="AZ30" s="1"/>
      <c r="BA30" s="1"/>
      <c r="BB30" s="1"/>
      <c r="BC30" s="1"/>
    </row>
    <row r="31" spans="7:55">
      <c r="G31" s="1"/>
      <c r="H31" s="1"/>
      <c r="I31" s="1"/>
      <c r="J31" s="1"/>
      <c r="K31" s="1"/>
      <c r="L31" s="1" t="s">
        <v>617</v>
      </c>
      <c r="M31" s="1" t="s">
        <v>658</v>
      </c>
      <c r="N31" s="1" t="s">
        <v>605</v>
      </c>
      <c r="O31" s="1" t="s">
        <v>601</v>
      </c>
      <c r="P31" s="1" t="s">
        <v>571</v>
      </c>
      <c r="Q31" s="1" t="s">
        <v>487</v>
      </c>
      <c r="R31" s="1"/>
      <c r="S31" s="64" t="s">
        <v>617</v>
      </c>
      <c r="T31" s="1" t="s">
        <v>658</v>
      </c>
      <c r="U31" s="1" t="s">
        <v>605</v>
      </c>
      <c r="V31" s="1" t="s">
        <v>601</v>
      </c>
      <c r="W31" s="1" t="s">
        <v>571</v>
      </c>
      <c r="X31" s="1" t="s">
        <v>487</v>
      </c>
      <c r="Y31" s="64" t="s">
        <v>650</v>
      </c>
      <c r="Z31" s="1" t="s">
        <v>649</v>
      </c>
      <c r="AA31" s="1" t="s">
        <v>59</v>
      </c>
      <c r="AB31" s="1" t="s">
        <v>683</v>
      </c>
      <c r="AC31" s="64" t="s">
        <v>594</v>
      </c>
      <c r="AD31" s="1" t="s">
        <v>659</v>
      </c>
      <c r="AE31" s="1" t="s">
        <v>687</v>
      </c>
      <c r="AF31" s="1"/>
      <c r="AG31" s="65"/>
      <c r="AH31" s="1"/>
      <c r="AI31" s="1"/>
      <c r="AJ31" s="1"/>
      <c r="AK31" s="1"/>
      <c r="AL31" s="18"/>
      <c r="AM31" s="1"/>
      <c r="AN31" s="18" t="s">
        <v>688</v>
      </c>
      <c r="AO31" s="18" t="s">
        <v>689</v>
      </c>
      <c r="AP31" s="18" t="s">
        <v>690</v>
      </c>
      <c r="AQ31" s="1"/>
      <c r="AR31" s="1"/>
      <c r="AS31" s="1"/>
      <c r="AT31" s="1"/>
      <c r="AU31" s="20" t="s">
        <v>596</v>
      </c>
      <c r="AV31" s="22" t="s">
        <v>487</v>
      </c>
      <c r="AW31" s="20" t="s">
        <v>607</v>
      </c>
      <c r="AX31" s="22" t="s">
        <v>457</v>
      </c>
      <c r="AY31" s="20" t="s">
        <v>528</v>
      </c>
      <c r="AZ31" s="1"/>
      <c r="BA31" s="1"/>
      <c r="BB31" s="1"/>
      <c r="BC31" s="1"/>
    </row>
    <row r="32" spans="7:55">
      <c r="G32" s="1"/>
      <c r="H32" s="1"/>
      <c r="I32" s="1"/>
      <c r="J32" s="1"/>
      <c r="K32" s="1"/>
      <c r="L32" s="1" t="s">
        <v>601</v>
      </c>
      <c r="M32" s="1" t="s">
        <v>604</v>
      </c>
      <c r="N32" s="1" t="s">
        <v>484</v>
      </c>
      <c r="O32" s="1" t="s">
        <v>686</v>
      </c>
      <c r="P32" s="1" t="s">
        <v>691</v>
      </c>
      <c r="Q32" s="1" t="s">
        <v>471</v>
      </c>
      <c r="R32" s="1"/>
      <c r="S32" s="64" t="s">
        <v>601</v>
      </c>
      <c r="T32" s="1" t="s">
        <v>604</v>
      </c>
      <c r="U32" s="1" t="s">
        <v>484</v>
      </c>
      <c r="V32" s="1" t="s">
        <v>686</v>
      </c>
      <c r="W32" s="1" t="s">
        <v>691</v>
      </c>
      <c r="X32" s="1" t="s">
        <v>471</v>
      </c>
      <c r="Y32" s="64" t="s">
        <v>611</v>
      </c>
      <c r="Z32" s="1" t="s">
        <v>683</v>
      </c>
      <c r="AA32" s="1" t="s">
        <v>586</v>
      </c>
      <c r="AB32" s="1" t="s">
        <v>692</v>
      </c>
      <c r="AC32" s="64" t="s">
        <v>693</v>
      </c>
      <c r="AD32" s="77" t="s">
        <v>647</v>
      </c>
      <c r="AE32" s="1" t="s">
        <v>694</v>
      </c>
      <c r="AF32" s="1"/>
      <c r="AG32" s="65"/>
      <c r="AH32" s="1"/>
      <c r="AI32" s="1"/>
      <c r="AJ32" s="1"/>
      <c r="AK32" s="1"/>
      <c r="AL32" s="18"/>
      <c r="AM32" s="1"/>
      <c r="AN32" s="1"/>
      <c r="AO32" s="18" t="s">
        <v>695</v>
      </c>
      <c r="AP32" s="18" t="s">
        <v>696</v>
      </c>
      <c r="AQ32" s="1"/>
      <c r="AR32" s="1"/>
      <c r="AS32" s="1"/>
      <c r="AT32" s="1"/>
      <c r="AU32" s="20" t="s">
        <v>107</v>
      </c>
      <c r="AV32" s="22" t="s">
        <v>558</v>
      </c>
      <c r="AW32" s="20" t="s">
        <v>629</v>
      </c>
      <c r="AX32" s="20" t="s">
        <v>515</v>
      </c>
      <c r="AY32" s="20" t="s">
        <v>507</v>
      </c>
      <c r="AZ32" s="1"/>
      <c r="BA32" s="1"/>
      <c r="BB32" s="1"/>
      <c r="BC32" s="1"/>
    </row>
    <row r="33" spans="12:51">
      <c r="L33" s="1" t="s">
        <v>697</v>
      </c>
      <c r="M33" s="1" t="s">
        <v>697</v>
      </c>
      <c r="N33" s="1" t="s">
        <v>698</v>
      </c>
      <c r="O33" s="1" t="s">
        <v>101</v>
      </c>
      <c r="P33" s="1" t="s">
        <v>59</v>
      </c>
      <c r="Q33" s="1" t="s">
        <v>502</v>
      </c>
      <c r="R33" s="1"/>
      <c r="S33" s="68" t="s">
        <v>697</v>
      </c>
      <c r="T33" s="1" t="s">
        <v>697</v>
      </c>
      <c r="U33" s="1" t="s">
        <v>698</v>
      </c>
      <c r="V33" s="1" t="s">
        <v>101</v>
      </c>
      <c r="W33" s="67" t="s">
        <v>59</v>
      </c>
      <c r="X33" s="1" t="s">
        <v>502</v>
      </c>
      <c r="Y33" s="64" t="s">
        <v>699</v>
      </c>
      <c r="Z33" s="1" t="s">
        <v>700</v>
      </c>
      <c r="AA33" s="1" t="s">
        <v>596</v>
      </c>
      <c r="AB33" s="1" t="s">
        <v>701</v>
      </c>
      <c r="AC33" s="64" t="s">
        <v>601</v>
      </c>
      <c r="AD33" s="1" t="s">
        <v>663</v>
      </c>
      <c r="AE33" s="1" t="s">
        <v>702</v>
      </c>
      <c r="AF33" s="1"/>
      <c r="AG33" s="65"/>
      <c r="AH33" s="1"/>
      <c r="AI33" s="1"/>
      <c r="AJ33" s="1"/>
      <c r="AK33" s="1"/>
      <c r="AL33" s="1"/>
      <c r="AM33" s="1"/>
      <c r="AN33" s="1"/>
      <c r="AO33" s="18" t="s">
        <v>703</v>
      </c>
      <c r="AP33" s="18" t="s">
        <v>704</v>
      </c>
      <c r="AQ33" s="1"/>
      <c r="AR33" s="1"/>
      <c r="AS33" s="1"/>
      <c r="AT33" s="1"/>
      <c r="AU33" s="20" t="s">
        <v>539</v>
      </c>
      <c r="AV33" s="20" t="s">
        <v>496</v>
      </c>
      <c r="AW33" s="22" t="s">
        <v>630</v>
      </c>
      <c r="AX33" s="20" t="s">
        <v>529</v>
      </c>
      <c r="AY33" s="20" t="s">
        <v>540</v>
      </c>
    </row>
    <row r="34" spans="12:51">
      <c r="L34" s="1" t="s">
        <v>686</v>
      </c>
      <c r="M34" s="1" t="s">
        <v>659</v>
      </c>
      <c r="N34" s="1" t="s">
        <v>617</v>
      </c>
      <c r="O34" s="1" t="s">
        <v>635</v>
      </c>
      <c r="P34" s="1" t="s">
        <v>596</v>
      </c>
      <c r="Q34" s="1" t="s">
        <v>650</v>
      </c>
      <c r="R34" s="1"/>
      <c r="S34" s="64" t="s">
        <v>686</v>
      </c>
      <c r="T34" s="1" t="s">
        <v>659</v>
      </c>
      <c r="U34" s="1" t="s">
        <v>617</v>
      </c>
      <c r="V34" s="1" t="s">
        <v>635</v>
      </c>
      <c r="W34" s="1" t="s">
        <v>596</v>
      </c>
      <c r="X34" s="1" t="s">
        <v>650</v>
      </c>
      <c r="Y34" s="74" t="s">
        <v>59</v>
      </c>
      <c r="Z34" s="1" t="s">
        <v>605</v>
      </c>
      <c r="AA34" s="1" t="s">
        <v>705</v>
      </c>
      <c r="AB34" s="1" t="s">
        <v>664</v>
      </c>
      <c r="AC34" s="64" t="s">
        <v>706</v>
      </c>
      <c r="AD34" s="1"/>
      <c r="AE34" s="1" t="s">
        <v>707</v>
      </c>
      <c r="AF34" s="1"/>
      <c r="AG34" s="65"/>
      <c r="AH34" s="1"/>
      <c r="AI34" s="1"/>
      <c r="AJ34" s="1"/>
      <c r="AK34" s="1"/>
      <c r="AL34" s="1"/>
      <c r="AM34" s="1"/>
      <c r="AN34" s="1"/>
      <c r="AO34" s="18" t="s">
        <v>708</v>
      </c>
      <c r="AP34" s="18" t="s">
        <v>709</v>
      </c>
      <c r="AQ34" s="1"/>
      <c r="AR34" s="1"/>
      <c r="AS34" s="1"/>
      <c r="AT34" s="1"/>
      <c r="AU34" s="20" t="s">
        <v>644</v>
      </c>
      <c r="AV34" s="20" t="s">
        <v>532</v>
      </c>
      <c r="AW34" s="21" t="s">
        <v>574</v>
      </c>
      <c r="AX34" s="20" t="s">
        <v>592</v>
      </c>
      <c r="AY34" s="20" t="s">
        <v>581</v>
      </c>
    </row>
    <row r="35" spans="12:51">
      <c r="L35" s="1" t="s">
        <v>710</v>
      </c>
      <c r="M35" s="1" t="s">
        <v>711</v>
      </c>
      <c r="N35" s="1" t="s">
        <v>712</v>
      </c>
      <c r="O35" s="1" t="s">
        <v>708</v>
      </c>
      <c r="P35" s="1" t="s">
        <v>554</v>
      </c>
      <c r="Q35" s="1" t="s">
        <v>611</v>
      </c>
      <c r="R35" s="1"/>
      <c r="S35" s="64" t="s">
        <v>710</v>
      </c>
      <c r="T35" s="1" t="s">
        <v>711</v>
      </c>
      <c r="U35" s="1" t="s">
        <v>712</v>
      </c>
      <c r="V35" s="1" t="s">
        <v>708</v>
      </c>
      <c r="W35" s="1" t="s">
        <v>554</v>
      </c>
      <c r="X35" s="1" t="s">
        <v>611</v>
      </c>
      <c r="Y35" s="64" t="s">
        <v>596</v>
      </c>
      <c r="Z35" s="1" t="s">
        <v>461</v>
      </c>
      <c r="AA35" s="1" t="s">
        <v>713</v>
      </c>
      <c r="AB35" s="1" t="s">
        <v>714</v>
      </c>
      <c r="AC35" s="68" t="s">
        <v>710</v>
      </c>
      <c r="AD35" s="1"/>
      <c r="AE35" s="1" t="s">
        <v>663</v>
      </c>
      <c r="AF35" s="1"/>
      <c r="AG35" s="65"/>
      <c r="AH35" s="1"/>
      <c r="AI35" s="1"/>
      <c r="AJ35" s="1"/>
      <c r="AK35" s="1"/>
      <c r="AL35" s="1"/>
      <c r="AM35" s="1"/>
      <c r="AN35" s="1"/>
      <c r="AO35" s="18" t="s">
        <v>542</v>
      </c>
      <c r="AP35" s="18" t="s">
        <v>614</v>
      </c>
      <c r="AQ35" s="1"/>
      <c r="AR35" s="1"/>
      <c r="AS35" s="1"/>
      <c r="AT35" s="1"/>
      <c r="AU35" s="20" t="s">
        <v>554</v>
      </c>
      <c r="AV35" s="22" t="s">
        <v>528</v>
      </c>
      <c r="AW35" s="19" t="s">
        <v>107</v>
      </c>
      <c r="AX35" s="22" t="s">
        <v>537</v>
      </c>
      <c r="AY35" s="20" t="s">
        <v>502</v>
      </c>
    </row>
    <row r="36" spans="12:51">
      <c r="L36" s="1" t="s">
        <v>101</v>
      </c>
      <c r="M36" s="1" t="s">
        <v>646</v>
      </c>
      <c r="N36" s="1" t="s">
        <v>636</v>
      </c>
      <c r="O36" s="1" t="s">
        <v>715</v>
      </c>
      <c r="P36" s="1" t="s">
        <v>680</v>
      </c>
      <c r="Q36" s="1" t="s">
        <v>543</v>
      </c>
      <c r="R36" s="1"/>
      <c r="S36" s="64" t="s">
        <v>101</v>
      </c>
      <c r="T36" s="1" t="s">
        <v>646</v>
      </c>
      <c r="U36" s="1" t="s">
        <v>636</v>
      </c>
      <c r="V36" s="1" t="s">
        <v>715</v>
      </c>
      <c r="W36" s="1" t="s">
        <v>680</v>
      </c>
      <c r="X36" s="66" t="s">
        <v>543</v>
      </c>
      <c r="Y36" s="64" t="s">
        <v>627</v>
      </c>
      <c r="Z36" s="1" t="s">
        <v>716</v>
      </c>
      <c r="AA36" s="1" t="s">
        <v>717</v>
      </c>
      <c r="AB36" s="1" t="s">
        <v>601</v>
      </c>
      <c r="AC36" s="64" t="s">
        <v>663</v>
      </c>
      <c r="AD36" s="1"/>
      <c r="AE36" s="1" t="s">
        <v>718</v>
      </c>
      <c r="AF36" s="1"/>
      <c r="AG36" s="65"/>
      <c r="AH36" s="1"/>
      <c r="AI36" s="1"/>
      <c r="AJ36" s="1"/>
      <c r="AK36" s="1"/>
      <c r="AL36" s="1"/>
      <c r="AM36" s="1"/>
      <c r="AN36" s="1"/>
      <c r="AO36" s="1"/>
      <c r="AP36" s="18" t="s">
        <v>671</v>
      </c>
      <c r="AQ36" s="1"/>
      <c r="AR36" s="1"/>
      <c r="AS36" s="1"/>
      <c r="AT36" s="1"/>
      <c r="AU36" s="20" t="s">
        <v>563</v>
      </c>
      <c r="AV36" s="20" t="s">
        <v>507</v>
      </c>
      <c r="AW36" s="20" t="s">
        <v>539</v>
      </c>
      <c r="AX36" s="22" t="s">
        <v>600</v>
      </c>
      <c r="AY36" s="20" t="s">
        <v>611</v>
      </c>
    </row>
    <row r="37" spans="12:51">
      <c r="L37" s="1" t="s">
        <v>719</v>
      </c>
      <c r="M37" s="1" t="s">
        <v>654</v>
      </c>
      <c r="N37" s="1" t="s">
        <v>720</v>
      </c>
      <c r="O37" s="1"/>
      <c r="P37" s="1" t="s">
        <v>573</v>
      </c>
      <c r="Q37" s="1" t="s">
        <v>597</v>
      </c>
      <c r="R37" s="1"/>
      <c r="S37" s="64" t="s">
        <v>719</v>
      </c>
      <c r="T37" s="1" t="s">
        <v>654</v>
      </c>
      <c r="U37" s="1" t="s">
        <v>720</v>
      </c>
      <c r="V37" s="1"/>
      <c r="W37" s="1" t="s">
        <v>573</v>
      </c>
      <c r="X37" s="1" t="s">
        <v>597</v>
      </c>
      <c r="Y37" s="64" t="s">
        <v>721</v>
      </c>
      <c r="Z37" s="1" t="s">
        <v>722</v>
      </c>
      <c r="AA37" s="1" t="s">
        <v>573</v>
      </c>
      <c r="AB37" s="1" t="s">
        <v>686</v>
      </c>
      <c r="AC37" s="64" t="s">
        <v>653</v>
      </c>
      <c r="AD37" s="1"/>
      <c r="AE37" s="1" t="s">
        <v>660</v>
      </c>
      <c r="AF37" s="1"/>
      <c r="AG37" s="65"/>
      <c r="AH37" s="1"/>
      <c r="AI37" s="1"/>
      <c r="AJ37" s="1"/>
      <c r="AK37" s="1"/>
      <c r="AL37" s="1"/>
      <c r="AM37" s="1"/>
      <c r="AN37" s="1"/>
      <c r="AO37" s="1"/>
      <c r="AP37" s="18" t="s">
        <v>723</v>
      </c>
      <c r="AQ37" s="1"/>
      <c r="AR37" s="1"/>
      <c r="AS37" s="1"/>
      <c r="AT37" s="1"/>
      <c r="AU37" s="20" t="s">
        <v>573</v>
      </c>
      <c r="AV37" s="20" t="s">
        <v>99</v>
      </c>
      <c r="AW37" s="22" t="s">
        <v>644</v>
      </c>
      <c r="AX37" s="22" t="s">
        <v>535</v>
      </c>
      <c r="AY37" s="20" t="s">
        <v>597</v>
      </c>
    </row>
    <row r="38" spans="12:51">
      <c r="L38" s="1" t="s">
        <v>724</v>
      </c>
      <c r="M38" s="1" t="s">
        <v>663</v>
      </c>
      <c r="N38" s="1" t="s">
        <v>635</v>
      </c>
      <c r="O38" s="1"/>
      <c r="P38" s="1" t="s">
        <v>725</v>
      </c>
      <c r="Q38" s="1" t="s">
        <v>629</v>
      </c>
      <c r="R38" s="1"/>
      <c r="S38" s="64" t="s">
        <v>724</v>
      </c>
      <c r="T38" s="1" t="s">
        <v>663</v>
      </c>
      <c r="U38" s="1" t="s">
        <v>635</v>
      </c>
      <c r="V38" s="1"/>
      <c r="W38" s="1" t="s">
        <v>725</v>
      </c>
      <c r="X38" s="1" t="s">
        <v>629</v>
      </c>
      <c r="Y38" s="64" t="s">
        <v>726</v>
      </c>
      <c r="Z38" s="75" t="s">
        <v>101</v>
      </c>
      <c r="AA38" s="1" t="s">
        <v>727</v>
      </c>
      <c r="AB38" s="1" t="s">
        <v>728</v>
      </c>
      <c r="AC38" s="64" t="s">
        <v>729</v>
      </c>
      <c r="AD38" s="1"/>
      <c r="AE38" s="1" t="s">
        <v>729</v>
      </c>
      <c r="AF38" s="1"/>
      <c r="AG38" s="65"/>
      <c r="AH38" s="1"/>
      <c r="AI38" s="1"/>
      <c r="AJ38" s="1"/>
      <c r="AK38" s="1"/>
      <c r="AL38" s="1"/>
      <c r="AM38" s="1"/>
      <c r="AN38" s="1"/>
      <c r="AO38" s="1"/>
      <c r="AP38" s="18" t="s">
        <v>730</v>
      </c>
      <c r="AQ38" s="1"/>
      <c r="AR38" s="1"/>
      <c r="AS38" s="1"/>
      <c r="AT38" s="1"/>
      <c r="AU38" s="20" t="s">
        <v>649</v>
      </c>
      <c r="AV38" s="19" t="s">
        <v>540</v>
      </c>
      <c r="AW38" s="19" t="s">
        <v>573</v>
      </c>
      <c r="AX38" s="22" t="s">
        <v>612</v>
      </c>
      <c r="AY38" s="20" t="s">
        <v>665</v>
      </c>
    </row>
    <row r="39" spans="12:51">
      <c r="L39" s="1" t="s">
        <v>635</v>
      </c>
      <c r="M39" s="1" t="s">
        <v>708</v>
      </c>
      <c r="N39" s="1" t="s">
        <v>711</v>
      </c>
      <c r="O39" s="1"/>
      <c r="P39" s="1" t="s">
        <v>731</v>
      </c>
      <c r="Q39" s="1" t="s">
        <v>629</v>
      </c>
      <c r="R39" s="1"/>
      <c r="S39" s="64" t="s">
        <v>635</v>
      </c>
      <c r="T39" s="1" t="s">
        <v>708</v>
      </c>
      <c r="U39" s="1" t="s">
        <v>711</v>
      </c>
      <c r="V39" s="1"/>
      <c r="W39" s="1" t="s">
        <v>731</v>
      </c>
      <c r="X39" s="1" t="s">
        <v>629</v>
      </c>
      <c r="Y39" s="64" t="s">
        <v>732</v>
      </c>
      <c r="Z39" s="1" t="s">
        <v>724</v>
      </c>
      <c r="AA39" s="1" t="s">
        <v>553</v>
      </c>
      <c r="AB39" s="1" t="s">
        <v>101</v>
      </c>
      <c r="AC39" s="64" t="s">
        <v>688</v>
      </c>
      <c r="AD39" s="1"/>
      <c r="AE39" s="1" t="s">
        <v>685</v>
      </c>
      <c r="AF39" s="1"/>
      <c r="AG39" s="65"/>
      <c r="AH39" s="1"/>
      <c r="AI39" s="1"/>
      <c r="AJ39" s="1"/>
      <c r="AK39" s="1"/>
      <c r="AL39" s="1"/>
      <c r="AM39" s="1"/>
      <c r="AN39" s="1"/>
      <c r="AO39" s="1"/>
      <c r="AP39" s="18" t="s">
        <v>593</v>
      </c>
      <c r="AQ39" s="1"/>
      <c r="AR39" s="1"/>
      <c r="AS39" s="1"/>
      <c r="AT39" s="1"/>
      <c r="AU39" s="20" t="s">
        <v>553</v>
      </c>
      <c r="AV39" s="21" t="s">
        <v>555</v>
      </c>
      <c r="AW39" s="22" t="s">
        <v>637</v>
      </c>
      <c r="AX39" s="22" t="s">
        <v>469</v>
      </c>
      <c r="AY39" s="20" t="s">
        <v>536</v>
      </c>
    </row>
    <row r="40" spans="12:51">
      <c r="L40" s="1" t="s">
        <v>659</v>
      </c>
      <c r="M40" s="1" t="s">
        <v>662</v>
      </c>
      <c r="N40" s="1" t="s">
        <v>647</v>
      </c>
      <c r="O40" s="1"/>
      <c r="P40" s="1" t="s">
        <v>721</v>
      </c>
      <c r="Q40" s="1" t="s">
        <v>733</v>
      </c>
      <c r="R40" s="1"/>
      <c r="S40" s="64" t="s">
        <v>659</v>
      </c>
      <c r="T40" s="1" t="s">
        <v>662</v>
      </c>
      <c r="U40" s="66" t="s">
        <v>647</v>
      </c>
      <c r="V40" s="1"/>
      <c r="W40" s="1" t="s">
        <v>721</v>
      </c>
      <c r="X40" s="1" t="s">
        <v>733</v>
      </c>
      <c r="Y40" s="64" t="s">
        <v>732</v>
      </c>
      <c r="Z40" s="1" t="s">
        <v>654</v>
      </c>
      <c r="AA40" s="1" t="s">
        <v>683</v>
      </c>
      <c r="AB40" s="1" t="s">
        <v>734</v>
      </c>
      <c r="AC40" s="70" t="s">
        <v>735</v>
      </c>
      <c r="AD40" s="71"/>
      <c r="AE40" s="1" t="s">
        <v>97</v>
      </c>
      <c r="AF40" s="71"/>
      <c r="AG40" s="72"/>
      <c r="AH40" s="1"/>
      <c r="AI40" s="1"/>
      <c r="AJ40" s="1"/>
      <c r="AK40" s="1"/>
      <c r="AL40" s="1"/>
      <c r="AM40" s="1"/>
      <c r="AN40" s="1"/>
      <c r="AO40" s="1"/>
      <c r="AP40" s="18" t="s">
        <v>736</v>
      </c>
      <c r="AQ40" s="1"/>
      <c r="AR40" s="1"/>
      <c r="AS40" s="1"/>
      <c r="AT40" s="1"/>
      <c r="AU40" s="20" t="s">
        <v>572</v>
      </c>
      <c r="AV40" s="22" t="s">
        <v>518</v>
      </c>
      <c r="AW40" s="20" t="s">
        <v>538</v>
      </c>
      <c r="AX40" s="22" t="s">
        <v>623</v>
      </c>
      <c r="AY40" s="20" t="s">
        <v>552</v>
      </c>
    </row>
    <row r="41" spans="12:51">
      <c r="L41" s="1" t="s">
        <v>737</v>
      </c>
      <c r="M41" s="1" t="s">
        <v>595</v>
      </c>
      <c r="N41" s="1" t="s">
        <v>676</v>
      </c>
      <c r="O41" s="1"/>
      <c r="P41" s="1" t="s">
        <v>605</v>
      </c>
      <c r="Q41" s="1" t="s">
        <v>738</v>
      </c>
      <c r="R41" s="1"/>
      <c r="S41" s="64" t="s">
        <v>737</v>
      </c>
      <c r="T41" s="1" t="s">
        <v>595</v>
      </c>
      <c r="U41" s="1" t="s">
        <v>676</v>
      </c>
      <c r="V41" s="1"/>
      <c r="W41" s="1" t="s">
        <v>605</v>
      </c>
      <c r="X41" s="1" t="s">
        <v>738</v>
      </c>
      <c r="Y41" s="64" t="s">
        <v>664</v>
      </c>
      <c r="Z41" s="1" t="s">
        <v>739</v>
      </c>
      <c r="AA41" s="1" t="s">
        <v>700</v>
      </c>
      <c r="AB41" s="65" t="s">
        <v>740</v>
      </c>
      <c r="AC41" s="1"/>
      <c r="AD41" s="1"/>
      <c r="AE41" s="1"/>
      <c r="AF41" s="1"/>
      <c r="AG41" s="1"/>
      <c r="AH41" s="1"/>
      <c r="AI41" s="1"/>
      <c r="AJ41" s="1"/>
      <c r="AK41" s="1"/>
      <c r="AL41" s="1"/>
      <c r="AM41" s="1"/>
      <c r="AN41" s="1"/>
      <c r="AO41" s="1"/>
      <c r="AP41" s="18" t="s">
        <v>741</v>
      </c>
      <c r="AQ41" s="1"/>
      <c r="AR41" s="1"/>
      <c r="AS41" s="1"/>
      <c r="AT41" s="1"/>
      <c r="AU41" s="20" t="s">
        <v>658</v>
      </c>
      <c r="AV41" s="20" t="s">
        <v>544</v>
      </c>
      <c r="AW41" s="22" t="s">
        <v>605</v>
      </c>
      <c r="AX41" s="20" t="s">
        <v>511</v>
      </c>
      <c r="AY41" s="20" t="s">
        <v>571</v>
      </c>
    </row>
    <row r="42" spans="12:51">
      <c r="L42" s="1" t="s">
        <v>654</v>
      </c>
      <c r="M42" s="1" t="s">
        <v>742</v>
      </c>
      <c r="N42" s="1" t="s">
        <v>688</v>
      </c>
      <c r="O42" s="1"/>
      <c r="P42" s="1" t="s">
        <v>461</v>
      </c>
      <c r="Q42" s="1" t="s">
        <v>709</v>
      </c>
      <c r="R42" s="1"/>
      <c r="S42" s="64" t="s">
        <v>654</v>
      </c>
      <c r="T42" s="1" t="s">
        <v>742</v>
      </c>
      <c r="U42" s="1" t="s">
        <v>688</v>
      </c>
      <c r="V42" s="1"/>
      <c r="W42" s="1" t="s">
        <v>461</v>
      </c>
      <c r="X42" s="1" t="s">
        <v>709</v>
      </c>
      <c r="Y42" s="64" t="s">
        <v>617</v>
      </c>
      <c r="Z42" s="1"/>
      <c r="AA42" s="1" t="s">
        <v>605</v>
      </c>
      <c r="AB42" s="65" t="s">
        <v>743</v>
      </c>
      <c r="AC42" s="1"/>
      <c r="AD42" s="1"/>
      <c r="AE42" s="1"/>
      <c r="AF42" s="1"/>
      <c r="AG42" s="1"/>
      <c r="AH42" s="1"/>
      <c r="AI42" s="1"/>
      <c r="AJ42" s="1"/>
      <c r="AK42" s="1"/>
      <c r="AL42" s="1"/>
      <c r="AM42" s="1"/>
      <c r="AN42" s="1"/>
      <c r="AO42" s="1"/>
      <c r="AP42" s="18" t="s">
        <v>686</v>
      </c>
      <c r="AQ42" s="1"/>
      <c r="AR42" s="1"/>
      <c r="AS42" s="1"/>
      <c r="AT42" s="1"/>
      <c r="AU42" s="20" t="s">
        <v>594</v>
      </c>
      <c r="AV42" s="19" t="s">
        <v>502</v>
      </c>
      <c r="AW42" s="20" t="s">
        <v>484</v>
      </c>
      <c r="AX42" s="22" t="s">
        <v>479</v>
      </c>
      <c r="AY42" s="20" t="s">
        <v>107</v>
      </c>
    </row>
    <row r="43" spans="12:51">
      <c r="L43" s="1" t="s">
        <v>744</v>
      </c>
      <c r="M43" s="1"/>
      <c r="N43" s="1" t="s">
        <v>735</v>
      </c>
      <c r="O43" s="1"/>
      <c r="P43" s="1" t="s">
        <v>732</v>
      </c>
      <c r="Q43" s="1" t="s">
        <v>614</v>
      </c>
      <c r="R43" s="1"/>
      <c r="S43" s="64" t="s">
        <v>744</v>
      </c>
      <c r="T43" s="1"/>
      <c r="U43" s="1" t="s">
        <v>735</v>
      </c>
      <c r="V43" s="1"/>
      <c r="W43" s="1" t="s">
        <v>732</v>
      </c>
      <c r="X43" s="1" t="s">
        <v>614</v>
      </c>
      <c r="Y43" s="64" t="s">
        <v>745</v>
      </c>
      <c r="Z43" s="1"/>
      <c r="AA43" s="1" t="s">
        <v>671</v>
      </c>
      <c r="AB43" s="65" t="s">
        <v>746</v>
      </c>
      <c r="AC43" s="1"/>
      <c r="AD43" s="1"/>
      <c r="AE43" s="1"/>
      <c r="AF43" s="1"/>
      <c r="AG43" s="1"/>
      <c r="AH43" s="1"/>
      <c r="AI43" s="1"/>
      <c r="AJ43" s="1"/>
      <c r="AK43" s="1"/>
      <c r="AL43" s="1"/>
      <c r="AM43" s="1"/>
      <c r="AN43" s="1"/>
      <c r="AO43" s="1"/>
      <c r="AP43" s="18" t="s">
        <v>747</v>
      </c>
      <c r="AQ43" s="1"/>
      <c r="AR43" s="1"/>
      <c r="AS43" s="1"/>
      <c r="AT43" s="1"/>
      <c r="AU43" s="20" t="s">
        <v>616</v>
      </c>
      <c r="AV43" s="20" t="s">
        <v>567</v>
      </c>
      <c r="AW43" s="22" t="s">
        <v>698</v>
      </c>
      <c r="AX43" s="22" t="s">
        <v>462</v>
      </c>
      <c r="AY43" s="20" t="s">
        <v>614</v>
      </c>
    </row>
    <row r="44" spans="12:51">
      <c r="L44" s="1" t="s">
        <v>663</v>
      </c>
      <c r="M44" s="1"/>
      <c r="N44" s="1"/>
      <c r="O44" s="1"/>
      <c r="P44" s="1" t="s">
        <v>655</v>
      </c>
      <c r="Q44" s="1" t="s">
        <v>748</v>
      </c>
      <c r="R44" s="1"/>
      <c r="S44" s="68" t="s">
        <v>663</v>
      </c>
      <c r="T44" s="1"/>
      <c r="U44" s="1"/>
      <c r="V44" s="1"/>
      <c r="W44" s="1" t="s">
        <v>655</v>
      </c>
      <c r="X44" s="1" t="s">
        <v>748</v>
      </c>
      <c r="Y44" s="64" t="s">
        <v>686</v>
      </c>
      <c r="Z44" s="1"/>
      <c r="AA44" s="1" t="s">
        <v>749</v>
      </c>
      <c r="AB44" s="65" t="s">
        <v>737</v>
      </c>
      <c r="AC44" s="1"/>
      <c r="AD44" s="1"/>
      <c r="AE44" s="1"/>
      <c r="AF44" s="1"/>
      <c r="AG44" s="1"/>
      <c r="AH44" s="1"/>
      <c r="AI44" s="1"/>
      <c r="AJ44" s="1"/>
      <c r="AK44" s="1"/>
      <c r="AL44" s="1"/>
      <c r="AM44" s="1"/>
      <c r="AN44" s="1"/>
      <c r="AO44" s="1"/>
      <c r="AP44" s="18" t="s">
        <v>663</v>
      </c>
      <c r="AQ44" s="1"/>
      <c r="AR44" s="1"/>
      <c r="AS44" s="1"/>
      <c r="AT44" s="1"/>
      <c r="AU44" s="20" t="s">
        <v>601</v>
      </c>
      <c r="AV44" s="22" t="s">
        <v>117</v>
      </c>
      <c r="AW44" s="20" t="s">
        <v>617</v>
      </c>
      <c r="AX44" s="22" t="s">
        <v>501</v>
      </c>
      <c r="AY44" s="20" t="s">
        <v>624</v>
      </c>
    </row>
    <row r="45" spans="12:51">
      <c r="L45" s="1" t="s">
        <v>750</v>
      </c>
      <c r="M45" s="1"/>
      <c r="N45" s="1"/>
      <c r="O45" s="1"/>
      <c r="P45" s="1" t="s">
        <v>670</v>
      </c>
      <c r="Q45" s="1" t="s">
        <v>748</v>
      </c>
      <c r="R45" s="1"/>
      <c r="S45" s="64" t="s">
        <v>750</v>
      </c>
      <c r="T45" s="1"/>
      <c r="U45" s="1"/>
      <c r="V45" s="1"/>
      <c r="W45" s="1" t="s">
        <v>670</v>
      </c>
      <c r="X45" s="1" t="s">
        <v>748</v>
      </c>
      <c r="Y45" s="64" t="s">
        <v>751</v>
      </c>
      <c r="Z45" s="1"/>
      <c r="AA45" s="1" t="s">
        <v>752</v>
      </c>
      <c r="AB45" s="65" t="s">
        <v>647</v>
      </c>
      <c r="AC45" s="1"/>
      <c r="AD45" s="1"/>
      <c r="AE45" s="1"/>
      <c r="AF45" s="1"/>
      <c r="AG45" s="1"/>
      <c r="AH45" s="1"/>
      <c r="AI45" s="1"/>
      <c r="AJ45" s="1"/>
      <c r="AK45" s="1"/>
      <c r="AL45" s="1"/>
      <c r="AM45" s="1"/>
      <c r="AN45" s="1"/>
      <c r="AO45" s="1"/>
      <c r="AP45" s="18" t="s">
        <v>585</v>
      </c>
      <c r="AQ45" s="1"/>
      <c r="AR45" s="1"/>
      <c r="AS45" s="1"/>
      <c r="AT45" s="1"/>
      <c r="AU45" s="20" t="s">
        <v>697</v>
      </c>
      <c r="AV45" s="21" t="s">
        <v>575</v>
      </c>
      <c r="AW45" s="22" t="s">
        <v>712</v>
      </c>
      <c r="AX45" s="20" t="s">
        <v>487</v>
      </c>
      <c r="AY45" s="20" t="s">
        <v>634</v>
      </c>
    </row>
    <row r="46" spans="12:51">
      <c r="L46" s="1"/>
      <c r="M46" s="1"/>
      <c r="N46" s="1"/>
      <c r="O46" s="1"/>
      <c r="P46" s="1" t="s">
        <v>664</v>
      </c>
      <c r="Q46" s="1" t="s">
        <v>671</v>
      </c>
      <c r="R46" s="1"/>
      <c r="S46" s="64"/>
      <c r="T46" s="1"/>
      <c r="U46" s="1"/>
      <c r="V46" s="1"/>
      <c r="W46" s="1" t="s">
        <v>664</v>
      </c>
      <c r="X46" s="1" t="s">
        <v>671</v>
      </c>
      <c r="Y46" s="64" t="s">
        <v>720</v>
      </c>
      <c r="Z46" s="1"/>
      <c r="AA46" s="1" t="s">
        <v>732</v>
      </c>
      <c r="AB46" s="65" t="s">
        <v>753</v>
      </c>
      <c r="AC46" s="1"/>
      <c r="AD46" s="1"/>
      <c r="AE46" s="1"/>
      <c r="AF46" s="1"/>
      <c r="AG46" s="1"/>
      <c r="AH46" s="1"/>
      <c r="AI46" s="1"/>
      <c r="AJ46" s="1"/>
      <c r="AK46" s="1"/>
      <c r="AL46" s="1"/>
      <c r="AM46" s="1"/>
      <c r="AN46" s="1"/>
      <c r="AO46" s="1"/>
      <c r="AP46" s="18" t="s">
        <v>735</v>
      </c>
      <c r="AQ46" s="1"/>
      <c r="AR46" s="1"/>
      <c r="AS46" s="1"/>
      <c r="AT46" s="1"/>
      <c r="AU46" s="20" t="s">
        <v>635</v>
      </c>
      <c r="AV46" s="19" t="s">
        <v>584</v>
      </c>
      <c r="AW46" s="19" t="s">
        <v>626</v>
      </c>
      <c r="AX46" s="20" t="s">
        <v>528</v>
      </c>
      <c r="AY46" s="20" t="s">
        <v>645</v>
      </c>
    </row>
    <row r="47" spans="12:51">
      <c r="L47" s="1"/>
      <c r="M47" s="1"/>
      <c r="N47" s="1"/>
      <c r="O47" s="1"/>
      <c r="P47" s="1" t="s">
        <v>617</v>
      </c>
      <c r="Q47" s="1" t="s">
        <v>732</v>
      </c>
      <c r="R47" s="1"/>
      <c r="S47" s="64"/>
      <c r="T47" s="1"/>
      <c r="U47" s="1"/>
      <c r="V47" s="1"/>
      <c r="W47" s="1" t="s">
        <v>617</v>
      </c>
      <c r="X47" s="1" t="s">
        <v>732</v>
      </c>
      <c r="Y47" s="64" t="s">
        <v>754</v>
      </c>
      <c r="Z47" s="1"/>
      <c r="AA47" s="1" t="s">
        <v>701</v>
      </c>
      <c r="AB47" s="65" t="s">
        <v>654</v>
      </c>
      <c r="AC47" s="1"/>
      <c r="AD47" s="1"/>
      <c r="AE47" s="1"/>
      <c r="AF47" s="1"/>
      <c r="AG47" s="1"/>
      <c r="AH47" s="1"/>
      <c r="AI47" s="1"/>
      <c r="AJ47" s="1"/>
      <c r="AK47" s="1"/>
      <c r="AL47" s="1"/>
      <c r="AM47" s="1"/>
      <c r="AN47" s="1"/>
      <c r="AO47" s="1"/>
      <c r="AP47" s="18"/>
      <c r="AQ47" s="1"/>
      <c r="AR47" s="1"/>
      <c r="AS47" s="1"/>
      <c r="AT47" s="1"/>
      <c r="AU47" s="20" t="s">
        <v>659</v>
      </c>
      <c r="AV47" s="20" t="s">
        <v>493</v>
      </c>
      <c r="AW47" s="20" t="s">
        <v>636</v>
      </c>
      <c r="AX47" s="22" t="s">
        <v>507</v>
      </c>
      <c r="AY47" s="20" t="s">
        <v>593</v>
      </c>
    </row>
    <row r="48" spans="12:51">
      <c r="L48" s="1"/>
      <c r="M48" s="1"/>
      <c r="N48" s="1"/>
      <c r="O48" s="1"/>
      <c r="P48" s="1" t="s">
        <v>617</v>
      </c>
      <c r="Q48" s="1" t="s">
        <v>655</v>
      </c>
      <c r="R48" s="1"/>
      <c r="S48" s="64"/>
      <c r="T48" s="1"/>
      <c r="U48" s="1"/>
      <c r="V48" s="1"/>
      <c r="W48" s="1" t="s">
        <v>617</v>
      </c>
      <c r="X48" s="1" t="s">
        <v>655</v>
      </c>
      <c r="Y48" s="64" t="s">
        <v>755</v>
      </c>
      <c r="Z48" s="1"/>
      <c r="AA48" s="1" t="s">
        <v>624</v>
      </c>
      <c r="AB48" s="65" t="s">
        <v>756</v>
      </c>
      <c r="AC48" s="1"/>
      <c r="AD48" s="1"/>
      <c r="AE48" s="1"/>
      <c r="AF48" s="1"/>
      <c r="AG48" s="1"/>
      <c r="AH48" s="1"/>
      <c r="AI48" s="1"/>
      <c r="AJ48" s="1"/>
      <c r="AK48" s="1"/>
      <c r="AL48" s="1"/>
      <c r="AM48" s="1"/>
      <c r="AN48" s="1"/>
      <c r="AO48" s="1"/>
      <c r="AP48" s="1"/>
      <c r="AQ48" s="1"/>
      <c r="AR48" s="1"/>
      <c r="AS48" s="1"/>
      <c r="AT48" s="1"/>
      <c r="AU48" s="20" t="s">
        <v>711</v>
      </c>
      <c r="AV48" s="21" t="s">
        <v>543</v>
      </c>
      <c r="AW48" s="22" t="s">
        <v>720</v>
      </c>
      <c r="AX48" s="20" t="s">
        <v>540</v>
      </c>
      <c r="AY48" s="20" t="s">
        <v>601</v>
      </c>
    </row>
    <row r="49" spans="16:51">
      <c r="P49" s="1" t="s">
        <v>757</v>
      </c>
      <c r="Q49" s="1" t="s">
        <v>758</v>
      </c>
      <c r="R49" s="1"/>
      <c r="S49" s="64"/>
      <c r="T49" s="1"/>
      <c r="U49" s="1"/>
      <c r="V49" s="1"/>
      <c r="W49" s="1" t="s">
        <v>757</v>
      </c>
      <c r="X49" s="1" t="s">
        <v>758</v>
      </c>
      <c r="Y49" s="64" t="s">
        <v>759</v>
      </c>
      <c r="Z49" s="1"/>
      <c r="AA49" s="1" t="s">
        <v>698</v>
      </c>
      <c r="AB49" s="65" t="s">
        <v>653</v>
      </c>
      <c r="AC49" s="1"/>
      <c r="AD49" s="1"/>
      <c r="AE49" s="1"/>
      <c r="AF49" s="1"/>
      <c r="AG49" s="1"/>
      <c r="AH49" s="1"/>
      <c r="AI49" s="1"/>
      <c r="AJ49" s="1"/>
      <c r="AK49" s="1"/>
      <c r="AL49" s="1"/>
      <c r="AM49" s="1"/>
      <c r="AN49" s="1"/>
      <c r="AO49" s="1"/>
      <c r="AP49" s="1"/>
      <c r="AQ49" s="1"/>
      <c r="AR49" s="1"/>
      <c r="AS49" s="1"/>
      <c r="AT49" s="1"/>
      <c r="AU49" s="20" t="s">
        <v>646</v>
      </c>
      <c r="AV49" s="22" t="s">
        <v>597</v>
      </c>
      <c r="AW49" s="20" t="s">
        <v>635</v>
      </c>
      <c r="AX49" s="22" t="s">
        <v>581</v>
      </c>
      <c r="AY49" s="20" t="s">
        <v>613</v>
      </c>
    </row>
    <row r="50" spans="16:51">
      <c r="P50" s="1" t="s">
        <v>626</v>
      </c>
      <c r="Q50" s="1" t="s">
        <v>616</v>
      </c>
      <c r="R50" s="1"/>
      <c r="S50" s="64"/>
      <c r="T50" s="1"/>
      <c r="U50" s="1"/>
      <c r="V50" s="1"/>
      <c r="W50" s="1" t="s">
        <v>626</v>
      </c>
      <c r="X50" s="1" t="s">
        <v>616</v>
      </c>
      <c r="Y50" s="64" t="s">
        <v>595</v>
      </c>
      <c r="Z50" s="1"/>
      <c r="AA50" s="1" t="s">
        <v>664</v>
      </c>
      <c r="AB50" s="65" t="s">
        <v>760</v>
      </c>
      <c r="AC50" s="1"/>
      <c r="AD50" s="1"/>
      <c r="AE50" s="1"/>
      <c r="AF50" s="1"/>
      <c r="AG50" s="1"/>
      <c r="AH50" s="1"/>
      <c r="AI50" s="1"/>
      <c r="AJ50" s="1"/>
      <c r="AK50" s="1"/>
      <c r="AL50" s="1"/>
      <c r="AM50" s="1"/>
      <c r="AN50" s="1"/>
      <c r="AO50" s="1"/>
      <c r="AP50" s="1"/>
      <c r="AQ50" s="1"/>
      <c r="AR50" s="1"/>
      <c r="AS50" s="1"/>
      <c r="AT50" s="1"/>
      <c r="AU50" s="20" t="s">
        <v>654</v>
      </c>
      <c r="AV50" s="20" t="s">
        <v>607</v>
      </c>
      <c r="AW50" s="22" t="s">
        <v>711</v>
      </c>
      <c r="AX50" s="22" t="s">
        <v>502</v>
      </c>
      <c r="AY50" s="20" t="s">
        <v>520</v>
      </c>
    </row>
    <row r="51" spans="16:51">
      <c r="P51" s="1" t="s">
        <v>761</v>
      </c>
      <c r="Q51" s="1" t="s">
        <v>762</v>
      </c>
      <c r="R51" s="1"/>
      <c r="S51" s="64"/>
      <c r="T51" s="1"/>
      <c r="U51" s="1"/>
      <c r="V51" s="1"/>
      <c r="W51" s="1" t="s">
        <v>761</v>
      </c>
      <c r="X51" s="1" t="s">
        <v>762</v>
      </c>
      <c r="Y51" s="64" t="s">
        <v>739</v>
      </c>
      <c r="Z51" s="1"/>
      <c r="AA51" s="1" t="s">
        <v>617</v>
      </c>
      <c r="AB51" s="65" t="s">
        <v>763</v>
      </c>
      <c r="AC51" s="1"/>
      <c r="AD51" s="1"/>
      <c r="AE51" s="1"/>
      <c r="AF51" s="1"/>
      <c r="AG51" s="1"/>
      <c r="AH51" s="1"/>
      <c r="AI51" s="1"/>
      <c r="AJ51" s="1"/>
      <c r="AK51" s="1"/>
      <c r="AL51" s="1"/>
      <c r="AM51" s="1"/>
      <c r="AN51" s="1"/>
      <c r="AO51" s="1"/>
      <c r="AP51" s="1"/>
      <c r="AQ51" s="1"/>
      <c r="AR51" s="1"/>
      <c r="AS51" s="1"/>
      <c r="AT51" s="1"/>
      <c r="AU51" s="20" t="s">
        <v>663</v>
      </c>
      <c r="AV51" s="20" t="s">
        <v>629</v>
      </c>
      <c r="AW51" s="20" t="s">
        <v>647</v>
      </c>
      <c r="AX51" s="22" t="s">
        <v>650</v>
      </c>
      <c r="AY51" s="20" t="s">
        <v>694</v>
      </c>
    </row>
    <row r="52" spans="16:51">
      <c r="P52" s="1" t="s">
        <v>722</v>
      </c>
      <c r="Q52" s="1" t="s">
        <v>747</v>
      </c>
      <c r="R52" s="1"/>
      <c r="S52" s="64"/>
      <c r="T52" s="1"/>
      <c r="U52" s="1"/>
      <c r="V52" s="1"/>
      <c r="W52" s="1" t="s">
        <v>722</v>
      </c>
      <c r="X52" s="1" t="s">
        <v>747</v>
      </c>
      <c r="Y52" s="64" t="s">
        <v>675</v>
      </c>
      <c r="Z52" s="1"/>
      <c r="AA52" s="1" t="s">
        <v>764</v>
      </c>
      <c r="AB52" s="65" t="s">
        <v>765</v>
      </c>
      <c r="AC52" s="1"/>
      <c r="AD52" s="1"/>
      <c r="AE52" s="1"/>
      <c r="AF52" s="1"/>
      <c r="AG52" s="1"/>
      <c r="AH52" s="1"/>
      <c r="AI52" s="1"/>
      <c r="AJ52" s="1"/>
      <c r="AK52" s="1"/>
      <c r="AL52" s="1"/>
      <c r="AM52" s="1"/>
      <c r="AN52" s="1"/>
      <c r="AO52" s="1"/>
      <c r="AP52" s="1"/>
      <c r="AQ52" s="1"/>
      <c r="AR52" s="1"/>
      <c r="AS52" s="1"/>
      <c r="AT52" s="1"/>
      <c r="AU52" s="20" t="s">
        <v>708</v>
      </c>
      <c r="AV52" s="19" t="s">
        <v>566</v>
      </c>
      <c r="AW52" s="21" t="s">
        <v>646</v>
      </c>
      <c r="AX52" s="20" t="s">
        <v>602</v>
      </c>
      <c r="AY52" s="20" t="s">
        <v>702</v>
      </c>
    </row>
    <row r="53" spans="16:51">
      <c r="P53" s="1" t="s">
        <v>616</v>
      </c>
      <c r="Q53" s="1" t="s">
        <v>766</v>
      </c>
      <c r="R53" s="1"/>
      <c r="S53" s="64"/>
      <c r="T53" s="1"/>
      <c r="U53" s="1"/>
      <c r="V53" s="1"/>
      <c r="W53" s="1" t="s">
        <v>616</v>
      </c>
      <c r="X53" s="1" t="s">
        <v>766</v>
      </c>
      <c r="Y53" s="64"/>
      <c r="Z53" s="1"/>
      <c r="AA53" s="1" t="s">
        <v>626</v>
      </c>
      <c r="AB53" s="65" t="s">
        <v>565</v>
      </c>
      <c r="AC53" s="1"/>
      <c r="AD53" s="1"/>
      <c r="AE53" s="1"/>
      <c r="AF53" s="1"/>
      <c r="AG53" s="1"/>
      <c r="AH53" s="1"/>
      <c r="AI53" s="1"/>
      <c r="AJ53" s="1"/>
      <c r="AK53" s="1"/>
      <c r="AL53" s="1"/>
      <c r="AM53" s="1"/>
      <c r="AN53" s="1"/>
      <c r="AO53" s="1"/>
      <c r="AP53" s="1"/>
      <c r="AQ53" s="1"/>
      <c r="AR53" s="1"/>
      <c r="AS53" s="1"/>
      <c r="AT53" s="1"/>
      <c r="AU53" s="20" t="s">
        <v>662</v>
      </c>
      <c r="AV53" s="20" t="s">
        <v>630</v>
      </c>
      <c r="AW53" s="19" t="s">
        <v>663</v>
      </c>
      <c r="AX53" s="22" t="s">
        <v>611</v>
      </c>
      <c r="AY53" s="20" t="s">
        <v>101</v>
      </c>
    </row>
    <row r="54" spans="16:51">
      <c r="P54" s="1" t="s">
        <v>745</v>
      </c>
      <c r="Q54" s="1" t="s">
        <v>647</v>
      </c>
      <c r="R54" s="1"/>
      <c r="S54" s="64"/>
      <c r="T54" s="1"/>
      <c r="U54" s="1"/>
      <c r="V54" s="1"/>
      <c r="W54" s="1" t="s">
        <v>745</v>
      </c>
      <c r="X54" s="66" t="s">
        <v>647</v>
      </c>
      <c r="Y54" s="64"/>
      <c r="Z54" s="1"/>
      <c r="AA54" s="1" t="s">
        <v>767</v>
      </c>
      <c r="AB54" s="65" t="s">
        <v>768</v>
      </c>
      <c r="AC54" s="1"/>
      <c r="AD54" s="1"/>
      <c r="AE54" s="1"/>
      <c r="AF54" s="1"/>
      <c r="AG54" s="1"/>
      <c r="AH54" s="1"/>
      <c r="AI54" s="1"/>
      <c r="AJ54" s="1"/>
      <c r="AK54" s="1"/>
      <c r="AL54" s="1"/>
      <c r="AM54" s="1"/>
      <c r="AN54" s="1"/>
      <c r="AO54" s="1"/>
      <c r="AP54" s="1"/>
      <c r="AQ54" s="1"/>
      <c r="AR54" s="1"/>
      <c r="AS54" s="1"/>
      <c r="AT54" s="1"/>
      <c r="AU54" s="20" t="s">
        <v>595</v>
      </c>
      <c r="AV54" s="20" t="s">
        <v>539</v>
      </c>
      <c r="AW54" s="21" t="s">
        <v>669</v>
      </c>
      <c r="AX54" s="20" t="s">
        <v>597</v>
      </c>
      <c r="AY54" s="20" t="s">
        <v>635</v>
      </c>
    </row>
    <row r="55" spans="16:51">
      <c r="P55" s="1" t="s">
        <v>769</v>
      </c>
      <c r="Q55" s="1" t="s">
        <v>755</v>
      </c>
      <c r="R55" s="1"/>
      <c r="S55" s="64"/>
      <c r="T55" s="1"/>
      <c r="U55" s="1"/>
      <c r="V55" s="1"/>
      <c r="W55" s="1" t="s">
        <v>769</v>
      </c>
      <c r="X55" s="1" t="s">
        <v>755</v>
      </c>
      <c r="Y55" s="64"/>
      <c r="Z55" s="1"/>
      <c r="AA55" s="1" t="s">
        <v>636</v>
      </c>
      <c r="AB55" s="65" t="s">
        <v>662</v>
      </c>
      <c r="AC55" s="1"/>
      <c r="AD55" s="1"/>
      <c r="AE55" s="1"/>
      <c r="AF55" s="1"/>
      <c r="AG55" s="1"/>
      <c r="AH55" s="1"/>
      <c r="AI55" s="1"/>
      <c r="AJ55" s="1"/>
      <c r="AK55" s="1"/>
      <c r="AL55" s="1"/>
      <c r="AM55" s="1"/>
      <c r="AN55" s="1"/>
      <c r="AO55" s="1"/>
      <c r="AP55" s="1"/>
      <c r="AQ55" s="1"/>
      <c r="AR55" s="1"/>
      <c r="AS55" s="1"/>
      <c r="AT55" s="1"/>
      <c r="AU55" s="20" t="s">
        <v>742</v>
      </c>
      <c r="AV55" s="22" t="s">
        <v>644</v>
      </c>
      <c r="AW55" s="22" t="s">
        <v>676</v>
      </c>
      <c r="AX55" s="22" t="s">
        <v>665</v>
      </c>
      <c r="AY55" s="20" t="s">
        <v>646</v>
      </c>
    </row>
    <row r="56" spans="16:51">
      <c r="P56" s="1" t="s">
        <v>520</v>
      </c>
      <c r="Q56" s="1" t="s">
        <v>654</v>
      </c>
      <c r="R56" s="1"/>
      <c r="S56" s="64"/>
      <c r="T56" s="1"/>
      <c r="U56" s="1"/>
      <c r="V56" s="1"/>
      <c r="W56" s="1" t="s">
        <v>520</v>
      </c>
      <c r="X56" s="1" t="s">
        <v>654</v>
      </c>
      <c r="Y56" s="64"/>
      <c r="Z56" s="1"/>
      <c r="AA56" s="1" t="s">
        <v>697</v>
      </c>
      <c r="AB56" s="65" t="s">
        <v>770</v>
      </c>
      <c r="AC56" s="1"/>
      <c r="AD56" s="1"/>
      <c r="AE56" s="1"/>
      <c r="AF56" s="1"/>
      <c r="AG56" s="1"/>
      <c r="AH56" s="1"/>
      <c r="AI56" s="1"/>
      <c r="AJ56" s="1"/>
      <c r="AK56" s="1"/>
      <c r="AL56" s="1"/>
      <c r="AM56" s="1"/>
      <c r="AN56" s="1"/>
      <c r="AO56" s="1"/>
      <c r="AP56" s="1"/>
      <c r="AQ56" s="1"/>
      <c r="AR56" s="1"/>
      <c r="AS56" s="1"/>
      <c r="AT56" s="1"/>
      <c r="AU56" s="24"/>
      <c r="AV56" s="21" t="s">
        <v>554</v>
      </c>
      <c r="AW56" s="21" t="s">
        <v>685</v>
      </c>
      <c r="AX56" s="20" t="s">
        <v>536</v>
      </c>
      <c r="AY56" s="20" t="s">
        <v>663</v>
      </c>
    </row>
    <row r="57" spans="16:51">
      <c r="P57" s="1" t="s">
        <v>771</v>
      </c>
      <c r="Q57" s="1" t="s">
        <v>663</v>
      </c>
      <c r="R57" s="1"/>
      <c r="S57" s="64"/>
      <c r="T57" s="1"/>
      <c r="U57" s="1"/>
      <c r="V57" s="1"/>
      <c r="W57" s="1" t="s">
        <v>771</v>
      </c>
      <c r="X57" s="1" t="s">
        <v>663</v>
      </c>
      <c r="Y57" s="64"/>
      <c r="Z57" s="1"/>
      <c r="AA57" s="1" t="s">
        <v>769</v>
      </c>
      <c r="AB57" s="65" t="s">
        <v>772</v>
      </c>
      <c r="AC57" s="1"/>
      <c r="AD57" s="1"/>
      <c r="AE57" s="1"/>
      <c r="AF57" s="1"/>
      <c r="AG57" s="1"/>
      <c r="AH57" s="1"/>
      <c r="AI57" s="1"/>
      <c r="AJ57" s="1"/>
      <c r="AK57" s="1"/>
      <c r="AL57" s="1"/>
      <c r="AM57" s="1"/>
      <c r="AN57" s="1"/>
      <c r="AO57" s="1"/>
      <c r="AP57" s="1"/>
      <c r="AQ57" s="1"/>
      <c r="AR57" s="1"/>
      <c r="AS57" s="1"/>
      <c r="AT57" s="1"/>
      <c r="AU57" s="1"/>
      <c r="AV57" s="22" t="s">
        <v>627</v>
      </c>
      <c r="AW57" s="20" t="s">
        <v>688</v>
      </c>
      <c r="AX57" s="20" t="s">
        <v>552</v>
      </c>
      <c r="AY57" s="20" t="s">
        <v>718</v>
      </c>
    </row>
    <row r="58" spans="16:51">
      <c r="P58" s="1" t="s">
        <v>647</v>
      </c>
      <c r="Q58" s="1" t="s">
        <v>773</v>
      </c>
      <c r="R58" s="1"/>
      <c r="S58" s="64"/>
      <c r="T58" s="1"/>
      <c r="U58" s="1"/>
      <c r="V58" s="1"/>
      <c r="W58" s="1" t="s">
        <v>647</v>
      </c>
      <c r="X58" s="1" t="s">
        <v>773</v>
      </c>
      <c r="Y58" s="64"/>
      <c r="Z58" s="1"/>
      <c r="AA58" s="1" t="s">
        <v>774</v>
      </c>
      <c r="AB58" s="65" t="s">
        <v>742</v>
      </c>
      <c r="AC58" s="1"/>
      <c r="AD58" s="1"/>
      <c r="AE58" s="1"/>
      <c r="AF58" s="1"/>
      <c r="AG58" s="1"/>
      <c r="AH58" s="1"/>
      <c r="AI58" s="1"/>
      <c r="AJ58" s="1"/>
      <c r="AK58" s="1"/>
      <c r="AL58" s="1"/>
      <c r="AM58" s="1"/>
      <c r="AN58" s="1"/>
      <c r="AO58" s="1"/>
      <c r="AP58" s="1"/>
      <c r="AQ58" s="1"/>
      <c r="AR58" s="1"/>
      <c r="AS58" s="1"/>
      <c r="AT58" s="1"/>
      <c r="AU58" s="1"/>
      <c r="AV58" s="20" t="s">
        <v>573</v>
      </c>
      <c r="AW58" s="19"/>
      <c r="AX58" s="20" t="s">
        <v>561</v>
      </c>
      <c r="AY58" s="20" t="s">
        <v>685</v>
      </c>
    </row>
    <row r="59" spans="16:51">
      <c r="P59" s="1" t="s">
        <v>755</v>
      </c>
      <c r="Q59" s="1" t="s">
        <v>775</v>
      </c>
      <c r="R59" s="1"/>
      <c r="S59" s="64"/>
      <c r="T59" s="1"/>
      <c r="U59" s="1"/>
      <c r="V59" s="1"/>
      <c r="W59" s="1" t="s">
        <v>755</v>
      </c>
      <c r="X59" s="1" t="s">
        <v>775</v>
      </c>
      <c r="Y59" s="64"/>
      <c r="Z59" s="1"/>
      <c r="AA59" s="1" t="s">
        <v>710</v>
      </c>
      <c r="AB59" s="65" t="s">
        <v>688</v>
      </c>
      <c r="AC59" s="1"/>
      <c r="AD59" s="1"/>
      <c r="AE59" s="1"/>
      <c r="AF59" s="1"/>
      <c r="AG59" s="1"/>
      <c r="AH59" s="1"/>
      <c r="AI59" s="1"/>
      <c r="AJ59" s="1"/>
      <c r="AK59" s="1"/>
      <c r="AL59" s="1"/>
      <c r="AM59" s="1"/>
      <c r="AN59" s="1"/>
      <c r="AO59" s="1"/>
      <c r="AP59" s="1"/>
      <c r="AQ59" s="1"/>
      <c r="AR59" s="1"/>
      <c r="AS59" s="1"/>
      <c r="AT59" s="1"/>
      <c r="AU59" s="18"/>
      <c r="AV59" s="20" t="s">
        <v>649</v>
      </c>
      <c r="AW59" s="19"/>
      <c r="AX59" s="20" t="s">
        <v>571</v>
      </c>
      <c r="AY59" s="20" t="s">
        <v>735</v>
      </c>
    </row>
    <row r="60" spans="16:51">
      <c r="P60" s="1" t="s">
        <v>759</v>
      </c>
      <c r="Q60" s="1" t="s">
        <v>729</v>
      </c>
      <c r="R60" s="1"/>
      <c r="S60" s="64"/>
      <c r="T60" s="1"/>
      <c r="U60" s="1"/>
      <c r="V60" s="1"/>
      <c r="W60" s="1" t="s">
        <v>759</v>
      </c>
      <c r="X60" s="1" t="s">
        <v>729</v>
      </c>
      <c r="Y60" s="64"/>
      <c r="Z60" s="1"/>
      <c r="AA60" s="1" t="s">
        <v>776</v>
      </c>
      <c r="AB60" s="65" t="s">
        <v>777</v>
      </c>
      <c r="AC60" s="1"/>
      <c r="AD60" s="1"/>
      <c r="AE60" s="1"/>
      <c r="AF60" s="1"/>
      <c r="AG60" s="1"/>
      <c r="AH60" s="1"/>
      <c r="AI60" s="1"/>
      <c r="AJ60" s="1"/>
      <c r="AK60" s="1"/>
      <c r="AL60" s="1"/>
      <c r="AM60" s="1"/>
      <c r="AN60" s="1"/>
      <c r="AO60" s="1"/>
      <c r="AP60" s="1"/>
      <c r="AQ60" s="1"/>
      <c r="AR60" s="1"/>
      <c r="AS60" s="1"/>
      <c r="AT60" s="1"/>
      <c r="AU60" s="1"/>
      <c r="AV60" s="22" t="s">
        <v>637</v>
      </c>
      <c r="AW60" s="19"/>
      <c r="AX60" s="20" t="s">
        <v>107</v>
      </c>
      <c r="AY60" s="20"/>
    </row>
    <row r="61" spans="16:51">
      <c r="P61" s="1" t="s">
        <v>542</v>
      </c>
      <c r="Q61" s="1" t="s">
        <v>668</v>
      </c>
      <c r="R61" s="1"/>
      <c r="S61" s="64"/>
      <c r="T61" s="1"/>
      <c r="U61" s="1"/>
      <c r="V61" s="1"/>
      <c r="W61" s="1" t="s">
        <v>542</v>
      </c>
      <c r="X61" s="1" t="s">
        <v>668</v>
      </c>
      <c r="Y61" s="64"/>
      <c r="Z61" s="1"/>
      <c r="AA61" s="1" t="s">
        <v>766</v>
      </c>
      <c r="AB61" s="65" t="s">
        <v>778</v>
      </c>
      <c r="AC61" s="1"/>
      <c r="AD61" s="1"/>
      <c r="AE61" s="1"/>
      <c r="AF61" s="1"/>
      <c r="AG61" s="1"/>
      <c r="AH61" s="1"/>
      <c r="AI61" s="1"/>
      <c r="AJ61" s="1"/>
      <c r="AK61" s="1"/>
      <c r="AL61" s="1"/>
      <c r="AM61" s="1"/>
      <c r="AN61" s="1"/>
      <c r="AO61" s="1"/>
      <c r="AP61" s="1"/>
      <c r="AQ61" s="1"/>
      <c r="AR61" s="1"/>
      <c r="AS61" s="1"/>
      <c r="AT61" s="1"/>
      <c r="AU61" s="1"/>
      <c r="AV61" s="20" t="s">
        <v>538</v>
      </c>
      <c r="AW61" s="19"/>
      <c r="AX61" s="20" t="s">
        <v>614</v>
      </c>
      <c r="AY61" s="20"/>
    </row>
    <row r="62" spans="16:51">
      <c r="P62" s="1" t="s">
        <v>715</v>
      </c>
      <c r="Q62" s="1" t="s">
        <v>685</v>
      </c>
      <c r="R62" s="1"/>
      <c r="S62" s="64"/>
      <c r="T62" s="1"/>
      <c r="U62" s="1"/>
      <c r="V62" s="1"/>
      <c r="W62" s="1" t="s">
        <v>715</v>
      </c>
      <c r="X62" s="1" t="s">
        <v>685</v>
      </c>
      <c r="Y62" s="64"/>
      <c r="Z62" s="1"/>
      <c r="AA62" s="1" t="s">
        <v>779</v>
      </c>
      <c r="AB62" s="65" t="s">
        <v>675</v>
      </c>
      <c r="AC62" s="1"/>
      <c r="AD62" s="1"/>
      <c r="AE62" s="1"/>
      <c r="AF62" s="1"/>
      <c r="AG62" s="1"/>
      <c r="AH62" s="1"/>
      <c r="AI62" s="1"/>
      <c r="AJ62" s="1"/>
      <c r="AK62" s="1"/>
      <c r="AL62" s="1"/>
      <c r="AM62" s="1"/>
      <c r="AN62" s="1"/>
      <c r="AO62" s="1"/>
      <c r="AP62" s="1"/>
      <c r="AQ62" s="1"/>
      <c r="AR62" s="1"/>
      <c r="AS62" s="1"/>
      <c r="AT62" s="1"/>
      <c r="AU62" s="1"/>
      <c r="AV62" s="22" t="s">
        <v>605</v>
      </c>
      <c r="AW62" s="19"/>
      <c r="AX62" s="20" t="s">
        <v>624</v>
      </c>
      <c r="AY62" s="20"/>
    </row>
    <row r="63" spans="16:51">
      <c r="P63" s="1" t="s">
        <v>556</v>
      </c>
      <c r="Q63" s="1" t="s">
        <v>778</v>
      </c>
      <c r="R63" s="1"/>
      <c r="S63" s="64"/>
      <c r="T63" s="1"/>
      <c r="U63" s="1"/>
      <c r="V63" s="1"/>
      <c r="W63" s="1" t="s">
        <v>556</v>
      </c>
      <c r="X63" s="1" t="s">
        <v>778</v>
      </c>
      <c r="Y63" s="64"/>
      <c r="Z63" s="1"/>
      <c r="AA63" s="1" t="s">
        <v>780</v>
      </c>
      <c r="AB63" s="65"/>
      <c r="AC63" s="1"/>
      <c r="AD63" s="1"/>
      <c r="AE63" s="1"/>
      <c r="AF63" s="1"/>
      <c r="AG63" s="1"/>
      <c r="AH63" s="1"/>
      <c r="AI63" s="1"/>
      <c r="AJ63" s="1"/>
      <c r="AK63" s="1"/>
      <c r="AL63" s="1"/>
      <c r="AM63" s="1"/>
      <c r="AN63" s="1"/>
      <c r="AO63" s="1"/>
      <c r="AP63" s="1"/>
      <c r="AQ63" s="1"/>
      <c r="AR63" s="1"/>
      <c r="AS63" s="1"/>
      <c r="AT63" s="1"/>
      <c r="AU63" s="18"/>
      <c r="AV63" s="22" t="s">
        <v>671</v>
      </c>
      <c r="AW63" s="19"/>
      <c r="AX63" s="22" t="s">
        <v>634</v>
      </c>
      <c r="AY63" s="20"/>
    </row>
    <row r="64" spans="16:51">
      <c r="P64" s="1"/>
      <c r="Q64" s="1" t="s">
        <v>735</v>
      </c>
      <c r="R64" s="1"/>
      <c r="S64" s="64"/>
      <c r="T64" s="1"/>
      <c r="U64" s="1"/>
      <c r="V64" s="1"/>
      <c r="W64" s="1"/>
      <c r="X64" s="1" t="s">
        <v>735</v>
      </c>
      <c r="Y64" s="64"/>
      <c r="Z64" s="1"/>
      <c r="AA64" s="1" t="s">
        <v>654</v>
      </c>
      <c r="AB64" s="65"/>
      <c r="AC64" s="1"/>
      <c r="AD64" s="1"/>
      <c r="AE64" s="1"/>
      <c r="AF64" s="1"/>
      <c r="AG64" s="1"/>
      <c r="AH64" s="1"/>
      <c r="AI64" s="1"/>
      <c r="AJ64" s="1"/>
      <c r="AK64" s="1"/>
      <c r="AL64" s="1"/>
      <c r="AM64" s="1"/>
      <c r="AN64" s="1"/>
      <c r="AO64" s="1"/>
      <c r="AP64" s="1"/>
      <c r="AQ64" s="1"/>
      <c r="AR64" s="1"/>
      <c r="AS64" s="1"/>
      <c r="AT64" s="1"/>
      <c r="AU64" s="1"/>
      <c r="AV64" s="20" t="s">
        <v>484</v>
      </c>
      <c r="AW64" s="19"/>
      <c r="AX64" s="20" t="s">
        <v>645</v>
      </c>
      <c r="AY64" s="20"/>
    </row>
    <row r="65" spans="17:51">
      <c r="Q65" s="1" t="s">
        <v>675</v>
      </c>
      <c r="R65" s="1"/>
      <c r="S65" s="64"/>
      <c r="T65" s="1"/>
      <c r="U65" s="1"/>
      <c r="V65" s="1"/>
      <c r="W65" s="1"/>
      <c r="X65" s="1" t="s">
        <v>675</v>
      </c>
      <c r="Y65" s="64"/>
      <c r="Z65" s="1"/>
      <c r="AA65" s="1" t="s">
        <v>781</v>
      </c>
      <c r="AB65" s="65"/>
      <c r="AC65" s="1"/>
      <c r="AD65" s="1"/>
      <c r="AE65" s="1"/>
      <c r="AF65" s="1"/>
      <c r="AG65" s="1"/>
      <c r="AH65" s="1"/>
      <c r="AI65" s="1"/>
      <c r="AJ65" s="1"/>
      <c r="AK65" s="1"/>
      <c r="AL65" s="1"/>
      <c r="AM65" s="1"/>
      <c r="AN65" s="1"/>
      <c r="AO65" s="1"/>
      <c r="AP65" s="1"/>
      <c r="AQ65" s="1"/>
      <c r="AR65" s="1"/>
      <c r="AS65" s="1"/>
      <c r="AT65" s="1"/>
      <c r="AU65" s="1"/>
      <c r="AV65" s="19" t="s">
        <v>648</v>
      </c>
      <c r="AW65" s="19"/>
      <c r="AX65" s="22" t="s">
        <v>593</v>
      </c>
      <c r="AY65" s="20"/>
    </row>
    <row r="66" spans="17:51" ht="17.100000000000001" thickBot="1">
      <c r="Q66" s="1" t="s">
        <v>782</v>
      </c>
      <c r="R66" s="1"/>
      <c r="S66" s="70"/>
      <c r="T66" s="71"/>
      <c r="U66" s="71"/>
      <c r="V66" s="71"/>
      <c r="W66" s="71"/>
      <c r="X66" s="71" t="s">
        <v>782</v>
      </c>
      <c r="Y66" s="64"/>
      <c r="Z66" s="1"/>
      <c r="AA66" s="1" t="s">
        <v>783</v>
      </c>
      <c r="AB66" s="65"/>
      <c r="AC66" s="1"/>
      <c r="AD66" s="1"/>
      <c r="AE66" s="1"/>
      <c r="AF66" s="1"/>
      <c r="AG66" s="1"/>
      <c r="AH66" s="1"/>
      <c r="AI66" s="1"/>
      <c r="AJ66" s="1"/>
      <c r="AK66" s="1"/>
      <c r="AL66" s="1"/>
      <c r="AM66" s="1"/>
      <c r="AN66" s="1"/>
      <c r="AO66" s="1"/>
      <c r="AP66" s="1"/>
      <c r="AQ66" s="1"/>
      <c r="AR66" s="1"/>
      <c r="AS66" s="1"/>
      <c r="AT66" s="1"/>
      <c r="AU66" s="1"/>
      <c r="AV66" s="21" t="s">
        <v>594</v>
      </c>
      <c r="AW66" s="19"/>
      <c r="AX66" s="20" t="s">
        <v>601</v>
      </c>
      <c r="AY66" s="20"/>
    </row>
    <row r="67" spans="17:51">
      <c r="Q67" s="1"/>
      <c r="R67" s="1"/>
      <c r="S67" s="1"/>
      <c r="T67" s="1"/>
      <c r="U67" s="1"/>
      <c r="V67" s="1"/>
      <c r="W67" s="1"/>
      <c r="X67" s="1"/>
      <c r="Y67" s="64"/>
      <c r="Z67" s="1"/>
      <c r="AA67" s="1" t="s">
        <v>784</v>
      </c>
      <c r="AB67" s="65"/>
      <c r="AC67" s="1"/>
      <c r="AD67" s="1"/>
      <c r="AE67" s="1"/>
      <c r="AF67" s="1"/>
      <c r="AG67" s="1"/>
      <c r="AH67" s="1"/>
      <c r="AI67" s="1"/>
      <c r="AJ67" s="1"/>
      <c r="AK67" s="1"/>
      <c r="AL67" s="1"/>
      <c r="AM67" s="1"/>
      <c r="AN67" s="1"/>
      <c r="AO67" s="1"/>
      <c r="AP67" s="1"/>
      <c r="AQ67" s="1"/>
      <c r="AR67" s="1"/>
      <c r="AS67" s="1"/>
      <c r="AT67" s="1"/>
      <c r="AU67" s="1"/>
      <c r="AV67" s="22" t="s">
        <v>698</v>
      </c>
      <c r="AW67" s="19"/>
      <c r="AX67" s="20" t="s">
        <v>687</v>
      </c>
      <c r="AY67" s="20"/>
    </row>
    <row r="68" spans="17:51">
      <c r="Q68" s="1"/>
      <c r="R68" s="1"/>
      <c r="S68" s="1"/>
      <c r="T68" s="1"/>
      <c r="U68" s="1"/>
      <c r="V68" s="1"/>
      <c r="W68" s="1"/>
      <c r="X68" s="1"/>
      <c r="Y68" s="64"/>
      <c r="Z68" s="1"/>
      <c r="AA68" s="1" t="s">
        <v>785</v>
      </c>
      <c r="AB68" s="65"/>
      <c r="AC68" s="1"/>
      <c r="AD68" s="1"/>
      <c r="AE68" s="1"/>
      <c r="AF68" s="1"/>
      <c r="AG68" s="1"/>
      <c r="AH68" s="1"/>
      <c r="AI68" s="1"/>
      <c r="AJ68" s="1"/>
      <c r="AK68" s="1"/>
      <c r="AL68" s="1"/>
      <c r="AM68" s="1"/>
      <c r="AN68" s="1"/>
      <c r="AO68" s="1"/>
      <c r="AP68" s="1"/>
      <c r="AQ68" s="1"/>
      <c r="AR68" s="1"/>
      <c r="AS68" s="1"/>
      <c r="AT68" s="1"/>
      <c r="AU68" s="1"/>
      <c r="AV68" s="19" t="s">
        <v>664</v>
      </c>
      <c r="AW68" s="19"/>
      <c r="AX68" s="20" t="s">
        <v>613</v>
      </c>
      <c r="AY68" s="20"/>
    </row>
    <row r="69" spans="17:51" ht="17.100000000000001" thickBot="1">
      <c r="Q69" s="1"/>
      <c r="R69" s="1"/>
      <c r="S69" s="1"/>
      <c r="T69" s="1"/>
      <c r="U69" s="1"/>
      <c r="V69" s="1"/>
      <c r="W69" s="1"/>
      <c r="X69" s="1"/>
      <c r="Y69" s="70"/>
      <c r="Z69" s="71"/>
      <c r="AA69" s="71" t="s">
        <v>742</v>
      </c>
      <c r="AB69" s="72"/>
      <c r="AC69" s="1"/>
      <c r="AD69" s="1"/>
      <c r="AE69" s="1"/>
      <c r="AF69" s="1"/>
      <c r="AG69" s="1"/>
      <c r="AH69" s="1"/>
      <c r="AI69" s="1"/>
      <c r="AJ69" s="1"/>
      <c r="AK69" s="1"/>
      <c r="AL69" s="1"/>
      <c r="AM69" s="1"/>
      <c r="AN69" s="1"/>
      <c r="AO69" s="1"/>
      <c r="AP69" s="1"/>
      <c r="AQ69" s="1"/>
      <c r="AR69" s="1"/>
      <c r="AS69" s="1"/>
      <c r="AT69" s="1"/>
      <c r="AU69" s="1"/>
      <c r="AV69" s="20" t="s">
        <v>617</v>
      </c>
      <c r="AW69" s="19"/>
      <c r="AX69" s="20" t="s">
        <v>520</v>
      </c>
      <c r="AY69" s="20"/>
    </row>
    <row r="70" spans="17:5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22" t="s">
        <v>712</v>
      </c>
      <c r="AW70" s="23"/>
      <c r="AX70" s="20" t="s">
        <v>694</v>
      </c>
      <c r="AY70" s="20"/>
    </row>
    <row r="71" spans="17:5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626</v>
      </c>
      <c r="AW71" s="1"/>
      <c r="AX71" s="20" t="s">
        <v>633</v>
      </c>
      <c r="AY71" s="20"/>
    </row>
    <row r="72" spans="17:5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636</v>
      </c>
      <c r="AW72" s="1"/>
      <c r="AX72" s="22" t="s">
        <v>702</v>
      </c>
      <c r="AY72" s="20"/>
    </row>
    <row r="73" spans="17:5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601</v>
      </c>
      <c r="AW73" s="1"/>
      <c r="AX73" s="20" t="s">
        <v>707</v>
      </c>
      <c r="AY73" s="20"/>
    </row>
    <row r="74" spans="17:5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677</v>
      </c>
      <c r="AW74" s="1"/>
      <c r="AX74" s="22" t="s">
        <v>101</v>
      </c>
      <c r="AY74" s="20"/>
    </row>
    <row r="75" spans="17:5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686</v>
      </c>
      <c r="AW75" s="1"/>
      <c r="AX75" s="20" t="s">
        <v>635</v>
      </c>
      <c r="AY75" s="20"/>
    </row>
    <row r="76" spans="17:5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689</v>
      </c>
      <c r="AW76" s="1"/>
      <c r="AX76" s="20" t="s">
        <v>659</v>
      </c>
      <c r="AY76" s="20"/>
    </row>
    <row r="77" spans="17:5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720</v>
      </c>
      <c r="AW77" s="1"/>
      <c r="AX77" s="22" t="s">
        <v>646</v>
      </c>
      <c r="AY77" s="20"/>
    </row>
    <row r="78" spans="17:5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101</v>
      </c>
      <c r="AW78" s="1"/>
      <c r="AX78" s="22" t="s">
        <v>674</v>
      </c>
      <c r="AY78" s="20"/>
    </row>
    <row r="79" spans="17:5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635</v>
      </c>
      <c r="AW79" s="1"/>
      <c r="AX79" s="20" t="s">
        <v>663</v>
      </c>
      <c r="AY79" s="20"/>
    </row>
    <row r="80" spans="17:5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695</v>
      </c>
      <c r="AW80" s="1"/>
      <c r="AX80" s="20" t="s">
        <v>718</v>
      </c>
      <c r="AY80" s="20"/>
    </row>
    <row r="81" spans="48:51">
      <c r="AV81" s="22" t="s">
        <v>711</v>
      </c>
      <c r="AW81" s="1"/>
      <c r="AX81" s="22" t="s">
        <v>653</v>
      </c>
      <c r="AY81" s="22"/>
    </row>
    <row r="82" spans="48:51">
      <c r="AV82" s="19" t="s">
        <v>703</v>
      </c>
      <c r="AW82" s="1"/>
      <c r="AX82" s="20" t="s">
        <v>660</v>
      </c>
      <c r="AY82" s="20"/>
    </row>
    <row r="83" spans="48:51">
      <c r="AV83" s="20" t="s">
        <v>647</v>
      </c>
      <c r="AW83" s="1"/>
      <c r="AX83" s="22" t="s">
        <v>729</v>
      </c>
      <c r="AY83" s="22"/>
    </row>
    <row r="84" spans="48:51">
      <c r="AV84" s="22" t="s">
        <v>708</v>
      </c>
      <c r="AW84" s="1"/>
      <c r="AX84" s="22" t="s">
        <v>668</v>
      </c>
      <c r="AY84" s="20"/>
    </row>
    <row r="85" spans="48:51">
      <c r="AV85" s="19" t="s">
        <v>542</v>
      </c>
      <c r="AW85" s="1"/>
      <c r="AX85" s="20" t="s">
        <v>685</v>
      </c>
      <c r="AY85" s="20"/>
    </row>
    <row r="86" spans="48:51">
      <c r="AV86" s="20" t="s">
        <v>715</v>
      </c>
      <c r="AW86" s="1"/>
      <c r="AX86" s="25" t="s">
        <v>735</v>
      </c>
      <c r="AY86" s="20"/>
    </row>
    <row r="87" spans="48:51">
      <c r="AV87" s="22" t="s">
        <v>676</v>
      </c>
      <c r="AW87" s="1"/>
      <c r="AX87" s="22" t="s">
        <v>675</v>
      </c>
      <c r="AY87" s="25"/>
    </row>
    <row r="88" spans="48:51">
      <c r="AV88" s="20" t="s">
        <v>688</v>
      </c>
      <c r="AW88" s="1"/>
      <c r="AX88" s="22"/>
      <c r="AY88" s="1"/>
    </row>
    <row r="89" spans="48:51">
      <c r="AV89" s="22"/>
      <c r="AW89" s="1"/>
      <c r="AX89" s="22"/>
      <c r="AY89" s="1"/>
    </row>
    <row r="90" spans="48:51">
      <c r="AV90" s="22"/>
      <c r="AW90" s="1"/>
      <c r="AX90" s="22"/>
      <c r="AY90" s="1"/>
    </row>
    <row r="91" spans="48:51">
      <c r="AV91" s="20"/>
      <c r="AW91" s="1"/>
      <c r="AX91" s="22"/>
      <c r="AY91" s="1"/>
    </row>
    <row r="92" spans="48:51">
      <c r="AV92" s="22"/>
      <c r="AW92" s="1"/>
      <c r="AX92" s="25"/>
      <c r="AY92" s="1"/>
    </row>
    <row r="93" spans="48:51">
      <c r="AV93" s="22"/>
      <c r="AW93" s="1"/>
      <c r="AX93" s="1"/>
      <c r="AY93" s="1"/>
    </row>
    <row r="94" spans="48:51">
      <c r="AV94" s="22"/>
      <c r="AW94" s="1"/>
      <c r="AX94" s="1"/>
      <c r="AY94" s="1"/>
    </row>
    <row r="95" spans="48:51">
      <c r="AV95" s="22"/>
      <c r="AW95" s="1"/>
      <c r="AX95" s="1"/>
      <c r="AY95" s="1"/>
    </row>
    <row r="96" spans="48:51">
      <c r="AV96" s="22"/>
      <c r="AW96" s="1"/>
      <c r="AX96" s="1"/>
      <c r="AY96" s="1"/>
    </row>
    <row r="97" spans="48:48">
      <c r="AV97" s="20"/>
    </row>
    <row r="98" spans="48:48">
      <c r="AV98" s="22"/>
    </row>
    <row r="99" spans="48:48">
      <c r="AV99" s="22"/>
    </row>
    <row r="100" spans="48:48">
      <c r="AV100" s="22"/>
    </row>
    <row r="101" spans="48:48">
      <c r="AV101" s="22"/>
    </row>
    <row r="102" spans="48:48">
      <c r="AV102" s="22"/>
    </row>
    <row r="103" spans="48:48">
      <c r="AV103" s="21"/>
    </row>
    <row r="104" spans="48:48">
      <c r="AV104" s="22"/>
    </row>
    <row r="105" spans="48:48">
      <c r="AV105" s="22"/>
    </row>
    <row r="106" spans="48:48">
      <c r="AV106" s="22"/>
    </row>
    <row r="107" spans="48:48">
      <c r="AV107" s="22"/>
    </row>
    <row r="108" spans="48:48">
      <c r="AV108" s="25"/>
    </row>
  </sheetData>
  <mergeCells count="10">
    <mergeCell ref="AL3:AN3"/>
    <mergeCell ref="AO3:AQ3"/>
    <mergeCell ref="S1:AG1"/>
    <mergeCell ref="AL1:AQ1"/>
    <mergeCell ref="AT1:AY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40"/>
  <sheetViews>
    <sheetView topLeftCell="A10" workbookViewId="0">
      <selection activeCell="B41" sqref="B41"/>
    </sheetView>
  </sheetViews>
  <sheetFormatPr defaultColWidth="9.140625" defaultRowHeight="14.45"/>
  <cols>
    <col min="2" max="2" width="29.28515625" customWidth="1"/>
  </cols>
  <sheetData>
    <row r="1" spans="2:2" ht="16.5">
      <c r="B1" s="1" t="s">
        <v>786</v>
      </c>
    </row>
    <row r="2" spans="2:2" ht="16.5">
      <c r="B2" s="1" t="s">
        <v>787</v>
      </c>
    </row>
    <row r="3" spans="2:2" ht="16.5">
      <c r="B3" s="1" t="s">
        <v>406</v>
      </c>
    </row>
    <row r="4" spans="2:2" ht="16.5">
      <c r="B4" s="1" t="s">
        <v>455</v>
      </c>
    </row>
    <row r="5" spans="2:2" ht="16.5">
      <c r="B5" s="1" t="s">
        <v>476</v>
      </c>
    </row>
    <row r="6" spans="2:2" ht="16.5">
      <c r="B6" s="1" t="s">
        <v>378</v>
      </c>
    </row>
    <row r="7" spans="2:2" ht="16.5">
      <c r="B7" s="1" t="s">
        <v>433</v>
      </c>
    </row>
    <row r="8" spans="2:2" ht="16.5">
      <c r="B8" s="1" t="s">
        <v>449</v>
      </c>
    </row>
    <row r="9" spans="2:2" ht="16.5">
      <c r="B9" s="1" t="s">
        <v>513</v>
      </c>
    </row>
    <row r="10" spans="2:2" ht="16.5">
      <c r="B10" s="1" t="s">
        <v>618</v>
      </c>
    </row>
    <row r="11" spans="2:2" ht="16.5">
      <c r="B11" s="1" t="s">
        <v>462</v>
      </c>
    </row>
    <row r="12" spans="2:2" ht="16.5">
      <c r="B12" s="1" t="s">
        <v>64</v>
      </c>
    </row>
    <row r="13" spans="2:2" ht="16.5">
      <c r="B13" s="1" t="s">
        <v>534</v>
      </c>
    </row>
    <row r="14" spans="2:2" ht="16.5">
      <c r="B14" s="1" t="s">
        <v>99</v>
      </c>
    </row>
    <row r="15" spans="2:2" ht="16.5">
      <c r="B15" s="1" t="s">
        <v>788</v>
      </c>
    </row>
    <row r="16" spans="2:2" ht="16.5">
      <c r="B16" s="1" t="s">
        <v>543</v>
      </c>
    </row>
    <row r="17" spans="2:2" ht="16.5">
      <c r="B17" s="1" t="s">
        <v>629</v>
      </c>
    </row>
    <row r="18" spans="2:2" ht="16.5">
      <c r="B18" s="1" t="s">
        <v>789</v>
      </c>
    </row>
    <row r="19" spans="2:2" ht="16.5">
      <c r="B19" s="1" t="s">
        <v>571</v>
      </c>
    </row>
    <row r="20" spans="2:2" ht="16.5">
      <c r="B20" s="1" t="s">
        <v>691</v>
      </c>
    </row>
    <row r="21" spans="2:2" ht="16.5">
      <c r="B21" s="1" t="s">
        <v>59</v>
      </c>
    </row>
    <row r="22" spans="2:2" ht="16.5">
      <c r="B22" s="1" t="s">
        <v>596</v>
      </c>
    </row>
    <row r="23" spans="2:2" ht="16.5">
      <c r="B23" s="1" t="s">
        <v>657</v>
      </c>
    </row>
    <row r="24" spans="2:2" ht="16.5">
      <c r="B24" s="1" t="s">
        <v>790</v>
      </c>
    </row>
    <row r="25" spans="2:2" ht="16.5">
      <c r="B25" s="1" t="s">
        <v>484</v>
      </c>
    </row>
    <row r="26" spans="2:2" ht="16.5">
      <c r="B26" s="1" t="s">
        <v>645</v>
      </c>
    </row>
    <row r="27" spans="2:2" ht="16.5">
      <c r="B27" s="1" t="s">
        <v>626</v>
      </c>
    </row>
    <row r="28" spans="2:2" ht="16.5">
      <c r="B28" s="1" t="s">
        <v>791</v>
      </c>
    </row>
    <row r="29" spans="2:2" ht="16.5">
      <c r="B29" s="1" t="s">
        <v>769</v>
      </c>
    </row>
    <row r="30" spans="2:2" ht="16.5">
      <c r="B30" s="1" t="s">
        <v>647</v>
      </c>
    </row>
    <row r="31" spans="2:2" ht="16.5">
      <c r="B31" s="1" t="s">
        <v>773</v>
      </c>
    </row>
    <row r="32" spans="2:2" ht="16.5">
      <c r="B32" s="1" t="s">
        <v>792</v>
      </c>
    </row>
    <row r="33" spans="2:2" ht="16.5">
      <c r="B33" s="1" t="s">
        <v>595</v>
      </c>
    </row>
    <row r="34" spans="2:2" ht="16.5">
      <c r="B34" s="1" t="s">
        <v>778</v>
      </c>
    </row>
    <row r="35" spans="2:2" ht="16.5">
      <c r="B35" s="1" t="s">
        <v>675</v>
      </c>
    </row>
    <row r="36" spans="2:2" ht="16.5">
      <c r="B36" s="1" t="s">
        <v>793</v>
      </c>
    </row>
    <row r="37" spans="2:2" ht="16.5">
      <c r="B37" s="1" t="s">
        <v>573</v>
      </c>
    </row>
    <row r="38" spans="2:2" ht="16.5">
      <c r="B38" s="1" t="s">
        <v>101</v>
      </c>
    </row>
    <row r="39" spans="2:2" ht="16.5">
      <c r="B39" s="1" t="s">
        <v>56</v>
      </c>
    </row>
    <row r="40" spans="2:2" ht="16.5">
      <c r="B40" s="1" t="s">
        <v>62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CB1A98D2066F30438A381D4FE44CE3A2" ma:contentTypeVersion="4" ma:contentTypeDescription="Crear nuevo documento." ma:contentTypeScope="" ma:versionID="7432a343c9520d9089daf0409b8f723e">
  <xsd:schema xmlns:xsd="http://www.w3.org/2001/XMLSchema" xmlns:xs="http://www.w3.org/2001/XMLSchema" xmlns:p="http://schemas.microsoft.com/office/2006/metadata/properties" xmlns:ns2="a4562c49-b45c-4362-b20c-f58ba12cde2f" xmlns:ns3="ffa1b9b5-8217-4ebe-90c5-3f2196c49a4f" targetNamespace="http://schemas.microsoft.com/office/2006/metadata/properties" ma:root="true" ma:fieldsID="a9831a0ee939c9e3a94af062f92b87b9" ns2:_="" ns3:_="">
    <xsd:import namespace="a4562c49-b45c-4362-b20c-f58ba12cde2f"/>
    <xsd:import namespace="ffa1b9b5-8217-4ebe-90c5-3f2196c49a4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562c49-b45c-4362-b20c-f58ba12cde2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a1b9b5-8217-4ebe-90c5-3f2196c49a4f"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A8CC42-3498-4AB9-83FD-168387E0E379}"/>
</file>

<file path=customXml/itemProps2.xml><?xml version="1.0" encoding="utf-8"?>
<ds:datastoreItem xmlns:ds="http://schemas.openxmlformats.org/officeDocument/2006/customXml" ds:itemID="{43398591-DCD4-4E84-81B6-C225C92B9877}"/>
</file>

<file path=customXml/itemProps3.xml><?xml version="1.0" encoding="utf-8"?>
<ds:datastoreItem xmlns:ds="http://schemas.openxmlformats.org/officeDocument/2006/customXml" ds:itemID="{493507B7-C361-46E0-AF44-6194D8191CB1}"/>
</file>

<file path=customXml/itemProps4.xml><?xml version="1.0" encoding="utf-8"?>
<ds:datastoreItem xmlns:ds="http://schemas.openxmlformats.org/officeDocument/2006/customXml" ds:itemID="{F86D18D9-0B6E-411F-93FD-BE55E800AD0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Diana Shirley Velasquez Rojas</cp:lastModifiedBy>
  <cp:revision/>
  <dcterms:created xsi:type="dcterms:W3CDTF">2021-03-03T13:22:18Z</dcterms:created>
  <dcterms:modified xsi:type="dcterms:W3CDTF">2026-04-09T13:59:47Z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0x010100CB1A98D2066F30438A381D4FE44CE3A2</vt:lpwstr>
  </property>
</Properties>
</file>