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poligran-my.sharepoint.com/personal/mgcely_poligran_edu_co/Documents/CURRÍCULO/05_ReformaCurricular/FIDI/"/>
    </mc:Choice>
  </mc:AlternateContent>
  <xr:revisionPtr revIDLastSave="1766" documentId="8_{276C0453-98D8-486F-AE12-391FADFB420A}" xr6:coauthVersionLast="47" xr6:coauthVersionMax="47" xr10:uidLastSave="{A6C4E826-BC2B-43AE-81C0-F157F863A61F}"/>
  <bookViews>
    <workbookView xWindow="28680" yWindow="-120" windowWidth="29040" windowHeight="15720" tabRatio="673" firstSheet="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RA'!$A$2:$K$18</definedName>
    <definedName name="_xlnm._FilterDatabase" localSheetId="3" hidden="1">'Paso 3 Redacción RA - Backup '!$A$2:$K$12</definedName>
    <definedName name="_xlnm._FilterDatabase" localSheetId="4" hidden="1">'Paso 4 Estrategias mesocurricu'!$A$1:$F$26</definedName>
    <definedName name="_xlnm._FilterDatabase" localSheetId="5" hidden="1">'Paso 5 Estrategias micro'!$A$2:$R$152</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micro'!$B$21</definedName>
    <definedName name="resultadoaprendizaje">#REF!</definedName>
    <definedName name="Saber">'Paso1 Analisis perfil egreso'!$E$3:$E$8</definedName>
    <definedName name="SaberHacer">'Paso1 Analisis perfil egreso'!$F$3:$F$8</definedName>
    <definedName name="SaberSer">'Paso1 Analisis perfil egreso'!$G$3:$G$8</definedName>
    <definedName name="TIC">'Paso 2 Redacción competen'!$F$8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49" i="14" l="1"/>
  <c r="S148" i="14"/>
  <c r="S133" i="14"/>
  <c r="S117" i="14"/>
  <c r="S94" i="14"/>
  <c r="S71" i="14"/>
  <c r="S53" i="14"/>
  <c r="S38" i="14"/>
  <c r="S20" i="14"/>
  <c r="R20" i="14"/>
  <c r="A37" i="14"/>
  <c r="A93" i="14"/>
  <c r="A56" i="14"/>
  <c r="A20" i="14"/>
  <c r="K20" i="14"/>
  <c r="L20" i="14"/>
  <c r="A21" i="14"/>
  <c r="K21" i="14"/>
  <c r="L21" i="14"/>
  <c r="M21" i="14"/>
  <c r="A22" i="14"/>
  <c r="A23" i="14"/>
  <c r="A24" i="14"/>
  <c r="A140" i="14"/>
  <c r="M20" i="14" l="1"/>
  <c r="R133" i="14"/>
  <c r="R117" i="14"/>
  <c r="R94" i="14"/>
  <c r="R71" i="14"/>
  <c r="R53" i="14"/>
  <c r="L81" i="14"/>
  <c r="K81" i="14"/>
  <c r="M81" i="14" s="1"/>
  <c r="A81" i="14"/>
  <c r="A82" i="14"/>
  <c r="A83" i="14"/>
  <c r="A84" i="14"/>
  <c r="A63" i="14"/>
  <c r="A62" i="14"/>
  <c r="A61" i="14"/>
  <c r="A60" i="14"/>
  <c r="L59" i="14"/>
  <c r="K59" i="14"/>
  <c r="A59" i="14"/>
  <c r="A45" i="14"/>
  <c r="A46" i="14"/>
  <c r="K44" i="14"/>
  <c r="L44" i="14"/>
  <c r="J151" i="14"/>
  <c r="J152" i="14"/>
  <c r="A34" i="14"/>
  <c r="K34" i="14"/>
  <c r="L34" i="14"/>
  <c r="A35" i="14"/>
  <c r="A36" i="14"/>
  <c r="A38" i="14"/>
  <c r="R38" i="14"/>
  <c r="L16" i="14"/>
  <c r="K16" i="14"/>
  <c r="A16" i="14"/>
  <c r="A17" i="14"/>
  <c r="A18" i="14"/>
  <c r="A19" i="14"/>
  <c r="M59" i="14" l="1"/>
  <c r="M44" i="14"/>
  <c r="M34" i="14"/>
  <c r="M16" i="14"/>
  <c r="R148" i="14" l="1"/>
  <c r="K152" i="14"/>
  <c r="K151" i="14"/>
  <c r="J150" i="14"/>
  <c r="K150" i="14" s="1"/>
  <c r="J149" i="14"/>
  <c r="K149" i="14" s="1"/>
  <c r="L12" i="14"/>
  <c r="K12" i="14"/>
  <c r="L8" i="14"/>
  <c r="K8" i="14"/>
  <c r="L3" i="14"/>
  <c r="A15" i="14"/>
  <c r="A14" i="14"/>
  <c r="A13" i="14"/>
  <c r="A12" i="14"/>
  <c r="A11" i="14"/>
  <c r="A10" i="14"/>
  <c r="A9" i="14"/>
  <c r="A8" i="14"/>
  <c r="A4" i="14"/>
  <c r="A5" i="14"/>
  <c r="A6" i="14"/>
  <c r="A3" i="14"/>
  <c r="A144" i="14"/>
  <c r="A139" i="14"/>
  <c r="A135" i="14"/>
  <c r="A136" i="14"/>
  <c r="A128" i="14"/>
  <c r="A129" i="14"/>
  <c r="A124" i="14"/>
  <c r="A119" i="14"/>
  <c r="A120" i="14"/>
  <c r="A115" i="14"/>
  <c r="A110" i="14"/>
  <c r="A111" i="14"/>
  <c r="A105" i="14"/>
  <c r="A106" i="14"/>
  <c r="A101" i="14"/>
  <c r="A100" i="14"/>
  <c r="A96" i="14"/>
  <c r="A87" i="14"/>
  <c r="A74" i="14"/>
  <c r="A70" i="14"/>
  <c r="A91" i="14"/>
  <c r="A86" i="14"/>
  <c r="A78" i="14"/>
  <c r="A79" i="14"/>
  <c r="A73" i="14"/>
  <c r="A69" i="14"/>
  <c r="A65" i="14"/>
  <c r="A50" i="14"/>
  <c r="A52" i="14"/>
  <c r="A53" i="14"/>
  <c r="A44" i="14"/>
  <c r="A41" i="14"/>
  <c r="A47" i="14"/>
  <c r="A30" i="14"/>
  <c r="A26" i="14"/>
  <c r="D149" i="14"/>
  <c r="K3" i="14"/>
  <c r="K7" i="14"/>
  <c r="L7" i="14"/>
  <c r="A67" i="14"/>
  <c r="A66" i="14"/>
  <c r="A64" i="14"/>
  <c r="A76" i="14"/>
  <c r="A75" i="14"/>
  <c r="A72" i="14"/>
  <c r="A33" i="14"/>
  <c r="A51" i="14"/>
  <c r="A49" i="14"/>
  <c r="A48" i="14"/>
  <c r="A43" i="14"/>
  <c r="A42" i="14"/>
  <c r="A40" i="14"/>
  <c r="A32" i="14"/>
  <c r="A31" i="14"/>
  <c r="A29" i="14"/>
  <c r="A28" i="14"/>
  <c r="A27" i="14"/>
  <c r="A25" i="14"/>
  <c r="M3" i="14" l="1"/>
  <c r="M8" i="14"/>
  <c r="M12" i="14"/>
  <c r="R149" i="14"/>
  <c r="M7" i="14"/>
  <c r="L72" i="14" l="1"/>
  <c r="K72" i="14"/>
  <c r="L53" i="14"/>
  <c r="K53" i="14"/>
  <c r="L54" i="14"/>
  <c r="K54" i="14"/>
  <c r="L39" i="14"/>
  <c r="K39" i="14"/>
  <c r="K55" i="14"/>
  <c r="L55" i="14"/>
  <c r="L33" i="14"/>
  <c r="K33" i="14"/>
  <c r="L49" i="14"/>
  <c r="K49" i="14"/>
  <c r="L134" i="14"/>
  <c r="K134" i="14"/>
  <c r="L138" i="14"/>
  <c r="K138" i="14"/>
  <c r="L143" i="14"/>
  <c r="K143" i="14"/>
  <c r="L148" i="14"/>
  <c r="K148" i="14"/>
  <c r="L133" i="14"/>
  <c r="K133" i="14"/>
  <c r="L127" i="14"/>
  <c r="K127" i="14"/>
  <c r="L114" i="14"/>
  <c r="K114" i="14"/>
  <c r="L109" i="14"/>
  <c r="K109" i="14"/>
  <c r="L123" i="14"/>
  <c r="K123" i="14"/>
  <c r="L147" i="14"/>
  <c r="K147" i="14"/>
  <c r="L132" i="14"/>
  <c r="K132" i="14"/>
  <c r="L95" i="14"/>
  <c r="K95" i="14"/>
  <c r="L99" i="14"/>
  <c r="K99" i="14"/>
  <c r="L64" i="14"/>
  <c r="K64" i="14"/>
  <c r="L85" i="14"/>
  <c r="K85" i="14"/>
  <c r="L77" i="14"/>
  <c r="K77" i="14"/>
  <c r="L90" i="14"/>
  <c r="K90" i="14"/>
  <c r="L104" i="14"/>
  <c r="K104" i="14"/>
  <c r="L118" i="14"/>
  <c r="K118" i="14"/>
  <c r="L68" i="14"/>
  <c r="K68" i="14"/>
  <c r="L40" i="14"/>
  <c r="K40" i="14"/>
  <c r="L29" i="14"/>
  <c r="K29" i="14"/>
  <c r="L25" i="14"/>
  <c r="K25" i="14"/>
  <c r="A7" i="14"/>
  <c r="A39" i="14"/>
  <c r="A55" i="14"/>
  <c r="A57" i="14"/>
  <c r="A58" i="14"/>
  <c r="A54" i="14"/>
  <c r="A68" i="14"/>
  <c r="A71" i="14"/>
  <c r="A118" i="14"/>
  <c r="A121" i="14"/>
  <c r="A122" i="14"/>
  <c r="A104" i="14"/>
  <c r="A107" i="14"/>
  <c r="A108" i="14"/>
  <c r="A90" i="14"/>
  <c r="A92" i="14"/>
  <c r="A94" i="14"/>
  <c r="A77" i="14"/>
  <c r="A80" i="14"/>
  <c r="A85" i="14"/>
  <c r="A88" i="14"/>
  <c r="A89" i="14"/>
  <c r="A99" i="14"/>
  <c r="A102" i="14"/>
  <c r="A103" i="14"/>
  <c r="A95" i="14"/>
  <c r="A97" i="14"/>
  <c r="A98" i="14"/>
  <c r="A123" i="14"/>
  <c r="A125" i="14"/>
  <c r="A126" i="14"/>
  <c r="A109" i="14"/>
  <c r="A112" i="14"/>
  <c r="A113" i="14"/>
  <c r="A114" i="14"/>
  <c r="A116" i="14"/>
  <c r="A117" i="14"/>
  <c r="A127" i="14"/>
  <c r="A130" i="14"/>
  <c r="A131" i="14"/>
  <c r="A143" i="14"/>
  <c r="A145" i="14"/>
  <c r="A146" i="14"/>
  <c r="A138" i="14"/>
  <c r="A141" i="14"/>
  <c r="A142" i="14"/>
  <c r="A134" i="14"/>
  <c r="A137" i="14"/>
  <c r="M49" i="14" l="1"/>
  <c r="M29" i="14"/>
  <c r="M40" i="14"/>
  <c r="M118" i="14"/>
  <c r="M77" i="14"/>
  <c r="M123" i="14"/>
  <c r="M127" i="14"/>
  <c r="M54" i="14"/>
  <c r="M104" i="14"/>
  <c r="M95" i="14"/>
  <c r="M133" i="14"/>
  <c r="M53" i="14"/>
  <c r="M114" i="14"/>
  <c r="M148" i="14"/>
  <c r="M72" i="14"/>
  <c r="M55" i="14"/>
  <c r="M85" i="14"/>
  <c r="M109" i="14"/>
  <c r="M138" i="14"/>
  <c r="M132" i="14"/>
  <c r="M39" i="14"/>
  <c r="M68" i="14"/>
  <c r="M25" i="14"/>
  <c r="M90" i="14"/>
  <c r="M99" i="14"/>
  <c r="M147" i="14"/>
  <c r="M143" i="14"/>
  <c r="M134" i="14"/>
  <c r="M33" i="14"/>
  <c r="M6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<sst xmlns="http://schemas.openxmlformats.org/spreadsheetml/2006/main" count="2605" uniqueCount="824">
  <si>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</si>
  <si>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</si>
  <si>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</si>
  <si>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</si>
  <si>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</si>
  <si>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</si>
  <si>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</si>
  <si>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</si>
  <si>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</si>
  <si>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</si>
  <si>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</si>
  <si>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</si>
  <si>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</si>
  <si>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</si>
  <si>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</si>
  <si>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</si>
  <si>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</si>
  <si>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</si>
  <si>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Ingeniería Industrial</t>
  </si>
  <si>
    <t>Presencial</t>
  </si>
  <si>
    <t>El egresado del programa de Ingeniería Industrial del Politécnico Grancolombiano es un profesional integral, ético y competente, con sólida formación en ciencias básicas, ingeniería, gestión organizacional y tecnologías de la información, capacitado para concebir, diseñar, implementar y operar soluciones innovadoras en sistemas productivos, logísticos y de cadena de suministro. Está preparado para identificar, formular y resolver problemas complejos mediante el uso riguroso de herramientas cuantitativas y cualitativas, considerando restricciones técnicas, económicas, sociales y ambientales. Demuestra pensamiento sistémico y crítico, toma decisiones fundamentadas bajo condiciones de incertidumbre y gestiona eficientemente el tiempo y los recursos. Se comunica con claridad en entornos técnicos y no técnicos, trabaja de forma colaborativa en equipos multidisciplinarios, y lidera proyectos de mejora e innovación con responsabilidad social, compromiso con la sostenibilidad y disposición al aprendizaje permanente.</t>
  </si>
  <si>
    <t>El ingeniero industrial del Politécnico Grancolombiano cuenta con sólidas competencias en el diseño, análisis, gestión y control de sistemas productivos y de servicios, capaz de integrar recursos humanos, materiales, tecnológicos y financieros para mejorar la eficiencia, la calidad y la sostenibilidad organizacional. Su formación le permite aplicar principios de ingeniería, metodologías de mejora continua, herramientas de análisis de datos, tecnologías emergentes y enfoques de innovación para la solución de problemas complejos en entornos dinámicos y globalizados. Por lo tanto, podrá desempeñarse en campos como la gestión de operaciones, logística y cadena de suministro, control y aseguramiento de la calidad, planeación y control de la producción, gestión de proyectos, ingeniería de procesos, gestión de la innovación, manejo eficiente de recursos, sostenibilidad empresarial, análisis y gestión de riesgos, consultoría estratégica y transformación digital. Su versatilidad le permite aportar valor en sectores como manufactura, servicios, salud, transporte, energía, agroindustria, tecnología, construcción y organizaciones públicas y privadas, liderando iniciativas que generen ventajas competitivas y contribuyan al desarrollo social y económico.</t>
  </si>
  <si>
    <t>Fundamentos de ciencia aplicada, ingeniería y tecnologías de información</t>
  </si>
  <si>
    <t>solucionar problemas complejos de ingeniería</t>
  </si>
  <si>
    <t xml:space="preserve">teniendo en cuenta los impactos culturales, sociales, económicos y ambientales. </t>
  </si>
  <si>
    <t>Diseño, control y coordinación de procesos organizacionales y productivos en las empresas.
Dirección de producción, para la programación de actividades productivas, optimización de recursos físicos y desarrollo tecnológico.
Dirección administrativa, ejecutando las labores propias de la administración, planeación organización, ejecución y control.
Dirección de planeación, analizando y proyectando la utilización de recursos, físicos, humanos y económicos.
Dirección de organización y métodos, manejando la optimización de procesos de la organización desde la perspectiva de tiempos, volúmenes, formas de papelería y recursos.
Dirección de compras, efectuando la labor de manejo de inventarios, generación de órdenes de compra y costos de almacén.
Dirección de control de calidad, controlando los procesos de análisis estadístico de calidad en empresas de tipo industrial y coordinando las labores de estandarización de procesos para la obtención de certificados de calidad.</t>
  </si>
  <si>
    <t xml:space="preserve">Diseño, planeación e implementar procesos logísticos, productivos y organizacionales
Administración de áreas organizacionales y de recursos.
Administración y gestión de procesos productivos, logísticos y organizacionales.
Resolución de problemas complejos asociados a los procesos organizacionales.
Gestión, optimización de inventarios y compras.
Gestión de la seguridad y salud en el trabajo.
Gestión y administración de la calidad
</t>
  </si>
  <si>
    <t xml:space="preserve">Organizaciones con y sin ánimo de lucro/ Empresas de todos los sectores de la económica en áreas asociadas a la ingeniería industrial/Población social por medio de entidades sin ánimo de lucro o entidades gubernamentales.
</t>
  </si>
  <si>
    <t xml:space="preserve">El programa posee un enfoque en el uso de herramientas analíticas avanzadas y de gestión estratégica adaptadas a la Industria incluye y formación especializada en Lean Six Sigma-Green Belt, Logística Integral y Planeación Estratégica para Inteligencia de Negocios, permitiendo a los estudiantes desarrollar proyectos aplicados en estas áreas.
</t>
  </si>
  <si>
    <t>Operaciones e instalaciones organizacionales</t>
  </si>
  <si>
    <t>generar estrategias de mejoramiento continuo de los procesos asociados a bienes y servicios eficientes y de calidad</t>
  </si>
  <si>
    <t xml:space="preserve">que propicien la sostenibilidad organizacional. </t>
  </si>
  <si>
    <t xml:space="preserve">Técnicas, herramientas y metodologías ingenieriles </t>
  </si>
  <si>
    <t>reconocer, evaluar y optimizar los recursos humanos, físicos, técnicos y operativos de los procesos productivos</t>
  </si>
  <si>
    <t xml:space="preserve">a partir del diagnóstico de problemas complejos de ingeniería y la comprensión de las limitaciones asociadas. </t>
  </si>
  <si>
    <t>Sistemas, componentes, procesos, productos e instalaciones</t>
  </si>
  <si>
    <t>satisfacer las necesidades y expectativas del cliente, la organización y las partes interesadas</t>
  </si>
  <si>
    <t>de forma que promuevan la seguridad y salud de los trabajadores así como el cuidado del medio ambiente.</t>
  </si>
  <si>
    <t>Proyectos productivos o de investigación,  incluyendo el diseño y la conducción de experimentos</t>
  </si>
  <si>
    <t>impulsar el establecimiento y desarrollo organizacional y estimular la generación de empleos y mejores condiciones de vida</t>
  </si>
  <si>
    <t xml:space="preserve">a partir de resultados y conclusiones válidas y confiables. </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</si>
  <si>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</si>
  <si>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</si>
  <si>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</si>
  <si>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</si>
  <si>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</si>
  <si>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</si>
  <si>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</si>
  <si>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</si>
  <si>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</si>
  <si>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</si>
  <si>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</si>
  <si>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</si>
  <si>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</si>
  <si>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</si>
  <si>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</si>
  <si>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</si>
  <si>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</si>
  <si>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</si>
  <si>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</si>
  <si>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solucionar problemas complejos de Ingeniería</t>
  </si>
  <si>
    <t xml:space="preserve">Dominar los fundamentos de ciencia aplicada, ingeniería y tecnologías de información para solucionar problemas complejos de Ingeniería, teniendo en cuenta los impactos culturales, sociales, económicos y ambientales. </t>
  </si>
  <si>
    <t>Específica</t>
  </si>
  <si>
    <t>Coordinar</t>
  </si>
  <si>
    <t>Coordinar operaciones e instalaciones organizacionales para generar estrategias de mejoramiento continuo de los procesos asociados a bienes y servicios eficientes y de calidad, que propicien por la sostenibilidad organizacional.</t>
  </si>
  <si>
    <t>Implementar</t>
  </si>
  <si>
    <t xml:space="preserve">Implementar técnicas, herramientas y metodologías ingenieriles para reconocer, evaluar y optimizar los recursos humanos, físicos, técnicos y operativos de todo un proceso productivo, a partir del diagnóstico de problemas complejos de ingeniería y la comprensión de las limitaciones asociadas. </t>
  </si>
  <si>
    <t>Diseñar</t>
  </si>
  <si>
    <t xml:space="preserve">satisfacer las necesidades y expectativas del cliente, la organización y las partes interesadas. </t>
  </si>
  <si>
    <t>Diseñar sistemas, componentes, procesos, productos e instalaciones para satisfacer las necesidades y expectativas del cliente, las organizaciones y las partes interesadas, de forma que propicien la seguridad y salud de los trabajadores y el cuidado del medio ambiente.</t>
  </si>
  <si>
    <t>Formular</t>
  </si>
  <si>
    <r>
      <t xml:space="preserve">Formular </t>
    </r>
    <r>
      <rPr>
        <sz val="11"/>
        <color rgb="FF000000"/>
        <rFont val="Gill Sans MT"/>
        <family val="2"/>
      </rPr>
      <t>proyectos productivos o de investigación para impulsar el desarrollo organizacional y propiciar mejores condiciones de vida, a partir de resultados y conclusiones válidas y confiables.</t>
    </r>
  </si>
  <si>
    <t>Analizar</t>
  </si>
  <si>
    <t>reconocer sus afectaciones o contribuciones en el marco de las ciudadanías globales y de una sociedad responsable y sostenible.</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</si>
  <si>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</si>
  <si>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</si>
  <si>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</si>
  <si>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</si>
  <si>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</si>
  <si>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</si>
  <si>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</si>
  <si>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</si>
  <si>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</si>
  <si>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</si>
  <si>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</si>
  <si>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</si>
  <si>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</si>
  <si>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</si>
  <si>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</si>
  <si>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</si>
  <si>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</si>
  <si>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</si>
  <si>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</si>
  <si>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</si>
  <si>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</si>
  <si>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</si>
  <si>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ComprensiónBAK</t>
  </si>
  <si>
    <t>Identificar</t>
  </si>
  <si>
    <t>Identifica leyes y lenguajes de las ciencias naturales y matemáticas que permiten abordar situaciones o problemas ingenieriles, para estructurar propuestas de solución en las cuales estas se apliquen, según las condiciones del problema y sus implicaciones cuando corresponda.</t>
  </si>
  <si>
    <t>ProcedimentalBAK</t>
  </si>
  <si>
    <t>PrecisiónBAK</t>
  </si>
  <si>
    <t>Aplicar</t>
  </si>
  <si>
    <t>Aplica conocimientos y métodos de las ciencias y las matemáticas (método científico, diseño de experimentos, análisis e interpretación de datos y síntesis de información, entre otros), para modelar sistemas, componentes, instalaciones y procesos productivos y de servicio que resuelvan problemas de ingeniería.</t>
  </si>
  <si>
    <t>ActitudinalBAK</t>
  </si>
  <si>
    <t>ValorarBAK</t>
  </si>
  <si>
    <t>Diagnosticar</t>
  </si>
  <si>
    <t xml:space="preserve">Diagnostica los recursos humanos, físicos, técnicos y operativos necesarios en la creación y producción de bienes o prestación de servicios de contextos organizacionales, que permiten garantizar la productividad, la calidad, la competitividad y la sostenibilidad, para determinar las condiciones, necesidades, requisitos e impactos tanto de la seguridad y salud de los trabajadores como del cuidado del medio ambiente y el bienestar de las personas. </t>
  </si>
  <si>
    <t xml:space="preserve">Identifica los componentes y factores que garantizan la eficiencia operativa de sistemas, procesos, productos, instalaciones y proyectos, en situaciones o problemas que emergen en contextos organizacionales, según sus necesidades y condiciones, para determinar qué oportunidades de mejora existen o son requeridas por las partes interesadas. </t>
  </si>
  <si>
    <t>ManipulaciónBAK</t>
  </si>
  <si>
    <t>Diseña procesos, componentes, sistemas e instalaciones, teniendo en cuenta las restricciones del contexto, para proponer estrategias, soluciones o proyectos que resuelvan problemas o atiendan las necesidades industriales que emergen en situaciones del sector o de las organizaciones.</t>
  </si>
  <si>
    <t>AnálisisBAK</t>
  </si>
  <si>
    <t>Establecer</t>
  </si>
  <si>
    <t>Establece las técnicas, herramientas y metodologías ingenieriles que son adecuadas de usar para estructurar planteamientos referentes al tratamiento de la información relacionada con los sistemas, los procesos y las actividades de proyectos o de las propias organizaciones que permitan un análisis objetivo y confiable de estos.</t>
  </si>
  <si>
    <t>Usar</t>
  </si>
  <si>
    <t xml:space="preserve">Usa técnicas, herramientas y metodologías ingenieriles para reconocer, evaluar y optimizar los recursos humanos, físicos, técnicos y operativos necesarios en la creación y producción de bienes o prestación de servicios, en toda clase de situaciones organizacionales o del sector industrial.  </t>
  </si>
  <si>
    <t xml:space="preserve">Identifica los componentes y factores que garantizan la eficiencia operativa de sistemas, procesos, productos, instalaciones y proyectos, en situaciones o problemas que emergen en contextos organizacionales según sus necesidades y condiciones, para determinar qué oportunidades de mejora existen o son requeridas por las partes interesadas. </t>
  </si>
  <si>
    <t>Formular proyectos productivos o de investigación para impulsar el desarrollo organizacional y propiciar mejores condiciones de vida, a partir de resultados y conclusiones validas y confiables.</t>
  </si>
  <si>
    <t>Bloom</t>
  </si>
  <si>
    <t>CognitivoB</t>
  </si>
  <si>
    <t>ComprensiónB</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</si>
  <si>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</si>
  <si>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</si>
  <si>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</si>
  <si>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</si>
  <si>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</si>
  <si>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</si>
  <si>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</si>
  <si>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</si>
  <si>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</si>
  <si>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</si>
  <si>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</si>
  <si>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</si>
  <si>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</si>
  <si>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</si>
  <si>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</si>
  <si>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</si>
  <si>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</si>
  <si>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</si>
  <si>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</si>
  <si>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</si>
  <si>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</si>
  <si>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</si>
  <si>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</si>
  <si>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</si>
  <si>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</si>
  <si>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</si>
  <si>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</si>
  <si>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</si>
  <si>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</si>
  <si>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Simposio Internacional de Productividad</t>
  </si>
  <si>
    <t>Evento con invitados nacionales e internacionales  propiciado para dialogar, compartir, construir conocimiento y diseñar acciones, cuya implementación ofrezca solución a problemáticas organizacionales, actuales y futuras, impactando positivamente la calidad de vida y competitividad de la región y del país.</t>
  </si>
  <si>
    <t>Número de estudiantes del programa que participan en la estrategia.</t>
  </si>
  <si>
    <t>Informar y formar sobre temas en tendencia asociados a la profesión.</t>
  </si>
  <si>
    <t>Listado de participación</t>
  </si>
  <si>
    <t>Valoración de los estudiantes respecto a la contribución que da la estrategia a los resultados de aprendizaje asociados.</t>
  </si>
  <si>
    <t>Encuesta</t>
  </si>
  <si>
    <t>Número de eventos realizados en el periodo de tiempo que establezca el programa.</t>
  </si>
  <si>
    <t>Reporte, Informe o Memorias</t>
  </si>
  <si>
    <t>Jornadas Lúdicas Internacionales</t>
  </si>
  <si>
    <t xml:space="preserve">Espacio generado con el fin de que los participantes de las actividades lúdicas se apropien del conocimiento de una forma más natural, motivante y esporádica, a partir del principio del juego para el desarrollo de competencias, habilidades, destrezas y conocimientos, en el que se espera propiciar en los participantes un aprendizaje significativo. </t>
  </si>
  <si>
    <t>Número de veces que se realiza la estrategia en el periodo de tiempo que establezca el programa.</t>
  </si>
  <si>
    <t>Congreso internacional en Logística</t>
  </si>
  <si>
    <t>Evento que convoca expositores nacionales e internacionales, cuyo objetivo es mostrar las investigaciones y desarrollos en torno al ámbito de la logística y la cadena de suministro de diferentes sectores económicos. Su objetivo es mostrar la aplicación de la logística y las nuevas líneas de investigación, así como su aplicación en el sector real.</t>
  </si>
  <si>
    <t>Congreso internacional en BI</t>
  </si>
  <si>
    <t>Evento que convoca expositores nacionales e internacionales, cuyo objetivo es mostrar las investigaciones y desarrollos en torno al ámbito de la inteligencia de negocios en diferentes sectores económicos. Su objetivo es mostrar la aplicación de la inteligencia de negocios y las nuevas líneas de investigación, así como su aplicación en el sector real.</t>
  </si>
  <si>
    <t>Clases espejo</t>
  </si>
  <si>
    <t>Actividad en donde docentes de universidades internacionales brindan a los estudiantes del programa charlas sobre tópicos propios de la ingeniería industrial, principalmente sobre la aplicación del que hacer del ingeniero en el sector real, así mismo se corresponde dichas charlas por parte de los docentes del programa a universidades internacionales.</t>
  </si>
  <si>
    <t>Formar a los estudiantes sobre temas de la profesión y su manejo en contextos nacionales e internacionales.</t>
  </si>
  <si>
    <t>Reporte o Informe</t>
  </si>
  <si>
    <t>Visitas empresariales</t>
  </si>
  <si>
    <t>En esta actividad los estudiantes tienen la oportunidad de realizar visitas a empresas de diferentes sectores, con el objeto de reconocer procesos, actividades, herramientas y maquinaria propia del que hacer del ingeniero industrial, así como identificar de manera guiada la manera en que se realiza dicho bien o servicio.</t>
  </si>
  <si>
    <t>Formar a los estudiantes sobre temas disciplinares y su manejo en contextos procedimentales.</t>
  </si>
  <si>
    <t>Webinars</t>
  </si>
  <si>
    <t>Esta actividad permite recibir charlas de expertos en diferentes campos relacionados con la ingeniería industrial que les permita narrar sus experiencias y labor como ingenieros en el sector real, esto le permite al estudiante reconocer dichas experiencias y comprender la manera en que han solucionado problemas dentro de su campo laboral.</t>
  </si>
  <si>
    <t>Formar a los estudiantes sobre temas de la profesión.
Prevenir y ayudar a tomar decisiones a los estudiantes, según los resultados obtenidos.</t>
  </si>
  <si>
    <t>Semilleros de Investigación</t>
  </si>
  <si>
    <t>Espacio en el que los estudiantes tienen la oportunidad de desarrollar y fortalecer sus competencias en ingeniería industrial y de otras áreas pertinentes a la ingeniería, así como de el aprendizaje en modelos  de investigación al desarrollar proyectos prácticos que resuelvan problemas complejos, así como de mejora de sistemas productivos y organizacionales.</t>
  </si>
  <si>
    <t>Informar y formar haciendo apropiación social del conocimiento sobre los documentos y el saber generado por los estudiantes del programa.</t>
  </si>
  <si>
    <t>Redes de Semilleros</t>
  </si>
  <si>
    <t>Espacios en los que los estudiantes y docentes del programa muestran resultados sobre investigaciones realizadas en el marco de la ingeniería industrial, así como la asistencia en ponencias de interés sobre ingeniería y las tendencias que mueven el marco de la profesión.</t>
  </si>
  <si>
    <t>Consultorías Empresas</t>
  </si>
  <si>
    <t>Desarrollo de consultorías en empresas de orden regional con el objeto de identificar oportunidades de mejora, realizar diagnósticos propios de ingeniería industrial en diversos campos, áreas y procesos de las organizaciones, así como la búsqueda de implementación de dichas propuestas en las organizaciones.</t>
  </si>
  <si>
    <t>Informar y formar haciendo apropiación social del conocimiento sobre el saber alcanzado por los estudiantes del programa.</t>
  </si>
  <si>
    <t>Proyectos COIL</t>
  </si>
  <si>
    <t xml:space="preserve">Proyectos en los cuales se aplica una metodología pedagógica colaborativa en línea con participación intercultural que busca la colaboración internacional entre varias instituciones educativas a través del apoyo de las tics con el fin de ofrecer  los participantes un aprendizaje global y experiencias interculturales en el aula. </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</si>
  <si>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</si>
  <si>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</si>
  <si>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</si>
  <si>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</si>
  <si>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</si>
  <si>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</si>
  <si>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</si>
  <si>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</si>
  <si>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</si>
  <si>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</si>
  <si>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</si>
  <si>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</si>
  <si>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</si>
  <si>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</si>
  <si>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</si>
  <si>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</si>
  <si>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</si>
  <si>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</si>
  <si>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</si>
  <si>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</si>
  <si>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</si>
  <si>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</si>
  <si>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</si>
  <si>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</si>
  <si>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</si>
  <si>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</si>
  <si>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</si>
  <si>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</si>
  <si>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</si>
  <si>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</si>
  <si>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</si>
  <si>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Fundamentos de Química</t>
  </si>
  <si>
    <t>Identifica los conceptos fundamentales de la química para analizar contextos reales y situaciones de aprendizaje.
Aplica los principios de la electroquímica y la termoquímica para el análisis de contextos reales o planteados en laboratorio.</t>
  </si>
  <si>
    <t>TP</t>
  </si>
  <si>
    <t>X</t>
  </si>
  <si>
    <t>1. Lenguaje de la química y cálculos estequiométricos
2. Estados de agregación de la materia y gases ideales
3. Soluciones y pH
4. Termoquímica y electroquímica</t>
  </si>
  <si>
    <t>Las estrategias pueden variar entre estas y otras que emerjan en el proceso formativo.
Trabajo directo: 
Lecturas, vídeos o simulaciones exploratorias al inicio de cada núcleo temático
Talleres introductorios a la temática
Prerrequisitos de nociones y conceptos
Talleres extra clase de aplicación
Sesiones expositivas del profesor
Trabajo independiente:
Talleres, laboratorios, vídeos o simulaciones en temáticas de estudio. Trabajo grupal
Exposiciones de conclusiones y resultados obtenidos en talleres, laboratorios, vídeos o simulaciones
PIF
Laboratorios presenciales o con simuladores</t>
  </si>
  <si>
    <t>Las estrategias pueden variar entre estas y otras que emerjan en el proceso formativo.
Evaluación formativa: 
Entrega parcial de PIF
Pruebas escritas sobre contenidos desarrollados en talleres
Evaluación sumativa:
Quizzes sobre contenidos de sesiones expositivas o talleres de aplicación Evaluación parcial de período o examen final
Entrega final de PIF
Evaluación oral o escrita de los laboratorios</t>
  </si>
  <si>
    <t>Las acciones de realimentación varían entre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</si>
  <si>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</si>
  <si>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</si>
  <si>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</si>
  <si>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Las estrategias pueden variar entre estas y otras que emerjan en el proceso formativo.
Trabajo directo:
Clase magistral activa
Trabajo independiente: 
Lecturas
Laboratorios, talleres, resolución de problemas</t>
  </si>
  <si>
    <t>Las estrategias pueden variar entre estas y otras que emerjan en el proceso formativo.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</si>
  <si>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</si>
  <si>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Pensamiento Algorítmico </t>
  </si>
  <si>
    <t xml:space="preserve">Identifica variables relevantes, su naturaleza y la forma en que se relacionan para modelar un problema computacional básico.
Implementa expresiones matemáticas y estructuras básicas de programación para desarrollar soluciones a problemas computacionales básicos.
</t>
  </si>
  <si>
    <t>T</t>
  </si>
  <si>
    <t>1. Fundamentos de pensamiento algorítmico 
2. Modelado y especificación de problemas 
3. Estructuras básicas de un algoritmo 
4. Relaciones de recurrencias</t>
  </si>
  <si>
    <t>Las estrategias pueden variar entre estas y otras que emerjan en el proceso formativo.
Trabajo directo:
Clase magistral activa
Ejemplos y talleres en clase
Trabajo independiente:
Lecturas complementarias
Talleres de trabajo autónomo
Actividades de refuerzo
Tutorías o monitorias</t>
  </si>
  <si>
    <t>Las estrategias pueden variar entre estas y otras que emerjan en el proceso formativo.
Evaluación formativa:
Trabajo en clase
Evaluación sumativa:
Pruebas conceptuales
Trabajo en clase
Exámenes
Avances del proyecto de aula</t>
  </si>
  <si>
    <t>Introducción a la Ingeniería y Ciencias Básicas </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</si>
  <si>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</si>
  <si>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</si>
  <si>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Las estrategias pueden variar entre estas y otras que emerjan en el proceso formativo.
Trabajo directo:
Clase magistral activa
Estudio de casos
Resolución de problemas
Trabajo independiente:
Estudio de casos
Resolución de problemas
Desarrollo de proyectos
Talleres
Exposiciones
Pruebas escritas</t>
  </si>
  <si>
    <t>Las estrategias pueden variar entre estas y otras que emerjan en el proceso formativo.
Evaluación formativa:
Exposiciones
PIF
Evaluación sumativa:
Trabajos escritos
Exposiciones
PIF</t>
  </si>
  <si>
    <t>Dibujo Técnico </t>
  </si>
  <si>
    <t xml:space="preserve">Reconoce las normas del dibujo técnico en torno a las diferentes disciplinas para dibujar planos claros, completos y normalizados.  
Usa las herramientas software CAD, en torno al dibujo técnico para desarrollar piezas, ensamble y planos según las especificaciones establecidas. </t>
  </si>
  <si>
    <t xml:space="preserve">1. Elementos básicos del dibujo y relaciones geométricas 
2. Modelado bidimensional, planos técnicos acotado, ajustes y tolerancias 
3. Modelado 3D por adicción y por sustracción 
4. Operaciones de modelado 3D  </t>
  </si>
  <si>
    <t>Las estrategias pueden variar entre estas y otras que emerjan en el proceso formativo.
Trabajo directo
Clase magistral activa
Lecturas
Talleres individuales 
Trabajo independiente
Talleres</t>
  </si>
  <si>
    <t>Las estrategias pueden variar entre estas y otras que emerjan en el proceso formativo.
Evaluación formativa:
Resolución de problemas
Proyectos
Talleres
Evaluación sumativa:
Talleres</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</si>
  <si>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</si>
  <si>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sobre los impactos de los avances tecnológicos en el ámbito profesional y ciudadano para generar análisis alrededor de estos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</si>
  <si>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</si>
  <si>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Las estrategias pueden variar entre estas y otras que emerjan en el proceso formativo.
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</si>
  <si>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</si>
  <si>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Cálculo Diferencial </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</si>
  <si>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</si>
  <si>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</si>
  <si>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Las estrategias pueden variar entre estas y otras que emerjan en el proceso formativo.
Trabajo directo:
Clases magistrales
Talleres /laboratorios
Soluciones numéricas
Uso de herramientas computacionales
Resolución de problemas
Trabajo independiente:
Lecturas
Resolución de problemas
Soluciones numéricas
Uso de herramientas computacionales</t>
  </si>
  <si>
    <t xml:space="preserve">Las estrategias pueden variar entre estas y otras que emerjan en el proceso formativo.
Evaluación formativa:
Resolución de problemas. - Soluciones numéricas. - Uso de herramientas computacionales. - Tareas. 
Evaluación sumativa:
Evaluación parcial. - Quiz. - Taller / Laboratorios. - Proyecto de investigación formativa
</t>
  </si>
  <si>
    <t>Programación de Computadores </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</si>
  <si>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</si>
  <si>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 xml:space="preserve">1. Fundamentos de programación de computadores
2. Estructuras de control
3. Estructuras de datos básicas
4. Recursividad
</t>
  </si>
  <si>
    <t>Las estrategias pueden variar entre estas y otras que emerjan en el proceso formativo.
Trabajo directo:
Clase magistral
Ejemplos y talleres en clase
Trabajo independiente:
Lecturas complementarias
Talleres de trabajo autónomo
Actividades de refuerzo
Tutorías o monitorias</t>
  </si>
  <si>
    <t>Álgebra Lineal </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</si>
  <si>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</si>
  <si>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</si>
  <si>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Las estrategias pueden variar entre estas y otras que emerjan en el proceso formativo.
Trabajo directo: 
Clases magistrales 
Talleres / Laboratorios
Soluciones numéricas
Uso de herramientas computacionales
Resolución de problemas
Trabajo independiente: 
Lecturas
Resolución de problemas 
Soluciones numéricas
Uso de herramientas computacionales</t>
  </si>
  <si>
    <t>Las estrategias pueden variar entre estas y otras que emerjan en el proceso formativo.
Evaluación formativa:
Resolución de problemas. - Soluciones numéricas. - Uso de herramientas computacionales. - Tareas. 
Evaluación sumativa:
Evaluación parcial. - Quiz. - Taller / Laboratorios. - Proyecto de investigación formativa</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</si>
  <si>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</si>
  <si>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</si>
  <si>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</si>
  <si>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Las estrategias pueden variar entre estas y otras que emerjan en el proceso formativo.
Trabajo directo:
Clase magistral activa combinada con estrategias de metodologías activas
Trabajo independiente:
Lecturas
Laboratorios
Talleres
Estudios de caso.</t>
  </si>
  <si>
    <t>Las estrategias pueden variar entre estas y otras que emerjan en el proceso formativo.
Evaluación formativa: Preguntas intercaladas, presentaciones de situaciones problema, talleres, exposiciones, análisis de casos, trabajos de campo o proyectos.
Evaluación sumativa: Valoración de trabajo, talleres, estudios de casos y una evaluación final.</t>
  </si>
  <si>
    <t>Diseño de Nuevos Productos</t>
  </si>
  <si>
    <t>Identifica oportunidades de solución innovadoras para crear productos que se ajusten a los requerimientos en un contexto real o situación de aprendizaje teniendo en cuenta criterios de la responsabilidad social.
Maneja herramientas del diseño asistido por computador para proponer alternativas de solución de productos, a problemas del contexto real o planteados en el laboratorio.</t>
  </si>
  <si>
    <t>1. Metodología para el desarrollo de producto
2. Introducción a la propiedad intelectual
3. Niveles de desarrollo
4. Aspectos sociales</t>
  </si>
  <si>
    <t>Las estrategias pueden variar entre estas y otras que emerjan en el proceso formativo.
Trabajo directo:
Clase magistral activa y apoyo con metodologías activas
Trabajo independiente:
Metodologías activas
Desarrollo de proyectos
Talleres
Exposiciones
Pruebas escritas</t>
  </si>
  <si>
    <t>Las estrategias pueden variar entre estas y otras que emerjan en el proceso formativo.
Evaluación formativa:
Preguntas intercaladas
Mesas de discusión
Evaluación sumativa: 
Mapa conceptual, resumen, ensayo o Visual Specch 
Quizes
Exámenes Parciales 
Talleres grupales
Estudios de casos
Entregas Proyecto de investigación Formativa
Sustentación final PIF
Exposiciones</t>
  </si>
  <si>
    <t>Pensamiento Crítico y Ciudadanías Activas</t>
  </si>
  <si>
    <t xml:space="preserve">Identifica los derechos y deberes consignados en la Constitución de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</si>
  <si>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</si>
  <si>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Las estrategias pueden variar entre estas y otras que emerjan en el proceso formativo.
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</si>
  <si>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</si>
  <si>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Cálculo Integral </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</si>
  <si>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</si>
  <si>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</si>
  <si>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Las estrategias pueden variar entre estas y otras que emerjan en el proceso formativo.
Evaluación formativa:
Resolución de problemas
Soluciones numéricas
Uso de herramientas computacionales
Tareas
Evaluación sumativa:
Evaluación parcial
Quiz
Talleres</t>
  </si>
  <si>
    <t>Organización y Métodos </t>
  </si>
  <si>
    <t>Analiza procesos organizacionales y productivos aplicando técnicas del estudio del trabajo, para identificar oportunidades de mejora que respondan a  las necesidades de productividad y calidad.
Utiliza herramientas de planificación y control de proyectos, para organizar procesos y operaciones con criterios de eficiencia, teniendo en cuenta el cumplimiento de plazos y el manejo de recursos.</t>
  </si>
  <si>
    <t>1. Productividad y estudio del trabajo 
2. Estudio de métodos y tiempos  
3. Herramientas básicas de calidad para la productividad 
4. Métodos de ingeniería para la programación y control de procesos</t>
  </si>
  <si>
    <t xml:space="preserve">Análisis Descriptivo de Datos </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</si>
  <si>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</si>
  <si>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</si>
  <si>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 xml:space="preserve">Las estrategias pueden variar entre estas y otras que emerjan en el proceso formativo.
Trabajo directo
Clase magistral activa
Lecturas
Talleres individuales 
Trabajo independiente
Lecturas
Talleres
</t>
  </si>
  <si>
    <t>Las estrategias pueden variar entre estas y otras que emerjan en el proceso formativo.
Evaluación formativa:
Resolución de problemas
Proyectos
Talleres
Evaluación sumativa:
Talleres
Exposiciones grupales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</si>
  <si>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</si>
  <si>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</si>
  <si>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</si>
  <si>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Las estrategias pueden variar entre estas y otras que emerjan en el proceso formativo.
Trabajo directo:
Clase magistral activa combinada con estrategias de metodologías activas
Trabajo independiente:
Lecturas. Laboratorios, talleres, estudios de caso.</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</si>
  <si>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</si>
  <si>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</si>
  <si>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</si>
  <si>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</si>
  <si>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Cálculo Vectorial </t>
  </si>
  <si>
    <t>Aplica representaciones matemáticas escalares y vectoriales para analizar situaciones que involucren procesos de derivación e integración en varias variables en la interpretación de resultados en contextos matemáticos y aplicados.</t>
  </si>
  <si>
    <t>1. Geometría del plano y del espacio
2. Funciones de varias variables
3. Integrales múltiples
4. Cálculo vectorial</t>
  </si>
  <si>
    <t>Las estrategias pueden variar entre estas y otras que emerjan en el proceso formativo.
Trabajo directo:
Prácticas guiadas de laboratorio y simulación.
Clase magistral activa
Trabajo independiente:
Prácticas de laboratorio y simulación
Lecturas
Desarrollo de cuestionarios teórico-prácticos
Desarrollo de proyectos de aula</t>
  </si>
  <si>
    <t>Las estrategias pueden variar entre estas y otras que emerjan en el proceso formativo.
Formativas:
Prácticas de laboratorio y simulación
Proyecto de aula
Sumativas:
Evaluaciones teórico - prácticas
Proyecto de aula
Quices</t>
  </si>
  <si>
    <t>Ergonomía y Factores Humanos </t>
  </si>
  <si>
    <t>Identifica los factores ergonómicos que influyen en el desempeño y la salud del trabajador, con base en las características y capacidades humanas, para aplicar herramientas de análisis en la evaluación de puestos de trabajo.
Analiza condiciones de diseño de máquinas, herramientas, puestos de trabajo, procesos y tareas, para proponer diseños ergonómicos orientados a mejorar el bienestar y desempeño del ser humano en el campo laboral.</t>
  </si>
  <si>
    <t>1. Introducción a la ergonomía y los factores humanos
2. Características y capacidades humanas I
3. Características y capacidades humanas II
4. Evaluación y diseño ergonómico</t>
  </si>
  <si>
    <t>Trabajo directo:
Catedra magistral activa
Lecturas
Aprendizaje basado en proyectos
Trabajo independiente
Desarrollo de actividades y revisión de material de apoyo en los espacios de interacción facilitados por el docente LMS Teams, Correo, Plataformas Tecnológicas)
Talleres
Revisión y estudio de material de apoyo
PIF (Entrega de avances del Proyecto de Investigación Formativa)</t>
  </si>
  <si>
    <t>Las estrategias pueden variar entre estas y otras que emerjan en el proceso formativo.
Evaluación formativa:
Preguntas intercaladas
Simulaciones
Evaluación sumativa: 
Talleres
Entrega de documentos</t>
  </si>
  <si>
    <t>Estadística Predictiva </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</si>
  <si>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</si>
  <si>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t>
  </si>
  <si>
    <t>Las estrategias pueden variar entre estas y otras que emerjan en el proceso formativo.
Trabajo directo
Clase magistral activa
Lecturas
Talleres
Trabajo independiente
Lecturas
Talleres</t>
  </si>
  <si>
    <t>Física Mecánica </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</si>
  <si>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</si>
  <si>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</si>
  <si>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Las estrategias pueden variar entre estas y otras que emerjan en el proceso formativo.
Trabajo directo: 
Lecturas, vídeos y/o simulaciones exploratorias al inicio de cada núcleo temático.
Talleres introductorios a la temática. 
Prerrequisitos de nociones y conceptos.
Talleres extra clase de aplicación.
Sesiones expositivas del profesor
Trabajo independiente:
Talleres, laboratorios, vídeos y/o simulaciones en temáticas de estudio. Trabajo grupal
Exposiciones de conclusiones y resultados obtenidos en talleres, laboratorios, vídeos y/o simulaciones
PIF de la asignatura
Laboratorios presenciales o con simuladores</t>
  </si>
  <si>
    <t>Investigación de Operaciones </t>
  </si>
  <si>
    <t xml:space="preserve">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 </t>
  </si>
  <si>
    <t>1. Programación lineal y formulación 
2. Métodos de solución - Lenguaje de modelaje matemático 
3. Teoría de la dualidad y análisis de sensibilidad 
4. Flujo en redes</t>
  </si>
  <si>
    <t>Procesos Industriales </t>
  </si>
  <si>
    <t>Identifica las características propias de los materiales para seleccionar el método de mecanizado y/o fabricación adecuado en contextos reales y situaciones de aprendizaje.
Aplica los principios básicos del manejo y operación de equipos especializados de remoción de material para el análisis de procesos industriales en contextos reales o planteados en laboratorio.</t>
  </si>
  <si>
    <t>1. Procesos de manufactura
2. Materiales, características, procesos y aplicaciones
3. Procesos y maquinaria para la remoción de materiales y conformado
4. Procesos de unión, aplicaciones en los procesos industriales y procesos de acabados</t>
  </si>
  <si>
    <t>Fluidos y Termodinámica </t>
  </si>
  <si>
    <t>Identifica las cantidades, leyes y principios fundamentales de la termodinámica para analizar contextos reales y situaciones de aprendizaje.
Aplica las leyes y principios fundamentales de la termodinámica para desarrollarlas en los procesos de solución de situaciones prácticas.</t>
  </si>
  <si>
    <t>1. Conceptos básicos de fluidos y termodinámica
2. Formas de energía y primera Ley de la Termodinámica
3.Volumen de control y Sistemas de Flujo Estacionario
4. Segunda ley de la termodinámica y entropía</t>
  </si>
  <si>
    <t>Las estrategias pueden variar entre estas y otras que emerjan en el proceso formativo.
Evaluación formativa: Entrega parcial de PIF. Pruebas escritas sobre contenidos desarrollados en talleres. 
Evaluación sumativa: Quizzes sobre contenidos de sesiones expositivas o talleres de aplicación. Evaluación parcial de período o examen final. Entrega final de PIF. Evaluación oral o escrita de los laboratorios</t>
  </si>
  <si>
    <t>Producción </t>
  </si>
  <si>
    <t>Aplica métodos de pronóstico de la demanda a partir del análisis de su comportamiento histórico, para elaborar planes maestros de producción (MPS) y planes de requerimiento de materiales (MRP) según las necesidades de los sitemas de producción en contextos empresariales.
Organiza procesos de producción en sistemas productivos, para establecer esquemas básicos de programación que consideren criterios de sostenibilidad y seguridad.</t>
  </si>
  <si>
    <t xml:space="preserve">1. Estrategias de producción y gestión de la demanda - pronósticos 
2. Planeación global de la producción y Planeación de la capacidad 
3. Plan maestro de producción (MPS) y plan de requerimiento de materiales (MRP) 
4. Sistemas de producción </t>
  </si>
  <si>
    <t>Programación Estocástica </t>
  </si>
  <si>
    <t>Representa de forma sistémica, conceptual y matemática sistemas con un alto componente de aleatoriedad, para proponer soluciones a problemas propios de la ingeniería industrial mediante la formulación, implementación y análisis de modelos estocásticos. 
Establece los escenarios de incertidumbre en problemas contextualizados, con base en supuestos definidos, para estructurar representaciones de modelos estocásticos aplicables a sistemas industriales.</t>
  </si>
  <si>
    <t>1. Introducción a los procesos estocásticos  
2. Cadenas de Markov de tiempo discreto  
3. Cadenas de Markov de tiempo continuo  
4. Teoría de colas </t>
  </si>
  <si>
    <t>Costos y Presupuestos </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</si>
  <si>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</si>
  <si>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 xml:space="preserve">1. Conceptualización general de los costos 
2. Sistemas de costeo y aplicación de los costos en la toma de decisiones 
3. Presupuesto maestro
4. Estados financieros proyectados
</t>
  </si>
  <si>
    <t>Las estrategias pueden variar entre estas y otras que emerjan en el proceso formativo.
Trabajo directo: Presentación magistral de los ejes temáticos, con participación activa de los estudiantes a través de talleres, ejercicios, juegos de mesa o simuladores.
Trabajo independiente: 
Lecturas previas con bibliografía sugerida Desarrollo de talleres</t>
  </si>
  <si>
    <t xml:space="preserve">Las estrategias pueden variar entre estas y otras que emerjan en el proceso formativo.
Evaluación formativa:
Talleres, controles de lectura, estudio de caso, exposiciones.
Evaluación sumativa:
Talleres, quiz, controles de lectura, estudio de caso, exposiciones, parciales.
</t>
  </si>
  <si>
    <t>Simulación IND </t>
  </si>
  <si>
    <t xml:space="preserve">Estructura estudios de simulación a partir de la definición de un problema de ingeniería, la recolección y análisis de datos de entrada y la creación de un modelo conceptual con el fin de proponer mejoras en procesos de manufactura y servicios.  
Representa en una simulación de eventos discretos un proceso a partir de la selección adecuada de metodologías cuantitativas y conocimientos específicos de optimización matemática y modelaje de procesos para plantear propuestas que apoyen la toma de decisiones en contextos organizacionales. </t>
  </si>
  <si>
    <t>1. Introducción a la simulación 
2. Análisis de entrada y modelamiento básico 
3. Generación de variables aleatorias y modelamiento intermedio 
4. Análisis de salida y comparación de alternativas</t>
  </si>
  <si>
    <t>Proyecto Aplicado a Sistemas Productivos</t>
  </si>
  <si>
    <t>Analiza sistemas productivos en función de su variabilidad, cuellos de botella y desperdicio, para formular propuestas de mejora aplicando principios de ingeniería de métodos, balanceo de líneas y distribución de instalaciones.
Emplea herramientas digitales y tecnologías de información en el diseño y control de procesos productivos, para fortalecer la toma de decisiones en contextos industriales.</t>
  </si>
  <si>
    <t xml:space="preserve">1. Diagnóstico de sistemas productivos 
2. Diseño de proceso y distribución de instalaciones 
3. Fundamentos de dinámica de plantas 
4. Introducción al uso de tecnologías de información en diseños de sistemas productivos </t>
  </si>
  <si>
    <t>Logística IND </t>
  </si>
  <si>
    <t>Diagnostica las características funcionales de la cadena de abastecimiento y las etapas de la gestión logística (aprovisionamiento, producción y distribución–comercialización), para formular soluciones integrales que respondan a las necesidades de contextos organizacionales. 
Aplica herramientas cuantitativas básicas y técnicas de optimización matemática y de modelado para apoyar la toma de decisiones en el diseño, planificación y operación logística de la cadena de suministro, considerando ventajas, limitaciones y condiciones del entorno.</t>
  </si>
  <si>
    <t>1. Conceptos básicos de cadena de suministro 
2. Diseño de redes de distribución
3. Gestión de inventarios
4. Ruteo y transporte</t>
  </si>
  <si>
    <t>Control de Calidad </t>
  </si>
  <si>
    <t>Analiza datos de procesos productivos o de servicios, utilizando herramientas estadísticas y de control de calidad para identificar las causas raíz que generan variaciones y oportunidades de mejora.
Aplica metodologías y normas de calidad, como el control estadístico de procesos, muestreo de aceptación y sistemas de gestión de calidad, para proponer soluciones efectivas orientadas a la mejora continua.</t>
  </si>
  <si>
    <t xml:space="preserve">1. La gestión de la calidad y su evolución  
2. Control estadístico de procesos 
3. Muestreo de aceptación de lotes por atributos y variable 
4. Mejoramiento continuo de la calidad </t>
  </si>
  <si>
    <t>Proyecto Aplicado a Cadena de Suministro </t>
  </si>
  <si>
    <t xml:space="preserve">Emplea principios, metodologías y herramientas de gestión de proyectos en el contexto logístico e industrial, para desarrollar alternativas de solución a problemas logísticos utilizando herramientas cuantitativas y cualitativas que respondan a requerimientos específicos de la cadena de suministro.
Reflexiona sobre el impacto ético, social y ambiental de las soluciones propuestas, para promover la toma de decisiones responsables en el contexto de la cadena de suministro. </t>
  </si>
  <si>
    <t xml:space="preserve">1. Principios de Gestión de Proyectos 
2. Análisis del contexto en la cadena de suministros 
3. Design Thinking y su aplicación en la Gestión de Proyectos de Ingeniería 
4. Diseño en ingeniería según ABET: requerimientos, restricciones y estándares en la cadena de suministros </t>
  </si>
  <si>
    <t>Distribución de Planta </t>
  </si>
  <si>
    <t>Propone distribuciones físicas de planta mediante el modelamiento de Layout, para elaborar diseños que ofrezcan soluciones espaciales de acuerdo con los requerimientos funcionales de un sistema productivo.</t>
  </si>
  <si>
    <t xml:space="preserve">1. Introducción y principios de la distribución en planta
2. Alternativas y tipos de distribución de la planta 
3. Estaciones de trabajo, manejo de materiales y construcción del Layout 
4. Proyección del Espacio total requerido y construcción de Layout </t>
  </si>
  <si>
    <t>Gerencia Estratégica de Proyectos en Cascada </t>
  </si>
  <si>
    <t>Aplica conceptos, buenas prácticas y herramientas de la gestión de proyectos en cascada, para estructurar proyectos alineados con los objetivos del alcance definido, teniendo en cuenta las partes interesadas.
Determina las restricciones de cronograma, costo y alcance en escenarios reales o simulados, para desarrollar propuestas ejecutables que atiendan el manejo adecuado de recursos y  los requerimientos de las partes interesadas.</t>
  </si>
  <si>
    <t>1. Contexto organizacional 
2. Fundamentos de la gestión de proyectos 
3. Gestión de la integración y alcance del proyecto 
4. Gestión del cronograma y presupuesto del proyecto</t>
  </si>
  <si>
    <t>Electiva 1</t>
  </si>
  <si>
    <t>Electiva 2</t>
  </si>
  <si>
    <t>Ingeniería Económica  </t>
  </si>
  <si>
    <t>Analiza alternativas de inversión en proyectos de ingeniería, aplicando criterios financieros, para apoyar la toma de decisiones bajo restricciones económicas, técnicas y estratégicas.
Aplica herramientas de gestión financiera en el diseño de soluciones de ingeniería, para estimar el impacto del financiamiento, la inflación y los impuestos en la rentabilidad y sostenibilidad de proyectos propios de la Ingeniería Industrial.</t>
  </si>
  <si>
    <t xml:space="preserve">1. Conceptos fundamentales sobre la ingeniería económica 
2. Estimación del dinero en el tiempo y costo de capital y depreciación 
3. Valoración y descuentos de flujo de caja 
4. Evaluación de proyectos, análisis de sensibilidad y mercado de capital </t>
  </si>
  <si>
    <t>Proyecto de Diseño para el Diagnóstico Industrial</t>
  </si>
  <si>
    <t>Realiza diagnósticos organizacionales aplicando herramientas de la Ingeniería Industrial para identificar problemáticas clave en contextos reales o simulados.
Elabora propuestas de mejora estratégica para formular planes de acción considerando criterios de viabilidad técnica, financiera y de sostenibilidad.
Reflexiona sobre las soluciones obtenidas para actuar con responsabilidad ética y social, reconociendo el rol del ingeniero en el aseguramiento de la calidad, la sostenibilidad y la satisfacción de las partes interesadas.</t>
  </si>
  <si>
    <t>1. Particularidades de una organización empresarial desde el ámbito de la ingeniería industrial (análisis de los principales procesos productivos y logísticos)
2. Formula la estrategia para la organización a partir de las matrices de administración
3. Construye el diagnóstico empresarial y la propuesta de mejora para la organización
4. Redacción de informe técnico</t>
  </si>
  <si>
    <t>Gerencia Estratégica de Proyectos Ágiles </t>
  </si>
  <si>
    <t>Aplica conceptos, buenas prácticas y herramientas de la gestión de proyectos ágiles, para estructurar proyectos alineados con los objetivos del alcance definido, teniendo en cuenta las partes interesadas.
Determina las restricciones y roles de un proyecto, a partir de marcos de trabajos ágiles, para desarrollar propuestas ejecutables que atiendan el manejo adecuado de recursos y  los requerimientos de las partes interesadas en escenarios reales o simulados.</t>
  </si>
  <si>
    <t xml:space="preserve">1. Fundamentos de la Gerencia de Proyectos Ágiles 
2. Planificación ágil de proyectos 
3. Ejecución y control ágil de proyectos 
4. Mejora continua y gestión estratégica </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</si>
  <si>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</si>
  <si>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</si>
  <si>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</si>
  <si>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</si>
  <si>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</si>
  <si>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</si>
  <si>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</si>
  <si>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</si>
  <si>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</si>
  <si>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</si>
  <si>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</si>
  <si>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</si>
  <si>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</si>
  <si>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</si>
  <si>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</si>
  <si>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</si>
  <si>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Definir</t>
  </si>
  <si>
    <t>Desarrollar</t>
  </si>
  <si>
    <t>Dirigir</t>
  </si>
  <si>
    <t>Evaluar</t>
  </si>
  <si>
    <t>Fiscalizar</t>
  </si>
  <si>
    <t>Generar</t>
  </si>
  <si>
    <t>Gestionar</t>
  </si>
  <si>
    <t>Hacer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</si>
  <si>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</si>
  <si>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</si>
  <si>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</si>
  <si>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</si>
  <si>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</si>
  <si>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</si>
  <si>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</si>
  <si>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</si>
  <si>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</si>
  <si>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</si>
  <si>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</si>
  <si>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</si>
  <si>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</si>
  <si>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</si>
  <si>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</si>
  <si>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</si>
  <si>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</si>
  <si>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</si>
  <si>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</si>
  <si>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</si>
  <si>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</si>
  <si>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</si>
  <si>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</si>
  <si>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</si>
  <si>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</si>
  <si>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</si>
  <si>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</si>
  <si>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</si>
  <si>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</si>
  <si>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</si>
  <si>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</si>
  <si>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</si>
  <si>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</si>
  <si>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</si>
  <si>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</si>
  <si>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</si>
  <si>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</si>
  <si>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</si>
  <si>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</si>
  <si>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</si>
  <si>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</si>
  <si>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</si>
  <si>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</si>
  <si>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</si>
  <si>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</si>
  <si>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</si>
  <si>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</si>
  <si>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</si>
  <si>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</si>
  <si>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</si>
  <si>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</si>
  <si>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</si>
  <si>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</si>
  <si>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</si>
  <si>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</si>
  <si>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</si>
  <si>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</si>
  <si>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</si>
  <si>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</si>
  <si>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</si>
  <si>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</si>
  <si>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</si>
  <si>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</si>
  <si>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</si>
  <si>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</si>
  <si>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</si>
  <si>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</si>
  <si>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</si>
  <si>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</si>
  <si>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</si>
  <si>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</si>
  <si>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</si>
  <si>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</si>
  <si>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</si>
  <si>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</si>
  <si>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</si>
  <si>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</si>
  <si>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</si>
  <si>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</si>
  <si>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</si>
  <si>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</si>
  <si>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</si>
  <si>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</si>
  <si>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</si>
  <si>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</si>
  <si>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</si>
  <si>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</si>
  <si>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</si>
  <si>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</si>
  <si>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</si>
  <si>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</si>
  <si>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</si>
  <si>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</si>
  <si>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</si>
  <si>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</si>
  <si>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</si>
  <si>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</si>
  <si>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</si>
  <si>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</si>
  <si>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</si>
  <si>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</si>
  <si>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</si>
  <si>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</si>
  <si>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</si>
  <si>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</si>
  <si>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</si>
  <si>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</si>
  <si>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</si>
  <si>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</si>
  <si>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</si>
  <si>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</si>
  <si>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</si>
  <si>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</si>
  <si>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</si>
  <si>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</si>
  <si>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</si>
  <si>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</si>
  <si>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</si>
  <si>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</si>
  <si>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</si>
  <si>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</si>
  <si>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</si>
  <si>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</si>
  <si>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</si>
  <si>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</si>
  <si>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</si>
  <si>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</si>
  <si>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</si>
  <si>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</si>
  <si>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Autorizar</t>
  </si>
  <si>
    <t>Anhelar</t>
  </si>
  <si>
    <t>Cuestionar</t>
  </si>
  <si>
    <t>Colaborar</t>
  </si>
  <si>
    <t>Discutir</t>
  </si>
  <si>
    <t>Cambiar</t>
  </si>
  <si>
    <t>Minimizar</t>
  </si>
  <si>
    <t>Deletrear</t>
  </si>
  <si>
    <t>Dar ejemplos</t>
  </si>
  <si>
    <t>Armar</t>
  </si>
  <si>
    <t>Bajar</t>
  </si>
  <si>
    <t>Asisitir</t>
  </si>
  <si>
    <t>Defender</t>
  </si>
  <si>
    <t>Completar</t>
  </si>
  <si>
    <t>Ejemplificar</t>
  </si>
  <si>
    <t xml:space="preserve">Construir </t>
  </si>
  <si>
    <t>Centrarse</t>
  </si>
  <si>
    <t>ProcedimientosLK</t>
  </si>
  <si>
    <t>Debatir</t>
  </si>
  <si>
    <t>Determinar</t>
  </si>
  <si>
    <t>Atar</t>
  </si>
  <si>
    <t>Correr</t>
  </si>
  <si>
    <t>Comportarse bajo condiciones</t>
  </si>
  <si>
    <t xml:space="preserve">Duplicar </t>
  </si>
  <si>
    <t>Esquematizar</t>
  </si>
  <si>
    <t>Pensar</t>
  </si>
  <si>
    <t>Describir</t>
  </si>
  <si>
    <t>Dibujar</t>
  </si>
  <si>
    <t>Computar</t>
  </si>
  <si>
    <t>Desmontar</t>
  </si>
  <si>
    <t>Comenzar</t>
  </si>
  <si>
    <t>Coser</t>
  </si>
  <si>
    <t>Desplegar</t>
  </si>
  <si>
    <t>Elegir</t>
  </si>
  <si>
    <t>Explicar</t>
  </si>
  <si>
    <t>Correlacionar</t>
  </si>
  <si>
    <t>Compilar</t>
  </si>
  <si>
    <t xml:space="preserve">Planear </t>
  </si>
  <si>
    <t>Discriminar</t>
  </si>
  <si>
    <t>Concluir</t>
  </si>
  <si>
    <t>Calificar</t>
  </si>
  <si>
    <t>Bailar</t>
  </si>
  <si>
    <t>Cortar</t>
  </si>
  <si>
    <t>Difundir</t>
  </si>
  <si>
    <t>Asistir</t>
  </si>
  <si>
    <t>Constatar</t>
  </si>
  <si>
    <t>Escribir</t>
  </si>
  <si>
    <t>Expresar</t>
  </si>
  <si>
    <t>Dramatizar</t>
  </si>
  <si>
    <t>Descomponer</t>
  </si>
  <si>
    <t>Proponer</t>
  </si>
  <si>
    <t>Enseñar</t>
  </si>
  <si>
    <t>Deducir</t>
  </si>
  <si>
    <t>Censurar</t>
  </si>
  <si>
    <t>Direccionar</t>
  </si>
  <si>
    <t>Cumplir</t>
  </si>
  <si>
    <t>Contar</t>
  </si>
  <si>
    <t>Aspirar</t>
  </si>
  <si>
    <t>Discernir</t>
  </si>
  <si>
    <t>Contextualizar</t>
  </si>
  <si>
    <t>Leer</t>
  </si>
  <si>
    <t>Generalizar</t>
  </si>
  <si>
    <t>Diferenciar</t>
  </si>
  <si>
    <t>Reescribir</t>
  </si>
  <si>
    <t>Destapar</t>
  </si>
  <si>
    <t>Cooperar</t>
  </si>
  <si>
    <t>Exteriorizar</t>
  </si>
  <si>
    <t>Controlar</t>
  </si>
  <si>
    <t>Listar</t>
  </si>
  <si>
    <t>Ilustrar</t>
  </si>
  <si>
    <t>Distinguir</t>
  </si>
  <si>
    <t>Convencer</t>
  </si>
  <si>
    <t>Simplificar</t>
  </si>
  <si>
    <t>Duplicar</t>
  </si>
  <si>
    <t>Detectar</t>
  </si>
  <si>
    <t>Crear</t>
  </si>
  <si>
    <t>Comprobar</t>
  </si>
  <si>
    <t>Disipar</t>
  </si>
  <si>
    <t>Aunar</t>
  </si>
  <si>
    <t>Extraer</t>
  </si>
  <si>
    <t>Localizar</t>
  </si>
  <si>
    <t>Inferir</t>
  </si>
  <si>
    <t>Dividir</t>
  </si>
  <si>
    <t>Suponer</t>
  </si>
  <si>
    <t>Etiquetar</t>
  </si>
  <si>
    <t>Diagramar</t>
  </si>
  <si>
    <t>Decidir</t>
  </si>
  <si>
    <t>Concretar</t>
  </si>
  <si>
    <t>Docificar</t>
  </si>
  <si>
    <t>Disponer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</si>
  <si>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</si>
  <si>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</si>
  <si>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</si>
  <si>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</si>
  <si>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</si>
  <si>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</si>
  <si>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</si>
  <si>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</si>
  <si>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</si>
  <si>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</si>
  <si>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</si>
  <si>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</si>
  <si>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</si>
  <si>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</si>
  <si>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</si>
  <si>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</si>
  <si>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</si>
  <si>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</si>
  <si>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Comprender</t>
  </si>
  <si>
    <t>Nombrar</t>
  </si>
  <si>
    <t>Encuestar</t>
  </si>
  <si>
    <t>Testar</t>
  </si>
  <si>
    <t>Grabar</t>
  </si>
  <si>
    <t>Exponer</t>
  </si>
  <si>
    <t>Contabilizar</t>
  </si>
  <si>
    <t>Ejercitar</t>
  </si>
  <si>
    <t>Ejercer</t>
  </si>
  <si>
    <t>Ensanchar</t>
  </si>
  <si>
    <t>Contribuir</t>
  </si>
  <si>
    <t>Percibir</t>
  </si>
  <si>
    <t>Observar</t>
  </si>
  <si>
    <t>Estimar</t>
  </si>
  <si>
    <t>Encajar</t>
  </si>
  <si>
    <t>Emitir</t>
  </si>
  <si>
    <t>Entallar</t>
  </si>
  <si>
    <t>Enumerar</t>
  </si>
  <si>
    <t>Convocar</t>
  </si>
  <si>
    <t>Preguntar</t>
  </si>
  <si>
    <t>Entregar</t>
  </si>
  <si>
    <t>Omitir</t>
  </si>
  <si>
    <t>Parafrasear</t>
  </si>
  <si>
    <t>Manipular</t>
  </si>
  <si>
    <t>Visualizar</t>
  </si>
  <si>
    <t>Estructurar</t>
  </si>
  <si>
    <t>Desempeñar</t>
  </si>
  <si>
    <t>Corregir</t>
  </si>
  <si>
    <t>Escoger</t>
  </si>
  <si>
    <t>Creer</t>
  </si>
  <si>
    <t>Promover</t>
  </si>
  <si>
    <t>Juzgar</t>
  </si>
  <si>
    <t>Rastrear</t>
  </si>
  <si>
    <t>Predecir</t>
  </si>
  <si>
    <t>Organizar</t>
  </si>
  <si>
    <t>Empaquetar</t>
  </si>
  <si>
    <t>Esculpir</t>
  </si>
  <si>
    <t>Escuchar</t>
  </si>
  <si>
    <t>Hablar</t>
  </si>
  <si>
    <t>Cuidar</t>
  </si>
  <si>
    <t>Negociar</t>
  </si>
  <si>
    <t>Recitar</t>
  </si>
  <si>
    <t>Inspeccionar</t>
  </si>
  <si>
    <t>Descubrir</t>
  </si>
  <si>
    <t>Experimentar</t>
  </si>
  <si>
    <t>Explorar</t>
  </si>
  <si>
    <t>Extender</t>
  </si>
  <si>
    <t>Proteger</t>
  </si>
  <si>
    <t>Ofrecer</t>
  </si>
  <si>
    <t>Relacionar</t>
  </si>
  <si>
    <t>Practicar</t>
  </si>
  <si>
    <t>Investigar</t>
  </si>
  <si>
    <t>AutoSistemaAK</t>
  </si>
  <si>
    <t>Mostar</t>
  </si>
  <si>
    <t>Culminar</t>
  </si>
  <si>
    <t>Cotejar</t>
  </si>
  <si>
    <t>Entrenar</t>
  </si>
  <si>
    <t>Extirpar</t>
  </si>
  <si>
    <t>Indicar</t>
  </si>
  <si>
    <t>Resumir</t>
  </si>
  <si>
    <t>Motivar</t>
  </si>
  <si>
    <t>Inventariar</t>
  </si>
  <si>
    <t>Ensamblar</t>
  </si>
  <si>
    <t>Envasar</t>
  </si>
  <si>
    <t>Informar</t>
  </si>
  <si>
    <t>Servir</t>
  </si>
  <si>
    <t>Revisar</t>
  </si>
  <si>
    <t>Numerar</t>
  </si>
  <si>
    <t>Guiar</t>
  </si>
  <si>
    <t>Narrar</t>
  </si>
  <si>
    <t>Relatar</t>
  </si>
  <si>
    <t>Soportar</t>
  </si>
  <si>
    <t>Repetir</t>
  </si>
  <si>
    <t>Traducir</t>
  </si>
  <si>
    <t>Seleccionar</t>
  </si>
  <si>
    <t>Ordenar</t>
  </si>
  <si>
    <t>Estampar</t>
  </si>
  <si>
    <t>Industrializar</t>
  </si>
  <si>
    <t>Obrar recíprocamente</t>
  </si>
  <si>
    <t>Terminar</t>
  </si>
  <si>
    <t>Simular</t>
  </si>
  <si>
    <t>Obtener</t>
  </si>
  <si>
    <t>Medir</t>
  </si>
  <si>
    <t>Estudiar</t>
  </si>
  <si>
    <t>Estimular</t>
  </si>
  <si>
    <t>Interrogar</t>
  </si>
  <si>
    <t>Revelar</t>
  </si>
  <si>
    <t>Transferir</t>
  </si>
  <si>
    <t>Priorizar</t>
  </si>
  <si>
    <t>Figurar</t>
  </si>
  <si>
    <t>Edificar</t>
  </si>
  <si>
    <t>Llevar</t>
  </si>
  <si>
    <t>Manejar</t>
  </si>
  <si>
    <t>Referir</t>
  </si>
  <si>
    <t>Unir</t>
  </si>
  <si>
    <t>Probar</t>
  </si>
  <si>
    <t>Instalar</t>
  </si>
  <si>
    <t>Fabricar</t>
  </si>
  <si>
    <t>Razonar</t>
  </si>
  <si>
    <t>Hipotetizar</t>
  </si>
  <si>
    <t>Mecanizar</t>
  </si>
  <si>
    <t>Ocupar</t>
  </si>
  <si>
    <t>Preocuparse de o por</t>
  </si>
  <si>
    <t>Reorganizar</t>
  </si>
  <si>
    <t>Influir</t>
  </si>
  <si>
    <t>Presentar</t>
  </si>
  <si>
    <t>Operar</t>
  </si>
  <si>
    <t>Filtrar</t>
  </si>
  <si>
    <t>Mover</t>
  </si>
  <si>
    <t>Proporcionar</t>
  </si>
  <si>
    <t>Resaltar</t>
  </si>
  <si>
    <t>Innovar</t>
  </si>
  <si>
    <t>Maniobrar</t>
  </si>
  <si>
    <t>Publicar</t>
  </si>
  <si>
    <t>Provocar</t>
  </si>
  <si>
    <t>Separar</t>
  </si>
  <si>
    <t>Justificar</t>
  </si>
  <si>
    <t>Realizar</t>
  </si>
  <si>
    <t>Reportar</t>
  </si>
  <si>
    <t>Patronar</t>
  </si>
  <si>
    <t>Hallar</t>
  </si>
  <si>
    <t>Ponderar</t>
  </si>
  <si>
    <t>Ratificar</t>
  </si>
  <si>
    <t>Subdividir</t>
  </si>
  <si>
    <t>Imprimir</t>
  </si>
  <si>
    <t>Recordar</t>
  </si>
  <si>
    <t>Recoger</t>
  </si>
  <si>
    <t>Juntar</t>
  </si>
  <si>
    <t>Perforar</t>
  </si>
  <si>
    <t>Impulsar</t>
  </si>
  <si>
    <t>Ser partidario de</t>
  </si>
  <si>
    <t>Opinar</t>
  </si>
  <si>
    <t>Registrar</t>
  </si>
  <si>
    <t>Introducir</t>
  </si>
  <si>
    <t>Limpiar</t>
  </si>
  <si>
    <t>Poner</t>
  </si>
  <si>
    <t>Quitar</t>
  </si>
  <si>
    <t>Tasar</t>
  </si>
  <si>
    <t>Originar</t>
  </si>
  <si>
    <t>Inventar</t>
  </si>
  <si>
    <t>Modificar</t>
  </si>
  <si>
    <t>Levantar</t>
  </si>
  <si>
    <t>Finalizar</t>
  </si>
  <si>
    <t>Reemplazar</t>
  </si>
  <si>
    <t>Valorar</t>
  </si>
  <si>
    <t>Persuadir</t>
  </si>
  <si>
    <t>Reproducir</t>
  </si>
  <si>
    <t>Formar</t>
  </si>
  <si>
    <t>Remover</t>
  </si>
  <si>
    <t>Premiar</t>
  </si>
  <si>
    <t>Ubicar</t>
  </si>
  <si>
    <t>Trazar</t>
  </si>
  <si>
    <t>Reparar</t>
  </si>
  <si>
    <t>Rotular</t>
  </si>
  <si>
    <t>Preparar</t>
  </si>
  <si>
    <t>Reponer</t>
  </si>
  <si>
    <t>Recomendar</t>
  </si>
  <si>
    <t>Marcar</t>
  </si>
  <si>
    <t>Subrayar</t>
  </si>
  <si>
    <t>Recaudar</t>
  </si>
  <si>
    <t>Mezclar</t>
  </si>
  <si>
    <t>Mitigar</t>
  </si>
  <si>
    <t>Retirar</t>
  </si>
  <si>
    <t>Recortar</t>
  </si>
  <si>
    <t>Reunir</t>
  </si>
  <si>
    <t>Seguir</t>
  </si>
  <si>
    <t>Perfeccionar</t>
  </si>
  <si>
    <t>Peritar</t>
  </si>
  <si>
    <t>Señalar</t>
  </si>
  <si>
    <t>Sincronizar</t>
  </si>
  <si>
    <t>Planificar</t>
  </si>
  <si>
    <t>Pronosticar</t>
  </si>
  <si>
    <t>Soldar</t>
  </si>
  <si>
    <t>Suprimir</t>
  </si>
  <si>
    <t>Repartir</t>
  </si>
  <si>
    <t>Pintar</t>
  </si>
  <si>
    <t>Tapizar</t>
  </si>
  <si>
    <t>Porcionar</t>
  </si>
  <si>
    <t>Transmitir</t>
  </si>
  <si>
    <t>Proyectar</t>
  </si>
  <si>
    <t>Trasladar</t>
  </si>
  <si>
    <t>Sugerir</t>
  </si>
  <si>
    <t>Racionar</t>
  </si>
  <si>
    <t>Utilizar</t>
  </si>
  <si>
    <t>Reducir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</si>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</sst>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rgb="FFD9E1F2"/>
        <bgColor rgb="FF000000"/>
      </patternFill>
    </fill>
  </fills>
  <borders count="1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54">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3" fillId="0" borderId="0" xfId="0" applyFont="1" applyAlignment="1">
      <alignment vertical="center"/>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1" fillId="0" borderId="11"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11" xfId="0" applyFont="1" applyBorder="1" applyAlignment="1">
      <alignment horizontal="left" vertical="center" wrapText="1"/>
    </xf>
    <xf numFmtId="0" fontId="3" fillId="6" borderId="12" xfId="0" applyFont="1" applyFill="1" applyBorder="1" applyAlignment="1">
      <alignment horizontal="left" vertical="center" wrapText="1"/>
    </xf>
    <xf numFmtId="0" fontId="3" fillId="6" borderId="12" xfId="0"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1" fillId="6" borderId="12" xfId="0" applyFont="1" applyFill="1" applyBorder="1" applyAlignment="1">
      <alignment horizontal="left" vertical="center" wrapText="1"/>
    </xf>
    <xf numFmtId="0" fontId="3" fillId="6" borderId="12" xfId="0" applyFont="1" applyFill="1" applyBorder="1" applyAlignment="1">
      <alignment horizontal="center" vertical="center"/>
    </xf>
    <xf numFmtId="49" fontId="3" fillId="6" borderId="12" xfId="0" applyNumberFormat="1" applyFont="1" applyFill="1" applyBorder="1" applyAlignment="1">
      <alignment horizontal="left" vertical="center" wrapText="1"/>
    </xf>
    <xf numFmtId="0" fontId="11" fillId="10" borderId="12"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1" xfId="0" applyFont="1" applyBorder="1" applyAlignment="1">
      <alignment horizontal="left" vertical="center"/>
    </xf>
    <xf numFmtId="0" fontId="3" fillId="0" borderId="0" xfId="0" applyFont="1" applyAlignment="1">
      <alignment horizontal="left"/>
    </xf>
    <xf numFmtId="0" fontId="3" fillId="10" borderId="12" xfId="0" applyFont="1" applyFill="1" applyBorder="1" applyAlignment="1">
      <alignment horizontal="left" vertical="center"/>
    </xf>
    <xf numFmtId="0" fontId="3" fillId="10" borderId="12" xfId="0" applyFont="1" applyFill="1" applyBorder="1" applyAlignment="1">
      <alignment horizontal="center" vertical="center"/>
    </xf>
    <xf numFmtId="0" fontId="3" fillId="10" borderId="12" xfId="0" applyFont="1" applyFill="1" applyBorder="1" applyAlignment="1">
      <alignment horizontal="left" vertical="center" wrapText="1"/>
    </xf>
    <xf numFmtId="0" fontId="11" fillId="10" borderId="12" xfId="0" applyFont="1" applyFill="1" applyBorder="1" applyAlignment="1">
      <alignment horizontal="center" vertical="center"/>
    </xf>
    <xf numFmtId="0" fontId="25"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6" fillId="3" borderId="7" xfId="0" applyFont="1" applyFill="1" applyBorder="1" applyAlignment="1">
      <alignment horizontal="center" vertical="center" wrapText="1"/>
    </xf>
    <xf numFmtId="0" fontId="13" fillId="0" borderId="8" xfId="0" applyFont="1" applyBorder="1" applyAlignment="1">
      <alignment vertical="center" wrapText="1"/>
    </xf>
    <xf numFmtId="0" fontId="3" fillId="0" borderId="8" xfId="0" applyFont="1" applyBorder="1" applyAlignment="1">
      <alignment vertical="center"/>
    </xf>
    <xf numFmtId="0" fontId="13" fillId="0" borderId="9" xfId="0" applyFont="1" applyBorder="1" applyAlignment="1">
      <alignment vertical="center" wrapText="1"/>
    </xf>
    <xf numFmtId="0" fontId="13" fillId="0" borderId="11" xfId="0" applyFont="1" applyBorder="1" applyAlignment="1">
      <alignment vertical="center" wrapText="1"/>
    </xf>
    <xf numFmtId="0" fontId="11" fillId="0" borderId="8" xfId="0" applyFont="1" applyBorder="1" applyAlignment="1">
      <alignment vertical="center"/>
    </xf>
    <xf numFmtId="0" fontId="13" fillId="0" borderId="0" xfId="0" applyFont="1" applyAlignment="1">
      <alignment vertical="center"/>
    </xf>
    <xf numFmtId="0" fontId="11" fillId="6" borderId="8" xfId="0" applyFont="1" applyFill="1" applyBorder="1" applyAlignment="1">
      <alignment horizontal="left" vertical="center" wrapText="1"/>
    </xf>
    <xf numFmtId="0" fontId="11" fillId="6" borderId="8"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8" xfId="0" applyFont="1" applyFill="1" applyBorder="1" applyAlignment="1">
      <alignment horizontal="left" vertical="center" wrapText="1"/>
    </xf>
    <xf numFmtId="0" fontId="11" fillId="11" borderId="12" xfId="0" applyFont="1" applyFill="1" applyBorder="1" applyAlignment="1">
      <alignment horizontal="center" vertical="center"/>
    </xf>
    <xf numFmtId="0" fontId="11" fillId="11" borderId="12" xfId="0" applyFont="1" applyFill="1" applyBorder="1" applyAlignment="1">
      <alignment horizontal="center" vertical="center" wrapText="1"/>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14" fillId="2" borderId="2" xfId="0" applyFont="1" applyFill="1" applyBorder="1" applyAlignment="1">
      <alignment horizontal="center"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9" xfId="0" applyFont="1" applyBorder="1" applyAlignment="1">
      <alignment horizontal="left" vertical="center" wrapText="1"/>
    </xf>
    <xf numFmtId="0" fontId="11" fillId="0" borderId="0" xfId="0" applyFont="1" applyAlignment="1">
      <alignment horizontal="left"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1" fillId="0" borderId="11"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11" xfId="0" applyFont="1" applyBorder="1" applyAlignment="1">
      <alignment horizontal="left" vertical="center" wrapText="1"/>
    </xf>
    <xf numFmtId="0" fontId="11" fillId="0" borderId="8" xfId="0" applyFont="1" applyBorder="1" applyAlignment="1">
      <alignment horizontal="left" vertical="center" wrapText="1"/>
    </xf>
    <xf numFmtId="0" fontId="11" fillId="0" borderId="1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3" fillId="0" borderId="6" xfId="0" applyFont="1" applyBorder="1" applyAlignment="1">
      <alignment horizontal="left" vertical="center" wrapText="1"/>
    </xf>
    <xf numFmtId="0" fontId="11" fillId="0" borderId="5" xfId="0" applyFont="1" applyBorder="1" applyAlignment="1">
      <alignment horizontal="left" vertical="center" wrapText="1"/>
    </xf>
    <xf numFmtId="0" fontId="1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8" xfId="0" applyFont="1" applyBorder="1" applyAlignment="1">
      <alignment horizontal="left" vertical="center" wrapText="1"/>
    </xf>
    <xf numFmtId="0" fontId="13" fillId="0" borderId="11"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19" fillId="7" borderId="2" xfId="0" applyFont="1" applyFill="1" applyBorder="1" applyAlignment="1">
      <alignment horizontal="center" vertical="center" wrapText="1"/>
    </xf>
    <xf numFmtId="0" fontId="3" fillId="0" borderId="0" xfId="0" applyFont="1" applyAlignment="1">
      <alignment horizontal="center"/>
    </xf>
    <xf numFmtId="0" fontId="5" fillId="4" borderId="0" xfId="0" applyFont="1" applyFill="1" applyAlignment="1">
      <alignment horizontal="center"/>
    </xf>
    <xf numFmtId="0" fontId="4" fillId="4" borderId="0" xfId="0" applyFont="1" applyFill="1" applyAlignment="1">
      <alignment horizontal="center"/>
    </xf>
    <xf numFmtId="0" fontId="7" fillId="0" borderId="0" xfId="0" applyFont="1" applyAlignment="1">
      <alignment horizontal="center" vertical="center"/>
    </xf>
    <xf numFmtId="0" fontId="18" fillId="0" borderId="0" xfId="0" applyFont="1" applyAlignment="1">
      <alignment horizontal="center" vertical="center" wrapText="1"/>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7" totalsRowShown="0" headerRowDxfId="115" dataDxfId="114">
  <autoFilter ref="V3:V37" xr:uid="{8F4B4DA5-2E6A-4AE6-935A-CC2B94779B96}"/>
  <sortState xmlns:xlrd2="http://schemas.microsoft.com/office/spreadsheetml/2017/richdata2" ref="V4:V37">
    <sortCondition ref="V3:V37"/>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3" totalsRowShown="0" headerRowDxfId="103" dataDxfId="102">
  <autoFilter ref="Z3:Z43" xr:uid="{8CC53E0E-533C-40E8-9B1D-08F34978407F}"/>
  <sortState xmlns:xlrd2="http://schemas.microsoft.com/office/spreadsheetml/2017/richdata2" ref="Z4:Z42">
    <sortCondition ref="Z3:Z42"/>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0" totalsRowShown="0" headerRowDxfId="100" dataDxfId="99">
  <autoFilter ref="AA3:AA70" xr:uid="{A45E75E9-31C0-47B7-9849-772A7E35082A}"/>
  <sortState xmlns:xlrd2="http://schemas.microsoft.com/office/spreadsheetml/2017/richdata2" ref="AA4:AA70">
    <sortCondition ref="AA3:AA70"/>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41" totalsRowShown="0" headerRowDxfId="88" dataDxfId="87">
  <autoFilter ref="AE3:AE41" xr:uid="{19344631-8A85-4D95-9EA7-1E2C9FA2E476}"/>
  <sortState xmlns:xlrd2="http://schemas.microsoft.com/office/spreadsheetml/2017/richdata2" ref="AE4:AE41">
    <sortCondition ref="AE3:AE41"/>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3"/>
  <sheetViews>
    <sheetView tabSelected="1" zoomScale="110" zoomScaleNormal="110" workbookViewId="0"/>
  </sheetViews>
  <sheetFormatPr defaultColWidth="76.28515625" defaultRowHeight="16.5"/>
  <cols>
    <col min="1" max="1" width="21.140625" style="2" customWidth="1"/>
    <col min="2" max="2" width="16.7109375" style="2" customWidth="1"/>
    <col min="3" max="3" width="44" style="2" customWidth="1"/>
    <col min="4" max="4" width="55.5703125" style="2" customWidth="1"/>
    <col min="5" max="5" width="44.42578125" style="2" customWidth="1"/>
    <col min="6" max="6" width="50.28515625" customWidth="1"/>
    <col min="7" max="7" width="51.28515625" customWidth="1"/>
    <col min="8" max="8" width="71.85546875" style="2" customWidth="1"/>
    <col min="9" max="9" width="35.28515625" style="2" customWidth="1"/>
    <col min="10" max="10" width="33.42578125" style="2" customWidth="1"/>
    <col min="11" max="11" width="45.5703125" style="2" customWidth="1"/>
    <col min="12" max="16384" width="76.28515625" style="2"/>
  </cols>
  <sheetData>
    <row r="1" spans="1:11" s="35" customFormat="1" ht="39">
      <c r="A1" s="38" t="s">
        <v>0</v>
      </c>
      <c r="B1" s="38" t="s">
        <v>1</v>
      </c>
      <c r="C1" s="38" t="s">
        <v>2</v>
      </c>
      <c r="D1" s="38" t="s">
        <v>3</v>
      </c>
      <c r="E1" s="119" t="s">
        <v>4</v>
      </c>
      <c r="F1" s="119"/>
      <c r="G1" s="119"/>
      <c r="H1" s="119" t="s">
        <v>5</v>
      </c>
      <c r="I1" s="119"/>
      <c r="J1" s="119"/>
      <c r="K1" s="38" t="s">
        <v>6</v>
      </c>
    </row>
    <row r="2" spans="1:11" s="29" customFormat="1">
      <c r="A2" s="40" t="s">
        <v>7</v>
      </c>
      <c r="B2" s="40" t="s">
        <v>8</v>
      </c>
      <c r="C2" s="40" t="s">
        <v>9</v>
      </c>
      <c r="D2" s="46" t="s">
        <v>10</v>
      </c>
      <c r="E2" s="102" t="s">
        <v>11</v>
      </c>
      <c r="F2" s="102" t="s">
        <v>12</v>
      </c>
      <c r="G2" s="102" t="s">
        <v>13</v>
      </c>
      <c r="H2" s="48" t="s">
        <v>14</v>
      </c>
      <c r="I2" s="48" t="s">
        <v>15</v>
      </c>
      <c r="J2" s="48" t="s">
        <v>16</v>
      </c>
      <c r="K2" s="47" t="s">
        <v>17</v>
      </c>
    </row>
    <row r="3" spans="1:11" s="4" customFormat="1" ht="33">
      <c r="A3" s="120" t="s">
        <v>18</v>
      </c>
      <c r="B3" s="120" t="s">
        <v>19</v>
      </c>
      <c r="C3" s="122" t="s">
        <v>20</v>
      </c>
      <c r="D3" s="122" t="s">
        <v>21</v>
      </c>
      <c r="E3" s="51" t="s">
        <v>22</v>
      </c>
      <c r="F3" s="51" t="s">
        <v>23</v>
      </c>
      <c r="G3" s="51" t="s">
        <v>24</v>
      </c>
      <c r="H3" s="117" t="s">
        <v>25</v>
      </c>
      <c r="I3" s="117" t="s">
        <v>26</v>
      </c>
      <c r="J3" s="117" t="s">
        <v>27</v>
      </c>
      <c r="K3" s="117" t="s">
        <v>28</v>
      </c>
    </row>
    <row r="4" spans="1:11" s="4" customFormat="1" ht="49.5">
      <c r="A4" s="121"/>
      <c r="B4" s="121"/>
      <c r="C4" s="123"/>
      <c r="D4" s="123"/>
      <c r="E4" s="5" t="s">
        <v>29</v>
      </c>
      <c r="F4" s="5" t="s">
        <v>30</v>
      </c>
      <c r="G4" s="5" t="s">
        <v>31</v>
      </c>
      <c r="H4" s="118"/>
      <c r="I4" s="118"/>
      <c r="J4" s="118"/>
      <c r="K4" s="118"/>
    </row>
    <row r="5" spans="1:11" s="4" customFormat="1" ht="33">
      <c r="A5" s="121"/>
      <c r="B5" s="121"/>
      <c r="C5" s="123"/>
      <c r="D5" s="123"/>
      <c r="E5" s="65" t="s">
        <v>32</v>
      </c>
      <c r="F5" s="65" t="s">
        <v>33</v>
      </c>
      <c r="G5" s="65" t="s">
        <v>34</v>
      </c>
      <c r="H5" s="118"/>
      <c r="I5" s="118"/>
      <c r="J5" s="118"/>
      <c r="K5" s="118"/>
    </row>
    <row r="6" spans="1:11" s="4" customFormat="1" ht="33">
      <c r="A6" s="121"/>
      <c r="B6" s="121"/>
      <c r="C6" s="123"/>
      <c r="D6" s="123"/>
      <c r="E6" s="65" t="s">
        <v>35</v>
      </c>
      <c r="F6" s="65" t="s">
        <v>36</v>
      </c>
      <c r="G6" s="5" t="s">
        <v>37</v>
      </c>
      <c r="H6" s="118"/>
      <c r="I6" s="118"/>
      <c r="J6" s="118"/>
      <c r="K6" s="118"/>
    </row>
    <row r="7" spans="1:11" s="4" customFormat="1" ht="49.5">
      <c r="A7" s="121"/>
      <c r="B7" s="121"/>
      <c r="C7" s="123"/>
      <c r="D7" s="123"/>
      <c r="E7" s="65" t="s">
        <v>38</v>
      </c>
      <c r="F7" s="65" t="s">
        <v>39</v>
      </c>
      <c r="G7" s="65" t="s">
        <v>40</v>
      </c>
      <c r="H7" s="118"/>
      <c r="I7" s="118"/>
      <c r="J7" s="118"/>
      <c r="K7" s="118"/>
    </row>
    <row r="8" spans="1:11" s="4" customFormat="1" ht="49.5">
      <c r="A8" s="121"/>
      <c r="B8" s="121"/>
      <c r="C8" s="123"/>
      <c r="D8" s="123"/>
      <c r="E8" s="79" t="s">
        <v>41</v>
      </c>
      <c r="F8" s="79" t="s">
        <v>42</v>
      </c>
      <c r="G8" s="79" t="s">
        <v>43</v>
      </c>
      <c r="H8" s="118"/>
      <c r="I8" s="118"/>
      <c r="J8" s="118"/>
      <c r="K8" s="118"/>
    </row>
    <row r="9" spans="1:11" s="4" customFormat="1">
      <c r="C9" s="34"/>
      <c r="D9" s="99"/>
      <c r="E9" s="34"/>
      <c r="F9" s="34"/>
      <c r="G9" s="34"/>
      <c r="H9" s="5"/>
    </row>
    <row r="10" spans="1:11" ht="21">
      <c r="D10" s="28"/>
      <c r="E10" s="8"/>
      <c r="F10" s="8"/>
      <c r="H10" s="3"/>
    </row>
    <row r="11" spans="1:11" ht="21">
      <c r="D11" s="28"/>
      <c r="E11" s="8"/>
      <c r="F11" s="8"/>
      <c r="H11" s="3"/>
    </row>
    <row r="12" spans="1:11" ht="21">
      <c r="C12" s="30"/>
      <c r="D12" s="28"/>
      <c r="E12" s="30"/>
      <c r="F12" s="30"/>
      <c r="H12" s="3"/>
    </row>
    <row r="13" spans="1:11" ht="21">
      <c r="D13" s="28"/>
      <c r="E13" s="8"/>
      <c r="F13" s="8"/>
      <c r="H13" s="3"/>
    </row>
    <row r="14" spans="1:11" ht="21">
      <c r="C14" s="4"/>
      <c r="D14" s="28"/>
      <c r="E14" s="10"/>
      <c r="F14" s="2"/>
      <c r="H14" s="3"/>
    </row>
    <row r="15" spans="1:11" ht="21">
      <c r="D15" s="28"/>
      <c r="E15" s="8"/>
    </row>
    <row r="16" spans="1:11" ht="21">
      <c r="D16" s="28"/>
    </row>
    <row r="17" spans="4:4" ht="21">
      <c r="D17" s="28"/>
    </row>
    <row r="18" spans="4:4" ht="21">
      <c r="D18" s="28"/>
    </row>
    <row r="19" spans="4:4" ht="21">
      <c r="D19" s="28"/>
    </row>
    <row r="20" spans="4:4" ht="21">
      <c r="D20" s="28"/>
    </row>
    <row r="21" spans="4:4" ht="21">
      <c r="D21" s="28"/>
    </row>
    <row r="22" spans="4:4" ht="21">
      <c r="D22" s="28"/>
    </row>
    <row r="23" spans="4:4" ht="21">
      <c r="D23" s="28"/>
    </row>
  </sheetData>
  <mergeCells count="10">
    <mergeCell ref="K3:K8"/>
    <mergeCell ref="E1:G1"/>
    <mergeCell ref="H1:J1"/>
    <mergeCell ref="A3:A8"/>
    <mergeCell ref="B3:B8"/>
    <mergeCell ref="C3:C8"/>
    <mergeCell ref="D3:D8"/>
    <mergeCell ref="H3:H8"/>
    <mergeCell ref="I3:I8"/>
    <mergeCell ref="J3:J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7"/>
  <sheetViews>
    <sheetView zoomScaleNormal="100" workbookViewId="0">
      <selection sqref="A1:G1"/>
    </sheetView>
  </sheetViews>
  <sheetFormatPr defaultColWidth="11.42578125" defaultRowHeight="16.5"/>
  <cols>
    <col min="1" max="1" width="19" style="6" customWidth="1"/>
    <col min="2" max="2" width="21" style="6" customWidth="1"/>
    <col min="3" max="3" width="31.5703125" style="6" customWidth="1"/>
    <col min="4" max="4" width="32.28515625" style="6" customWidth="1"/>
    <col min="5" max="5" width="41.85546875" style="6" customWidth="1"/>
    <col min="6" max="6" width="78.5703125" style="6" customWidth="1"/>
    <col min="7" max="7" width="24" style="6" customWidth="1"/>
    <col min="8" max="16384" width="11.42578125" style="6"/>
  </cols>
  <sheetData>
    <row r="1" spans="1:7" s="2" customFormat="1">
      <c r="A1" s="124" t="s">
        <v>44</v>
      </c>
      <c r="B1" s="125"/>
      <c r="C1" s="125"/>
      <c r="D1" s="125"/>
      <c r="E1" s="125"/>
      <c r="F1" s="125"/>
      <c r="G1" s="125"/>
    </row>
    <row r="2" spans="1:7" s="39" customFormat="1" ht="78">
      <c r="A2" s="36" t="s">
        <v>45</v>
      </c>
      <c r="B2" s="37" t="s">
        <v>46</v>
      </c>
      <c r="C2" s="37" t="s">
        <v>47</v>
      </c>
      <c r="D2" s="37" t="s">
        <v>48</v>
      </c>
      <c r="E2" s="37" t="s">
        <v>49</v>
      </c>
      <c r="F2" s="38" t="s">
        <v>50</v>
      </c>
      <c r="G2" s="38" t="s">
        <v>51</v>
      </c>
    </row>
    <row r="3" spans="1:7" s="41" customFormat="1">
      <c r="A3" s="60" t="s">
        <v>52</v>
      </c>
      <c r="B3" s="61" t="s">
        <v>53</v>
      </c>
      <c r="C3" s="61" t="s">
        <v>54</v>
      </c>
      <c r="D3" s="61" t="s">
        <v>55</v>
      </c>
      <c r="E3" s="61" t="s">
        <v>56</v>
      </c>
      <c r="F3" s="50" t="s">
        <v>57</v>
      </c>
      <c r="G3" s="50" t="s">
        <v>58</v>
      </c>
    </row>
    <row r="4" spans="1:7" ht="49.5">
      <c r="A4" s="6">
        <v>1</v>
      </c>
      <c r="B4" s="5" t="s">
        <v>59</v>
      </c>
      <c r="C4" s="5" t="s">
        <v>22</v>
      </c>
      <c r="D4" s="65" t="s">
        <v>60</v>
      </c>
      <c r="E4" s="34" t="s">
        <v>24</v>
      </c>
      <c r="F4" s="34" t="s">
        <v>61</v>
      </c>
      <c r="G4" s="65" t="s">
        <v>62</v>
      </c>
    </row>
    <row r="5" spans="1:7" ht="66">
      <c r="A5" s="6">
        <v>2</v>
      </c>
      <c r="B5" s="5" t="s">
        <v>63</v>
      </c>
      <c r="C5" s="5" t="s">
        <v>29</v>
      </c>
      <c r="D5" s="34" t="s">
        <v>30</v>
      </c>
      <c r="E5" s="34" t="s">
        <v>31</v>
      </c>
      <c r="F5" s="34" t="s">
        <v>64</v>
      </c>
      <c r="G5" s="65" t="s">
        <v>62</v>
      </c>
    </row>
    <row r="6" spans="1:7" ht="66">
      <c r="A6" s="6">
        <v>3</v>
      </c>
      <c r="B6" s="5" t="s">
        <v>65</v>
      </c>
      <c r="C6" s="5" t="s">
        <v>32</v>
      </c>
      <c r="D6" s="65" t="s">
        <v>33</v>
      </c>
      <c r="E6" s="34" t="s">
        <v>34</v>
      </c>
      <c r="F6" s="34" t="s">
        <v>66</v>
      </c>
      <c r="G6" s="65" t="s">
        <v>62</v>
      </c>
    </row>
    <row r="7" spans="1:7" ht="49.5">
      <c r="A7" s="6">
        <v>4</v>
      </c>
      <c r="B7" s="5" t="s">
        <v>67</v>
      </c>
      <c r="C7" s="5" t="s">
        <v>35</v>
      </c>
      <c r="D7" s="65" t="s">
        <v>68</v>
      </c>
      <c r="E7" s="34" t="s">
        <v>37</v>
      </c>
      <c r="F7" s="34" t="s">
        <v>69</v>
      </c>
      <c r="G7" s="65" t="s">
        <v>62</v>
      </c>
    </row>
    <row r="8" spans="1:7" ht="66.599999999999994" thickBot="1">
      <c r="A8" s="73">
        <v>5</v>
      </c>
      <c r="B8" s="72" t="s">
        <v>70</v>
      </c>
      <c r="C8" s="72" t="s">
        <v>38</v>
      </c>
      <c r="D8" s="78" t="s">
        <v>39</v>
      </c>
      <c r="E8" s="76" t="s">
        <v>40</v>
      </c>
      <c r="F8" s="103" t="s">
        <v>71</v>
      </c>
      <c r="G8" s="78" t="s">
        <v>62</v>
      </c>
    </row>
    <row r="9" spans="1:7" ht="66">
      <c r="A9" s="6">
        <v>6</v>
      </c>
      <c r="B9" s="34" t="s">
        <v>72</v>
      </c>
      <c r="C9" s="5" t="s">
        <v>41</v>
      </c>
      <c r="D9" s="34" t="s">
        <v>73</v>
      </c>
      <c r="E9" s="34" t="s">
        <v>43</v>
      </c>
      <c r="F9" s="34" t="s">
        <v>74</v>
      </c>
      <c r="G9" s="5" t="s">
        <v>75</v>
      </c>
    </row>
    <row r="10" spans="1:7">
      <c r="B10" s="5"/>
      <c r="C10" s="32"/>
      <c r="D10" s="33"/>
      <c r="E10" s="33"/>
      <c r="F10" s="5"/>
    </row>
    <row r="11" spans="1:7">
      <c r="C11" s="31"/>
      <c r="D11" s="31"/>
      <c r="E11" s="31"/>
    </row>
    <row r="15" spans="1:7">
      <c r="C15" s="31"/>
      <c r="D15" s="15"/>
      <c r="E15" s="15"/>
    </row>
    <row r="16" spans="1:7">
      <c r="C16" s="31"/>
      <c r="D16" s="15"/>
      <c r="E16" s="15"/>
    </row>
    <row r="17" spans="3:5">
      <c r="C17" s="31"/>
      <c r="D17" s="15"/>
      <c r="E17" s="15"/>
    </row>
  </sheetData>
  <mergeCells count="1">
    <mergeCell ref="A1:G1"/>
  </mergeCells>
  <dataValidations count="1">
    <dataValidation type="list" allowBlank="1" showInputMessage="1" showErrorMessage="1" sqref="B9:B13"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B14</xm:sqref>
        </x14:dataValidation>
        <x14:dataValidation type="list" allowBlank="1" showInputMessage="1" showErrorMessage="1" xr:uid="{27BB9EA1-A522-436A-B320-3844B1FF49FC}">
          <x14:formula1>
            <xm:f>'Taxonomía para competencias'!$B$2:$B$49</xm:f>
          </x14:formula1>
          <xm:sqref>B4:B8</xm:sqref>
        </x14:dataValidation>
        <x14:dataValidation type="list" allowBlank="1" showInputMessage="1" showErrorMessage="1" xr:uid="{5EADCC8E-A021-41D2-A781-82D42FE181E0}">
          <x14:formula1>
            <xm:f>'Paso1 Analisis perfil egreso'!$E$3:$E$9</xm:f>
          </x14:formula1>
          <xm:sqref>C9</xm:sqref>
        </x14:dataValidation>
        <x14:dataValidation type="list" allowBlank="1" showInputMessage="1" showErrorMessage="1" xr:uid="{33DE93D0-28B9-435A-9EE1-5F80FDE293A1}">
          <x14:formula1>
            <xm:f>'Paso1 Analisis perfil egreso'!$E$3:$E$7</xm:f>
          </x14:formula1>
          <xm:sqref>C4:C8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31"/>
  <sheetViews>
    <sheetView zoomScaleNormal="100" workbookViewId="0"/>
  </sheetViews>
  <sheetFormatPr defaultColWidth="11.42578125" defaultRowHeight="16.5"/>
  <cols>
    <col min="1" max="1" width="79"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74" customWidth="1"/>
    <col min="9" max="9" width="106" style="74" customWidth="1"/>
    <col min="10" max="10" width="97.140625" style="5" customWidth="1"/>
    <col min="11" max="16384" width="11.42578125" style="5"/>
  </cols>
  <sheetData>
    <row r="1" spans="1:10" s="68" customFormat="1" ht="51.95">
      <c r="A1" s="66" t="s">
        <v>76</v>
      </c>
      <c r="B1" s="66" t="s">
        <v>77</v>
      </c>
      <c r="C1" s="37" t="s">
        <v>78</v>
      </c>
      <c r="D1" s="67" t="s">
        <v>79</v>
      </c>
      <c r="E1" s="67" t="s">
        <v>80</v>
      </c>
      <c r="F1" s="37" t="s">
        <v>81</v>
      </c>
      <c r="G1" s="37" t="s">
        <v>82</v>
      </c>
      <c r="H1" s="37" t="s">
        <v>83</v>
      </c>
      <c r="I1" s="66" t="s">
        <v>84</v>
      </c>
    </row>
    <row r="2" spans="1:10" s="71" customFormat="1">
      <c r="A2" s="69" t="s">
        <v>85</v>
      </c>
      <c r="B2" s="69" t="s">
        <v>86</v>
      </c>
      <c r="C2" s="61" t="s">
        <v>87</v>
      </c>
      <c r="D2" s="70" t="s">
        <v>88</v>
      </c>
      <c r="E2" s="70" t="s">
        <v>89</v>
      </c>
      <c r="F2" s="61" t="s">
        <v>90</v>
      </c>
      <c r="G2" s="61" t="s">
        <v>91</v>
      </c>
      <c r="H2" s="61" t="s">
        <v>92</v>
      </c>
      <c r="I2" s="69" t="s">
        <v>93</v>
      </c>
    </row>
    <row r="3" spans="1:10" ht="49.5">
      <c r="A3" s="5" t="s">
        <v>61</v>
      </c>
      <c r="B3" s="6">
        <v>1</v>
      </c>
      <c r="C3" s="5" t="s">
        <v>11</v>
      </c>
      <c r="D3" s="5" t="s">
        <v>22</v>
      </c>
      <c r="E3" s="5" t="s">
        <v>94</v>
      </c>
      <c r="F3" s="74" t="s">
        <v>95</v>
      </c>
      <c r="G3" s="74" t="s">
        <v>96</v>
      </c>
      <c r="H3" s="5" t="s">
        <v>97</v>
      </c>
      <c r="I3" s="34" t="s">
        <v>98</v>
      </c>
    </row>
    <row r="4" spans="1:10" ht="49.5">
      <c r="A4" s="5" t="s">
        <v>61</v>
      </c>
      <c r="B4" s="6">
        <v>5</v>
      </c>
      <c r="C4" s="5" t="s">
        <v>12</v>
      </c>
      <c r="D4" s="5" t="s">
        <v>60</v>
      </c>
      <c r="E4" s="5" t="s">
        <v>94</v>
      </c>
      <c r="F4" s="74" t="s">
        <v>99</v>
      </c>
      <c r="G4" s="74" t="s">
        <v>100</v>
      </c>
      <c r="H4" s="5" t="s">
        <v>101</v>
      </c>
      <c r="I4" s="65" t="s">
        <v>102</v>
      </c>
    </row>
    <row r="5" spans="1:10" ht="66.599999999999994" thickBot="1">
      <c r="A5" s="72" t="s">
        <v>61</v>
      </c>
      <c r="B5" s="73">
        <v>8</v>
      </c>
      <c r="C5" s="72" t="s">
        <v>13</v>
      </c>
      <c r="D5" s="72" t="s">
        <v>24</v>
      </c>
      <c r="E5" s="72" t="s">
        <v>94</v>
      </c>
      <c r="F5" s="104" t="s">
        <v>103</v>
      </c>
      <c r="G5" s="104" t="s">
        <v>104</v>
      </c>
      <c r="H5" s="72" t="s">
        <v>105</v>
      </c>
      <c r="I5" s="78" t="s">
        <v>106</v>
      </c>
    </row>
    <row r="6" spans="1:10" ht="49.5">
      <c r="A6" s="5" t="s">
        <v>64</v>
      </c>
      <c r="B6" s="6">
        <v>2</v>
      </c>
      <c r="C6" s="5" t="s">
        <v>11</v>
      </c>
      <c r="D6" s="5" t="s">
        <v>29</v>
      </c>
      <c r="E6" s="5" t="s">
        <v>94</v>
      </c>
      <c r="F6" s="74" t="s">
        <v>95</v>
      </c>
      <c r="G6" s="74" t="s">
        <v>96</v>
      </c>
      <c r="H6" s="5" t="s">
        <v>97</v>
      </c>
      <c r="I6" s="82" t="s">
        <v>107</v>
      </c>
    </row>
    <row r="7" spans="1:10" ht="66">
      <c r="A7" s="5" t="s">
        <v>64</v>
      </c>
      <c r="B7" s="6">
        <v>6</v>
      </c>
      <c r="C7" s="5" t="s">
        <v>12</v>
      </c>
      <c r="D7" s="5" t="s">
        <v>30</v>
      </c>
      <c r="E7" s="5" t="s">
        <v>94</v>
      </c>
      <c r="F7" s="74" t="s">
        <v>99</v>
      </c>
      <c r="G7" s="74" t="s">
        <v>108</v>
      </c>
      <c r="H7" s="5" t="s">
        <v>67</v>
      </c>
      <c r="I7" s="65" t="s">
        <v>109</v>
      </c>
    </row>
    <row r="8" spans="1:10" ht="66.599999999999994" thickBot="1">
      <c r="A8" s="72" t="s">
        <v>64</v>
      </c>
      <c r="B8" s="73">
        <v>8</v>
      </c>
      <c r="C8" s="72" t="s">
        <v>13</v>
      </c>
      <c r="D8" s="72" t="s">
        <v>31</v>
      </c>
      <c r="E8" s="72" t="s">
        <v>94</v>
      </c>
      <c r="F8" s="104" t="s">
        <v>103</v>
      </c>
      <c r="G8" s="104" t="s">
        <v>104</v>
      </c>
      <c r="H8" s="72" t="s">
        <v>105</v>
      </c>
      <c r="I8" s="78" t="s">
        <v>106</v>
      </c>
      <c r="J8" s="99"/>
    </row>
    <row r="9" spans="1:10" ht="66">
      <c r="A9" s="5" t="s">
        <v>66</v>
      </c>
      <c r="B9" s="6">
        <v>3</v>
      </c>
      <c r="C9" s="5" t="s">
        <v>11</v>
      </c>
      <c r="D9" s="5" t="s">
        <v>32</v>
      </c>
      <c r="E9" s="5" t="s">
        <v>94</v>
      </c>
      <c r="F9" s="74" t="s">
        <v>95</v>
      </c>
      <c r="G9" s="74" t="s">
        <v>110</v>
      </c>
      <c r="H9" s="5" t="s">
        <v>111</v>
      </c>
      <c r="I9" s="82" t="s">
        <v>112</v>
      </c>
    </row>
    <row r="10" spans="1:10" ht="66">
      <c r="A10" s="5" t="s">
        <v>66</v>
      </c>
      <c r="B10" s="6">
        <v>7</v>
      </c>
      <c r="C10" s="5" t="s">
        <v>12</v>
      </c>
      <c r="D10" s="5" t="s">
        <v>33</v>
      </c>
      <c r="E10" s="5" t="s">
        <v>94</v>
      </c>
      <c r="F10" s="74" t="s">
        <v>99</v>
      </c>
      <c r="G10" s="74" t="s">
        <v>108</v>
      </c>
      <c r="H10" s="5" t="s">
        <v>113</v>
      </c>
      <c r="I10" s="65" t="s">
        <v>114</v>
      </c>
    </row>
    <row r="11" spans="1:10" ht="66.599999999999994" thickBot="1">
      <c r="A11" s="72" t="s">
        <v>66</v>
      </c>
      <c r="B11" s="73">
        <v>8</v>
      </c>
      <c r="C11" s="72" t="s">
        <v>13</v>
      </c>
      <c r="D11" s="72" t="s">
        <v>34</v>
      </c>
      <c r="E11" s="72" t="s">
        <v>94</v>
      </c>
      <c r="F11" s="104" t="s">
        <v>103</v>
      </c>
      <c r="G11" s="104" t="s">
        <v>104</v>
      </c>
      <c r="H11" s="72" t="s">
        <v>105</v>
      </c>
      <c r="I11" s="78" t="s">
        <v>106</v>
      </c>
      <c r="J11" s="99"/>
    </row>
    <row r="12" spans="1:10" ht="49.5">
      <c r="A12" s="5" t="s">
        <v>69</v>
      </c>
      <c r="B12" s="6">
        <v>2</v>
      </c>
      <c r="C12" s="5" t="s">
        <v>11</v>
      </c>
      <c r="D12" s="5" t="s">
        <v>35</v>
      </c>
      <c r="E12" s="5" t="s">
        <v>94</v>
      </c>
      <c r="F12" s="74" t="s">
        <v>95</v>
      </c>
      <c r="G12" s="74" t="s">
        <v>96</v>
      </c>
      <c r="H12" s="5" t="s">
        <v>97</v>
      </c>
      <c r="I12" s="65" t="s">
        <v>115</v>
      </c>
    </row>
    <row r="13" spans="1:10" ht="66">
      <c r="A13" s="5" t="s">
        <v>69</v>
      </c>
      <c r="B13" s="6">
        <v>6</v>
      </c>
      <c r="C13" s="5" t="s">
        <v>12</v>
      </c>
      <c r="D13" s="5" t="s">
        <v>36</v>
      </c>
      <c r="E13" s="5" t="s">
        <v>94</v>
      </c>
      <c r="F13" s="74" t="s">
        <v>99</v>
      </c>
      <c r="G13" s="74" t="s">
        <v>108</v>
      </c>
      <c r="H13" s="5" t="s">
        <v>67</v>
      </c>
      <c r="I13" s="65" t="s">
        <v>109</v>
      </c>
    </row>
    <row r="14" spans="1:10" ht="66.599999999999994" thickBot="1">
      <c r="A14" s="72" t="s">
        <v>69</v>
      </c>
      <c r="B14" s="73">
        <v>8</v>
      </c>
      <c r="C14" s="72" t="s">
        <v>13</v>
      </c>
      <c r="D14" s="72" t="s">
        <v>37</v>
      </c>
      <c r="E14" s="72" t="s">
        <v>94</v>
      </c>
      <c r="F14" s="104" t="s">
        <v>103</v>
      </c>
      <c r="G14" s="104" t="s">
        <v>104</v>
      </c>
      <c r="H14" s="72" t="s">
        <v>105</v>
      </c>
      <c r="I14" s="78" t="s">
        <v>106</v>
      </c>
      <c r="J14" s="99"/>
    </row>
    <row r="15" spans="1:10" ht="66">
      <c r="A15" s="5" t="s">
        <v>116</v>
      </c>
      <c r="B15" s="6">
        <v>2</v>
      </c>
      <c r="C15" s="5" t="s">
        <v>11</v>
      </c>
      <c r="D15" s="5" t="s">
        <v>38</v>
      </c>
      <c r="E15" s="5" t="s">
        <v>94</v>
      </c>
      <c r="F15" s="74" t="s">
        <v>95</v>
      </c>
      <c r="G15" s="74" t="s">
        <v>96</v>
      </c>
      <c r="H15" s="5" t="s">
        <v>97</v>
      </c>
      <c r="I15" s="65" t="s">
        <v>115</v>
      </c>
    </row>
    <row r="16" spans="1:10" ht="82.5">
      <c r="A16" s="5" t="s">
        <v>116</v>
      </c>
      <c r="B16" s="6">
        <v>6</v>
      </c>
      <c r="C16" s="5" t="s">
        <v>12</v>
      </c>
      <c r="D16" s="5" t="s">
        <v>39</v>
      </c>
      <c r="E16" s="5" t="s">
        <v>94</v>
      </c>
      <c r="F16" s="74" t="s">
        <v>99</v>
      </c>
      <c r="G16" s="74" t="s">
        <v>108</v>
      </c>
      <c r="H16" s="5" t="s">
        <v>67</v>
      </c>
      <c r="I16" s="65" t="s">
        <v>109</v>
      </c>
    </row>
    <row r="17" spans="1:10" ht="66.599999999999994" thickBot="1">
      <c r="A17" s="72" t="s">
        <v>116</v>
      </c>
      <c r="B17" s="73">
        <v>8</v>
      </c>
      <c r="C17" s="72" t="s">
        <v>13</v>
      </c>
      <c r="D17" s="72" t="s">
        <v>40</v>
      </c>
      <c r="E17" s="72" t="s">
        <v>94</v>
      </c>
      <c r="F17" s="104" t="s">
        <v>103</v>
      </c>
      <c r="G17" s="104" t="s">
        <v>104</v>
      </c>
      <c r="H17" s="72" t="s">
        <v>105</v>
      </c>
      <c r="I17" s="78" t="s">
        <v>106</v>
      </c>
      <c r="J17" s="99"/>
    </row>
    <row r="18" spans="1:10" ht="49.5">
      <c r="A18" s="5" t="s">
        <v>74</v>
      </c>
      <c r="B18" s="6">
        <v>4</v>
      </c>
      <c r="C18" s="5" t="s">
        <v>11</v>
      </c>
      <c r="D18" s="5" t="s">
        <v>41</v>
      </c>
      <c r="E18" s="5" t="s">
        <v>117</v>
      </c>
      <c r="F18" s="74" t="s">
        <v>118</v>
      </c>
      <c r="G18" s="74" t="s">
        <v>119</v>
      </c>
      <c r="H18" s="5" t="s">
        <v>97</v>
      </c>
      <c r="I18" s="34" t="s">
        <v>120</v>
      </c>
      <c r="J18" s="99"/>
    </row>
    <row r="19" spans="1:10">
      <c r="A19" s="4"/>
      <c r="F19" s="74"/>
      <c r="G19" s="74"/>
      <c r="H19" s="5"/>
      <c r="I19" s="4"/>
      <c r="J19" s="99"/>
    </row>
    <row r="20" spans="1:10">
      <c r="A20" s="4"/>
      <c r="F20" s="74"/>
      <c r="G20" s="74"/>
      <c r="H20" s="5"/>
      <c r="I20" s="4"/>
    </row>
    <row r="21" spans="1:10">
      <c r="A21" s="4"/>
      <c r="F21" s="74"/>
      <c r="G21" s="74"/>
      <c r="H21" s="5"/>
      <c r="I21" s="4"/>
    </row>
    <row r="22" spans="1:10">
      <c r="A22" s="4"/>
      <c r="F22" s="74"/>
      <c r="G22" s="74"/>
      <c r="H22" s="5"/>
      <c r="I22" s="4"/>
    </row>
    <row r="23" spans="1:10">
      <c r="A23" s="4"/>
      <c r="F23" s="74"/>
      <c r="G23" s="74"/>
      <c r="H23" s="5"/>
      <c r="I23" s="4"/>
    </row>
    <row r="24" spans="1:10">
      <c r="A24" s="4"/>
      <c r="F24" s="74"/>
      <c r="G24" s="74"/>
      <c r="H24" s="5"/>
      <c r="I24" s="4"/>
    </row>
    <row r="25" spans="1:10">
      <c r="A25" s="4"/>
      <c r="H25" s="5"/>
      <c r="I25" s="4"/>
    </row>
    <row r="26" spans="1:10">
      <c r="A26" s="4"/>
      <c r="I26" s="4"/>
    </row>
    <row r="27" spans="1:10">
      <c r="A27" s="4"/>
      <c r="I27" s="4"/>
    </row>
    <row r="28" spans="1:10">
      <c r="A28" s="4"/>
    </row>
    <row r="29" spans="1:10">
      <c r="A29" s="4"/>
    </row>
    <row r="30" spans="1:10">
      <c r="A30" s="4"/>
    </row>
    <row r="31" spans="1:10">
      <c r="A31" s="4"/>
    </row>
  </sheetData>
  <autoFilter ref="A2:K18" xr:uid="{94AAF649-42F4-466A-BE11-44357078F961}"/>
  <dataValidations count="5">
    <dataValidation type="list" allowBlank="1" showInputMessage="1" showErrorMessage="1" sqref="H3:H18" xr:uid="{EF7E0087-1A07-4340-9A8A-E18F2705EAA5}">
      <formula1>INDIRECT($G3)</formula1>
    </dataValidation>
    <dataValidation type="list" allowBlank="1" showInputMessage="1" showErrorMessage="1" sqref="G3:G18" xr:uid="{C824F632-68FF-A845-8310-1160831D753F}">
      <formula1>INDIRECT($F3)</formula1>
    </dataValidation>
    <dataValidation type="list" allowBlank="1" showInputMessage="1" showErrorMessage="1" sqref="F3:F18" xr:uid="{A432778F-7D53-8543-B7B7-9CEB372333AB}">
      <formula1>INDIRECT($E3)</formula1>
    </dataValidation>
    <dataValidation type="list" allowBlank="1" showInputMessage="1" showErrorMessage="1" sqref="D3:D18" xr:uid="{7E1D182A-6AF9-A04C-9AFE-674494F658A5}">
      <formula1>INDIRECT($C3)</formula1>
    </dataValidation>
    <dataValidation type="list" allowBlank="1" showInputMessage="1" showErrorMessage="1" sqref="C3:C18"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E3:E18</xm:sqref>
        </x14:dataValidation>
        <x14:dataValidation type="list" allowBlank="1" showInputMessage="1" showErrorMessage="1" xr:uid="{98578F6C-C527-A048-93A4-A8514981207B}">
          <x14:formula1>
            <xm:f>'Paso 2 Redacción competen'!$F$4:$F$9</xm:f>
          </x14:formula1>
          <xm:sqref>A3:A18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76</v>
      </c>
      <c r="B1" s="44" t="s">
        <v>77</v>
      </c>
      <c r="C1" s="52" t="s">
        <v>78</v>
      </c>
      <c r="D1" s="53" t="s">
        <v>79</v>
      </c>
      <c r="E1" s="53" t="s">
        <v>80</v>
      </c>
      <c r="F1" s="52" t="s">
        <v>81</v>
      </c>
      <c r="G1" s="52" t="s">
        <v>82</v>
      </c>
      <c r="H1" s="52" t="s">
        <v>83</v>
      </c>
      <c r="I1" s="44" t="s">
        <v>84</v>
      </c>
      <c r="J1" s="45"/>
    </row>
    <row r="2" spans="1:11" ht="16.5">
      <c r="A2" s="62" t="s">
        <v>85</v>
      </c>
      <c r="B2" s="59" t="s">
        <v>86</v>
      </c>
      <c r="C2" s="63" t="s">
        <v>87</v>
      </c>
      <c r="D2" s="54" t="s">
        <v>88</v>
      </c>
      <c r="E2" s="54" t="s">
        <v>89</v>
      </c>
      <c r="F2" s="63" t="s">
        <v>90</v>
      </c>
      <c r="G2" s="63" t="s">
        <v>91</v>
      </c>
      <c r="H2" s="63" t="s">
        <v>92</v>
      </c>
      <c r="I2" s="59" t="s">
        <v>93</v>
      </c>
      <c r="J2" s="64"/>
    </row>
    <row r="3" spans="1:11" ht="136.5" hidden="1" customHeight="1">
      <c r="A3" s="4" t="s">
        <v>121</v>
      </c>
      <c r="B3" s="6">
        <v>1</v>
      </c>
      <c r="C3" s="5" t="s">
        <v>11</v>
      </c>
      <c r="D3" s="5" t="s">
        <v>122</v>
      </c>
      <c r="E3" s="5" t="s">
        <v>94</v>
      </c>
      <c r="F3" s="9" t="s">
        <v>95</v>
      </c>
      <c r="G3" s="9" t="s">
        <v>96</v>
      </c>
      <c r="H3" s="5" t="s">
        <v>97</v>
      </c>
      <c r="I3" s="34" t="s">
        <v>123</v>
      </c>
      <c r="J3" s="27"/>
    </row>
    <row r="4" spans="1:11" ht="142.5" hidden="1" customHeight="1">
      <c r="A4" s="4" t="s">
        <v>121</v>
      </c>
      <c r="B4" s="6">
        <v>4</v>
      </c>
      <c r="C4" s="5" t="s">
        <v>12</v>
      </c>
      <c r="D4" s="5" t="s">
        <v>124</v>
      </c>
      <c r="E4" s="5" t="s">
        <v>94</v>
      </c>
      <c r="F4" s="9" t="s">
        <v>99</v>
      </c>
      <c r="G4" s="9" t="s">
        <v>108</v>
      </c>
      <c r="H4" s="5" t="s">
        <v>101</v>
      </c>
      <c r="I4" s="34" t="s">
        <v>125</v>
      </c>
    </row>
    <row r="5" spans="1:11" ht="126" hidden="1" customHeight="1">
      <c r="A5" s="4" t="s">
        <v>121</v>
      </c>
      <c r="B5" s="6">
        <v>7</v>
      </c>
      <c r="C5" s="5" t="s">
        <v>13</v>
      </c>
      <c r="D5" s="5" t="s">
        <v>126</v>
      </c>
      <c r="E5" s="5" t="s">
        <v>94</v>
      </c>
      <c r="F5" s="9" t="s">
        <v>103</v>
      </c>
      <c r="G5" s="9" t="s">
        <v>104</v>
      </c>
      <c r="H5" s="5" t="s">
        <v>127</v>
      </c>
      <c r="I5" s="34" t="s">
        <v>128</v>
      </c>
    </row>
    <row r="6" spans="1:11" ht="99">
      <c r="A6" s="4" t="s">
        <v>129</v>
      </c>
      <c r="B6" s="6">
        <v>1</v>
      </c>
      <c r="C6" s="5" t="s">
        <v>11</v>
      </c>
      <c r="D6" s="5" t="s">
        <v>130</v>
      </c>
      <c r="E6" s="5" t="s">
        <v>94</v>
      </c>
      <c r="F6" s="9" t="s">
        <v>95</v>
      </c>
      <c r="G6" s="9" t="s">
        <v>96</v>
      </c>
      <c r="H6" s="5" t="s">
        <v>97</v>
      </c>
      <c r="I6" s="34" t="s">
        <v>131</v>
      </c>
    </row>
    <row r="7" spans="1:11" ht="115.5">
      <c r="A7" s="4" t="s">
        <v>129</v>
      </c>
      <c r="B7" s="6">
        <v>5</v>
      </c>
      <c r="C7" s="5" t="s">
        <v>12</v>
      </c>
      <c r="D7" s="5" t="s">
        <v>132</v>
      </c>
      <c r="E7" s="5" t="s">
        <v>94</v>
      </c>
      <c r="F7" s="9" t="s">
        <v>99</v>
      </c>
      <c r="G7" s="9" t="s">
        <v>108</v>
      </c>
      <c r="H7" s="5" t="s">
        <v>101</v>
      </c>
      <c r="I7" s="34" t="s">
        <v>125</v>
      </c>
    </row>
    <row r="8" spans="1:11" ht="82.5">
      <c r="A8" s="4" t="s">
        <v>129</v>
      </c>
      <c r="B8" s="6">
        <v>7</v>
      </c>
      <c r="C8" s="5" t="s">
        <v>13</v>
      </c>
      <c r="D8" s="5" t="s">
        <v>126</v>
      </c>
      <c r="E8" s="5" t="s">
        <v>94</v>
      </c>
      <c r="F8" s="9" t="s">
        <v>103</v>
      </c>
      <c r="G8" s="9" t="s">
        <v>104</v>
      </c>
      <c r="H8" s="5" t="s">
        <v>127</v>
      </c>
      <c r="I8" s="34" t="s">
        <v>128</v>
      </c>
      <c r="J8" s="11"/>
    </row>
    <row r="9" spans="1:11" ht="99" hidden="1">
      <c r="A9" s="4" t="s">
        <v>133</v>
      </c>
      <c r="B9" s="6">
        <v>2</v>
      </c>
      <c r="C9" s="5" t="s">
        <v>11</v>
      </c>
      <c r="D9" s="5" t="s">
        <v>134</v>
      </c>
      <c r="E9" s="5" t="s">
        <v>94</v>
      </c>
      <c r="F9" s="9" t="s">
        <v>95</v>
      </c>
      <c r="G9" s="9" t="s">
        <v>96</v>
      </c>
      <c r="H9" s="5" t="s">
        <v>97</v>
      </c>
      <c r="I9" s="34" t="s">
        <v>131</v>
      </c>
      <c r="J9" s="11"/>
    </row>
    <row r="10" spans="1:11" ht="115.5" hidden="1">
      <c r="A10" s="4" t="s">
        <v>133</v>
      </c>
      <c r="B10" s="6">
        <v>6</v>
      </c>
      <c r="C10" s="5" t="s">
        <v>12</v>
      </c>
      <c r="D10" s="5" t="s">
        <v>135</v>
      </c>
      <c r="E10" s="5" t="s">
        <v>94</v>
      </c>
      <c r="F10" s="9" t="s">
        <v>99</v>
      </c>
      <c r="G10" s="9" t="s">
        <v>108</v>
      </c>
      <c r="H10" s="5" t="s">
        <v>101</v>
      </c>
      <c r="I10" s="34" t="s">
        <v>125</v>
      </c>
    </row>
    <row r="11" spans="1:11" ht="82.5" hidden="1">
      <c r="A11" s="56" t="s">
        <v>133</v>
      </c>
      <c r="B11" s="42">
        <v>7</v>
      </c>
      <c r="C11" s="43" t="s">
        <v>13</v>
      </c>
      <c r="D11" s="5" t="s">
        <v>136</v>
      </c>
      <c r="E11" s="43" t="s">
        <v>94</v>
      </c>
      <c r="F11" s="57" t="s">
        <v>103</v>
      </c>
      <c r="G11" s="57" t="s">
        <v>104</v>
      </c>
      <c r="H11" s="43" t="s">
        <v>127</v>
      </c>
      <c r="I11" s="34" t="s">
        <v>128</v>
      </c>
      <c r="J11" s="56"/>
      <c r="K11" s="49"/>
    </row>
    <row r="12" spans="1:11" ht="49.5" hidden="1">
      <c r="A12" s="4" t="s">
        <v>74</v>
      </c>
      <c r="B12" s="6">
        <v>3</v>
      </c>
      <c r="C12" s="5" t="s">
        <v>11</v>
      </c>
      <c r="D12" s="5" t="s">
        <v>41</v>
      </c>
      <c r="E12" s="5" t="s">
        <v>117</v>
      </c>
      <c r="F12" s="9" t="s">
        <v>118</v>
      </c>
      <c r="G12" s="9" t="s">
        <v>119</v>
      </c>
      <c r="H12" s="5" t="s">
        <v>97</v>
      </c>
      <c r="I12" s="55" t="s">
        <v>120</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competen'!$F$4:$F$9</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G66"/>
  <sheetViews>
    <sheetView zoomScaleNormal="100" workbookViewId="0"/>
  </sheetViews>
  <sheetFormatPr defaultColWidth="10.7109375" defaultRowHeight="14.45"/>
  <cols>
    <col min="1" max="1" width="94.85546875" style="13" customWidth="1"/>
    <col min="2" max="2" width="44.42578125" style="13" customWidth="1"/>
    <col min="3" max="3" width="54.7109375" style="26" customWidth="1"/>
    <col min="4" max="4" width="46.42578125" style="26" customWidth="1"/>
    <col min="5" max="5" width="46.42578125" style="13" customWidth="1"/>
    <col min="6" max="6" width="38.28515625" style="26" customWidth="1"/>
    <col min="7" max="16384" width="10.7109375" style="13"/>
  </cols>
  <sheetData>
    <row r="1" spans="1:7" s="74" customFormat="1" ht="65.099999999999994">
      <c r="A1" s="66" t="s">
        <v>137</v>
      </c>
      <c r="B1" s="66" t="s">
        <v>138</v>
      </c>
      <c r="C1" s="66" t="s">
        <v>139</v>
      </c>
      <c r="D1" s="66" t="s">
        <v>140</v>
      </c>
      <c r="E1" s="66" t="s">
        <v>141</v>
      </c>
      <c r="F1" s="66" t="s">
        <v>142</v>
      </c>
    </row>
    <row r="2" spans="1:7" s="74" customFormat="1" ht="33">
      <c r="A2" s="69" t="s">
        <v>143</v>
      </c>
      <c r="B2" s="69" t="s">
        <v>144</v>
      </c>
      <c r="C2" s="69" t="s">
        <v>145</v>
      </c>
      <c r="D2" s="69" t="s">
        <v>146</v>
      </c>
      <c r="E2" s="69" t="s">
        <v>147</v>
      </c>
      <c r="F2" s="69" t="s">
        <v>148</v>
      </c>
    </row>
    <row r="3" spans="1:7" ht="66">
      <c r="A3" s="34" t="s">
        <v>115</v>
      </c>
      <c r="B3" s="120" t="s">
        <v>149</v>
      </c>
      <c r="C3" s="139" t="s">
        <v>150</v>
      </c>
      <c r="D3" s="105" t="s">
        <v>151</v>
      </c>
      <c r="E3" s="120" t="s">
        <v>152</v>
      </c>
      <c r="F3" s="75" t="s">
        <v>153</v>
      </c>
    </row>
    <row r="4" spans="1:7" ht="49.5">
      <c r="A4" s="34" t="s">
        <v>112</v>
      </c>
      <c r="B4" s="121"/>
      <c r="C4" s="135"/>
      <c r="D4" s="99" t="s">
        <v>154</v>
      </c>
      <c r="E4" s="121"/>
      <c r="F4" s="34" t="s">
        <v>155</v>
      </c>
    </row>
    <row r="5" spans="1:7" ht="49.5">
      <c r="A5" s="76" t="s">
        <v>114</v>
      </c>
      <c r="B5" s="132"/>
      <c r="C5" s="136"/>
      <c r="D5" s="103" t="s">
        <v>156</v>
      </c>
      <c r="E5" s="132"/>
      <c r="F5" s="76" t="s">
        <v>157</v>
      </c>
    </row>
    <row r="6" spans="1:7" ht="49.5">
      <c r="A6" s="34" t="s">
        <v>98</v>
      </c>
      <c r="B6" s="131" t="s">
        <v>158</v>
      </c>
      <c r="C6" s="134" t="s">
        <v>159</v>
      </c>
      <c r="D6" s="106" t="s">
        <v>151</v>
      </c>
      <c r="E6" s="131" t="s">
        <v>152</v>
      </c>
      <c r="F6" s="79" t="s">
        <v>153</v>
      </c>
      <c r="G6" s="34"/>
    </row>
    <row r="7" spans="1:7" ht="49.5">
      <c r="A7" s="34" t="s">
        <v>102</v>
      </c>
      <c r="B7" s="121"/>
      <c r="C7" s="135"/>
      <c r="D7" s="99" t="s">
        <v>154</v>
      </c>
      <c r="E7" s="121"/>
      <c r="F7" s="34" t="s">
        <v>155</v>
      </c>
      <c r="G7" s="34"/>
    </row>
    <row r="8" spans="1:7" ht="49.5">
      <c r="A8" s="34" t="s">
        <v>112</v>
      </c>
      <c r="B8" s="121"/>
      <c r="C8" s="135"/>
      <c r="D8" s="99" t="s">
        <v>160</v>
      </c>
      <c r="E8" s="121"/>
      <c r="F8" s="34" t="s">
        <v>157</v>
      </c>
      <c r="G8" s="34"/>
    </row>
    <row r="9" spans="1:7" ht="49.5">
      <c r="A9" s="76" t="s">
        <v>109</v>
      </c>
      <c r="B9" s="132"/>
      <c r="C9" s="136"/>
      <c r="D9" s="103"/>
      <c r="E9" s="132"/>
      <c r="F9" s="76"/>
      <c r="G9" s="34"/>
    </row>
    <row r="10" spans="1:7" ht="49.5">
      <c r="A10" s="34" t="s">
        <v>98</v>
      </c>
      <c r="B10" s="131" t="s">
        <v>161</v>
      </c>
      <c r="C10" s="134" t="s">
        <v>162</v>
      </c>
      <c r="D10" s="106" t="s">
        <v>151</v>
      </c>
      <c r="E10" s="131" t="s">
        <v>152</v>
      </c>
      <c r="F10" s="79" t="s">
        <v>153</v>
      </c>
    </row>
    <row r="11" spans="1:7" ht="49.5">
      <c r="A11" s="34" t="s">
        <v>102</v>
      </c>
      <c r="B11" s="121"/>
      <c r="C11" s="135"/>
      <c r="D11" s="99" t="s">
        <v>154</v>
      </c>
      <c r="E11" s="121"/>
      <c r="F11" s="34" t="s">
        <v>155</v>
      </c>
    </row>
    <row r="12" spans="1:7" ht="66">
      <c r="A12" s="34" t="s">
        <v>115</v>
      </c>
      <c r="B12" s="121"/>
      <c r="C12" s="135"/>
      <c r="D12" s="99" t="s">
        <v>160</v>
      </c>
      <c r="E12" s="121"/>
      <c r="F12" s="34" t="s">
        <v>157</v>
      </c>
    </row>
    <row r="13" spans="1:7" ht="49.5">
      <c r="A13" s="34" t="s">
        <v>109</v>
      </c>
      <c r="B13" s="121"/>
      <c r="C13" s="135"/>
      <c r="D13" s="99"/>
      <c r="E13" s="121"/>
      <c r="F13" s="18"/>
    </row>
    <row r="14" spans="1:7" ht="49.5">
      <c r="A14" s="76" t="s">
        <v>112</v>
      </c>
      <c r="B14" s="132"/>
      <c r="C14" s="136"/>
      <c r="D14" s="103"/>
      <c r="E14" s="132"/>
      <c r="F14" s="107"/>
    </row>
    <row r="15" spans="1:7" ht="49.5">
      <c r="A15" s="34" t="s">
        <v>98</v>
      </c>
      <c r="B15" s="131" t="s">
        <v>163</v>
      </c>
      <c r="C15" s="134" t="s">
        <v>164</v>
      </c>
      <c r="D15" s="106" t="s">
        <v>151</v>
      </c>
      <c r="E15" s="131" t="s">
        <v>152</v>
      </c>
      <c r="F15" s="79" t="s">
        <v>153</v>
      </c>
    </row>
    <row r="16" spans="1:7" ht="49.5">
      <c r="A16" s="34" t="s">
        <v>102</v>
      </c>
      <c r="B16" s="121"/>
      <c r="C16" s="135"/>
      <c r="D16" s="99" t="s">
        <v>154</v>
      </c>
      <c r="E16" s="121"/>
      <c r="F16" s="34" t="s">
        <v>155</v>
      </c>
    </row>
    <row r="17" spans="1:6" ht="66">
      <c r="A17" s="34" t="s">
        <v>115</v>
      </c>
      <c r="B17" s="121"/>
      <c r="C17" s="135"/>
      <c r="D17" s="99" t="s">
        <v>160</v>
      </c>
      <c r="E17" s="121"/>
      <c r="F17" s="34" t="s">
        <v>157</v>
      </c>
    </row>
    <row r="18" spans="1:6" ht="49.5">
      <c r="A18" s="34" t="s">
        <v>109</v>
      </c>
      <c r="B18" s="121"/>
      <c r="C18" s="135"/>
      <c r="D18" s="99"/>
      <c r="E18" s="121"/>
      <c r="F18" s="18"/>
    </row>
    <row r="19" spans="1:6" ht="49.5">
      <c r="A19" s="76" t="s">
        <v>112</v>
      </c>
      <c r="B19" s="132"/>
      <c r="C19" s="136"/>
      <c r="D19" s="101"/>
      <c r="E19" s="132"/>
      <c r="F19" s="107"/>
    </row>
    <row r="20" spans="1:6" ht="49.5">
      <c r="A20" s="34" t="s">
        <v>98</v>
      </c>
      <c r="B20" s="131" t="s">
        <v>165</v>
      </c>
      <c r="C20" s="134" t="s">
        <v>166</v>
      </c>
      <c r="D20" s="106" t="s">
        <v>151</v>
      </c>
      <c r="E20" s="131" t="s">
        <v>167</v>
      </c>
      <c r="F20" s="79" t="s">
        <v>153</v>
      </c>
    </row>
    <row r="21" spans="1:6" ht="49.5">
      <c r="A21" s="34" t="s">
        <v>102</v>
      </c>
      <c r="B21" s="121"/>
      <c r="C21" s="135"/>
      <c r="D21" s="99" t="s">
        <v>154</v>
      </c>
      <c r="E21" s="121"/>
      <c r="F21" s="34" t="s">
        <v>155</v>
      </c>
    </row>
    <row r="22" spans="1:6" ht="82.5">
      <c r="A22" s="34" t="s">
        <v>106</v>
      </c>
      <c r="B22" s="121"/>
      <c r="C22" s="135"/>
      <c r="D22" s="99" t="s">
        <v>160</v>
      </c>
      <c r="E22" s="121"/>
      <c r="F22" s="34" t="s">
        <v>168</v>
      </c>
    </row>
    <row r="23" spans="1:6" ht="66">
      <c r="A23" s="34" t="s">
        <v>115</v>
      </c>
      <c r="B23" s="121"/>
      <c r="C23" s="135"/>
      <c r="D23" s="100"/>
      <c r="E23" s="121"/>
      <c r="F23" s="18"/>
    </row>
    <row r="24" spans="1:6" ht="49.5">
      <c r="A24" s="34" t="s">
        <v>109</v>
      </c>
      <c r="B24" s="121"/>
      <c r="C24" s="135"/>
      <c r="D24" s="100"/>
      <c r="E24" s="121"/>
      <c r="F24" s="18"/>
    </row>
    <row r="25" spans="1:6" ht="49.5">
      <c r="A25" s="34" t="s">
        <v>112</v>
      </c>
      <c r="B25" s="121"/>
      <c r="C25" s="135"/>
      <c r="D25" s="100"/>
      <c r="E25" s="121"/>
      <c r="F25" s="18"/>
    </row>
    <row r="26" spans="1:6" ht="49.5">
      <c r="A26" s="76" t="s">
        <v>114</v>
      </c>
      <c r="B26" s="132"/>
      <c r="C26" s="136"/>
      <c r="D26" s="101"/>
      <c r="E26" s="132"/>
      <c r="F26" s="107"/>
    </row>
    <row r="27" spans="1:6" ht="82.5">
      <c r="A27" s="34" t="s">
        <v>106</v>
      </c>
      <c r="B27" s="131" t="s">
        <v>169</v>
      </c>
      <c r="C27" s="134" t="s">
        <v>170</v>
      </c>
      <c r="D27" s="106" t="s">
        <v>151</v>
      </c>
      <c r="E27" s="131" t="s">
        <v>171</v>
      </c>
      <c r="F27" s="79" t="s">
        <v>153</v>
      </c>
    </row>
    <row r="28" spans="1:6" ht="66">
      <c r="A28" s="34" t="s">
        <v>115</v>
      </c>
      <c r="B28" s="121"/>
      <c r="C28" s="135"/>
      <c r="D28" s="99" t="s">
        <v>154</v>
      </c>
      <c r="E28" s="121"/>
      <c r="F28" s="34" t="s">
        <v>155</v>
      </c>
    </row>
    <row r="29" spans="1:6" ht="49.5">
      <c r="A29" s="34" t="s">
        <v>109</v>
      </c>
      <c r="B29" s="121"/>
      <c r="C29" s="135"/>
      <c r="D29" s="99" t="s">
        <v>160</v>
      </c>
      <c r="E29" s="121"/>
      <c r="F29" s="34" t="s">
        <v>168</v>
      </c>
    </row>
    <row r="30" spans="1:6" ht="49.5">
      <c r="A30" s="34" t="s">
        <v>112</v>
      </c>
      <c r="B30" s="121"/>
      <c r="C30" s="135"/>
      <c r="D30" s="34"/>
      <c r="E30" s="121"/>
      <c r="F30" s="18"/>
    </row>
    <row r="31" spans="1:6" ht="49.5">
      <c r="A31" s="76" t="s">
        <v>114</v>
      </c>
      <c r="B31" s="132"/>
      <c r="C31" s="136"/>
      <c r="D31" s="77"/>
      <c r="E31" s="121"/>
      <c r="F31" s="107"/>
    </row>
    <row r="32" spans="1:6" ht="71.25" customHeight="1">
      <c r="A32" s="34" t="s">
        <v>98</v>
      </c>
      <c r="B32" s="131" t="s">
        <v>172</v>
      </c>
      <c r="C32" s="134" t="s">
        <v>173</v>
      </c>
      <c r="D32" s="106" t="s">
        <v>151</v>
      </c>
      <c r="E32" s="131" t="s">
        <v>174</v>
      </c>
      <c r="F32" s="79" t="s">
        <v>153</v>
      </c>
    </row>
    <row r="33" spans="1:6" ht="49.5">
      <c r="A33" s="34" t="s">
        <v>102</v>
      </c>
      <c r="B33" s="121"/>
      <c r="C33" s="135"/>
      <c r="D33" s="99" t="s">
        <v>154</v>
      </c>
      <c r="E33" s="121"/>
      <c r="F33" s="34" t="s">
        <v>155</v>
      </c>
    </row>
    <row r="34" spans="1:6" ht="82.5">
      <c r="A34" s="34" t="s">
        <v>106</v>
      </c>
      <c r="B34" s="121"/>
      <c r="C34" s="135"/>
      <c r="D34" s="99" t="s">
        <v>160</v>
      </c>
      <c r="E34" s="121"/>
      <c r="F34" s="34" t="s">
        <v>157</v>
      </c>
    </row>
    <row r="35" spans="1:6" ht="66">
      <c r="A35" s="34" t="s">
        <v>115</v>
      </c>
      <c r="B35" s="121"/>
      <c r="C35" s="135"/>
      <c r="D35" s="99"/>
      <c r="E35" s="121"/>
      <c r="F35" s="18"/>
    </row>
    <row r="36" spans="1:6" ht="49.5">
      <c r="A36" s="34" t="s">
        <v>109</v>
      </c>
      <c r="B36" s="121"/>
      <c r="C36" s="135"/>
      <c r="D36" s="99"/>
      <c r="E36" s="121"/>
      <c r="F36" s="18"/>
    </row>
    <row r="37" spans="1:6" ht="49.5">
      <c r="A37" s="34" t="s">
        <v>112</v>
      </c>
      <c r="B37" s="121"/>
      <c r="C37" s="135"/>
      <c r="D37" s="99"/>
      <c r="E37" s="121"/>
      <c r="F37" s="18"/>
    </row>
    <row r="38" spans="1:6" ht="49.5">
      <c r="A38" s="76" t="s">
        <v>114</v>
      </c>
      <c r="B38" s="132"/>
      <c r="C38" s="137"/>
      <c r="D38" s="77"/>
      <c r="E38" s="132"/>
      <c r="F38" s="107"/>
    </row>
    <row r="39" spans="1:6" ht="49.5">
      <c r="A39" s="34" t="s">
        <v>98</v>
      </c>
      <c r="B39" s="126" t="s">
        <v>175</v>
      </c>
      <c r="C39" s="138" t="s">
        <v>176</v>
      </c>
      <c r="D39" s="106" t="s">
        <v>151</v>
      </c>
      <c r="E39" s="131" t="s">
        <v>177</v>
      </c>
      <c r="F39" s="79" t="s">
        <v>153</v>
      </c>
    </row>
    <row r="40" spans="1:6" ht="49.5">
      <c r="A40" s="34" t="s">
        <v>102</v>
      </c>
      <c r="B40" s="127"/>
      <c r="C40" s="123"/>
      <c r="D40" s="99" t="s">
        <v>154</v>
      </c>
      <c r="E40" s="121"/>
      <c r="F40" s="34" t="s">
        <v>155</v>
      </c>
    </row>
    <row r="41" spans="1:6" ht="82.5">
      <c r="A41" s="34" t="s">
        <v>106</v>
      </c>
      <c r="B41" s="127"/>
      <c r="C41" s="123"/>
      <c r="D41" s="99" t="s">
        <v>160</v>
      </c>
      <c r="E41" s="121"/>
      <c r="F41" s="34" t="s">
        <v>168</v>
      </c>
    </row>
    <row r="42" spans="1:6" ht="66">
      <c r="A42" s="34" t="s">
        <v>115</v>
      </c>
      <c r="B42" s="127"/>
      <c r="C42" s="123"/>
      <c r="D42" s="18"/>
      <c r="E42" s="121"/>
      <c r="F42" s="18"/>
    </row>
    <row r="43" spans="1:6" ht="49.5">
      <c r="A43" s="34" t="s">
        <v>109</v>
      </c>
      <c r="B43" s="127"/>
      <c r="C43" s="123"/>
      <c r="D43" s="18"/>
      <c r="E43" s="121"/>
      <c r="F43" s="18"/>
    </row>
    <row r="44" spans="1:6" ht="49.5">
      <c r="A44" s="34" t="s">
        <v>112</v>
      </c>
      <c r="B44" s="127"/>
      <c r="C44" s="123"/>
      <c r="D44" s="18"/>
      <c r="E44" s="121"/>
      <c r="F44" s="18"/>
    </row>
    <row r="45" spans="1:6" ht="49.5">
      <c r="A45" s="76" t="s">
        <v>114</v>
      </c>
      <c r="B45" s="127"/>
      <c r="C45" s="123"/>
      <c r="D45" s="107"/>
      <c r="E45" s="121"/>
      <c r="F45" s="107"/>
    </row>
    <row r="46" spans="1:6" ht="49.5">
      <c r="A46" s="34" t="s">
        <v>98</v>
      </c>
      <c r="B46" s="126" t="s">
        <v>178</v>
      </c>
      <c r="C46" s="129" t="s">
        <v>179</v>
      </c>
      <c r="D46" s="106" t="s">
        <v>151</v>
      </c>
      <c r="E46" s="131" t="s">
        <v>177</v>
      </c>
      <c r="F46" s="79" t="s">
        <v>153</v>
      </c>
    </row>
    <row r="47" spans="1:6" ht="49.5">
      <c r="A47" s="34" t="s">
        <v>102</v>
      </c>
      <c r="B47" s="127"/>
      <c r="C47" s="123"/>
      <c r="D47" s="99" t="s">
        <v>154</v>
      </c>
      <c r="E47" s="121"/>
      <c r="F47" s="34" t="s">
        <v>155</v>
      </c>
    </row>
    <row r="48" spans="1:6" ht="82.5">
      <c r="A48" s="34" t="s">
        <v>106</v>
      </c>
      <c r="B48" s="127"/>
      <c r="C48" s="123"/>
      <c r="D48" s="99" t="s">
        <v>160</v>
      </c>
      <c r="E48" s="121"/>
      <c r="F48" s="34" t="s">
        <v>168</v>
      </c>
    </row>
    <row r="49" spans="1:6" ht="66">
      <c r="A49" s="34" t="s">
        <v>115</v>
      </c>
      <c r="B49" s="127"/>
      <c r="C49" s="123"/>
      <c r="D49" s="18"/>
      <c r="E49" s="121"/>
      <c r="F49" s="18"/>
    </row>
    <row r="50" spans="1:6" ht="49.5">
      <c r="A50" s="34" t="s">
        <v>109</v>
      </c>
      <c r="B50" s="127"/>
      <c r="C50" s="123"/>
      <c r="D50" s="18"/>
      <c r="E50" s="121"/>
      <c r="F50" s="18"/>
    </row>
    <row r="51" spans="1:6" ht="49.5">
      <c r="A51" s="34" t="s">
        <v>112</v>
      </c>
      <c r="B51" s="127"/>
      <c r="C51" s="123"/>
      <c r="D51" s="18"/>
      <c r="E51" s="121"/>
      <c r="F51" s="18"/>
    </row>
    <row r="52" spans="1:6" ht="49.5">
      <c r="A52" s="76" t="s">
        <v>114</v>
      </c>
      <c r="B52" s="128"/>
      <c r="C52" s="130"/>
      <c r="D52" s="107"/>
      <c r="E52" s="132"/>
      <c r="F52" s="107"/>
    </row>
    <row r="53" spans="1:6" ht="49.5">
      <c r="A53" s="34" t="s">
        <v>98</v>
      </c>
      <c r="B53" s="126" t="s">
        <v>180</v>
      </c>
      <c r="C53" s="129" t="s">
        <v>181</v>
      </c>
      <c r="D53" s="106" t="s">
        <v>151</v>
      </c>
      <c r="E53" s="131" t="s">
        <v>182</v>
      </c>
      <c r="F53" s="79" t="s">
        <v>153</v>
      </c>
    </row>
    <row r="54" spans="1:6" ht="49.5">
      <c r="A54" s="34" t="s">
        <v>102</v>
      </c>
      <c r="B54" s="127"/>
      <c r="C54" s="123"/>
      <c r="D54" s="99" t="s">
        <v>154</v>
      </c>
      <c r="E54" s="121"/>
      <c r="F54" s="34" t="s">
        <v>155</v>
      </c>
    </row>
    <row r="55" spans="1:6" ht="82.5">
      <c r="A55" s="34" t="s">
        <v>106</v>
      </c>
      <c r="B55" s="127"/>
      <c r="C55" s="123"/>
      <c r="D55" s="99" t="s">
        <v>160</v>
      </c>
      <c r="E55" s="121"/>
      <c r="F55" s="34" t="s">
        <v>168</v>
      </c>
    </row>
    <row r="56" spans="1:6" ht="66">
      <c r="A56" s="34" t="s">
        <v>115</v>
      </c>
      <c r="B56" s="127"/>
      <c r="C56" s="123"/>
      <c r="D56" s="18"/>
      <c r="E56" s="121"/>
      <c r="F56" s="18"/>
    </row>
    <row r="57" spans="1:6" ht="49.5">
      <c r="A57" s="34" t="s">
        <v>109</v>
      </c>
      <c r="B57" s="127"/>
      <c r="C57" s="123"/>
      <c r="D57" s="18"/>
      <c r="E57" s="121"/>
      <c r="F57" s="18"/>
    </row>
    <row r="58" spans="1:6" ht="49.5">
      <c r="A58" s="34" t="s">
        <v>112</v>
      </c>
      <c r="B58" s="127"/>
      <c r="C58" s="123"/>
      <c r="D58" s="18"/>
      <c r="E58" s="121"/>
      <c r="F58" s="18"/>
    </row>
    <row r="59" spans="1:6" ht="49.5">
      <c r="A59" s="76" t="s">
        <v>114</v>
      </c>
      <c r="B59" s="128"/>
      <c r="C59" s="130"/>
      <c r="D59" s="107"/>
      <c r="E59" s="132"/>
      <c r="F59" s="107"/>
    </row>
    <row r="60" spans="1:6" ht="49.5">
      <c r="A60" s="79" t="s">
        <v>98</v>
      </c>
      <c r="B60" s="126" t="s">
        <v>183</v>
      </c>
      <c r="C60" s="129" t="s">
        <v>184</v>
      </c>
      <c r="D60" s="106" t="s">
        <v>151</v>
      </c>
      <c r="E60" s="131" t="s">
        <v>182</v>
      </c>
      <c r="F60" s="79" t="s">
        <v>153</v>
      </c>
    </row>
    <row r="61" spans="1:6" ht="49.5">
      <c r="A61" s="34" t="s">
        <v>102</v>
      </c>
      <c r="B61" s="127"/>
      <c r="C61" s="123"/>
      <c r="D61" s="99" t="s">
        <v>154</v>
      </c>
      <c r="E61" s="121"/>
      <c r="F61" s="34" t="s">
        <v>155</v>
      </c>
    </row>
    <row r="62" spans="1:6" ht="82.5">
      <c r="A62" s="34" t="s">
        <v>106</v>
      </c>
      <c r="B62" s="127"/>
      <c r="C62" s="123"/>
      <c r="D62" s="99" t="s">
        <v>160</v>
      </c>
      <c r="E62" s="121"/>
      <c r="F62" s="34" t="s">
        <v>168</v>
      </c>
    </row>
    <row r="63" spans="1:6" ht="66">
      <c r="A63" s="34" t="s">
        <v>115</v>
      </c>
      <c r="B63" s="127"/>
      <c r="C63" s="123"/>
      <c r="D63" s="18"/>
      <c r="E63" s="121"/>
      <c r="F63" s="18"/>
    </row>
    <row r="64" spans="1:6" ht="49.5">
      <c r="A64" s="34" t="s">
        <v>109</v>
      </c>
      <c r="B64" s="127"/>
      <c r="C64" s="123"/>
      <c r="D64" s="18"/>
      <c r="E64" s="121"/>
      <c r="F64" s="18"/>
    </row>
    <row r="65" spans="1:6" ht="49.5">
      <c r="A65" s="34" t="s">
        <v>112</v>
      </c>
      <c r="B65" s="127"/>
      <c r="C65" s="123"/>
      <c r="D65" s="18"/>
      <c r="E65" s="121"/>
      <c r="F65" s="18"/>
    </row>
    <row r="66" spans="1:6" ht="49.5">
      <c r="A66" s="76" t="s">
        <v>114</v>
      </c>
      <c r="B66" s="128"/>
      <c r="C66" s="130"/>
      <c r="D66" s="107"/>
      <c r="E66" s="133"/>
      <c r="F66" s="107"/>
    </row>
  </sheetData>
  <mergeCells count="33">
    <mergeCell ref="B3:B5"/>
    <mergeCell ref="B20:B26"/>
    <mergeCell ref="C20:C26"/>
    <mergeCell ref="B6:B9"/>
    <mergeCell ref="C6:C9"/>
    <mergeCell ref="B10:B14"/>
    <mergeCell ref="B15:B19"/>
    <mergeCell ref="C15:C19"/>
    <mergeCell ref="E15:E19"/>
    <mergeCell ref="E20:E26"/>
    <mergeCell ref="E3:E5"/>
    <mergeCell ref="C10:C14"/>
    <mergeCell ref="E10:E14"/>
    <mergeCell ref="E6:E9"/>
    <mergeCell ref="C3:C5"/>
    <mergeCell ref="E27:E31"/>
    <mergeCell ref="E39:E45"/>
    <mergeCell ref="B46:B52"/>
    <mergeCell ref="C46:C52"/>
    <mergeCell ref="E46:E52"/>
    <mergeCell ref="B27:B31"/>
    <mergeCell ref="C27:C31"/>
    <mergeCell ref="B32:B38"/>
    <mergeCell ref="C32:C38"/>
    <mergeCell ref="B39:B45"/>
    <mergeCell ref="C39:C45"/>
    <mergeCell ref="E32:E38"/>
    <mergeCell ref="B53:B59"/>
    <mergeCell ref="C53:C59"/>
    <mergeCell ref="E53:E59"/>
    <mergeCell ref="B60:B66"/>
    <mergeCell ref="C60:C66"/>
    <mergeCell ref="E60:E6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RA'!$I$3:$I$18</xm:f>
          </x14:formula1>
          <xm:sqref>A3:A66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61"/>
  <sheetViews>
    <sheetView topLeftCell="B1" zoomScale="79" zoomScaleNormal="79" workbookViewId="0">
      <pane ySplit="2" topLeftCell="A3" activePane="bottomLeft" state="frozen"/>
      <selection pane="bottomLeft"/>
      <selection activeCell="B1" sqref="B1"/>
    </sheetView>
  </sheetViews>
  <sheetFormatPr defaultColWidth="14.7109375" defaultRowHeight="16.5"/>
  <cols>
    <col min="1" max="1" width="13.140625" style="93" customWidth="1"/>
    <col min="2" max="2" width="106.7109375" style="5" customWidth="1"/>
    <col min="3" max="3" width="18.42578125" style="7" customWidth="1"/>
    <col min="4" max="4" width="33.7109375" style="6" bestFit="1" customWidth="1"/>
    <col min="5" max="5" width="61.140625" style="5" customWidth="1"/>
    <col min="6" max="6" width="16.140625" style="7" customWidth="1"/>
    <col min="7" max="7" width="19.28515625" style="7" customWidth="1"/>
    <col min="8" max="8" width="17.7109375" style="7" customWidth="1"/>
    <col min="9" max="9" width="17.42578125" style="7" customWidth="1"/>
    <col min="10" max="10" width="13.140625" style="7" customWidth="1"/>
    <col min="11" max="11" width="29" style="7" customWidth="1"/>
    <col min="12" max="12" width="25.7109375" style="7" customWidth="1"/>
    <col min="13" max="13" width="13.140625" style="7" customWidth="1"/>
    <col min="14" max="14" width="38.85546875" style="5" customWidth="1"/>
    <col min="15" max="15" width="48.28515625" style="5" customWidth="1"/>
    <col min="16" max="16" width="48.42578125" style="5" bestFit="1" customWidth="1"/>
    <col min="17" max="17" width="83.7109375" style="5" customWidth="1"/>
    <col min="18" max="18" width="16.140625" style="5" customWidth="1"/>
    <col min="19" max="19" width="13.85546875" style="5" customWidth="1"/>
    <col min="20" max="20" width="14.7109375" style="14" customWidth="1"/>
    <col min="21" max="16384" width="14.7109375" style="7"/>
  </cols>
  <sheetData>
    <row r="1" spans="1:20" s="74" customFormat="1" ht="51.95">
      <c r="A1" s="66" t="s">
        <v>185</v>
      </c>
      <c r="B1" s="66" t="s">
        <v>186</v>
      </c>
      <c r="C1" s="66" t="s">
        <v>187</v>
      </c>
      <c r="D1" s="66" t="s">
        <v>188</v>
      </c>
      <c r="E1" s="66" t="s">
        <v>189</v>
      </c>
      <c r="F1" s="66" t="s">
        <v>190</v>
      </c>
      <c r="G1" s="148" t="s">
        <v>191</v>
      </c>
      <c r="H1" s="148"/>
      <c r="I1" s="148"/>
      <c r="J1" s="66" t="s">
        <v>192</v>
      </c>
      <c r="K1" s="66" t="s">
        <v>193</v>
      </c>
      <c r="L1" s="66" t="s">
        <v>194</v>
      </c>
      <c r="M1" s="66" t="s">
        <v>195</v>
      </c>
      <c r="N1" s="66" t="s">
        <v>196</v>
      </c>
      <c r="O1" s="66" t="s">
        <v>197</v>
      </c>
      <c r="P1" s="66" t="s">
        <v>198</v>
      </c>
      <c r="Q1" s="66" t="s">
        <v>199</v>
      </c>
      <c r="R1" s="90"/>
      <c r="S1" s="90"/>
    </row>
    <row r="2" spans="1:20" s="74" customFormat="1" ht="33">
      <c r="A2" s="69" t="s">
        <v>200</v>
      </c>
      <c r="B2" s="69" t="s">
        <v>143</v>
      </c>
      <c r="C2" s="69" t="s">
        <v>201</v>
      </c>
      <c r="D2" s="69" t="s">
        <v>202</v>
      </c>
      <c r="E2" s="69" t="s">
        <v>203</v>
      </c>
      <c r="F2" s="69" t="s">
        <v>204</v>
      </c>
      <c r="G2" s="69" t="s">
        <v>205</v>
      </c>
      <c r="H2" s="69" t="s">
        <v>206</v>
      </c>
      <c r="I2" s="69" t="s">
        <v>207</v>
      </c>
      <c r="J2" s="69" t="s">
        <v>208</v>
      </c>
      <c r="K2" s="69" t="s">
        <v>209</v>
      </c>
      <c r="L2" s="69" t="s">
        <v>210</v>
      </c>
      <c r="M2" s="69" t="s">
        <v>211</v>
      </c>
      <c r="N2" s="69" t="s">
        <v>212</v>
      </c>
      <c r="O2" s="69" t="s">
        <v>213</v>
      </c>
      <c r="P2" s="69" t="s">
        <v>214</v>
      </c>
      <c r="Q2" s="69" t="s">
        <v>215</v>
      </c>
      <c r="R2" s="91"/>
      <c r="S2" s="91"/>
    </row>
    <row r="3" spans="1:20" s="108" customFormat="1" ht="88.5" customHeight="1">
      <c r="A3" s="58" t="str">
        <f>_xlfn.XLOOKUP(B3,'Paso 3 Redacción RA'!I$3:I$18,'Paso 3 Redacción RA'!C$3:C$18,,0,1)</f>
        <v>Saber</v>
      </c>
      <c r="B3" s="58" t="s">
        <v>98</v>
      </c>
      <c r="C3" s="142">
        <v>1</v>
      </c>
      <c r="D3" s="142" t="s">
        <v>216</v>
      </c>
      <c r="E3" s="139" t="s">
        <v>217</v>
      </c>
      <c r="F3" s="142" t="s">
        <v>218</v>
      </c>
      <c r="G3" s="142"/>
      <c r="H3" s="142" t="s">
        <v>219</v>
      </c>
      <c r="I3" s="142"/>
      <c r="J3" s="142">
        <v>3</v>
      </c>
      <c r="K3" s="142">
        <f>16*J3</f>
        <v>48</v>
      </c>
      <c r="L3" s="142">
        <f>32*J3</f>
        <v>96</v>
      </c>
      <c r="M3" s="142">
        <f>SUM(K3:L6)</f>
        <v>144</v>
      </c>
      <c r="N3" s="134" t="s">
        <v>220</v>
      </c>
      <c r="O3" s="134" t="s">
        <v>221</v>
      </c>
      <c r="P3" s="134" t="s">
        <v>222</v>
      </c>
      <c r="Q3" s="134" t="s">
        <v>223</v>
      </c>
      <c r="R3" s="100"/>
      <c r="S3" s="100"/>
    </row>
    <row r="4" spans="1:20" s="108" customFormat="1" ht="78" customHeight="1">
      <c r="A4" s="58" t="str">
        <f>_xlfn.XLOOKUP(B4,'Paso 3 Redacción RA'!I$3:I$18,'Paso 3 Redacción RA'!C$3:C$18,,0,1)</f>
        <v>SaberHacer</v>
      </c>
      <c r="B4" s="58" t="s">
        <v>102</v>
      </c>
      <c r="C4" s="143"/>
      <c r="D4" s="143"/>
      <c r="E4" s="135"/>
      <c r="F4" s="143"/>
      <c r="G4" s="143"/>
      <c r="H4" s="143"/>
      <c r="I4" s="143"/>
      <c r="J4" s="143"/>
      <c r="K4" s="143"/>
      <c r="L4" s="143"/>
      <c r="M4" s="143"/>
      <c r="N4" s="135"/>
      <c r="O4" s="135"/>
      <c r="P4" s="135"/>
      <c r="Q4" s="135"/>
      <c r="R4" s="100"/>
      <c r="S4" s="100"/>
    </row>
    <row r="5" spans="1:20" s="108" customFormat="1" ht="101.25" customHeight="1">
      <c r="A5" s="58" t="str">
        <f>_xlfn.XLOOKUP(B5,'Paso 3 Redacción RA'!I$3:I$18,'Paso 3 Redacción RA'!C$3:C$18,,0,1)</f>
        <v>SaberHacer</v>
      </c>
      <c r="B5" s="58" t="s">
        <v>109</v>
      </c>
      <c r="C5" s="143"/>
      <c r="D5" s="143"/>
      <c r="E5" s="135"/>
      <c r="F5" s="143"/>
      <c r="G5" s="143"/>
      <c r="H5" s="143"/>
      <c r="I5" s="143"/>
      <c r="J5" s="143"/>
      <c r="K5" s="143"/>
      <c r="L5" s="143"/>
      <c r="M5" s="143"/>
      <c r="N5" s="135"/>
      <c r="O5" s="135"/>
      <c r="P5" s="135"/>
      <c r="Q5" s="135"/>
      <c r="R5" s="100"/>
      <c r="S5" s="100"/>
    </row>
    <row r="6" spans="1:20" s="108" customFormat="1" ht="83.25" customHeight="1">
      <c r="A6" s="58" t="str">
        <f>_xlfn.XLOOKUP(B6,'Paso 3 Redacción RA'!I$3:I$18,'Paso 3 Redacción RA'!C$3:C$18,,0,1)</f>
        <v>Saber</v>
      </c>
      <c r="B6" s="58" t="s">
        <v>112</v>
      </c>
      <c r="C6" s="144"/>
      <c r="D6" s="144"/>
      <c r="E6" s="136"/>
      <c r="F6" s="144"/>
      <c r="G6" s="144"/>
      <c r="H6" s="144"/>
      <c r="I6" s="144"/>
      <c r="J6" s="144"/>
      <c r="K6" s="144"/>
      <c r="L6" s="144"/>
      <c r="M6" s="144"/>
      <c r="N6" s="136"/>
      <c r="O6" s="136"/>
      <c r="P6" s="136"/>
      <c r="Q6" s="136"/>
      <c r="R6" s="100"/>
      <c r="S6" s="100"/>
    </row>
    <row r="7" spans="1:20" s="74" customFormat="1" ht="231">
      <c r="A7" s="83" t="str">
        <f>_xlfn.XLOOKUP(B7,'Paso 3 Redacción RA'!I$3:I$18,'Paso 3 Redacción RA'!C$3:C$18,,0,1)</f>
        <v>Saber</v>
      </c>
      <c r="B7" s="83" t="s">
        <v>120</v>
      </c>
      <c r="C7" s="84">
        <v>1</v>
      </c>
      <c r="D7" s="85" t="s">
        <v>224</v>
      </c>
      <c r="E7" s="86" t="s">
        <v>225</v>
      </c>
      <c r="F7" s="84" t="s">
        <v>218</v>
      </c>
      <c r="G7" s="84" t="s">
        <v>219</v>
      </c>
      <c r="H7" s="84"/>
      <c r="I7" s="84"/>
      <c r="J7" s="84">
        <v>3</v>
      </c>
      <c r="K7" s="84">
        <f>16*J7</f>
        <v>48</v>
      </c>
      <c r="L7" s="84">
        <f>32*J7</f>
        <v>96</v>
      </c>
      <c r="M7" s="84">
        <f>SUM(K7:L7)</f>
        <v>144</v>
      </c>
      <c r="N7" s="88" t="s">
        <v>226</v>
      </c>
      <c r="O7" s="83" t="s">
        <v>227</v>
      </c>
      <c r="P7" s="86" t="s">
        <v>228</v>
      </c>
      <c r="Q7" s="83" t="s">
        <v>229</v>
      </c>
      <c r="R7" s="5"/>
      <c r="S7" s="5"/>
      <c r="T7" s="7"/>
    </row>
    <row r="8" spans="1:20" s="74" customFormat="1" ht="42.75">
      <c r="A8" s="58" t="str">
        <f>_xlfn.XLOOKUP(B8,'Paso 3 Redacción RA'!I$3:I$18,'Paso 3 Redacción RA'!C$3:C$18,,0,1)</f>
        <v>SaberHacer</v>
      </c>
      <c r="B8" s="5" t="s">
        <v>102</v>
      </c>
      <c r="C8" s="131">
        <v>1</v>
      </c>
      <c r="D8" s="131" t="s">
        <v>230</v>
      </c>
      <c r="E8" s="129" t="s">
        <v>231</v>
      </c>
      <c r="F8" s="131" t="s">
        <v>232</v>
      </c>
      <c r="G8" s="131"/>
      <c r="H8" s="131" t="s">
        <v>219</v>
      </c>
      <c r="I8" s="131"/>
      <c r="J8" s="131">
        <v>2</v>
      </c>
      <c r="K8" s="142">
        <f>16*J8</f>
        <v>32</v>
      </c>
      <c r="L8" s="142">
        <f>32*J8</f>
        <v>64</v>
      </c>
      <c r="M8" s="142">
        <f>SUM(K8:L11)</f>
        <v>96</v>
      </c>
      <c r="N8" s="129" t="s">
        <v>233</v>
      </c>
      <c r="O8" s="129" t="s">
        <v>234</v>
      </c>
      <c r="P8" s="129" t="s">
        <v>235</v>
      </c>
      <c r="Q8" s="129" t="s">
        <v>223</v>
      </c>
      <c r="R8" s="5"/>
      <c r="S8" s="5"/>
      <c r="T8" s="7"/>
    </row>
    <row r="9" spans="1:20" s="74" customFormat="1" ht="42.75">
      <c r="A9" s="58" t="str">
        <f>_xlfn.XLOOKUP(B9,'Paso 3 Redacción RA'!I$3:I$18,'Paso 3 Redacción RA'!C$3:C$18,,0,1)</f>
        <v>Saber</v>
      </c>
      <c r="B9" s="5" t="s">
        <v>115</v>
      </c>
      <c r="C9" s="121"/>
      <c r="D9" s="121"/>
      <c r="E9" s="123"/>
      <c r="F9" s="121"/>
      <c r="G9" s="121"/>
      <c r="H9" s="121"/>
      <c r="I9" s="121"/>
      <c r="J9" s="121"/>
      <c r="K9" s="143"/>
      <c r="L9" s="143"/>
      <c r="M9" s="143"/>
      <c r="N9" s="123"/>
      <c r="O9" s="123"/>
      <c r="P9" s="123"/>
      <c r="Q9" s="123"/>
      <c r="R9" s="5"/>
      <c r="S9" s="5"/>
      <c r="T9" s="7"/>
    </row>
    <row r="10" spans="1:20" s="74" customFormat="1" ht="42.75">
      <c r="A10" s="58" t="str">
        <f>_xlfn.XLOOKUP(B10,'Paso 3 Redacción RA'!I$3:I$18,'Paso 3 Redacción RA'!C$3:C$18,,0,1)</f>
        <v>Saber</v>
      </c>
      <c r="B10" s="5" t="s">
        <v>112</v>
      </c>
      <c r="C10" s="121"/>
      <c r="D10" s="121"/>
      <c r="E10" s="123"/>
      <c r="F10" s="121"/>
      <c r="G10" s="121"/>
      <c r="H10" s="121"/>
      <c r="I10" s="121"/>
      <c r="J10" s="121"/>
      <c r="K10" s="143"/>
      <c r="L10" s="143"/>
      <c r="M10" s="143"/>
      <c r="N10" s="123"/>
      <c r="O10" s="123"/>
      <c r="P10" s="123"/>
      <c r="Q10" s="123"/>
      <c r="R10" s="5"/>
      <c r="S10" s="5"/>
      <c r="T10" s="7"/>
    </row>
    <row r="11" spans="1:20" s="74" customFormat="1" ht="42.75">
      <c r="A11" s="77" t="str">
        <f>_xlfn.XLOOKUP(B11,'Paso 3 Redacción RA'!I$3:I$18,'Paso 3 Redacción RA'!C$3:C$18,,0,1)</f>
        <v>SaberHacer</v>
      </c>
      <c r="B11" s="72" t="s">
        <v>114</v>
      </c>
      <c r="C11" s="132"/>
      <c r="D11" s="132"/>
      <c r="E11" s="130"/>
      <c r="F11" s="132"/>
      <c r="G11" s="132"/>
      <c r="H11" s="132"/>
      <c r="I11" s="132"/>
      <c r="J11" s="132"/>
      <c r="K11" s="144"/>
      <c r="L11" s="144"/>
      <c r="M11" s="144"/>
      <c r="N11" s="130"/>
      <c r="O11" s="130"/>
      <c r="P11" s="130"/>
      <c r="Q11" s="130"/>
      <c r="R11" s="5"/>
      <c r="S11" s="5"/>
      <c r="T11" s="7"/>
    </row>
    <row r="12" spans="1:20" s="74" customFormat="1" ht="76.5" customHeight="1">
      <c r="A12" s="58" t="str">
        <f>_xlfn.XLOOKUP(B12,'Paso 3 Redacción RA'!I$3:I$18,'Paso 3 Redacción RA'!C$3:C$18,,0,1)</f>
        <v>SaberHacer</v>
      </c>
      <c r="B12" s="5" t="s">
        <v>102</v>
      </c>
      <c r="C12" s="131">
        <v>1</v>
      </c>
      <c r="D12" s="131" t="s">
        <v>236</v>
      </c>
      <c r="E12" s="129" t="s">
        <v>237</v>
      </c>
      <c r="F12" s="131" t="s">
        <v>218</v>
      </c>
      <c r="G12" s="131"/>
      <c r="H12" s="131" t="s">
        <v>219</v>
      </c>
      <c r="I12" s="131"/>
      <c r="J12" s="131">
        <v>2</v>
      </c>
      <c r="K12" s="142">
        <f>16*J12</f>
        <v>32</v>
      </c>
      <c r="L12" s="142">
        <f>32*J12</f>
        <v>64</v>
      </c>
      <c r="M12" s="142">
        <f>SUM(K12:L15)</f>
        <v>96</v>
      </c>
      <c r="N12" s="129" t="s">
        <v>238</v>
      </c>
      <c r="O12" s="129" t="s">
        <v>239</v>
      </c>
      <c r="P12" s="129" t="s">
        <v>240</v>
      </c>
      <c r="Q12" s="129" t="s">
        <v>223</v>
      </c>
      <c r="R12" s="5"/>
      <c r="S12" s="5"/>
      <c r="T12" s="7"/>
    </row>
    <row r="13" spans="1:20" s="74" customFormat="1" ht="49.5">
      <c r="A13" s="58" t="str">
        <f>_xlfn.XLOOKUP(B13,'Paso 3 Redacción RA'!I$3:I$18,'Paso 3 Redacción RA'!C$3:C$18,,0,1)</f>
        <v>Saber</v>
      </c>
      <c r="B13" s="5" t="s">
        <v>115</v>
      </c>
      <c r="C13" s="121"/>
      <c r="D13" s="121"/>
      <c r="E13" s="123"/>
      <c r="F13" s="121"/>
      <c r="G13" s="121"/>
      <c r="H13" s="121"/>
      <c r="I13" s="121"/>
      <c r="J13" s="121"/>
      <c r="K13" s="143"/>
      <c r="L13" s="143"/>
      <c r="M13" s="143"/>
      <c r="N13" s="123"/>
      <c r="O13" s="123"/>
      <c r="P13" s="123"/>
      <c r="Q13" s="123"/>
      <c r="R13" s="5"/>
      <c r="S13" s="5"/>
      <c r="T13" s="7"/>
    </row>
    <row r="14" spans="1:20" s="74" customFormat="1" ht="57.95" customHeight="1">
      <c r="A14" s="58" t="str">
        <f>_xlfn.XLOOKUP(B14,'Paso 3 Redacción RA'!I$3:I$18,'Paso 3 Redacción RA'!C$3:C$18,,0,1)</f>
        <v>Saber</v>
      </c>
      <c r="B14" s="5" t="s">
        <v>112</v>
      </c>
      <c r="C14" s="121"/>
      <c r="D14" s="121"/>
      <c r="E14" s="123"/>
      <c r="F14" s="121"/>
      <c r="G14" s="121"/>
      <c r="H14" s="121"/>
      <c r="I14" s="121"/>
      <c r="J14" s="121"/>
      <c r="K14" s="143"/>
      <c r="L14" s="143"/>
      <c r="M14" s="143"/>
      <c r="N14" s="123"/>
      <c r="O14" s="123"/>
      <c r="P14" s="123"/>
      <c r="Q14" s="123"/>
      <c r="R14" s="5"/>
      <c r="S14" s="5"/>
      <c r="T14" s="7"/>
    </row>
    <row r="15" spans="1:20" s="74" customFormat="1" ht="89.1" customHeight="1">
      <c r="A15" s="77" t="str">
        <f>_xlfn.XLOOKUP(B15,'Paso 3 Redacción RA'!I$3:I$18,'Paso 3 Redacción RA'!C$3:C$18,,0,1)</f>
        <v>SaberHacer</v>
      </c>
      <c r="B15" s="72" t="s">
        <v>114</v>
      </c>
      <c r="C15" s="132"/>
      <c r="D15" s="132"/>
      <c r="E15" s="130"/>
      <c r="F15" s="132"/>
      <c r="G15" s="132"/>
      <c r="H15" s="132"/>
      <c r="I15" s="132"/>
      <c r="J15" s="132"/>
      <c r="K15" s="144"/>
      <c r="L15" s="144"/>
      <c r="M15" s="144"/>
      <c r="N15" s="130"/>
      <c r="O15" s="130"/>
      <c r="P15" s="130"/>
      <c r="Q15" s="130"/>
      <c r="R15" s="5"/>
      <c r="S15" s="5"/>
      <c r="T15" s="7"/>
    </row>
    <row r="16" spans="1:20" s="74" customFormat="1" ht="49.5">
      <c r="A16" s="58" t="str">
        <f>_xlfn.XLOOKUP(B16,'Paso 3 Redacción RA'!I$3:I$18,'Paso 3 Redacción RA'!C$3:C$18,,0,1)</f>
        <v>SaberHacer</v>
      </c>
      <c r="B16" s="5" t="s">
        <v>102</v>
      </c>
      <c r="C16" s="131">
        <v>1</v>
      </c>
      <c r="D16" s="131" t="s">
        <v>241</v>
      </c>
      <c r="E16" s="129" t="s">
        <v>242</v>
      </c>
      <c r="F16" s="131" t="s">
        <v>218</v>
      </c>
      <c r="G16" s="131"/>
      <c r="H16" s="131" t="s">
        <v>219</v>
      </c>
      <c r="I16" s="131"/>
      <c r="J16" s="131">
        <v>3</v>
      </c>
      <c r="K16" s="142">
        <f>16*J16</f>
        <v>48</v>
      </c>
      <c r="L16" s="142">
        <f>32*J16</f>
        <v>96</v>
      </c>
      <c r="M16" s="142">
        <f>SUM(K16:L19)</f>
        <v>144</v>
      </c>
      <c r="N16" s="129" t="s">
        <v>243</v>
      </c>
      <c r="O16" s="129" t="s">
        <v>244</v>
      </c>
      <c r="P16" s="129" t="s">
        <v>245</v>
      </c>
      <c r="Q16" s="129" t="s">
        <v>223</v>
      </c>
      <c r="R16" s="5"/>
      <c r="S16" s="5"/>
      <c r="T16" s="7"/>
    </row>
    <row r="17" spans="1:20" s="74" customFormat="1" ht="49.5">
      <c r="A17" s="58" t="str">
        <f>_xlfn.XLOOKUP(B17,'Paso 3 Redacción RA'!I$3:I$18,'Paso 3 Redacción RA'!C$3:C$18,,0,1)</f>
        <v>Saber</v>
      </c>
      <c r="B17" s="5" t="s">
        <v>107</v>
      </c>
      <c r="C17" s="121"/>
      <c r="D17" s="121"/>
      <c r="E17" s="123"/>
      <c r="F17" s="121"/>
      <c r="G17" s="121"/>
      <c r="H17" s="121"/>
      <c r="I17" s="121"/>
      <c r="J17" s="121"/>
      <c r="K17" s="143"/>
      <c r="L17" s="143"/>
      <c r="M17" s="143"/>
      <c r="N17" s="123"/>
      <c r="O17" s="123"/>
      <c r="P17" s="123"/>
      <c r="Q17" s="123"/>
      <c r="R17" s="5"/>
      <c r="S17" s="5"/>
      <c r="T17" s="7"/>
    </row>
    <row r="18" spans="1:20" s="74" customFormat="1" ht="49.5">
      <c r="A18" s="58" t="str">
        <f>_xlfn.XLOOKUP(B18,'Paso 3 Redacción RA'!I$3:I$18,'Paso 3 Redacción RA'!C$3:C$18,,0,1)</f>
        <v>Saber</v>
      </c>
      <c r="B18" s="5" t="s">
        <v>112</v>
      </c>
      <c r="C18" s="121"/>
      <c r="D18" s="121"/>
      <c r="E18" s="123"/>
      <c r="F18" s="121"/>
      <c r="G18" s="121"/>
      <c r="H18" s="121"/>
      <c r="I18" s="121"/>
      <c r="J18" s="121"/>
      <c r="K18" s="143"/>
      <c r="L18" s="143"/>
      <c r="M18" s="143"/>
      <c r="N18" s="123"/>
      <c r="O18" s="123"/>
      <c r="P18" s="123"/>
      <c r="Q18" s="123"/>
      <c r="R18" s="5"/>
      <c r="S18" s="5"/>
      <c r="T18" s="7"/>
    </row>
    <row r="19" spans="1:20" s="74" customFormat="1" ht="49.5">
      <c r="A19" s="77" t="str">
        <f>_xlfn.XLOOKUP(B19,'Paso 3 Redacción RA'!I$3:I$18,'Paso 3 Redacción RA'!C$3:C$18,,0,1)</f>
        <v>SaberHacer</v>
      </c>
      <c r="B19" s="72" t="s">
        <v>114</v>
      </c>
      <c r="C19" s="132"/>
      <c r="D19" s="132"/>
      <c r="E19" s="130"/>
      <c r="F19" s="132"/>
      <c r="G19" s="132"/>
      <c r="H19" s="132"/>
      <c r="I19" s="132"/>
      <c r="J19" s="132"/>
      <c r="K19" s="144"/>
      <c r="L19" s="144"/>
      <c r="M19" s="144"/>
      <c r="N19" s="130"/>
      <c r="O19" s="130"/>
      <c r="P19" s="130"/>
      <c r="Q19" s="130"/>
      <c r="R19" s="5"/>
      <c r="S19" s="5"/>
      <c r="T19" s="7"/>
    </row>
    <row r="20" spans="1:20" s="80" customFormat="1" ht="330">
      <c r="A20" s="109" t="str">
        <f>_xlfn.XLOOKUP(B20,'Paso 3 Redacción RA'!I$3:I$18,'Paso 3 Redacción RA'!C$3:C$18,,0,1)</f>
        <v>Saber</v>
      </c>
      <c r="B20" s="109" t="s">
        <v>120</v>
      </c>
      <c r="C20" s="110">
        <v>1</v>
      </c>
      <c r="D20" s="110" t="s">
        <v>246</v>
      </c>
      <c r="E20" s="109" t="s">
        <v>247</v>
      </c>
      <c r="F20" s="110" t="s">
        <v>218</v>
      </c>
      <c r="G20" s="111" t="s">
        <v>219</v>
      </c>
      <c r="H20" s="111"/>
      <c r="I20" s="111"/>
      <c r="J20" s="111">
        <v>3</v>
      </c>
      <c r="K20" s="111">
        <f>16*J20</f>
        <v>48</v>
      </c>
      <c r="L20" s="111">
        <f>32*J20</f>
        <v>96</v>
      </c>
      <c r="M20" s="111">
        <f>SUM(K20:L20)</f>
        <v>144</v>
      </c>
      <c r="N20" s="112" t="s">
        <v>248</v>
      </c>
      <c r="O20" s="112" t="s">
        <v>249</v>
      </c>
      <c r="P20" s="112" t="s">
        <v>250</v>
      </c>
      <c r="Q20" s="112" t="s">
        <v>229</v>
      </c>
      <c r="R20" s="5">
        <f>SUM(J3:J20)</f>
        <v>16</v>
      </c>
      <c r="S20" s="5">
        <f>COUNTA(D3:D20)</f>
        <v>6</v>
      </c>
      <c r="T20" s="93"/>
    </row>
    <row r="21" spans="1:20" s="80" customFormat="1" ht="49.5">
      <c r="A21" s="80" t="str">
        <f>_xlfn.XLOOKUP(B21,'Paso 3 Redacción RA'!I$3:I$18,'Paso 3 Redacción RA'!C$3:C$18,,0,1)</f>
        <v>Saber</v>
      </c>
      <c r="B21" s="58" t="s">
        <v>98</v>
      </c>
      <c r="C21" s="131">
        <v>2</v>
      </c>
      <c r="D21" s="131" t="s">
        <v>251</v>
      </c>
      <c r="E21" s="129" t="s">
        <v>252</v>
      </c>
      <c r="F21" s="145" t="s">
        <v>218</v>
      </c>
      <c r="G21" s="145"/>
      <c r="H21" s="145" t="s">
        <v>219</v>
      </c>
      <c r="I21" s="145"/>
      <c r="J21" s="145">
        <v>4</v>
      </c>
      <c r="K21" s="145">
        <f>16*J21</f>
        <v>64</v>
      </c>
      <c r="L21" s="145">
        <f>32*J21</f>
        <v>128</v>
      </c>
      <c r="M21" s="145">
        <f>SUM(K21:L21)</f>
        <v>192</v>
      </c>
      <c r="N21" s="140" t="s">
        <v>253</v>
      </c>
      <c r="O21" s="140" t="s">
        <v>254</v>
      </c>
      <c r="P21" s="140" t="s">
        <v>255</v>
      </c>
      <c r="Q21" s="140" t="s">
        <v>229</v>
      </c>
      <c r="R21" s="5"/>
      <c r="S21" s="5"/>
      <c r="T21" s="93"/>
    </row>
    <row r="22" spans="1:20" s="80" customFormat="1" ht="49.5">
      <c r="A22" s="80" t="str">
        <f>_xlfn.XLOOKUP(B22,'Paso 3 Redacción RA'!I$3:I$18,'Paso 3 Redacción RA'!C$3:C$18,,0,1)</f>
        <v>SaberHacer</v>
      </c>
      <c r="B22" s="58" t="s">
        <v>102</v>
      </c>
      <c r="C22" s="121"/>
      <c r="D22" s="121"/>
      <c r="E22" s="123"/>
      <c r="F22" s="146"/>
      <c r="G22" s="146"/>
      <c r="H22" s="146"/>
      <c r="I22" s="146"/>
      <c r="J22" s="146"/>
      <c r="K22" s="146"/>
      <c r="L22" s="146"/>
      <c r="M22" s="146"/>
      <c r="N22" s="118"/>
      <c r="O22" s="118"/>
      <c r="P22" s="118"/>
      <c r="Q22" s="118"/>
      <c r="R22" s="5"/>
      <c r="S22" s="5"/>
      <c r="T22" s="93"/>
    </row>
    <row r="23" spans="1:20" s="80" customFormat="1" ht="49.5">
      <c r="A23" s="80" t="str">
        <f>_xlfn.XLOOKUP(B23,'Paso 3 Redacción RA'!I$3:I$18,'Paso 3 Redacción RA'!C$3:C$18,,0,1)</f>
        <v>SaberHacer</v>
      </c>
      <c r="B23" s="58" t="s">
        <v>109</v>
      </c>
      <c r="C23" s="121"/>
      <c r="D23" s="121"/>
      <c r="E23" s="123"/>
      <c r="F23" s="146"/>
      <c r="G23" s="146"/>
      <c r="H23" s="146"/>
      <c r="I23" s="146"/>
      <c r="J23" s="146"/>
      <c r="K23" s="146"/>
      <c r="L23" s="146"/>
      <c r="M23" s="146"/>
      <c r="N23" s="118"/>
      <c r="O23" s="118"/>
      <c r="P23" s="118"/>
      <c r="Q23" s="118"/>
      <c r="R23" s="5"/>
      <c r="S23" s="5"/>
      <c r="T23" s="93"/>
    </row>
    <row r="24" spans="1:20" s="80" customFormat="1" ht="49.5">
      <c r="A24" s="81" t="str">
        <f>_xlfn.XLOOKUP(B24,'Paso 3 Redacción RA'!I$3:I$18,'Paso 3 Redacción RA'!C$3:C$18,,0,1)</f>
        <v>Saber</v>
      </c>
      <c r="B24" s="77" t="s">
        <v>112</v>
      </c>
      <c r="C24" s="132"/>
      <c r="D24" s="132"/>
      <c r="E24" s="130"/>
      <c r="F24" s="147"/>
      <c r="G24" s="147"/>
      <c r="H24" s="147"/>
      <c r="I24" s="147"/>
      <c r="J24" s="147"/>
      <c r="K24" s="147"/>
      <c r="L24" s="147"/>
      <c r="M24" s="147"/>
      <c r="N24" s="141"/>
      <c r="O24" s="141"/>
      <c r="P24" s="141"/>
      <c r="Q24" s="141"/>
      <c r="R24" s="5"/>
      <c r="S24" s="5"/>
      <c r="T24" s="93"/>
    </row>
    <row r="25" spans="1:20" s="5" customFormat="1" ht="49.5">
      <c r="A25" s="80" t="str">
        <f>_xlfn.XLOOKUP(B25,'Paso 3 Redacción RA'!I$3:I$18,'Paso 3 Redacción RA'!C$3:C$18,,0,1)</f>
        <v>SaberHacer</v>
      </c>
      <c r="B25" s="5" t="s">
        <v>102</v>
      </c>
      <c r="C25" s="131">
        <v>2</v>
      </c>
      <c r="D25" s="131" t="s">
        <v>256</v>
      </c>
      <c r="E25" s="123" t="s">
        <v>257</v>
      </c>
      <c r="F25" s="121" t="s">
        <v>218</v>
      </c>
      <c r="G25" s="121"/>
      <c r="H25" s="121" t="s">
        <v>219</v>
      </c>
      <c r="I25" s="121"/>
      <c r="J25" s="121">
        <v>3</v>
      </c>
      <c r="K25" s="121">
        <f>16*J25</f>
        <v>48</v>
      </c>
      <c r="L25" s="121">
        <f>32*J25</f>
        <v>96</v>
      </c>
      <c r="M25" s="121">
        <f>SUM(K25:L25)</f>
        <v>144</v>
      </c>
      <c r="N25" s="123" t="s">
        <v>258</v>
      </c>
      <c r="O25" s="123" t="s">
        <v>259</v>
      </c>
      <c r="P25" s="123" t="s">
        <v>235</v>
      </c>
      <c r="Q25" s="123" t="s">
        <v>229</v>
      </c>
      <c r="R25" s="65"/>
      <c r="S25" s="65"/>
      <c r="T25" s="3"/>
    </row>
    <row r="26" spans="1:20" s="5" customFormat="1" ht="49.5">
      <c r="A26" s="80" t="str">
        <f>_xlfn.XLOOKUP(B26,'Paso 3 Redacción RA'!I$3:I$18,'Paso 3 Redacción RA'!C$3:C$18,,0,1)</f>
        <v>Saber</v>
      </c>
      <c r="B26" s="5" t="s">
        <v>115</v>
      </c>
      <c r="C26" s="121"/>
      <c r="D26" s="121"/>
      <c r="E26" s="123"/>
      <c r="F26" s="121"/>
      <c r="G26" s="121"/>
      <c r="H26" s="121"/>
      <c r="I26" s="121"/>
      <c r="J26" s="121"/>
      <c r="K26" s="121"/>
      <c r="L26" s="121"/>
      <c r="M26" s="121"/>
      <c r="N26" s="123"/>
      <c r="O26" s="123"/>
      <c r="P26" s="123"/>
      <c r="Q26" s="123"/>
      <c r="R26" s="65"/>
      <c r="S26" s="65"/>
      <c r="T26" s="3"/>
    </row>
    <row r="27" spans="1:20" s="5" customFormat="1" ht="49.5">
      <c r="A27" s="80" t="str">
        <f>_xlfn.XLOOKUP(B27,'Paso 3 Redacción RA'!I$3:I$18,'Paso 3 Redacción RA'!C$3:C$18,,0,1)</f>
        <v>Saber</v>
      </c>
      <c r="B27" s="5" t="s">
        <v>112</v>
      </c>
      <c r="C27" s="121"/>
      <c r="D27" s="121"/>
      <c r="E27" s="123"/>
      <c r="F27" s="121"/>
      <c r="G27" s="121"/>
      <c r="H27" s="121"/>
      <c r="I27" s="121"/>
      <c r="J27" s="121"/>
      <c r="K27" s="121"/>
      <c r="L27" s="121"/>
      <c r="M27" s="121"/>
      <c r="N27" s="123"/>
      <c r="O27" s="123"/>
      <c r="P27" s="123"/>
      <c r="Q27" s="123"/>
      <c r="R27" s="65"/>
      <c r="S27" s="65"/>
      <c r="T27" s="3"/>
    </row>
    <row r="28" spans="1:20" s="5" customFormat="1" ht="49.5">
      <c r="A28" s="81" t="str">
        <f>_xlfn.XLOOKUP(B28,'Paso 3 Redacción RA'!I$3:I$18,'Paso 3 Redacción RA'!C$3:C$18,,0,1)</f>
        <v>SaberHacer</v>
      </c>
      <c r="B28" s="72" t="s">
        <v>114</v>
      </c>
      <c r="C28" s="132"/>
      <c r="D28" s="132"/>
      <c r="E28" s="123"/>
      <c r="F28" s="121"/>
      <c r="G28" s="121"/>
      <c r="H28" s="121"/>
      <c r="I28" s="121"/>
      <c r="J28" s="121"/>
      <c r="K28" s="121"/>
      <c r="L28" s="121"/>
      <c r="M28" s="121"/>
      <c r="N28" s="123"/>
      <c r="O28" s="123"/>
      <c r="P28" s="123"/>
      <c r="Q28" s="123"/>
      <c r="R28" s="65"/>
      <c r="S28" s="65"/>
      <c r="T28" s="3"/>
    </row>
    <row r="29" spans="1:20" s="5" customFormat="1" ht="49.5">
      <c r="A29" s="80" t="str">
        <f>_xlfn.XLOOKUP(B29,'Paso 3 Redacción RA'!I$3:I$18,'Paso 3 Redacción RA'!C$3:C$18,,0,1)</f>
        <v>Saber</v>
      </c>
      <c r="B29" s="58" t="s">
        <v>98</v>
      </c>
      <c r="C29" s="131">
        <v>2</v>
      </c>
      <c r="D29" s="131" t="s">
        <v>260</v>
      </c>
      <c r="E29" s="129" t="s">
        <v>261</v>
      </c>
      <c r="F29" s="131" t="s">
        <v>218</v>
      </c>
      <c r="G29" s="131"/>
      <c r="H29" s="131" t="s">
        <v>219</v>
      </c>
      <c r="I29" s="131"/>
      <c r="J29" s="131">
        <v>3</v>
      </c>
      <c r="K29" s="131">
        <f>16*J29</f>
        <v>48</v>
      </c>
      <c r="L29" s="131">
        <f>32*J29</f>
        <v>96</v>
      </c>
      <c r="M29" s="131">
        <f>SUM(K29:L29)</f>
        <v>144</v>
      </c>
      <c r="N29" s="129" t="s">
        <v>262</v>
      </c>
      <c r="O29" s="129" t="s">
        <v>263</v>
      </c>
      <c r="P29" s="129" t="s">
        <v>264</v>
      </c>
      <c r="Q29" s="129" t="s">
        <v>229</v>
      </c>
      <c r="R29" s="65"/>
      <c r="S29" s="65"/>
      <c r="T29" s="3"/>
    </row>
    <row r="30" spans="1:20" s="5" customFormat="1" ht="49.5">
      <c r="A30" s="80" t="str">
        <f>_xlfn.XLOOKUP(B30,'Paso 3 Redacción RA'!I$3:I$18,'Paso 3 Redacción RA'!C$3:C$18,,0,1)</f>
        <v>SaberHacer</v>
      </c>
      <c r="B30" s="58" t="s">
        <v>102</v>
      </c>
      <c r="C30" s="121"/>
      <c r="D30" s="121"/>
      <c r="E30" s="123"/>
      <c r="F30" s="121"/>
      <c r="G30" s="121"/>
      <c r="H30" s="121"/>
      <c r="I30" s="121"/>
      <c r="J30" s="121"/>
      <c r="K30" s="121"/>
      <c r="L30" s="121"/>
      <c r="M30" s="121"/>
      <c r="N30" s="123"/>
      <c r="O30" s="123"/>
      <c r="P30" s="123"/>
      <c r="Q30" s="123"/>
      <c r="R30" s="65"/>
      <c r="S30" s="65"/>
      <c r="T30" s="3"/>
    </row>
    <row r="31" spans="1:20" s="5" customFormat="1" ht="49.5">
      <c r="A31" s="80" t="str">
        <f>_xlfn.XLOOKUP(B31,'Paso 3 Redacción RA'!I$3:I$18,'Paso 3 Redacción RA'!C$3:C$18,,0,1)</f>
        <v>SaberHacer</v>
      </c>
      <c r="B31" s="58" t="s">
        <v>109</v>
      </c>
      <c r="C31" s="121"/>
      <c r="D31" s="121"/>
      <c r="E31" s="123"/>
      <c r="F31" s="121"/>
      <c r="G31" s="121"/>
      <c r="H31" s="121"/>
      <c r="I31" s="121"/>
      <c r="J31" s="121"/>
      <c r="K31" s="121"/>
      <c r="L31" s="121"/>
      <c r="M31" s="121"/>
      <c r="N31" s="123"/>
      <c r="O31" s="123"/>
      <c r="P31" s="123"/>
      <c r="Q31" s="123"/>
      <c r="R31" s="65"/>
      <c r="S31" s="65"/>
      <c r="T31" s="3"/>
    </row>
    <row r="32" spans="1:20" s="5" customFormat="1" ht="49.5">
      <c r="A32" s="81" t="str">
        <f>_xlfn.XLOOKUP(B32,'Paso 3 Redacción RA'!I$3:I$18,'Paso 3 Redacción RA'!C$3:C$18,,0,1)</f>
        <v>Saber</v>
      </c>
      <c r="B32" s="58" t="s">
        <v>112</v>
      </c>
      <c r="C32" s="132"/>
      <c r="D32" s="132"/>
      <c r="E32" s="123"/>
      <c r="F32" s="121"/>
      <c r="G32" s="121"/>
      <c r="H32" s="121"/>
      <c r="I32" s="121"/>
      <c r="J32" s="121"/>
      <c r="K32" s="121"/>
      <c r="L32" s="121"/>
      <c r="M32" s="121"/>
      <c r="N32" s="123"/>
      <c r="O32" s="123"/>
      <c r="P32" s="123"/>
      <c r="Q32" s="123"/>
      <c r="R32" s="65"/>
      <c r="S32" s="65"/>
      <c r="T32" s="3"/>
    </row>
    <row r="33" spans="1:20" s="80" customFormat="1" ht="231">
      <c r="A33" s="86" t="str">
        <f>_xlfn.XLOOKUP(B33,'Paso 3 Redacción RA'!I$3:I$18,'Paso 3 Redacción RA'!C$3:C$18,,0,1)</f>
        <v>Saber</v>
      </c>
      <c r="B33" s="86" t="s">
        <v>120</v>
      </c>
      <c r="C33" s="85">
        <v>2</v>
      </c>
      <c r="D33" s="85" t="s">
        <v>265</v>
      </c>
      <c r="E33" s="86" t="s">
        <v>266</v>
      </c>
      <c r="F33" s="84" t="s">
        <v>218</v>
      </c>
      <c r="G33" s="85" t="s">
        <v>219</v>
      </c>
      <c r="H33" s="85"/>
      <c r="I33" s="85"/>
      <c r="J33" s="84">
        <v>3</v>
      </c>
      <c r="K33" s="84">
        <f>16*J33</f>
        <v>48</v>
      </c>
      <c r="L33" s="84">
        <f>32*J33</f>
        <v>96</v>
      </c>
      <c r="M33" s="84">
        <f>SUM(K33:L33)</f>
        <v>144</v>
      </c>
      <c r="N33" s="86" t="s">
        <v>267</v>
      </c>
      <c r="O33" s="86" t="s">
        <v>268</v>
      </c>
      <c r="P33" s="86" t="s">
        <v>269</v>
      </c>
      <c r="Q33" s="83" t="s">
        <v>229</v>
      </c>
      <c r="R33" s="5"/>
      <c r="S33" s="5"/>
      <c r="T33" s="93"/>
    </row>
    <row r="34" spans="1:20" ht="49.5">
      <c r="A34" s="80" t="str">
        <f>_xlfn.XLOOKUP(B34,'Paso 3 Redacción RA'!I$3:I$18,'Paso 3 Redacción RA'!C$3:C$18,,0,1)</f>
        <v>SaberHacer</v>
      </c>
      <c r="B34" s="82" t="s">
        <v>102</v>
      </c>
      <c r="C34" s="131">
        <v>2</v>
      </c>
      <c r="D34" s="131" t="s">
        <v>270</v>
      </c>
      <c r="E34" s="129" t="s">
        <v>271</v>
      </c>
      <c r="F34" s="145" t="s">
        <v>218</v>
      </c>
      <c r="G34" s="145"/>
      <c r="H34" s="145" t="s">
        <v>219</v>
      </c>
      <c r="I34" s="145"/>
      <c r="J34" s="145">
        <v>4</v>
      </c>
      <c r="K34" s="145">
        <f>16*J34</f>
        <v>64</v>
      </c>
      <c r="L34" s="145">
        <f>32*J34</f>
        <v>128</v>
      </c>
      <c r="M34" s="145">
        <f>SUM(K34:L34)</f>
        <v>192</v>
      </c>
      <c r="N34" s="140" t="s">
        <v>272</v>
      </c>
      <c r="O34" s="140" t="s">
        <v>273</v>
      </c>
      <c r="P34" s="140" t="s">
        <v>274</v>
      </c>
      <c r="Q34" s="140" t="s">
        <v>229</v>
      </c>
      <c r="T34" s="93"/>
    </row>
    <row r="35" spans="1:20" ht="66">
      <c r="A35" s="80" t="str">
        <f>_xlfn.XLOOKUP(B35,'Paso 3 Redacción RA'!I$3:I$18,'Paso 3 Redacción RA'!C$3:C$18,,0,1)</f>
        <v>SaberSer</v>
      </c>
      <c r="B35" s="65" t="s">
        <v>106</v>
      </c>
      <c r="C35" s="121"/>
      <c r="D35" s="121"/>
      <c r="E35" s="123"/>
      <c r="F35" s="146"/>
      <c r="G35" s="146"/>
      <c r="H35" s="146"/>
      <c r="I35" s="146"/>
      <c r="J35" s="146"/>
      <c r="K35" s="146"/>
      <c r="L35" s="146"/>
      <c r="M35" s="146"/>
      <c r="N35" s="118"/>
      <c r="O35" s="118"/>
      <c r="P35" s="118"/>
      <c r="Q35" s="118"/>
      <c r="T35" s="93"/>
    </row>
    <row r="36" spans="1:20" ht="49.5">
      <c r="A36" s="80" t="str">
        <f>_xlfn.XLOOKUP(B36,'Paso 3 Redacción RA'!I$3:I$18,'Paso 3 Redacción RA'!C$3:C$18,,0,1)</f>
        <v>Saber</v>
      </c>
      <c r="B36" s="65" t="s">
        <v>115</v>
      </c>
      <c r="C36" s="131"/>
      <c r="D36" s="131"/>
      <c r="E36" s="129"/>
      <c r="F36" s="145"/>
      <c r="G36" s="145"/>
      <c r="H36" s="145"/>
      <c r="I36" s="145"/>
      <c r="J36" s="145"/>
      <c r="K36" s="145"/>
      <c r="L36" s="145"/>
      <c r="M36" s="145"/>
      <c r="N36" s="140"/>
      <c r="O36" s="118"/>
      <c r="P36" s="118"/>
      <c r="Q36" s="140"/>
      <c r="T36" s="93"/>
    </row>
    <row r="37" spans="1:20" ht="49.5">
      <c r="A37" s="80" t="str">
        <f>_xlfn.XLOOKUP(B37,'Paso 3 Redacción RA'!I$3:I$18,'Paso 3 Redacción RA'!C$3:C$18,,0,1)</f>
        <v>SaberHacer</v>
      </c>
      <c r="B37" s="65" t="s">
        <v>109</v>
      </c>
      <c r="C37" s="121"/>
      <c r="D37" s="121"/>
      <c r="E37" s="123"/>
      <c r="F37" s="146"/>
      <c r="G37" s="146"/>
      <c r="H37" s="146"/>
      <c r="I37" s="146"/>
      <c r="J37" s="146"/>
      <c r="K37" s="146"/>
      <c r="L37" s="146"/>
      <c r="M37" s="146"/>
      <c r="N37" s="118"/>
      <c r="O37" s="118"/>
      <c r="P37" s="118"/>
      <c r="Q37" s="118"/>
      <c r="T37" s="93"/>
    </row>
    <row r="38" spans="1:20" ht="49.5">
      <c r="A38" s="81" t="str">
        <f>_xlfn.XLOOKUP(B38,'Paso 3 Redacción RA'!I$3:I$18,'Paso 3 Redacción RA'!C$3:C$18,,0,1)</f>
        <v>SaberHacer</v>
      </c>
      <c r="B38" s="65" t="s">
        <v>114</v>
      </c>
      <c r="C38" s="132"/>
      <c r="D38" s="132"/>
      <c r="E38" s="130"/>
      <c r="F38" s="147"/>
      <c r="G38" s="147"/>
      <c r="H38" s="147"/>
      <c r="I38" s="147"/>
      <c r="J38" s="147"/>
      <c r="K38" s="147"/>
      <c r="L38" s="147"/>
      <c r="M38" s="147"/>
      <c r="N38" s="141"/>
      <c r="O38" s="141"/>
      <c r="P38" s="141"/>
      <c r="Q38" s="141"/>
      <c r="R38" s="5">
        <f>SUM(J21:J38)</f>
        <v>17</v>
      </c>
      <c r="S38" s="5">
        <f>COUNTA(D21:D38)</f>
        <v>5</v>
      </c>
      <c r="T38" s="93"/>
    </row>
    <row r="39" spans="1:20" s="80" customFormat="1" ht="328.5">
      <c r="A39" s="86" t="str">
        <f>_xlfn.XLOOKUP(B39,'Paso 3 Redacción RA'!I$3:I$18,'Paso 3 Redacción RA'!C$3:C$18,,0,1)</f>
        <v>Saber</v>
      </c>
      <c r="B39" s="86" t="s">
        <v>120</v>
      </c>
      <c r="C39" s="85">
        <v>3</v>
      </c>
      <c r="D39" s="85" t="s">
        <v>275</v>
      </c>
      <c r="E39" s="86" t="s">
        <v>276</v>
      </c>
      <c r="F39" s="84" t="s">
        <v>218</v>
      </c>
      <c r="G39" s="84" t="s">
        <v>219</v>
      </c>
      <c r="H39" s="84"/>
      <c r="I39" s="84"/>
      <c r="J39" s="87">
        <v>3</v>
      </c>
      <c r="K39" s="84">
        <f>16*J39</f>
        <v>48</v>
      </c>
      <c r="L39" s="84">
        <f>32*J39</f>
        <v>96</v>
      </c>
      <c r="M39" s="84">
        <f>SUM(K39:L39)</f>
        <v>144</v>
      </c>
      <c r="N39" s="83" t="s">
        <v>277</v>
      </c>
      <c r="O39" s="83" t="s">
        <v>278</v>
      </c>
      <c r="P39" s="83" t="s">
        <v>279</v>
      </c>
      <c r="Q39" s="83" t="s">
        <v>229</v>
      </c>
      <c r="R39" s="5"/>
      <c r="S39" s="5"/>
      <c r="T39" s="93"/>
    </row>
    <row r="40" spans="1:20" s="80" customFormat="1" ht="49.5">
      <c r="A40" s="92" t="str">
        <f>_xlfn.XLOOKUP(B40,'Paso 3 Redacción RA'!I$3:I$18,'Paso 3 Redacción RA'!C$3:C$18,,0,1)</f>
        <v>Saber</v>
      </c>
      <c r="B40" s="58" t="s">
        <v>98</v>
      </c>
      <c r="C40" s="131">
        <v>3</v>
      </c>
      <c r="D40" s="131" t="s">
        <v>280</v>
      </c>
      <c r="E40" s="129" t="s">
        <v>281</v>
      </c>
      <c r="F40" s="145" t="s">
        <v>218</v>
      </c>
      <c r="G40" s="145"/>
      <c r="H40" s="145" t="s">
        <v>219</v>
      </c>
      <c r="I40" s="145"/>
      <c r="J40" s="145">
        <v>4</v>
      </c>
      <c r="K40" s="145">
        <f>16*J40</f>
        <v>64</v>
      </c>
      <c r="L40" s="145">
        <f>32*J40</f>
        <v>128</v>
      </c>
      <c r="M40" s="145">
        <f>SUM(K40:L40)</f>
        <v>192</v>
      </c>
      <c r="N40" s="140" t="s">
        <v>282</v>
      </c>
      <c r="O40" s="140" t="s">
        <v>263</v>
      </c>
      <c r="P40" s="140" t="s">
        <v>283</v>
      </c>
      <c r="Q40" s="140" t="s">
        <v>229</v>
      </c>
      <c r="R40" s="5"/>
      <c r="S40" s="5"/>
      <c r="T40" s="93"/>
    </row>
    <row r="41" spans="1:20" s="80" customFormat="1" ht="49.5">
      <c r="A41" s="80" t="str">
        <f>_xlfn.XLOOKUP(B41,'Paso 3 Redacción RA'!I$3:I$18,'Paso 3 Redacción RA'!C$3:C$18,,0,1)</f>
        <v>SaberHacer</v>
      </c>
      <c r="B41" s="58" t="s">
        <v>102</v>
      </c>
      <c r="C41" s="121"/>
      <c r="D41" s="121"/>
      <c r="E41" s="123"/>
      <c r="F41" s="146"/>
      <c r="G41" s="146"/>
      <c r="H41" s="146"/>
      <c r="I41" s="146"/>
      <c r="J41" s="146"/>
      <c r="K41" s="146"/>
      <c r="L41" s="146"/>
      <c r="M41" s="146"/>
      <c r="N41" s="118"/>
      <c r="O41" s="118"/>
      <c r="P41" s="118"/>
      <c r="Q41" s="118"/>
      <c r="R41" s="5"/>
      <c r="S41" s="5"/>
      <c r="T41" s="93"/>
    </row>
    <row r="42" spans="1:20" s="80" customFormat="1" ht="49.5">
      <c r="A42" s="80" t="str">
        <f>_xlfn.XLOOKUP(B42,'Paso 3 Redacción RA'!I$3:I$18,'Paso 3 Redacción RA'!C$3:C$18,,0,1)</f>
        <v>SaberHacer</v>
      </c>
      <c r="B42" s="58" t="s">
        <v>109</v>
      </c>
      <c r="C42" s="121"/>
      <c r="D42" s="121"/>
      <c r="E42" s="123"/>
      <c r="F42" s="146"/>
      <c r="G42" s="146"/>
      <c r="H42" s="146"/>
      <c r="I42" s="146"/>
      <c r="J42" s="146"/>
      <c r="K42" s="146"/>
      <c r="L42" s="146"/>
      <c r="M42" s="146"/>
      <c r="N42" s="118"/>
      <c r="O42" s="118"/>
      <c r="P42" s="118"/>
      <c r="Q42" s="118"/>
      <c r="R42" s="5"/>
      <c r="S42" s="5"/>
      <c r="T42" s="93"/>
    </row>
    <row r="43" spans="1:20" s="80" customFormat="1" ht="70.5" customHeight="1">
      <c r="A43" s="81" t="str">
        <f>_xlfn.XLOOKUP(B43,'Paso 3 Redacción RA'!I$3:I$18,'Paso 3 Redacción RA'!C$3:C$18,,0,1)</f>
        <v>Saber</v>
      </c>
      <c r="B43" s="77" t="s">
        <v>112</v>
      </c>
      <c r="C43" s="132"/>
      <c r="D43" s="132"/>
      <c r="E43" s="130"/>
      <c r="F43" s="147"/>
      <c r="G43" s="147"/>
      <c r="H43" s="147"/>
      <c r="I43" s="147"/>
      <c r="J43" s="147"/>
      <c r="K43" s="147"/>
      <c r="L43" s="147"/>
      <c r="M43" s="147"/>
      <c r="N43" s="141"/>
      <c r="O43" s="141"/>
      <c r="P43" s="141"/>
      <c r="Q43" s="141"/>
      <c r="R43" s="5"/>
      <c r="S43" s="5"/>
      <c r="T43" s="93"/>
    </row>
    <row r="44" spans="1:20" s="80" customFormat="1" ht="87" customHeight="1">
      <c r="A44" s="80" t="str">
        <f>_xlfn.XLOOKUP(B44,'Paso 3 Redacción RA'!I$3:I$18,'Paso 3 Redacción RA'!C$3:C$18,,0,1)</f>
        <v>SaberSer</v>
      </c>
      <c r="B44" s="58" t="s">
        <v>106</v>
      </c>
      <c r="C44" s="131">
        <v>3</v>
      </c>
      <c r="D44" s="131" t="s">
        <v>284</v>
      </c>
      <c r="E44" s="129" t="s">
        <v>285</v>
      </c>
      <c r="F44" s="145" t="s">
        <v>218</v>
      </c>
      <c r="G44" s="145"/>
      <c r="H44" s="145" t="s">
        <v>219</v>
      </c>
      <c r="I44" s="145"/>
      <c r="J44" s="145">
        <v>3</v>
      </c>
      <c r="K44" s="145">
        <f>16*J44</f>
        <v>48</v>
      </c>
      <c r="L44" s="145">
        <f>32*J44</f>
        <v>96</v>
      </c>
      <c r="M44" s="145">
        <f>SUM(K44:L44)</f>
        <v>144</v>
      </c>
      <c r="N44" s="140" t="s">
        <v>286</v>
      </c>
      <c r="O44" s="140" t="s">
        <v>273</v>
      </c>
      <c r="P44" s="140" t="s">
        <v>274</v>
      </c>
      <c r="Q44" s="140" t="s">
        <v>229</v>
      </c>
      <c r="R44" s="5"/>
      <c r="S44" s="5"/>
      <c r="T44" s="93"/>
    </row>
    <row r="45" spans="1:20" s="80" customFormat="1" ht="65.25" customHeight="1">
      <c r="A45" s="80" t="str">
        <f>_xlfn.XLOOKUP(B45,'Paso 3 Redacción RA'!I$3:I$18,'Paso 3 Redacción RA'!C$3:C$18,,0,1)</f>
        <v>Saber</v>
      </c>
      <c r="B45" s="58" t="s">
        <v>107</v>
      </c>
      <c r="C45" s="121"/>
      <c r="D45" s="121"/>
      <c r="E45" s="123"/>
      <c r="F45" s="146"/>
      <c r="G45" s="146"/>
      <c r="H45" s="146"/>
      <c r="I45" s="146"/>
      <c r="J45" s="146"/>
      <c r="K45" s="146"/>
      <c r="L45" s="146"/>
      <c r="M45" s="146"/>
      <c r="N45" s="118"/>
      <c r="O45" s="118"/>
      <c r="P45" s="118"/>
      <c r="Q45" s="118"/>
      <c r="R45" s="5"/>
      <c r="S45" s="5"/>
      <c r="T45" s="93"/>
    </row>
    <row r="46" spans="1:20" s="80" customFormat="1" ht="51.75" customHeight="1">
      <c r="A46" s="80" t="str">
        <f>_xlfn.XLOOKUP(B46,'Paso 3 Redacción RA'!I$3:I$18,'Paso 3 Redacción RA'!C$3:C$18,,0,1)</f>
        <v>SaberHacer</v>
      </c>
      <c r="B46" s="58" t="s">
        <v>109</v>
      </c>
      <c r="C46" s="121"/>
      <c r="D46" s="121"/>
      <c r="E46" s="123"/>
      <c r="F46" s="146"/>
      <c r="G46" s="146"/>
      <c r="H46" s="146"/>
      <c r="I46" s="146"/>
      <c r="J46" s="146"/>
      <c r="K46" s="146"/>
      <c r="L46" s="146"/>
      <c r="M46" s="146"/>
      <c r="N46" s="118"/>
      <c r="O46" s="118"/>
      <c r="P46" s="118"/>
      <c r="Q46" s="118"/>
      <c r="R46" s="5"/>
      <c r="S46" s="5"/>
      <c r="T46" s="93"/>
    </row>
    <row r="47" spans="1:20" s="80" customFormat="1" ht="49.5">
      <c r="A47" s="80" t="str">
        <f>_xlfn.XLOOKUP(B47,'Paso 3 Redacción RA'!I$3:I$18,'Paso 3 Redacción RA'!C$3:C$18,,0,1)</f>
        <v>Saber</v>
      </c>
      <c r="B47" s="58" t="s">
        <v>112</v>
      </c>
      <c r="C47" s="121"/>
      <c r="D47" s="121"/>
      <c r="E47" s="123"/>
      <c r="F47" s="146"/>
      <c r="G47" s="146"/>
      <c r="H47" s="146"/>
      <c r="I47" s="146"/>
      <c r="J47" s="146"/>
      <c r="K47" s="146"/>
      <c r="L47" s="146"/>
      <c r="M47" s="146"/>
      <c r="N47" s="118"/>
      <c r="O47" s="118"/>
      <c r="P47" s="118"/>
      <c r="Q47" s="118"/>
      <c r="R47" s="5"/>
      <c r="S47" s="5"/>
      <c r="T47" s="93"/>
    </row>
    <row r="48" spans="1:20" s="80" customFormat="1" ht="49.5" customHeight="1">
      <c r="A48" s="81" t="str">
        <f>_xlfn.XLOOKUP(B48,'Paso 3 Redacción RA'!I$3:I$18,'Paso 3 Redacción RA'!C$3:C$18,,0,1)</f>
        <v>SaberHacer</v>
      </c>
      <c r="B48" s="77" t="s">
        <v>114</v>
      </c>
      <c r="C48" s="132"/>
      <c r="D48" s="132"/>
      <c r="E48" s="130"/>
      <c r="F48" s="147"/>
      <c r="G48" s="147"/>
      <c r="H48" s="147"/>
      <c r="I48" s="147"/>
      <c r="J48" s="147"/>
      <c r="K48" s="147"/>
      <c r="L48" s="147"/>
      <c r="M48" s="147"/>
      <c r="N48" s="141"/>
      <c r="O48" s="141"/>
      <c r="P48" s="141"/>
      <c r="Q48" s="141"/>
      <c r="R48" s="5"/>
      <c r="S48" s="5"/>
      <c r="T48" s="93"/>
    </row>
    <row r="49" spans="1:20" s="80" customFormat="1" ht="42.75">
      <c r="A49" s="92" t="str">
        <f>_xlfn.XLOOKUP(B49,'Paso 3 Redacción RA'!I$3:I$18,'Paso 3 Redacción RA'!C$3:C$18,,0,1)</f>
        <v>SaberHacer</v>
      </c>
      <c r="B49" s="65" t="s">
        <v>102</v>
      </c>
      <c r="C49" s="131">
        <v>3</v>
      </c>
      <c r="D49" s="131" t="s">
        <v>287</v>
      </c>
      <c r="E49" s="129" t="s">
        <v>288</v>
      </c>
      <c r="F49" s="145" t="s">
        <v>218</v>
      </c>
      <c r="G49" s="145"/>
      <c r="H49" s="145" t="s">
        <v>219</v>
      </c>
      <c r="I49" s="145"/>
      <c r="J49" s="145">
        <v>3</v>
      </c>
      <c r="K49" s="145">
        <f>16*J49</f>
        <v>48</v>
      </c>
      <c r="L49" s="145">
        <f>32*J49</f>
        <v>96</v>
      </c>
      <c r="M49" s="145">
        <f>SUM(K49:L49)</f>
        <v>144</v>
      </c>
      <c r="N49" s="140" t="s">
        <v>289</v>
      </c>
      <c r="O49" s="140" t="s">
        <v>290</v>
      </c>
      <c r="P49" s="140" t="s">
        <v>291</v>
      </c>
      <c r="Q49" s="140" t="s">
        <v>229</v>
      </c>
      <c r="R49" s="5"/>
      <c r="S49" s="5"/>
      <c r="T49" s="93"/>
    </row>
    <row r="50" spans="1:20" s="80" customFormat="1" ht="42.75">
      <c r="A50" s="80" t="str">
        <f>_xlfn.XLOOKUP(B50,'Paso 3 Redacción RA'!I$3:I$18,'Paso 3 Redacción RA'!C$3:C$18,,0,1)</f>
        <v>Saber</v>
      </c>
      <c r="B50" s="65" t="s">
        <v>115</v>
      </c>
      <c r="C50" s="121"/>
      <c r="D50" s="121"/>
      <c r="E50" s="123"/>
      <c r="F50" s="146"/>
      <c r="G50" s="146"/>
      <c r="H50" s="146"/>
      <c r="I50" s="146"/>
      <c r="J50" s="146"/>
      <c r="K50" s="146"/>
      <c r="L50" s="146"/>
      <c r="M50" s="146"/>
      <c r="N50" s="118"/>
      <c r="O50" s="118"/>
      <c r="P50" s="118"/>
      <c r="Q50" s="118"/>
      <c r="R50" s="5"/>
      <c r="S50" s="5"/>
      <c r="T50" s="93"/>
    </row>
    <row r="51" spans="1:20" s="80" customFormat="1" ht="42.75">
      <c r="A51" s="80" t="str">
        <f>_xlfn.XLOOKUP(B51,'Paso 3 Redacción RA'!I$3:I$18,'Paso 3 Redacción RA'!C$3:C$18,,0,1)</f>
        <v>Saber</v>
      </c>
      <c r="B51" s="65" t="s">
        <v>112</v>
      </c>
      <c r="C51" s="121"/>
      <c r="D51" s="121"/>
      <c r="E51" s="123"/>
      <c r="F51" s="146"/>
      <c r="G51" s="146"/>
      <c r="H51" s="146"/>
      <c r="I51" s="146"/>
      <c r="J51" s="146"/>
      <c r="K51" s="146"/>
      <c r="L51" s="146"/>
      <c r="M51" s="146"/>
      <c r="N51" s="118"/>
      <c r="O51" s="118"/>
      <c r="P51" s="118"/>
      <c r="Q51" s="118"/>
      <c r="R51" s="5"/>
      <c r="S51" s="5"/>
      <c r="T51" s="93"/>
    </row>
    <row r="52" spans="1:20" s="80" customFormat="1" ht="42.75">
      <c r="A52" s="81" t="str">
        <f>_xlfn.XLOOKUP(B52,'Paso 3 Redacción RA'!I$3:I$18,'Paso 3 Redacción RA'!C$3:C$18,,0,1)</f>
        <v>SaberHacer</v>
      </c>
      <c r="B52" s="78" t="s">
        <v>114</v>
      </c>
      <c r="C52" s="132"/>
      <c r="D52" s="132"/>
      <c r="E52" s="123"/>
      <c r="F52" s="146"/>
      <c r="G52" s="146"/>
      <c r="H52" s="146"/>
      <c r="I52" s="146"/>
      <c r="J52" s="146"/>
      <c r="K52" s="146"/>
      <c r="L52" s="146"/>
      <c r="M52" s="147"/>
      <c r="N52" s="141"/>
      <c r="O52" s="118"/>
      <c r="P52" s="118"/>
      <c r="Q52" s="118"/>
      <c r="R52" s="5"/>
      <c r="S52" s="5"/>
      <c r="T52" s="93"/>
    </row>
    <row r="53" spans="1:20" s="80" customFormat="1" ht="214.5">
      <c r="A53" s="86" t="str">
        <f>_xlfn.XLOOKUP(B53,'Paso 3 Redacción RA'!I$3:I$18,'Paso 3 Redacción RA'!C$3:C$18,,0,1)</f>
        <v>Saber</v>
      </c>
      <c r="B53" s="86" t="s">
        <v>120</v>
      </c>
      <c r="C53" s="85">
        <v>3</v>
      </c>
      <c r="D53" s="85" t="s">
        <v>292</v>
      </c>
      <c r="E53" s="86" t="s">
        <v>293</v>
      </c>
      <c r="F53" s="84" t="s">
        <v>218</v>
      </c>
      <c r="G53" s="85" t="s">
        <v>219</v>
      </c>
      <c r="H53" s="85"/>
      <c r="I53" s="85"/>
      <c r="J53" s="84">
        <v>3</v>
      </c>
      <c r="K53" s="84">
        <f>16*J53</f>
        <v>48</v>
      </c>
      <c r="L53" s="84">
        <f>32*J53</f>
        <v>96</v>
      </c>
      <c r="M53" s="84">
        <f>SUM(K53:L53)</f>
        <v>144</v>
      </c>
      <c r="N53" s="83" t="s">
        <v>294</v>
      </c>
      <c r="O53" s="86" t="s">
        <v>295</v>
      </c>
      <c r="P53" s="86" t="s">
        <v>269</v>
      </c>
      <c r="Q53" s="83" t="s">
        <v>229</v>
      </c>
      <c r="R53" s="5">
        <f>SUM(J39:J53)</f>
        <v>16</v>
      </c>
      <c r="S53" s="5">
        <f>COUNTA(D39:D53)</f>
        <v>5</v>
      </c>
      <c r="T53" s="93"/>
    </row>
    <row r="54" spans="1:20" s="80" customFormat="1" ht="214.5">
      <c r="A54" s="86" t="str">
        <f>_xlfn.XLOOKUP(B54,'Paso 3 Redacción RA'!I$3:I$18,'Paso 3 Redacción RA'!C$3:C$18,,0,1)</f>
        <v>Saber</v>
      </c>
      <c r="B54" s="86" t="s">
        <v>120</v>
      </c>
      <c r="C54" s="85">
        <v>4</v>
      </c>
      <c r="D54" s="85" t="s">
        <v>296</v>
      </c>
      <c r="E54" s="86" t="s">
        <v>297</v>
      </c>
      <c r="F54" s="84" t="s">
        <v>218</v>
      </c>
      <c r="G54" s="85" t="s">
        <v>219</v>
      </c>
      <c r="H54" s="85" t="s">
        <v>298</v>
      </c>
      <c r="I54" s="85"/>
      <c r="J54" s="85">
        <v>3</v>
      </c>
      <c r="K54" s="84">
        <f>16*J54</f>
        <v>48</v>
      </c>
      <c r="L54" s="84">
        <f>32*J54</f>
        <v>96</v>
      </c>
      <c r="M54" s="84">
        <f>SUM(K54:L54)</f>
        <v>144</v>
      </c>
      <c r="N54" s="86" t="s">
        <v>299</v>
      </c>
      <c r="O54" s="86" t="s">
        <v>295</v>
      </c>
      <c r="P54" s="86" t="s">
        <v>269</v>
      </c>
      <c r="Q54" s="83" t="s">
        <v>229</v>
      </c>
      <c r="R54" s="5"/>
      <c r="S54" s="5"/>
      <c r="T54" s="93"/>
    </row>
    <row r="55" spans="1:20" s="80" customFormat="1" ht="49.5">
      <c r="A55" s="92" t="str">
        <f>_xlfn.XLOOKUP(B55,'Paso 3 Redacción RA'!I$3:I$18,'Paso 3 Redacción RA'!C$3:C$18,,0,1)</f>
        <v>Saber</v>
      </c>
      <c r="B55" s="58" t="s">
        <v>98</v>
      </c>
      <c r="C55" s="131">
        <v>4</v>
      </c>
      <c r="D55" s="131" t="s">
        <v>300</v>
      </c>
      <c r="E55" s="129" t="s">
        <v>301</v>
      </c>
      <c r="F55" s="145" t="s">
        <v>218</v>
      </c>
      <c r="G55" s="145"/>
      <c r="H55" s="145" t="s">
        <v>219</v>
      </c>
      <c r="I55" s="145"/>
      <c r="J55" s="145">
        <v>4</v>
      </c>
      <c r="K55" s="145">
        <f>16*J55</f>
        <v>64</v>
      </c>
      <c r="L55" s="145">
        <f>32*J55</f>
        <v>128</v>
      </c>
      <c r="M55" s="145">
        <f>SUM(K55:L55)</f>
        <v>192</v>
      </c>
      <c r="N55" s="140" t="s">
        <v>302</v>
      </c>
      <c r="O55" s="140" t="s">
        <v>303</v>
      </c>
      <c r="P55" s="140" t="s">
        <v>304</v>
      </c>
      <c r="Q55" s="140" t="s">
        <v>229</v>
      </c>
      <c r="R55" s="5"/>
      <c r="S55" s="5"/>
      <c r="T55" s="93"/>
    </row>
    <row r="56" spans="1:20" s="80" customFormat="1" ht="49.5">
      <c r="A56" s="80" t="str">
        <f>_xlfn.XLOOKUP(B56,'Paso 3 Redacción RA'!I$3:I$18,'Paso 3 Redacción RA'!C$3:C$18,,0,1)</f>
        <v>SaberHacer</v>
      </c>
      <c r="B56" s="58" t="s">
        <v>102</v>
      </c>
      <c r="C56" s="121"/>
      <c r="D56" s="121"/>
      <c r="E56" s="123"/>
      <c r="F56" s="146"/>
      <c r="G56" s="146"/>
      <c r="H56" s="146"/>
      <c r="I56" s="146"/>
      <c r="J56" s="146"/>
      <c r="K56" s="146"/>
      <c r="L56" s="146"/>
      <c r="M56" s="146"/>
      <c r="N56" s="118"/>
      <c r="O56" s="118"/>
      <c r="P56" s="118"/>
      <c r="Q56" s="118"/>
      <c r="R56" s="5"/>
      <c r="S56" s="5"/>
      <c r="T56" s="93"/>
    </row>
    <row r="57" spans="1:20" s="80" customFormat="1" ht="60.95" customHeight="1">
      <c r="A57" s="80" t="str">
        <f>_xlfn.XLOOKUP(B57,'Paso 3 Redacción RA'!I$3:I$18,'Paso 3 Redacción RA'!C$3:C$18,,0,1)</f>
        <v>SaberHacer</v>
      </c>
      <c r="B57" s="58" t="s">
        <v>109</v>
      </c>
      <c r="C57" s="121"/>
      <c r="D57" s="121"/>
      <c r="E57" s="123"/>
      <c r="F57" s="146"/>
      <c r="G57" s="146"/>
      <c r="H57" s="146"/>
      <c r="I57" s="146"/>
      <c r="J57" s="146"/>
      <c r="K57" s="146"/>
      <c r="L57" s="146"/>
      <c r="M57" s="146"/>
      <c r="N57" s="118"/>
      <c r="O57" s="118"/>
      <c r="P57" s="118"/>
      <c r="Q57" s="118"/>
      <c r="R57" s="5"/>
      <c r="S57" s="5"/>
      <c r="T57" s="93"/>
    </row>
    <row r="58" spans="1:20" s="80" customFormat="1" ht="49.5">
      <c r="A58" s="81" t="str">
        <f>_xlfn.XLOOKUP(B58,'Paso 3 Redacción RA'!I$3:I$18,'Paso 3 Redacción RA'!C$3:C$18,,0,1)</f>
        <v>Saber</v>
      </c>
      <c r="B58" s="77" t="s">
        <v>112</v>
      </c>
      <c r="C58" s="132"/>
      <c r="D58" s="132"/>
      <c r="E58" s="130"/>
      <c r="F58" s="147"/>
      <c r="G58" s="147"/>
      <c r="H58" s="147"/>
      <c r="I58" s="147"/>
      <c r="J58" s="147"/>
      <c r="K58" s="147"/>
      <c r="L58" s="147"/>
      <c r="M58" s="147"/>
      <c r="N58" s="141"/>
      <c r="O58" s="141"/>
      <c r="P58" s="141"/>
      <c r="Q58" s="141"/>
      <c r="R58" s="5"/>
      <c r="S58" s="5"/>
      <c r="T58" s="93"/>
    </row>
    <row r="59" spans="1:20" s="80" customFormat="1" ht="58.5" customHeight="1">
      <c r="A59" s="92" t="str">
        <f>_xlfn.XLOOKUP(B59,'Paso 3 Redacción RA'!I$3:I$18,'Paso 3 Redacción RA'!C$3:C$18,,0,1)</f>
        <v>SaberHacer</v>
      </c>
      <c r="B59" s="82" t="s">
        <v>102</v>
      </c>
      <c r="C59" s="131">
        <v>4</v>
      </c>
      <c r="D59" s="131" t="s">
        <v>305</v>
      </c>
      <c r="E59" s="129" t="s">
        <v>306</v>
      </c>
      <c r="F59" s="145" t="s">
        <v>218</v>
      </c>
      <c r="G59" s="145"/>
      <c r="H59" s="145" t="s">
        <v>219</v>
      </c>
      <c r="I59" s="145"/>
      <c r="J59" s="145">
        <v>4</v>
      </c>
      <c r="K59" s="145">
        <f>16*J59</f>
        <v>64</v>
      </c>
      <c r="L59" s="145">
        <f>32*J59</f>
        <v>128</v>
      </c>
      <c r="M59" s="145">
        <f>SUM(K59:L59)</f>
        <v>192</v>
      </c>
      <c r="N59" s="140" t="s">
        <v>307</v>
      </c>
      <c r="O59" s="140" t="s">
        <v>308</v>
      </c>
      <c r="P59" s="140" t="s">
        <v>309</v>
      </c>
      <c r="Q59" s="140" t="s">
        <v>229</v>
      </c>
      <c r="R59" s="5"/>
      <c r="S59" s="5"/>
      <c r="T59" s="93"/>
    </row>
    <row r="60" spans="1:20" s="80" customFormat="1" ht="87" customHeight="1">
      <c r="A60" s="80" t="str">
        <f>_xlfn.XLOOKUP(B60,'Paso 3 Redacción RA'!I$3:I$18,'Paso 3 Redacción RA'!C$3:C$18,,0,1)</f>
        <v>SaberSer</v>
      </c>
      <c r="B60" s="65" t="s">
        <v>106</v>
      </c>
      <c r="C60" s="121"/>
      <c r="D60" s="121"/>
      <c r="E60" s="123"/>
      <c r="F60" s="146"/>
      <c r="G60" s="146"/>
      <c r="H60" s="146"/>
      <c r="I60" s="146"/>
      <c r="J60" s="146"/>
      <c r="K60" s="146"/>
      <c r="L60" s="146"/>
      <c r="M60" s="146"/>
      <c r="N60" s="118"/>
      <c r="O60" s="118"/>
      <c r="P60" s="118"/>
      <c r="Q60" s="118"/>
      <c r="R60" s="5"/>
      <c r="S60" s="5"/>
      <c r="T60" s="93"/>
    </row>
    <row r="61" spans="1:20" s="80" customFormat="1" ht="49.5">
      <c r="A61" s="80" t="str">
        <f>_xlfn.XLOOKUP(B61,'Paso 3 Redacción RA'!I$3:I$18,'Paso 3 Redacción RA'!C$3:C$18,,0,1)</f>
        <v>Saber</v>
      </c>
      <c r="B61" s="65" t="s">
        <v>107</v>
      </c>
      <c r="C61" s="121"/>
      <c r="D61" s="121"/>
      <c r="E61" s="123"/>
      <c r="F61" s="146"/>
      <c r="G61" s="146"/>
      <c r="H61" s="146"/>
      <c r="I61" s="146"/>
      <c r="J61" s="146"/>
      <c r="K61" s="146"/>
      <c r="L61" s="146"/>
      <c r="M61" s="146"/>
      <c r="N61" s="118"/>
      <c r="O61" s="118"/>
      <c r="P61" s="118"/>
      <c r="Q61" s="118"/>
      <c r="R61" s="5"/>
      <c r="S61" s="5"/>
      <c r="T61" s="93"/>
    </row>
    <row r="62" spans="1:20" s="80" customFormat="1" ht="49.5">
      <c r="A62" s="80" t="str">
        <f>_xlfn.XLOOKUP(B62,'Paso 3 Redacción RA'!I$3:I$18,'Paso 3 Redacción RA'!C$3:C$18,,0,1)</f>
        <v>SaberHacer</v>
      </c>
      <c r="B62" s="65" t="s">
        <v>109</v>
      </c>
      <c r="C62" s="121"/>
      <c r="D62" s="121"/>
      <c r="E62" s="123"/>
      <c r="F62" s="146"/>
      <c r="G62" s="146"/>
      <c r="H62" s="146"/>
      <c r="I62" s="146"/>
      <c r="J62" s="146"/>
      <c r="K62" s="146"/>
      <c r="L62" s="146"/>
      <c r="M62" s="146"/>
      <c r="N62" s="118"/>
      <c r="O62" s="118"/>
      <c r="P62" s="118"/>
      <c r="Q62" s="118"/>
      <c r="R62" s="5"/>
      <c r="S62" s="5"/>
      <c r="T62" s="93"/>
    </row>
    <row r="63" spans="1:20" s="80" customFormat="1" ht="49.5">
      <c r="A63" s="81" t="str">
        <f>_xlfn.XLOOKUP(B63,'Paso 3 Redacción RA'!I$3:I$18,'Paso 3 Redacción RA'!C$3:C$18,,0,1)</f>
        <v>SaberHacer</v>
      </c>
      <c r="B63" s="78" t="s">
        <v>114</v>
      </c>
      <c r="C63" s="132"/>
      <c r="D63" s="132"/>
      <c r="E63" s="130"/>
      <c r="F63" s="147"/>
      <c r="G63" s="147"/>
      <c r="H63" s="147"/>
      <c r="I63" s="147"/>
      <c r="J63" s="147"/>
      <c r="K63" s="147"/>
      <c r="L63" s="147"/>
      <c r="M63" s="147"/>
      <c r="N63" s="118"/>
      <c r="O63" s="118"/>
      <c r="P63" s="118"/>
      <c r="Q63" s="141"/>
      <c r="R63" s="5"/>
      <c r="S63" s="5"/>
      <c r="T63" s="93"/>
    </row>
    <row r="64" spans="1:20" s="80" customFormat="1" ht="49.5">
      <c r="A64" s="92" t="str">
        <f>_xlfn.XLOOKUP(B64,'Paso 3 Redacción RA'!I$3:I$18,'Paso 3 Redacción RA'!C$3:C$18,,0,1)</f>
        <v>SaberHacer</v>
      </c>
      <c r="B64" s="82" t="s">
        <v>102</v>
      </c>
      <c r="C64" s="131">
        <v>4</v>
      </c>
      <c r="D64" s="131" t="s">
        <v>310</v>
      </c>
      <c r="E64" s="129" t="s">
        <v>311</v>
      </c>
      <c r="F64" s="145" t="s">
        <v>218</v>
      </c>
      <c r="G64" s="145"/>
      <c r="H64" s="145" t="s">
        <v>219</v>
      </c>
      <c r="I64" s="145"/>
      <c r="J64" s="145">
        <v>3</v>
      </c>
      <c r="K64" s="145">
        <f>16*J64</f>
        <v>48</v>
      </c>
      <c r="L64" s="145">
        <f>32*J64</f>
        <v>96</v>
      </c>
      <c r="M64" s="145">
        <f>SUM(K64:L64)</f>
        <v>144</v>
      </c>
      <c r="N64" s="140" t="s">
        <v>312</v>
      </c>
      <c r="O64" s="140" t="s">
        <v>313</v>
      </c>
      <c r="P64" s="140" t="s">
        <v>291</v>
      </c>
      <c r="Q64" s="140" t="s">
        <v>229</v>
      </c>
      <c r="R64" s="5"/>
      <c r="S64" s="5"/>
      <c r="T64" s="93"/>
    </row>
    <row r="65" spans="1:20" s="80" customFormat="1" ht="49.5">
      <c r="A65" s="80" t="str">
        <f>_xlfn.XLOOKUP(B65,'Paso 3 Redacción RA'!I$3:I$18,'Paso 3 Redacción RA'!C$3:C$18,,0,1)</f>
        <v>Saber</v>
      </c>
      <c r="B65" s="65" t="s">
        <v>115</v>
      </c>
      <c r="C65" s="121"/>
      <c r="D65" s="121"/>
      <c r="E65" s="123"/>
      <c r="F65" s="146"/>
      <c r="G65" s="146"/>
      <c r="H65" s="146"/>
      <c r="I65" s="146"/>
      <c r="J65" s="146"/>
      <c r="K65" s="146"/>
      <c r="L65" s="146"/>
      <c r="M65" s="146"/>
      <c r="N65" s="118"/>
      <c r="O65" s="118"/>
      <c r="P65" s="118"/>
      <c r="Q65" s="118"/>
      <c r="R65" s="5"/>
      <c r="S65" s="5"/>
      <c r="T65" s="93"/>
    </row>
    <row r="66" spans="1:20" s="80" customFormat="1" ht="49.5">
      <c r="A66" s="80" t="str">
        <f>_xlfn.XLOOKUP(B66,'Paso 3 Redacción RA'!I$3:I$18,'Paso 3 Redacción RA'!C$3:C$18,,0,1)</f>
        <v>Saber</v>
      </c>
      <c r="B66" s="65" t="s">
        <v>112</v>
      </c>
      <c r="C66" s="121"/>
      <c r="D66" s="121"/>
      <c r="E66" s="123"/>
      <c r="F66" s="146"/>
      <c r="G66" s="146"/>
      <c r="H66" s="146"/>
      <c r="I66" s="146"/>
      <c r="J66" s="146"/>
      <c r="K66" s="146"/>
      <c r="L66" s="146"/>
      <c r="M66" s="146"/>
      <c r="N66" s="118"/>
      <c r="O66" s="118"/>
      <c r="P66" s="118"/>
      <c r="Q66" s="118"/>
      <c r="R66" s="5"/>
      <c r="S66" s="5"/>
      <c r="T66" s="93"/>
    </row>
    <row r="67" spans="1:20" s="80" customFormat="1" ht="49.5">
      <c r="A67" s="81" t="str">
        <f>_xlfn.XLOOKUP(B67,'Paso 3 Redacción RA'!I$3:I$18,'Paso 3 Redacción RA'!C$3:C$18,,0,1)</f>
        <v>SaberHacer</v>
      </c>
      <c r="B67" s="78" t="s">
        <v>114</v>
      </c>
      <c r="C67" s="132"/>
      <c r="D67" s="132"/>
      <c r="E67" s="130"/>
      <c r="F67" s="147"/>
      <c r="G67" s="147"/>
      <c r="H67" s="147"/>
      <c r="I67" s="147"/>
      <c r="J67" s="147"/>
      <c r="K67" s="147"/>
      <c r="L67" s="147"/>
      <c r="M67" s="147"/>
      <c r="N67" s="141"/>
      <c r="O67" s="141"/>
      <c r="P67" s="141"/>
      <c r="Q67" s="141"/>
      <c r="R67" s="5"/>
      <c r="S67" s="5"/>
      <c r="T67" s="93"/>
    </row>
    <row r="68" spans="1:20" s="80" customFormat="1" ht="64.5" customHeight="1">
      <c r="A68" s="92" t="str">
        <f>_xlfn.XLOOKUP(B68,'Paso 3 Redacción RA'!I$3:I$18,'Paso 3 Redacción RA'!C$3:C$18,,0,1)</f>
        <v>Saber</v>
      </c>
      <c r="B68" s="58" t="s">
        <v>98</v>
      </c>
      <c r="C68" s="131">
        <v>4</v>
      </c>
      <c r="D68" s="131" t="s">
        <v>314</v>
      </c>
      <c r="E68" s="129" t="s">
        <v>315</v>
      </c>
      <c r="F68" s="145" t="s">
        <v>218</v>
      </c>
      <c r="G68" s="145"/>
      <c r="H68" s="145" t="s">
        <v>219</v>
      </c>
      <c r="I68" s="145"/>
      <c r="J68" s="145">
        <v>4</v>
      </c>
      <c r="K68" s="145">
        <f>16*J68</f>
        <v>64</v>
      </c>
      <c r="L68" s="145">
        <f>32*J68</f>
        <v>128</v>
      </c>
      <c r="M68" s="145">
        <f>SUM(K68:L68)</f>
        <v>192</v>
      </c>
      <c r="N68" s="140" t="s">
        <v>316</v>
      </c>
      <c r="O68" s="140" t="s">
        <v>317</v>
      </c>
      <c r="P68" s="140" t="s">
        <v>222</v>
      </c>
      <c r="Q68" s="140" t="s">
        <v>229</v>
      </c>
      <c r="R68" s="5"/>
      <c r="S68" s="5"/>
      <c r="T68" s="93"/>
    </row>
    <row r="69" spans="1:20" s="80" customFormat="1" ht="49.5">
      <c r="A69" s="80" t="str">
        <f>_xlfn.XLOOKUP(B69,'Paso 3 Redacción RA'!I$3:I$18,'Paso 3 Redacción RA'!C$3:C$18,,0,1)</f>
        <v>SaberHacer</v>
      </c>
      <c r="B69" s="58" t="s">
        <v>102</v>
      </c>
      <c r="C69" s="121"/>
      <c r="D69" s="121"/>
      <c r="E69" s="123"/>
      <c r="F69" s="146"/>
      <c r="G69" s="146"/>
      <c r="H69" s="146"/>
      <c r="I69" s="146"/>
      <c r="J69" s="146"/>
      <c r="K69" s="146"/>
      <c r="L69" s="146"/>
      <c r="M69" s="146"/>
      <c r="N69" s="118"/>
      <c r="O69" s="118"/>
      <c r="P69" s="118"/>
      <c r="Q69" s="118"/>
      <c r="R69" s="5"/>
      <c r="S69" s="5"/>
      <c r="T69" s="93"/>
    </row>
    <row r="70" spans="1:20" s="80" customFormat="1" ht="49.5">
      <c r="A70" s="80" t="str">
        <f>_xlfn.XLOOKUP(B70,'Paso 3 Redacción RA'!I$3:I$18,'Paso 3 Redacción RA'!C$3:C$18,,0,1)</f>
        <v>SaberHacer</v>
      </c>
      <c r="B70" s="58" t="s">
        <v>109</v>
      </c>
      <c r="C70" s="121"/>
      <c r="D70" s="121"/>
      <c r="E70" s="123"/>
      <c r="F70" s="146"/>
      <c r="G70" s="146"/>
      <c r="H70" s="146"/>
      <c r="I70" s="146"/>
      <c r="J70" s="146"/>
      <c r="K70" s="146"/>
      <c r="L70" s="146"/>
      <c r="M70" s="146"/>
      <c r="N70" s="118"/>
      <c r="O70" s="118"/>
      <c r="P70" s="118"/>
      <c r="Q70" s="118"/>
      <c r="R70" s="5"/>
      <c r="S70" s="5"/>
      <c r="T70" s="93"/>
    </row>
    <row r="71" spans="1:20" s="80" customFormat="1" ht="49.5">
      <c r="A71" s="81" t="str">
        <f>_xlfn.XLOOKUP(B71,'Paso 3 Redacción RA'!I$3:I$18,'Paso 3 Redacción RA'!C$3:C$18,,0,1)</f>
        <v>Saber</v>
      </c>
      <c r="B71" s="77" t="s">
        <v>112</v>
      </c>
      <c r="C71" s="132"/>
      <c r="D71" s="132"/>
      <c r="E71" s="123"/>
      <c r="F71" s="147"/>
      <c r="G71" s="147"/>
      <c r="H71" s="147"/>
      <c r="I71" s="147"/>
      <c r="J71" s="147"/>
      <c r="K71" s="147"/>
      <c r="L71" s="147"/>
      <c r="M71" s="147"/>
      <c r="N71" s="141"/>
      <c r="O71" s="141"/>
      <c r="P71" s="141"/>
      <c r="Q71" s="141"/>
      <c r="R71" s="5">
        <f>SUM(J54:J68)</f>
        <v>18</v>
      </c>
      <c r="S71" s="5">
        <f>COUNTA(D54:D71)</f>
        <v>5</v>
      </c>
      <c r="T71" s="93"/>
    </row>
    <row r="72" spans="1:20" s="80" customFormat="1" ht="49.5">
      <c r="A72" s="92" t="str">
        <f>_xlfn.XLOOKUP(B72,'Paso 3 Redacción RA'!I$3:I$18,'Paso 3 Redacción RA'!C$3:C$18,,0,1)</f>
        <v>Saber</v>
      </c>
      <c r="B72" s="82" t="s">
        <v>98</v>
      </c>
      <c r="C72" s="131">
        <v>5</v>
      </c>
      <c r="D72" s="131" t="s">
        <v>318</v>
      </c>
      <c r="E72" s="129" t="s">
        <v>319</v>
      </c>
      <c r="F72" s="145" t="s">
        <v>218</v>
      </c>
      <c r="G72" s="145"/>
      <c r="H72" s="145" t="s">
        <v>219</v>
      </c>
      <c r="I72" s="145"/>
      <c r="J72" s="145">
        <v>3</v>
      </c>
      <c r="K72" s="145">
        <f>16*J72</f>
        <v>48</v>
      </c>
      <c r="L72" s="145">
        <f>32*J72</f>
        <v>96</v>
      </c>
      <c r="M72" s="145">
        <f>SUM(K72:L76)</f>
        <v>144</v>
      </c>
      <c r="N72" s="140" t="s">
        <v>320</v>
      </c>
      <c r="O72" s="140" t="s">
        <v>273</v>
      </c>
      <c r="P72" s="140" t="s">
        <v>274</v>
      </c>
      <c r="Q72" s="140" t="s">
        <v>229</v>
      </c>
      <c r="R72" s="5"/>
      <c r="S72" s="5"/>
      <c r="T72" s="93"/>
    </row>
    <row r="73" spans="1:20" s="80" customFormat="1" ht="49.5">
      <c r="A73" s="80" t="str">
        <f>_xlfn.XLOOKUP(B73,'Paso 3 Redacción RA'!I$3:I$18,'Paso 3 Redacción RA'!C$3:C$18,,0,1)</f>
        <v>SaberHacer</v>
      </c>
      <c r="B73" s="65" t="s">
        <v>102</v>
      </c>
      <c r="C73" s="121"/>
      <c r="D73" s="121"/>
      <c r="E73" s="123"/>
      <c r="F73" s="146"/>
      <c r="G73" s="146"/>
      <c r="H73" s="146"/>
      <c r="I73" s="146"/>
      <c r="J73" s="146"/>
      <c r="K73" s="146"/>
      <c r="L73" s="146"/>
      <c r="M73" s="146"/>
      <c r="N73" s="118"/>
      <c r="O73" s="118"/>
      <c r="P73" s="118"/>
      <c r="Q73" s="118"/>
      <c r="R73" s="5"/>
      <c r="S73" s="5"/>
      <c r="T73" s="93"/>
    </row>
    <row r="74" spans="1:20" s="80" customFormat="1" ht="49.5">
      <c r="A74" s="80" t="str">
        <f>_xlfn.XLOOKUP(B74,'Paso 3 Redacción RA'!I$3:I$18,'Paso 3 Redacción RA'!C$3:C$18,,0,1)</f>
        <v>Saber</v>
      </c>
      <c r="B74" s="65" t="s">
        <v>115</v>
      </c>
      <c r="C74" s="121"/>
      <c r="D74" s="121"/>
      <c r="E74" s="123"/>
      <c r="F74" s="146"/>
      <c r="G74" s="146"/>
      <c r="H74" s="146"/>
      <c r="I74" s="146"/>
      <c r="J74" s="146"/>
      <c r="K74" s="146"/>
      <c r="L74" s="146"/>
      <c r="M74" s="146"/>
      <c r="N74" s="118"/>
      <c r="O74" s="118"/>
      <c r="P74" s="118"/>
      <c r="Q74" s="118"/>
      <c r="R74" s="5"/>
      <c r="S74" s="5"/>
      <c r="T74" s="93"/>
    </row>
    <row r="75" spans="1:20" s="80" customFormat="1" ht="49.5">
      <c r="A75" s="80" t="str">
        <f>_xlfn.XLOOKUP(B75,'Paso 3 Redacción RA'!I$3:I$18,'Paso 3 Redacción RA'!C$3:C$18,,0,1)</f>
        <v>Saber</v>
      </c>
      <c r="B75" s="65" t="s">
        <v>112</v>
      </c>
      <c r="C75" s="121"/>
      <c r="D75" s="121"/>
      <c r="E75" s="123"/>
      <c r="F75" s="146"/>
      <c r="G75" s="146"/>
      <c r="H75" s="146"/>
      <c r="I75" s="146"/>
      <c r="J75" s="146"/>
      <c r="K75" s="146"/>
      <c r="L75" s="146"/>
      <c r="M75" s="146"/>
      <c r="N75" s="118"/>
      <c r="O75" s="118"/>
      <c r="P75" s="118"/>
      <c r="Q75" s="118"/>
      <c r="R75" s="5"/>
      <c r="S75" s="5"/>
      <c r="T75" s="93"/>
    </row>
    <row r="76" spans="1:20" s="80" customFormat="1" ht="49.5">
      <c r="A76" s="81" t="str">
        <f>_xlfn.XLOOKUP(B76,'Paso 3 Redacción RA'!I$3:I$18,'Paso 3 Redacción RA'!C$3:C$18,,0,1)</f>
        <v>SaberHacer</v>
      </c>
      <c r="B76" s="78" t="s">
        <v>114</v>
      </c>
      <c r="C76" s="132"/>
      <c r="D76" s="132"/>
      <c r="E76" s="130"/>
      <c r="F76" s="146"/>
      <c r="G76" s="146"/>
      <c r="H76" s="146"/>
      <c r="I76" s="146"/>
      <c r="J76" s="146"/>
      <c r="K76" s="146"/>
      <c r="L76" s="146"/>
      <c r="M76" s="146"/>
      <c r="N76" s="118"/>
      <c r="O76" s="118"/>
      <c r="P76" s="118"/>
      <c r="Q76" s="118"/>
      <c r="S76" s="5"/>
      <c r="T76" s="93"/>
    </row>
    <row r="77" spans="1:20" s="80" customFormat="1" ht="66">
      <c r="A77" s="92" t="str">
        <f>_xlfn.XLOOKUP(B77,'Paso 3 Redacción RA'!I$3:I$18,'Paso 3 Redacción RA'!C$3:C$18,,0,1)</f>
        <v>SaberSer</v>
      </c>
      <c r="B77" s="82" t="s">
        <v>106</v>
      </c>
      <c r="C77" s="131">
        <v>5</v>
      </c>
      <c r="D77" s="131" t="s">
        <v>321</v>
      </c>
      <c r="E77" s="129" t="s">
        <v>322</v>
      </c>
      <c r="F77" s="145" t="s">
        <v>218</v>
      </c>
      <c r="G77" s="145"/>
      <c r="H77" s="145" t="s">
        <v>219</v>
      </c>
      <c r="I77" s="145"/>
      <c r="J77" s="145">
        <v>4</v>
      </c>
      <c r="K77" s="145">
        <f>16*J77</f>
        <v>64</v>
      </c>
      <c r="L77" s="145">
        <f>32*J77</f>
        <v>128</v>
      </c>
      <c r="M77" s="145">
        <f>SUM(K77:L77)</f>
        <v>192</v>
      </c>
      <c r="N77" s="140" t="s">
        <v>323</v>
      </c>
      <c r="O77" s="140" t="s">
        <v>273</v>
      </c>
      <c r="P77" s="140" t="s">
        <v>274</v>
      </c>
      <c r="Q77" s="140" t="s">
        <v>229</v>
      </c>
      <c r="R77" s="5"/>
      <c r="S77" s="5"/>
      <c r="T77" s="93"/>
    </row>
    <row r="78" spans="1:20" s="80" customFormat="1" ht="49.5">
      <c r="A78" s="80" t="str">
        <f>_xlfn.XLOOKUP(B78,'Paso 3 Redacción RA'!I$3:I$18,'Paso 3 Redacción RA'!C$3:C$18,,0,1)</f>
        <v>Saber</v>
      </c>
      <c r="B78" s="65" t="s">
        <v>115</v>
      </c>
      <c r="C78" s="121"/>
      <c r="D78" s="121"/>
      <c r="E78" s="123"/>
      <c r="F78" s="146"/>
      <c r="G78" s="146"/>
      <c r="H78" s="146"/>
      <c r="I78" s="146"/>
      <c r="J78" s="146"/>
      <c r="K78" s="146"/>
      <c r="L78" s="146"/>
      <c r="M78" s="146"/>
      <c r="N78" s="118"/>
      <c r="O78" s="118"/>
      <c r="P78" s="118"/>
      <c r="Q78" s="118"/>
      <c r="R78" s="5"/>
      <c r="S78" s="5"/>
      <c r="T78" s="93"/>
    </row>
    <row r="79" spans="1:20" s="80" customFormat="1" ht="49.5">
      <c r="A79" s="80" t="str">
        <f>_xlfn.XLOOKUP(B79,'Paso 3 Redacción RA'!I$3:I$18,'Paso 3 Redacción RA'!C$3:C$18,,0,1)</f>
        <v>SaberHacer</v>
      </c>
      <c r="B79" s="65" t="s">
        <v>109</v>
      </c>
      <c r="C79" s="121"/>
      <c r="D79" s="121"/>
      <c r="E79" s="123"/>
      <c r="F79" s="146"/>
      <c r="G79" s="146"/>
      <c r="H79" s="146"/>
      <c r="I79" s="146"/>
      <c r="J79" s="146"/>
      <c r="K79" s="146"/>
      <c r="L79" s="146"/>
      <c r="M79" s="146"/>
      <c r="N79" s="118"/>
      <c r="O79" s="118"/>
      <c r="P79" s="118"/>
      <c r="Q79" s="118"/>
      <c r="R79" s="5"/>
      <c r="S79" s="5"/>
      <c r="T79" s="93"/>
    </row>
    <row r="80" spans="1:20" s="80" customFormat="1" ht="49.5">
      <c r="A80" s="81" t="str">
        <f>_xlfn.XLOOKUP(B80,'Paso 3 Redacción RA'!I$3:I$18,'Paso 3 Redacción RA'!C$3:C$18,,0,1)</f>
        <v>SaberHacer</v>
      </c>
      <c r="B80" s="78" t="s">
        <v>114</v>
      </c>
      <c r="C80" s="132"/>
      <c r="D80" s="132"/>
      <c r="E80" s="130"/>
      <c r="F80" s="147"/>
      <c r="G80" s="147"/>
      <c r="H80" s="147"/>
      <c r="I80" s="147"/>
      <c r="J80" s="147"/>
      <c r="K80" s="147"/>
      <c r="L80" s="147"/>
      <c r="M80" s="147"/>
      <c r="N80" s="141"/>
      <c r="O80" s="141"/>
      <c r="P80" s="141"/>
      <c r="Q80" s="141"/>
      <c r="R80" s="5"/>
      <c r="S80" s="5"/>
      <c r="T80" s="93"/>
    </row>
    <row r="81" spans="1:20" s="80" customFormat="1" ht="51.75" customHeight="1">
      <c r="A81" s="92" t="str">
        <f>_xlfn.XLOOKUP(B81,'Paso 3 Redacción RA'!I$3:I$18,'Paso 3 Redacción RA'!C$3:C$18,,0,1)</f>
        <v>Saber</v>
      </c>
      <c r="B81" s="82" t="s">
        <v>98</v>
      </c>
      <c r="C81" s="131">
        <v>5</v>
      </c>
      <c r="D81" s="131" t="s">
        <v>324</v>
      </c>
      <c r="E81" s="129" t="s">
        <v>325</v>
      </c>
      <c r="F81" s="145" t="s">
        <v>218</v>
      </c>
      <c r="G81" s="145"/>
      <c r="H81" s="145" t="s">
        <v>219</v>
      </c>
      <c r="I81" s="145"/>
      <c r="J81" s="145">
        <v>4</v>
      </c>
      <c r="K81" s="145">
        <f>16*J81</f>
        <v>64</v>
      </c>
      <c r="L81" s="145">
        <f>32*J81</f>
        <v>128</v>
      </c>
      <c r="M81" s="145">
        <f>SUM(K81:L81)</f>
        <v>192</v>
      </c>
      <c r="N81" s="140" t="s">
        <v>326</v>
      </c>
      <c r="O81" s="140" t="s">
        <v>317</v>
      </c>
      <c r="P81" s="140" t="s">
        <v>327</v>
      </c>
      <c r="Q81" s="140" t="s">
        <v>229</v>
      </c>
      <c r="R81" s="5"/>
      <c r="S81" s="5"/>
      <c r="T81" s="93"/>
    </row>
    <row r="82" spans="1:20" s="80" customFormat="1" ht="49.5">
      <c r="A82" s="80" t="str">
        <f>_xlfn.XLOOKUP(B82,'Paso 3 Redacción RA'!I$3:I$18,'Paso 3 Redacción RA'!C$3:C$18,,0,1)</f>
        <v>SaberHacer</v>
      </c>
      <c r="B82" s="65" t="s">
        <v>102</v>
      </c>
      <c r="C82" s="121"/>
      <c r="D82" s="121"/>
      <c r="E82" s="123"/>
      <c r="F82" s="146"/>
      <c r="G82" s="146"/>
      <c r="H82" s="146"/>
      <c r="I82" s="146"/>
      <c r="J82" s="146"/>
      <c r="K82" s="146"/>
      <c r="L82" s="146"/>
      <c r="M82" s="146"/>
      <c r="N82" s="118"/>
      <c r="O82" s="118"/>
      <c r="P82" s="118"/>
      <c r="Q82" s="118"/>
      <c r="R82" s="5"/>
      <c r="S82" s="5"/>
      <c r="T82" s="93"/>
    </row>
    <row r="83" spans="1:20" s="80" customFormat="1" ht="49.5">
      <c r="A83" s="80" t="str">
        <f>_xlfn.XLOOKUP(B83,'Paso 3 Redacción RA'!I$3:I$18,'Paso 3 Redacción RA'!C$3:C$18,,0,1)</f>
        <v>SaberHacer</v>
      </c>
      <c r="B83" s="65" t="s">
        <v>109</v>
      </c>
      <c r="C83" s="121"/>
      <c r="D83" s="121"/>
      <c r="E83" s="123"/>
      <c r="F83" s="146"/>
      <c r="G83" s="146"/>
      <c r="H83" s="146"/>
      <c r="I83" s="146"/>
      <c r="J83" s="146"/>
      <c r="K83" s="146"/>
      <c r="L83" s="146"/>
      <c r="M83" s="146"/>
      <c r="N83" s="118"/>
      <c r="O83" s="118"/>
      <c r="P83" s="118"/>
      <c r="Q83" s="118"/>
      <c r="R83" s="5"/>
      <c r="S83" s="5"/>
      <c r="T83" s="93"/>
    </row>
    <row r="84" spans="1:20" s="80" customFormat="1" ht="49.5">
      <c r="A84" s="81" t="str">
        <f>_xlfn.XLOOKUP(B84,'Paso 3 Redacción RA'!I$3:I$18,'Paso 3 Redacción RA'!C$3:C$18,,0,1)</f>
        <v>Saber</v>
      </c>
      <c r="B84" s="78" t="s">
        <v>112</v>
      </c>
      <c r="C84" s="132"/>
      <c r="D84" s="132"/>
      <c r="E84" s="130"/>
      <c r="F84" s="147"/>
      <c r="G84" s="147"/>
      <c r="H84" s="147"/>
      <c r="I84" s="147"/>
      <c r="J84" s="147"/>
      <c r="K84" s="147"/>
      <c r="L84" s="147"/>
      <c r="M84" s="147"/>
      <c r="N84" s="141"/>
      <c r="O84" s="141"/>
      <c r="P84" s="141"/>
      <c r="Q84" s="141"/>
      <c r="R84" s="5"/>
      <c r="S84" s="5"/>
      <c r="T84" s="93"/>
    </row>
    <row r="85" spans="1:20" s="80" customFormat="1" ht="69" customHeight="1">
      <c r="A85" s="92" t="str">
        <f>_xlfn.XLOOKUP(B85,'Paso 3 Redacción RA'!I$3:I$18,'Paso 3 Redacción RA'!C$3:C$18,,0,1)</f>
        <v>SaberSer</v>
      </c>
      <c r="B85" s="82" t="s">
        <v>106</v>
      </c>
      <c r="C85" s="131">
        <v>5</v>
      </c>
      <c r="D85" s="131" t="s">
        <v>328</v>
      </c>
      <c r="E85" s="129" t="s">
        <v>329</v>
      </c>
      <c r="F85" s="145" t="s">
        <v>218</v>
      </c>
      <c r="G85" s="145"/>
      <c r="H85" s="145" t="s">
        <v>219</v>
      </c>
      <c r="I85" s="145"/>
      <c r="J85" s="145">
        <v>4</v>
      </c>
      <c r="K85" s="145">
        <f>16*J85</f>
        <v>64</v>
      </c>
      <c r="L85" s="145">
        <f>32*J85</f>
        <v>128</v>
      </c>
      <c r="M85" s="145">
        <f>SUM(K85:L85)</f>
        <v>192</v>
      </c>
      <c r="N85" s="140" t="s">
        <v>330</v>
      </c>
      <c r="O85" s="140" t="s">
        <v>273</v>
      </c>
      <c r="P85" s="140" t="s">
        <v>274</v>
      </c>
      <c r="Q85" s="140" t="s">
        <v>229</v>
      </c>
      <c r="R85" s="5"/>
      <c r="S85" s="5"/>
      <c r="T85" s="93"/>
    </row>
    <row r="86" spans="1:20" s="80" customFormat="1" ht="49.5">
      <c r="A86" s="80" t="str">
        <f>_xlfn.XLOOKUP(B86,'Paso 3 Redacción RA'!I$3:I$18,'Paso 3 Redacción RA'!C$3:C$18,,0,1)</f>
        <v>Saber</v>
      </c>
      <c r="B86" s="65" t="s">
        <v>107</v>
      </c>
      <c r="C86" s="121"/>
      <c r="D86" s="121"/>
      <c r="E86" s="123"/>
      <c r="F86" s="146"/>
      <c r="G86" s="146"/>
      <c r="H86" s="146"/>
      <c r="I86" s="146"/>
      <c r="J86" s="146"/>
      <c r="K86" s="146"/>
      <c r="L86" s="146"/>
      <c r="M86" s="146"/>
      <c r="N86" s="118"/>
      <c r="O86" s="118"/>
      <c r="P86" s="118"/>
      <c r="Q86" s="118"/>
      <c r="R86" s="5"/>
      <c r="S86" s="5"/>
      <c r="T86" s="93"/>
    </row>
    <row r="87" spans="1:20" s="80" customFormat="1" ht="49.5">
      <c r="A87" s="80" t="str">
        <f>_xlfn.XLOOKUP(B87,'Paso 3 Redacción RA'!I$3:I$18,'Paso 3 Redacción RA'!C$3:C$18,,0,1)</f>
        <v>SaberHacer</v>
      </c>
      <c r="B87" s="65" t="s">
        <v>109</v>
      </c>
      <c r="C87" s="121"/>
      <c r="D87" s="121"/>
      <c r="E87" s="123"/>
      <c r="F87" s="146"/>
      <c r="G87" s="146"/>
      <c r="H87" s="146"/>
      <c r="I87" s="146"/>
      <c r="J87" s="146"/>
      <c r="K87" s="146"/>
      <c r="L87" s="146"/>
      <c r="M87" s="146"/>
      <c r="N87" s="118"/>
      <c r="O87" s="118"/>
      <c r="P87" s="118"/>
      <c r="Q87" s="118"/>
      <c r="R87" s="5"/>
      <c r="S87" s="5"/>
      <c r="T87" s="93"/>
    </row>
    <row r="88" spans="1:20" s="80" customFormat="1" ht="49.5">
      <c r="A88" s="80" t="str">
        <f>_xlfn.XLOOKUP(B88,'Paso 3 Redacción RA'!I$3:I$18,'Paso 3 Redacción RA'!C$3:C$18,,0,1)</f>
        <v>Saber</v>
      </c>
      <c r="B88" s="65" t="s">
        <v>112</v>
      </c>
      <c r="C88" s="121"/>
      <c r="D88" s="121"/>
      <c r="E88" s="123"/>
      <c r="F88" s="146"/>
      <c r="G88" s="146"/>
      <c r="H88" s="146"/>
      <c r="I88" s="146"/>
      <c r="J88" s="146"/>
      <c r="K88" s="146"/>
      <c r="L88" s="146"/>
      <c r="M88" s="146"/>
      <c r="N88" s="118"/>
      <c r="O88" s="118"/>
      <c r="P88" s="118"/>
      <c r="Q88" s="118"/>
      <c r="R88" s="5"/>
      <c r="S88" s="5"/>
      <c r="T88" s="93"/>
    </row>
    <row r="89" spans="1:20" s="80" customFormat="1" ht="49.5">
      <c r="A89" s="81" t="str">
        <f>_xlfn.XLOOKUP(B89,'Paso 3 Redacción RA'!I$3:I$18,'Paso 3 Redacción RA'!C$3:C$18,,0,1)</f>
        <v>SaberHacer</v>
      </c>
      <c r="B89" s="78" t="s">
        <v>114</v>
      </c>
      <c r="C89" s="132"/>
      <c r="D89" s="132"/>
      <c r="E89" s="130"/>
      <c r="F89" s="147"/>
      <c r="G89" s="147"/>
      <c r="H89" s="147"/>
      <c r="I89" s="147"/>
      <c r="J89" s="147"/>
      <c r="K89" s="147"/>
      <c r="L89" s="147"/>
      <c r="M89" s="147"/>
      <c r="N89" s="141"/>
      <c r="O89" s="141"/>
      <c r="P89" s="141"/>
      <c r="Q89" s="141"/>
      <c r="S89" s="5"/>
      <c r="T89" s="93"/>
    </row>
    <row r="90" spans="1:20" s="80" customFormat="1" ht="49.5">
      <c r="A90" s="92" t="str">
        <f>_xlfn.XLOOKUP(B90,'Paso 3 Redacción RA'!I$3:I$18,'Paso 3 Redacción RA'!C$3:C$18,,0,1)</f>
        <v>Saber</v>
      </c>
      <c r="B90" s="82" t="s">
        <v>98</v>
      </c>
      <c r="C90" s="131">
        <v>5</v>
      </c>
      <c r="D90" s="131" t="s">
        <v>331</v>
      </c>
      <c r="E90" s="129" t="s">
        <v>332</v>
      </c>
      <c r="F90" s="145" t="s">
        <v>218</v>
      </c>
      <c r="G90" s="145"/>
      <c r="H90" s="145" t="s">
        <v>219</v>
      </c>
      <c r="I90" s="145"/>
      <c r="J90" s="145">
        <v>3</v>
      </c>
      <c r="K90" s="145">
        <f>16*J90</f>
        <v>48</v>
      </c>
      <c r="L90" s="145">
        <f>32*J90</f>
        <v>96</v>
      </c>
      <c r="M90" s="145">
        <f>SUM(K90:L90)</f>
        <v>144</v>
      </c>
      <c r="N90" s="140" t="s">
        <v>333</v>
      </c>
      <c r="O90" s="140" t="s">
        <v>273</v>
      </c>
      <c r="P90" s="140" t="s">
        <v>274</v>
      </c>
      <c r="Q90" s="140" t="s">
        <v>229</v>
      </c>
      <c r="R90" s="5"/>
      <c r="S90" s="5"/>
      <c r="T90" s="93"/>
    </row>
    <row r="91" spans="1:20" s="80" customFormat="1" ht="49.5">
      <c r="A91" s="80" t="str">
        <f>_xlfn.XLOOKUP(B91,'Paso 3 Redacción RA'!I$3:I$18,'Paso 3 Redacción RA'!C$3:C$18,,0,1)</f>
        <v>SaberHacer</v>
      </c>
      <c r="B91" s="65" t="s">
        <v>102</v>
      </c>
      <c r="C91" s="121"/>
      <c r="D91" s="121"/>
      <c r="E91" s="123"/>
      <c r="F91" s="146"/>
      <c r="G91" s="146"/>
      <c r="H91" s="146"/>
      <c r="I91" s="146"/>
      <c r="J91" s="146"/>
      <c r="K91" s="146"/>
      <c r="L91" s="146"/>
      <c r="M91" s="146"/>
      <c r="N91" s="118"/>
      <c r="O91" s="118"/>
      <c r="P91" s="118"/>
      <c r="Q91" s="118"/>
      <c r="R91" s="5"/>
      <c r="S91" s="5"/>
      <c r="T91" s="93"/>
    </row>
    <row r="92" spans="1:20" s="80" customFormat="1" ht="49.5">
      <c r="A92" s="80" t="str">
        <f>_xlfn.XLOOKUP(B92,'Paso 3 Redacción RA'!I$3:I$18,'Paso 3 Redacción RA'!C$3:C$18,,0,1)</f>
        <v>Saber</v>
      </c>
      <c r="B92" s="65" t="s">
        <v>107</v>
      </c>
      <c r="C92" s="121"/>
      <c r="D92" s="121"/>
      <c r="E92" s="123"/>
      <c r="F92" s="146"/>
      <c r="G92" s="146"/>
      <c r="H92" s="146"/>
      <c r="I92" s="146"/>
      <c r="J92" s="146"/>
      <c r="K92" s="146"/>
      <c r="L92" s="146"/>
      <c r="M92" s="146"/>
      <c r="N92" s="118"/>
      <c r="O92" s="118"/>
      <c r="P92" s="118"/>
      <c r="Q92" s="118"/>
      <c r="R92" s="5"/>
      <c r="S92" s="5"/>
      <c r="T92" s="93"/>
    </row>
    <row r="93" spans="1:20" s="80" customFormat="1" ht="49.5">
      <c r="A93" s="80" t="str">
        <f>_xlfn.XLOOKUP(B93,'Paso 3 Redacción RA'!I$3:I$18,'Paso 3 Redacción RA'!C$3:C$18,,0,1)</f>
        <v>Saber</v>
      </c>
      <c r="B93" s="65" t="s">
        <v>112</v>
      </c>
      <c r="C93" s="121"/>
      <c r="D93" s="121"/>
      <c r="E93" s="123"/>
      <c r="F93" s="146"/>
      <c r="G93" s="146"/>
      <c r="H93" s="146"/>
      <c r="I93" s="146"/>
      <c r="J93" s="146"/>
      <c r="K93" s="146"/>
      <c r="L93" s="146"/>
      <c r="M93" s="146"/>
      <c r="N93" s="118"/>
      <c r="O93" s="118"/>
      <c r="P93" s="118"/>
      <c r="Q93" s="118"/>
      <c r="R93" s="5"/>
      <c r="S93" s="5"/>
      <c r="T93" s="93"/>
    </row>
    <row r="94" spans="1:20" s="80" customFormat="1" ht="49.5">
      <c r="A94" s="81" t="str">
        <f>_xlfn.XLOOKUP(B94,'Paso 3 Redacción RA'!I$3:I$18,'Paso 3 Redacción RA'!C$3:C$18,,0,1)</f>
        <v>SaberHacer</v>
      </c>
      <c r="B94" s="78" t="s">
        <v>114</v>
      </c>
      <c r="C94" s="132"/>
      <c r="D94" s="132"/>
      <c r="E94" s="130"/>
      <c r="F94" s="147"/>
      <c r="G94" s="147"/>
      <c r="H94" s="147"/>
      <c r="I94" s="147"/>
      <c r="J94" s="147"/>
      <c r="K94" s="147"/>
      <c r="L94" s="147"/>
      <c r="M94" s="147"/>
      <c r="N94" s="141"/>
      <c r="O94" s="141"/>
      <c r="P94" s="141"/>
      <c r="Q94" s="141"/>
      <c r="R94" s="5">
        <f>SUM(J72:J90)</f>
        <v>18</v>
      </c>
      <c r="S94" s="5">
        <f>COUNTA(D72:D94)</f>
        <v>5</v>
      </c>
      <c r="T94" s="93"/>
    </row>
    <row r="95" spans="1:20" s="80" customFormat="1" ht="66">
      <c r="A95" s="92" t="str">
        <f>_xlfn.XLOOKUP(B95,'Paso 3 Redacción RA'!I$3:I$18,'Paso 3 Redacción RA'!C$3:C$18,,0,1)</f>
        <v>SaberSer</v>
      </c>
      <c r="B95" s="82" t="s">
        <v>106</v>
      </c>
      <c r="C95" s="131">
        <v>6</v>
      </c>
      <c r="D95" s="131" t="s">
        <v>334</v>
      </c>
      <c r="E95" s="129" t="s">
        <v>335</v>
      </c>
      <c r="F95" s="145" t="s">
        <v>218</v>
      </c>
      <c r="G95" s="145"/>
      <c r="H95" s="145" t="s">
        <v>219</v>
      </c>
      <c r="I95" s="145"/>
      <c r="J95" s="145">
        <v>3</v>
      </c>
      <c r="K95" s="145">
        <f>16*J95</f>
        <v>48</v>
      </c>
      <c r="L95" s="145">
        <f>32*J95</f>
        <v>96</v>
      </c>
      <c r="M95" s="145">
        <f>SUM(K95:L95)</f>
        <v>144</v>
      </c>
      <c r="N95" s="140" t="s">
        <v>336</v>
      </c>
      <c r="O95" s="140" t="s">
        <v>337</v>
      </c>
      <c r="P95" s="140" t="s">
        <v>338</v>
      </c>
      <c r="Q95" s="140" t="s">
        <v>229</v>
      </c>
      <c r="R95" s="5"/>
      <c r="S95" s="5"/>
      <c r="T95" s="93"/>
    </row>
    <row r="96" spans="1:20" s="80" customFormat="1" ht="49.5">
      <c r="A96" s="80" t="str">
        <f>_xlfn.XLOOKUP(B96,'Paso 3 Redacción RA'!I$3:I$18,'Paso 3 Redacción RA'!C$3:C$18,,0,1)</f>
        <v>Saber</v>
      </c>
      <c r="B96" s="65" t="s">
        <v>115</v>
      </c>
      <c r="C96" s="121"/>
      <c r="D96" s="121"/>
      <c r="E96" s="123"/>
      <c r="F96" s="146"/>
      <c r="G96" s="146"/>
      <c r="H96" s="146"/>
      <c r="I96" s="146"/>
      <c r="J96" s="146"/>
      <c r="K96" s="146"/>
      <c r="L96" s="146"/>
      <c r="M96" s="146"/>
      <c r="N96" s="118"/>
      <c r="O96" s="118"/>
      <c r="P96" s="118"/>
      <c r="Q96" s="118"/>
      <c r="R96" s="5"/>
      <c r="S96" s="5"/>
      <c r="T96" s="93"/>
    </row>
    <row r="97" spans="1:20" s="80" customFormat="1" ht="49.5">
      <c r="A97" s="80" t="str">
        <f>_xlfn.XLOOKUP(B97,'Paso 3 Redacción RA'!I$3:I$18,'Paso 3 Redacción RA'!C$3:C$18,,0,1)</f>
        <v>SaberHacer</v>
      </c>
      <c r="B97" s="65" t="s">
        <v>109</v>
      </c>
      <c r="C97" s="121"/>
      <c r="D97" s="121"/>
      <c r="E97" s="123"/>
      <c r="F97" s="146"/>
      <c r="G97" s="146"/>
      <c r="H97" s="146"/>
      <c r="I97" s="146"/>
      <c r="J97" s="146"/>
      <c r="K97" s="146"/>
      <c r="L97" s="146"/>
      <c r="M97" s="146"/>
      <c r="N97" s="118"/>
      <c r="O97" s="118"/>
      <c r="P97" s="118"/>
      <c r="Q97" s="118"/>
      <c r="R97" s="5"/>
      <c r="S97" s="5"/>
      <c r="T97" s="93"/>
    </row>
    <row r="98" spans="1:20" s="80" customFormat="1" ht="49.5">
      <c r="A98" s="81" t="str">
        <f>_xlfn.XLOOKUP(B98,'Paso 3 Redacción RA'!I$3:I$18,'Paso 3 Redacción RA'!C$3:C$18,,0,1)</f>
        <v>SaberHacer</v>
      </c>
      <c r="B98" s="78" t="s">
        <v>114</v>
      </c>
      <c r="C98" s="132"/>
      <c r="D98" s="132"/>
      <c r="E98" s="130"/>
      <c r="F98" s="147"/>
      <c r="G98" s="147"/>
      <c r="H98" s="147"/>
      <c r="I98" s="147"/>
      <c r="J98" s="147"/>
      <c r="K98" s="147"/>
      <c r="L98" s="147"/>
      <c r="M98" s="147"/>
      <c r="N98" s="141"/>
      <c r="O98" s="141"/>
      <c r="P98" s="141"/>
      <c r="Q98" s="141"/>
      <c r="R98" s="5"/>
      <c r="S98" s="5"/>
      <c r="T98" s="93"/>
    </row>
    <row r="99" spans="1:20" s="80" customFormat="1" ht="49.5">
      <c r="A99" s="92" t="str">
        <f>_xlfn.XLOOKUP(B99,'Paso 3 Redacción RA'!I$3:I$18,'Paso 3 Redacción RA'!C$3:C$18,,0,1)</f>
        <v>SaberHacer</v>
      </c>
      <c r="B99" s="82" t="s">
        <v>102</v>
      </c>
      <c r="C99" s="131">
        <v>6</v>
      </c>
      <c r="D99" s="131" t="s">
        <v>339</v>
      </c>
      <c r="E99" s="129" t="s">
        <v>340</v>
      </c>
      <c r="F99" s="145" t="s">
        <v>218</v>
      </c>
      <c r="G99" s="145"/>
      <c r="H99" s="145" t="s">
        <v>219</v>
      </c>
      <c r="I99" s="145"/>
      <c r="J99" s="145">
        <v>4</v>
      </c>
      <c r="K99" s="145">
        <f>16*J99</f>
        <v>64</v>
      </c>
      <c r="L99" s="145">
        <f>32*J99</f>
        <v>128</v>
      </c>
      <c r="M99" s="145">
        <f>SUM(K99:L99)</f>
        <v>192</v>
      </c>
      <c r="N99" s="140" t="s">
        <v>341</v>
      </c>
      <c r="O99" s="140" t="s">
        <v>273</v>
      </c>
      <c r="P99" s="140" t="s">
        <v>274</v>
      </c>
      <c r="Q99" s="140" t="s">
        <v>229</v>
      </c>
      <c r="R99" s="5"/>
      <c r="S99" s="5"/>
      <c r="T99" s="93"/>
    </row>
    <row r="100" spans="1:20" s="80" customFormat="1" ht="66">
      <c r="A100" s="80" t="str">
        <f>_xlfn.XLOOKUP(B100,'Paso 3 Redacción RA'!I$3:I$18,'Paso 3 Redacción RA'!C$3:C$18,,0,1)</f>
        <v>SaberSer</v>
      </c>
      <c r="B100" s="65" t="s">
        <v>106</v>
      </c>
      <c r="C100" s="121"/>
      <c r="D100" s="121"/>
      <c r="E100" s="123"/>
      <c r="F100" s="146"/>
      <c r="G100" s="146"/>
      <c r="H100" s="146"/>
      <c r="I100" s="146"/>
      <c r="J100" s="146"/>
      <c r="K100" s="146"/>
      <c r="L100" s="146"/>
      <c r="M100" s="146"/>
      <c r="N100" s="118"/>
      <c r="O100" s="118"/>
      <c r="P100" s="118"/>
      <c r="Q100" s="118"/>
      <c r="R100" s="5"/>
      <c r="S100" s="5"/>
      <c r="T100" s="93"/>
    </row>
    <row r="101" spans="1:20" s="80" customFormat="1" ht="49.5">
      <c r="A101" s="80" t="str">
        <f>_xlfn.XLOOKUP(B101,'Paso 3 Redacción RA'!I$3:I$18,'Paso 3 Redacción RA'!C$3:C$18,,0,1)</f>
        <v>Saber</v>
      </c>
      <c r="B101" s="65" t="s">
        <v>115</v>
      </c>
      <c r="C101" s="121"/>
      <c r="D101" s="121"/>
      <c r="E101" s="123"/>
      <c r="F101" s="146"/>
      <c r="G101" s="146"/>
      <c r="H101" s="146"/>
      <c r="I101" s="146"/>
      <c r="J101" s="146"/>
      <c r="K101" s="146"/>
      <c r="L101" s="146"/>
      <c r="M101" s="146"/>
      <c r="N101" s="118"/>
      <c r="O101" s="118"/>
      <c r="P101" s="118"/>
      <c r="Q101" s="118"/>
      <c r="R101" s="5"/>
      <c r="S101" s="5"/>
      <c r="T101" s="93"/>
    </row>
    <row r="102" spans="1:20" s="80" customFormat="1" ht="49.5">
      <c r="A102" s="80" t="str">
        <f>_xlfn.XLOOKUP(B102,'Paso 3 Redacción RA'!I$3:I$18,'Paso 3 Redacción RA'!C$3:C$18,,0,1)</f>
        <v>SaberHacer</v>
      </c>
      <c r="B102" s="65" t="s">
        <v>109</v>
      </c>
      <c r="C102" s="121"/>
      <c r="D102" s="121"/>
      <c r="E102" s="123"/>
      <c r="F102" s="146"/>
      <c r="G102" s="146"/>
      <c r="H102" s="146"/>
      <c r="I102" s="146"/>
      <c r="J102" s="146"/>
      <c r="K102" s="146"/>
      <c r="L102" s="146"/>
      <c r="M102" s="146"/>
      <c r="N102" s="118"/>
      <c r="O102" s="118"/>
      <c r="P102" s="118"/>
      <c r="Q102" s="118"/>
      <c r="R102" s="5"/>
      <c r="S102" s="5"/>
      <c r="T102" s="93"/>
    </row>
    <row r="103" spans="1:20" s="80" customFormat="1" ht="49.5">
      <c r="A103" s="81" t="str">
        <f>_xlfn.XLOOKUP(B103,'Paso 3 Redacción RA'!I$3:I$18,'Paso 3 Redacción RA'!C$3:C$18,,0,1)</f>
        <v>SaberHacer</v>
      </c>
      <c r="B103" s="78" t="s">
        <v>114</v>
      </c>
      <c r="C103" s="132"/>
      <c r="D103" s="132"/>
      <c r="E103" s="130"/>
      <c r="F103" s="147"/>
      <c r="G103" s="147"/>
      <c r="H103" s="147"/>
      <c r="I103" s="147"/>
      <c r="J103" s="147"/>
      <c r="K103" s="147"/>
      <c r="L103" s="147"/>
      <c r="M103" s="147"/>
      <c r="N103" s="141"/>
      <c r="O103" s="141"/>
      <c r="P103" s="141"/>
      <c r="Q103" s="141"/>
      <c r="R103" s="5"/>
      <c r="S103" s="5"/>
      <c r="T103" s="93"/>
    </row>
    <row r="104" spans="1:20" s="80" customFormat="1" ht="66">
      <c r="A104" s="92" t="str">
        <f>_xlfn.XLOOKUP(B104,'Paso 3 Redacción RA'!I$3:I$18,'Paso 3 Redacción RA'!C$3:C$18,,0,1)</f>
        <v>SaberSer</v>
      </c>
      <c r="B104" s="82" t="s">
        <v>106</v>
      </c>
      <c r="C104" s="131">
        <v>6</v>
      </c>
      <c r="D104" s="131" t="s">
        <v>342</v>
      </c>
      <c r="E104" s="129" t="s">
        <v>343</v>
      </c>
      <c r="F104" s="145" t="s">
        <v>218</v>
      </c>
      <c r="G104" s="145"/>
      <c r="H104" s="145" t="s">
        <v>219</v>
      </c>
      <c r="I104" s="145"/>
      <c r="J104" s="145">
        <v>4</v>
      </c>
      <c r="K104" s="145">
        <f>16*J104</f>
        <v>64</v>
      </c>
      <c r="L104" s="145">
        <f>32*J104</f>
        <v>128</v>
      </c>
      <c r="M104" s="145">
        <f>SUM(K104:L104)</f>
        <v>192</v>
      </c>
      <c r="N104" s="140" t="s">
        <v>344</v>
      </c>
      <c r="O104" s="140" t="s">
        <v>273</v>
      </c>
      <c r="P104" s="140" t="s">
        <v>274</v>
      </c>
      <c r="Q104" s="140" t="s">
        <v>229</v>
      </c>
      <c r="R104" s="5"/>
      <c r="S104" s="5"/>
      <c r="T104" s="93"/>
    </row>
    <row r="105" spans="1:20" s="80" customFormat="1" ht="49.5">
      <c r="A105" s="80" t="str">
        <f>_xlfn.XLOOKUP(B105,'Paso 3 Redacción RA'!I$3:I$18,'Paso 3 Redacción RA'!C$3:C$18,,0,1)</f>
        <v>Saber</v>
      </c>
      <c r="B105" s="65" t="s">
        <v>115</v>
      </c>
      <c r="C105" s="121"/>
      <c r="D105" s="121"/>
      <c r="E105" s="123"/>
      <c r="F105" s="146"/>
      <c r="G105" s="146"/>
      <c r="H105" s="146"/>
      <c r="I105" s="146"/>
      <c r="J105" s="146"/>
      <c r="K105" s="146"/>
      <c r="L105" s="146"/>
      <c r="M105" s="146"/>
      <c r="N105" s="118"/>
      <c r="O105" s="118"/>
      <c r="P105" s="118"/>
      <c r="Q105" s="118"/>
      <c r="R105" s="5"/>
      <c r="S105" s="5"/>
      <c r="T105" s="93"/>
    </row>
    <row r="106" spans="1:20" s="80" customFormat="1" ht="49.5">
      <c r="A106" s="80" t="str">
        <f>_xlfn.XLOOKUP(B106,'Paso 3 Redacción RA'!I$3:I$18,'Paso 3 Redacción RA'!C$3:C$18,,0,1)</f>
        <v>SaberHacer</v>
      </c>
      <c r="B106" s="65" t="s">
        <v>109</v>
      </c>
      <c r="C106" s="121"/>
      <c r="D106" s="121"/>
      <c r="E106" s="123"/>
      <c r="F106" s="146"/>
      <c r="G106" s="146"/>
      <c r="H106" s="146"/>
      <c r="I106" s="146"/>
      <c r="J106" s="146"/>
      <c r="K106" s="146"/>
      <c r="L106" s="146"/>
      <c r="M106" s="146"/>
      <c r="N106" s="118"/>
      <c r="O106" s="118"/>
      <c r="P106" s="118"/>
      <c r="Q106" s="118"/>
      <c r="R106" s="5"/>
      <c r="S106" s="5"/>
      <c r="T106" s="93"/>
    </row>
    <row r="107" spans="1:20" s="80" customFormat="1" ht="49.5">
      <c r="A107" s="80" t="str">
        <f>_xlfn.XLOOKUP(B107,'Paso 3 Redacción RA'!I$3:I$18,'Paso 3 Redacción RA'!C$3:C$18,,0,1)</f>
        <v>Saber</v>
      </c>
      <c r="B107" s="65" t="s">
        <v>112</v>
      </c>
      <c r="C107" s="121"/>
      <c r="D107" s="121"/>
      <c r="E107" s="123"/>
      <c r="F107" s="146"/>
      <c r="G107" s="146"/>
      <c r="H107" s="146"/>
      <c r="I107" s="146"/>
      <c r="J107" s="146"/>
      <c r="K107" s="146"/>
      <c r="L107" s="146"/>
      <c r="M107" s="146"/>
      <c r="N107" s="118"/>
      <c r="O107" s="118"/>
      <c r="P107" s="118"/>
      <c r="Q107" s="118"/>
      <c r="R107" s="5"/>
      <c r="S107" s="5"/>
      <c r="T107" s="93"/>
    </row>
    <row r="108" spans="1:20" s="80" customFormat="1" ht="49.5">
      <c r="A108" s="81" t="str">
        <f>_xlfn.XLOOKUP(B108,'Paso 3 Redacción RA'!I$3:I$18,'Paso 3 Redacción RA'!C$3:C$18,,0,1)</f>
        <v>SaberHacer</v>
      </c>
      <c r="B108" s="78" t="s">
        <v>114</v>
      </c>
      <c r="C108" s="132"/>
      <c r="D108" s="132"/>
      <c r="E108" s="130"/>
      <c r="F108" s="147"/>
      <c r="G108" s="147"/>
      <c r="H108" s="147"/>
      <c r="I108" s="147"/>
      <c r="J108" s="147"/>
      <c r="K108" s="147"/>
      <c r="L108" s="147"/>
      <c r="M108" s="147"/>
      <c r="N108" s="141"/>
      <c r="O108" s="141"/>
      <c r="P108" s="141"/>
      <c r="Q108" s="141"/>
      <c r="R108" s="5"/>
      <c r="S108" s="5"/>
      <c r="T108" s="93"/>
    </row>
    <row r="109" spans="1:20" s="80" customFormat="1" ht="66">
      <c r="A109" s="92" t="str">
        <f>_xlfn.XLOOKUP(B109,'Paso 3 Redacción RA'!I$3:I$18,'Paso 3 Redacción RA'!C$3:C$18,,0,1)</f>
        <v>SaberSer</v>
      </c>
      <c r="B109" s="82" t="s">
        <v>106</v>
      </c>
      <c r="C109" s="131">
        <v>6</v>
      </c>
      <c r="D109" s="131" t="s">
        <v>345</v>
      </c>
      <c r="E109" s="129" t="s">
        <v>346</v>
      </c>
      <c r="F109" s="145" t="s">
        <v>218</v>
      </c>
      <c r="G109" s="145"/>
      <c r="H109" s="145" t="s">
        <v>219</v>
      </c>
      <c r="I109" s="145"/>
      <c r="J109" s="145">
        <v>4</v>
      </c>
      <c r="K109" s="145">
        <f>16*J109</f>
        <v>64</v>
      </c>
      <c r="L109" s="145">
        <f>32*J109</f>
        <v>128</v>
      </c>
      <c r="M109" s="145">
        <f>SUM(K109:L109)</f>
        <v>192</v>
      </c>
      <c r="N109" s="140" t="s">
        <v>347</v>
      </c>
      <c r="O109" s="140" t="s">
        <v>273</v>
      </c>
      <c r="P109" s="140" t="s">
        <v>274</v>
      </c>
      <c r="Q109" s="140" t="s">
        <v>229</v>
      </c>
      <c r="R109" s="5"/>
      <c r="S109" s="5"/>
      <c r="T109" s="93"/>
    </row>
    <row r="110" spans="1:20" s="80" customFormat="1" ht="49.5">
      <c r="A110" s="80" t="str">
        <f>_xlfn.XLOOKUP(B110,'Paso 3 Redacción RA'!I$3:I$18,'Paso 3 Redacción RA'!C$3:C$18,,0,1)</f>
        <v>Saber</v>
      </c>
      <c r="B110" s="65" t="s">
        <v>115</v>
      </c>
      <c r="C110" s="121"/>
      <c r="D110" s="121"/>
      <c r="E110" s="123"/>
      <c r="F110" s="146"/>
      <c r="G110" s="146"/>
      <c r="H110" s="146"/>
      <c r="I110" s="146"/>
      <c r="J110" s="146"/>
      <c r="K110" s="146"/>
      <c r="L110" s="146"/>
      <c r="M110" s="146"/>
      <c r="N110" s="118"/>
      <c r="O110" s="118"/>
      <c r="P110" s="118"/>
      <c r="Q110" s="118"/>
      <c r="R110" s="5"/>
      <c r="S110" s="5"/>
      <c r="T110" s="93"/>
    </row>
    <row r="111" spans="1:20" s="80" customFormat="1" ht="49.5">
      <c r="A111" s="80" t="str">
        <f>_xlfn.XLOOKUP(B111,'Paso 3 Redacción RA'!I$3:I$18,'Paso 3 Redacción RA'!C$3:C$18,,0,1)</f>
        <v>SaberHacer</v>
      </c>
      <c r="B111" s="65" t="s">
        <v>109</v>
      </c>
      <c r="C111" s="121"/>
      <c r="D111" s="121"/>
      <c r="E111" s="123"/>
      <c r="F111" s="146"/>
      <c r="G111" s="146"/>
      <c r="H111" s="146"/>
      <c r="I111" s="146"/>
      <c r="J111" s="146"/>
      <c r="K111" s="146"/>
      <c r="L111" s="146"/>
      <c r="M111" s="146"/>
      <c r="N111" s="118"/>
      <c r="O111" s="118"/>
      <c r="P111" s="118"/>
      <c r="Q111" s="118"/>
      <c r="R111" s="5"/>
      <c r="S111" s="5"/>
      <c r="T111" s="93"/>
    </row>
    <row r="112" spans="1:20" s="80" customFormat="1" ht="49.5">
      <c r="A112" s="80" t="str">
        <f>_xlfn.XLOOKUP(B112,'Paso 3 Redacción RA'!I$3:I$18,'Paso 3 Redacción RA'!C$3:C$18,,0,1)</f>
        <v>Saber</v>
      </c>
      <c r="B112" s="65" t="s">
        <v>112</v>
      </c>
      <c r="C112" s="121"/>
      <c r="D112" s="121"/>
      <c r="E112" s="123"/>
      <c r="F112" s="146"/>
      <c r="G112" s="146"/>
      <c r="H112" s="146"/>
      <c r="I112" s="146"/>
      <c r="J112" s="146"/>
      <c r="K112" s="146"/>
      <c r="L112" s="146"/>
      <c r="M112" s="146"/>
      <c r="N112" s="118"/>
      <c r="O112" s="118"/>
      <c r="P112" s="118"/>
      <c r="Q112" s="118"/>
      <c r="R112" s="5"/>
      <c r="S112" s="5"/>
      <c r="T112" s="93"/>
    </row>
    <row r="113" spans="1:20" s="80" customFormat="1" ht="49.5">
      <c r="A113" s="81" t="str">
        <f>_xlfn.XLOOKUP(B113,'Paso 3 Redacción RA'!I$3:I$18,'Paso 3 Redacción RA'!C$3:C$18,,0,1)</f>
        <v>SaberHacer</v>
      </c>
      <c r="B113" s="78" t="s">
        <v>114</v>
      </c>
      <c r="C113" s="132"/>
      <c r="D113" s="132"/>
      <c r="E113" s="130"/>
      <c r="F113" s="147"/>
      <c r="G113" s="147"/>
      <c r="H113" s="147"/>
      <c r="I113" s="147"/>
      <c r="J113" s="147"/>
      <c r="K113" s="147"/>
      <c r="L113" s="147"/>
      <c r="M113" s="147"/>
      <c r="N113" s="141"/>
      <c r="O113" s="141"/>
      <c r="P113" s="141"/>
      <c r="Q113" s="141"/>
      <c r="R113" s="5"/>
      <c r="S113" s="5"/>
      <c r="T113" s="93"/>
    </row>
    <row r="114" spans="1:20" s="80" customFormat="1" ht="66">
      <c r="A114" s="92" t="str">
        <f>_xlfn.XLOOKUP(B114,'Paso 3 Redacción RA'!I$3:I$18,'Paso 3 Redacción RA'!C$3:C$18,,0,1)</f>
        <v>SaberSer</v>
      </c>
      <c r="B114" s="82" t="s">
        <v>106</v>
      </c>
      <c r="C114" s="131">
        <v>6</v>
      </c>
      <c r="D114" s="131" t="s">
        <v>348</v>
      </c>
      <c r="E114" s="129" t="s">
        <v>349</v>
      </c>
      <c r="F114" s="145" t="s">
        <v>218</v>
      </c>
      <c r="G114" s="145"/>
      <c r="H114" s="145" t="s">
        <v>219</v>
      </c>
      <c r="I114" s="145"/>
      <c r="J114" s="145">
        <v>3</v>
      </c>
      <c r="K114" s="145">
        <f>16*J114</f>
        <v>48</v>
      </c>
      <c r="L114" s="145">
        <f>32*J114</f>
        <v>96</v>
      </c>
      <c r="M114" s="145">
        <f>SUM(K114:L114)</f>
        <v>144</v>
      </c>
      <c r="N114" s="140" t="s">
        <v>350</v>
      </c>
      <c r="O114" s="140" t="s">
        <v>273</v>
      </c>
      <c r="P114" s="140" t="s">
        <v>274</v>
      </c>
      <c r="Q114" s="140" t="s">
        <v>229</v>
      </c>
      <c r="R114" s="5"/>
      <c r="S114" s="5"/>
      <c r="T114" s="93"/>
    </row>
    <row r="115" spans="1:20" s="80" customFormat="1" ht="49.5">
      <c r="A115" s="80" t="str">
        <f>_xlfn.XLOOKUP(B115,'Paso 3 Redacción RA'!I$3:I$18,'Paso 3 Redacción RA'!C$3:C$18,,0,1)</f>
        <v>Saber</v>
      </c>
      <c r="B115" s="65" t="s">
        <v>115</v>
      </c>
      <c r="C115" s="121"/>
      <c r="D115" s="121"/>
      <c r="E115" s="123"/>
      <c r="F115" s="146"/>
      <c r="G115" s="146"/>
      <c r="H115" s="146"/>
      <c r="I115" s="146"/>
      <c r="J115" s="146"/>
      <c r="K115" s="146"/>
      <c r="L115" s="146"/>
      <c r="M115" s="146"/>
      <c r="N115" s="118"/>
      <c r="O115" s="118"/>
      <c r="P115" s="118"/>
      <c r="Q115" s="118"/>
      <c r="R115" s="5"/>
      <c r="S115" s="5"/>
      <c r="T115" s="93"/>
    </row>
    <row r="116" spans="1:20" s="80" customFormat="1" ht="49.5">
      <c r="A116" s="80" t="str">
        <f>_xlfn.XLOOKUP(B116,'Paso 3 Redacción RA'!I$3:I$18,'Paso 3 Redacción RA'!C$3:C$18,,0,1)</f>
        <v>Saber</v>
      </c>
      <c r="B116" s="65" t="s">
        <v>112</v>
      </c>
      <c r="C116" s="121"/>
      <c r="D116" s="121"/>
      <c r="E116" s="123"/>
      <c r="F116" s="146"/>
      <c r="G116" s="146"/>
      <c r="H116" s="146"/>
      <c r="I116" s="146"/>
      <c r="J116" s="146"/>
      <c r="K116" s="146"/>
      <c r="L116" s="146"/>
      <c r="M116" s="146"/>
      <c r="N116" s="118"/>
      <c r="O116" s="118"/>
      <c r="P116" s="118"/>
      <c r="Q116" s="118"/>
      <c r="R116" s="5"/>
      <c r="S116" s="5"/>
      <c r="T116" s="93"/>
    </row>
    <row r="117" spans="1:20" s="80" customFormat="1" ht="49.5">
      <c r="A117" s="81" t="str">
        <f>_xlfn.XLOOKUP(B117,'Paso 3 Redacción RA'!I$3:I$18,'Paso 3 Redacción RA'!C$3:C$18,,0,1)</f>
        <v>SaberHacer</v>
      </c>
      <c r="B117" s="78" t="s">
        <v>114</v>
      </c>
      <c r="C117" s="132"/>
      <c r="D117" s="132"/>
      <c r="E117" s="130"/>
      <c r="F117" s="147"/>
      <c r="G117" s="147"/>
      <c r="H117" s="147"/>
      <c r="I117" s="147"/>
      <c r="J117" s="147"/>
      <c r="K117" s="147"/>
      <c r="L117" s="147"/>
      <c r="M117" s="147"/>
      <c r="N117" s="141"/>
      <c r="O117" s="141"/>
      <c r="P117" s="141"/>
      <c r="Q117" s="141"/>
      <c r="R117" s="5">
        <f>SUM(J95:J117)</f>
        <v>18</v>
      </c>
      <c r="S117" s="5">
        <f>COUNTA(D95:D117)</f>
        <v>5</v>
      </c>
      <c r="T117" s="93"/>
    </row>
    <row r="118" spans="1:20" s="80" customFormat="1" ht="66">
      <c r="A118" s="92" t="str">
        <f>_xlfn.XLOOKUP(B118,'Paso 3 Redacción RA'!I$3:I$18,'Paso 3 Redacción RA'!C$3:C$18,,0,1)</f>
        <v>SaberSer</v>
      </c>
      <c r="B118" s="82" t="s">
        <v>106</v>
      </c>
      <c r="C118" s="131">
        <v>7</v>
      </c>
      <c r="D118" s="131" t="s">
        <v>351</v>
      </c>
      <c r="E118" s="129" t="s">
        <v>352</v>
      </c>
      <c r="F118" s="145" t="s">
        <v>218</v>
      </c>
      <c r="G118" s="145"/>
      <c r="H118" s="145" t="s">
        <v>219</v>
      </c>
      <c r="I118" s="145"/>
      <c r="J118" s="145">
        <v>4</v>
      </c>
      <c r="K118" s="145">
        <f>16*J118</f>
        <v>64</v>
      </c>
      <c r="L118" s="145">
        <f>32*J118</f>
        <v>128</v>
      </c>
      <c r="M118" s="145">
        <f>SUM(K118:L118)</f>
        <v>192</v>
      </c>
      <c r="N118" s="140" t="s">
        <v>353</v>
      </c>
      <c r="O118" s="140" t="s">
        <v>273</v>
      </c>
      <c r="P118" s="140" t="s">
        <v>274</v>
      </c>
      <c r="Q118" s="140" t="s">
        <v>229</v>
      </c>
      <c r="R118" s="5"/>
      <c r="S118" s="5"/>
      <c r="T118" s="93"/>
    </row>
    <row r="119" spans="1:20" s="80" customFormat="1" ht="49.5">
      <c r="A119" s="80" t="str">
        <f>_xlfn.XLOOKUP(B119,'Paso 3 Redacción RA'!I$3:I$18,'Paso 3 Redacción RA'!C$3:C$18,,0,1)</f>
        <v>Saber</v>
      </c>
      <c r="B119" s="65" t="s">
        <v>115</v>
      </c>
      <c r="C119" s="121"/>
      <c r="D119" s="121"/>
      <c r="E119" s="123"/>
      <c r="F119" s="146"/>
      <c r="G119" s="146"/>
      <c r="H119" s="146"/>
      <c r="I119" s="146"/>
      <c r="J119" s="146"/>
      <c r="K119" s="146"/>
      <c r="L119" s="146"/>
      <c r="M119" s="146"/>
      <c r="N119" s="118"/>
      <c r="O119" s="118"/>
      <c r="P119" s="118"/>
      <c r="Q119" s="118"/>
      <c r="R119" s="5"/>
      <c r="S119" s="5"/>
      <c r="T119" s="93"/>
    </row>
    <row r="120" spans="1:20" s="80" customFormat="1" ht="49.5">
      <c r="A120" s="80" t="str">
        <f>_xlfn.XLOOKUP(B120,'Paso 3 Redacción RA'!I$3:I$18,'Paso 3 Redacción RA'!C$3:C$18,,0,1)</f>
        <v>SaberHacer</v>
      </c>
      <c r="B120" s="65" t="s">
        <v>109</v>
      </c>
      <c r="C120" s="121"/>
      <c r="D120" s="121"/>
      <c r="E120" s="123"/>
      <c r="F120" s="146"/>
      <c r="G120" s="146"/>
      <c r="H120" s="146"/>
      <c r="I120" s="146"/>
      <c r="J120" s="146"/>
      <c r="K120" s="146"/>
      <c r="L120" s="146"/>
      <c r="M120" s="146"/>
      <c r="N120" s="118"/>
      <c r="O120" s="118"/>
      <c r="P120" s="118"/>
      <c r="Q120" s="118"/>
      <c r="R120" s="5"/>
      <c r="S120" s="5"/>
      <c r="T120" s="93"/>
    </row>
    <row r="121" spans="1:20" s="80" customFormat="1" ht="49.5">
      <c r="A121" s="80" t="str">
        <f>_xlfn.XLOOKUP(B121,'Paso 3 Redacción RA'!I$3:I$18,'Paso 3 Redacción RA'!C$3:C$18,,0,1)</f>
        <v>Saber</v>
      </c>
      <c r="B121" s="65" t="s">
        <v>112</v>
      </c>
      <c r="C121" s="121"/>
      <c r="D121" s="121"/>
      <c r="E121" s="123"/>
      <c r="F121" s="146"/>
      <c r="G121" s="146"/>
      <c r="H121" s="146"/>
      <c r="I121" s="146"/>
      <c r="J121" s="146"/>
      <c r="K121" s="146"/>
      <c r="L121" s="146"/>
      <c r="M121" s="146"/>
      <c r="N121" s="118"/>
      <c r="O121" s="118"/>
      <c r="P121" s="118"/>
      <c r="Q121" s="118"/>
      <c r="R121" s="5"/>
      <c r="S121" s="5"/>
      <c r="T121" s="93"/>
    </row>
    <row r="122" spans="1:20" s="80" customFormat="1" ht="49.5">
      <c r="A122" s="81" t="str">
        <f>_xlfn.XLOOKUP(B122,'Paso 3 Redacción RA'!I$3:I$18,'Paso 3 Redacción RA'!C$3:C$18,,0,1)</f>
        <v>SaberHacer</v>
      </c>
      <c r="B122" s="78" t="s">
        <v>114</v>
      </c>
      <c r="C122" s="132"/>
      <c r="D122" s="132"/>
      <c r="E122" s="130"/>
      <c r="F122" s="147"/>
      <c r="G122" s="147"/>
      <c r="H122" s="147"/>
      <c r="I122" s="147"/>
      <c r="J122" s="147"/>
      <c r="K122" s="147"/>
      <c r="L122" s="147"/>
      <c r="M122" s="147"/>
      <c r="N122" s="141"/>
      <c r="O122" s="141"/>
      <c r="P122" s="141"/>
      <c r="Q122" s="141"/>
      <c r="S122" s="5"/>
      <c r="T122" s="93"/>
    </row>
    <row r="123" spans="1:20" s="80" customFormat="1" ht="66">
      <c r="A123" s="92" t="str">
        <f>_xlfn.XLOOKUP(B123,'Paso 3 Redacción RA'!I$3:I$18,'Paso 3 Redacción RA'!C$3:C$18,,0,1)</f>
        <v>SaberSer</v>
      </c>
      <c r="B123" s="82" t="s">
        <v>106</v>
      </c>
      <c r="C123" s="131">
        <v>7</v>
      </c>
      <c r="D123" s="131" t="s">
        <v>354</v>
      </c>
      <c r="E123" s="129" t="s">
        <v>355</v>
      </c>
      <c r="F123" s="145" t="s">
        <v>218</v>
      </c>
      <c r="G123" s="145"/>
      <c r="H123" s="145" t="s">
        <v>219</v>
      </c>
      <c r="I123" s="145"/>
      <c r="J123" s="145">
        <v>3</v>
      </c>
      <c r="K123" s="145">
        <f>16*J123</f>
        <v>48</v>
      </c>
      <c r="L123" s="145">
        <f>32*J123</f>
        <v>96</v>
      </c>
      <c r="M123" s="145">
        <f>SUM(K123:L123)</f>
        <v>144</v>
      </c>
      <c r="N123" s="140" t="s">
        <v>356</v>
      </c>
      <c r="O123" s="140" t="s">
        <v>273</v>
      </c>
      <c r="P123" s="140" t="s">
        <v>274</v>
      </c>
      <c r="Q123" s="140" t="s">
        <v>229</v>
      </c>
      <c r="R123" s="5"/>
      <c r="S123" s="5"/>
      <c r="T123" s="93"/>
    </row>
    <row r="124" spans="1:20" s="80" customFormat="1" ht="49.5">
      <c r="A124" s="80" t="str">
        <f>_xlfn.XLOOKUP(B124,'Paso 3 Redacción RA'!I$3:I$18,'Paso 3 Redacción RA'!C$3:C$18,,0,1)</f>
        <v>Saber</v>
      </c>
      <c r="B124" s="65" t="s">
        <v>115</v>
      </c>
      <c r="C124" s="121"/>
      <c r="D124" s="121"/>
      <c r="E124" s="123"/>
      <c r="F124" s="146"/>
      <c r="G124" s="146"/>
      <c r="H124" s="146"/>
      <c r="I124" s="146"/>
      <c r="J124" s="146"/>
      <c r="K124" s="146"/>
      <c r="L124" s="146"/>
      <c r="M124" s="146"/>
      <c r="N124" s="118"/>
      <c r="O124" s="118"/>
      <c r="P124" s="118"/>
      <c r="Q124" s="118"/>
      <c r="R124" s="5"/>
      <c r="S124" s="5"/>
      <c r="T124" s="93"/>
    </row>
    <row r="125" spans="1:20" s="80" customFormat="1" ht="49.5">
      <c r="A125" s="80" t="str">
        <f>_xlfn.XLOOKUP(B125,'Paso 3 Redacción RA'!I$3:I$18,'Paso 3 Redacción RA'!C$3:C$18,,0,1)</f>
        <v>SaberHacer</v>
      </c>
      <c r="B125" s="65" t="s">
        <v>109</v>
      </c>
      <c r="C125" s="121"/>
      <c r="D125" s="121"/>
      <c r="E125" s="123"/>
      <c r="F125" s="146"/>
      <c r="G125" s="146"/>
      <c r="H125" s="146"/>
      <c r="I125" s="146"/>
      <c r="J125" s="146"/>
      <c r="K125" s="146"/>
      <c r="L125" s="146"/>
      <c r="M125" s="146"/>
      <c r="N125" s="118"/>
      <c r="O125" s="118"/>
      <c r="P125" s="118"/>
      <c r="Q125" s="118"/>
      <c r="R125" s="5"/>
      <c r="S125" s="5"/>
      <c r="T125" s="93"/>
    </row>
    <row r="126" spans="1:20" s="80" customFormat="1" ht="49.5">
      <c r="A126" s="81" t="str">
        <f>_xlfn.XLOOKUP(B126,'Paso 3 Redacción RA'!I$3:I$18,'Paso 3 Redacción RA'!C$3:C$18,,0,1)</f>
        <v>SaberHacer</v>
      </c>
      <c r="B126" s="78" t="s">
        <v>114</v>
      </c>
      <c r="C126" s="132"/>
      <c r="D126" s="132"/>
      <c r="E126" s="130"/>
      <c r="F126" s="147"/>
      <c r="G126" s="147"/>
      <c r="H126" s="147"/>
      <c r="I126" s="147"/>
      <c r="J126" s="147"/>
      <c r="K126" s="147"/>
      <c r="L126" s="147"/>
      <c r="M126" s="147"/>
      <c r="N126" s="141"/>
      <c r="O126" s="141"/>
      <c r="P126" s="141"/>
      <c r="Q126" s="141"/>
      <c r="R126" s="5"/>
      <c r="S126" s="5"/>
      <c r="T126" s="93"/>
    </row>
    <row r="127" spans="1:20" s="80" customFormat="1" ht="51.75" customHeight="1">
      <c r="A127" s="92" t="str">
        <f>_xlfn.XLOOKUP(B127,'Paso 3 Redacción RA'!I$3:I$18,'Paso 3 Redacción RA'!C$3:C$18,,0,1)</f>
        <v>SaberSer</v>
      </c>
      <c r="B127" s="82" t="s">
        <v>106</v>
      </c>
      <c r="C127" s="131">
        <v>7</v>
      </c>
      <c r="D127" s="131" t="s">
        <v>357</v>
      </c>
      <c r="E127" s="129" t="s">
        <v>358</v>
      </c>
      <c r="F127" s="145" t="s">
        <v>218</v>
      </c>
      <c r="G127" s="145"/>
      <c r="H127" s="145" t="s">
        <v>219</v>
      </c>
      <c r="I127" s="145"/>
      <c r="J127" s="145">
        <v>3</v>
      </c>
      <c r="K127" s="145">
        <f>16*J127</f>
        <v>48</v>
      </c>
      <c r="L127" s="145">
        <f>32*J127</f>
        <v>96</v>
      </c>
      <c r="M127" s="145">
        <f>SUM(K127:L127)</f>
        <v>144</v>
      </c>
      <c r="N127" s="140" t="s">
        <v>359</v>
      </c>
      <c r="O127" s="140" t="s">
        <v>273</v>
      </c>
      <c r="P127" s="140" t="s">
        <v>274</v>
      </c>
      <c r="Q127" s="140" t="s">
        <v>229</v>
      </c>
      <c r="R127" s="5"/>
      <c r="S127" s="5"/>
      <c r="T127" s="93"/>
    </row>
    <row r="128" spans="1:20" s="80" customFormat="1" ht="49.5">
      <c r="A128" s="80" t="str">
        <f>_xlfn.XLOOKUP(B128,'Paso 3 Redacción RA'!I$3:I$18,'Paso 3 Redacción RA'!C$3:C$18,,0,1)</f>
        <v>Saber</v>
      </c>
      <c r="B128" s="65" t="s">
        <v>107</v>
      </c>
      <c r="C128" s="121"/>
      <c r="D128" s="121"/>
      <c r="E128" s="123"/>
      <c r="F128" s="146"/>
      <c r="G128" s="146"/>
      <c r="H128" s="146"/>
      <c r="I128" s="146"/>
      <c r="J128" s="146"/>
      <c r="K128" s="146"/>
      <c r="L128" s="146"/>
      <c r="M128" s="146"/>
      <c r="N128" s="118"/>
      <c r="O128" s="118"/>
      <c r="P128" s="118"/>
      <c r="Q128" s="118"/>
      <c r="R128" s="5"/>
      <c r="S128" s="5"/>
      <c r="T128" s="93"/>
    </row>
    <row r="129" spans="1:20" s="80" customFormat="1" ht="49.5">
      <c r="A129" s="80" t="str">
        <f>_xlfn.XLOOKUP(B129,'Paso 3 Redacción RA'!I$3:I$18,'Paso 3 Redacción RA'!C$3:C$18,,0,1)</f>
        <v>SaberHacer</v>
      </c>
      <c r="B129" s="65" t="s">
        <v>109</v>
      </c>
      <c r="C129" s="121"/>
      <c r="D129" s="121"/>
      <c r="E129" s="123"/>
      <c r="F129" s="146"/>
      <c r="G129" s="146"/>
      <c r="H129" s="146"/>
      <c r="I129" s="146"/>
      <c r="J129" s="146"/>
      <c r="K129" s="146"/>
      <c r="L129" s="146"/>
      <c r="M129" s="146"/>
      <c r="N129" s="118"/>
      <c r="O129" s="118"/>
      <c r="P129" s="118"/>
      <c r="Q129" s="118"/>
      <c r="R129" s="5"/>
      <c r="S129" s="5"/>
      <c r="T129" s="93"/>
    </row>
    <row r="130" spans="1:20" s="80" customFormat="1" ht="49.5">
      <c r="A130" s="80" t="str">
        <f>_xlfn.XLOOKUP(B130,'Paso 3 Redacción RA'!I$3:I$18,'Paso 3 Redacción RA'!C$3:C$18,,0,1)</f>
        <v>Saber</v>
      </c>
      <c r="B130" s="65" t="s">
        <v>112</v>
      </c>
      <c r="C130" s="121"/>
      <c r="D130" s="121"/>
      <c r="E130" s="123"/>
      <c r="F130" s="146"/>
      <c r="G130" s="146"/>
      <c r="H130" s="146"/>
      <c r="I130" s="146"/>
      <c r="J130" s="146"/>
      <c r="K130" s="146"/>
      <c r="L130" s="146"/>
      <c r="M130" s="146"/>
      <c r="N130" s="118"/>
      <c r="O130" s="118"/>
      <c r="P130" s="118"/>
      <c r="Q130" s="118"/>
      <c r="R130" s="5"/>
      <c r="S130" s="5"/>
      <c r="T130" s="93"/>
    </row>
    <row r="131" spans="1:20" s="80" customFormat="1" ht="49.5">
      <c r="A131" s="81" t="str">
        <f>_xlfn.XLOOKUP(B131,'Paso 3 Redacción RA'!I$3:I$18,'Paso 3 Redacción RA'!C$3:C$18,,0,1)</f>
        <v>SaberHacer</v>
      </c>
      <c r="B131" s="78" t="s">
        <v>114</v>
      </c>
      <c r="C131" s="132"/>
      <c r="D131" s="132"/>
      <c r="E131" s="130"/>
      <c r="F131" s="147"/>
      <c r="G131" s="147"/>
      <c r="H131" s="147"/>
      <c r="I131" s="147"/>
      <c r="J131" s="147"/>
      <c r="K131" s="147"/>
      <c r="L131" s="147"/>
      <c r="M131" s="147"/>
      <c r="N131" s="141"/>
      <c r="O131" s="141"/>
      <c r="P131" s="141"/>
      <c r="Q131" s="141"/>
      <c r="R131" s="5"/>
      <c r="S131" s="5"/>
      <c r="T131" s="93"/>
    </row>
    <row r="132" spans="1:20" s="80" customFormat="1">
      <c r="A132" s="94"/>
      <c r="B132" s="89"/>
      <c r="C132" s="113">
        <v>7</v>
      </c>
      <c r="D132" s="114" t="s">
        <v>360</v>
      </c>
      <c r="E132" s="89"/>
      <c r="F132" s="94"/>
      <c r="G132" s="97"/>
      <c r="H132" s="97"/>
      <c r="I132" s="97" t="s">
        <v>219</v>
      </c>
      <c r="J132" s="95">
        <v>3</v>
      </c>
      <c r="K132" s="95">
        <f>16*J132</f>
        <v>48</v>
      </c>
      <c r="L132" s="95">
        <f>32*J132</f>
        <v>96</v>
      </c>
      <c r="M132" s="95">
        <f>SUM(K132:L132)</f>
        <v>144</v>
      </c>
      <c r="N132" s="96"/>
      <c r="O132" s="96"/>
      <c r="P132" s="96"/>
      <c r="Q132" s="96"/>
      <c r="R132" s="5"/>
      <c r="S132" s="5"/>
      <c r="T132" s="93"/>
    </row>
    <row r="133" spans="1:20" s="80" customFormat="1">
      <c r="A133" s="94"/>
      <c r="B133" s="89"/>
      <c r="C133" s="113">
        <v>7</v>
      </c>
      <c r="D133" s="114" t="s">
        <v>361</v>
      </c>
      <c r="E133" s="89"/>
      <c r="F133" s="94"/>
      <c r="G133" s="97"/>
      <c r="H133" s="97"/>
      <c r="I133" s="97" t="s">
        <v>219</v>
      </c>
      <c r="J133" s="95">
        <v>3</v>
      </c>
      <c r="K133" s="95">
        <f>16*J133</f>
        <v>48</v>
      </c>
      <c r="L133" s="95">
        <f>32*J133</f>
        <v>96</v>
      </c>
      <c r="M133" s="95">
        <f>SUM(K133:L133)</f>
        <v>144</v>
      </c>
      <c r="N133" s="96"/>
      <c r="O133" s="96"/>
      <c r="P133" s="96"/>
      <c r="Q133" s="96"/>
      <c r="R133" s="5">
        <f>SUM(J118:J133)</f>
        <v>16</v>
      </c>
      <c r="S133" s="5">
        <f>COUNTA(D118:D133)</f>
        <v>5</v>
      </c>
      <c r="T133" s="93"/>
    </row>
    <row r="134" spans="1:20" s="80" customFormat="1" ht="69" customHeight="1">
      <c r="A134" s="92" t="str">
        <f>_xlfn.XLOOKUP(B134,'Paso 3 Redacción RA'!I$3:I$18,'Paso 3 Redacción RA'!C$3:C$18,,0,1)</f>
        <v>SaberSer</v>
      </c>
      <c r="B134" s="82" t="s">
        <v>106</v>
      </c>
      <c r="C134" s="131">
        <v>8</v>
      </c>
      <c r="D134" s="131" t="s">
        <v>362</v>
      </c>
      <c r="E134" s="129" t="s">
        <v>363</v>
      </c>
      <c r="F134" s="145" t="s">
        <v>218</v>
      </c>
      <c r="G134" s="145"/>
      <c r="H134" s="145" t="s">
        <v>219</v>
      </c>
      <c r="I134" s="145"/>
      <c r="J134" s="145">
        <v>3</v>
      </c>
      <c r="K134" s="145">
        <f>16*J134</f>
        <v>48</v>
      </c>
      <c r="L134" s="145">
        <f>32*J134</f>
        <v>96</v>
      </c>
      <c r="M134" s="145">
        <f>SUM(K134:L134)</f>
        <v>144</v>
      </c>
      <c r="N134" s="140" t="s">
        <v>364</v>
      </c>
      <c r="O134" s="140" t="s">
        <v>273</v>
      </c>
      <c r="P134" s="140" t="s">
        <v>274</v>
      </c>
      <c r="Q134" s="140" t="s">
        <v>229</v>
      </c>
      <c r="R134" s="5"/>
      <c r="S134" s="5"/>
      <c r="T134" s="93"/>
    </row>
    <row r="135" spans="1:20" s="80" customFormat="1" ht="49.5">
      <c r="A135" s="80" t="str">
        <f>_xlfn.XLOOKUP(B135,'Paso 3 Redacción RA'!I$3:I$18,'Paso 3 Redacción RA'!C$3:C$18,,0,1)</f>
        <v>Saber</v>
      </c>
      <c r="B135" s="65" t="s">
        <v>115</v>
      </c>
      <c r="C135" s="121"/>
      <c r="D135" s="121"/>
      <c r="E135" s="123"/>
      <c r="F135" s="146"/>
      <c r="G135" s="146"/>
      <c r="H135" s="146"/>
      <c r="I135" s="146"/>
      <c r="J135" s="146"/>
      <c r="K135" s="146"/>
      <c r="L135" s="146"/>
      <c r="M135" s="146"/>
      <c r="N135" s="118"/>
      <c r="O135" s="118"/>
      <c r="P135" s="118"/>
      <c r="Q135" s="118"/>
      <c r="R135" s="5"/>
      <c r="S135" s="5"/>
      <c r="T135" s="93"/>
    </row>
    <row r="136" spans="1:20" s="80" customFormat="1" ht="49.5">
      <c r="A136" s="80" t="str">
        <f>_xlfn.XLOOKUP(B136,'Paso 3 Redacción RA'!I$3:I$18,'Paso 3 Redacción RA'!C$3:C$18,,0,1)</f>
        <v>SaberHacer</v>
      </c>
      <c r="B136" s="65" t="s">
        <v>109</v>
      </c>
      <c r="C136" s="121"/>
      <c r="D136" s="121"/>
      <c r="E136" s="123"/>
      <c r="F136" s="146"/>
      <c r="G136" s="146"/>
      <c r="H136" s="146"/>
      <c r="I136" s="146"/>
      <c r="J136" s="146"/>
      <c r="K136" s="146"/>
      <c r="L136" s="146"/>
      <c r="M136" s="146"/>
      <c r="N136" s="118"/>
      <c r="O136" s="118"/>
      <c r="P136" s="118"/>
      <c r="Q136" s="118"/>
      <c r="R136" s="5"/>
      <c r="S136" s="5"/>
      <c r="T136" s="93"/>
    </row>
    <row r="137" spans="1:20" s="80" customFormat="1" ht="49.5">
      <c r="A137" s="81" t="str">
        <f>_xlfn.XLOOKUP(B137,'Paso 3 Redacción RA'!I$3:I$18,'Paso 3 Redacción RA'!C$3:C$18,,0,1)</f>
        <v>SaberHacer</v>
      </c>
      <c r="B137" s="78" t="s">
        <v>114</v>
      </c>
      <c r="C137" s="132"/>
      <c r="D137" s="132"/>
      <c r="E137" s="130"/>
      <c r="F137" s="147"/>
      <c r="G137" s="147"/>
      <c r="H137" s="147"/>
      <c r="I137" s="147"/>
      <c r="J137" s="147"/>
      <c r="K137" s="147"/>
      <c r="L137" s="147"/>
      <c r="M137" s="147"/>
      <c r="N137" s="141"/>
      <c r="O137" s="141"/>
      <c r="P137" s="141"/>
      <c r="Q137" s="141"/>
      <c r="S137" s="5"/>
      <c r="T137" s="93"/>
    </row>
    <row r="138" spans="1:20" s="80" customFormat="1" ht="66">
      <c r="A138" s="92" t="str">
        <f>_xlfn.XLOOKUP(B138,'Paso 3 Redacción RA'!I$3:I$18,'Paso 3 Redacción RA'!C$3:C$18,,0,1)</f>
        <v>SaberSer</v>
      </c>
      <c r="B138" s="82" t="s">
        <v>106</v>
      </c>
      <c r="C138" s="131">
        <v>8</v>
      </c>
      <c r="D138" s="131" t="s">
        <v>365</v>
      </c>
      <c r="E138" s="129" t="s">
        <v>366</v>
      </c>
      <c r="F138" s="145" t="s">
        <v>218</v>
      </c>
      <c r="G138" s="145"/>
      <c r="H138" s="145" t="s">
        <v>219</v>
      </c>
      <c r="I138" s="145"/>
      <c r="J138" s="145">
        <v>4</v>
      </c>
      <c r="K138" s="145">
        <f>16*J138</f>
        <v>64</v>
      </c>
      <c r="L138" s="145">
        <f>32*J138</f>
        <v>128</v>
      </c>
      <c r="M138" s="145">
        <f>SUM(K138:L138)</f>
        <v>192</v>
      </c>
      <c r="N138" s="140" t="s">
        <v>367</v>
      </c>
      <c r="O138" s="140" t="s">
        <v>273</v>
      </c>
      <c r="P138" s="140" t="s">
        <v>274</v>
      </c>
      <c r="Q138" s="140" t="s">
        <v>229</v>
      </c>
      <c r="R138" s="5"/>
      <c r="S138" s="5"/>
      <c r="T138" s="93"/>
    </row>
    <row r="139" spans="1:20" s="80" customFormat="1" ht="49.5">
      <c r="A139" s="80" t="str">
        <f>_xlfn.XLOOKUP(B139,'Paso 3 Redacción RA'!I$3:I$18,'Paso 3 Redacción RA'!C$3:C$18,,0,1)</f>
        <v>Saber</v>
      </c>
      <c r="B139" s="65" t="s">
        <v>107</v>
      </c>
      <c r="C139" s="121"/>
      <c r="D139" s="121"/>
      <c r="E139" s="123"/>
      <c r="F139" s="146"/>
      <c r="G139" s="146"/>
      <c r="H139" s="146"/>
      <c r="I139" s="146"/>
      <c r="J139" s="146"/>
      <c r="K139" s="146"/>
      <c r="L139" s="146"/>
      <c r="M139" s="146"/>
      <c r="N139" s="118"/>
      <c r="O139" s="118"/>
      <c r="P139" s="118"/>
      <c r="Q139" s="118"/>
      <c r="R139" s="5"/>
      <c r="S139" s="5"/>
      <c r="T139" s="93"/>
    </row>
    <row r="140" spans="1:20" s="80" customFormat="1" ht="49.5">
      <c r="A140" s="80" t="str">
        <f>_xlfn.XLOOKUP(B140,'Paso 3 Redacción RA'!I$3:I$18,'Paso 3 Redacción RA'!C$3:C$18,,0,1)</f>
        <v>SaberHacer</v>
      </c>
      <c r="B140" s="65" t="s">
        <v>109</v>
      </c>
      <c r="C140" s="121"/>
      <c r="D140" s="121"/>
      <c r="E140" s="123"/>
      <c r="F140" s="146"/>
      <c r="G140" s="146"/>
      <c r="H140" s="146"/>
      <c r="I140" s="146"/>
      <c r="J140" s="146"/>
      <c r="K140" s="146"/>
      <c r="L140" s="146"/>
      <c r="M140" s="146"/>
      <c r="N140" s="118"/>
      <c r="O140" s="118"/>
      <c r="P140" s="118"/>
      <c r="Q140" s="118"/>
      <c r="R140" s="5"/>
      <c r="S140" s="5"/>
      <c r="T140" s="93"/>
    </row>
    <row r="141" spans="1:20" s="80" customFormat="1" ht="49.5">
      <c r="A141" s="80" t="str">
        <f>_xlfn.XLOOKUP(B141,'Paso 3 Redacción RA'!I$3:I$18,'Paso 3 Redacción RA'!C$3:C$18,,0,1)</f>
        <v>Saber</v>
      </c>
      <c r="B141" s="65" t="s">
        <v>112</v>
      </c>
      <c r="C141" s="121"/>
      <c r="D141" s="121"/>
      <c r="E141" s="123"/>
      <c r="F141" s="146"/>
      <c r="G141" s="146"/>
      <c r="H141" s="146"/>
      <c r="I141" s="146"/>
      <c r="J141" s="146"/>
      <c r="K141" s="146"/>
      <c r="L141" s="146"/>
      <c r="M141" s="146"/>
      <c r="N141" s="118"/>
      <c r="O141" s="118"/>
      <c r="P141" s="118"/>
      <c r="Q141" s="118"/>
      <c r="R141" s="5"/>
      <c r="S141" s="5"/>
      <c r="T141" s="93"/>
    </row>
    <row r="142" spans="1:20" s="80" customFormat="1" ht="49.5">
      <c r="A142" s="81" t="str">
        <f>_xlfn.XLOOKUP(B142,'Paso 3 Redacción RA'!I$3:I$18,'Paso 3 Redacción RA'!C$3:C$18,,0,1)</f>
        <v>SaberHacer</v>
      </c>
      <c r="B142" s="78" t="s">
        <v>114</v>
      </c>
      <c r="C142" s="132"/>
      <c r="D142" s="132"/>
      <c r="E142" s="130"/>
      <c r="F142" s="147"/>
      <c r="G142" s="147"/>
      <c r="H142" s="147"/>
      <c r="I142" s="147"/>
      <c r="J142" s="147"/>
      <c r="K142" s="147"/>
      <c r="L142" s="147"/>
      <c r="M142" s="147"/>
      <c r="N142" s="141"/>
      <c r="O142" s="141"/>
      <c r="P142" s="141"/>
      <c r="Q142" s="141"/>
      <c r="R142" s="5"/>
      <c r="S142" s="5"/>
      <c r="T142" s="93"/>
    </row>
    <row r="143" spans="1:20" s="80" customFormat="1" ht="49.5">
      <c r="A143" s="92" t="str">
        <f>_xlfn.XLOOKUP(B143,'Paso 3 Redacción RA'!I$3:I$18,'Paso 3 Redacción RA'!C$3:C$18,,0,1)</f>
        <v>Saber</v>
      </c>
      <c r="B143" s="82" t="s">
        <v>115</v>
      </c>
      <c r="C143" s="131">
        <v>8</v>
      </c>
      <c r="D143" s="131" t="s">
        <v>368</v>
      </c>
      <c r="E143" s="129" t="s">
        <v>369</v>
      </c>
      <c r="F143" s="145" t="s">
        <v>218</v>
      </c>
      <c r="G143" s="145"/>
      <c r="H143" s="145" t="s">
        <v>219</v>
      </c>
      <c r="I143" s="145"/>
      <c r="J143" s="145">
        <v>3</v>
      </c>
      <c r="K143" s="145">
        <f>16*J143</f>
        <v>48</v>
      </c>
      <c r="L143" s="145">
        <f>32*J143</f>
        <v>96</v>
      </c>
      <c r="M143" s="145">
        <f>SUM(K143:L143)</f>
        <v>144</v>
      </c>
      <c r="N143" s="140" t="s">
        <v>370</v>
      </c>
      <c r="O143" s="140" t="s">
        <v>273</v>
      </c>
      <c r="P143" s="140" t="s">
        <v>274</v>
      </c>
      <c r="Q143" s="140" t="s">
        <v>229</v>
      </c>
      <c r="R143" s="5"/>
      <c r="S143" s="5"/>
      <c r="T143" s="93"/>
    </row>
    <row r="144" spans="1:20" s="80" customFormat="1" ht="49.5">
      <c r="A144" s="80" t="str">
        <f>_xlfn.XLOOKUP(B144,'Paso 3 Redacción RA'!I$3:I$18,'Paso 3 Redacción RA'!C$3:C$18,,0,1)</f>
        <v>SaberHacer</v>
      </c>
      <c r="B144" s="65" t="s">
        <v>109</v>
      </c>
      <c r="C144" s="121"/>
      <c r="D144" s="121"/>
      <c r="E144" s="123"/>
      <c r="F144" s="146"/>
      <c r="G144" s="146"/>
      <c r="H144" s="146"/>
      <c r="I144" s="146"/>
      <c r="J144" s="146"/>
      <c r="K144" s="146"/>
      <c r="L144" s="146"/>
      <c r="M144" s="146"/>
      <c r="N144" s="118"/>
      <c r="O144" s="118"/>
      <c r="P144" s="118"/>
      <c r="Q144" s="118"/>
      <c r="R144" s="5"/>
      <c r="S144" s="5"/>
      <c r="T144" s="93"/>
    </row>
    <row r="145" spans="1:20" s="80" customFormat="1" ht="49.5">
      <c r="A145" s="80" t="str">
        <f>_xlfn.XLOOKUP(B145,'Paso 3 Redacción RA'!I$3:I$18,'Paso 3 Redacción RA'!C$3:C$18,,0,1)</f>
        <v>Saber</v>
      </c>
      <c r="B145" s="65" t="s">
        <v>112</v>
      </c>
      <c r="C145" s="121"/>
      <c r="D145" s="121"/>
      <c r="E145" s="123"/>
      <c r="F145" s="146"/>
      <c r="G145" s="146"/>
      <c r="H145" s="146"/>
      <c r="I145" s="146"/>
      <c r="J145" s="146"/>
      <c r="K145" s="146"/>
      <c r="L145" s="146"/>
      <c r="M145" s="146"/>
      <c r="N145" s="118"/>
      <c r="O145" s="118"/>
      <c r="P145" s="118"/>
      <c r="Q145" s="118"/>
      <c r="R145" s="5"/>
      <c r="S145" s="5"/>
      <c r="T145" s="93"/>
    </row>
    <row r="146" spans="1:20" s="80" customFormat="1" ht="49.5">
      <c r="A146" s="81" t="str">
        <f>_xlfn.XLOOKUP(B146,'Paso 3 Redacción RA'!I$3:I$18,'Paso 3 Redacción RA'!C$3:C$18,,0,1)</f>
        <v>SaberHacer</v>
      </c>
      <c r="B146" s="78" t="s">
        <v>114</v>
      </c>
      <c r="C146" s="132"/>
      <c r="D146" s="132"/>
      <c r="E146" s="130"/>
      <c r="F146" s="147"/>
      <c r="G146" s="147"/>
      <c r="H146" s="147"/>
      <c r="I146" s="147"/>
      <c r="J146" s="147"/>
      <c r="K146" s="147"/>
      <c r="L146" s="147"/>
      <c r="M146" s="147"/>
      <c r="N146" s="141"/>
      <c r="O146" s="141"/>
      <c r="P146" s="141"/>
      <c r="Q146" s="141"/>
      <c r="R146" s="5"/>
      <c r="S146" s="5"/>
      <c r="T146" s="93"/>
    </row>
    <row r="147" spans="1:20" s="80" customFormat="1">
      <c r="A147" s="94"/>
      <c r="B147" s="89"/>
      <c r="C147" s="113">
        <v>8</v>
      </c>
      <c r="D147" s="114" t="s">
        <v>371</v>
      </c>
      <c r="E147" s="89"/>
      <c r="F147" s="94"/>
      <c r="G147" s="97"/>
      <c r="H147" s="97"/>
      <c r="I147" s="97" t="s">
        <v>219</v>
      </c>
      <c r="J147" s="95">
        <v>3</v>
      </c>
      <c r="K147" s="95">
        <f>16*J147</f>
        <v>48</v>
      </c>
      <c r="L147" s="95">
        <f>32*J147</f>
        <v>96</v>
      </c>
      <c r="M147" s="95">
        <f>SUM(K147:L147)</f>
        <v>144</v>
      </c>
      <c r="N147" s="96"/>
      <c r="O147" s="96"/>
      <c r="P147" s="96"/>
      <c r="Q147" s="96"/>
      <c r="R147" s="5"/>
      <c r="S147" s="5"/>
      <c r="T147" s="93"/>
    </row>
    <row r="148" spans="1:20" s="80" customFormat="1">
      <c r="A148" s="94"/>
      <c r="B148" s="89"/>
      <c r="C148" s="113">
        <v>8</v>
      </c>
      <c r="D148" s="114" t="s">
        <v>372</v>
      </c>
      <c r="E148" s="96"/>
      <c r="F148" s="94"/>
      <c r="G148" s="97"/>
      <c r="H148" s="97"/>
      <c r="I148" s="97" t="s">
        <v>219</v>
      </c>
      <c r="J148" s="95">
        <v>3</v>
      </c>
      <c r="K148" s="95">
        <f>16*J148</f>
        <v>48</v>
      </c>
      <c r="L148" s="95">
        <f>32*J148</f>
        <v>96</v>
      </c>
      <c r="M148" s="95">
        <f>SUM(K148:L148)</f>
        <v>144</v>
      </c>
      <c r="N148" s="96"/>
      <c r="O148" s="96"/>
      <c r="P148" s="96"/>
      <c r="Q148" s="96"/>
      <c r="R148" s="5">
        <f>SUM(J134:J148)</f>
        <v>16</v>
      </c>
      <c r="S148" s="5">
        <f>COUNTA(D134:D148)</f>
        <v>5</v>
      </c>
      <c r="T148" s="93"/>
    </row>
    <row r="149" spans="1:20" ht="42.75">
      <c r="A149" s="80"/>
      <c r="B149" s="65"/>
      <c r="C149" s="115" t="s">
        <v>373</v>
      </c>
      <c r="D149" s="152">
        <f>COUNTA(D3:D148)</f>
        <v>41</v>
      </c>
      <c r="F149" s="6"/>
      <c r="G149" s="6"/>
      <c r="H149" s="6"/>
      <c r="I149" s="116" t="s">
        <v>374</v>
      </c>
      <c r="J149" s="153">
        <f>SUM(J3:J148)</f>
        <v>135</v>
      </c>
      <c r="K149" s="100" t="str">
        <f>IF(AND(J149&gt;=135,J149&lt;=160),"Correcto: Cumple la Política de Gestión, Evaluación e Innovación Curricular","Error: Revisar Política de Gestión, Evaluación e Innovación Curricular")</f>
        <v>Correcto: Cumple la Política de Gestión, Evaluación e Innovación Curricular</v>
      </c>
      <c r="L149" s="6"/>
      <c r="M149" s="6"/>
      <c r="R149" s="5">
        <f>SUM(R3:R148)</f>
        <v>135</v>
      </c>
      <c r="S149" s="5">
        <f>SUM(S3:S148)</f>
        <v>41</v>
      </c>
    </row>
    <row r="150" spans="1:20" ht="49.5">
      <c r="A150" s="80"/>
      <c r="B150" s="65"/>
      <c r="C150" s="6"/>
      <c r="F150" s="6"/>
      <c r="G150" s="6"/>
      <c r="H150" s="6"/>
      <c r="I150" s="69" t="s">
        <v>375</v>
      </c>
      <c r="J150" s="31">
        <f>SUM(J7,J20,J33,J39,J53,J54)</f>
        <v>18</v>
      </c>
      <c r="K150" s="100" t="str">
        <f>IF(J150=18,"Correcto: Cumple la Política de Gestión, Evaluación e Innovación Curricular","Error: Revisar Política de Gestión, Evaluación e Innovación Curricular")</f>
        <v>Correcto: Cumple la Política de Gestión, Evaluación e Innovación Curricular</v>
      </c>
      <c r="L150" s="6"/>
      <c r="M150" s="6"/>
    </row>
    <row r="151" spans="1:20" ht="49.5">
      <c r="B151" s="65"/>
      <c r="C151" s="6"/>
      <c r="F151" s="6"/>
      <c r="G151" s="6"/>
      <c r="H151" s="6"/>
      <c r="I151" s="69" t="s">
        <v>376</v>
      </c>
      <c r="J151" s="31">
        <f>SUM(J3,J8:J15,J21:J32,J34,J40:J52,J16,J55:J131,J134:J146)</f>
        <v>105</v>
      </c>
      <c r="K151" s="100" t="str">
        <f>IF(AND(J151&gt;=99,J151&lt;=130),"Correcto: Cumple la Política de Gestión, Evaluación e Innovación Curricular","Error: Revisar Política de Gestión, Evaluación e Innovación Curricular")</f>
        <v>Correcto: Cumple la Política de Gestión, Evaluación e Innovación Curricular</v>
      </c>
      <c r="L151" s="6"/>
      <c r="M151" s="6"/>
    </row>
    <row r="152" spans="1:20" ht="49.5">
      <c r="B152" s="65"/>
      <c r="C152" s="6"/>
      <c r="E152" s="7"/>
      <c r="F152" s="6"/>
      <c r="G152" s="6"/>
      <c r="H152" s="6"/>
      <c r="I152" s="69" t="s">
        <v>377</v>
      </c>
      <c r="J152" s="6">
        <f>SUM(J132:J133,J147:J148)</f>
        <v>12</v>
      </c>
      <c r="K152" s="31" t="str">
        <f>IF(AND(J152&gt;=12,J152&lt;=18),"Correcto: Cumple la Política de Gestión, Evaluación e Innovación Curricular","Error: Revisar Política de Gestión, Evaluación e Innovación Curricular")</f>
        <v>Correcto: Cumple la Política de Gestión, Evaluación e Innovación Curricular</v>
      </c>
      <c r="L152" s="6"/>
      <c r="M152" s="6"/>
    </row>
    <row r="153" spans="1:20">
      <c r="C153" s="6"/>
      <c r="F153" s="6"/>
      <c r="G153" s="6"/>
      <c r="H153" s="6"/>
      <c r="I153" s="6"/>
      <c r="J153" s="6"/>
      <c r="K153" s="6"/>
      <c r="L153" s="6"/>
      <c r="M153" s="6"/>
    </row>
    <row r="154" spans="1:20">
      <c r="C154" s="6"/>
      <c r="F154" s="6"/>
      <c r="G154" s="6"/>
      <c r="H154" s="6"/>
      <c r="I154" s="6"/>
      <c r="J154" s="6"/>
      <c r="K154" s="6"/>
      <c r="L154" s="6"/>
      <c r="M154" s="6"/>
    </row>
    <row r="155" spans="1:20">
      <c r="C155" s="6"/>
      <c r="F155" s="6"/>
      <c r="G155" s="6"/>
      <c r="H155" s="6"/>
      <c r="I155" s="6"/>
      <c r="J155" s="6"/>
      <c r="K155" s="6"/>
      <c r="L155" s="6"/>
      <c r="M155" s="6"/>
    </row>
    <row r="156" spans="1:20">
      <c r="C156" s="6"/>
      <c r="F156" s="6"/>
      <c r="G156" s="6"/>
      <c r="H156" s="6"/>
      <c r="I156" s="6"/>
      <c r="J156" s="6"/>
      <c r="K156" s="6"/>
      <c r="L156" s="6"/>
      <c r="M156" s="6"/>
    </row>
    <row r="157" spans="1:20">
      <c r="C157" s="6"/>
      <c r="F157" s="6"/>
      <c r="G157" s="6"/>
      <c r="H157" s="6"/>
      <c r="I157" s="6"/>
      <c r="J157" s="6"/>
      <c r="K157" s="6"/>
      <c r="L157" s="6"/>
      <c r="M157" s="6"/>
    </row>
    <row r="158" spans="1:20">
      <c r="C158" s="6"/>
      <c r="F158" s="6"/>
      <c r="G158" s="6"/>
      <c r="H158" s="6"/>
      <c r="I158" s="6"/>
      <c r="J158" s="6"/>
      <c r="K158" s="6"/>
      <c r="L158" s="6"/>
      <c r="M158" s="6"/>
    </row>
    <row r="159" spans="1:20">
      <c r="C159" s="6"/>
      <c r="F159" s="6"/>
      <c r="G159" s="6"/>
      <c r="H159" s="6"/>
      <c r="I159" s="6"/>
      <c r="J159" s="6"/>
      <c r="K159" s="6"/>
      <c r="L159" s="6"/>
      <c r="M159" s="6"/>
    </row>
    <row r="161" spans="5:5">
      <c r="E161" s="98"/>
    </row>
  </sheetData>
  <mergeCells count="466">
    <mergeCell ref="E68:E71"/>
    <mergeCell ref="F68:F71"/>
    <mergeCell ref="G68:G71"/>
    <mergeCell ref="G81:G84"/>
    <mergeCell ref="I85:I89"/>
    <mergeCell ref="J85:J89"/>
    <mergeCell ref="K85:K89"/>
    <mergeCell ref="L85:L89"/>
    <mergeCell ref="C59:C63"/>
    <mergeCell ref="D59:D63"/>
    <mergeCell ref="E59:E63"/>
    <mergeCell ref="F59:F63"/>
    <mergeCell ref="G59:G63"/>
    <mergeCell ref="H59:H63"/>
    <mergeCell ref="I59:I63"/>
    <mergeCell ref="J59:J63"/>
    <mergeCell ref="K59:K63"/>
    <mergeCell ref="C77:C80"/>
    <mergeCell ref="D77:D80"/>
    <mergeCell ref="E77:E80"/>
    <mergeCell ref="F77:F80"/>
    <mergeCell ref="G77:G80"/>
    <mergeCell ref="L16:L19"/>
    <mergeCell ref="M16:M19"/>
    <mergeCell ref="N16:N19"/>
    <mergeCell ref="O16:O19"/>
    <mergeCell ref="P16:P19"/>
    <mergeCell ref="Q16:Q19"/>
    <mergeCell ref="C16:C19"/>
    <mergeCell ref="D16:D19"/>
    <mergeCell ref="E16:E19"/>
    <mergeCell ref="F16:F19"/>
    <mergeCell ref="G16:G19"/>
    <mergeCell ref="H16:H19"/>
    <mergeCell ref="I16:I19"/>
    <mergeCell ref="J16:J19"/>
    <mergeCell ref="K16:K19"/>
    <mergeCell ref="G1:I1"/>
    <mergeCell ref="P25:P28"/>
    <mergeCell ref="M49:M52"/>
    <mergeCell ref="H49:H52"/>
    <mergeCell ref="M40:M43"/>
    <mergeCell ref="N40:N43"/>
    <mergeCell ref="O40:O43"/>
    <mergeCell ref="P40:P43"/>
    <mergeCell ref="P44:P48"/>
    <mergeCell ref="K29:K32"/>
    <mergeCell ref="L29:L32"/>
    <mergeCell ref="M29:M32"/>
    <mergeCell ref="N29:N32"/>
    <mergeCell ref="O29:O32"/>
    <mergeCell ref="P29:P32"/>
    <mergeCell ref="N25:N28"/>
    <mergeCell ref="O25:O28"/>
    <mergeCell ref="J34:J38"/>
    <mergeCell ref="I34:I38"/>
    <mergeCell ref="H34:H38"/>
    <mergeCell ref="M21:M24"/>
    <mergeCell ref="N21:N24"/>
    <mergeCell ref="O21:O24"/>
    <mergeCell ref="P21:P24"/>
    <mergeCell ref="Q21:Q24"/>
    <mergeCell ref="Q25:Q28"/>
    <mergeCell ref="H25:H28"/>
    <mergeCell ref="I25:I28"/>
    <mergeCell ref="J25:J28"/>
    <mergeCell ref="K25:K28"/>
    <mergeCell ref="L25:L28"/>
    <mergeCell ref="M25:M28"/>
    <mergeCell ref="H21:H24"/>
    <mergeCell ref="I21:I24"/>
    <mergeCell ref="J21:J24"/>
    <mergeCell ref="K21:K24"/>
    <mergeCell ref="L21:L24"/>
    <mergeCell ref="C21:C24"/>
    <mergeCell ref="G21:G24"/>
    <mergeCell ref="F40:F43"/>
    <mergeCell ref="G40:G43"/>
    <mergeCell ref="D21:D24"/>
    <mergeCell ref="E21:E24"/>
    <mergeCell ref="F21:F24"/>
    <mergeCell ref="C40:C43"/>
    <mergeCell ref="D40:D43"/>
    <mergeCell ref="E40:E43"/>
    <mergeCell ref="D29:D32"/>
    <mergeCell ref="E29:E32"/>
    <mergeCell ref="F29:F32"/>
    <mergeCell ref="G29:G32"/>
    <mergeCell ref="E25:E28"/>
    <mergeCell ref="F25:F28"/>
    <mergeCell ref="G25:G28"/>
    <mergeCell ref="D49:D52"/>
    <mergeCell ref="E49:E52"/>
    <mergeCell ref="F49:F52"/>
    <mergeCell ref="G49:G52"/>
    <mergeCell ref="C49:C52"/>
    <mergeCell ref="G44:G48"/>
    <mergeCell ref="C44:C48"/>
    <mergeCell ref="D44:D48"/>
    <mergeCell ref="E44:E48"/>
    <mergeCell ref="F44:F48"/>
    <mergeCell ref="Q40:Q43"/>
    <mergeCell ref="N49:N52"/>
    <mergeCell ref="O49:O52"/>
    <mergeCell ref="P49:P52"/>
    <mergeCell ref="Q49:Q52"/>
    <mergeCell ref="H40:H43"/>
    <mergeCell ref="I40:I43"/>
    <mergeCell ref="J40:J43"/>
    <mergeCell ref="K40:K43"/>
    <mergeCell ref="L40:L43"/>
    <mergeCell ref="I49:I52"/>
    <mergeCell ref="J49:J52"/>
    <mergeCell ref="K49:K52"/>
    <mergeCell ref="L49:L52"/>
    <mergeCell ref="Q44:Q48"/>
    <mergeCell ref="H44:H48"/>
    <mergeCell ref="I44:I48"/>
    <mergeCell ref="J44:J48"/>
    <mergeCell ref="K44:K48"/>
    <mergeCell ref="L44:L48"/>
    <mergeCell ref="Q59:Q63"/>
    <mergeCell ref="M44:M48"/>
    <mergeCell ref="N44:N48"/>
    <mergeCell ref="O44:O48"/>
    <mergeCell ref="Q55:Q58"/>
    <mergeCell ref="H55:H58"/>
    <mergeCell ref="I55:I58"/>
    <mergeCell ref="J55:J58"/>
    <mergeCell ref="K55:K58"/>
    <mergeCell ref="L55:L58"/>
    <mergeCell ref="M55:M58"/>
    <mergeCell ref="N55:N58"/>
    <mergeCell ref="O55:O58"/>
    <mergeCell ref="P55:P58"/>
    <mergeCell ref="L59:L63"/>
    <mergeCell ref="M59:M63"/>
    <mergeCell ref="N59:N63"/>
    <mergeCell ref="O59:O63"/>
    <mergeCell ref="P59:P63"/>
    <mergeCell ref="Q72:Q76"/>
    <mergeCell ref="H72:H76"/>
    <mergeCell ref="I72:I76"/>
    <mergeCell ref="J72:J76"/>
    <mergeCell ref="K72:K76"/>
    <mergeCell ref="L72:L76"/>
    <mergeCell ref="C55:C58"/>
    <mergeCell ref="D55:D58"/>
    <mergeCell ref="E55:E58"/>
    <mergeCell ref="F55:F58"/>
    <mergeCell ref="G55:G58"/>
    <mergeCell ref="C72:C76"/>
    <mergeCell ref="D72:D76"/>
    <mergeCell ref="E72:E76"/>
    <mergeCell ref="F72:F76"/>
    <mergeCell ref="G72:G76"/>
    <mergeCell ref="Q68:Q71"/>
    <mergeCell ref="H68:H71"/>
    <mergeCell ref="I68:I71"/>
    <mergeCell ref="J68:J71"/>
    <mergeCell ref="K68:K71"/>
    <mergeCell ref="L68:L71"/>
    <mergeCell ref="C68:C71"/>
    <mergeCell ref="D68:D71"/>
    <mergeCell ref="C118:C122"/>
    <mergeCell ref="D118:D122"/>
    <mergeCell ref="E118:E122"/>
    <mergeCell ref="F118:F122"/>
    <mergeCell ref="G118:G122"/>
    <mergeCell ref="M68:M71"/>
    <mergeCell ref="N68:N71"/>
    <mergeCell ref="O68:O71"/>
    <mergeCell ref="P68:P71"/>
    <mergeCell ref="M118:M122"/>
    <mergeCell ref="N118:N122"/>
    <mergeCell ref="O118:O122"/>
    <mergeCell ref="P118:P122"/>
    <mergeCell ref="M72:M76"/>
    <mergeCell ref="N72:N76"/>
    <mergeCell ref="O72:O76"/>
    <mergeCell ref="P72:P76"/>
    <mergeCell ref="H118:H122"/>
    <mergeCell ref="I118:I122"/>
    <mergeCell ref="J118:J122"/>
    <mergeCell ref="K118:K122"/>
    <mergeCell ref="L118:L122"/>
    <mergeCell ref="C104:C108"/>
    <mergeCell ref="D104:D108"/>
    <mergeCell ref="C99:C103"/>
    <mergeCell ref="D99:D103"/>
    <mergeCell ref="E99:E103"/>
    <mergeCell ref="F99:F103"/>
    <mergeCell ref="G99:G103"/>
    <mergeCell ref="E81:E84"/>
    <mergeCell ref="F81:F84"/>
    <mergeCell ref="C95:C98"/>
    <mergeCell ref="D95:D98"/>
    <mergeCell ref="E95:E98"/>
    <mergeCell ref="C85:C89"/>
    <mergeCell ref="D85:D89"/>
    <mergeCell ref="E85:E89"/>
    <mergeCell ref="F85:F89"/>
    <mergeCell ref="G85:G89"/>
    <mergeCell ref="E104:E108"/>
    <mergeCell ref="F104:F108"/>
    <mergeCell ref="G104:G108"/>
    <mergeCell ref="Q104:Q108"/>
    <mergeCell ref="H104:H108"/>
    <mergeCell ref="I104:I108"/>
    <mergeCell ref="J104:J108"/>
    <mergeCell ref="K104:K108"/>
    <mergeCell ref="L104:L108"/>
    <mergeCell ref="M104:M108"/>
    <mergeCell ref="N104:N108"/>
    <mergeCell ref="O104:O108"/>
    <mergeCell ref="P104:P108"/>
    <mergeCell ref="Q90:Q94"/>
    <mergeCell ref="H90:H94"/>
    <mergeCell ref="I90:I94"/>
    <mergeCell ref="J90:J94"/>
    <mergeCell ref="K90:K94"/>
    <mergeCell ref="L90:L94"/>
    <mergeCell ref="Q77:Q80"/>
    <mergeCell ref="H77:H80"/>
    <mergeCell ref="I77:I80"/>
    <mergeCell ref="J77:J80"/>
    <mergeCell ref="K77:K80"/>
    <mergeCell ref="L77:L80"/>
    <mergeCell ref="M77:M80"/>
    <mergeCell ref="N77:N80"/>
    <mergeCell ref="O77:O80"/>
    <mergeCell ref="P77:P80"/>
    <mergeCell ref="M81:M84"/>
    <mergeCell ref="N85:N89"/>
    <mergeCell ref="O85:O89"/>
    <mergeCell ref="P85:P89"/>
    <mergeCell ref="M90:M94"/>
    <mergeCell ref="N90:N94"/>
    <mergeCell ref="Q85:Q89"/>
    <mergeCell ref="H85:H89"/>
    <mergeCell ref="Q81:Q84"/>
    <mergeCell ref="H81:H84"/>
    <mergeCell ref="I81:I84"/>
    <mergeCell ref="J81:J84"/>
    <mergeCell ref="K81:K84"/>
    <mergeCell ref="L81:L84"/>
    <mergeCell ref="C81:C84"/>
    <mergeCell ref="D81:D84"/>
    <mergeCell ref="Q64:Q67"/>
    <mergeCell ref="H64:H67"/>
    <mergeCell ref="I64:I67"/>
    <mergeCell ref="J64:J67"/>
    <mergeCell ref="K64:K67"/>
    <mergeCell ref="L64:L67"/>
    <mergeCell ref="C64:C67"/>
    <mergeCell ref="D64:D67"/>
    <mergeCell ref="E64:E67"/>
    <mergeCell ref="F64:F67"/>
    <mergeCell ref="G64:G67"/>
    <mergeCell ref="M64:M67"/>
    <mergeCell ref="N64:N67"/>
    <mergeCell ref="O64:O67"/>
    <mergeCell ref="P64:P67"/>
    <mergeCell ref="N81:N84"/>
    <mergeCell ref="N95:N98"/>
    <mergeCell ref="O95:O98"/>
    <mergeCell ref="P95:P98"/>
    <mergeCell ref="M85:M89"/>
    <mergeCell ref="C90:C94"/>
    <mergeCell ref="D90:D94"/>
    <mergeCell ref="E90:E94"/>
    <mergeCell ref="F90:F94"/>
    <mergeCell ref="G90:G94"/>
    <mergeCell ref="F95:F98"/>
    <mergeCell ref="G95:G98"/>
    <mergeCell ref="O90:O94"/>
    <mergeCell ref="P90:P94"/>
    <mergeCell ref="Q99:Q103"/>
    <mergeCell ref="H99:H103"/>
    <mergeCell ref="I99:I103"/>
    <mergeCell ref="J99:J103"/>
    <mergeCell ref="K99:K103"/>
    <mergeCell ref="L99:L103"/>
    <mergeCell ref="M99:M103"/>
    <mergeCell ref="N99:N103"/>
    <mergeCell ref="O99:O103"/>
    <mergeCell ref="P99:P103"/>
    <mergeCell ref="Q95:Q98"/>
    <mergeCell ref="H95:H98"/>
    <mergeCell ref="I95:I98"/>
    <mergeCell ref="J95:J98"/>
    <mergeCell ref="K95:K98"/>
    <mergeCell ref="L95:L98"/>
    <mergeCell ref="M95:M98"/>
    <mergeCell ref="H123:H126"/>
    <mergeCell ref="I123:I126"/>
    <mergeCell ref="J123:J126"/>
    <mergeCell ref="K123:K126"/>
    <mergeCell ref="L123:L126"/>
    <mergeCell ref="M109:M113"/>
    <mergeCell ref="N109:N113"/>
    <mergeCell ref="O109:O113"/>
    <mergeCell ref="P109:P113"/>
    <mergeCell ref="Q123:Q126"/>
    <mergeCell ref="Q118:Q122"/>
    <mergeCell ref="Q109:Q113"/>
    <mergeCell ref="H109:H113"/>
    <mergeCell ref="I109:I113"/>
    <mergeCell ref="J109:J113"/>
    <mergeCell ref="K109:K113"/>
    <mergeCell ref="L109:L113"/>
    <mergeCell ref="C123:C126"/>
    <mergeCell ref="D123:D126"/>
    <mergeCell ref="E123:E126"/>
    <mergeCell ref="F123:F126"/>
    <mergeCell ref="G123:G126"/>
    <mergeCell ref="M123:M126"/>
    <mergeCell ref="N123:N126"/>
    <mergeCell ref="O123:O126"/>
    <mergeCell ref="P123:P126"/>
    <mergeCell ref="Q114:Q117"/>
    <mergeCell ref="H114:H117"/>
    <mergeCell ref="I114:I117"/>
    <mergeCell ref="J114:J117"/>
    <mergeCell ref="K114:K117"/>
    <mergeCell ref="L114:L117"/>
    <mergeCell ref="M114:M117"/>
    <mergeCell ref="N114:N117"/>
    <mergeCell ref="O114:O117"/>
    <mergeCell ref="P114:P117"/>
    <mergeCell ref="E114:E117"/>
    <mergeCell ref="F114:F117"/>
    <mergeCell ref="G114:G117"/>
    <mergeCell ref="C109:C113"/>
    <mergeCell ref="D109:D113"/>
    <mergeCell ref="E109:E113"/>
    <mergeCell ref="F109:F113"/>
    <mergeCell ref="G109:G113"/>
    <mergeCell ref="C114:C117"/>
    <mergeCell ref="D114:D117"/>
    <mergeCell ref="L143:L146"/>
    <mergeCell ref="M127:M131"/>
    <mergeCell ref="P127:P131"/>
    <mergeCell ref="M143:M146"/>
    <mergeCell ref="N143:N146"/>
    <mergeCell ref="O143:O146"/>
    <mergeCell ref="P143:P146"/>
    <mergeCell ref="Q127:Q131"/>
    <mergeCell ref="Q143:Q146"/>
    <mergeCell ref="M138:M142"/>
    <mergeCell ref="N138:N142"/>
    <mergeCell ref="O138:O142"/>
    <mergeCell ref="P138:P142"/>
    <mergeCell ref="Q138:Q142"/>
    <mergeCell ref="M134:M137"/>
    <mergeCell ref="N134:N137"/>
    <mergeCell ref="O134:O137"/>
    <mergeCell ref="P134:P137"/>
    <mergeCell ref="Q134:Q137"/>
    <mergeCell ref="N127:N131"/>
    <mergeCell ref="O127:O131"/>
    <mergeCell ref="C143:C146"/>
    <mergeCell ref="D143:D146"/>
    <mergeCell ref="E143:E146"/>
    <mergeCell ref="F143:F146"/>
    <mergeCell ref="G143:G146"/>
    <mergeCell ref="H143:H146"/>
    <mergeCell ref="I143:I146"/>
    <mergeCell ref="J143:J146"/>
    <mergeCell ref="K143:K146"/>
    <mergeCell ref="H138:H142"/>
    <mergeCell ref="I138:I142"/>
    <mergeCell ref="J138:J142"/>
    <mergeCell ref="K138:K142"/>
    <mergeCell ref="L138:L142"/>
    <mergeCell ref="C138:C142"/>
    <mergeCell ref="D138:D142"/>
    <mergeCell ref="E138:E142"/>
    <mergeCell ref="F138:F142"/>
    <mergeCell ref="G138:G142"/>
    <mergeCell ref="H134:H137"/>
    <mergeCell ref="I134:I137"/>
    <mergeCell ref="J134:J137"/>
    <mergeCell ref="K134:K137"/>
    <mergeCell ref="L134:L137"/>
    <mergeCell ref="C134:C137"/>
    <mergeCell ref="D134:D137"/>
    <mergeCell ref="E134:E137"/>
    <mergeCell ref="F134:F137"/>
    <mergeCell ref="G134:G137"/>
    <mergeCell ref="H127:H131"/>
    <mergeCell ref="I127:I131"/>
    <mergeCell ref="J127:J131"/>
    <mergeCell ref="K127:K131"/>
    <mergeCell ref="L127:L131"/>
    <mergeCell ref="C127:C131"/>
    <mergeCell ref="D127:D131"/>
    <mergeCell ref="E127:E131"/>
    <mergeCell ref="F127:F131"/>
    <mergeCell ref="G127:G131"/>
    <mergeCell ref="Q34:Q38"/>
    <mergeCell ref="P34:P38"/>
    <mergeCell ref="O34:O38"/>
    <mergeCell ref="N34:N38"/>
    <mergeCell ref="M34:M38"/>
    <mergeCell ref="L34:L38"/>
    <mergeCell ref="K34:K38"/>
    <mergeCell ref="C25:C28"/>
    <mergeCell ref="D25:D28"/>
    <mergeCell ref="C34:C38"/>
    <mergeCell ref="D34:D38"/>
    <mergeCell ref="E34:E38"/>
    <mergeCell ref="F34:F38"/>
    <mergeCell ref="G34:G38"/>
    <mergeCell ref="Q29:Q32"/>
    <mergeCell ref="H29:H32"/>
    <mergeCell ref="I29:I32"/>
    <mergeCell ref="J29:J32"/>
    <mergeCell ref="C29:C32"/>
    <mergeCell ref="C12:C15"/>
    <mergeCell ref="D12:D15"/>
    <mergeCell ref="E12:E15"/>
    <mergeCell ref="F12:F15"/>
    <mergeCell ref="G12:G15"/>
    <mergeCell ref="H12:H15"/>
    <mergeCell ref="I8:I11"/>
    <mergeCell ref="J8:J11"/>
    <mergeCell ref="I12:I15"/>
    <mergeCell ref="J12:J15"/>
    <mergeCell ref="M3:M6"/>
    <mergeCell ref="N3:N6"/>
    <mergeCell ref="O3:O6"/>
    <mergeCell ref="P3:P6"/>
    <mergeCell ref="C3:C6"/>
    <mergeCell ref="D3:D6"/>
    <mergeCell ref="C8:C11"/>
    <mergeCell ref="D8:D11"/>
    <mergeCell ref="F8:F11"/>
    <mergeCell ref="G8:G11"/>
    <mergeCell ref="H8:H11"/>
    <mergeCell ref="F3:F6"/>
    <mergeCell ref="G3:G6"/>
    <mergeCell ref="O81:O84"/>
    <mergeCell ref="P81:P84"/>
    <mergeCell ref="Q3:Q6"/>
    <mergeCell ref="E3:E6"/>
    <mergeCell ref="K8:K11"/>
    <mergeCell ref="K12:K15"/>
    <mergeCell ref="L8:L11"/>
    <mergeCell ref="M8:M11"/>
    <mergeCell ref="N8:N11"/>
    <mergeCell ref="O8:O11"/>
    <mergeCell ref="P8:P11"/>
    <mergeCell ref="Q8:Q11"/>
    <mergeCell ref="L12:L15"/>
    <mergeCell ref="M12:M15"/>
    <mergeCell ref="N12:N15"/>
    <mergeCell ref="O12:O15"/>
    <mergeCell ref="P12:P15"/>
    <mergeCell ref="Q12:Q15"/>
    <mergeCell ref="E8:E11"/>
    <mergeCell ref="H3:H6"/>
    <mergeCell ref="I3:I6"/>
    <mergeCell ref="J3:J6"/>
    <mergeCell ref="K3:K6"/>
    <mergeCell ref="L3:L6"/>
  </mergeCells>
  <pageMargins left="0.7" right="0.7" top="0.75" bottom="0.75" header="0.3" footer="0.3"/>
  <pageSetup paperSize="9" orientation="portrait" r:id="rId1"/>
  <ignoredErrors>
    <ignoredError sqref="M72" 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RA'!$I$3:$I$18</xm:f>
          </x14:formula1>
          <xm:sqref>B3:B152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defaultColWidth="9.140625" defaultRowHeight="14.45"/>
  <cols>
    <col min="2" max="2" width="29.28515625" customWidth="1"/>
  </cols>
  <sheetData>
    <row r="1" spans="2:2" ht="16.5">
      <c r="B1" s="1" t="s">
        <v>378</v>
      </c>
    </row>
    <row r="2" spans="2:2" ht="16.5">
      <c r="B2" s="1" t="s">
        <v>379</v>
      </c>
    </row>
    <row r="3" spans="2:2" ht="16.5">
      <c r="B3" s="1" t="s">
        <v>380</v>
      </c>
    </row>
    <row r="4" spans="2:2" ht="16.5">
      <c r="B4" s="1" t="s">
        <v>381</v>
      </c>
    </row>
    <row r="5" spans="2:2" ht="16.5">
      <c r="B5" s="1" t="s">
        <v>382</v>
      </c>
    </row>
    <row r="6" spans="2:2" ht="16.5">
      <c r="B6" s="1" t="s">
        <v>383</v>
      </c>
    </row>
    <row r="7" spans="2:2" ht="16.5">
      <c r="B7" s="1" t="s">
        <v>384</v>
      </c>
    </row>
    <row r="8" spans="2:2" ht="16.5">
      <c r="B8" s="1" t="s">
        <v>385</v>
      </c>
    </row>
    <row r="9" spans="2:2" ht="16.5">
      <c r="B9" s="1" t="s">
        <v>386</v>
      </c>
    </row>
    <row r="10" spans="2:2" ht="16.5">
      <c r="B10" s="1" t="s">
        <v>63</v>
      </c>
    </row>
    <row r="11" spans="2:2" ht="16.5">
      <c r="B11" s="1" t="s">
        <v>387</v>
      </c>
    </row>
    <row r="12" spans="2:2" ht="16.5">
      <c r="B12" s="1" t="s">
        <v>388</v>
      </c>
    </row>
    <row r="13" spans="2:2" ht="16.5">
      <c r="B13" s="1" t="s">
        <v>389</v>
      </c>
    </row>
    <row r="14" spans="2:2" ht="16.5">
      <c r="B14" s="1" t="s">
        <v>67</v>
      </c>
    </row>
    <row r="15" spans="2:2" ht="16.5">
      <c r="B15" s="1" t="s">
        <v>59</v>
      </c>
    </row>
    <row r="16" spans="2:2" ht="16.5">
      <c r="B16" s="1" t="s">
        <v>111</v>
      </c>
    </row>
    <row r="17" spans="2:2" ht="16.5">
      <c r="B17" s="1" t="s">
        <v>390</v>
      </c>
    </row>
    <row r="18" spans="2:2" ht="16.5">
      <c r="B18" s="1" t="s">
        <v>391</v>
      </c>
    </row>
    <row r="19" spans="2:2" ht="16.5">
      <c r="B19" s="1" t="s">
        <v>70</v>
      </c>
    </row>
    <row r="20" spans="2:2" ht="16.5">
      <c r="B20" s="1" t="s">
        <v>392</v>
      </c>
    </row>
    <row r="21" spans="2:2" ht="16.5">
      <c r="B21" s="1" t="s">
        <v>393</v>
      </c>
    </row>
    <row r="22" spans="2:2" ht="16.5">
      <c r="B22" s="1" t="s">
        <v>394</v>
      </c>
    </row>
    <row r="23" spans="2:2" ht="16.5">
      <c r="B23" s="1" t="s">
        <v>65</v>
      </c>
    </row>
    <row r="24" spans="2:2" ht="16.5">
      <c r="B24" s="1" t="s">
        <v>395</v>
      </c>
    </row>
    <row r="25" spans="2:2" ht="16.5">
      <c r="B25" s="1" t="s">
        <v>396</v>
      </c>
    </row>
    <row r="26" spans="2:2" ht="16.5">
      <c r="B26" s="1" t="s">
        <v>397</v>
      </c>
    </row>
    <row r="27" spans="2:2" ht="16.5">
      <c r="B27" s="1" t="s">
        <v>398</v>
      </c>
    </row>
    <row r="28" spans="2:2" ht="16.5">
      <c r="B28" s="1" t="s">
        <v>399</v>
      </c>
    </row>
    <row r="29" spans="2:2" ht="16.5">
      <c r="B29" s="1" t="s">
        <v>400</v>
      </c>
    </row>
    <row r="30" spans="2:2" ht="16.5">
      <c r="B30" s="1" t="s">
        <v>401</v>
      </c>
    </row>
    <row r="31" spans="2:2" ht="16.5">
      <c r="B31" s="1" t="s">
        <v>402</v>
      </c>
    </row>
    <row r="32" spans="2:2" ht="16.5">
      <c r="B32" s="1" t="s">
        <v>403</v>
      </c>
    </row>
    <row r="33" spans="2:2" ht="16.5">
      <c r="B33" s="1" t="s">
        <v>404</v>
      </c>
    </row>
    <row r="34" spans="2:2" ht="16.5">
      <c r="B34" s="1" t="s">
        <v>405</v>
      </c>
    </row>
    <row r="35" spans="2:2" ht="16.5">
      <c r="B35" s="1" t="s">
        <v>406</v>
      </c>
    </row>
    <row r="36" spans="2:2" ht="16.5">
      <c r="B36" s="1" t="s">
        <v>407</v>
      </c>
    </row>
    <row r="37" spans="2:2" ht="16.5">
      <c r="B37" s="1" t="s">
        <v>408</v>
      </c>
    </row>
    <row r="38" spans="2:2" ht="16.5">
      <c r="B38" s="1" t="s">
        <v>409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AC1" zoomScale="90" zoomScaleNormal="90" workbookViewId="0">
      <selection activeCell="AK1" sqref="AK1:BA93"/>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c r="A1" s="1"/>
      <c r="B1" s="1"/>
      <c r="C1" s="1"/>
      <c r="D1" s="1"/>
      <c r="E1" s="1"/>
      <c r="F1" s="1"/>
      <c r="G1" s="1"/>
      <c r="H1" s="1"/>
      <c r="I1" s="1"/>
      <c r="J1" s="1"/>
      <c r="K1" s="1"/>
      <c r="L1" s="1"/>
      <c r="M1" s="1"/>
      <c r="N1" s="1"/>
      <c r="O1" s="1"/>
      <c r="P1" s="1"/>
      <c r="Q1" s="1"/>
      <c r="R1" s="1"/>
      <c r="S1" s="149" t="s">
        <v>410</v>
      </c>
      <c r="T1" s="149"/>
      <c r="U1" s="149"/>
      <c r="V1" s="149"/>
      <c r="W1" s="149"/>
      <c r="X1" s="149"/>
      <c r="Y1" s="149"/>
      <c r="Z1" s="149"/>
      <c r="AA1" s="149"/>
      <c r="AB1" s="149"/>
      <c r="AC1" s="149"/>
      <c r="AD1" s="149"/>
      <c r="AE1" s="149"/>
      <c r="AF1" s="149"/>
      <c r="AG1" s="149"/>
      <c r="AH1" s="14"/>
      <c r="AI1" s="14"/>
      <c r="AJ1" s="14"/>
      <c r="AK1" s="1"/>
      <c r="AL1" s="149" t="s">
        <v>411</v>
      </c>
      <c r="AM1" s="149"/>
      <c r="AN1" s="149"/>
      <c r="AO1" s="149"/>
      <c r="AP1" s="149"/>
      <c r="AQ1" s="149"/>
      <c r="AR1" s="14"/>
      <c r="AS1" s="14"/>
      <c r="AT1" s="149" t="s">
        <v>412</v>
      </c>
      <c r="AU1" s="149"/>
      <c r="AV1" s="149"/>
      <c r="AW1" s="149"/>
      <c r="AX1" s="149"/>
      <c r="AY1" s="149"/>
      <c r="AZ1" s="14"/>
      <c r="BA1" s="1"/>
      <c r="BB1" s="1"/>
      <c r="BC1" s="14"/>
    </row>
    <row r="2" spans="1:55">
      <c r="A2" s="1"/>
      <c r="B2" s="1"/>
      <c r="C2" s="1"/>
      <c r="D2" s="1"/>
      <c r="E2" s="1"/>
      <c r="F2" s="1"/>
      <c r="G2" s="1"/>
      <c r="H2" s="1"/>
      <c r="I2" s="1"/>
      <c r="J2" s="1"/>
      <c r="K2" s="1"/>
      <c r="L2" s="149" t="s">
        <v>413</v>
      </c>
      <c r="M2" s="149"/>
      <c r="N2" s="149"/>
      <c r="O2" s="149"/>
      <c r="P2" s="149"/>
      <c r="Q2" s="149"/>
      <c r="R2" s="1"/>
      <c r="S2" s="150" t="s">
        <v>414</v>
      </c>
      <c r="T2" s="150"/>
      <c r="U2" s="150"/>
      <c r="V2" s="150"/>
      <c r="W2" s="150"/>
      <c r="X2" s="150"/>
      <c r="Y2" s="151" t="s">
        <v>415</v>
      </c>
      <c r="Z2" s="151"/>
      <c r="AA2" s="151"/>
      <c r="AB2" s="151"/>
      <c r="AC2" s="151" t="s">
        <v>416</v>
      </c>
      <c r="AD2" s="151"/>
      <c r="AE2" s="151"/>
      <c r="AF2" s="151"/>
      <c r="AG2" s="151"/>
      <c r="AH2" s="14"/>
      <c r="AI2" s="14"/>
      <c r="AJ2" s="14"/>
      <c r="AK2" s="1"/>
      <c r="AL2" s="149"/>
      <c r="AM2" s="149"/>
      <c r="AN2" s="149"/>
      <c r="AO2" s="149"/>
      <c r="AP2" s="149"/>
      <c r="AQ2" s="149"/>
      <c r="AR2" s="14"/>
      <c r="AS2" s="14"/>
      <c r="AT2" s="14"/>
      <c r="AU2" s="14"/>
      <c r="AV2" s="14"/>
      <c r="AW2" s="14"/>
      <c r="AX2" s="14"/>
      <c r="AY2" s="14"/>
      <c r="AZ2" s="14"/>
      <c r="BA2" s="1"/>
      <c r="BB2" s="1"/>
      <c r="BC2" s="14"/>
    </row>
    <row r="3" spans="1:55">
      <c r="A3" s="1" t="s">
        <v>417</v>
      </c>
      <c r="B3" s="1"/>
      <c r="C3" s="1" t="s">
        <v>94</v>
      </c>
      <c r="D3" s="1" t="s">
        <v>418</v>
      </c>
      <c r="E3" s="1" t="s">
        <v>419</v>
      </c>
      <c r="F3" s="1"/>
      <c r="G3" s="1" t="s">
        <v>118</v>
      </c>
      <c r="H3" s="1" t="s">
        <v>420</v>
      </c>
      <c r="I3" s="1" t="s">
        <v>421</v>
      </c>
      <c r="J3" s="1"/>
      <c r="K3" s="1"/>
      <c r="L3" s="1" t="s">
        <v>422</v>
      </c>
      <c r="M3" s="1" t="s">
        <v>119</v>
      </c>
      <c r="N3" s="1" t="s">
        <v>423</v>
      </c>
      <c r="O3" s="1" t="s">
        <v>424</v>
      </c>
      <c r="P3" s="1" t="s">
        <v>425</v>
      </c>
      <c r="Q3" s="1" t="s">
        <v>426</v>
      </c>
      <c r="R3" s="1"/>
      <c r="S3" s="1" t="s">
        <v>427</v>
      </c>
      <c r="T3" s="1" t="s">
        <v>96</v>
      </c>
      <c r="U3" s="1" t="s">
        <v>428</v>
      </c>
      <c r="V3" s="1" t="s">
        <v>110</v>
      </c>
      <c r="W3" s="1" t="s">
        <v>429</v>
      </c>
      <c r="X3" s="1" t="s">
        <v>430</v>
      </c>
      <c r="Y3" s="1" t="s">
        <v>431</v>
      </c>
      <c r="Z3" s="1" t="s">
        <v>108</v>
      </c>
      <c r="AA3" s="1" t="s">
        <v>100</v>
      </c>
      <c r="AB3" s="1" t="s">
        <v>432</v>
      </c>
      <c r="AC3" s="1" t="s">
        <v>433</v>
      </c>
      <c r="AD3" s="1" t="s">
        <v>434</v>
      </c>
      <c r="AE3" s="1" t="s">
        <v>104</v>
      </c>
      <c r="AF3" s="1" t="s">
        <v>435</v>
      </c>
      <c r="AG3" s="1" t="s">
        <v>436</v>
      </c>
      <c r="AH3" s="1"/>
      <c r="AI3" s="1"/>
      <c r="AJ3" s="1"/>
      <c r="AK3" s="1"/>
      <c r="AL3" s="127" t="s">
        <v>437</v>
      </c>
      <c r="AM3" s="127"/>
      <c r="AN3" s="127"/>
      <c r="AO3" s="127" t="s">
        <v>438</v>
      </c>
      <c r="AP3" s="127"/>
      <c r="AQ3" s="127"/>
      <c r="AR3" s="15"/>
      <c r="AS3" s="15"/>
      <c r="AT3" s="15"/>
      <c r="AU3" s="15"/>
      <c r="AV3" s="15"/>
      <c r="AW3" s="15"/>
      <c r="AX3" s="15"/>
      <c r="AY3" s="15"/>
      <c r="AZ3" s="15"/>
      <c r="BA3" s="1"/>
      <c r="BB3" s="1"/>
      <c r="BC3" s="15"/>
    </row>
    <row r="4" spans="1:55">
      <c r="A4" s="1" t="s">
        <v>117</v>
      </c>
      <c r="B4" s="1"/>
      <c r="C4" s="1" t="s">
        <v>95</v>
      </c>
      <c r="D4" s="1" t="s">
        <v>439</v>
      </c>
      <c r="E4" s="1" t="s">
        <v>440</v>
      </c>
      <c r="F4" s="1"/>
      <c r="G4" s="1" t="s">
        <v>422</v>
      </c>
      <c r="H4" s="1" t="s">
        <v>422</v>
      </c>
      <c r="I4" s="1" t="s">
        <v>422</v>
      </c>
      <c r="J4" s="1"/>
      <c r="K4" s="1"/>
      <c r="L4" s="1" t="s">
        <v>441</v>
      </c>
      <c r="M4" s="1" t="s">
        <v>383</v>
      </c>
      <c r="N4" s="1" t="s">
        <v>101</v>
      </c>
      <c r="O4" s="1" t="s">
        <v>442</v>
      </c>
      <c r="P4" s="1" t="s">
        <v>443</v>
      </c>
      <c r="Q4" s="1" t="s">
        <v>444</v>
      </c>
      <c r="R4" s="1"/>
      <c r="S4" s="1" t="s">
        <v>441</v>
      </c>
      <c r="T4" s="1" t="s">
        <v>383</v>
      </c>
      <c r="U4" s="1" t="s">
        <v>101</v>
      </c>
      <c r="V4" s="1" t="s">
        <v>442</v>
      </c>
      <c r="W4" s="1" t="s">
        <v>443</v>
      </c>
      <c r="X4" s="1" t="s">
        <v>444</v>
      </c>
      <c r="Y4" s="1" t="s">
        <v>445</v>
      </c>
      <c r="Z4" s="1" t="s">
        <v>446</v>
      </c>
      <c r="AA4" s="1" t="s">
        <v>447</v>
      </c>
      <c r="AB4" s="1" t="s">
        <v>448</v>
      </c>
      <c r="AC4" s="1" t="s">
        <v>449</v>
      </c>
      <c r="AD4" s="1" t="s">
        <v>445</v>
      </c>
      <c r="AE4" s="1" t="s">
        <v>449</v>
      </c>
      <c r="AF4" s="1" t="s">
        <v>450</v>
      </c>
      <c r="AG4" s="1" t="s">
        <v>451</v>
      </c>
      <c r="AH4" s="1"/>
      <c r="AI4" s="1"/>
      <c r="AJ4" s="1"/>
      <c r="AK4" s="1"/>
      <c r="AL4" s="16" t="s">
        <v>452</v>
      </c>
      <c r="AM4" s="16" t="s">
        <v>453</v>
      </c>
      <c r="AN4" s="16" t="s">
        <v>454</v>
      </c>
      <c r="AO4" s="16" t="s">
        <v>455</v>
      </c>
      <c r="AP4" s="17" t="s">
        <v>456</v>
      </c>
      <c r="AQ4" s="16" t="s">
        <v>457</v>
      </c>
      <c r="AR4" s="15"/>
      <c r="AS4" s="15"/>
      <c r="AT4" s="1" t="s">
        <v>458</v>
      </c>
      <c r="AU4" s="1" t="s">
        <v>459</v>
      </c>
      <c r="AV4" s="1" t="s">
        <v>460</v>
      </c>
      <c r="AW4" s="1" t="s">
        <v>461</v>
      </c>
      <c r="AX4" s="1" t="s">
        <v>462</v>
      </c>
      <c r="AY4" s="1" t="s">
        <v>463</v>
      </c>
      <c r="AZ4" s="15"/>
      <c r="BA4" s="1"/>
      <c r="BB4" s="1"/>
      <c r="BC4" s="15"/>
    </row>
    <row r="5" spans="1:55">
      <c r="A5" s="1" t="s">
        <v>94</v>
      </c>
      <c r="B5" s="1"/>
      <c r="C5" s="1" t="s">
        <v>99</v>
      </c>
      <c r="D5" s="1" t="s">
        <v>464</v>
      </c>
      <c r="E5" s="1" t="s">
        <v>465</v>
      </c>
      <c r="F5" s="1"/>
      <c r="G5" s="1" t="s">
        <v>119</v>
      </c>
      <c r="H5" s="1" t="s">
        <v>119</v>
      </c>
      <c r="I5" s="1" t="s">
        <v>119</v>
      </c>
      <c r="J5" s="1"/>
      <c r="K5" s="1"/>
      <c r="L5" s="1" t="s">
        <v>466</v>
      </c>
      <c r="M5" s="1" t="s">
        <v>467</v>
      </c>
      <c r="N5" s="1" t="s">
        <v>468</v>
      </c>
      <c r="O5" s="1" t="s">
        <v>72</v>
      </c>
      <c r="P5" s="1" t="s">
        <v>380</v>
      </c>
      <c r="Q5" s="1" t="s">
        <v>469</v>
      </c>
      <c r="R5" s="1"/>
      <c r="S5" s="1" t="s">
        <v>466</v>
      </c>
      <c r="T5" s="1" t="s">
        <v>467</v>
      </c>
      <c r="U5" s="1" t="s">
        <v>468</v>
      </c>
      <c r="V5" s="1" t="s">
        <v>72</v>
      </c>
      <c r="W5" s="1" t="s">
        <v>380</v>
      </c>
      <c r="X5" s="1" t="s">
        <v>469</v>
      </c>
      <c r="Y5" s="1" t="s">
        <v>443</v>
      </c>
      <c r="Z5" s="1" t="s">
        <v>442</v>
      </c>
      <c r="AA5" s="1" t="s">
        <v>470</v>
      </c>
      <c r="AB5" s="1" t="s">
        <v>471</v>
      </c>
      <c r="AC5" s="1" t="s">
        <v>472</v>
      </c>
      <c r="AD5" s="1" t="s">
        <v>473</v>
      </c>
      <c r="AE5" s="1" t="s">
        <v>474</v>
      </c>
      <c r="AF5" s="1" t="s">
        <v>475</v>
      </c>
      <c r="AG5" s="1" t="s">
        <v>476</v>
      </c>
      <c r="AH5" s="1"/>
      <c r="AI5" s="1"/>
      <c r="AJ5" s="1"/>
      <c r="AK5" s="1"/>
      <c r="AL5" s="18" t="s">
        <v>477</v>
      </c>
      <c r="AM5" s="18" t="s">
        <v>478</v>
      </c>
      <c r="AN5" s="18" t="s">
        <v>470</v>
      </c>
      <c r="AO5" s="18" t="s">
        <v>479</v>
      </c>
      <c r="AP5" s="18" t="s">
        <v>443</v>
      </c>
      <c r="AQ5" s="18" t="s">
        <v>388</v>
      </c>
      <c r="AR5" s="18"/>
      <c r="AS5" s="18"/>
      <c r="AT5" s="19" t="s">
        <v>477</v>
      </c>
      <c r="AU5" s="20" t="s">
        <v>383</v>
      </c>
      <c r="AV5" s="19" t="s">
        <v>479</v>
      </c>
      <c r="AW5" s="19" t="s">
        <v>470</v>
      </c>
      <c r="AX5" s="20" t="s">
        <v>449</v>
      </c>
      <c r="AY5" s="20" t="s">
        <v>449</v>
      </c>
      <c r="AZ5" s="18"/>
      <c r="BA5" s="1"/>
      <c r="BB5" s="1"/>
      <c r="BC5" s="18"/>
    </row>
    <row r="6" spans="1:55">
      <c r="A6" s="1" t="s">
        <v>418</v>
      </c>
      <c r="B6" s="1"/>
      <c r="C6" s="1" t="s">
        <v>103</v>
      </c>
      <c r="D6" s="1" t="s">
        <v>480</v>
      </c>
      <c r="E6" s="1" t="s">
        <v>481</v>
      </c>
      <c r="F6" s="1"/>
      <c r="G6" s="1" t="s">
        <v>423</v>
      </c>
      <c r="H6" s="1" t="s">
        <v>423</v>
      </c>
      <c r="I6" s="1" t="s">
        <v>423</v>
      </c>
      <c r="J6" s="1"/>
      <c r="K6" s="1"/>
      <c r="L6" s="1" t="s">
        <v>482</v>
      </c>
      <c r="M6" s="1" t="s">
        <v>483</v>
      </c>
      <c r="N6" s="1" t="s">
        <v>484</v>
      </c>
      <c r="O6" s="1" t="s">
        <v>485</v>
      </c>
      <c r="P6" s="1" t="s">
        <v>448</v>
      </c>
      <c r="Q6" s="1" t="s">
        <v>486</v>
      </c>
      <c r="R6" s="1"/>
      <c r="S6" s="1" t="s">
        <v>482</v>
      </c>
      <c r="T6" s="1" t="s">
        <v>483</v>
      </c>
      <c r="U6" s="1" t="s">
        <v>484</v>
      </c>
      <c r="V6" s="1" t="s">
        <v>485</v>
      </c>
      <c r="W6" s="1" t="s">
        <v>448</v>
      </c>
      <c r="X6" s="1" t="s">
        <v>486</v>
      </c>
      <c r="Y6" s="1" t="s">
        <v>487</v>
      </c>
      <c r="Z6" s="1" t="s">
        <v>487</v>
      </c>
      <c r="AA6" s="1" t="s">
        <v>443</v>
      </c>
      <c r="AB6" s="1" t="s">
        <v>478</v>
      </c>
      <c r="AC6" s="1" t="s">
        <v>488</v>
      </c>
      <c r="AD6" s="1" t="s">
        <v>477</v>
      </c>
      <c r="AE6" s="1" t="s">
        <v>477</v>
      </c>
      <c r="AF6" s="1" t="s">
        <v>448</v>
      </c>
      <c r="AG6" s="1" t="s">
        <v>489</v>
      </c>
      <c r="AH6" s="1"/>
      <c r="AI6" s="1"/>
      <c r="AJ6" s="1"/>
      <c r="AK6" s="1"/>
      <c r="AL6" s="18" t="s">
        <v>482</v>
      </c>
      <c r="AM6" s="18" t="s">
        <v>490</v>
      </c>
      <c r="AN6" s="18" t="s">
        <v>479</v>
      </c>
      <c r="AO6" s="18" t="s">
        <v>442</v>
      </c>
      <c r="AP6" s="18" t="s">
        <v>491</v>
      </c>
      <c r="AQ6" s="18" t="s">
        <v>492</v>
      </c>
      <c r="AR6" s="18"/>
      <c r="AS6" s="18"/>
      <c r="AT6" s="21" t="s">
        <v>482</v>
      </c>
      <c r="AU6" s="22" t="s">
        <v>467</v>
      </c>
      <c r="AV6" s="20" t="s">
        <v>442</v>
      </c>
      <c r="AW6" s="21" t="s">
        <v>479</v>
      </c>
      <c r="AX6" s="22" t="s">
        <v>450</v>
      </c>
      <c r="AY6" s="20" t="s">
        <v>474</v>
      </c>
      <c r="AZ6" s="18"/>
      <c r="BA6" s="1"/>
      <c r="BB6" s="1"/>
      <c r="BC6" s="18"/>
    </row>
    <row r="7" spans="1:55">
      <c r="A7" s="1" t="s">
        <v>419</v>
      </c>
      <c r="B7" s="1"/>
      <c r="C7" s="1"/>
      <c r="D7" s="1" t="s">
        <v>493</v>
      </c>
      <c r="E7" s="1"/>
      <c r="F7" s="1"/>
      <c r="G7" s="1" t="s">
        <v>424</v>
      </c>
      <c r="H7" s="1" t="s">
        <v>424</v>
      </c>
      <c r="I7" s="1" t="s">
        <v>424</v>
      </c>
      <c r="J7" s="1"/>
      <c r="K7" s="1"/>
      <c r="L7" s="1" t="s">
        <v>494</v>
      </c>
      <c r="M7" s="1" t="s">
        <v>384</v>
      </c>
      <c r="N7" s="1" t="s">
        <v>495</v>
      </c>
      <c r="O7" s="1" t="s">
        <v>496</v>
      </c>
      <c r="P7" s="1" t="s">
        <v>448</v>
      </c>
      <c r="Q7" s="1" t="s">
        <v>497</v>
      </c>
      <c r="R7" s="1"/>
      <c r="S7" s="1" t="s">
        <v>494</v>
      </c>
      <c r="T7" s="1" t="s">
        <v>384</v>
      </c>
      <c r="U7" s="1" t="s">
        <v>495</v>
      </c>
      <c r="V7" s="1" t="s">
        <v>496</v>
      </c>
      <c r="W7" s="1" t="s">
        <v>448</v>
      </c>
      <c r="X7" s="1" t="s">
        <v>497</v>
      </c>
      <c r="Y7" s="1" t="s">
        <v>497</v>
      </c>
      <c r="Z7" s="1" t="s">
        <v>498</v>
      </c>
      <c r="AA7" s="1" t="s">
        <v>487</v>
      </c>
      <c r="AB7" s="1" t="s">
        <v>499</v>
      </c>
      <c r="AC7" s="1" t="s">
        <v>101</v>
      </c>
      <c r="AD7" s="1" t="s">
        <v>500</v>
      </c>
      <c r="AE7" s="1" t="s">
        <v>501</v>
      </c>
      <c r="AF7" s="1" t="s">
        <v>502</v>
      </c>
      <c r="AG7" s="1" t="s">
        <v>503</v>
      </c>
      <c r="AH7" s="1"/>
      <c r="AI7" s="1"/>
      <c r="AJ7" s="1"/>
      <c r="AK7" s="1"/>
      <c r="AL7" s="18" t="s">
        <v>504</v>
      </c>
      <c r="AM7" s="18" t="s">
        <v>505</v>
      </c>
      <c r="AN7" s="18" t="s">
        <v>485</v>
      </c>
      <c r="AO7" s="18" t="s">
        <v>506</v>
      </c>
      <c r="AP7" s="18" t="s">
        <v>489</v>
      </c>
      <c r="AQ7" s="18" t="s">
        <v>507</v>
      </c>
      <c r="AR7" s="18"/>
      <c r="AS7" s="18"/>
      <c r="AT7" s="19" t="s">
        <v>504</v>
      </c>
      <c r="AU7" s="1" t="s">
        <v>478</v>
      </c>
      <c r="AV7" s="22" t="s">
        <v>72</v>
      </c>
      <c r="AW7" s="20" t="s">
        <v>101</v>
      </c>
      <c r="AX7" s="20" t="s">
        <v>474</v>
      </c>
      <c r="AY7" s="20" t="s">
        <v>476</v>
      </c>
      <c r="AZ7" s="18"/>
      <c r="BA7" s="1"/>
      <c r="BB7" s="1"/>
      <c r="BC7" s="18"/>
    </row>
    <row r="8" spans="1:55">
      <c r="A8" s="1"/>
      <c r="B8" s="1"/>
      <c r="C8" s="1"/>
      <c r="D8" s="1"/>
      <c r="E8" s="1"/>
      <c r="F8" s="1"/>
      <c r="G8" s="1" t="s">
        <v>425</v>
      </c>
      <c r="H8" s="1" t="s">
        <v>425</v>
      </c>
      <c r="I8" s="1" t="s">
        <v>425</v>
      </c>
      <c r="J8" s="1"/>
      <c r="K8" s="1"/>
      <c r="L8" s="1" t="s">
        <v>508</v>
      </c>
      <c r="M8" s="1" t="s">
        <v>509</v>
      </c>
      <c r="N8" s="1" t="s">
        <v>385</v>
      </c>
      <c r="O8" s="1" t="s">
        <v>490</v>
      </c>
      <c r="P8" s="1" t="s">
        <v>510</v>
      </c>
      <c r="Q8" s="1" t="s">
        <v>511</v>
      </c>
      <c r="R8" s="1"/>
      <c r="S8" s="1" t="s">
        <v>508</v>
      </c>
      <c r="T8" s="1" t="s">
        <v>509</v>
      </c>
      <c r="U8" s="1" t="s">
        <v>385</v>
      </c>
      <c r="V8" s="1" t="s">
        <v>490</v>
      </c>
      <c r="W8" s="1" t="s">
        <v>510</v>
      </c>
      <c r="X8" s="1" t="s">
        <v>511</v>
      </c>
      <c r="Y8" s="1" t="s">
        <v>72</v>
      </c>
      <c r="Z8" s="1" t="s">
        <v>101</v>
      </c>
      <c r="AA8" s="1" t="s">
        <v>512</v>
      </c>
      <c r="AB8" s="1" t="s">
        <v>513</v>
      </c>
      <c r="AC8" s="1" t="s">
        <v>514</v>
      </c>
      <c r="AD8" s="1" t="s">
        <v>381</v>
      </c>
      <c r="AE8" s="1" t="s">
        <v>515</v>
      </c>
      <c r="AF8" s="1" t="s">
        <v>516</v>
      </c>
      <c r="AG8" s="1" t="s">
        <v>496</v>
      </c>
      <c r="AH8" s="1"/>
      <c r="AI8" s="1"/>
      <c r="AJ8" s="1"/>
      <c r="AK8" s="1"/>
      <c r="AL8" s="18" t="s">
        <v>508</v>
      </c>
      <c r="AM8" s="18" t="s">
        <v>517</v>
      </c>
      <c r="AN8" s="18" t="s">
        <v>496</v>
      </c>
      <c r="AO8" s="18" t="s">
        <v>518</v>
      </c>
      <c r="AP8" s="18" t="s">
        <v>519</v>
      </c>
      <c r="AQ8" s="18" t="s">
        <v>520</v>
      </c>
      <c r="AR8" s="18"/>
      <c r="AS8" s="18"/>
      <c r="AT8" s="21" t="s">
        <v>508</v>
      </c>
      <c r="AU8" s="20" t="s">
        <v>483</v>
      </c>
      <c r="AV8" s="20" t="s">
        <v>101</v>
      </c>
      <c r="AW8" s="19" t="s">
        <v>485</v>
      </c>
      <c r="AX8" s="22" t="s">
        <v>476</v>
      </c>
      <c r="AY8" s="20" t="s">
        <v>501</v>
      </c>
      <c r="AZ8" s="18"/>
      <c r="BA8" s="1"/>
      <c r="BB8" s="1"/>
      <c r="BC8" s="18"/>
    </row>
    <row r="9" spans="1:55">
      <c r="A9" s="1"/>
      <c r="B9" s="1"/>
      <c r="C9" s="1"/>
      <c r="D9" s="1"/>
      <c r="E9" s="1"/>
      <c r="F9" s="1"/>
      <c r="G9" s="1" t="s">
        <v>426</v>
      </c>
      <c r="H9" s="1" t="s">
        <v>426</v>
      </c>
      <c r="I9" s="1" t="s">
        <v>426</v>
      </c>
      <c r="J9" s="1"/>
      <c r="K9" s="1"/>
      <c r="L9" s="1" t="s">
        <v>387</v>
      </c>
      <c r="M9" s="1" t="s">
        <v>521</v>
      </c>
      <c r="N9" s="1" t="s">
        <v>522</v>
      </c>
      <c r="O9" s="1" t="s">
        <v>516</v>
      </c>
      <c r="P9" s="1" t="s">
        <v>523</v>
      </c>
      <c r="Q9" s="1" t="s">
        <v>381</v>
      </c>
      <c r="R9" s="1"/>
      <c r="S9" s="1" t="s">
        <v>387</v>
      </c>
      <c r="T9" s="1" t="s">
        <v>521</v>
      </c>
      <c r="U9" s="1" t="s">
        <v>522</v>
      </c>
      <c r="V9" s="1" t="s">
        <v>516</v>
      </c>
      <c r="W9" s="1" t="s">
        <v>523</v>
      </c>
      <c r="X9" s="1" t="s">
        <v>381</v>
      </c>
      <c r="Y9" s="1" t="s">
        <v>101</v>
      </c>
      <c r="Z9" s="1" t="s">
        <v>448</v>
      </c>
      <c r="AA9" s="1" t="s">
        <v>101</v>
      </c>
      <c r="AB9" s="1" t="s">
        <v>495</v>
      </c>
      <c r="AC9" s="1" t="s">
        <v>514</v>
      </c>
      <c r="AD9" s="1" t="s">
        <v>524</v>
      </c>
      <c r="AE9" s="1" t="s">
        <v>525</v>
      </c>
      <c r="AF9" s="1" t="s">
        <v>526</v>
      </c>
      <c r="AG9" s="1" t="s">
        <v>527</v>
      </c>
      <c r="AH9" s="1"/>
      <c r="AI9" s="1"/>
      <c r="AJ9" s="1"/>
      <c r="AK9" s="1"/>
      <c r="AL9" s="18" t="s">
        <v>387</v>
      </c>
      <c r="AM9" s="18" t="s">
        <v>528</v>
      </c>
      <c r="AN9" s="18" t="s">
        <v>502</v>
      </c>
      <c r="AO9" s="18" t="s">
        <v>496</v>
      </c>
      <c r="AP9" s="18" t="s">
        <v>529</v>
      </c>
      <c r="AQ9" s="18" t="s">
        <v>530</v>
      </c>
      <c r="AR9" s="18"/>
      <c r="AS9" s="18"/>
      <c r="AT9" s="19" t="s">
        <v>387</v>
      </c>
      <c r="AU9" s="21" t="s">
        <v>490</v>
      </c>
      <c r="AV9" s="20" t="s">
        <v>506</v>
      </c>
      <c r="AW9" s="22" t="s">
        <v>468</v>
      </c>
      <c r="AX9" s="22" t="s">
        <v>477</v>
      </c>
      <c r="AY9" s="22" t="s">
        <v>515</v>
      </c>
      <c r="AZ9" s="18"/>
      <c r="BA9" s="1"/>
      <c r="BB9" s="1"/>
      <c r="BC9" s="18"/>
    </row>
    <row r="10" spans="1:55">
      <c r="A10" s="1"/>
      <c r="B10" s="1"/>
      <c r="C10" s="1"/>
      <c r="D10" s="1"/>
      <c r="E10" s="1"/>
      <c r="F10" s="1"/>
      <c r="G10" s="1"/>
      <c r="H10" s="1"/>
      <c r="I10" s="1"/>
      <c r="J10" s="1"/>
      <c r="K10" s="1"/>
      <c r="L10" s="1" t="s">
        <v>531</v>
      </c>
      <c r="M10" s="1" t="s">
        <v>532</v>
      </c>
      <c r="N10" s="1" t="s">
        <v>517</v>
      </c>
      <c r="O10" s="1" t="s">
        <v>505</v>
      </c>
      <c r="P10" s="1" t="s">
        <v>485</v>
      </c>
      <c r="Q10" s="1" t="s">
        <v>382</v>
      </c>
      <c r="R10" s="1"/>
      <c r="S10" s="1" t="s">
        <v>531</v>
      </c>
      <c r="T10" s="1" t="s">
        <v>532</v>
      </c>
      <c r="U10" s="1" t="s">
        <v>517</v>
      </c>
      <c r="V10" s="1" t="s">
        <v>505</v>
      </c>
      <c r="W10" s="1" t="s">
        <v>485</v>
      </c>
      <c r="X10" s="1" t="s">
        <v>382</v>
      </c>
      <c r="Y10" s="1" t="s">
        <v>533</v>
      </c>
      <c r="Z10" s="1" t="s">
        <v>513</v>
      </c>
      <c r="AA10" s="1" t="s">
        <v>534</v>
      </c>
      <c r="AB10" s="1" t="s">
        <v>385</v>
      </c>
      <c r="AC10" s="1" t="s">
        <v>535</v>
      </c>
      <c r="AD10" s="1" t="s">
        <v>478</v>
      </c>
      <c r="AE10" s="1" t="s">
        <v>489</v>
      </c>
      <c r="AF10" s="1" t="s">
        <v>536</v>
      </c>
      <c r="AG10" s="1" t="s">
        <v>537</v>
      </c>
      <c r="AH10" s="1"/>
      <c r="AI10" s="1"/>
      <c r="AJ10" s="1"/>
      <c r="AK10" s="1"/>
      <c r="AL10" s="18" t="s">
        <v>531</v>
      </c>
      <c r="AM10" s="18" t="s">
        <v>538</v>
      </c>
      <c r="AN10" s="18" t="s">
        <v>539</v>
      </c>
      <c r="AO10" s="18" t="s">
        <v>540</v>
      </c>
      <c r="AP10" s="18" t="s">
        <v>484</v>
      </c>
      <c r="AQ10" s="18" t="s">
        <v>396</v>
      </c>
      <c r="AR10" s="18"/>
      <c r="AS10" s="18"/>
      <c r="AT10" s="21" t="s">
        <v>531</v>
      </c>
      <c r="AU10" s="22" t="s">
        <v>384</v>
      </c>
      <c r="AV10" s="22" t="s">
        <v>518</v>
      </c>
      <c r="AW10" s="21" t="s">
        <v>496</v>
      </c>
      <c r="AX10" s="22" t="s">
        <v>501</v>
      </c>
      <c r="AY10" s="20" t="s">
        <v>525</v>
      </c>
      <c r="AZ10" s="18"/>
      <c r="BA10" s="1"/>
      <c r="BB10" s="1"/>
      <c r="BC10" s="18"/>
    </row>
    <row r="11" spans="1:55">
      <c r="A11" s="1"/>
      <c r="B11" s="1"/>
      <c r="C11" s="1"/>
      <c r="D11" s="1"/>
      <c r="E11" s="1"/>
      <c r="F11" s="1"/>
      <c r="G11" s="1" t="s">
        <v>439</v>
      </c>
      <c r="H11" s="1" t="s">
        <v>464</v>
      </c>
      <c r="I11" s="1" t="s">
        <v>541</v>
      </c>
      <c r="J11" s="1" t="s">
        <v>493</v>
      </c>
      <c r="K11" s="1"/>
      <c r="L11" s="1" t="s">
        <v>517</v>
      </c>
      <c r="M11" s="1" t="s">
        <v>542</v>
      </c>
      <c r="N11" s="1" t="s">
        <v>543</v>
      </c>
      <c r="O11" s="1" t="s">
        <v>521</v>
      </c>
      <c r="P11" s="1" t="s">
        <v>495</v>
      </c>
      <c r="Q11" s="1" t="s">
        <v>544</v>
      </c>
      <c r="R11" s="1"/>
      <c r="S11" s="1" t="s">
        <v>517</v>
      </c>
      <c r="T11" s="1" t="s">
        <v>542</v>
      </c>
      <c r="U11" s="1" t="s">
        <v>543</v>
      </c>
      <c r="V11" s="1" t="s">
        <v>521</v>
      </c>
      <c r="W11" s="1" t="s">
        <v>495</v>
      </c>
      <c r="X11" s="1" t="s">
        <v>544</v>
      </c>
      <c r="Y11" s="1" t="s">
        <v>448</v>
      </c>
      <c r="Z11" s="1" t="s">
        <v>385</v>
      </c>
      <c r="AA11" s="1" t="s">
        <v>513</v>
      </c>
      <c r="AB11" s="1" t="s">
        <v>545</v>
      </c>
      <c r="AC11" s="1" t="s">
        <v>503</v>
      </c>
      <c r="AD11" s="1" t="s">
        <v>527</v>
      </c>
      <c r="AE11" s="1" t="s">
        <v>514</v>
      </c>
      <c r="AF11" s="1" t="s">
        <v>387</v>
      </c>
      <c r="AG11" s="1" t="s">
        <v>546</v>
      </c>
      <c r="AH11" s="1"/>
      <c r="AI11" s="1"/>
      <c r="AJ11" s="1"/>
      <c r="AK11" s="1"/>
      <c r="AL11" s="18" t="s">
        <v>547</v>
      </c>
      <c r="AM11" s="18" t="s">
        <v>548</v>
      </c>
      <c r="AN11" s="18" t="s">
        <v>517</v>
      </c>
      <c r="AO11" s="18" t="s">
        <v>490</v>
      </c>
      <c r="AP11" s="18" t="s">
        <v>490</v>
      </c>
      <c r="AQ11" s="18" t="s">
        <v>549</v>
      </c>
      <c r="AR11" s="18"/>
      <c r="AS11" s="18"/>
      <c r="AT11" s="19" t="s">
        <v>547</v>
      </c>
      <c r="AU11" s="19" t="s">
        <v>505</v>
      </c>
      <c r="AV11" s="20" t="s">
        <v>485</v>
      </c>
      <c r="AW11" s="20" t="s">
        <v>484</v>
      </c>
      <c r="AX11" s="22" t="s">
        <v>515</v>
      </c>
      <c r="AY11" s="20" t="s">
        <v>475</v>
      </c>
      <c r="AZ11" s="18"/>
      <c r="BA11" s="1"/>
      <c r="BB11" s="1"/>
      <c r="BC11" s="18"/>
    </row>
    <row r="12" spans="1:55">
      <c r="A12" s="1"/>
      <c r="B12" s="1"/>
      <c r="C12" s="1"/>
      <c r="D12" s="1"/>
      <c r="E12" s="1"/>
      <c r="F12" s="1"/>
      <c r="G12" s="1" t="s">
        <v>452</v>
      </c>
      <c r="H12" s="1" t="s">
        <v>452</v>
      </c>
      <c r="I12" s="1" t="s">
        <v>452</v>
      </c>
      <c r="J12" s="1" t="s">
        <v>452</v>
      </c>
      <c r="K12" s="1"/>
      <c r="L12" s="1" t="s">
        <v>550</v>
      </c>
      <c r="M12" s="1" t="s">
        <v>550</v>
      </c>
      <c r="N12" s="1" t="s">
        <v>551</v>
      </c>
      <c r="O12" s="1" t="s">
        <v>526</v>
      </c>
      <c r="P12" s="1" t="s">
        <v>552</v>
      </c>
      <c r="Q12" s="1" t="s">
        <v>485</v>
      </c>
      <c r="R12" s="1"/>
      <c r="S12" s="1" t="s">
        <v>550</v>
      </c>
      <c r="T12" s="1" t="s">
        <v>550</v>
      </c>
      <c r="U12" s="1" t="s">
        <v>551</v>
      </c>
      <c r="V12" s="1" t="s">
        <v>526</v>
      </c>
      <c r="W12" s="1" t="s">
        <v>552</v>
      </c>
      <c r="X12" s="1" t="s">
        <v>485</v>
      </c>
      <c r="Y12" s="1" t="s">
        <v>381</v>
      </c>
      <c r="Z12" s="1" t="s">
        <v>553</v>
      </c>
      <c r="AA12" s="1" t="s">
        <v>554</v>
      </c>
      <c r="AB12" s="1" t="s">
        <v>555</v>
      </c>
      <c r="AC12" s="1" t="s">
        <v>478</v>
      </c>
      <c r="AD12" s="1" t="s">
        <v>384</v>
      </c>
      <c r="AE12" s="1" t="s">
        <v>500</v>
      </c>
      <c r="AF12" s="1" t="s">
        <v>556</v>
      </c>
      <c r="AG12" s="1" t="s">
        <v>385</v>
      </c>
      <c r="AH12" s="1"/>
      <c r="AI12" s="1"/>
      <c r="AJ12" s="1"/>
      <c r="AK12" s="1"/>
      <c r="AL12" s="18" t="s">
        <v>557</v>
      </c>
      <c r="AM12" s="18" t="s">
        <v>558</v>
      </c>
      <c r="AN12" s="18" t="s">
        <v>388</v>
      </c>
      <c r="AO12" s="18" t="s">
        <v>559</v>
      </c>
      <c r="AP12" s="18" t="s">
        <v>560</v>
      </c>
      <c r="AQ12" s="18" t="s">
        <v>561</v>
      </c>
      <c r="AR12" s="18"/>
      <c r="AS12" s="18"/>
      <c r="AT12" s="21" t="s">
        <v>557</v>
      </c>
      <c r="AU12" s="20" t="s">
        <v>509</v>
      </c>
      <c r="AV12" s="22" t="s">
        <v>468</v>
      </c>
      <c r="AW12" s="22" t="s">
        <v>495</v>
      </c>
      <c r="AX12" s="20" t="s">
        <v>525</v>
      </c>
      <c r="AY12" s="22" t="s">
        <v>514</v>
      </c>
      <c r="AZ12" s="18"/>
      <c r="BA12" s="1"/>
      <c r="BB12" s="1"/>
      <c r="BC12" s="18"/>
    </row>
    <row r="13" spans="1:55">
      <c r="A13" s="1"/>
      <c r="B13" s="1"/>
      <c r="C13" s="1"/>
      <c r="D13" s="1"/>
      <c r="E13" s="1"/>
      <c r="F13" s="1"/>
      <c r="G13" s="1" t="s">
        <v>453</v>
      </c>
      <c r="H13" s="1" t="s">
        <v>453</v>
      </c>
      <c r="I13" s="1" t="s">
        <v>453</v>
      </c>
      <c r="J13" s="1" t="s">
        <v>453</v>
      </c>
      <c r="K13" s="1"/>
      <c r="L13" s="1" t="s">
        <v>557</v>
      </c>
      <c r="M13" s="1" t="s">
        <v>556</v>
      </c>
      <c r="N13" s="1" t="s">
        <v>562</v>
      </c>
      <c r="O13" s="1" t="s">
        <v>542</v>
      </c>
      <c r="P13" s="1" t="s">
        <v>563</v>
      </c>
      <c r="Q13" s="1" t="s">
        <v>564</v>
      </c>
      <c r="R13" s="1"/>
      <c r="S13" s="1" t="s">
        <v>557</v>
      </c>
      <c r="T13" s="1" t="s">
        <v>556</v>
      </c>
      <c r="U13" s="1" t="s">
        <v>562</v>
      </c>
      <c r="V13" s="1" t="s">
        <v>542</v>
      </c>
      <c r="W13" s="1" t="s">
        <v>563</v>
      </c>
      <c r="X13" s="1" t="s">
        <v>564</v>
      </c>
      <c r="Y13" s="1" t="s">
        <v>565</v>
      </c>
      <c r="Z13" s="1" t="s">
        <v>551</v>
      </c>
      <c r="AA13" s="1" t="s">
        <v>566</v>
      </c>
      <c r="AB13" s="1" t="s">
        <v>567</v>
      </c>
      <c r="AC13" s="1" t="s">
        <v>385</v>
      </c>
      <c r="AD13" s="1" t="s">
        <v>386</v>
      </c>
      <c r="AE13" s="1" t="s">
        <v>568</v>
      </c>
      <c r="AF13" s="1" t="s">
        <v>543</v>
      </c>
      <c r="AG13" s="1" t="s">
        <v>569</v>
      </c>
      <c r="AH13" s="1"/>
      <c r="AI13" s="1"/>
      <c r="AJ13" s="1"/>
      <c r="AK13" s="1"/>
      <c r="AL13" s="18" t="s">
        <v>570</v>
      </c>
      <c r="AM13" s="18" t="s">
        <v>571</v>
      </c>
      <c r="AN13" s="18" t="s">
        <v>572</v>
      </c>
      <c r="AO13" s="18" t="s">
        <v>573</v>
      </c>
      <c r="AP13" s="18" t="s">
        <v>495</v>
      </c>
      <c r="AQ13" s="18" t="s">
        <v>574</v>
      </c>
      <c r="AR13" s="18"/>
      <c r="AS13" s="18"/>
      <c r="AT13" s="19" t="s">
        <v>570</v>
      </c>
      <c r="AU13" s="22" t="s">
        <v>521</v>
      </c>
      <c r="AV13" s="22" t="s">
        <v>496</v>
      </c>
      <c r="AW13" s="20" t="s">
        <v>385</v>
      </c>
      <c r="AX13" s="22" t="s">
        <v>475</v>
      </c>
      <c r="AY13" s="20" t="s">
        <v>500</v>
      </c>
      <c r="AZ13" s="18"/>
      <c r="BA13" s="1"/>
      <c r="BB13" s="1"/>
      <c r="BC13" s="18"/>
    </row>
    <row r="14" spans="1:55">
      <c r="A14" s="1"/>
      <c r="B14" s="1"/>
      <c r="C14" s="1"/>
      <c r="D14" s="1"/>
      <c r="E14" s="1"/>
      <c r="F14" s="1"/>
      <c r="G14" s="1" t="s">
        <v>454</v>
      </c>
      <c r="H14" s="1" t="s">
        <v>454</v>
      </c>
      <c r="I14" s="1" t="s">
        <v>454</v>
      </c>
      <c r="J14" s="1" t="s">
        <v>454</v>
      </c>
      <c r="K14" s="1"/>
      <c r="L14" s="1" t="s">
        <v>575</v>
      </c>
      <c r="M14" s="1" t="s">
        <v>551</v>
      </c>
      <c r="N14" s="1" t="s">
        <v>67</v>
      </c>
      <c r="O14" s="1" t="s">
        <v>576</v>
      </c>
      <c r="P14" s="1" t="s">
        <v>502</v>
      </c>
      <c r="Q14" s="1" t="s">
        <v>577</v>
      </c>
      <c r="R14" s="1"/>
      <c r="S14" s="1" t="s">
        <v>575</v>
      </c>
      <c r="T14" s="1" t="s">
        <v>551</v>
      </c>
      <c r="U14" s="1" t="s">
        <v>67</v>
      </c>
      <c r="V14" s="1" t="s">
        <v>576</v>
      </c>
      <c r="W14" s="1" t="s">
        <v>502</v>
      </c>
      <c r="X14" s="1" t="s">
        <v>577</v>
      </c>
      <c r="Y14" s="1" t="s">
        <v>529</v>
      </c>
      <c r="Z14" s="1" t="s">
        <v>578</v>
      </c>
      <c r="AA14" s="1" t="s">
        <v>579</v>
      </c>
      <c r="AB14" s="1" t="s">
        <v>578</v>
      </c>
      <c r="AC14" s="1" t="s">
        <v>579</v>
      </c>
      <c r="AD14" s="1" t="s">
        <v>580</v>
      </c>
      <c r="AE14" s="1" t="s">
        <v>581</v>
      </c>
      <c r="AF14" s="1" t="s">
        <v>582</v>
      </c>
      <c r="AG14" s="1" t="s">
        <v>583</v>
      </c>
      <c r="AH14" s="1"/>
      <c r="AI14" s="1"/>
      <c r="AJ14" s="1"/>
      <c r="AK14" s="1"/>
      <c r="AL14" s="18" t="s">
        <v>584</v>
      </c>
      <c r="AM14" s="18" t="s">
        <v>585</v>
      </c>
      <c r="AN14" s="18" t="s">
        <v>557</v>
      </c>
      <c r="AO14" s="18" t="s">
        <v>586</v>
      </c>
      <c r="AP14" s="18" t="s">
        <v>522</v>
      </c>
      <c r="AQ14" s="18" t="s">
        <v>587</v>
      </c>
      <c r="AR14" s="18"/>
      <c r="AS14" s="18"/>
      <c r="AT14" s="21" t="s">
        <v>584</v>
      </c>
      <c r="AU14" s="20" t="s">
        <v>532</v>
      </c>
      <c r="AV14" s="21" t="s">
        <v>540</v>
      </c>
      <c r="AW14" s="19" t="s">
        <v>502</v>
      </c>
      <c r="AX14" s="22" t="s">
        <v>489</v>
      </c>
      <c r="AY14" s="20" t="s">
        <v>568</v>
      </c>
      <c r="AZ14" s="18"/>
      <c r="BA14" s="1"/>
      <c r="BB14" s="1"/>
      <c r="BC14" s="18"/>
    </row>
    <row r="15" spans="1:55">
      <c r="A15" s="1"/>
      <c r="B15" s="1"/>
      <c r="C15" s="1"/>
      <c r="D15" s="1"/>
      <c r="E15" s="1"/>
      <c r="F15" s="1"/>
      <c r="G15" s="1" t="s">
        <v>455</v>
      </c>
      <c r="H15" s="1" t="s">
        <v>455</v>
      </c>
      <c r="I15" s="1" t="s">
        <v>455</v>
      </c>
      <c r="J15" s="1" t="s">
        <v>455</v>
      </c>
      <c r="K15" s="1"/>
      <c r="L15" s="1" t="s">
        <v>570</v>
      </c>
      <c r="M15" s="1" t="s">
        <v>528</v>
      </c>
      <c r="N15" s="1" t="s">
        <v>572</v>
      </c>
      <c r="O15" s="1" t="s">
        <v>388</v>
      </c>
      <c r="P15" s="1" t="s">
        <v>522</v>
      </c>
      <c r="Q15" s="1" t="s">
        <v>478</v>
      </c>
      <c r="R15" s="1"/>
      <c r="S15" s="1" t="s">
        <v>570</v>
      </c>
      <c r="T15" s="1" t="s">
        <v>528</v>
      </c>
      <c r="U15" s="1" t="s">
        <v>572</v>
      </c>
      <c r="V15" s="1" t="s">
        <v>388</v>
      </c>
      <c r="W15" s="1" t="s">
        <v>522</v>
      </c>
      <c r="X15" s="1" t="s">
        <v>478</v>
      </c>
      <c r="Y15" s="1" t="s">
        <v>490</v>
      </c>
      <c r="Z15" s="1" t="s">
        <v>389</v>
      </c>
      <c r="AA15" s="1" t="s">
        <v>588</v>
      </c>
      <c r="AB15" s="1" t="s">
        <v>67</v>
      </c>
      <c r="AC15" s="1" t="s">
        <v>508</v>
      </c>
      <c r="AD15" s="1" t="s">
        <v>589</v>
      </c>
      <c r="AE15" s="1" t="s">
        <v>503</v>
      </c>
      <c r="AF15" s="1" t="s">
        <v>590</v>
      </c>
      <c r="AG15" s="1" t="s">
        <v>591</v>
      </c>
      <c r="AH15" s="1"/>
      <c r="AI15" s="1"/>
      <c r="AJ15" s="1"/>
      <c r="AK15" s="1"/>
      <c r="AL15" s="18" t="s">
        <v>592</v>
      </c>
      <c r="AM15" s="18" t="s">
        <v>593</v>
      </c>
      <c r="AN15" s="18" t="s">
        <v>127</v>
      </c>
      <c r="AO15" s="18" t="s">
        <v>594</v>
      </c>
      <c r="AP15" s="18" t="s">
        <v>595</v>
      </c>
      <c r="AQ15" s="18" t="s">
        <v>596</v>
      </c>
      <c r="AR15" s="18"/>
      <c r="AS15" s="18"/>
      <c r="AT15" s="19" t="s">
        <v>592</v>
      </c>
      <c r="AU15" s="22" t="s">
        <v>542</v>
      </c>
      <c r="AV15" s="20" t="s">
        <v>484</v>
      </c>
      <c r="AW15" s="22" t="s">
        <v>522</v>
      </c>
      <c r="AX15" s="22" t="s">
        <v>514</v>
      </c>
      <c r="AY15" s="20" t="s">
        <v>581</v>
      </c>
      <c r="AZ15" s="18"/>
      <c r="BA15" s="1"/>
      <c r="BB15" s="1"/>
      <c r="BC15" s="18"/>
    </row>
    <row r="16" spans="1:55">
      <c r="A16" s="1"/>
      <c r="B16" s="1"/>
      <c r="C16" s="1"/>
      <c r="D16" s="1"/>
      <c r="E16" s="1"/>
      <c r="F16" s="1"/>
      <c r="G16" s="1" t="s">
        <v>456</v>
      </c>
      <c r="H16" s="1" t="s">
        <v>456</v>
      </c>
      <c r="I16" s="1" t="s">
        <v>456</v>
      </c>
      <c r="J16" s="1" t="s">
        <v>456</v>
      </c>
      <c r="K16" s="1"/>
      <c r="L16" s="1" t="s">
        <v>111</v>
      </c>
      <c r="M16" s="1" t="s">
        <v>67</v>
      </c>
      <c r="N16" s="1" t="s">
        <v>597</v>
      </c>
      <c r="O16" s="1" t="s">
        <v>598</v>
      </c>
      <c r="P16" s="1" t="s">
        <v>599</v>
      </c>
      <c r="Q16" s="1" t="s">
        <v>552</v>
      </c>
      <c r="R16" s="1"/>
      <c r="S16" s="1" t="s">
        <v>111</v>
      </c>
      <c r="T16" s="1" t="s">
        <v>67</v>
      </c>
      <c r="U16" s="1" t="s">
        <v>597</v>
      </c>
      <c r="V16" s="1" t="s">
        <v>598</v>
      </c>
      <c r="W16" s="1" t="s">
        <v>599</v>
      </c>
      <c r="X16" s="1" t="s">
        <v>552</v>
      </c>
      <c r="Y16" s="1" t="s">
        <v>600</v>
      </c>
      <c r="Z16" s="1" t="s">
        <v>67</v>
      </c>
      <c r="AA16" s="1" t="s">
        <v>389</v>
      </c>
      <c r="AB16" s="1" t="s">
        <v>601</v>
      </c>
      <c r="AC16" s="1" t="s">
        <v>598</v>
      </c>
      <c r="AD16" s="1" t="s">
        <v>508</v>
      </c>
      <c r="AE16" s="1" t="s">
        <v>602</v>
      </c>
      <c r="AF16" s="1" t="s">
        <v>603</v>
      </c>
      <c r="AG16" s="1" t="s">
        <v>589</v>
      </c>
      <c r="AH16" s="1"/>
      <c r="AI16" s="1"/>
      <c r="AJ16" s="1"/>
      <c r="AK16" s="1"/>
      <c r="AL16" s="18" t="s">
        <v>604</v>
      </c>
      <c r="AM16" s="18" t="s">
        <v>605</v>
      </c>
      <c r="AN16" s="18" t="s">
        <v>575</v>
      </c>
      <c r="AO16" s="18" t="s">
        <v>606</v>
      </c>
      <c r="AP16" s="18" t="s">
        <v>599</v>
      </c>
      <c r="AQ16" s="18" t="s">
        <v>607</v>
      </c>
      <c r="AR16" s="18"/>
      <c r="AS16" s="18"/>
      <c r="AT16" s="21" t="s">
        <v>604</v>
      </c>
      <c r="AU16" s="21" t="s">
        <v>517</v>
      </c>
      <c r="AV16" s="20" t="s">
        <v>490</v>
      </c>
      <c r="AW16" s="19" t="s">
        <v>517</v>
      </c>
      <c r="AX16" s="22" t="s">
        <v>500</v>
      </c>
      <c r="AY16" s="20" t="s">
        <v>503</v>
      </c>
      <c r="AZ16" s="18"/>
      <c r="BA16" s="1"/>
      <c r="BB16" s="1"/>
      <c r="BC16" s="18"/>
    </row>
    <row r="17" spans="7:55">
      <c r="G17" s="1" t="s">
        <v>457</v>
      </c>
      <c r="H17" s="1" t="s">
        <v>457</v>
      </c>
      <c r="I17" s="1" t="s">
        <v>457</v>
      </c>
      <c r="J17" s="1" t="s">
        <v>457</v>
      </c>
      <c r="K17" s="1"/>
      <c r="L17" s="1" t="s">
        <v>608</v>
      </c>
      <c r="M17" s="1" t="s">
        <v>111</v>
      </c>
      <c r="N17" s="1" t="s">
        <v>557</v>
      </c>
      <c r="O17" s="1" t="s">
        <v>609</v>
      </c>
      <c r="P17" s="1" t="s">
        <v>610</v>
      </c>
      <c r="Q17" s="1" t="s">
        <v>563</v>
      </c>
      <c r="R17" s="1"/>
      <c r="S17" s="1" t="s">
        <v>608</v>
      </c>
      <c r="T17" s="1" t="s">
        <v>111</v>
      </c>
      <c r="U17" s="1" t="s">
        <v>557</v>
      </c>
      <c r="V17" s="1" t="s">
        <v>609</v>
      </c>
      <c r="W17" s="1" t="s">
        <v>610</v>
      </c>
      <c r="X17" s="1" t="s">
        <v>563</v>
      </c>
      <c r="Y17" s="1" t="s">
        <v>611</v>
      </c>
      <c r="Z17" s="1" t="s">
        <v>612</v>
      </c>
      <c r="AA17" s="1" t="s">
        <v>613</v>
      </c>
      <c r="AB17" s="1" t="s">
        <v>614</v>
      </c>
      <c r="AC17" s="1" t="s">
        <v>578</v>
      </c>
      <c r="AD17" s="1" t="s">
        <v>517</v>
      </c>
      <c r="AE17" s="1" t="s">
        <v>478</v>
      </c>
      <c r="AF17" s="1" t="s">
        <v>615</v>
      </c>
      <c r="AG17" s="1" t="s">
        <v>579</v>
      </c>
      <c r="AH17" s="1"/>
      <c r="AI17" s="1"/>
      <c r="AJ17" s="1"/>
      <c r="AK17" s="1"/>
      <c r="AL17" s="18" t="s">
        <v>616</v>
      </c>
      <c r="AM17" s="18" t="s">
        <v>617</v>
      </c>
      <c r="AN17" s="18" t="s">
        <v>618</v>
      </c>
      <c r="AO17" s="18" t="s">
        <v>557</v>
      </c>
      <c r="AP17" s="18" t="s">
        <v>521</v>
      </c>
      <c r="AQ17" s="18" t="s">
        <v>619</v>
      </c>
      <c r="AR17" s="18"/>
      <c r="AS17" s="18"/>
      <c r="AT17" s="19" t="s">
        <v>616</v>
      </c>
      <c r="AU17" s="20" t="s">
        <v>550</v>
      </c>
      <c r="AV17" s="22" t="s">
        <v>495</v>
      </c>
      <c r="AW17" s="21" t="s">
        <v>388</v>
      </c>
      <c r="AX17" s="22" t="s">
        <v>448</v>
      </c>
      <c r="AY17" s="20" t="s">
        <v>496</v>
      </c>
      <c r="AZ17" s="18"/>
      <c r="BA17" s="1"/>
      <c r="BB17" s="1"/>
      <c r="BC17" s="18"/>
    </row>
    <row r="18" spans="7:55">
      <c r="G18" s="1"/>
      <c r="H18" s="1"/>
      <c r="I18" s="1"/>
      <c r="J18" s="1"/>
      <c r="K18" s="1"/>
      <c r="L18" s="1" t="s">
        <v>620</v>
      </c>
      <c r="M18" s="1" t="s">
        <v>620</v>
      </c>
      <c r="N18" s="1" t="s">
        <v>621</v>
      </c>
      <c r="O18" s="1" t="s">
        <v>586</v>
      </c>
      <c r="P18" s="1" t="s">
        <v>576</v>
      </c>
      <c r="Q18" s="1" t="s">
        <v>622</v>
      </c>
      <c r="R18" s="1"/>
      <c r="S18" s="1" t="s">
        <v>620</v>
      </c>
      <c r="T18" s="1" t="s">
        <v>620</v>
      </c>
      <c r="U18" s="1" t="s">
        <v>621</v>
      </c>
      <c r="V18" s="1" t="s">
        <v>586</v>
      </c>
      <c r="W18" s="1" t="s">
        <v>576</v>
      </c>
      <c r="X18" s="1" t="s">
        <v>622</v>
      </c>
      <c r="Y18" s="1" t="s">
        <v>385</v>
      </c>
      <c r="Z18" s="1" t="s">
        <v>572</v>
      </c>
      <c r="AA18" s="1" t="s">
        <v>606</v>
      </c>
      <c r="AB18" s="1" t="s">
        <v>623</v>
      </c>
      <c r="AC18" s="1" t="s">
        <v>389</v>
      </c>
      <c r="AD18" s="1" t="s">
        <v>528</v>
      </c>
      <c r="AE18" s="1" t="s">
        <v>624</v>
      </c>
      <c r="AF18" s="1" t="s">
        <v>70</v>
      </c>
      <c r="AG18" s="1" t="s">
        <v>562</v>
      </c>
      <c r="AH18" s="1"/>
      <c r="AI18" s="1"/>
      <c r="AJ18" s="1"/>
      <c r="AK18" s="1"/>
      <c r="AL18" s="18" t="s">
        <v>625</v>
      </c>
      <c r="AM18" s="18" t="s">
        <v>408</v>
      </c>
      <c r="AN18" s="18" t="s">
        <v>626</v>
      </c>
      <c r="AO18" s="18" t="s">
        <v>627</v>
      </c>
      <c r="AP18" s="18" t="s">
        <v>542</v>
      </c>
      <c r="AQ18" s="18" t="s">
        <v>628</v>
      </c>
      <c r="AR18" s="18"/>
      <c r="AS18" s="18"/>
      <c r="AT18" s="21" t="s">
        <v>625</v>
      </c>
      <c r="AU18" s="22" t="s">
        <v>556</v>
      </c>
      <c r="AV18" s="20" t="s">
        <v>385</v>
      </c>
      <c r="AW18" s="19" t="s">
        <v>543</v>
      </c>
      <c r="AX18" s="22" t="s">
        <v>568</v>
      </c>
      <c r="AY18" s="20" t="s">
        <v>478</v>
      </c>
      <c r="AZ18" s="18"/>
      <c r="BA18" s="1"/>
      <c r="BB18" s="1"/>
      <c r="BC18" s="18"/>
    </row>
    <row r="19" spans="7:55">
      <c r="G19" s="1" t="s">
        <v>440</v>
      </c>
      <c r="H19" s="1" t="s">
        <v>629</v>
      </c>
      <c r="I19" s="1" t="s">
        <v>481</v>
      </c>
      <c r="J19" s="1"/>
      <c r="K19" s="1"/>
      <c r="L19" s="1" t="s">
        <v>620</v>
      </c>
      <c r="M19" s="1" t="s">
        <v>558</v>
      </c>
      <c r="N19" s="1" t="s">
        <v>127</v>
      </c>
      <c r="O19" s="1" t="s">
        <v>582</v>
      </c>
      <c r="P19" s="1" t="s">
        <v>630</v>
      </c>
      <c r="Q19" s="1" t="s">
        <v>631</v>
      </c>
      <c r="R19" s="1"/>
      <c r="S19" s="1" t="s">
        <v>620</v>
      </c>
      <c r="T19" s="1" t="s">
        <v>558</v>
      </c>
      <c r="U19" s="1" t="s">
        <v>127</v>
      </c>
      <c r="V19" s="1" t="s">
        <v>582</v>
      </c>
      <c r="W19" s="1" t="s">
        <v>630</v>
      </c>
      <c r="X19" s="1" t="s">
        <v>631</v>
      </c>
      <c r="Y19" s="1" t="s">
        <v>522</v>
      </c>
      <c r="Z19" s="1" t="s">
        <v>614</v>
      </c>
      <c r="AA19" s="1" t="s">
        <v>614</v>
      </c>
      <c r="AB19" s="1" t="s">
        <v>127</v>
      </c>
      <c r="AC19" s="1" t="s">
        <v>594</v>
      </c>
      <c r="AD19" s="1" t="s">
        <v>594</v>
      </c>
      <c r="AE19" s="1" t="s">
        <v>632</v>
      </c>
      <c r="AF19" s="1" t="s">
        <v>97</v>
      </c>
      <c r="AG19" s="1" t="s">
        <v>594</v>
      </c>
      <c r="AH19" s="1"/>
      <c r="AI19" s="1"/>
      <c r="AJ19" s="1"/>
      <c r="AK19" s="1"/>
      <c r="AL19" s="18" t="s">
        <v>633</v>
      </c>
      <c r="AM19" s="18" t="s">
        <v>625</v>
      </c>
      <c r="AN19" s="18" t="s">
        <v>97</v>
      </c>
      <c r="AO19" s="18" t="s">
        <v>634</v>
      </c>
      <c r="AP19" s="18" t="s">
        <v>610</v>
      </c>
      <c r="AQ19" s="18" t="s">
        <v>635</v>
      </c>
      <c r="AR19" s="18"/>
      <c r="AS19" s="18"/>
      <c r="AT19" s="19" t="s">
        <v>633</v>
      </c>
      <c r="AU19" s="20" t="s">
        <v>551</v>
      </c>
      <c r="AV19" s="22" t="s">
        <v>516</v>
      </c>
      <c r="AW19" s="19" t="s">
        <v>551</v>
      </c>
      <c r="AX19" s="20" t="s">
        <v>581</v>
      </c>
      <c r="AY19" s="20" t="s">
        <v>537</v>
      </c>
      <c r="AZ19" s="18"/>
      <c r="BA19" s="1"/>
      <c r="BB19" s="1"/>
      <c r="BC19" s="18"/>
    </row>
    <row r="20" spans="7:55">
      <c r="G20" s="1" t="s">
        <v>458</v>
      </c>
      <c r="H20" s="1" t="s">
        <v>458</v>
      </c>
      <c r="I20" s="1" t="s">
        <v>458</v>
      </c>
      <c r="J20" s="1"/>
      <c r="K20" s="1"/>
      <c r="L20" s="1" t="s">
        <v>636</v>
      </c>
      <c r="M20" s="1" t="s">
        <v>637</v>
      </c>
      <c r="N20" s="1" t="s">
        <v>548</v>
      </c>
      <c r="O20" s="1" t="s">
        <v>562</v>
      </c>
      <c r="P20" s="1" t="s">
        <v>388</v>
      </c>
      <c r="Q20" s="1" t="s">
        <v>638</v>
      </c>
      <c r="R20" s="1"/>
      <c r="S20" s="1" t="s">
        <v>636</v>
      </c>
      <c r="T20" s="1" t="s">
        <v>637</v>
      </c>
      <c r="U20" s="1" t="s">
        <v>548</v>
      </c>
      <c r="V20" s="1" t="s">
        <v>562</v>
      </c>
      <c r="W20" s="1" t="s">
        <v>388</v>
      </c>
      <c r="X20" s="1" t="s">
        <v>638</v>
      </c>
      <c r="Y20" s="1" t="s">
        <v>580</v>
      </c>
      <c r="Z20" s="1" t="s">
        <v>639</v>
      </c>
      <c r="AA20" s="1" t="s">
        <v>640</v>
      </c>
      <c r="AB20" s="1" t="s">
        <v>641</v>
      </c>
      <c r="AC20" s="1" t="s">
        <v>557</v>
      </c>
      <c r="AD20" s="1" t="s">
        <v>557</v>
      </c>
      <c r="AE20" s="1" t="s">
        <v>642</v>
      </c>
      <c r="AF20" s="1" t="s">
        <v>643</v>
      </c>
      <c r="AG20" s="1" t="s">
        <v>640</v>
      </c>
      <c r="AH20" s="1"/>
      <c r="AI20" s="1"/>
      <c r="AJ20" s="1"/>
      <c r="AK20" s="1"/>
      <c r="AL20" s="18" t="s">
        <v>644</v>
      </c>
      <c r="AM20" s="18" t="s">
        <v>644</v>
      </c>
      <c r="AN20" s="18" t="s">
        <v>408</v>
      </c>
      <c r="AO20" s="18" t="s">
        <v>111</v>
      </c>
      <c r="AP20" s="18" t="s">
        <v>576</v>
      </c>
      <c r="AQ20" s="18" t="s">
        <v>404</v>
      </c>
      <c r="AR20" s="18"/>
      <c r="AS20" s="18"/>
      <c r="AT20" s="21" t="s">
        <v>644</v>
      </c>
      <c r="AU20" s="19" t="s">
        <v>528</v>
      </c>
      <c r="AV20" s="22" t="s">
        <v>522</v>
      </c>
      <c r="AW20" s="19" t="s">
        <v>562</v>
      </c>
      <c r="AX20" s="20" t="s">
        <v>503</v>
      </c>
      <c r="AY20" s="20" t="s">
        <v>632</v>
      </c>
      <c r="AZ20" s="18"/>
      <c r="BA20" s="1"/>
      <c r="BB20" s="1"/>
      <c r="BC20" s="18"/>
    </row>
    <row r="21" spans="7:55">
      <c r="G21" s="1" t="s">
        <v>459</v>
      </c>
      <c r="H21" s="1" t="s">
        <v>459</v>
      </c>
      <c r="I21" s="1" t="s">
        <v>459</v>
      </c>
      <c r="J21" s="1"/>
      <c r="K21" s="1"/>
      <c r="L21" s="1" t="s">
        <v>394</v>
      </c>
      <c r="M21" s="1" t="s">
        <v>571</v>
      </c>
      <c r="N21" s="1" t="s">
        <v>645</v>
      </c>
      <c r="O21" s="1" t="s">
        <v>594</v>
      </c>
      <c r="P21" s="1" t="s">
        <v>550</v>
      </c>
      <c r="Q21" s="1" t="s">
        <v>591</v>
      </c>
      <c r="R21" s="1"/>
      <c r="S21" s="1" t="s">
        <v>394</v>
      </c>
      <c r="T21" s="1" t="s">
        <v>571</v>
      </c>
      <c r="U21" s="1" t="s">
        <v>645</v>
      </c>
      <c r="V21" s="1" t="s">
        <v>594</v>
      </c>
      <c r="W21" s="1" t="s">
        <v>550</v>
      </c>
      <c r="X21" s="1" t="s">
        <v>591</v>
      </c>
      <c r="Y21" s="1" t="s">
        <v>505</v>
      </c>
      <c r="Z21" s="1" t="s">
        <v>646</v>
      </c>
      <c r="AA21" s="1" t="s">
        <v>647</v>
      </c>
      <c r="AB21" s="1" t="s">
        <v>648</v>
      </c>
      <c r="AC21" s="1" t="s">
        <v>127</v>
      </c>
      <c r="AD21" s="1" t="s">
        <v>649</v>
      </c>
      <c r="AE21" s="1" t="s">
        <v>650</v>
      </c>
      <c r="AF21" s="1" t="s">
        <v>651</v>
      </c>
      <c r="AG21" s="1" t="s">
        <v>652</v>
      </c>
      <c r="AH21" s="1"/>
      <c r="AI21" s="1"/>
      <c r="AJ21" s="1"/>
      <c r="AK21" s="1"/>
      <c r="AL21" s="18" t="s">
        <v>653</v>
      </c>
      <c r="AM21" s="18" t="s">
        <v>654</v>
      </c>
      <c r="AN21" s="18" t="s">
        <v>655</v>
      </c>
      <c r="AO21" s="18" t="s">
        <v>620</v>
      </c>
      <c r="AP21" s="18" t="s">
        <v>536</v>
      </c>
      <c r="AQ21" s="18" t="s">
        <v>656</v>
      </c>
      <c r="AR21" s="18"/>
      <c r="AS21" s="18"/>
      <c r="AT21" s="19" t="s">
        <v>653</v>
      </c>
      <c r="AU21" s="20" t="s">
        <v>67</v>
      </c>
      <c r="AV21" s="20" t="s">
        <v>505</v>
      </c>
      <c r="AW21" s="19" t="s">
        <v>67</v>
      </c>
      <c r="AX21" s="22" t="s">
        <v>602</v>
      </c>
      <c r="AY21" s="20" t="s">
        <v>385</v>
      </c>
      <c r="AZ21" s="18"/>
      <c r="BA21" s="1"/>
      <c r="BB21" s="1"/>
      <c r="BC21" s="18"/>
    </row>
    <row r="22" spans="7:55">
      <c r="G22" s="1" t="s">
        <v>460</v>
      </c>
      <c r="H22" s="1" t="s">
        <v>460</v>
      </c>
      <c r="I22" s="1" t="s">
        <v>460</v>
      </c>
      <c r="J22" s="1"/>
      <c r="K22" s="1"/>
      <c r="L22" s="1" t="s">
        <v>97</v>
      </c>
      <c r="M22" s="1" t="s">
        <v>603</v>
      </c>
      <c r="N22" s="1" t="s">
        <v>657</v>
      </c>
      <c r="O22" s="1" t="s">
        <v>657</v>
      </c>
      <c r="P22" s="1" t="s">
        <v>658</v>
      </c>
      <c r="Q22" s="1" t="s">
        <v>659</v>
      </c>
      <c r="R22" s="1"/>
      <c r="S22" s="1" t="s">
        <v>97</v>
      </c>
      <c r="T22" s="1" t="s">
        <v>603</v>
      </c>
      <c r="U22" s="1" t="s">
        <v>657</v>
      </c>
      <c r="V22" s="1" t="s">
        <v>111</v>
      </c>
      <c r="W22" s="1" t="s">
        <v>658</v>
      </c>
      <c r="X22" s="1" t="s">
        <v>659</v>
      </c>
      <c r="Y22" s="1" t="s">
        <v>591</v>
      </c>
      <c r="Z22" s="1" t="s">
        <v>575</v>
      </c>
      <c r="AA22" s="1" t="s">
        <v>647</v>
      </c>
      <c r="AB22" s="1" t="s">
        <v>652</v>
      </c>
      <c r="AC22" s="1" t="s">
        <v>660</v>
      </c>
      <c r="AD22" s="1" t="s">
        <v>660</v>
      </c>
      <c r="AE22" s="1" t="s">
        <v>661</v>
      </c>
      <c r="AF22" s="1" t="s">
        <v>662</v>
      </c>
      <c r="AG22" s="1" t="s">
        <v>663</v>
      </c>
      <c r="AH22" s="1"/>
      <c r="AI22" s="1"/>
      <c r="AJ22" s="1"/>
      <c r="AK22" s="1"/>
      <c r="AL22" s="18" t="s">
        <v>664</v>
      </c>
      <c r="AM22" s="18" t="s">
        <v>665</v>
      </c>
      <c r="AN22" s="18" t="s">
        <v>666</v>
      </c>
      <c r="AO22" s="18" t="s">
        <v>605</v>
      </c>
      <c r="AP22" s="18" t="s">
        <v>517</v>
      </c>
      <c r="AQ22" s="1"/>
      <c r="AR22" s="1"/>
      <c r="AS22" s="1"/>
      <c r="AT22" s="19" t="s">
        <v>654</v>
      </c>
      <c r="AU22" s="20" t="s">
        <v>538</v>
      </c>
      <c r="AV22" s="22" t="s">
        <v>559</v>
      </c>
      <c r="AW22" s="19" t="s">
        <v>572</v>
      </c>
      <c r="AX22" s="22" t="s">
        <v>496</v>
      </c>
      <c r="AY22" s="20" t="s">
        <v>502</v>
      </c>
      <c r="AZ22" s="1"/>
      <c r="BA22" s="1"/>
      <c r="BB22" s="1"/>
      <c r="BC22" s="1"/>
    </row>
    <row r="23" spans="7:55">
      <c r="G23" s="1" t="s">
        <v>461</v>
      </c>
      <c r="H23" s="1" t="s">
        <v>461</v>
      </c>
      <c r="I23" s="1" t="s">
        <v>461</v>
      </c>
      <c r="J23" s="1"/>
      <c r="K23" s="1"/>
      <c r="L23" s="1" t="s">
        <v>593</v>
      </c>
      <c r="M23" s="1" t="s">
        <v>585</v>
      </c>
      <c r="N23" s="1" t="s">
        <v>657</v>
      </c>
      <c r="O23" s="1" t="s">
        <v>620</v>
      </c>
      <c r="P23" s="1" t="s">
        <v>389</v>
      </c>
      <c r="Q23" s="1" t="s">
        <v>521</v>
      </c>
      <c r="R23" s="1"/>
      <c r="S23" s="1" t="s">
        <v>593</v>
      </c>
      <c r="T23" s="1" t="s">
        <v>585</v>
      </c>
      <c r="U23" s="1" t="s">
        <v>657</v>
      </c>
      <c r="V23" s="1" t="s">
        <v>657</v>
      </c>
      <c r="W23" s="1" t="s">
        <v>389</v>
      </c>
      <c r="X23" s="1" t="s">
        <v>521</v>
      </c>
      <c r="Y23" s="1" t="s">
        <v>63</v>
      </c>
      <c r="Z23" s="1" t="s">
        <v>620</v>
      </c>
      <c r="AA23" s="1" t="s">
        <v>667</v>
      </c>
      <c r="AB23" s="1" t="s">
        <v>668</v>
      </c>
      <c r="AC23" s="1" t="s">
        <v>669</v>
      </c>
      <c r="AD23" s="1" t="s">
        <v>670</v>
      </c>
      <c r="AE23" s="1" t="s">
        <v>671</v>
      </c>
      <c r="AF23" s="1" t="s">
        <v>574</v>
      </c>
      <c r="AG23" s="1" t="s">
        <v>672</v>
      </c>
      <c r="AH23" s="1"/>
      <c r="AI23" s="1"/>
      <c r="AJ23" s="1"/>
      <c r="AK23" s="1"/>
      <c r="AL23" s="18" t="s">
        <v>673</v>
      </c>
      <c r="AM23" s="18" t="s">
        <v>651</v>
      </c>
      <c r="AN23" s="18" t="s">
        <v>398</v>
      </c>
      <c r="AO23" s="18" t="s">
        <v>674</v>
      </c>
      <c r="AP23" s="18" t="s">
        <v>675</v>
      </c>
      <c r="AQ23" s="1"/>
      <c r="AR23" s="1"/>
      <c r="AS23" s="1"/>
      <c r="AT23" s="21" t="s">
        <v>664</v>
      </c>
      <c r="AU23" s="20" t="s">
        <v>548</v>
      </c>
      <c r="AV23" s="22" t="s">
        <v>521</v>
      </c>
      <c r="AW23" s="20" t="s">
        <v>597</v>
      </c>
      <c r="AX23" s="20" t="s">
        <v>478</v>
      </c>
      <c r="AY23" s="20" t="s">
        <v>516</v>
      </c>
      <c r="AZ23" s="1"/>
      <c r="BA23" s="1"/>
      <c r="BB23" s="1"/>
      <c r="BC23" s="1"/>
    </row>
    <row r="24" spans="7:55">
      <c r="G24" s="1" t="s">
        <v>462</v>
      </c>
      <c r="H24" s="1" t="s">
        <v>462</v>
      </c>
      <c r="I24" s="1" t="s">
        <v>462</v>
      </c>
      <c r="J24" s="1"/>
      <c r="K24" s="1"/>
      <c r="L24" s="1" t="s">
        <v>592</v>
      </c>
      <c r="M24" s="1" t="s">
        <v>394</v>
      </c>
      <c r="N24" s="1" t="s">
        <v>390</v>
      </c>
      <c r="O24" s="1" t="s">
        <v>676</v>
      </c>
      <c r="P24" s="1" t="s">
        <v>67</v>
      </c>
      <c r="Q24" s="1" t="s">
        <v>526</v>
      </c>
      <c r="R24" s="1"/>
      <c r="S24" s="1" t="s">
        <v>592</v>
      </c>
      <c r="T24" s="1" t="s">
        <v>394</v>
      </c>
      <c r="U24" s="1" t="s">
        <v>390</v>
      </c>
      <c r="V24" s="1" t="s">
        <v>620</v>
      </c>
      <c r="W24" s="1" t="s">
        <v>67</v>
      </c>
      <c r="X24" s="1" t="s">
        <v>526</v>
      </c>
      <c r="Y24" s="1" t="s">
        <v>566</v>
      </c>
      <c r="Z24" s="1" t="s">
        <v>677</v>
      </c>
      <c r="AA24" s="1" t="s">
        <v>627</v>
      </c>
      <c r="AB24" s="1" t="s">
        <v>678</v>
      </c>
      <c r="AC24" s="1" t="s">
        <v>645</v>
      </c>
      <c r="AD24" s="1" t="s">
        <v>394</v>
      </c>
      <c r="AE24" s="1" t="s">
        <v>105</v>
      </c>
      <c r="AF24" s="1" t="s">
        <v>679</v>
      </c>
      <c r="AG24" s="1" t="s">
        <v>680</v>
      </c>
      <c r="AH24" s="1"/>
      <c r="AI24" s="1"/>
      <c r="AJ24" s="1"/>
      <c r="AK24" s="1"/>
      <c r="AL24" s="18" t="s">
        <v>409</v>
      </c>
      <c r="AM24" s="18" t="s">
        <v>681</v>
      </c>
      <c r="AN24" s="18" t="s">
        <v>682</v>
      </c>
      <c r="AO24" s="18" t="s">
        <v>683</v>
      </c>
      <c r="AP24" s="18" t="s">
        <v>67</v>
      </c>
      <c r="AQ24" s="1"/>
      <c r="AR24" s="1"/>
      <c r="AS24" s="1"/>
      <c r="AT24" s="19" t="s">
        <v>673</v>
      </c>
      <c r="AU24" s="20" t="s">
        <v>111</v>
      </c>
      <c r="AV24" s="20" t="s">
        <v>526</v>
      </c>
      <c r="AW24" s="21" t="s">
        <v>557</v>
      </c>
      <c r="AX24" s="20" t="s">
        <v>527</v>
      </c>
      <c r="AY24" s="20" t="s">
        <v>569</v>
      </c>
      <c r="AZ24" s="1"/>
      <c r="BA24" s="1"/>
      <c r="BB24" s="1"/>
      <c r="BC24" s="1"/>
    </row>
    <row r="25" spans="7:55">
      <c r="G25" s="1" t="s">
        <v>684</v>
      </c>
      <c r="H25" s="1" t="s">
        <v>684</v>
      </c>
      <c r="I25" s="1" t="s">
        <v>684</v>
      </c>
      <c r="J25" s="1"/>
      <c r="K25" s="1"/>
      <c r="L25" s="1" t="s">
        <v>685</v>
      </c>
      <c r="M25" s="1" t="s">
        <v>97</v>
      </c>
      <c r="N25" s="1" t="s">
        <v>676</v>
      </c>
      <c r="O25" s="1" t="s">
        <v>674</v>
      </c>
      <c r="P25" s="1" t="s">
        <v>640</v>
      </c>
      <c r="Q25" s="1" t="s">
        <v>686</v>
      </c>
      <c r="R25" s="1"/>
      <c r="S25" s="1" t="s">
        <v>685</v>
      </c>
      <c r="T25" s="1" t="s">
        <v>97</v>
      </c>
      <c r="U25" s="1" t="s">
        <v>676</v>
      </c>
      <c r="V25" s="1" t="s">
        <v>676</v>
      </c>
      <c r="W25" s="1" t="s">
        <v>640</v>
      </c>
      <c r="X25" s="1" t="s">
        <v>686</v>
      </c>
      <c r="Y25" s="1" t="s">
        <v>687</v>
      </c>
      <c r="Z25" s="1" t="s">
        <v>571</v>
      </c>
      <c r="AA25" s="1" t="s">
        <v>688</v>
      </c>
      <c r="AB25" s="1" t="s">
        <v>689</v>
      </c>
      <c r="AC25" s="1" t="s">
        <v>390</v>
      </c>
      <c r="AD25" s="1" t="s">
        <v>690</v>
      </c>
      <c r="AE25" s="1" t="s">
        <v>557</v>
      </c>
      <c r="AF25" s="1" t="s">
        <v>409</v>
      </c>
      <c r="AG25" s="1" t="s">
        <v>397</v>
      </c>
      <c r="AH25" s="1"/>
      <c r="AI25" s="1"/>
      <c r="AJ25" s="1"/>
      <c r="AK25" s="1"/>
      <c r="AL25" s="18" t="s">
        <v>681</v>
      </c>
      <c r="AM25" s="18" t="s">
        <v>691</v>
      </c>
      <c r="AN25" s="18" t="s">
        <v>401</v>
      </c>
      <c r="AO25" s="18" t="s">
        <v>692</v>
      </c>
      <c r="AP25" s="18" t="s">
        <v>645</v>
      </c>
      <c r="AQ25" s="1"/>
      <c r="AR25" s="1"/>
      <c r="AS25" s="1"/>
      <c r="AT25" s="21" t="s">
        <v>409</v>
      </c>
      <c r="AU25" s="20" t="s">
        <v>620</v>
      </c>
      <c r="AV25" s="22" t="s">
        <v>542</v>
      </c>
      <c r="AW25" s="20" t="s">
        <v>621</v>
      </c>
      <c r="AX25" s="20" t="s">
        <v>624</v>
      </c>
      <c r="AY25" s="20" t="s">
        <v>583</v>
      </c>
      <c r="AZ25" s="1"/>
      <c r="BA25" s="1"/>
      <c r="BB25" s="1"/>
      <c r="BC25" s="1"/>
    </row>
    <row r="26" spans="7:55">
      <c r="G26" s="1"/>
      <c r="H26" s="1"/>
      <c r="I26" s="1"/>
      <c r="J26" s="1"/>
      <c r="K26" s="1"/>
      <c r="L26" s="1" t="s">
        <v>633</v>
      </c>
      <c r="M26" s="1" t="s">
        <v>690</v>
      </c>
      <c r="N26" s="1" t="s">
        <v>593</v>
      </c>
      <c r="O26" s="1" t="s">
        <v>693</v>
      </c>
      <c r="P26" s="1" t="s">
        <v>694</v>
      </c>
      <c r="Q26" s="1" t="s">
        <v>542</v>
      </c>
      <c r="R26" s="1"/>
      <c r="S26" s="1" t="s">
        <v>633</v>
      </c>
      <c r="T26" s="1" t="s">
        <v>690</v>
      </c>
      <c r="U26" s="1" t="s">
        <v>593</v>
      </c>
      <c r="V26" s="1" t="s">
        <v>674</v>
      </c>
      <c r="W26" s="1" t="s">
        <v>694</v>
      </c>
      <c r="X26" s="1" t="s">
        <v>542</v>
      </c>
      <c r="Y26" s="1" t="s">
        <v>517</v>
      </c>
      <c r="Z26" s="1" t="s">
        <v>603</v>
      </c>
      <c r="AA26" s="1" t="s">
        <v>695</v>
      </c>
      <c r="AB26" s="1" t="s">
        <v>394</v>
      </c>
      <c r="AC26" s="1" t="s">
        <v>620</v>
      </c>
      <c r="AD26" s="1" t="s">
        <v>696</v>
      </c>
      <c r="AE26" s="1" t="s">
        <v>127</v>
      </c>
      <c r="AF26" s="1" t="s">
        <v>681</v>
      </c>
      <c r="AG26" s="1" t="s">
        <v>697</v>
      </c>
      <c r="AH26" s="1"/>
      <c r="AI26" s="1"/>
      <c r="AJ26" s="1"/>
      <c r="AK26" s="1"/>
      <c r="AL26" s="18" t="s">
        <v>681</v>
      </c>
      <c r="AM26" s="18" t="s">
        <v>698</v>
      </c>
      <c r="AN26" s="18" t="s">
        <v>691</v>
      </c>
      <c r="AO26" s="18" t="s">
        <v>644</v>
      </c>
      <c r="AP26" s="18" t="s">
        <v>390</v>
      </c>
      <c r="AQ26" s="1"/>
      <c r="AR26" s="1"/>
      <c r="AS26" s="1"/>
      <c r="AT26" s="19" t="s">
        <v>681</v>
      </c>
      <c r="AU26" s="20" t="s">
        <v>558</v>
      </c>
      <c r="AV26" s="20" t="s">
        <v>576</v>
      </c>
      <c r="AW26" s="22" t="s">
        <v>127</v>
      </c>
      <c r="AX26" s="20" t="s">
        <v>537</v>
      </c>
      <c r="AY26" s="20" t="s">
        <v>526</v>
      </c>
      <c r="AZ26" s="1"/>
      <c r="BA26" s="1"/>
      <c r="BB26" s="1"/>
      <c r="BC26" s="1"/>
    </row>
    <row r="27" spans="7:55">
      <c r="G27" s="1"/>
      <c r="H27" s="1"/>
      <c r="I27" s="1"/>
      <c r="J27" s="1"/>
      <c r="K27" s="1"/>
      <c r="L27" s="1" t="s">
        <v>699</v>
      </c>
      <c r="M27" s="1" t="s">
        <v>605</v>
      </c>
      <c r="N27" s="1" t="s">
        <v>690</v>
      </c>
      <c r="O27" s="1" t="s">
        <v>683</v>
      </c>
      <c r="P27" s="1" t="s">
        <v>570</v>
      </c>
      <c r="Q27" s="1" t="s">
        <v>610</v>
      </c>
      <c r="R27" s="1"/>
      <c r="S27" s="1" t="s">
        <v>699</v>
      </c>
      <c r="T27" s="1" t="s">
        <v>605</v>
      </c>
      <c r="U27" s="1" t="s">
        <v>690</v>
      </c>
      <c r="V27" s="1" t="s">
        <v>693</v>
      </c>
      <c r="W27" s="1" t="s">
        <v>570</v>
      </c>
      <c r="X27" s="1" t="s">
        <v>610</v>
      </c>
      <c r="Y27" s="1" t="s">
        <v>598</v>
      </c>
      <c r="Z27" s="1" t="s">
        <v>700</v>
      </c>
      <c r="AA27" s="1" t="s">
        <v>111</v>
      </c>
      <c r="AB27" s="1" t="s">
        <v>65</v>
      </c>
      <c r="AC27" s="1" t="s">
        <v>700</v>
      </c>
      <c r="AD27" s="1" t="s">
        <v>701</v>
      </c>
      <c r="AE27" s="1" t="s">
        <v>694</v>
      </c>
      <c r="AF27" s="1" t="s">
        <v>702</v>
      </c>
      <c r="AG27" s="1" t="s">
        <v>703</v>
      </c>
      <c r="AH27" s="1"/>
      <c r="AI27" s="1"/>
      <c r="AJ27" s="1"/>
      <c r="AK27" s="1"/>
      <c r="AL27" s="18" t="s">
        <v>704</v>
      </c>
      <c r="AM27" s="18" t="s">
        <v>705</v>
      </c>
      <c r="AN27" s="18" t="s">
        <v>706</v>
      </c>
      <c r="AO27" s="18" t="s">
        <v>707</v>
      </c>
      <c r="AP27" s="18" t="s">
        <v>676</v>
      </c>
      <c r="AQ27" s="1"/>
      <c r="AR27" s="1"/>
      <c r="AS27" s="1"/>
      <c r="AT27" s="23" t="s">
        <v>704</v>
      </c>
      <c r="AU27" s="20" t="s">
        <v>637</v>
      </c>
      <c r="AV27" s="20" t="s">
        <v>517</v>
      </c>
      <c r="AW27" s="21" t="s">
        <v>575</v>
      </c>
      <c r="AX27" s="22" t="s">
        <v>546</v>
      </c>
      <c r="AY27" s="20" t="s">
        <v>671</v>
      </c>
      <c r="AZ27" s="1"/>
      <c r="BA27" s="1"/>
      <c r="BB27" s="1"/>
      <c r="BC27" s="1"/>
    </row>
    <row r="28" spans="7:55">
      <c r="G28" s="1"/>
      <c r="H28" s="1"/>
      <c r="I28" s="1"/>
      <c r="J28" s="1"/>
      <c r="K28" s="1"/>
      <c r="L28" s="1" t="s">
        <v>644</v>
      </c>
      <c r="M28" s="1" t="s">
        <v>408</v>
      </c>
      <c r="N28" s="1" t="s">
        <v>408</v>
      </c>
      <c r="O28" s="1" t="s">
        <v>592</v>
      </c>
      <c r="P28" s="1" t="s">
        <v>111</v>
      </c>
      <c r="Q28" s="1" t="s">
        <v>576</v>
      </c>
      <c r="R28" s="1"/>
      <c r="S28" s="1" t="s">
        <v>644</v>
      </c>
      <c r="T28" s="1" t="s">
        <v>408</v>
      </c>
      <c r="U28" s="1" t="s">
        <v>408</v>
      </c>
      <c r="V28" s="1" t="s">
        <v>683</v>
      </c>
      <c r="W28" s="1" t="s">
        <v>111</v>
      </c>
      <c r="X28" s="1" t="s">
        <v>576</v>
      </c>
      <c r="Y28" s="1" t="s">
        <v>578</v>
      </c>
      <c r="Z28" s="1" t="s">
        <v>394</v>
      </c>
      <c r="AA28" s="1" t="s">
        <v>708</v>
      </c>
      <c r="AB28" s="1" t="s">
        <v>709</v>
      </c>
      <c r="AC28" s="1" t="s">
        <v>394</v>
      </c>
      <c r="AD28" s="1" t="s">
        <v>710</v>
      </c>
      <c r="AE28" s="1" t="s">
        <v>660</v>
      </c>
      <c r="AF28" s="1" t="s">
        <v>691</v>
      </c>
      <c r="AG28" s="1" t="s">
        <v>711</v>
      </c>
      <c r="AH28" s="1"/>
      <c r="AI28" s="1"/>
      <c r="AJ28" s="1"/>
      <c r="AK28" s="1"/>
      <c r="AL28" s="18"/>
      <c r="AM28" s="18"/>
      <c r="AN28" s="18" t="s">
        <v>712</v>
      </c>
      <c r="AO28" s="18" t="s">
        <v>651</v>
      </c>
      <c r="AP28" s="18" t="s">
        <v>558</v>
      </c>
      <c r="AQ28" s="1"/>
      <c r="AR28" s="1"/>
      <c r="AS28" s="1"/>
      <c r="AT28" s="23"/>
      <c r="AU28" s="20" t="s">
        <v>571</v>
      </c>
      <c r="AV28" s="22" t="s">
        <v>388</v>
      </c>
      <c r="AW28" s="19" t="s">
        <v>618</v>
      </c>
      <c r="AX28" s="20" t="s">
        <v>632</v>
      </c>
      <c r="AY28" s="20" t="s">
        <v>579</v>
      </c>
      <c r="AZ28" s="1"/>
      <c r="BA28" s="1"/>
      <c r="BB28" s="1"/>
      <c r="BC28" s="1"/>
    </row>
    <row r="29" spans="7:55">
      <c r="G29" s="1"/>
      <c r="H29" s="1"/>
      <c r="I29" s="1"/>
      <c r="J29" s="1"/>
      <c r="K29" s="1"/>
      <c r="L29" s="1" t="s">
        <v>713</v>
      </c>
      <c r="M29" s="1" t="s">
        <v>693</v>
      </c>
      <c r="N29" s="1" t="s">
        <v>683</v>
      </c>
      <c r="O29" s="1" t="s">
        <v>714</v>
      </c>
      <c r="P29" s="1" t="s">
        <v>715</v>
      </c>
      <c r="Q29" s="1" t="s">
        <v>536</v>
      </c>
      <c r="R29" s="1"/>
      <c r="S29" s="1" t="s">
        <v>713</v>
      </c>
      <c r="T29" s="1" t="s">
        <v>693</v>
      </c>
      <c r="U29" s="1" t="s">
        <v>683</v>
      </c>
      <c r="V29" s="1" t="s">
        <v>592</v>
      </c>
      <c r="W29" s="1" t="s">
        <v>715</v>
      </c>
      <c r="X29" s="1" t="s">
        <v>536</v>
      </c>
      <c r="Y29" s="1" t="s">
        <v>613</v>
      </c>
      <c r="Z29" s="1" t="s">
        <v>97</v>
      </c>
      <c r="AA29" s="1" t="s">
        <v>716</v>
      </c>
      <c r="AB29" s="1" t="s">
        <v>674</v>
      </c>
      <c r="AC29" s="1" t="s">
        <v>717</v>
      </c>
      <c r="AD29" s="1" t="s">
        <v>673</v>
      </c>
      <c r="AE29" s="1" t="s">
        <v>645</v>
      </c>
      <c r="AF29" s="1" t="s">
        <v>718</v>
      </c>
      <c r="AG29" s="1" t="s">
        <v>406</v>
      </c>
      <c r="AH29" s="1"/>
      <c r="AI29" s="1"/>
      <c r="AJ29" s="1"/>
      <c r="AK29" s="1"/>
      <c r="AL29" s="18"/>
      <c r="AM29" s="1"/>
      <c r="AN29" s="18" t="s">
        <v>719</v>
      </c>
      <c r="AO29" s="18" t="s">
        <v>720</v>
      </c>
      <c r="AP29" s="18" t="s">
        <v>678</v>
      </c>
      <c r="AQ29" s="1"/>
      <c r="AR29" s="1"/>
      <c r="AS29" s="1"/>
      <c r="AT29" s="1"/>
      <c r="AU29" s="20" t="s">
        <v>603</v>
      </c>
      <c r="AV29" s="20" t="s">
        <v>573</v>
      </c>
      <c r="AW29" s="20" t="s">
        <v>548</v>
      </c>
      <c r="AX29" s="20" t="s">
        <v>385</v>
      </c>
      <c r="AY29" s="20" t="s">
        <v>536</v>
      </c>
      <c r="AZ29" s="1"/>
      <c r="BA29" s="1"/>
      <c r="BB29" s="1"/>
      <c r="BC29" s="1"/>
    </row>
    <row r="30" spans="7:55">
      <c r="G30" s="1"/>
      <c r="H30" s="1"/>
      <c r="I30" s="1"/>
      <c r="J30" s="1"/>
      <c r="K30" s="1"/>
      <c r="L30" s="1" t="s">
        <v>707</v>
      </c>
      <c r="M30" s="1" t="s">
        <v>604</v>
      </c>
      <c r="N30" s="1" t="s">
        <v>592</v>
      </c>
      <c r="O30" s="1" t="s">
        <v>398</v>
      </c>
      <c r="P30" s="1" t="s">
        <v>721</v>
      </c>
      <c r="Q30" s="1" t="s">
        <v>536</v>
      </c>
      <c r="R30" s="1"/>
      <c r="S30" s="1" t="s">
        <v>707</v>
      </c>
      <c r="T30" s="1" t="s">
        <v>604</v>
      </c>
      <c r="U30" s="1" t="s">
        <v>592</v>
      </c>
      <c r="V30" s="1" t="s">
        <v>714</v>
      </c>
      <c r="W30" s="1" t="s">
        <v>721</v>
      </c>
      <c r="X30" s="1" t="s">
        <v>536</v>
      </c>
      <c r="Y30" s="1" t="s">
        <v>722</v>
      </c>
      <c r="Z30" s="1" t="s">
        <v>674</v>
      </c>
      <c r="AA30" s="1" t="s">
        <v>603</v>
      </c>
      <c r="AB30" s="1" t="s">
        <v>723</v>
      </c>
      <c r="AC30" s="1" t="s">
        <v>724</v>
      </c>
      <c r="AD30" s="1" t="s">
        <v>725</v>
      </c>
      <c r="AE30" s="1" t="s">
        <v>716</v>
      </c>
      <c r="AF30" s="1"/>
      <c r="AG30" s="1" t="s">
        <v>620</v>
      </c>
      <c r="AH30" s="1"/>
      <c r="AI30" s="1"/>
      <c r="AJ30" s="1"/>
      <c r="AK30" s="1"/>
      <c r="AL30" s="18"/>
      <c r="AM30" s="1"/>
      <c r="AN30" s="18" t="s">
        <v>726</v>
      </c>
      <c r="AO30" s="18" t="s">
        <v>727</v>
      </c>
      <c r="AP30" s="18" t="s">
        <v>70</v>
      </c>
      <c r="AQ30" s="1"/>
      <c r="AR30" s="1"/>
      <c r="AS30" s="1"/>
      <c r="AT30" s="1"/>
      <c r="AU30" s="20" t="s">
        <v>585</v>
      </c>
      <c r="AV30" s="20" t="s">
        <v>598</v>
      </c>
      <c r="AW30" s="22" t="s">
        <v>645</v>
      </c>
      <c r="AX30" s="22" t="s">
        <v>502</v>
      </c>
      <c r="AY30" s="20" t="s">
        <v>543</v>
      </c>
      <c r="AZ30" s="1"/>
      <c r="BA30" s="1"/>
      <c r="BB30" s="1"/>
      <c r="BC30" s="1"/>
    </row>
    <row r="31" spans="7:55">
      <c r="G31" s="1"/>
      <c r="H31" s="1"/>
      <c r="I31" s="1"/>
      <c r="J31" s="1"/>
      <c r="K31" s="1"/>
      <c r="L31" s="1" t="s">
        <v>666</v>
      </c>
      <c r="M31" s="1" t="s">
        <v>701</v>
      </c>
      <c r="N31" s="1" t="s">
        <v>655</v>
      </c>
      <c r="O31" s="1" t="s">
        <v>651</v>
      </c>
      <c r="P31" s="1" t="s">
        <v>70</v>
      </c>
      <c r="Q31" s="1" t="s">
        <v>543</v>
      </c>
      <c r="R31" s="1"/>
      <c r="S31" s="1" t="s">
        <v>666</v>
      </c>
      <c r="T31" s="1" t="s">
        <v>701</v>
      </c>
      <c r="U31" s="1" t="s">
        <v>655</v>
      </c>
      <c r="V31" s="1" t="s">
        <v>398</v>
      </c>
      <c r="W31" s="1" t="s">
        <v>70</v>
      </c>
      <c r="X31" s="1" t="s">
        <v>543</v>
      </c>
      <c r="Y31" s="1" t="s">
        <v>694</v>
      </c>
      <c r="Z31" s="1" t="s">
        <v>728</v>
      </c>
      <c r="AA31" s="1" t="s">
        <v>729</v>
      </c>
      <c r="AB31" s="1" t="s">
        <v>724</v>
      </c>
      <c r="AC31" s="1" t="s">
        <v>644</v>
      </c>
      <c r="AD31" s="1" t="s">
        <v>702</v>
      </c>
      <c r="AE31" s="1" t="s">
        <v>397</v>
      </c>
      <c r="AF31" s="1"/>
      <c r="AG31" s="1"/>
      <c r="AH31" s="1"/>
      <c r="AI31" s="1"/>
      <c r="AJ31" s="1"/>
      <c r="AK31" s="1"/>
      <c r="AL31" s="18"/>
      <c r="AM31" s="1"/>
      <c r="AN31" s="18" t="s">
        <v>113</v>
      </c>
      <c r="AO31" s="18" t="s">
        <v>730</v>
      </c>
      <c r="AP31" s="18" t="s">
        <v>731</v>
      </c>
      <c r="AQ31" s="1"/>
      <c r="AR31" s="1"/>
      <c r="AS31" s="1"/>
      <c r="AT31" s="1"/>
      <c r="AU31" s="20" t="s">
        <v>394</v>
      </c>
      <c r="AV31" s="22" t="s">
        <v>543</v>
      </c>
      <c r="AW31" s="20" t="s">
        <v>657</v>
      </c>
      <c r="AX31" s="22" t="s">
        <v>516</v>
      </c>
      <c r="AY31" s="20" t="s">
        <v>582</v>
      </c>
      <c r="AZ31" s="1"/>
      <c r="BA31" s="1"/>
      <c r="BB31" s="1"/>
      <c r="BC31" s="1"/>
    </row>
    <row r="32" spans="7:55">
      <c r="G32" s="1"/>
      <c r="H32" s="1"/>
      <c r="I32" s="1"/>
      <c r="J32" s="1"/>
      <c r="K32" s="1"/>
      <c r="L32" s="1" t="s">
        <v>651</v>
      </c>
      <c r="M32" s="1" t="s">
        <v>654</v>
      </c>
      <c r="N32" s="1" t="s">
        <v>396</v>
      </c>
      <c r="O32" s="1" t="s">
        <v>727</v>
      </c>
      <c r="P32" s="1" t="s">
        <v>392</v>
      </c>
      <c r="Q32" s="1" t="s">
        <v>528</v>
      </c>
      <c r="R32" s="1"/>
      <c r="S32" s="1" t="s">
        <v>651</v>
      </c>
      <c r="T32" s="1" t="s">
        <v>654</v>
      </c>
      <c r="U32" s="1" t="s">
        <v>396</v>
      </c>
      <c r="V32" s="1" t="s">
        <v>651</v>
      </c>
      <c r="W32" s="1" t="s">
        <v>392</v>
      </c>
      <c r="X32" s="1" t="s">
        <v>528</v>
      </c>
      <c r="Y32" s="1" t="s">
        <v>660</v>
      </c>
      <c r="Z32" s="1" t="s">
        <v>693</v>
      </c>
      <c r="AA32" s="1" t="s">
        <v>393</v>
      </c>
      <c r="AB32" s="1" t="s">
        <v>732</v>
      </c>
      <c r="AC32" s="1" t="s">
        <v>733</v>
      </c>
      <c r="AD32" s="1" t="s">
        <v>401</v>
      </c>
      <c r="AE32" s="1" t="s">
        <v>734</v>
      </c>
      <c r="AF32" s="1"/>
      <c r="AG32" s="1"/>
      <c r="AH32" s="1"/>
      <c r="AI32" s="1"/>
      <c r="AJ32" s="1"/>
      <c r="AK32" s="1"/>
      <c r="AL32" s="18"/>
      <c r="AM32" s="1"/>
      <c r="AN32" s="1"/>
      <c r="AO32" s="18" t="s">
        <v>735</v>
      </c>
      <c r="AP32" s="18" t="s">
        <v>736</v>
      </c>
      <c r="AQ32" s="1"/>
      <c r="AR32" s="1"/>
      <c r="AS32" s="1"/>
      <c r="AT32" s="1"/>
      <c r="AU32" s="20" t="s">
        <v>97</v>
      </c>
      <c r="AV32" s="22" t="s">
        <v>609</v>
      </c>
      <c r="AW32" s="20" t="s">
        <v>390</v>
      </c>
      <c r="AX32" s="20" t="s">
        <v>569</v>
      </c>
      <c r="AY32" s="20" t="s">
        <v>562</v>
      </c>
      <c r="AZ32" s="1"/>
      <c r="BA32" s="1"/>
      <c r="BB32" s="1"/>
      <c r="BC32" s="1"/>
    </row>
    <row r="33" spans="12:51">
      <c r="L33" s="1" t="s">
        <v>737</v>
      </c>
      <c r="M33" s="1" t="s">
        <v>737</v>
      </c>
      <c r="N33" s="1" t="s">
        <v>738</v>
      </c>
      <c r="O33" s="1" t="s">
        <v>409</v>
      </c>
      <c r="P33" s="1" t="s">
        <v>393</v>
      </c>
      <c r="Q33" s="1" t="s">
        <v>557</v>
      </c>
      <c r="R33" s="1"/>
      <c r="S33" s="1" t="s">
        <v>737</v>
      </c>
      <c r="T33" s="1" t="s">
        <v>737</v>
      </c>
      <c r="U33" s="1" t="s">
        <v>738</v>
      </c>
      <c r="V33" s="1" t="s">
        <v>727</v>
      </c>
      <c r="W33" s="1" t="s">
        <v>393</v>
      </c>
      <c r="X33" s="1" t="s">
        <v>557</v>
      </c>
      <c r="Y33" s="1" t="s">
        <v>739</v>
      </c>
      <c r="Z33" s="1" t="s">
        <v>724</v>
      </c>
      <c r="AA33" s="1" t="s">
        <v>636</v>
      </c>
      <c r="AB33" s="1" t="s">
        <v>740</v>
      </c>
      <c r="AC33" s="1" t="s">
        <v>651</v>
      </c>
      <c r="AD33" s="1" t="s">
        <v>706</v>
      </c>
      <c r="AE33" s="1" t="s">
        <v>741</v>
      </c>
      <c r="AF33" s="1"/>
      <c r="AG33" s="1"/>
      <c r="AH33" s="1"/>
      <c r="AI33" s="1"/>
      <c r="AJ33" s="1"/>
      <c r="AK33" s="1"/>
      <c r="AL33" s="1"/>
      <c r="AM33" s="1"/>
      <c r="AN33" s="1"/>
      <c r="AO33" s="18" t="s">
        <v>742</v>
      </c>
      <c r="AP33" s="18" t="s">
        <v>743</v>
      </c>
      <c r="AQ33" s="1"/>
      <c r="AR33" s="1"/>
      <c r="AS33" s="1"/>
      <c r="AT33" s="1"/>
      <c r="AU33" s="20" t="s">
        <v>593</v>
      </c>
      <c r="AV33" s="20" t="s">
        <v>551</v>
      </c>
      <c r="AW33" s="22" t="s">
        <v>676</v>
      </c>
      <c r="AX33" s="20" t="s">
        <v>583</v>
      </c>
      <c r="AY33" s="20" t="s">
        <v>594</v>
      </c>
    </row>
    <row r="34" spans="12:51">
      <c r="L34" s="1" t="s">
        <v>727</v>
      </c>
      <c r="M34" s="1" t="s">
        <v>702</v>
      </c>
      <c r="N34" s="1" t="s">
        <v>666</v>
      </c>
      <c r="O34" s="1" t="s">
        <v>681</v>
      </c>
      <c r="P34" s="1" t="s">
        <v>394</v>
      </c>
      <c r="Q34" s="1" t="s">
        <v>694</v>
      </c>
      <c r="R34" s="1"/>
      <c r="S34" s="1" t="s">
        <v>727</v>
      </c>
      <c r="T34" s="1" t="s">
        <v>702</v>
      </c>
      <c r="U34" s="1" t="s">
        <v>666</v>
      </c>
      <c r="V34" s="1" t="s">
        <v>409</v>
      </c>
      <c r="W34" s="1" t="s">
        <v>394</v>
      </c>
      <c r="X34" s="1" t="s">
        <v>694</v>
      </c>
      <c r="Y34" s="1" t="s">
        <v>393</v>
      </c>
      <c r="Z34" s="1" t="s">
        <v>744</v>
      </c>
      <c r="AA34" s="1" t="s">
        <v>394</v>
      </c>
      <c r="AB34" s="1" t="s">
        <v>707</v>
      </c>
      <c r="AC34" s="1" t="s">
        <v>745</v>
      </c>
      <c r="AD34" s="1"/>
      <c r="AE34" s="1" t="s">
        <v>746</v>
      </c>
      <c r="AF34" s="1"/>
      <c r="AG34" s="1"/>
      <c r="AH34" s="1"/>
      <c r="AI34" s="1"/>
      <c r="AJ34" s="1"/>
      <c r="AK34" s="1"/>
      <c r="AL34" s="1"/>
      <c r="AM34" s="1"/>
      <c r="AN34" s="1"/>
      <c r="AO34" s="18" t="s">
        <v>747</v>
      </c>
      <c r="AP34" s="18" t="s">
        <v>748</v>
      </c>
      <c r="AQ34" s="1"/>
      <c r="AR34" s="1"/>
      <c r="AS34" s="1"/>
      <c r="AT34" s="1"/>
      <c r="AU34" s="20" t="s">
        <v>690</v>
      </c>
      <c r="AV34" s="20" t="s">
        <v>586</v>
      </c>
      <c r="AW34" s="21" t="s">
        <v>626</v>
      </c>
      <c r="AX34" s="20" t="s">
        <v>642</v>
      </c>
      <c r="AY34" s="20" t="s">
        <v>640</v>
      </c>
    </row>
    <row r="35" spans="12:51">
      <c r="L35" s="1" t="s">
        <v>749</v>
      </c>
      <c r="M35" s="1" t="s">
        <v>750</v>
      </c>
      <c r="N35" s="1" t="s">
        <v>751</v>
      </c>
      <c r="O35" s="1" t="s">
        <v>747</v>
      </c>
      <c r="P35" s="1" t="s">
        <v>605</v>
      </c>
      <c r="Q35" s="1" t="s">
        <v>660</v>
      </c>
      <c r="R35" s="1"/>
      <c r="S35" s="1" t="s">
        <v>749</v>
      </c>
      <c r="T35" s="1" t="s">
        <v>750</v>
      </c>
      <c r="U35" s="1" t="s">
        <v>751</v>
      </c>
      <c r="V35" s="1" t="s">
        <v>681</v>
      </c>
      <c r="W35" s="1" t="s">
        <v>605</v>
      </c>
      <c r="X35" s="1" t="s">
        <v>660</v>
      </c>
      <c r="Y35" s="1" t="s">
        <v>394</v>
      </c>
      <c r="Z35" s="1" t="s">
        <v>655</v>
      </c>
      <c r="AA35" s="1" t="s">
        <v>752</v>
      </c>
      <c r="AB35" s="1" t="s">
        <v>753</v>
      </c>
      <c r="AC35" s="1" t="s">
        <v>749</v>
      </c>
      <c r="AD35" s="1"/>
      <c r="AE35" s="1" t="s">
        <v>754</v>
      </c>
      <c r="AF35" s="1"/>
      <c r="AG35" s="1"/>
      <c r="AH35" s="1"/>
      <c r="AI35" s="1"/>
      <c r="AJ35" s="1"/>
      <c r="AK35" s="1"/>
      <c r="AL35" s="1"/>
      <c r="AM35" s="1"/>
      <c r="AN35" s="1"/>
      <c r="AO35" s="18" t="s">
        <v>596</v>
      </c>
      <c r="AP35" s="18" t="s">
        <v>663</v>
      </c>
      <c r="AQ35" s="1"/>
      <c r="AR35" s="1"/>
      <c r="AS35" s="1"/>
      <c r="AT35" s="1"/>
      <c r="AU35" s="20" t="s">
        <v>605</v>
      </c>
      <c r="AV35" s="22" t="s">
        <v>582</v>
      </c>
      <c r="AW35" s="19" t="s">
        <v>97</v>
      </c>
      <c r="AX35" s="22" t="s">
        <v>591</v>
      </c>
      <c r="AY35" s="20" t="s">
        <v>557</v>
      </c>
    </row>
    <row r="36" spans="12:51">
      <c r="L36" s="1" t="s">
        <v>409</v>
      </c>
      <c r="M36" s="1" t="s">
        <v>691</v>
      </c>
      <c r="N36" s="1" t="s">
        <v>682</v>
      </c>
      <c r="O36" s="1" t="s">
        <v>755</v>
      </c>
      <c r="P36" s="1" t="s">
        <v>728</v>
      </c>
      <c r="Q36" s="1" t="s">
        <v>111</v>
      </c>
      <c r="R36" s="1"/>
      <c r="S36" s="1" t="s">
        <v>409</v>
      </c>
      <c r="T36" s="1" t="s">
        <v>691</v>
      </c>
      <c r="U36" s="1" t="s">
        <v>682</v>
      </c>
      <c r="V36" s="1" t="s">
        <v>747</v>
      </c>
      <c r="W36" s="1" t="s">
        <v>728</v>
      </c>
      <c r="X36" s="1" t="s">
        <v>111</v>
      </c>
      <c r="Y36" s="1" t="s">
        <v>674</v>
      </c>
      <c r="Z36" s="1" t="s">
        <v>520</v>
      </c>
      <c r="AA36" s="1" t="s">
        <v>756</v>
      </c>
      <c r="AB36" s="1" t="s">
        <v>651</v>
      </c>
      <c r="AC36" s="1" t="s">
        <v>706</v>
      </c>
      <c r="AD36" s="1"/>
      <c r="AE36" s="1" t="s">
        <v>706</v>
      </c>
      <c r="AF36" s="1"/>
      <c r="AG36" s="1"/>
      <c r="AH36" s="1"/>
      <c r="AI36" s="1"/>
      <c r="AJ36" s="1"/>
      <c r="AK36" s="1"/>
      <c r="AL36" s="1"/>
      <c r="AM36" s="1"/>
      <c r="AN36" s="1"/>
      <c r="AO36" s="1"/>
      <c r="AP36" s="18" t="s">
        <v>714</v>
      </c>
      <c r="AQ36" s="1"/>
      <c r="AR36" s="1"/>
      <c r="AS36" s="1"/>
      <c r="AT36" s="1"/>
      <c r="AU36" s="20" t="s">
        <v>617</v>
      </c>
      <c r="AV36" s="20" t="s">
        <v>562</v>
      </c>
      <c r="AW36" s="20" t="s">
        <v>593</v>
      </c>
      <c r="AX36" s="22" t="s">
        <v>650</v>
      </c>
      <c r="AY36" s="20" t="s">
        <v>660</v>
      </c>
    </row>
    <row r="37" spans="12:51">
      <c r="L37" s="1" t="s">
        <v>757</v>
      </c>
      <c r="M37" s="1" t="s">
        <v>698</v>
      </c>
      <c r="N37" s="1" t="s">
        <v>758</v>
      </c>
      <c r="O37" s="1"/>
      <c r="P37" s="1" t="s">
        <v>408</v>
      </c>
      <c r="Q37" s="1" t="s">
        <v>645</v>
      </c>
      <c r="R37" s="1"/>
      <c r="S37" s="1" t="s">
        <v>757</v>
      </c>
      <c r="T37" s="1" t="s">
        <v>698</v>
      </c>
      <c r="U37" s="1" t="s">
        <v>758</v>
      </c>
      <c r="V37" s="1" t="s">
        <v>755</v>
      </c>
      <c r="W37" s="1" t="s">
        <v>408</v>
      </c>
      <c r="X37" s="1" t="s">
        <v>645</v>
      </c>
      <c r="Y37" s="1" t="s">
        <v>759</v>
      </c>
      <c r="Z37" s="1" t="s">
        <v>760</v>
      </c>
      <c r="AA37" s="1" t="s">
        <v>761</v>
      </c>
      <c r="AB37" s="1" t="s">
        <v>727</v>
      </c>
      <c r="AC37" s="1" t="s">
        <v>697</v>
      </c>
      <c r="AD37" s="1"/>
      <c r="AE37" s="1" t="s">
        <v>762</v>
      </c>
      <c r="AF37" s="1"/>
      <c r="AG37" s="1"/>
      <c r="AH37" s="1"/>
      <c r="AI37" s="1"/>
      <c r="AJ37" s="1"/>
      <c r="AK37" s="1"/>
      <c r="AL37" s="1"/>
      <c r="AM37" s="1"/>
      <c r="AN37" s="1"/>
      <c r="AO37" s="1"/>
      <c r="AP37" s="18" t="s">
        <v>763</v>
      </c>
      <c r="AQ37" s="1"/>
      <c r="AR37" s="1"/>
      <c r="AS37" s="1"/>
      <c r="AT37" s="1"/>
      <c r="AU37" s="20" t="s">
        <v>408</v>
      </c>
      <c r="AV37" s="20" t="s">
        <v>67</v>
      </c>
      <c r="AW37" s="22" t="s">
        <v>690</v>
      </c>
      <c r="AX37" s="22" t="s">
        <v>589</v>
      </c>
      <c r="AY37" s="20" t="s">
        <v>645</v>
      </c>
    </row>
    <row r="38" spans="12:51">
      <c r="L38" s="1" t="s">
        <v>764</v>
      </c>
      <c r="M38" s="1" t="s">
        <v>706</v>
      </c>
      <c r="N38" s="1" t="s">
        <v>681</v>
      </c>
      <c r="O38" s="1"/>
      <c r="P38" s="1" t="s">
        <v>765</v>
      </c>
      <c r="Q38" s="1" t="s">
        <v>390</v>
      </c>
      <c r="R38" s="1"/>
      <c r="S38" s="1" t="s">
        <v>764</v>
      </c>
      <c r="T38" s="1" t="s">
        <v>706</v>
      </c>
      <c r="U38" s="1" t="s">
        <v>681</v>
      </c>
      <c r="V38" s="1"/>
      <c r="W38" s="1" t="s">
        <v>765</v>
      </c>
      <c r="X38" s="1" t="s">
        <v>390</v>
      </c>
      <c r="Y38" s="1" t="s">
        <v>766</v>
      </c>
      <c r="Z38" s="1" t="s">
        <v>767</v>
      </c>
      <c r="AA38" s="1" t="s">
        <v>408</v>
      </c>
      <c r="AB38" s="1" t="s">
        <v>768</v>
      </c>
      <c r="AC38" s="1" t="s">
        <v>769</v>
      </c>
      <c r="AD38" s="1"/>
      <c r="AE38" s="1" t="s">
        <v>703</v>
      </c>
      <c r="AF38" s="1"/>
      <c r="AG38" s="1"/>
      <c r="AH38" s="1"/>
      <c r="AI38" s="1"/>
      <c r="AJ38" s="1"/>
      <c r="AK38" s="1"/>
      <c r="AL38" s="1"/>
      <c r="AM38" s="1"/>
      <c r="AN38" s="1"/>
      <c r="AO38" s="1"/>
      <c r="AP38" s="18" t="s">
        <v>770</v>
      </c>
      <c r="AQ38" s="1"/>
      <c r="AR38" s="1"/>
      <c r="AS38" s="1"/>
      <c r="AT38" s="1"/>
      <c r="AU38" s="20" t="s">
        <v>693</v>
      </c>
      <c r="AV38" s="19" t="s">
        <v>594</v>
      </c>
      <c r="AW38" s="19" t="s">
        <v>408</v>
      </c>
      <c r="AX38" s="22" t="s">
        <v>661</v>
      </c>
      <c r="AY38" s="20" t="s">
        <v>716</v>
      </c>
    </row>
    <row r="39" spans="12:51">
      <c r="L39" s="1" t="s">
        <v>681</v>
      </c>
      <c r="M39" s="1" t="s">
        <v>747</v>
      </c>
      <c r="N39" s="1" t="s">
        <v>750</v>
      </c>
      <c r="O39" s="1"/>
      <c r="P39" s="1" t="s">
        <v>771</v>
      </c>
      <c r="Q39" s="1" t="s">
        <v>390</v>
      </c>
      <c r="R39" s="1"/>
      <c r="S39" s="1" t="s">
        <v>681</v>
      </c>
      <c r="T39" s="1" t="s">
        <v>747</v>
      </c>
      <c r="U39" s="1" t="s">
        <v>750</v>
      </c>
      <c r="V39" s="1"/>
      <c r="W39" s="1" t="s">
        <v>771</v>
      </c>
      <c r="X39" s="1" t="s">
        <v>390</v>
      </c>
      <c r="Y39" s="1" t="s">
        <v>772</v>
      </c>
      <c r="Z39" s="1" t="s">
        <v>409</v>
      </c>
      <c r="AA39" s="1" t="s">
        <v>773</v>
      </c>
      <c r="AB39" s="1" t="s">
        <v>409</v>
      </c>
      <c r="AC39" s="1" t="s">
        <v>113</v>
      </c>
      <c r="AD39" s="1"/>
      <c r="AE39" s="1" t="s">
        <v>769</v>
      </c>
      <c r="AF39" s="1"/>
      <c r="AG39" s="1"/>
      <c r="AH39" s="1"/>
      <c r="AI39" s="1"/>
      <c r="AJ39" s="1"/>
      <c r="AK39" s="1"/>
      <c r="AL39" s="1"/>
      <c r="AM39" s="1"/>
      <c r="AN39" s="1"/>
      <c r="AO39" s="1"/>
      <c r="AP39" s="18" t="s">
        <v>643</v>
      </c>
      <c r="AQ39" s="1"/>
      <c r="AR39" s="1"/>
      <c r="AS39" s="1"/>
      <c r="AT39" s="1"/>
      <c r="AU39" s="20" t="s">
        <v>604</v>
      </c>
      <c r="AV39" s="21" t="s">
        <v>606</v>
      </c>
      <c r="AW39" s="22" t="s">
        <v>683</v>
      </c>
      <c r="AX39" s="22" t="s">
        <v>526</v>
      </c>
      <c r="AY39" s="20" t="s">
        <v>590</v>
      </c>
    </row>
    <row r="40" spans="12:51">
      <c r="L40" s="1" t="s">
        <v>702</v>
      </c>
      <c r="M40" s="1" t="s">
        <v>705</v>
      </c>
      <c r="N40" s="1" t="s">
        <v>401</v>
      </c>
      <c r="O40" s="1"/>
      <c r="P40" s="1" t="s">
        <v>759</v>
      </c>
      <c r="Q40" s="1" t="s">
        <v>774</v>
      </c>
      <c r="R40" s="1"/>
      <c r="S40" s="1" t="s">
        <v>702</v>
      </c>
      <c r="T40" s="1" t="s">
        <v>705</v>
      </c>
      <c r="U40" s="1" t="s">
        <v>401</v>
      </c>
      <c r="V40" s="1"/>
      <c r="W40" s="1" t="s">
        <v>759</v>
      </c>
      <c r="X40" s="1" t="s">
        <v>774</v>
      </c>
      <c r="Y40" s="1" t="s">
        <v>772</v>
      </c>
      <c r="Z40" s="1" t="s">
        <v>764</v>
      </c>
      <c r="AA40" s="1" t="s">
        <v>604</v>
      </c>
      <c r="AB40" s="1" t="s">
        <v>775</v>
      </c>
      <c r="AC40" s="1" t="s">
        <v>776</v>
      </c>
      <c r="AD40" s="1"/>
      <c r="AE40" s="1" t="s">
        <v>726</v>
      </c>
      <c r="AF40" s="1"/>
      <c r="AG40" s="1"/>
      <c r="AH40" s="1"/>
      <c r="AI40" s="1"/>
      <c r="AJ40" s="1"/>
      <c r="AK40" s="1"/>
      <c r="AL40" s="1"/>
      <c r="AM40" s="1"/>
      <c r="AN40" s="1"/>
      <c r="AO40" s="1"/>
      <c r="AP40" s="18" t="s">
        <v>777</v>
      </c>
      <c r="AQ40" s="1"/>
      <c r="AR40" s="1"/>
      <c r="AS40" s="1"/>
      <c r="AT40" s="1"/>
      <c r="AU40" s="20" t="s">
        <v>625</v>
      </c>
      <c r="AV40" s="22" t="s">
        <v>572</v>
      </c>
      <c r="AW40" s="20" t="s">
        <v>592</v>
      </c>
      <c r="AX40" s="22" t="s">
        <v>671</v>
      </c>
      <c r="AY40" s="20" t="s">
        <v>603</v>
      </c>
    </row>
    <row r="41" spans="12:51">
      <c r="L41" s="1" t="s">
        <v>778</v>
      </c>
      <c r="M41" s="1" t="s">
        <v>404</v>
      </c>
      <c r="N41" s="1" t="s">
        <v>719</v>
      </c>
      <c r="O41" s="1"/>
      <c r="P41" s="1" t="s">
        <v>655</v>
      </c>
      <c r="Q41" s="1" t="s">
        <v>779</v>
      </c>
      <c r="R41" s="1"/>
      <c r="S41" s="1" t="s">
        <v>778</v>
      </c>
      <c r="T41" s="1" t="s">
        <v>404</v>
      </c>
      <c r="U41" s="1" t="s">
        <v>719</v>
      </c>
      <c r="V41" s="1"/>
      <c r="W41" s="1" t="s">
        <v>655</v>
      </c>
      <c r="X41" s="1" t="s">
        <v>779</v>
      </c>
      <c r="Y41" s="1" t="s">
        <v>707</v>
      </c>
      <c r="Z41" s="1" t="s">
        <v>698</v>
      </c>
      <c r="AA41" s="1" t="s">
        <v>724</v>
      </c>
      <c r="AB41" s="1" t="s">
        <v>780</v>
      </c>
      <c r="AC41" s="1"/>
      <c r="AD41" s="1"/>
      <c r="AE41" s="1"/>
      <c r="AF41" s="1"/>
      <c r="AG41" s="1"/>
      <c r="AH41" s="1"/>
      <c r="AI41" s="1"/>
      <c r="AJ41" s="1"/>
      <c r="AK41" s="1"/>
      <c r="AL41" s="1"/>
      <c r="AM41" s="1"/>
      <c r="AN41" s="1"/>
      <c r="AO41" s="1"/>
      <c r="AP41" s="18" t="s">
        <v>781</v>
      </c>
      <c r="AQ41" s="1"/>
      <c r="AR41" s="1"/>
      <c r="AS41" s="1"/>
      <c r="AT41" s="1"/>
      <c r="AU41" s="20" t="s">
        <v>701</v>
      </c>
      <c r="AV41" s="20" t="s">
        <v>597</v>
      </c>
      <c r="AW41" s="22" t="s">
        <v>655</v>
      </c>
      <c r="AX41" s="20" t="s">
        <v>579</v>
      </c>
      <c r="AY41" s="20" t="s">
        <v>70</v>
      </c>
    </row>
    <row r="42" spans="12:51">
      <c r="L42" s="1" t="s">
        <v>698</v>
      </c>
      <c r="M42" s="1" t="s">
        <v>782</v>
      </c>
      <c r="N42" s="1" t="s">
        <v>113</v>
      </c>
      <c r="O42" s="1"/>
      <c r="P42" s="1" t="s">
        <v>520</v>
      </c>
      <c r="Q42" s="1" t="s">
        <v>748</v>
      </c>
      <c r="R42" s="1"/>
      <c r="S42" s="1" t="s">
        <v>698</v>
      </c>
      <c r="T42" s="1" t="s">
        <v>782</v>
      </c>
      <c r="U42" s="1" t="s">
        <v>113</v>
      </c>
      <c r="V42" s="1"/>
      <c r="W42" s="1" t="s">
        <v>520</v>
      </c>
      <c r="X42" s="1" t="s">
        <v>748</v>
      </c>
      <c r="Y42" s="1" t="s">
        <v>666</v>
      </c>
      <c r="Z42" s="1" t="s">
        <v>783</v>
      </c>
      <c r="AA42" s="1" t="s">
        <v>744</v>
      </c>
      <c r="AB42" s="1" t="s">
        <v>784</v>
      </c>
      <c r="AC42" s="1"/>
      <c r="AD42" s="1"/>
      <c r="AE42" s="1"/>
      <c r="AF42" s="1"/>
      <c r="AG42" s="1"/>
      <c r="AH42" s="1"/>
      <c r="AI42" s="1"/>
      <c r="AJ42" s="1"/>
      <c r="AK42" s="1"/>
      <c r="AL42" s="1"/>
      <c r="AM42" s="1"/>
      <c r="AN42" s="1"/>
      <c r="AO42" s="1"/>
      <c r="AP42" s="18" t="s">
        <v>727</v>
      </c>
      <c r="AQ42" s="1"/>
      <c r="AR42" s="1"/>
      <c r="AS42" s="1"/>
      <c r="AT42" s="1"/>
      <c r="AU42" s="20" t="s">
        <v>644</v>
      </c>
      <c r="AV42" s="19" t="s">
        <v>557</v>
      </c>
      <c r="AW42" s="20" t="s">
        <v>396</v>
      </c>
      <c r="AX42" s="22" t="s">
        <v>536</v>
      </c>
      <c r="AY42" s="20" t="s">
        <v>97</v>
      </c>
    </row>
    <row r="43" spans="12:51">
      <c r="L43" s="1" t="s">
        <v>785</v>
      </c>
      <c r="M43" s="1"/>
      <c r="N43" s="1" t="s">
        <v>776</v>
      </c>
      <c r="O43" s="1"/>
      <c r="P43" s="1" t="s">
        <v>772</v>
      </c>
      <c r="Q43" s="1" t="s">
        <v>663</v>
      </c>
      <c r="R43" s="1"/>
      <c r="S43" s="1" t="s">
        <v>785</v>
      </c>
      <c r="T43" s="1"/>
      <c r="U43" s="1" t="s">
        <v>776</v>
      </c>
      <c r="V43" s="1"/>
      <c r="W43" s="1" t="s">
        <v>772</v>
      </c>
      <c r="X43" s="1" t="s">
        <v>663</v>
      </c>
      <c r="Y43" s="1" t="s">
        <v>786</v>
      </c>
      <c r="Z43" s="1" t="s">
        <v>113</v>
      </c>
      <c r="AA43" s="1" t="s">
        <v>655</v>
      </c>
      <c r="AB43" s="1" t="s">
        <v>787</v>
      </c>
      <c r="AC43" s="1"/>
      <c r="AD43" s="1"/>
      <c r="AE43" s="1"/>
      <c r="AF43" s="1"/>
      <c r="AG43" s="1"/>
      <c r="AH43" s="1"/>
      <c r="AI43" s="1"/>
      <c r="AJ43" s="1"/>
      <c r="AK43" s="1"/>
      <c r="AL43" s="1"/>
      <c r="AM43" s="1"/>
      <c r="AN43" s="1"/>
      <c r="AO43" s="1"/>
      <c r="AP43" s="18" t="s">
        <v>788</v>
      </c>
      <c r="AQ43" s="1"/>
      <c r="AR43" s="1"/>
      <c r="AS43" s="1"/>
      <c r="AT43" s="1"/>
      <c r="AU43" s="20" t="s">
        <v>665</v>
      </c>
      <c r="AV43" s="20" t="s">
        <v>621</v>
      </c>
      <c r="AW43" s="22" t="s">
        <v>738</v>
      </c>
      <c r="AX43" s="22" t="s">
        <v>387</v>
      </c>
      <c r="AY43" s="20" t="s">
        <v>663</v>
      </c>
    </row>
    <row r="44" spans="12:51">
      <c r="L44" s="1" t="s">
        <v>706</v>
      </c>
      <c r="M44" s="1"/>
      <c r="N44" s="1"/>
      <c r="O44" s="1"/>
      <c r="P44" s="1" t="s">
        <v>699</v>
      </c>
      <c r="Q44" s="1" t="s">
        <v>789</v>
      </c>
      <c r="R44" s="1"/>
      <c r="S44" s="1" t="s">
        <v>706</v>
      </c>
      <c r="T44" s="1"/>
      <c r="U44" s="1"/>
      <c r="V44" s="1"/>
      <c r="W44" s="1" t="s">
        <v>699</v>
      </c>
      <c r="X44" s="1" t="s">
        <v>789</v>
      </c>
      <c r="Y44" s="1" t="s">
        <v>727</v>
      </c>
      <c r="Z44" s="1"/>
      <c r="AA44" s="1" t="s">
        <v>714</v>
      </c>
      <c r="AB44" s="1" t="s">
        <v>778</v>
      </c>
      <c r="AC44" s="1"/>
      <c r="AD44" s="1"/>
      <c r="AE44" s="1"/>
      <c r="AF44" s="1"/>
      <c r="AG44" s="1"/>
      <c r="AH44" s="1"/>
      <c r="AI44" s="1"/>
      <c r="AJ44" s="1"/>
      <c r="AK44" s="1"/>
      <c r="AL44" s="1"/>
      <c r="AM44" s="1"/>
      <c r="AN44" s="1"/>
      <c r="AO44" s="1"/>
      <c r="AP44" s="18" t="s">
        <v>706</v>
      </c>
      <c r="AQ44" s="1"/>
      <c r="AR44" s="1"/>
      <c r="AS44" s="1"/>
      <c r="AT44" s="1"/>
      <c r="AU44" s="20" t="s">
        <v>651</v>
      </c>
      <c r="AV44" s="22" t="s">
        <v>127</v>
      </c>
      <c r="AW44" s="20" t="s">
        <v>666</v>
      </c>
      <c r="AX44" s="22" t="s">
        <v>556</v>
      </c>
      <c r="AY44" s="20" t="s">
        <v>672</v>
      </c>
    </row>
    <row r="45" spans="12:51">
      <c r="L45" s="1" t="s">
        <v>790</v>
      </c>
      <c r="M45" s="1"/>
      <c r="N45" s="1"/>
      <c r="O45" s="1"/>
      <c r="P45" s="1" t="s">
        <v>713</v>
      </c>
      <c r="Q45" s="1" t="s">
        <v>789</v>
      </c>
      <c r="R45" s="1"/>
      <c r="S45" s="1" t="s">
        <v>790</v>
      </c>
      <c r="T45" s="1"/>
      <c r="U45" s="1"/>
      <c r="V45" s="1"/>
      <c r="W45" s="1" t="s">
        <v>713</v>
      </c>
      <c r="X45" s="1" t="s">
        <v>789</v>
      </c>
      <c r="Y45" s="1" t="s">
        <v>791</v>
      </c>
      <c r="Z45" s="1"/>
      <c r="AA45" s="1" t="s">
        <v>792</v>
      </c>
      <c r="AB45" s="1" t="s">
        <v>401</v>
      </c>
      <c r="AC45" s="1"/>
      <c r="AD45" s="1"/>
      <c r="AE45" s="1"/>
      <c r="AF45" s="1"/>
      <c r="AG45" s="1"/>
      <c r="AH45" s="1"/>
      <c r="AI45" s="1"/>
      <c r="AJ45" s="1"/>
      <c r="AK45" s="1"/>
      <c r="AL45" s="1"/>
      <c r="AM45" s="1"/>
      <c r="AN45" s="1"/>
      <c r="AO45" s="1"/>
      <c r="AP45" s="18" t="s">
        <v>635</v>
      </c>
      <c r="AQ45" s="1"/>
      <c r="AR45" s="1"/>
      <c r="AS45" s="1"/>
      <c r="AT45" s="1"/>
      <c r="AU45" s="20" t="s">
        <v>737</v>
      </c>
      <c r="AV45" s="21" t="s">
        <v>627</v>
      </c>
      <c r="AW45" s="22" t="s">
        <v>751</v>
      </c>
      <c r="AX45" s="20" t="s">
        <v>543</v>
      </c>
      <c r="AY45" s="20" t="s">
        <v>680</v>
      </c>
    </row>
    <row r="46" spans="12:51">
      <c r="L46" s="1"/>
      <c r="M46" s="1"/>
      <c r="N46" s="1"/>
      <c r="O46" s="1"/>
      <c r="P46" s="1" t="s">
        <v>707</v>
      </c>
      <c r="Q46" s="1" t="s">
        <v>714</v>
      </c>
      <c r="R46" s="1"/>
      <c r="S46" s="1"/>
      <c r="T46" s="1"/>
      <c r="U46" s="1"/>
      <c r="V46" s="1"/>
      <c r="W46" s="1" t="s">
        <v>707</v>
      </c>
      <c r="X46" s="1" t="s">
        <v>714</v>
      </c>
      <c r="Y46" s="1" t="s">
        <v>758</v>
      </c>
      <c r="Z46" s="1"/>
      <c r="AA46" s="1" t="s">
        <v>793</v>
      </c>
      <c r="AB46" s="1" t="s">
        <v>794</v>
      </c>
      <c r="AC46" s="1"/>
      <c r="AD46" s="1"/>
      <c r="AE46" s="1"/>
      <c r="AF46" s="1"/>
      <c r="AG46" s="1"/>
      <c r="AH46" s="1"/>
      <c r="AI46" s="1"/>
      <c r="AJ46" s="1"/>
      <c r="AK46" s="1"/>
      <c r="AL46" s="1"/>
      <c r="AM46" s="1"/>
      <c r="AN46" s="1"/>
      <c r="AO46" s="1"/>
      <c r="AP46" s="18" t="s">
        <v>776</v>
      </c>
      <c r="AQ46" s="1"/>
      <c r="AR46" s="1"/>
      <c r="AS46" s="1"/>
      <c r="AT46" s="1"/>
      <c r="AU46" s="20" t="s">
        <v>681</v>
      </c>
      <c r="AV46" s="19" t="s">
        <v>634</v>
      </c>
      <c r="AW46" s="19" t="s">
        <v>398</v>
      </c>
      <c r="AX46" s="20" t="s">
        <v>582</v>
      </c>
      <c r="AY46" s="20" t="s">
        <v>397</v>
      </c>
    </row>
    <row r="47" spans="12:51">
      <c r="L47" s="1"/>
      <c r="M47" s="1"/>
      <c r="N47" s="1"/>
      <c r="O47" s="1"/>
      <c r="P47" s="1" t="s">
        <v>666</v>
      </c>
      <c r="Q47" s="1" t="s">
        <v>772</v>
      </c>
      <c r="R47" s="1"/>
      <c r="S47" s="1"/>
      <c r="T47" s="1"/>
      <c r="U47" s="1"/>
      <c r="V47" s="1"/>
      <c r="W47" s="1" t="s">
        <v>666</v>
      </c>
      <c r="X47" s="1" t="s">
        <v>772</v>
      </c>
      <c r="Y47" s="1" t="s">
        <v>795</v>
      </c>
      <c r="Z47" s="1"/>
      <c r="AA47" s="1" t="s">
        <v>772</v>
      </c>
      <c r="AB47" s="1" t="s">
        <v>698</v>
      </c>
      <c r="AC47" s="1"/>
      <c r="AD47" s="1"/>
      <c r="AE47" s="1"/>
      <c r="AF47" s="1"/>
      <c r="AG47" s="1"/>
      <c r="AH47" s="1"/>
      <c r="AI47" s="1"/>
      <c r="AJ47" s="1"/>
      <c r="AK47" s="1"/>
      <c r="AL47" s="1"/>
      <c r="AM47" s="1"/>
      <c r="AN47" s="1"/>
      <c r="AO47" s="1"/>
      <c r="AP47" s="18"/>
      <c r="AQ47" s="1"/>
      <c r="AR47" s="1"/>
      <c r="AS47" s="1"/>
      <c r="AT47" s="1"/>
      <c r="AU47" s="20" t="s">
        <v>702</v>
      </c>
      <c r="AV47" s="20" t="s">
        <v>548</v>
      </c>
      <c r="AW47" s="20" t="s">
        <v>682</v>
      </c>
      <c r="AX47" s="22" t="s">
        <v>562</v>
      </c>
      <c r="AY47" s="20" t="s">
        <v>643</v>
      </c>
    </row>
    <row r="48" spans="12:51">
      <c r="L48" s="1"/>
      <c r="M48" s="1"/>
      <c r="N48" s="1"/>
      <c r="O48" s="1"/>
      <c r="P48" s="1" t="s">
        <v>666</v>
      </c>
      <c r="Q48" s="1" t="s">
        <v>699</v>
      </c>
      <c r="R48" s="1"/>
      <c r="S48" s="1"/>
      <c r="T48" s="1"/>
      <c r="U48" s="1"/>
      <c r="V48" s="1"/>
      <c r="W48" s="1" t="s">
        <v>666</v>
      </c>
      <c r="X48" s="1" t="s">
        <v>699</v>
      </c>
      <c r="Y48" s="1" t="s">
        <v>796</v>
      </c>
      <c r="Z48" s="1"/>
      <c r="AA48" s="1" t="s">
        <v>740</v>
      </c>
      <c r="AB48" s="1" t="s">
        <v>797</v>
      </c>
      <c r="AC48" s="1"/>
      <c r="AD48" s="1"/>
      <c r="AE48" s="1"/>
      <c r="AF48" s="1"/>
      <c r="AG48" s="1"/>
      <c r="AH48" s="1"/>
      <c r="AI48" s="1"/>
      <c r="AJ48" s="1"/>
      <c r="AK48" s="1"/>
      <c r="AL48" s="1"/>
      <c r="AM48" s="1"/>
      <c r="AN48" s="1"/>
      <c r="AO48" s="1"/>
      <c r="AP48" s="1"/>
      <c r="AQ48" s="1"/>
      <c r="AR48" s="1"/>
      <c r="AS48" s="1"/>
      <c r="AT48" s="1"/>
      <c r="AU48" s="20" t="s">
        <v>750</v>
      </c>
      <c r="AV48" s="21" t="s">
        <v>111</v>
      </c>
      <c r="AW48" s="22" t="s">
        <v>758</v>
      </c>
      <c r="AX48" s="20" t="s">
        <v>594</v>
      </c>
      <c r="AY48" s="20" t="s">
        <v>651</v>
      </c>
    </row>
    <row r="49" spans="16:51">
      <c r="P49" s="1" t="s">
        <v>798</v>
      </c>
      <c r="Q49" s="1" t="s">
        <v>799</v>
      </c>
      <c r="R49" s="1"/>
      <c r="S49" s="1"/>
      <c r="T49" s="1"/>
      <c r="U49" s="1"/>
      <c r="V49" s="1"/>
      <c r="W49" s="1" t="s">
        <v>798</v>
      </c>
      <c r="X49" s="1" t="s">
        <v>799</v>
      </c>
      <c r="Y49" s="1" t="s">
        <v>800</v>
      </c>
      <c r="Z49" s="1"/>
      <c r="AA49" s="1" t="s">
        <v>672</v>
      </c>
      <c r="AB49" s="1" t="s">
        <v>697</v>
      </c>
      <c r="AC49" s="1"/>
      <c r="AD49" s="1"/>
      <c r="AE49" s="1"/>
      <c r="AF49" s="1"/>
      <c r="AG49" s="1"/>
      <c r="AH49" s="1"/>
      <c r="AI49" s="1"/>
      <c r="AJ49" s="1"/>
      <c r="AK49" s="1"/>
      <c r="AL49" s="1"/>
      <c r="AM49" s="1"/>
      <c r="AN49" s="1"/>
      <c r="AO49" s="1"/>
      <c r="AP49" s="1"/>
      <c r="AQ49" s="1"/>
      <c r="AR49" s="1"/>
      <c r="AS49" s="1"/>
      <c r="AT49" s="1"/>
      <c r="AU49" s="20" t="s">
        <v>691</v>
      </c>
      <c r="AV49" s="22" t="s">
        <v>645</v>
      </c>
      <c r="AW49" s="20" t="s">
        <v>681</v>
      </c>
      <c r="AX49" s="22" t="s">
        <v>640</v>
      </c>
      <c r="AY49" s="20" t="s">
        <v>662</v>
      </c>
    </row>
    <row r="50" spans="16:51">
      <c r="P50" s="1" t="s">
        <v>398</v>
      </c>
      <c r="Q50" s="1" t="s">
        <v>665</v>
      </c>
      <c r="R50" s="1"/>
      <c r="S50" s="1"/>
      <c r="T50" s="1"/>
      <c r="U50" s="1"/>
      <c r="V50" s="1"/>
      <c r="W50" s="1" t="s">
        <v>398</v>
      </c>
      <c r="X50" s="1" t="s">
        <v>665</v>
      </c>
      <c r="Y50" s="1" t="s">
        <v>404</v>
      </c>
      <c r="Z50" s="1"/>
      <c r="AA50" s="1" t="s">
        <v>738</v>
      </c>
      <c r="AB50" s="1" t="s">
        <v>801</v>
      </c>
      <c r="AC50" s="1"/>
      <c r="AD50" s="1"/>
      <c r="AE50" s="1"/>
      <c r="AF50" s="1"/>
      <c r="AG50" s="1"/>
      <c r="AH50" s="1"/>
      <c r="AI50" s="1"/>
      <c r="AJ50" s="1"/>
      <c r="AK50" s="1"/>
      <c r="AL50" s="1"/>
      <c r="AM50" s="1"/>
      <c r="AN50" s="1"/>
      <c r="AO50" s="1"/>
      <c r="AP50" s="1"/>
      <c r="AQ50" s="1"/>
      <c r="AR50" s="1"/>
      <c r="AS50" s="1"/>
      <c r="AT50" s="1"/>
      <c r="AU50" s="20" t="s">
        <v>698</v>
      </c>
      <c r="AV50" s="20" t="s">
        <v>657</v>
      </c>
      <c r="AW50" s="22" t="s">
        <v>750</v>
      </c>
      <c r="AX50" s="22" t="s">
        <v>557</v>
      </c>
      <c r="AY50" s="20" t="s">
        <v>574</v>
      </c>
    </row>
    <row r="51" spans="16:51">
      <c r="P51" s="1" t="s">
        <v>802</v>
      </c>
      <c r="Q51" s="1" t="s">
        <v>803</v>
      </c>
      <c r="R51" s="1"/>
      <c r="S51" s="1"/>
      <c r="T51" s="1"/>
      <c r="U51" s="1"/>
      <c r="V51" s="1"/>
      <c r="W51" s="1" t="s">
        <v>802</v>
      </c>
      <c r="X51" s="1" t="s">
        <v>803</v>
      </c>
      <c r="Y51" s="1" t="s">
        <v>783</v>
      </c>
      <c r="Z51" s="1"/>
      <c r="AA51" s="1" t="s">
        <v>707</v>
      </c>
      <c r="AB51" s="1" t="s">
        <v>804</v>
      </c>
      <c r="AC51" s="1"/>
      <c r="AD51" s="1"/>
      <c r="AE51" s="1"/>
      <c r="AF51" s="1"/>
      <c r="AG51" s="1"/>
      <c r="AH51" s="1"/>
      <c r="AI51" s="1"/>
      <c r="AJ51" s="1"/>
      <c r="AK51" s="1"/>
      <c r="AL51" s="1"/>
      <c r="AM51" s="1"/>
      <c r="AN51" s="1"/>
      <c r="AO51" s="1"/>
      <c r="AP51" s="1"/>
      <c r="AQ51" s="1"/>
      <c r="AR51" s="1"/>
      <c r="AS51" s="1"/>
      <c r="AT51" s="1"/>
      <c r="AU51" s="20" t="s">
        <v>706</v>
      </c>
      <c r="AV51" s="20" t="s">
        <v>390</v>
      </c>
      <c r="AW51" s="20" t="s">
        <v>401</v>
      </c>
      <c r="AX51" s="22" t="s">
        <v>694</v>
      </c>
      <c r="AY51" s="20" t="s">
        <v>741</v>
      </c>
    </row>
    <row r="52" spans="16:51">
      <c r="P52" s="1" t="s">
        <v>767</v>
      </c>
      <c r="Q52" s="1" t="s">
        <v>788</v>
      </c>
      <c r="R52" s="1"/>
      <c r="S52" s="1"/>
      <c r="T52" s="1"/>
      <c r="U52" s="1"/>
      <c r="V52" s="1"/>
      <c r="W52" s="1" t="s">
        <v>767</v>
      </c>
      <c r="X52" s="1" t="s">
        <v>788</v>
      </c>
      <c r="Y52" s="1" t="s">
        <v>406</v>
      </c>
      <c r="Z52" s="1"/>
      <c r="AA52" s="1" t="s">
        <v>666</v>
      </c>
      <c r="AB52" s="1" t="s">
        <v>805</v>
      </c>
      <c r="AC52" s="1"/>
      <c r="AD52" s="1"/>
      <c r="AE52" s="1"/>
      <c r="AF52" s="1"/>
      <c r="AG52" s="1"/>
      <c r="AH52" s="1"/>
      <c r="AI52" s="1"/>
      <c r="AJ52" s="1"/>
      <c r="AK52" s="1"/>
      <c r="AL52" s="1"/>
      <c r="AM52" s="1"/>
      <c r="AN52" s="1"/>
      <c r="AO52" s="1"/>
      <c r="AP52" s="1"/>
      <c r="AQ52" s="1"/>
      <c r="AR52" s="1"/>
      <c r="AS52" s="1"/>
      <c r="AT52" s="1"/>
      <c r="AU52" s="20" t="s">
        <v>747</v>
      </c>
      <c r="AV52" s="19" t="s">
        <v>620</v>
      </c>
      <c r="AW52" s="21" t="s">
        <v>691</v>
      </c>
      <c r="AX52" s="20" t="s">
        <v>652</v>
      </c>
      <c r="AY52" s="20" t="s">
        <v>746</v>
      </c>
    </row>
    <row r="53" spans="16:51">
      <c r="P53" s="1" t="s">
        <v>665</v>
      </c>
      <c r="Q53" s="1" t="s">
        <v>806</v>
      </c>
      <c r="R53" s="1"/>
      <c r="S53" s="1"/>
      <c r="T53" s="1"/>
      <c r="U53" s="1"/>
      <c r="V53" s="1"/>
      <c r="W53" s="1" t="s">
        <v>665</v>
      </c>
      <c r="X53" s="1" t="s">
        <v>806</v>
      </c>
      <c r="Y53" s="1"/>
      <c r="Z53" s="1"/>
      <c r="AA53" s="1" t="s">
        <v>807</v>
      </c>
      <c r="AB53" s="1" t="s">
        <v>619</v>
      </c>
      <c r="AC53" s="1"/>
      <c r="AD53" s="1"/>
      <c r="AE53" s="1"/>
      <c r="AF53" s="1"/>
      <c r="AG53" s="1"/>
      <c r="AH53" s="1"/>
      <c r="AI53" s="1"/>
      <c r="AJ53" s="1"/>
      <c r="AK53" s="1"/>
      <c r="AL53" s="1"/>
      <c r="AM53" s="1"/>
      <c r="AN53" s="1"/>
      <c r="AO53" s="1"/>
      <c r="AP53" s="1"/>
      <c r="AQ53" s="1"/>
      <c r="AR53" s="1"/>
      <c r="AS53" s="1"/>
      <c r="AT53" s="1"/>
      <c r="AU53" s="20" t="s">
        <v>705</v>
      </c>
      <c r="AV53" s="20" t="s">
        <v>676</v>
      </c>
      <c r="AW53" s="19" t="s">
        <v>706</v>
      </c>
      <c r="AX53" s="22" t="s">
        <v>660</v>
      </c>
      <c r="AY53" s="20" t="s">
        <v>409</v>
      </c>
    </row>
    <row r="54" spans="16:51">
      <c r="P54" s="1" t="s">
        <v>786</v>
      </c>
      <c r="Q54" s="1" t="s">
        <v>401</v>
      </c>
      <c r="R54" s="1"/>
      <c r="S54" s="1"/>
      <c r="T54" s="1"/>
      <c r="U54" s="1"/>
      <c r="V54" s="1"/>
      <c r="W54" s="1" t="s">
        <v>786</v>
      </c>
      <c r="X54" s="1" t="s">
        <v>401</v>
      </c>
      <c r="Y54" s="1"/>
      <c r="Z54" s="1"/>
      <c r="AA54" s="1" t="s">
        <v>398</v>
      </c>
      <c r="AB54" s="1" t="s">
        <v>808</v>
      </c>
      <c r="AC54" s="1"/>
      <c r="AD54" s="1"/>
      <c r="AE54" s="1"/>
      <c r="AF54" s="1"/>
      <c r="AG54" s="1"/>
      <c r="AH54" s="1"/>
      <c r="AI54" s="1"/>
      <c r="AJ54" s="1"/>
      <c r="AK54" s="1"/>
      <c r="AL54" s="1"/>
      <c r="AM54" s="1"/>
      <c r="AN54" s="1"/>
      <c r="AO54" s="1"/>
      <c r="AP54" s="1"/>
      <c r="AQ54" s="1"/>
      <c r="AR54" s="1"/>
      <c r="AS54" s="1"/>
      <c r="AT54" s="1"/>
      <c r="AU54" s="20" t="s">
        <v>404</v>
      </c>
      <c r="AV54" s="20" t="s">
        <v>593</v>
      </c>
      <c r="AW54" s="21" t="s">
        <v>712</v>
      </c>
      <c r="AX54" s="20" t="s">
        <v>645</v>
      </c>
      <c r="AY54" s="20" t="s">
        <v>681</v>
      </c>
    </row>
    <row r="55" spans="16:51">
      <c r="P55" s="1" t="s">
        <v>400</v>
      </c>
      <c r="Q55" s="1" t="s">
        <v>796</v>
      </c>
      <c r="R55" s="1"/>
      <c r="S55" s="1"/>
      <c r="T55" s="1"/>
      <c r="U55" s="1"/>
      <c r="V55" s="1"/>
      <c r="W55" s="1" t="s">
        <v>400</v>
      </c>
      <c r="X55" s="1" t="s">
        <v>796</v>
      </c>
      <c r="Y55" s="1"/>
      <c r="Z55" s="1"/>
      <c r="AA55" s="1" t="s">
        <v>809</v>
      </c>
      <c r="AB55" s="1" t="s">
        <v>705</v>
      </c>
      <c r="AC55" s="1"/>
      <c r="AD55" s="1"/>
      <c r="AE55" s="1"/>
      <c r="AF55" s="1"/>
      <c r="AG55" s="1"/>
      <c r="AH55" s="1"/>
      <c r="AI55" s="1"/>
      <c r="AJ55" s="1"/>
      <c r="AK55" s="1"/>
      <c r="AL55" s="1"/>
      <c r="AM55" s="1"/>
      <c r="AN55" s="1"/>
      <c r="AO55" s="1"/>
      <c r="AP55" s="1"/>
      <c r="AQ55" s="1"/>
      <c r="AR55" s="1"/>
      <c r="AS55" s="1"/>
      <c r="AT55" s="1"/>
      <c r="AU55" s="20" t="s">
        <v>782</v>
      </c>
      <c r="AV55" s="22" t="s">
        <v>690</v>
      </c>
      <c r="AW55" s="22" t="s">
        <v>719</v>
      </c>
      <c r="AX55" s="22" t="s">
        <v>716</v>
      </c>
      <c r="AY55" s="20" t="s">
        <v>691</v>
      </c>
    </row>
    <row r="56" spans="16:51">
      <c r="P56" s="1" t="s">
        <v>574</v>
      </c>
      <c r="Q56" s="1" t="s">
        <v>698</v>
      </c>
      <c r="R56" s="1"/>
      <c r="S56" s="1"/>
      <c r="T56" s="1"/>
      <c r="U56" s="1"/>
      <c r="V56" s="1"/>
      <c r="W56" s="1" t="s">
        <v>574</v>
      </c>
      <c r="X56" s="1" t="s">
        <v>698</v>
      </c>
      <c r="Y56" s="1"/>
      <c r="Z56" s="1"/>
      <c r="AA56" s="1" t="s">
        <v>682</v>
      </c>
      <c r="AB56" s="1" t="s">
        <v>810</v>
      </c>
      <c r="AC56" s="1"/>
      <c r="AD56" s="1"/>
      <c r="AE56" s="1"/>
      <c r="AF56" s="1"/>
      <c r="AG56" s="1"/>
      <c r="AH56" s="1"/>
      <c r="AI56" s="1"/>
      <c r="AJ56" s="1"/>
      <c r="AK56" s="1"/>
      <c r="AL56" s="1"/>
      <c r="AM56" s="1"/>
      <c r="AN56" s="1"/>
      <c r="AO56" s="1"/>
      <c r="AP56" s="1"/>
      <c r="AQ56" s="1"/>
      <c r="AR56" s="1"/>
      <c r="AS56" s="1"/>
      <c r="AT56" s="1"/>
      <c r="AU56" s="24"/>
      <c r="AV56" s="21" t="s">
        <v>605</v>
      </c>
      <c r="AW56" s="21" t="s">
        <v>726</v>
      </c>
      <c r="AX56" s="20" t="s">
        <v>590</v>
      </c>
      <c r="AY56" s="20" t="s">
        <v>706</v>
      </c>
    </row>
    <row r="57" spans="16:51">
      <c r="P57" s="1" t="s">
        <v>811</v>
      </c>
      <c r="Q57" s="1" t="s">
        <v>706</v>
      </c>
      <c r="R57" s="1"/>
      <c r="S57" s="1"/>
      <c r="T57" s="1"/>
      <c r="U57" s="1"/>
      <c r="V57" s="1"/>
      <c r="W57" s="1" t="s">
        <v>811</v>
      </c>
      <c r="X57" s="1" t="s">
        <v>706</v>
      </c>
      <c r="Y57" s="1"/>
      <c r="Z57" s="1"/>
      <c r="AA57" s="1" t="s">
        <v>737</v>
      </c>
      <c r="AB57" s="1" t="s">
        <v>812</v>
      </c>
      <c r="AC57" s="1"/>
      <c r="AD57" s="1"/>
      <c r="AE57" s="1"/>
      <c r="AF57" s="1"/>
      <c r="AG57" s="1"/>
      <c r="AH57" s="1"/>
      <c r="AI57" s="1"/>
      <c r="AJ57" s="1"/>
      <c r="AK57" s="1"/>
      <c r="AL57" s="1"/>
      <c r="AM57" s="1"/>
      <c r="AN57" s="1"/>
      <c r="AO57" s="1"/>
      <c r="AP57" s="1"/>
      <c r="AQ57" s="1"/>
      <c r="AR57" s="1"/>
      <c r="AS57" s="1"/>
      <c r="AT57" s="1"/>
      <c r="AU57" s="1"/>
      <c r="AV57" s="22" t="s">
        <v>674</v>
      </c>
      <c r="AW57" s="20" t="s">
        <v>113</v>
      </c>
      <c r="AX57" s="20" t="s">
        <v>603</v>
      </c>
      <c r="AY57" s="20" t="s">
        <v>762</v>
      </c>
    </row>
    <row r="58" spans="16:51">
      <c r="P58" s="1" t="s">
        <v>401</v>
      </c>
      <c r="Q58" s="1" t="s">
        <v>402</v>
      </c>
      <c r="R58" s="1"/>
      <c r="S58" s="1"/>
      <c r="T58" s="1"/>
      <c r="U58" s="1"/>
      <c r="V58" s="1"/>
      <c r="W58" s="1" t="s">
        <v>401</v>
      </c>
      <c r="X58" s="1" t="s">
        <v>402</v>
      </c>
      <c r="Y58" s="1"/>
      <c r="Z58" s="1"/>
      <c r="AA58" s="1" t="s">
        <v>400</v>
      </c>
      <c r="AB58" s="1" t="s">
        <v>782</v>
      </c>
      <c r="AC58" s="1"/>
      <c r="AD58" s="1"/>
      <c r="AE58" s="1"/>
      <c r="AF58" s="1"/>
      <c r="AG58" s="1"/>
      <c r="AH58" s="1"/>
      <c r="AI58" s="1"/>
      <c r="AJ58" s="1"/>
      <c r="AK58" s="1"/>
      <c r="AL58" s="1"/>
      <c r="AM58" s="1"/>
      <c r="AN58" s="1"/>
      <c r="AO58" s="1"/>
      <c r="AP58" s="1"/>
      <c r="AQ58" s="1"/>
      <c r="AR58" s="1"/>
      <c r="AS58" s="1"/>
      <c r="AT58" s="1"/>
      <c r="AU58" s="1"/>
      <c r="AV58" s="20" t="s">
        <v>408</v>
      </c>
      <c r="AW58" s="19"/>
      <c r="AX58" s="20" t="s">
        <v>615</v>
      </c>
      <c r="AY58" s="20" t="s">
        <v>726</v>
      </c>
    </row>
    <row r="59" spans="16:51">
      <c r="P59" s="1" t="s">
        <v>796</v>
      </c>
      <c r="Q59" s="1" t="s">
        <v>813</v>
      </c>
      <c r="R59" s="1"/>
      <c r="S59" s="1"/>
      <c r="T59" s="1"/>
      <c r="U59" s="1"/>
      <c r="V59" s="1"/>
      <c r="W59" s="1" t="s">
        <v>796</v>
      </c>
      <c r="X59" s="1" t="s">
        <v>813</v>
      </c>
      <c r="Y59" s="1"/>
      <c r="Z59" s="1"/>
      <c r="AA59" s="1" t="s">
        <v>814</v>
      </c>
      <c r="AB59" s="1" t="s">
        <v>113</v>
      </c>
      <c r="AC59" s="1"/>
      <c r="AD59" s="1"/>
      <c r="AE59" s="1"/>
      <c r="AF59" s="1"/>
      <c r="AG59" s="1"/>
      <c r="AH59" s="1"/>
      <c r="AI59" s="1"/>
      <c r="AJ59" s="1"/>
      <c r="AK59" s="1"/>
      <c r="AL59" s="1"/>
      <c r="AM59" s="1"/>
      <c r="AN59" s="1"/>
      <c r="AO59" s="1"/>
      <c r="AP59" s="1"/>
      <c r="AQ59" s="1"/>
      <c r="AR59" s="1"/>
      <c r="AS59" s="1"/>
      <c r="AT59" s="1"/>
      <c r="AU59" s="18"/>
      <c r="AV59" s="20" t="s">
        <v>693</v>
      </c>
      <c r="AW59" s="19"/>
      <c r="AX59" s="20" t="s">
        <v>70</v>
      </c>
      <c r="AY59" s="20" t="s">
        <v>776</v>
      </c>
    </row>
    <row r="60" spans="16:51">
      <c r="P60" s="1" t="s">
        <v>800</v>
      </c>
      <c r="Q60" s="1" t="s">
        <v>769</v>
      </c>
      <c r="R60" s="1"/>
      <c r="S60" s="1"/>
      <c r="T60" s="1"/>
      <c r="U60" s="1"/>
      <c r="V60" s="1"/>
      <c r="W60" s="1" t="s">
        <v>800</v>
      </c>
      <c r="X60" s="1" t="s">
        <v>769</v>
      </c>
      <c r="Y60" s="1"/>
      <c r="Z60" s="1"/>
      <c r="AA60" s="1" t="s">
        <v>749</v>
      </c>
      <c r="AB60" s="1" t="s">
        <v>815</v>
      </c>
      <c r="AC60" s="1"/>
      <c r="AD60" s="1"/>
      <c r="AE60" s="1"/>
      <c r="AF60" s="1"/>
      <c r="AG60" s="1"/>
      <c r="AH60" s="1"/>
      <c r="AI60" s="1"/>
      <c r="AJ60" s="1"/>
      <c r="AK60" s="1"/>
      <c r="AL60" s="1"/>
      <c r="AM60" s="1"/>
      <c r="AN60" s="1"/>
      <c r="AO60" s="1"/>
      <c r="AP60" s="1"/>
      <c r="AQ60" s="1"/>
      <c r="AR60" s="1"/>
      <c r="AS60" s="1"/>
      <c r="AT60" s="1"/>
      <c r="AU60" s="1"/>
      <c r="AV60" s="22" t="s">
        <v>683</v>
      </c>
      <c r="AW60" s="19"/>
      <c r="AX60" s="20" t="s">
        <v>97</v>
      </c>
      <c r="AY60" s="20"/>
    </row>
    <row r="61" spans="16:51">
      <c r="P61" s="1" t="s">
        <v>596</v>
      </c>
      <c r="Q61" s="1" t="s">
        <v>711</v>
      </c>
      <c r="R61" s="1"/>
      <c r="S61" s="1"/>
      <c r="T61" s="1"/>
      <c r="U61" s="1"/>
      <c r="V61" s="1"/>
      <c r="W61" s="1" t="s">
        <v>596</v>
      </c>
      <c r="X61" s="1" t="s">
        <v>711</v>
      </c>
      <c r="Y61" s="1"/>
      <c r="Z61" s="1"/>
      <c r="AA61" s="1" t="s">
        <v>816</v>
      </c>
      <c r="AB61" s="1" t="s">
        <v>405</v>
      </c>
      <c r="AC61" s="1"/>
      <c r="AD61" s="1"/>
      <c r="AE61" s="1"/>
      <c r="AF61" s="1"/>
      <c r="AG61" s="1"/>
      <c r="AH61" s="1"/>
      <c r="AI61" s="1"/>
      <c r="AJ61" s="1"/>
      <c r="AK61" s="1"/>
      <c r="AL61" s="1"/>
      <c r="AM61" s="1"/>
      <c r="AN61" s="1"/>
      <c r="AO61" s="1"/>
      <c r="AP61" s="1"/>
      <c r="AQ61" s="1"/>
      <c r="AR61" s="1"/>
      <c r="AS61" s="1"/>
      <c r="AT61" s="1"/>
      <c r="AU61" s="1"/>
      <c r="AV61" s="20" t="s">
        <v>592</v>
      </c>
      <c r="AW61" s="19"/>
      <c r="AX61" s="20" t="s">
        <v>663</v>
      </c>
      <c r="AY61" s="20"/>
    </row>
    <row r="62" spans="16:51">
      <c r="P62" s="1" t="s">
        <v>755</v>
      </c>
      <c r="Q62" s="1" t="s">
        <v>726</v>
      </c>
      <c r="R62" s="1"/>
      <c r="S62" s="1"/>
      <c r="T62" s="1"/>
      <c r="U62" s="1"/>
      <c r="V62" s="1"/>
      <c r="W62" s="1" t="s">
        <v>755</v>
      </c>
      <c r="X62" s="1" t="s">
        <v>726</v>
      </c>
      <c r="Y62" s="1"/>
      <c r="Z62" s="1"/>
      <c r="AA62" s="1" t="s">
        <v>806</v>
      </c>
      <c r="AB62" s="1" t="s">
        <v>406</v>
      </c>
      <c r="AC62" s="1"/>
      <c r="AD62" s="1"/>
      <c r="AE62" s="1"/>
      <c r="AF62" s="1"/>
      <c r="AG62" s="1"/>
      <c r="AH62" s="1"/>
      <c r="AI62" s="1"/>
      <c r="AJ62" s="1"/>
      <c r="AK62" s="1"/>
      <c r="AL62" s="1"/>
      <c r="AM62" s="1"/>
      <c r="AN62" s="1"/>
      <c r="AO62" s="1"/>
      <c r="AP62" s="1"/>
      <c r="AQ62" s="1"/>
      <c r="AR62" s="1"/>
      <c r="AS62" s="1"/>
      <c r="AT62" s="1"/>
      <c r="AU62" s="1"/>
      <c r="AV62" s="22" t="s">
        <v>655</v>
      </c>
      <c r="AW62" s="19"/>
      <c r="AX62" s="20" t="s">
        <v>672</v>
      </c>
      <c r="AY62" s="20"/>
    </row>
    <row r="63" spans="16:51">
      <c r="P63" s="1" t="s">
        <v>607</v>
      </c>
      <c r="Q63" s="1" t="s">
        <v>405</v>
      </c>
      <c r="R63" s="1"/>
      <c r="S63" s="1"/>
      <c r="T63" s="1"/>
      <c r="U63" s="1"/>
      <c r="V63" s="1"/>
      <c r="W63" s="1" t="s">
        <v>607</v>
      </c>
      <c r="X63" s="1" t="s">
        <v>405</v>
      </c>
      <c r="Y63" s="1"/>
      <c r="Z63" s="1"/>
      <c r="AA63" s="1" t="s">
        <v>817</v>
      </c>
      <c r="AB63" s="1"/>
      <c r="AC63" s="1"/>
      <c r="AD63" s="1"/>
      <c r="AE63" s="1"/>
      <c r="AF63" s="1"/>
      <c r="AG63" s="1"/>
      <c r="AH63" s="1"/>
      <c r="AI63" s="1"/>
      <c r="AJ63" s="1"/>
      <c r="AK63" s="1"/>
      <c r="AL63" s="1"/>
      <c r="AM63" s="1"/>
      <c r="AN63" s="1"/>
      <c r="AO63" s="1"/>
      <c r="AP63" s="1"/>
      <c r="AQ63" s="1"/>
      <c r="AR63" s="1"/>
      <c r="AS63" s="1"/>
      <c r="AT63" s="1"/>
      <c r="AU63" s="18"/>
      <c r="AV63" s="22" t="s">
        <v>714</v>
      </c>
      <c r="AW63" s="19"/>
      <c r="AX63" s="22" t="s">
        <v>680</v>
      </c>
      <c r="AY63" s="20"/>
    </row>
    <row r="64" spans="16:51">
      <c r="P64" s="1"/>
      <c r="Q64" s="1" t="s">
        <v>776</v>
      </c>
      <c r="R64" s="1"/>
      <c r="S64" s="1"/>
      <c r="T64" s="1"/>
      <c r="U64" s="1"/>
      <c r="V64" s="1"/>
      <c r="W64" s="1"/>
      <c r="X64" s="1" t="s">
        <v>776</v>
      </c>
      <c r="Y64" s="1"/>
      <c r="Z64" s="1"/>
      <c r="AA64" s="1" t="s">
        <v>818</v>
      </c>
      <c r="AB64" s="1"/>
      <c r="AC64" s="1"/>
      <c r="AD64" s="1"/>
      <c r="AE64" s="1"/>
      <c r="AF64" s="1"/>
      <c r="AG64" s="1"/>
      <c r="AH64" s="1"/>
      <c r="AI64" s="1"/>
      <c r="AJ64" s="1"/>
      <c r="AK64" s="1"/>
      <c r="AL64" s="1"/>
      <c r="AM64" s="1"/>
      <c r="AN64" s="1"/>
      <c r="AO64" s="1"/>
      <c r="AP64" s="1"/>
      <c r="AQ64" s="1"/>
      <c r="AR64" s="1"/>
      <c r="AS64" s="1"/>
      <c r="AT64" s="1"/>
      <c r="AU64" s="1"/>
      <c r="AV64" s="20" t="s">
        <v>396</v>
      </c>
      <c r="AW64" s="19"/>
      <c r="AX64" s="20" t="s">
        <v>397</v>
      </c>
      <c r="AY64" s="20"/>
    </row>
    <row r="65" spans="17:51">
      <c r="Q65" s="1" t="s">
        <v>406</v>
      </c>
      <c r="R65" s="1"/>
      <c r="S65" s="1"/>
      <c r="T65" s="1"/>
      <c r="U65" s="1"/>
      <c r="V65" s="1"/>
      <c r="W65" s="1"/>
      <c r="X65" s="1" t="s">
        <v>406</v>
      </c>
      <c r="Y65" s="1"/>
      <c r="Z65" s="1"/>
      <c r="AA65" s="1" t="s">
        <v>698</v>
      </c>
      <c r="AB65" s="1"/>
      <c r="AC65" s="1"/>
      <c r="AD65" s="1"/>
      <c r="AE65" s="1"/>
      <c r="AF65" s="1"/>
      <c r="AG65" s="1"/>
      <c r="AH65" s="1"/>
      <c r="AI65" s="1"/>
      <c r="AJ65" s="1"/>
      <c r="AK65" s="1"/>
      <c r="AL65" s="1"/>
      <c r="AM65" s="1"/>
      <c r="AN65" s="1"/>
      <c r="AO65" s="1"/>
      <c r="AP65" s="1"/>
      <c r="AQ65" s="1"/>
      <c r="AR65" s="1"/>
      <c r="AS65" s="1"/>
      <c r="AT65" s="1"/>
      <c r="AU65" s="1"/>
      <c r="AV65" s="19" t="s">
        <v>692</v>
      </c>
      <c r="AW65" s="19"/>
      <c r="AX65" s="22" t="s">
        <v>643</v>
      </c>
      <c r="AY65" s="20"/>
    </row>
    <row r="66" spans="17:51">
      <c r="Q66" s="1" t="s">
        <v>819</v>
      </c>
      <c r="R66" s="1"/>
      <c r="S66" s="1"/>
      <c r="T66" s="1"/>
      <c r="U66" s="1"/>
      <c r="V66" s="1"/>
      <c r="W66" s="1"/>
      <c r="X66" s="1" t="s">
        <v>819</v>
      </c>
      <c r="Y66" s="1"/>
      <c r="Z66" s="1"/>
      <c r="AA66" s="1" t="s">
        <v>820</v>
      </c>
      <c r="AB66" s="1"/>
      <c r="AC66" s="1"/>
      <c r="AD66" s="1"/>
      <c r="AE66" s="1"/>
      <c r="AF66" s="1"/>
      <c r="AG66" s="1"/>
      <c r="AH66" s="1"/>
      <c r="AI66" s="1"/>
      <c r="AJ66" s="1"/>
      <c r="AK66" s="1"/>
      <c r="AL66" s="1"/>
      <c r="AM66" s="1"/>
      <c r="AN66" s="1"/>
      <c r="AO66" s="1"/>
      <c r="AP66" s="1"/>
      <c r="AQ66" s="1"/>
      <c r="AR66" s="1"/>
      <c r="AS66" s="1"/>
      <c r="AT66" s="1"/>
      <c r="AU66" s="1"/>
      <c r="AV66" s="21" t="s">
        <v>644</v>
      </c>
      <c r="AW66" s="19"/>
      <c r="AX66" s="20" t="s">
        <v>651</v>
      </c>
      <c r="AY66" s="20"/>
    </row>
    <row r="67" spans="17:51">
      <c r="Q67" s="1"/>
      <c r="R67" s="1"/>
      <c r="S67" s="1"/>
      <c r="T67" s="1"/>
      <c r="U67" s="1"/>
      <c r="V67" s="1"/>
      <c r="W67" s="1"/>
      <c r="X67" s="1"/>
      <c r="Y67" s="1"/>
      <c r="Z67" s="1"/>
      <c r="AA67" s="1" t="s">
        <v>821</v>
      </c>
      <c r="AB67" s="1"/>
      <c r="AC67" s="1"/>
      <c r="AD67" s="1"/>
      <c r="AE67" s="1"/>
      <c r="AF67" s="1"/>
      <c r="AG67" s="1"/>
      <c r="AH67" s="1"/>
      <c r="AI67" s="1"/>
      <c r="AJ67" s="1"/>
      <c r="AK67" s="1"/>
      <c r="AL67" s="1"/>
      <c r="AM67" s="1"/>
      <c r="AN67" s="1"/>
      <c r="AO67" s="1"/>
      <c r="AP67" s="1"/>
      <c r="AQ67" s="1"/>
      <c r="AR67" s="1"/>
      <c r="AS67" s="1"/>
      <c r="AT67" s="1"/>
      <c r="AU67" s="1"/>
      <c r="AV67" s="22" t="s">
        <v>738</v>
      </c>
      <c r="AW67" s="19"/>
      <c r="AX67" s="20" t="s">
        <v>734</v>
      </c>
      <c r="AY67" s="20"/>
    </row>
    <row r="68" spans="17:51">
      <c r="Q68" s="1"/>
      <c r="R68" s="1"/>
      <c r="S68" s="1"/>
      <c r="T68" s="1"/>
      <c r="U68" s="1"/>
      <c r="V68" s="1"/>
      <c r="W68" s="1"/>
      <c r="X68" s="1"/>
      <c r="Y68" s="1"/>
      <c r="Z68" s="1"/>
      <c r="AA68" s="1" t="s">
        <v>822</v>
      </c>
      <c r="AB68" s="1"/>
      <c r="AC68" s="1"/>
      <c r="AD68" s="1"/>
      <c r="AE68" s="1"/>
      <c r="AF68" s="1"/>
      <c r="AG68" s="1"/>
      <c r="AH68" s="1"/>
      <c r="AI68" s="1"/>
      <c r="AJ68" s="1"/>
      <c r="AK68" s="1"/>
      <c r="AL68" s="1"/>
      <c r="AM68" s="1"/>
      <c r="AN68" s="1"/>
      <c r="AO68" s="1"/>
      <c r="AP68" s="1"/>
      <c r="AQ68" s="1"/>
      <c r="AR68" s="1"/>
      <c r="AS68" s="1"/>
      <c r="AT68" s="1"/>
      <c r="AU68" s="1"/>
      <c r="AV68" s="19" t="s">
        <v>707</v>
      </c>
      <c r="AW68" s="19"/>
      <c r="AX68" s="20" t="s">
        <v>662</v>
      </c>
      <c r="AY68" s="20"/>
    </row>
    <row r="69" spans="17:51">
      <c r="Q69" s="1"/>
      <c r="R69" s="1"/>
      <c r="S69" s="1"/>
      <c r="T69" s="1"/>
      <c r="U69" s="1"/>
      <c r="V69" s="1"/>
      <c r="W69" s="1"/>
      <c r="X69" s="1"/>
      <c r="Y69" s="1"/>
      <c r="Z69" s="1"/>
      <c r="AA69" s="1" t="s">
        <v>823</v>
      </c>
      <c r="AB69" s="1"/>
      <c r="AC69" s="1"/>
      <c r="AD69" s="1"/>
      <c r="AE69" s="1"/>
      <c r="AF69" s="1"/>
      <c r="AG69" s="1"/>
      <c r="AH69" s="1"/>
      <c r="AI69" s="1"/>
      <c r="AJ69" s="1"/>
      <c r="AK69" s="1"/>
      <c r="AL69" s="1"/>
      <c r="AM69" s="1"/>
      <c r="AN69" s="1"/>
      <c r="AO69" s="1"/>
      <c r="AP69" s="1"/>
      <c r="AQ69" s="1"/>
      <c r="AR69" s="1"/>
      <c r="AS69" s="1"/>
      <c r="AT69" s="1"/>
      <c r="AU69" s="1"/>
      <c r="AV69" s="20" t="s">
        <v>666</v>
      </c>
      <c r="AW69" s="19"/>
      <c r="AX69" s="20" t="s">
        <v>574</v>
      </c>
      <c r="AY69" s="20"/>
    </row>
    <row r="70" spans="17:51">
      <c r="Q70" s="1"/>
      <c r="R70" s="1"/>
      <c r="S70" s="1"/>
      <c r="T70" s="1"/>
      <c r="U70" s="1"/>
      <c r="V70" s="1"/>
      <c r="W70" s="1"/>
      <c r="X70" s="1"/>
      <c r="Y70" s="1"/>
      <c r="Z70" s="1"/>
      <c r="AA70" s="1" t="s">
        <v>782</v>
      </c>
      <c r="AB70" s="1"/>
      <c r="AC70" s="1"/>
      <c r="AD70" s="1"/>
      <c r="AE70" s="1"/>
      <c r="AF70" s="1"/>
      <c r="AG70" s="1"/>
      <c r="AH70" s="1"/>
      <c r="AI70" s="1"/>
      <c r="AJ70" s="1"/>
      <c r="AK70" s="1"/>
      <c r="AL70" s="1"/>
      <c r="AM70" s="1"/>
      <c r="AN70" s="1"/>
      <c r="AO70" s="1"/>
      <c r="AP70" s="1"/>
      <c r="AQ70" s="1"/>
      <c r="AR70" s="1"/>
      <c r="AS70" s="1"/>
      <c r="AT70" s="1"/>
      <c r="AU70" s="1"/>
      <c r="AV70" s="22" t="s">
        <v>751</v>
      </c>
      <c r="AW70" s="23"/>
      <c r="AX70" s="20" t="s">
        <v>741</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398</v>
      </c>
      <c r="AW71" s="1"/>
      <c r="AX71" s="20" t="s">
        <v>679</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682</v>
      </c>
      <c r="AW72" s="1"/>
      <c r="AX72" s="22" t="s">
        <v>746</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651</v>
      </c>
      <c r="AW73" s="1"/>
      <c r="AX73" s="20" t="s">
        <v>754</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720</v>
      </c>
      <c r="AW74" s="1"/>
      <c r="AX74" s="22" t="s">
        <v>409</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727</v>
      </c>
      <c r="AW75" s="1"/>
      <c r="AX75" s="20" t="s">
        <v>681</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730</v>
      </c>
      <c r="AW76" s="1"/>
      <c r="AX76" s="20" t="s">
        <v>702</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758</v>
      </c>
      <c r="AW77" s="1"/>
      <c r="AX77" s="22" t="s">
        <v>691</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409</v>
      </c>
      <c r="AW78" s="1"/>
      <c r="AX78" s="22" t="s">
        <v>718</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681</v>
      </c>
      <c r="AW79" s="1"/>
      <c r="AX79" s="20" t="s">
        <v>706</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735</v>
      </c>
      <c r="AW80" s="1"/>
      <c r="AX80" s="20" t="s">
        <v>762</v>
      </c>
      <c r="AY80" s="20"/>
    </row>
    <row r="81" spans="48:51">
      <c r="AV81" s="22" t="s">
        <v>750</v>
      </c>
      <c r="AW81" s="1"/>
      <c r="AX81" s="22" t="s">
        <v>697</v>
      </c>
      <c r="AY81" s="22"/>
    </row>
    <row r="82" spans="48:51">
      <c r="AV82" s="19" t="s">
        <v>742</v>
      </c>
      <c r="AW82" s="1"/>
      <c r="AX82" s="20" t="s">
        <v>703</v>
      </c>
      <c r="AY82" s="20"/>
    </row>
    <row r="83" spans="48:51">
      <c r="AV83" s="20" t="s">
        <v>401</v>
      </c>
      <c r="AW83" s="1"/>
      <c r="AX83" s="22" t="s">
        <v>769</v>
      </c>
      <c r="AY83" s="22"/>
    </row>
    <row r="84" spans="48:51">
      <c r="AV84" s="22" t="s">
        <v>747</v>
      </c>
      <c r="AW84" s="1"/>
      <c r="AX84" s="22" t="s">
        <v>711</v>
      </c>
      <c r="AY84" s="20"/>
    </row>
    <row r="85" spans="48:51">
      <c r="AV85" s="19" t="s">
        <v>596</v>
      </c>
      <c r="AW85" s="1"/>
      <c r="AX85" s="20" t="s">
        <v>726</v>
      </c>
      <c r="AY85" s="20"/>
    </row>
    <row r="86" spans="48:51">
      <c r="AV86" s="20" t="s">
        <v>755</v>
      </c>
      <c r="AW86" s="1"/>
      <c r="AX86" s="25" t="s">
        <v>776</v>
      </c>
      <c r="AY86" s="20"/>
    </row>
    <row r="87" spans="48:51">
      <c r="AV87" s="22" t="s">
        <v>719</v>
      </c>
      <c r="AW87" s="1"/>
      <c r="AX87" s="22" t="s">
        <v>406</v>
      </c>
      <c r="AY87" s="25"/>
    </row>
    <row r="88" spans="48:51">
      <c r="AV88" s="20" t="s">
        <v>113</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B49BFC408D81854C9038B10AA16151A2" ma:contentTypeVersion="4" ma:contentTypeDescription="Crear nuevo documento." ma:contentTypeScope="" ma:versionID="2ae512e848ecd943ef9c408473385a75">
  <xsd:schema xmlns:xsd="http://www.w3.org/2001/XMLSchema" xmlns:xs="http://www.w3.org/2001/XMLSchema" xmlns:p="http://schemas.microsoft.com/office/2006/metadata/properties" xmlns:ns2="e3b10f00-148e-496e-b7c3-7528a35ed9d8" targetNamespace="http://schemas.microsoft.com/office/2006/metadata/properties" ma:root="true" ma:fieldsID="35d7aedfcebb3107b7bfd102e7abac18" ns2:_="">
    <xsd:import namespace="e3b10f00-148e-496e-b7c3-7528a35ed9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b10f00-148e-496e-b7c3-7528a35ed9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3507B7-C361-46E0-AF44-6194D8191CB1}"/>
</file>

<file path=customXml/itemProps2.xml><?xml version="1.0" encoding="utf-8"?>
<ds:datastoreItem xmlns:ds="http://schemas.openxmlformats.org/officeDocument/2006/customXml" ds:itemID="{F86D18D9-0B6E-411F-93FD-BE55E800AD09}"/>
</file>

<file path=customXml/itemProps3.xml><?xml version="1.0" encoding="utf-8"?>
<ds:datastoreItem xmlns:ds="http://schemas.openxmlformats.org/officeDocument/2006/customXml" ds:itemID="{49A8CC42-3498-4AB9-83FD-168387E0E379}"/>
</file>

<file path=customXml/itemProps4.xml><?xml version="1.0" encoding="utf-8"?>
<ds:datastoreItem xmlns:ds="http://schemas.openxmlformats.org/officeDocument/2006/customXml" ds:itemID="{9F890439-B51B-44A3-BDD2-39662564C4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2026-03-03T17:55:19Z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0x010100B49BFC408D81854C9038B10AA16151A2</vt:lpwstr>
  </property>
</Properties>
</file>