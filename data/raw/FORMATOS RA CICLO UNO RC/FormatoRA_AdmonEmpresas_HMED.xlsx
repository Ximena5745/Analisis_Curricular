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poligran-my.sharepoint.com/personal/micortes_poligran_edu_co/Documents/Escritorio/FORMATOS RA CICLO UNO RC/"/>
    </mc:Choice>
  </mc:AlternateContent>
  <xr:revisionPtr revIDLastSave="0" documentId="13_ncr:1_{58778023-3437-47CB-BA3B-1DC61667FEFA}" xr6:coauthVersionLast="47" xr6:coauthVersionMax="47" xr10:uidLastSave="{00000000-0000-0000-0000-000000000000}"/>
  <bookViews>
    <workbookView xWindow="-110" yWindow="-110" windowWidth="19420" windowHeight="10300" tabRatio="673" firstSheet="4" activeTab="5" xr2:uid="{BD68381A-4EB3-42BA-ADD5-D7B5B6C7E498}"/>
  </bookViews>
  <sheets>
    <sheet name="Paso1 Analisis perfil egreso" sheetId="1" r:id="rId1"/>
    <sheet name="Paso 2 Redacción competen" sheetId="6" r:id="rId2"/>
    <sheet name="Paso 3 Redacción RA" sheetId="15" r:id="rId3"/>
    <sheet name="Paso 3 Redacción RA - Backup " sheetId="5" state="hidden" r:id="rId4"/>
    <sheet name="Paso 4 Estrategias mesocurricu" sheetId="8" r:id="rId5"/>
    <sheet name="Paso 5 Estrategias micro" sheetId="14" r:id="rId6"/>
    <sheet name="Taxonomía para competencias" sheetId="10" r:id="rId7"/>
    <sheet name="Taxonomias para RA" sheetId="7" r:id="rId8"/>
  </sheets>
  <definedNames>
    <definedName name="_xlnm._FilterDatabase" localSheetId="2" hidden="1">'Paso 3 Redacción RA'!$A$2:$K$15</definedName>
    <definedName name="_xlnm._FilterDatabase" localSheetId="3" hidden="1">'Paso 3 Redacción RA - Backup '!$A$2:$K$12</definedName>
    <definedName name="_xlnm._FilterDatabase" localSheetId="4" hidden="1">'Paso 4 Estrategias mesocurricu'!$A$1:$F$22</definedName>
    <definedName name="_xlnm._FilterDatabase" localSheetId="5" hidden="1">'Paso 5 Estrategias micro'!$A$2:$S$137</definedName>
    <definedName name="ActitudinalBAK">'Taxonomias para RA'!$AC$3:$AG$3</definedName>
    <definedName name="Bloom">'Taxonomias para RA'!$G$3:$I$3</definedName>
    <definedName name="Celda_Creditos_por_materia">#REF!,#REF!,#REF!,#REF!,#REF!,#REF!,#REF!,#REF!,#REF!,#REF!,#REF!,#REF!,#REF!,#REF!,#REF!,#REF!,#REF!,#REF!,#REF!,#REF!,#REF!,#REF!,#REF!,#REF!,#REF!,#REF!,#REF!,#REF!,#REF!,#REF!,#REF!,#REF!,#REF!,#REF!,#REF!,#REF!,#REF!,#REF!,#REF!</definedName>
    <definedName name="Circutos">'Paso 2 Redacción competen'!$F$4</definedName>
    <definedName name="Codigo_de_materia">#REF!,#REF!,#REF!,#REF!,#REF!,#REF!,#REF!,#REF!,#REF!,#REF!,#REF!,#REF!,#REF!,#REF!,#REF!,#REF!,#REF!,#REF!,#REF!,#REF!,#REF!,#REF!,#REF!,#REF!,#REF!,#REF!,#REF!,#REF!,#REF!,#REF!,#REF!,#REF!,#REF!,#REF!,#REF!,#REF!,#REF!,#REF!,#REF!</definedName>
    <definedName name="CognitivoBAK">'Taxonomias para RA'!$S$3:$X$3</definedName>
    <definedName name="CompetenciaEspecifica1">'Paso 2 Redacción competen'!$F$4</definedName>
    <definedName name="ComponentesCompetencias">'Paso1 Analisis perfil egreso'!$E$2:$G$2</definedName>
    <definedName name="Creditos">#REF!,#REF!,#REF!,#REF!,#REF!,#REF!,#REF!,#REF!,#REF!</definedName>
    <definedName name="FACULTADES">#REF!</definedName>
    <definedName name="Nombre">#REF!,#REF!,#REF!,#REF!,#REF!,#REF!,#REF!,#REF!,#REF!,#REF!,#REF!,#REF!,#REF!,#REF!,#REF!,#REF!,#REF!,#REF!,#REF!,#REF!,#REF!,#REF!,#REF!,#REF!,#REF!,#REF!,#REF!,#REF!,#REF!,#REF!,#REF!,#REF!,#REF!,#REF!,#REF!,#REF!,#REF!,#REF!,#REF!,#REF!,#REF!,#REF!,#REF!,#REF!,#REF!,#REF!,#REF!,#REF!</definedName>
    <definedName name="ProcedimentalBAK">'Taxonomias para RA'!$Y$3:$AB$3</definedName>
    <definedName name="RA">'Paso 5 Estrategias micro'!$B$7</definedName>
    <definedName name="resultadoaprendizaje">#REF!</definedName>
    <definedName name="Saber">'Paso1 Analisis perfil egreso'!$E$3:$E$7</definedName>
    <definedName name="SaberHacer">'Paso1 Analisis perfil egreso'!$F$3:$F$7</definedName>
    <definedName name="SaberSer">'Paso1 Analisis perfil egreso'!$G$3:$G$7</definedName>
    <definedName name="TIC">'Paso 2 Redacción competen'!$F$7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33" i="14" l="1"/>
  <c r="T133" i="14"/>
  <c r="U132" i="14"/>
  <c r="T132" i="14"/>
  <c r="U121" i="14"/>
  <c r="T121" i="14"/>
  <c r="U103" i="14"/>
  <c r="T103" i="14"/>
  <c r="U81" i="14"/>
  <c r="T81" i="14"/>
  <c r="U63" i="14"/>
  <c r="T63" i="14"/>
  <c r="U46" i="14"/>
  <c r="T46" i="14"/>
  <c r="U31" i="14"/>
  <c r="T31" i="14"/>
  <c r="U14" i="14"/>
  <c r="T14" i="14"/>
  <c r="L136" i="14"/>
  <c r="L134" i="14"/>
  <c r="L135" i="14"/>
  <c r="L133" i="14"/>
  <c r="F134" i="14"/>
  <c r="F133" i="14"/>
  <c r="D133" i="14"/>
  <c r="A126" i="14"/>
  <c r="M126" i="14"/>
  <c r="N126" i="14"/>
  <c r="A105" i="14"/>
  <c r="A21" i="14"/>
  <c r="A22" i="14"/>
  <c r="A123" i="14"/>
  <c r="A127" i="14"/>
  <c r="A90" i="14"/>
  <c r="A112" i="14"/>
  <c r="A113" i="14"/>
  <c r="A114" i="14"/>
  <c r="A55" i="14"/>
  <c r="A56" i="14"/>
  <c r="A77" i="14"/>
  <c r="A100" i="14"/>
  <c r="A101" i="14"/>
  <c r="A94" i="14"/>
  <c r="A95" i="14"/>
  <c r="A96" i="14"/>
  <c r="A60" i="14"/>
  <c r="A61" i="14"/>
  <c r="A83" i="14"/>
  <c r="A118" i="14"/>
  <c r="A119" i="14"/>
  <c r="A68" i="14"/>
  <c r="A69" i="14"/>
  <c r="A73" i="14"/>
  <c r="A36" i="14"/>
  <c r="A12" i="14"/>
  <c r="M43" i="14"/>
  <c r="N121" i="14"/>
  <c r="M121" i="14"/>
  <c r="A20" i="14"/>
  <c r="A19" i="14"/>
  <c r="N18" i="14"/>
  <c r="M18" i="14"/>
  <c r="A18" i="14"/>
  <c r="G134" i="14" l="1"/>
  <c r="G133" i="14"/>
  <c r="O126" i="14"/>
  <c r="O121" i="14"/>
  <c r="N122" i="14" l="1"/>
  <c r="N89" i="14"/>
  <c r="N111" i="14"/>
  <c r="N54" i="14"/>
  <c r="N76" i="14"/>
  <c r="N99" i="14"/>
  <c r="N93" i="14"/>
  <c r="N59" i="14"/>
  <c r="N108" i="14"/>
  <c r="N82" i="14"/>
  <c r="N104" i="14"/>
  <c r="N117" i="14"/>
  <c r="N86" i="14"/>
  <c r="N67" i="14"/>
  <c r="N64" i="14"/>
  <c r="N44" i="14"/>
  <c r="N51" i="14"/>
  <c r="N72" i="14"/>
  <c r="N35" i="14"/>
  <c r="N40" i="14"/>
  <c r="N25" i="14"/>
  <c r="N32" i="14"/>
  <c r="N48" i="14"/>
  <c r="N21" i="14"/>
  <c r="N79" i="14"/>
  <c r="N15" i="14"/>
  <c r="N4" i="14"/>
  <c r="N11" i="14"/>
  <c r="N7" i="14"/>
  <c r="N29" i="14"/>
  <c r="N132" i="14"/>
  <c r="N131" i="14"/>
  <c r="N130" i="14"/>
  <c r="N47" i="14"/>
  <c r="N43" i="14"/>
  <c r="N39" i="14"/>
  <c r="N28" i="14"/>
  <c r="N10" i="14"/>
  <c r="M132" i="14"/>
  <c r="M131" i="14"/>
  <c r="M130" i="14"/>
  <c r="M122" i="14"/>
  <c r="M89" i="14"/>
  <c r="M111" i="14"/>
  <c r="M54" i="14"/>
  <c r="M76" i="14"/>
  <c r="M99" i="14"/>
  <c r="M93" i="14"/>
  <c r="M59" i="14"/>
  <c r="M108" i="14"/>
  <c r="M82" i="14"/>
  <c r="M104" i="14"/>
  <c r="M117" i="14"/>
  <c r="M86" i="14"/>
  <c r="M67" i="14"/>
  <c r="M64" i="14"/>
  <c r="M44" i="14"/>
  <c r="M51" i="14"/>
  <c r="M72" i="14"/>
  <c r="M35" i="14"/>
  <c r="M40" i="14"/>
  <c r="M25" i="14"/>
  <c r="M32" i="14"/>
  <c r="M47" i="14"/>
  <c r="M39" i="14"/>
  <c r="M48" i="14"/>
  <c r="M21" i="14"/>
  <c r="M79" i="14"/>
  <c r="M15" i="14"/>
  <c r="M28" i="14"/>
  <c r="M10" i="14"/>
  <c r="M7" i="14"/>
  <c r="M11" i="14"/>
  <c r="M4" i="14"/>
  <c r="M29" i="14"/>
  <c r="M3" i="14"/>
  <c r="N3" i="14"/>
  <c r="A23" i="14"/>
  <c r="A53" i="14"/>
  <c r="A52" i="14"/>
  <c r="A51" i="14"/>
  <c r="A85" i="14"/>
  <c r="A84" i="14"/>
  <c r="A82" i="14"/>
  <c r="A66" i="14"/>
  <c r="A65" i="14"/>
  <c r="A64" i="14"/>
  <c r="A42" i="14"/>
  <c r="A41" i="14"/>
  <c r="A40" i="14"/>
  <c r="A27" i="14"/>
  <c r="A26" i="14"/>
  <c r="A25" i="14"/>
  <c r="A28" i="14"/>
  <c r="A50" i="14"/>
  <c r="A49" i="14"/>
  <c r="A48" i="14"/>
  <c r="A24" i="14"/>
  <c r="A81" i="14"/>
  <c r="A80" i="14"/>
  <c r="A79" i="14"/>
  <c r="A6" i="14"/>
  <c r="A5" i="14"/>
  <c r="A4" i="14"/>
  <c r="A14" i="14"/>
  <c r="A13" i="14"/>
  <c r="A11" i="14"/>
  <c r="A15" i="14"/>
  <c r="O15" i="14" l="1"/>
  <c r="A3" i="14" l="1"/>
  <c r="A7" i="14"/>
  <c r="A8" i="14"/>
  <c r="A9" i="14"/>
  <c r="A29" i="14"/>
  <c r="A30" i="14"/>
  <c r="A31" i="14"/>
  <c r="A16" i="14"/>
  <c r="A17" i="14"/>
  <c r="A10" i="14"/>
  <c r="A32" i="14"/>
  <c r="A33" i="14"/>
  <c r="A34" i="14"/>
  <c r="A72" i="14"/>
  <c r="A74" i="14"/>
  <c r="A75" i="14"/>
  <c r="A43" i="14"/>
  <c r="A35" i="14"/>
  <c r="A37" i="14"/>
  <c r="A38" i="14"/>
  <c r="A47" i="14"/>
  <c r="A39" i="14"/>
  <c r="A44" i="14"/>
  <c r="A45" i="14"/>
  <c r="A46" i="14"/>
  <c r="A89" i="14"/>
  <c r="A91" i="14"/>
  <c r="A92" i="14"/>
  <c r="A99" i="14"/>
  <c r="A102" i="14"/>
  <c r="A103" i="14"/>
  <c r="A86" i="14"/>
  <c r="A87" i="14"/>
  <c r="A88" i="14"/>
  <c r="A104" i="14"/>
  <c r="A106" i="14"/>
  <c r="A107" i="14"/>
  <c r="A67" i="14"/>
  <c r="A70" i="14"/>
  <c r="A71" i="14"/>
  <c r="A117" i="14"/>
  <c r="A120" i="14"/>
  <c r="A93" i="14"/>
  <c r="A97" i="14"/>
  <c r="A98" i="14"/>
  <c r="A59" i="14"/>
  <c r="A62" i="14"/>
  <c r="A63" i="14"/>
  <c r="A108" i="14"/>
  <c r="A109" i="14"/>
  <c r="A110" i="14"/>
  <c r="A128" i="14"/>
  <c r="A129" i="14"/>
  <c r="A54" i="14"/>
  <c r="A57" i="14"/>
  <c r="A58" i="14"/>
  <c r="A111" i="14"/>
  <c r="A115" i="14"/>
  <c r="A116" i="14"/>
  <c r="A76" i="14"/>
  <c r="A78" i="14"/>
  <c r="A122" i="14"/>
  <c r="A124" i="14"/>
  <c r="A125" i="14"/>
  <c r="O48" i="14" l="1"/>
  <c r="O21" i="14"/>
  <c r="O3" i="14"/>
  <c r="O4" i="14"/>
  <c r="O79" i="14"/>
  <c r="O89" i="14"/>
  <c r="O67" i="14"/>
  <c r="O59" i="14"/>
  <c r="O122" i="14"/>
  <c r="O47" i="14"/>
  <c r="O82" i="14"/>
  <c r="O7" i="14"/>
  <c r="O99" i="14"/>
  <c r="O108" i="14"/>
  <c r="O131" i="14"/>
  <c r="O39" i="14"/>
  <c r="O111" i="14"/>
  <c r="O132" i="14"/>
  <c r="O10" i="14"/>
  <c r="O64" i="14"/>
  <c r="O35" i="14"/>
  <c r="O32" i="14"/>
  <c r="O117" i="14"/>
  <c r="O54" i="14"/>
  <c r="O130" i="14"/>
  <c r="O43" i="14"/>
  <c r="O44" i="14"/>
  <c r="O29" i="14"/>
  <c r="O72" i="14"/>
  <c r="O86" i="14"/>
  <c r="O11" i="14"/>
  <c r="O104" i="14"/>
  <c r="O93" i="14"/>
  <c r="O28" i="14"/>
  <c r="O76" i="14"/>
  <c r="O51"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8BD88B-F04D-48BC-8E64-039B164B6A20}">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C2" authorId="0" shapeId="0" xr:uid="{1E9ADF6B-E7FE-46F9-A416-83B5EEE1C33F}">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8DF8FF82-47F7-4410-B4E7-CB5780418179}">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066C8682-E9AB-4C94-83D5-BDABD3C9751A}">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607FF329-B1BA-4E60-897A-6011F6BE0B48}">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4C8FD7BF-69F3-4EE3-BF00-86DAE4C95B59}">
      <text>
        <r>
          <rPr>
            <b/>
            <sz val="9"/>
            <color indexed="81"/>
            <rFont val="Tahoma"/>
            <family val="2"/>
          </rPr>
          <t>Dir. Currículo:</t>
        </r>
        <r>
          <rPr>
            <sz val="9"/>
            <color indexed="81"/>
            <rFont val="Tahoma"/>
            <family val="2"/>
          </rPr>
          <t xml:space="preserve">
Áreas en las que podrá laborar el profesional.</t>
        </r>
      </text>
    </comment>
    <comment ref="I2" authorId="0" shapeId="0" xr:uid="{D80561B2-9238-40B1-BCAC-A2900C16BB2A}">
      <text>
        <r>
          <rPr>
            <b/>
            <sz val="9"/>
            <color indexed="81"/>
            <rFont val="Tahoma"/>
            <family val="2"/>
          </rPr>
          <t>Dir. Currículo:</t>
        </r>
        <r>
          <rPr>
            <sz val="9"/>
            <color indexed="81"/>
            <rFont val="Tahoma"/>
            <family val="2"/>
          </rPr>
          <t xml:space="preserve">
Tareas potenciales que hará el profesional.</t>
        </r>
      </text>
    </comment>
    <comment ref="J2" authorId="0" shapeId="0" xr:uid="{910BAA13-07A6-4EFE-A19E-F083161C96F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BABE39E6-C0DA-47B6-A10D-ECA03B3BA91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establecieo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9438B058-DB6C-4283-8905-4056D954190F}">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14FB4C41-FF3C-44C5-95C1-8A4EE311743B}">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EFD61953-6209-4CEE-9F36-7150401928E6}">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F6FF8774-B45E-4C88-9403-3210A2925AA7}">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7E689BBA-8C09-4929-8692-0ADD44D3FE5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5F8F8C73-2ED9-43ED-BD56-F53184EE0D4B}">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8295FED-0624-4265-A5C1-6FA511157A6F}">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64D8F347-8090-4B7B-A6D7-1CF5339305BE}">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7B46A44-2897-4E74-8832-74035C2B809F}">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5311C46-2FC3-42D4-A3B5-88FB3744D009}">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sabr hacer y sabe ser en un contexto determinado.</t>
        </r>
      </text>
    </comment>
    <comment ref="B2" authorId="0" shapeId="0" xr:uid="{7140CF9E-D100-4E5C-90C3-42313D04E6B1}">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71C91D79-1C70-4973-8345-EC0D06B65442}">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4EA1BD48-9072-4F8B-8C17-7A54409F3A6B}">
      <text>
        <r>
          <rPr>
            <b/>
            <sz val="9"/>
            <color indexed="81"/>
            <rFont val="Tahoma"/>
            <family val="2"/>
          </rPr>
          <t>Dir. Currículo:</t>
        </r>
        <r>
          <rPr>
            <sz val="9"/>
            <color indexed="81"/>
            <rFont val="Tahoma"/>
            <family val="2"/>
          </rPr>
          <t xml:space="preserve">
El llistado despliega, según el saber elegido en la columna C, lo que se escribió en el paso 1 para ese tipo de saber.</t>
        </r>
      </text>
    </comment>
    <comment ref="E2" authorId="0" shapeId="0" xr:uid="{189C3EC2-1514-4019-89E2-899E92CD0DB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6787FC-5463-4833-8BE4-AF8F90510697}">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reerencia al dominio procedimental y el saber ser al dominio actitudinal.</t>
        </r>
      </text>
    </comment>
    <comment ref="G2" authorId="0" shapeId="0" xr:uid="{9224DA72-3F2C-4C5C-BF71-F42A4DB0956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AC4EFDC9-F052-42E3-B096-C8C6DA737167}">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6C037D87-33E8-4C70-A592-AA6328FE8FC5}">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37C83751-6000-4757-A6C7-3A73119E4A5B}">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B9C7F80E-8B23-4629-8207-1D899FEE9EE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DE96D98-6AD3-44BE-9DD5-AB5F84B66625}">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F9EA092C-8F61-4197-8E6C-64F779A26A75}">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omponentesCompetencias" description="Conexión a la consulta 'ComponentesCompetencias' en el libro." type="5" refreshedVersion="0" background="1" saveData="1">
    <dbPr connection="Provider=Microsoft.Mashup.OleDb.1;Data Source=$Workbook$;Location=ComponentesCompetencias;Extended Properties=&quot;&quot;" command="SELECT * FROM [ComponentesCompetencias]"/>
  </connection>
</connections>
</file>

<file path=xl/sharedStrings.xml><?xml version="1.0" encoding="utf-8"?>
<sst xmlns="http://schemas.openxmlformats.org/spreadsheetml/2006/main" count="2525" uniqueCount="793">
  <si>
    <t>[Escribir el nombre del programa]</t>
  </si>
  <si>
    <t>[Escribir la modalidad: presencial o virtual]</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</si>
  <si>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</si>
  <si>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</si>
  <si>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</si>
  <si>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</si>
  <si>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</si>
  <si>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</si>
  <si>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</si>
  <si>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</si>
  <si>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</si>
  <si>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</si>
  <si>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</si>
  <si>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</si>
  <si>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 profesionales</t>
  </si>
  <si>
    <t>Tareas profesionales</t>
  </si>
  <si>
    <t>Poblaciones actuación</t>
  </si>
  <si>
    <t>Valor agregado</t>
  </si>
  <si>
    <t>Fenómenos contemporáneos</t>
  </si>
  <si>
    <t>reconocer sus afectaciones o contribuciones en el marco de las ciudadanías globales y de una sociedad responsable y sostenible.</t>
  </si>
  <si>
    <t>desde una perspectiva global,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</si>
  <si>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</si>
  <si>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</si>
  <si>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</si>
  <si>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</si>
  <si>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</si>
  <si>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</si>
  <si>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</si>
  <si>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</si>
  <si>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</si>
  <si>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</si>
  <si>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</si>
  <si>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</si>
  <si>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</si>
  <si>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</si>
  <si>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de competencia</t>
  </si>
  <si>
    <t>Específica</t>
  </si>
  <si>
    <t>Analizar</t>
  </si>
  <si>
    <t>desde una perspectiva global, soportada en datos, con una mirada ética y crítica</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</si>
  <si>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</si>
  <si>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</si>
  <si>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</si>
  <si>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</si>
  <si>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</si>
  <si>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</si>
  <si>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</si>
  <si>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</si>
  <si>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</si>
  <si>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</si>
  <si>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</si>
  <si>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</si>
  <si>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</si>
  <si>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</si>
  <si>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</si>
  <si>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</si>
  <si>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</si>
  <si>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</si>
  <si>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</si>
  <si>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</si>
  <si>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Bloom</t>
  </si>
  <si>
    <t>CognitivoB</t>
  </si>
  <si>
    <t>ComprensiónB</t>
  </si>
  <si>
    <t>Identificar</t>
  </si>
  <si>
    <t>Identifica fenómenos contemporáneos y su relación con la profesión, para determinar sus impactos e influencia en la sociedad, de forma responsable y crítica.</t>
  </si>
  <si>
    <t>Dominar los elementos de teoría de circuitos y transmisión de información para diseñar, implementar o administrar la infraestructura eléctrica y los dispositivos electrónicos que dan soporte a los sistemas de telecomunicaciones alineado con prácticas basadas en estándares del sector y la normatividad vigente, teniendo en cuenta las condiciones, restricciones y requerimientos técnicos del entorno.</t>
  </si>
  <si>
    <t xml:space="preserve"> los elementos de teoría de circuitos y transmisión de información</t>
  </si>
  <si>
    <t>BAK</t>
  </si>
  <si>
    <t>CognitivoBAK</t>
  </si>
  <si>
    <t>ComprensiónBAK</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</si>
  <si>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 xml:space="preserve">para explicar </t>
    </r>
    <r>
      <rPr>
        <sz val="11"/>
        <color rgb="FF000000"/>
        <rFont val="Gill Sans MT"/>
        <family val="2"/>
      </rPr>
      <t>soluciones de diseño, administración o implementación a problemáticas del sector, desde un abordaje teórico-práctico, a través de herramientas de simulación, análisis de casos prácticos y uso de equipos de laboratorio.</t>
    </r>
  </si>
  <si>
    <t xml:space="preserve"> para diseñar, implementar o administrar la infraestructura eléctrica y los dispositivos electrónicos que dan soporte a los sistemas de telecomunicaciones</t>
  </si>
  <si>
    <t>ProcedimentalBAK</t>
  </si>
  <si>
    <t>ManipulaciónBAK</t>
  </si>
  <si>
    <t>Aplicar</t>
  </si>
  <si>
    <r>
      <rPr>
        <b/>
        <sz val="11"/>
        <color rgb="FF000000"/>
        <rFont val="Gill Sans MT"/>
        <family val="2"/>
      </rPr>
      <t>Aplica</t>
    </r>
    <r>
      <rPr>
        <sz val="11"/>
        <color rgb="FF000000"/>
        <rFont val="Gill Sans MT"/>
        <family val="2"/>
      </rPr>
      <t xml:space="preserve"> los elementos de teoría de circuitos, de transmisión de información, de seguridad de la información, de redes de comunicaciones, de sistemas de cómputo, de estandares tecnológicos y marcos de referencia que hacen parte de la gestión de proyectos como del desarrollo de actividades relacionadas a las infraestructuras de TIC, </t>
    </r>
    <r>
      <rPr>
        <b/>
        <sz val="11"/>
        <color rgb="FF000000"/>
        <rFont val="Gill Sans MT"/>
        <family val="2"/>
      </rPr>
      <t xml:space="preserve">para construir </t>
    </r>
    <r>
      <rPr>
        <sz val="11"/>
        <color rgb="FF000000"/>
        <rFont val="Gill Sans MT"/>
        <family val="2"/>
      </rPr>
      <t>propuestas de diseño, implementación o administración de infraestructura eléctrica, dispositivos electrónicos, servicios de comunicaciones en nube o en sitio, sistemas de telecomunicaciones, a través de herramientas de simulación, análisis de casos prácticos y uso de equipos de laboratorio.</t>
    </r>
  </si>
  <si>
    <t xml:space="preserve"> alineado con prácticas basadas en estándares del sector y la normatividad vigente, teniendo en cuenta las condiciones, restricciones y requerimientos técnicos del entorno.</t>
  </si>
  <si>
    <t>ActitudinalBAK</t>
  </si>
  <si>
    <t>ValorarBAK</t>
  </si>
  <si>
    <t>Emplear</t>
  </si>
  <si>
    <r>
      <rPr>
        <b/>
        <sz val="11"/>
        <color rgb="FF000000"/>
        <rFont val="Gill Sans MT"/>
        <family val="2"/>
      </rPr>
      <t>Emplea</t>
    </r>
    <r>
      <rPr>
        <sz val="11"/>
        <color rgb="FF000000"/>
        <rFont val="Gill Sans MT"/>
        <family val="2"/>
      </rPr>
      <t xml:space="preserve"> las buenas prácticas de teoría de circuitos y transmisión, y de seguridad de la información, redes y sistemas de cómputo basadas en estándares del sector y la normatividad vigente, teniendo en cuenta las condiciones, restricciones y requerimientos técnicos de un proyecto, </t>
    </r>
    <r>
      <rPr>
        <b/>
        <sz val="11"/>
        <color rgb="FF000000"/>
        <rFont val="Gill Sans MT"/>
        <family val="2"/>
      </rPr>
      <t xml:space="preserve">para formular </t>
    </r>
    <r>
      <rPr>
        <sz val="11"/>
        <color rgb="FF000000"/>
        <rFont val="Gill Sans MT"/>
        <family val="2"/>
      </rPr>
      <t>soluciones en infraestructuras TIC o del área de las telecomunicaciones.</t>
    </r>
  </si>
  <si>
    <t>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t>
  </si>
  <si>
    <t xml:space="preserve"> los elementos de seguridad de la información, redes de comunicaciones y sistemas de cómputo que hacen parte de infraestructuras TIC</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</si>
  <si>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para evaluar</t>
    </r>
    <r>
      <rPr>
        <sz val="11"/>
        <color rgb="FF000000"/>
        <rFont val="Gill Sans MT"/>
        <family val="2"/>
      </rPr>
      <t xml:space="preserve"> soluciones a problemáticas del sector, desde un abordaje teórico-práctico, a través de herramientas de simulación, análisis de casos prácticos y uso de equipos de laboratorio.</t>
    </r>
  </si>
  <si>
    <t xml:space="preserve"> para diseñar, implementar o administrar infraestructuras y servicios de comunicaciones en sitio o en nube</t>
  </si>
  <si>
    <t>Conocer los estándares y marcos de referencia asociados tanto a la gestión de proyectos como al desarrollo de actividades relacionadas a las tecnologías de la información para diseñar, implementar o administrar soluciones del área de las telecomunicaciones, la seguridad de la información y la infraestructura TIC manteniendo una postura socialmente responsable, autónoma, teniendo en cuenta las condiciones, restricciones y requerimientos técnicos del entorno.</t>
  </si>
  <si>
    <t xml:space="preserve"> los estándares y marcos de referencia asociados tanto a la gestión de proyectos como al desarrollo de actividades relacionadas a las tecnologías de la información</t>
  </si>
  <si>
    <t xml:space="preserve"> para diseñar, implementar o administrar soluciones del área de las telecomunicaciones, la seguridad de la información y la infraestructura TIC</t>
  </si>
  <si>
    <t xml:space="preserve"> manteniendo una postura socialmente responsable, autónoma, teniendo en cuenta las condiciones, restricciones y requerimientos técnicos del entorno.</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</si>
  <si>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</si>
  <si>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</si>
  <si>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</si>
  <si>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</si>
  <si>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</si>
  <si>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</si>
  <si>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</si>
  <si>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</si>
  <si>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</si>
  <si>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</si>
  <si>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</si>
  <si>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</si>
  <si>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Número de veces que se realiza la estrategia por periodo académico.</t>
  </si>
  <si>
    <t>Informe o Reporte.</t>
  </si>
  <si>
    <t>Número de estudiantes que participan en la estrategia por periodo académico.</t>
  </si>
  <si>
    <t>Listados de participación.</t>
  </si>
  <si>
    <t>Valoración del nivel de aporte de la estrategia a los resultados de aprendizaje del programa.</t>
  </si>
  <si>
    <t>Encuesta de valoración.</t>
  </si>
  <si>
    <t>Número de estudiantes que participan en la estrategia.</t>
  </si>
  <si>
    <t>Número de oportunidades de consultoría, auditoría e interventoría desarrolladas con medición semestral.</t>
  </si>
  <si>
    <t>Relación de actividades desarrolladas en el grupo de interés con actividades del perfil ocupacional del programa.</t>
  </si>
  <si>
    <t>Número de estudiantes que participan en la estrategia en el periodo de su realización.</t>
  </si>
  <si>
    <t>Listas de participación.</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</si>
  <si>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</si>
  <si>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</si>
  <si>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</si>
  <si>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</si>
  <si>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</si>
  <si>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</si>
  <si>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</si>
  <si>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</si>
  <si>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</si>
  <si>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</si>
  <si>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</si>
  <si>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</si>
  <si>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</si>
  <si>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</si>
  <si>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</si>
  <si>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</si>
  <si>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</si>
  <si>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</si>
  <si>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</si>
  <si>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</si>
  <si>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</si>
  <si>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</si>
  <si>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</si>
  <si>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</si>
  <si>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</si>
  <si>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</si>
  <si>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</si>
  <si>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</si>
  <si>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</si>
  <si>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</si>
  <si>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</si>
  <si>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</si>
  <si>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X</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</si>
  <si>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</si>
  <si>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</si>
  <si>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TP</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</si>
  <si>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</si>
  <si>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</si>
  <si>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</si>
  <si>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Trabajo directo:
Clase magistral activa combinada con estrategias de metodologías activas
Trabajo independiente:
Lecturas
Laboratorios
Talleres
Estudios de caso.</t>
  </si>
  <si>
    <t>Oportunidades para Emprender</t>
  </si>
  <si>
    <t>1. Empatía y Comprensión del Usuario   
2. Co-creación con los Usuarios   
3. Enfoque en la Experiencia del Usuario   
4. Diseño del modelo de negocio</t>
  </si>
  <si>
    <t>Pensamiento Crítico y Ciudadanías Activas</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</si>
  <si>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</si>
  <si>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</si>
  <si>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</si>
  <si>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t>
  </si>
  <si>
    <t xml:space="preserve">1. Análisis de la Era del Antropoceno 
2. Otras Alternativas al Desarrollo Sostenible 
3. Ciudadanía y Políticas Públicas para el Desarrollo Sostenible 
4. El aporte de Negocios para la Búsqueda del Desarrollo Sostenible </t>
  </si>
  <si>
    <t>Electiva I</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</si>
  <si>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</si>
  <si>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</si>
  <si>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</si>
  <si>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</si>
  <si>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</si>
  <si>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</si>
  <si>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</si>
  <si>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</si>
  <si>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</si>
  <si>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</si>
  <si>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</si>
  <si>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</si>
  <si>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</si>
  <si>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</si>
  <si>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</si>
  <si>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Desarrollar</t>
  </si>
  <si>
    <t>Dirigir</t>
  </si>
  <si>
    <t>Diseñar</t>
  </si>
  <si>
    <t>Dominar</t>
  </si>
  <si>
    <t>Establecer</t>
  </si>
  <si>
    <t>Evaluar</t>
  </si>
  <si>
    <t>Fiscalizar</t>
  </si>
  <si>
    <t>Formular</t>
  </si>
  <si>
    <t>Generar</t>
  </si>
  <si>
    <t>Gestionar</t>
  </si>
  <si>
    <t>Hacer</t>
  </si>
  <si>
    <t>Implementar</t>
  </si>
  <si>
    <t>Liderar</t>
  </si>
  <si>
    <t>Modelar</t>
  </si>
  <si>
    <t>Participar</t>
  </si>
  <si>
    <t>Planear</t>
  </si>
  <si>
    <t>Presidir</t>
  </si>
  <si>
    <t>Producir</t>
  </si>
  <si>
    <t>Resolver</t>
  </si>
  <si>
    <t>Sistematizar</t>
  </si>
  <si>
    <t>Supervisar</t>
  </si>
  <si>
    <t>Transformar</t>
  </si>
  <si>
    <t>Validar</t>
  </si>
  <si>
    <t>Verificar</t>
  </si>
  <si>
    <t>Garantizar</t>
  </si>
  <si>
    <t>Interpretar</t>
  </si>
  <si>
    <t>Reconocer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</si>
  <si>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</si>
  <si>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</si>
  <si>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</si>
  <si>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</si>
  <si>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</si>
  <si>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</si>
  <si>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</si>
  <si>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</si>
  <si>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</si>
  <si>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</si>
  <si>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ProcedimentalB</t>
  </si>
  <si>
    <t>ActitudinalB</t>
  </si>
  <si>
    <t>ConocimientoB</t>
  </si>
  <si>
    <t>AplicaciónB</t>
  </si>
  <si>
    <t>AnálisisB</t>
  </si>
  <si>
    <t>SíntesisB</t>
  </si>
  <si>
    <t>EvaluaciónB</t>
  </si>
  <si>
    <t>ConocimientoBAK</t>
  </si>
  <si>
    <t>AplicaciónBAK</t>
  </si>
  <si>
    <t>AnálisisBAK</t>
  </si>
  <si>
    <t>SíntesisBAK</t>
  </si>
  <si>
    <t>EvaluaciónBAK</t>
  </si>
  <si>
    <t>ImitaciónBAK</t>
  </si>
  <si>
    <t>PrecisiónBAK</t>
  </si>
  <si>
    <t>ControlBAK</t>
  </si>
  <si>
    <t>PercepciónBAK</t>
  </si>
  <si>
    <t>ResponderBAK</t>
  </si>
  <si>
    <t>OrganizarBAK</t>
  </si>
  <si>
    <t>CaracterizarBAK</t>
  </si>
  <si>
    <t>Procesos cognitivos de orden inferior</t>
  </si>
  <si>
    <t>Procesos cognitivos de orden superior</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</si>
  <si>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</si>
  <si>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</si>
  <si>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</si>
  <si>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</si>
  <si>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</si>
  <si>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</si>
  <si>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</si>
  <si>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</si>
  <si>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</si>
  <si>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</si>
  <si>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</si>
  <si>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</si>
  <si>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</si>
  <si>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</si>
  <si>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</si>
  <si>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</si>
  <si>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</si>
  <si>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</si>
  <si>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</si>
  <si>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</si>
  <si>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</si>
  <si>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</si>
  <si>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</si>
  <si>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</si>
  <si>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</si>
  <si>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</si>
  <si>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</si>
  <si>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</si>
  <si>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</si>
  <si>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</si>
  <si>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</si>
  <si>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Actuar</t>
  </si>
  <si>
    <t>Balancear</t>
  </si>
  <si>
    <t>Admitir</t>
  </si>
  <si>
    <t>Actuar recíprocamente</t>
  </si>
  <si>
    <t>Adoptar</t>
  </si>
  <si>
    <t>Anticipar</t>
  </si>
  <si>
    <t>Afinar</t>
  </si>
  <si>
    <t>Afirmar</t>
  </si>
  <si>
    <t>Clasificar</t>
  </si>
  <si>
    <t>Agrupar</t>
  </si>
  <si>
    <t>ProcedimientoslLK</t>
  </si>
  <si>
    <t>PsicomotorAK</t>
  </si>
  <si>
    <t>Citar</t>
  </si>
  <si>
    <t>Comentar</t>
  </si>
  <si>
    <t>Combinar</t>
  </si>
  <si>
    <t>Calcular</t>
  </si>
  <si>
    <t>Agregar</t>
  </si>
  <si>
    <t>Ajustar</t>
  </si>
  <si>
    <t>Anotar</t>
  </si>
  <si>
    <t>Apoyar</t>
  </si>
  <si>
    <t>Comparar</t>
  </si>
  <si>
    <t>Añadir</t>
  </si>
  <si>
    <t>Elaborar</t>
  </si>
  <si>
    <t>MetacogniciónLK</t>
  </si>
  <si>
    <t>Consignar</t>
  </si>
  <si>
    <t>Componer</t>
  </si>
  <si>
    <t>Categorizar</t>
  </si>
  <si>
    <t>Alinear</t>
  </si>
  <si>
    <t>Ampliar</t>
  </si>
  <si>
    <t>Codificar</t>
  </si>
  <si>
    <t>Aprobar</t>
  </si>
  <si>
    <t>Agradecer</t>
  </si>
  <si>
    <t>Conectar</t>
  </si>
  <si>
    <t>Atender</t>
  </si>
  <si>
    <t>Copiar</t>
  </si>
  <si>
    <t>Contrastar</t>
  </si>
  <si>
    <t>Asumir</t>
  </si>
  <si>
    <t>Maximizar</t>
  </si>
  <si>
    <t>Decir</t>
  </si>
  <si>
    <t>Convertir</t>
  </si>
  <si>
    <t>Articular</t>
  </si>
  <si>
    <t>Arbitrar</t>
  </si>
  <si>
    <t>Apalancar</t>
  </si>
  <si>
    <t>Colocar</t>
  </si>
  <si>
    <t>Apreciar</t>
  </si>
  <si>
    <t>Ambicionar</t>
  </si>
  <si>
    <t>Considerar</t>
  </si>
  <si>
    <t>Demostrar</t>
  </si>
  <si>
    <t>Buscar similitudes</t>
  </si>
  <si>
    <t>Argumentar</t>
  </si>
  <si>
    <t>Mejorar</t>
  </si>
  <si>
    <t>Criticar</t>
  </si>
  <si>
    <t>Construir</t>
  </si>
  <si>
    <t>Aumentar</t>
  </si>
  <si>
    <t>Bajar</t>
  </si>
  <si>
    <t>Autorizar</t>
  </si>
  <si>
    <t>Anhelar</t>
  </si>
  <si>
    <t>Cuestionar</t>
  </si>
  <si>
    <t>Colaborar</t>
  </si>
  <si>
    <t>Discutir</t>
  </si>
  <si>
    <t>Cambiar</t>
  </si>
  <si>
    <t>Minimizar</t>
  </si>
  <si>
    <t>Deletrear</t>
  </si>
  <si>
    <t>Dar ejemplos</t>
  </si>
  <si>
    <t>Armar</t>
  </si>
  <si>
    <t>Asisitir</t>
  </si>
  <si>
    <t>Defender</t>
  </si>
  <si>
    <t>Completar</t>
  </si>
  <si>
    <t>Ejemplificar</t>
  </si>
  <si>
    <t xml:space="preserve">Construir </t>
  </si>
  <si>
    <t>Centrarse</t>
  </si>
  <si>
    <t>ProcedimientosLK</t>
  </si>
  <si>
    <t>Debatir</t>
  </si>
  <si>
    <t>Determinar</t>
  </si>
  <si>
    <t>Atar</t>
  </si>
  <si>
    <t>Comenzar</t>
  </si>
  <si>
    <t>Correr</t>
  </si>
  <si>
    <t>Comportarse bajo condiciones</t>
  </si>
  <si>
    <t xml:space="preserve">Duplicar </t>
  </si>
  <si>
    <t>Esquematizar</t>
  </si>
  <si>
    <t>Pensar</t>
  </si>
  <si>
    <t>Describir</t>
  </si>
  <si>
    <t>Dibujar</t>
  </si>
  <si>
    <t>Computar</t>
  </si>
  <si>
    <t>Desmontar</t>
  </si>
  <si>
    <t>Cortar</t>
  </si>
  <si>
    <t>Coser</t>
  </si>
  <si>
    <t>Desplegar</t>
  </si>
  <si>
    <t>Elegir</t>
  </si>
  <si>
    <t>Explicar</t>
  </si>
  <si>
    <t>Correlacionar</t>
  </si>
  <si>
    <t>Compilar</t>
  </si>
  <si>
    <t xml:space="preserve">Planear </t>
  </si>
  <si>
    <t>Discriminar</t>
  </si>
  <si>
    <t>Concluir</t>
  </si>
  <si>
    <t>Calificar</t>
  </si>
  <si>
    <t>Bailar</t>
  </si>
  <si>
    <t>Cumplir</t>
  </si>
  <si>
    <t>Difundir</t>
  </si>
  <si>
    <t>Asistir</t>
  </si>
  <si>
    <t>Constatar</t>
  </si>
  <si>
    <t>Escribir</t>
  </si>
  <si>
    <t>Expresar</t>
  </si>
  <si>
    <t>Dramatizar</t>
  </si>
  <si>
    <t>Descomponer</t>
  </si>
  <si>
    <t>Proponer</t>
  </si>
  <si>
    <t>Enseñar</t>
  </si>
  <si>
    <t>Deducir</t>
  </si>
  <si>
    <t>Censurar</t>
  </si>
  <si>
    <t>Direccionar</t>
  </si>
  <si>
    <t>Destapar</t>
  </si>
  <si>
    <t>Contar</t>
  </si>
  <si>
    <t>Aspirar</t>
  </si>
  <si>
    <t>Discernir</t>
  </si>
  <si>
    <t>Contextualizar</t>
  </si>
  <si>
    <t>Leer</t>
  </si>
  <si>
    <t>Generalizar</t>
  </si>
  <si>
    <t>Diferenciar</t>
  </si>
  <si>
    <t>Reescribir</t>
  </si>
  <si>
    <t>Cooperar</t>
  </si>
  <si>
    <t>Exteriorizar</t>
  </si>
  <si>
    <t>Controlar</t>
  </si>
  <si>
    <t>Listar</t>
  </si>
  <si>
    <t>Ilustrar</t>
  </si>
  <si>
    <t>Distinguir</t>
  </si>
  <si>
    <t>Convencer</t>
  </si>
  <si>
    <t>Simplificar</t>
  </si>
  <si>
    <t>Duplicar</t>
  </si>
  <si>
    <t>Detectar</t>
  </si>
  <si>
    <t>Crear</t>
  </si>
  <si>
    <t>Comprobar</t>
  </si>
  <si>
    <t>Docificar</t>
  </si>
  <si>
    <t>Disponer</t>
  </si>
  <si>
    <t>Disipar</t>
  </si>
  <si>
    <t>Aunar</t>
  </si>
  <si>
    <t>Extraer</t>
  </si>
  <si>
    <t>Localizar</t>
  </si>
  <si>
    <t>Inferir</t>
  </si>
  <si>
    <t>Dividir</t>
  </si>
  <si>
    <t>Suponer</t>
  </si>
  <si>
    <t>Etiquetar</t>
  </si>
  <si>
    <t>Diagramar</t>
  </si>
  <si>
    <t>Decidir</t>
  </si>
  <si>
    <t>Concretar</t>
  </si>
  <si>
    <t>Ejecutar</t>
  </si>
  <si>
    <t>Fomentar</t>
  </si>
  <si>
    <t>Memorizar</t>
  </si>
  <si>
    <t xml:space="preserve">Informar </t>
  </si>
  <si>
    <t>Entrevistar</t>
  </si>
  <si>
    <t>Sustituir</t>
  </si>
  <si>
    <t>Examinar</t>
  </si>
  <si>
    <t>Emparejar</t>
  </si>
  <si>
    <t>Conformar</t>
  </si>
  <si>
    <t>Eliminar</t>
  </si>
  <si>
    <t>Compartir</t>
  </si>
  <si>
    <t>Mostrar</t>
  </si>
  <si>
    <t>Hacer uso</t>
  </si>
  <si>
    <t>Encontrar</t>
  </si>
  <si>
    <t>Teorizar</t>
  </si>
  <si>
    <t>ProcesosAK</t>
  </si>
  <si>
    <t>Derivar</t>
  </si>
  <si>
    <t>Constrastar</t>
  </si>
  <si>
    <t>Ejercitar</t>
  </si>
  <si>
    <t>Ejercer</t>
  </si>
  <si>
    <t>Comprender</t>
  </si>
  <si>
    <t>Nombrar</t>
  </si>
  <si>
    <t>Encuestar</t>
  </si>
  <si>
    <t>Testar</t>
  </si>
  <si>
    <t>Grabar</t>
  </si>
  <si>
    <t>Exponer</t>
  </si>
  <si>
    <t>Contabilizar</t>
  </si>
  <si>
    <t>Encajar</t>
  </si>
  <si>
    <t>Emitir</t>
  </si>
  <si>
    <t>Ensanchar</t>
  </si>
  <si>
    <t>Contribuir</t>
  </si>
  <si>
    <t>Percibir</t>
  </si>
  <si>
    <t>Observar</t>
  </si>
  <si>
    <t>Estimar</t>
  </si>
  <si>
    <t>Entallar</t>
  </si>
  <si>
    <t>Enumerar</t>
  </si>
  <si>
    <t>Convocar</t>
  </si>
  <si>
    <t>Preguntar</t>
  </si>
  <si>
    <t>Entregar</t>
  </si>
  <si>
    <t>Omitir</t>
  </si>
  <si>
    <t>Parafrasear</t>
  </si>
  <si>
    <t>Manipular</t>
  </si>
  <si>
    <t>Visualizar</t>
  </si>
  <si>
    <t>Estructurar</t>
  </si>
  <si>
    <t>Desempeñar</t>
  </si>
  <si>
    <t>Corregir</t>
  </si>
  <si>
    <t>Empaquetar</t>
  </si>
  <si>
    <t>Escoger</t>
  </si>
  <si>
    <t>Creer</t>
  </si>
  <si>
    <t>Promover</t>
  </si>
  <si>
    <t>Juzgar</t>
  </si>
  <si>
    <t>Rastrear</t>
  </si>
  <si>
    <t>Predecir</t>
  </si>
  <si>
    <t>Organizar</t>
  </si>
  <si>
    <t>Explorar</t>
  </si>
  <si>
    <t>Esculpir</t>
  </si>
  <si>
    <t>Escuchar</t>
  </si>
  <si>
    <t>Hablar</t>
  </si>
  <si>
    <t>Cuidar</t>
  </si>
  <si>
    <t>Negociar</t>
  </si>
  <si>
    <t>Recitar</t>
  </si>
  <si>
    <t>Inspeccionar</t>
  </si>
  <si>
    <t>Descubrir</t>
  </si>
  <si>
    <t>Experimentar</t>
  </si>
  <si>
    <t>Entrenar</t>
  </si>
  <si>
    <t>Extender</t>
  </si>
  <si>
    <t>Proteger</t>
  </si>
  <si>
    <t>Ofrecer</t>
  </si>
  <si>
    <t>Relacionar</t>
  </si>
  <si>
    <t>Practicar</t>
  </si>
  <si>
    <t>Investigar</t>
  </si>
  <si>
    <t>AutoSistemaAK</t>
  </si>
  <si>
    <t>Mostar</t>
  </si>
  <si>
    <t>Culminar</t>
  </si>
  <si>
    <t>Cotejar</t>
  </si>
  <si>
    <t>Envasar</t>
  </si>
  <si>
    <t>Extirpar</t>
  </si>
  <si>
    <t>Indicar</t>
  </si>
  <si>
    <t>Resumir</t>
  </si>
  <si>
    <t>Motivar</t>
  </si>
  <si>
    <t>Inventariar</t>
  </si>
  <si>
    <t>Ensamblar</t>
  </si>
  <si>
    <t>Guiar</t>
  </si>
  <si>
    <t>Informar</t>
  </si>
  <si>
    <t>Servir</t>
  </si>
  <si>
    <t>Revisar</t>
  </si>
  <si>
    <t>Numerar</t>
  </si>
  <si>
    <t>Estampar</t>
  </si>
  <si>
    <t>Narrar</t>
  </si>
  <si>
    <t>Relatar</t>
  </si>
  <si>
    <t>Soportar</t>
  </si>
  <si>
    <t>Repetir</t>
  </si>
  <si>
    <t>Traducir</t>
  </si>
  <si>
    <t>Seleccionar</t>
  </si>
  <si>
    <t>Ordenar</t>
  </si>
  <si>
    <t>Estimular</t>
  </si>
  <si>
    <t>Industrializar</t>
  </si>
  <si>
    <t>Obrar recíprocamente</t>
  </si>
  <si>
    <t>Terminar</t>
  </si>
  <si>
    <t>Simular</t>
  </si>
  <si>
    <t>Obtener</t>
  </si>
  <si>
    <t>Medir</t>
  </si>
  <si>
    <t>Estudiar</t>
  </si>
  <si>
    <t>Interrogar</t>
  </si>
  <si>
    <t>Revelar</t>
  </si>
  <si>
    <t>Transferir</t>
  </si>
  <si>
    <t>Priorizar</t>
  </si>
  <si>
    <t>Figurar</t>
  </si>
  <si>
    <t>Edificar</t>
  </si>
  <si>
    <t>Instalar</t>
  </si>
  <si>
    <t>Fabricar</t>
  </si>
  <si>
    <t>Llevar</t>
  </si>
  <si>
    <t>Manejar</t>
  </si>
  <si>
    <t>Referir</t>
  </si>
  <si>
    <t>Unir</t>
  </si>
  <si>
    <t>Probar</t>
  </si>
  <si>
    <t>Preocuparse de o por</t>
  </si>
  <si>
    <t>Usar</t>
  </si>
  <si>
    <t>Razonar</t>
  </si>
  <si>
    <t>Hipotetizar</t>
  </si>
  <si>
    <t>Mecanizar</t>
  </si>
  <si>
    <t>Ocupar</t>
  </si>
  <si>
    <t>Proporcionar</t>
  </si>
  <si>
    <t>Reorganizar</t>
  </si>
  <si>
    <t>Influir</t>
  </si>
  <si>
    <t>Presentar</t>
  </si>
  <si>
    <t>Operar</t>
  </si>
  <si>
    <t>Filtrar</t>
  </si>
  <si>
    <t>Maniobrar</t>
  </si>
  <si>
    <t>Mover</t>
  </si>
  <si>
    <t>Provocar</t>
  </si>
  <si>
    <t>Resaltar</t>
  </si>
  <si>
    <t>Innovar</t>
  </si>
  <si>
    <t>Hallar</t>
  </si>
  <si>
    <t>Publicar</t>
  </si>
  <si>
    <t>Ratificar</t>
  </si>
  <si>
    <t>Separar</t>
  </si>
  <si>
    <t>Justificar</t>
  </si>
  <si>
    <t>Realizar</t>
  </si>
  <si>
    <t>Reportar</t>
  </si>
  <si>
    <t>Patronar</t>
  </si>
  <si>
    <t>Imprimir</t>
  </si>
  <si>
    <t>Ponderar</t>
  </si>
  <si>
    <t>Subdividir</t>
  </si>
  <si>
    <t>Perforar</t>
  </si>
  <si>
    <t>Impulsar</t>
  </si>
  <si>
    <t>Ser partidario de</t>
  </si>
  <si>
    <t>Recordar</t>
  </si>
  <si>
    <t>Recoger</t>
  </si>
  <si>
    <t>Juntar</t>
  </si>
  <si>
    <t>Poner</t>
  </si>
  <si>
    <t>Opinar</t>
  </si>
  <si>
    <t>Registrar</t>
  </si>
  <si>
    <t>Introducir</t>
  </si>
  <si>
    <t>Limpiar</t>
  </si>
  <si>
    <t>Levantar</t>
  </si>
  <si>
    <t>Quitar</t>
  </si>
  <si>
    <t>Tasar</t>
  </si>
  <si>
    <t>Originar</t>
  </si>
  <si>
    <t>Inventar</t>
  </si>
  <si>
    <t>Modificar</t>
  </si>
  <si>
    <t>Finalizar</t>
  </si>
  <si>
    <t>Reemplazar</t>
  </si>
  <si>
    <t>Valorar</t>
  </si>
  <si>
    <t>Persuadir</t>
  </si>
  <si>
    <t>Reproducir</t>
  </si>
  <si>
    <t>Formar</t>
  </si>
  <si>
    <t>Trazar</t>
  </si>
  <si>
    <t>Remover</t>
  </si>
  <si>
    <t>Premiar</t>
  </si>
  <si>
    <t>Ubicar</t>
  </si>
  <si>
    <t>Reparar</t>
  </si>
  <si>
    <t>Rotular</t>
  </si>
  <si>
    <t>Preparar</t>
  </si>
  <si>
    <t>Reponer</t>
  </si>
  <si>
    <t>Recomendar</t>
  </si>
  <si>
    <t>Marcar</t>
  </si>
  <si>
    <t>Mezclar</t>
  </si>
  <si>
    <t>Subrayar</t>
  </si>
  <si>
    <t>Recaudar</t>
  </si>
  <si>
    <t>Mitigar</t>
  </si>
  <si>
    <t>Retirar</t>
  </si>
  <si>
    <t>Recortar</t>
  </si>
  <si>
    <t>Reunir</t>
  </si>
  <si>
    <t>Seguir</t>
  </si>
  <si>
    <t>Perfeccionar</t>
  </si>
  <si>
    <t>Peritar</t>
  </si>
  <si>
    <t>Señalar</t>
  </si>
  <si>
    <t>Sincronizar</t>
  </si>
  <si>
    <t>Planificar</t>
  </si>
  <si>
    <t>Pronosticar</t>
  </si>
  <si>
    <t>Soldar</t>
  </si>
  <si>
    <t>Pintar</t>
  </si>
  <si>
    <t>Suprimir</t>
  </si>
  <si>
    <t>Repartir</t>
  </si>
  <si>
    <t>Porcionar</t>
  </si>
  <si>
    <t>Tapizar</t>
  </si>
  <si>
    <t>Transmitir</t>
  </si>
  <si>
    <t>Proyectar</t>
  </si>
  <si>
    <t>Trasladar</t>
  </si>
  <si>
    <t>Racionar</t>
  </si>
  <si>
    <t>Sugerir</t>
  </si>
  <si>
    <t>Reducir</t>
  </si>
  <si>
    <t>Utilizar</t>
  </si>
  <si>
    <t>Repasar</t>
  </si>
  <si>
    <t>Representar</t>
  </si>
  <si>
    <t>Sacar</t>
  </si>
  <si>
    <t>Vincular</t>
  </si>
  <si>
    <t>Separer</t>
  </si>
  <si>
    <t>Situar</t>
  </si>
  <si>
    <t>Tocar</t>
  </si>
  <si>
    <t>Cultura, Política y Sociedad</t>
  </si>
  <si>
    <t>Análisis y Visualización de Datos</t>
  </si>
  <si>
    <t>Presencial</t>
  </si>
  <si>
    <t>Virtual</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</si>
  <si>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</si>
  <si>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Total materias (asignaturas y módulos) del programa</t>
  </si>
  <si>
    <t>Total asignaturas y porcentaje (modalidad presencial)</t>
  </si>
  <si>
    <t>Total módulos y porcentaje (modalidad virtual)</t>
  </si>
  <si>
    <t>[Marcar con X  la modalidad en que se dará la materia (asignatura o módulo) Presencial o Virtual]</t>
  </si>
  <si>
    <t>Administración de Empresas</t>
  </si>
  <si>
    <t>Híbrido</t>
  </si>
  <si>
    <t>El administrador de empresas del Politécnico Grancolombiano está capacitado para desarrollar  estrategias corporativas alineadas con la dinámica del entorno y la competitividad empresarial. Su formación le permite gestionar áreas funcionales clave con visión sostenible y criterio estratégico, dirigir equipos de trabajo según las tendencias organizacionales, implementar planes estratégicos, tácticos y operativos, y administrar sistemas de gestión empresarial. Además, cuenta con las competencias necesarias para identificar oportunidades de negocio y convertirlas en iniciativas productivas que generen valor en distintos sectores económicos.</t>
  </si>
  <si>
    <t>Principios económicos y sociales, y normatividad empresarial</t>
  </si>
  <si>
    <t>tomar decisiones informadas</t>
  </si>
  <si>
    <t>considerando tanto criterios de sostenibilidad como la legislación vigente en contextos organizacionales y empresariales.</t>
  </si>
  <si>
    <t xml:space="preserve">Planeación estratégica y gestión de procesos </t>
  </si>
  <si>
    <t>desarrollar estrategias empresariales</t>
  </si>
  <si>
    <t>contribuyendo a la generación de valor dentro entornos organizacionales cambiantes.</t>
  </si>
  <si>
    <t>Habilidades poderosas o socioemocionales</t>
  </si>
  <si>
    <t>liderar equipos y procesos con enfoque humano</t>
  </si>
  <si>
    <t>orientados a la adapatación y al desarrollo organizacional, según las dinámicas del entorno.</t>
  </si>
  <si>
    <t xml:space="preserve">Modelos de negocio </t>
  </si>
  <si>
    <t>impulsar iniciativas o proyectos de emprendimiento</t>
  </si>
  <si>
    <t>teniendo en cuenta las necesidades económicas, ambientales y sociales del entorno.</t>
  </si>
  <si>
    <t xml:space="preserve">El profesional en Administración de Empresas del Politécnico Grancolombiano formula y ejecuta estrategias organizacionales innovadoras, integrando conocimientos en gestión organizacional con metodologías de análisis de información. Su formación integral le permite tomar decisiones informadas en contextos cambiantes, liderar proyectos empresariales, y promover modelos de negocio sostenibles, aportando a la generación de valor organizacional. Se caracteriza por su pensamiento crítico y compromiso con el desarrollo organizacional, según las dinámicas del entorno y el marco legal vigente.
</t>
  </si>
  <si>
    <t xml:space="preserve">Gerencia administrativa.
Gestión empresarial.
Gestión de proyectos. 
Análisis estratégico.
Consultoría empresarial.
</t>
  </si>
  <si>
    <t xml:space="preserve">Coordinar o liderar áreas de empresas, así como proyectos empresariales.
Estructurar e implementar planes estratégicos, tácticos y operativos.
Desarrollar proyectos empresariales.
Realizar consultoría en el campo de la gestión empresarial.
Emprender iniciativas empresariales emergentes.
Gerenciar y administrar cualquier tipo de empresa, especialmente medianas o pequeñas.
Gerenciar proyectos de cualquier tipo de organización.
</t>
  </si>
  <si>
    <t>Empresas privadas o de economía mixta, existentes o emergentes, de cualquier sector de la economía.
StarUps.
Organizaciones no gubernamentales.
Sector público.
Ecosistemas de innovación y emprendimiento.</t>
  </si>
  <si>
    <t>El programa de Administración de Empresas del Politécnico Grancolombiano ofrece un enfoque distintivo en estrategia empresarial, articulando análisis, planeación y ejecución con el uso de herramientas para la toma de decisiones y la creación de valor sostenible. Forma profesionales capaces de liderar procesos de transformación en organizaciones que enfrentan entornos cambiantes, con visión económica, social y ambiental.</t>
  </si>
  <si>
    <t>Analizar los principios económicos y sociales, así como la normatividad empresarial, para tomar decisiones informadas, considerando tanto criterios de sostenibilidad como la legislación vigente en contextos organizacionales y empresariales.</t>
  </si>
  <si>
    <t>Aplicar habilidades poderosas o socioemocionales para liderar equipos y procesos con enfoque humano, orientados a la adapatación y al desarrollo organizacional, según las dinámicas del entorno.</t>
  </si>
  <si>
    <t>Desarrollar modelos de negocio para impulsar iniciativas o proyectos de emprendimiento teniendo en cuenta las necesidades económicas, ambientales y sociales del entorno.</t>
  </si>
  <si>
    <t>Gestionar procesos funcionales y de planeación estratégica para desarrollar estrategias empresariales, contribuyendo a la generación de valor dentro entornos organizacionales cambiantes.</t>
  </si>
  <si>
    <t>Integrar</t>
  </si>
  <si>
    <t>Analiza los principios económicos y sociales, así como la normatividad empresarial para determinar rutas estratégicas de acción y procesos asociados a la gestión, según el funcionamiento de los entornos internos y externos que operan en los contextos organizacionales.</t>
  </si>
  <si>
    <t>Ejecuta acciones de gestión de equipos y procesos, para tomar decisiones informadas que promuevan el liderazgo colaborativo en escenarios organizacionales.</t>
  </si>
  <si>
    <t>Integra criterios económicos, sociales y jurídicos que apoyen la toma de decisiones, para contribuir a la generación de valor y al desarrollo organizacional, considerando principios de sostenibilidad, así como las dinámicas y necesidades del entorno.</t>
  </si>
  <si>
    <t>Diseña estrategias empresariales para estructurar propuestas de mejora orientadas al fortalecimiento de la competitividad empresarial y al desarrollo de iniciativas de emprendimiento e intraemprendimiento.</t>
  </si>
  <si>
    <t>Reconoce las habilidades poderosas o socioemocionales que intervienen en escenarios organizacionales y en las relaciones humanas, para determinar aquellas que son pertinentes en el abordaje de situaciones propias de los distintos ámbitos de la gestión empresarial.</t>
  </si>
  <si>
    <t>Reconoce distintos modelos de negocio y de innovación aplicables tanto a intraemprendimientos como a nuevos negocios, para seleccionar el más adecuado en el diseño de propuestas empresariales sostenibles y coherentes con el entorno.</t>
  </si>
  <si>
    <t xml:space="preserve">Prueba estandandarizada (simulacro Pruebas Saber Pro)
</t>
  </si>
  <si>
    <t xml:space="preserve">Consultoría a empresas
</t>
  </si>
  <si>
    <t xml:space="preserve">Diagnóstico de habilidades gerenciales
</t>
  </si>
  <si>
    <t xml:space="preserve">Publicación de libros académicos (resultados de las investigaciones de los estudiantes)
</t>
  </si>
  <si>
    <t xml:space="preserve">Coloquios y encuentros de investigación (investigación formativa)
</t>
  </si>
  <si>
    <t xml:space="preserve">Fomento al empredimiento
</t>
  </si>
  <si>
    <t xml:space="preserve">El proyecto ser pro es un proyecto en el cual la escuela de administracion y competitividad realiza actividades en cuatro frentes. El primero es la capacitacion de docentes en la elaboracion de preguntas por competencias, el segundo es la elaboracion de simulacros de presentacion de pruebas saber pro, en especial en el componente especifico de nucleo básico del conocimiento, el tercero son los talleres de refuerzo para que los estudiantes mejoren sus competencias en la presentacion de las pruebas de estado y por ultimo, en el cuarto frente se encuentra el desarrollo de concursos institucionales e interinstitucionales sustentados en la metodologia de preguntas saber pro.
</t>
  </si>
  <si>
    <t xml:space="preserve">El proceso de consultoría estratégica inicia con la búsqueda de empresa por parte del estudiante, para esta empresa se genera un contrato de consultoría a costo cero y al final del proceso a la empresa se le entrega una propuesta estratégica, que se sugiere sea implementada en los años posteriores en la compañía. El proceso termina cuando la empresa entrega a la institución una carta de recibido a conformidad del plan estratégico propuesto. 
</t>
  </si>
  <si>
    <t xml:space="preserve">El desarrollo de habilidades gerenciales en los estudiantes del programa es fundamental, para ello desde el centro de liderazgo 360, este se aborda desde las ópticas del liderazgo personal, liderazgo organizacional y liderazgo social. En este sentido, los estudiantes desarrollan actividades y talleres que complementan las labores académicas del programa.
</t>
  </si>
  <si>
    <t xml:space="preserve">La convocatoria a publicación de libros académicos se realiza principalmente para los trabajos que surgen de la colaboracion estudiante-docente, de este modo, las publicaciones son conjuntas. El propósito de esta actividad es generar espacios que incentiven el desarrollo de competencias investigativas en los estudiantes del programa.
</t>
  </si>
  <si>
    <t xml:space="preserve">Existen dos eventos específicos desarrollados, uno es un evento de facultad denominado POLIPIF, en el cual participan los mejores proyectos de investigación formativa de la facultad y tambien participan estudiantes de otras universidades. En segundo lugar, se encuentra el Coloquio de Investigación en Diagnóstico Empresarial, el cual se enfoca en los resultados de investigación del campo de la consultoría empresarial. 
</t>
  </si>
  <si>
    <t xml:space="preserve">El fomento al emprendimiento se desarrolla bajo el liderazgo del centro de emprendimiento adscrito a la Escuela de Administración y Competitividad. El centro de emprendimiento se descata principalmente por desarrollar actividades de formación, encuentros con emprendedores, concursos de emprendimiento y acompañamiento a emprendedores para hacer hacer realidad su idea de negocio.
</t>
  </si>
  <si>
    <t xml:space="preserve">"Informar sobre el desempeño alcanzado en los simulacros, destacando avances y brechas frente al promedio del programa.
Formar en el uso de estrategias para resolver preguntas por competencias, enfocadas en los componentes de menor desempeño."
</t>
  </si>
  <si>
    <t xml:space="preserve">Formar en la aplicación rigurosa de herramientas diagnósticas y en la formulación de propuestas alineadas con las necesidades reales de la empresa.
Ayudar a tomar decisiones sobre las estrategias que pueden ser priorizadas según el contexto empresarial identificado.
</t>
  </si>
  <si>
    <t>Informar sobre el nivel de desarrollo de habilidades blandas evidenciado en las actividades realizadas.
Formar en la identificación de estilos de liderazgo y su aplicación práctica según situaciones organizacionales.</t>
  </si>
  <si>
    <t xml:space="preserve">Formar en prácticas de escritura académica, citación y construcción de argumentación sólida, así como en procesos de investigación.
</t>
  </si>
  <si>
    <t xml:space="preserve">Formar en habilidades de comunicación científica y sustentación de proyectos ante audiencias académicas.
Ayudar a tomar decisiones sobre cómo continuar el proceso investigativo o transformar el proyecto en otra producción académica.
</t>
  </si>
  <si>
    <t xml:space="preserve">Informar sobre los elementos clave que debe contener un modelo de negocio para ser competitivo.
Ayudar a tomar decisiones sobre las acciones requeridas para avanzar o ajustar el desarrollo del proyecto emprendedor.
</t>
  </si>
  <si>
    <t>Analiza datos numéricos presentados en tablas, gráficos o textos para proponer soluciones informadas a situaciones problema del contexto.</t>
  </si>
  <si>
    <t xml:space="preserve">Identifica los Derechos y Deberes consignados en la Constitución 1991 en relación con la ciudadanía de manera local y global para la comprensión de inmersiones sociales éticas. 
Reflexión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</si>
  <si>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Electiva 2</t>
  </si>
  <si>
    <t>Electiva 3</t>
  </si>
  <si>
    <t>Electiva 4</t>
  </si>
  <si>
    <t>Derecho Comercial y Laboral</t>
  </si>
  <si>
    <t>Caracteriza los negocios jurídicos tanto en los actos de comercio como en las relaciones laborales en atención a la legislación vigente para crear modelos de empresas o contratos civiles, comerciales y laborales.</t>
  </si>
  <si>
    <t>Contabilidad General</t>
  </si>
  <si>
    <t xml:space="preserve">Elabora el registro de las operaciones, conforme a la normatividad vigente y la técnica contable a partir del objeto social de una organización, teniendo en cuenta el marco conceptual de las normas internacionales de información financiera para elaborar los estados financieros.
</t>
  </si>
  <si>
    <t>Proceso Administrativo</t>
  </si>
  <si>
    <t>Reconoce las etapas del proceso administrativo (planeación, organización, dirección y control) para aplicarlas en situaciones organizacionales.</t>
  </si>
  <si>
    <t>Gestión del Talento Humano</t>
  </si>
  <si>
    <t>Identifica las características y evolución en el tiempo de la gestión del talento humano, para, a partir de casos concretos, proponer soluciones en un contexto organizacional.</t>
  </si>
  <si>
    <t>Razonamiento Variacional</t>
  </si>
  <si>
    <t xml:space="preserve">Aplica el pensamiento variacional y acumulativo para interpretar, modelar y resolver problemas de cambio y acumulación, relacionados con su contexto profesional y personal, mediante el uso reflexivo de las propiedades y aplicaciones de las derivadas e integrales. 
</t>
  </si>
  <si>
    <t>Fundamentos de Mercadeo</t>
  </si>
  <si>
    <t>Relaciona los conceptos teóricos del mercadeo como un proceso estratégico y táctico para estructurar propuestas de valor a los clientes (consumidores y empresas), que cumplan con los objetivos que la organización se ha trazado en el mercado.</t>
  </si>
  <si>
    <t>Costos y Presupuestos</t>
  </si>
  <si>
    <t>Clasifica los elementos de los costos de producción y la proyección presupuestal para la construcción de información financiera, como el cálculo de los sistemas de acumulación de costos, el Estado de Costos, Estado de Resultados, Estado de Situación Financiera, insumos requeridos en la toma de decisiones estratégicas.</t>
  </si>
  <si>
    <t>Riesgo Operativo y LA/FT</t>
  </si>
  <si>
    <t>Identifica las características del Sistema de administración de riesgo operativo (SARO)y riesgo de LA y FT en contextos organizacionales para determinar el impacto en el logro de los objetivos estratégicos, tácticos, de proyectos, productos y servicios. </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</si>
  <si>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</si>
  <si>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Aplica herramientas tecnológicas y modelos probabilísticos para representar procesos aleatorios y determinar valores de probabilidad en diferentes escenarios.
Aplica conceptos de probabilidad elemental y distribuciones como la normal y la binomial, para apoyar decisiones en diversos contextos.</t>
  </si>
  <si>
    <t>Análisis Descriptivo de Datos</t>
  </si>
  <si>
    <t>Teoría de las Organizaciones</t>
  </si>
  <si>
    <t>Reconoce la evolución de las organizaciones y las escuelas del pensamiento administrativo, para identificar las transformaciones que han dado lugar a las tendencias contemporáneas en la administración de negocios.</t>
  </si>
  <si>
    <t>Microeconomía</t>
  </si>
  <si>
    <t xml:space="preserve">Calcula el equilibrio de mercado a partir de los cambios generados en la oferta y la demanda y su implicación en los agentes económicos individuales familias y empresas para soportar la toma de decisiones. </t>
  </si>
  <si>
    <t>Matemáticas Financieras</t>
  </si>
  <si>
    <t>Aplica conceptos de costo de dinero en el tiempo para estimar valores presentes y futuros de inversiones y créditos, y elaboración de tablas de amortización.</t>
  </si>
  <si>
    <t>Análisis Estratégico</t>
  </si>
  <si>
    <t xml:space="preserve">Realiza un diagnóstico del macro y micro entorno de una organización, utilizando herramientas estratégicas, para formular estrategias que respondan a las oportunidades y amenazas del mercado y fortalezcan su ventaja competitiva, dependiendo de la realidad específica de la organización.
</t>
  </si>
  <si>
    <t>Taller Financiero Aplicado a BI</t>
  </si>
  <si>
    <t>Utiliza la minería de datos, visualización de datos y tableros de control para realizar reportes financieros que permiten orientar la tomar decisiones y eliminar las ineficiencias basadas en una visión integral en los datos.</t>
  </si>
  <si>
    <t>Estadística Predictiva</t>
  </si>
  <si>
    <t>Aplica conceptos de distribuciones muestrales, intervalos de confianza, pruebas de hipótesis y modelos de regresión lineal para estimar parámetros poblacionales orientados a la predicción del comportamiento de una variable en diferentes escenarios.</t>
  </si>
  <si>
    <t>Macroeconomía</t>
  </si>
  <si>
    <t>Interpreta las variables macroeconómicas y su impacto en el equilibrio, para desarrollar análisis del comportamiento del mercado de bienes y servicios y de las políticas fiscal, monetaria y cambiaria.</t>
  </si>
  <si>
    <t>Gerencia Estratégica de Proyectos en Cascada</t>
  </si>
  <si>
    <t>Aplica conceptos, buenas prácticas y herramientas de la gestión de proyectos en cascada, para estructurar proyectos alineados con los objetivos del alcance definido, teniendo en cuenta las partes interesadas.
Determina las restricciones de cronograma, costo y alcance en escenarios reales o simulados, para desarrollar propuestas ejecutables que atiendan el manejo adecuado de recursos y  los requerimientos de las partes interesadas.</t>
  </si>
  <si>
    <t>Gestión Estratégica</t>
  </si>
  <si>
    <t>Reconoce los conceptos asociados a la formulación de objetivos, indicadores, metas y planes de acción para formular estrategias en contextos relacionados con estructuras organizacionales y procesos internos de las empresas.</t>
  </si>
  <si>
    <t>Gerencia Financiera</t>
  </si>
  <si>
    <t>Analiza los inductores de valor, incluyendo el Valor Económico Agregado (EVA), para diseñar estrategias financieras que contribuyan a la creación de valor en la gestión financiera de la organización.</t>
  </si>
  <si>
    <t>Gerencia de Desarrollo Sostenible</t>
  </si>
  <si>
    <t>Integra herramientas de gestión y estrategia desde el enfoque de triple cuenta de resultados, para aplicar principios de sostenibilidad en el diseño de propuestas empresariales.</t>
  </si>
  <si>
    <t>Gerencia de Producción</t>
  </si>
  <si>
    <t>Aplica herramientas de pronóstico, planeación global y gestión de capacidad, para estructurar propuestas de mejora en procesos productivos.</t>
  </si>
  <si>
    <t>Gerencia Estratégica de Proyectos Ágiles</t>
  </si>
  <si>
    <t>Aplica conceptos, buenas prácticas y herramientas de la gestión de proyectos ágiles, para estructurar proyectos alineados con los objetivos del alcance definido, teniendo en cuenta las partes interesadas.
Determina las restricciones y roles de un proyecto, a partir de marcos de trabajos ágiles, para desarrollar propuestas ejecutables que atiendan el manejo adecuado de recursos y  los requerimientos de las partes interesadas en escenarios reales o simulados.</t>
  </si>
  <si>
    <t>Sistemas Integrados de Gestión (HSEQ)</t>
  </si>
  <si>
    <t>Describe la estructura y operación de los Sistemas Integrados de Gestión de una organización, para diseñar los procesos y procedimientos de acuerdo con la normatividad vigente.</t>
  </si>
  <si>
    <t>Evaluación de Proyectos</t>
  </si>
  <si>
    <t>Evalúa la factibilidad financiera de un proyecto de inversión mediante la formulación de supuestos, la proyección de estados financieros y la aplicación de métodos de decisión, para determinar su viabilidad y apoyar la toma de decisiones en contextos empresariales.</t>
  </si>
  <si>
    <t>Consultorio Empresarial</t>
  </si>
  <si>
    <t>Aplica herramientas de diagnóstico empresarial, para formular estrategias competitivas y sostenibles que respondan a las necesidades y problemáticas de la empresa.</t>
  </si>
  <si>
    <t>Gobierno Corporativo y Compilance</t>
  </si>
  <si>
    <t>Identifica la normativa nacional e internacional aplicable a la empresa para plantear prácticas de buen gobierno dentro de la organización con miras a generar transparencia en la gestión de cara a sus grupos de interés.</t>
  </si>
  <si>
    <t>Tendencias Estratégicas</t>
  </si>
  <si>
    <t>Interpreta las tendencias del entorno en el que está posicionada la organización, para identificar las oportunidades y retos frente a los procesos empresariales contemporáneos.</t>
  </si>
  <si>
    <t>Administración 4.0</t>
  </si>
  <si>
    <t>Aplica herramientas y tecnologías de la Administración 4.0, como el análisis de datos y la inteligencia artificial para proponer mejoras en los procesos organizacionales y contribuir a la innovación y la competitividad.</t>
  </si>
  <si>
    <t>Prácticas</t>
  </si>
  <si>
    <t>Aplica los conocimientos adquiridos durante su proceso formativo para implementar las fases iniciales de un plan de mejora en un contexto empresarial.</t>
  </si>
  <si>
    <t>Comercio Internacional</t>
  </si>
  <si>
    <t xml:space="preserve">Describe los principales elementos del comercio internacional, incluyendo el concepto y la aplicación de teorías económicas, la gestión logística y documental, el desarrollo de estrategias de marketing, la selección de opciones de financiación y medios de pago y la implementación de las principales herramientas tecnológicas y prácticas sostenibles para explicar una transacción de intercambio comercial internacional segura y eficiente, cumpliendo con las normativas, la entrada exitosa a nuevos mercados y la sostenibilidad en el comercio internacional. </t>
  </si>
  <si>
    <t>Liderazgo y Pensamiento Estratégico</t>
  </si>
  <si>
    <t xml:space="preserve">Analiza los principios de liderazgo personal y organizacional, para proponer acciones de desarrollo humano y de equipos de trabajo en contextos organizacionales. </t>
  </si>
  <si>
    <t>Prospectiva Estratégica</t>
  </si>
  <si>
    <t>Aplica metodologías de análisis de la prospectiva estratégica para diseñar estrategias empresariales orientadas al mejoramiento de las empresas.</t>
  </si>
  <si>
    <t>T</t>
  </si>
  <si>
    <t>P</t>
  </si>
  <si>
    <t>1. Fundamentación teórica y técnica contable
2. Elementos de los Estados Financieros y sus características
3. Transacciones comerciales y operaciones con cuentas de resultado
4. Estructura de los Estados Financieros</t>
  </si>
  <si>
    <t xml:space="preserve">1. Planeación
2. Organización
3. Dirección:  Integración de Personal - Motivación – liderazgo y comunicación
4. Control
</t>
  </si>
  <si>
    <t>1. Importancia del Talento humano en las organizaciones
2. Análisis, descripción y diseño de cargos dentro de la incorporación de las personas en las organizaciones
3. Desarrollo, formación y retribución de las personas en las organizaciones
4. Impacto en las organizaciones, mediante la generación de valor, a través de la evaluación desempeño y el proceso de Seguridad y Salud en el Trabajo</t>
  </si>
  <si>
    <t>1. Fundamentos del pensamiento variacional 
2. Análisis del cambio y dinámica 
3. Acumulación y modelado integral 
4. Aplicaciones avanzadas y modelización</t>
  </si>
  <si>
    <t>1. Principios y conceptos básicos de Mercadeo
2. Conocimiento del mercado y de los consumidores
3. Mercadeo estratégico
4. Mercadeo táctico</t>
  </si>
  <si>
    <t>1. Conceptualización general de los costos 
2. Sistemas de costeo y aplicación de los costos en la toma de decisiones 
3. Presupuesto maestro
4. Estados financieros proyectados</t>
  </si>
  <si>
    <t>1. Generalidades del Riesgo y Sistema de administración de riesgo operativo
2. Medición y tratamiento del riesgo operativo
3. Continuidad de negocio y SARLAFT
4. Salafí y otros sistemas de administración de riesgo de lavado de activos</t>
  </si>
  <si>
    <t>1. Estadística descriptiva
2. Teoría de la probabilidad 
3. Variables aleatorias y distribuciones de probabilidad
4. Distribuciones de probabilidad discretas y continuas</t>
  </si>
  <si>
    <t>1. Relación conceptos de administración,
organización y teorías administrativas
2. Marco temporal de la teoría administrativa: un
enfoque neoclásico
3. Teorías contemporáneas y su impacto en la organización
4. Nuevas tendencias y teorías administrativas un
enfoque internacional</t>
  </si>
  <si>
    <t>1. Conceptos básicos de la ciencia económica. Frontera de posibilidades de producción y circuito económico
2. Análisis microeconómico, funciones, demanda y oferta
3. Estudio de la conducta del consumidor y del productor
4. Análisis de los costos de producción y de los mercados de competencia perfecta e imperfecta</t>
  </si>
  <si>
    <t>1. Interés simple, descuento simple e interés compuesto
2. Series uniformes
3. Series variables
4. Sistemas de amortización y de capitalización</t>
  </si>
  <si>
    <t>1. Administración estratégica
2. Matrices de insumos
3. Matrices de Adecuación y decisión
4. Formulación de estrategias</t>
  </si>
  <si>
    <t>1. Principales Herramientas de Matemáticas Financieras 
2. Diagnóstico Financiero y análisis de la información 
3. Introducción a herramientas BI 
4. Análisis de información financiera con herramientas BI</t>
  </si>
  <si>
    <t>1. Muestreo y distribuciones muestrales 
2. Teoría de la estimación. Estimación de parámetros 
3. Pruebas de hipótesis   
4. Regresión lineal simple</t>
  </si>
  <si>
    <t>1. Generalidades de la macroeconomía, funcionamiento del sistema económico y de las cuentas nacionales
2. Mercado de bienes y servicios y estabilidad macroeconómica
3. Modelo IS-LM
4. La balanza de pagos y el equilibrio general</t>
  </si>
  <si>
    <t>1. Contexto Organizacional 
2. Fundamentos de la gestión de proyectos 
3. Gestión de la Integración y Alcance del proyecto 
4. Gestión del cronograma y presupuesto del proyecto</t>
  </si>
  <si>
    <t>1. Cuadro De Mando Integral
2. Medición De La Gestión
3. Control Y Seguimiento
4. Gestión De Riesgos</t>
  </si>
  <si>
    <t>1. Conceptos básicos de la Gerencia Financiera
2. Gerencia del valor
3. Estructura financiera y costo de capital
4. Prospección financiera</t>
  </si>
  <si>
    <t>1. Introducción a la sostenibilidad empresarial 
2. Gerencia Ambiental 
3. Creación de valor sostenible 
4. Innovación empresarial en sostenibilidad</t>
  </si>
  <si>
    <t>1.	Estrategias de producción
2.	Gestión de la demanda - pronósticos
3.	Planeación global de la producción
4.	Planeación de la capacida</t>
  </si>
  <si>
    <t>1. Fundamentos de la Gerencia de Proyectos Ágiles 
2. Planificación Ágil de Proyectos 
3. Ejecución y Control Ágil de Proyectos 
4. Mejora Continua y Gestión Estratégica</t>
  </si>
  <si>
    <t>1. Sistema de gestión de la calidad (ISO 9001: 2015) o su versión actualizada. 
2. Sistemas de gestión ambiental (ISO 14001:2015) o su versión actualizada
3. Sistemas de gestión de la seguridad y salud en el trabajo (ISO 45001:2018) o su versión actualizada
4. Sistemas de gestión guía para la integración de los sistemas de gestión (une 66177:2005) o su versión actualizada</t>
  </si>
  <si>
    <t>1. Conceptos básicos contables y financieros para la evaluación de proyectos
2. Flujos de caja en proyectos de inversión
3. Métodos de decisión financiera
4. Análisis de sensibilidad en los proyectos</t>
  </si>
  <si>
    <t>1.	Consultoría - Particularidades de una organización empresarial desde el ámbito Interno y Financiero.
2.	Formulación de estrategia y matrices de administración.
3.	Balanced Scorecard y Propuesta de Mejora para la organización.
4.	Lineamientos estratégicos para la intervención organizacional</t>
  </si>
  <si>
    <t>1. Órganos sociales
2. Gobierno corporativo y sus clases según el tipo de sociedad empresarial
3. Controversias en el gobierno corporativo
4. Compliance</t>
  </si>
  <si>
    <t>1.  Vigilancia Tecnológica y Mega tendencias: búsqueda de información relevante para la toma de decisiones organizacionales.
2. Inteligencia estratégica como un conjunto integral de elementos de análisis, depuración, filtrado, interpretación, planeamiento, evaluación y gestión de la información.
3. Metodologías actuales para la aplicación de estrategias con impacto en el mercado.
4. La nueva realidad organizacional: tendencias y retos modernos de la gerencia.</t>
  </si>
  <si>
    <t>1. Introducción generalidades de la administración 4.0
2. Método y aplicación de la analítica de DATOS  1
3. Método y aplicación de la analítica de DATOS  2
4. El machine learning</t>
  </si>
  <si>
    <t>1.Conceptos Fundamentales de Innovación Empresarial.
2.Estrategias de Innovación Empresarial.
3.Implementación de la innovación empresarial
4.Seguimiento al proceso de innovación</t>
  </si>
  <si>
    <t>1. Conceptualización general del comercio internacional
2. El comercio internacional y la política macroeconómica
3. Facilitación del comercio y aseguramiento de la cadena logística
4. Operaciones comerciales importación y exportación</t>
  </si>
  <si>
    <t>1. Líder como persona 
2. Desarrollo del liderazgo en equipos 
3. Desarrollo del liderazgo en la Organización 
4. El líder como agente del cambio y del desarrollo organizacional</t>
  </si>
  <si>
    <t>1. El problema estratégico 
2. Corrientes del pensamiento estratégico 
3.  La prospectiva: una actitud frente al futuro 
4. Aproximación al modelo prospectivo</t>
  </si>
  <si>
    <t>Las estrategias pueden variar entre estas u otras:
Trabajo directo
Clase magistral activa/Análisis o Estudio de casos/Resolución de problemas/Talleres prácticos
Trabajo independiente
Lecturas relacionadas o de materiales complementarios/Resolución de problemas/Ejercicios aplicados/Desarrollo de proyectos/Talleres grupales o individuales/Análisis o Estudio de casos/Elaboración de informes o documentos técnicos</t>
  </si>
  <si>
    <t>Las actividades varían entre las siguientes y otras que pueda considerar el profesor y funcionan como formativas o sumativas, según sea el caso.
Estudio de casos
Resolución de problemas
Desarrollo de proyectos
Talleres
Exposiciones
Pruebas escritas</t>
  </si>
  <si>
    <t xml:space="preserve">Las actividades varían entre las siguientes y otras que pueda considerar el profesor y funcionan como formativas o sumativas, según sea el caso.
Estudio de casos
Resolución de problemas
Desarrollo de proyectos
Talleres
Exposiciones
Pruebas escritas
</t>
  </si>
  <si>
    <t>Trabajo directo:
Ecuentros sincrónicos
Mensajería interna
Anuncios
Trabajo independiente:
Lecturas fundamentales y complementarias
Material de trabajo
Participación en foros</t>
  </si>
  <si>
    <t>Trabajo directo: 
Encuentros sincrónicos 
Mensajería interna 
Anuncios
Trabajo independiente: 
Lecturas fundamentales y complementarias 
Recursos de apoyo
Trabajo Colaborativo   
Foros de discusión grupal</t>
  </si>
  <si>
    <t>Trabajo directo:
Trabajo directo: 
Encuentros sincrónicos 
Mensajería interna 
Anuncios
Trabajo independiente: 
Lecturas fundamentales y complementarias 
Recursos de apoyo
Trabajo Colaborativo   
Foros de discusión grupal</t>
  </si>
  <si>
    <t>1. Evaluación diagnóstica escenario 1: Cuestionario inicial de mínimo cinco preguntas que recopila información sobre el conocimiento previo y las habilidades del estudiante.
2. Actividad formativa escenario 2: Foro individual o grupal, creado para que el estudiante participe activamente en la construcción de su conocimiento y desarrollo de habilidades. Varía entre una actividad entregable y la participación en un foro.
3. Actividad de entrega 1 escenario 4: Actividad individual o grupal, diseñada para evaluar de manera integral el nivel de conocimiento, comprensión y el desempeño de los indicadores de logro. Varía entre entregas independientes o secuenciales.
4. Actividad formativa escenario 5: Foro individual o grupal, creado para que el estudiante participe activamente en la construcción de su conocimiento y desarrollo de habilidades. Varía entre una actividad entregable y la participación en un foro.
5. Actividad evaluativa escenario 6: Cuestionario de, mínimo, cinco preguntas, que da cuenta del desarrollo total o parcial de los indicadores de logro y el desarrollo de los temas vistos hasta la unidad 3.
6. Actividad de entrega 2 escenario 7: Actividad individual o grupal, diseñada para evaluar de manera integral el nivel de conocimiento, comprensión y el desempeño de los indicadores de logro. Varía entre entregas independientes o secuenciales.
7. Autoevaluación escenario 8: Cuestionario final de mínimo cinco preguntas en el cual el estudiante reflexiona sobre su propio desempeño, habilidades y resultados en un contexto específico.</t>
  </si>
  <si>
    <t>Actividad de puntos evaluables (semana 2 – Cuestionario de 5 preguntas).
Entrega previa 1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t>
  </si>
  <si>
    <t xml:space="preserve">Evaluación diagnóstica (semana 1- Cuestionario inicial de, mínimo, cinco preguntas, que recopila información sobre el conocimiento previo o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 de entrega 1 (semana 4 - Actividad individual o grupal, diseñada para evaluar de manera integral el nivel de conocimiento, comprensión y el desempeño de los indicadores de logro. Varía entre entregas independientes o secuenciales).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Actividad de entrega 2 (semana 7 - Actividad individual o grupal, diseñada para evaluar de manera integral el nivel de conocimiento, comprensión y el desempeño de los indicadores de logro. Varía entre entregas independientes o secuenciales). 
Autoevaluación (semana 8 - Cuestionario final de, mínimo, cinco preguntas, en el cual el estudiante reflexiona sobre su propio desempeño, habilidades y resultados en un contexto específico). </t>
  </si>
  <si>
    <t>Evaluación diagnóstica (semana 1- Cuestionario inicial de, mínimo, cinco preguntas, que recopila información sobre el conocimiento previo o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 de entrega 1 (semana 4 - Actividad individual o grupal, diseñada para evaluar de manera integral el nivel de conocimiento, comprensión y el desempeño de los indicadores de logro. Varía entre entregas independientes o secuenciales). 
Actividad formativa (semana 5 - Foro individual o grupal, creado para que el estudiante participe activamente en la construcción de su conocimiento y desarrollo de habilidades. Varía entre una actividad entregable y la participación en un foro). 
Evaluación diagnóstica (semana 1- Cuestionario inicial de, mínimo, cinco preguntas, que recopila información sobre el conocimiento previo o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 de entrega 1 (semana 4 - Actividad individual o grupal, diseñada para evaluar de manera integral el nivel de conocimiento, comprensión y el desempeño de los indicadores de logro. Varía entre entregas independientes o secuenciales).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Actividad de entrega 2 (semana 7 - Actividad individual o grupal, diseñada para evaluar de manera integral el nivel de conocimiento, comprensión y el desempeño de los indicadores de logro. Varía entre entregas independientes o secuenciales).
Autoevaluación (semana 8 - Cuestionario final de, mínimo, cinco preguntas, en el cual el estudiante reflexiona sobre su propio desempeño, habilidades y resultados en un contexto específico).</t>
  </si>
  <si>
    <t>Evaluación diagnóstica (semana 1- Cuestionario inicial de, mínimo, cinco preguntas, que recopila información sobre el conocimiento previo o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 de entrega 1 (semana 4 - Actividad individual o grupal, diseñada para evaluar de manera integral el nivel de conocimiento, comprensión y el desempeño de los indicadores de logro. Varía entre entregas independientes o secuenciales).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Actividad de entrega 2 (semana 7 - Actividad individual o grupal, diseñada para evaluar de manera integral el nivel de conocimiento, comprensión y el desempeño de los indicadores de logro. Varía entre entregas independientes o secuenciales).
Autoevaluación (semana 8 - Cuestionario final de, mínimo, cinco preguntas, en el cual el estudiante reflexiona sobre su propio desempeño, habilidades y resultados en un contexto específico).</t>
  </si>
  <si>
    <t>Evaluación diagnóstica (semana 1- Cuestionario inicial de, mínimo, cinco preguntas, que recopila información sobre el conocimiento previo y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Actividades de entrega (semana 4 -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Examen final (semana 8 - Cuestionario de, mínimo, quince preguntas, que da cuenta del desarrollo total o parcial de los indicadores de logro y el desarrollo de los temas vistos en el módulo).
Autoevaluación (semana 8 - Cuestionario final de, mínimo, cinco preguntas, en el cual el estudiante reflexiona sobre su propio desempeño, habilidades y resultados en un contexto específico).</t>
  </si>
  <si>
    <t>1. Historia, principios generales y fuentes del derecho laboral 
2. Contrato de trabajo, jornada laboral, salario y prestaciones sociales
3. Acercamiento al derecho comercial  
4. Costumbre mercantil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</si>
</sst>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2"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2"/>
      <color rgb="FF000000"/>
      <name val="Tahoma"/>
      <family val="2"/>
    </font>
    <font>
      <sz val="14"/>
      <color theme="1"/>
      <name val="Gill Sans MT"/>
      <family val="2"/>
    </font>
    <font>
      <sz val="11"/>
      <color theme="1"/>
      <name val="Gill Sans MT"/>
      <family val="2"/>
    </font>
    <font>
      <sz val="11"/>
      <color rgb="FF000000"/>
      <name val="Gill Sans MT"/>
      <family val="2"/>
    </font>
    <font>
      <sz val="11"/>
      <name val="Calibri"/>
      <family val="2"/>
      <scheme val="minor"/>
    </font>
    <font>
      <sz val="11"/>
      <name val="Gill Sans MT"/>
      <family val="2"/>
    </font>
    <font>
      <sz val="8"/>
      <color theme="0"/>
      <name val="Gill Sans MT"/>
      <family val="2"/>
    </font>
    <font>
      <sz val="11"/>
      <color rgb="FF444444"/>
      <name val="Calibri"/>
      <family val="2"/>
      <charset val="1"/>
    </font>
    <font>
      <sz val="12"/>
      <color rgb="FF000000"/>
      <name val="Arial"/>
      <family val="2"/>
    </font>
    <font>
      <u/>
      <sz val="11"/>
      <color theme="10"/>
      <name val="Calibri"/>
      <family val="2"/>
      <scheme val="minor"/>
    </font>
    <font>
      <b/>
      <sz val="11"/>
      <color rgb="FF000000"/>
      <name val="Gill Sans MT"/>
      <family val="2"/>
    </font>
    <font>
      <sz val="8"/>
      <color rgb="FFFFFFFF"/>
      <name val="Gill Sans MT"/>
      <family val="2"/>
    </font>
    <font>
      <b/>
      <sz val="8"/>
      <color theme="0"/>
      <name val="Gill Sans MT"/>
      <family val="2"/>
    </font>
    <font>
      <b/>
      <sz val="11"/>
      <color rgb="FFFFFFFF"/>
      <name val="Gill Sans MT"/>
      <family val="2"/>
    </font>
    <font>
      <sz val="8"/>
      <color rgb="FF000000"/>
      <name val="Gill Sans MT"/>
      <family val="2"/>
    </font>
    <font>
      <sz val="8"/>
      <color theme="1"/>
      <name val="Gill Sans MT"/>
      <family val="2"/>
    </font>
    <font>
      <sz val="8"/>
      <name val="Gill Sans MT"/>
      <family val="2"/>
    </font>
    <font>
      <b/>
      <sz val="11"/>
      <color rgb="FFFF0000"/>
      <name val="Gill Sans MT"/>
      <family val="2"/>
    </font>
    <font>
      <sz val="10"/>
      <color theme="1"/>
      <name val="Gill Sans MT"/>
      <family val="2"/>
    </font>
    <font>
      <sz val="10"/>
      <color rgb="FF000000"/>
      <name val="Gill Sans MT"/>
      <family val="2"/>
    </font>
    <font>
      <b/>
      <sz val="10"/>
      <color rgb="FFFFFFFF"/>
      <name val="Gill Sans MT"/>
      <family val="2"/>
    </font>
    <font>
      <b/>
      <sz val="10"/>
      <color rgb="FF000000"/>
      <name val="Gill Sans MT"/>
      <family val="2"/>
    </font>
    <font>
      <b/>
      <sz val="10"/>
      <color theme="1"/>
      <name val="Gill Sans MT"/>
      <family val="2"/>
    </font>
    <font>
      <sz val="11"/>
      <color theme="1"/>
      <name val="Calibri"/>
      <family val="2"/>
      <scheme val="minor"/>
    </font>
  </fonts>
  <fills count="13">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7" tint="-0.249977111117893"/>
        <bgColor indexed="64"/>
      </patternFill>
    </fill>
    <fill>
      <patternFill patternType="solid">
        <fgColor theme="7" tint="0.79998168889431442"/>
        <bgColor indexed="64"/>
      </patternFill>
    </fill>
    <fill>
      <patternFill patternType="solid">
        <fgColor rgb="FFFFFF00"/>
        <bgColor indexed="64"/>
      </patternFill>
    </fill>
    <fill>
      <patternFill patternType="solid">
        <fgColor rgb="FF0F385A"/>
        <bgColor rgb="FF000000"/>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s>
  <borders count="24">
    <border>
      <left/>
      <right/>
      <top/>
      <bottom/>
      <diagonal/>
    </border>
    <border>
      <left style="thin">
        <color rgb="FF1FB2DE"/>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bottom style="medium">
        <color rgb="FF000000"/>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auto="1"/>
      </top>
      <bottom/>
      <diagonal/>
    </border>
    <border>
      <left style="thin">
        <color rgb="FF1FB2DE"/>
      </left>
      <right/>
      <top style="thin">
        <color auto="1"/>
      </top>
      <bottom/>
      <diagonal/>
    </border>
    <border>
      <left style="medium">
        <color rgb="FF505050"/>
      </left>
      <right style="thin">
        <color auto="1"/>
      </right>
      <top style="medium">
        <color rgb="FF505050"/>
      </top>
      <bottom style="thin">
        <color auto="1"/>
      </bottom>
      <diagonal/>
    </border>
    <border>
      <left style="thin">
        <color auto="1"/>
      </left>
      <right style="thin">
        <color auto="1"/>
      </right>
      <top style="medium">
        <color rgb="FF505050"/>
      </top>
      <bottom style="thin">
        <color auto="1"/>
      </bottom>
      <diagonal/>
    </border>
    <border>
      <left style="thin">
        <color auto="1"/>
      </left>
      <right style="medium">
        <color rgb="FF505050"/>
      </right>
      <top style="medium">
        <color rgb="FF505050"/>
      </top>
      <bottom style="thin">
        <color auto="1"/>
      </bottom>
      <diagonal/>
    </border>
    <border>
      <left style="medium">
        <color rgb="FF505050"/>
      </left>
      <right/>
      <top/>
      <bottom/>
      <diagonal/>
    </border>
    <border>
      <left/>
      <right style="medium">
        <color rgb="FF505050"/>
      </right>
      <top/>
      <bottom/>
      <diagonal/>
    </border>
    <border>
      <left style="medium">
        <color rgb="FF505050"/>
      </left>
      <right/>
      <top/>
      <bottom style="medium">
        <color rgb="FF505050"/>
      </bottom>
      <diagonal/>
    </border>
    <border>
      <left/>
      <right/>
      <top/>
      <bottom style="medium">
        <color rgb="FF505050"/>
      </bottom>
      <diagonal/>
    </border>
    <border>
      <left/>
      <right style="medium">
        <color rgb="FF505050"/>
      </right>
      <top/>
      <bottom style="medium">
        <color rgb="FF505050"/>
      </bottom>
      <diagonal/>
    </border>
    <border>
      <left style="thin">
        <color auto="1"/>
      </left>
      <right/>
      <top style="medium">
        <color rgb="FF505050"/>
      </top>
      <bottom style="thin">
        <color auto="1"/>
      </bottom>
      <diagonal/>
    </border>
    <border>
      <left/>
      <right/>
      <top style="medium">
        <color indexed="64"/>
      </top>
      <bottom/>
      <diagonal/>
    </border>
    <border>
      <left/>
      <right/>
      <top style="medium">
        <color indexed="64"/>
      </top>
      <bottom style="medium">
        <color indexed="64"/>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3">
    <xf numFmtId="0" fontId="0" fillId="0" borderId="0"/>
    <xf numFmtId="0" fontId="17" fillId="0" borderId="0" applyNumberFormat="0" applyFill="0" applyBorder="0" applyAlignment="0" applyProtection="0"/>
    <xf numFmtId="9" fontId="31" fillId="0" borderId="0" applyFont="0" applyFill="0" applyBorder="0" applyAlignment="0" applyProtection="0"/>
  </cellStyleXfs>
  <cellXfs count="181">
    <xf numFmtId="0" fontId="0" fillId="0" borderId="0" xfId="0"/>
    <xf numFmtId="0" fontId="3" fillId="0" borderId="0" xfId="0" applyFont="1"/>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8" fillId="0" borderId="0" xfId="0" applyFont="1" applyAlignment="1">
      <alignment horizontal="justify" vertical="center"/>
    </xf>
    <xf numFmtId="0" fontId="0" fillId="0" borderId="0" xfId="0" applyAlignment="1">
      <alignment vertical="center"/>
    </xf>
    <xf numFmtId="0" fontId="8" fillId="0" borderId="0" xfId="0" applyFont="1" applyAlignment="1">
      <alignment horizontal="justify" vertical="center" wrapText="1"/>
    </xf>
    <xf numFmtId="0" fontId="12" fillId="0" borderId="0" xfId="0" applyFont="1" applyAlignment="1">
      <alignment wrapText="1"/>
    </xf>
    <xf numFmtId="0" fontId="10" fillId="0" borderId="0" xfId="0" applyFont="1"/>
    <xf numFmtId="0" fontId="0" fillId="0" borderId="0" xfId="0" applyAlignment="1">
      <alignment horizontal="center" vertical="center"/>
    </xf>
    <xf numFmtId="0" fontId="3" fillId="0" borderId="0" xfId="0" applyFont="1" applyAlignment="1">
      <alignment horizontal="center"/>
    </xf>
    <xf numFmtId="0" fontId="11"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11" fillId="0" borderId="0" xfId="0" applyFont="1" applyAlignment="1">
      <alignment vertical="center"/>
    </xf>
    <xf numFmtId="0" fontId="11" fillId="5" borderId="3" xfId="0" applyFont="1" applyFill="1" applyBorder="1" applyAlignment="1">
      <alignment vertical="center"/>
    </xf>
    <xf numFmtId="0" fontId="3" fillId="5" borderId="3" xfId="0" applyFont="1" applyFill="1" applyBorder="1"/>
    <xf numFmtId="0" fontId="11" fillId="0" borderId="3" xfId="0" applyFont="1" applyBorder="1" applyAlignment="1">
      <alignment vertical="center"/>
    </xf>
    <xf numFmtId="0" fontId="3" fillId="0" borderId="3" xfId="0" applyFont="1" applyBorder="1"/>
    <xf numFmtId="0" fontId="11" fillId="5" borderId="4" xfId="0" applyFont="1" applyFill="1" applyBorder="1" applyAlignment="1">
      <alignment vertical="center"/>
    </xf>
    <xf numFmtId="0" fontId="3" fillId="5" borderId="4" xfId="0" applyFont="1" applyFill="1" applyBorder="1"/>
    <xf numFmtId="0" fontId="3" fillId="0" borderId="4" xfId="0" applyFont="1" applyBorder="1"/>
    <xf numFmtId="0" fontId="0" fillId="0" borderId="0" xfId="0" applyAlignment="1">
      <alignment horizontal="left" vertical="center"/>
    </xf>
    <xf numFmtId="0" fontId="0" fillId="0" borderId="0" xfId="0" applyAlignment="1">
      <alignment horizontal="left" vertical="center" wrapText="1"/>
    </xf>
    <xf numFmtId="0" fontId="9" fillId="0" borderId="0" xfId="0" applyFont="1" applyAlignment="1">
      <alignment vertical="center" wrapText="1"/>
    </xf>
    <xf numFmtId="0" fontId="3" fillId="0" borderId="0" xfId="0" applyFont="1" applyAlignment="1">
      <alignment horizontal="center" wrapText="1"/>
    </xf>
    <xf numFmtId="0" fontId="16" fillId="0" borderId="0" xfId="0" applyFont="1" applyAlignment="1">
      <alignment horizontal="center" vertical="center" wrapText="1"/>
    </xf>
    <xf numFmtId="0" fontId="11" fillId="0" borderId="0" xfId="0" applyFont="1" applyAlignment="1">
      <alignment horizontal="center" vertical="center" wrapText="1"/>
    </xf>
    <xf numFmtId="0" fontId="15"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vertical="center" wrapText="1"/>
    </xf>
    <xf numFmtId="0" fontId="14" fillId="0" borderId="0" xfId="0" applyFont="1" applyAlignment="1">
      <alignment horizontal="center" vertical="center" wrapText="1"/>
    </xf>
    <xf numFmtId="0" fontId="22" fillId="10" borderId="2" xfId="0" applyFont="1" applyFill="1" applyBorder="1" applyAlignment="1">
      <alignment horizontal="center" vertical="center" wrapText="1"/>
    </xf>
    <xf numFmtId="0" fontId="22" fillId="11" borderId="2"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23" fillId="0" borderId="0" xfId="0" applyFont="1" applyAlignment="1">
      <alignment horizontal="center" vertical="center" wrapText="1"/>
    </xf>
    <xf numFmtId="0" fontId="4" fillId="2" borderId="2" xfId="0" applyFont="1" applyFill="1" applyBorder="1" applyAlignment="1">
      <alignment horizontal="center" vertical="center" wrapText="1"/>
    </xf>
    <xf numFmtId="0" fontId="7" fillId="0" borderId="0" xfId="0" applyFont="1" applyAlignment="1">
      <alignment wrapText="1"/>
    </xf>
    <xf numFmtId="0" fontId="3" fillId="0" borderId="5" xfId="0" applyFont="1" applyBorder="1" applyAlignment="1">
      <alignment horizontal="center" vertical="center" wrapText="1"/>
    </xf>
    <xf numFmtId="0" fontId="3" fillId="0" borderId="5" xfId="0" applyFont="1" applyBorder="1" applyAlignment="1">
      <alignment horizontal="left" vertical="center" wrapText="1"/>
    </xf>
    <xf numFmtId="0" fontId="19" fillId="9" borderId="0" xfId="0" applyFont="1" applyFill="1" applyAlignment="1">
      <alignment horizontal="center" vertical="center" wrapText="1"/>
    </xf>
    <xf numFmtId="0" fontId="22" fillId="0" borderId="0" xfId="0" applyFont="1" applyAlignment="1">
      <alignment horizontal="left" vertical="center" wrapText="1"/>
    </xf>
    <xf numFmtId="0" fontId="21"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11" fillId="0" borderId="0" xfId="0" applyFont="1"/>
    <xf numFmtId="0" fontId="4" fillId="2" borderId="6" xfId="0" applyFont="1" applyFill="1" applyBorder="1" applyAlignment="1">
      <alignment horizontal="center" vertical="center" wrapText="1"/>
    </xf>
    <xf numFmtId="0" fontId="22" fillId="11" borderId="0" xfId="0" applyFont="1" applyFill="1" applyAlignment="1">
      <alignment horizontal="center" vertical="center" wrapText="1"/>
    </xf>
    <xf numFmtId="0" fontId="24" fillId="11" borderId="0" xfId="0" applyFont="1" applyFill="1" applyAlignment="1">
      <alignment horizontal="center" vertical="center" wrapText="1"/>
    </xf>
    <xf numFmtId="0" fontId="6" fillId="11" borderId="0" xfId="0" applyFont="1" applyFill="1" applyAlignment="1">
      <alignment horizontal="center" vertical="center" wrapText="1"/>
    </xf>
    <xf numFmtId="0" fontId="11" fillId="0" borderId="0" xfId="0" applyFont="1" applyAlignment="1">
      <alignment wrapText="1"/>
    </xf>
    <xf numFmtId="0" fontId="3" fillId="0" borderId="5" xfId="0" applyFont="1" applyBorder="1" applyAlignment="1">
      <alignment vertical="center" wrapText="1"/>
    </xf>
    <xf numFmtId="0" fontId="0" fillId="0" borderId="5" xfId="0" applyBorder="1" applyAlignment="1">
      <alignment vertical="center"/>
    </xf>
    <xf numFmtId="0" fontId="13" fillId="0" borderId="0" xfId="0" applyFont="1" applyAlignment="1">
      <alignment horizontal="left" vertical="center" wrapText="1"/>
    </xf>
    <xf numFmtId="0" fontId="21" fillId="9" borderId="0" xfId="0" applyFont="1" applyFill="1" applyAlignment="1">
      <alignment horizontal="center" vertical="center" wrapText="1"/>
    </xf>
    <xf numFmtId="0" fontId="18" fillId="10" borderId="2" xfId="0" applyFont="1" applyFill="1" applyBorder="1" applyAlignment="1">
      <alignment horizontal="center" vertical="center" wrapText="1"/>
    </xf>
    <xf numFmtId="0" fontId="18" fillId="11" borderId="2" xfId="0" applyFont="1" applyFill="1" applyBorder="1" applyAlignment="1">
      <alignment horizontal="center" vertical="center" wrapText="1"/>
    </xf>
    <xf numFmtId="0" fontId="21" fillId="9" borderId="9" xfId="0" applyFont="1" applyFill="1" applyBorder="1" applyAlignment="1">
      <alignment horizontal="center" vertical="center" wrapText="1"/>
    </xf>
    <xf numFmtId="0" fontId="18" fillId="11" borderId="0" xfId="0" applyFont="1" applyFill="1" applyAlignment="1">
      <alignment horizontal="center" vertical="center" wrapText="1"/>
    </xf>
    <xf numFmtId="0" fontId="18" fillId="0" borderId="0" xfId="0" applyFont="1" applyAlignment="1">
      <alignment horizontal="left" vertical="center" wrapText="1"/>
    </xf>
    <xf numFmtId="0" fontId="3" fillId="0" borderId="13" xfId="0" applyFont="1" applyBorder="1"/>
    <xf numFmtId="0" fontId="3" fillId="0" borderId="14" xfId="0" applyFont="1" applyBorder="1"/>
    <xf numFmtId="0" fontId="7" fillId="0" borderId="0" xfId="0" applyFont="1"/>
    <xf numFmtId="0" fontId="7" fillId="8" borderId="0" xfId="0" applyFont="1" applyFill="1"/>
    <xf numFmtId="0" fontId="7" fillId="0" borderId="13" xfId="0" applyFont="1" applyBorder="1"/>
    <xf numFmtId="0" fontId="7" fillId="0" borderId="14" xfId="0" applyFont="1" applyBorder="1"/>
    <xf numFmtId="0" fontId="3" fillId="0" borderId="15" xfId="0" applyFont="1" applyBorder="1"/>
    <xf numFmtId="0" fontId="3" fillId="0" borderId="16" xfId="0" applyFont="1" applyBorder="1"/>
    <xf numFmtId="0" fontId="3" fillId="0" borderId="17" xfId="0" applyFont="1" applyBorder="1"/>
    <xf numFmtId="0" fontId="3" fillId="6" borderId="0" xfId="0" applyFont="1" applyFill="1"/>
    <xf numFmtId="0" fontId="7" fillId="8" borderId="13" xfId="0" applyFont="1" applyFill="1" applyBorder="1"/>
    <xf numFmtId="0" fontId="3" fillId="7" borderId="0" xfId="0" applyFont="1" applyFill="1"/>
    <xf numFmtId="0" fontId="7" fillId="6" borderId="0" xfId="0" applyFont="1" applyFill="1"/>
    <xf numFmtId="0" fontId="25" fillId="8" borderId="0" xfId="0" applyFont="1" applyFill="1"/>
    <xf numFmtId="0" fontId="7" fillId="8" borderId="14" xfId="0" applyFont="1" applyFill="1" applyBorder="1"/>
    <xf numFmtId="0" fontId="11" fillId="0" borderId="0" xfId="0" applyFont="1" applyAlignment="1">
      <alignment horizontal="left" vertical="center" wrapText="1"/>
    </xf>
    <xf numFmtId="0" fontId="19" fillId="9" borderId="2" xfId="0" applyFont="1" applyFill="1" applyBorder="1" applyAlignment="1">
      <alignment horizontal="center" vertical="center" wrapText="1"/>
    </xf>
    <xf numFmtId="0" fontId="24" fillId="11" borderId="2" xfId="0" applyFont="1" applyFill="1" applyBorder="1" applyAlignment="1">
      <alignment horizontal="center" vertical="center" wrapText="1"/>
    </xf>
    <xf numFmtId="0" fontId="23" fillId="0" borderId="0" xfId="0" applyFont="1" applyAlignment="1">
      <alignment horizontal="left" vertical="center" wrapText="1"/>
    </xf>
    <xf numFmtId="0" fontId="21" fillId="9" borderId="2" xfId="0" applyFont="1" applyFill="1" applyBorder="1" applyAlignment="1">
      <alignment horizontal="center" vertical="center" wrapText="1"/>
    </xf>
    <xf numFmtId="0" fontId="6" fillId="11" borderId="2" xfId="0" applyFont="1" applyFill="1" applyBorder="1" applyAlignment="1">
      <alignment horizontal="center" vertical="center" wrapText="1"/>
    </xf>
    <xf numFmtId="0" fontId="7" fillId="0" borderId="0" xfId="0" applyFont="1" applyAlignment="1">
      <alignment horizontal="left" vertical="center" wrapText="1"/>
    </xf>
    <xf numFmtId="0" fontId="3" fillId="0" borderId="7" xfId="0" applyFont="1" applyBorder="1" applyAlignment="1">
      <alignment horizontal="left" vertical="center" wrapText="1"/>
    </xf>
    <xf numFmtId="0" fontId="3" fillId="0" borderId="7" xfId="0" applyFont="1" applyBorder="1" applyAlignment="1">
      <alignment horizontal="center" vertical="center" wrapText="1"/>
    </xf>
    <xf numFmtId="0" fontId="0" fillId="0" borderId="7" xfId="0" applyBorder="1" applyAlignment="1">
      <alignment vertical="center"/>
    </xf>
    <xf numFmtId="0" fontId="12" fillId="0" borderId="0" xfId="0" applyFont="1" applyAlignment="1">
      <alignment vertical="center" wrapText="1"/>
    </xf>
    <xf numFmtId="0" fontId="3" fillId="0" borderId="0" xfId="0" applyFont="1" applyAlignment="1">
      <alignment vertical="center"/>
    </xf>
    <xf numFmtId="0" fontId="13" fillId="0" borderId="8" xfId="0" applyFont="1" applyBorder="1" applyAlignment="1">
      <alignment horizontal="left" vertical="center" wrapText="1"/>
    </xf>
    <xf numFmtId="0" fontId="11" fillId="0" borderId="8" xfId="0" applyFont="1" applyBorder="1" applyAlignment="1">
      <alignment vertical="center" wrapText="1"/>
    </xf>
    <xf numFmtId="0" fontId="11" fillId="0" borderId="7" xfId="0" applyFont="1" applyBorder="1" applyAlignment="1">
      <alignment vertical="center" wrapText="1"/>
    </xf>
    <xf numFmtId="0" fontId="13" fillId="0" borderId="7" xfId="0" applyFont="1" applyBorder="1" applyAlignment="1">
      <alignment horizontal="left" vertical="center" wrapText="1"/>
    </xf>
    <xf numFmtId="0" fontId="11" fillId="0" borderId="7" xfId="0" applyFont="1" applyBorder="1" applyAlignment="1">
      <alignment horizontal="left" vertical="center" wrapText="1"/>
    </xf>
    <xf numFmtId="0" fontId="13" fillId="0" borderId="19" xfId="0" applyFont="1" applyBorder="1" applyAlignment="1">
      <alignment horizontal="left" vertical="center" wrapText="1"/>
    </xf>
    <xf numFmtId="0" fontId="11" fillId="0" borderId="19" xfId="0" applyFont="1" applyBorder="1" applyAlignment="1">
      <alignment vertical="center" wrapText="1"/>
    </xf>
    <xf numFmtId="0" fontId="3" fillId="0" borderId="0" xfId="0" applyFont="1" applyAlignment="1">
      <alignment horizontal="left" vertical="center"/>
    </xf>
    <xf numFmtId="0" fontId="3" fillId="0" borderId="7" xfId="0" applyFont="1" applyBorder="1" applyAlignment="1">
      <alignment horizontal="left" vertical="center"/>
    </xf>
    <xf numFmtId="0" fontId="11" fillId="0" borderId="19" xfId="0" applyFont="1" applyBorder="1" applyAlignment="1">
      <alignment horizontal="left" vertical="center" wrapText="1"/>
    </xf>
    <xf numFmtId="0" fontId="11" fillId="0" borderId="5" xfId="0" applyFont="1" applyBorder="1" applyAlignment="1">
      <alignment vertical="center" wrapText="1"/>
    </xf>
    <xf numFmtId="0" fontId="13" fillId="0" borderId="5" xfId="0" applyFont="1" applyBorder="1" applyAlignment="1">
      <alignment horizontal="left" vertical="center" wrapText="1"/>
    </xf>
    <xf numFmtId="0" fontId="3" fillId="7" borderId="20" xfId="0" applyFont="1" applyFill="1" applyBorder="1" applyAlignment="1">
      <alignment horizontal="left" vertical="center" wrapText="1"/>
    </xf>
    <xf numFmtId="0" fontId="3" fillId="7" borderId="20" xfId="0" applyFont="1" applyFill="1" applyBorder="1" applyAlignment="1">
      <alignment horizontal="center" vertical="center" wrapText="1"/>
    </xf>
    <xf numFmtId="0" fontId="11" fillId="7" borderId="20" xfId="0" applyFont="1" applyFill="1" applyBorder="1" applyAlignment="1">
      <alignment horizontal="center" vertical="center" wrapText="1"/>
    </xf>
    <xf numFmtId="0" fontId="11" fillId="7" borderId="20" xfId="0" applyFont="1" applyFill="1" applyBorder="1" applyAlignment="1">
      <alignment horizontal="left" vertical="center" wrapText="1"/>
    </xf>
    <xf numFmtId="0" fontId="3" fillId="7" borderId="20" xfId="0" applyFont="1" applyFill="1" applyBorder="1" applyAlignment="1">
      <alignment horizontal="center" vertical="center"/>
    </xf>
    <xf numFmtId="49" fontId="3" fillId="7" borderId="20" xfId="0" applyNumberFormat="1" applyFont="1" applyFill="1" applyBorder="1" applyAlignment="1">
      <alignment horizontal="left" vertical="center" wrapText="1"/>
    </xf>
    <xf numFmtId="0" fontId="11" fillId="12" borderId="20" xfId="0" applyFont="1" applyFill="1" applyBorder="1" applyAlignment="1">
      <alignment horizontal="left" vertical="center" wrapText="1"/>
    </xf>
    <xf numFmtId="0" fontId="19" fillId="0" borderId="0" xfId="0" applyFont="1" applyAlignment="1">
      <alignment horizontal="center" vertical="center" wrapText="1"/>
    </xf>
    <xf numFmtId="0" fontId="21" fillId="0" borderId="0" xfId="0" applyFont="1" applyAlignment="1">
      <alignment horizontal="center" vertical="center" wrapText="1"/>
    </xf>
    <xf numFmtId="0" fontId="3" fillId="0" borderId="19" xfId="0" applyFont="1" applyBorder="1" applyAlignment="1">
      <alignment horizontal="left" vertical="center"/>
    </xf>
    <xf numFmtId="0" fontId="3" fillId="12" borderId="20" xfId="0" applyFont="1" applyFill="1" applyBorder="1" applyAlignment="1">
      <alignment horizontal="left" vertical="center"/>
    </xf>
    <xf numFmtId="0" fontId="3" fillId="12" borderId="20" xfId="0" applyFont="1" applyFill="1" applyBorder="1" applyAlignment="1">
      <alignment horizontal="center" vertical="center"/>
    </xf>
    <xf numFmtId="0" fontId="3" fillId="12" borderId="20" xfId="0" applyFont="1" applyFill="1" applyBorder="1" applyAlignment="1">
      <alignment horizontal="center" vertical="center" wrapText="1"/>
    </xf>
    <xf numFmtId="0" fontId="3" fillId="12" borderId="20" xfId="0" applyFont="1" applyFill="1" applyBorder="1" applyAlignment="1">
      <alignment horizontal="left" vertical="center" wrapText="1"/>
    </xf>
    <xf numFmtId="0" fontId="11" fillId="12" borderId="20" xfId="0" applyFont="1" applyFill="1" applyBorder="1" applyAlignment="1">
      <alignment horizontal="center" vertical="center"/>
    </xf>
    <xf numFmtId="0" fontId="26" fillId="0" borderId="0" xfId="0" applyFont="1" applyAlignment="1">
      <alignment horizontal="left" vertical="center"/>
    </xf>
    <xf numFmtId="0" fontId="27" fillId="0" borderId="0" xfId="0" applyFont="1" applyAlignment="1">
      <alignment horizontal="left" vertical="center" wrapText="1"/>
    </xf>
    <xf numFmtId="0" fontId="26" fillId="0" borderId="0" xfId="0" applyFont="1" applyAlignment="1">
      <alignment horizontal="center" vertical="center"/>
    </xf>
    <xf numFmtId="0" fontId="26" fillId="0" borderId="0" xfId="0" applyFont="1" applyAlignment="1">
      <alignment horizontal="left" vertical="center" wrapText="1"/>
    </xf>
    <xf numFmtId="0" fontId="26" fillId="0" borderId="0" xfId="0" applyFont="1" applyAlignment="1">
      <alignment horizontal="center" vertical="center" wrapText="1"/>
    </xf>
    <xf numFmtId="0" fontId="28" fillId="9" borderId="21" xfId="0" applyFont="1" applyFill="1" applyBorder="1" applyAlignment="1">
      <alignment horizontal="center" vertical="center" wrapText="1"/>
    </xf>
    <xf numFmtId="0" fontId="28" fillId="9" borderId="2" xfId="0" applyFont="1" applyFill="1" applyBorder="1" applyAlignment="1">
      <alignment horizontal="center" vertical="center" wrapText="1"/>
    </xf>
    <xf numFmtId="0" fontId="26" fillId="0" borderId="0" xfId="0" applyFont="1"/>
    <xf numFmtId="0" fontId="24" fillId="0" borderId="0" xfId="0" applyFont="1" applyAlignment="1">
      <alignment horizontal="center" vertical="center" wrapText="1"/>
    </xf>
    <xf numFmtId="0" fontId="22" fillId="0" borderId="0" xfId="0" applyFont="1" applyAlignment="1">
      <alignment horizontal="center" vertical="center" wrapText="1"/>
    </xf>
    <xf numFmtId="0" fontId="13" fillId="0" borderId="0" xfId="0" applyFont="1" applyAlignment="1">
      <alignment vertical="center" wrapText="1"/>
    </xf>
    <xf numFmtId="0" fontId="6" fillId="3" borderId="6" xfId="0" applyFont="1" applyFill="1" applyBorder="1" applyAlignment="1">
      <alignment horizontal="center" vertical="center" wrapText="1"/>
    </xf>
    <xf numFmtId="0" fontId="3" fillId="0" borderId="8" xfId="0" applyFont="1" applyBorder="1" applyAlignment="1">
      <alignment vertical="center" wrapText="1"/>
    </xf>
    <xf numFmtId="0" fontId="11" fillId="12" borderId="20" xfId="0" applyFont="1" applyFill="1" applyBorder="1" applyAlignment="1">
      <alignment horizontal="center" vertical="center" wrapText="1"/>
    </xf>
    <xf numFmtId="0" fontId="3" fillId="12" borderId="19" xfId="0" applyFont="1" applyFill="1" applyBorder="1" applyAlignment="1">
      <alignment horizontal="center" vertical="center"/>
    </xf>
    <xf numFmtId="0" fontId="29" fillId="0" borderId="0" xfId="0" applyFont="1" applyAlignment="1">
      <alignment horizontal="center" vertical="center" wrapText="1"/>
    </xf>
    <xf numFmtId="9" fontId="26" fillId="0" borderId="0" xfId="2" applyFont="1" applyAlignment="1">
      <alignment horizontal="center" vertical="center"/>
    </xf>
    <xf numFmtId="0" fontId="11" fillId="0" borderId="7" xfId="0" applyFont="1" applyBorder="1" applyAlignment="1">
      <alignment horizontal="center" vertical="center" wrapText="1"/>
    </xf>
    <xf numFmtId="0" fontId="11" fillId="0" borderId="0" xfId="0" applyFont="1" applyAlignment="1">
      <alignment horizontal="justify" vertical="center"/>
    </xf>
    <xf numFmtId="0" fontId="13" fillId="7" borderId="20" xfId="0" applyFont="1" applyFill="1" applyBorder="1" applyAlignment="1">
      <alignment horizontal="center" vertical="center" wrapText="1"/>
    </xf>
    <xf numFmtId="0" fontId="27" fillId="0" borderId="0" xfId="0" applyFont="1" applyAlignment="1">
      <alignment horizontal="center" vertical="center" wrapText="1"/>
    </xf>
    <xf numFmtId="0" fontId="30" fillId="0" borderId="0" xfId="0" applyFont="1" applyAlignment="1">
      <alignment horizontal="center" vertical="center"/>
    </xf>
    <xf numFmtId="0" fontId="3" fillId="0" borderId="19" xfId="0" applyFont="1" applyBorder="1" applyAlignment="1">
      <alignment horizontal="left" vertical="center" wrapText="1"/>
    </xf>
    <xf numFmtId="0" fontId="3" fillId="0" borderId="0" xfId="0" applyFont="1" applyAlignment="1">
      <alignment horizontal="left" vertical="center" wrapText="1"/>
    </xf>
    <xf numFmtId="0" fontId="3" fillId="0" borderId="19" xfId="0" applyFont="1" applyBorder="1" applyAlignment="1">
      <alignment horizontal="center" vertical="center" wrapText="1"/>
    </xf>
    <xf numFmtId="0" fontId="3" fillId="0" borderId="0" xfId="0" applyFont="1" applyAlignment="1">
      <alignment horizontal="center" vertical="center" wrapText="1"/>
    </xf>
    <xf numFmtId="0" fontId="3" fillId="0" borderId="7" xfId="0" applyFont="1" applyBorder="1" applyAlignment="1">
      <alignment horizontal="center" vertical="center" wrapText="1"/>
    </xf>
    <xf numFmtId="0" fontId="11" fillId="0" borderId="19" xfId="0" applyFont="1" applyBorder="1" applyAlignment="1">
      <alignment horizontal="left" vertical="center" wrapText="1"/>
    </xf>
    <xf numFmtId="0" fontId="11" fillId="0" borderId="0" xfId="0" applyFont="1" applyAlignment="1">
      <alignment horizontal="left" vertical="center" wrapText="1"/>
    </xf>
    <xf numFmtId="0" fontId="11" fillId="0" borderId="19" xfId="0" applyFont="1" applyBorder="1" applyAlignment="1">
      <alignment horizontal="center" vertical="center" wrapText="1"/>
    </xf>
    <xf numFmtId="0" fontId="11" fillId="0" borderId="0" xfId="0" applyFont="1" applyAlignment="1">
      <alignment horizontal="center" vertical="center" wrapText="1"/>
    </xf>
    <xf numFmtId="0" fontId="11" fillId="0" borderId="7" xfId="0" applyFont="1" applyBorder="1" applyAlignment="1">
      <alignment horizontal="center" vertical="center" wrapText="1"/>
    </xf>
    <xf numFmtId="0" fontId="19" fillId="9" borderId="22" xfId="0" applyFont="1" applyFill="1" applyBorder="1" applyAlignment="1">
      <alignment horizontal="center" vertical="center" wrapText="1"/>
    </xf>
    <xf numFmtId="0" fontId="19" fillId="9" borderId="23" xfId="0" applyFont="1" applyFill="1" applyBorder="1" applyAlignment="1">
      <alignment horizontal="center" vertical="center" wrapText="1"/>
    </xf>
    <xf numFmtId="0" fontId="19" fillId="9" borderId="2" xfId="0" applyFont="1" applyFill="1" applyBorder="1" applyAlignment="1">
      <alignment horizontal="center" vertical="center" wrapText="1"/>
    </xf>
    <xf numFmtId="0" fontId="3" fillId="0" borderId="7" xfId="0" applyFont="1" applyBorder="1" applyAlignment="1">
      <alignment horizontal="left" vertical="center" wrapText="1"/>
    </xf>
    <xf numFmtId="0" fontId="11" fillId="0" borderId="0" xfId="0" applyFont="1" applyAlignment="1">
      <alignment horizontal="center" vertical="center"/>
    </xf>
    <xf numFmtId="0" fontId="11" fillId="0" borderId="7" xfId="0" applyFont="1" applyBorder="1" applyAlignment="1">
      <alignment horizontal="center" vertical="center"/>
    </xf>
    <xf numFmtId="0" fontId="11" fillId="0" borderId="7" xfId="0" applyFont="1" applyBorder="1" applyAlignment="1">
      <alignment horizontal="left" vertical="center" wrapText="1"/>
    </xf>
    <xf numFmtId="0" fontId="11" fillId="0" borderId="19" xfId="0" applyFont="1" applyBorder="1" applyAlignment="1">
      <alignment horizontal="center" vertical="center"/>
    </xf>
    <xf numFmtId="0" fontId="3" fillId="0" borderId="8" xfId="0" applyFont="1" applyBorder="1" applyAlignment="1">
      <alignment horizontal="center" vertical="center" wrapText="1"/>
    </xf>
    <xf numFmtId="0" fontId="14" fillId="2" borderId="2" xfId="0" applyFont="1" applyFill="1" applyBorder="1" applyAlignment="1">
      <alignment horizontal="center" vertical="center" wrapText="1"/>
    </xf>
    <xf numFmtId="0" fontId="3" fillId="0" borderId="8" xfId="0" applyFont="1" applyBorder="1" applyAlignment="1">
      <alignment horizontal="left" vertical="center" wrapText="1"/>
    </xf>
    <xf numFmtId="0" fontId="21" fillId="9" borderId="1" xfId="0" applyFont="1" applyFill="1" applyBorder="1" applyAlignment="1">
      <alignment horizontal="center" vertical="center" wrapText="1"/>
    </xf>
    <xf numFmtId="0" fontId="21" fillId="9" borderId="0" xfId="0" applyFont="1" applyFill="1" applyAlignment="1">
      <alignment horizontal="center" vertical="center" wrapText="1"/>
    </xf>
    <xf numFmtId="0" fontId="11" fillId="0" borderId="5" xfId="0" applyFont="1" applyBorder="1" applyAlignment="1">
      <alignment horizontal="center" vertical="center" wrapText="1"/>
    </xf>
    <xf numFmtId="0" fontId="11" fillId="0" borderId="8" xfId="0" applyFont="1" applyBorder="1" applyAlignment="1">
      <alignment horizontal="center" vertical="center" wrapText="1"/>
    </xf>
    <xf numFmtId="0" fontId="13" fillId="0" borderId="8" xfId="0" applyFont="1" applyBorder="1" applyAlignment="1">
      <alignment horizontal="left" vertical="center" wrapText="1"/>
    </xf>
    <xf numFmtId="0" fontId="13" fillId="0" borderId="0" xfId="0" applyFont="1" applyAlignment="1">
      <alignment horizontal="left" vertical="center" wrapText="1"/>
    </xf>
    <xf numFmtId="0" fontId="13" fillId="0" borderId="7" xfId="0" applyFont="1" applyBorder="1" applyAlignment="1">
      <alignment horizontal="left" vertical="center" wrapText="1"/>
    </xf>
    <xf numFmtId="0" fontId="13" fillId="0" borderId="8" xfId="0" applyFont="1" applyBorder="1" applyAlignment="1">
      <alignment horizontal="center" vertical="center" wrapText="1"/>
    </xf>
    <xf numFmtId="0" fontId="13" fillId="0" borderId="0" xfId="0" applyFont="1" applyAlignment="1">
      <alignment horizontal="center" vertical="center" wrapText="1"/>
    </xf>
    <xf numFmtId="0" fontId="13" fillId="0" borderId="7" xfId="0" applyFont="1" applyBorder="1" applyAlignment="1">
      <alignment horizontal="center" vertical="center" wrapText="1"/>
    </xf>
    <xf numFmtId="0" fontId="13" fillId="0" borderId="19" xfId="0" applyFont="1" applyBorder="1" applyAlignment="1">
      <alignment horizontal="left" vertical="center" wrapText="1"/>
    </xf>
    <xf numFmtId="0" fontId="13" fillId="0" borderId="19" xfId="0" applyFont="1" applyBorder="1" applyAlignment="1">
      <alignment horizontal="center" vertical="center" wrapText="1"/>
    </xf>
    <xf numFmtId="0" fontId="3" fillId="0" borderId="0" xfId="0" applyFont="1" applyAlignment="1">
      <alignment horizontal="center"/>
    </xf>
    <xf numFmtId="0" fontId="5" fillId="4" borderId="10" xfId="0" applyFont="1" applyFill="1" applyBorder="1" applyAlignment="1">
      <alignment horizontal="center"/>
    </xf>
    <xf numFmtId="0" fontId="5" fillId="4" borderId="11" xfId="0" applyFont="1" applyFill="1" applyBorder="1" applyAlignment="1">
      <alignment horizontal="center"/>
    </xf>
    <xf numFmtId="0" fontId="5" fillId="4" borderId="18" xfId="0" applyFont="1" applyFill="1" applyBorder="1" applyAlignment="1">
      <alignment horizontal="center"/>
    </xf>
    <xf numFmtId="0" fontId="4" fillId="4" borderId="10" xfId="0" applyFont="1" applyFill="1" applyBorder="1" applyAlignment="1">
      <alignment horizontal="center"/>
    </xf>
    <xf numFmtId="0" fontId="4" fillId="4" borderId="11" xfId="0" applyFont="1" applyFill="1" applyBorder="1" applyAlignment="1">
      <alignment horizontal="center"/>
    </xf>
    <xf numFmtId="0" fontId="4" fillId="4" borderId="18" xfId="0" applyFont="1" applyFill="1" applyBorder="1" applyAlignment="1">
      <alignment horizontal="center"/>
    </xf>
    <xf numFmtId="0" fontId="4" fillId="4" borderId="12" xfId="0" applyFont="1" applyFill="1" applyBorder="1" applyAlignment="1">
      <alignment horizontal="center"/>
    </xf>
  </cellXfs>
  <cellStyles count="3">
    <cellStyle name="Hyperlink" xfId="1" xr:uid="{00000000-000B-0000-0000-000008000000}"/>
    <cellStyle name="Normal" xfId="0" builtinId="0"/>
    <cellStyle name="Porcentaje" xfId="2" builtinId="5"/>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62A7F4C-394D-4A63-8C31-6F5A9FA00CF6}" name="VerbCompetencias" displayName="VerbCompetencias" ref="B1:B40" totalsRowShown="0" headerRowDxfId="148" dataDxfId="147">
  <autoFilter ref="B1:B40" xr:uid="{362A7F4C-394D-4A63-8C31-6F5A9FA00CF6}"/>
  <sortState xmlns:xlrd2="http://schemas.microsoft.com/office/spreadsheetml/2017/richdata2" ref="B2:B35">
    <sortCondition ref="B2:B36"/>
  </sortState>
  <tableColumns count="1">
    <tableColumn id="1" xr3:uid="{C53878DF-DD9D-4BBB-AA09-333631D819CF}"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3FC897C-51A8-40FA-8A6D-16607E1D9337}" name="Taxonomías" displayName="Taxonomías" ref="A3:A7" totalsRowShown="0" headerRowDxfId="145" dataDxfId="144">
  <autoFilter ref="A3:A7" xr:uid="{A3FC897C-51A8-40FA-8A6D-16607E1D9337}"/>
  <tableColumns count="1">
    <tableColumn id="1" xr3:uid="{9C710A73-5A6C-4D74-8D35-0922144756C8}"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86ADC35-7E11-47CD-8C4E-82C0161878CB}" name="RecordarLK" displayName="RecordarLK" ref="AL4:AL32" totalsRowShown="0" headerRowDxfId="142" dataDxfId="141">
  <autoFilter ref="AL4:AL32" xr:uid="{A86ADC35-7E11-47CD-8C4E-82C0161878CB}"/>
  <sortState xmlns:xlrd2="http://schemas.microsoft.com/office/spreadsheetml/2017/richdata2" ref="AL5:AL32">
    <sortCondition ref="AL5:AL32"/>
  </sortState>
  <tableColumns count="1">
    <tableColumn id="1" xr3:uid="{F7B2547F-39DF-4AD1-9376-DD71A4B15A3A}"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C141AD-DB0A-405B-97B0-CD0559E3B18F}" name="ComprenderLK" displayName="ComprenderLK" ref="AM4:AM28" totalsRowShown="0" headerRowDxfId="139" dataDxfId="138">
  <autoFilter ref="AM4:AM28" xr:uid="{E7C141AD-DB0A-405B-97B0-CD0559E3B18F}"/>
  <sortState xmlns:xlrd2="http://schemas.microsoft.com/office/spreadsheetml/2017/richdata2" ref="AM5:AM28">
    <sortCondition ref="AM5:AM28"/>
  </sortState>
  <tableColumns count="1">
    <tableColumn id="1" xr3:uid="{E2F2B0BD-0E45-4150-BBD9-45A498927A6E}"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111ABA6-04F8-4D19-92A4-BCB2EC5874FA}" name="AplicarLK" displayName="AplicarLK" ref="AN4:AN31" totalsRowShown="0" headerRowDxfId="136" dataDxfId="135">
  <autoFilter ref="AN4:AN31" xr:uid="{2111ABA6-04F8-4D19-92A4-BCB2EC5874FA}"/>
  <sortState xmlns:xlrd2="http://schemas.microsoft.com/office/spreadsheetml/2017/richdata2" ref="AN5:AN31">
    <sortCondition ref="AN5:AN31"/>
  </sortState>
  <tableColumns count="1">
    <tableColumn id="1" xr3:uid="{9C17BB53-94FB-40C6-97C9-CFE593630CE7}"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D6D0D10-1ACF-4417-AA9F-28C39B98EEDD}" name="AnalizarLK" displayName="AnalizarLK" ref="AO4:AO35" totalsRowShown="0" headerRowDxfId="133" dataDxfId="132">
  <autoFilter ref="AO4:AO35" xr:uid="{ED6D0D10-1ACF-4417-AA9F-28C39B98EEDD}"/>
  <sortState xmlns:xlrd2="http://schemas.microsoft.com/office/spreadsheetml/2017/richdata2" ref="AO5:AO35">
    <sortCondition ref="AO5:AO35"/>
  </sortState>
  <tableColumns count="1">
    <tableColumn id="1" xr3:uid="{94CE16FD-AAEE-43D4-8FDC-0CD1A9802B14}"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B2C1126-FD42-4594-A570-542F3A42FFD5}" name="EvaluarLK" displayName="EvaluarLK" ref="AP4:AP47" totalsRowShown="0" headerRowDxfId="130" dataDxfId="129">
  <autoFilter ref="AP4:AP47" xr:uid="{5B2C1126-FD42-4594-A570-542F3A42FFD5}"/>
  <sortState xmlns:xlrd2="http://schemas.microsoft.com/office/spreadsheetml/2017/richdata2" ref="AP5:AP47">
    <sortCondition ref="AP5:AP47"/>
  </sortState>
  <tableColumns count="1">
    <tableColumn id="1" xr3:uid="{5A7D999A-3B24-4D10-8776-8F637A11BBBF}"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73356E8-0DA4-4537-A605-40B50EECA942}" name="CrearLK" displayName="CrearLK" ref="AQ4:AQ21" totalsRowShown="0" headerRowDxfId="127" dataDxfId="126">
  <autoFilter ref="AQ4:AQ21" xr:uid="{F73356E8-0DA4-4537-A605-40B50EECA942}"/>
  <sortState xmlns:xlrd2="http://schemas.microsoft.com/office/spreadsheetml/2017/richdata2" ref="AQ5:AQ21">
    <sortCondition ref="AQ5:AQ21"/>
  </sortState>
  <tableColumns count="1">
    <tableColumn id="1" xr3:uid="{0D6225FB-BB47-4165-A4D8-001C96460B99}"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D19CD0-B599-49C2-A5DC-A5B35B366BB9}" name="ConocimientoBAK" displayName="ConocimientoBAK" ref="S3:S45" totalsRowShown="0" headerRowDxfId="124" dataDxfId="123">
  <autoFilter ref="S3:S45" xr:uid="{94D19CD0-B599-49C2-A5DC-A5B35B366BB9}"/>
  <sortState xmlns:xlrd2="http://schemas.microsoft.com/office/spreadsheetml/2017/richdata2" ref="S4:S45">
    <sortCondition ref="S4:S45"/>
  </sortState>
  <tableColumns count="1">
    <tableColumn id="1" xr3:uid="{131C3550-9554-4706-A797-0E23C5069E07}"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CF8B977-19BC-44A6-930F-A6E27DBBDC2F}" name="ComprensiónBAK" displayName="ComprensiónBAK" ref="T3:T42" totalsRowShown="0" headerRowDxfId="121" dataDxfId="120">
  <autoFilter ref="T3:T42" xr:uid="{1CF8B977-19BC-44A6-930F-A6E27DBBDC2F}"/>
  <sortState xmlns:xlrd2="http://schemas.microsoft.com/office/spreadsheetml/2017/richdata2" ref="T4:T42">
    <sortCondition ref="T4:T42"/>
  </sortState>
  <tableColumns count="1">
    <tableColumn id="1" xr3:uid="{7E430ABA-F727-4AFC-88F2-73710AC2929A}"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EF83ADD-CD41-4B24-825B-649C1D09C25F}" name="AplicaciónBAK" displayName="AplicaciónBAK" ref="U3:U43" totalsRowShown="0" headerRowDxfId="118" dataDxfId="117">
  <autoFilter ref="U3:U43" xr:uid="{BEF83ADD-CD41-4B24-825B-649C1D09C25F}"/>
  <sortState xmlns:xlrd2="http://schemas.microsoft.com/office/spreadsheetml/2017/richdata2" ref="U4:U43">
    <sortCondition ref="U4:U43"/>
  </sortState>
  <tableColumns count="1">
    <tableColumn id="1" xr3:uid="{5649DA10-9D37-4451-99F0-CD424DCBDB33}"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F4B4DA5-2E6A-4AE6-935A-CC2B94779B96}" name="AnálisisBAK" displayName="AnálisisBAK" ref="V3:V36" totalsRowShown="0" headerRowDxfId="115" dataDxfId="114">
  <autoFilter ref="V3:V36" xr:uid="{8F4B4DA5-2E6A-4AE6-935A-CC2B94779B96}"/>
  <sortState xmlns:xlrd2="http://schemas.microsoft.com/office/spreadsheetml/2017/richdata2" ref="V4:V36">
    <sortCondition ref="V4:V36"/>
  </sortState>
  <tableColumns count="1">
    <tableColumn id="1" xr3:uid="{CCC11A10-1947-4C0A-9C7D-D3B6BF7B42D9}"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4D7CAFB-C9DC-44C7-82F9-0E1668B4F0C6}" name="SínstesisBAK" displayName="SínstesisBAK" ref="W3:W63" totalsRowShown="0" headerRowDxfId="112" dataDxfId="111">
  <autoFilter ref="W3:W63" xr:uid="{74D7CAFB-C9DC-44C7-82F9-0E1668B4F0C6}"/>
  <sortState xmlns:xlrd2="http://schemas.microsoft.com/office/spreadsheetml/2017/richdata2" ref="W4:W63">
    <sortCondition ref="W4:W63"/>
  </sortState>
  <tableColumns count="1">
    <tableColumn id="1" xr3:uid="{1DB7FA75-F99E-4305-BD04-E226B0A55E29}"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4AB64C5-4D59-4C9B-AF8C-AD1D4E5D7E22}" name="EvaluaciónBAK" displayName="EvaluaciónBAK" ref="X3:X66" totalsRowShown="0" headerRowDxfId="109" dataDxfId="108">
  <autoFilter ref="X3:X66" xr:uid="{24AB64C5-4D59-4C9B-AF8C-AD1D4E5D7E22}"/>
  <sortState xmlns:xlrd2="http://schemas.microsoft.com/office/spreadsheetml/2017/richdata2" ref="X4:X66">
    <sortCondition ref="X4:X66"/>
  </sortState>
  <tableColumns count="1">
    <tableColumn id="1" xr3:uid="{ED282AAC-9004-4897-896F-CA9DCE0CC881}"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DAA654B-9F18-418A-B316-13C4C29B9840}" name="ImitaciónBAK" displayName="ImitaciónBAK" ref="Y3:Y52" totalsRowShown="0" headerRowDxfId="106" dataDxfId="105">
  <autoFilter ref="Y3:Y52" xr:uid="{4DAA654B-9F18-418A-B316-13C4C29B9840}"/>
  <sortState xmlns:xlrd2="http://schemas.microsoft.com/office/spreadsheetml/2017/richdata2" ref="Y4:Y52">
    <sortCondition ref="Y3:Y52"/>
  </sortState>
  <tableColumns count="1">
    <tableColumn id="1" xr3:uid="{57E849C6-3555-48E7-9FEC-3992A09995E2}"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CC53E0E-533C-40E8-9B1D-08F34978407F}" name="ManipulaciónBAK" displayName="ManipulaciónBAK" ref="Z3:Z41" totalsRowShown="0" headerRowDxfId="103" dataDxfId="102">
  <autoFilter ref="Z3:Z41" xr:uid="{8CC53E0E-533C-40E8-9B1D-08F34978407F}"/>
  <sortState xmlns:xlrd2="http://schemas.microsoft.com/office/spreadsheetml/2017/richdata2" ref="Z4:Z41">
    <sortCondition ref="Z3:Z41"/>
  </sortState>
  <tableColumns count="1">
    <tableColumn id="1" xr3:uid="{1A118719-2487-4815-89D9-51C305E7853F}"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45E75E9-31C0-47B7-9849-772A7E35082A}" name="PrecisiónBAK" displayName="PrecisiónBAK" ref="AA3:AA69" totalsRowShown="0" headerRowDxfId="100" dataDxfId="99">
  <autoFilter ref="AA3:AA69" xr:uid="{A45E75E9-31C0-47B7-9849-772A7E35082A}"/>
  <sortState xmlns:xlrd2="http://schemas.microsoft.com/office/spreadsheetml/2017/richdata2" ref="AA4:AA69">
    <sortCondition ref="AA3:AA69"/>
  </sortState>
  <tableColumns count="1">
    <tableColumn id="1" xr3:uid="{D7343BF8-7739-4634-B69A-0FF2146C9C6B}"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575D95E-8398-49F7-A64E-BAED96B75C10}" name="ControlBAK" displayName="ControlBAK" ref="AB3:AB62" totalsRowShown="0" headerRowDxfId="97" dataDxfId="96">
  <autoFilter ref="AB3:AB62" xr:uid="{2575D95E-8398-49F7-A64E-BAED96B75C10}"/>
  <sortState xmlns:xlrd2="http://schemas.microsoft.com/office/spreadsheetml/2017/richdata2" ref="AB4:AB62">
    <sortCondition ref="AB3:AB62"/>
  </sortState>
  <tableColumns count="1">
    <tableColumn id="1" xr3:uid="{390682D2-CC9B-447C-9FE3-EF387B9B0F97}"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459AF7E-D61B-47EF-A78A-788A77BBFA5E}" name="PercepciónBAK" displayName="PercepciónBAK" ref="AC3:AC43" totalsRowShown="0" headerRowDxfId="94" dataDxfId="93">
  <autoFilter ref="AC3:AC43" xr:uid="{F459AF7E-D61B-47EF-A78A-788A77BBFA5E}"/>
  <sortState xmlns:xlrd2="http://schemas.microsoft.com/office/spreadsheetml/2017/richdata2" ref="AC4:AC43">
    <sortCondition ref="AC3:AC43"/>
  </sortState>
  <tableColumns count="1">
    <tableColumn id="1" xr3:uid="{E597DFB6-3416-47A7-B153-FC1DA0E36AB7}"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EC35434-BE6C-411F-8AAE-73E3CFC3CA78}" name="ResponderBAK" displayName="ResponderBAK" ref="AD3:AD33" totalsRowShown="0" headerRowDxfId="91" dataDxfId="90">
  <autoFilter ref="AD3:AD33" xr:uid="{3EC35434-BE6C-411F-8AAE-73E3CFC3CA78}"/>
  <sortState xmlns:xlrd2="http://schemas.microsoft.com/office/spreadsheetml/2017/richdata2" ref="AD4:AD33">
    <sortCondition ref="AD3:AD33"/>
  </sortState>
  <tableColumns count="1">
    <tableColumn id="1" xr3:uid="{0EE8E37C-6F50-46FC-B79B-C7B27BAD3C2B}"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9344631-8A85-4D95-9EA7-1E2C9FA2E476}" name="ValorarBAK" displayName="ValorarBAK" ref="AE3:AE40" totalsRowShown="0" headerRowDxfId="88" dataDxfId="87">
  <autoFilter ref="AE3:AE40" xr:uid="{19344631-8A85-4D95-9EA7-1E2C9FA2E476}"/>
  <sortState xmlns:xlrd2="http://schemas.microsoft.com/office/spreadsheetml/2017/richdata2" ref="AE4:AE39">
    <sortCondition ref="AE3:AE39"/>
  </sortState>
  <tableColumns count="1">
    <tableColumn id="1" xr3:uid="{0A087805-6D7E-496C-A05E-DA355F0095CB}"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B714438-F124-4D81-8C72-575D6C7ACE44}" name="OrganizarBAK" displayName="OrganizarBAK" ref="AF3:AF29" totalsRowShown="0" headerRowDxfId="85" dataDxfId="84">
  <autoFilter ref="AF3:AF29" xr:uid="{6B714438-F124-4D81-8C72-575D6C7ACE44}"/>
  <sortState xmlns:xlrd2="http://schemas.microsoft.com/office/spreadsheetml/2017/richdata2" ref="AF4:AF29">
    <sortCondition ref="AF3:AF29"/>
  </sortState>
  <tableColumns count="1">
    <tableColumn id="1" xr3:uid="{C5529011-A2C8-433F-8569-8D1E7E575682}"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21CDAF3-C514-4DAF-8AF4-F1594B99BB24}" name="CaracterizarBAK" displayName="CaracterizarBAK" ref="AG3:AG30" totalsRowShown="0" headerRowDxfId="82" dataDxfId="81">
  <autoFilter ref="AG3:AG30" xr:uid="{621CDAF3-C514-4DAF-8AF4-F1594B99BB24}"/>
  <sortState xmlns:xlrd2="http://schemas.microsoft.com/office/spreadsheetml/2017/richdata2" ref="AG4:AG29">
    <sortCondition ref="AG3:AG29"/>
  </sortState>
  <tableColumns count="1">
    <tableColumn id="1" xr3:uid="{706DA6CE-EB91-496D-BFFE-56AF4683EC52}"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C8904B1-8D3B-4FF1-8646-69A8D3170D84}" name="ConocimientoB" displayName="ConocimientoB" ref="L3:L45" totalsRowShown="0" headerRowDxfId="79" dataDxfId="78">
  <autoFilter ref="L3:L45" xr:uid="{7C8904B1-8D3B-4FF1-8646-69A8D3170D84}"/>
  <sortState xmlns:xlrd2="http://schemas.microsoft.com/office/spreadsheetml/2017/richdata2" ref="L4:L45">
    <sortCondition ref="L4:L45"/>
  </sortState>
  <tableColumns count="1">
    <tableColumn id="1" xr3:uid="{2D5405CD-0CB8-4C58-A15B-F109C33FC9E6}"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0005291-B463-4A9B-8C09-DE8AC9A3EC79}" name="ComprensiónB" displayName="ComprensiónB" ref="M3:M42" totalsRowShown="0" headerRowDxfId="76" dataDxfId="75">
  <autoFilter ref="M3:M42" xr:uid="{F0005291-B463-4A9B-8C09-DE8AC9A3EC79}"/>
  <sortState xmlns:xlrd2="http://schemas.microsoft.com/office/spreadsheetml/2017/richdata2" ref="M4:M42">
    <sortCondition ref="M4:M42"/>
  </sortState>
  <tableColumns count="1">
    <tableColumn id="1" xr3:uid="{E6E77B1E-8AE8-436C-87A4-5FB485834702}"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A30BCC7-420C-4D45-B6B6-70195C3538DA}" name="AplicaciónB" displayName="AplicaciónB" ref="N3:N43" totalsRowShown="0" headerRowDxfId="73" dataDxfId="72">
  <autoFilter ref="N3:N43" xr:uid="{6A30BCC7-420C-4D45-B6B6-70195C3538DA}"/>
  <sortState xmlns:xlrd2="http://schemas.microsoft.com/office/spreadsheetml/2017/richdata2" ref="N4:N43">
    <sortCondition ref="N4:N43"/>
  </sortState>
  <tableColumns count="1">
    <tableColumn id="1" xr3:uid="{E0EA56E0-F032-4CC9-AB57-4DE6D1598D57}"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224BB24-5619-49C4-94FB-96AB72EE5650}" name="AnálisisB" displayName="AnálisisB" ref="O3:O36" totalsRowShown="0" headerRowDxfId="70" dataDxfId="69">
  <autoFilter ref="O3:O36" xr:uid="{2224BB24-5619-49C4-94FB-96AB72EE5650}"/>
  <sortState xmlns:xlrd2="http://schemas.microsoft.com/office/spreadsheetml/2017/richdata2" ref="O4:O36">
    <sortCondition ref="O4:O36"/>
  </sortState>
  <tableColumns count="1">
    <tableColumn id="1" xr3:uid="{3FBB4F1F-ACA5-49B6-A37D-E5FDFD13ECCD}"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3E3557D-51F5-4386-93E4-FD0D818D053F}" name="SíntesisB" displayName="SíntesisB" ref="P3:P63" totalsRowShown="0" headerRowDxfId="67" dataDxfId="66">
  <autoFilter ref="P3:P63" xr:uid="{53E3557D-51F5-4386-93E4-FD0D818D053F}"/>
  <sortState xmlns:xlrd2="http://schemas.microsoft.com/office/spreadsheetml/2017/richdata2" ref="P4:P63">
    <sortCondition ref="P4:P63"/>
  </sortState>
  <tableColumns count="1">
    <tableColumn id="1" xr3:uid="{9FB3624B-E64E-47DA-9EAA-88AF038A2D7F}"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7124FB3-BDFD-4B6E-BBAF-C6598A6D53D7}" name="EvaluaciónB" displayName="EvaluaciónB" ref="Q3:Q66" totalsRowShown="0" headerRowDxfId="64" dataDxfId="63">
  <autoFilter ref="Q3:Q66" xr:uid="{C7124FB3-BDFD-4B6E-BBAF-C6598A6D53D7}"/>
  <sortState xmlns:xlrd2="http://schemas.microsoft.com/office/spreadsheetml/2017/richdata2" ref="Q4:Q66">
    <sortCondition ref="Q4:Q66"/>
  </sortState>
  <tableColumns count="1">
    <tableColumn id="1" xr3:uid="{1FA17810-5C9D-44CF-93A5-72EEB62A99C9}"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7EE39A7-1440-4041-A08A-18F25F4968FB}" name="AK" displayName="AK" ref="E3:E6" totalsRowShown="0" headerRowDxfId="61" dataDxfId="60">
  <autoFilter ref="E3:E6" xr:uid="{57EE39A7-1440-4041-A08A-18F25F4968FB}"/>
  <tableColumns count="1">
    <tableColumn id="1" xr3:uid="{2F23B31E-C779-49F9-A954-245BE4177AC0}"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5438B67-D634-41E1-84F1-39AE403A058D}" name="LK" displayName="LK" ref="D3:D7" totalsRowShown="0" headerRowDxfId="58" dataDxfId="57">
  <autoFilter ref="D3:D7" xr:uid="{35438B67-D634-41E1-84F1-39AE403A058D}"/>
  <tableColumns count="1">
    <tableColumn id="1" xr3:uid="{C1C9568F-A125-4329-B453-A058FD8FF63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8DBD34B-11EF-4749-B2BB-FB22AA7E5F89}" name="BAK" displayName="BAK" ref="C3:C6" totalsRowShown="0" headerRowDxfId="55" dataDxfId="54">
  <autoFilter ref="C3:C6" xr:uid="{28DBD34B-11EF-4749-B2BB-FB22AA7E5F89}"/>
  <tableColumns count="1">
    <tableColumn id="1" xr3:uid="{ACA65BC2-3FD7-48E3-B265-633D5CD395F6}"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F4526F-E70A-4B01-8F8D-33369EFB479E}" name="ActitudinalB" displayName="ActitudinalB" ref="I3:I9" totalsRowShown="0" headerRowDxfId="52" dataDxfId="51">
  <autoFilter ref="I3:I9" xr:uid="{85F4526F-E70A-4B01-8F8D-33369EFB479E}"/>
  <tableColumns count="1">
    <tableColumn id="1" xr3:uid="{7511FDFB-CBBA-4DB3-8C4D-FF68B9279AD7}"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DFAA4E58-0E3D-4C38-B134-AE73F0FC0197}" name="ProcedimentalB" displayName="ProcedimentalB" ref="H3:H9" totalsRowShown="0" headerRowDxfId="49" dataDxfId="48">
  <autoFilter ref="H3:H9" xr:uid="{DFAA4E58-0E3D-4C38-B134-AE73F0FC0197}"/>
  <tableColumns count="1">
    <tableColumn id="1" xr3:uid="{4ED00E54-4F14-49B9-B701-FF2F463188CD}"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C8B3717-DAFD-4E37-8005-349E9A602EC5}" name="CognitivoB" displayName="CognitivoB" ref="G3:G9" totalsRowShown="0" headerRowDxfId="46" dataDxfId="45">
  <autoFilter ref="G3:G9" xr:uid="{0C8B3717-DAFD-4E37-8005-349E9A602EC5}"/>
  <tableColumns count="1">
    <tableColumn id="1" xr3:uid="{E2C7916C-66F2-431E-9B93-D7BAED80FC3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A1C521C-B4CD-4DF4-8C25-A075B7B48FD5}" name="HechosLK" displayName="HechosLK" ref="G11:G17" totalsRowShown="0" headerRowDxfId="43" dataDxfId="42">
  <autoFilter ref="G11:G17" xr:uid="{8A1C521C-B4CD-4DF4-8C25-A075B7B48FD5}"/>
  <tableColumns count="1">
    <tableColumn id="1" xr3:uid="{F205DD3F-58DC-49F6-8DF7-A9FDFA78E901}"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EAE1057-104B-4F9B-AE6B-F5F60D430995}" name="ConceptosLK" displayName="ConceptosLK" ref="H11:H17" totalsRowShown="0" headerRowDxfId="40" dataDxfId="39">
  <autoFilter ref="H11:H17" xr:uid="{0EAE1057-104B-4F9B-AE6B-F5F60D430995}"/>
  <tableColumns count="1">
    <tableColumn id="1" xr3:uid="{ED8EB327-17D6-4CBD-BF96-91954DB19DA4}"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5704CC1-8D1D-4541-8B3E-782D4827E87D}" name="ProcedimientosLK" displayName="ProcedimientosLK" ref="I11:I17" totalsRowShown="0" headerRowDxfId="37" dataDxfId="36">
  <autoFilter ref="I11:I17" xr:uid="{C5704CC1-8D1D-4541-8B3E-782D4827E87D}"/>
  <tableColumns count="1">
    <tableColumn id="1" xr3:uid="{75915474-E335-4868-8B24-B84F8C9C1C63}"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F9CFB80-8732-4087-B330-0AFF949ED28A}" name="MetacogniciónLK" displayName="MetacogniciónLK" ref="J11:J17" totalsRowShown="0" headerRowDxfId="34" dataDxfId="33">
  <autoFilter ref="J11:J17" xr:uid="{3F9CFB80-8732-4087-B330-0AFF949ED28A}"/>
  <tableColumns count="1">
    <tableColumn id="1" xr3:uid="{18FBF9DB-382A-4F40-9D18-10877C008AF3}"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87470927-1E85-4463-AA7C-1D450FA03673}" name="InformaciónAK" displayName="InformaciónAK" ref="G19:G25" totalsRowShown="0" headerRowDxfId="31" dataDxfId="30">
  <autoFilter ref="G19:G25" xr:uid="{87470927-1E85-4463-AA7C-1D450FA03673}"/>
  <tableColumns count="1">
    <tableColumn id="1" xr3:uid="{4C03EFC8-95AD-4135-A064-59ED0A2972A4}"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3FAB6C65-145F-49A1-9056-95330E603DB4}" name="ProcesosAK" displayName="ProcesosAK" ref="H19:H25" totalsRowShown="0" headerRowDxfId="28" dataDxfId="27">
  <autoFilter ref="H19:H25" xr:uid="{3FAB6C65-145F-49A1-9056-95330E603DB4}"/>
  <tableColumns count="1">
    <tableColumn id="1" xr3:uid="{67C2A4B2-C2BB-4461-9673-21341948DA03}"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E2DB0D1-A63C-4278-BB90-797F375B1009}" name="PsicomotorAK" displayName="PsicomotorAK" ref="I19:I25" totalsRowShown="0" headerRowDxfId="25" dataDxfId="24">
  <autoFilter ref="I19:I25" xr:uid="{7E2DB0D1-A63C-4278-BB90-797F375B1009}"/>
  <tableColumns count="1">
    <tableColumn id="1" xr3:uid="{C11CE8E5-4283-43E3-97B8-F84DDC504C64}"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6ECA4D98-E956-4A04-B3B0-0A93F4884397}" name="RecuperaciónAK" displayName="RecuperaciónAK" ref="AT4:AT28" totalsRowShown="0" headerRowDxfId="22" dataDxfId="21" tableBorderDxfId="20">
  <autoFilter ref="AT4:AT28" xr:uid="{6ECA4D98-E956-4A04-B3B0-0A93F4884397}"/>
  <sortState xmlns:xlrd2="http://schemas.microsoft.com/office/spreadsheetml/2017/richdata2" ref="AT5:AT28">
    <sortCondition ref="AT5:AT28"/>
  </sortState>
  <tableColumns count="1">
    <tableColumn id="1" xr3:uid="{6B19F25F-6B18-4C47-BB8D-501A8EEAECC7}"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4EE26191-22A3-4D10-AA50-5279EAFE5FF4}" name="ComprensiónAK" displayName="ComprensiónAK" ref="AU4:AU56" totalsRowShown="0" headerRowDxfId="18" dataDxfId="17">
  <autoFilter ref="AU4:AU56" xr:uid="{4EE26191-22A3-4D10-AA50-5279EAFE5FF4}"/>
  <sortState xmlns:xlrd2="http://schemas.microsoft.com/office/spreadsheetml/2017/richdata2" ref="AU5:AU56">
    <sortCondition ref="AU5:AU56"/>
  </sortState>
  <tableColumns count="1">
    <tableColumn id="1" xr3:uid="{20C03E72-5945-4010-ACE3-EE6E3F8AF3C1}"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7ECF6306-D599-4224-81C8-4E19CA353A6C}" name="AnálisisAK" displayName="AnálisisAK" ref="AV4:AV108" totalsRowShown="0" headerRowDxfId="15" dataDxfId="14" tableBorderDxfId="13">
  <autoFilter ref="AV4:AV108" xr:uid="{7ECF6306-D599-4224-81C8-4E19CA353A6C}"/>
  <sortState xmlns:xlrd2="http://schemas.microsoft.com/office/spreadsheetml/2017/richdata2" ref="AV5:AV108">
    <sortCondition ref="AV5:AV108"/>
  </sortState>
  <tableColumns count="1">
    <tableColumn id="1" xr3:uid="{7A61C7F0-05AD-4DBC-BE6E-D8DBB2716C7D}"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48A9992D-187E-4D64-B1EE-2F797AE41033}" name="UsoConocimientoAK" displayName="UsoConocimientoAK" ref="AW4:AW70" totalsRowShown="0" headerRowDxfId="11" dataDxfId="10" tableBorderDxfId="9">
  <autoFilter ref="AW4:AW70" xr:uid="{48A9992D-187E-4D64-B1EE-2F797AE41033}"/>
  <sortState xmlns:xlrd2="http://schemas.microsoft.com/office/spreadsheetml/2017/richdata2" ref="AW5:AW70">
    <sortCondition ref="AW5:AW70"/>
  </sortState>
  <tableColumns count="1">
    <tableColumn id="1" xr3:uid="{3D5ABE44-0593-435A-B322-A7E32ABD45A0}"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C11DED42-A500-4180-8D74-D70BFEB5AA24}" name="MetacogniciónAK" displayName="MetacogniciónAK" ref="AX4:AX92" totalsRowShown="0" headerRowDxfId="7" dataDxfId="6" tableBorderDxfId="5">
  <autoFilter ref="AX4:AX92" xr:uid="{C11DED42-A500-4180-8D74-D70BFEB5AA24}"/>
  <sortState xmlns:xlrd2="http://schemas.microsoft.com/office/spreadsheetml/2017/richdata2" ref="AX5:AX92">
    <sortCondition ref="AX5:AX92"/>
  </sortState>
  <tableColumns count="1">
    <tableColumn id="1" xr3:uid="{4D90B4AA-1252-483D-B411-7F96C5754ECE}"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7DEA9F2E-0ED7-409B-99EE-B0425CBC1A14}" name="SistemadelYoAK" displayName="SistemadelYoAK" ref="AY4:AY87" totalsRowShown="0" headerRowDxfId="3" dataDxfId="2" tableBorderDxfId="1">
  <autoFilter ref="AY4:AY87" xr:uid="{7DEA9F2E-0ED7-409B-99EE-B0425CBC1A14}"/>
  <tableColumns count="1">
    <tableColumn id="1" xr3:uid="{4D5E8ACA-4170-445D-BE28-EA8C4DAEEBDB}"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7.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7.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2"/>
  <sheetViews>
    <sheetView topLeftCell="A5" zoomScaleNormal="100" workbookViewId="0">
      <selection activeCell="D3" sqref="D3:D7"/>
    </sheetView>
  </sheetViews>
  <sheetFormatPr baseColWidth="10" defaultColWidth="76.26953125" defaultRowHeight="16.5" x14ac:dyDescent="0.5"/>
  <cols>
    <col min="1" max="1" width="21.1796875" style="2" customWidth="1"/>
    <col min="2" max="2" width="16.7265625" style="2" customWidth="1"/>
    <col min="3" max="3" width="51.6328125" style="2" customWidth="1"/>
    <col min="4" max="4" width="61.81640625" style="2" customWidth="1"/>
    <col min="5" max="5" width="44.453125" style="2" customWidth="1"/>
    <col min="6" max="6" width="50.26953125" customWidth="1"/>
    <col min="7" max="7" width="51.26953125" customWidth="1"/>
    <col min="8" max="8" width="30.26953125" style="2" customWidth="1"/>
    <col min="9" max="9" width="35.26953125" style="2" customWidth="1"/>
    <col min="10" max="10" width="33.453125" style="2" customWidth="1"/>
    <col min="11" max="11" width="45.54296875" style="2" customWidth="1"/>
    <col min="12" max="16384" width="76.26953125" style="2"/>
  </cols>
  <sheetData>
    <row r="1" spans="1:11" s="35" customFormat="1" ht="39" x14ac:dyDescent="0.35">
      <c r="A1" s="38" t="s">
        <v>0</v>
      </c>
      <c r="B1" s="38" t="s">
        <v>1</v>
      </c>
      <c r="C1" s="38" t="s">
        <v>2</v>
      </c>
      <c r="D1" s="38" t="s">
        <v>3</v>
      </c>
      <c r="E1" s="159" t="s">
        <v>4</v>
      </c>
      <c r="F1" s="159"/>
      <c r="G1" s="159"/>
      <c r="H1" s="159" t="s">
        <v>5</v>
      </c>
      <c r="I1" s="159"/>
      <c r="J1" s="159"/>
      <c r="K1" s="38" t="s">
        <v>6</v>
      </c>
    </row>
    <row r="2" spans="1:11" s="29" customFormat="1" x14ac:dyDescent="0.5">
      <c r="A2" s="40" t="s">
        <v>7</v>
      </c>
      <c r="B2" s="40" t="s">
        <v>8</v>
      </c>
      <c r="C2" s="40" t="s">
        <v>9</v>
      </c>
      <c r="D2" s="46" t="s">
        <v>10</v>
      </c>
      <c r="E2" s="129" t="s">
        <v>11</v>
      </c>
      <c r="F2" s="129" t="s">
        <v>12</v>
      </c>
      <c r="G2" s="129" t="s">
        <v>13</v>
      </c>
      <c r="H2" s="48" t="s">
        <v>14</v>
      </c>
      <c r="I2" s="48" t="s">
        <v>15</v>
      </c>
      <c r="J2" s="48" t="s">
        <v>16</v>
      </c>
      <c r="K2" s="47" t="s">
        <v>17</v>
      </c>
    </row>
    <row r="3" spans="1:11" s="4" customFormat="1" ht="49.5" customHeight="1" x14ac:dyDescent="0.35">
      <c r="A3" s="158" t="s">
        <v>628</v>
      </c>
      <c r="B3" s="158" t="s">
        <v>629</v>
      </c>
      <c r="C3" s="158" t="s">
        <v>643</v>
      </c>
      <c r="D3" s="158" t="s">
        <v>630</v>
      </c>
      <c r="E3" s="130" t="s">
        <v>631</v>
      </c>
      <c r="F3" s="130" t="s">
        <v>632</v>
      </c>
      <c r="G3" s="130" t="s">
        <v>633</v>
      </c>
      <c r="H3" s="160" t="s">
        <v>644</v>
      </c>
      <c r="I3" s="160" t="s">
        <v>645</v>
      </c>
      <c r="J3" s="160" t="s">
        <v>646</v>
      </c>
      <c r="K3" s="158" t="s">
        <v>647</v>
      </c>
    </row>
    <row r="4" spans="1:11" s="4" customFormat="1" ht="33" x14ac:dyDescent="0.35">
      <c r="A4" s="143"/>
      <c r="B4" s="143"/>
      <c r="C4" s="143"/>
      <c r="D4" s="143"/>
      <c r="E4" s="4" t="s">
        <v>634</v>
      </c>
      <c r="F4" s="4" t="s">
        <v>635</v>
      </c>
      <c r="G4" s="4" t="s">
        <v>636</v>
      </c>
      <c r="H4" s="141"/>
      <c r="I4" s="141"/>
      <c r="J4" s="141"/>
      <c r="K4" s="143"/>
    </row>
    <row r="5" spans="1:11" s="4" customFormat="1" ht="33" x14ac:dyDescent="0.35">
      <c r="A5" s="143"/>
      <c r="B5" s="143"/>
      <c r="C5" s="143"/>
      <c r="D5" s="143"/>
      <c r="E5" s="34" t="s">
        <v>637</v>
      </c>
      <c r="F5" s="34" t="s">
        <v>638</v>
      </c>
      <c r="G5" s="34" t="s">
        <v>639</v>
      </c>
      <c r="H5" s="141"/>
      <c r="I5" s="141"/>
      <c r="J5" s="141"/>
      <c r="K5" s="143"/>
    </row>
    <row r="6" spans="1:11" s="4" customFormat="1" ht="33.5" thickBot="1" x14ac:dyDescent="0.4">
      <c r="A6" s="143"/>
      <c r="B6" s="143"/>
      <c r="C6" s="143"/>
      <c r="D6" s="143"/>
      <c r="E6" s="34" t="s">
        <v>640</v>
      </c>
      <c r="F6" s="34" t="s">
        <v>641</v>
      </c>
      <c r="G6" s="136" t="s">
        <v>642</v>
      </c>
      <c r="H6" s="141"/>
      <c r="I6" s="141"/>
      <c r="J6" s="141"/>
      <c r="K6" s="143"/>
    </row>
    <row r="7" spans="1:11" s="4" customFormat="1" ht="49.5" x14ac:dyDescent="0.35">
      <c r="A7" s="143"/>
      <c r="B7" s="143"/>
      <c r="C7" s="143"/>
      <c r="D7" s="143"/>
      <c r="E7" s="97" t="s">
        <v>18</v>
      </c>
      <c r="F7" s="97" t="s">
        <v>19</v>
      </c>
      <c r="G7" s="97" t="s">
        <v>20</v>
      </c>
      <c r="H7" s="141"/>
      <c r="I7" s="141"/>
      <c r="J7" s="141"/>
      <c r="K7" s="143"/>
    </row>
    <row r="8" spans="1:11" s="4" customFormat="1" x14ac:dyDescent="0.35">
      <c r="C8" s="34"/>
      <c r="D8" s="128"/>
      <c r="E8" s="34"/>
      <c r="F8" s="34"/>
      <c r="G8" s="34"/>
      <c r="H8" s="5"/>
    </row>
    <row r="9" spans="1:11" ht="21" x14ac:dyDescent="0.5">
      <c r="D9" s="28"/>
      <c r="E9" s="8"/>
      <c r="F9" s="8"/>
      <c r="H9" s="3"/>
    </row>
    <row r="10" spans="1:11" ht="21" x14ac:dyDescent="0.5">
      <c r="D10" s="28"/>
      <c r="E10" s="8"/>
      <c r="F10" s="8"/>
      <c r="H10" s="3"/>
    </row>
    <row r="11" spans="1:11" ht="21" x14ac:dyDescent="0.5">
      <c r="C11" s="30"/>
      <c r="D11" s="28"/>
      <c r="E11" s="30"/>
      <c r="F11" s="30"/>
      <c r="H11" s="3"/>
    </row>
    <row r="12" spans="1:11" ht="21" x14ac:dyDescent="0.5">
      <c r="D12" s="28"/>
      <c r="E12" s="8"/>
      <c r="F12" s="8"/>
      <c r="H12" s="3"/>
    </row>
    <row r="13" spans="1:11" ht="21" x14ac:dyDescent="0.5">
      <c r="C13" s="4"/>
      <c r="D13" s="28"/>
      <c r="E13" s="10"/>
      <c r="F13" s="2"/>
      <c r="H13" s="3"/>
    </row>
    <row r="14" spans="1:11" ht="21" x14ac:dyDescent="0.5">
      <c r="D14" s="28"/>
      <c r="E14" s="8"/>
    </row>
    <row r="15" spans="1:11" ht="21" x14ac:dyDescent="0.5">
      <c r="D15" s="28"/>
    </row>
    <row r="16" spans="1:11" ht="21" x14ac:dyDescent="0.5">
      <c r="D16" s="28"/>
    </row>
    <row r="17" spans="4:4" ht="21" x14ac:dyDescent="0.5">
      <c r="D17" s="28"/>
    </row>
    <row r="18" spans="4:4" ht="21" x14ac:dyDescent="0.5">
      <c r="D18" s="28"/>
    </row>
    <row r="19" spans="4:4" ht="21" x14ac:dyDescent="0.5">
      <c r="D19" s="28"/>
    </row>
    <row r="20" spans="4:4" ht="21" x14ac:dyDescent="0.5">
      <c r="D20" s="28"/>
    </row>
    <row r="21" spans="4:4" ht="21" x14ac:dyDescent="0.5">
      <c r="D21" s="28"/>
    </row>
    <row r="22" spans="4:4" ht="21" x14ac:dyDescent="0.5">
      <c r="D22" s="28"/>
    </row>
  </sheetData>
  <mergeCells count="10">
    <mergeCell ref="K3:K7"/>
    <mergeCell ref="E1:G1"/>
    <mergeCell ref="H1:J1"/>
    <mergeCell ref="A3:A7"/>
    <mergeCell ref="B3:B7"/>
    <mergeCell ref="C3:C7"/>
    <mergeCell ref="D3:D7"/>
    <mergeCell ref="H3:H7"/>
    <mergeCell ref="I3:I7"/>
    <mergeCell ref="J3:J7"/>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6"/>
  <sheetViews>
    <sheetView zoomScaleNormal="100" workbookViewId="0">
      <selection sqref="A1:G1"/>
    </sheetView>
  </sheetViews>
  <sheetFormatPr baseColWidth="10" defaultColWidth="11.453125" defaultRowHeight="16.5" x14ac:dyDescent="0.35"/>
  <cols>
    <col min="1" max="1" width="19" style="6" customWidth="1"/>
    <col min="2" max="2" width="23" style="6" customWidth="1"/>
    <col min="3" max="3" width="27" style="6" customWidth="1"/>
    <col min="4" max="4" width="29.26953125" style="6" customWidth="1"/>
    <col min="5" max="5" width="41.81640625" style="6" customWidth="1"/>
    <col min="6" max="6" width="78.54296875" style="6" customWidth="1"/>
    <col min="7" max="7" width="24" style="6" customWidth="1"/>
    <col min="8" max="16384" width="11.453125" style="6"/>
  </cols>
  <sheetData>
    <row r="1" spans="1:7" s="2" customFormat="1" x14ac:dyDescent="0.5">
      <c r="A1" s="161" t="s">
        <v>21</v>
      </c>
      <c r="B1" s="162"/>
      <c r="C1" s="162"/>
      <c r="D1" s="162"/>
      <c r="E1" s="162"/>
      <c r="F1" s="162"/>
      <c r="G1" s="162"/>
    </row>
    <row r="2" spans="1:7" s="39" customFormat="1" ht="78" x14ac:dyDescent="0.35">
      <c r="A2" s="36" t="s">
        <v>22</v>
      </c>
      <c r="B2" s="37" t="s">
        <v>23</v>
      </c>
      <c r="C2" s="37" t="s">
        <v>24</v>
      </c>
      <c r="D2" s="37" t="s">
        <v>25</v>
      </c>
      <c r="E2" s="37" t="s">
        <v>26</v>
      </c>
      <c r="F2" s="38" t="s">
        <v>27</v>
      </c>
      <c r="G2" s="38" t="s">
        <v>28</v>
      </c>
    </row>
    <row r="3" spans="1:7" s="41" customFormat="1" x14ac:dyDescent="0.5">
      <c r="A3" s="59" t="s">
        <v>29</v>
      </c>
      <c r="B3" s="60" t="s">
        <v>30</v>
      </c>
      <c r="C3" s="60" t="s">
        <v>31</v>
      </c>
      <c r="D3" s="60" t="s">
        <v>32</v>
      </c>
      <c r="E3" s="60" t="s">
        <v>33</v>
      </c>
      <c r="F3" s="50" t="s">
        <v>34</v>
      </c>
      <c r="G3" s="50" t="s">
        <v>35</v>
      </c>
    </row>
    <row r="4" spans="1:7" ht="49.5" x14ac:dyDescent="0.35">
      <c r="A4" s="6">
        <v>1</v>
      </c>
      <c r="B4" s="5" t="s">
        <v>37</v>
      </c>
      <c r="C4" s="5" t="s">
        <v>631</v>
      </c>
      <c r="D4" s="34" t="s">
        <v>632</v>
      </c>
      <c r="E4" s="34" t="s">
        <v>633</v>
      </c>
      <c r="F4" s="92" t="s">
        <v>648</v>
      </c>
      <c r="G4" s="31" t="s">
        <v>36</v>
      </c>
    </row>
    <row r="5" spans="1:7" ht="49.5" x14ac:dyDescent="0.35">
      <c r="A5" s="6">
        <v>2</v>
      </c>
      <c r="B5" s="5" t="s">
        <v>184</v>
      </c>
      <c r="C5" s="5" t="s">
        <v>634</v>
      </c>
      <c r="D5" s="34" t="s">
        <v>635</v>
      </c>
      <c r="E5" s="34" t="s">
        <v>636</v>
      </c>
      <c r="F5" s="34" t="s">
        <v>651</v>
      </c>
      <c r="G5" s="31" t="s">
        <v>36</v>
      </c>
    </row>
    <row r="6" spans="1:7" ht="49.5" x14ac:dyDescent="0.35">
      <c r="A6" s="6">
        <v>3</v>
      </c>
      <c r="B6" s="5" t="s">
        <v>73</v>
      </c>
      <c r="C6" s="5" t="s">
        <v>637</v>
      </c>
      <c r="D6" s="34" t="s">
        <v>638</v>
      </c>
      <c r="E6" s="34" t="s">
        <v>639</v>
      </c>
      <c r="F6" s="34" t="s">
        <v>649</v>
      </c>
      <c r="G6" s="31" t="s">
        <v>36</v>
      </c>
    </row>
    <row r="7" spans="1:7" ht="33.5" thickBot="1" x14ac:dyDescent="0.4">
      <c r="A7" s="87">
        <v>4</v>
      </c>
      <c r="B7" s="86" t="s">
        <v>175</v>
      </c>
      <c r="C7" s="86" t="s">
        <v>640</v>
      </c>
      <c r="D7" s="101" t="s">
        <v>641</v>
      </c>
      <c r="E7" s="101" t="s">
        <v>642</v>
      </c>
      <c r="F7" s="101" t="s">
        <v>650</v>
      </c>
      <c r="G7" s="135" t="s">
        <v>36</v>
      </c>
    </row>
    <row r="8" spans="1:7" ht="66" x14ac:dyDescent="0.35">
      <c r="A8" s="6">
        <v>5</v>
      </c>
      <c r="B8" s="34" t="s">
        <v>37</v>
      </c>
      <c r="C8" s="5" t="s">
        <v>18</v>
      </c>
      <c r="D8" s="34" t="s">
        <v>19</v>
      </c>
      <c r="E8" s="34" t="s">
        <v>38</v>
      </c>
      <c r="F8" s="34" t="s">
        <v>39</v>
      </c>
      <c r="G8" s="6" t="s">
        <v>40</v>
      </c>
    </row>
    <row r="9" spans="1:7" x14ac:dyDescent="0.35">
      <c r="B9" s="5"/>
      <c r="C9" s="32"/>
      <c r="D9" s="33"/>
      <c r="E9" s="33"/>
      <c r="F9" s="5"/>
    </row>
    <row r="10" spans="1:7" x14ac:dyDescent="0.35">
      <c r="C10" s="31"/>
      <c r="D10" s="31"/>
      <c r="E10" s="31"/>
    </row>
    <row r="14" spans="1:7" x14ac:dyDescent="0.35">
      <c r="C14" s="31"/>
      <c r="D14" s="15"/>
      <c r="E14" s="15"/>
    </row>
    <row r="15" spans="1:7" x14ac:dyDescent="0.35">
      <c r="C15" s="31"/>
      <c r="D15" s="15"/>
      <c r="E15" s="15"/>
    </row>
    <row r="16" spans="1:7" x14ac:dyDescent="0.35">
      <c r="C16" s="31"/>
      <c r="D16" s="15"/>
      <c r="E16" s="15"/>
    </row>
  </sheetData>
  <mergeCells count="1">
    <mergeCell ref="A1:G1"/>
  </mergeCells>
  <dataValidations count="1">
    <dataValidation type="list" allowBlank="1" showInputMessage="1" showErrorMessage="1" sqref="B8:B12"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4">
        <x14:dataValidation type="list" allowBlank="1" showInputMessage="1" showErrorMessage="1" xr:uid="{67CCD9FD-C355-4093-9DBF-5B728297BE25}">
          <x14:formula1>
            <xm:f>'Taxonomía para competencias'!$B$2:$B$58</xm:f>
          </x14:formula1>
          <xm:sqref>B13</xm:sqref>
        </x14:dataValidation>
        <x14:dataValidation type="list" allowBlank="1" showInputMessage="1" showErrorMessage="1" xr:uid="{5EADCC8E-A021-41D2-A781-82D42FE181E0}">
          <x14:formula1>
            <xm:f>'Paso1 Analisis perfil egreso'!$E$3:$E$8</xm:f>
          </x14:formula1>
          <xm:sqref>C8</xm:sqref>
        </x14:dataValidation>
        <x14:dataValidation type="list" allowBlank="1" showInputMessage="1" showErrorMessage="1" xr:uid="{27BB9EA1-A522-436A-B320-3844B1FF49FC}">
          <x14:formula1>
            <xm:f>'Taxonomía para competencias'!$B$2:$B$49</xm:f>
          </x14:formula1>
          <xm:sqref>B4:B7</xm:sqref>
        </x14:dataValidation>
        <x14:dataValidation type="list" allowBlank="1" showInputMessage="1" showErrorMessage="1" xr:uid="{33DE93D0-28B9-435A-9EE1-5F80FDE293A1}">
          <x14:formula1>
            <xm:f>'Paso1 Analisis perfil egreso'!$E$3:$E$6</xm:f>
          </x14:formula1>
          <xm:sqref>C4:C7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B830-823B-DB48-96CD-EBD5F6A2AA93}">
  <dimension ref="A1:J28"/>
  <sheetViews>
    <sheetView zoomScaleNormal="100" workbookViewId="0"/>
  </sheetViews>
  <sheetFormatPr baseColWidth="10" defaultColWidth="11.453125" defaultRowHeight="16.5" x14ac:dyDescent="0.35"/>
  <cols>
    <col min="1" max="1" width="93.26953125" style="5" customWidth="1"/>
    <col min="2" max="2" width="23.1796875" style="6" customWidth="1"/>
    <col min="3" max="3" width="25" style="5" customWidth="1"/>
    <col min="4" max="4" width="29.26953125" style="5" customWidth="1"/>
    <col min="5" max="5" width="26.453125" style="5" customWidth="1"/>
    <col min="6" max="6" width="21.26953125" style="5" customWidth="1"/>
    <col min="7" max="7" width="21.26953125" style="7" customWidth="1"/>
    <col min="8" max="8" width="21.26953125" style="90" customWidth="1"/>
    <col min="9" max="9" width="80" style="9" customWidth="1"/>
    <col min="10" max="10" width="97.1796875" style="5" customWidth="1"/>
    <col min="11" max="16384" width="11.453125" style="5"/>
  </cols>
  <sheetData>
    <row r="1" spans="1:10" s="82" customFormat="1" ht="52" x14ac:dyDescent="0.35">
      <c r="A1" s="80" t="s">
        <v>41</v>
      </c>
      <c r="B1" s="80" t="s">
        <v>42</v>
      </c>
      <c r="C1" s="37" t="s">
        <v>43</v>
      </c>
      <c r="D1" s="81" t="s">
        <v>44</v>
      </c>
      <c r="E1" s="81" t="s">
        <v>45</v>
      </c>
      <c r="F1" s="37" t="s">
        <v>46</v>
      </c>
      <c r="G1" s="37" t="s">
        <v>47</v>
      </c>
      <c r="H1" s="37" t="s">
        <v>48</v>
      </c>
      <c r="I1" s="80" t="s">
        <v>49</v>
      </c>
    </row>
    <row r="2" spans="1:10" s="85" customFormat="1" x14ac:dyDescent="0.35">
      <c r="A2" s="83" t="s">
        <v>50</v>
      </c>
      <c r="B2" s="83" t="s">
        <v>51</v>
      </c>
      <c r="C2" s="60" t="s">
        <v>52</v>
      </c>
      <c r="D2" s="84" t="s">
        <v>53</v>
      </c>
      <c r="E2" s="84" t="s">
        <v>54</v>
      </c>
      <c r="F2" s="60" t="s">
        <v>55</v>
      </c>
      <c r="G2" s="60" t="s">
        <v>56</v>
      </c>
      <c r="H2" s="60" t="s">
        <v>57</v>
      </c>
      <c r="I2" s="83" t="s">
        <v>58</v>
      </c>
    </row>
    <row r="3" spans="1:10" ht="66" x14ac:dyDescent="0.35">
      <c r="A3" s="5" t="s">
        <v>648</v>
      </c>
      <c r="B3" s="6">
        <v>1</v>
      </c>
      <c r="C3" s="5" t="s">
        <v>11</v>
      </c>
      <c r="D3" s="5" t="s">
        <v>631</v>
      </c>
      <c r="E3" s="5" t="s">
        <v>66</v>
      </c>
      <c r="F3" s="9" t="s">
        <v>67</v>
      </c>
      <c r="G3" s="9" t="s">
        <v>221</v>
      </c>
      <c r="H3" s="5" t="s">
        <v>37</v>
      </c>
      <c r="I3" s="79" t="s">
        <v>653</v>
      </c>
      <c r="J3" s="27"/>
    </row>
    <row r="4" spans="1:10" ht="49.5" x14ac:dyDescent="0.35">
      <c r="A4" s="5" t="s">
        <v>648</v>
      </c>
      <c r="B4" s="6">
        <v>5</v>
      </c>
      <c r="C4" s="5" t="s">
        <v>12</v>
      </c>
      <c r="D4" s="5" t="s">
        <v>632</v>
      </c>
      <c r="E4" s="5" t="s">
        <v>66</v>
      </c>
      <c r="F4" s="9" t="s">
        <v>71</v>
      </c>
      <c r="G4" s="9" t="s">
        <v>226</v>
      </c>
      <c r="H4" s="5" t="s">
        <v>408</v>
      </c>
      <c r="I4" s="34" t="s">
        <v>654</v>
      </c>
    </row>
    <row r="5" spans="1:10" ht="66.5" thickBot="1" x14ac:dyDescent="0.4">
      <c r="A5" s="86" t="s">
        <v>648</v>
      </c>
      <c r="B5" s="87">
        <v>8</v>
      </c>
      <c r="C5" s="86" t="s">
        <v>13</v>
      </c>
      <c r="D5" s="86" t="s">
        <v>633</v>
      </c>
      <c r="E5" s="86" t="s">
        <v>66</v>
      </c>
      <c r="F5" s="88" t="s">
        <v>76</v>
      </c>
      <c r="G5" s="88" t="s">
        <v>77</v>
      </c>
      <c r="H5" s="86" t="s">
        <v>652</v>
      </c>
      <c r="I5" s="95" t="s">
        <v>655</v>
      </c>
    </row>
    <row r="6" spans="1:10" ht="66" x14ac:dyDescent="0.35">
      <c r="A6" s="5" t="s">
        <v>651</v>
      </c>
      <c r="B6" s="6">
        <v>1</v>
      </c>
      <c r="C6" s="5" t="s">
        <v>11</v>
      </c>
      <c r="D6" s="5" t="s">
        <v>634</v>
      </c>
      <c r="E6" s="5" t="s">
        <v>66</v>
      </c>
      <c r="F6" s="9" t="s">
        <v>67</v>
      </c>
      <c r="G6" s="9" t="s">
        <v>221</v>
      </c>
      <c r="H6" s="5" t="s">
        <v>37</v>
      </c>
      <c r="I6" s="79" t="s">
        <v>653</v>
      </c>
    </row>
    <row r="7" spans="1:10" ht="49.5" x14ac:dyDescent="0.35">
      <c r="A7" s="5" t="s">
        <v>651</v>
      </c>
      <c r="B7" s="6">
        <v>6</v>
      </c>
      <c r="C7" s="5" t="s">
        <v>12</v>
      </c>
      <c r="D7" s="5" t="s">
        <v>635</v>
      </c>
      <c r="E7" s="5" t="s">
        <v>66</v>
      </c>
      <c r="F7" s="9" t="s">
        <v>71</v>
      </c>
      <c r="G7" s="9" t="s">
        <v>226</v>
      </c>
      <c r="H7" s="5" t="s">
        <v>177</v>
      </c>
      <c r="I7" s="34" t="s">
        <v>656</v>
      </c>
    </row>
    <row r="8" spans="1:10" ht="50" thickBot="1" x14ac:dyDescent="0.4">
      <c r="A8" s="86" t="s">
        <v>651</v>
      </c>
      <c r="B8" s="87">
        <v>8</v>
      </c>
      <c r="C8" s="86" t="s">
        <v>13</v>
      </c>
      <c r="D8" s="86" t="s">
        <v>636</v>
      </c>
      <c r="E8" s="86" t="s">
        <v>66</v>
      </c>
      <c r="F8" s="88" t="s">
        <v>76</v>
      </c>
      <c r="G8" s="88" t="s">
        <v>77</v>
      </c>
      <c r="H8" s="86" t="s">
        <v>652</v>
      </c>
      <c r="I8" s="95" t="s">
        <v>655</v>
      </c>
      <c r="J8" s="89"/>
    </row>
    <row r="9" spans="1:10" ht="49.5" x14ac:dyDescent="0.35">
      <c r="A9" s="5" t="s">
        <v>649</v>
      </c>
      <c r="B9" s="6">
        <v>2</v>
      </c>
      <c r="C9" s="5" t="s">
        <v>11</v>
      </c>
      <c r="D9" s="5" t="s">
        <v>637</v>
      </c>
      <c r="E9" s="5" t="s">
        <v>66</v>
      </c>
      <c r="F9" s="9" t="s">
        <v>67</v>
      </c>
      <c r="G9" s="9" t="s">
        <v>221</v>
      </c>
      <c r="H9" s="5" t="s">
        <v>201</v>
      </c>
      <c r="I9" s="79" t="s">
        <v>657</v>
      </c>
    </row>
    <row r="10" spans="1:10" ht="33" x14ac:dyDescent="0.35">
      <c r="A10" s="5" t="s">
        <v>649</v>
      </c>
      <c r="B10" s="6">
        <v>7</v>
      </c>
      <c r="C10" s="5" t="s">
        <v>12</v>
      </c>
      <c r="D10" s="5" t="s">
        <v>638</v>
      </c>
      <c r="E10" s="5" t="s">
        <v>66</v>
      </c>
      <c r="F10" s="9" t="s">
        <v>71</v>
      </c>
      <c r="G10" s="9" t="s">
        <v>226</v>
      </c>
      <c r="H10" s="5" t="s">
        <v>408</v>
      </c>
      <c r="I10" s="79" t="s">
        <v>654</v>
      </c>
    </row>
    <row r="11" spans="1:10" ht="50" thickBot="1" x14ac:dyDescent="0.4">
      <c r="A11" s="86" t="s">
        <v>649</v>
      </c>
      <c r="B11" s="87">
        <v>8</v>
      </c>
      <c r="C11" s="86" t="s">
        <v>13</v>
      </c>
      <c r="D11" s="86" t="s">
        <v>639</v>
      </c>
      <c r="E11" s="86" t="s">
        <v>66</v>
      </c>
      <c r="F11" s="88" t="s">
        <v>76</v>
      </c>
      <c r="G11" s="88" t="s">
        <v>77</v>
      </c>
      <c r="H11" s="86" t="s">
        <v>652</v>
      </c>
      <c r="I11" s="95" t="s">
        <v>655</v>
      </c>
      <c r="J11" s="89"/>
    </row>
    <row r="12" spans="1:10" ht="49.5" x14ac:dyDescent="0.35">
      <c r="A12" s="5" t="s">
        <v>650</v>
      </c>
      <c r="B12" s="6">
        <v>3</v>
      </c>
      <c r="C12" s="5" t="s">
        <v>11</v>
      </c>
      <c r="D12" s="5" t="s">
        <v>640</v>
      </c>
      <c r="E12" s="5" t="s">
        <v>66</v>
      </c>
      <c r="F12" s="9" t="s">
        <v>67</v>
      </c>
      <c r="G12" s="9" t="s">
        <v>221</v>
      </c>
      <c r="H12" s="5" t="s">
        <v>201</v>
      </c>
      <c r="I12" s="79" t="s">
        <v>658</v>
      </c>
    </row>
    <row r="13" spans="1:10" ht="49.5" x14ac:dyDescent="0.35">
      <c r="A13" s="5" t="s">
        <v>650</v>
      </c>
      <c r="B13" s="6">
        <v>6</v>
      </c>
      <c r="C13" s="5" t="s">
        <v>12</v>
      </c>
      <c r="D13" s="5" t="s">
        <v>641</v>
      </c>
      <c r="E13" s="5" t="s">
        <v>66</v>
      </c>
      <c r="F13" s="9" t="s">
        <v>71</v>
      </c>
      <c r="G13" s="9" t="s">
        <v>226</v>
      </c>
      <c r="H13" s="5" t="s">
        <v>177</v>
      </c>
      <c r="I13" s="34" t="s">
        <v>656</v>
      </c>
    </row>
    <row r="14" spans="1:10" ht="66.5" thickBot="1" x14ac:dyDescent="0.4">
      <c r="A14" s="86" t="s">
        <v>650</v>
      </c>
      <c r="B14" s="87">
        <v>8</v>
      </c>
      <c r="C14" s="86" t="s">
        <v>13</v>
      </c>
      <c r="D14" s="86" t="s">
        <v>642</v>
      </c>
      <c r="E14" s="86" t="s">
        <v>66</v>
      </c>
      <c r="F14" s="88" t="s">
        <v>76</v>
      </c>
      <c r="G14" s="88" t="s">
        <v>77</v>
      </c>
      <c r="H14" s="86" t="s">
        <v>652</v>
      </c>
      <c r="I14" s="95" t="s">
        <v>655</v>
      </c>
      <c r="J14" s="89"/>
    </row>
    <row r="15" spans="1:10" ht="49.5" x14ac:dyDescent="0.35">
      <c r="A15" s="5" t="s">
        <v>39</v>
      </c>
      <c r="B15" s="6">
        <v>4</v>
      </c>
      <c r="C15" s="5" t="s">
        <v>11</v>
      </c>
      <c r="D15" s="5" t="s">
        <v>18</v>
      </c>
      <c r="E15" s="5" t="s">
        <v>59</v>
      </c>
      <c r="F15" s="9" t="s">
        <v>60</v>
      </c>
      <c r="G15" s="9" t="s">
        <v>61</v>
      </c>
      <c r="H15" s="5" t="s">
        <v>62</v>
      </c>
      <c r="I15" s="34" t="s">
        <v>63</v>
      </c>
      <c r="J15" s="89"/>
    </row>
    <row r="16" spans="1:10" x14ac:dyDescent="0.35">
      <c r="A16" s="4"/>
      <c r="F16" s="9"/>
      <c r="G16" s="9"/>
      <c r="H16" s="5"/>
      <c r="I16" s="4"/>
      <c r="J16" s="89"/>
    </row>
    <row r="17" spans="1:9" x14ac:dyDescent="0.35">
      <c r="A17" s="4"/>
      <c r="F17" s="9"/>
      <c r="G17" s="9"/>
      <c r="H17" s="5"/>
      <c r="I17" s="4"/>
    </row>
    <row r="18" spans="1:9" x14ac:dyDescent="0.35">
      <c r="A18" s="4"/>
      <c r="F18" s="9"/>
      <c r="G18" s="9"/>
      <c r="H18" s="5"/>
      <c r="I18" s="4"/>
    </row>
    <row r="19" spans="1:9" x14ac:dyDescent="0.35">
      <c r="A19" s="4"/>
      <c r="F19" s="9"/>
      <c r="G19" s="9"/>
      <c r="H19" s="5"/>
      <c r="I19" s="4"/>
    </row>
    <row r="20" spans="1:9" x14ac:dyDescent="0.35">
      <c r="A20" s="4"/>
      <c r="F20" s="9"/>
      <c r="G20" s="9"/>
      <c r="H20" s="5"/>
      <c r="I20" s="4"/>
    </row>
    <row r="21" spans="1:9" x14ac:dyDescent="0.35">
      <c r="A21" s="4"/>
      <c r="F21" s="9"/>
      <c r="G21" s="9"/>
      <c r="H21" s="5"/>
      <c r="I21" s="4"/>
    </row>
    <row r="22" spans="1:9" x14ac:dyDescent="0.35">
      <c r="A22" s="4"/>
      <c r="H22" s="5"/>
      <c r="I22" s="4"/>
    </row>
    <row r="23" spans="1:9" x14ac:dyDescent="0.35">
      <c r="A23" s="4"/>
      <c r="I23" s="4"/>
    </row>
    <row r="24" spans="1:9" x14ac:dyDescent="0.35">
      <c r="A24" s="4"/>
      <c r="I24" s="4"/>
    </row>
    <row r="25" spans="1:9" x14ac:dyDescent="0.35">
      <c r="A25" s="4"/>
    </row>
    <row r="26" spans="1:9" x14ac:dyDescent="0.35">
      <c r="A26" s="4"/>
    </row>
    <row r="27" spans="1:9" x14ac:dyDescent="0.35">
      <c r="A27" s="4"/>
    </row>
    <row r="28" spans="1:9" x14ac:dyDescent="0.35">
      <c r="A28" s="4"/>
    </row>
  </sheetData>
  <autoFilter ref="A2:K15" xr:uid="{94AAF649-42F4-466A-BE11-44357078F961}"/>
  <dataValidations count="5">
    <dataValidation type="list" allowBlank="1" showInputMessage="1" showErrorMessage="1" sqref="H3:H15" xr:uid="{EF7E0087-1A07-4340-9A8A-E18F2705EAA5}">
      <formula1>INDIRECT($G3)</formula1>
    </dataValidation>
    <dataValidation type="list" allowBlank="1" showInputMessage="1" showErrorMessage="1" sqref="G3:G15" xr:uid="{C824F632-68FF-A845-8310-1160831D753F}">
      <formula1>INDIRECT($F3)</formula1>
    </dataValidation>
    <dataValidation type="list" allowBlank="1" showInputMessage="1" showErrorMessage="1" sqref="F3:F15" xr:uid="{A432778F-7D53-8543-B7B7-9CEB372333AB}">
      <formula1>INDIRECT($E3)</formula1>
    </dataValidation>
    <dataValidation type="list" allowBlank="1" showInputMessage="1" showErrorMessage="1" sqref="D3:D15" xr:uid="{7E1D182A-6AF9-A04C-9AFE-674494F658A5}">
      <formula1>INDIRECT($C3)</formula1>
    </dataValidation>
    <dataValidation type="list" allowBlank="1" showInputMessage="1" showErrorMessage="1" sqref="C3:C15" xr:uid="{75684620-131C-F04B-80D8-C75EA8359587}">
      <formula1>ComponentesCompetencias</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45BD5CC-7544-FC43-BCE7-641772B9359A}">
          <x14:formula1>
            <xm:f>'Taxonomias para RA'!$A$4:$A$7</xm:f>
          </x14:formula1>
          <xm:sqref>E3:E15</xm:sqref>
        </x14:dataValidation>
        <x14:dataValidation type="list" allowBlank="1" showInputMessage="1" showErrorMessage="1" xr:uid="{98578F6C-C527-A048-93A4-A8514981207B}">
          <x14:formula1>
            <xm:f>'Paso 2 Redacción competen'!$F$4:$F$8</xm:f>
          </x14:formula1>
          <xm:sqref>A3:A15</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sheetPr filterMode="1"/>
  <dimension ref="A1:K31"/>
  <sheetViews>
    <sheetView zoomScale="130" zoomScaleNormal="130" workbookViewId="0">
      <selection activeCell="A6" sqref="A6"/>
    </sheetView>
  </sheetViews>
  <sheetFormatPr baseColWidth="10" defaultColWidth="11.453125" defaultRowHeight="70.900000000000006" customHeight="1" x14ac:dyDescent="0.5"/>
  <cols>
    <col min="1" max="1" width="93.26953125" style="5" customWidth="1"/>
    <col min="2" max="2" width="23.1796875" style="6" customWidth="1"/>
    <col min="3" max="3" width="25" style="5" customWidth="1"/>
    <col min="4" max="4" width="36.81640625" style="5" customWidth="1"/>
    <col min="5" max="5" width="30.7265625" style="5" customWidth="1"/>
    <col min="6" max="6" width="21.81640625" style="5" customWidth="1"/>
    <col min="7" max="7" width="27.453125" style="7" customWidth="1"/>
    <col min="8" max="8" width="22.54296875" style="1" customWidth="1"/>
    <col min="9" max="9" width="80" customWidth="1"/>
    <col min="10" max="10" width="97.1796875" style="5" customWidth="1"/>
    <col min="11" max="16384" width="11.453125" style="5"/>
  </cols>
  <sheetData>
    <row r="1" spans="1:11" ht="52" x14ac:dyDescent="0.35">
      <c r="A1" s="44" t="s">
        <v>41</v>
      </c>
      <c r="B1" s="44" t="s">
        <v>42</v>
      </c>
      <c r="C1" s="51" t="s">
        <v>43</v>
      </c>
      <c r="D1" s="52" t="s">
        <v>44</v>
      </c>
      <c r="E1" s="52" t="s">
        <v>45</v>
      </c>
      <c r="F1" s="51" t="s">
        <v>46</v>
      </c>
      <c r="G1" s="51" t="s">
        <v>47</v>
      </c>
      <c r="H1" s="51" t="s">
        <v>48</v>
      </c>
      <c r="I1" s="44" t="s">
        <v>49</v>
      </c>
      <c r="J1" s="45"/>
    </row>
    <row r="2" spans="1:11" ht="16.5" x14ac:dyDescent="0.35">
      <c r="A2" s="61" t="s">
        <v>50</v>
      </c>
      <c r="B2" s="58" t="s">
        <v>51</v>
      </c>
      <c r="C2" s="62" t="s">
        <v>52</v>
      </c>
      <c r="D2" s="53" t="s">
        <v>53</v>
      </c>
      <c r="E2" s="53" t="s">
        <v>54</v>
      </c>
      <c r="F2" s="62" t="s">
        <v>55</v>
      </c>
      <c r="G2" s="62" t="s">
        <v>56</v>
      </c>
      <c r="H2" s="62" t="s">
        <v>57</v>
      </c>
      <c r="I2" s="58" t="s">
        <v>58</v>
      </c>
      <c r="J2" s="63"/>
    </row>
    <row r="3" spans="1:11" ht="136.5" hidden="1" customHeight="1" x14ac:dyDescent="0.35">
      <c r="A3" s="4" t="s">
        <v>64</v>
      </c>
      <c r="B3" s="6">
        <v>1</v>
      </c>
      <c r="C3" s="5" t="s">
        <v>11</v>
      </c>
      <c r="D3" s="5" t="s">
        <v>65</v>
      </c>
      <c r="E3" s="5" t="s">
        <v>66</v>
      </c>
      <c r="F3" s="9" t="s">
        <v>67</v>
      </c>
      <c r="G3" s="9" t="s">
        <v>68</v>
      </c>
      <c r="H3" s="5" t="s">
        <v>62</v>
      </c>
      <c r="I3" s="34" t="s">
        <v>69</v>
      </c>
      <c r="J3" s="27"/>
    </row>
    <row r="4" spans="1:11" ht="142.5" hidden="1" customHeight="1" x14ac:dyDescent="0.35">
      <c r="A4" s="4" t="s">
        <v>64</v>
      </c>
      <c r="B4" s="6">
        <v>4</v>
      </c>
      <c r="C4" s="5" t="s">
        <v>12</v>
      </c>
      <c r="D4" s="5" t="s">
        <v>70</v>
      </c>
      <c r="E4" s="5" t="s">
        <v>66</v>
      </c>
      <c r="F4" s="9" t="s">
        <v>71</v>
      </c>
      <c r="G4" s="9" t="s">
        <v>72</v>
      </c>
      <c r="H4" s="5" t="s">
        <v>73</v>
      </c>
      <c r="I4" s="34" t="s">
        <v>74</v>
      </c>
    </row>
    <row r="5" spans="1:11" ht="126" hidden="1" customHeight="1" x14ac:dyDescent="0.35">
      <c r="A5" s="4" t="s">
        <v>64</v>
      </c>
      <c r="B5" s="6">
        <v>7</v>
      </c>
      <c r="C5" s="5" t="s">
        <v>13</v>
      </c>
      <c r="D5" s="5" t="s">
        <v>75</v>
      </c>
      <c r="E5" s="5" t="s">
        <v>66</v>
      </c>
      <c r="F5" s="9" t="s">
        <v>76</v>
      </c>
      <c r="G5" s="9" t="s">
        <v>77</v>
      </c>
      <c r="H5" s="5" t="s">
        <v>78</v>
      </c>
      <c r="I5" s="34" t="s">
        <v>79</v>
      </c>
    </row>
    <row r="6" spans="1:11" ht="99" x14ac:dyDescent="0.35">
      <c r="A6" s="4" t="s">
        <v>80</v>
      </c>
      <c r="B6" s="6">
        <v>1</v>
      </c>
      <c r="C6" s="5" t="s">
        <v>11</v>
      </c>
      <c r="D6" s="5" t="s">
        <v>81</v>
      </c>
      <c r="E6" s="5" t="s">
        <v>66</v>
      </c>
      <c r="F6" s="9" t="s">
        <v>67</v>
      </c>
      <c r="G6" s="9" t="s">
        <v>68</v>
      </c>
      <c r="H6" s="5" t="s">
        <v>62</v>
      </c>
      <c r="I6" s="34" t="s">
        <v>82</v>
      </c>
    </row>
    <row r="7" spans="1:11" ht="115.5" x14ac:dyDescent="0.35">
      <c r="A7" s="4" t="s">
        <v>80</v>
      </c>
      <c r="B7" s="6">
        <v>5</v>
      </c>
      <c r="C7" s="5" t="s">
        <v>12</v>
      </c>
      <c r="D7" s="5" t="s">
        <v>83</v>
      </c>
      <c r="E7" s="5" t="s">
        <v>66</v>
      </c>
      <c r="F7" s="9" t="s">
        <v>71</v>
      </c>
      <c r="G7" s="9" t="s">
        <v>72</v>
      </c>
      <c r="H7" s="5" t="s">
        <v>73</v>
      </c>
      <c r="I7" s="34" t="s">
        <v>74</v>
      </c>
    </row>
    <row r="8" spans="1:11" ht="82.5" x14ac:dyDescent="0.35">
      <c r="A8" s="4" t="s">
        <v>80</v>
      </c>
      <c r="B8" s="6">
        <v>7</v>
      </c>
      <c r="C8" s="5" t="s">
        <v>13</v>
      </c>
      <c r="D8" s="5" t="s">
        <v>75</v>
      </c>
      <c r="E8" s="5" t="s">
        <v>66</v>
      </c>
      <c r="F8" s="9" t="s">
        <v>76</v>
      </c>
      <c r="G8" s="9" t="s">
        <v>77</v>
      </c>
      <c r="H8" s="5" t="s">
        <v>78</v>
      </c>
      <c r="I8" s="34" t="s">
        <v>79</v>
      </c>
      <c r="J8" s="11"/>
    </row>
    <row r="9" spans="1:11" ht="99" hidden="1" x14ac:dyDescent="0.35">
      <c r="A9" s="4" t="s">
        <v>84</v>
      </c>
      <c r="B9" s="6">
        <v>2</v>
      </c>
      <c r="C9" s="5" t="s">
        <v>11</v>
      </c>
      <c r="D9" s="5" t="s">
        <v>85</v>
      </c>
      <c r="E9" s="5" t="s">
        <v>66</v>
      </c>
      <c r="F9" s="9" t="s">
        <v>67</v>
      </c>
      <c r="G9" s="9" t="s">
        <v>68</v>
      </c>
      <c r="H9" s="5" t="s">
        <v>62</v>
      </c>
      <c r="I9" s="34" t="s">
        <v>82</v>
      </c>
      <c r="J9" s="11"/>
    </row>
    <row r="10" spans="1:11" ht="115.5" hidden="1" x14ac:dyDescent="0.35">
      <c r="A10" s="4" t="s">
        <v>84</v>
      </c>
      <c r="B10" s="6">
        <v>6</v>
      </c>
      <c r="C10" s="5" t="s">
        <v>12</v>
      </c>
      <c r="D10" s="5" t="s">
        <v>86</v>
      </c>
      <c r="E10" s="5" t="s">
        <v>66</v>
      </c>
      <c r="F10" s="9" t="s">
        <v>71</v>
      </c>
      <c r="G10" s="9" t="s">
        <v>72</v>
      </c>
      <c r="H10" s="5" t="s">
        <v>73</v>
      </c>
      <c r="I10" s="34" t="s">
        <v>74</v>
      </c>
    </row>
    <row r="11" spans="1:11" ht="82.5" hidden="1" x14ac:dyDescent="0.5">
      <c r="A11" s="55" t="s">
        <v>84</v>
      </c>
      <c r="B11" s="42">
        <v>7</v>
      </c>
      <c r="C11" s="43" t="s">
        <v>13</v>
      </c>
      <c r="D11" s="5" t="s">
        <v>87</v>
      </c>
      <c r="E11" s="43" t="s">
        <v>66</v>
      </c>
      <c r="F11" s="56" t="s">
        <v>76</v>
      </c>
      <c r="G11" s="56" t="s">
        <v>77</v>
      </c>
      <c r="H11" s="43" t="s">
        <v>78</v>
      </c>
      <c r="I11" s="34" t="s">
        <v>79</v>
      </c>
      <c r="J11" s="55"/>
      <c r="K11" s="49"/>
    </row>
    <row r="12" spans="1:11" ht="49.5" hidden="1" x14ac:dyDescent="0.5">
      <c r="A12" s="4" t="s">
        <v>39</v>
      </c>
      <c r="B12" s="6">
        <v>3</v>
      </c>
      <c r="C12" s="5" t="s">
        <v>11</v>
      </c>
      <c r="D12" s="5" t="s">
        <v>18</v>
      </c>
      <c r="E12" s="5" t="s">
        <v>59</v>
      </c>
      <c r="F12" s="9" t="s">
        <v>60</v>
      </c>
      <c r="G12" s="9" t="s">
        <v>61</v>
      </c>
      <c r="H12" s="5" t="s">
        <v>62</v>
      </c>
      <c r="I12" s="54" t="s">
        <v>63</v>
      </c>
      <c r="J12" s="11"/>
    </row>
    <row r="13" spans="1:11" ht="16.5" x14ac:dyDescent="0.35">
      <c r="A13" s="4"/>
      <c r="F13"/>
      <c r="G13"/>
      <c r="H13" s="5"/>
      <c r="I13" s="4"/>
      <c r="J13" s="11"/>
    </row>
    <row r="14" spans="1:11" ht="16.5" x14ac:dyDescent="0.35">
      <c r="A14" s="4"/>
      <c r="F14"/>
      <c r="G14"/>
      <c r="H14" s="5"/>
      <c r="I14" s="4"/>
    </row>
    <row r="15" spans="1:11" ht="16.5" x14ac:dyDescent="0.35">
      <c r="A15" s="4"/>
      <c r="F15"/>
      <c r="G15"/>
      <c r="H15" s="5"/>
      <c r="I15" s="4"/>
    </row>
    <row r="16" spans="1:11" ht="16.5" x14ac:dyDescent="0.35">
      <c r="A16" s="4"/>
      <c r="F16"/>
      <c r="G16"/>
      <c r="H16" s="5"/>
      <c r="I16" s="4"/>
    </row>
    <row r="17" spans="1:9" ht="16.5" x14ac:dyDescent="0.35">
      <c r="A17" s="4"/>
      <c r="F17"/>
      <c r="G17"/>
      <c r="H17" s="5"/>
      <c r="I17" s="4"/>
    </row>
    <row r="18" spans="1:9" ht="16.5" x14ac:dyDescent="0.35">
      <c r="A18" s="4"/>
      <c r="F18"/>
      <c r="G18"/>
      <c r="H18" s="5"/>
      <c r="I18" s="4"/>
    </row>
    <row r="19" spans="1:9" ht="16.5" x14ac:dyDescent="0.35">
      <c r="A19" s="4"/>
      <c r="H19" s="5"/>
      <c r="I19" s="4"/>
    </row>
    <row r="20" spans="1:9" ht="16.5" x14ac:dyDescent="0.5">
      <c r="A20" s="4"/>
      <c r="I20" s="4"/>
    </row>
    <row r="21" spans="1:9" ht="16.5" x14ac:dyDescent="0.5">
      <c r="A21" s="4"/>
      <c r="I21" s="4"/>
    </row>
    <row r="22" spans="1:9" ht="16.5" x14ac:dyDescent="0.5">
      <c r="A22" s="4"/>
    </row>
    <row r="23" spans="1:9" ht="16.5" x14ac:dyDescent="0.5">
      <c r="A23" s="4"/>
    </row>
    <row r="24" spans="1:9" ht="16.5" x14ac:dyDescent="0.5">
      <c r="A24" s="4"/>
    </row>
    <row r="25" spans="1:9" ht="16.5" x14ac:dyDescent="0.5">
      <c r="A25" s="4"/>
    </row>
    <row r="26" spans="1:9" ht="16.5" x14ac:dyDescent="0.5"/>
    <row r="27" spans="1:9" ht="16.5" x14ac:dyDescent="0.5"/>
    <row r="28" spans="1:9" ht="16.5" x14ac:dyDescent="0.5"/>
    <row r="29" spans="1:9" ht="16.5" x14ac:dyDescent="0.5"/>
    <row r="30" spans="1:9" ht="16.5" x14ac:dyDescent="0.5"/>
    <row r="31" spans="1:9" ht="16.5" x14ac:dyDescent="0.5"/>
  </sheetData>
  <autoFilter xmlns:x14="http://schemas.microsoft.com/office/spreadsheetml/2009/9/main" ref="A2:K12" xr:uid="{94AAF649-42F4-466A-BE11-44357078F961}">
    <filterColumn colId="0">
      <mc:AlternateContent xmlns:mc="http://schemas.openxmlformats.org/markup-compatibility/2006">
        <mc:Choice Requires="x14">
          <filters>
            <x14:filter val="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
          </filters>
        </mc:Choice>
        <mc:Fallback>
          <customFilters>
            <customFilter val=""/>
            <customFilter operator="notEqual" val=" "/>
          </customFilters>
        </mc:Fallback>
      </mc:AlternateContent>
    </filterColumn>
  </autoFilter>
  <dataValidations count="5">
    <dataValidation type="list" allowBlank="1" showInputMessage="1" showErrorMessage="1" sqref="C3:C12" xr:uid="{FFA6D22D-3D22-422C-9E4B-9DF41FFB0D1A}">
      <formula1>ComponentesCompetencias</formula1>
    </dataValidation>
    <dataValidation type="list" allowBlank="1" showInputMessage="1" showErrorMessage="1" sqref="D3:D12" xr:uid="{9AA6F2BA-0C3A-40DD-AD22-0938F849E8C8}">
      <formula1>INDIRECT($C3)</formula1>
    </dataValidation>
    <dataValidation type="list" allowBlank="1" showInputMessage="1" showErrorMessage="1" sqref="F3:F12" xr:uid="{ADE492A9-9311-4C66-8809-49C51DCA3157}">
      <formula1>INDIRECT($E3)</formula1>
    </dataValidation>
    <dataValidation type="list" allowBlank="1" showInputMessage="1" showErrorMessage="1" sqref="G3:G12" xr:uid="{B5B6CC5B-EEB4-499F-8DFB-1C865BA84EBE}">
      <formula1>INDIRECT($F3)</formula1>
    </dataValidation>
    <dataValidation type="list" allowBlank="1" showInputMessage="1" showErrorMessage="1" sqref="H3:H12" xr:uid="{7387A2BF-425F-402D-8212-A970461E8629}">
      <formula1>INDIRECT($G3)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E0EDF5A-A1A8-49EE-80CA-8A45EBE16B4F}">
          <x14:formula1>
            <xm:f>'Taxonomias para RA'!$A$4:$A$7</xm:f>
          </x14:formula1>
          <xm:sqref>E3:E12</xm:sqref>
        </x14:dataValidation>
        <x14:dataValidation type="list" allowBlank="1" showInputMessage="1" showErrorMessage="1" xr:uid="{21CB2337-8D31-4329-A03E-63CC0DEF8C59}">
          <x14:formula1>
            <xm:f>'Paso 2 Redacción competen'!$F$4:$F$8</xm:f>
          </x14:formula1>
          <xm:sqref>A3:A12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2FE2-9619-401A-8888-2C861DBCAC9F}">
  <dimension ref="A1:F46"/>
  <sheetViews>
    <sheetView zoomScaleNormal="100" workbookViewId="0"/>
  </sheetViews>
  <sheetFormatPr baseColWidth="10" defaultColWidth="10.7265625" defaultRowHeight="14.5" x14ac:dyDescent="0.35"/>
  <cols>
    <col min="1" max="1" width="57.54296875" style="13" customWidth="1"/>
    <col min="2" max="2" width="51.26953125" style="13" customWidth="1"/>
    <col min="3" max="3" width="54.7265625" style="26" customWidth="1"/>
    <col min="4" max="5" width="46.453125" style="26" customWidth="1"/>
    <col min="6" max="6" width="38.26953125" style="26" customWidth="1"/>
    <col min="7" max="16384" width="10.7265625" style="13"/>
  </cols>
  <sheetData>
    <row r="1" spans="1:6" s="90" customFormat="1" ht="52" x14ac:dyDescent="0.35">
      <c r="A1" s="80" t="s">
        <v>88</v>
      </c>
      <c r="B1" s="80" t="s">
        <v>89</v>
      </c>
      <c r="C1" s="80" t="s">
        <v>90</v>
      </c>
      <c r="D1" s="80" t="s">
        <v>91</v>
      </c>
      <c r="E1" s="80" t="s">
        <v>92</v>
      </c>
      <c r="F1" s="80" t="s">
        <v>93</v>
      </c>
    </row>
    <row r="2" spans="1:6" s="90" customFormat="1" ht="33" x14ac:dyDescent="0.35">
      <c r="A2" s="83" t="s">
        <v>94</v>
      </c>
      <c r="B2" s="83" t="s">
        <v>95</v>
      </c>
      <c r="C2" s="83" t="s">
        <v>96</v>
      </c>
      <c r="D2" s="83" t="s">
        <v>97</v>
      </c>
      <c r="E2" s="83" t="s">
        <v>98</v>
      </c>
      <c r="F2" s="83" t="s">
        <v>99</v>
      </c>
    </row>
    <row r="3" spans="1:6" ht="148.5" customHeight="1" x14ac:dyDescent="0.35">
      <c r="A3" s="34" t="s">
        <v>653</v>
      </c>
      <c r="B3" s="168" t="s">
        <v>659</v>
      </c>
      <c r="C3" s="165" t="s">
        <v>665</v>
      </c>
      <c r="D3" s="91" t="s">
        <v>100</v>
      </c>
      <c r="E3" s="164" t="s">
        <v>671</v>
      </c>
      <c r="F3" s="92" t="s">
        <v>101</v>
      </c>
    </row>
    <row r="4" spans="1:6" ht="66" x14ac:dyDescent="0.35">
      <c r="A4" s="34" t="s">
        <v>655</v>
      </c>
      <c r="B4" s="169"/>
      <c r="C4" s="166"/>
      <c r="D4" s="57" t="s">
        <v>102</v>
      </c>
      <c r="E4" s="148"/>
      <c r="F4" s="34" t="s">
        <v>103</v>
      </c>
    </row>
    <row r="5" spans="1:6" ht="82.5" x14ac:dyDescent="0.35">
      <c r="A5" s="34" t="s">
        <v>657</v>
      </c>
      <c r="B5" s="169"/>
      <c r="C5" s="166"/>
      <c r="D5" s="57" t="s">
        <v>104</v>
      </c>
      <c r="E5" s="148"/>
      <c r="F5" s="34" t="s">
        <v>105</v>
      </c>
    </row>
    <row r="6" spans="1:6" ht="66.5" thickBot="1" x14ac:dyDescent="0.4">
      <c r="A6" s="93" t="s">
        <v>658</v>
      </c>
      <c r="B6" s="170"/>
      <c r="C6" s="167"/>
      <c r="D6" s="57"/>
      <c r="E6" s="149"/>
      <c r="F6" s="34"/>
    </row>
    <row r="7" spans="1:6" ht="82.5" x14ac:dyDescent="0.35">
      <c r="A7" s="34" t="s">
        <v>653</v>
      </c>
      <c r="B7" s="147" t="s">
        <v>660</v>
      </c>
      <c r="C7" s="171" t="s">
        <v>666</v>
      </c>
      <c r="D7" s="96" t="s">
        <v>102</v>
      </c>
      <c r="E7" s="142" t="s">
        <v>672</v>
      </c>
      <c r="F7" s="97" t="s">
        <v>103</v>
      </c>
    </row>
    <row r="8" spans="1:6" ht="49.5" x14ac:dyDescent="0.35">
      <c r="A8" s="34" t="s">
        <v>654</v>
      </c>
      <c r="B8" s="148"/>
      <c r="C8" s="166"/>
      <c r="D8" s="57" t="s">
        <v>100</v>
      </c>
      <c r="E8" s="143"/>
      <c r="F8" s="34" t="s">
        <v>101</v>
      </c>
    </row>
    <row r="9" spans="1:6" ht="66" x14ac:dyDescent="0.35">
      <c r="A9" s="34" t="s">
        <v>655</v>
      </c>
      <c r="B9" s="148"/>
      <c r="C9" s="166"/>
      <c r="D9" s="57" t="s">
        <v>104</v>
      </c>
      <c r="E9" s="143"/>
      <c r="F9" s="34" t="s">
        <v>105</v>
      </c>
    </row>
    <row r="10" spans="1:6" ht="66" x14ac:dyDescent="0.35">
      <c r="A10" s="34" t="s">
        <v>656</v>
      </c>
      <c r="B10" s="148"/>
      <c r="C10" s="166"/>
      <c r="D10" s="57"/>
      <c r="E10" s="143"/>
      <c r="F10" s="4"/>
    </row>
    <row r="11" spans="1:6" ht="50" thickBot="1" x14ac:dyDescent="0.4">
      <c r="A11" s="93" t="s">
        <v>654</v>
      </c>
      <c r="B11" s="149"/>
      <c r="C11" s="167"/>
      <c r="D11" s="94"/>
      <c r="E11" s="144"/>
      <c r="F11" s="93"/>
    </row>
    <row r="12" spans="1:6" ht="82.5" x14ac:dyDescent="0.35">
      <c r="A12" s="34" t="s">
        <v>653</v>
      </c>
      <c r="B12" s="148" t="s">
        <v>661</v>
      </c>
      <c r="C12" s="172" t="s">
        <v>667</v>
      </c>
      <c r="D12" s="57" t="s">
        <v>106</v>
      </c>
      <c r="E12" s="142" t="s">
        <v>673</v>
      </c>
      <c r="F12" s="79" t="s">
        <v>103</v>
      </c>
    </row>
    <row r="13" spans="1:6" ht="49.5" x14ac:dyDescent="0.35">
      <c r="A13" s="34" t="s">
        <v>654</v>
      </c>
      <c r="B13" s="148"/>
      <c r="C13" s="169"/>
      <c r="D13" s="57" t="s">
        <v>107</v>
      </c>
      <c r="E13" s="143"/>
      <c r="F13" s="79" t="s">
        <v>101</v>
      </c>
    </row>
    <row r="14" spans="1:6" ht="66.5" thickBot="1" x14ac:dyDescent="0.4">
      <c r="A14" s="93" t="s">
        <v>655</v>
      </c>
      <c r="B14" s="148"/>
      <c r="C14" s="170"/>
      <c r="D14" s="57" t="s">
        <v>104</v>
      </c>
      <c r="E14" s="144"/>
      <c r="F14" s="79" t="s">
        <v>105</v>
      </c>
    </row>
    <row r="15" spans="1:6" ht="82.5" x14ac:dyDescent="0.35">
      <c r="A15" s="34" t="s">
        <v>653</v>
      </c>
      <c r="B15" s="147" t="s">
        <v>662</v>
      </c>
      <c r="C15" s="171" t="s">
        <v>668</v>
      </c>
      <c r="D15" s="96" t="s">
        <v>102</v>
      </c>
      <c r="E15" s="142" t="s">
        <v>674</v>
      </c>
      <c r="F15" s="97" t="s">
        <v>103</v>
      </c>
    </row>
    <row r="16" spans="1:6" ht="66" x14ac:dyDescent="0.35">
      <c r="A16" s="34" t="s">
        <v>655</v>
      </c>
      <c r="B16" s="148"/>
      <c r="C16" s="166"/>
      <c r="D16" s="57" t="s">
        <v>108</v>
      </c>
      <c r="E16" s="143"/>
      <c r="F16" s="79" t="s">
        <v>101</v>
      </c>
    </row>
    <row r="17" spans="1:6" ht="82.5" x14ac:dyDescent="0.35">
      <c r="A17" s="34" t="s">
        <v>657</v>
      </c>
      <c r="B17" s="148"/>
      <c r="C17" s="166"/>
      <c r="D17" s="79" t="s">
        <v>104</v>
      </c>
      <c r="E17" s="143"/>
      <c r="F17" s="79" t="s">
        <v>105</v>
      </c>
    </row>
    <row r="18" spans="1:6" ht="66.5" thickBot="1" x14ac:dyDescent="0.4">
      <c r="A18" s="93" t="s">
        <v>658</v>
      </c>
      <c r="B18" s="148"/>
      <c r="C18" s="166"/>
      <c r="D18" s="57"/>
      <c r="E18" s="144"/>
      <c r="F18" s="34"/>
    </row>
    <row r="19" spans="1:6" ht="82.5" x14ac:dyDescent="0.35">
      <c r="A19" s="34" t="s">
        <v>653</v>
      </c>
      <c r="B19" s="147" t="s">
        <v>663</v>
      </c>
      <c r="C19" s="145" t="s">
        <v>669</v>
      </c>
      <c r="D19" s="96" t="s">
        <v>102</v>
      </c>
      <c r="E19" s="142" t="s">
        <v>675</v>
      </c>
      <c r="F19" s="97" t="s">
        <v>103</v>
      </c>
    </row>
    <row r="20" spans="1:6" ht="49.5" x14ac:dyDescent="0.35">
      <c r="A20" s="34" t="s">
        <v>654</v>
      </c>
      <c r="B20" s="154"/>
      <c r="C20" s="146"/>
      <c r="D20" s="57" t="s">
        <v>100</v>
      </c>
      <c r="E20" s="143"/>
      <c r="F20" s="79" t="s">
        <v>101</v>
      </c>
    </row>
    <row r="21" spans="1:6" ht="66" x14ac:dyDescent="0.35">
      <c r="A21" s="34" t="s">
        <v>655</v>
      </c>
      <c r="B21" s="154"/>
      <c r="C21" s="146"/>
      <c r="D21" s="57" t="s">
        <v>104</v>
      </c>
      <c r="E21" s="143"/>
      <c r="F21" s="79" t="s">
        <v>105</v>
      </c>
    </row>
    <row r="22" spans="1:6" ht="66.5" thickBot="1" x14ac:dyDescent="0.4">
      <c r="A22" s="93" t="s">
        <v>658</v>
      </c>
      <c r="B22" s="155"/>
      <c r="C22" s="156"/>
      <c r="D22" s="94"/>
      <c r="E22" s="144"/>
      <c r="F22" s="93"/>
    </row>
    <row r="23" spans="1:6" ht="82.5" x14ac:dyDescent="0.35">
      <c r="A23" s="34" t="s">
        <v>653</v>
      </c>
      <c r="B23" s="147" t="s">
        <v>664</v>
      </c>
      <c r="C23" s="145" t="s">
        <v>670</v>
      </c>
      <c r="D23" s="57" t="s">
        <v>109</v>
      </c>
      <c r="E23" s="147" t="s">
        <v>676</v>
      </c>
      <c r="F23" s="34" t="s">
        <v>110</v>
      </c>
    </row>
    <row r="24" spans="1:6" ht="49.5" x14ac:dyDescent="0.35">
      <c r="A24" s="34" t="s">
        <v>654</v>
      </c>
      <c r="B24" s="154"/>
      <c r="C24" s="146"/>
      <c r="D24" s="57" t="s">
        <v>100</v>
      </c>
      <c r="E24" s="148"/>
      <c r="F24" s="79" t="s">
        <v>101</v>
      </c>
    </row>
    <row r="25" spans="1:6" ht="66" x14ac:dyDescent="0.35">
      <c r="A25" s="34" t="s">
        <v>656</v>
      </c>
      <c r="B25" s="154"/>
      <c r="C25" s="146"/>
      <c r="D25" s="57" t="s">
        <v>104</v>
      </c>
      <c r="E25" s="148"/>
      <c r="F25" s="79" t="s">
        <v>105</v>
      </c>
    </row>
    <row r="26" spans="1:6" ht="82.5" x14ac:dyDescent="0.35">
      <c r="A26" s="34" t="s">
        <v>657</v>
      </c>
      <c r="B26" s="154"/>
      <c r="C26" s="146"/>
      <c r="D26" s="79"/>
      <c r="E26" s="148"/>
      <c r="F26" s="79"/>
    </row>
    <row r="27" spans="1:6" ht="66.5" thickBot="1" x14ac:dyDescent="0.4">
      <c r="A27" s="93" t="s">
        <v>658</v>
      </c>
      <c r="B27" s="155"/>
      <c r="C27" s="156"/>
      <c r="D27" s="102"/>
      <c r="E27" s="163"/>
      <c r="F27" s="101"/>
    </row>
    <row r="28" spans="1:6" ht="16.5" x14ac:dyDescent="0.35">
      <c r="A28" s="34"/>
      <c r="B28" s="15"/>
      <c r="C28" s="79"/>
      <c r="D28" s="79"/>
      <c r="E28" s="79"/>
      <c r="F28" s="34"/>
    </row>
    <row r="29" spans="1:6" ht="16.5" x14ac:dyDescent="0.35">
      <c r="A29" s="34"/>
    </row>
    <row r="30" spans="1:6" ht="16.5" x14ac:dyDescent="0.35">
      <c r="A30" s="34"/>
    </row>
    <row r="31" spans="1:6" ht="16.5" x14ac:dyDescent="0.35">
      <c r="A31" s="34"/>
    </row>
    <row r="32" spans="1:6" ht="16.5" x14ac:dyDescent="0.35">
      <c r="A32" s="34"/>
    </row>
    <row r="33" spans="1:1" ht="16.5" x14ac:dyDescent="0.35">
      <c r="A33" s="34"/>
    </row>
    <row r="34" spans="1:1" ht="16.5" x14ac:dyDescent="0.35">
      <c r="A34" s="34"/>
    </row>
    <row r="35" spans="1:1" ht="16.5" x14ac:dyDescent="0.35">
      <c r="A35" s="34"/>
    </row>
    <row r="36" spans="1:1" ht="16.5" x14ac:dyDescent="0.35">
      <c r="A36" s="34"/>
    </row>
    <row r="37" spans="1:1" ht="16.5" x14ac:dyDescent="0.35">
      <c r="A37" s="34"/>
    </row>
    <row r="38" spans="1:1" ht="16.5" x14ac:dyDescent="0.35">
      <c r="A38" s="34"/>
    </row>
    <row r="39" spans="1:1" ht="16.5" x14ac:dyDescent="0.35">
      <c r="A39" s="34"/>
    </row>
    <row r="40" spans="1:1" ht="16.5" x14ac:dyDescent="0.35">
      <c r="A40" s="34"/>
    </row>
    <row r="41" spans="1:1" ht="16.5" x14ac:dyDescent="0.35">
      <c r="A41" s="34"/>
    </row>
    <row r="42" spans="1:1" ht="16.5" x14ac:dyDescent="0.35">
      <c r="A42" s="34"/>
    </row>
    <row r="43" spans="1:1" ht="16.5" x14ac:dyDescent="0.35">
      <c r="A43" s="34"/>
    </row>
    <row r="44" spans="1:1" ht="16.5" x14ac:dyDescent="0.35">
      <c r="A44" s="34"/>
    </row>
    <row r="45" spans="1:1" ht="16.5" x14ac:dyDescent="0.35">
      <c r="A45" s="34"/>
    </row>
    <row r="46" spans="1:1" ht="16.5" x14ac:dyDescent="0.35">
      <c r="A46" s="34"/>
    </row>
  </sheetData>
  <mergeCells count="18">
    <mergeCell ref="B23:B27"/>
    <mergeCell ref="C23:C27"/>
    <mergeCell ref="C3:C6"/>
    <mergeCell ref="B3:B6"/>
    <mergeCell ref="B19:B22"/>
    <mergeCell ref="C19:C22"/>
    <mergeCell ref="B7:B11"/>
    <mergeCell ref="C7:C11"/>
    <mergeCell ref="B12:B14"/>
    <mergeCell ref="B15:B18"/>
    <mergeCell ref="C15:C18"/>
    <mergeCell ref="C12:C14"/>
    <mergeCell ref="E23:E27"/>
    <mergeCell ref="E3:E6"/>
    <mergeCell ref="E7:E11"/>
    <mergeCell ref="E12:E14"/>
    <mergeCell ref="E15:E18"/>
    <mergeCell ref="E19:E22"/>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6D4CE67-AD66-4854-B38B-39F44C18D0BA}">
          <x14:formula1>
            <xm:f>'Paso 3 Redacción RA'!$I$3:$I$15</xm:f>
          </x14:formula1>
          <xm:sqref>A3:A46</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195A-FBC9-4847-94C9-3ADDAD335674}">
  <dimension ref="A1:U145"/>
  <sheetViews>
    <sheetView tabSelected="1" zoomScale="24" zoomScaleNormal="100" workbookViewId="0">
      <pane ySplit="2" topLeftCell="A116" activePane="bottomLeft" state="frozen"/>
      <selection activeCell="B1" sqref="B1"/>
      <selection pane="bottomLeft" activeCell="Q136" sqref="Q136"/>
    </sheetView>
  </sheetViews>
  <sheetFormatPr baseColWidth="10" defaultColWidth="14.7265625" defaultRowHeight="16.5" x14ac:dyDescent="0.5"/>
  <cols>
    <col min="1" max="1" width="14.7265625" style="1"/>
    <col min="2" max="2" width="99.90625" style="5" customWidth="1"/>
    <col min="3" max="3" width="18.453125" style="7" customWidth="1"/>
    <col min="4" max="4" width="33.7265625" style="6" bestFit="1" customWidth="1"/>
    <col min="5" max="5" width="36.26953125" style="5" customWidth="1"/>
    <col min="6" max="6" width="13.81640625" style="6" customWidth="1"/>
    <col min="7" max="7" width="14.54296875" style="6" customWidth="1"/>
    <col min="8" max="8" width="12.7265625" style="7" customWidth="1"/>
    <col min="9" max="11" width="15.453125" style="7" customWidth="1"/>
    <col min="12" max="12" width="13.1796875" style="7" customWidth="1"/>
    <col min="13" max="13" width="23.81640625" style="7" customWidth="1"/>
    <col min="14" max="14" width="23.54296875" style="7" customWidth="1"/>
    <col min="15" max="15" width="13.1796875" style="7" customWidth="1"/>
    <col min="16" max="16" width="38.81640625" style="5" customWidth="1"/>
    <col min="17" max="17" width="44" style="5" customWidth="1"/>
    <col min="18" max="18" width="42.54296875" style="5" customWidth="1"/>
    <col min="19" max="19" width="48" style="5" customWidth="1"/>
    <col min="20" max="20" width="4.6328125" style="6" bestFit="1" customWidth="1"/>
    <col min="21" max="21" width="3.08984375" style="7" bestFit="1" customWidth="1"/>
    <col min="22" max="16384" width="14.7265625" style="7"/>
  </cols>
  <sheetData>
    <row r="1" spans="1:21" s="90" customFormat="1" ht="65" x14ac:dyDescent="0.35">
      <c r="A1" s="80" t="s">
        <v>111</v>
      </c>
      <c r="B1" s="80" t="s">
        <v>112</v>
      </c>
      <c r="C1" s="80" t="s">
        <v>113</v>
      </c>
      <c r="D1" s="80" t="s">
        <v>114</v>
      </c>
      <c r="E1" s="80" t="s">
        <v>115</v>
      </c>
      <c r="F1" s="150" t="s">
        <v>627</v>
      </c>
      <c r="G1" s="151"/>
      <c r="H1" s="80" t="s">
        <v>116</v>
      </c>
      <c r="I1" s="152" t="s">
        <v>117</v>
      </c>
      <c r="J1" s="152"/>
      <c r="K1" s="152"/>
      <c r="L1" s="80" t="s">
        <v>118</v>
      </c>
      <c r="M1" s="80" t="s">
        <v>119</v>
      </c>
      <c r="N1" s="80" t="s">
        <v>120</v>
      </c>
      <c r="O1" s="80" t="s">
        <v>121</v>
      </c>
      <c r="P1" s="80" t="s">
        <v>122</v>
      </c>
      <c r="Q1" s="80" t="s">
        <v>123</v>
      </c>
      <c r="R1" s="80" t="s">
        <v>124</v>
      </c>
      <c r="S1" s="80" t="s">
        <v>125</v>
      </c>
      <c r="T1" s="110"/>
      <c r="U1" s="7"/>
    </row>
    <row r="2" spans="1:21" s="90" customFormat="1" ht="33.5" thickBot="1" x14ac:dyDescent="0.4">
      <c r="A2" s="83" t="s">
        <v>126</v>
      </c>
      <c r="B2" s="83" t="s">
        <v>94</v>
      </c>
      <c r="C2" s="83" t="s">
        <v>127</v>
      </c>
      <c r="D2" s="83" t="s">
        <v>128</v>
      </c>
      <c r="E2" s="83" t="s">
        <v>129</v>
      </c>
      <c r="F2" s="83" t="s">
        <v>621</v>
      </c>
      <c r="G2" s="83" t="s">
        <v>622</v>
      </c>
      <c r="H2" s="83" t="s">
        <v>130</v>
      </c>
      <c r="I2" s="83" t="s">
        <v>131</v>
      </c>
      <c r="J2" s="83" t="s">
        <v>132</v>
      </c>
      <c r="K2" s="83" t="s">
        <v>133</v>
      </c>
      <c r="L2" s="83" t="s">
        <v>134</v>
      </c>
      <c r="M2" s="83" t="s">
        <v>135</v>
      </c>
      <c r="N2" s="83" t="s">
        <v>136</v>
      </c>
      <c r="O2" s="83" t="s">
        <v>137</v>
      </c>
      <c r="P2" s="83" t="s">
        <v>138</v>
      </c>
      <c r="Q2" s="83" t="s">
        <v>139</v>
      </c>
      <c r="R2" s="83" t="s">
        <v>140</v>
      </c>
      <c r="S2" s="83" t="s">
        <v>141</v>
      </c>
      <c r="T2" s="111"/>
      <c r="U2" s="7"/>
    </row>
    <row r="3" spans="1:21" s="90" customFormat="1" ht="409.6" thickBot="1" x14ac:dyDescent="0.4">
      <c r="A3" s="103" t="str">
        <f>_xlfn.XLOOKUP(B3,'Paso 3 Redacción RA'!I$3:I$15,'Paso 3 Redacción RA'!C$3:C$15,,0,1)</f>
        <v>Saber</v>
      </c>
      <c r="B3" s="103" t="s">
        <v>63</v>
      </c>
      <c r="C3" s="104">
        <v>1</v>
      </c>
      <c r="D3" s="105" t="s">
        <v>142</v>
      </c>
      <c r="E3" s="106" t="s">
        <v>677</v>
      </c>
      <c r="F3" s="105"/>
      <c r="G3" s="105" t="s">
        <v>143</v>
      </c>
      <c r="H3" s="137" t="s">
        <v>146</v>
      </c>
      <c r="I3" s="104" t="s">
        <v>143</v>
      </c>
      <c r="J3" s="104"/>
      <c r="K3" s="104"/>
      <c r="L3" s="104">
        <v>3</v>
      </c>
      <c r="M3" s="104">
        <f>IF(F3="X", L3*16, IF(G3="X", L3*12, ""))</f>
        <v>36</v>
      </c>
      <c r="N3" s="104">
        <f>IF(F3="X", L3*32, IF(G3="X", L3*36, ""))</f>
        <v>108</v>
      </c>
      <c r="O3" s="104">
        <f>SUM(M3:N3)</f>
        <v>144</v>
      </c>
      <c r="P3" s="108" t="s">
        <v>623</v>
      </c>
      <c r="Q3" s="103" t="s">
        <v>783</v>
      </c>
      <c r="R3" s="106" t="s">
        <v>790</v>
      </c>
      <c r="S3" s="103" t="s">
        <v>144</v>
      </c>
      <c r="T3" s="6"/>
      <c r="U3" s="7"/>
    </row>
    <row r="4" spans="1:21" s="5" customFormat="1" ht="49.5" x14ac:dyDescent="0.35">
      <c r="A4" s="112" t="str">
        <f>_xlfn.XLOOKUP(B4,'Paso 3 Redacción RA'!I$3:I$15,'Paso 3 Redacción RA'!C$3:C$15,,0,1)</f>
        <v>Saber</v>
      </c>
      <c r="B4" s="100" t="s">
        <v>653</v>
      </c>
      <c r="C4" s="147">
        <v>1</v>
      </c>
      <c r="D4" s="147" t="s">
        <v>688</v>
      </c>
      <c r="E4" s="145" t="s">
        <v>689</v>
      </c>
      <c r="F4" s="147"/>
      <c r="G4" s="147" t="s">
        <v>143</v>
      </c>
      <c r="H4" s="147" t="s">
        <v>146</v>
      </c>
      <c r="I4" s="147"/>
      <c r="J4" s="147" t="s">
        <v>143</v>
      </c>
      <c r="K4" s="147"/>
      <c r="L4" s="147">
        <v>3</v>
      </c>
      <c r="M4" s="142">
        <f>IF(F4="X", L4*16, IF(G4="X", L4*12, ""))</f>
        <v>36</v>
      </c>
      <c r="N4" s="142">
        <f>IF(F4="X", L4*32, IF(G4="X", L4*36, ""))</f>
        <v>108</v>
      </c>
      <c r="O4" s="147">
        <f>SUM(M4:N4)</f>
        <v>144</v>
      </c>
      <c r="P4" s="145" t="s">
        <v>751</v>
      </c>
      <c r="Q4" s="145" t="s">
        <v>785</v>
      </c>
      <c r="R4" s="145" t="s">
        <v>787</v>
      </c>
      <c r="S4" s="145" t="s">
        <v>144</v>
      </c>
      <c r="T4" s="6"/>
      <c r="U4" s="6"/>
    </row>
    <row r="5" spans="1:21" s="5" customFormat="1" ht="33" x14ac:dyDescent="0.35">
      <c r="A5" s="98" t="str">
        <f>_xlfn.XLOOKUP(B5,'Paso 3 Redacción RA'!I$3:I$15,'Paso 3 Redacción RA'!C$3:C$15,,0,1)</f>
        <v>SaberHacer</v>
      </c>
      <c r="B5" s="79" t="s">
        <v>654</v>
      </c>
      <c r="C5" s="148"/>
      <c r="D5" s="148"/>
      <c r="E5" s="146"/>
      <c r="F5" s="148"/>
      <c r="G5" s="148"/>
      <c r="H5" s="148"/>
      <c r="I5" s="148"/>
      <c r="J5" s="148"/>
      <c r="K5" s="148"/>
      <c r="L5" s="148"/>
      <c r="M5" s="143"/>
      <c r="N5" s="143"/>
      <c r="O5" s="148"/>
      <c r="P5" s="146"/>
      <c r="Q5" s="146"/>
      <c r="R5" s="146"/>
      <c r="S5" s="146"/>
      <c r="T5" s="6"/>
      <c r="U5" s="6"/>
    </row>
    <row r="6" spans="1:21" s="5" customFormat="1" ht="50" thickBot="1" x14ac:dyDescent="0.4">
      <c r="A6" s="99" t="str">
        <f>_xlfn.XLOOKUP(B6,'Paso 3 Redacción RA'!I$3:I$15,'Paso 3 Redacción RA'!C$3:C$15,,0,1)</f>
        <v>SaberSer</v>
      </c>
      <c r="B6" s="95" t="s">
        <v>655</v>
      </c>
      <c r="C6" s="149"/>
      <c r="D6" s="149"/>
      <c r="E6" s="146"/>
      <c r="F6" s="149"/>
      <c r="G6" s="149"/>
      <c r="H6" s="148"/>
      <c r="I6" s="148"/>
      <c r="J6" s="148"/>
      <c r="K6" s="148"/>
      <c r="L6" s="148"/>
      <c r="M6" s="144"/>
      <c r="N6" s="144"/>
      <c r="O6" s="148"/>
      <c r="P6" s="146"/>
      <c r="Q6" s="146"/>
      <c r="R6" s="146"/>
      <c r="S6" s="146"/>
      <c r="T6" s="6"/>
      <c r="U6" s="6"/>
    </row>
    <row r="7" spans="1:21" s="98" customFormat="1" ht="49.5" x14ac:dyDescent="0.35">
      <c r="A7" s="112" t="str">
        <f>_xlfn.XLOOKUP(B7,'Paso 3 Redacción RA'!I$3:I$15,'Paso 3 Redacción RA'!C$3:C$15,,0,1)</f>
        <v>Saber</v>
      </c>
      <c r="B7" s="100" t="s">
        <v>653</v>
      </c>
      <c r="C7" s="157">
        <v>1</v>
      </c>
      <c r="D7" s="142" t="s">
        <v>684</v>
      </c>
      <c r="E7" s="145" t="s">
        <v>685</v>
      </c>
      <c r="F7" s="147" t="s">
        <v>143</v>
      </c>
      <c r="G7" s="147"/>
      <c r="H7" s="142" t="s">
        <v>146</v>
      </c>
      <c r="I7" s="142"/>
      <c r="J7" s="142" t="s">
        <v>143</v>
      </c>
      <c r="K7" s="142"/>
      <c r="L7" s="142">
        <v>3</v>
      </c>
      <c r="M7" s="142">
        <f>IF(F7="X", L7*16, IF(G7="X", L7*12, ""))</f>
        <v>48</v>
      </c>
      <c r="N7" s="142">
        <f>IF(F7="X", L7*32, IF(G7="X", L7*36, ""))</f>
        <v>96</v>
      </c>
      <c r="O7" s="142">
        <f>SUM(M7:N7)</f>
        <v>144</v>
      </c>
      <c r="P7" s="140" t="s">
        <v>749</v>
      </c>
      <c r="Q7" s="140" t="s">
        <v>780</v>
      </c>
      <c r="R7" s="140" t="s">
        <v>781</v>
      </c>
      <c r="S7" s="140" t="s">
        <v>144</v>
      </c>
      <c r="T7" s="6"/>
      <c r="U7" s="7"/>
    </row>
    <row r="8" spans="1:21" s="98" customFormat="1" ht="33" x14ac:dyDescent="0.35">
      <c r="A8" s="98" t="str">
        <f>_xlfn.XLOOKUP(B8,'Paso 3 Redacción RA'!I$3:I$15,'Paso 3 Redacción RA'!C$3:C$15,,0,1)</f>
        <v>SaberHacer</v>
      </c>
      <c r="B8" s="79" t="s">
        <v>656</v>
      </c>
      <c r="C8" s="154"/>
      <c r="D8" s="143"/>
      <c r="E8" s="146"/>
      <c r="F8" s="148"/>
      <c r="G8" s="148"/>
      <c r="H8" s="143"/>
      <c r="I8" s="143"/>
      <c r="J8" s="143"/>
      <c r="K8" s="143"/>
      <c r="L8" s="143"/>
      <c r="M8" s="143"/>
      <c r="N8" s="143"/>
      <c r="O8" s="143"/>
      <c r="P8" s="141"/>
      <c r="Q8" s="141"/>
      <c r="R8" s="141"/>
      <c r="S8" s="141"/>
      <c r="T8" s="6"/>
      <c r="U8" s="7"/>
    </row>
    <row r="9" spans="1:21" s="98" customFormat="1" ht="50" thickBot="1" x14ac:dyDescent="0.4">
      <c r="A9" s="99" t="str">
        <f>_xlfn.XLOOKUP(B9,'Paso 3 Redacción RA'!I$3:I$15,'Paso 3 Redacción RA'!C$3:C$15,,0,1)</f>
        <v>Saber</v>
      </c>
      <c r="B9" s="95" t="s">
        <v>658</v>
      </c>
      <c r="C9" s="155"/>
      <c r="D9" s="144"/>
      <c r="E9" s="156"/>
      <c r="F9" s="149"/>
      <c r="G9" s="149"/>
      <c r="H9" s="144"/>
      <c r="I9" s="144"/>
      <c r="J9" s="144"/>
      <c r="K9" s="144"/>
      <c r="L9" s="144"/>
      <c r="M9" s="144"/>
      <c r="N9" s="144"/>
      <c r="O9" s="144"/>
      <c r="P9" s="153"/>
      <c r="Q9" s="153"/>
      <c r="R9" s="153"/>
      <c r="S9" s="153"/>
      <c r="T9" s="6"/>
      <c r="U9" s="7"/>
    </row>
    <row r="10" spans="1:21" s="98" customFormat="1" ht="409.6" thickBot="1" x14ac:dyDescent="0.4">
      <c r="A10" s="106" t="str">
        <f>_xlfn.XLOOKUP(B10,'Paso 3 Redacción RA'!I$3:I$15,'Paso 3 Redacción RA'!C$3:C$15,,0,1)</f>
        <v>Saber</v>
      </c>
      <c r="B10" s="106" t="s">
        <v>63</v>
      </c>
      <c r="C10" s="105">
        <v>1</v>
      </c>
      <c r="D10" s="105" t="s">
        <v>619</v>
      </c>
      <c r="E10" s="106" t="s">
        <v>145</v>
      </c>
      <c r="F10" s="105"/>
      <c r="G10" s="105" t="s">
        <v>143</v>
      </c>
      <c r="H10" s="105" t="s">
        <v>146</v>
      </c>
      <c r="I10" s="104" t="s">
        <v>143</v>
      </c>
      <c r="J10" s="104"/>
      <c r="K10" s="104"/>
      <c r="L10" s="104">
        <v>3</v>
      </c>
      <c r="M10" s="104">
        <f>IF(F10="X", L10*16, IF(G10="X", L10*12, ""))</f>
        <v>36</v>
      </c>
      <c r="N10" s="104">
        <f>IF(F10="X", L10*32, IF(G10="X", L10*36, ""))</f>
        <v>108</v>
      </c>
      <c r="O10" s="104">
        <f>SUM(M10:N10)</f>
        <v>144</v>
      </c>
      <c r="P10" s="103" t="s">
        <v>147</v>
      </c>
      <c r="Q10" s="103" t="s">
        <v>783</v>
      </c>
      <c r="R10" s="103" t="s">
        <v>790</v>
      </c>
      <c r="S10" s="103" t="s">
        <v>144</v>
      </c>
      <c r="T10" s="6"/>
      <c r="U10" s="7"/>
    </row>
    <row r="11" spans="1:21" s="5" customFormat="1" ht="49.5" x14ac:dyDescent="0.35">
      <c r="A11" s="112" t="str">
        <f>_xlfn.XLOOKUP(B11,'Paso 3 Redacción RA'!I$3:I$15,'Paso 3 Redacción RA'!C$3:C$15,,0,1)</f>
        <v>Saber</v>
      </c>
      <c r="B11" s="100" t="s">
        <v>653</v>
      </c>
      <c r="C11" s="147">
        <v>1</v>
      </c>
      <c r="D11" s="147" t="s">
        <v>686</v>
      </c>
      <c r="E11" s="146" t="s">
        <v>687</v>
      </c>
      <c r="F11" s="147" t="s">
        <v>143</v>
      </c>
      <c r="G11" s="147"/>
      <c r="H11" s="148" t="s">
        <v>747</v>
      </c>
      <c r="I11" s="148"/>
      <c r="J11" s="148" t="s">
        <v>143</v>
      </c>
      <c r="K11" s="148"/>
      <c r="L11" s="148">
        <v>3</v>
      </c>
      <c r="M11" s="142">
        <f>IF(F11="X", L11*16, IF(G11="X", L11*12, ""))</f>
        <v>48</v>
      </c>
      <c r="N11" s="142">
        <f>IF(F11="X", L11*32, IF(G11="X", L11*36, ""))</f>
        <v>96</v>
      </c>
      <c r="O11" s="148">
        <f>SUM(M11:N11)</f>
        <v>144</v>
      </c>
      <c r="P11" s="146" t="s">
        <v>750</v>
      </c>
      <c r="Q11" s="146" t="s">
        <v>780</v>
      </c>
      <c r="R11" s="146" t="s">
        <v>781</v>
      </c>
      <c r="S11" s="146" t="s">
        <v>144</v>
      </c>
      <c r="T11" s="6"/>
      <c r="U11" s="6"/>
    </row>
    <row r="12" spans="1:21" s="5" customFormat="1" ht="33" x14ac:dyDescent="0.35">
      <c r="A12" s="98" t="str">
        <f>_xlfn.XLOOKUP(B12,'Paso 3 Redacción RA'!I$3:I$15,'Paso 3 Redacción RA'!C$3:C$15,,0,1)</f>
        <v>SaberHacer</v>
      </c>
      <c r="B12" s="79" t="s">
        <v>654</v>
      </c>
      <c r="C12" s="148"/>
      <c r="D12" s="148"/>
      <c r="E12" s="146"/>
      <c r="F12" s="148"/>
      <c r="G12" s="148"/>
      <c r="H12" s="148"/>
      <c r="I12" s="148"/>
      <c r="J12" s="148"/>
      <c r="K12" s="148"/>
      <c r="L12" s="148"/>
      <c r="M12" s="143"/>
      <c r="N12" s="143"/>
      <c r="O12" s="148"/>
      <c r="P12" s="146"/>
      <c r="Q12" s="146"/>
      <c r="R12" s="146"/>
      <c r="S12" s="146"/>
      <c r="T12" s="6"/>
      <c r="U12" s="6"/>
    </row>
    <row r="13" spans="1:21" s="5" customFormat="1" ht="49.5" x14ac:dyDescent="0.35">
      <c r="A13" s="98" t="str">
        <f>_xlfn.XLOOKUP(B13,'Paso 3 Redacción RA'!I$3:I$15,'Paso 3 Redacción RA'!C$3:C$15,,0,1)</f>
        <v>Saber</v>
      </c>
      <c r="B13" s="79" t="s">
        <v>657</v>
      </c>
      <c r="C13" s="148"/>
      <c r="D13" s="148"/>
      <c r="E13" s="146"/>
      <c r="F13" s="148"/>
      <c r="G13" s="148"/>
      <c r="H13" s="148"/>
      <c r="I13" s="148"/>
      <c r="J13" s="148"/>
      <c r="K13" s="148"/>
      <c r="L13" s="148"/>
      <c r="M13" s="143"/>
      <c r="N13" s="143"/>
      <c r="O13" s="148"/>
      <c r="P13" s="146"/>
      <c r="Q13" s="146"/>
      <c r="R13" s="146"/>
      <c r="S13" s="146"/>
      <c r="T13" s="6"/>
      <c r="U13" s="6"/>
    </row>
    <row r="14" spans="1:21" s="5" customFormat="1" ht="50" thickBot="1" x14ac:dyDescent="0.4">
      <c r="A14" s="99" t="str">
        <f>_xlfn.XLOOKUP(B14,'Paso 3 Redacción RA'!I$3:I$15,'Paso 3 Redacción RA'!C$3:C$15,,0,1)</f>
        <v>SaberSer</v>
      </c>
      <c r="B14" s="95" t="s">
        <v>655</v>
      </c>
      <c r="C14" s="149"/>
      <c r="D14" s="149"/>
      <c r="E14" s="146"/>
      <c r="F14" s="149"/>
      <c r="G14" s="149"/>
      <c r="H14" s="148"/>
      <c r="I14" s="148"/>
      <c r="J14" s="148"/>
      <c r="K14" s="148"/>
      <c r="L14" s="148"/>
      <c r="M14" s="144"/>
      <c r="N14" s="144"/>
      <c r="O14" s="148"/>
      <c r="P14" s="146"/>
      <c r="Q14" s="146"/>
      <c r="R14" s="146"/>
      <c r="S14" s="146"/>
      <c r="T14" s="6">
        <f>SUM(L3:L14)</f>
        <v>15</v>
      </c>
      <c r="U14" s="6">
        <f>COUNTA(D3:D14)</f>
        <v>5</v>
      </c>
    </row>
    <row r="15" spans="1:21" ht="49.5" x14ac:dyDescent="0.35">
      <c r="A15" s="112" t="str">
        <f>_xlfn.XLOOKUP(B15,'Paso 3 Redacción RA'!I$3:I$15,'Paso 3 Redacción RA'!C$3:C$15,,0,1)</f>
        <v>Saber</v>
      </c>
      <c r="B15" s="100" t="s">
        <v>653</v>
      </c>
      <c r="C15" s="142">
        <v>2</v>
      </c>
      <c r="D15" s="142" t="s">
        <v>690</v>
      </c>
      <c r="E15" s="145" t="s">
        <v>691</v>
      </c>
      <c r="F15" s="147"/>
      <c r="G15" s="147" t="s">
        <v>143</v>
      </c>
      <c r="H15" s="142" t="s">
        <v>146</v>
      </c>
      <c r="I15" s="142"/>
      <c r="J15" s="142" t="s">
        <v>143</v>
      </c>
      <c r="K15" s="142"/>
      <c r="L15" s="142">
        <v>3</v>
      </c>
      <c r="M15" s="142">
        <f>IF(F15="X", L15*16, IF(G15="X", L15*12, ""))</f>
        <v>36</v>
      </c>
      <c r="N15" s="142">
        <f>IF(F15="X", L15*32, IF(G15="X", L15*36, ""))</f>
        <v>108</v>
      </c>
      <c r="O15" s="142">
        <f>SUM(M15:N15)</f>
        <v>144</v>
      </c>
      <c r="P15" s="140" t="s">
        <v>752</v>
      </c>
      <c r="Q15" s="140" t="s">
        <v>784</v>
      </c>
      <c r="R15" s="140" t="s">
        <v>789</v>
      </c>
      <c r="S15" s="140" t="s">
        <v>144</v>
      </c>
    </row>
    <row r="16" spans="1:21" ht="33" x14ac:dyDescent="0.35">
      <c r="A16" s="98" t="str">
        <f>_xlfn.XLOOKUP(B16,'Paso 3 Redacción RA'!I$3:I$15,'Paso 3 Redacción RA'!C$3:C$15,,0,1)</f>
        <v>SaberHacer</v>
      </c>
      <c r="B16" s="79" t="s">
        <v>654</v>
      </c>
      <c r="C16" s="143"/>
      <c r="D16" s="143"/>
      <c r="E16" s="146"/>
      <c r="F16" s="148"/>
      <c r="G16" s="148"/>
      <c r="H16" s="143"/>
      <c r="I16" s="143"/>
      <c r="J16" s="143"/>
      <c r="K16" s="143"/>
      <c r="L16" s="143"/>
      <c r="M16" s="143"/>
      <c r="N16" s="143"/>
      <c r="O16" s="143"/>
      <c r="P16" s="141"/>
      <c r="Q16" s="141"/>
      <c r="R16" s="141"/>
      <c r="S16" s="141"/>
    </row>
    <row r="17" spans="1:21" ht="50" thickBot="1" x14ac:dyDescent="0.4">
      <c r="A17" s="99" t="str">
        <f>_xlfn.XLOOKUP(B17,'Paso 3 Redacción RA'!I$3:I$15,'Paso 3 Redacción RA'!C$3:C$15,,0,1)</f>
        <v>Saber</v>
      </c>
      <c r="B17" s="95" t="s">
        <v>657</v>
      </c>
      <c r="C17" s="144"/>
      <c r="D17" s="144"/>
      <c r="E17" s="156"/>
      <c r="F17" s="149"/>
      <c r="G17" s="149"/>
      <c r="H17" s="144"/>
      <c r="I17" s="144"/>
      <c r="J17" s="144"/>
      <c r="K17" s="144"/>
      <c r="L17" s="144"/>
      <c r="M17" s="144"/>
      <c r="N17" s="144"/>
      <c r="O17" s="144"/>
      <c r="P17" s="153"/>
      <c r="Q17" s="153"/>
      <c r="R17" s="153"/>
      <c r="S17" s="153"/>
    </row>
    <row r="18" spans="1:21" s="98" customFormat="1" ht="49.5" x14ac:dyDescent="0.35">
      <c r="A18" s="112" t="str">
        <f>_xlfn.XLOOKUP(B18,'Paso 3 Redacción RA'!I$3:I$15,'Paso 3 Redacción RA'!C$3:C$15,,0,1)</f>
        <v>Saber</v>
      </c>
      <c r="B18" s="100" t="s">
        <v>653</v>
      </c>
      <c r="C18" s="142">
        <v>2</v>
      </c>
      <c r="D18" s="142" t="s">
        <v>705</v>
      </c>
      <c r="E18" s="145" t="s">
        <v>706</v>
      </c>
      <c r="F18" s="147" t="s">
        <v>143</v>
      </c>
      <c r="G18" s="147"/>
      <c r="H18" s="142" t="s">
        <v>146</v>
      </c>
      <c r="I18" s="142"/>
      <c r="J18" s="142" t="s">
        <v>143</v>
      </c>
      <c r="K18" s="142"/>
      <c r="L18" s="142">
        <v>3</v>
      </c>
      <c r="M18" s="142">
        <f>IF(F18="X", L18*16, IF(G18="X", L18*12, ""))</f>
        <v>48</v>
      </c>
      <c r="N18" s="142">
        <f>IF(F18="X", L18*32, IF(G18="X", L18*36, ""))</f>
        <v>96</v>
      </c>
      <c r="O18" s="142">
        <v>192</v>
      </c>
      <c r="P18" s="140" t="s">
        <v>759</v>
      </c>
      <c r="Q18" s="140" t="s">
        <v>780</v>
      </c>
      <c r="R18" s="140" t="s">
        <v>781</v>
      </c>
      <c r="S18" s="140" t="s">
        <v>144</v>
      </c>
      <c r="T18" s="6"/>
      <c r="U18" s="7"/>
    </row>
    <row r="19" spans="1:21" s="98" customFormat="1" ht="33" x14ac:dyDescent="0.35">
      <c r="A19" s="98" t="str">
        <f>_xlfn.XLOOKUP(B19,'Paso 3 Redacción RA'!I$3:I$15,'Paso 3 Redacción RA'!C$3:C$15,,0,1)</f>
        <v>SaberHacer</v>
      </c>
      <c r="B19" s="79" t="s">
        <v>654</v>
      </c>
      <c r="C19" s="143"/>
      <c r="D19" s="143"/>
      <c r="E19" s="146"/>
      <c r="F19" s="148"/>
      <c r="G19" s="148"/>
      <c r="H19" s="143"/>
      <c r="I19" s="143"/>
      <c r="J19" s="143"/>
      <c r="K19" s="143"/>
      <c r="L19" s="143"/>
      <c r="M19" s="143"/>
      <c r="N19" s="143"/>
      <c r="O19" s="143"/>
      <c r="P19" s="141"/>
      <c r="Q19" s="141"/>
      <c r="R19" s="141"/>
      <c r="S19" s="141"/>
      <c r="T19" s="6"/>
      <c r="U19" s="7"/>
    </row>
    <row r="20" spans="1:21" s="98" customFormat="1" ht="50" thickBot="1" x14ac:dyDescent="0.4">
      <c r="A20" s="99" t="str">
        <f>_xlfn.XLOOKUP(B20,'Paso 3 Redacción RA'!I$3:I$15,'Paso 3 Redacción RA'!C$3:C$15,,0,1)</f>
        <v>SaberSer</v>
      </c>
      <c r="B20" s="95" t="s">
        <v>655</v>
      </c>
      <c r="C20" s="144"/>
      <c r="D20" s="144"/>
      <c r="E20" s="146"/>
      <c r="F20" s="149"/>
      <c r="G20" s="149"/>
      <c r="H20" s="143"/>
      <c r="I20" s="143"/>
      <c r="J20" s="143"/>
      <c r="K20" s="143"/>
      <c r="L20" s="143"/>
      <c r="M20" s="144"/>
      <c r="N20" s="144"/>
      <c r="O20" s="143"/>
      <c r="P20" s="141"/>
      <c r="Q20" s="141"/>
      <c r="R20" s="141"/>
      <c r="S20" s="141"/>
      <c r="T20" s="6"/>
      <c r="U20" s="7"/>
    </row>
    <row r="21" spans="1:21" s="98" customFormat="1" ht="49.5" x14ac:dyDescent="0.35">
      <c r="A21" s="98" t="str">
        <f>_xlfn.XLOOKUP(B21,'Paso 3 Redacción RA'!I$3:I$15,'Paso 3 Redacción RA'!C$3:C$15,,0,1)</f>
        <v>Saber</v>
      </c>
      <c r="B21" s="100" t="s">
        <v>653</v>
      </c>
      <c r="C21" s="142">
        <v>2</v>
      </c>
      <c r="D21" s="142" t="s">
        <v>694</v>
      </c>
      <c r="E21" s="145" t="s">
        <v>695</v>
      </c>
      <c r="F21" s="147" t="s">
        <v>143</v>
      </c>
      <c r="G21" s="147"/>
      <c r="H21" s="142" t="s">
        <v>146</v>
      </c>
      <c r="I21" s="142"/>
      <c r="J21" s="142" t="s">
        <v>143</v>
      </c>
      <c r="K21" s="142"/>
      <c r="L21" s="142">
        <v>3</v>
      </c>
      <c r="M21" s="142">
        <f>IF(F21="X", L21*16, IF(G21="X", L21*12, ""))</f>
        <v>48</v>
      </c>
      <c r="N21" s="142">
        <f>IF(F21="X", L21*32, IF(G21="X", L21*36, ""))</f>
        <v>96</v>
      </c>
      <c r="O21" s="142">
        <f>SUM(M21:N21)</f>
        <v>144</v>
      </c>
      <c r="P21" s="140" t="s">
        <v>754</v>
      </c>
      <c r="Q21" s="140" t="s">
        <v>780</v>
      </c>
      <c r="R21" s="140" t="s">
        <v>782</v>
      </c>
      <c r="S21" s="140" t="s">
        <v>144</v>
      </c>
      <c r="T21" s="6"/>
      <c r="U21" s="7"/>
    </row>
    <row r="22" spans="1:21" s="98" customFormat="1" ht="33" x14ac:dyDescent="0.35">
      <c r="A22" s="98" t="str">
        <f>_xlfn.XLOOKUP(B22,'Paso 3 Redacción RA'!I$3:I$15,'Paso 3 Redacción RA'!C$3:C$15,,0,1)</f>
        <v>SaberHacer</v>
      </c>
      <c r="B22" s="79" t="s">
        <v>654</v>
      </c>
      <c r="C22" s="143"/>
      <c r="D22" s="143"/>
      <c r="E22" s="146"/>
      <c r="F22" s="148"/>
      <c r="G22" s="148"/>
      <c r="H22" s="143"/>
      <c r="I22" s="143"/>
      <c r="J22" s="143"/>
      <c r="K22" s="143"/>
      <c r="L22" s="143"/>
      <c r="M22" s="143"/>
      <c r="N22" s="143"/>
      <c r="O22" s="143"/>
      <c r="P22" s="141"/>
      <c r="Q22" s="141"/>
      <c r="R22" s="141"/>
      <c r="S22" s="141"/>
      <c r="T22" s="6"/>
      <c r="U22" s="7"/>
    </row>
    <row r="23" spans="1:21" s="98" customFormat="1" ht="49.5" x14ac:dyDescent="0.35">
      <c r="A23" s="98" t="str">
        <f>_xlfn.XLOOKUP(B23,'Paso 3 Redacción RA'!I$3:I$15,'Paso 3 Redacción RA'!C$3:C$15,,0,1)</f>
        <v>Saber</v>
      </c>
      <c r="B23" s="79" t="s">
        <v>658</v>
      </c>
      <c r="C23" s="143"/>
      <c r="D23" s="143"/>
      <c r="E23" s="146"/>
      <c r="F23" s="148"/>
      <c r="G23" s="148"/>
      <c r="H23" s="143"/>
      <c r="I23" s="143"/>
      <c r="J23" s="143"/>
      <c r="K23" s="143"/>
      <c r="L23" s="143"/>
      <c r="M23" s="143"/>
      <c r="N23" s="143"/>
      <c r="O23" s="143"/>
      <c r="P23" s="141"/>
      <c r="Q23" s="141"/>
      <c r="R23" s="141"/>
      <c r="S23" s="141"/>
      <c r="T23" s="6"/>
      <c r="U23" s="7"/>
    </row>
    <row r="24" spans="1:21" s="98" customFormat="1" ht="50" thickBot="1" x14ac:dyDescent="0.4">
      <c r="A24" s="99" t="str">
        <f>_xlfn.XLOOKUP(B24,'Paso 3 Redacción RA'!I$3:I$15,'Paso 3 Redacción RA'!C$3:C$15,,0,1)</f>
        <v>SaberSer</v>
      </c>
      <c r="B24" s="95" t="s">
        <v>655</v>
      </c>
      <c r="C24" s="144"/>
      <c r="D24" s="144"/>
      <c r="E24" s="146"/>
      <c r="F24" s="149"/>
      <c r="G24" s="149"/>
      <c r="H24" s="143"/>
      <c r="I24" s="143"/>
      <c r="J24" s="143"/>
      <c r="K24" s="143"/>
      <c r="L24" s="143"/>
      <c r="M24" s="144"/>
      <c r="N24" s="144"/>
      <c r="O24" s="144"/>
      <c r="P24" s="141"/>
      <c r="Q24" s="141"/>
      <c r="R24" s="141"/>
      <c r="S24" s="141"/>
      <c r="T24" s="6"/>
      <c r="U24" s="7"/>
    </row>
    <row r="25" spans="1:21" s="98" customFormat="1" ht="49.5" x14ac:dyDescent="0.35">
      <c r="A25" s="112" t="str">
        <f>_xlfn.XLOOKUP(B25,'Paso 3 Redacción RA'!I$3:I$15,'Paso 3 Redacción RA'!C$3:C$15,,0,1)</f>
        <v>Saber</v>
      </c>
      <c r="B25" s="100" t="s">
        <v>653</v>
      </c>
      <c r="C25" s="142">
        <v>2</v>
      </c>
      <c r="D25" s="142" t="s">
        <v>701</v>
      </c>
      <c r="E25" s="145" t="s">
        <v>702</v>
      </c>
      <c r="F25" s="147" t="s">
        <v>143</v>
      </c>
      <c r="G25" s="147"/>
      <c r="H25" s="142" t="s">
        <v>146</v>
      </c>
      <c r="I25" s="142"/>
      <c r="J25" s="142" t="s">
        <v>143</v>
      </c>
      <c r="K25" s="142"/>
      <c r="L25" s="142">
        <v>3</v>
      </c>
      <c r="M25" s="142">
        <f>IF(F25="X", L25*16, IF(G25="X", L25*12, ""))</f>
        <v>48</v>
      </c>
      <c r="N25" s="142">
        <f>IF(F25="X", L25*32, IF(G25="X", L25*36, ""))</f>
        <v>96</v>
      </c>
      <c r="O25" s="142">
        <v>192</v>
      </c>
      <c r="P25" s="140" t="s">
        <v>757</v>
      </c>
      <c r="Q25" s="140" t="s">
        <v>780</v>
      </c>
      <c r="R25" s="140" t="s">
        <v>781</v>
      </c>
      <c r="S25" s="140" t="s">
        <v>144</v>
      </c>
      <c r="T25" s="6"/>
      <c r="U25" s="7"/>
    </row>
    <row r="26" spans="1:21" s="98" customFormat="1" ht="49.5" x14ac:dyDescent="0.35">
      <c r="A26" s="98" t="str">
        <f>_xlfn.XLOOKUP(B26,'Paso 3 Redacción RA'!I$3:I$15,'Paso 3 Redacción RA'!C$3:C$15,,0,1)</f>
        <v>Saber</v>
      </c>
      <c r="B26" s="79" t="s">
        <v>657</v>
      </c>
      <c r="C26" s="143"/>
      <c r="D26" s="143"/>
      <c r="E26" s="146"/>
      <c r="F26" s="148"/>
      <c r="G26" s="148"/>
      <c r="H26" s="143"/>
      <c r="I26" s="143"/>
      <c r="J26" s="143"/>
      <c r="K26" s="143"/>
      <c r="L26" s="143"/>
      <c r="M26" s="143"/>
      <c r="N26" s="143"/>
      <c r="O26" s="143"/>
      <c r="P26" s="141"/>
      <c r="Q26" s="141"/>
      <c r="R26" s="141"/>
      <c r="S26" s="141"/>
      <c r="T26" s="6"/>
      <c r="U26" s="7"/>
    </row>
    <row r="27" spans="1:21" s="98" customFormat="1" ht="50" thickBot="1" x14ac:dyDescent="0.4">
      <c r="A27" s="99" t="str">
        <f>_xlfn.XLOOKUP(B27,'Paso 3 Redacción RA'!I$3:I$15,'Paso 3 Redacción RA'!C$3:C$15,,0,1)</f>
        <v>SaberSer</v>
      </c>
      <c r="B27" s="95" t="s">
        <v>655</v>
      </c>
      <c r="C27" s="144"/>
      <c r="D27" s="144"/>
      <c r="E27" s="146"/>
      <c r="F27" s="149"/>
      <c r="G27" s="149"/>
      <c r="H27" s="143"/>
      <c r="I27" s="143"/>
      <c r="J27" s="143"/>
      <c r="K27" s="143"/>
      <c r="L27" s="143"/>
      <c r="M27" s="144"/>
      <c r="N27" s="144"/>
      <c r="O27" s="143"/>
      <c r="P27" s="141"/>
      <c r="Q27" s="141"/>
      <c r="R27" s="141"/>
      <c r="S27" s="141"/>
      <c r="T27" s="6"/>
      <c r="U27" s="7"/>
    </row>
    <row r="28" spans="1:21" s="98" customFormat="1" ht="409.6" thickBot="1" x14ac:dyDescent="0.4">
      <c r="A28" s="106" t="str">
        <f>_xlfn.XLOOKUP(B28,'Paso 3 Redacción RA'!I$3:I$15,'Paso 3 Redacción RA'!C$3:C$15,,0,1)</f>
        <v>Saber</v>
      </c>
      <c r="B28" s="106" t="s">
        <v>63</v>
      </c>
      <c r="C28" s="105">
        <v>2</v>
      </c>
      <c r="D28" s="105" t="s">
        <v>620</v>
      </c>
      <c r="E28" s="106" t="s">
        <v>148</v>
      </c>
      <c r="F28" s="105"/>
      <c r="G28" s="105" t="s">
        <v>143</v>
      </c>
      <c r="H28" s="104" t="s">
        <v>146</v>
      </c>
      <c r="I28" s="105" t="s">
        <v>143</v>
      </c>
      <c r="J28" s="105"/>
      <c r="K28" s="105"/>
      <c r="L28" s="104">
        <v>3</v>
      </c>
      <c r="M28" s="104">
        <f>IF(F28="X", L28*16, IF(G28="X", L28*12, ""))</f>
        <v>36</v>
      </c>
      <c r="N28" s="104">
        <f>IF(F28="X", L28*32, IF(G28="X", L28*36, ""))</f>
        <v>108</v>
      </c>
      <c r="O28" s="104">
        <f>SUM(M28:N28)</f>
        <v>144</v>
      </c>
      <c r="P28" s="106" t="s">
        <v>149</v>
      </c>
      <c r="Q28" s="106" t="s">
        <v>150</v>
      </c>
      <c r="R28" s="106" t="s">
        <v>786</v>
      </c>
      <c r="S28" s="103" t="s">
        <v>144</v>
      </c>
      <c r="T28" s="6"/>
      <c r="U28" s="7"/>
    </row>
    <row r="29" spans="1:21" s="98" customFormat="1" ht="49.5" x14ac:dyDescent="0.35">
      <c r="A29" s="98" t="str">
        <f>_xlfn.XLOOKUP(B29,'Paso 3 Redacción RA'!I$3:I$15,'Paso 3 Redacción RA'!C$3:C$15,,0,1)</f>
        <v>Saber</v>
      </c>
      <c r="B29" s="79" t="s">
        <v>653</v>
      </c>
      <c r="C29" s="154">
        <v>2</v>
      </c>
      <c r="D29" s="143" t="s">
        <v>682</v>
      </c>
      <c r="E29" s="146" t="s">
        <v>683</v>
      </c>
      <c r="F29" s="147"/>
      <c r="G29" s="147" t="s">
        <v>143</v>
      </c>
      <c r="H29" s="143" t="s">
        <v>146</v>
      </c>
      <c r="I29" s="143"/>
      <c r="J29" s="143" t="s">
        <v>143</v>
      </c>
      <c r="K29" s="143"/>
      <c r="L29" s="143">
        <v>3</v>
      </c>
      <c r="M29" s="142">
        <f>IF(F29="X", L29*16, IF(G29="X", L29*12, ""))</f>
        <v>36</v>
      </c>
      <c r="N29" s="142">
        <f>IF(F29="X", L29*32, IF(G29="X", L29*36, ""))</f>
        <v>108</v>
      </c>
      <c r="O29" s="143">
        <f>SUM(M29:N29)</f>
        <v>144</v>
      </c>
      <c r="P29" s="141" t="s">
        <v>792</v>
      </c>
      <c r="Q29" s="141" t="s">
        <v>784</v>
      </c>
      <c r="R29" s="141" t="s">
        <v>787</v>
      </c>
      <c r="S29" s="141" t="s">
        <v>144</v>
      </c>
      <c r="T29" s="6"/>
      <c r="U29" s="7"/>
    </row>
    <row r="30" spans="1:21" s="98" customFormat="1" ht="49.5" x14ac:dyDescent="0.35">
      <c r="A30" s="98" t="str">
        <f>_xlfn.XLOOKUP(B30,'Paso 3 Redacción RA'!I$3:I$15,'Paso 3 Redacción RA'!C$3:C$15,,0,1)</f>
        <v>Saber</v>
      </c>
      <c r="B30" s="79" t="s">
        <v>657</v>
      </c>
      <c r="C30" s="154"/>
      <c r="D30" s="143"/>
      <c r="E30" s="146"/>
      <c r="F30" s="148"/>
      <c r="G30" s="148"/>
      <c r="H30" s="143"/>
      <c r="I30" s="143"/>
      <c r="J30" s="143"/>
      <c r="K30" s="143"/>
      <c r="L30" s="143"/>
      <c r="M30" s="143"/>
      <c r="N30" s="143"/>
      <c r="O30" s="143"/>
      <c r="P30" s="141"/>
      <c r="Q30" s="141"/>
      <c r="R30" s="141"/>
      <c r="S30" s="141"/>
      <c r="T30" s="6"/>
      <c r="U30" s="7"/>
    </row>
    <row r="31" spans="1:21" s="98" customFormat="1" ht="50" thickBot="1" x14ac:dyDescent="0.4">
      <c r="A31" s="99" t="str">
        <f>_xlfn.XLOOKUP(B31,'Paso 3 Redacción RA'!I$3:I$15,'Paso 3 Redacción RA'!C$3:C$15,,0,1)</f>
        <v>SaberSer</v>
      </c>
      <c r="B31" s="95" t="s">
        <v>655</v>
      </c>
      <c r="C31" s="155"/>
      <c r="D31" s="144"/>
      <c r="E31" s="156"/>
      <c r="F31" s="149"/>
      <c r="G31" s="149"/>
      <c r="H31" s="144"/>
      <c r="I31" s="144"/>
      <c r="J31" s="144"/>
      <c r="K31" s="144"/>
      <c r="L31" s="144"/>
      <c r="M31" s="144"/>
      <c r="N31" s="144"/>
      <c r="O31" s="144"/>
      <c r="P31" s="153"/>
      <c r="Q31" s="153"/>
      <c r="R31" s="153"/>
      <c r="S31" s="153"/>
      <c r="T31" s="6">
        <f>SUM(L15:L31)</f>
        <v>18</v>
      </c>
      <c r="U31" s="7">
        <f>COUNTA(D15:D31)</f>
        <v>6</v>
      </c>
    </row>
    <row r="32" spans="1:21" s="98" customFormat="1" ht="49.5" x14ac:dyDescent="0.35">
      <c r="A32" s="112" t="str">
        <f>_xlfn.XLOOKUP(B32,'Paso 3 Redacción RA'!I$3:I$15,'Paso 3 Redacción RA'!C$3:C$15,,0,1)</f>
        <v>Saber</v>
      </c>
      <c r="B32" s="100" t="s">
        <v>653</v>
      </c>
      <c r="C32" s="142">
        <v>3</v>
      </c>
      <c r="D32" s="142" t="s">
        <v>700</v>
      </c>
      <c r="E32" s="145" t="s">
        <v>699</v>
      </c>
      <c r="F32" s="147" t="s">
        <v>143</v>
      </c>
      <c r="G32" s="147"/>
      <c r="H32" s="142" t="s">
        <v>146</v>
      </c>
      <c r="I32" s="142"/>
      <c r="J32" s="142" t="s">
        <v>143</v>
      </c>
      <c r="K32" s="142"/>
      <c r="L32" s="142">
        <v>3</v>
      </c>
      <c r="M32" s="142">
        <f>IF(F32="X", L32*16, IF(G32="X", L32*12, ""))</f>
        <v>48</v>
      </c>
      <c r="N32" s="142">
        <f>IF(F32="X", L32*32, IF(G32="X", L32*36, ""))</f>
        <v>96</v>
      </c>
      <c r="O32" s="142">
        <f>SUM(M32:N32)</f>
        <v>144</v>
      </c>
      <c r="P32" s="140" t="s">
        <v>756</v>
      </c>
      <c r="Q32" s="140" t="s">
        <v>780</v>
      </c>
      <c r="R32" s="140" t="s">
        <v>781</v>
      </c>
      <c r="S32" s="140" t="s">
        <v>144</v>
      </c>
      <c r="T32" s="6"/>
      <c r="U32" s="7"/>
    </row>
    <row r="33" spans="1:21" s="98" customFormat="1" ht="33" x14ac:dyDescent="0.35">
      <c r="A33" s="98" t="str">
        <f>_xlfn.XLOOKUP(B33,'Paso 3 Redacción RA'!I$3:I$15,'Paso 3 Redacción RA'!C$3:C$15,,0,1)</f>
        <v>SaberHacer</v>
      </c>
      <c r="B33" s="79" t="s">
        <v>656</v>
      </c>
      <c r="C33" s="143"/>
      <c r="D33" s="143"/>
      <c r="E33" s="146"/>
      <c r="F33" s="148"/>
      <c r="G33" s="148"/>
      <c r="H33" s="143"/>
      <c r="I33" s="143"/>
      <c r="J33" s="143"/>
      <c r="K33" s="143"/>
      <c r="L33" s="143"/>
      <c r="M33" s="143"/>
      <c r="N33" s="143"/>
      <c r="O33" s="143"/>
      <c r="P33" s="141"/>
      <c r="Q33" s="141"/>
      <c r="R33" s="141"/>
      <c r="S33" s="141"/>
      <c r="T33" s="6"/>
      <c r="U33" s="7"/>
    </row>
    <row r="34" spans="1:21" s="98" customFormat="1" ht="33.5" thickBot="1" x14ac:dyDescent="0.4">
      <c r="A34" s="99" t="str">
        <f>_xlfn.XLOOKUP(B34,'Paso 3 Redacción RA'!I$3:I$15,'Paso 3 Redacción RA'!C$3:C$15,,0,1)</f>
        <v>SaberHacer</v>
      </c>
      <c r="B34" s="95" t="s">
        <v>654</v>
      </c>
      <c r="C34" s="144"/>
      <c r="D34" s="144"/>
      <c r="E34" s="156"/>
      <c r="F34" s="149"/>
      <c r="G34" s="149"/>
      <c r="H34" s="144"/>
      <c r="I34" s="144"/>
      <c r="J34" s="144"/>
      <c r="K34" s="144"/>
      <c r="L34" s="144"/>
      <c r="M34" s="144"/>
      <c r="N34" s="144"/>
      <c r="O34" s="144"/>
      <c r="P34" s="153"/>
      <c r="Q34" s="153"/>
      <c r="R34" s="153"/>
      <c r="S34" s="153"/>
      <c r="T34" s="6"/>
      <c r="U34" s="7"/>
    </row>
    <row r="35" spans="1:21" s="98" customFormat="1" ht="49.5" x14ac:dyDescent="0.35">
      <c r="A35" s="112" t="str">
        <f>_xlfn.XLOOKUP(B35,'Paso 3 Redacción RA'!I$3:I$15,'Paso 3 Redacción RA'!C$3:C$15,,0,1)</f>
        <v>Saber</v>
      </c>
      <c r="B35" s="100" t="s">
        <v>653</v>
      </c>
      <c r="C35" s="142">
        <v>3</v>
      </c>
      <c r="D35" s="142" t="s">
        <v>707</v>
      </c>
      <c r="E35" s="145" t="s">
        <v>708</v>
      </c>
      <c r="F35" s="147" t="s">
        <v>143</v>
      </c>
      <c r="G35" s="147"/>
      <c r="H35" s="142" t="s">
        <v>146</v>
      </c>
      <c r="I35" s="142"/>
      <c r="J35" s="142" t="s">
        <v>143</v>
      </c>
      <c r="K35" s="142"/>
      <c r="L35" s="142">
        <v>3</v>
      </c>
      <c r="M35" s="142">
        <f>IF(F35="X", L35*16, IF(G35="X", L35*12, ""))</f>
        <v>48</v>
      </c>
      <c r="N35" s="142">
        <f>IF(F35="X", L35*32, IF(G35="X", L35*36, ""))</f>
        <v>96</v>
      </c>
      <c r="O35" s="142">
        <f>SUM(M35:N35)</f>
        <v>144</v>
      </c>
      <c r="P35" s="140" t="s">
        <v>760</v>
      </c>
      <c r="Q35" s="140" t="s">
        <v>780</v>
      </c>
      <c r="R35" s="140" t="s">
        <v>781</v>
      </c>
      <c r="S35" s="140" t="s">
        <v>144</v>
      </c>
      <c r="T35" s="6"/>
      <c r="U35" s="7"/>
    </row>
    <row r="36" spans="1:21" s="98" customFormat="1" ht="49.5" x14ac:dyDescent="0.35">
      <c r="A36" s="98" t="str">
        <f>_xlfn.XLOOKUP(B36,'Paso 3 Redacción RA'!I$3:I$15,'Paso 3 Redacción RA'!C$3:C$15,,0,1)</f>
        <v>Saber</v>
      </c>
      <c r="B36" s="79" t="s">
        <v>657</v>
      </c>
      <c r="C36" s="143"/>
      <c r="D36" s="143"/>
      <c r="E36" s="146"/>
      <c r="F36" s="148"/>
      <c r="G36" s="148"/>
      <c r="H36" s="143"/>
      <c r="I36" s="143"/>
      <c r="J36" s="143"/>
      <c r="K36" s="143"/>
      <c r="L36" s="143"/>
      <c r="M36" s="143"/>
      <c r="N36" s="143"/>
      <c r="O36" s="143"/>
      <c r="P36" s="141"/>
      <c r="Q36" s="141"/>
      <c r="R36" s="141"/>
      <c r="S36" s="141"/>
      <c r="T36" s="6"/>
      <c r="U36" s="7"/>
    </row>
    <row r="37" spans="1:21" s="98" customFormat="1" ht="33" x14ac:dyDescent="0.35">
      <c r="A37" s="98" t="str">
        <f>_xlfn.XLOOKUP(B37,'Paso 3 Redacción RA'!I$3:I$15,'Paso 3 Redacción RA'!C$3:C$15,,0,1)</f>
        <v>SaberHacer</v>
      </c>
      <c r="B37" s="79" t="s">
        <v>654</v>
      </c>
      <c r="C37" s="143"/>
      <c r="D37" s="143"/>
      <c r="E37" s="146"/>
      <c r="F37" s="148"/>
      <c r="G37" s="148"/>
      <c r="H37" s="143"/>
      <c r="I37" s="143"/>
      <c r="J37" s="143"/>
      <c r="K37" s="143"/>
      <c r="L37" s="143"/>
      <c r="M37" s="143"/>
      <c r="N37" s="143"/>
      <c r="O37" s="143"/>
      <c r="P37" s="141"/>
      <c r="Q37" s="141"/>
      <c r="R37" s="141"/>
      <c r="S37" s="141"/>
      <c r="T37" s="6"/>
      <c r="U37" s="7"/>
    </row>
    <row r="38" spans="1:21" s="98" customFormat="1" ht="33.5" thickBot="1" x14ac:dyDescent="0.4">
      <c r="A38" s="99" t="str">
        <f>_xlfn.XLOOKUP(B38,'Paso 3 Redacción RA'!I$3:I$15,'Paso 3 Redacción RA'!C$3:C$15,,0,1)</f>
        <v>SaberHacer</v>
      </c>
      <c r="B38" s="95" t="s">
        <v>656</v>
      </c>
      <c r="C38" s="144"/>
      <c r="D38" s="144"/>
      <c r="E38" s="156"/>
      <c r="F38" s="149"/>
      <c r="G38" s="149"/>
      <c r="H38" s="144"/>
      <c r="I38" s="144"/>
      <c r="J38" s="144"/>
      <c r="K38" s="144"/>
      <c r="L38" s="144"/>
      <c r="M38" s="144"/>
      <c r="N38" s="144"/>
      <c r="O38" s="144"/>
      <c r="P38" s="153"/>
      <c r="Q38" s="153"/>
      <c r="R38" s="153"/>
      <c r="S38" s="153"/>
      <c r="T38" s="6"/>
      <c r="U38" s="7"/>
    </row>
    <row r="39" spans="1:21" s="98" customFormat="1" ht="409.6" thickBot="1" x14ac:dyDescent="0.4">
      <c r="A39" s="106" t="str">
        <f>_xlfn.XLOOKUP(B39,'Paso 3 Redacción RA'!I$3:I$15,'Paso 3 Redacción RA'!C$3:C$15,,0,1)</f>
        <v>Saber</v>
      </c>
      <c r="B39" s="106" t="s">
        <v>63</v>
      </c>
      <c r="C39" s="105">
        <v>3</v>
      </c>
      <c r="D39" s="105" t="s">
        <v>151</v>
      </c>
      <c r="E39" s="106" t="s">
        <v>698</v>
      </c>
      <c r="F39" s="105"/>
      <c r="G39" s="105" t="s">
        <v>143</v>
      </c>
      <c r="H39" s="104" t="s">
        <v>146</v>
      </c>
      <c r="I39" s="105" t="s">
        <v>143</v>
      </c>
      <c r="J39" s="105"/>
      <c r="K39" s="105"/>
      <c r="L39" s="104">
        <v>3</v>
      </c>
      <c r="M39" s="104">
        <f>IF(F39="X", L39*16, IF(G39="X", L39*12, ""))</f>
        <v>36</v>
      </c>
      <c r="N39" s="104">
        <f>IF(F39="X", L39*32, IF(G39="X", L39*36, ""))</f>
        <v>108</v>
      </c>
      <c r="O39" s="104">
        <f>SUM(M39:N39)</f>
        <v>144</v>
      </c>
      <c r="P39" s="103" t="s">
        <v>152</v>
      </c>
      <c r="Q39" s="106" t="s">
        <v>783</v>
      </c>
      <c r="R39" s="106" t="s">
        <v>790</v>
      </c>
      <c r="S39" s="103" t="s">
        <v>144</v>
      </c>
      <c r="T39" s="6"/>
      <c r="U39" s="7"/>
    </row>
    <row r="40" spans="1:21" s="98" customFormat="1" ht="49.5" x14ac:dyDescent="0.35">
      <c r="A40" s="112" t="str">
        <f>_xlfn.XLOOKUP(B40,'Paso 3 Redacción RA'!I$3:I$15,'Paso 3 Redacción RA'!C$3:C$15,,0,1)</f>
        <v>Saber</v>
      </c>
      <c r="B40" s="100" t="s">
        <v>653</v>
      </c>
      <c r="C40" s="142">
        <v>3</v>
      </c>
      <c r="D40" s="142" t="s">
        <v>703</v>
      </c>
      <c r="E40" s="145" t="s">
        <v>704</v>
      </c>
      <c r="F40" s="147" t="s">
        <v>143</v>
      </c>
      <c r="G40" s="147"/>
      <c r="H40" s="142" t="s">
        <v>146</v>
      </c>
      <c r="I40" s="142"/>
      <c r="J40" s="142" t="s">
        <v>143</v>
      </c>
      <c r="K40" s="142"/>
      <c r="L40" s="142">
        <v>3</v>
      </c>
      <c r="M40" s="142">
        <f>IF(F40="X", L40*16, IF(G40="X", L40*12, ""))</f>
        <v>48</v>
      </c>
      <c r="N40" s="142">
        <f>IF(F40="X", L40*32, IF(G40="X", L40*36, ""))</f>
        <v>96</v>
      </c>
      <c r="O40" s="142">
        <v>192</v>
      </c>
      <c r="P40" s="140" t="s">
        <v>758</v>
      </c>
      <c r="Q40" s="140" t="s">
        <v>780</v>
      </c>
      <c r="R40" s="140" t="s">
        <v>781</v>
      </c>
      <c r="S40" s="140" t="s">
        <v>144</v>
      </c>
      <c r="T40" s="6"/>
      <c r="U40" s="7"/>
    </row>
    <row r="41" spans="1:21" s="98" customFormat="1" ht="33" x14ac:dyDescent="0.35">
      <c r="A41" s="98" t="str">
        <f>_xlfn.XLOOKUP(B41,'Paso 3 Redacción RA'!I$3:I$15,'Paso 3 Redacción RA'!C$3:C$15,,0,1)</f>
        <v>SaberHacer</v>
      </c>
      <c r="B41" s="79" t="s">
        <v>656</v>
      </c>
      <c r="C41" s="143"/>
      <c r="D41" s="143"/>
      <c r="E41" s="146"/>
      <c r="F41" s="148"/>
      <c r="G41" s="148"/>
      <c r="H41" s="143"/>
      <c r="I41" s="143"/>
      <c r="J41" s="143"/>
      <c r="K41" s="143"/>
      <c r="L41" s="143"/>
      <c r="M41" s="143"/>
      <c r="N41" s="143"/>
      <c r="O41" s="143"/>
      <c r="P41" s="141"/>
      <c r="Q41" s="141"/>
      <c r="R41" s="141"/>
      <c r="S41" s="141"/>
      <c r="T41" s="6"/>
      <c r="U41" s="7"/>
    </row>
    <row r="42" spans="1:21" s="98" customFormat="1" ht="50" thickBot="1" x14ac:dyDescent="0.4">
      <c r="A42" s="99" t="str">
        <f>_xlfn.XLOOKUP(B42,'Paso 3 Redacción RA'!I$3:I$15,'Paso 3 Redacción RA'!C$3:C$15,,0,1)</f>
        <v>Saber</v>
      </c>
      <c r="B42" s="95" t="s">
        <v>658</v>
      </c>
      <c r="C42" s="144"/>
      <c r="D42" s="144"/>
      <c r="E42" s="146"/>
      <c r="F42" s="149"/>
      <c r="G42" s="149"/>
      <c r="H42" s="143"/>
      <c r="I42" s="143"/>
      <c r="J42" s="143"/>
      <c r="K42" s="143"/>
      <c r="L42" s="143"/>
      <c r="M42" s="144"/>
      <c r="N42" s="144"/>
      <c r="O42" s="143"/>
      <c r="P42" s="141"/>
      <c r="Q42" s="141"/>
      <c r="R42" s="141"/>
      <c r="S42" s="141"/>
      <c r="T42" s="6"/>
      <c r="U42" s="7"/>
    </row>
    <row r="43" spans="1:21" s="98" customFormat="1" ht="409.6" thickBot="1" x14ac:dyDescent="0.4">
      <c r="A43" s="106" t="str">
        <f>_xlfn.XLOOKUP(B43,'Paso 3 Redacción RA'!I$3:I$15,'Paso 3 Redacción RA'!C$3:C$15,,0,1)</f>
        <v>Saber</v>
      </c>
      <c r="B43" s="106" t="s">
        <v>63</v>
      </c>
      <c r="C43" s="105">
        <v>3</v>
      </c>
      <c r="D43" s="105" t="s">
        <v>153</v>
      </c>
      <c r="E43" s="106" t="s">
        <v>678</v>
      </c>
      <c r="F43" s="105"/>
      <c r="G43" s="105" t="s">
        <v>143</v>
      </c>
      <c r="H43" s="104" t="s">
        <v>146</v>
      </c>
      <c r="I43" s="104" t="s">
        <v>143</v>
      </c>
      <c r="J43" s="104"/>
      <c r="K43" s="104"/>
      <c r="L43" s="107">
        <v>3</v>
      </c>
      <c r="M43" s="104">
        <f>IF(F43="X", L43*16, IF(G43="X", L43*12, ""))</f>
        <v>36</v>
      </c>
      <c r="N43" s="104">
        <f>IF(F43="X", L43*32, IF(G43="X", L43*36, ""))</f>
        <v>108</v>
      </c>
      <c r="O43" s="104">
        <f>SUM(M43:N43)</f>
        <v>144</v>
      </c>
      <c r="P43" s="103" t="s">
        <v>154</v>
      </c>
      <c r="Q43" s="103" t="s">
        <v>783</v>
      </c>
      <c r="R43" s="103" t="s">
        <v>790</v>
      </c>
      <c r="S43" s="103" t="s">
        <v>144</v>
      </c>
      <c r="T43" s="6"/>
      <c r="U43" s="7"/>
    </row>
    <row r="44" spans="1:21" s="98" customFormat="1" ht="49.5" x14ac:dyDescent="0.35">
      <c r="A44" s="112" t="str">
        <f>_xlfn.XLOOKUP(B44,'Paso 3 Redacción RA'!I$3:I$15,'Paso 3 Redacción RA'!C$3:C$15,,0,1)</f>
        <v>Saber</v>
      </c>
      <c r="B44" s="100" t="s">
        <v>653</v>
      </c>
      <c r="C44" s="142">
        <v>3</v>
      </c>
      <c r="D44" s="142" t="s">
        <v>713</v>
      </c>
      <c r="E44" s="145" t="s">
        <v>714</v>
      </c>
      <c r="F44" s="147" t="s">
        <v>143</v>
      </c>
      <c r="G44" s="147"/>
      <c r="H44" s="142" t="s">
        <v>146</v>
      </c>
      <c r="I44" s="142"/>
      <c r="J44" s="142" t="s">
        <v>143</v>
      </c>
      <c r="K44" s="142"/>
      <c r="L44" s="142">
        <v>3</v>
      </c>
      <c r="M44" s="142">
        <f>IF(F44="X", L44*16, IF(G44="X", L44*12, ""))</f>
        <v>48</v>
      </c>
      <c r="N44" s="142">
        <f>IF(F44="X", L44*32, IF(G44="X", L44*36, ""))</f>
        <v>96</v>
      </c>
      <c r="O44" s="142">
        <f>SUM(M44:N44)</f>
        <v>144</v>
      </c>
      <c r="P44" s="140" t="s">
        <v>763</v>
      </c>
      <c r="Q44" s="140" t="s">
        <v>780</v>
      </c>
      <c r="R44" s="140" t="s">
        <v>781</v>
      </c>
      <c r="S44" s="140" t="s">
        <v>144</v>
      </c>
      <c r="T44" s="6"/>
      <c r="U44" s="7"/>
    </row>
    <row r="45" spans="1:21" s="98" customFormat="1" ht="33" x14ac:dyDescent="0.35">
      <c r="A45" s="98" t="str">
        <f>_xlfn.XLOOKUP(B45,'Paso 3 Redacción RA'!I$3:I$15,'Paso 3 Redacción RA'!C$3:C$15,,0,1)</f>
        <v>SaberHacer</v>
      </c>
      <c r="B45" s="79" t="s">
        <v>656</v>
      </c>
      <c r="C45" s="143"/>
      <c r="D45" s="143"/>
      <c r="E45" s="146"/>
      <c r="F45" s="148"/>
      <c r="G45" s="148"/>
      <c r="H45" s="143"/>
      <c r="I45" s="143"/>
      <c r="J45" s="143"/>
      <c r="K45" s="143"/>
      <c r="L45" s="143"/>
      <c r="M45" s="143"/>
      <c r="N45" s="143"/>
      <c r="O45" s="143"/>
      <c r="P45" s="141"/>
      <c r="Q45" s="141"/>
      <c r="R45" s="141"/>
      <c r="S45" s="141"/>
      <c r="T45" s="6"/>
      <c r="U45" s="7"/>
    </row>
    <row r="46" spans="1:21" s="98" customFormat="1" ht="50" thickBot="1" x14ac:dyDescent="0.4">
      <c r="A46" s="99" t="str">
        <f>_xlfn.XLOOKUP(B46,'Paso 3 Redacción RA'!I$3:I$15,'Paso 3 Redacción RA'!C$3:C$15,,0,1)</f>
        <v>SaberSer</v>
      </c>
      <c r="B46" s="95" t="s">
        <v>655</v>
      </c>
      <c r="C46" s="144"/>
      <c r="D46" s="144"/>
      <c r="E46" s="156"/>
      <c r="F46" s="149"/>
      <c r="G46" s="149"/>
      <c r="H46" s="144"/>
      <c r="I46" s="144"/>
      <c r="J46" s="144"/>
      <c r="K46" s="144"/>
      <c r="L46" s="144"/>
      <c r="M46" s="144"/>
      <c r="N46" s="144"/>
      <c r="O46" s="144"/>
      <c r="P46" s="153"/>
      <c r="Q46" s="153"/>
      <c r="R46" s="153"/>
      <c r="S46" s="153"/>
      <c r="T46" s="6">
        <f>SUM(L32:L46)</f>
        <v>18</v>
      </c>
      <c r="U46" s="7">
        <f>COUNTA(D32:D46)</f>
        <v>6</v>
      </c>
    </row>
    <row r="47" spans="1:21" s="98" customFormat="1" ht="409.6" thickBot="1" x14ac:dyDescent="0.4">
      <c r="A47" s="106" t="str">
        <f>_xlfn.XLOOKUP(B47,'Paso 3 Redacción RA'!I$3:I$15,'Paso 3 Redacción RA'!C$3:C$15,,0,1)</f>
        <v>Saber</v>
      </c>
      <c r="B47" s="106" t="s">
        <v>63</v>
      </c>
      <c r="C47" s="105">
        <v>4</v>
      </c>
      <c r="D47" s="105" t="s">
        <v>155</v>
      </c>
      <c r="E47" s="106" t="s">
        <v>156</v>
      </c>
      <c r="F47" s="105"/>
      <c r="G47" s="105" t="s">
        <v>143</v>
      </c>
      <c r="H47" s="104" t="s">
        <v>146</v>
      </c>
      <c r="I47" s="105" t="s">
        <v>143</v>
      </c>
      <c r="J47" s="105" t="s">
        <v>157</v>
      </c>
      <c r="K47" s="105"/>
      <c r="L47" s="105">
        <v>3</v>
      </c>
      <c r="M47" s="104">
        <f>IF(F47="X", L47*16, IF(G47="X", L47*12, ""))</f>
        <v>36</v>
      </c>
      <c r="N47" s="104">
        <f>IF(F47="X", L47*32, IF(G47="X", L47*36, ""))</f>
        <v>108</v>
      </c>
      <c r="O47" s="104">
        <f>SUM(M47:N47)</f>
        <v>144</v>
      </c>
      <c r="P47" s="106" t="s">
        <v>158</v>
      </c>
      <c r="Q47" s="106" t="s">
        <v>783</v>
      </c>
      <c r="R47" s="106" t="s">
        <v>790</v>
      </c>
      <c r="S47" s="103" t="s">
        <v>144</v>
      </c>
      <c r="T47" s="6"/>
      <c r="U47" s="7"/>
    </row>
    <row r="48" spans="1:21" s="98" customFormat="1" ht="49.5" x14ac:dyDescent="0.35">
      <c r="A48" s="112" t="str">
        <f>_xlfn.XLOOKUP(B48,'Paso 3 Redacción RA'!I$3:I$15,'Paso 3 Redacción RA'!C$3:C$15,,0,1)</f>
        <v>Saber</v>
      </c>
      <c r="B48" s="79" t="s">
        <v>653</v>
      </c>
      <c r="C48" s="142">
        <v>4</v>
      </c>
      <c r="D48" s="142" t="s">
        <v>696</v>
      </c>
      <c r="E48" s="145" t="s">
        <v>697</v>
      </c>
      <c r="F48" s="147"/>
      <c r="G48" s="147" t="s">
        <v>143</v>
      </c>
      <c r="H48" s="142" t="s">
        <v>747</v>
      </c>
      <c r="I48" s="142"/>
      <c r="J48" s="142" t="s">
        <v>143</v>
      </c>
      <c r="K48" s="142"/>
      <c r="L48" s="142">
        <v>4</v>
      </c>
      <c r="M48" s="142">
        <f>IF(F48="X", L48*16, IF(G48="X", L48*12, ""))</f>
        <v>48</v>
      </c>
      <c r="N48" s="142">
        <f>IF(F48="X", L48*32, IF(G48="X", L48*36, ""))</f>
        <v>144</v>
      </c>
      <c r="O48" s="142">
        <f>SUM(M48:N48)</f>
        <v>192</v>
      </c>
      <c r="P48" s="140" t="s">
        <v>755</v>
      </c>
      <c r="Q48" s="140" t="s">
        <v>784</v>
      </c>
      <c r="R48" s="140" t="s">
        <v>787</v>
      </c>
      <c r="S48" s="140" t="s">
        <v>144</v>
      </c>
      <c r="T48" s="6"/>
      <c r="U48" s="7"/>
    </row>
    <row r="49" spans="1:21" s="98" customFormat="1" ht="49.5" x14ac:dyDescent="0.35">
      <c r="A49" s="98" t="str">
        <f>_xlfn.XLOOKUP(B49,'Paso 3 Redacción RA'!I$3:I$15,'Paso 3 Redacción RA'!C$3:C$15,,0,1)</f>
        <v>SaberSer</v>
      </c>
      <c r="B49" s="79" t="s">
        <v>655</v>
      </c>
      <c r="C49" s="143"/>
      <c r="D49" s="143"/>
      <c r="E49" s="146"/>
      <c r="F49" s="148"/>
      <c r="G49" s="148"/>
      <c r="H49" s="143"/>
      <c r="I49" s="143"/>
      <c r="J49" s="143"/>
      <c r="K49" s="143"/>
      <c r="L49" s="143"/>
      <c r="M49" s="143"/>
      <c r="N49" s="143"/>
      <c r="O49" s="143"/>
      <c r="P49" s="141"/>
      <c r="Q49" s="141"/>
      <c r="R49" s="141"/>
      <c r="S49" s="141"/>
      <c r="T49" s="6"/>
      <c r="U49" s="7"/>
    </row>
    <row r="50" spans="1:21" s="98" customFormat="1" ht="33.5" thickBot="1" x14ac:dyDescent="0.4">
      <c r="A50" s="99" t="str">
        <f>_xlfn.XLOOKUP(B50,'Paso 3 Redacción RA'!I$3:I$15,'Paso 3 Redacción RA'!C$3:C$15,,0,1)</f>
        <v>SaberHacer</v>
      </c>
      <c r="B50" s="95" t="s">
        <v>656</v>
      </c>
      <c r="C50" s="144"/>
      <c r="D50" s="144"/>
      <c r="E50" s="146"/>
      <c r="F50" s="149"/>
      <c r="G50" s="149"/>
      <c r="H50" s="143"/>
      <c r="I50" s="143"/>
      <c r="J50" s="143"/>
      <c r="K50" s="143"/>
      <c r="L50" s="143"/>
      <c r="M50" s="144"/>
      <c r="N50" s="144"/>
      <c r="O50" s="144"/>
      <c r="P50" s="141"/>
      <c r="Q50" s="141"/>
      <c r="R50" s="141"/>
      <c r="S50" s="141"/>
      <c r="T50" s="6"/>
      <c r="U50" s="7"/>
    </row>
    <row r="51" spans="1:21" s="98" customFormat="1" ht="49.5" x14ac:dyDescent="0.35">
      <c r="A51" s="112" t="str">
        <f>_xlfn.XLOOKUP(B51,'Paso 3 Redacción RA'!I$3:I$15,'Paso 3 Redacción RA'!C$3:C$15,,0,1)</f>
        <v>Saber</v>
      </c>
      <c r="B51" s="100" t="s">
        <v>653</v>
      </c>
      <c r="C51" s="142">
        <v>4</v>
      </c>
      <c r="D51" s="142" t="s">
        <v>711</v>
      </c>
      <c r="E51" s="145" t="s">
        <v>712</v>
      </c>
      <c r="F51" s="147" t="s">
        <v>143</v>
      </c>
      <c r="G51" s="147"/>
      <c r="H51" s="142" t="s">
        <v>146</v>
      </c>
      <c r="I51" s="142"/>
      <c r="J51" s="142" t="s">
        <v>143</v>
      </c>
      <c r="K51" s="142"/>
      <c r="L51" s="142">
        <v>3</v>
      </c>
      <c r="M51" s="142">
        <f>IF(F51="X", L51*16, IF(G51="X", L51*12, ""))</f>
        <v>48</v>
      </c>
      <c r="N51" s="142">
        <f>IF(F51="X", L51*32, IF(G51="X", L51*36, ""))</f>
        <v>96</v>
      </c>
      <c r="O51" s="142">
        <f>SUM(M51:N51)</f>
        <v>144</v>
      </c>
      <c r="P51" s="140" t="s">
        <v>762</v>
      </c>
      <c r="Q51" s="140" t="s">
        <v>780</v>
      </c>
      <c r="R51" s="140" t="s">
        <v>781</v>
      </c>
      <c r="S51" s="140" t="s">
        <v>144</v>
      </c>
      <c r="T51" s="6"/>
      <c r="U51" s="7"/>
    </row>
    <row r="52" spans="1:21" s="98" customFormat="1" ht="49.5" x14ac:dyDescent="0.35">
      <c r="A52" s="98" t="str">
        <f>_xlfn.XLOOKUP(B52,'Paso 3 Redacción RA'!I$3:I$15,'Paso 3 Redacción RA'!C$3:C$15,,0,1)</f>
        <v>Saber</v>
      </c>
      <c r="B52" s="79" t="s">
        <v>658</v>
      </c>
      <c r="C52" s="143"/>
      <c r="D52" s="143"/>
      <c r="E52" s="146"/>
      <c r="F52" s="148"/>
      <c r="G52" s="148"/>
      <c r="H52" s="143"/>
      <c r="I52" s="143"/>
      <c r="J52" s="143"/>
      <c r="K52" s="143"/>
      <c r="L52" s="143"/>
      <c r="M52" s="143"/>
      <c r="N52" s="143"/>
      <c r="O52" s="143"/>
      <c r="P52" s="141"/>
      <c r="Q52" s="141"/>
      <c r="R52" s="141"/>
      <c r="S52" s="141"/>
      <c r="T52" s="6"/>
      <c r="U52" s="7"/>
    </row>
    <row r="53" spans="1:21" s="98" customFormat="1" ht="50" thickBot="1" x14ac:dyDescent="0.4">
      <c r="A53" s="99" t="str">
        <f>_xlfn.XLOOKUP(B53,'Paso 3 Redacción RA'!I$3:I$15,'Paso 3 Redacción RA'!C$3:C$15,,0,1)</f>
        <v>SaberSer</v>
      </c>
      <c r="B53" s="95" t="s">
        <v>655</v>
      </c>
      <c r="C53" s="144"/>
      <c r="D53" s="144"/>
      <c r="E53" s="156"/>
      <c r="F53" s="149"/>
      <c r="G53" s="149"/>
      <c r="H53" s="144"/>
      <c r="I53" s="144"/>
      <c r="J53" s="144"/>
      <c r="K53" s="144"/>
      <c r="L53" s="144"/>
      <c r="M53" s="144"/>
      <c r="N53" s="144"/>
      <c r="O53" s="144"/>
      <c r="P53" s="153"/>
      <c r="Q53" s="153"/>
      <c r="R53" s="153"/>
      <c r="S53" s="153"/>
      <c r="T53" s="6"/>
      <c r="U53" s="7"/>
    </row>
    <row r="54" spans="1:21" s="98" customFormat="1" ht="33" x14ac:dyDescent="0.35">
      <c r="A54" s="112" t="str">
        <f>_xlfn.XLOOKUP(B54,'Paso 3 Redacción RA'!I$3:I$15,'Paso 3 Redacción RA'!C$3:C$15,,0,1)</f>
        <v>SaberHacer</v>
      </c>
      <c r="B54" s="100" t="s">
        <v>654</v>
      </c>
      <c r="C54" s="142">
        <v>4</v>
      </c>
      <c r="D54" s="142" t="s">
        <v>737</v>
      </c>
      <c r="E54" s="145" t="s">
        <v>738</v>
      </c>
      <c r="F54" s="147" t="s">
        <v>143</v>
      </c>
      <c r="G54" s="147"/>
      <c r="H54" s="142" t="s">
        <v>146</v>
      </c>
      <c r="I54" s="142"/>
      <c r="J54" s="142" t="s">
        <v>143</v>
      </c>
      <c r="K54" s="142"/>
      <c r="L54" s="142">
        <v>4</v>
      </c>
      <c r="M54" s="142">
        <f>IF(F54="X", L54*16, IF(G54="X", L54*12, ""))</f>
        <v>64</v>
      </c>
      <c r="N54" s="142">
        <f>IF(F54="X", L54*32, IF(G54="X", L54*36, ""))</f>
        <v>128</v>
      </c>
      <c r="O54" s="142">
        <f>SUM(M54:N54)</f>
        <v>192</v>
      </c>
      <c r="P54" s="140" t="s">
        <v>775</v>
      </c>
      <c r="Q54" s="140" t="s">
        <v>780</v>
      </c>
      <c r="R54" s="140" t="s">
        <v>781</v>
      </c>
      <c r="S54" s="140" t="s">
        <v>144</v>
      </c>
      <c r="T54" s="6"/>
      <c r="U54" s="7"/>
    </row>
    <row r="55" spans="1:21" s="98" customFormat="1" ht="49.5" x14ac:dyDescent="0.35">
      <c r="A55" s="98" t="str">
        <f>_xlfn.XLOOKUP(B55,'Paso 3 Redacción RA'!I$3:I$15,'Paso 3 Redacción RA'!C$3:C$15,,0,1)</f>
        <v>SaberSer</v>
      </c>
      <c r="B55" s="79" t="s">
        <v>655</v>
      </c>
      <c r="C55" s="143"/>
      <c r="D55" s="143"/>
      <c r="E55" s="146"/>
      <c r="F55" s="148"/>
      <c r="G55" s="148"/>
      <c r="H55" s="143"/>
      <c r="I55" s="143"/>
      <c r="J55" s="143"/>
      <c r="K55" s="143"/>
      <c r="L55" s="143"/>
      <c r="M55" s="143"/>
      <c r="N55" s="143"/>
      <c r="O55" s="143"/>
      <c r="P55" s="141"/>
      <c r="Q55" s="141"/>
      <c r="R55" s="141"/>
      <c r="S55" s="141"/>
      <c r="T55" s="6"/>
      <c r="U55" s="7"/>
    </row>
    <row r="56" spans="1:21" s="98" customFormat="1" ht="49.5" x14ac:dyDescent="0.35">
      <c r="A56" s="98" t="str">
        <f>_xlfn.XLOOKUP(B56,'Paso 3 Redacción RA'!I$3:I$15,'Paso 3 Redacción RA'!C$3:C$15,,0,1)</f>
        <v>Saber</v>
      </c>
      <c r="B56" s="79" t="s">
        <v>653</v>
      </c>
      <c r="C56" s="143"/>
      <c r="D56" s="143"/>
      <c r="E56" s="146"/>
      <c r="F56" s="148"/>
      <c r="G56" s="148"/>
      <c r="H56" s="143"/>
      <c r="I56" s="143"/>
      <c r="J56" s="143"/>
      <c r="K56" s="143"/>
      <c r="L56" s="143"/>
      <c r="M56" s="143"/>
      <c r="N56" s="143"/>
      <c r="O56" s="143"/>
      <c r="P56" s="141"/>
      <c r="Q56" s="141"/>
      <c r="R56" s="141"/>
      <c r="S56" s="141"/>
      <c r="T56" s="6"/>
      <c r="U56" s="7"/>
    </row>
    <row r="57" spans="1:21" s="98" customFormat="1" ht="33" x14ac:dyDescent="0.35">
      <c r="A57" s="98" t="str">
        <f>_xlfn.XLOOKUP(B57,'Paso 3 Redacción RA'!I$3:I$15,'Paso 3 Redacción RA'!C$3:C$15,,0,1)</f>
        <v>SaberHacer</v>
      </c>
      <c r="B57" s="79" t="s">
        <v>656</v>
      </c>
      <c r="C57" s="143"/>
      <c r="D57" s="143"/>
      <c r="E57" s="146"/>
      <c r="F57" s="148"/>
      <c r="G57" s="148"/>
      <c r="H57" s="143"/>
      <c r="I57" s="143"/>
      <c r="J57" s="143"/>
      <c r="K57" s="143"/>
      <c r="L57" s="143"/>
      <c r="M57" s="143"/>
      <c r="N57" s="143"/>
      <c r="O57" s="143"/>
      <c r="P57" s="141"/>
      <c r="Q57" s="141"/>
      <c r="R57" s="141"/>
      <c r="S57" s="141"/>
      <c r="T57" s="6"/>
      <c r="U57" s="7"/>
    </row>
    <row r="58" spans="1:21" s="98" customFormat="1" ht="50" thickBot="1" x14ac:dyDescent="0.4">
      <c r="A58" s="99" t="str">
        <f>_xlfn.XLOOKUP(B58,'Paso 3 Redacción RA'!I$3:I$15,'Paso 3 Redacción RA'!C$3:C$15,,0,1)</f>
        <v>Saber</v>
      </c>
      <c r="B58" s="95" t="s">
        <v>657</v>
      </c>
      <c r="C58" s="144"/>
      <c r="D58" s="144"/>
      <c r="E58" s="156"/>
      <c r="F58" s="149"/>
      <c r="G58" s="149"/>
      <c r="H58" s="144"/>
      <c r="I58" s="144"/>
      <c r="J58" s="144"/>
      <c r="K58" s="144"/>
      <c r="L58" s="144"/>
      <c r="M58" s="144"/>
      <c r="N58" s="144"/>
      <c r="O58" s="144"/>
      <c r="P58" s="153"/>
      <c r="Q58" s="153"/>
      <c r="R58" s="153"/>
      <c r="S58" s="153"/>
      <c r="T58" s="6"/>
      <c r="U58" s="7"/>
    </row>
    <row r="59" spans="1:21" s="98" customFormat="1" ht="49.5" x14ac:dyDescent="0.35">
      <c r="A59" s="112" t="str">
        <f>_xlfn.XLOOKUP(B59,'Paso 3 Redacción RA'!I$3:I$15,'Paso 3 Redacción RA'!C$3:C$15,,0,1)</f>
        <v>Saber</v>
      </c>
      <c r="B59" s="100" t="s">
        <v>653</v>
      </c>
      <c r="C59" s="142">
        <v>4</v>
      </c>
      <c r="D59" s="142" t="s">
        <v>729</v>
      </c>
      <c r="E59" s="145" t="s">
        <v>730</v>
      </c>
      <c r="F59" s="147" t="s">
        <v>143</v>
      </c>
      <c r="G59" s="147"/>
      <c r="H59" s="142" t="s">
        <v>146</v>
      </c>
      <c r="I59" s="142"/>
      <c r="J59" s="142" t="s">
        <v>143</v>
      </c>
      <c r="K59" s="142"/>
      <c r="L59" s="142">
        <v>3</v>
      </c>
      <c r="M59" s="142">
        <f>IF(F59="X", L59*16, IF(G59="X", L59*12, ""))</f>
        <v>48</v>
      </c>
      <c r="N59" s="142">
        <f>IF(F59="X", L59*32, IF(G59="X", L59*36, ""))</f>
        <v>96</v>
      </c>
      <c r="O59" s="142">
        <f>SUM(M59:N59)</f>
        <v>144</v>
      </c>
      <c r="P59" s="140" t="s">
        <v>771</v>
      </c>
      <c r="Q59" s="140" t="s">
        <v>780</v>
      </c>
      <c r="R59" s="140" t="s">
        <v>781</v>
      </c>
      <c r="S59" s="140" t="s">
        <v>144</v>
      </c>
      <c r="T59" s="6"/>
      <c r="U59" s="7"/>
    </row>
    <row r="60" spans="1:21" s="98" customFormat="1" ht="33" x14ac:dyDescent="0.35">
      <c r="A60" s="98" t="str">
        <f>_xlfn.XLOOKUP(B60,'Paso 3 Redacción RA'!I$3:I$15,'Paso 3 Redacción RA'!C$3:C$15,,0,1)</f>
        <v>SaberHacer</v>
      </c>
      <c r="B60" s="79" t="s">
        <v>654</v>
      </c>
      <c r="C60" s="143"/>
      <c r="D60" s="143"/>
      <c r="E60" s="146"/>
      <c r="F60" s="148"/>
      <c r="G60" s="148"/>
      <c r="H60" s="143"/>
      <c r="I60" s="143"/>
      <c r="J60" s="143"/>
      <c r="K60" s="143"/>
      <c r="L60" s="143"/>
      <c r="M60" s="143"/>
      <c r="N60" s="143"/>
      <c r="O60" s="143"/>
      <c r="P60" s="141"/>
      <c r="Q60" s="141"/>
      <c r="R60" s="141"/>
      <c r="S60" s="141"/>
      <c r="T60" s="6"/>
      <c r="U60" s="7"/>
    </row>
    <row r="61" spans="1:21" s="98" customFormat="1" ht="49.5" x14ac:dyDescent="0.35">
      <c r="A61" s="98" t="str">
        <f>_xlfn.XLOOKUP(B61,'Paso 3 Redacción RA'!I$3:I$15,'Paso 3 Redacción RA'!C$3:C$15,,0,1)</f>
        <v>Saber</v>
      </c>
      <c r="B61" s="79" t="s">
        <v>657</v>
      </c>
      <c r="C61" s="143"/>
      <c r="D61" s="143"/>
      <c r="E61" s="146"/>
      <c r="F61" s="148"/>
      <c r="G61" s="148"/>
      <c r="H61" s="143"/>
      <c r="I61" s="143"/>
      <c r="J61" s="143"/>
      <c r="K61" s="143"/>
      <c r="L61" s="143"/>
      <c r="M61" s="143"/>
      <c r="N61" s="143"/>
      <c r="O61" s="143"/>
      <c r="P61" s="141"/>
      <c r="Q61" s="141"/>
      <c r="R61" s="141"/>
      <c r="S61" s="141"/>
      <c r="T61" s="6"/>
      <c r="U61" s="7"/>
    </row>
    <row r="62" spans="1:21" s="98" customFormat="1" ht="33" x14ac:dyDescent="0.35">
      <c r="A62" s="98" t="str">
        <f>_xlfn.XLOOKUP(B62,'Paso 3 Redacción RA'!I$3:I$15,'Paso 3 Redacción RA'!C$3:C$15,,0,1)</f>
        <v>SaberHacer</v>
      </c>
      <c r="B62" s="79" t="s">
        <v>656</v>
      </c>
      <c r="C62" s="143"/>
      <c r="D62" s="143"/>
      <c r="E62" s="146"/>
      <c r="F62" s="148"/>
      <c r="G62" s="148"/>
      <c r="H62" s="143"/>
      <c r="I62" s="143"/>
      <c r="J62" s="143"/>
      <c r="K62" s="143"/>
      <c r="L62" s="143"/>
      <c r="M62" s="143"/>
      <c r="N62" s="143"/>
      <c r="O62" s="143"/>
      <c r="P62" s="141"/>
      <c r="Q62" s="141"/>
      <c r="R62" s="141"/>
      <c r="S62" s="141"/>
      <c r="T62" s="6"/>
      <c r="U62" s="7"/>
    </row>
    <row r="63" spans="1:21" s="98" customFormat="1" ht="50" thickBot="1" x14ac:dyDescent="0.4">
      <c r="A63" s="99" t="str">
        <f>_xlfn.XLOOKUP(B63,'Paso 3 Redacción RA'!I$3:I$15,'Paso 3 Redacción RA'!C$3:C$15,,0,1)</f>
        <v>Saber</v>
      </c>
      <c r="B63" s="95" t="s">
        <v>658</v>
      </c>
      <c r="C63" s="144"/>
      <c r="D63" s="144"/>
      <c r="E63" s="156"/>
      <c r="F63" s="149"/>
      <c r="G63" s="149"/>
      <c r="H63" s="144"/>
      <c r="I63" s="144"/>
      <c r="J63" s="144"/>
      <c r="K63" s="144"/>
      <c r="L63" s="144"/>
      <c r="M63" s="144"/>
      <c r="N63" s="144"/>
      <c r="O63" s="144"/>
      <c r="P63" s="153"/>
      <c r="Q63" s="153"/>
      <c r="R63" s="153"/>
      <c r="S63" s="153"/>
      <c r="T63" s="6">
        <f>SUM(L47:L63)</f>
        <v>17</v>
      </c>
      <c r="U63" s="7">
        <f>COUNTA(D47:D63)</f>
        <v>5</v>
      </c>
    </row>
    <row r="64" spans="1:21" s="98" customFormat="1" ht="49.5" x14ac:dyDescent="0.35">
      <c r="A64" s="112" t="str">
        <f>_xlfn.XLOOKUP(B64,'Paso 3 Redacción RA'!I$3:I$15,'Paso 3 Redacción RA'!C$3:C$15,,0,1)</f>
        <v>Saber</v>
      </c>
      <c r="B64" s="100" t="s">
        <v>653</v>
      </c>
      <c r="C64" s="142">
        <v>5</v>
      </c>
      <c r="D64" s="142" t="s">
        <v>715</v>
      </c>
      <c r="E64" s="145" t="s">
        <v>716</v>
      </c>
      <c r="F64" s="147"/>
      <c r="G64" s="147" t="s">
        <v>143</v>
      </c>
      <c r="H64" s="142" t="s">
        <v>146</v>
      </c>
      <c r="I64" s="142"/>
      <c r="J64" s="142" t="s">
        <v>143</v>
      </c>
      <c r="K64" s="142"/>
      <c r="L64" s="142">
        <v>3</v>
      </c>
      <c r="M64" s="142">
        <f>IF(F64="X", L64*16, IF(G64="X", L64*12, ""))</f>
        <v>36</v>
      </c>
      <c r="N64" s="142">
        <f>IF(F64="X", L64*32, IF(G64="X", L64*36, ""))</f>
        <v>108</v>
      </c>
      <c r="O64" s="142">
        <f>SUM(M64:N66)</f>
        <v>144</v>
      </c>
      <c r="P64" s="140" t="s">
        <v>764</v>
      </c>
      <c r="Q64" s="140" t="s">
        <v>784</v>
      </c>
      <c r="R64" s="140" t="s">
        <v>790</v>
      </c>
      <c r="S64" s="140" t="s">
        <v>144</v>
      </c>
      <c r="T64" s="6"/>
      <c r="U64" s="7"/>
    </row>
    <row r="65" spans="1:21" s="98" customFormat="1" ht="33" x14ac:dyDescent="0.35">
      <c r="A65" s="98" t="str">
        <f>_xlfn.XLOOKUP(B65,'Paso 3 Redacción RA'!I$3:I$15,'Paso 3 Redacción RA'!C$3:C$15,,0,1)</f>
        <v>SaberHacer</v>
      </c>
      <c r="B65" s="79" t="s">
        <v>656</v>
      </c>
      <c r="C65" s="143"/>
      <c r="D65" s="143"/>
      <c r="E65" s="146"/>
      <c r="F65" s="148"/>
      <c r="G65" s="148"/>
      <c r="H65" s="143"/>
      <c r="I65" s="143"/>
      <c r="J65" s="143"/>
      <c r="K65" s="143"/>
      <c r="L65" s="143"/>
      <c r="M65" s="143"/>
      <c r="N65" s="143"/>
      <c r="O65" s="143"/>
      <c r="P65" s="141"/>
      <c r="Q65" s="141"/>
      <c r="R65" s="141"/>
      <c r="S65" s="141"/>
      <c r="T65" s="6"/>
      <c r="U65" s="7"/>
    </row>
    <row r="66" spans="1:21" s="98" customFormat="1" ht="50" thickBot="1" x14ac:dyDescent="0.4">
      <c r="A66" s="99" t="str">
        <f>_xlfn.XLOOKUP(B66,'Paso 3 Redacción RA'!I$3:I$15,'Paso 3 Redacción RA'!C$3:C$15,,0,1)</f>
        <v>SaberSer</v>
      </c>
      <c r="B66" s="95" t="s">
        <v>655</v>
      </c>
      <c r="C66" s="144"/>
      <c r="D66" s="144"/>
      <c r="E66" s="156"/>
      <c r="F66" s="149"/>
      <c r="G66" s="149"/>
      <c r="H66" s="143"/>
      <c r="I66" s="143"/>
      <c r="J66" s="143"/>
      <c r="K66" s="143"/>
      <c r="L66" s="143"/>
      <c r="M66" s="144"/>
      <c r="N66" s="144"/>
      <c r="O66" s="143"/>
      <c r="P66" s="141"/>
      <c r="Q66" s="141"/>
      <c r="R66" s="141"/>
      <c r="S66" s="141"/>
      <c r="T66" s="6"/>
      <c r="U66" s="7"/>
    </row>
    <row r="67" spans="1:21" s="98" customFormat="1" ht="49.5" x14ac:dyDescent="0.35">
      <c r="A67" s="112" t="str">
        <f>_xlfn.XLOOKUP(B67,'Paso 3 Redacción RA'!I$3:I$15,'Paso 3 Redacción RA'!C$3:C$15,,0,1)</f>
        <v>Saber</v>
      </c>
      <c r="B67" s="100" t="s">
        <v>653</v>
      </c>
      <c r="C67" s="142">
        <v>5</v>
      </c>
      <c r="D67" s="142" t="s">
        <v>717</v>
      </c>
      <c r="E67" s="145" t="s">
        <v>718</v>
      </c>
      <c r="F67" s="147" t="s">
        <v>143</v>
      </c>
      <c r="G67" s="147"/>
      <c r="H67" s="142" t="s">
        <v>146</v>
      </c>
      <c r="I67" s="142"/>
      <c r="J67" s="142" t="s">
        <v>143</v>
      </c>
      <c r="K67" s="142"/>
      <c r="L67" s="142">
        <v>3</v>
      </c>
      <c r="M67" s="142">
        <f>IF(F67="X", L67*16, IF(G67="X", L67*12, ""))</f>
        <v>48</v>
      </c>
      <c r="N67" s="142">
        <f>IF(F67="X", L67*32, IF(G67="X", L67*36, ""))</f>
        <v>96</v>
      </c>
      <c r="O67" s="142">
        <f>SUM(M67:N67)</f>
        <v>144</v>
      </c>
      <c r="P67" s="140" t="s">
        <v>765</v>
      </c>
      <c r="Q67" s="140" t="s">
        <v>780</v>
      </c>
      <c r="R67" s="140" t="s">
        <v>781</v>
      </c>
      <c r="S67" s="140" t="s">
        <v>144</v>
      </c>
      <c r="T67" s="6"/>
      <c r="U67" s="7"/>
    </row>
    <row r="68" spans="1:21" s="98" customFormat="1" ht="33" x14ac:dyDescent="0.35">
      <c r="A68" s="98" t="str">
        <f>_xlfn.XLOOKUP(B68,'Paso 3 Redacción RA'!I$3:I$15,'Paso 3 Redacción RA'!C$3:C$15,,0,1)</f>
        <v>SaberHacer</v>
      </c>
      <c r="B68" s="79" t="s">
        <v>654</v>
      </c>
      <c r="C68" s="143"/>
      <c r="D68" s="143"/>
      <c r="E68" s="146"/>
      <c r="F68" s="148"/>
      <c r="G68" s="148"/>
      <c r="H68" s="143"/>
      <c r="I68" s="143"/>
      <c r="J68" s="143"/>
      <c r="K68" s="143"/>
      <c r="L68" s="143"/>
      <c r="M68" s="143"/>
      <c r="N68" s="143"/>
      <c r="O68" s="143"/>
      <c r="P68" s="141"/>
      <c r="Q68" s="141"/>
      <c r="R68" s="141"/>
      <c r="S68" s="141"/>
      <c r="T68" s="6"/>
      <c r="U68" s="7"/>
    </row>
    <row r="69" spans="1:21" s="98" customFormat="1" ht="49.5" x14ac:dyDescent="0.35">
      <c r="A69" s="98" t="str">
        <f>_xlfn.XLOOKUP(B69,'Paso 3 Redacción RA'!I$3:I$15,'Paso 3 Redacción RA'!C$3:C$15,,0,1)</f>
        <v>Saber</v>
      </c>
      <c r="B69" s="79" t="s">
        <v>657</v>
      </c>
      <c r="C69" s="143"/>
      <c r="D69" s="143"/>
      <c r="E69" s="146"/>
      <c r="F69" s="148"/>
      <c r="G69" s="148"/>
      <c r="H69" s="143"/>
      <c r="I69" s="143"/>
      <c r="J69" s="143"/>
      <c r="K69" s="143"/>
      <c r="L69" s="143"/>
      <c r="M69" s="143"/>
      <c r="N69" s="143"/>
      <c r="O69" s="143"/>
      <c r="P69" s="141"/>
      <c r="Q69" s="141"/>
      <c r="R69" s="141"/>
      <c r="S69" s="141"/>
      <c r="T69" s="6"/>
      <c r="U69" s="7"/>
    </row>
    <row r="70" spans="1:21" s="98" customFormat="1" ht="33" x14ac:dyDescent="0.35">
      <c r="A70" s="98" t="str">
        <f>_xlfn.XLOOKUP(B70,'Paso 3 Redacción RA'!I$3:I$15,'Paso 3 Redacción RA'!C$3:C$15,,0,1)</f>
        <v>SaberHacer</v>
      </c>
      <c r="B70" s="79" t="s">
        <v>656</v>
      </c>
      <c r="C70" s="143"/>
      <c r="D70" s="143"/>
      <c r="E70" s="146"/>
      <c r="F70" s="148"/>
      <c r="G70" s="148"/>
      <c r="H70" s="143"/>
      <c r="I70" s="143"/>
      <c r="J70" s="143"/>
      <c r="K70" s="143"/>
      <c r="L70" s="143"/>
      <c r="M70" s="143"/>
      <c r="N70" s="143"/>
      <c r="O70" s="143"/>
      <c r="P70" s="141"/>
      <c r="Q70" s="141"/>
      <c r="R70" s="141"/>
      <c r="S70" s="141"/>
      <c r="T70" s="6"/>
      <c r="U70" s="7"/>
    </row>
    <row r="71" spans="1:21" s="98" customFormat="1" ht="50" thickBot="1" x14ac:dyDescent="0.4">
      <c r="A71" s="99" t="str">
        <f>_xlfn.XLOOKUP(B71,'Paso 3 Redacción RA'!I$3:I$15,'Paso 3 Redacción RA'!C$3:C$15,,0,1)</f>
        <v>SaberSer</v>
      </c>
      <c r="B71" s="95" t="s">
        <v>655</v>
      </c>
      <c r="C71" s="144"/>
      <c r="D71" s="144"/>
      <c r="E71" s="156"/>
      <c r="F71" s="149"/>
      <c r="G71" s="149"/>
      <c r="H71" s="144"/>
      <c r="I71" s="144"/>
      <c r="J71" s="144"/>
      <c r="K71" s="144"/>
      <c r="L71" s="144"/>
      <c r="M71" s="144"/>
      <c r="N71" s="144"/>
      <c r="O71" s="144"/>
      <c r="P71" s="153"/>
      <c r="Q71" s="153"/>
      <c r="R71" s="153"/>
      <c r="S71" s="153"/>
      <c r="T71" s="6"/>
      <c r="U71" s="7"/>
    </row>
    <row r="72" spans="1:21" s="98" customFormat="1" ht="49.5" x14ac:dyDescent="0.35">
      <c r="A72" s="112" t="str">
        <f>_xlfn.XLOOKUP(B72,'Paso 3 Redacción RA'!I$3:I$15,'Paso 3 Redacción RA'!C$3:C$15,,0,1)</f>
        <v>Saber</v>
      </c>
      <c r="B72" s="100" t="s">
        <v>653</v>
      </c>
      <c r="C72" s="142">
        <v>5</v>
      </c>
      <c r="D72" s="142" t="s">
        <v>709</v>
      </c>
      <c r="E72" s="145" t="s">
        <v>710</v>
      </c>
      <c r="F72" s="147"/>
      <c r="G72" s="147" t="s">
        <v>143</v>
      </c>
      <c r="H72" s="142" t="s">
        <v>146</v>
      </c>
      <c r="I72" s="142"/>
      <c r="J72" s="142" t="s">
        <v>143</v>
      </c>
      <c r="K72" s="142"/>
      <c r="L72" s="142">
        <v>4</v>
      </c>
      <c r="M72" s="142">
        <f>IF(F72="X", L72*16, IF(G72="X", L72*12, ""))</f>
        <v>48</v>
      </c>
      <c r="N72" s="142">
        <f>IF(F72="X", L72*32, IF(G72="X", L72*36, ""))</f>
        <v>144</v>
      </c>
      <c r="O72" s="142">
        <f>SUM(M72:N72)</f>
        <v>192</v>
      </c>
      <c r="P72" s="140" t="s">
        <v>761</v>
      </c>
      <c r="Q72" s="140" t="s">
        <v>784</v>
      </c>
      <c r="R72" s="140" t="s">
        <v>790</v>
      </c>
      <c r="S72" s="140" t="s">
        <v>144</v>
      </c>
      <c r="T72" s="6"/>
      <c r="U72" s="7"/>
    </row>
    <row r="73" spans="1:21" s="98" customFormat="1" ht="33" x14ac:dyDescent="0.35">
      <c r="A73" s="98" t="str">
        <f>_xlfn.XLOOKUP(B73,'Paso 3 Redacción RA'!I$3:I$15,'Paso 3 Redacción RA'!C$3:C$15,,0,1)</f>
        <v>SaberHacer</v>
      </c>
      <c r="B73" s="79" t="s">
        <v>654</v>
      </c>
      <c r="C73" s="143"/>
      <c r="D73" s="143"/>
      <c r="E73" s="146"/>
      <c r="F73" s="148"/>
      <c r="G73" s="148"/>
      <c r="H73" s="143"/>
      <c r="I73" s="143"/>
      <c r="J73" s="143"/>
      <c r="K73" s="143"/>
      <c r="L73" s="143"/>
      <c r="M73" s="143"/>
      <c r="N73" s="143"/>
      <c r="O73" s="143"/>
      <c r="P73" s="141"/>
      <c r="Q73" s="141"/>
      <c r="R73" s="141"/>
      <c r="S73" s="141"/>
      <c r="T73" s="6"/>
      <c r="U73" s="7"/>
    </row>
    <row r="74" spans="1:21" s="98" customFormat="1" ht="33" x14ac:dyDescent="0.35">
      <c r="A74" s="98" t="str">
        <f>_xlfn.XLOOKUP(B74,'Paso 3 Redacción RA'!I$3:I$15,'Paso 3 Redacción RA'!C$3:C$15,,0,1)</f>
        <v>SaberHacer</v>
      </c>
      <c r="B74" s="79" t="s">
        <v>656</v>
      </c>
      <c r="C74" s="143"/>
      <c r="D74" s="143"/>
      <c r="E74" s="146"/>
      <c r="F74" s="148"/>
      <c r="G74" s="148"/>
      <c r="H74" s="143"/>
      <c r="I74" s="143"/>
      <c r="J74" s="143"/>
      <c r="K74" s="143"/>
      <c r="L74" s="143"/>
      <c r="M74" s="143"/>
      <c r="N74" s="143"/>
      <c r="O74" s="143"/>
      <c r="P74" s="141"/>
      <c r="Q74" s="141"/>
      <c r="R74" s="141"/>
      <c r="S74" s="141"/>
      <c r="T74" s="6"/>
      <c r="U74" s="7"/>
    </row>
    <row r="75" spans="1:21" s="98" customFormat="1" ht="50" thickBot="1" x14ac:dyDescent="0.4">
      <c r="A75" s="99" t="str">
        <f>_xlfn.XLOOKUP(B75,'Paso 3 Redacción RA'!I$3:I$15,'Paso 3 Redacción RA'!C$3:C$15,,0,1)</f>
        <v>Saber</v>
      </c>
      <c r="B75" s="95" t="s">
        <v>658</v>
      </c>
      <c r="C75" s="144"/>
      <c r="D75" s="144"/>
      <c r="E75" s="156"/>
      <c r="F75" s="149"/>
      <c r="G75" s="149"/>
      <c r="H75" s="144"/>
      <c r="I75" s="144"/>
      <c r="J75" s="144"/>
      <c r="K75" s="144"/>
      <c r="L75" s="144"/>
      <c r="M75" s="144"/>
      <c r="N75" s="144"/>
      <c r="O75" s="144"/>
      <c r="P75" s="153"/>
      <c r="Q75" s="153"/>
      <c r="R75" s="153"/>
      <c r="S75" s="153"/>
      <c r="T75" s="6"/>
      <c r="U75" s="7"/>
    </row>
    <row r="76" spans="1:21" s="98" customFormat="1" ht="49.5" x14ac:dyDescent="0.35">
      <c r="A76" s="112" t="str">
        <f>_xlfn.XLOOKUP(B76,'Paso 3 Redacción RA'!I$3:I$15,'Paso 3 Redacción RA'!C$3:C$15,,0,1)</f>
        <v>Saber</v>
      </c>
      <c r="B76" s="100" t="s">
        <v>653</v>
      </c>
      <c r="C76" s="142">
        <v>5</v>
      </c>
      <c r="D76" s="142" t="s">
        <v>735</v>
      </c>
      <c r="E76" s="145" t="s">
        <v>736</v>
      </c>
      <c r="F76" s="147" t="s">
        <v>143</v>
      </c>
      <c r="G76" s="147"/>
      <c r="H76" s="142" t="s">
        <v>146</v>
      </c>
      <c r="I76" s="142"/>
      <c r="J76" s="142" t="s">
        <v>143</v>
      </c>
      <c r="K76" s="142"/>
      <c r="L76" s="142">
        <v>3</v>
      </c>
      <c r="M76" s="142">
        <f>IF(F76="X", L76*16, IF(G76="X", L76*12, ""))</f>
        <v>48</v>
      </c>
      <c r="N76" s="142">
        <f>IF(F76="X", L76*32, IF(G76="X", L76*36, ""))</f>
        <v>96</v>
      </c>
      <c r="O76" s="142">
        <f>SUM(M76:N76)</f>
        <v>144</v>
      </c>
      <c r="P76" s="140" t="s">
        <v>774</v>
      </c>
      <c r="Q76" s="140" t="s">
        <v>780</v>
      </c>
      <c r="R76" s="140" t="s">
        <v>781</v>
      </c>
      <c r="S76" s="140" t="s">
        <v>144</v>
      </c>
      <c r="T76" s="6"/>
      <c r="U76" s="7"/>
    </row>
    <row r="77" spans="1:21" s="98" customFormat="1" ht="33" x14ac:dyDescent="0.35">
      <c r="A77" s="98" t="str">
        <f>_xlfn.XLOOKUP(B77,'Paso 3 Redacción RA'!I$3:I$15,'Paso 3 Redacción RA'!C$3:C$15,,0,1)</f>
        <v>SaberHacer</v>
      </c>
      <c r="B77" s="79" t="s">
        <v>656</v>
      </c>
      <c r="C77" s="143"/>
      <c r="D77" s="143"/>
      <c r="E77" s="146"/>
      <c r="F77" s="148"/>
      <c r="G77" s="148"/>
      <c r="H77" s="143"/>
      <c r="I77" s="143"/>
      <c r="J77" s="143"/>
      <c r="K77" s="143"/>
      <c r="L77" s="143"/>
      <c r="M77" s="143"/>
      <c r="N77" s="143"/>
      <c r="O77" s="143"/>
      <c r="P77" s="141"/>
      <c r="Q77" s="141"/>
      <c r="R77" s="141"/>
      <c r="S77" s="141"/>
      <c r="T77" s="6"/>
      <c r="U77" s="7"/>
    </row>
    <row r="78" spans="1:21" s="98" customFormat="1" ht="50" thickBot="1" x14ac:dyDescent="0.4">
      <c r="A78" s="99" t="str">
        <f>_xlfn.XLOOKUP(B78,'Paso 3 Redacción RA'!I$3:I$15,'Paso 3 Redacción RA'!C$3:C$15,,0,1)</f>
        <v>SaberSer</v>
      </c>
      <c r="B78" s="95" t="s">
        <v>655</v>
      </c>
      <c r="C78" s="144"/>
      <c r="D78" s="144"/>
      <c r="E78" s="156"/>
      <c r="F78" s="149"/>
      <c r="G78" s="149"/>
      <c r="H78" s="144"/>
      <c r="I78" s="144"/>
      <c r="J78" s="144"/>
      <c r="K78" s="144"/>
      <c r="L78" s="144"/>
      <c r="M78" s="144"/>
      <c r="N78" s="144"/>
      <c r="O78" s="144"/>
      <c r="P78" s="153"/>
      <c r="Q78" s="153"/>
      <c r="R78" s="153"/>
      <c r="S78" s="153"/>
      <c r="T78" s="6"/>
      <c r="U78" s="7"/>
    </row>
    <row r="79" spans="1:21" s="98" customFormat="1" ht="49.5" x14ac:dyDescent="0.35">
      <c r="A79" s="112" t="str">
        <f>_xlfn.XLOOKUP(B79,'Paso 3 Redacción RA'!I$3:I$15,'Paso 3 Redacción RA'!C$3:C$15,,0,1)</f>
        <v>SaberSer</v>
      </c>
      <c r="B79" s="100" t="s">
        <v>655</v>
      </c>
      <c r="C79" s="142">
        <v>5</v>
      </c>
      <c r="D79" s="142" t="s">
        <v>692</v>
      </c>
      <c r="E79" s="145" t="s">
        <v>693</v>
      </c>
      <c r="F79" s="147"/>
      <c r="G79" s="147" t="s">
        <v>143</v>
      </c>
      <c r="H79" s="142" t="s">
        <v>146</v>
      </c>
      <c r="I79" s="142"/>
      <c r="J79" s="142" t="s">
        <v>143</v>
      </c>
      <c r="K79" s="142"/>
      <c r="L79" s="142">
        <v>3</v>
      </c>
      <c r="M79" s="142">
        <f>IF(F79="X", L79*16, IF(G79="X", L79*12, ""))</f>
        <v>36</v>
      </c>
      <c r="N79" s="142">
        <f>IF(F79="X", L79*32, IF(G79="X", L79*36, ""))</f>
        <v>108</v>
      </c>
      <c r="O79" s="142">
        <f>SUM(M79:N79)</f>
        <v>144</v>
      </c>
      <c r="P79" s="140" t="s">
        <v>753</v>
      </c>
      <c r="Q79" s="140" t="s">
        <v>784</v>
      </c>
      <c r="R79" s="140" t="s">
        <v>787</v>
      </c>
      <c r="S79" s="140" t="s">
        <v>144</v>
      </c>
      <c r="T79" s="6"/>
      <c r="U79" s="7"/>
    </row>
    <row r="80" spans="1:21" s="98" customFormat="1" ht="33" x14ac:dyDescent="0.35">
      <c r="A80" s="98" t="str">
        <f>_xlfn.XLOOKUP(B80,'Paso 3 Redacción RA'!I$3:I$15,'Paso 3 Redacción RA'!C$3:C$15,,0,1)</f>
        <v>SaberHacer</v>
      </c>
      <c r="B80" s="79" t="s">
        <v>656</v>
      </c>
      <c r="C80" s="143"/>
      <c r="D80" s="143"/>
      <c r="E80" s="146"/>
      <c r="F80" s="148"/>
      <c r="G80" s="148"/>
      <c r="H80" s="143"/>
      <c r="I80" s="143"/>
      <c r="J80" s="143"/>
      <c r="K80" s="143"/>
      <c r="L80" s="143"/>
      <c r="M80" s="143"/>
      <c r="N80" s="143"/>
      <c r="O80" s="143"/>
      <c r="P80" s="141"/>
      <c r="Q80" s="141"/>
      <c r="R80" s="141"/>
      <c r="S80" s="141"/>
      <c r="T80" s="6"/>
      <c r="U80" s="7"/>
    </row>
    <row r="81" spans="1:21" s="98" customFormat="1" ht="50" thickBot="1" x14ac:dyDescent="0.4">
      <c r="A81" s="99" t="str">
        <f>_xlfn.XLOOKUP(B81,'Paso 3 Redacción RA'!I$3:I$15,'Paso 3 Redacción RA'!C$3:C$15,,0,1)</f>
        <v>Saber</v>
      </c>
      <c r="B81" s="95" t="s">
        <v>653</v>
      </c>
      <c r="C81" s="144"/>
      <c r="D81" s="144"/>
      <c r="E81" s="156"/>
      <c r="F81" s="149"/>
      <c r="G81" s="149"/>
      <c r="H81" s="144"/>
      <c r="I81" s="144"/>
      <c r="J81" s="144"/>
      <c r="K81" s="144"/>
      <c r="L81" s="144"/>
      <c r="M81" s="144"/>
      <c r="N81" s="144"/>
      <c r="O81" s="144"/>
      <c r="P81" s="153"/>
      <c r="Q81" s="153"/>
      <c r="R81" s="153"/>
      <c r="S81" s="153"/>
      <c r="T81" s="6">
        <f>SUM(L64:L81)</f>
        <v>16</v>
      </c>
      <c r="U81" s="7">
        <f>COUNTA(D64:D81)</f>
        <v>5</v>
      </c>
    </row>
    <row r="82" spans="1:21" s="98" customFormat="1" ht="49.5" x14ac:dyDescent="0.35">
      <c r="A82" s="112" t="str">
        <f>_xlfn.XLOOKUP(B82,'Paso 3 Redacción RA'!I$3:I$15,'Paso 3 Redacción RA'!C$3:C$15,,0,1)</f>
        <v>Saber</v>
      </c>
      <c r="B82" s="100" t="s">
        <v>653</v>
      </c>
      <c r="C82" s="142">
        <v>6</v>
      </c>
      <c r="D82" s="142" t="s">
        <v>725</v>
      </c>
      <c r="E82" s="145" t="s">
        <v>726</v>
      </c>
      <c r="F82" s="147"/>
      <c r="G82" s="147" t="s">
        <v>143</v>
      </c>
      <c r="H82" s="142" t="s">
        <v>146</v>
      </c>
      <c r="I82" s="142"/>
      <c r="J82" s="142" t="s">
        <v>143</v>
      </c>
      <c r="K82" s="142"/>
      <c r="L82" s="142">
        <v>3</v>
      </c>
      <c r="M82" s="142">
        <f>IF(F82="X", L82*16, IF(G82="X", L82*12, ""))</f>
        <v>36</v>
      </c>
      <c r="N82" s="142">
        <f>IF(F82="X", L82*32, IF(G82="X", L82*36, ""))</f>
        <v>108</v>
      </c>
      <c r="O82" s="142">
        <f>SUM(M82:N82)</f>
        <v>144</v>
      </c>
      <c r="P82" s="140" t="s">
        <v>769</v>
      </c>
      <c r="Q82" s="140" t="s">
        <v>784</v>
      </c>
      <c r="R82" s="140" t="s">
        <v>788</v>
      </c>
      <c r="S82" s="140" t="s">
        <v>144</v>
      </c>
      <c r="T82" s="6"/>
      <c r="U82" s="7"/>
    </row>
    <row r="83" spans="1:21" s="98" customFormat="1" ht="49.5" x14ac:dyDescent="0.35">
      <c r="A83" s="98" t="str">
        <f>_xlfn.XLOOKUP(B83,'Paso 3 Redacción RA'!I$3:I$15,'Paso 3 Redacción RA'!C$3:C$15,,0,1)</f>
        <v>SaberSer</v>
      </c>
      <c r="B83" s="79" t="s">
        <v>655</v>
      </c>
      <c r="C83" s="143"/>
      <c r="D83" s="143"/>
      <c r="E83" s="146"/>
      <c r="F83" s="148"/>
      <c r="G83" s="148"/>
      <c r="H83" s="143"/>
      <c r="I83" s="143"/>
      <c r="J83" s="143"/>
      <c r="K83" s="143"/>
      <c r="L83" s="143"/>
      <c r="M83" s="143"/>
      <c r="N83" s="143"/>
      <c r="O83" s="143"/>
      <c r="P83" s="141"/>
      <c r="Q83" s="141"/>
      <c r="R83" s="141"/>
      <c r="S83" s="141"/>
      <c r="T83" s="6"/>
      <c r="U83" s="7"/>
    </row>
    <row r="84" spans="1:21" s="98" customFormat="1" ht="33" x14ac:dyDescent="0.35">
      <c r="A84" s="98" t="str">
        <f>_xlfn.XLOOKUP(B84,'Paso 3 Redacción RA'!I$3:I$15,'Paso 3 Redacción RA'!C$3:C$15,,0,1)</f>
        <v>SaberHacer</v>
      </c>
      <c r="B84" s="79" t="s">
        <v>654</v>
      </c>
      <c r="C84" s="143"/>
      <c r="D84" s="143"/>
      <c r="E84" s="146"/>
      <c r="F84" s="148"/>
      <c r="G84" s="148"/>
      <c r="H84" s="143"/>
      <c r="I84" s="143"/>
      <c r="J84" s="143"/>
      <c r="K84" s="143"/>
      <c r="L84" s="143"/>
      <c r="M84" s="143"/>
      <c r="N84" s="143"/>
      <c r="O84" s="143"/>
      <c r="P84" s="141"/>
      <c r="Q84" s="141"/>
      <c r="R84" s="141"/>
      <c r="S84" s="141"/>
      <c r="T84" s="6"/>
      <c r="U84" s="7"/>
    </row>
    <row r="85" spans="1:21" s="98" customFormat="1" ht="50" thickBot="1" x14ac:dyDescent="0.4">
      <c r="A85" s="99" t="str">
        <f>_xlfn.XLOOKUP(B85,'Paso 3 Redacción RA'!I$3:I$15,'Paso 3 Redacción RA'!C$3:C$15,,0,1)</f>
        <v>Saber</v>
      </c>
      <c r="B85" s="95" t="s">
        <v>658</v>
      </c>
      <c r="C85" s="144"/>
      <c r="D85" s="144"/>
      <c r="E85" s="156"/>
      <c r="F85" s="149"/>
      <c r="G85" s="149"/>
      <c r="H85" s="143"/>
      <c r="I85" s="143"/>
      <c r="J85" s="143"/>
      <c r="K85" s="143"/>
      <c r="L85" s="143"/>
      <c r="M85" s="144"/>
      <c r="N85" s="144"/>
      <c r="O85" s="143"/>
      <c r="P85" s="141"/>
      <c r="Q85" s="141"/>
      <c r="R85" s="141"/>
      <c r="S85" s="141"/>
      <c r="T85" s="6"/>
      <c r="U85" s="7"/>
    </row>
    <row r="86" spans="1:21" s="98" customFormat="1" ht="49.5" x14ac:dyDescent="0.35">
      <c r="A86" s="112" t="str">
        <f>_xlfn.XLOOKUP(B86,'Paso 3 Redacción RA'!I$3:I$15,'Paso 3 Redacción RA'!C$3:C$15,,0,1)</f>
        <v>Saber</v>
      </c>
      <c r="B86" s="100" t="s">
        <v>653</v>
      </c>
      <c r="C86" s="142">
        <v>6</v>
      </c>
      <c r="D86" s="142" t="s">
        <v>719</v>
      </c>
      <c r="E86" s="145" t="s">
        <v>720</v>
      </c>
      <c r="F86" s="147" t="s">
        <v>143</v>
      </c>
      <c r="G86" s="147"/>
      <c r="H86" s="142" t="s">
        <v>146</v>
      </c>
      <c r="I86" s="142"/>
      <c r="J86" s="142" t="s">
        <v>143</v>
      </c>
      <c r="K86" s="142"/>
      <c r="L86" s="142">
        <v>3</v>
      </c>
      <c r="M86" s="142">
        <f>IF(F86="X", L86*16, IF(G86="X", L86*12, ""))</f>
        <v>48</v>
      </c>
      <c r="N86" s="142">
        <f>IF(F86="X", L86*32, IF(G86="X", L86*36, ""))</f>
        <v>96</v>
      </c>
      <c r="O86" s="142">
        <f>SUM(M86:N86)</f>
        <v>144</v>
      </c>
      <c r="P86" s="140" t="s">
        <v>766</v>
      </c>
      <c r="Q86" s="140" t="s">
        <v>780</v>
      </c>
      <c r="R86" s="140" t="s">
        <v>781</v>
      </c>
      <c r="S86" s="140" t="s">
        <v>144</v>
      </c>
      <c r="T86" s="6"/>
      <c r="U86" s="7"/>
    </row>
    <row r="87" spans="1:21" s="98" customFormat="1" ht="49.5" x14ac:dyDescent="0.35">
      <c r="A87" s="98" t="str">
        <f>_xlfn.XLOOKUP(B87,'Paso 3 Redacción RA'!I$3:I$15,'Paso 3 Redacción RA'!C$3:C$15,,0,1)</f>
        <v>SaberSer</v>
      </c>
      <c r="B87" s="79" t="s">
        <v>655</v>
      </c>
      <c r="C87" s="143"/>
      <c r="D87" s="143"/>
      <c r="E87" s="146"/>
      <c r="F87" s="148"/>
      <c r="G87" s="148"/>
      <c r="H87" s="143"/>
      <c r="I87" s="143"/>
      <c r="J87" s="143"/>
      <c r="K87" s="143"/>
      <c r="L87" s="143"/>
      <c r="M87" s="143"/>
      <c r="N87" s="143"/>
      <c r="O87" s="143"/>
      <c r="P87" s="141"/>
      <c r="Q87" s="141"/>
      <c r="R87" s="141"/>
      <c r="S87" s="141"/>
      <c r="T87" s="6"/>
      <c r="U87" s="7"/>
    </row>
    <row r="88" spans="1:21" s="98" customFormat="1" ht="50" thickBot="1" x14ac:dyDescent="0.4">
      <c r="A88" s="99" t="str">
        <f>_xlfn.XLOOKUP(B88,'Paso 3 Redacción RA'!I$3:I$15,'Paso 3 Redacción RA'!C$3:C$15,,0,1)</f>
        <v>Saber</v>
      </c>
      <c r="B88" s="95" t="s">
        <v>658</v>
      </c>
      <c r="C88" s="144"/>
      <c r="D88" s="144"/>
      <c r="E88" s="156"/>
      <c r="F88" s="149"/>
      <c r="G88" s="149"/>
      <c r="H88" s="144"/>
      <c r="I88" s="144"/>
      <c r="J88" s="144"/>
      <c r="K88" s="144"/>
      <c r="L88" s="144"/>
      <c r="M88" s="144"/>
      <c r="N88" s="144"/>
      <c r="O88" s="144"/>
      <c r="P88" s="153"/>
      <c r="Q88" s="153"/>
      <c r="R88" s="153"/>
      <c r="S88" s="153"/>
      <c r="T88" s="6"/>
      <c r="U88" s="7"/>
    </row>
    <row r="89" spans="1:21" s="98" customFormat="1" ht="49.5" x14ac:dyDescent="0.35">
      <c r="A89" s="112" t="str">
        <f>_xlfn.XLOOKUP(B89,'Paso 3 Redacción RA'!I$3:I$15,'Paso 3 Redacción RA'!C$3:C$15,,0,1)</f>
        <v>Saber</v>
      </c>
      <c r="B89" s="100" t="s">
        <v>653</v>
      </c>
      <c r="C89" s="142">
        <v>6</v>
      </c>
      <c r="D89" s="142" t="s">
        <v>741</v>
      </c>
      <c r="E89" s="145" t="s">
        <v>742</v>
      </c>
      <c r="F89" s="147"/>
      <c r="G89" s="147" t="s">
        <v>143</v>
      </c>
      <c r="H89" s="142" t="s">
        <v>747</v>
      </c>
      <c r="I89" s="142"/>
      <c r="J89" s="142" t="s">
        <v>143</v>
      </c>
      <c r="K89" s="142"/>
      <c r="L89" s="142">
        <v>3</v>
      </c>
      <c r="M89" s="142">
        <f>IF(F89="X", L89*16, IF(G89="X", L89*12, ""))</f>
        <v>36</v>
      </c>
      <c r="N89" s="142">
        <f>IF(F89="X", L89*32, IF(G89="X", L89*36, ""))</f>
        <v>108</v>
      </c>
      <c r="O89" s="142">
        <f>SUM(M89:N89)</f>
        <v>144</v>
      </c>
      <c r="P89" s="140" t="s">
        <v>777</v>
      </c>
      <c r="Q89" s="140" t="s">
        <v>784</v>
      </c>
      <c r="R89" s="140" t="s">
        <v>791</v>
      </c>
      <c r="S89" s="140" t="s">
        <v>144</v>
      </c>
      <c r="T89" s="6"/>
      <c r="U89" s="7"/>
    </row>
    <row r="90" spans="1:21" s="98" customFormat="1" ht="49.5" x14ac:dyDescent="0.35">
      <c r="A90" s="98" t="str">
        <f>_xlfn.XLOOKUP(B90,'Paso 3 Redacción RA'!I$3:I$15,'Paso 3 Redacción RA'!C$3:C$15,,0,1)</f>
        <v>SaberSer</v>
      </c>
      <c r="B90" s="79" t="s">
        <v>655</v>
      </c>
      <c r="C90" s="143"/>
      <c r="D90" s="143"/>
      <c r="E90" s="146"/>
      <c r="F90" s="148"/>
      <c r="G90" s="148"/>
      <c r="H90" s="143"/>
      <c r="I90" s="143"/>
      <c r="J90" s="143"/>
      <c r="K90" s="143"/>
      <c r="L90" s="143"/>
      <c r="M90" s="143"/>
      <c r="N90" s="143"/>
      <c r="O90" s="143"/>
      <c r="P90" s="141"/>
      <c r="Q90" s="141"/>
      <c r="R90" s="141"/>
      <c r="S90" s="141"/>
      <c r="T90" s="6"/>
      <c r="U90" s="7"/>
    </row>
    <row r="91" spans="1:21" s="98" customFormat="1" ht="49.5" x14ac:dyDescent="0.35">
      <c r="A91" s="98" t="str">
        <f>_xlfn.XLOOKUP(B91,'Paso 3 Redacción RA'!I$3:I$15,'Paso 3 Redacción RA'!C$3:C$15,,0,1)</f>
        <v>Saber</v>
      </c>
      <c r="B91" s="79" t="s">
        <v>657</v>
      </c>
      <c r="C91" s="143"/>
      <c r="D91" s="143"/>
      <c r="E91" s="146"/>
      <c r="F91" s="148"/>
      <c r="G91" s="148"/>
      <c r="H91" s="143"/>
      <c r="I91" s="143"/>
      <c r="J91" s="143"/>
      <c r="K91" s="143"/>
      <c r="L91" s="143"/>
      <c r="M91" s="143"/>
      <c r="N91" s="143"/>
      <c r="O91" s="143"/>
      <c r="P91" s="141"/>
      <c r="Q91" s="141"/>
      <c r="R91" s="141"/>
      <c r="S91" s="141"/>
      <c r="T91" s="6"/>
      <c r="U91" s="7"/>
    </row>
    <row r="92" spans="1:21" s="98" customFormat="1" ht="33.5" thickBot="1" x14ac:dyDescent="0.4">
      <c r="A92" s="99" t="str">
        <f>_xlfn.XLOOKUP(B92,'Paso 3 Redacción RA'!I$3:I$15,'Paso 3 Redacción RA'!C$3:C$15,,0,1)</f>
        <v>SaberHacer</v>
      </c>
      <c r="B92" s="95" t="s">
        <v>656</v>
      </c>
      <c r="C92" s="144"/>
      <c r="D92" s="144"/>
      <c r="E92" s="156"/>
      <c r="F92" s="149"/>
      <c r="G92" s="149"/>
      <c r="H92" s="144"/>
      <c r="I92" s="144"/>
      <c r="J92" s="144"/>
      <c r="K92" s="144"/>
      <c r="L92" s="144"/>
      <c r="M92" s="144"/>
      <c r="N92" s="144"/>
      <c r="O92" s="144"/>
      <c r="P92" s="153"/>
      <c r="Q92" s="153"/>
      <c r="R92" s="153"/>
      <c r="S92" s="153"/>
      <c r="T92" s="6"/>
      <c r="U92" s="7"/>
    </row>
    <row r="93" spans="1:21" s="98" customFormat="1" ht="49.5" x14ac:dyDescent="0.35">
      <c r="A93" s="112" t="str">
        <f>_xlfn.XLOOKUP(B93,'Paso 3 Redacción RA'!I$3:I$15,'Paso 3 Redacción RA'!C$3:C$15,,0,1)</f>
        <v>Saber</v>
      </c>
      <c r="B93" s="100" t="s">
        <v>653</v>
      </c>
      <c r="C93" s="142">
        <v>6</v>
      </c>
      <c r="D93" s="142" t="s">
        <v>731</v>
      </c>
      <c r="E93" s="145" t="s">
        <v>732</v>
      </c>
      <c r="F93" s="147" t="s">
        <v>143</v>
      </c>
      <c r="G93" s="147"/>
      <c r="H93" s="142" t="s">
        <v>748</v>
      </c>
      <c r="I93" s="142"/>
      <c r="J93" s="142" t="s">
        <v>143</v>
      </c>
      <c r="K93" s="142"/>
      <c r="L93" s="142">
        <v>6</v>
      </c>
      <c r="M93" s="142">
        <f>IF(F93="X", L93*16, IF(G93="X", L93*12, ""))</f>
        <v>96</v>
      </c>
      <c r="N93" s="142">
        <f>IF(F93="X", L93*32, IF(G93="X", L93*36, ""))</f>
        <v>192</v>
      </c>
      <c r="O93" s="142">
        <f>SUM(M93:N93)</f>
        <v>288</v>
      </c>
      <c r="P93" s="140" t="s">
        <v>772</v>
      </c>
      <c r="Q93" s="140" t="s">
        <v>780</v>
      </c>
      <c r="R93" s="140" t="s">
        <v>781</v>
      </c>
      <c r="S93" s="140" t="s">
        <v>144</v>
      </c>
      <c r="T93" s="6"/>
      <c r="U93" s="7"/>
    </row>
    <row r="94" spans="1:21" s="98" customFormat="1" ht="33" x14ac:dyDescent="0.35">
      <c r="A94" s="98" t="str">
        <f>_xlfn.XLOOKUP(B94,'Paso 3 Redacción RA'!I$3:I$15,'Paso 3 Redacción RA'!C$3:C$15,,0,1)</f>
        <v>SaberHacer</v>
      </c>
      <c r="B94" s="79" t="s">
        <v>654</v>
      </c>
      <c r="C94" s="143"/>
      <c r="D94" s="143"/>
      <c r="E94" s="146"/>
      <c r="F94" s="148"/>
      <c r="G94" s="148"/>
      <c r="H94" s="143"/>
      <c r="I94" s="143"/>
      <c r="J94" s="143"/>
      <c r="K94" s="143"/>
      <c r="L94" s="143"/>
      <c r="M94" s="143"/>
      <c r="N94" s="143"/>
      <c r="O94" s="143"/>
      <c r="P94" s="141"/>
      <c r="Q94" s="141"/>
      <c r="R94" s="141"/>
      <c r="S94" s="141"/>
      <c r="T94" s="6"/>
      <c r="U94" s="7"/>
    </row>
    <row r="95" spans="1:21" s="98" customFormat="1" ht="49.5" x14ac:dyDescent="0.35">
      <c r="A95" s="98" t="str">
        <f>_xlfn.XLOOKUP(B95,'Paso 3 Redacción RA'!I$3:I$15,'Paso 3 Redacción RA'!C$3:C$15,,0,1)</f>
        <v>SaberSer</v>
      </c>
      <c r="B95" s="79" t="s">
        <v>655</v>
      </c>
      <c r="C95" s="143"/>
      <c r="D95" s="143"/>
      <c r="E95" s="146"/>
      <c r="F95" s="148"/>
      <c r="G95" s="148"/>
      <c r="H95" s="143"/>
      <c r="I95" s="143"/>
      <c r="J95" s="143"/>
      <c r="K95" s="143"/>
      <c r="L95" s="143"/>
      <c r="M95" s="143"/>
      <c r="N95" s="143"/>
      <c r="O95" s="143"/>
      <c r="P95" s="141"/>
      <c r="Q95" s="141"/>
      <c r="R95" s="141"/>
      <c r="S95" s="141"/>
      <c r="T95" s="6"/>
      <c r="U95" s="7"/>
    </row>
    <row r="96" spans="1:21" s="98" customFormat="1" ht="33" x14ac:dyDescent="0.35">
      <c r="A96" s="98" t="str">
        <f>_xlfn.XLOOKUP(B96,'Paso 3 Redacción RA'!I$3:I$15,'Paso 3 Redacción RA'!C$3:C$15,,0,1)</f>
        <v>SaberHacer</v>
      </c>
      <c r="B96" s="79" t="s">
        <v>656</v>
      </c>
      <c r="C96" s="143"/>
      <c r="D96" s="143"/>
      <c r="E96" s="146"/>
      <c r="F96" s="148"/>
      <c r="G96" s="148"/>
      <c r="H96" s="143"/>
      <c r="I96" s="143"/>
      <c r="J96" s="143"/>
      <c r="K96" s="143"/>
      <c r="L96" s="143"/>
      <c r="M96" s="143"/>
      <c r="N96" s="143"/>
      <c r="O96" s="143"/>
      <c r="P96" s="141"/>
      <c r="Q96" s="141"/>
      <c r="R96" s="141"/>
      <c r="S96" s="141"/>
      <c r="T96" s="6"/>
      <c r="U96" s="7"/>
    </row>
    <row r="97" spans="1:21" s="98" customFormat="1" ht="49.5" x14ac:dyDescent="0.35">
      <c r="A97" s="98" t="str">
        <f>_xlfn.XLOOKUP(B97,'Paso 3 Redacción RA'!I$3:I$15,'Paso 3 Redacción RA'!C$3:C$15,,0,1)</f>
        <v>Saber</v>
      </c>
      <c r="B97" s="79" t="s">
        <v>657</v>
      </c>
      <c r="C97" s="143"/>
      <c r="D97" s="143"/>
      <c r="E97" s="146"/>
      <c r="F97" s="148"/>
      <c r="G97" s="148"/>
      <c r="H97" s="143"/>
      <c r="I97" s="143"/>
      <c r="J97" s="143"/>
      <c r="K97" s="143"/>
      <c r="L97" s="143"/>
      <c r="M97" s="143"/>
      <c r="N97" s="143"/>
      <c r="O97" s="143"/>
      <c r="P97" s="141"/>
      <c r="Q97" s="141"/>
      <c r="R97" s="141"/>
      <c r="S97" s="141"/>
      <c r="T97" s="6"/>
      <c r="U97" s="7"/>
    </row>
    <row r="98" spans="1:21" s="98" customFormat="1" ht="50" thickBot="1" x14ac:dyDescent="0.4">
      <c r="A98" s="99" t="str">
        <f>_xlfn.XLOOKUP(B98,'Paso 3 Redacción RA'!I$3:I$15,'Paso 3 Redacción RA'!C$3:C$15,,0,1)</f>
        <v>Saber</v>
      </c>
      <c r="B98" s="95" t="s">
        <v>658</v>
      </c>
      <c r="C98" s="144"/>
      <c r="D98" s="144"/>
      <c r="E98" s="156"/>
      <c r="F98" s="149"/>
      <c r="G98" s="149"/>
      <c r="H98" s="144"/>
      <c r="I98" s="144"/>
      <c r="J98" s="144"/>
      <c r="K98" s="144"/>
      <c r="L98" s="144"/>
      <c r="M98" s="144"/>
      <c r="N98" s="144"/>
      <c r="O98" s="144"/>
      <c r="P98" s="153"/>
      <c r="Q98" s="153"/>
      <c r="R98" s="153"/>
      <c r="S98" s="153"/>
      <c r="T98" s="6"/>
      <c r="U98" s="7"/>
    </row>
    <row r="99" spans="1:21" s="98" customFormat="1" ht="49.5" x14ac:dyDescent="0.35">
      <c r="A99" s="112" t="str">
        <f>_xlfn.XLOOKUP(B99,'Paso 3 Redacción RA'!I$3:I$15,'Paso 3 Redacción RA'!C$3:C$15,,0,1)</f>
        <v>Saber</v>
      </c>
      <c r="B99" s="100" t="s">
        <v>653</v>
      </c>
      <c r="C99" s="142">
        <v>6</v>
      </c>
      <c r="D99" s="142" t="s">
        <v>733</v>
      </c>
      <c r="E99" s="145" t="s">
        <v>734</v>
      </c>
      <c r="F99" s="147" t="s">
        <v>143</v>
      </c>
      <c r="G99" s="147"/>
      <c r="H99" s="142" t="s">
        <v>146</v>
      </c>
      <c r="I99" s="142"/>
      <c r="J99" s="142" t="s">
        <v>143</v>
      </c>
      <c r="K99" s="142"/>
      <c r="L99" s="142">
        <v>3</v>
      </c>
      <c r="M99" s="142">
        <f>IF(F99="X", L99*16, IF(G99="X", L99*12, ""))</f>
        <v>48</v>
      </c>
      <c r="N99" s="142">
        <f>IF(F99="X", L99*32, IF(G99="X", L99*36, ""))</f>
        <v>96</v>
      </c>
      <c r="O99" s="142">
        <f>SUM(M99:N99)</f>
        <v>144</v>
      </c>
      <c r="P99" s="140" t="s">
        <v>773</v>
      </c>
      <c r="Q99" s="140" t="s">
        <v>780</v>
      </c>
      <c r="R99" s="140" t="s">
        <v>781</v>
      </c>
      <c r="S99" s="140" t="s">
        <v>144</v>
      </c>
      <c r="T99" s="6"/>
      <c r="U99" s="7"/>
    </row>
    <row r="100" spans="1:21" s="98" customFormat="1" ht="33" x14ac:dyDescent="0.35">
      <c r="A100" s="98" t="str">
        <f>_xlfn.XLOOKUP(B100,'Paso 3 Redacción RA'!I$3:I$15,'Paso 3 Redacción RA'!C$3:C$15,,0,1)</f>
        <v>SaberHacer</v>
      </c>
      <c r="B100" s="79" t="s">
        <v>654</v>
      </c>
      <c r="C100" s="143"/>
      <c r="D100" s="143"/>
      <c r="E100" s="146"/>
      <c r="F100" s="148"/>
      <c r="G100" s="148"/>
      <c r="H100" s="143"/>
      <c r="I100" s="143"/>
      <c r="J100" s="143"/>
      <c r="K100" s="143"/>
      <c r="L100" s="143"/>
      <c r="M100" s="143"/>
      <c r="N100" s="143"/>
      <c r="O100" s="143"/>
      <c r="P100" s="141"/>
      <c r="Q100" s="141"/>
      <c r="R100" s="141"/>
      <c r="S100" s="141"/>
      <c r="T100" s="6"/>
      <c r="U100" s="7"/>
    </row>
    <row r="101" spans="1:21" s="98" customFormat="1" ht="49.5" x14ac:dyDescent="0.35">
      <c r="A101" s="98" t="str">
        <f>_xlfn.XLOOKUP(B101,'Paso 3 Redacción RA'!I$3:I$15,'Paso 3 Redacción RA'!C$3:C$15,,0,1)</f>
        <v>Saber</v>
      </c>
      <c r="B101" s="79" t="s">
        <v>657</v>
      </c>
      <c r="C101" s="143"/>
      <c r="D101" s="143"/>
      <c r="E101" s="146"/>
      <c r="F101" s="148"/>
      <c r="G101" s="148"/>
      <c r="H101" s="143"/>
      <c r="I101" s="143"/>
      <c r="J101" s="143"/>
      <c r="K101" s="143"/>
      <c r="L101" s="143"/>
      <c r="M101" s="143"/>
      <c r="N101" s="143"/>
      <c r="O101" s="143"/>
      <c r="P101" s="141"/>
      <c r="Q101" s="141"/>
      <c r="R101" s="141"/>
      <c r="S101" s="141"/>
      <c r="T101" s="6"/>
      <c r="U101" s="7"/>
    </row>
    <row r="102" spans="1:21" s="98" customFormat="1" ht="49.5" x14ac:dyDescent="0.35">
      <c r="A102" s="98" t="str">
        <f>_xlfn.XLOOKUP(B102,'Paso 3 Redacción RA'!I$3:I$15,'Paso 3 Redacción RA'!C$3:C$15,,0,1)</f>
        <v>SaberSer</v>
      </c>
      <c r="B102" s="79" t="s">
        <v>655</v>
      </c>
      <c r="C102" s="143"/>
      <c r="D102" s="143"/>
      <c r="E102" s="146"/>
      <c r="F102" s="148"/>
      <c r="G102" s="148"/>
      <c r="H102" s="143"/>
      <c r="I102" s="143"/>
      <c r="J102" s="143"/>
      <c r="K102" s="143"/>
      <c r="L102" s="143"/>
      <c r="M102" s="143"/>
      <c r="N102" s="143"/>
      <c r="O102" s="143"/>
      <c r="P102" s="141"/>
      <c r="Q102" s="141"/>
      <c r="R102" s="141"/>
      <c r="S102" s="141"/>
      <c r="T102" s="6"/>
      <c r="U102" s="7"/>
    </row>
    <row r="103" spans="1:21" s="98" customFormat="1" ht="33.5" thickBot="1" x14ac:dyDescent="0.4">
      <c r="A103" s="99" t="str">
        <f>_xlfn.XLOOKUP(B103,'Paso 3 Redacción RA'!I$3:I$15,'Paso 3 Redacción RA'!C$3:C$15,,0,1)</f>
        <v>SaberHacer</v>
      </c>
      <c r="B103" s="95" t="s">
        <v>656</v>
      </c>
      <c r="C103" s="144"/>
      <c r="D103" s="144"/>
      <c r="E103" s="156"/>
      <c r="F103" s="149"/>
      <c r="G103" s="149"/>
      <c r="H103" s="144"/>
      <c r="I103" s="144"/>
      <c r="J103" s="144"/>
      <c r="K103" s="144"/>
      <c r="L103" s="144"/>
      <c r="M103" s="144"/>
      <c r="N103" s="144"/>
      <c r="O103" s="144"/>
      <c r="P103" s="153"/>
      <c r="Q103" s="153"/>
      <c r="R103" s="153"/>
      <c r="S103" s="153"/>
      <c r="T103" s="6">
        <f>SUM(L82:L103)</f>
        <v>18</v>
      </c>
      <c r="U103" s="7">
        <f>COUNTA(D82:D103)</f>
        <v>5</v>
      </c>
    </row>
    <row r="104" spans="1:21" s="98" customFormat="1" ht="49.5" x14ac:dyDescent="0.35">
      <c r="A104" s="112" t="str">
        <f>_xlfn.XLOOKUP(B104,'Paso 3 Redacción RA'!I$3:I$15,'Paso 3 Redacción RA'!C$3:C$15,,0,1)</f>
        <v>Saber</v>
      </c>
      <c r="B104" s="100" t="s">
        <v>653</v>
      </c>
      <c r="C104" s="142">
        <v>7</v>
      </c>
      <c r="D104" s="142" t="s">
        <v>723</v>
      </c>
      <c r="E104" s="145" t="s">
        <v>724</v>
      </c>
      <c r="F104" s="147"/>
      <c r="G104" s="147" t="s">
        <v>143</v>
      </c>
      <c r="H104" s="142" t="s">
        <v>146</v>
      </c>
      <c r="I104" s="142"/>
      <c r="J104" s="142" t="s">
        <v>143</v>
      </c>
      <c r="K104" s="142"/>
      <c r="L104" s="142">
        <v>4</v>
      </c>
      <c r="M104" s="142">
        <f>IF(F104="X", L104*16, IF(G104="X", L104*12, ""))</f>
        <v>48</v>
      </c>
      <c r="N104" s="142">
        <f>IF(F104="X", L104*32, IF(G104="X", L104*36, ""))</f>
        <v>144</v>
      </c>
      <c r="O104" s="142">
        <f>SUM(M104:N104)</f>
        <v>192</v>
      </c>
      <c r="P104" s="140" t="s">
        <v>768</v>
      </c>
      <c r="Q104" s="140" t="s">
        <v>784</v>
      </c>
      <c r="R104" s="140" t="s">
        <v>787</v>
      </c>
      <c r="S104" s="140" t="s">
        <v>144</v>
      </c>
      <c r="T104" s="6"/>
      <c r="U104" s="7"/>
    </row>
    <row r="105" spans="1:21" s="98" customFormat="1" ht="33" x14ac:dyDescent="0.35">
      <c r="A105" s="98" t="str">
        <f>_xlfn.XLOOKUP(B105,'Paso 3 Redacción RA'!I$3:I$15,'Paso 3 Redacción RA'!C$3:C$15,,0,1)</f>
        <v>SaberHacer</v>
      </c>
      <c r="B105" s="79" t="s">
        <v>654</v>
      </c>
      <c r="C105" s="143"/>
      <c r="D105" s="143"/>
      <c r="E105" s="146"/>
      <c r="F105" s="148"/>
      <c r="G105" s="148"/>
      <c r="H105" s="143"/>
      <c r="I105" s="143"/>
      <c r="J105" s="143"/>
      <c r="K105" s="143"/>
      <c r="L105" s="143"/>
      <c r="M105" s="143"/>
      <c r="N105" s="143"/>
      <c r="O105" s="143"/>
      <c r="P105" s="141"/>
      <c r="Q105" s="141"/>
      <c r="R105" s="141"/>
      <c r="S105" s="141"/>
      <c r="T105" s="6"/>
      <c r="U105" s="7"/>
    </row>
    <row r="106" spans="1:21" s="98" customFormat="1" ht="49.5" x14ac:dyDescent="0.35">
      <c r="A106" s="98" t="str">
        <f>_xlfn.XLOOKUP(B106,'Paso 3 Redacción RA'!I$3:I$15,'Paso 3 Redacción RA'!C$3:C$15,,0,1)</f>
        <v>Saber</v>
      </c>
      <c r="B106" s="79" t="s">
        <v>657</v>
      </c>
      <c r="C106" s="143"/>
      <c r="D106" s="143"/>
      <c r="E106" s="146"/>
      <c r="F106" s="148"/>
      <c r="G106" s="148"/>
      <c r="H106" s="143"/>
      <c r="I106" s="143"/>
      <c r="J106" s="143"/>
      <c r="K106" s="143"/>
      <c r="L106" s="143"/>
      <c r="M106" s="143"/>
      <c r="N106" s="143"/>
      <c r="O106" s="143"/>
      <c r="P106" s="141"/>
      <c r="Q106" s="141"/>
      <c r="R106" s="141"/>
      <c r="S106" s="141"/>
      <c r="T106" s="6"/>
      <c r="U106" s="7"/>
    </row>
    <row r="107" spans="1:21" s="98" customFormat="1" ht="50" thickBot="1" x14ac:dyDescent="0.4">
      <c r="A107" s="99" t="str">
        <f>_xlfn.XLOOKUP(B107,'Paso 3 Redacción RA'!I$3:I$15,'Paso 3 Redacción RA'!C$3:C$15,,0,1)</f>
        <v>SaberSer</v>
      </c>
      <c r="B107" s="95" t="s">
        <v>655</v>
      </c>
      <c r="C107" s="144"/>
      <c r="D107" s="144"/>
      <c r="E107" s="156"/>
      <c r="F107" s="149"/>
      <c r="G107" s="149"/>
      <c r="H107" s="144"/>
      <c r="I107" s="144"/>
      <c r="J107" s="144"/>
      <c r="K107" s="144"/>
      <c r="L107" s="144"/>
      <c r="M107" s="144"/>
      <c r="N107" s="144"/>
      <c r="O107" s="144"/>
      <c r="P107" s="153"/>
      <c r="Q107" s="153"/>
      <c r="R107" s="153"/>
      <c r="S107" s="153"/>
      <c r="T107" s="6"/>
      <c r="U107" s="7"/>
    </row>
    <row r="108" spans="1:21" s="98" customFormat="1" ht="49.5" x14ac:dyDescent="0.35">
      <c r="A108" s="112" t="str">
        <f>_xlfn.XLOOKUP(B108,'Paso 3 Redacción RA'!I$3:I$15,'Paso 3 Redacción RA'!C$3:C$15,,0,1)</f>
        <v>Saber</v>
      </c>
      <c r="B108" s="100" t="s">
        <v>653</v>
      </c>
      <c r="C108" s="142">
        <v>7</v>
      </c>
      <c r="D108" s="142" t="s">
        <v>727</v>
      </c>
      <c r="E108" s="145" t="s">
        <v>728</v>
      </c>
      <c r="F108" s="147" t="s">
        <v>143</v>
      </c>
      <c r="G108" s="147"/>
      <c r="H108" s="142" t="s">
        <v>146</v>
      </c>
      <c r="I108" s="142"/>
      <c r="J108" s="142" t="s">
        <v>143</v>
      </c>
      <c r="K108" s="142"/>
      <c r="L108" s="142">
        <v>3</v>
      </c>
      <c r="M108" s="142">
        <f>IF(F108="X", L108*16, IF(G108="X", L108*12, ""))</f>
        <v>48</v>
      </c>
      <c r="N108" s="142">
        <f>IF(F108="X", L108*32, IF(G108="X", L108*36, ""))</f>
        <v>96</v>
      </c>
      <c r="O108" s="142">
        <f>SUM(M108:N108)</f>
        <v>144</v>
      </c>
      <c r="P108" s="140" t="s">
        <v>770</v>
      </c>
      <c r="Q108" s="140" t="s">
        <v>780</v>
      </c>
      <c r="R108" s="140" t="s">
        <v>781</v>
      </c>
      <c r="S108" s="140" t="s">
        <v>144</v>
      </c>
      <c r="T108" s="6"/>
      <c r="U108" s="7"/>
    </row>
    <row r="109" spans="1:21" s="98" customFormat="1" ht="33" x14ac:dyDescent="0.35">
      <c r="A109" s="98" t="str">
        <f>_xlfn.XLOOKUP(B109,'Paso 3 Redacción RA'!I$3:I$15,'Paso 3 Redacción RA'!C$3:C$15,,0,1)</f>
        <v>SaberHacer</v>
      </c>
      <c r="B109" s="79" t="s">
        <v>656</v>
      </c>
      <c r="C109" s="143"/>
      <c r="D109" s="143"/>
      <c r="E109" s="146"/>
      <c r="F109" s="148"/>
      <c r="G109" s="148"/>
      <c r="H109" s="143"/>
      <c r="I109" s="143"/>
      <c r="J109" s="143"/>
      <c r="K109" s="143"/>
      <c r="L109" s="143"/>
      <c r="M109" s="143"/>
      <c r="N109" s="143"/>
      <c r="O109" s="143"/>
      <c r="P109" s="141"/>
      <c r="Q109" s="141"/>
      <c r="R109" s="141"/>
      <c r="S109" s="141"/>
      <c r="T109" s="6"/>
      <c r="U109" s="7"/>
    </row>
    <row r="110" spans="1:21" s="98" customFormat="1" ht="50" thickBot="1" x14ac:dyDescent="0.4">
      <c r="A110" s="99" t="str">
        <f>_xlfn.XLOOKUP(B110,'Paso 3 Redacción RA'!I$3:I$15,'Paso 3 Redacción RA'!C$3:C$15,,0,1)</f>
        <v>SaberSer</v>
      </c>
      <c r="B110" s="95" t="s">
        <v>655</v>
      </c>
      <c r="C110" s="144"/>
      <c r="D110" s="144"/>
      <c r="E110" s="156"/>
      <c r="F110" s="149"/>
      <c r="G110" s="149"/>
      <c r="H110" s="144"/>
      <c r="I110" s="144"/>
      <c r="J110" s="144"/>
      <c r="K110" s="144"/>
      <c r="L110" s="144"/>
      <c r="M110" s="144"/>
      <c r="N110" s="144"/>
      <c r="O110" s="144"/>
      <c r="P110" s="153"/>
      <c r="Q110" s="153"/>
      <c r="R110" s="153"/>
      <c r="S110" s="153"/>
      <c r="T110" s="6"/>
      <c r="U110" s="7"/>
    </row>
    <row r="111" spans="1:21" s="98" customFormat="1" ht="49.5" x14ac:dyDescent="0.35">
      <c r="A111" s="112" t="str">
        <f>_xlfn.XLOOKUP(B111,'Paso 3 Redacción RA'!I$3:I$15,'Paso 3 Redacción RA'!C$3:C$15,,0,1)</f>
        <v>Saber</v>
      </c>
      <c r="B111" s="100" t="s">
        <v>653</v>
      </c>
      <c r="C111" s="142">
        <v>7</v>
      </c>
      <c r="D111" s="142" t="s">
        <v>739</v>
      </c>
      <c r="E111" s="145" t="s">
        <v>740</v>
      </c>
      <c r="F111" s="147" t="s">
        <v>143</v>
      </c>
      <c r="G111" s="147"/>
      <c r="H111" s="142" t="s">
        <v>748</v>
      </c>
      <c r="I111" s="142"/>
      <c r="J111" s="142" t="s">
        <v>143</v>
      </c>
      <c r="K111" s="142"/>
      <c r="L111" s="142">
        <v>4</v>
      </c>
      <c r="M111" s="142">
        <f>IF(F111="X", L111*16, IF(G111="X", L111*12, ""))</f>
        <v>64</v>
      </c>
      <c r="N111" s="142">
        <f>IF(F111="X", L111*32, IF(G111="X", L111*36, ""))</f>
        <v>128</v>
      </c>
      <c r="O111" s="142">
        <f>SUM(M111:N111)</f>
        <v>192</v>
      </c>
      <c r="P111" s="140" t="s">
        <v>776</v>
      </c>
      <c r="Q111" s="140" t="s">
        <v>780</v>
      </c>
      <c r="R111" s="140" t="s">
        <v>781</v>
      </c>
      <c r="S111" s="140" t="s">
        <v>144</v>
      </c>
      <c r="T111" s="6"/>
      <c r="U111" s="7"/>
    </row>
    <row r="112" spans="1:21" s="98" customFormat="1" ht="33" x14ac:dyDescent="0.35">
      <c r="A112" s="98" t="str">
        <f>_xlfn.XLOOKUP(B112,'Paso 3 Redacción RA'!I$3:I$15,'Paso 3 Redacción RA'!C$3:C$15,,0,1)</f>
        <v>SaberHacer</v>
      </c>
      <c r="B112" s="79" t="s">
        <v>654</v>
      </c>
      <c r="C112" s="143"/>
      <c r="D112" s="143"/>
      <c r="E112" s="146"/>
      <c r="F112" s="148"/>
      <c r="G112" s="148"/>
      <c r="H112" s="143"/>
      <c r="I112" s="143"/>
      <c r="J112" s="143"/>
      <c r="K112" s="143"/>
      <c r="L112" s="143"/>
      <c r="M112" s="143"/>
      <c r="N112" s="143"/>
      <c r="O112" s="143"/>
      <c r="P112" s="141"/>
      <c r="Q112" s="141"/>
      <c r="R112" s="141"/>
      <c r="S112" s="141"/>
      <c r="T112" s="6"/>
      <c r="U112" s="7"/>
    </row>
    <row r="113" spans="1:21" s="98" customFormat="1" ht="49.5" x14ac:dyDescent="0.35">
      <c r="A113" s="98" t="str">
        <f>_xlfn.XLOOKUP(B113,'Paso 3 Redacción RA'!I$3:I$15,'Paso 3 Redacción RA'!C$3:C$15,,0,1)</f>
        <v>SaberSer</v>
      </c>
      <c r="B113" s="79" t="s">
        <v>655</v>
      </c>
      <c r="C113" s="143"/>
      <c r="D113" s="143"/>
      <c r="E113" s="146"/>
      <c r="F113" s="148"/>
      <c r="G113" s="148"/>
      <c r="H113" s="143"/>
      <c r="I113" s="143"/>
      <c r="J113" s="143"/>
      <c r="K113" s="143"/>
      <c r="L113" s="143"/>
      <c r="M113" s="143"/>
      <c r="N113" s="143"/>
      <c r="O113" s="143"/>
      <c r="P113" s="141"/>
      <c r="Q113" s="141"/>
      <c r="R113" s="141"/>
      <c r="S113" s="141"/>
      <c r="T113" s="6"/>
      <c r="U113" s="7"/>
    </row>
    <row r="114" spans="1:21" s="98" customFormat="1" ht="33" x14ac:dyDescent="0.35">
      <c r="A114" s="98" t="str">
        <f>_xlfn.XLOOKUP(B114,'Paso 3 Redacción RA'!I$3:I$15,'Paso 3 Redacción RA'!C$3:C$15,,0,1)</f>
        <v>SaberHacer</v>
      </c>
      <c r="B114" s="79" t="s">
        <v>656</v>
      </c>
      <c r="C114" s="143"/>
      <c r="D114" s="143"/>
      <c r="E114" s="146"/>
      <c r="F114" s="148"/>
      <c r="G114" s="148"/>
      <c r="H114" s="143"/>
      <c r="I114" s="143"/>
      <c r="J114" s="143"/>
      <c r="K114" s="143"/>
      <c r="L114" s="143"/>
      <c r="M114" s="143"/>
      <c r="N114" s="143"/>
      <c r="O114" s="143"/>
      <c r="P114" s="141"/>
      <c r="Q114" s="141"/>
      <c r="R114" s="141"/>
      <c r="S114" s="141"/>
      <c r="T114" s="6"/>
      <c r="U114" s="7"/>
    </row>
    <row r="115" spans="1:21" s="98" customFormat="1" ht="49.5" x14ac:dyDescent="0.35">
      <c r="A115" s="98" t="str">
        <f>_xlfn.XLOOKUP(B115,'Paso 3 Redacción RA'!I$3:I$15,'Paso 3 Redacción RA'!C$3:C$15,,0,1)</f>
        <v>Saber</v>
      </c>
      <c r="B115" s="79" t="s">
        <v>657</v>
      </c>
      <c r="C115" s="143"/>
      <c r="D115" s="143"/>
      <c r="E115" s="146"/>
      <c r="F115" s="148"/>
      <c r="G115" s="148"/>
      <c r="H115" s="143"/>
      <c r="I115" s="143"/>
      <c r="J115" s="143"/>
      <c r="K115" s="143"/>
      <c r="L115" s="143"/>
      <c r="M115" s="143"/>
      <c r="N115" s="143"/>
      <c r="O115" s="143"/>
      <c r="P115" s="141"/>
      <c r="Q115" s="141"/>
      <c r="R115" s="141"/>
      <c r="S115" s="141"/>
      <c r="T115" s="6"/>
      <c r="U115" s="7"/>
    </row>
    <row r="116" spans="1:21" s="98" customFormat="1" ht="50" thickBot="1" x14ac:dyDescent="0.4">
      <c r="A116" s="99" t="str">
        <f>_xlfn.XLOOKUP(B116,'Paso 3 Redacción RA'!I$3:I$15,'Paso 3 Redacción RA'!C$3:C$15,,0,1)</f>
        <v>Saber</v>
      </c>
      <c r="B116" s="95" t="s">
        <v>658</v>
      </c>
      <c r="C116" s="144"/>
      <c r="D116" s="144"/>
      <c r="E116" s="156"/>
      <c r="F116" s="149"/>
      <c r="G116" s="149"/>
      <c r="H116" s="144"/>
      <c r="I116" s="144"/>
      <c r="J116" s="144"/>
      <c r="K116" s="144"/>
      <c r="L116" s="144"/>
      <c r="M116" s="144"/>
      <c r="N116" s="144"/>
      <c r="O116" s="144"/>
      <c r="P116" s="153"/>
      <c r="Q116" s="153"/>
      <c r="R116" s="153"/>
      <c r="S116" s="153"/>
      <c r="T116" s="6"/>
      <c r="U116" s="7"/>
    </row>
    <row r="117" spans="1:21" s="98" customFormat="1" ht="49.5" x14ac:dyDescent="0.35">
      <c r="A117" s="112" t="str">
        <f>_xlfn.XLOOKUP(B117,'Paso 3 Redacción RA'!I$3:I$15,'Paso 3 Redacción RA'!C$3:C$15,,0,1)</f>
        <v>Saber</v>
      </c>
      <c r="B117" s="100" t="s">
        <v>653</v>
      </c>
      <c r="C117" s="142">
        <v>7</v>
      </c>
      <c r="D117" s="142" t="s">
        <v>721</v>
      </c>
      <c r="E117" s="145" t="s">
        <v>722</v>
      </c>
      <c r="F117" s="147" t="s">
        <v>143</v>
      </c>
      <c r="G117" s="147"/>
      <c r="H117" s="142" t="s">
        <v>146</v>
      </c>
      <c r="I117" s="142"/>
      <c r="J117" s="142" t="s">
        <v>143</v>
      </c>
      <c r="K117" s="142"/>
      <c r="L117" s="142">
        <v>4</v>
      </c>
      <c r="M117" s="142">
        <f>IF(F117="X", L117*16, IF(G117="X", L117*12, ""))</f>
        <v>64</v>
      </c>
      <c r="N117" s="142">
        <f>IF(F117="X", L117*32, IF(G117="X", L117*36, ""))</f>
        <v>128</v>
      </c>
      <c r="O117" s="142">
        <f>SUM(M117:N117)</f>
        <v>192</v>
      </c>
      <c r="P117" s="140" t="s">
        <v>767</v>
      </c>
      <c r="Q117" s="140" t="s">
        <v>780</v>
      </c>
      <c r="R117" s="140" t="s">
        <v>781</v>
      </c>
      <c r="S117" s="140" t="s">
        <v>144</v>
      </c>
      <c r="T117" s="6"/>
      <c r="U117" s="7"/>
    </row>
    <row r="118" spans="1:21" s="98" customFormat="1" ht="49.5" x14ac:dyDescent="0.35">
      <c r="A118" s="98" t="str">
        <f>_xlfn.XLOOKUP(B118,'Paso 3 Redacción RA'!I$3:I$15,'Paso 3 Redacción RA'!C$3:C$15,,0,1)</f>
        <v>SaberSer</v>
      </c>
      <c r="B118" s="79" t="s">
        <v>655</v>
      </c>
      <c r="C118" s="143"/>
      <c r="D118" s="143"/>
      <c r="E118" s="146"/>
      <c r="F118" s="148"/>
      <c r="G118" s="148"/>
      <c r="H118" s="143"/>
      <c r="I118" s="143"/>
      <c r="J118" s="143"/>
      <c r="K118" s="143"/>
      <c r="L118" s="143"/>
      <c r="M118" s="143"/>
      <c r="N118" s="143"/>
      <c r="O118" s="143"/>
      <c r="P118" s="141"/>
      <c r="Q118" s="141"/>
      <c r="R118" s="141"/>
      <c r="S118" s="141"/>
      <c r="T118" s="6"/>
      <c r="U118" s="7"/>
    </row>
    <row r="119" spans="1:21" s="98" customFormat="1" ht="33" x14ac:dyDescent="0.35">
      <c r="A119" s="98" t="str">
        <f>_xlfn.XLOOKUP(B119,'Paso 3 Redacción RA'!I$3:I$15,'Paso 3 Redacción RA'!C$3:C$15,,0,1)</f>
        <v>SaberHacer</v>
      </c>
      <c r="B119" s="79" t="s">
        <v>654</v>
      </c>
      <c r="C119" s="143"/>
      <c r="D119" s="143"/>
      <c r="E119" s="146"/>
      <c r="F119" s="148"/>
      <c r="G119" s="148"/>
      <c r="H119" s="143"/>
      <c r="I119" s="143"/>
      <c r="J119" s="143"/>
      <c r="K119" s="143"/>
      <c r="L119" s="143"/>
      <c r="M119" s="143"/>
      <c r="N119" s="143"/>
      <c r="O119" s="143"/>
      <c r="P119" s="141"/>
      <c r="Q119" s="141"/>
      <c r="R119" s="141"/>
      <c r="S119" s="141"/>
      <c r="T119" s="6"/>
      <c r="U119" s="7"/>
    </row>
    <row r="120" spans="1:21" s="98" customFormat="1" ht="50" thickBot="1" x14ac:dyDescent="0.4">
      <c r="A120" s="99" t="str">
        <f>_xlfn.XLOOKUP(B120,'Paso 3 Redacción RA'!I$3:I$15,'Paso 3 Redacción RA'!C$3:C$15,,0,1)</f>
        <v>Saber</v>
      </c>
      <c r="B120" s="95" t="s">
        <v>658</v>
      </c>
      <c r="C120" s="144"/>
      <c r="D120" s="144"/>
      <c r="E120" s="156"/>
      <c r="F120" s="149"/>
      <c r="G120" s="149"/>
      <c r="H120" s="144"/>
      <c r="I120" s="144"/>
      <c r="J120" s="144"/>
      <c r="K120" s="144"/>
      <c r="L120" s="144"/>
      <c r="M120" s="144"/>
      <c r="N120" s="144"/>
      <c r="O120" s="144"/>
      <c r="P120" s="153"/>
      <c r="Q120" s="153"/>
      <c r="R120" s="153"/>
      <c r="S120" s="153"/>
      <c r="T120" s="6"/>
      <c r="U120" s="7"/>
    </row>
    <row r="121" spans="1:21" s="98" customFormat="1" ht="17" thickBot="1" x14ac:dyDescent="0.4">
      <c r="A121" s="113"/>
      <c r="B121" s="109"/>
      <c r="C121" s="114">
        <v>7</v>
      </c>
      <c r="D121" s="115" t="s">
        <v>159</v>
      </c>
      <c r="E121" s="109"/>
      <c r="F121" s="131"/>
      <c r="G121" s="131" t="s">
        <v>143</v>
      </c>
      <c r="H121" s="113"/>
      <c r="I121" s="117"/>
      <c r="J121" s="117"/>
      <c r="K121" s="117" t="s">
        <v>143</v>
      </c>
      <c r="L121" s="114">
        <v>3</v>
      </c>
      <c r="M121" s="115">
        <f>IF(F121="X", L121*16, IF(G121="X", L121*12, ""))</f>
        <v>36</v>
      </c>
      <c r="N121" s="115">
        <f>IF(F121="X", L121*32, IF(G121="X", L121*36, ""))</f>
        <v>108</v>
      </c>
      <c r="O121" s="114">
        <f>SUM(M121:N121)</f>
        <v>144</v>
      </c>
      <c r="P121" s="116"/>
      <c r="Q121" s="116"/>
      <c r="R121" s="116"/>
      <c r="S121" s="116"/>
      <c r="T121" s="6">
        <f>SUM(L104:L121)</f>
        <v>18</v>
      </c>
      <c r="U121" s="7">
        <f>COUNTA(D104:D121)</f>
        <v>5</v>
      </c>
    </row>
    <row r="122" spans="1:21" s="98" customFormat="1" ht="49.5" x14ac:dyDescent="0.35">
      <c r="A122" s="112" t="str">
        <f>_xlfn.XLOOKUP(B122,'Paso 3 Redacción RA'!I$3:I$15,'Paso 3 Redacción RA'!C$3:C$15,,0,1)</f>
        <v>Saber</v>
      </c>
      <c r="B122" s="100" t="s">
        <v>653</v>
      </c>
      <c r="C122" s="142">
        <v>8</v>
      </c>
      <c r="D122" s="142" t="s">
        <v>745</v>
      </c>
      <c r="E122" s="145" t="s">
        <v>746</v>
      </c>
      <c r="F122" s="147" t="s">
        <v>143</v>
      </c>
      <c r="G122" s="147"/>
      <c r="H122" s="142" t="s">
        <v>146</v>
      </c>
      <c r="I122" s="142"/>
      <c r="J122" s="142" t="s">
        <v>143</v>
      </c>
      <c r="K122" s="142"/>
      <c r="L122" s="142">
        <v>3</v>
      </c>
      <c r="M122" s="142">
        <f>IF(F122="X", L122*16, IF(G122="X", L122*12, ""))</f>
        <v>48</v>
      </c>
      <c r="N122" s="142">
        <f>IF(F122="X", L122*32, IF(G122="X", L122*36, ""))</f>
        <v>96</v>
      </c>
      <c r="O122" s="142">
        <f>SUM(M122:N122)</f>
        <v>144</v>
      </c>
      <c r="P122" s="140" t="s">
        <v>779</v>
      </c>
      <c r="Q122" s="140" t="s">
        <v>780</v>
      </c>
      <c r="R122" s="140" t="s">
        <v>781</v>
      </c>
      <c r="S122" s="140" t="s">
        <v>144</v>
      </c>
      <c r="T122" s="6"/>
      <c r="U122" s="7"/>
    </row>
    <row r="123" spans="1:21" s="98" customFormat="1" ht="49.5" x14ac:dyDescent="0.35">
      <c r="A123" s="98" t="str">
        <f>_xlfn.XLOOKUP(B123,'Paso 3 Redacción RA'!I$3:I$15,'Paso 3 Redacción RA'!C$3:C$15,,0,1)</f>
        <v>Saber</v>
      </c>
      <c r="B123" s="79" t="s">
        <v>657</v>
      </c>
      <c r="C123" s="143"/>
      <c r="D123" s="143"/>
      <c r="E123" s="146"/>
      <c r="F123" s="148"/>
      <c r="G123" s="148"/>
      <c r="H123" s="143"/>
      <c r="I123" s="143"/>
      <c r="J123" s="143"/>
      <c r="K123" s="143"/>
      <c r="L123" s="143"/>
      <c r="M123" s="143"/>
      <c r="N123" s="143"/>
      <c r="O123" s="143"/>
      <c r="P123" s="141"/>
      <c r="Q123" s="141"/>
      <c r="R123" s="141"/>
      <c r="S123" s="141"/>
      <c r="T123" s="6"/>
      <c r="U123" s="7"/>
    </row>
    <row r="124" spans="1:21" s="98" customFormat="1" ht="33" x14ac:dyDescent="0.35">
      <c r="A124" s="98" t="str">
        <f>_xlfn.XLOOKUP(B124,'Paso 3 Redacción RA'!I$3:I$15,'Paso 3 Redacción RA'!C$3:C$15,,0,1)</f>
        <v>SaberHacer</v>
      </c>
      <c r="B124" s="79" t="s">
        <v>656</v>
      </c>
      <c r="C124" s="143"/>
      <c r="D124" s="143"/>
      <c r="E124" s="146"/>
      <c r="F124" s="148"/>
      <c r="G124" s="148"/>
      <c r="H124" s="143"/>
      <c r="I124" s="143"/>
      <c r="J124" s="143"/>
      <c r="K124" s="143"/>
      <c r="L124" s="143"/>
      <c r="M124" s="143"/>
      <c r="N124" s="143"/>
      <c r="O124" s="143"/>
      <c r="P124" s="141"/>
      <c r="Q124" s="141"/>
      <c r="R124" s="141"/>
      <c r="S124" s="141"/>
      <c r="T124" s="6"/>
      <c r="U124" s="7"/>
    </row>
    <row r="125" spans="1:21" s="98" customFormat="1" ht="50" thickBot="1" x14ac:dyDescent="0.4">
      <c r="A125" s="99" t="str">
        <f>_xlfn.XLOOKUP(B125,'Paso 3 Redacción RA'!I$3:I$15,'Paso 3 Redacción RA'!C$3:C$15,,0,1)</f>
        <v>Saber</v>
      </c>
      <c r="B125" s="95" t="s">
        <v>658</v>
      </c>
      <c r="C125" s="144"/>
      <c r="D125" s="144"/>
      <c r="E125" s="156"/>
      <c r="F125" s="149"/>
      <c r="G125" s="149"/>
      <c r="H125" s="144"/>
      <c r="I125" s="144"/>
      <c r="J125" s="144"/>
      <c r="K125" s="144"/>
      <c r="L125" s="144"/>
      <c r="M125" s="144"/>
      <c r="N125" s="144"/>
      <c r="O125" s="144"/>
      <c r="P125" s="153"/>
      <c r="Q125" s="153"/>
      <c r="R125" s="153"/>
      <c r="S125" s="153"/>
      <c r="T125" s="6"/>
      <c r="U125" s="7"/>
    </row>
    <row r="126" spans="1:21" s="98" customFormat="1" ht="33" x14ac:dyDescent="0.35">
      <c r="A126" s="112" t="str">
        <f>_xlfn.XLOOKUP(B126,'Paso 3 Redacción RA'!I$3:I$15,'Paso 3 Redacción RA'!C$3:C$15,,0,1)</f>
        <v>SaberHacer</v>
      </c>
      <c r="B126" s="100" t="s">
        <v>656</v>
      </c>
      <c r="C126" s="142">
        <v>8</v>
      </c>
      <c r="D126" s="142" t="s">
        <v>743</v>
      </c>
      <c r="E126" s="145" t="s">
        <v>744</v>
      </c>
      <c r="F126" s="147" t="s">
        <v>143</v>
      </c>
      <c r="G126" s="147"/>
      <c r="H126" s="142" t="s">
        <v>146</v>
      </c>
      <c r="I126" s="142"/>
      <c r="J126" s="142" t="s">
        <v>143</v>
      </c>
      <c r="K126" s="142"/>
      <c r="L126" s="142">
        <v>3</v>
      </c>
      <c r="M126" s="142">
        <f>IF(F126="X", L126*16, IF(G126="X", L126*12, ""))</f>
        <v>48</v>
      </c>
      <c r="N126" s="142">
        <f>IF(F126="X", L126*32, IF(G126="X", L126*36, ""))</f>
        <v>96</v>
      </c>
      <c r="O126" s="142">
        <f>SUM(M126:N126)</f>
        <v>144</v>
      </c>
      <c r="P126" s="140" t="s">
        <v>778</v>
      </c>
      <c r="Q126" s="140" t="s">
        <v>780</v>
      </c>
      <c r="R126" s="140" t="s">
        <v>781</v>
      </c>
      <c r="S126" s="140" t="s">
        <v>144</v>
      </c>
      <c r="T126" s="6"/>
      <c r="U126" s="7"/>
    </row>
    <row r="127" spans="1:21" s="98" customFormat="1" ht="33" x14ac:dyDescent="0.35">
      <c r="A127" s="98" t="str">
        <f>_xlfn.XLOOKUP(B127,'Paso 3 Redacción RA'!I$3:I$15,'Paso 3 Redacción RA'!C$3:C$15,,0,1)</f>
        <v>SaberHacer</v>
      </c>
      <c r="B127" s="79" t="s">
        <v>654</v>
      </c>
      <c r="C127" s="143"/>
      <c r="D127" s="143"/>
      <c r="E127" s="146"/>
      <c r="F127" s="148"/>
      <c r="G127" s="148"/>
      <c r="H127" s="143"/>
      <c r="I127" s="143"/>
      <c r="J127" s="143"/>
      <c r="K127" s="143"/>
      <c r="L127" s="143"/>
      <c r="M127" s="143"/>
      <c r="N127" s="143"/>
      <c r="O127" s="143"/>
      <c r="P127" s="141"/>
      <c r="Q127" s="141"/>
      <c r="R127" s="141"/>
      <c r="S127" s="141"/>
      <c r="T127" s="6"/>
      <c r="U127" s="7"/>
    </row>
    <row r="128" spans="1:21" s="98" customFormat="1" ht="49.5" x14ac:dyDescent="0.35">
      <c r="A128" s="98" t="str">
        <f>_xlfn.XLOOKUP(B128,'Paso 3 Redacción RA'!I$3:I$15,'Paso 3 Redacción RA'!C$3:C$15,,0,1)</f>
        <v>Saber</v>
      </c>
      <c r="B128" s="79" t="s">
        <v>653</v>
      </c>
      <c r="C128" s="143"/>
      <c r="D128" s="143"/>
      <c r="E128" s="146"/>
      <c r="F128" s="148"/>
      <c r="G128" s="148"/>
      <c r="H128" s="143"/>
      <c r="I128" s="143"/>
      <c r="J128" s="143"/>
      <c r="K128" s="143"/>
      <c r="L128" s="143"/>
      <c r="M128" s="143"/>
      <c r="N128" s="143"/>
      <c r="O128" s="143"/>
      <c r="P128" s="141"/>
      <c r="Q128" s="141"/>
      <c r="R128" s="141"/>
      <c r="S128" s="141"/>
      <c r="T128" s="6"/>
      <c r="U128" s="7"/>
    </row>
    <row r="129" spans="1:21" s="98" customFormat="1" ht="50" thickBot="1" x14ac:dyDescent="0.4">
      <c r="A129" s="99" t="str">
        <f>_xlfn.XLOOKUP(B129,'Paso 3 Redacción RA'!I$3:I$15,'Paso 3 Redacción RA'!C$3:C$15,,0,1)</f>
        <v>SaberSer</v>
      </c>
      <c r="B129" s="95" t="s">
        <v>655</v>
      </c>
      <c r="C129" s="144"/>
      <c r="D129" s="144"/>
      <c r="E129" s="156"/>
      <c r="F129" s="149"/>
      <c r="G129" s="149"/>
      <c r="H129" s="144"/>
      <c r="I129" s="144"/>
      <c r="J129" s="144"/>
      <c r="K129" s="144"/>
      <c r="L129" s="144"/>
      <c r="M129" s="144"/>
      <c r="N129" s="144"/>
      <c r="O129" s="144"/>
      <c r="P129" s="153"/>
      <c r="Q129" s="153"/>
      <c r="R129" s="153"/>
      <c r="S129" s="153"/>
      <c r="T129" s="6"/>
      <c r="U129" s="7"/>
    </row>
    <row r="130" spans="1:21" s="98" customFormat="1" ht="17" thickBot="1" x14ac:dyDescent="0.4">
      <c r="A130" s="113"/>
      <c r="B130" s="109"/>
      <c r="C130" s="114">
        <v>8</v>
      </c>
      <c r="D130" s="115" t="s">
        <v>679</v>
      </c>
      <c r="E130" s="109"/>
      <c r="F130" s="131"/>
      <c r="G130" s="131" t="s">
        <v>143</v>
      </c>
      <c r="H130" s="113"/>
      <c r="I130" s="117"/>
      <c r="J130" s="117"/>
      <c r="K130" s="117" t="s">
        <v>143</v>
      </c>
      <c r="L130" s="114">
        <v>3</v>
      </c>
      <c r="M130" s="115">
        <f>IF(F130="X", L130*16, IF(G130="X", L130*12, ""))</f>
        <v>36</v>
      </c>
      <c r="N130" s="115">
        <f>IF(F130="X", L130*32, IF(G130="X", L130*36, ""))</f>
        <v>108</v>
      </c>
      <c r="O130" s="114">
        <f>SUM(M130:N130)</f>
        <v>144</v>
      </c>
      <c r="P130" s="116"/>
      <c r="Q130" s="116"/>
      <c r="R130" s="116"/>
      <c r="S130" s="116"/>
      <c r="T130" s="6"/>
      <c r="U130" s="7"/>
    </row>
    <row r="131" spans="1:21" s="98" customFormat="1" ht="17" thickBot="1" x14ac:dyDescent="0.4">
      <c r="A131" s="113"/>
      <c r="B131" s="109"/>
      <c r="C131" s="114">
        <v>8</v>
      </c>
      <c r="D131" s="115" t="s">
        <v>680</v>
      </c>
      <c r="E131" s="109"/>
      <c r="F131" s="131"/>
      <c r="G131" s="131" t="s">
        <v>143</v>
      </c>
      <c r="H131" s="113"/>
      <c r="I131" s="117"/>
      <c r="J131" s="117"/>
      <c r="K131" s="117" t="s">
        <v>143</v>
      </c>
      <c r="L131" s="114">
        <v>3</v>
      </c>
      <c r="M131" s="115">
        <f>IF(F131="X", L131*16, IF(G131="X", L131*12, ""))</f>
        <v>36</v>
      </c>
      <c r="N131" s="115">
        <f>IF(F131="X", L131*32, IF(G131="X", L131*36, ""))</f>
        <v>108</v>
      </c>
      <c r="O131" s="114">
        <f>SUM(M131:N131)</f>
        <v>144</v>
      </c>
      <c r="P131" s="116"/>
      <c r="Q131" s="116"/>
      <c r="R131" s="116"/>
      <c r="S131" s="116"/>
      <c r="T131" s="6"/>
      <c r="U131" s="7"/>
    </row>
    <row r="132" spans="1:21" s="98" customFormat="1" ht="17" thickBot="1" x14ac:dyDescent="0.4">
      <c r="A132" s="113"/>
      <c r="B132" s="109"/>
      <c r="C132" s="132">
        <v>8</v>
      </c>
      <c r="D132" s="115" t="s">
        <v>681</v>
      </c>
      <c r="E132" s="116"/>
      <c r="F132" s="115"/>
      <c r="G132" s="115" t="s">
        <v>143</v>
      </c>
      <c r="H132" s="113"/>
      <c r="I132" s="117"/>
      <c r="J132" s="117"/>
      <c r="K132" s="117" t="s">
        <v>143</v>
      </c>
      <c r="L132" s="114">
        <v>3</v>
      </c>
      <c r="M132" s="115">
        <f>IF(F132="X", L132*16, IF(G132="X", L132*12, ""))</f>
        <v>36</v>
      </c>
      <c r="N132" s="115">
        <f>IF(F132="X", L132*32, IF(G132="X", L132*36, ""))</f>
        <v>108</v>
      </c>
      <c r="O132" s="114">
        <f>SUM(M132:N132)</f>
        <v>144</v>
      </c>
      <c r="P132" s="116"/>
      <c r="Q132" s="116"/>
      <c r="R132" s="116"/>
      <c r="S132" s="116"/>
      <c r="T132" s="6">
        <f>SUM(L122:L132)</f>
        <v>15</v>
      </c>
      <c r="U132" s="7">
        <f>COUNTA(D122:D132)</f>
        <v>5</v>
      </c>
    </row>
    <row r="133" spans="1:21" s="120" customFormat="1" ht="64" x14ac:dyDescent="0.35">
      <c r="A133" s="118"/>
      <c r="B133" s="119"/>
      <c r="C133" s="123" t="s">
        <v>624</v>
      </c>
      <c r="D133" s="139">
        <f>COUNTA(D3:D132)</f>
        <v>42</v>
      </c>
      <c r="E133" s="123" t="s">
        <v>625</v>
      </c>
      <c r="F133" s="6">
        <f>COUNTA(F3:F132)</f>
        <v>22</v>
      </c>
      <c r="G133" s="134">
        <f>F133/D$133</f>
        <v>0.52380952380952384</v>
      </c>
      <c r="H133" s="122"/>
      <c r="I133" s="122"/>
      <c r="J133" s="122"/>
      <c r="K133" s="123" t="s">
        <v>160</v>
      </c>
      <c r="L133" s="133">
        <f>SUM(L3:L132)</f>
        <v>135</v>
      </c>
      <c r="M133" s="126"/>
      <c r="N133" s="39"/>
      <c r="O133" s="122"/>
      <c r="P133" s="121"/>
      <c r="Q133" s="121"/>
      <c r="R133" s="121"/>
      <c r="S133" s="121"/>
      <c r="T133" s="6">
        <f>SUM(T3:T132)</f>
        <v>135</v>
      </c>
      <c r="U133" s="120">
        <f>SUM(U3:U132)</f>
        <v>42</v>
      </c>
    </row>
    <row r="134" spans="1:21" s="120" customFormat="1" ht="48" x14ac:dyDescent="0.35">
      <c r="A134" s="118"/>
      <c r="B134" s="119"/>
      <c r="C134" s="122"/>
      <c r="D134" s="122"/>
      <c r="E134" s="124" t="s">
        <v>626</v>
      </c>
      <c r="F134" s="6">
        <f>COUNTA(G3:G132)</f>
        <v>20</v>
      </c>
      <c r="G134" s="134">
        <f>F134/D$133</f>
        <v>0.47619047619047616</v>
      </c>
      <c r="H134" s="122"/>
      <c r="I134" s="122"/>
      <c r="J134" s="122"/>
      <c r="K134" s="124" t="s">
        <v>161</v>
      </c>
      <c r="L134" s="138">
        <f>SUMIF(I:I,"X",L:L)</f>
        <v>18</v>
      </c>
      <c r="M134" s="126"/>
      <c r="N134" s="122"/>
      <c r="O134" s="122"/>
      <c r="P134" s="121"/>
      <c r="Q134" s="121"/>
      <c r="R134" s="121"/>
      <c r="S134" s="121"/>
      <c r="T134" s="6"/>
    </row>
    <row r="135" spans="1:21" s="120" customFormat="1" ht="48" x14ac:dyDescent="0.5">
      <c r="A135" s="125"/>
      <c r="B135" s="119"/>
      <c r="C135" s="122"/>
      <c r="D135" s="122"/>
      <c r="E135" s="121"/>
      <c r="F135" s="122"/>
      <c r="G135" s="122"/>
      <c r="H135" s="122"/>
      <c r="I135" s="122"/>
      <c r="J135" s="122"/>
      <c r="K135" s="124" t="s">
        <v>162</v>
      </c>
      <c r="L135" s="138">
        <f>SUMIF(J:J,"X",L:L)</f>
        <v>105</v>
      </c>
      <c r="M135" s="126"/>
      <c r="N135" s="122"/>
      <c r="O135" s="122"/>
      <c r="P135" s="121"/>
      <c r="Q135" s="121"/>
      <c r="R135" s="121"/>
      <c r="S135" s="121"/>
      <c r="T135" s="6"/>
    </row>
    <row r="136" spans="1:21" s="120" customFormat="1" ht="32" x14ac:dyDescent="0.5">
      <c r="A136" s="125"/>
      <c r="B136" s="119"/>
      <c r="C136" s="122"/>
      <c r="D136" s="122"/>
      <c r="H136" s="122"/>
      <c r="I136" s="122"/>
      <c r="J136" s="122"/>
      <c r="K136" s="124" t="s">
        <v>163</v>
      </c>
      <c r="L136" s="122">
        <f>SUMIF(K:K,"X",L:L)</f>
        <v>12</v>
      </c>
      <c r="M136" s="127"/>
      <c r="N136" s="122"/>
      <c r="O136" s="122"/>
      <c r="P136" s="121"/>
      <c r="Q136" s="121"/>
      <c r="R136" s="121"/>
      <c r="S136" s="121"/>
      <c r="T136" s="6"/>
    </row>
    <row r="137" spans="1:21" x14ac:dyDescent="0.5">
      <c r="C137" s="6"/>
      <c r="H137" s="6"/>
      <c r="I137" s="6"/>
      <c r="J137" s="6"/>
      <c r="K137" s="6"/>
      <c r="L137" s="6"/>
      <c r="M137" s="6"/>
      <c r="N137" s="6"/>
      <c r="O137" s="6"/>
    </row>
    <row r="138" spans="1:21" x14ac:dyDescent="0.5">
      <c r="C138" s="6"/>
      <c r="H138" s="6"/>
      <c r="I138" s="6"/>
      <c r="J138" s="6"/>
      <c r="K138" s="6"/>
      <c r="L138" s="6"/>
      <c r="M138" s="6"/>
      <c r="N138" s="6"/>
      <c r="O138" s="6"/>
    </row>
    <row r="139" spans="1:21" x14ac:dyDescent="0.5">
      <c r="C139" s="6"/>
      <c r="H139" s="6"/>
      <c r="I139" s="6"/>
      <c r="J139" s="6"/>
      <c r="K139" s="6"/>
      <c r="L139" s="6"/>
      <c r="M139" s="6"/>
      <c r="N139" s="6"/>
      <c r="O139" s="6"/>
    </row>
    <row r="140" spans="1:21" x14ac:dyDescent="0.5">
      <c r="C140" s="6"/>
      <c r="H140" s="6"/>
      <c r="I140" s="6"/>
      <c r="J140" s="6"/>
      <c r="K140" s="6"/>
      <c r="L140" s="6"/>
      <c r="M140" s="6"/>
      <c r="N140" s="6"/>
      <c r="O140" s="6"/>
    </row>
    <row r="141" spans="1:21" x14ac:dyDescent="0.5">
      <c r="C141" s="6"/>
      <c r="H141" s="6"/>
      <c r="I141" s="6"/>
      <c r="J141" s="6"/>
      <c r="K141" s="6"/>
      <c r="L141" s="6"/>
      <c r="M141" s="6"/>
      <c r="N141" s="6"/>
      <c r="O141" s="6"/>
    </row>
    <row r="142" spans="1:21" x14ac:dyDescent="0.5">
      <c r="C142" s="6"/>
      <c r="H142" s="6"/>
      <c r="I142" s="6"/>
      <c r="J142" s="6"/>
      <c r="K142" s="6"/>
      <c r="L142" s="6"/>
      <c r="M142" s="6"/>
      <c r="N142" s="6"/>
      <c r="O142" s="6"/>
    </row>
    <row r="143" spans="1:21" x14ac:dyDescent="0.5">
      <c r="C143" s="6"/>
      <c r="H143" s="6"/>
      <c r="I143" s="6"/>
      <c r="J143" s="6"/>
      <c r="K143" s="6"/>
      <c r="L143" s="6"/>
      <c r="M143" s="6"/>
      <c r="N143" s="6"/>
      <c r="O143" s="6"/>
    </row>
    <row r="145" spans="5:7" x14ac:dyDescent="0.5">
      <c r="E145" s="121"/>
      <c r="F145" s="122"/>
      <c r="G145" s="122"/>
    </row>
  </sheetData>
  <autoFilter ref="A2:S137" xr:uid="{F0EE195A-FBC9-4847-94C9-3ADDAD335674}"/>
  <mergeCells count="546">
    <mergeCell ref="C11:C14"/>
    <mergeCell ref="D11:D14"/>
    <mergeCell ref="C15:C17"/>
    <mergeCell ref="D15:D17"/>
    <mergeCell ref="E15:E17"/>
    <mergeCell ref="H15:H17"/>
    <mergeCell ref="I15:I17"/>
    <mergeCell ref="S4:S6"/>
    <mergeCell ref="J4:J6"/>
    <mergeCell ref="K4:K6"/>
    <mergeCell ref="L4:L6"/>
    <mergeCell ref="F15:F17"/>
    <mergeCell ref="G15:G17"/>
    <mergeCell ref="S15:S17"/>
    <mergeCell ref="R15:R17"/>
    <mergeCell ref="Q15:Q17"/>
    <mergeCell ref="P15:P17"/>
    <mergeCell ref="O15:O17"/>
    <mergeCell ref="N15:N17"/>
    <mergeCell ref="M15:M17"/>
    <mergeCell ref="S122:S125"/>
    <mergeCell ref="O122:O125"/>
    <mergeCell ref="P122:P125"/>
    <mergeCell ref="Q122:Q125"/>
    <mergeCell ref="R122:R125"/>
    <mergeCell ref="M122:M125"/>
    <mergeCell ref="N122:N125"/>
    <mergeCell ref="S76:S78"/>
    <mergeCell ref="J76:J78"/>
    <mergeCell ref="K76:K78"/>
    <mergeCell ref="L76:L78"/>
    <mergeCell ref="M76:M78"/>
    <mergeCell ref="N76:N78"/>
    <mergeCell ref="L122:L125"/>
    <mergeCell ref="S111:S116"/>
    <mergeCell ref="J111:J116"/>
    <mergeCell ref="K111:K116"/>
    <mergeCell ref="L111:L116"/>
    <mergeCell ref="M111:M116"/>
    <mergeCell ref="N111:N116"/>
    <mergeCell ref="O111:O116"/>
    <mergeCell ref="P111:P116"/>
    <mergeCell ref="Q111:Q116"/>
    <mergeCell ref="R111:R116"/>
    <mergeCell ref="E111:E116"/>
    <mergeCell ref="H111:H116"/>
    <mergeCell ref="I111:I116"/>
    <mergeCell ref="C76:C78"/>
    <mergeCell ref="D76:D78"/>
    <mergeCell ref="E76:E78"/>
    <mergeCell ref="H76:H78"/>
    <mergeCell ref="I76:I78"/>
    <mergeCell ref="C54:C58"/>
    <mergeCell ref="D54:D58"/>
    <mergeCell ref="E54:E58"/>
    <mergeCell ref="H54:H58"/>
    <mergeCell ref="I54:I58"/>
    <mergeCell ref="C111:C116"/>
    <mergeCell ref="D111:D116"/>
    <mergeCell ref="C82:C85"/>
    <mergeCell ref="D82:D85"/>
    <mergeCell ref="F82:F85"/>
    <mergeCell ref="G82:G85"/>
    <mergeCell ref="F108:F110"/>
    <mergeCell ref="G108:G110"/>
    <mergeCell ref="C104:C107"/>
    <mergeCell ref="D104:D107"/>
    <mergeCell ref="E104:E107"/>
    <mergeCell ref="S117:S120"/>
    <mergeCell ref="J117:J120"/>
    <mergeCell ref="K117:K120"/>
    <mergeCell ref="L117:L120"/>
    <mergeCell ref="M117:M120"/>
    <mergeCell ref="N117:N120"/>
    <mergeCell ref="C126:C129"/>
    <mergeCell ref="D126:D129"/>
    <mergeCell ref="E126:E129"/>
    <mergeCell ref="H126:H129"/>
    <mergeCell ref="I126:I129"/>
    <mergeCell ref="O126:O129"/>
    <mergeCell ref="P126:P129"/>
    <mergeCell ref="Q126:Q129"/>
    <mergeCell ref="R126:R129"/>
    <mergeCell ref="F126:F129"/>
    <mergeCell ref="G126:G129"/>
    <mergeCell ref="C122:C125"/>
    <mergeCell ref="D122:D125"/>
    <mergeCell ref="E122:E125"/>
    <mergeCell ref="H122:H125"/>
    <mergeCell ref="I122:I125"/>
    <mergeCell ref="F122:F125"/>
    <mergeCell ref="G122:G125"/>
    <mergeCell ref="J126:J129"/>
    <mergeCell ref="K126:K129"/>
    <mergeCell ref="L126:L129"/>
    <mergeCell ref="M126:M129"/>
    <mergeCell ref="N126:N129"/>
    <mergeCell ref="O117:O120"/>
    <mergeCell ref="P117:P120"/>
    <mergeCell ref="Q117:Q120"/>
    <mergeCell ref="R117:R120"/>
    <mergeCell ref="J122:J125"/>
    <mergeCell ref="K122:K125"/>
    <mergeCell ref="S126:S129"/>
    <mergeCell ref="S89:S92"/>
    <mergeCell ref="S54:S58"/>
    <mergeCell ref="J54:J58"/>
    <mergeCell ref="K54:K58"/>
    <mergeCell ref="L54:L58"/>
    <mergeCell ref="M54:M58"/>
    <mergeCell ref="N54:N58"/>
    <mergeCell ref="S93:S98"/>
    <mergeCell ref="J93:J98"/>
    <mergeCell ref="K93:K98"/>
    <mergeCell ref="L93:L98"/>
    <mergeCell ref="M93:M98"/>
    <mergeCell ref="N93:N98"/>
    <mergeCell ref="S59:S63"/>
    <mergeCell ref="J59:J63"/>
    <mergeCell ref="K59:K63"/>
    <mergeCell ref="L59:L63"/>
    <mergeCell ref="M59:M63"/>
    <mergeCell ref="N59:N63"/>
    <mergeCell ref="S108:S110"/>
    <mergeCell ref="J108:J110"/>
    <mergeCell ref="K108:K110"/>
    <mergeCell ref="L108:L110"/>
    <mergeCell ref="H59:H63"/>
    <mergeCell ref="I59:I63"/>
    <mergeCell ref="J72:J75"/>
    <mergeCell ref="P108:P110"/>
    <mergeCell ref="Q108:Q110"/>
    <mergeCell ref="R108:R110"/>
    <mergeCell ref="O82:O85"/>
    <mergeCell ref="P82:P85"/>
    <mergeCell ref="Q82:Q85"/>
    <mergeCell ref="R82:R85"/>
    <mergeCell ref="P104:P107"/>
    <mergeCell ref="Q104:Q107"/>
    <mergeCell ref="R104:R107"/>
    <mergeCell ref="M108:M110"/>
    <mergeCell ref="N108:N110"/>
    <mergeCell ref="O108:O110"/>
    <mergeCell ref="I67:I71"/>
    <mergeCell ref="O59:O63"/>
    <mergeCell ref="P59:P63"/>
    <mergeCell ref="Q59:Q63"/>
    <mergeCell ref="R59:R63"/>
    <mergeCell ref="O93:O98"/>
    <mergeCell ref="P93:P98"/>
    <mergeCell ref="Q93:Q98"/>
    <mergeCell ref="R93:R98"/>
    <mergeCell ref="O76:O78"/>
    <mergeCell ref="P76:P78"/>
    <mergeCell ref="Q76:Q78"/>
    <mergeCell ref="R76:R78"/>
    <mergeCell ref="L89:L92"/>
    <mergeCell ref="M89:M92"/>
    <mergeCell ref="N89:N92"/>
    <mergeCell ref="S51:S53"/>
    <mergeCell ref="J51:J53"/>
    <mergeCell ref="K51:K53"/>
    <mergeCell ref="L51:L53"/>
    <mergeCell ref="M51:M53"/>
    <mergeCell ref="N51:N53"/>
    <mergeCell ref="C51:C53"/>
    <mergeCell ref="D51:D53"/>
    <mergeCell ref="E51:E53"/>
    <mergeCell ref="H51:H53"/>
    <mergeCell ref="I51:I53"/>
    <mergeCell ref="O51:O53"/>
    <mergeCell ref="P51:P53"/>
    <mergeCell ref="Q51:Q53"/>
    <mergeCell ref="R51:R53"/>
    <mergeCell ref="F51:F53"/>
    <mergeCell ref="G51:G53"/>
    <mergeCell ref="C117:C120"/>
    <mergeCell ref="D117:D120"/>
    <mergeCell ref="E117:E120"/>
    <mergeCell ref="H117:H120"/>
    <mergeCell ref="I117:I120"/>
    <mergeCell ref="S86:S88"/>
    <mergeCell ref="J86:J88"/>
    <mergeCell ref="K86:K88"/>
    <mergeCell ref="L86:L88"/>
    <mergeCell ref="M86:M88"/>
    <mergeCell ref="N86:N88"/>
    <mergeCell ref="C86:C88"/>
    <mergeCell ref="D86:D88"/>
    <mergeCell ref="S104:S107"/>
    <mergeCell ref="J104:J107"/>
    <mergeCell ref="K104:K107"/>
    <mergeCell ref="L104:L107"/>
    <mergeCell ref="M104:M107"/>
    <mergeCell ref="N104:N107"/>
    <mergeCell ref="O86:O88"/>
    <mergeCell ref="P86:P88"/>
    <mergeCell ref="Q86:Q88"/>
    <mergeCell ref="R86:R88"/>
    <mergeCell ref="O104:O107"/>
    <mergeCell ref="S67:S71"/>
    <mergeCell ref="J67:J71"/>
    <mergeCell ref="K67:K71"/>
    <mergeCell ref="L67:L71"/>
    <mergeCell ref="M67:M71"/>
    <mergeCell ref="N67:N71"/>
    <mergeCell ref="O67:O71"/>
    <mergeCell ref="P67:P71"/>
    <mergeCell ref="Q67:Q71"/>
    <mergeCell ref="R67:R71"/>
    <mergeCell ref="S82:S85"/>
    <mergeCell ref="J82:J85"/>
    <mergeCell ref="K82:K85"/>
    <mergeCell ref="L82:L85"/>
    <mergeCell ref="M82:M85"/>
    <mergeCell ref="N82:N85"/>
    <mergeCell ref="E99:E103"/>
    <mergeCell ref="H99:H103"/>
    <mergeCell ref="I99:I103"/>
    <mergeCell ref="H82:H85"/>
    <mergeCell ref="I82:I85"/>
    <mergeCell ref="E82:E85"/>
    <mergeCell ref="S99:S103"/>
    <mergeCell ref="J99:J103"/>
    <mergeCell ref="K99:K103"/>
    <mergeCell ref="L99:L103"/>
    <mergeCell ref="M99:M103"/>
    <mergeCell ref="N99:N103"/>
    <mergeCell ref="O99:O103"/>
    <mergeCell ref="P99:P103"/>
    <mergeCell ref="Q99:Q103"/>
    <mergeCell ref="R99:R103"/>
    <mergeCell ref="J89:J92"/>
    <mergeCell ref="K89:K92"/>
    <mergeCell ref="C108:C110"/>
    <mergeCell ref="D108:D110"/>
    <mergeCell ref="E108:E110"/>
    <mergeCell ref="C99:C103"/>
    <mergeCell ref="D99:D103"/>
    <mergeCell ref="H108:H110"/>
    <mergeCell ref="I108:I110"/>
    <mergeCell ref="I86:I88"/>
    <mergeCell ref="C93:C98"/>
    <mergeCell ref="D93:D98"/>
    <mergeCell ref="E93:E98"/>
    <mergeCell ref="H93:H98"/>
    <mergeCell ref="I93:I98"/>
    <mergeCell ref="E86:E88"/>
    <mergeCell ref="H86:H88"/>
    <mergeCell ref="G86:G88"/>
    <mergeCell ref="H104:H107"/>
    <mergeCell ref="I104:I107"/>
    <mergeCell ref="H89:H92"/>
    <mergeCell ref="I89:I92"/>
    <mergeCell ref="O54:O58"/>
    <mergeCell ref="P54:P58"/>
    <mergeCell ref="Q54:Q58"/>
    <mergeCell ref="R54:R58"/>
    <mergeCell ref="F59:F63"/>
    <mergeCell ref="G59:G63"/>
    <mergeCell ref="F93:F98"/>
    <mergeCell ref="G93:G98"/>
    <mergeCell ref="C89:C92"/>
    <mergeCell ref="D89:D92"/>
    <mergeCell ref="E89:E92"/>
    <mergeCell ref="C67:C71"/>
    <mergeCell ref="D67:D71"/>
    <mergeCell ref="E67:E71"/>
    <mergeCell ref="D59:D63"/>
    <mergeCell ref="E59:E63"/>
    <mergeCell ref="C72:C75"/>
    <mergeCell ref="D72:D75"/>
    <mergeCell ref="E72:E75"/>
    <mergeCell ref="H72:H75"/>
    <mergeCell ref="I72:I75"/>
    <mergeCell ref="G79:G81"/>
    <mergeCell ref="F86:F88"/>
    <mergeCell ref="H67:H71"/>
    <mergeCell ref="O89:O92"/>
    <mergeCell ref="P89:P92"/>
    <mergeCell ref="Q89:Q92"/>
    <mergeCell ref="R89:R92"/>
    <mergeCell ref="O64:O66"/>
    <mergeCell ref="P64:P66"/>
    <mergeCell ref="Q64:Q66"/>
    <mergeCell ref="R64:R66"/>
    <mergeCell ref="P72:P75"/>
    <mergeCell ref="Q72:Q75"/>
    <mergeCell ref="S44:S46"/>
    <mergeCell ref="J44:J46"/>
    <mergeCell ref="K44:K46"/>
    <mergeCell ref="L44:L46"/>
    <mergeCell ref="M44:M46"/>
    <mergeCell ref="N44:N46"/>
    <mergeCell ref="C44:C46"/>
    <mergeCell ref="D44:D46"/>
    <mergeCell ref="E44:E46"/>
    <mergeCell ref="H44:H46"/>
    <mergeCell ref="I44:I46"/>
    <mergeCell ref="F44:F46"/>
    <mergeCell ref="G44:G46"/>
    <mergeCell ref="O44:O46"/>
    <mergeCell ref="P44:P46"/>
    <mergeCell ref="Q44:Q46"/>
    <mergeCell ref="R44:R46"/>
    <mergeCell ref="S64:S66"/>
    <mergeCell ref="J64:J66"/>
    <mergeCell ref="K64:K66"/>
    <mergeCell ref="L64:L66"/>
    <mergeCell ref="M64:M66"/>
    <mergeCell ref="N64:N66"/>
    <mergeCell ref="H35:H38"/>
    <mergeCell ref="I35:I38"/>
    <mergeCell ref="C64:C66"/>
    <mergeCell ref="D64:D66"/>
    <mergeCell ref="E64:E66"/>
    <mergeCell ref="H64:H66"/>
    <mergeCell ref="I64:I66"/>
    <mergeCell ref="C40:C42"/>
    <mergeCell ref="D40:D42"/>
    <mergeCell ref="E40:E42"/>
    <mergeCell ref="H40:H42"/>
    <mergeCell ref="I40:I42"/>
    <mergeCell ref="D48:D50"/>
    <mergeCell ref="E48:E50"/>
    <mergeCell ref="C48:C50"/>
    <mergeCell ref="F35:F38"/>
    <mergeCell ref="G35:G38"/>
    <mergeCell ref="C59:C63"/>
    <mergeCell ref="S25:S27"/>
    <mergeCell ref="S35:S38"/>
    <mergeCell ref="J35:J38"/>
    <mergeCell ref="K35:K38"/>
    <mergeCell ref="L35:L38"/>
    <mergeCell ref="M35:M38"/>
    <mergeCell ref="N35:N38"/>
    <mergeCell ref="O35:O38"/>
    <mergeCell ref="P35:P38"/>
    <mergeCell ref="Q35:Q38"/>
    <mergeCell ref="R35:R38"/>
    <mergeCell ref="N25:N27"/>
    <mergeCell ref="O25:O27"/>
    <mergeCell ref="P25:P27"/>
    <mergeCell ref="Q25:Q27"/>
    <mergeCell ref="S32:S34"/>
    <mergeCell ref="J29:J31"/>
    <mergeCell ref="K29:K31"/>
    <mergeCell ref="I21:I24"/>
    <mergeCell ref="C21:C24"/>
    <mergeCell ref="D21:D24"/>
    <mergeCell ref="E21:E24"/>
    <mergeCell ref="H21:H24"/>
    <mergeCell ref="F21:F24"/>
    <mergeCell ref="C35:C38"/>
    <mergeCell ref="D35:D38"/>
    <mergeCell ref="R25:R27"/>
    <mergeCell ref="J32:J34"/>
    <mergeCell ref="K32:K34"/>
    <mergeCell ref="L32:L34"/>
    <mergeCell ref="M32:M34"/>
    <mergeCell ref="N32:N34"/>
    <mergeCell ref="C25:C27"/>
    <mergeCell ref="D25:D27"/>
    <mergeCell ref="E25:E27"/>
    <mergeCell ref="H25:H27"/>
    <mergeCell ref="I25:I27"/>
    <mergeCell ref="J25:J27"/>
    <mergeCell ref="K25:K27"/>
    <mergeCell ref="L25:L27"/>
    <mergeCell ref="M25:M27"/>
    <mergeCell ref="S40:S42"/>
    <mergeCell ref="N72:N75"/>
    <mergeCell ref="O72:O75"/>
    <mergeCell ref="K72:K75"/>
    <mergeCell ref="L72:L75"/>
    <mergeCell ref="M72:M75"/>
    <mergeCell ref="R72:R75"/>
    <mergeCell ref="F72:F75"/>
    <mergeCell ref="G72:G75"/>
    <mergeCell ref="H48:H50"/>
    <mergeCell ref="I48:I50"/>
    <mergeCell ref="F40:F42"/>
    <mergeCell ref="G40:G42"/>
    <mergeCell ref="G48:G50"/>
    <mergeCell ref="F48:F50"/>
    <mergeCell ref="F64:F66"/>
    <mergeCell ref="G64:G66"/>
    <mergeCell ref="F67:F71"/>
    <mergeCell ref="G67:G71"/>
    <mergeCell ref="J40:J42"/>
    <mergeCell ref="K40:K42"/>
    <mergeCell ref="L40:L42"/>
    <mergeCell ref="M40:M42"/>
    <mergeCell ref="S72:S75"/>
    <mergeCell ref="N40:N42"/>
    <mergeCell ref="O32:O34"/>
    <mergeCell ref="P32:P34"/>
    <mergeCell ref="Q32:Q34"/>
    <mergeCell ref="R32:R34"/>
    <mergeCell ref="H32:H34"/>
    <mergeCell ref="I32:I34"/>
    <mergeCell ref="C32:C34"/>
    <mergeCell ref="D32:D34"/>
    <mergeCell ref="E32:E34"/>
    <mergeCell ref="F32:F34"/>
    <mergeCell ref="G32:G34"/>
    <mergeCell ref="E35:E38"/>
    <mergeCell ref="O40:O42"/>
    <mergeCell ref="P40:P42"/>
    <mergeCell ref="Q40:Q42"/>
    <mergeCell ref="R40:R42"/>
    <mergeCell ref="O21:O24"/>
    <mergeCell ref="P21:P24"/>
    <mergeCell ref="Q21:Q24"/>
    <mergeCell ref="S79:S81"/>
    <mergeCell ref="P48:P50"/>
    <mergeCell ref="Q48:Q50"/>
    <mergeCell ref="R48:R50"/>
    <mergeCell ref="S48:S50"/>
    <mergeCell ref="J79:J81"/>
    <mergeCell ref="K79:K81"/>
    <mergeCell ref="L79:L81"/>
    <mergeCell ref="M79:M81"/>
    <mergeCell ref="N79:N81"/>
    <mergeCell ref="K48:K50"/>
    <mergeCell ref="L48:L50"/>
    <mergeCell ref="M48:M50"/>
    <mergeCell ref="N48:N50"/>
    <mergeCell ref="S21:S24"/>
    <mergeCell ref="J21:J24"/>
    <mergeCell ref="K21:K24"/>
    <mergeCell ref="L21:L24"/>
    <mergeCell ref="M21:M24"/>
    <mergeCell ref="N21:N24"/>
    <mergeCell ref="S29:S31"/>
    <mergeCell ref="C29:C31"/>
    <mergeCell ref="E29:E31"/>
    <mergeCell ref="H29:H31"/>
    <mergeCell ref="I29:I31"/>
    <mergeCell ref="C4:C6"/>
    <mergeCell ref="C7:C9"/>
    <mergeCell ref="I7:I9"/>
    <mergeCell ref="H79:H81"/>
    <mergeCell ref="I79:I81"/>
    <mergeCell ref="D7:D9"/>
    <mergeCell ref="D29:D31"/>
    <mergeCell ref="E7:E9"/>
    <mergeCell ref="H7:H9"/>
    <mergeCell ref="C79:C81"/>
    <mergeCell ref="D79:D81"/>
    <mergeCell ref="E79:E81"/>
    <mergeCell ref="D4:D6"/>
    <mergeCell ref="E4:E6"/>
    <mergeCell ref="H4:H6"/>
    <mergeCell ref="I4:I6"/>
    <mergeCell ref="E11:E14"/>
    <mergeCell ref="H11:H14"/>
    <mergeCell ref="I11:I14"/>
    <mergeCell ref="F79:F81"/>
    <mergeCell ref="L29:L31"/>
    <mergeCell ref="M29:M31"/>
    <mergeCell ref="N29:N31"/>
    <mergeCell ref="R7:R9"/>
    <mergeCell ref="S7:S9"/>
    <mergeCell ref="S11:S14"/>
    <mergeCell ref="J11:J14"/>
    <mergeCell ref="K11:K14"/>
    <mergeCell ref="L11:L14"/>
    <mergeCell ref="M11:M14"/>
    <mergeCell ref="N11:N14"/>
    <mergeCell ref="O11:O14"/>
    <mergeCell ref="O29:O31"/>
    <mergeCell ref="P29:P31"/>
    <mergeCell ref="Q29:Q31"/>
    <mergeCell ref="J7:J9"/>
    <mergeCell ref="K7:K9"/>
    <mergeCell ref="L7:L9"/>
    <mergeCell ref="M7:M9"/>
    <mergeCell ref="N7:N9"/>
    <mergeCell ref="N18:N20"/>
    <mergeCell ref="O18:O20"/>
    <mergeCell ref="P18:P20"/>
    <mergeCell ref="Q18:Q20"/>
    <mergeCell ref="I1:K1"/>
    <mergeCell ref="R11:R14"/>
    <mergeCell ref="R29:R31"/>
    <mergeCell ref="O48:O50"/>
    <mergeCell ref="J48:J50"/>
    <mergeCell ref="O79:O81"/>
    <mergeCell ref="P79:P81"/>
    <mergeCell ref="Q79:Q81"/>
    <mergeCell ref="R79:R81"/>
    <mergeCell ref="R21:R24"/>
    <mergeCell ref="M4:M6"/>
    <mergeCell ref="N4:N6"/>
    <mergeCell ref="O4:O6"/>
    <mergeCell ref="P4:P6"/>
    <mergeCell ref="Q4:Q6"/>
    <mergeCell ref="R4:R6"/>
    <mergeCell ref="P11:P14"/>
    <mergeCell ref="Q11:Q14"/>
    <mergeCell ref="L15:L17"/>
    <mergeCell ref="K15:K17"/>
    <mergeCell ref="J15:J17"/>
    <mergeCell ref="O7:O9"/>
    <mergeCell ref="P7:P9"/>
    <mergeCell ref="Q7:Q9"/>
    <mergeCell ref="F1:G1"/>
    <mergeCell ref="F29:F31"/>
    <mergeCell ref="G29:G31"/>
    <mergeCell ref="F7:F9"/>
    <mergeCell ref="G7:G9"/>
    <mergeCell ref="F11:F14"/>
    <mergeCell ref="G11:G14"/>
    <mergeCell ref="F4:F6"/>
    <mergeCell ref="G4:G6"/>
    <mergeCell ref="F25:F27"/>
    <mergeCell ref="G25:G27"/>
    <mergeCell ref="G21:G24"/>
    <mergeCell ref="F117:F120"/>
    <mergeCell ref="G117:G120"/>
    <mergeCell ref="F104:F107"/>
    <mergeCell ref="G104:G107"/>
    <mergeCell ref="F99:F103"/>
    <mergeCell ref="G99:G103"/>
    <mergeCell ref="F76:F78"/>
    <mergeCell ref="G76:G78"/>
    <mergeCell ref="F54:F58"/>
    <mergeCell ref="G54:G58"/>
    <mergeCell ref="F111:F116"/>
    <mergeCell ref="G111:G116"/>
    <mergeCell ref="F89:F92"/>
    <mergeCell ref="G89:G92"/>
    <mergeCell ref="R18:R20"/>
    <mergeCell ref="S18:S20"/>
    <mergeCell ref="C18:C20"/>
    <mergeCell ref="D18:D20"/>
    <mergeCell ref="E18:E20"/>
    <mergeCell ref="F18:F20"/>
    <mergeCell ref="G18:G20"/>
    <mergeCell ref="H18:H20"/>
    <mergeCell ref="I18:I20"/>
    <mergeCell ref="J18:J20"/>
    <mergeCell ref="K18:K20"/>
    <mergeCell ref="L18:L20"/>
    <mergeCell ref="M18:M20"/>
  </mergeCells>
  <dataValidations count="1">
    <dataValidation type="list" allowBlank="1" showInputMessage="1" showErrorMessage="1" sqref="G11:G27" xr:uid="{0B61168A-C40C-4B9E-BA44-A5BAADC80F6D}">
      <formula1>resultadoaprendizaje</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FB58D49-D1C0-4270-ACFB-03A7341BCCED}">
          <x14:formula1>
            <xm:f>'Paso 3 Redacción RA'!$I$3:$I$15</xm:f>
          </x14:formula1>
          <xm:sqref>B3:B136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0260-EDC1-4342-B86F-EF528A8E771B}">
  <dimension ref="B1:B40"/>
  <sheetViews>
    <sheetView topLeftCell="A27" workbookViewId="0">
      <selection activeCell="B41" sqref="B41"/>
    </sheetView>
  </sheetViews>
  <sheetFormatPr baseColWidth="10" defaultColWidth="9.1796875" defaultRowHeight="14.5" x14ac:dyDescent="0.35"/>
  <cols>
    <col min="2" max="2" width="29.26953125" customWidth="1"/>
  </cols>
  <sheetData>
    <row r="1" spans="2:2" ht="16.5" x14ac:dyDescent="0.5">
      <c r="B1" s="1" t="s">
        <v>164</v>
      </c>
    </row>
    <row r="2" spans="2:2" ht="16.5" x14ac:dyDescent="0.5">
      <c r="B2" s="1" t="s">
        <v>165</v>
      </c>
    </row>
    <row r="3" spans="2:2" ht="16.5" x14ac:dyDescent="0.5">
      <c r="B3" s="1" t="s">
        <v>166</v>
      </c>
    </row>
    <row r="4" spans="2:2" ht="16.5" x14ac:dyDescent="0.5">
      <c r="B4" s="1" t="s">
        <v>167</v>
      </c>
    </row>
    <row r="5" spans="2:2" ht="16.5" x14ac:dyDescent="0.5">
      <c r="B5" s="1" t="s">
        <v>168</v>
      </c>
    </row>
    <row r="6" spans="2:2" ht="16.5" x14ac:dyDescent="0.5">
      <c r="B6" s="1" t="s">
        <v>169</v>
      </c>
    </row>
    <row r="7" spans="2:2" ht="16.5" x14ac:dyDescent="0.5">
      <c r="B7" s="1" t="s">
        <v>170</v>
      </c>
    </row>
    <row r="8" spans="2:2" ht="16.5" x14ac:dyDescent="0.5">
      <c r="B8" s="1" t="s">
        <v>171</v>
      </c>
    </row>
    <row r="9" spans="2:2" ht="16.5" x14ac:dyDescent="0.5">
      <c r="B9" s="1" t="s">
        <v>172</v>
      </c>
    </row>
    <row r="10" spans="2:2" ht="16.5" x14ac:dyDescent="0.5">
      <c r="B10" s="1" t="s">
        <v>173</v>
      </c>
    </row>
    <row r="11" spans="2:2" ht="16.5" x14ac:dyDescent="0.5">
      <c r="B11" s="1" t="s">
        <v>174</v>
      </c>
    </row>
    <row r="12" spans="2:2" ht="16.5" x14ac:dyDescent="0.5">
      <c r="B12" s="1" t="s">
        <v>175</v>
      </c>
    </row>
    <row r="13" spans="2:2" ht="16.5" x14ac:dyDescent="0.5">
      <c r="B13" s="1" t="s">
        <v>176</v>
      </c>
    </row>
    <row r="14" spans="2:2" ht="16.5" x14ac:dyDescent="0.5">
      <c r="B14" s="1" t="s">
        <v>177</v>
      </c>
    </row>
    <row r="15" spans="2:2" ht="16.5" x14ac:dyDescent="0.5">
      <c r="B15" s="1" t="s">
        <v>178</v>
      </c>
    </row>
    <row r="16" spans="2:2" ht="16.5" x14ac:dyDescent="0.5">
      <c r="B16" s="1" t="s">
        <v>179</v>
      </c>
    </row>
    <row r="17" spans="2:2" ht="16.5" x14ac:dyDescent="0.5">
      <c r="B17" s="1" t="s">
        <v>180</v>
      </c>
    </row>
    <row r="18" spans="2:2" ht="16.5" x14ac:dyDescent="0.5">
      <c r="B18" s="1" t="s">
        <v>181</v>
      </c>
    </row>
    <row r="19" spans="2:2" ht="16.5" x14ac:dyDescent="0.5">
      <c r="B19" s="1" t="s">
        <v>182</v>
      </c>
    </row>
    <row r="20" spans="2:2" ht="16.5" x14ac:dyDescent="0.5">
      <c r="B20" s="1" t="s">
        <v>183</v>
      </c>
    </row>
    <row r="21" spans="2:2" ht="16.5" x14ac:dyDescent="0.5">
      <c r="B21" s="1" t="s">
        <v>184</v>
      </c>
    </row>
    <row r="22" spans="2:2" ht="16.5" x14ac:dyDescent="0.5">
      <c r="B22" s="1" t="s">
        <v>185</v>
      </c>
    </row>
    <row r="23" spans="2:2" ht="16.5" x14ac:dyDescent="0.5">
      <c r="B23" s="1" t="s">
        <v>186</v>
      </c>
    </row>
    <row r="24" spans="2:2" ht="16.5" x14ac:dyDescent="0.5">
      <c r="B24" s="1" t="s">
        <v>187</v>
      </c>
    </row>
    <row r="25" spans="2:2" ht="16.5" x14ac:dyDescent="0.5">
      <c r="B25" s="1" t="s">
        <v>188</v>
      </c>
    </row>
    <row r="26" spans="2:2" ht="16.5" x14ac:dyDescent="0.5">
      <c r="B26" s="1" t="s">
        <v>189</v>
      </c>
    </row>
    <row r="27" spans="2:2" ht="16.5" x14ac:dyDescent="0.5">
      <c r="B27" s="1" t="s">
        <v>190</v>
      </c>
    </row>
    <row r="28" spans="2:2" ht="16.5" x14ac:dyDescent="0.5">
      <c r="B28" s="1" t="s">
        <v>191</v>
      </c>
    </row>
    <row r="29" spans="2:2" ht="16.5" x14ac:dyDescent="0.5">
      <c r="B29" s="1" t="s">
        <v>192</v>
      </c>
    </row>
    <row r="30" spans="2:2" ht="16.5" x14ac:dyDescent="0.5">
      <c r="B30" s="1" t="s">
        <v>193</v>
      </c>
    </row>
    <row r="31" spans="2:2" ht="16.5" x14ac:dyDescent="0.5">
      <c r="B31" s="1" t="s">
        <v>194</v>
      </c>
    </row>
    <row r="32" spans="2:2" ht="16.5" x14ac:dyDescent="0.5">
      <c r="B32" s="1" t="s">
        <v>195</v>
      </c>
    </row>
    <row r="33" spans="2:2" ht="16.5" x14ac:dyDescent="0.5">
      <c r="B33" s="1" t="s">
        <v>196</v>
      </c>
    </row>
    <row r="34" spans="2:2" ht="16.5" x14ac:dyDescent="0.5">
      <c r="B34" s="1" t="s">
        <v>197</v>
      </c>
    </row>
    <row r="35" spans="2:2" ht="16.5" x14ac:dyDescent="0.5">
      <c r="B35" s="1" t="s">
        <v>198</v>
      </c>
    </row>
    <row r="36" spans="2:2" ht="16.5" x14ac:dyDescent="0.5">
      <c r="B36" s="1" t="s">
        <v>199</v>
      </c>
    </row>
    <row r="37" spans="2:2" ht="16.5" x14ac:dyDescent="0.5">
      <c r="B37" s="1" t="s">
        <v>200</v>
      </c>
    </row>
    <row r="38" spans="2:2" ht="16.5" x14ac:dyDescent="0.5">
      <c r="B38" s="1" t="s">
        <v>201</v>
      </c>
    </row>
    <row r="39" spans="2:2" ht="16.5" x14ac:dyDescent="0.5">
      <c r="B39" s="1" t="s">
        <v>37</v>
      </c>
    </row>
    <row r="40" spans="2:2" ht="16.5" x14ac:dyDescent="0.5">
      <c r="B40" s="1" t="s">
        <v>73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95D89-8C61-400E-A937-B3D914084581}">
  <dimension ref="A1:BC108"/>
  <sheetViews>
    <sheetView topLeftCell="AC34" zoomScale="145" zoomScaleNormal="145" workbookViewId="0">
      <selection activeCell="AE41" sqref="AE41"/>
    </sheetView>
  </sheetViews>
  <sheetFormatPr baseColWidth="10" defaultColWidth="9.1796875" defaultRowHeight="16.5" x14ac:dyDescent="0.5"/>
  <cols>
    <col min="1" max="1" width="20.453125" style="12" customWidth="1"/>
    <col min="2" max="2" width="14.453125" style="12" customWidth="1"/>
    <col min="3" max="3" width="22.26953125" style="12" customWidth="1"/>
    <col min="4" max="4" width="21.54296875" style="12" customWidth="1"/>
    <col min="5" max="5" width="20.7265625" style="12" customWidth="1"/>
    <col min="6" max="6" width="16.7265625" style="12" customWidth="1"/>
    <col min="7" max="7" width="21.7265625" style="12" customWidth="1"/>
    <col min="8" max="8" width="26.26953125" style="12" customWidth="1"/>
    <col min="9" max="9" width="25.26953125" style="12" customWidth="1"/>
    <col min="10" max="10" width="24.453125" style="12" customWidth="1"/>
    <col min="11" max="11" width="15.26953125" style="12" customWidth="1"/>
    <col min="12" max="17" width="17.7265625" style="12" customWidth="1"/>
    <col min="18" max="18" width="22.54296875" style="12" customWidth="1"/>
    <col min="19" max="19" width="15.54296875" style="12" customWidth="1"/>
    <col min="20" max="20" width="14.81640625" style="12" customWidth="1"/>
    <col min="21" max="25" width="13.26953125" style="12" customWidth="1"/>
    <col min="26" max="26" width="16.54296875" style="12" customWidth="1"/>
    <col min="27" max="27" width="13.26953125" style="12" customWidth="1"/>
    <col min="28" max="28" width="16" style="12" customWidth="1"/>
    <col min="29" max="29" width="19.54296875" style="12" customWidth="1"/>
    <col min="30" max="30" width="21.7265625" style="12" bestFit="1" customWidth="1"/>
    <col min="31" max="31" width="13.26953125" style="12" customWidth="1"/>
    <col min="32" max="32" width="13.81640625" style="12" customWidth="1"/>
    <col min="33" max="33" width="30.7265625" style="12" customWidth="1"/>
    <col min="34" max="36" width="13.26953125" style="12" customWidth="1"/>
    <col min="37" max="37" width="14.54296875" style="12" customWidth="1"/>
    <col min="38" max="43" width="16.7265625" style="12" customWidth="1"/>
    <col min="44" max="45" width="13.26953125" style="12" customWidth="1"/>
    <col min="46" max="46" width="23.7265625" style="12" customWidth="1"/>
    <col min="47" max="47" width="22.54296875" style="12" customWidth="1"/>
    <col min="48" max="48" width="24.26953125" style="12" customWidth="1"/>
    <col min="49" max="49" width="27.7265625" style="12" customWidth="1"/>
    <col min="50" max="50" width="24.7265625" style="12" customWidth="1"/>
    <col min="51" max="51" width="22.54296875" style="12" customWidth="1"/>
    <col min="52" max="55" width="13.26953125" style="12" customWidth="1"/>
    <col min="56" max="16384" width="9.1796875" style="12"/>
  </cols>
  <sheetData>
    <row r="1" spans="1:55" ht="17" thickBot="1" x14ac:dyDescent="0.55000000000000004">
      <c r="A1" s="1"/>
      <c r="B1" s="1"/>
      <c r="C1" s="1"/>
      <c r="D1" s="1"/>
      <c r="E1" s="1"/>
      <c r="F1" s="1"/>
      <c r="G1" s="1"/>
      <c r="H1" s="1"/>
      <c r="I1" s="1"/>
      <c r="J1" s="1"/>
      <c r="K1" s="1"/>
      <c r="L1" s="1"/>
      <c r="M1" s="1"/>
      <c r="N1" s="1"/>
      <c r="O1" s="1"/>
      <c r="P1" s="1"/>
      <c r="Q1" s="1"/>
      <c r="R1" s="1"/>
      <c r="S1" s="173" t="s">
        <v>202</v>
      </c>
      <c r="T1" s="173"/>
      <c r="U1" s="173"/>
      <c r="V1" s="173"/>
      <c r="W1" s="173"/>
      <c r="X1" s="173"/>
      <c r="Y1" s="173"/>
      <c r="Z1" s="173"/>
      <c r="AA1" s="173"/>
      <c r="AB1" s="173"/>
      <c r="AC1" s="173"/>
      <c r="AD1" s="173"/>
      <c r="AE1" s="173"/>
      <c r="AF1" s="173"/>
      <c r="AG1" s="173"/>
      <c r="AH1" s="14"/>
      <c r="AI1" s="14"/>
      <c r="AJ1" s="14"/>
      <c r="AK1" s="1"/>
      <c r="AL1" s="173" t="s">
        <v>203</v>
      </c>
      <c r="AM1" s="173"/>
      <c r="AN1" s="173"/>
      <c r="AO1" s="173"/>
      <c r="AP1" s="173"/>
      <c r="AQ1" s="173"/>
      <c r="AR1" s="14"/>
      <c r="AS1" s="14"/>
      <c r="AT1" s="173" t="s">
        <v>204</v>
      </c>
      <c r="AU1" s="173"/>
      <c r="AV1" s="173"/>
      <c r="AW1" s="173"/>
      <c r="AX1" s="173"/>
      <c r="AY1" s="173"/>
      <c r="AZ1" s="14"/>
      <c r="BA1" s="1"/>
      <c r="BB1" s="1"/>
      <c r="BC1" s="14"/>
    </row>
    <row r="2" spans="1:55" x14ac:dyDescent="0.5">
      <c r="A2" s="1"/>
      <c r="B2" s="1"/>
      <c r="C2" s="1"/>
      <c r="D2" s="1"/>
      <c r="E2" s="1"/>
      <c r="F2" s="1"/>
      <c r="G2" s="1"/>
      <c r="H2" s="1"/>
      <c r="I2" s="1"/>
      <c r="J2" s="1"/>
      <c r="K2" s="1"/>
      <c r="L2" s="173" t="s">
        <v>205</v>
      </c>
      <c r="M2" s="173"/>
      <c r="N2" s="173"/>
      <c r="O2" s="173"/>
      <c r="P2" s="173"/>
      <c r="Q2" s="173"/>
      <c r="R2" s="1"/>
      <c r="S2" s="174" t="s">
        <v>206</v>
      </c>
      <c r="T2" s="175"/>
      <c r="U2" s="175"/>
      <c r="V2" s="175"/>
      <c r="W2" s="175"/>
      <c r="X2" s="176"/>
      <c r="Y2" s="177" t="s">
        <v>207</v>
      </c>
      <c r="Z2" s="178"/>
      <c r="AA2" s="178"/>
      <c r="AB2" s="179"/>
      <c r="AC2" s="177" t="s">
        <v>208</v>
      </c>
      <c r="AD2" s="178"/>
      <c r="AE2" s="178"/>
      <c r="AF2" s="178"/>
      <c r="AG2" s="180"/>
      <c r="AH2" s="14"/>
      <c r="AI2" s="14"/>
      <c r="AJ2" s="14"/>
      <c r="AK2" s="1"/>
      <c r="AL2" s="173"/>
      <c r="AM2" s="173"/>
      <c r="AN2" s="173"/>
      <c r="AO2" s="173"/>
      <c r="AP2" s="173"/>
      <c r="AQ2" s="173"/>
      <c r="AR2" s="14"/>
      <c r="AS2" s="14"/>
      <c r="AT2" s="14"/>
      <c r="AU2" s="14"/>
      <c r="AV2" s="14"/>
      <c r="AW2" s="14"/>
      <c r="AX2" s="14"/>
      <c r="AY2" s="14"/>
      <c r="AZ2" s="14"/>
      <c r="BA2" s="1"/>
      <c r="BB2" s="1"/>
      <c r="BC2" s="14"/>
    </row>
    <row r="3" spans="1:55" x14ac:dyDescent="0.5">
      <c r="A3" s="1" t="s">
        <v>209</v>
      </c>
      <c r="B3" s="1"/>
      <c r="C3" s="1" t="s">
        <v>66</v>
      </c>
      <c r="D3" s="1" t="s">
        <v>210</v>
      </c>
      <c r="E3" s="1" t="s">
        <v>211</v>
      </c>
      <c r="F3" s="1"/>
      <c r="G3" s="1" t="s">
        <v>60</v>
      </c>
      <c r="H3" s="1" t="s">
        <v>212</v>
      </c>
      <c r="I3" s="1" t="s">
        <v>213</v>
      </c>
      <c r="J3" s="1"/>
      <c r="K3" s="1"/>
      <c r="L3" s="1" t="s">
        <v>214</v>
      </c>
      <c r="M3" s="1" t="s">
        <v>61</v>
      </c>
      <c r="N3" s="1" t="s">
        <v>215</v>
      </c>
      <c r="O3" s="1" t="s">
        <v>216</v>
      </c>
      <c r="P3" s="1" t="s">
        <v>217</v>
      </c>
      <c r="Q3" s="1" t="s">
        <v>218</v>
      </c>
      <c r="R3" s="1"/>
      <c r="S3" s="64" t="s">
        <v>219</v>
      </c>
      <c r="T3" s="1" t="s">
        <v>68</v>
      </c>
      <c r="U3" s="1" t="s">
        <v>220</v>
      </c>
      <c r="V3" s="1" t="s">
        <v>221</v>
      </c>
      <c r="W3" s="1" t="s">
        <v>222</v>
      </c>
      <c r="X3" s="1" t="s">
        <v>223</v>
      </c>
      <c r="Y3" s="64" t="s">
        <v>224</v>
      </c>
      <c r="Z3" s="1" t="s">
        <v>72</v>
      </c>
      <c r="AA3" s="1" t="s">
        <v>225</v>
      </c>
      <c r="AB3" s="1" t="s">
        <v>226</v>
      </c>
      <c r="AC3" s="64" t="s">
        <v>227</v>
      </c>
      <c r="AD3" s="1" t="s">
        <v>228</v>
      </c>
      <c r="AE3" s="1" t="s">
        <v>77</v>
      </c>
      <c r="AF3" s="1" t="s">
        <v>229</v>
      </c>
      <c r="AG3" s="65" t="s">
        <v>230</v>
      </c>
      <c r="AH3" s="1"/>
      <c r="AI3" s="1"/>
      <c r="AJ3" s="1"/>
      <c r="AK3" s="1"/>
      <c r="AL3" s="154" t="s">
        <v>231</v>
      </c>
      <c r="AM3" s="154"/>
      <c r="AN3" s="154"/>
      <c r="AO3" s="154" t="s">
        <v>232</v>
      </c>
      <c r="AP3" s="154"/>
      <c r="AQ3" s="154"/>
      <c r="AR3" s="15"/>
      <c r="AS3" s="15"/>
      <c r="AT3" s="15"/>
      <c r="AU3" s="15"/>
      <c r="AV3" s="15"/>
      <c r="AW3" s="15"/>
      <c r="AX3" s="15"/>
      <c r="AY3" s="15"/>
      <c r="AZ3" s="15"/>
      <c r="BA3" s="1"/>
      <c r="BB3" s="1"/>
      <c r="BC3" s="15"/>
    </row>
    <row r="4" spans="1:55" x14ac:dyDescent="0.5">
      <c r="A4" s="1" t="s">
        <v>59</v>
      </c>
      <c r="B4" s="1"/>
      <c r="C4" s="1" t="s">
        <v>67</v>
      </c>
      <c r="D4" s="1" t="s">
        <v>233</v>
      </c>
      <c r="E4" s="1" t="s">
        <v>234</v>
      </c>
      <c r="F4" s="1"/>
      <c r="G4" s="1" t="s">
        <v>214</v>
      </c>
      <c r="H4" s="1" t="s">
        <v>214</v>
      </c>
      <c r="I4" s="1" t="s">
        <v>214</v>
      </c>
      <c r="J4" s="1"/>
      <c r="K4" s="1"/>
      <c r="L4" s="1" t="s">
        <v>235</v>
      </c>
      <c r="M4" s="1" t="s">
        <v>169</v>
      </c>
      <c r="N4" s="1" t="s">
        <v>73</v>
      </c>
      <c r="O4" s="1" t="s">
        <v>236</v>
      </c>
      <c r="P4" s="1" t="s">
        <v>237</v>
      </c>
      <c r="Q4" s="1" t="s">
        <v>238</v>
      </c>
      <c r="R4" s="1"/>
      <c r="S4" s="64" t="s">
        <v>235</v>
      </c>
      <c r="T4" s="1" t="s">
        <v>169</v>
      </c>
      <c r="U4" s="1" t="s">
        <v>73</v>
      </c>
      <c r="V4" s="1" t="s">
        <v>236</v>
      </c>
      <c r="W4" s="1" t="s">
        <v>237</v>
      </c>
      <c r="X4" s="1" t="s">
        <v>238</v>
      </c>
      <c r="Y4" s="64" t="s">
        <v>239</v>
      </c>
      <c r="Z4" s="1" t="s">
        <v>240</v>
      </c>
      <c r="AA4" s="1" t="s">
        <v>241</v>
      </c>
      <c r="AB4" s="1" t="s">
        <v>242</v>
      </c>
      <c r="AC4" s="64" t="s">
        <v>243</v>
      </c>
      <c r="AD4" s="1" t="s">
        <v>239</v>
      </c>
      <c r="AE4" s="1" t="s">
        <v>243</v>
      </c>
      <c r="AF4" s="1" t="s">
        <v>244</v>
      </c>
      <c r="AG4" s="65" t="s">
        <v>245</v>
      </c>
      <c r="AH4" s="1"/>
      <c r="AI4" s="1"/>
      <c r="AJ4" s="1"/>
      <c r="AK4" s="1"/>
      <c r="AL4" s="16" t="s">
        <v>246</v>
      </c>
      <c r="AM4" s="16" t="s">
        <v>247</v>
      </c>
      <c r="AN4" s="16" t="s">
        <v>248</v>
      </c>
      <c r="AO4" s="16" t="s">
        <v>249</v>
      </c>
      <c r="AP4" s="17" t="s">
        <v>250</v>
      </c>
      <c r="AQ4" s="16" t="s">
        <v>251</v>
      </c>
      <c r="AR4" s="15"/>
      <c r="AS4" s="15"/>
      <c r="AT4" s="1" t="s">
        <v>252</v>
      </c>
      <c r="AU4" s="1" t="s">
        <v>253</v>
      </c>
      <c r="AV4" s="1" t="s">
        <v>254</v>
      </c>
      <c r="AW4" s="1" t="s">
        <v>255</v>
      </c>
      <c r="AX4" s="1" t="s">
        <v>256</v>
      </c>
      <c r="AY4" s="1" t="s">
        <v>257</v>
      </c>
      <c r="AZ4" s="15"/>
      <c r="BA4" s="1"/>
      <c r="BB4" s="1"/>
      <c r="BC4" s="15"/>
    </row>
    <row r="5" spans="1:55" x14ac:dyDescent="0.5">
      <c r="A5" s="1" t="s">
        <v>66</v>
      </c>
      <c r="B5" s="1"/>
      <c r="C5" s="1" t="s">
        <v>71</v>
      </c>
      <c r="D5" s="1" t="s">
        <v>258</v>
      </c>
      <c r="E5" s="1" t="s">
        <v>259</v>
      </c>
      <c r="F5" s="1"/>
      <c r="G5" s="1" t="s">
        <v>61</v>
      </c>
      <c r="H5" s="1" t="s">
        <v>61</v>
      </c>
      <c r="I5" s="1" t="s">
        <v>61</v>
      </c>
      <c r="J5" s="1"/>
      <c r="K5" s="1"/>
      <c r="L5" s="1" t="s">
        <v>260</v>
      </c>
      <c r="M5" s="1" t="s">
        <v>261</v>
      </c>
      <c r="N5" s="1" t="s">
        <v>262</v>
      </c>
      <c r="O5" s="1" t="s">
        <v>37</v>
      </c>
      <c r="P5" s="1" t="s">
        <v>166</v>
      </c>
      <c r="Q5" s="1" t="s">
        <v>263</v>
      </c>
      <c r="R5" s="1"/>
      <c r="S5" s="64" t="s">
        <v>260</v>
      </c>
      <c r="T5" s="1" t="s">
        <v>261</v>
      </c>
      <c r="U5" s="1" t="s">
        <v>262</v>
      </c>
      <c r="V5" s="1" t="s">
        <v>37</v>
      </c>
      <c r="W5" s="1" t="s">
        <v>166</v>
      </c>
      <c r="X5" s="1" t="s">
        <v>263</v>
      </c>
      <c r="Y5" s="64" t="s">
        <v>237</v>
      </c>
      <c r="Z5" s="1" t="s">
        <v>236</v>
      </c>
      <c r="AA5" s="1" t="s">
        <v>264</v>
      </c>
      <c r="AB5" s="1" t="s">
        <v>265</v>
      </c>
      <c r="AC5" s="64" t="s">
        <v>266</v>
      </c>
      <c r="AD5" s="1" t="s">
        <v>267</v>
      </c>
      <c r="AE5" s="66" t="s">
        <v>268</v>
      </c>
      <c r="AF5" s="1" t="s">
        <v>269</v>
      </c>
      <c r="AG5" s="65" t="s">
        <v>270</v>
      </c>
      <c r="AH5" s="1"/>
      <c r="AI5" s="1"/>
      <c r="AJ5" s="1"/>
      <c r="AK5" s="1"/>
      <c r="AL5" s="18" t="s">
        <v>271</v>
      </c>
      <c r="AM5" s="18" t="s">
        <v>272</v>
      </c>
      <c r="AN5" s="18" t="s">
        <v>264</v>
      </c>
      <c r="AO5" s="18" t="s">
        <v>273</v>
      </c>
      <c r="AP5" s="18" t="s">
        <v>237</v>
      </c>
      <c r="AQ5" s="18" t="s">
        <v>175</v>
      </c>
      <c r="AR5" s="18"/>
      <c r="AS5" s="18"/>
      <c r="AT5" s="19" t="s">
        <v>271</v>
      </c>
      <c r="AU5" s="20" t="s">
        <v>169</v>
      </c>
      <c r="AV5" s="19" t="s">
        <v>273</v>
      </c>
      <c r="AW5" s="19" t="s">
        <v>264</v>
      </c>
      <c r="AX5" s="20" t="s">
        <v>243</v>
      </c>
      <c r="AY5" s="20" t="s">
        <v>243</v>
      </c>
      <c r="AZ5" s="18"/>
      <c r="BA5" s="1"/>
      <c r="BB5" s="1"/>
      <c r="BC5" s="18"/>
    </row>
    <row r="6" spans="1:55" x14ac:dyDescent="0.5">
      <c r="A6" s="1" t="s">
        <v>210</v>
      </c>
      <c r="B6" s="1"/>
      <c r="C6" s="1" t="s">
        <v>76</v>
      </c>
      <c r="D6" s="1" t="s">
        <v>274</v>
      </c>
      <c r="E6" s="1" t="s">
        <v>275</v>
      </c>
      <c r="F6" s="1"/>
      <c r="G6" s="1" t="s">
        <v>215</v>
      </c>
      <c r="H6" s="1" t="s">
        <v>215</v>
      </c>
      <c r="I6" s="1" t="s">
        <v>215</v>
      </c>
      <c r="J6" s="1"/>
      <c r="K6" s="1"/>
      <c r="L6" s="1" t="s">
        <v>276</v>
      </c>
      <c r="M6" s="1" t="s">
        <v>277</v>
      </c>
      <c r="N6" s="1" t="s">
        <v>278</v>
      </c>
      <c r="O6" s="1" t="s">
        <v>279</v>
      </c>
      <c r="P6" s="1" t="s">
        <v>242</v>
      </c>
      <c r="Q6" s="1" t="s">
        <v>280</v>
      </c>
      <c r="R6" s="1"/>
      <c r="S6" s="64" t="s">
        <v>276</v>
      </c>
      <c r="T6" s="1" t="s">
        <v>277</v>
      </c>
      <c r="U6" s="1" t="s">
        <v>278</v>
      </c>
      <c r="V6" s="1" t="s">
        <v>279</v>
      </c>
      <c r="W6" s="1" t="s">
        <v>242</v>
      </c>
      <c r="X6" s="1" t="s">
        <v>280</v>
      </c>
      <c r="Y6" s="64" t="s">
        <v>281</v>
      </c>
      <c r="Z6" s="1" t="s">
        <v>281</v>
      </c>
      <c r="AA6" s="1" t="s">
        <v>237</v>
      </c>
      <c r="AB6" s="1" t="s">
        <v>272</v>
      </c>
      <c r="AC6" s="64" t="s">
        <v>282</v>
      </c>
      <c r="AD6" s="1" t="s">
        <v>271</v>
      </c>
      <c r="AE6" s="1" t="s">
        <v>271</v>
      </c>
      <c r="AF6" s="1" t="s">
        <v>242</v>
      </c>
      <c r="AG6" s="65" t="s">
        <v>283</v>
      </c>
      <c r="AH6" s="1"/>
      <c r="AI6" s="1"/>
      <c r="AJ6" s="1"/>
      <c r="AK6" s="1"/>
      <c r="AL6" s="18" t="s">
        <v>276</v>
      </c>
      <c r="AM6" s="18" t="s">
        <v>284</v>
      </c>
      <c r="AN6" s="18" t="s">
        <v>273</v>
      </c>
      <c r="AO6" s="18" t="s">
        <v>236</v>
      </c>
      <c r="AP6" s="18" t="s">
        <v>285</v>
      </c>
      <c r="AQ6" s="18" t="s">
        <v>286</v>
      </c>
      <c r="AR6" s="18"/>
      <c r="AS6" s="18"/>
      <c r="AT6" s="21" t="s">
        <v>276</v>
      </c>
      <c r="AU6" s="22" t="s">
        <v>261</v>
      </c>
      <c r="AV6" s="20" t="s">
        <v>236</v>
      </c>
      <c r="AW6" s="21" t="s">
        <v>273</v>
      </c>
      <c r="AX6" s="22" t="s">
        <v>244</v>
      </c>
      <c r="AY6" s="20" t="s">
        <v>268</v>
      </c>
      <c r="AZ6" s="18"/>
      <c r="BA6" s="1"/>
      <c r="BB6" s="1"/>
      <c r="BC6" s="18"/>
    </row>
    <row r="7" spans="1:55" x14ac:dyDescent="0.5">
      <c r="A7" s="1" t="s">
        <v>211</v>
      </c>
      <c r="B7" s="1"/>
      <c r="C7" s="1"/>
      <c r="D7" s="1" t="s">
        <v>287</v>
      </c>
      <c r="E7" s="1"/>
      <c r="F7" s="1"/>
      <c r="G7" s="1" t="s">
        <v>216</v>
      </c>
      <c r="H7" s="1" t="s">
        <v>216</v>
      </c>
      <c r="I7" s="1" t="s">
        <v>216</v>
      </c>
      <c r="J7" s="1"/>
      <c r="K7" s="1"/>
      <c r="L7" s="1" t="s">
        <v>288</v>
      </c>
      <c r="M7" s="1" t="s">
        <v>170</v>
      </c>
      <c r="N7" s="1" t="s">
        <v>289</v>
      </c>
      <c r="O7" s="1" t="s">
        <v>290</v>
      </c>
      <c r="P7" s="1" t="s">
        <v>242</v>
      </c>
      <c r="Q7" s="1" t="s">
        <v>291</v>
      </c>
      <c r="R7" s="1"/>
      <c r="S7" s="64" t="s">
        <v>288</v>
      </c>
      <c r="T7" s="1" t="s">
        <v>170</v>
      </c>
      <c r="U7" s="1" t="s">
        <v>289</v>
      </c>
      <c r="V7" s="1" t="s">
        <v>290</v>
      </c>
      <c r="W7" s="1" t="s">
        <v>242</v>
      </c>
      <c r="X7" s="1" t="s">
        <v>291</v>
      </c>
      <c r="Y7" s="64" t="s">
        <v>291</v>
      </c>
      <c r="Z7" s="1" t="s">
        <v>292</v>
      </c>
      <c r="AA7" s="1" t="s">
        <v>281</v>
      </c>
      <c r="AB7" s="1" t="s">
        <v>293</v>
      </c>
      <c r="AC7" s="64" t="s">
        <v>73</v>
      </c>
      <c r="AD7" s="1" t="s">
        <v>294</v>
      </c>
      <c r="AE7" s="1" t="s">
        <v>295</v>
      </c>
      <c r="AF7" s="1" t="s">
        <v>296</v>
      </c>
      <c r="AG7" s="65" t="s">
        <v>297</v>
      </c>
      <c r="AH7" s="1"/>
      <c r="AI7" s="1"/>
      <c r="AJ7" s="1"/>
      <c r="AK7" s="1"/>
      <c r="AL7" s="18" t="s">
        <v>298</v>
      </c>
      <c r="AM7" s="18" t="s">
        <v>299</v>
      </c>
      <c r="AN7" s="18" t="s">
        <v>279</v>
      </c>
      <c r="AO7" s="18" t="s">
        <v>300</v>
      </c>
      <c r="AP7" s="18" t="s">
        <v>283</v>
      </c>
      <c r="AQ7" s="18" t="s">
        <v>301</v>
      </c>
      <c r="AR7" s="18"/>
      <c r="AS7" s="18"/>
      <c r="AT7" s="19" t="s">
        <v>298</v>
      </c>
      <c r="AU7" s="1" t="s">
        <v>272</v>
      </c>
      <c r="AV7" s="22" t="s">
        <v>37</v>
      </c>
      <c r="AW7" s="20" t="s">
        <v>73</v>
      </c>
      <c r="AX7" s="20" t="s">
        <v>268</v>
      </c>
      <c r="AY7" s="20" t="s">
        <v>270</v>
      </c>
      <c r="AZ7" s="18"/>
      <c r="BA7" s="1"/>
      <c r="BB7" s="1"/>
      <c r="BC7" s="18"/>
    </row>
    <row r="8" spans="1:55" x14ac:dyDescent="0.5">
      <c r="A8" s="1"/>
      <c r="B8" s="1"/>
      <c r="C8" s="1"/>
      <c r="D8" s="1"/>
      <c r="E8" s="1"/>
      <c r="F8" s="1"/>
      <c r="G8" s="1" t="s">
        <v>217</v>
      </c>
      <c r="H8" s="1" t="s">
        <v>217</v>
      </c>
      <c r="I8" s="1" t="s">
        <v>217</v>
      </c>
      <c r="J8" s="1"/>
      <c r="K8" s="1"/>
      <c r="L8" s="1" t="s">
        <v>302</v>
      </c>
      <c r="M8" s="1" t="s">
        <v>303</v>
      </c>
      <c r="N8" s="1" t="s">
        <v>171</v>
      </c>
      <c r="O8" s="1" t="s">
        <v>284</v>
      </c>
      <c r="P8" s="1" t="s">
        <v>304</v>
      </c>
      <c r="Q8" s="1" t="s">
        <v>305</v>
      </c>
      <c r="R8" s="1"/>
      <c r="S8" s="64" t="s">
        <v>302</v>
      </c>
      <c r="T8" s="1" t="s">
        <v>303</v>
      </c>
      <c r="U8" s="1" t="s">
        <v>171</v>
      </c>
      <c r="V8" s="1" t="s">
        <v>284</v>
      </c>
      <c r="W8" s="1" t="s">
        <v>304</v>
      </c>
      <c r="X8" s="1" t="s">
        <v>305</v>
      </c>
      <c r="Y8" s="64" t="s">
        <v>37</v>
      </c>
      <c r="Z8" s="1" t="s">
        <v>73</v>
      </c>
      <c r="AA8" s="1" t="s">
        <v>306</v>
      </c>
      <c r="AB8" s="1" t="s">
        <v>307</v>
      </c>
      <c r="AC8" s="64" t="s">
        <v>308</v>
      </c>
      <c r="AD8" s="66" t="s">
        <v>167</v>
      </c>
      <c r="AE8" s="1" t="s">
        <v>309</v>
      </c>
      <c r="AF8" s="1" t="s">
        <v>310</v>
      </c>
      <c r="AG8" s="65" t="s">
        <v>290</v>
      </c>
      <c r="AH8" s="1"/>
      <c r="AI8" s="1"/>
      <c r="AJ8" s="1"/>
      <c r="AK8" s="1"/>
      <c r="AL8" s="18" t="s">
        <v>302</v>
      </c>
      <c r="AM8" s="18" t="s">
        <v>311</v>
      </c>
      <c r="AN8" s="18" t="s">
        <v>290</v>
      </c>
      <c r="AO8" s="18" t="s">
        <v>312</v>
      </c>
      <c r="AP8" s="18" t="s">
        <v>313</v>
      </c>
      <c r="AQ8" s="18" t="s">
        <v>314</v>
      </c>
      <c r="AR8" s="18"/>
      <c r="AS8" s="18"/>
      <c r="AT8" s="21" t="s">
        <v>302</v>
      </c>
      <c r="AU8" s="20" t="s">
        <v>277</v>
      </c>
      <c r="AV8" s="20" t="s">
        <v>73</v>
      </c>
      <c r="AW8" s="19" t="s">
        <v>279</v>
      </c>
      <c r="AX8" s="22" t="s">
        <v>270</v>
      </c>
      <c r="AY8" s="20" t="s">
        <v>295</v>
      </c>
      <c r="AZ8" s="18"/>
      <c r="BA8" s="1"/>
      <c r="BB8" s="1"/>
      <c r="BC8" s="18"/>
    </row>
    <row r="9" spans="1:55" x14ac:dyDescent="0.5">
      <c r="A9" s="1"/>
      <c r="B9" s="1"/>
      <c r="C9" s="1"/>
      <c r="D9" s="1"/>
      <c r="E9" s="1"/>
      <c r="F9" s="1"/>
      <c r="G9" s="1" t="s">
        <v>218</v>
      </c>
      <c r="H9" s="1" t="s">
        <v>218</v>
      </c>
      <c r="I9" s="1" t="s">
        <v>218</v>
      </c>
      <c r="J9" s="1"/>
      <c r="K9" s="1"/>
      <c r="L9" s="1" t="s">
        <v>174</v>
      </c>
      <c r="M9" s="1" t="s">
        <v>315</v>
      </c>
      <c r="N9" s="1" t="s">
        <v>316</v>
      </c>
      <c r="O9" s="1" t="s">
        <v>310</v>
      </c>
      <c r="P9" s="1" t="s">
        <v>317</v>
      </c>
      <c r="Q9" s="1" t="s">
        <v>167</v>
      </c>
      <c r="R9" s="1"/>
      <c r="S9" s="64" t="s">
        <v>174</v>
      </c>
      <c r="T9" s="1" t="s">
        <v>315</v>
      </c>
      <c r="U9" s="66" t="s">
        <v>316</v>
      </c>
      <c r="V9" s="1" t="s">
        <v>310</v>
      </c>
      <c r="W9" s="1" t="s">
        <v>317</v>
      </c>
      <c r="X9" s="1" t="s">
        <v>167</v>
      </c>
      <c r="Y9" s="64" t="s">
        <v>73</v>
      </c>
      <c r="Z9" s="1" t="s">
        <v>242</v>
      </c>
      <c r="AA9" s="1" t="s">
        <v>318</v>
      </c>
      <c r="AB9" s="1" t="s">
        <v>289</v>
      </c>
      <c r="AC9" s="64" t="s">
        <v>308</v>
      </c>
      <c r="AD9" s="1" t="s">
        <v>319</v>
      </c>
      <c r="AE9" s="1" t="s">
        <v>320</v>
      </c>
      <c r="AF9" s="1" t="s">
        <v>321</v>
      </c>
      <c r="AG9" s="65" t="s">
        <v>322</v>
      </c>
      <c r="AH9" s="1"/>
      <c r="AI9" s="1"/>
      <c r="AJ9" s="1"/>
      <c r="AK9" s="1"/>
      <c r="AL9" s="18" t="s">
        <v>174</v>
      </c>
      <c r="AM9" s="18" t="s">
        <v>323</v>
      </c>
      <c r="AN9" s="18" t="s">
        <v>296</v>
      </c>
      <c r="AO9" s="18" t="s">
        <v>290</v>
      </c>
      <c r="AP9" s="18" t="s">
        <v>324</v>
      </c>
      <c r="AQ9" s="18" t="s">
        <v>325</v>
      </c>
      <c r="AR9" s="18"/>
      <c r="AS9" s="18"/>
      <c r="AT9" s="19" t="s">
        <v>174</v>
      </c>
      <c r="AU9" s="21" t="s">
        <v>284</v>
      </c>
      <c r="AV9" s="20" t="s">
        <v>300</v>
      </c>
      <c r="AW9" s="22" t="s">
        <v>262</v>
      </c>
      <c r="AX9" s="22" t="s">
        <v>271</v>
      </c>
      <c r="AY9" s="22" t="s">
        <v>309</v>
      </c>
      <c r="AZ9" s="18"/>
      <c r="BA9" s="1"/>
      <c r="BB9" s="1"/>
      <c r="BC9" s="18"/>
    </row>
    <row r="10" spans="1:55" x14ac:dyDescent="0.5">
      <c r="A10" s="1"/>
      <c r="B10" s="1"/>
      <c r="C10" s="1"/>
      <c r="D10" s="1"/>
      <c r="E10" s="1"/>
      <c r="F10" s="1"/>
      <c r="G10" s="1"/>
      <c r="H10" s="1"/>
      <c r="I10" s="1"/>
      <c r="J10" s="1"/>
      <c r="K10" s="1"/>
      <c r="L10" s="1" t="s">
        <v>326</v>
      </c>
      <c r="M10" s="1" t="s">
        <v>327</v>
      </c>
      <c r="N10" s="1" t="s">
        <v>311</v>
      </c>
      <c r="O10" s="1" t="s">
        <v>299</v>
      </c>
      <c r="P10" s="1" t="s">
        <v>279</v>
      </c>
      <c r="Q10" s="1" t="s">
        <v>168</v>
      </c>
      <c r="R10" s="1"/>
      <c r="S10" s="64" t="s">
        <v>326</v>
      </c>
      <c r="T10" s="1" t="s">
        <v>327</v>
      </c>
      <c r="U10" s="1" t="s">
        <v>311</v>
      </c>
      <c r="V10" s="1" t="s">
        <v>299</v>
      </c>
      <c r="W10" s="1" t="s">
        <v>279</v>
      </c>
      <c r="X10" s="1" t="s">
        <v>168</v>
      </c>
      <c r="Y10" s="64" t="s">
        <v>328</v>
      </c>
      <c r="Z10" s="1" t="s">
        <v>307</v>
      </c>
      <c r="AA10" s="1" t="s">
        <v>307</v>
      </c>
      <c r="AB10" s="1" t="s">
        <v>171</v>
      </c>
      <c r="AC10" s="64" t="s">
        <v>329</v>
      </c>
      <c r="AD10" s="1" t="s">
        <v>272</v>
      </c>
      <c r="AE10" s="1" t="s">
        <v>283</v>
      </c>
      <c r="AF10" s="1" t="s">
        <v>330</v>
      </c>
      <c r="AG10" s="65" t="s">
        <v>331</v>
      </c>
      <c r="AH10" s="1"/>
      <c r="AI10" s="1"/>
      <c r="AJ10" s="1"/>
      <c r="AK10" s="1"/>
      <c r="AL10" s="18" t="s">
        <v>326</v>
      </c>
      <c r="AM10" s="18" t="s">
        <v>332</v>
      </c>
      <c r="AN10" s="18" t="s">
        <v>333</v>
      </c>
      <c r="AO10" s="18" t="s">
        <v>334</v>
      </c>
      <c r="AP10" s="18" t="s">
        <v>278</v>
      </c>
      <c r="AQ10" s="18" t="s">
        <v>188</v>
      </c>
      <c r="AR10" s="18"/>
      <c r="AS10" s="18"/>
      <c r="AT10" s="21" t="s">
        <v>326</v>
      </c>
      <c r="AU10" s="22" t="s">
        <v>170</v>
      </c>
      <c r="AV10" s="22" t="s">
        <v>312</v>
      </c>
      <c r="AW10" s="21" t="s">
        <v>290</v>
      </c>
      <c r="AX10" s="22" t="s">
        <v>295</v>
      </c>
      <c r="AY10" s="20" t="s">
        <v>320</v>
      </c>
      <c r="AZ10" s="18"/>
      <c r="BA10" s="1"/>
      <c r="BB10" s="1"/>
      <c r="BC10" s="18"/>
    </row>
    <row r="11" spans="1:55" x14ac:dyDescent="0.5">
      <c r="A11" s="1"/>
      <c r="B11" s="1"/>
      <c r="C11" s="1"/>
      <c r="D11" s="1"/>
      <c r="E11" s="1"/>
      <c r="F11" s="1"/>
      <c r="G11" s="1" t="s">
        <v>233</v>
      </c>
      <c r="H11" s="1" t="s">
        <v>258</v>
      </c>
      <c r="I11" s="1" t="s">
        <v>335</v>
      </c>
      <c r="J11" s="1" t="s">
        <v>287</v>
      </c>
      <c r="K11" s="1"/>
      <c r="L11" s="1" t="s">
        <v>311</v>
      </c>
      <c r="M11" s="1" t="s">
        <v>336</v>
      </c>
      <c r="N11" s="1" t="s">
        <v>337</v>
      </c>
      <c r="O11" s="1" t="s">
        <v>315</v>
      </c>
      <c r="P11" s="1" t="s">
        <v>289</v>
      </c>
      <c r="Q11" s="1" t="s">
        <v>338</v>
      </c>
      <c r="R11" s="1"/>
      <c r="S11" s="64" t="s">
        <v>311</v>
      </c>
      <c r="T11" s="1" t="s">
        <v>336</v>
      </c>
      <c r="U11" s="1" t="s">
        <v>337</v>
      </c>
      <c r="V11" s="1" t="s">
        <v>315</v>
      </c>
      <c r="W11" s="1" t="s">
        <v>289</v>
      </c>
      <c r="X11" s="1" t="s">
        <v>338</v>
      </c>
      <c r="Y11" s="64" t="s">
        <v>242</v>
      </c>
      <c r="Z11" s="1" t="s">
        <v>171</v>
      </c>
      <c r="AA11" s="1" t="s">
        <v>339</v>
      </c>
      <c r="AB11" s="1" t="s">
        <v>340</v>
      </c>
      <c r="AC11" s="74" t="s">
        <v>297</v>
      </c>
      <c r="AD11" s="1" t="s">
        <v>322</v>
      </c>
      <c r="AE11" s="1" t="s">
        <v>308</v>
      </c>
      <c r="AF11" s="67" t="s">
        <v>174</v>
      </c>
      <c r="AG11" s="65" t="s">
        <v>341</v>
      </c>
      <c r="AH11" s="1"/>
      <c r="AI11" s="1"/>
      <c r="AJ11" s="1"/>
      <c r="AK11" s="1"/>
      <c r="AL11" s="18" t="s">
        <v>342</v>
      </c>
      <c r="AM11" s="18" t="s">
        <v>343</v>
      </c>
      <c r="AN11" s="18" t="s">
        <v>311</v>
      </c>
      <c r="AO11" s="18" t="s">
        <v>284</v>
      </c>
      <c r="AP11" s="18" t="s">
        <v>284</v>
      </c>
      <c r="AQ11" s="18" t="s">
        <v>344</v>
      </c>
      <c r="AR11" s="18"/>
      <c r="AS11" s="18"/>
      <c r="AT11" s="19" t="s">
        <v>342</v>
      </c>
      <c r="AU11" s="19" t="s">
        <v>299</v>
      </c>
      <c r="AV11" s="20" t="s">
        <v>279</v>
      </c>
      <c r="AW11" s="20" t="s">
        <v>278</v>
      </c>
      <c r="AX11" s="22" t="s">
        <v>309</v>
      </c>
      <c r="AY11" s="20" t="s">
        <v>269</v>
      </c>
      <c r="AZ11" s="18"/>
      <c r="BA11" s="1"/>
      <c r="BB11" s="1"/>
      <c r="BC11" s="18"/>
    </row>
    <row r="12" spans="1:55" x14ac:dyDescent="0.5">
      <c r="A12" s="1"/>
      <c r="B12" s="1"/>
      <c r="C12" s="1"/>
      <c r="D12" s="1"/>
      <c r="E12" s="1"/>
      <c r="F12" s="1"/>
      <c r="G12" s="1" t="s">
        <v>246</v>
      </c>
      <c r="H12" s="1" t="s">
        <v>246</v>
      </c>
      <c r="I12" s="1" t="s">
        <v>246</v>
      </c>
      <c r="J12" s="1" t="s">
        <v>246</v>
      </c>
      <c r="K12" s="1"/>
      <c r="L12" s="1" t="s">
        <v>345</v>
      </c>
      <c r="M12" s="1" t="s">
        <v>345</v>
      </c>
      <c r="N12" s="1" t="s">
        <v>346</v>
      </c>
      <c r="O12" s="1" t="s">
        <v>321</v>
      </c>
      <c r="P12" s="1" t="s">
        <v>347</v>
      </c>
      <c r="Q12" s="1" t="s">
        <v>279</v>
      </c>
      <c r="R12" s="1"/>
      <c r="S12" s="64" t="s">
        <v>345</v>
      </c>
      <c r="T12" s="1" t="s">
        <v>345</v>
      </c>
      <c r="U12" s="1" t="s">
        <v>346</v>
      </c>
      <c r="V12" s="1" t="s">
        <v>321</v>
      </c>
      <c r="W12" s="1" t="s">
        <v>347</v>
      </c>
      <c r="X12" s="1" t="s">
        <v>279</v>
      </c>
      <c r="Y12" s="64" t="s">
        <v>167</v>
      </c>
      <c r="Z12" s="1" t="s">
        <v>348</v>
      </c>
      <c r="AA12" s="1" t="s">
        <v>349</v>
      </c>
      <c r="AB12" s="1" t="s">
        <v>350</v>
      </c>
      <c r="AC12" s="64" t="s">
        <v>272</v>
      </c>
      <c r="AD12" s="1" t="s">
        <v>170</v>
      </c>
      <c r="AE12" s="1" t="s">
        <v>294</v>
      </c>
      <c r="AF12" s="67" t="s">
        <v>351</v>
      </c>
      <c r="AG12" s="65" t="s">
        <v>171</v>
      </c>
      <c r="AH12" s="1"/>
      <c r="AI12" s="1"/>
      <c r="AJ12" s="1"/>
      <c r="AK12" s="1"/>
      <c r="AL12" s="18" t="s">
        <v>352</v>
      </c>
      <c r="AM12" s="18" t="s">
        <v>353</v>
      </c>
      <c r="AN12" s="18" t="s">
        <v>175</v>
      </c>
      <c r="AO12" s="18" t="s">
        <v>354</v>
      </c>
      <c r="AP12" s="18" t="s">
        <v>355</v>
      </c>
      <c r="AQ12" s="18" t="s">
        <v>356</v>
      </c>
      <c r="AR12" s="18"/>
      <c r="AS12" s="18"/>
      <c r="AT12" s="21" t="s">
        <v>352</v>
      </c>
      <c r="AU12" s="20" t="s">
        <v>303</v>
      </c>
      <c r="AV12" s="22" t="s">
        <v>262</v>
      </c>
      <c r="AW12" s="22" t="s">
        <v>289</v>
      </c>
      <c r="AX12" s="20" t="s">
        <v>320</v>
      </c>
      <c r="AY12" s="22" t="s">
        <v>308</v>
      </c>
      <c r="AZ12" s="18"/>
      <c r="BA12" s="1"/>
      <c r="BB12" s="1"/>
      <c r="BC12" s="18"/>
    </row>
    <row r="13" spans="1:55" x14ac:dyDescent="0.5">
      <c r="A13" s="1"/>
      <c r="B13" s="1"/>
      <c r="C13" s="1"/>
      <c r="D13" s="1"/>
      <c r="E13" s="1"/>
      <c r="F13" s="1"/>
      <c r="G13" s="1" t="s">
        <v>247</v>
      </c>
      <c r="H13" s="1" t="s">
        <v>247</v>
      </c>
      <c r="I13" s="1" t="s">
        <v>247</v>
      </c>
      <c r="J13" s="1" t="s">
        <v>247</v>
      </c>
      <c r="K13" s="1"/>
      <c r="L13" s="1" t="s">
        <v>352</v>
      </c>
      <c r="M13" s="1" t="s">
        <v>351</v>
      </c>
      <c r="N13" s="1" t="s">
        <v>357</v>
      </c>
      <c r="O13" s="1" t="s">
        <v>336</v>
      </c>
      <c r="P13" s="1" t="s">
        <v>358</v>
      </c>
      <c r="Q13" s="1" t="s">
        <v>359</v>
      </c>
      <c r="R13" s="1"/>
      <c r="S13" s="64" t="s">
        <v>352</v>
      </c>
      <c r="T13" s="1" t="s">
        <v>351</v>
      </c>
      <c r="U13" s="1" t="s">
        <v>357</v>
      </c>
      <c r="V13" s="1" t="s">
        <v>336</v>
      </c>
      <c r="W13" s="1" t="s">
        <v>358</v>
      </c>
      <c r="X13" s="1" t="s">
        <v>359</v>
      </c>
      <c r="Y13" s="64" t="s">
        <v>360</v>
      </c>
      <c r="Z13" s="1" t="s">
        <v>346</v>
      </c>
      <c r="AA13" s="1" t="s">
        <v>361</v>
      </c>
      <c r="AB13" s="1" t="s">
        <v>362</v>
      </c>
      <c r="AC13" s="64" t="s">
        <v>171</v>
      </c>
      <c r="AD13" s="1" t="s">
        <v>172</v>
      </c>
      <c r="AE13" s="1" t="s">
        <v>363</v>
      </c>
      <c r="AF13" s="67" t="s">
        <v>337</v>
      </c>
      <c r="AG13" s="65" t="s">
        <v>364</v>
      </c>
      <c r="AH13" s="1"/>
      <c r="AI13" s="1"/>
      <c r="AJ13" s="1"/>
      <c r="AK13" s="1"/>
      <c r="AL13" s="18" t="s">
        <v>365</v>
      </c>
      <c r="AM13" s="18" t="s">
        <v>366</v>
      </c>
      <c r="AN13" s="18" t="s">
        <v>367</v>
      </c>
      <c r="AO13" s="18" t="s">
        <v>368</v>
      </c>
      <c r="AP13" s="18" t="s">
        <v>289</v>
      </c>
      <c r="AQ13" s="18" t="s">
        <v>369</v>
      </c>
      <c r="AR13" s="18"/>
      <c r="AS13" s="18"/>
      <c r="AT13" s="19" t="s">
        <v>365</v>
      </c>
      <c r="AU13" s="22" t="s">
        <v>315</v>
      </c>
      <c r="AV13" s="22" t="s">
        <v>290</v>
      </c>
      <c r="AW13" s="20" t="s">
        <v>171</v>
      </c>
      <c r="AX13" s="22" t="s">
        <v>269</v>
      </c>
      <c r="AY13" s="20" t="s">
        <v>294</v>
      </c>
      <c r="AZ13" s="18"/>
      <c r="BA13" s="1"/>
      <c r="BB13" s="1"/>
      <c r="BC13" s="18"/>
    </row>
    <row r="14" spans="1:55" x14ac:dyDescent="0.5">
      <c r="A14" s="1"/>
      <c r="B14" s="1"/>
      <c r="C14" s="1"/>
      <c r="D14" s="1"/>
      <c r="E14" s="1"/>
      <c r="F14" s="1"/>
      <c r="G14" s="1" t="s">
        <v>248</v>
      </c>
      <c r="H14" s="1" t="s">
        <v>248</v>
      </c>
      <c r="I14" s="1" t="s">
        <v>248</v>
      </c>
      <c r="J14" s="1" t="s">
        <v>248</v>
      </c>
      <c r="K14" s="1"/>
      <c r="L14" s="1" t="s">
        <v>370</v>
      </c>
      <c r="M14" s="1" t="s">
        <v>346</v>
      </c>
      <c r="N14" s="1" t="s">
        <v>177</v>
      </c>
      <c r="O14" s="1" t="s">
        <v>371</v>
      </c>
      <c r="P14" s="1" t="s">
        <v>296</v>
      </c>
      <c r="Q14" s="1" t="s">
        <v>372</v>
      </c>
      <c r="R14" s="1"/>
      <c r="S14" s="64" t="s">
        <v>370</v>
      </c>
      <c r="T14" s="1" t="s">
        <v>346</v>
      </c>
      <c r="U14" s="77" t="s">
        <v>177</v>
      </c>
      <c r="V14" s="1" t="s">
        <v>371</v>
      </c>
      <c r="W14" s="1" t="s">
        <v>296</v>
      </c>
      <c r="X14" s="1" t="s">
        <v>372</v>
      </c>
      <c r="Y14" s="64" t="s">
        <v>324</v>
      </c>
      <c r="Z14" s="1" t="s">
        <v>373</v>
      </c>
      <c r="AA14" s="1" t="s">
        <v>374</v>
      </c>
      <c r="AB14" s="1" t="s">
        <v>373</v>
      </c>
      <c r="AC14" s="64" t="s">
        <v>361</v>
      </c>
      <c r="AD14" s="1" t="s">
        <v>375</v>
      </c>
      <c r="AE14" s="1" t="s">
        <v>376</v>
      </c>
      <c r="AF14" s="1" t="s">
        <v>377</v>
      </c>
      <c r="AG14" s="65" t="s">
        <v>378</v>
      </c>
      <c r="AH14" s="1"/>
      <c r="AI14" s="1"/>
      <c r="AJ14" s="1"/>
      <c r="AK14" s="1"/>
      <c r="AL14" s="18" t="s">
        <v>379</v>
      </c>
      <c r="AM14" s="18" t="s">
        <v>380</v>
      </c>
      <c r="AN14" s="18" t="s">
        <v>352</v>
      </c>
      <c r="AO14" s="18" t="s">
        <v>381</v>
      </c>
      <c r="AP14" s="18" t="s">
        <v>316</v>
      </c>
      <c r="AQ14" s="18" t="s">
        <v>382</v>
      </c>
      <c r="AR14" s="18"/>
      <c r="AS14" s="18"/>
      <c r="AT14" s="21" t="s">
        <v>379</v>
      </c>
      <c r="AU14" s="20" t="s">
        <v>327</v>
      </c>
      <c r="AV14" s="21" t="s">
        <v>334</v>
      </c>
      <c r="AW14" s="19" t="s">
        <v>296</v>
      </c>
      <c r="AX14" s="22" t="s">
        <v>283</v>
      </c>
      <c r="AY14" s="20" t="s">
        <v>363</v>
      </c>
      <c r="AZ14" s="18"/>
      <c r="BA14" s="1"/>
      <c r="BB14" s="1"/>
      <c r="BC14" s="18"/>
    </row>
    <row r="15" spans="1:55" x14ac:dyDescent="0.5">
      <c r="A15" s="1"/>
      <c r="B15" s="1"/>
      <c r="C15" s="1"/>
      <c r="D15" s="1"/>
      <c r="E15" s="1"/>
      <c r="F15" s="1"/>
      <c r="G15" s="1" t="s">
        <v>249</v>
      </c>
      <c r="H15" s="1" t="s">
        <v>249</v>
      </c>
      <c r="I15" s="1" t="s">
        <v>249</v>
      </c>
      <c r="J15" s="1" t="s">
        <v>249</v>
      </c>
      <c r="K15" s="1"/>
      <c r="L15" s="1" t="s">
        <v>365</v>
      </c>
      <c r="M15" s="1" t="s">
        <v>323</v>
      </c>
      <c r="N15" s="1" t="s">
        <v>367</v>
      </c>
      <c r="O15" s="1" t="s">
        <v>175</v>
      </c>
      <c r="P15" s="1" t="s">
        <v>316</v>
      </c>
      <c r="Q15" s="1" t="s">
        <v>272</v>
      </c>
      <c r="R15" s="1"/>
      <c r="S15" s="64" t="s">
        <v>365</v>
      </c>
      <c r="T15" s="1" t="s">
        <v>323</v>
      </c>
      <c r="U15" s="1" t="s">
        <v>367</v>
      </c>
      <c r="V15" s="1" t="s">
        <v>175</v>
      </c>
      <c r="W15" s="1" t="s">
        <v>316</v>
      </c>
      <c r="X15" s="1" t="s">
        <v>272</v>
      </c>
      <c r="Y15" s="64" t="s">
        <v>284</v>
      </c>
      <c r="Z15" s="73" t="s">
        <v>176</v>
      </c>
      <c r="AA15" s="1" t="s">
        <v>176</v>
      </c>
      <c r="AB15" s="67" t="s">
        <v>177</v>
      </c>
      <c r="AC15" s="64" t="s">
        <v>302</v>
      </c>
      <c r="AD15" s="1" t="s">
        <v>383</v>
      </c>
      <c r="AE15" s="1" t="s">
        <v>297</v>
      </c>
      <c r="AF15" s="1" t="s">
        <v>384</v>
      </c>
      <c r="AG15" s="78" t="s">
        <v>385</v>
      </c>
      <c r="AH15" s="1"/>
      <c r="AI15" s="1"/>
      <c r="AJ15" s="1"/>
      <c r="AK15" s="1"/>
      <c r="AL15" s="18" t="s">
        <v>386</v>
      </c>
      <c r="AM15" s="18" t="s">
        <v>387</v>
      </c>
      <c r="AN15" s="18" t="s">
        <v>78</v>
      </c>
      <c r="AO15" s="18" t="s">
        <v>388</v>
      </c>
      <c r="AP15" s="18" t="s">
        <v>389</v>
      </c>
      <c r="AQ15" s="18" t="s">
        <v>390</v>
      </c>
      <c r="AR15" s="18"/>
      <c r="AS15" s="18"/>
      <c r="AT15" s="19" t="s">
        <v>386</v>
      </c>
      <c r="AU15" s="22" t="s">
        <v>336</v>
      </c>
      <c r="AV15" s="20" t="s">
        <v>278</v>
      </c>
      <c r="AW15" s="22" t="s">
        <v>316</v>
      </c>
      <c r="AX15" s="22" t="s">
        <v>308</v>
      </c>
      <c r="AY15" s="20" t="s">
        <v>376</v>
      </c>
      <c r="AZ15" s="18"/>
      <c r="BA15" s="1"/>
      <c r="BB15" s="1"/>
      <c r="BC15" s="18"/>
    </row>
    <row r="16" spans="1:55" x14ac:dyDescent="0.5">
      <c r="A16" s="1"/>
      <c r="B16" s="1"/>
      <c r="C16" s="1"/>
      <c r="D16" s="1"/>
      <c r="E16" s="1"/>
      <c r="F16" s="1"/>
      <c r="G16" s="1" t="s">
        <v>250</v>
      </c>
      <c r="H16" s="1" t="s">
        <v>250</v>
      </c>
      <c r="I16" s="1" t="s">
        <v>250</v>
      </c>
      <c r="J16" s="1" t="s">
        <v>250</v>
      </c>
      <c r="K16" s="1"/>
      <c r="L16" s="1" t="s">
        <v>179</v>
      </c>
      <c r="M16" s="1" t="s">
        <v>177</v>
      </c>
      <c r="N16" s="1" t="s">
        <v>391</v>
      </c>
      <c r="O16" s="1" t="s">
        <v>392</v>
      </c>
      <c r="P16" s="1" t="s">
        <v>393</v>
      </c>
      <c r="Q16" s="1" t="s">
        <v>347</v>
      </c>
      <c r="R16" s="1"/>
      <c r="S16" s="64" t="s">
        <v>179</v>
      </c>
      <c r="T16" s="1" t="s">
        <v>177</v>
      </c>
      <c r="U16" s="1" t="s">
        <v>391</v>
      </c>
      <c r="V16" s="1" t="s">
        <v>392</v>
      </c>
      <c r="W16" s="66" t="s">
        <v>393</v>
      </c>
      <c r="X16" s="1" t="s">
        <v>347</v>
      </c>
      <c r="Y16" s="64" t="s">
        <v>394</v>
      </c>
      <c r="Z16" s="1" t="s">
        <v>395</v>
      </c>
      <c r="AA16" s="1" t="s">
        <v>396</v>
      </c>
      <c r="AB16" s="1" t="s">
        <v>397</v>
      </c>
      <c r="AC16" s="64" t="s">
        <v>392</v>
      </c>
      <c r="AD16" s="1" t="s">
        <v>302</v>
      </c>
      <c r="AE16" s="1" t="s">
        <v>398</v>
      </c>
      <c r="AF16" s="1" t="s">
        <v>399</v>
      </c>
      <c r="AG16" s="65" t="s">
        <v>383</v>
      </c>
      <c r="AH16" s="1"/>
      <c r="AI16" s="1"/>
      <c r="AJ16" s="1"/>
      <c r="AK16" s="1"/>
      <c r="AL16" s="18" t="s">
        <v>400</v>
      </c>
      <c r="AM16" s="18" t="s">
        <v>401</v>
      </c>
      <c r="AN16" s="18" t="s">
        <v>370</v>
      </c>
      <c r="AO16" s="18" t="s">
        <v>402</v>
      </c>
      <c r="AP16" s="18" t="s">
        <v>393</v>
      </c>
      <c r="AQ16" s="18" t="s">
        <v>403</v>
      </c>
      <c r="AR16" s="18"/>
      <c r="AS16" s="18"/>
      <c r="AT16" s="21" t="s">
        <v>400</v>
      </c>
      <c r="AU16" s="21" t="s">
        <v>311</v>
      </c>
      <c r="AV16" s="20" t="s">
        <v>284</v>
      </c>
      <c r="AW16" s="19" t="s">
        <v>311</v>
      </c>
      <c r="AX16" s="22" t="s">
        <v>294</v>
      </c>
      <c r="AY16" s="20" t="s">
        <v>297</v>
      </c>
      <c r="AZ16" s="18"/>
      <c r="BA16" s="1"/>
      <c r="BB16" s="1"/>
      <c r="BC16" s="18"/>
    </row>
    <row r="17" spans="7:55" x14ac:dyDescent="0.5">
      <c r="G17" s="1" t="s">
        <v>251</v>
      </c>
      <c r="H17" s="1" t="s">
        <v>251</v>
      </c>
      <c r="I17" s="1" t="s">
        <v>251</v>
      </c>
      <c r="J17" s="1" t="s">
        <v>251</v>
      </c>
      <c r="K17" s="1"/>
      <c r="L17" s="1" t="s">
        <v>404</v>
      </c>
      <c r="M17" s="1" t="s">
        <v>179</v>
      </c>
      <c r="N17" s="1" t="s">
        <v>352</v>
      </c>
      <c r="O17" s="1" t="s">
        <v>405</v>
      </c>
      <c r="P17" s="1" t="s">
        <v>406</v>
      </c>
      <c r="Q17" s="1" t="s">
        <v>358</v>
      </c>
      <c r="R17" s="1"/>
      <c r="S17" s="64" t="s">
        <v>404</v>
      </c>
      <c r="T17" s="66" t="s">
        <v>179</v>
      </c>
      <c r="U17" s="1" t="s">
        <v>352</v>
      </c>
      <c r="V17" s="66" t="s">
        <v>405</v>
      </c>
      <c r="W17" s="1" t="s">
        <v>406</v>
      </c>
      <c r="X17" s="1" t="s">
        <v>358</v>
      </c>
      <c r="Y17" s="64" t="s">
        <v>407</v>
      </c>
      <c r="Z17" s="1" t="s">
        <v>367</v>
      </c>
      <c r="AA17" s="1" t="s">
        <v>402</v>
      </c>
      <c r="AB17" s="1" t="s">
        <v>408</v>
      </c>
      <c r="AC17" s="64" t="s">
        <v>373</v>
      </c>
      <c r="AD17" s="1" t="s">
        <v>311</v>
      </c>
      <c r="AE17" s="1" t="s">
        <v>272</v>
      </c>
      <c r="AF17" s="1" t="s">
        <v>409</v>
      </c>
      <c r="AG17" s="65" t="s">
        <v>361</v>
      </c>
      <c r="AH17" s="1"/>
      <c r="AI17" s="1"/>
      <c r="AJ17" s="1"/>
      <c r="AK17" s="1"/>
      <c r="AL17" s="18" t="s">
        <v>410</v>
      </c>
      <c r="AM17" s="18" t="s">
        <v>411</v>
      </c>
      <c r="AN17" s="18" t="s">
        <v>412</v>
      </c>
      <c r="AO17" s="18" t="s">
        <v>352</v>
      </c>
      <c r="AP17" s="18" t="s">
        <v>315</v>
      </c>
      <c r="AQ17" s="18" t="s">
        <v>413</v>
      </c>
      <c r="AR17" s="18"/>
      <c r="AS17" s="18"/>
      <c r="AT17" s="19" t="s">
        <v>410</v>
      </c>
      <c r="AU17" s="20" t="s">
        <v>345</v>
      </c>
      <c r="AV17" s="22" t="s">
        <v>289</v>
      </c>
      <c r="AW17" s="21" t="s">
        <v>175</v>
      </c>
      <c r="AX17" s="22" t="s">
        <v>242</v>
      </c>
      <c r="AY17" s="20" t="s">
        <v>290</v>
      </c>
      <c r="AZ17" s="18"/>
      <c r="BA17" s="1"/>
      <c r="BB17" s="1"/>
      <c r="BC17" s="18"/>
    </row>
    <row r="18" spans="7:55" x14ac:dyDescent="0.5">
      <c r="G18" s="1"/>
      <c r="H18" s="1"/>
      <c r="I18" s="1"/>
      <c r="J18" s="1"/>
      <c r="K18" s="1"/>
      <c r="L18" s="1" t="s">
        <v>414</v>
      </c>
      <c r="M18" s="1" t="s">
        <v>414</v>
      </c>
      <c r="N18" s="1" t="s">
        <v>415</v>
      </c>
      <c r="O18" s="1" t="s">
        <v>381</v>
      </c>
      <c r="P18" s="1" t="s">
        <v>371</v>
      </c>
      <c r="Q18" s="1" t="s">
        <v>416</v>
      </c>
      <c r="R18" s="1"/>
      <c r="S18" s="64" t="s">
        <v>414</v>
      </c>
      <c r="T18" s="1" t="s">
        <v>414</v>
      </c>
      <c r="U18" s="1" t="s">
        <v>415</v>
      </c>
      <c r="V18" s="1" t="s">
        <v>381</v>
      </c>
      <c r="W18" s="1" t="s">
        <v>371</v>
      </c>
      <c r="X18" s="1" t="s">
        <v>416</v>
      </c>
      <c r="Y18" s="64" t="s">
        <v>171</v>
      </c>
      <c r="Z18" s="1" t="s">
        <v>408</v>
      </c>
      <c r="AA18" s="1" t="s">
        <v>408</v>
      </c>
      <c r="AB18" s="1" t="s">
        <v>417</v>
      </c>
      <c r="AC18" s="64" t="s">
        <v>176</v>
      </c>
      <c r="AD18" s="1" t="s">
        <v>323</v>
      </c>
      <c r="AE18" s="1" t="s">
        <v>418</v>
      </c>
      <c r="AF18" s="1" t="s">
        <v>182</v>
      </c>
      <c r="AG18" s="65" t="s">
        <v>357</v>
      </c>
      <c r="AH18" s="1"/>
      <c r="AI18" s="1"/>
      <c r="AJ18" s="1"/>
      <c r="AK18" s="1"/>
      <c r="AL18" s="18" t="s">
        <v>419</v>
      </c>
      <c r="AM18" s="18" t="s">
        <v>200</v>
      </c>
      <c r="AN18" s="18" t="s">
        <v>420</v>
      </c>
      <c r="AO18" s="18" t="s">
        <v>421</v>
      </c>
      <c r="AP18" s="18" t="s">
        <v>336</v>
      </c>
      <c r="AQ18" s="18" t="s">
        <v>422</v>
      </c>
      <c r="AR18" s="18"/>
      <c r="AS18" s="18"/>
      <c r="AT18" s="21" t="s">
        <v>419</v>
      </c>
      <c r="AU18" s="22" t="s">
        <v>351</v>
      </c>
      <c r="AV18" s="20" t="s">
        <v>171</v>
      </c>
      <c r="AW18" s="19" t="s">
        <v>337</v>
      </c>
      <c r="AX18" s="22" t="s">
        <v>363</v>
      </c>
      <c r="AY18" s="20" t="s">
        <v>272</v>
      </c>
      <c r="AZ18" s="18"/>
      <c r="BA18" s="1"/>
      <c r="BB18" s="1"/>
      <c r="BC18" s="18"/>
    </row>
    <row r="19" spans="7:55" x14ac:dyDescent="0.5">
      <c r="G19" s="1" t="s">
        <v>234</v>
      </c>
      <c r="H19" s="1" t="s">
        <v>423</v>
      </c>
      <c r="I19" s="1" t="s">
        <v>275</v>
      </c>
      <c r="J19" s="1"/>
      <c r="K19" s="1"/>
      <c r="L19" s="1" t="s">
        <v>414</v>
      </c>
      <c r="M19" s="1" t="s">
        <v>353</v>
      </c>
      <c r="N19" s="1" t="s">
        <v>78</v>
      </c>
      <c r="O19" s="1" t="s">
        <v>377</v>
      </c>
      <c r="P19" s="1" t="s">
        <v>424</v>
      </c>
      <c r="Q19" s="1" t="s">
        <v>425</v>
      </c>
      <c r="R19" s="1"/>
      <c r="S19" s="64" t="s">
        <v>414</v>
      </c>
      <c r="T19" s="1" t="s">
        <v>353</v>
      </c>
      <c r="U19" s="1" t="s">
        <v>78</v>
      </c>
      <c r="V19" s="1" t="s">
        <v>377</v>
      </c>
      <c r="W19" s="1" t="s">
        <v>424</v>
      </c>
      <c r="X19" s="1" t="s">
        <v>425</v>
      </c>
      <c r="Y19" s="74" t="s">
        <v>316</v>
      </c>
      <c r="Z19" s="1" t="s">
        <v>426</v>
      </c>
      <c r="AA19" s="1" t="s">
        <v>427</v>
      </c>
      <c r="AB19" s="1" t="s">
        <v>78</v>
      </c>
      <c r="AC19" s="64" t="s">
        <v>388</v>
      </c>
      <c r="AD19" s="1" t="s">
        <v>388</v>
      </c>
      <c r="AE19" s="66" t="s">
        <v>428</v>
      </c>
      <c r="AF19" s="76" t="s">
        <v>62</v>
      </c>
      <c r="AG19" s="65" t="s">
        <v>388</v>
      </c>
      <c r="AH19" s="1"/>
      <c r="AI19" s="1"/>
      <c r="AJ19" s="1"/>
      <c r="AK19" s="1"/>
      <c r="AL19" s="18" t="s">
        <v>429</v>
      </c>
      <c r="AM19" s="18" t="s">
        <v>419</v>
      </c>
      <c r="AN19" s="18" t="s">
        <v>62</v>
      </c>
      <c r="AO19" s="18" t="s">
        <v>430</v>
      </c>
      <c r="AP19" s="18" t="s">
        <v>406</v>
      </c>
      <c r="AQ19" s="18" t="s">
        <v>431</v>
      </c>
      <c r="AR19" s="18"/>
      <c r="AS19" s="18"/>
      <c r="AT19" s="19" t="s">
        <v>429</v>
      </c>
      <c r="AU19" s="20" t="s">
        <v>346</v>
      </c>
      <c r="AV19" s="22" t="s">
        <v>310</v>
      </c>
      <c r="AW19" s="19" t="s">
        <v>346</v>
      </c>
      <c r="AX19" s="20" t="s">
        <v>376</v>
      </c>
      <c r="AY19" s="20" t="s">
        <v>331</v>
      </c>
      <c r="AZ19" s="18"/>
      <c r="BA19" s="1"/>
      <c r="BB19" s="1"/>
      <c r="BC19" s="18"/>
    </row>
    <row r="20" spans="7:55" x14ac:dyDescent="0.5">
      <c r="G20" s="1" t="s">
        <v>252</v>
      </c>
      <c r="H20" s="1" t="s">
        <v>252</v>
      </c>
      <c r="I20" s="1" t="s">
        <v>252</v>
      </c>
      <c r="J20" s="1"/>
      <c r="K20" s="1"/>
      <c r="L20" s="1" t="s">
        <v>432</v>
      </c>
      <c r="M20" s="1" t="s">
        <v>433</v>
      </c>
      <c r="N20" s="1" t="s">
        <v>343</v>
      </c>
      <c r="O20" s="1" t="s">
        <v>357</v>
      </c>
      <c r="P20" s="1" t="s">
        <v>175</v>
      </c>
      <c r="Q20" s="1" t="s">
        <v>434</v>
      </c>
      <c r="R20" s="1"/>
      <c r="S20" s="64" t="s">
        <v>432</v>
      </c>
      <c r="T20" s="1" t="s">
        <v>433</v>
      </c>
      <c r="U20" s="1" t="s">
        <v>343</v>
      </c>
      <c r="V20" s="1" t="s">
        <v>357</v>
      </c>
      <c r="W20" s="1" t="s">
        <v>175</v>
      </c>
      <c r="X20" s="1" t="s">
        <v>434</v>
      </c>
      <c r="Y20" s="64" t="s">
        <v>375</v>
      </c>
      <c r="Z20" s="1" t="s">
        <v>435</v>
      </c>
      <c r="AA20" s="1" t="s">
        <v>436</v>
      </c>
      <c r="AB20" s="1" t="s">
        <v>437</v>
      </c>
      <c r="AC20" s="64" t="s">
        <v>352</v>
      </c>
      <c r="AD20" s="1" t="s">
        <v>352</v>
      </c>
      <c r="AE20" s="1" t="s">
        <v>438</v>
      </c>
      <c r="AF20" s="1" t="s">
        <v>439</v>
      </c>
      <c r="AG20" s="65" t="s">
        <v>427</v>
      </c>
      <c r="AH20" s="1"/>
      <c r="AI20" s="1"/>
      <c r="AJ20" s="1"/>
      <c r="AK20" s="1"/>
      <c r="AL20" s="18" t="s">
        <v>440</v>
      </c>
      <c r="AM20" s="18" t="s">
        <v>440</v>
      </c>
      <c r="AN20" s="18" t="s">
        <v>200</v>
      </c>
      <c r="AO20" s="18" t="s">
        <v>179</v>
      </c>
      <c r="AP20" s="18" t="s">
        <v>371</v>
      </c>
      <c r="AQ20" s="18" t="s">
        <v>196</v>
      </c>
      <c r="AR20" s="18"/>
      <c r="AS20" s="18"/>
      <c r="AT20" s="21" t="s">
        <v>440</v>
      </c>
      <c r="AU20" s="19" t="s">
        <v>323</v>
      </c>
      <c r="AV20" s="22" t="s">
        <v>316</v>
      </c>
      <c r="AW20" s="19" t="s">
        <v>357</v>
      </c>
      <c r="AX20" s="20" t="s">
        <v>297</v>
      </c>
      <c r="AY20" s="20" t="s">
        <v>428</v>
      </c>
      <c r="AZ20" s="18"/>
      <c r="BA20" s="1"/>
      <c r="BB20" s="1"/>
      <c r="BC20" s="18"/>
    </row>
    <row r="21" spans="7:55" x14ac:dyDescent="0.5">
      <c r="G21" s="1" t="s">
        <v>253</v>
      </c>
      <c r="H21" s="1" t="s">
        <v>253</v>
      </c>
      <c r="I21" s="1" t="s">
        <v>253</v>
      </c>
      <c r="J21" s="1"/>
      <c r="K21" s="1"/>
      <c r="L21" s="1" t="s">
        <v>185</v>
      </c>
      <c r="M21" s="1" t="s">
        <v>366</v>
      </c>
      <c r="N21" s="1" t="s">
        <v>441</v>
      </c>
      <c r="O21" s="1" t="s">
        <v>388</v>
      </c>
      <c r="P21" s="1" t="s">
        <v>345</v>
      </c>
      <c r="Q21" s="1" t="s">
        <v>385</v>
      </c>
      <c r="R21" s="1"/>
      <c r="S21" s="68" t="s">
        <v>185</v>
      </c>
      <c r="T21" s="1" t="s">
        <v>366</v>
      </c>
      <c r="U21" s="1" t="s">
        <v>441</v>
      </c>
      <c r="V21" s="1" t="s">
        <v>388</v>
      </c>
      <c r="W21" s="1" t="s">
        <v>345</v>
      </c>
      <c r="X21" s="1" t="s">
        <v>385</v>
      </c>
      <c r="Y21" s="64" t="s">
        <v>299</v>
      </c>
      <c r="Z21" s="1" t="s">
        <v>370</v>
      </c>
      <c r="AA21" s="1" t="s">
        <v>436</v>
      </c>
      <c r="AB21" s="1" t="s">
        <v>442</v>
      </c>
      <c r="AC21" s="68" t="s">
        <v>78</v>
      </c>
      <c r="AD21" s="1" t="s">
        <v>443</v>
      </c>
      <c r="AE21" s="1" t="s">
        <v>444</v>
      </c>
      <c r="AF21" s="1" t="s">
        <v>445</v>
      </c>
      <c r="AG21" s="65" t="s">
        <v>446</v>
      </c>
      <c r="AH21" s="1"/>
      <c r="AI21" s="1"/>
      <c r="AJ21" s="1"/>
      <c r="AK21" s="1"/>
      <c r="AL21" s="18" t="s">
        <v>447</v>
      </c>
      <c r="AM21" s="18" t="s">
        <v>448</v>
      </c>
      <c r="AN21" s="18" t="s">
        <v>449</v>
      </c>
      <c r="AO21" s="18" t="s">
        <v>414</v>
      </c>
      <c r="AP21" s="18" t="s">
        <v>330</v>
      </c>
      <c r="AQ21" s="18" t="s">
        <v>450</v>
      </c>
      <c r="AR21" s="18"/>
      <c r="AS21" s="18"/>
      <c r="AT21" s="19" t="s">
        <v>447</v>
      </c>
      <c r="AU21" s="20" t="s">
        <v>177</v>
      </c>
      <c r="AV21" s="20" t="s">
        <v>299</v>
      </c>
      <c r="AW21" s="19" t="s">
        <v>177</v>
      </c>
      <c r="AX21" s="22" t="s">
        <v>398</v>
      </c>
      <c r="AY21" s="20" t="s">
        <v>171</v>
      </c>
      <c r="AZ21" s="18"/>
      <c r="BA21" s="1"/>
      <c r="BB21" s="1"/>
      <c r="BC21" s="18"/>
    </row>
    <row r="22" spans="7:55" x14ac:dyDescent="0.5">
      <c r="G22" s="1" t="s">
        <v>254</v>
      </c>
      <c r="H22" s="1" t="s">
        <v>254</v>
      </c>
      <c r="I22" s="1" t="s">
        <v>254</v>
      </c>
      <c r="J22" s="1"/>
      <c r="K22" s="1"/>
      <c r="L22" s="1" t="s">
        <v>62</v>
      </c>
      <c r="M22" s="1" t="s">
        <v>399</v>
      </c>
      <c r="N22" s="1" t="s">
        <v>451</v>
      </c>
      <c r="O22" s="1" t="s">
        <v>451</v>
      </c>
      <c r="P22" s="1" t="s">
        <v>452</v>
      </c>
      <c r="Q22" s="1" t="s">
        <v>453</v>
      </c>
      <c r="R22" s="1"/>
      <c r="S22" s="64" t="s">
        <v>62</v>
      </c>
      <c r="T22" s="1" t="s">
        <v>399</v>
      </c>
      <c r="U22" s="1" t="s">
        <v>451</v>
      </c>
      <c r="V22" s="66" t="s">
        <v>451</v>
      </c>
      <c r="W22" s="1" t="s">
        <v>452</v>
      </c>
      <c r="X22" s="1" t="s">
        <v>453</v>
      </c>
      <c r="Y22" s="64" t="s">
        <v>385</v>
      </c>
      <c r="Z22" s="1" t="s">
        <v>414</v>
      </c>
      <c r="AA22" s="1" t="s">
        <v>454</v>
      </c>
      <c r="AB22" s="1" t="s">
        <v>446</v>
      </c>
      <c r="AC22" s="64" t="s">
        <v>455</v>
      </c>
      <c r="AD22" s="1" t="s">
        <v>455</v>
      </c>
      <c r="AE22" s="1" t="s">
        <v>456</v>
      </c>
      <c r="AF22" s="1" t="s">
        <v>457</v>
      </c>
      <c r="AG22" s="65" t="s">
        <v>458</v>
      </c>
      <c r="AH22" s="1"/>
      <c r="AI22" s="1"/>
      <c r="AJ22" s="1"/>
      <c r="AK22" s="1"/>
      <c r="AL22" s="18" t="s">
        <v>459</v>
      </c>
      <c r="AM22" s="18" t="s">
        <v>460</v>
      </c>
      <c r="AN22" s="18" t="s">
        <v>461</v>
      </c>
      <c r="AO22" s="18" t="s">
        <v>401</v>
      </c>
      <c r="AP22" s="18" t="s">
        <v>311</v>
      </c>
      <c r="AQ22" s="1"/>
      <c r="AR22" s="1"/>
      <c r="AS22" s="1"/>
      <c r="AT22" s="19" t="s">
        <v>448</v>
      </c>
      <c r="AU22" s="20" t="s">
        <v>332</v>
      </c>
      <c r="AV22" s="22" t="s">
        <v>354</v>
      </c>
      <c r="AW22" s="19" t="s">
        <v>367</v>
      </c>
      <c r="AX22" s="22" t="s">
        <v>290</v>
      </c>
      <c r="AY22" s="20" t="s">
        <v>296</v>
      </c>
      <c r="AZ22" s="1"/>
      <c r="BA22" s="1"/>
      <c r="BB22" s="1"/>
      <c r="BC22" s="1"/>
    </row>
    <row r="23" spans="7:55" x14ac:dyDescent="0.5">
      <c r="G23" s="1" t="s">
        <v>255</v>
      </c>
      <c r="H23" s="1" t="s">
        <v>255</v>
      </c>
      <c r="I23" s="1" t="s">
        <v>255</v>
      </c>
      <c r="J23" s="1"/>
      <c r="K23" s="1"/>
      <c r="L23" s="1" t="s">
        <v>387</v>
      </c>
      <c r="M23" s="1" t="s">
        <v>380</v>
      </c>
      <c r="N23" s="1" t="s">
        <v>451</v>
      </c>
      <c r="O23" s="1" t="s">
        <v>414</v>
      </c>
      <c r="P23" s="1" t="s">
        <v>176</v>
      </c>
      <c r="Q23" s="1" t="s">
        <v>315</v>
      </c>
      <c r="R23" s="1"/>
      <c r="S23" s="64" t="s">
        <v>387</v>
      </c>
      <c r="T23" s="1" t="s">
        <v>380</v>
      </c>
      <c r="U23" s="1" t="s">
        <v>451</v>
      </c>
      <c r="V23" s="1" t="s">
        <v>414</v>
      </c>
      <c r="W23" s="1" t="s">
        <v>176</v>
      </c>
      <c r="X23" s="1" t="s">
        <v>315</v>
      </c>
      <c r="Y23" s="64" t="s">
        <v>173</v>
      </c>
      <c r="Z23" s="75" t="s">
        <v>462</v>
      </c>
      <c r="AA23" s="1" t="s">
        <v>421</v>
      </c>
      <c r="AB23" s="1" t="s">
        <v>463</v>
      </c>
      <c r="AC23" s="64" t="s">
        <v>464</v>
      </c>
      <c r="AD23" s="1" t="s">
        <v>465</v>
      </c>
      <c r="AE23" s="1" t="s">
        <v>466</v>
      </c>
      <c r="AF23" s="67" t="s">
        <v>369</v>
      </c>
      <c r="AG23" s="65" t="s">
        <v>467</v>
      </c>
      <c r="AH23" s="1"/>
      <c r="AI23" s="1"/>
      <c r="AJ23" s="1"/>
      <c r="AK23" s="1"/>
      <c r="AL23" s="18" t="s">
        <v>468</v>
      </c>
      <c r="AM23" s="18" t="s">
        <v>445</v>
      </c>
      <c r="AN23" s="18" t="s">
        <v>190</v>
      </c>
      <c r="AO23" s="18" t="s">
        <v>469</v>
      </c>
      <c r="AP23" s="18" t="s">
        <v>470</v>
      </c>
      <c r="AQ23" s="1"/>
      <c r="AR23" s="1"/>
      <c r="AS23" s="1"/>
      <c r="AT23" s="21" t="s">
        <v>459</v>
      </c>
      <c r="AU23" s="20" t="s">
        <v>343</v>
      </c>
      <c r="AV23" s="22" t="s">
        <v>315</v>
      </c>
      <c r="AW23" s="20" t="s">
        <v>391</v>
      </c>
      <c r="AX23" s="20" t="s">
        <v>272</v>
      </c>
      <c r="AY23" s="20" t="s">
        <v>310</v>
      </c>
      <c r="AZ23" s="1"/>
      <c r="BA23" s="1"/>
      <c r="BB23" s="1"/>
      <c r="BC23" s="1"/>
    </row>
    <row r="24" spans="7:55" x14ac:dyDescent="0.5">
      <c r="G24" s="1" t="s">
        <v>256</v>
      </c>
      <c r="H24" s="1" t="s">
        <v>256</v>
      </c>
      <c r="I24" s="1" t="s">
        <v>256</v>
      </c>
      <c r="J24" s="1"/>
      <c r="K24" s="1"/>
      <c r="L24" s="1" t="s">
        <v>386</v>
      </c>
      <c r="M24" s="1" t="s">
        <v>185</v>
      </c>
      <c r="N24" s="1" t="s">
        <v>180</v>
      </c>
      <c r="O24" s="1" t="s">
        <v>471</v>
      </c>
      <c r="P24" s="1" t="s">
        <v>177</v>
      </c>
      <c r="Q24" s="1" t="s">
        <v>321</v>
      </c>
      <c r="R24" s="1"/>
      <c r="S24" s="64" t="s">
        <v>386</v>
      </c>
      <c r="T24" s="1" t="s">
        <v>185</v>
      </c>
      <c r="U24" s="1" t="s">
        <v>180</v>
      </c>
      <c r="V24" s="1" t="s">
        <v>471</v>
      </c>
      <c r="W24" s="66" t="s">
        <v>177</v>
      </c>
      <c r="X24" s="1" t="s">
        <v>321</v>
      </c>
      <c r="Y24" s="64" t="s">
        <v>349</v>
      </c>
      <c r="Z24" s="1" t="s">
        <v>366</v>
      </c>
      <c r="AA24" s="1" t="s">
        <v>472</v>
      </c>
      <c r="AB24" s="1" t="s">
        <v>473</v>
      </c>
      <c r="AC24" s="64" t="s">
        <v>441</v>
      </c>
      <c r="AD24" s="1" t="s">
        <v>185</v>
      </c>
      <c r="AE24" s="1" t="s">
        <v>352</v>
      </c>
      <c r="AF24" s="1" t="s">
        <v>474</v>
      </c>
      <c r="AG24" s="65" t="s">
        <v>475</v>
      </c>
      <c r="AH24" s="1"/>
      <c r="AI24" s="1"/>
      <c r="AJ24" s="1"/>
      <c r="AK24" s="1"/>
      <c r="AL24" s="18" t="s">
        <v>201</v>
      </c>
      <c r="AM24" s="18" t="s">
        <v>476</v>
      </c>
      <c r="AN24" s="18" t="s">
        <v>477</v>
      </c>
      <c r="AO24" s="18" t="s">
        <v>478</v>
      </c>
      <c r="AP24" s="18" t="s">
        <v>177</v>
      </c>
      <c r="AQ24" s="1"/>
      <c r="AR24" s="1"/>
      <c r="AS24" s="1"/>
      <c r="AT24" s="19" t="s">
        <v>468</v>
      </c>
      <c r="AU24" s="20" t="s">
        <v>179</v>
      </c>
      <c r="AV24" s="20" t="s">
        <v>321</v>
      </c>
      <c r="AW24" s="21" t="s">
        <v>352</v>
      </c>
      <c r="AX24" s="20" t="s">
        <v>322</v>
      </c>
      <c r="AY24" s="20" t="s">
        <v>364</v>
      </c>
      <c r="AZ24" s="1"/>
      <c r="BA24" s="1"/>
      <c r="BB24" s="1"/>
      <c r="BC24" s="1"/>
    </row>
    <row r="25" spans="7:55" x14ac:dyDescent="0.5">
      <c r="G25" s="1" t="s">
        <v>479</v>
      </c>
      <c r="H25" s="1" t="s">
        <v>479</v>
      </c>
      <c r="I25" s="1" t="s">
        <v>479</v>
      </c>
      <c r="J25" s="1"/>
      <c r="K25" s="1"/>
      <c r="L25" s="1" t="s">
        <v>480</v>
      </c>
      <c r="M25" s="1" t="s">
        <v>62</v>
      </c>
      <c r="N25" s="1" t="s">
        <v>471</v>
      </c>
      <c r="O25" s="1" t="s">
        <v>469</v>
      </c>
      <c r="P25" s="1" t="s">
        <v>427</v>
      </c>
      <c r="Q25" s="1" t="s">
        <v>481</v>
      </c>
      <c r="R25" s="1"/>
      <c r="S25" s="64" t="s">
        <v>480</v>
      </c>
      <c r="T25" s="1" t="s">
        <v>62</v>
      </c>
      <c r="U25" s="1" t="s">
        <v>471</v>
      </c>
      <c r="V25" s="1" t="s">
        <v>469</v>
      </c>
      <c r="W25" s="1" t="s">
        <v>427</v>
      </c>
      <c r="X25" s="1" t="s">
        <v>481</v>
      </c>
      <c r="Y25" s="64" t="s">
        <v>482</v>
      </c>
      <c r="Z25" s="1" t="s">
        <v>399</v>
      </c>
      <c r="AA25" s="1" t="s">
        <v>483</v>
      </c>
      <c r="AB25" s="1" t="s">
        <v>484</v>
      </c>
      <c r="AC25" s="64" t="s">
        <v>180</v>
      </c>
      <c r="AD25" s="1" t="s">
        <v>485</v>
      </c>
      <c r="AE25" s="1" t="s">
        <v>78</v>
      </c>
      <c r="AF25" s="1" t="s">
        <v>201</v>
      </c>
      <c r="AG25" s="65" t="s">
        <v>189</v>
      </c>
      <c r="AH25" s="1"/>
      <c r="AI25" s="1"/>
      <c r="AJ25" s="1"/>
      <c r="AK25" s="1"/>
      <c r="AL25" s="18" t="s">
        <v>476</v>
      </c>
      <c r="AM25" s="18" t="s">
        <v>486</v>
      </c>
      <c r="AN25" s="18" t="s">
        <v>193</v>
      </c>
      <c r="AO25" s="18" t="s">
        <v>487</v>
      </c>
      <c r="AP25" s="18" t="s">
        <v>441</v>
      </c>
      <c r="AQ25" s="1"/>
      <c r="AR25" s="1"/>
      <c r="AS25" s="1"/>
      <c r="AT25" s="21" t="s">
        <v>201</v>
      </c>
      <c r="AU25" s="20" t="s">
        <v>414</v>
      </c>
      <c r="AV25" s="22" t="s">
        <v>336</v>
      </c>
      <c r="AW25" s="20" t="s">
        <v>415</v>
      </c>
      <c r="AX25" s="20" t="s">
        <v>418</v>
      </c>
      <c r="AY25" s="20" t="s">
        <v>378</v>
      </c>
      <c r="AZ25" s="1"/>
      <c r="BA25" s="1"/>
      <c r="BB25" s="1"/>
      <c r="BC25" s="1"/>
    </row>
    <row r="26" spans="7:55" x14ac:dyDescent="0.5">
      <c r="G26" s="1"/>
      <c r="H26" s="1"/>
      <c r="I26" s="1"/>
      <c r="J26" s="1"/>
      <c r="K26" s="1"/>
      <c r="L26" s="1" t="s">
        <v>429</v>
      </c>
      <c r="M26" s="1" t="s">
        <v>485</v>
      </c>
      <c r="N26" s="1" t="s">
        <v>387</v>
      </c>
      <c r="O26" s="1" t="s">
        <v>488</v>
      </c>
      <c r="P26" s="1" t="s">
        <v>489</v>
      </c>
      <c r="Q26" s="1" t="s">
        <v>336</v>
      </c>
      <c r="R26" s="1"/>
      <c r="S26" s="64" t="s">
        <v>429</v>
      </c>
      <c r="T26" s="1" t="s">
        <v>485</v>
      </c>
      <c r="U26" s="1" t="s">
        <v>387</v>
      </c>
      <c r="V26" s="1" t="s">
        <v>488</v>
      </c>
      <c r="W26" s="1" t="s">
        <v>489</v>
      </c>
      <c r="X26" s="1" t="s">
        <v>336</v>
      </c>
      <c r="Y26" s="64" t="s">
        <v>311</v>
      </c>
      <c r="Z26" s="75" t="s">
        <v>490</v>
      </c>
      <c r="AA26" s="1" t="s">
        <v>179</v>
      </c>
      <c r="AB26" s="1" t="s">
        <v>185</v>
      </c>
      <c r="AC26" s="64" t="s">
        <v>414</v>
      </c>
      <c r="AD26" s="1" t="s">
        <v>491</v>
      </c>
      <c r="AE26" s="1" t="s">
        <v>489</v>
      </c>
      <c r="AF26" s="1" t="s">
        <v>476</v>
      </c>
      <c r="AG26" s="65" t="s">
        <v>492</v>
      </c>
      <c r="AH26" s="1"/>
      <c r="AI26" s="1"/>
      <c r="AJ26" s="1"/>
      <c r="AK26" s="1"/>
      <c r="AL26" s="18" t="s">
        <v>476</v>
      </c>
      <c r="AM26" s="18" t="s">
        <v>493</v>
      </c>
      <c r="AN26" s="18" t="s">
        <v>486</v>
      </c>
      <c r="AO26" s="18" t="s">
        <v>440</v>
      </c>
      <c r="AP26" s="18" t="s">
        <v>180</v>
      </c>
      <c r="AQ26" s="1"/>
      <c r="AR26" s="1"/>
      <c r="AS26" s="1"/>
      <c r="AT26" s="19" t="s">
        <v>476</v>
      </c>
      <c r="AU26" s="20" t="s">
        <v>353</v>
      </c>
      <c r="AV26" s="20" t="s">
        <v>371</v>
      </c>
      <c r="AW26" s="22" t="s">
        <v>78</v>
      </c>
      <c r="AX26" s="20" t="s">
        <v>331</v>
      </c>
      <c r="AY26" s="20" t="s">
        <v>321</v>
      </c>
      <c r="AZ26" s="1"/>
      <c r="BA26" s="1"/>
      <c r="BB26" s="1"/>
      <c r="BC26" s="1"/>
    </row>
    <row r="27" spans="7:55" x14ac:dyDescent="0.5">
      <c r="G27" s="1"/>
      <c r="H27" s="1"/>
      <c r="I27" s="1"/>
      <c r="J27" s="1"/>
      <c r="K27" s="1"/>
      <c r="L27" s="1" t="s">
        <v>494</v>
      </c>
      <c r="M27" s="1" t="s">
        <v>401</v>
      </c>
      <c r="N27" s="1" t="s">
        <v>485</v>
      </c>
      <c r="O27" s="1" t="s">
        <v>478</v>
      </c>
      <c r="P27" s="1" t="s">
        <v>365</v>
      </c>
      <c r="Q27" s="1" t="s">
        <v>406</v>
      </c>
      <c r="R27" s="1"/>
      <c r="S27" s="64" t="s">
        <v>494</v>
      </c>
      <c r="T27" s="1" t="s">
        <v>401</v>
      </c>
      <c r="U27" s="1" t="s">
        <v>485</v>
      </c>
      <c r="V27" s="1" t="s">
        <v>478</v>
      </c>
      <c r="W27" s="1" t="s">
        <v>365</v>
      </c>
      <c r="X27" s="1" t="s">
        <v>406</v>
      </c>
      <c r="Y27" s="64" t="s">
        <v>392</v>
      </c>
      <c r="Z27" s="1" t="s">
        <v>185</v>
      </c>
      <c r="AA27" s="1" t="s">
        <v>495</v>
      </c>
      <c r="AB27" s="77" t="s">
        <v>186</v>
      </c>
      <c r="AC27" s="64" t="s">
        <v>490</v>
      </c>
      <c r="AD27" s="1" t="s">
        <v>496</v>
      </c>
      <c r="AE27" s="1" t="s">
        <v>455</v>
      </c>
      <c r="AF27" s="1" t="s">
        <v>497</v>
      </c>
      <c r="AG27" s="69" t="s">
        <v>498</v>
      </c>
      <c r="AH27" s="1"/>
      <c r="AI27" s="1"/>
      <c r="AJ27" s="1"/>
      <c r="AK27" s="1"/>
      <c r="AL27" s="18" t="s">
        <v>499</v>
      </c>
      <c r="AM27" s="18" t="s">
        <v>500</v>
      </c>
      <c r="AN27" s="18" t="s">
        <v>501</v>
      </c>
      <c r="AO27" s="18" t="s">
        <v>502</v>
      </c>
      <c r="AP27" s="18" t="s">
        <v>471</v>
      </c>
      <c r="AQ27" s="1"/>
      <c r="AR27" s="1"/>
      <c r="AS27" s="1"/>
      <c r="AT27" s="23" t="s">
        <v>499</v>
      </c>
      <c r="AU27" s="20" t="s">
        <v>433</v>
      </c>
      <c r="AV27" s="20" t="s">
        <v>311</v>
      </c>
      <c r="AW27" s="21" t="s">
        <v>370</v>
      </c>
      <c r="AX27" s="22" t="s">
        <v>341</v>
      </c>
      <c r="AY27" s="20" t="s">
        <v>466</v>
      </c>
      <c r="AZ27" s="1"/>
      <c r="BA27" s="1"/>
      <c r="BB27" s="1"/>
      <c r="BC27" s="1"/>
    </row>
    <row r="28" spans="7:55" x14ac:dyDescent="0.5">
      <c r="G28" s="1"/>
      <c r="H28" s="1"/>
      <c r="I28" s="1"/>
      <c r="J28" s="1"/>
      <c r="K28" s="1"/>
      <c r="L28" s="1" t="s">
        <v>440</v>
      </c>
      <c r="M28" s="1" t="s">
        <v>200</v>
      </c>
      <c r="N28" s="1" t="s">
        <v>200</v>
      </c>
      <c r="O28" s="1" t="s">
        <v>386</v>
      </c>
      <c r="P28" s="1" t="s">
        <v>179</v>
      </c>
      <c r="Q28" s="1" t="s">
        <v>371</v>
      </c>
      <c r="R28" s="1"/>
      <c r="S28" s="64" t="s">
        <v>440</v>
      </c>
      <c r="T28" s="1" t="s">
        <v>200</v>
      </c>
      <c r="U28" s="1" t="s">
        <v>200</v>
      </c>
      <c r="V28" s="1" t="s">
        <v>386</v>
      </c>
      <c r="W28" s="1" t="s">
        <v>179</v>
      </c>
      <c r="X28" s="1" t="s">
        <v>371</v>
      </c>
      <c r="Y28" s="64" t="s">
        <v>373</v>
      </c>
      <c r="Z28" s="1" t="s">
        <v>62</v>
      </c>
      <c r="AA28" s="1" t="s">
        <v>503</v>
      </c>
      <c r="AB28" s="1" t="s">
        <v>504</v>
      </c>
      <c r="AC28" s="68" t="s">
        <v>185</v>
      </c>
      <c r="AD28" s="1" t="s">
        <v>505</v>
      </c>
      <c r="AE28" s="1" t="s">
        <v>441</v>
      </c>
      <c r="AF28" s="1" t="s">
        <v>486</v>
      </c>
      <c r="AG28" s="65" t="s">
        <v>506</v>
      </c>
      <c r="AH28" s="1"/>
      <c r="AI28" s="1"/>
      <c r="AJ28" s="1"/>
      <c r="AK28" s="1"/>
      <c r="AL28" s="18"/>
      <c r="AM28" s="18"/>
      <c r="AN28" s="18" t="s">
        <v>507</v>
      </c>
      <c r="AO28" s="18" t="s">
        <v>445</v>
      </c>
      <c r="AP28" s="18" t="s">
        <v>353</v>
      </c>
      <c r="AQ28" s="1"/>
      <c r="AR28" s="1"/>
      <c r="AS28" s="1"/>
      <c r="AT28" s="23"/>
      <c r="AU28" s="20" t="s">
        <v>366</v>
      </c>
      <c r="AV28" s="22" t="s">
        <v>175</v>
      </c>
      <c r="AW28" s="19" t="s">
        <v>412</v>
      </c>
      <c r="AX28" s="20" t="s">
        <v>428</v>
      </c>
      <c r="AY28" s="20" t="s">
        <v>361</v>
      </c>
      <c r="AZ28" s="1"/>
      <c r="BA28" s="1"/>
      <c r="BB28" s="1"/>
      <c r="BC28" s="1"/>
    </row>
    <row r="29" spans="7:55" x14ac:dyDescent="0.5">
      <c r="G29" s="1"/>
      <c r="H29" s="1"/>
      <c r="I29" s="1"/>
      <c r="J29" s="1"/>
      <c r="K29" s="1"/>
      <c r="L29" s="1" t="s">
        <v>508</v>
      </c>
      <c r="M29" s="1" t="s">
        <v>488</v>
      </c>
      <c r="N29" s="1" t="s">
        <v>478</v>
      </c>
      <c r="O29" s="1" t="s">
        <v>509</v>
      </c>
      <c r="P29" s="1" t="s">
        <v>510</v>
      </c>
      <c r="Q29" s="1" t="s">
        <v>330</v>
      </c>
      <c r="R29" s="1"/>
      <c r="S29" s="64" t="s">
        <v>508</v>
      </c>
      <c r="T29" s="1" t="s">
        <v>488</v>
      </c>
      <c r="U29" s="1" t="s">
        <v>478</v>
      </c>
      <c r="V29" s="1" t="s">
        <v>509</v>
      </c>
      <c r="W29" s="1" t="s">
        <v>510</v>
      </c>
      <c r="X29" s="1" t="s">
        <v>330</v>
      </c>
      <c r="Y29" s="64" t="s">
        <v>396</v>
      </c>
      <c r="Z29" s="1" t="s">
        <v>469</v>
      </c>
      <c r="AA29" s="1" t="s">
        <v>399</v>
      </c>
      <c r="AB29" s="1" t="s">
        <v>469</v>
      </c>
      <c r="AC29" s="64" t="s">
        <v>511</v>
      </c>
      <c r="AD29" s="1" t="s">
        <v>468</v>
      </c>
      <c r="AE29" s="1" t="s">
        <v>503</v>
      </c>
      <c r="AF29" s="1" t="s">
        <v>512</v>
      </c>
      <c r="AG29" s="69" t="s">
        <v>198</v>
      </c>
      <c r="AH29" s="1"/>
      <c r="AI29" s="1"/>
      <c r="AJ29" s="1"/>
      <c r="AK29" s="1"/>
      <c r="AL29" s="18"/>
      <c r="AM29" s="1"/>
      <c r="AN29" s="18" t="s">
        <v>513</v>
      </c>
      <c r="AO29" s="18" t="s">
        <v>514</v>
      </c>
      <c r="AP29" s="18" t="s">
        <v>473</v>
      </c>
      <c r="AQ29" s="1"/>
      <c r="AR29" s="1"/>
      <c r="AS29" s="1"/>
      <c r="AT29" s="1"/>
      <c r="AU29" s="20" t="s">
        <v>399</v>
      </c>
      <c r="AV29" s="20" t="s">
        <v>368</v>
      </c>
      <c r="AW29" s="20" t="s">
        <v>343</v>
      </c>
      <c r="AX29" s="20" t="s">
        <v>171</v>
      </c>
      <c r="AY29" s="20" t="s">
        <v>330</v>
      </c>
      <c r="AZ29" s="1"/>
      <c r="BA29" s="1"/>
      <c r="BB29" s="1"/>
      <c r="BC29" s="1"/>
    </row>
    <row r="30" spans="7:55" x14ac:dyDescent="0.5">
      <c r="G30" s="1"/>
      <c r="H30" s="1"/>
      <c r="I30" s="1"/>
      <c r="J30" s="1"/>
      <c r="K30" s="1"/>
      <c r="L30" s="1" t="s">
        <v>502</v>
      </c>
      <c r="M30" s="1" t="s">
        <v>400</v>
      </c>
      <c r="N30" s="1" t="s">
        <v>386</v>
      </c>
      <c r="O30" s="1" t="s">
        <v>190</v>
      </c>
      <c r="P30" s="1" t="s">
        <v>515</v>
      </c>
      <c r="Q30" s="1" t="s">
        <v>330</v>
      </c>
      <c r="R30" s="1"/>
      <c r="S30" s="64" t="s">
        <v>502</v>
      </c>
      <c r="T30" s="1" t="s">
        <v>400</v>
      </c>
      <c r="U30" s="1" t="s">
        <v>386</v>
      </c>
      <c r="V30" s="1" t="s">
        <v>190</v>
      </c>
      <c r="W30" s="1" t="s">
        <v>515</v>
      </c>
      <c r="X30" s="1" t="s">
        <v>330</v>
      </c>
      <c r="Y30" s="64" t="s">
        <v>516</v>
      </c>
      <c r="Z30" s="1" t="s">
        <v>517</v>
      </c>
      <c r="AA30" s="1" t="s">
        <v>518</v>
      </c>
      <c r="AB30" s="1" t="s">
        <v>519</v>
      </c>
      <c r="AC30" s="68" t="s">
        <v>520</v>
      </c>
      <c r="AD30" s="1" t="s">
        <v>521</v>
      </c>
      <c r="AE30" s="1" t="s">
        <v>189</v>
      </c>
      <c r="AF30" s="1"/>
      <c r="AG30" s="65" t="s">
        <v>414</v>
      </c>
      <c r="AH30" s="1"/>
      <c r="AI30" s="1"/>
      <c r="AJ30" s="1"/>
      <c r="AK30" s="1"/>
      <c r="AL30" s="18"/>
      <c r="AM30" s="1"/>
      <c r="AN30" s="18" t="s">
        <v>522</v>
      </c>
      <c r="AO30" s="18" t="s">
        <v>523</v>
      </c>
      <c r="AP30" s="18" t="s">
        <v>182</v>
      </c>
      <c r="AQ30" s="1"/>
      <c r="AR30" s="1"/>
      <c r="AS30" s="1"/>
      <c r="AT30" s="1"/>
      <c r="AU30" s="20" t="s">
        <v>380</v>
      </c>
      <c r="AV30" s="20" t="s">
        <v>392</v>
      </c>
      <c r="AW30" s="22" t="s">
        <v>441</v>
      </c>
      <c r="AX30" s="22" t="s">
        <v>296</v>
      </c>
      <c r="AY30" s="20" t="s">
        <v>337</v>
      </c>
      <c r="AZ30" s="1"/>
      <c r="BA30" s="1"/>
      <c r="BB30" s="1"/>
      <c r="BC30" s="1"/>
    </row>
    <row r="31" spans="7:55" x14ac:dyDescent="0.5">
      <c r="G31" s="1"/>
      <c r="H31" s="1"/>
      <c r="I31" s="1"/>
      <c r="J31" s="1"/>
      <c r="K31" s="1"/>
      <c r="L31" s="1" t="s">
        <v>461</v>
      </c>
      <c r="M31" s="1" t="s">
        <v>496</v>
      </c>
      <c r="N31" s="1" t="s">
        <v>449</v>
      </c>
      <c r="O31" s="1" t="s">
        <v>445</v>
      </c>
      <c r="P31" s="1" t="s">
        <v>182</v>
      </c>
      <c r="Q31" s="1" t="s">
        <v>337</v>
      </c>
      <c r="R31" s="1"/>
      <c r="S31" s="64" t="s">
        <v>461</v>
      </c>
      <c r="T31" s="1" t="s">
        <v>496</v>
      </c>
      <c r="U31" s="1" t="s">
        <v>449</v>
      </c>
      <c r="V31" s="1" t="s">
        <v>445</v>
      </c>
      <c r="W31" s="1" t="s">
        <v>182</v>
      </c>
      <c r="X31" s="1" t="s">
        <v>337</v>
      </c>
      <c r="Y31" s="64" t="s">
        <v>489</v>
      </c>
      <c r="Z31" s="1" t="s">
        <v>488</v>
      </c>
      <c r="AA31" s="1" t="s">
        <v>184</v>
      </c>
      <c r="AB31" s="1" t="s">
        <v>520</v>
      </c>
      <c r="AC31" s="64" t="s">
        <v>440</v>
      </c>
      <c r="AD31" s="1" t="s">
        <v>497</v>
      </c>
      <c r="AE31" s="1" t="s">
        <v>524</v>
      </c>
      <c r="AF31" s="1"/>
      <c r="AG31" s="65"/>
      <c r="AH31" s="1"/>
      <c r="AI31" s="1"/>
      <c r="AJ31" s="1"/>
      <c r="AK31" s="1"/>
      <c r="AL31" s="18"/>
      <c r="AM31" s="1"/>
      <c r="AN31" s="18" t="s">
        <v>525</v>
      </c>
      <c r="AO31" s="18" t="s">
        <v>526</v>
      </c>
      <c r="AP31" s="18" t="s">
        <v>527</v>
      </c>
      <c r="AQ31" s="1"/>
      <c r="AR31" s="1"/>
      <c r="AS31" s="1"/>
      <c r="AT31" s="1"/>
      <c r="AU31" s="20" t="s">
        <v>185</v>
      </c>
      <c r="AV31" s="22" t="s">
        <v>337</v>
      </c>
      <c r="AW31" s="20" t="s">
        <v>451</v>
      </c>
      <c r="AX31" s="22" t="s">
        <v>310</v>
      </c>
      <c r="AY31" s="20" t="s">
        <v>377</v>
      </c>
      <c r="AZ31" s="1"/>
      <c r="BA31" s="1"/>
      <c r="BB31" s="1"/>
      <c r="BC31" s="1"/>
    </row>
    <row r="32" spans="7:55" x14ac:dyDescent="0.5">
      <c r="G32" s="1"/>
      <c r="H32" s="1"/>
      <c r="I32" s="1"/>
      <c r="J32" s="1"/>
      <c r="K32" s="1"/>
      <c r="L32" s="1" t="s">
        <v>445</v>
      </c>
      <c r="M32" s="1" t="s">
        <v>448</v>
      </c>
      <c r="N32" s="1" t="s">
        <v>188</v>
      </c>
      <c r="O32" s="1" t="s">
        <v>523</v>
      </c>
      <c r="P32" s="1" t="s">
        <v>183</v>
      </c>
      <c r="Q32" s="1" t="s">
        <v>323</v>
      </c>
      <c r="R32" s="1"/>
      <c r="S32" s="64" t="s">
        <v>445</v>
      </c>
      <c r="T32" s="1" t="s">
        <v>448</v>
      </c>
      <c r="U32" s="1" t="s">
        <v>188</v>
      </c>
      <c r="V32" s="1" t="s">
        <v>523</v>
      </c>
      <c r="W32" s="1" t="s">
        <v>183</v>
      </c>
      <c r="X32" s="1" t="s">
        <v>323</v>
      </c>
      <c r="Y32" s="64" t="s">
        <v>455</v>
      </c>
      <c r="Z32" s="1" t="s">
        <v>520</v>
      </c>
      <c r="AA32" s="1" t="s">
        <v>432</v>
      </c>
      <c r="AB32" s="1" t="s">
        <v>528</v>
      </c>
      <c r="AC32" s="64" t="s">
        <v>529</v>
      </c>
      <c r="AD32" s="77" t="s">
        <v>193</v>
      </c>
      <c r="AE32" s="1" t="s">
        <v>530</v>
      </c>
      <c r="AF32" s="1"/>
      <c r="AG32" s="65"/>
      <c r="AH32" s="1"/>
      <c r="AI32" s="1"/>
      <c r="AJ32" s="1"/>
      <c r="AK32" s="1"/>
      <c r="AL32" s="18"/>
      <c r="AM32" s="1"/>
      <c r="AN32" s="1"/>
      <c r="AO32" s="18" t="s">
        <v>531</v>
      </c>
      <c r="AP32" s="18" t="s">
        <v>532</v>
      </c>
      <c r="AQ32" s="1"/>
      <c r="AR32" s="1"/>
      <c r="AS32" s="1"/>
      <c r="AT32" s="1"/>
      <c r="AU32" s="20" t="s">
        <v>62</v>
      </c>
      <c r="AV32" s="22" t="s">
        <v>405</v>
      </c>
      <c r="AW32" s="20" t="s">
        <v>180</v>
      </c>
      <c r="AX32" s="20" t="s">
        <v>364</v>
      </c>
      <c r="AY32" s="20" t="s">
        <v>357</v>
      </c>
      <c r="AZ32" s="1"/>
      <c r="BA32" s="1"/>
      <c r="BB32" s="1"/>
      <c r="BC32" s="1"/>
    </row>
    <row r="33" spans="12:51" x14ac:dyDescent="0.5">
      <c r="L33" s="1" t="s">
        <v>533</v>
      </c>
      <c r="M33" s="1" t="s">
        <v>533</v>
      </c>
      <c r="N33" s="1" t="s">
        <v>534</v>
      </c>
      <c r="O33" s="1" t="s">
        <v>201</v>
      </c>
      <c r="P33" s="1" t="s">
        <v>184</v>
      </c>
      <c r="Q33" s="1" t="s">
        <v>352</v>
      </c>
      <c r="R33" s="1"/>
      <c r="S33" s="68" t="s">
        <v>533</v>
      </c>
      <c r="T33" s="1" t="s">
        <v>533</v>
      </c>
      <c r="U33" s="1" t="s">
        <v>534</v>
      </c>
      <c r="V33" s="1" t="s">
        <v>201</v>
      </c>
      <c r="W33" s="67" t="s">
        <v>184</v>
      </c>
      <c r="X33" s="1" t="s">
        <v>352</v>
      </c>
      <c r="Y33" s="64" t="s">
        <v>535</v>
      </c>
      <c r="Z33" s="1" t="s">
        <v>536</v>
      </c>
      <c r="AA33" s="1" t="s">
        <v>185</v>
      </c>
      <c r="AB33" s="1" t="s">
        <v>537</v>
      </c>
      <c r="AC33" s="64" t="s">
        <v>445</v>
      </c>
      <c r="AD33" s="1" t="s">
        <v>501</v>
      </c>
      <c r="AE33" s="1" t="s">
        <v>538</v>
      </c>
      <c r="AF33" s="1"/>
      <c r="AG33" s="65"/>
      <c r="AH33" s="1"/>
      <c r="AI33" s="1"/>
      <c r="AJ33" s="1"/>
      <c r="AK33" s="1"/>
      <c r="AL33" s="1"/>
      <c r="AM33" s="1"/>
      <c r="AN33" s="1"/>
      <c r="AO33" s="18" t="s">
        <v>539</v>
      </c>
      <c r="AP33" s="18" t="s">
        <v>540</v>
      </c>
      <c r="AQ33" s="1"/>
      <c r="AR33" s="1"/>
      <c r="AS33" s="1"/>
      <c r="AT33" s="1"/>
      <c r="AU33" s="20" t="s">
        <v>387</v>
      </c>
      <c r="AV33" s="20" t="s">
        <v>346</v>
      </c>
      <c r="AW33" s="22" t="s">
        <v>471</v>
      </c>
      <c r="AX33" s="20" t="s">
        <v>378</v>
      </c>
      <c r="AY33" s="20" t="s">
        <v>388</v>
      </c>
    </row>
    <row r="34" spans="12:51" x14ac:dyDescent="0.5">
      <c r="L34" s="1" t="s">
        <v>523</v>
      </c>
      <c r="M34" s="1" t="s">
        <v>497</v>
      </c>
      <c r="N34" s="1" t="s">
        <v>461</v>
      </c>
      <c r="O34" s="1" t="s">
        <v>476</v>
      </c>
      <c r="P34" s="1" t="s">
        <v>185</v>
      </c>
      <c r="Q34" s="1" t="s">
        <v>489</v>
      </c>
      <c r="R34" s="1"/>
      <c r="S34" s="64" t="s">
        <v>523</v>
      </c>
      <c r="T34" s="1" t="s">
        <v>497</v>
      </c>
      <c r="U34" s="1" t="s">
        <v>461</v>
      </c>
      <c r="V34" s="1" t="s">
        <v>476</v>
      </c>
      <c r="W34" s="1" t="s">
        <v>185</v>
      </c>
      <c r="X34" s="1" t="s">
        <v>489</v>
      </c>
      <c r="Y34" s="74" t="s">
        <v>184</v>
      </c>
      <c r="Z34" s="1" t="s">
        <v>449</v>
      </c>
      <c r="AA34" s="1" t="s">
        <v>541</v>
      </c>
      <c r="AB34" s="1" t="s">
        <v>502</v>
      </c>
      <c r="AC34" s="64" t="s">
        <v>542</v>
      </c>
      <c r="AD34" s="1"/>
      <c r="AE34" s="1" t="s">
        <v>543</v>
      </c>
      <c r="AF34" s="1"/>
      <c r="AG34" s="65"/>
      <c r="AH34" s="1"/>
      <c r="AI34" s="1"/>
      <c r="AJ34" s="1"/>
      <c r="AK34" s="1"/>
      <c r="AL34" s="1"/>
      <c r="AM34" s="1"/>
      <c r="AN34" s="1"/>
      <c r="AO34" s="18" t="s">
        <v>544</v>
      </c>
      <c r="AP34" s="18" t="s">
        <v>545</v>
      </c>
      <c r="AQ34" s="1"/>
      <c r="AR34" s="1"/>
      <c r="AS34" s="1"/>
      <c r="AT34" s="1"/>
      <c r="AU34" s="20" t="s">
        <v>485</v>
      </c>
      <c r="AV34" s="20" t="s">
        <v>381</v>
      </c>
      <c r="AW34" s="21" t="s">
        <v>420</v>
      </c>
      <c r="AX34" s="20" t="s">
        <v>438</v>
      </c>
      <c r="AY34" s="20" t="s">
        <v>427</v>
      </c>
    </row>
    <row r="35" spans="12:51" x14ac:dyDescent="0.5">
      <c r="L35" s="1" t="s">
        <v>546</v>
      </c>
      <c r="M35" s="1" t="s">
        <v>547</v>
      </c>
      <c r="N35" s="1" t="s">
        <v>548</v>
      </c>
      <c r="O35" s="1" t="s">
        <v>544</v>
      </c>
      <c r="P35" s="1" t="s">
        <v>401</v>
      </c>
      <c r="Q35" s="1" t="s">
        <v>455</v>
      </c>
      <c r="R35" s="1"/>
      <c r="S35" s="64" t="s">
        <v>546</v>
      </c>
      <c r="T35" s="1" t="s">
        <v>547</v>
      </c>
      <c r="U35" s="1" t="s">
        <v>548</v>
      </c>
      <c r="V35" s="1" t="s">
        <v>544</v>
      </c>
      <c r="W35" s="1" t="s">
        <v>401</v>
      </c>
      <c r="X35" s="1" t="s">
        <v>455</v>
      </c>
      <c r="Y35" s="64" t="s">
        <v>185</v>
      </c>
      <c r="Z35" s="1" t="s">
        <v>314</v>
      </c>
      <c r="AA35" s="1" t="s">
        <v>549</v>
      </c>
      <c r="AB35" s="1" t="s">
        <v>550</v>
      </c>
      <c r="AC35" s="68" t="s">
        <v>546</v>
      </c>
      <c r="AD35" s="1"/>
      <c r="AE35" s="1" t="s">
        <v>501</v>
      </c>
      <c r="AF35" s="1"/>
      <c r="AG35" s="65"/>
      <c r="AH35" s="1"/>
      <c r="AI35" s="1"/>
      <c r="AJ35" s="1"/>
      <c r="AK35" s="1"/>
      <c r="AL35" s="1"/>
      <c r="AM35" s="1"/>
      <c r="AN35" s="1"/>
      <c r="AO35" s="18" t="s">
        <v>390</v>
      </c>
      <c r="AP35" s="18" t="s">
        <v>458</v>
      </c>
      <c r="AQ35" s="1"/>
      <c r="AR35" s="1"/>
      <c r="AS35" s="1"/>
      <c r="AT35" s="1"/>
      <c r="AU35" s="20" t="s">
        <v>401</v>
      </c>
      <c r="AV35" s="22" t="s">
        <v>377</v>
      </c>
      <c r="AW35" s="19" t="s">
        <v>62</v>
      </c>
      <c r="AX35" s="22" t="s">
        <v>385</v>
      </c>
      <c r="AY35" s="20" t="s">
        <v>352</v>
      </c>
    </row>
    <row r="36" spans="12:51" x14ac:dyDescent="0.5">
      <c r="L36" s="1" t="s">
        <v>201</v>
      </c>
      <c r="M36" s="1" t="s">
        <v>486</v>
      </c>
      <c r="N36" s="1" t="s">
        <v>477</v>
      </c>
      <c r="O36" s="1" t="s">
        <v>551</v>
      </c>
      <c r="P36" s="1" t="s">
        <v>517</v>
      </c>
      <c r="Q36" s="1" t="s">
        <v>179</v>
      </c>
      <c r="R36" s="1"/>
      <c r="S36" s="64" t="s">
        <v>201</v>
      </c>
      <c r="T36" s="1" t="s">
        <v>486</v>
      </c>
      <c r="U36" s="1" t="s">
        <v>477</v>
      </c>
      <c r="V36" s="1" t="s">
        <v>551</v>
      </c>
      <c r="W36" s="1" t="s">
        <v>517</v>
      </c>
      <c r="X36" s="66" t="s">
        <v>179</v>
      </c>
      <c r="Y36" s="64" t="s">
        <v>469</v>
      </c>
      <c r="Z36" s="1" t="s">
        <v>552</v>
      </c>
      <c r="AA36" s="1" t="s">
        <v>553</v>
      </c>
      <c r="AB36" s="1" t="s">
        <v>445</v>
      </c>
      <c r="AC36" s="64" t="s">
        <v>501</v>
      </c>
      <c r="AD36" s="1"/>
      <c r="AE36" s="1" t="s">
        <v>554</v>
      </c>
      <c r="AF36" s="1"/>
      <c r="AG36" s="65"/>
      <c r="AH36" s="1"/>
      <c r="AI36" s="1"/>
      <c r="AJ36" s="1"/>
      <c r="AK36" s="1"/>
      <c r="AL36" s="1"/>
      <c r="AM36" s="1"/>
      <c r="AN36" s="1"/>
      <c r="AO36" s="1"/>
      <c r="AP36" s="18" t="s">
        <v>509</v>
      </c>
      <c r="AQ36" s="1"/>
      <c r="AR36" s="1"/>
      <c r="AS36" s="1"/>
      <c r="AT36" s="1"/>
      <c r="AU36" s="20" t="s">
        <v>411</v>
      </c>
      <c r="AV36" s="20" t="s">
        <v>357</v>
      </c>
      <c r="AW36" s="20" t="s">
        <v>387</v>
      </c>
      <c r="AX36" s="22" t="s">
        <v>444</v>
      </c>
      <c r="AY36" s="20" t="s">
        <v>455</v>
      </c>
    </row>
    <row r="37" spans="12:51" x14ac:dyDescent="0.5">
      <c r="L37" s="1" t="s">
        <v>555</v>
      </c>
      <c r="M37" s="1" t="s">
        <v>493</v>
      </c>
      <c r="N37" s="1" t="s">
        <v>556</v>
      </c>
      <c r="O37" s="1"/>
      <c r="P37" s="1" t="s">
        <v>200</v>
      </c>
      <c r="Q37" s="1" t="s">
        <v>441</v>
      </c>
      <c r="R37" s="1"/>
      <c r="S37" s="64" t="s">
        <v>555</v>
      </c>
      <c r="T37" s="1" t="s">
        <v>493</v>
      </c>
      <c r="U37" s="1" t="s">
        <v>556</v>
      </c>
      <c r="V37" s="1"/>
      <c r="W37" s="1" t="s">
        <v>200</v>
      </c>
      <c r="X37" s="1" t="s">
        <v>441</v>
      </c>
      <c r="Y37" s="64" t="s">
        <v>557</v>
      </c>
      <c r="Z37" s="1" t="s">
        <v>558</v>
      </c>
      <c r="AA37" s="1" t="s">
        <v>200</v>
      </c>
      <c r="AB37" s="1" t="s">
        <v>523</v>
      </c>
      <c r="AC37" s="64" t="s">
        <v>492</v>
      </c>
      <c r="AD37" s="1"/>
      <c r="AE37" s="1" t="s">
        <v>498</v>
      </c>
      <c r="AF37" s="1"/>
      <c r="AG37" s="65"/>
      <c r="AH37" s="1"/>
      <c r="AI37" s="1"/>
      <c r="AJ37" s="1"/>
      <c r="AK37" s="1"/>
      <c r="AL37" s="1"/>
      <c r="AM37" s="1"/>
      <c r="AN37" s="1"/>
      <c r="AO37" s="1"/>
      <c r="AP37" s="18" t="s">
        <v>559</v>
      </c>
      <c r="AQ37" s="1"/>
      <c r="AR37" s="1"/>
      <c r="AS37" s="1"/>
      <c r="AT37" s="1"/>
      <c r="AU37" s="20" t="s">
        <v>200</v>
      </c>
      <c r="AV37" s="20" t="s">
        <v>177</v>
      </c>
      <c r="AW37" s="22" t="s">
        <v>485</v>
      </c>
      <c r="AX37" s="22" t="s">
        <v>383</v>
      </c>
      <c r="AY37" s="20" t="s">
        <v>441</v>
      </c>
    </row>
    <row r="38" spans="12:51" x14ac:dyDescent="0.5">
      <c r="L38" s="1" t="s">
        <v>560</v>
      </c>
      <c r="M38" s="1" t="s">
        <v>501</v>
      </c>
      <c r="N38" s="1" t="s">
        <v>476</v>
      </c>
      <c r="O38" s="1"/>
      <c r="P38" s="1" t="s">
        <v>561</v>
      </c>
      <c r="Q38" s="1" t="s">
        <v>180</v>
      </c>
      <c r="R38" s="1"/>
      <c r="S38" s="64" t="s">
        <v>560</v>
      </c>
      <c r="T38" s="1" t="s">
        <v>501</v>
      </c>
      <c r="U38" s="1" t="s">
        <v>476</v>
      </c>
      <c r="V38" s="1"/>
      <c r="W38" s="1" t="s">
        <v>561</v>
      </c>
      <c r="X38" s="1" t="s">
        <v>180</v>
      </c>
      <c r="Y38" s="64" t="s">
        <v>562</v>
      </c>
      <c r="Z38" s="75" t="s">
        <v>201</v>
      </c>
      <c r="AA38" s="1" t="s">
        <v>563</v>
      </c>
      <c r="AB38" s="1" t="s">
        <v>564</v>
      </c>
      <c r="AC38" s="64" t="s">
        <v>565</v>
      </c>
      <c r="AD38" s="1"/>
      <c r="AE38" s="1" t="s">
        <v>565</v>
      </c>
      <c r="AF38" s="1"/>
      <c r="AG38" s="65"/>
      <c r="AH38" s="1"/>
      <c r="AI38" s="1"/>
      <c r="AJ38" s="1"/>
      <c r="AK38" s="1"/>
      <c r="AL38" s="1"/>
      <c r="AM38" s="1"/>
      <c r="AN38" s="1"/>
      <c r="AO38" s="1"/>
      <c r="AP38" s="18" t="s">
        <v>566</v>
      </c>
      <c r="AQ38" s="1"/>
      <c r="AR38" s="1"/>
      <c r="AS38" s="1"/>
      <c r="AT38" s="1"/>
      <c r="AU38" s="20" t="s">
        <v>488</v>
      </c>
      <c r="AV38" s="19" t="s">
        <v>388</v>
      </c>
      <c r="AW38" s="19" t="s">
        <v>200</v>
      </c>
      <c r="AX38" s="22" t="s">
        <v>456</v>
      </c>
      <c r="AY38" s="20" t="s">
        <v>503</v>
      </c>
    </row>
    <row r="39" spans="12:51" x14ac:dyDescent="0.5">
      <c r="L39" s="1" t="s">
        <v>476</v>
      </c>
      <c r="M39" s="1" t="s">
        <v>544</v>
      </c>
      <c r="N39" s="1" t="s">
        <v>547</v>
      </c>
      <c r="O39" s="1"/>
      <c r="P39" s="1" t="s">
        <v>567</v>
      </c>
      <c r="Q39" s="1" t="s">
        <v>180</v>
      </c>
      <c r="R39" s="1"/>
      <c r="S39" s="64" t="s">
        <v>476</v>
      </c>
      <c r="T39" s="1" t="s">
        <v>544</v>
      </c>
      <c r="U39" s="1" t="s">
        <v>547</v>
      </c>
      <c r="V39" s="1"/>
      <c r="W39" s="1" t="s">
        <v>567</v>
      </c>
      <c r="X39" s="1" t="s">
        <v>180</v>
      </c>
      <c r="Y39" s="64" t="s">
        <v>568</v>
      </c>
      <c r="Z39" s="1" t="s">
        <v>560</v>
      </c>
      <c r="AA39" s="1" t="s">
        <v>400</v>
      </c>
      <c r="AB39" s="1" t="s">
        <v>201</v>
      </c>
      <c r="AC39" s="64" t="s">
        <v>525</v>
      </c>
      <c r="AD39" s="1"/>
      <c r="AE39" s="1" t="s">
        <v>522</v>
      </c>
      <c r="AF39" s="1"/>
      <c r="AG39" s="65"/>
      <c r="AH39" s="1"/>
      <c r="AI39" s="1"/>
      <c r="AJ39" s="1"/>
      <c r="AK39" s="1"/>
      <c r="AL39" s="1"/>
      <c r="AM39" s="1"/>
      <c r="AN39" s="1"/>
      <c r="AO39" s="1"/>
      <c r="AP39" s="18" t="s">
        <v>439</v>
      </c>
      <c r="AQ39" s="1"/>
      <c r="AR39" s="1"/>
      <c r="AS39" s="1"/>
      <c r="AT39" s="1"/>
      <c r="AU39" s="20" t="s">
        <v>400</v>
      </c>
      <c r="AV39" s="21" t="s">
        <v>402</v>
      </c>
      <c r="AW39" s="22" t="s">
        <v>478</v>
      </c>
      <c r="AX39" s="22" t="s">
        <v>321</v>
      </c>
      <c r="AY39" s="20" t="s">
        <v>384</v>
      </c>
    </row>
    <row r="40" spans="12:51" ht="17" thickBot="1" x14ac:dyDescent="0.55000000000000004">
      <c r="L40" s="1" t="s">
        <v>497</v>
      </c>
      <c r="M40" s="1" t="s">
        <v>500</v>
      </c>
      <c r="N40" s="1" t="s">
        <v>193</v>
      </c>
      <c r="O40" s="1"/>
      <c r="P40" s="1" t="s">
        <v>557</v>
      </c>
      <c r="Q40" s="1" t="s">
        <v>569</v>
      </c>
      <c r="R40" s="1"/>
      <c r="S40" s="64" t="s">
        <v>497</v>
      </c>
      <c r="T40" s="1" t="s">
        <v>500</v>
      </c>
      <c r="U40" s="66" t="s">
        <v>193</v>
      </c>
      <c r="V40" s="1"/>
      <c r="W40" s="1" t="s">
        <v>557</v>
      </c>
      <c r="X40" s="1" t="s">
        <v>569</v>
      </c>
      <c r="Y40" s="64" t="s">
        <v>568</v>
      </c>
      <c r="Z40" s="1" t="s">
        <v>493</v>
      </c>
      <c r="AA40" s="1" t="s">
        <v>520</v>
      </c>
      <c r="AB40" s="1" t="s">
        <v>570</v>
      </c>
      <c r="AC40" s="70" t="s">
        <v>571</v>
      </c>
      <c r="AD40" s="71"/>
      <c r="AE40" s="1" t="s">
        <v>652</v>
      </c>
      <c r="AF40" s="71"/>
      <c r="AG40" s="72"/>
      <c r="AH40" s="1"/>
      <c r="AI40" s="1"/>
      <c r="AJ40" s="1"/>
      <c r="AK40" s="1"/>
      <c r="AL40" s="1"/>
      <c r="AM40" s="1"/>
      <c r="AN40" s="1"/>
      <c r="AO40" s="1"/>
      <c r="AP40" s="18" t="s">
        <v>572</v>
      </c>
      <c r="AQ40" s="1"/>
      <c r="AR40" s="1"/>
      <c r="AS40" s="1"/>
      <c r="AT40" s="1"/>
      <c r="AU40" s="20" t="s">
        <v>419</v>
      </c>
      <c r="AV40" s="22" t="s">
        <v>367</v>
      </c>
      <c r="AW40" s="20" t="s">
        <v>386</v>
      </c>
      <c r="AX40" s="22" t="s">
        <v>466</v>
      </c>
      <c r="AY40" s="20" t="s">
        <v>399</v>
      </c>
    </row>
    <row r="41" spans="12:51" x14ac:dyDescent="0.5">
      <c r="L41" s="1" t="s">
        <v>573</v>
      </c>
      <c r="M41" s="1" t="s">
        <v>196</v>
      </c>
      <c r="N41" s="1" t="s">
        <v>513</v>
      </c>
      <c r="O41" s="1"/>
      <c r="P41" s="1" t="s">
        <v>449</v>
      </c>
      <c r="Q41" s="1" t="s">
        <v>574</v>
      </c>
      <c r="R41" s="1"/>
      <c r="S41" s="64" t="s">
        <v>573</v>
      </c>
      <c r="T41" s="1" t="s">
        <v>196</v>
      </c>
      <c r="U41" s="1" t="s">
        <v>513</v>
      </c>
      <c r="V41" s="1"/>
      <c r="W41" s="1" t="s">
        <v>449</v>
      </c>
      <c r="X41" s="1" t="s">
        <v>574</v>
      </c>
      <c r="Y41" s="64" t="s">
        <v>502</v>
      </c>
      <c r="Z41" s="1" t="s">
        <v>575</v>
      </c>
      <c r="AA41" s="1" t="s">
        <v>536</v>
      </c>
      <c r="AB41" s="65" t="s">
        <v>576</v>
      </c>
      <c r="AC41" s="1"/>
      <c r="AD41" s="1"/>
      <c r="AE41" s="1"/>
      <c r="AF41" s="1"/>
      <c r="AG41" s="1"/>
      <c r="AH41" s="1"/>
      <c r="AI41" s="1"/>
      <c r="AJ41" s="1"/>
      <c r="AK41" s="1"/>
      <c r="AL41" s="1"/>
      <c r="AM41" s="1"/>
      <c r="AN41" s="1"/>
      <c r="AO41" s="1"/>
      <c r="AP41" s="18" t="s">
        <v>577</v>
      </c>
      <c r="AQ41" s="1"/>
      <c r="AR41" s="1"/>
      <c r="AS41" s="1"/>
      <c r="AT41" s="1"/>
      <c r="AU41" s="20" t="s">
        <v>496</v>
      </c>
      <c r="AV41" s="20" t="s">
        <v>391</v>
      </c>
      <c r="AW41" s="22" t="s">
        <v>449</v>
      </c>
      <c r="AX41" s="20" t="s">
        <v>361</v>
      </c>
      <c r="AY41" s="20" t="s">
        <v>182</v>
      </c>
    </row>
    <row r="42" spans="12:51" x14ac:dyDescent="0.5">
      <c r="L42" s="1" t="s">
        <v>493</v>
      </c>
      <c r="M42" s="1" t="s">
        <v>578</v>
      </c>
      <c r="N42" s="1" t="s">
        <v>525</v>
      </c>
      <c r="O42" s="1"/>
      <c r="P42" s="1" t="s">
        <v>314</v>
      </c>
      <c r="Q42" s="1" t="s">
        <v>545</v>
      </c>
      <c r="R42" s="1"/>
      <c r="S42" s="64" t="s">
        <v>493</v>
      </c>
      <c r="T42" s="1" t="s">
        <v>578</v>
      </c>
      <c r="U42" s="1" t="s">
        <v>525</v>
      </c>
      <c r="V42" s="1"/>
      <c r="W42" s="1" t="s">
        <v>314</v>
      </c>
      <c r="X42" s="1" t="s">
        <v>545</v>
      </c>
      <c r="Y42" s="64" t="s">
        <v>461</v>
      </c>
      <c r="Z42" s="1"/>
      <c r="AA42" s="1" t="s">
        <v>449</v>
      </c>
      <c r="AB42" s="65" t="s">
        <v>579</v>
      </c>
      <c r="AC42" s="1"/>
      <c r="AD42" s="1"/>
      <c r="AE42" s="1"/>
      <c r="AF42" s="1"/>
      <c r="AG42" s="1"/>
      <c r="AH42" s="1"/>
      <c r="AI42" s="1"/>
      <c r="AJ42" s="1"/>
      <c r="AK42" s="1"/>
      <c r="AL42" s="1"/>
      <c r="AM42" s="1"/>
      <c r="AN42" s="1"/>
      <c r="AO42" s="1"/>
      <c r="AP42" s="18" t="s">
        <v>523</v>
      </c>
      <c r="AQ42" s="1"/>
      <c r="AR42" s="1"/>
      <c r="AS42" s="1"/>
      <c r="AT42" s="1"/>
      <c r="AU42" s="20" t="s">
        <v>440</v>
      </c>
      <c r="AV42" s="19" t="s">
        <v>352</v>
      </c>
      <c r="AW42" s="20" t="s">
        <v>188</v>
      </c>
      <c r="AX42" s="22" t="s">
        <v>330</v>
      </c>
      <c r="AY42" s="20" t="s">
        <v>62</v>
      </c>
    </row>
    <row r="43" spans="12:51" x14ac:dyDescent="0.5">
      <c r="L43" s="1" t="s">
        <v>580</v>
      </c>
      <c r="M43" s="1"/>
      <c r="N43" s="1" t="s">
        <v>571</v>
      </c>
      <c r="O43" s="1"/>
      <c r="P43" s="1" t="s">
        <v>568</v>
      </c>
      <c r="Q43" s="1" t="s">
        <v>458</v>
      </c>
      <c r="R43" s="1"/>
      <c r="S43" s="64" t="s">
        <v>580</v>
      </c>
      <c r="T43" s="1"/>
      <c r="U43" s="1" t="s">
        <v>571</v>
      </c>
      <c r="V43" s="1"/>
      <c r="W43" s="1" t="s">
        <v>568</v>
      </c>
      <c r="X43" s="1" t="s">
        <v>458</v>
      </c>
      <c r="Y43" s="64" t="s">
        <v>581</v>
      </c>
      <c r="Z43" s="1"/>
      <c r="AA43" s="1" t="s">
        <v>509</v>
      </c>
      <c r="AB43" s="65" t="s">
        <v>582</v>
      </c>
      <c r="AC43" s="1"/>
      <c r="AD43" s="1"/>
      <c r="AE43" s="1"/>
      <c r="AF43" s="1"/>
      <c r="AG43" s="1"/>
      <c r="AH43" s="1"/>
      <c r="AI43" s="1"/>
      <c r="AJ43" s="1"/>
      <c r="AK43" s="1"/>
      <c r="AL43" s="1"/>
      <c r="AM43" s="1"/>
      <c r="AN43" s="1"/>
      <c r="AO43" s="1"/>
      <c r="AP43" s="18" t="s">
        <v>583</v>
      </c>
      <c r="AQ43" s="1"/>
      <c r="AR43" s="1"/>
      <c r="AS43" s="1"/>
      <c r="AT43" s="1"/>
      <c r="AU43" s="20" t="s">
        <v>460</v>
      </c>
      <c r="AV43" s="20" t="s">
        <v>415</v>
      </c>
      <c r="AW43" s="22" t="s">
        <v>534</v>
      </c>
      <c r="AX43" s="22" t="s">
        <v>174</v>
      </c>
      <c r="AY43" s="20" t="s">
        <v>458</v>
      </c>
    </row>
    <row r="44" spans="12:51" x14ac:dyDescent="0.5">
      <c r="L44" s="1" t="s">
        <v>501</v>
      </c>
      <c r="M44" s="1"/>
      <c r="N44" s="1"/>
      <c r="O44" s="1"/>
      <c r="P44" s="1" t="s">
        <v>494</v>
      </c>
      <c r="Q44" s="1" t="s">
        <v>584</v>
      </c>
      <c r="R44" s="1"/>
      <c r="S44" s="68" t="s">
        <v>501</v>
      </c>
      <c r="T44" s="1"/>
      <c r="U44" s="1"/>
      <c r="V44" s="1"/>
      <c r="W44" s="1" t="s">
        <v>494</v>
      </c>
      <c r="X44" s="1" t="s">
        <v>584</v>
      </c>
      <c r="Y44" s="64" t="s">
        <v>523</v>
      </c>
      <c r="Z44" s="1"/>
      <c r="AA44" s="1" t="s">
        <v>585</v>
      </c>
      <c r="AB44" s="65" t="s">
        <v>573</v>
      </c>
      <c r="AC44" s="1"/>
      <c r="AD44" s="1"/>
      <c r="AE44" s="1"/>
      <c r="AF44" s="1"/>
      <c r="AG44" s="1"/>
      <c r="AH44" s="1"/>
      <c r="AI44" s="1"/>
      <c r="AJ44" s="1"/>
      <c r="AK44" s="1"/>
      <c r="AL44" s="1"/>
      <c r="AM44" s="1"/>
      <c r="AN44" s="1"/>
      <c r="AO44" s="1"/>
      <c r="AP44" s="18" t="s">
        <v>501</v>
      </c>
      <c r="AQ44" s="1"/>
      <c r="AR44" s="1"/>
      <c r="AS44" s="1"/>
      <c r="AT44" s="1"/>
      <c r="AU44" s="20" t="s">
        <v>445</v>
      </c>
      <c r="AV44" s="22" t="s">
        <v>78</v>
      </c>
      <c r="AW44" s="20" t="s">
        <v>461</v>
      </c>
      <c r="AX44" s="22" t="s">
        <v>351</v>
      </c>
      <c r="AY44" s="20" t="s">
        <v>467</v>
      </c>
    </row>
    <row r="45" spans="12:51" x14ac:dyDescent="0.5">
      <c r="L45" s="1" t="s">
        <v>586</v>
      </c>
      <c r="M45" s="1"/>
      <c r="N45" s="1"/>
      <c r="O45" s="1"/>
      <c r="P45" s="1" t="s">
        <v>508</v>
      </c>
      <c r="Q45" s="1" t="s">
        <v>584</v>
      </c>
      <c r="R45" s="1"/>
      <c r="S45" s="64" t="s">
        <v>586</v>
      </c>
      <c r="T45" s="1"/>
      <c r="U45" s="1"/>
      <c r="V45" s="1"/>
      <c r="W45" s="1" t="s">
        <v>508</v>
      </c>
      <c r="X45" s="1" t="s">
        <v>584</v>
      </c>
      <c r="Y45" s="64" t="s">
        <v>587</v>
      </c>
      <c r="Z45" s="1"/>
      <c r="AA45" s="1" t="s">
        <v>588</v>
      </c>
      <c r="AB45" s="65" t="s">
        <v>193</v>
      </c>
      <c r="AC45" s="1"/>
      <c r="AD45" s="1"/>
      <c r="AE45" s="1"/>
      <c r="AF45" s="1"/>
      <c r="AG45" s="1"/>
      <c r="AH45" s="1"/>
      <c r="AI45" s="1"/>
      <c r="AJ45" s="1"/>
      <c r="AK45" s="1"/>
      <c r="AL45" s="1"/>
      <c r="AM45" s="1"/>
      <c r="AN45" s="1"/>
      <c r="AO45" s="1"/>
      <c r="AP45" s="18" t="s">
        <v>431</v>
      </c>
      <c r="AQ45" s="1"/>
      <c r="AR45" s="1"/>
      <c r="AS45" s="1"/>
      <c r="AT45" s="1"/>
      <c r="AU45" s="20" t="s">
        <v>533</v>
      </c>
      <c r="AV45" s="21" t="s">
        <v>421</v>
      </c>
      <c r="AW45" s="22" t="s">
        <v>548</v>
      </c>
      <c r="AX45" s="20" t="s">
        <v>337</v>
      </c>
      <c r="AY45" s="20" t="s">
        <v>475</v>
      </c>
    </row>
    <row r="46" spans="12:51" x14ac:dyDescent="0.5">
      <c r="L46" s="1"/>
      <c r="M46" s="1"/>
      <c r="N46" s="1"/>
      <c r="O46" s="1"/>
      <c r="P46" s="1" t="s">
        <v>502</v>
      </c>
      <c r="Q46" s="1" t="s">
        <v>509</v>
      </c>
      <c r="R46" s="1"/>
      <c r="S46" s="64"/>
      <c r="T46" s="1"/>
      <c r="U46" s="1"/>
      <c r="V46" s="1"/>
      <c r="W46" s="1" t="s">
        <v>502</v>
      </c>
      <c r="X46" s="1" t="s">
        <v>509</v>
      </c>
      <c r="Y46" s="64" t="s">
        <v>556</v>
      </c>
      <c r="Z46" s="1"/>
      <c r="AA46" s="1" t="s">
        <v>568</v>
      </c>
      <c r="AB46" s="65" t="s">
        <v>589</v>
      </c>
      <c r="AC46" s="1"/>
      <c r="AD46" s="1"/>
      <c r="AE46" s="1"/>
      <c r="AF46" s="1"/>
      <c r="AG46" s="1"/>
      <c r="AH46" s="1"/>
      <c r="AI46" s="1"/>
      <c r="AJ46" s="1"/>
      <c r="AK46" s="1"/>
      <c r="AL46" s="1"/>
      <c r="AM46" s="1"/>
      <c r="AN46" s="1"/>
      <c r="AO46" s="1"/>
      <c r="AP46" s="18" t="s">
        <v>571</v>
      </c>
      <c r="AQ46" s="1"/>
      <c r="AR46" s="1"/>
      <c r="AS46" s="1"/>
      <c r="AT46" s="1"/>
      <c r="AU46" s="20" t="s">
        <v>476</v>
      </c>
      <c r="AV46" s="19" t="s">
        <v>430</v>
      </c>
      <c r="AW46" s="19" t="s">
        <v>190</v>
      </c>
      <c r="AX46" s="20" t="s">
        <v>377</v>
      </c>
      <c r="AY46" s="20" t="s">
        <v>189</v>
      </c>
    </row>
    <row r="47" spans="12:51" x14ac:dyDescent="0.5">
      <c r="L47" s="1"/>
      <c r="M47" s="1"/>
      <c r="N47" s="1"/>
      <c r="O47" s="1"/>
      <c r="P47" s="1" t="s">
        <v>461</v>
      </c>
      <c r="Q47" s="1" t="s">
        <v>568</v>
      </c>
      <c r="R47" s="1"/>
      <c r="S47" s="64"/>
      <c r="T47" s="1"/>
      <c r="U47" s="1"/>
      <c r="V47" s="1"/>
      <c r="W47" s="1" t="s">
        <v>461</v>
      </c>
      <c r="X47" s="1" t="s">
        <v>568</v>
      </c>
      <c r="Y47" s="64" t="s">
        <v>590</v>
      </c>
      <c r="Z47" s="1"/>
      <c r="AA47" s="1" t="s">
        <v>537</v>
      </c>
      <c r="AB47" s="65" t="s">
        <v>493</v>
      </c>
      <c r="AC47" s="1"/>
      <c r="AD47" s="1"/>
      <c r="AE47" s="1"/>
      <c r="AF47" s="1"/>
      <c r="AG47" s="1"/>
      <c r="AH47" s="1"/>
      <c r="AI47" s="1"/>
      <c r="AJ47" s="1"/>
      <c r="AK47" s="1"/>
      <c r="AL47" s="1"/>
      <c r="AM47" s="1"/>
      <c r="AN47" s="1"/>
      <c r="AO47" s="1"/>
      <c r="AP47" s="18"/>
      <c r="AQ47" s="1"/>
      <c r="AR47" s="1"/>
      <c r="AS47" s="1"/>
      <c r="AT47" s="1"/>
      <c r="AU47" s="20" t="s">
        <v>497</v>
      </c>
      <c r="AV47" s="20" t="s">
        <v>343</v>
      </c>
      <c r="AW47" s="20" t="s">
        <v>477</v>
      </c>
      <c r="AX47" s="22" t="s">
        <v>357</v>
      </c>
      <c r="AY47" s="20" t="s">
        <v>439</v>
      </c>
    </row>
    <row r="48" spans="12:51" x14ac:dyDescent="0.5">
      <c r="L48" s="1"/>
      <c r="M48" s="1"/>
      <c r="N48" s="1"/>
      <c r="O48" s="1"/>
      <c r="P48" s="1" t="s">
        <v>461</v>
      </c>
      <c r="Q48" s="1" t="s">
        <v>494</v>
      </c>
      <c r="R48" s="1"/>
      <c r="S48" s="64"/>
      <c r="T48" s="1"/>
      <c r="U48" s="1"/>
      <c r="V48" s="1"/>
      <c r="W48" s="1" t="s">
        <v>461</v>
      </c>
      <c r="X48" s="1" t="s">
        <v>494</v>
      </c>
      <c r="Y48" s="64" t="s">
        <v>591</v>
      </c>
      <c r="Z48" s="1"/>
      <c r="AA48" s="1" t="s">
        <v>467</v>
      </c>
      <c r="AB48" s="65" t="s">
        <v>592</v>
      </c>
      <c r="AC48" s="1"/>
      <c r="AD48" s="1"/>
      <c r="AE48" s="1"/>
      <c r="AF48" s="1"/>
      <c r="AG48" s="1"/>
      <c r="AH48" s="1"/>
      <c r="AI48" s="1"/>
      <c r="AJ48" s="1"/>
      <c r="AK48" s="1"/>
      <c r="AL48" s="1"/>
      <c r="AM48" s="1"/>
      <c r="AN48" s="1"/>
      <c r="AO48" s="1"/>
      <c r="AP48" s="1"/>
      <c r="AQ48" s="1"/>
      <c r="AR48" s="1"/>
      <c r="AS48" s="1"/>
      <c r="AT48" s="1"/>
      <c r="AU48" s="20" t="s">
        <v>547</v>
      </c>
      <c r="AV48" s="21" t="s">
        <v>179</v>
      </c>
      <c r="AW48" s="22" t="s">
        <v>556</v>
      </c>
      <c r="AX48" s="20" t="s">
        <v>388</v>
      </c>
      <c r="AY48" s="20" t="s">
        <v>445</v>
      </c>
    </row>
    <row r="49" spans="16:51" x14ac:dyDescent="0.5">
      <c r="P49" s="1" t="s">
        <v>593</v>
      </c>
      <c r="Q49" s="1" t="s">
        <v>594</v>
      </c>
      <c r="R49" s="1"/>
      <c r="S49" s="64"/>
      <c r="T49" s="1"/>
      <c r="U49" s="1"/>
      <c r="V49" s="1"/>
      <c r="W49" s="1" t="s">
        <v>593</v>
      </c>
      <c r="X49" s="1" t="s">
        <v>594</v>
      </c>
      <c r="Y49" s="64" t="s">
        <v>595</v>
      </c>
      <c r="Z49" s="1"/>
      <c r="AA49" s="1" t="s">
        <v>534</v>
      </c>
      <c r="AB49" s="65" t="s">
        <v>492</v>
      </c>
      <c r="AC49" s="1"/>
      <c r="AD49" s="1"/>
      <c r="AE49" s="1"/>
      <c r="AF49" s="1"/>
      <c r="AG49" s="1"/>
      <c r="AH49" s="1"/>
      <c r="AI49" s="1"/>
      <c r="AJ49" s="1"/>
      <c r="AK49" s="1"/>
      <c r="AL49" s="1"/>
      <c r="AM49" s="1"/>
      <c r="AN49" s="1"/>
      <c r="AO49" s="1"/>
      <c r="AP49" s="1"/>
      <c r="AQ49" s="1"/>
      <c r="AR49" s="1"/>
      <c r="AS49" s="1"/>
      <c r="AT49" s="1"/>
      <c r="AU49" s="20" t="s">
        <v>486</v>
      </c>
      <c r="AV49" s="22" t="s">
        <v>441</v>
      </c>
      <c r="AW49" s="20" t="s">
        <v>476</v>
      </c>
      <c r="AX49" s="22" t="s">
        <v>427</v>
      </c>
      <c r="AY49" s="20" t="s">
        <v>457</v>
      </c>
    </row>
    <row r="50" spans="16:51" x14ac:dyDescent="0.5">
      <c r="P50" s="1" t="s">
        <v>190</v>
      </c>
      <c r="Q50" s="1" t="s">
        <v>460</v>
      </c>
      <c r="R50" s="1"/>
      <c r="S50" s="64"/>
      <c r="T50" s="1"/>
      <c r="U50" s="1"/>
      <c r="V50" s="1"/>
      <c r="W50" s="1" t="s">
        <v>190</v>
      </c>
      <c r="X50" s="1" t="s">
        <v>460</v>
      </c>
      <c r="Y50" s="64" t="s">
        <v>196</v>
      </c>
      <c r="Z50" s="1"/>
      <c r="AA50" s="1" t="s">
        <v>502</v>
      </c>
      <c r="AB50" s="65" t="s">
        <v>596</v>
      </c>
      <c r="AC50" s="1"/>
      <c r="AD50" s="1"/>
      <c r="AE50" s="1"/>
      <c r="AF50" s="1"/>
      <c r="AG50" s="1"/>
      <c r="AH50" s="1"/>
      <c r="AI50" s="1"/>
      <c r="AJ50" s="1"/>
      <c r="AK50" s="1"/>
      <c r="AL50" s="1"/>
      <c r="AM50" s="1"/>
      <c r="AN50" s="1"/>
      <c r="AO50" s="1"/>
      <c r="AP50" s="1"/>
      <c r="AQ50" s="1"/>
      <c r="AR50" s="1"/>
      <c r="AS50" s="1"/>
      <c r="AT50" s="1"/>
      <c r="AU50" s="20" t="s">
        <v>493</v>
      </c>
      <c r="AV50" s="20" t="s">
        <v>451</v>
      </c>
      <c r="AW50" s="22" t="s">
        <v>547</v>
      </c>
      <c r="AX50" s="22" t="s">
        <v>352</v>
      </c>
      <c r="AY50" s="20" t="s">
        <v>369</v>
      </c>
    </row>
    <row r="51" spans="16:51" x14ac:dyDescent="0.5">
      <c r="P51" s="1" t="s">
        <v>597</v>
      </c>
      <c r="Q51" s="1" t="s">
        <v>598</v>
      </c>
      <c r="R51" s="1"/>
      <c r="S51" s="64"/>
      <c r="T51" s="1"/>
      <c r="U51" s="1"/>
      <c r="V51" s="1"/>
      <c r="W51" s="1" t="s">
        <v>597</v>
      </c>
      <c r="X51" s="1" t="s">
        <v>598</v>
      </c>
      <c r="Y51" s="64" t="s">
        <v>575</v>
      </c>
      <c r="Z51" s="1"/>
      <c r="AA51" s="1" t="s">
        <v>461</v>
      </c>
      <c r="AB51" s="65" t="s">
        <v>599</v>
      </c>
      <c r="AC51" s="1"/>
      <c r="AD51" s="1"/>
      <c r="AE51" s="1"/>
      <c r="AF51" s="1"/>
      <c r="AG51" s="1"/>
      <c r="AH51" s="1"/>
      <c r="AI51" s="1"/>
      <c r="AJ51" s="1"/>
      <c r="AK51" s="1"/>
      <c r="AL51" s="1"/>
      <c r="AM51" s="1"/>
      <c r="AN51" s="1"/>
      <c r="AO51" s="1"/>
      <c r="AP51" s="1"/>
      <c r="AQ51" s="1"/>
      <c r="AR51" s="1"/>
      <c r="AS51" s="1"/>
      <c r="AT51" s="1"/>
      <c r="AU51" s="20" t="s">
        <v>501</v>
      </c>
      <c r="AV51" s="20" t="s">
        <v>180</v>
      </c>
      <c r="AW51" s="20" t="s">
        <v>193</v>
      </c>
      <c r="AX51" s="22" t="s">
        <v>489</v>
      </c>
      <c r="AY51" s="20" t="s">
        <v>530</v>
      </c>
    </row>
    <row r="52" spans="16:51" x14ac:dyDescent="0.5">
      <c r="P52" s="1" t="s">
        <v>558</v>
      </c>
      <c r="Q52" s="1" t="s">
        <v>583</v>
      </c>
      <c r="R52" s="1"/>
      <c r="S52" s="64"/>
      <c r="T52" s="1"/>
      <c r="U52" s="1"/>
      <c r="V52" s="1"/>
      <c r="W52" s="1" t="s">
        <v>558</v>
      </c>
      <c r="X52" s="1" t="s">
        <v>583</v>
      </c>
      <c r="Y52" s="64" t="s">
        <v>198</v>
      </c>
      <c r="Z52" s="1"/>
      <c r="AA52" s="1" t="s">
        <v>600</v>
      </c>
      <c r="AB52" s="65" t="s">
        <v>601</v>
      </c>
      <c r="AC52" s="1"/>
      <c r="AD52" s="1"/>
      <c r="AE52" s="1"/>
      <c r="AF52" s="1"/>
      <c r="AG52" s="1"/>
      <c r="AH52" s="1"/>
      <c r="AI52" s="1"/>
      <c r="AJ52" s="1"/>
      <c r="AK52" s="1"/>
      <c r="AL52" s="1"/>
      <c r="AM52" s="1"/>
      <c r="AN52" s="1"/>
      <c r="AO52" s="1"/>
      <c r="AP52" s="1"/>
      <c r="AQ52" s="1"/>
      <c r="AR52" s="1"/>
      <c r="AS52" s="1"/>
      <c r="AT52" s="1"/>
      <c r="AU52" s="20" t="s">
        <v>544</v>
      </c>
      <c r="AV52" s="19" t="s">
        <v>414</v>
      </c>
      <c r="AW52" s="21" t="s">
        <v>486</v>
      </c>
      <c r="AX52" s="20" t="s">
        <v>446</v>
      </c>
      <c r="AY52" s="20" t="s">
        <v>538</v>
      </c>
    </row>
    <row r="53" spans="16:51" x14ac:dyDescent="0.5">
      <c r="P53" s="1" t="s">
        <v>460</v>
      </c>
      <c r="Q53" s="1" t="s">
        <v>602</v>
      </c>
      <c r="R53" s="1"/>
      <c r="S53" s="64"/>
      <c r="T53" s="1"/>
      <c r="U53" s="1"/>
      <c r="V53" s="1"/>
      <c r="W53" s="1" t="s">
        <v>460</v>
      </c>
      <c r="X53" s="1" t="s">
        <v>602</v>
      </c>
      <c r="Y53" s="64"/>
      <c r="Z53" s="1"/>
      <c r="AA53" s="1" t="s">
        <v>190</v>
      </c>
      <c r="AB53" s="65" t="s">
        <v>413</v>
      </c>
      <c r="AC53" s="1"/>
      <c r="AD53" s="1"/>
      <c r="AE53" s="1"/>
      <c r="AF53" s="1"/>
      <c r="AG53" s="1"/>
      <c r="AH53" s="1"/>
      <c r="AI53" s="1"/>
      <c r="AJ53" s="1"/>
      <c r="AK53" s="1"/>
      <c r="AL53" s="1"/>
      <c r="AM53" s="1"/>
      <c r="AN53" s="1"/>
      <c r="AO53" s="1"/>
      <c r="AP53" s="1"/>
      <c r="AQ53" s="1"/>
      <c r="AR53" s="1"/>
      <c r="AS53" s="1"/>
      <c r="AT53" s="1"/>
      <c r="AU53" s="20" t="s">
        <v>500</v>
      </c>
      <c r="AV53" s="20" t="s">
        <v>471</v>
      </c>
      <c r="AW53" s="19" t="s">
        <v>501</v>
      </c>
      <c r="AX53" s="22" t="s">
        <v>455</v>
      </c>
      <c r="AY53" s="20" t="s">
        <v>201</v>
      </c>
    </row>
    <row r="54" spans="16:51" x14ac:dyDescent="0.5">
      <c r="P54" s="1" t="s">
        <v>581</v>
      </c>
      <c r="Q54" s="1" t="s">
        <v>193</v>
      </c>
      <c r="R54" s="1"/>
      <c r="S54" s="64"/>
      <c r="T54" s="1"/>
      <c r="U54" s="1"/>
      <c r="V54" s="1"/>
      <c r="W54" s="1" t="s">
        <v>581</v>
      </c>
      <c r="X54" s="66" t="s">
        <v>193</v>
      </c>
      <c r="Y54" s="64"/>
      <c r="Z54" s="1"/>
      <c r="AA54" s="1" t="s">
        <v>603</v>
      </c>
      <c r="AB54" s="65" t="s">
        <v>604</v>
      </c>
      <c r="AC54" s="1"/>
      <c r="AD54" s="1"/>
      <c r="AE54" s="1"/>
      <c r="AF54" s="1"/>
      <c r="AG54" s="1"/>
      <c r="AH54" s="1"/>
      <c r="AI54" s="1"/>
      <c r="AJ54" s="1"/>
      <c r="AK54" s="1"/>
      <c r="AL54" s="1"/>
      <c r="AM54" s="1"/>
      <c r="AN54" s="1"/>
      <c r="AO54" s="1"/>
      <c r="AP54" s="1"/>
      <c r="AQ54" s="1"/>
      <c r="AR54" s="1"/>
      <c r="AS54" s="1"/>
      <c r="AT54" s="1"/>
      <c r="AU54" s="20" t="s">
        <v>196</v>
      </c>
      <c r="AV54" s="20" t="s">
        <v>387</v>
      </c>
      <c r="AW54" s="21" t="s">
        <v>507</v>
      </c>
      <c r="AX54" s="20" t="s">
        <v>441</v>
      </c>
      <c r="AY54" s="20" t="s">
        <v>476</v>
      </c>
    </row>
    <row r="55" spans="16:51" x14ac:dyDescent="0.5">
      <c r="P55" s="1" t="s">
        <v>192</v>
      </c>
      <c r="Q55" s="1" t="s">
        <v>591</v>
      </c>
      <c r="R55" s="1"/>
      <c r="S55" s="64"/>
      <c r="T55" s="1"/>
      <c r="U55" s="1"/>
      <c r="V55" s="1"/>
      <c r="W55" s="1" t="s">
        <v>192</v>
      </c>
      <c r="X55" s="1" t="s">
        <v>591</v>
      </c>
      <c r="Y55" s="64"/>
      <c r="Z55" s="1"/>
      <c r="AA55" s="1" t="s">
        <v>477</v>
      </c>
      <c r="AB55" s="65" t="s">
        <v>500</v>
      </c>
      <c r="AC55" s="1"/>
      <c r="AD55" s="1"/>
      <c r="AE55" s="1"/>
      <c r="AF55" s="1"/>
      <c r="AG55" s="1"/>
      <c r="AH55" s="1"/>
      <c r="AI55" s="1"/>
      <c r="AJ55" s="1"/>
      <c r="AK55" s="1"/>
      <c r="AL55" s="1"/>
      <c r="AM55" s="1"/>
      <c r="AN55" s="1"/>
      <c r="AO55" s="1"/>
      <c r="AP55" s="1"/>
      <c r="AQ55" s="1"/>
      <c r="AR55" s="1"/>
      <c r="AS55" s="1"/>
      <c r="AT55" s="1"/>
      <c r="AU55" s="20" t="s">
        <v>578</v>
      </c>
      <c r="AV55" s="22" t="s">
        <v>485</v>
      </c>
      <c r="AW55" s="22" t="s">
        <v>513</v>
      </c>
      <c r="AX55" s="22" t="s">
        <v>503</v>
      </c>
      <c r="AY55" s="20" t="s">
        <v>486</v>
      </c>
    </row>
    <row r="56" spans="16:51" x14ac:dyDescent="0.5">
      <c r="P56" s="1" t="s">
        <v>369</v>
      </c>
      <c r="Q56" s="1" t="s">
        <v>493</v>
      </c>
      <c r="R56" s="1"/>
      <c r="S56" s="64"/>
      <c r="T56" s="1"/>
      <c r="U56" s="1"/>
      <c r="V56" s="1"/>
      <c r="W56" s="1" t="s">
        <v>369</v>
      </c>
      <c r="X56" s="1" t="s">
        <v>493</v>
      </c>
      <c r="Y56" s="64"/>
      <c r="Z56" s="1"/>
      <c r="AA56" s="1" t="s">
        <v>533</v>
      </c>
      <c r="AB56" s="65" t="s">
        <v>605</v>
      </c>
      <c r="AC56" s="1"/>
      <c r="AD56" s="1"/>
      <c r="AE56" s="1"/>
      <c r="AF56" s="1"/>
      <c r="AG56" s="1"/>
      <c r="AH56" s="1"/>
      <c r="AI56" s="1"/>
      <c r="AJ56" s="1"/>
      <c r="AK56" s="1"/>
      <c r="AL56" s="1"/>
      <c r="AM56" s="1"/>
      <c r="AN56" s="1"/>
      <c r="AO56" s="1"/>
      <c r="AP56" s="1"/>
      <c r="AQ56" s="1"/>
      <c r="AR56" s="1"/>
      <c r="AS56" s="1"/>
      <c r="AT56" s="1"/>
      <c r="AU56" s="24"/>
      <c r="AV56" s="21" t="s">
        <v>401</v>
      </c>
      <c r="AW56" s="21" t="s">
        <v>522</v>
      </c>
      <c r="AX56" s="20" t="s">
        <v>384</v>
      </c>
      <c r="AY56" s="20" t="s">
        <v>501</v>
      </c>
    </row>
    <row r="57" spans="16:51" x14ac:dyDescent="0.5">
      <c r="P57" s="1" t="s">
        <v>606</v>
      </c>
      <c r="Q57" s="1" t="s">
        <v>501</v>
      </c>
      <c r="R57" s="1"/>
      <c r="S57" s="64"/>
      <c r="T57" s="1"/>
      <c r="U57" s="1"/>
      <c r="V57" s="1"/>
      <c r="W57" s="1" t="s">
        <v>606</v>
      </c>
      <c r="X57" s="1" t="s">
        <v>501</v>
      </c>
      <c r="Y57" s="64"/>
      <c r="Z57" s="1"/>
      <c r="AA57" s="1" t="s">
        <v>192</v>
      </c>
      <c r="AB57" s="65" t="s">
        <v>607</v>
      </c>
      <c r="AC57" s="1"/>
      <c r="AD57" s="1"/>
      <c r="AE57" s="1"/>
      <c r="AF57" s="1"/>
      <c r="AG57" s="1"/>
      <c r="AH57" s="1"/>
      <c r="AI57" s="1"/>
      <c r="AJ57" s="1"/>
      <c r="AK57" s="1"/>
      <c r="AL57" s="1"/>
      <c r="AM57" s="1"/>
      <c r="AN57" s="1"/>
      <c r="AO57" s="1"/>
      <c r="AP57" s="1"/>
      <c r="AQ57" s="1"/>
      <c r="AR57" s="1"/>
      <c r="AS57" s="1"/>
      <c r="AT57" s="1"/>
      <c r="AU57" s="1"/>
      <c r="AV57" s="22" t="s">
        <v>469</v>
      </c>
      <c r="AW57" s="20" t="s">
        <v>525</v>
      </c>
      <c r="AX57" s="20" t="s">
        <v>399</v>
      </c>
      <c r="AY57" s="20" t="s">
        <v>554</v>
      </c>
    </row>
    <row r="58" spans="16:51" x14ac:dyDescent="0.5">
      <c r="P58" s="1" t="s">
        <v>193</v>
      </c>
      <c r="Q58" s="1" t="s">
        <v>194</v>
      </c>
      <c r="R58" s="1"/>
      <c r="S58" s="64"/>
      <c r="T58" s="1"/>
      <c r="U58" s="1"/>
      <c r="V58" s="1"/>
      <c r="W58" s="1" t="s">
        <v>193</v>
      </c>
      <c r="X58" s="1" t="s">
        <v>194</v>
      </c>
      <c r="Y58" s="64"/>
      <c r="Z58" s="1"/>
      <c r="AA58" s="1" t="s">
        <v>608</v>
      </c>
      <c r="AB58" s="65" t="s">
        <v>578</v>
      </c>
      <c r="AC58" s="1"/>
      <c r="AD58" s="1"/>
      <c r="AE58" s="1"/>
      <c r="AF58" s="1"/>
      <c r="AG58" s="1"/>
      <c r="AH58" s="1"/>
      <c r="AI58" s="1"/>
      <c r="AJ58" s="1"/>
      <c r="AK58" s="1"/>
      <c r="AL58" s="1"/>
      <c r="AM58" s="1"/>
      <c r="AN58" s="1"/>
      <c r="AO58" s="1"/>
      <c r="AP58" s="1"/>
      <c r="AQ58" s="1"/>
      <c r="AR58" s="1"/>
      <c r="AS58" s="1"/>
      <c r="AT58" s="1"/>
      <c r="AU58" s="1"/>
      <c r="AV58" s="20" t="s">
        <v>200</v>
      </c>
      <c r="AW58" s="19"/>
      <c r="AX58" s="20" t="s">
        <v>409</v>
      </c>
      <c r="AY58" s="20" t="s">
        <v>522</v>
      </c>
    </row>
    <row r="59" spans="16:51" x14ac:dyDescent="0.5">
      <c r="P59" s="1" t="s">
        <v>591</v>
      </c>
      <c r="Q59" s="1" t="s">
        <v>609</v>
      </c>
      <c r="R59" s="1"/>
      <c r="S59" s="64"/>
      <c r="T59" s="1"/>
      <c r="U59" s="1"/>
      <c r="V59" s="1"/>
      <c r="W59" s="1" t="s">
        <v>591</v>
      </c>
      <c r="X59" s="1" t="s">
        <v>609</v>
      </c>
      <c r="Y59" s="64"/>
      <c r="Z59" s="1"/>
      <c r="AA59" s="1" t="s">
        <v>546</v>
      </c>
      <c r="AB59" s="65" t="s">
        <v>525</v>
      </c>
      <c r="AC59" s="1"/>
      <c r="AD59" s="1"/>
      <c r="AE59" s="1"/>
      <c r="AF59" s="1"/>
      <c r="AG59" s="1"/>
      <c r="AH59" s="1"/>
      <c r="AI59" s="1"/>
      <c r="AJ59" s="1"/>
      <c r="AK59" s="1"/>
      <c r="AL59" s="1"/>
      <c r="AM59" s="1"/>
      <c r="AN59" s="1"/>
      <c r="AO59" s="1"/>
      <c r="AP59" s="1"/>
      <c r="AQ59" s="1"/>
      <c r="AR59" s="1"/>
      <c r="AS59" s="1"/>
      <c r="AT59" s="1"/>
      <c r="AU59" s="18"/>
      <c r="AV59" s="20" t="s">
        <v>488</v>
      </c>
      <c r="AW59" s="19"/>
      <c r="AX59" s="20" t="s">
        <v>182</v>
      </c>
      <c r="AY59" s="20" t="s">
        <v>571</v>
      </c>
    </row>
    <row r="60" spans="16:51" x14ac:dyDescent="0.5">
      <c r="P60" s="1" t="s">
        <v>595</v>
      </c>
      <c r="Q60" s="1" t="s">
        <v>565</v>
      </c>
      <c r="R60" s="1"/>
      <c r="S60" s="64"/>
      <c r="T60" s="1"/>
      <c r="U60" s="1"/>
      <c r="V60" s="1"/>
      <c r="W60" s="1" t="s">
        <v>595</v>
      </c>
      <c r="X60" s="1" t="s">
        <v>565</v>
      </c>
      <c r="Y60" s="64"/>
      <c r="Z60" s="1"/>
      <c r="AA60" s="1" t="s">
        <v>610</v>
      </c>
      <c r="AB60" s="65" t="s">
        <v>611</v>
      </c>
      <c r="AC60" s="1"/>
      <c r="AD60" s="1"/>
      <c r="AE60" s="1"/>
      <c r="AF60" s="1"/>
      <c r="AG60" s="1"/>
      <c r="AH60" s="1"/>
      <c r="AI60" s="1"/>
      <c r="AJ60" s="1"/>
      <c r="AK60" s="1"/>
      <c r="AL60" s="1"/>
      <c r="AM60" s="1"/>
      <c r="AN60" s="1"/>
      <c r="AO60" s="1"/>
      <c r="AP60" s="1"/>
      <c r="AQ60" s="1"/>
      <c r="AR60" s="1"/>
      <c r="AS60" s="1"/>
      <c r="AT60" s="1"/>
      <c r="AU60" s="1"/>
      <c r="AV60" s="22" t="s">
        <v>478</v>
      </c>
      <c r="AW60" s="19"/>
      <c r="AX60" s="20" t="s">
        <v>62</v>
      </c>
      <c r="AY60" s="20"/>
    </row>
    <row r="61" spans="16:51" x14ac:dyDescent="0.5">
      <c r="P61" s="1" t="s">
        <v>390</v>
      </c>
      <c r="Q61" s="1" t="s">
        <v>506</v>
      </c>
      <c r="R61" s="1"/>
      <c r="S61" s="64"/>
      <c r="T61" s="1"/>
      <c r="U61" s="1"/>
      <c r="V61" s="1"/>
      <c r="W61" s="1" t="s">
        <v>390</v>
      </c>
      <c r="X61" s="1" t="s">
        <v>506</v>
      </c>
      <c r="Y61" s="64"/>
      <c r="Z61" s="1"/>
      <c r="AA61" s="1" t="s">
        <v>602</v>
      </c>
      <c r="AB61" s="65" t="s">
        <v>197</v>
      </c>
      <c r="AC61" s="1"/>
      <c r="AD61" s="1"/>
      <c r="AE61" s="1"/>
      <c r="AF61" s="1"/>
      <c r="AG61" s="1"/>
      <c r="AH61" s="1"/>
      <c r="AI61" s="1"/>
      <c r="AJ61" s="1"/>
      <c r="AK61" s="1"/>
      <c r="AL61" s="1"/>
      <c r="AM61" s="1"/>
      <c r="AN61" s="1"/>
      <c r="AO61" s="1"/>
      <c r="AP61" s="1"/>
      <c r="AQ61" s="1"/>
      <c r="AR61" s="1"/>
      <c r="AS61" s="1"/>
      <c r="AT61" s="1"/>
      <c r="AU61" s="1"/>
      <c r="AV61" s="20" t="s">
        <v>386</v>
      </c>
      <c r="AW61" s="19"/>
      <c r="AX61" s="20" t="s">
        <v>458</v>
      </c>
      <c r="AY61" s="20"/>
    </row>
    <row r="62" spans="16:51" x14ac:dyDescent="0.5">
      <c r="P62" s="1" t="s">
        <v>551</v>
      </c>
      <c r="Q62" s="1" t="s">
        <v>522</v>
      </c>
      <c r="R62" s="1"/>
      <c r="S62" s="64"/>
      <c r="T62" s="1"/>
      <c r="U62" s="1"/>
      <c r="V62" s="1"/>
      <c r="W62" s="1" t="s">
        <v>551</v>
      </c>
      <c r="X62" s="1" t="s">
        <v>522</v>
      </c>
      <c r="Y62" s="64"/>
      <c r="Z62" s="1"/>
      <c r="AA62" s="1" t="s">
        <v>612</v>
      </c>
      <c r="AB62" s="65" t="s">
        <v>198</v>
      </c>
      <c r="AC62" s="1"/>
      <c r="AD62" s="1"/>
      <c r="AE62" s="1"/>
      <c r="AF62" s="1"/>
      <c r="AG62" s="1"/>
      <c r="AH62" s="1"/>
      <c r="AI62" s="1"/>
      <c r="AJ62" s="1"/>
      <c r="AK62" s="1"/>
      <c r="AL62" s="1"/>
      <c r="AM62" s="1"/>
      <c r="AN62" s="1"/>
      <c r="AO62" s="1"/>
      <c r="AP62" s="1"/>
      <c r="AQ62" s="1"/>
      <c r="AR62" s="1"/>
      <c r="AS62" s="1"/>
      <c r="AT62" s="1"/>
      <c r="AU62" s="1"/>
      <c r="AV62" s="22" t="s">
        <v>449</v>
      </c>
      <c r="AW62" s="19"/>
      <c r="AX62" s="20" t="s">
        <v>467</v>
      </c>
      <c r="AY62" s="20"/>
    </row>
    <row r="63" spans="16:51" x14ac:dyDescent="0.5">
      <c r="P63" s="1" t="s">
        <v>403</v>
      </c>
      <c r="Q63" s="1" t="s">
        <v>197</v>
      </c>
      <c r="R63" s="1"/>
      <c r="S63" s="64"/>
      <c r="T63" s="1"/>
      <c r="U63" s="1"/>
      <c r="V63" s="1"/>
      <c r="W63" s="1" t="s">
        <v>403</v>
      </c>
      <c r="X63" s="1" t="s">
        <v>197</v>
      </c>
      <c r="Y63" s="64"/>
      <c r="Z63" s="1"/>
      <c r="AA63" s="1" t="s">
        <v>613</v>
      </c>
      <c r="AB63" s="65"/>
      <c r="AC63" s="1"/>
      <c r="AD63" s="1"/>
      <c r="AE63" s="1"/>
      <c r="AF63" s="1"/>
      <c r="AG63" s="1"/>
      <c r="AH63" s="1"/>
      <c r="AI63" s="1"/>
      <c r="AJ63" s="1"/>
      <c r="AK63" s="1"/>
      <c r="AL63" s="1"/>
      <c r="AM63" s="1"/>
      <c r="AN63" s="1"/>
      <c r="AO63" s="1"/>
      <c r="AP63" s="1"/>
      <c r="AQ63" s="1"/>
      <c r="AR63" s="1"/>
      <c r="AS63" s="1"/>
      <c r="AT63" s="1"/>
      <c r="AU63" s="18"/>
      <c r="AV63" s="22" t="s">
        <v>509</v>
      </c>
      <c r="AW63" s="19"/>
      <c r="AX63" s="22" t="s">
        <v>475</v>
      </c>
      <c r="AY63" s="20"/>
    </row>
    <row r="64" spans="16:51" x14ac:dyDescent="0.5">
      <c r="P64" s="1"/>
      <c r="Q64" s="1" t="s">
        <v>571</v>
      </c>
      <c r="R64" s="1"/>
      <c r="S64" s="64"/>
      <c r="T64" s="1"/>
      <c r="U64" s="1"/>
      <c r="V64" s="1"/>
      <c r="W64" s="1"/>
      <c r="X64" s="1" t="s">
        <v>571</v>
      </c>
      <c r="Y64" s="64"/>
      <c r="Z64" s="1"/>
      <c r="AA64" s="1" t="s">
        <v>493</v>
      </c>
      <c r="AB64" s="65"/>
      <c r="AC64" s="1"/>
      <c r="AD64" s="1"/>
      <c r="AE64" s="1"/>
      <c r="AF64" s="1"/>
      <c r="AG64" s="1"/>
      <c r="AH64" s="1"/>
      <c r="AI64" s="1"/>
      <c r="AJ64" s="1"/>
      <c r="AK64" s="1"/>
      <c r="AL64" s="1"/>
      <c r="AM64" s="1"/>
      <c r="AN64" s="1"/>
      <c r="AO64" s="1"/>
      <c r="AP64" s="1"/>
      <c r="AQ64" s="1"/>
      <c r="AR64" s="1"/>
      <c r="AS64" s="1"/>
      <c r="AT64" s="1"/>
      <c r="AU64" s="1"/>
      <c r="AV64" s="20" t="s">
        <v>188</v>
      </c>
      <c r="AW64" s="19"/>
      <c r="AX64" s="20" t="s">
        <v>189</v>
      </c>
      <c r="AY64" s="20"/>
    </row>
    <row r="65" spans="17:51" x14ac:dyDescent="0.5">
      <c r="Q65" s="1" t="s">
        <v>198</v>
      </c>
      <c r="R65" s="1"/>
      <c r="S65" s="64"/>
      <c r="T65" s="1"/>
      <c r="U65" s="1"/>
      <c r="V65" s="1"/>
      <c r="W65" s="1"/>
      <c r="X65" s="1" t="s">
        <v>198</v>
      </c>
      <c r="Y65" s="64"/>
      <c r="Z65" s="1"/>
      <c r="AA65" s="1" t="s">
        <v>614</v>
      </c>
      <c r="AB65" s="65"/>
      <c r="AC65" s="1"/>
      <c r="AD65" s="1"/>
      <c r="AE65" s="1"/>
      <c r="AF65" s="1"/>
      <c r="AG65" s="1"/>
      <c r="AH65" s="1"/>
      <c r="AI65" s="1"/>
      <c r="AJ65" s="1"/>
      <c r="AK65" s="1"/>
      <c r="AL65" s="1"/>
      <c r="AM65" s="1"/>
      <c r="AN65" s="1"/>
      <c r="AO65" s="1"/>
      <c r="AP65" s="1"/>
      <c r="AQ65" s="1"/>
      <c r="AR65" s="1"/>
      <c r="AS65" s="1"/>
      <c r="AT65" s="1"/>
      <c r="AU65" s="1"/>
      <c r="AV65" s="19" t="s">
        <v>487</v>
      </c>
      <c r="AW65" s="19"/>
      <c r="AX65" s="22" t="s">
        <v>439</v>
      </c>
      <c r="AY65" s="20"/>
    </row>
    <row r="66" spans="17:51" ht="17" thickBot="1" x14ac:dyDescent="0.55000000000000004">
      <c r="Q66" s="1" t="s">
        <v>615</v>
      </c>
      <c r="R66" s="1"/>
      <c r="S66" s="70"/>
      <c r="T66" s="71"/>
      <c r="U66" s="71"/>
      <c r="V66" s="71"/>
      <c r="W66" s="71"/>
      <c r="X66" s="71" t="s">
        <v>615</v>
      </c>
      <c r="Y66" s="64"/>
      <c r="Z66" s="1"/>
      <c r="AA66" s="1" t="s">
        <v>616</v>
      </c>
      <c r="AB66" s="65"/>
      <c r="AC66" s="1"/>
      <c r="AD66" s="1"/>
      <c r="AE66" s="1"/>
      <c r="AF66" s="1"/>
      <c r="AG66" s="1"/>
      <c r="AH66" s="1"/>
      <c r="AI66" s="1"/>
      <c r="AJ66" s="1"/>
      <c r="AK66" s="1"/>
      <c r="AL66" s="1"/>
      <c r="AM66" s="1"/>
      <c r="AN66" s="1"/>
      <c r="AO66" s="1"/>
      <c r="AP66" s="1"/>
      <c r="AQ66" s="1"/>
      <c r="AR66" s="1"/>
      <c r="AS66" s="1"/>
      <c r="AT66" s="1"/>
      <c r="AU66" s="1"/>
      <c r="AV66" s="21" t="s">
        <v>440</v>
      </c>
      <c r="AW66" s="19"/>
      <c r="AX66" s="20" t="s">
        <v>445</v>
      </c>
      <c r="AY66" s="20"/>
    </row>
    <row r="67" spans="17:51" x14ac:dyDescent="0.5">
      <c r="Q67" s="1"/>
      <c r="R67" s="1"/>
      <c r="S67" s="1"/>
      <c r="T67" s="1"/>
      <c r="U67" s="1"/>
      <c r="V67" s="1"/>
      <c r="W67" s="1"/>
      <c r="X67" s="1"/>
      <c r="Y67" s="64"/>
      <c r="Z67" s="1"/>
      <c r="AA67" s="1" t="s">
        <v>617</v>
      </c>
      <c r="AB67" s="65"/>
      <c r="AC67" s="1"/>
      <c r="AD67" s="1"/>
      <c r="AE67" s="1"/>
      <c r="AF67" s="1"/>
      <c r="AG67" s="1"/>
      <c r="AH67" s="1"/>
      <c r="AI67" s="1"/>
      <c r="AJ67" s="1"/>
      <c r="AK67" s="1"/>
      <c r="AL67" s="1"/>
      <c r="AM67" s="1"/>
      <c r="AN67" s="1"/>
      <c r="AO67" s="1"/>
      <c r="AP67" s="1"/>
      <c r="AQ67" s="1"/>
      <c r="AR67" s="1"/>
      <c r="AS67" s="1"/>
      <c r="AT67" s="1"/>
      <c r="AU67" s="1"/>
      <c r="AV67" s="22" t="s">
        <v>534</v>
      </c>
      <c r="AW67" s="19"/>
      <c r="AX67" s="20" t="s">
        <v>524</v>
      </c>
      <c r="AY67" s="20"/>
    </row>
    <row r="68" spans="17:51" x14ac:dyDescent="0.5">
      <c r="Q68" s="1"/>
      <c r="R68" s="1"/>
      <c r="S68" s="1"/>
      <c r="T68" s="1"/>
      <c r="U68" s="1"/>
      <c r="V68" s="1"/>
      <c r="W68" s="1"/>
      <c r="X68" s="1"/>
      <c r="Y68" s="64"/>
      <c r="Z68" s="1"/>
      <c r="AA68" s="1" t="s">
        <v>618</v>
      </c>
      <c r="AB68" s="65"/>
      <c r="AC68" s="1"/>
      <c r="AD68" s="1"/>
      <c r="AE68" s="1"/>
      <c r="AF68" s="1"/>
      <c r="AG68" s="1"/>
      <c r="AH68" s="1"/>
      <c r="AI68" s="1"/>
      <c r="AJ68" s="1"/>
      <c r="AK68" s="1"/>
      <c r="AL68" s="1"/>
      <c r="AM68" s="1"/>
      <c r="AN68" s="1"/>
      <c r="AO68" s="1"/>
      <c r="AP68" s="1"/>
      <c r="AQ68" s="1"/>
      <c r="AR68" s="1"/>
      <c r="AS68" s="1"/>
      <c r="AT68" s="1"/>
      <c r="AU68" s="1"/>
      <c r="AV68" s="19" t="s">
        <v>502</v>
      </c>
      <c r="AW68" s="19"/>
      <c r="AX68" s="20" t="s">
        <v>457</v>
      </c>
      <c r="AY68" s="20"/>
    </row>
    <row r="69" spans="17:51" ht="17" thickBot="1" x14ac:dyDescent="0.55000000000000004">
      <c r="Q69" s="1"/>
      <c r="R69" s="1"/>
      <c r="S69" s="1"/>
      <c r="T69" s="1"/>
      <c r="U69" s="1"/>
      <c r="V69" s="1"/>
      <c r="W69" s="1"/>
      <c r="X69" s="1"/>
      <c r="Y69" s="70"/>
      <c r="Z69" s="71"/>
      <c r="AA69" s="71" t="s">
        <v>578</v>
      </c>
      <c r="AB69" s="72"/>
      <c r="AC69" s="1"/>
      <c r="AD69" s="1"/>
      <c r="AE69" s="1"/>
      <c r="AF69" s="1"/>
      <c r="AG69" s="1"/>
      <c r="AH69" s="1"/>
      <c r="AI69" s="1"/>
      <c r="AJ69" s="1"/>
      <c r="AK69" s="1"/>
      <c r="AL69" s="1"/>
      <c r="AM69" s="1"/>
      <c r="AN69" s="1"/>
      <c r="AO69" s="1"/>
      <c r="AP69" s="1"/>
      <c r="AQ69" s="1"/>
      <c r="AR69" s="1"/>
      <c r="AS69" s="1"/>
      <c r="AT69" s="1"/>
      <c r="AU69" s="1"/>
      <c r="AV69" s="20" t="s">
        <v>461</v>
      </c>
      <c r="AW69" s="19"/>
      <c r="AX69" s="20" t="s">
        <v>369</v>
      </c>
      <c r="AY69" s="20"/>
    </row>
    <row r="70" spans="17:51" x14ac:dyDescent="0.5">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22" t="s">
        <v>548</v>
      </c>
      <c r="AW70" s="23"/>
      <c r="AX70" s="20" t="s">
        <v>530</v>
      </c>
      <c r="AY70" s="20"/>
    </row>
    <row r="71" spans="17:51" x14ac:dyDescent="0.5">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20" t="s">
        <v>190</v>
      </c>
      <c r="AW71" s="1"/>
      <c r="AX71" s="20" t="s">
        <v>474</v>
      </c>
      <c r="AY71" s="20"/>
    </row>
    <row r="72" spans="17:51" x14ac:dyDescent="0.5">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20" t="s">
        <v>477</v>
      </c>
      <c r="AW72" s="1"/>
      <c r="AX72" s="22" t="s">
        <v>538</v>
      </c>
      <c r="AY72" s="20"/>
    </row>
    <row r="73" spans="17:51" x14ac:dyDescent="0.5">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22" t="s">
        <v>445</v>
      </c>
      <c r="AW73" s="1"/>
      <c r="AX73" s="20" t="s">
        <v>543</v>
      </c>
      <c r="AY73" s="20"/>
    </row>
    <row r="74" spans="17:51" x14ac:dyDescent="0.5">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9" t="s">
        <v>514</v>
      </c>
      <c r="AW74" s="1"/>
      <c r="AX74" s="22" t="s">
        <v>201</v>
      </c>
      <c r="AY74" s="20"/>
    </row>
    <row r="75" spans="17:51" x14ac:dyDescent="0.5">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21" t="s">
        <v>523</v>
      </c>
      <c r="AW75" s="1"/>
      <c r="AX75" s="20" t="s">
        <v>476</v>
      </c>
      <c r="AY75" s="20"/>
    </row>
    <row r="76" spans="17:51" x14ac:dyDescent="0.5">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9" t="s">
        <v>526</v>
      </c>
      <c r="AW76" s="1"/>
      <c r="AX76" s="20" t="s">
        <v>497</v>
      </c>
      <c r="AY76" s="20"/>
    </row>
    <row r="77" spans="17:51" x14ac:dyDescent="0.5">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22" t="s">
        <v>556</v>
      </c>
      <c r="AW77" s="1"/>
      <c r="AX77" s="22" t="s">
        <v>486</v>
      </c>
      <c r="AY77" s="20"/>
    </row>
    <row r="78" spans="17:51" x14ac:dyDescent="0.5">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22" t="s">
        <v>201</v>
      </c>
      <c r="AW78" s="1"/>
      <c r="AX78" s="22" t="s">
        <v>512</v>
      </c>
      <c r="AY78" s="20"/>
    </row>
    <row r="79" spans="17:51" x14ac:dyDescent="0.5">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20" t="s">
        <v>476</v>
      </c>
      <c r="AW79" s="1"/>
      <c r="AX79" s="20" t="s">
        <v>501</v>
      </c>
      <c r="AY79" s="20"/>
    </row>
    <row r="80" spans="17:51" x14ac:dyDescent="0.5">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21" t="s">
        <v>531</v>
      </c>
      <c r="AW80" s="1"/>
      <c r="AX80" s="20" t="s">
        <v>554</v>
      </c>
      <c r="AY80" s="20"/>
    </row>
    <row r="81" spans="48:51" x14ac:dyDescent="0.5">
      <c r="AV81" s="22" t="s">
        <v>547</v>
      </c>
      <c r="AW81" s="1"/>
      <c r="AX81" s="22" t="s">
        <v>492</v>
      </c>
      <c r="AY81" s="22"/>
    </row>
    <row r="82" spans="48:51" x14ac:dyDescent="0.5">
      <c r="AV82" s="19" t="s">
        <v>539</v>
      </c>
      <c r="AW82" s="1"/>
      <c r="AX82" s="20" t="s">
        <v>498</v>
      </c>
      <c r="AY82" s="20"/>
    </row>
    <row r="83" spans="48:51" x14ac:dyDescent="0.5">
      <c r="AV83" s="20" t="s">
        <v>193</v>
      </c>
      <c r="AW83" s="1"/>
      <c r="AX83" s="22" t="s">
        <v>565</v>
      </c>
      <c r="AY83" s="22"/>
    </row>
    <row r="84" spans="48:51" x14ac:dyDescent="0.5">
      <c r="AV84" s="22" t="s">
        <v>544</v>
      </c>
      <c r="AW84" s="1"/>
      <c r="AX84" s="22" t="s">
        <v>506</v>
      </c>
      <c r="AY84" s="20"/>
    </row>
    <row r="85" spans="48:51" x14ac:dyDescent="0.5">
      <c r="AV85" s="19" t="s">
        <v>390</v>
      </c>
      <c r="AW85" s="1"/>
      <c r="AX85" s="20" t="s">
        <v>522</v>
      </c>
      <c r="AY85" s="20"/>
    </row>
    <row r="86" spans="48:51" x14ac:dyDescent="0.5">
      <c r="AV86" s="20" t="s">
        <v>551</v>
      </c>
      <c r="AW86" s="1"/>
      <c r="AX86" s="25" t="s">
        <v>571</v>
      </c>
      <c r="AY86" s="20"/>
    </row>
    <row r="87" spans="48:51" x14ac:dyDescent="0.5">
      <c r="AV87" s="22" t="s">
        <v>513</v>
      </c>
      <c r="AW87" s="1"/>
      <c r="AX87" s="22" t="s">
        <v>198</v>
      </c>
      <c r="AY87" s="25"/>
    </row>
    <row r="88" spans="48:51" x14ac:dyDescent="0.5">
      <c r="AV88" s="20" t="s">
        <v>525</v>
      </c>
      <c r="AW88" s="1"/>
      <c r="AX88" s="22"/>
      <c r="AY88" s="1"/>
    </row>
    <row r="89" spans="48:51" x14ac:dyDescent="0.5">
      <c r="AV89" s="22"/>
      <c r="AW89" s="1"/>
      <c r="AX89" s="22"/>
      <c r="AY89" s="1"/>
    </row>
    <row r="90" spans="48:51" x14ac:dyDescent="0.5">
      <c r="AV90" s="22"/>
      <c r="AW90" s="1"/>
      <c r="AX90" s="22"/>
      <c r="AY90" s="1"/>
    </row>
    <row r="91" spans="48:51" x14ac:dyDescent="0.5">
      <c r="AV91" s="20"/>
      <c r="AW91" s="1"/>
      <c r="AX91" s="22"/>
      <c r="AY91" s="1"/>
    </row>
    <row r="92" spans="48:51" x14ac:dyDescent="0.5">
      <c r="AV92" s="22"/>
      <c r="AW92" s="1"/>
      <c r="AX92" s="25"/>
      <c r="AY92" s="1"/>
    </row>
    <row r="93" spans="48:51" x14ac:dyDescent="0.5">
      <c r="AV93" s="22"/>
      <c r="AW93" s="1"/>
      <c r="AX93" s="1"/>
      <c r="AY93" s="1"/>
    </row>
    <row r="94" spans="48:51" x14ac:dyDescent="0.5">
      <c r="AV94" s="22"/>
      <c r="AW94" s="1"/>
      <c r="AX94" s="1"/>
      <c r="AY94" s="1"/>
    </row>
    <row r="95" spans="48:51" x14ac:dyDescent="0.5">
      <c r="AV95" s="22"/>
      <c r="AW95" s="1"/>
      <c r="AX95" s="1"/>
      <c r="AY95" s="1"/>
    </row>
    <row r="96" spans="48:51" x14ac:dyDescent="0.5">
      <c r="AV96" s="22"/>
      <c r="AW96" s="1"/>
      <c r="AX96" s="1"/>
      <c r="AY96" s="1"/>
    </row>
    <row r="97" spans="48:48" x14ac:dyDescent="0.5">
      <c r="AV97" s="20"/>
    </row>
    <row r="98" spans="48:48" x14ac:dyDescent="0.5">
      <c r="AV98" s="22"/>
    </row>
    <row r="99" spans="48:48" x14ac:dyDescent="0.5">
      <c r="AV99" s="22"/>
    </row>
    <row r="100" spans="48:48" x14ac:dyDescent="0.5">
      <c r="AV100" s="22"/>
    </row>
    <row r="101" spans="48:48" x14ac:dyDescent="0.5">
      <c r="AV101" s="22"/>
    </row>
    <row r="102" spans="48:48" x14ac:dyDescent="0.5">
      <c r="AV102" s="22"/>
    </row>
    <row r="103" spans="48:48" x14ac:dyDescent="0.5">
      <c r="AV103" s="21"/>
    </row>
    <row r="104" spans="48:48" x14ac:dyDescent="0.5">
      <c r="AV104" s="22"/>
    </row>
    <row r="105" spans="48:48" x14ac:dyDescent="0.5">
      <c r="AV105" s="22"/>
    </row>
    <row r="106" spans="48:48" x14ac:dyDescent="0.5">
      <c r="AV106" s="22"/>
    </row>
    <row r="107" spans="48:48" x14ac:dyDescent="0.5">
      <c r="AV107" s="22"/>
    </row>
    <row r="108" spans="48:48" x14ac:dyDescent="0.5">
      <c r="AV108" s="25"/>
    </row>
  </sheetData>
  <mergeCells count="10">
    <mergeCell ref="L2:Q2"/>
    <mergeCell ref="S2:X2"/>
    <mergeCell ref="Y2:AB2"/>
    <mergeCell ref="AC2:AG2"/>
    <mergeCell ref="AL2:AQ2"/>
    <mergeCell ref="AL3:AN3"/>
    <mergeCell ref="AO3:AQ3"/>
    <mergeCell ref="S1:AG1"/>
    <mergeCell ref="AL1:AQ1"/>
    <mergeCell ref="AT1:AY1"/>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B1A98D2066F30438A381D4FE44CE3A2" ma:contentTypeVersion="4" ma:contentTypeDescription="Crear nuevo documento." ma:contentTypeScope="" ma:versionID="7432a343c9520d9089daf0409b8f723e">
  <xsd:schema xmlns:xsd="http://www.w3.org/2001/XMLSchema" xmlns:xs="http://www.w3.org/2001/XMLSchema" xmlns:p="http://schemas.microsoft.com/office/2006/metadata/properties" xmlns:ns2="a4562c49-b45c-4362-b20c-f58ba12cde2f" xmlns:ns3="ffa1b9b5-8217-4ebe-90c5-3f2196c49a4f" targetNamespace="http://schemas.microsoft.com/office/2006/metadata/properties" ma:root="true" ma:fieldsID="a9831a0ee939c9e3a94af062f92b87b9" ns2:_="" ns3:_="">
    <xsd:import namespace="a4562c49-b45c-4362-b20c-f58ba12cde2f"/>
    <xsd:import namespace="ffa1b9b5-8217-4ebe-90c5-3f2196c49a4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562c49-b45c-4362-b20c-f58ba12cde2f"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a1b9b5-8217-4ebe-90c5-3f2196c49a4f"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43398591-DCD4-4E84-81B6-C225C92B98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4562c49-b45c-4362-b20c-f58ba12cde2f"/>
    <ds:schemaRef ds:uri="ffa1b9b5-8217-4ebe-90c5-3f2196c49a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9A8CC42-3498-4AB9-83FD-168387E0E379}">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F86D18D9-0B6E-411F-93FD-BE55E800AD09}">
  <ds:schemaRefs>
    <ds:schemaRef ds:uri="http://schemas.microsoft.com/sharepoint/v3/contenttype/forms"/>
  </ds:schemaRefs>
</ds:datastoreItem>
</file>

<file path=customXml/itemProps4.xml><?xml version="1.0" encoding="utf-8"?>
<ds:datastoreItem xmlns:ds="http://schemas.openxmlformats.org/officeDocument/2006/customXml" ds:itemID="{493507B7-C361-46E0-AF44-6194D8191CB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12</vt:i4>
      </vt:variant>
    </vt:vector>
  </HeadingPairs>
  <TitlesOfParts>
    <vt:vector size="20" baseType="lpstr">
      <vt:lpstr>Paso1 Analisis perfil egreso</vt:lpstr>
      <vt:lpstr>Paso 2 Redacción competen</vt:lpstr>
      <vt:lpstr>Paso 3 Redacción RA</vt:lpstr>
      <vt:lpstr>Paso 3 Redacción RA - Backup </vt:lpstr>
      <vt:lpstr>Paso 4 Estrategias mesocurricu</vt:lpstr>
      <vt:lpstr>Paso 5 Estrategias micro</vt:lpstr>
      <vt:lpstr>Taxonomía para competencias</vt:lpstr>
      <vt:lpstr>Taxonomias para RA</vt:lpstr>
      <vt:lpstr>ActitudinalBAK</vt:lpstr>
      <vt:lpstr>Bloom</vt:lpstr>
      <vt:lpstr>Circutos</vt:lpstr>
      <vt:lpstr>CognitivoBAK</vt:lpstr>
      <vt:lpstr>CompetenciaEspecifica1</vt:lpstr>
      <vt:lpstr>ComponentesCompetencias</vt:lpstr>
      <vt:lpstr>ProcedimentalBAK</vt:lpstr>
      <vt:lpstr>RA</vt:lpstr>
      <vt:lpstr>Saber</vt:lpstr>
      <vt:lpstr>SaberHacer</vt:lpstr>
      <vt:lpstr>SaberSer</vt:lpstr>
      <vt:lpstr>TIC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Isabel Cortes Cortes</cp:lastModifiedBy>
  <cp:revision/>
  <dcterms:created xsi:type="dcterms:W3CDTF">2021-03-03T13:22:18Z</dcterms:created>
  <dcterms:modified xsi:type="dcterms:W3CDTF">2026-05-11T14:59:24Z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0x010100CB1A98D2066F30438A381D4FE44CE3A2</vt:lpwstr>
  </property>
</Properties>
</file>