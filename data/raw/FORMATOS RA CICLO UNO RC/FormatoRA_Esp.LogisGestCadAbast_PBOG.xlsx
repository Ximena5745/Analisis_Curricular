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tables/table30.xml" ContentType="application/vnd.openxmlformats-officedocument.spreadsheetml.table+xml"/>
  <Override PartName="/xl/tables/table31.xml" ContentType="application/vnd.openxmlformats-officedocument.spreadsheetml.table+xml"/>
  <Override PartName="/xl/tables/table32.xml" ContentType="application/vnd.openxmlformats-officedocument.spreadsheetml.table+xml"/>
  <Override PartName="/xl/tables/table33.xml" ContentType="application/vnd.openxmlformats-officedocument.spreadsheetml.table+xml"/>
  <Override PartName="/xl/tables/table34.xml" ContentType="application/vnd.openxmlformats-officedocument.spreadsheetml.table+xml"/>
  <Override PartName="/xl/tables/table35.xml" ContentType="application/vnd.openxmlformats-officedocument.spreadsheetml.table+xml"/>
  <Override PartName="/xl/tables/table36.xml" ContentType="application/vnd.openxmlformats-officedocument.spreadsheetml.table+xml"/>
  <Override PartName="/xl/tables/table37.xml" ContentType="application/vnd.openxmlformats-officedocument.spreadsheetml.table+xml"/>
  <Override PartName="/xl/tables/table38.xml" ContentType="application/vnd.openxmlformats-officedocument.spreadsheetml.table+xml"/>
  <Override PartName="/xl/tables/table39.xml" ContentType="application/vnd.openxmlformats-officedocument.spreadsheetml.table+xml"/>
  <Override PartName="/xl/tables/table40.xml" ContentType="application/vnd.openxmlformats-officedocument.spreadsheetml.table+xml"/>
  <Override PartName="/xl/tables/table41.xml" ContentType="application/vnd.openxmlformats-officedocument.spreadsheetml.table+xml"/>
  <Override PartName="/xl/tables/table42.xml" ContentType="application/vnd.openxmlformats-officedocument.spreadsheetml.table+xml"/>
  <Override PartName="/xl/tables/table43.xml" ContentType="application/vnd.openxmlformats-officedocument.spreadsheetml.table+xml"/>
  <Override PartName="/xl/tables/table44.xml" ContentType="application/vnd.openxmlformats-officedocument.spreadsheetml.table+xml"/>
  <Override PartName="/xl/tables/table45.xml" ContentType="application/vnd.openxmlformats-officedocument.spreadsheetml.table+xml"/>
  <Override PartName="/xl/tables/table46.xml" ContentType="application/vnd.openxmlformats-officedocument.spreadsheetml.table+xml"/>
  <Override PartName="/xl/tables/table47.xml" ContentType="application/vnd.openxmlformats-officedocument.spreadsheetml.table+xml"/>
  <Override PartName="/xl/tables/table48.xml" ContentType="application/vnd.openxmlformats-officedocument.spreadsheetml.table+xml"/>
  <Override PartName="/xl/tables/table49.xml" ContentType="application/vnd.openxmlformats-officedocument.spreadsheetml.table+xml"/>
  <Override PartName="/xl/tables/table50.xml" ContentType="application/vnd.openxmlformats-officedocument.spreadsheetml.table+xml"/>
  <Override PartName="/xl/tables/table51.xml" ContentType="application/vnd.openxmlformats-officedocument.spreadsheetml.table+xml"/>
  <Override PartName="/xl/tables/table52.xml" ContentType="application/vnd.openxmlformats-officedocument.spreadsheetml.table+xml"/>
  <Override PartName="/xl/tables/table53.xml" ContentType="application/vnd.openxmlformats-officedocument.spreadsheetml.table+xml"/>
  <Override PartName="/xl/tables/table54.xml" ContentType="application/vnd.openxmlformats-officedocument.spreadsheetml.table+xml"/>
  <Override PartName="/xl/tables/table55.xml" ContentType="application/vnd.openxmlformats-officedocument.spreadsheetml.table+xml"/>
  <Override PartName="/xl/tables/table56.xml" ContentType="application/vnd.openxmlformats-officedocument.spreadsheetml.table+xml"/>
  <Override PartName="/xl/tables/table57.xml" ContentType="application/vnd.openxmlformats-officedocument.spreadsheetml.table+xml"/>
  <Override PartName="/xl/comments6.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66925"/>
  <mc:AlternateContent xmlns:mc="http://schemas.openxmlformats.org/markup-compatibility/2006">
    <mc:Choice Requires="x15">
      <x15ac:absPath xmlns:x15ac="http://schemas.microsoft.com/office/spreadsheetml/2010/11/ac" url="https://poligran-my.sharepoint.com/personal/micortes_poligran_edu_co/Documents/Escritorio/FORMATOS RA CICLO UNO RC/"/>
    </mc:Choice>
  </mc:AlternateContent>
  <xr:revisionPtr revIDLastSave="699" documentId="8_{9D5C12F7-717D-4A89-AC5F-9AA3C543F7CE}" xr6:coauthVersionLast="47" xr6:coauthVersionMax="47" xr10:uidLastSave="{0A74890F-5D88-4232-9CAE-404FD825CA2C}"/>
  <bookViews>
    <workbookView xWindow="-110" yWindow="-110" windowWidth="19420" windowHeight="10300" firstSheet="4" activeTab="4" xr2:uid="{BD68381A-4EB3-42BA-ADD5-D7B5B6C7E498}"/>
  </bookViews>
  <sheets>
    <sheet name="Paso1 Analisis perfil egreso" sheetId="1" r:id="rId1"/>
    <sheet name="Paso 2 Redacción competen" sheetId="6" r:id="rId2"/>
    <sheet name="Paso 3 Redacción RA " sheetId="5" r:id="rId3"/>
    <sheet name="Paso 4 Estrategias mesocurricu" sheetId="8" r:id="rId4"/>
    <sheet name="Paso 5 Estrategias micro" sheetId="7" r:id="rId5"/>
    <sheet name="Taxonomía para competencias" sheetId="10" r:id="rId6"/>
    <sheet name="Taxonomias para RA" sheetId="9" r:id="rId7"/>
  </sheets>
  <definedNames>
    <definedName name="_xlnm._FilterDatabase" localSheetId="2" hidden="1">'Paso 3 Redacción RA '!$A$2:$I$8</definedName>
    <definedName name="_xlnm._FilterDatabase" localSheetId="4" hidden="1">'Paso 5 Estrategias micro'!$B$1:$Q$40</definedName>
    <definedName name="actitudinalB">Tabla5785[ActitudinalB]</definedName>
    <definedName name="ActitudinalBAK">'Taxonomias para RA'!$AC$3:$AG$3</definedName>
    <definedName name="AK">Tabla5987[AK]</definedName>
    <definedName name="AnálisisB">Tabla385280[AnálisisB]</definedName>
    <definedName name="AnálisisBAK">Tabla3865[AnálisisBAK]</definedName>
    <definedName name="AnálisisMK">Tabla99[AnálisisMK]</definedName>
    <definedName name="AnalizarLK">Tabla2129[AnalizarLK]</definedName>
    <definedName name="AplicaciónB">Tabla375179[AplicaciónB]</definedName>
    <definedName name="AplicaciónBAK">Tabla3764[AplicaciónBAK]</definedName>
    <definedName name="AplicarLK">Tabla2028[AplicarLK]</definedName>
    <definedName name="áreasprofesionales">#REF!</definedName>
    <definedName name="BAK">Tabla5886[BAK]</definedName>
    <definedName name="Bloom">'Taxonomias para RA'!$G$3:$I$3</definedName>
    <definedName name="CaracterizarBAK">Tabla4776[CaracterizarBAK]</definedName>
    <definedName name="Cognitivo">'Paso1 Analisis perfil egreso'!$E$3:$E$17</definedName>
    <definedName name="CognitivoAK">'Taxonomias para RA'!$AL$4:$AQ$4</definedName>
    <definedName name="cognitivoB">Tabla5583[CognitivoB]</definedName>
    <definedName name="CognitivoBAK">'Taxonomias para RA'!$S$3:$X$3</definedName>
    <definedName name="competencias">'Paso 2 Redacción competen'!$F$3:$F$7</definedName>
    <definedName name="ComprenderLK">'Taxonomias para RA'!$AM$5:$AM$27</definedName>
    <definedName name="ComprensionB">Tabla365078[ComprensiónB]</definedName>
    <definedName name="ComprensiónBAK">Tabla3663[ComprensiónBAK]</definedName>
    <definedName name="ComprensiónMK">Tabla98[ComprensiónMK]</definedName>
    <definedName name="ConceptosLK">Tabla91[ConceptosAK]</definedName>
    <definedName name="ConocimientoB">Tabla354977[ConocimientoB]</definedName>
    <definedName name="ConocimientoBAK">Tabla3555[ConocimientoBAK]</definedName>
    <definedName name="Conocimientos">'Paso1 Analisis perfil egreso'!$E$3:$E$17</definedName>
    <definedName name="ControlBAK">Tabla4271[ControlBAK]</definedName>
    <definedName name="CrearLK">Tabla2333[CrearLK]</definedName>
    <definedName name="dominios">'Paso1 Analisis perfil egreso'!$E$2:$G$2</definedName>
    <definedName name="EvaluaciónB">Tabla405482[EvaluaciónB]</definedName>
    <definedName name="EvaluaciónBAK">Tabla4067[EvaluaciónBAK]</definedName>
    <definedName name="EvaluarLK">'Taxonomias para RA'!$AP$5:$AP$46</definedName>
    <definedName name="HechosLK">Tabla90[CognitivoAK]</definedName>
    <definedName name="ImitaciónBAK">Tabla1168[ImitaciónBAK]</definedName>
    <definedName name="ManipulaciónBAK">Tabla3069[ManipulaciónBAK]</definedName>
    <definedName name="MetacogniciónLK">Tabla93[MetacogniciónAK]</definedName>
    <definedName name="MetacogniciónMK">Tabla101[MetacogniciónMK]</definedName>
    <definedName name="MetocogniciónAK">Tabla101[MetacogniciónMK]</definedName>
    <definedName name="MK">Tabla6088[MK]</definedName>
    <definedName name="ocupacional">'Paso1 Analisis perfil egreso'!#REF!</definedName>
    <definedName name="OrganizarBAK">Tabla467521[OrganizarBAK]</definedName>
    <definedName name="PercepciónBAK">'Taxonomias para RA'!$AC$4:$AC$40</definedName>
    <definedName name="poblacionactuacion">#REF!</definedName>
    <definedName name="poblaciones">#REF!</definedName>
    <definedName name="poblacionesactuación">#REF!</definedName>
    <definedName name="PrecisiónBAK">Tabla41706[PrecisiónBAK]</definedName>
    <definedName name="procedimentalB">Tabla5684[ProcedimentalB]</definedName>
    <definedName name="ProcedimentalBAK">'Taxonomias para RA'!$Y$3:$AB$3</definedName>
    <definedName name="ProcedimientosMK">Tabla92[ProcedimientosAK]</definedName>
    <definedName name="ProcesosAK">ProcesosMentalesMK[ProcesosMentalesMK]</definedName>
    <definedName name="PsicomotorMK">Tabla96[PsicomotorMK]</definedName>
    <definedName name="RecordarLK">'Taxonomias para RA'!$AL$5:$AL$27</definedName>
    <definedName name="RecuperaciónMK">'Taxonomias para RA'!$BB$5:$BB$27</definedName>
    <definedName name="ResponderBAK">Tabla4473[ResponderBAK]</definedName>
    <definedName name="resultadoaprendizaje">'Paso 3 Redacción RA '!$I$3:$I$8</definedName>
    <definedName name="Saber">'Paso1 Analisis perfil egreso'!$E$3:$E$4</definedName>
    <definedName name="Saberhacer">'Paso1 Analisis perfil egreso'!$F$3:$F$16</definedName>
    <definedName name="saberser">'Paso1 Analisis perfil egreso'!$G$3:$G$16</definedName>
    <definedName name="SíntesisB">Tabla395381[SíntesisB]</definedName>
    <definedName name="SíntesisBAK">Tabla3966[SíntesisBAK]</definedName>
    <definedName name="SistemadelYoMK">Tabla11[SistemadelYoMK]</definedName>
    <definedName name="tareas">#REF!</definedName>
    <definedName name="tareasprofesionales">#REF!</definedName>
    <definedName name="taxonomiasra">Tabla1715[Taxonomías]</definedName>
    <definedName name="UsoConocimientoMK">'Taxonomias para RA'!$BE$5:$BE$70</definedName>
    <definedName name="Valoragregado">#REF!</definedName>
    <definedName name="ValorarBAK">Tabla4574[ValorarBAK]</definedName>
    <definedName name="Verboscompetencias">Tabla33103[Verbos Competencias]</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Q40" i="7" l="1"/>
  <c r="Q20" i="7"/>
  <c r="I43" i="7" l="1"/>
  <c r="J43" i="7" s="1"/>
  <c r="I42" i="7"/>
  <c r="J42" i="7" s="1"/>
  <c r="I41" i="7"/>
  <c r="J41" i="7" s="1"/>
  <c r="K30" i="7"/>
  <c r="K33" i="7"/>
  <c r="J30" i="7"/>
  <c r="J33" i="7"/>
  <c r="K13" i="7"/>
  <c r="J13" i="7"/>
  <c r="A36" i="7"/>
  <c r="A35" i="7"/>
  <c r="A34" i="7"/>
  <c r="A33" i="7"/>
  <c r="L33" i="7" l="1"/>
  <c r="L30" i="7"/>
  <c r="K3" i="7"/>
  <c r="J3" i="7"/>
  <c r="A40" i="7"/>
  <c r="A39" i="7"/>
  <c r="A38" i="7"/>
  <c r="A37" i="7"/>
  <c r="K37" i="7"/>
  <c r="J37" i="7"/>
  <c r="A31" i="7"/>
  <c r="A28" i="7"/>
  <c r="A29" i="7"/>
  <c r="A22" i="7"/>
  <c r="A23" i="7"/>
  <c r="A4" i="7"/>
  <c r="A11" i="7"/>
  <c r="A12" i="7"/>
  <c r="A5" i="7"/>
  <c r="A6" i="7"/>
  <c r="A7" i="7"/>
  <c r="A8" i="7"/>
  <c r="A9" i="7"/>
  <c r="A10" i="7"/>
  <c r="A13" i="7"/>
  <c r="A14" i="7"/>
  <c r="A15" i="7"/>
  <c r="A16" i="7"/>
  <c r="A17" i="7"/>
  <c r="A18" i="7"/>
  <c r="A19" i="7"/>
  <c r="A20" i="7"/>
  <c r="A21" i="7"/>
  <c r="A24" i="7"/>
  <c r="A25" i="7"/>
  <c r="A26" i="7"/>
  <c r="A27" i="7"/>
  <c r="A30" i="7"/>
  <c r="A32" i="7"/>
  <c r="A3" i="7"/>
  <c r="L37" i="7" l="1"/>
  <c r="L3" i="7"/>
  <c r="J27" i="7"/>
  <c r="K27" i="7"/>
  <c r="J24" i="7"/>
  <c r="K24" i="7"/>
  <c r="J21" i="7"/>
  <c r="K21" i="7"/>
  <c r="J17" i="7"/>
  <c r="K17" i="7"/>
  <c r="J10" i="7"/>
  <c r="K10" i="7"/>
  <c r="K6" i="7"/>
  <c r="J6" i="7"/>
  <c r="L27" i="7" l="1"/>
  <c r="L21" i="7"/>
  <c r="L10" i="7"/>
  <c r="L6" i="7"/>
  <c r="L24" i="7"/>
  <c r="L17" i="7"/>
  <c r="L13" i="7"/>
</calcChain>
</file>

<file path=xl/comments1.xml><?xml version="1.0" encoding="utf-8"?>
<comments xmlns="http://schemas.openxmlformats.org/spreadsheetml/2006/main" xmlns:mc="http://schemas.openxmlformats.org/markup-compatibility/2006" xmlns:xr="http://schemas.microsoft.com/office/spreadsheetml/2014/revision" mc:Ignorable="xr">
  <authors>
    <author>Diana Shirley Velasquez Rojas</author>
  </authors>
  <commentList>
    <comment ref="C1" authorId="0" shapeId="0" xr:uid="{21A47D5A-E4D2-4053-8BA4-C9D3E99BBD14}">
      <text>
        <r>
          <rPr>
            <sz val="11"/>
            <color theme="1"/>
            <rFont val="Calibri"/>
            <family val="2"/>
            <scheme val="minor"/>
          </rPr>
          <t>Diana Shirley Velasquez Rojas:
Escriba el perfil del egresado que tiene el programa en su documento maestro o el que se haya ajustado de acuerdo con las tendencias o necesidades del entorno que lo hayan generado.</t>
        </r>
      </text>
    </comment>
    <comment ref="E2" authorId="0" shapeId="0" xr:uid="{BF098D7A-8AA7-497C-8346-25E8CAD9D8A7}">
      <text>
        <r>
          <rPr>
            <b/>
            <sz val="9"/>
            <color indexed="81"/>
            <rFont val="Tahoma"/>
            <family val="2"/>
          </rPr>
          <t>Dir. Currículo:</t>
        </r>
        <r>
          <rPr>
            <sz val="9"/>
            <color indexed="81"/>
            <rFont val="Tahoma"/>
            <family val="2"/>
          </rPr>
          <t xml:space="preserve">
Son los conocimientos generales que caracterizan el saber del egresado.</t>
        </r>
      </text>
    </comment>
    <comment ref="F2" authorId="0" shapeId="0" xr:uid="{13665253-EBD5-4ACA-8ADD-D123250A215D}">
      <text>
        <r>
          <rPr>
            <b/>
            <sz val="9"/>
            <color indexed="81"/>
            <rFont val="Tahoma"/>
            <family val="2"/>
          </rPr>
          <t>Dir. Currículo:</t>
        </r>
        <r>
          <rPr>
            <sz val="9"/>
            <color indexed="81"/>
            <rFont val="Tahoma"/>
            <family val="2"/>
          </rPr>
          <t xml:space="preserve">
Es el conocimiento referente a la ejecución de estrategias, técnicas, habilidades, métodos y procedimientos; implican fuerza, rapidez y precisión; hacen referencia a saber cómo hacer y saber hacer.</t>
        </r>
      </text>
    </comment>
    <comment ref="G2" authorId="0" shapeId="0" xr:uid="{A454A21F-5AEC-47FA-AD63-B279B078678D}">
      <text>
        <r>
          <rPr>
            <b/>
            <sz val="9"/>
            <color indexed="81"/>
            <rFont val="Tahoma"/>
            <family val="2"/>
          </rPr>
          <t>Dir. Currículo:</t>
        </r>
        <r>
          <rPr>
            <sz val="9"/>
            <color indexed="81"/>
            <rFont val="Tahoma"/>
            <family val="2"/>
          </rPr>
          <t xml:space="preserve">
Se refiere a cómo debe ser el egresado en el contexto profesional, abarca los principios, normas, condiciones de contexto y reglas, entre otros.</t>
        </r>
      </text>
    </comment>
    <comment ref="H2" authorId="0" shapeId="0" xr:uid="{79591661-65A2-44C3-9322-8C788EAA9143}">
      <text>
        <r>
          <rPr>
            <b/>
            <sz val="9"/>
            <color indexed="81"/>
            <rFont val="Tahoma"/>
            <family val="2"/>
          </rPr>
          <t>Dir. Currículo:</t>
        </r>
        <r>
          <rPr>
            <sz val="9"/>
            <color indexed="81"/>
            <rFont val="Tahoma"/>
            <family val="2"/>
          </rPr>
          <t xml:space="preserve">
Áreas en las que podrá laborar el profesional.</t>
        </r>
      </text>
    </comment>
    <comment ref="I2" authorId="0" shapeId="0" xr:uid="{6219E277-D93F-4144-BB76-E78325F46F14}">
      <text>
        <r>
          <rPr>
            <b/>
            <sz val="9"/>
            <color indexed="81"/>
            <rFont val="Tahoma"/>
            <family val="2"/>
          </rPr>
          <t>Dir. Currículo:</t>
        </r>
        <r>
          <rPr>
            <sz val="9"/>
            <color indexed="81"/>
            <rFont val="Tahoma"/>
            <family val="2"/>
          </rPr>
          <t xml:space="preserve">
Tareas potenciales que hará el profesional.</t>
        </r>
      </text>
    </comment>
    <comment ref="J2" authorId="0" shapeId="0" xr:uid="{82B61287-1E52-4966-9F38-40276C610773}">
      <text>
        <r>
          <rPr>
            <b/>
            <sz val="9"/>
            <color indexed="81"/>
            <rFont val="Tahoma"/>
            <family val="2"/>
          </rPr>
          <t>Dir. Currículo:</t>
        </r>
        <r>
          <rPr>
            <sz val="9"/>
            <color indexed="81"/>
            <rFont val="Tahoma"/>
            <family val="2"/>
          </rPr>
          <t xml:space="preserve">
Poblaciones o contextos donde podrán laborar los profesionales o dónde podrán ejercer su profesión.</t>
        </r>
      </text>
    </comment>
    <comment ref="K2" authorId="0" shapeId="0" xr:uid="{1F50E33F-F17E-46CE-A6F2-470B7CCC159C}">
      <text>
        <r>
          <rPr>
            <b/>
            <sz val="9"/>
            <color indexed="81"/>
            <rFont val="Tahoma"/>
            <family val="2"/>
          </rPr>
          <t>Dir. Currículo:</t>
        </r>
        <r>
          <rPr>
            <sz val="9"/>
            <color indexed="81"/>
            <rFont val="Tahoma"/>
            <family val="2"/>
          </rPr>
          <t xml:space="preserve">
Elementos diferenciales que caracterizan al egresado.</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Diana Shirley Velasquez Rojas</author>
  </authors>
  <commentList>
    <comment ref="A2" authorId="0" shapeId="0" xr:uid="{AE119CD1-D0D7-4F88-8CD5-00081530DC87}">
      <text>
        <r>
          <rPr>
            <b/>
            <sz val="9"/>
            <color indexed="81"/>
            <rFont val="Tahoma"/>
            <family val="2"/>
          </rPr>
          <t>Dir. Currículo:</t>
        </r>
        <r>
          <rPr>
            <sz val="9"/>
            <color indexed="81"/>
            <rFont val="Tahoma"/>
            <family val="2"/>
          </rPr>
          <t xml:space="preserve">
Respecto al número de competencias a redactar no hay una restricción ni número limitante, solo se debe tener en cuenta que el programa deberá garantizar y demostrar su desarrollo a través del proceso de aprendizaje que lleve a cabo el estudiante y que se desglosarán y declararán por medio de los resultados de aprendizaje.</t>
        </r>
      </text>
    </comment>
    <comment ref="B2" authorId="0" shapeId="0" xr:uid="{A8E80D42-94C0-4781-8FCE-3D3530E25D52}">
      <text>
        <r>
          <rPr>
            <b/>
            <sz val="9"/>
            <color indexed="81"/>
            <rFont val="Tahoma"/>
            <family val="2"/>
          </rPr>
          <t xml:space="preserve">Dir. de Currículo:
</t>
        </r>
        <r>
          <rPr>
            <sz val="9"/>
            <color indexed="81"/>
            <rFont val="Tahoma"/>
            <family val="2"/>
          </rPr>
          <t>Si desea incluir un verbo puede hacerlo en la hoja Taxonomía para competencias, solo procure usar verbos que pueda desagregarse en verbos medibles</t>
        </r>
        <r>
          <rPr>
            <b/>
            <sz val="9"/>
            <color indexed="81"/>
            <rFont val="Tahoma"/>
            <family val="2"/>
          </rPr>
          <t xml:space="preserve">. </t>
        </r>
        <r>
          <rPr>
            <sz val="9"/>
            <color indexed="81"/>
            <rFont val="Tahoma"/>
            <family val="2"/>
          </rPr>
          <t xml:space="preserve">Después de incluirlo podrá elegirlo en la celda que lo requiera.
</t>
        </r>
      </text>
    </comment>
    <comment ref="C2" authorId="0" shapeId="0" xr:uid="{F4110995-1467-4D20-B839-29023BFAEBFF}">
      <text>
        <r>
          <rPr>
            <b/>
            <sz val="9"/>
            <color indexed="81"/>
            <rFont val="Tahoma"/>
            <family val="2"/>
          </rPr>
          <t>Dir. Currículo:</t>
        </r>
        <r>
          <rPr>
            <sz val="9"/>
            <color indexed="81"/>
            <rFont val="Tahoma"/>
            <family val="2"/>
          </rPr>
          <t xml:space="preserve">
Recuerde que el objeto conceptual hace referencia a qué debe saber (conocimientos, hechos, teorías) el egresado cuando termine su formación profesional.</t>
        </r>
      </text>
    </comment>
    <comment ref="D2" authorId="0" shapeId="0" xr:uid="{4E14A77D-E3A8-4B7B-B617-3C89D59C2DC3}">
      <text>
        <r>
          <rPr>
            <b/>
            <sz val="9"/>
            <color indexed="81"/>
            <rFont val="Tahoma"/>
            <family val="2"/>
          </rPr>
          <t>Dir. Currículo:</t>
        </r>
        <r>
          <rPr>
            <sz val="9"/>
            <color indexed="81"/>
            <rFont val="Tahoma"/>
            <family val="2"/>
          </rPr>
          <t xml:space="preserve">
La finalidad se refiere al para qué, se centra en qué es lo que el egresado sabrá hacer (procedimientos, procesos, metodologías, entre otros) con el saber enunciado como objeto conceptual.
El saber hacer o los elementos del componente ocupacional pueden ayudar a declarar la finalidad. Se listaron en la hoja Paso 1.</t>
        </r>
      </text>
    </comment>
    <comment ref="E2" authorId="0" shapeId="0" xr:uid="{60DC37CE-D668-474D-8A19-C4AF0EAA5C5A}">
      <text>
        <r>
          <rPr>
            <b/>
            <sz val="9"/>
            <color indexed="81"/>
            <rFont val="Tahoma"/>
            <family val="2"/>
          </rPr>
          <t>Dir. Currículo:</t>
        </r>
        <r>
          <rPr>
            <sz val="9"/>
            <color indexed="81"/>
            <rFont val="Tahoma"/>
            <family val="2"/>
          </rPr>
          <t xml:space="preserve">
Describe los referentes y parámetros, requerimientos o retos que se necesitan para alcanzar las características del perfil en el contexto donde el egresado se desenvolverá. 
Una pregunta orientadora para diligenciar esta componente es: ¿Qué condición se requiere para que lograr lo establecido en el perfil, en el contexto donde se desenvolverá el egresado? </t>
        </r>
      </text>
    </comment>
    <comment ref="F2" authorId="0" shapeId="0" xr:uid="{8003939F-4001-4AFA-B7C4-32352928747B}">
      <text>
        <r>
          <rPr>
            <b/>
            <sz val="9"/>
            <color indexed="81"/>
            <rFont val="Tahoma"/>
            <family val="2"/>
          </rPr>
          <t>Dir. Currículo:</t>
        </r>
        <r>
          <rPr>
            <sz val="9"/>
            <color indexed="81"/>
            <rFont val="Tahoma"/>
            <family val="2"/>
          </rPr>
          <t xml:space="preserve">
Tenga en cuenta que la competencia indica qué acción hará el egresado con un saber determinado, con un fin asociado a lo que debe saber hacer con el saber y unas condiciones de contexto o referencia, que enmarcan su comportamiento en el ámbito profesional.</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Diana Shirley Velasquez Rojas</author>
  </authors>
  <commentList>
    <comment ref="A2" authorId="0" shapeId="0" xr:uid="{219B5E11-E7C0-4E8B-97AE-EB82360ED972}">
      <text>
        <r>
          <rPr>
            <b/>
            <sz val="9"/>
            <color indexed="81"/>
            <rFont val="Tahoma"/>
            <family val="2"/>
          </rPr>
          <t>Dir. Currículo:</t>
        </r>
        <r>
          <rPr>
            <sz val="9"/>
            <color indexed="81"/>
            <rFont val="Tahoma"/>
            <family val="2"/>
          </rPr>
          <t xml:space="preserve">
Recuerde que cada competencia hace referencia a tres dominios que demostrará el estudiante, el cognitivo, el procedimental y el actitudinal o valorativo.
La competencia es lo que demostrará el estudiante en el ámbito profesional y en la academia se implementarán acciones educativas que mostrarán los resultados de lo que el estudiante aprendió y que están orientados a verificar que el estudiante saber, saber hacer y sabe ser en un contexto determinado.</t>
        </r>
      </text>
    </comment>
    <comment ref="B2" authorId="0" shapeId="0" xr:uid="{553B5C01-9AE8-4770-9B69-3C41D7587F56}">
      <text>
        <r>
          <rPr>
            <b/>
            <sz val="9"/>
            <color indexed="81"/>
            <rFont val="Tahoma"/>
            <family val="2"/>
          </rPr>
          <t>Dir. Currículo:</t>
        </r>
        <r>
          <rPr>
            <sz val="9"/>
            <color indexed="81"/>
            <rFont val="Tahoma"/>
            <family val="2"/>
          </rPr>
          <t xml:space="preserve">
Los resultados deben ser concretos, entre más competencias se declaren más resultados se deberán demostrar.</t>
        </r>
      </text>
    </comment>
    <comment ref="C2" authorId="0" shapeId="0" xr:uid="{D8131627-F196-496E-83A7-0A723B34AEBB}">
      <text>
        <r>
          <rPr>
            <b/>
            <sz val="9"/>
            <color indexed="81"/>
            <rFont val="Tahoma"/>
            <family val="2"/>
          </rPr>
          <t>Dir. Currículo:</t>
        </r>
        <r>
          <rPr>
            <sz val="9"/>
            <color indexed="81"/>
            <rFont val="Tahoma"/>
            <family val="2"/>
          </rPr>
          <t xml:space="preserve">
Dado que la competencia se determina por el saber, saber hacer y saber ser, se va a redactar por lo menos un resultado de aprendizaje por cada saber.
Pero puede ocurrir que un resultado sea el mismo para dos o más competencias.</t>
        </r>
      </text>
    </comment>
    <comment ref="D2" authorId="0" shapeId="0" xr:uid="{029DF8E8-3C72-4699-A1B1-3A2203C057D4}">
      <text>
        <r>
          <rPr>
            <b/>
            <sz val="9"/>
            <color indexed="81"/>
            <rFont val="Tahoma"/>
            <family val="2"/>
          </rPr>
          <t>Dir. Currículo:</t>
        </r>
        <r>
          <rPr>
            <sz val="9"/>
            <color indexed="81"/>
            <rFont val="Tahoma"/>
            <family val="2"/>
          </rPr>
          <t xml:space="preserve">
El listado despliega, según el saber elegido en la columna C, lo que se escribió en el paso 1 para ese tipo de saber.</t>
        </r>
      </text>
    </comment>
    <comment ref="E2" authorId="0" shapeId="0" xr:uid="{28C52E8D-E4CF-48B1-9635-51A173F0E866}">
      <text>
        <r>
          <rPr>
            <b/>
            <sz val="9"/>
            <color indexed="81"/>
            <rFont val="Tahoma"/>
            <family val="2"/>
          </rPr>
          <t xml:space="preserve">Dir. Currículo:
</t>
        </r>
        <r>
          <rPr>
            <sz val="9"/>
            <color indexed="81"/>
            <rFont val="Tahoma"/>
            <family val="2"/>
          </rPr>
          <t>Se elije según los conocimientos que se tienen sobre ellas, la más empleada es la de Bloom, pero existen muchas otras.
Si requiere emplear una distinta puede adaptar el formato a sus necesidades.</t>
        </r>
      </text>
    </comment>
    <comment ref="F2" authorId="0" shapeId="0" xr:uid="{BE1AFAE3-AC58-487A-A8AB-89E11F1CCDEA}">
      <text>
        <r>
          <rPr>
            <b/>
            <sz val="9"/>
            <color indexed="81"/>
            <rFont val="Tahoma"/>
            <family val="2"/>
          </rPr>
          <t>Dir. Currículo:</t>
        </r>
        <r>
          <rPr>
            <sz val="9"/>
            <color indexed="81"/>
            <rFont val="Tahoma"/>
            <family val="2"/>
          </rPr>
          <t xml:space="preserve">
En la columna C se indicó el saber que se trabajará por lo que aquí se debe elegir el dominio que debe alcanzar el estudiante.
Recuerde, el saber corresponde al dominio cognitivo en alguna taxonomía, el saber hacer hace referencia al dominio procedimental y el saber ser al dominio actitudinal.</t>
        </r>
      </text>
    </comment>
    <comment ref="G2" authorId="0" shapeId="0" xr:uid="{AAF1445F-E39C-4312-90A1-14054AF028A2}">
      <text>
        <r>
          <rPr>
            <b/>
            <sz val="9"/>
            <color indexed="81"/>
            <rFont val="Tahoma"/>
            <family val="2"/>
          </rPr>
          <t>Dir. Currículo:</t>
        </r>
        <r>
          <rPr>
            <sz val="9"/>
            <color indexed="81"/>
            <rFont val="Tahoma"/>
            <family val="2"/>
          </rPr>
          <t xml:space="preserve">
Las taxonomías se clasifican en niveles, por eso, al elegirlo en la columna E, las filas los despliegan y se selecciona según la coherencia de éste con el dominio por desarrollará. Elegir el nivel permite que en la columna H aparezcan los verbos recomendados.</t>
        </r>
      </text>
    </comment>
    <comment ref="H2" authorId="0" shapeId="0" xr:uid="{7B4A460E-9649-40C7-BFD8-BE954B68C7F3}">
      <text>
        <r>
          <rPr>
            <b/>
            <sz val="9"/>
            <color indexed="81"/>
            <rFont val="Tahoma"/>
            <family val="2"/>
          </rPr>
          <t>Dir. Currículo:</t>
        </r>
        <r>
          <rPr>
            <sz val="9"/>
            <color indexed="81"/>
            <rFont val="Tahoma"/>
            <family val="2"/>
          </rPr>
          <t xml:space="preserve">
En las celdas se despliegan los verbos sugeridos para la categoría seleccionada en la columna G.</t>
        </r>
      </text>
    </comment>
    <comment ref="I2" authorId="0" shapeId="0" xr:uid="{C38B22A1-7462-4A8F-A7C7-9F21D3E7B042}">
      <text>
        <r>
          <rPr>
            <b/>
            <sz val="9"/>
            <color indexed="81"/>
            <rFont val="Tahoma"/>
            <family val="2"/>
          </rPr>
          <t>Dir. Currículo:</t>
        </r>
        <r>
          <rPr>
            <sz val="9"/>
            <color indexed="81"/>
            <rFont val="Tahoma"/>
            <family val="2"/>
          </rPr>
          <t xml:space="preserve">
En las filas de esta columna articule las columnas H y D en una oración que comience por el verbo (col. H), que recaiga sobre el objeto conceptual (col. D) y termine con un complemento de oración, conocida como condición de contexto, que indique para qué, como, con qué, o lo que considere conveniente para dar cierre al resultado de aprendizaje.</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Diana Shirley Velasquez Rojas</author>
  </authors>
  <commentList>
    <comment ref="B2" authorId="0" shapeId="0" xr:uid="{4FBBD2D6-DC36-4648-89F1-F7D40D2A345D}">
      <text>
        <r>
          <rPr>
            <b/>
            <sz val="9"/>
            <color indexed="81"/>
            <rFont val="Tahoma"/>
            <family val="2"/>
          </rPr>
          <t>Dir. Currículo:</t>
        </r>
        <r>
          <rPr>
            <sz val="9"/>
            <color indexed="81"/>
            <rFont val="Tahoma"/>
            <family val="2"/>
          </rPr>
          <t xml:space="preserve">
Escriba las estrategias que el programa emplea para evaluar los resultados de aprendizaje.</t>
        </r>
      </text>
    </comment>
    <comment ref="D2" authorId="0" shapeId="0" xr:uid="{00DDF55F-44AF-4AB9-97DA-8E74A4D2B530}">
      <text>
        <r>
          <rPr>
            <b/>
            <sz val="9"/>
            <color indexed="81"/>
            <rFont val="Tahoma"/>
            <family val="2"/>
          </rPr>
          <t>Dir. Currículo:</t>
        </r>
        <r>
          <rPr>
            <sz val="9"/>
            <color indexed="81"/>
            <rFont val="Tahoma"/>
            <family val="2"/>
          </rPr>
          <t xml:space="preserve">
Los indicadores de logro, indican cómo cada estrategia contribuye al resultado de aprendizaje y serán aquellos a los que el programa apuntará para ser alcanzados por los estudiantes.</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Diana Shirley Velasquez Rojas</author>
  </authors>
  <commentList>
    <comment ref="E1" authorId="0" shapeId="0" xr:uid="{5E224E08-24C9-4DAF-AAB9-1B5F114C4BB2}">
      <text>
        <r>
          <rPr>
            <b/>
            <sz val="9"/>
            <color indexed="81"/>
            <rFont val="Tahoma"/>
            <family val="2"/>
          </rPr>
          <t>Dir. Currículo:</t>
        </r>
        <r>
          <rPr>
            <sz val="9"/>
            <color indexed="81"/>
            <rFont val="Tahoma"/>
            <family val="2"/>
          </rPr>
          <t xml:space="preserve">
Los indicadores de logro, indican cómo cada asignatura o módulo contribuye al resultado de aprendizaje y serán aquellos a los que los docentes deberán apuntar para que con sus estrategias sean alcanzados por los estudiantes.</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Diana Shirley Velasquez Rojas</author>
  </authors>
  <commentList>
    <comment ref="BG4" authorId="0" shapeId="0" xr:uid="{9607C37A-C8B3-44AC-90C2-DDC4836F9013}">
      <text>
        <r>
          <rPr>
            <b/>
            <sz val="9"/>
            <color indexed="81"/>
            <rFont val="Tahoma"/>
            <family val="2"/>
          </rPr>
          <t>Dir. Currículo:</t>
        </r>
        <r>
          <rPr>
            <sz val="9"/>
            <color indexed="81"/>
            <rFont val="Tahoma"/>
            <family val="2"/>
          </rPr>
          <t xml:space="preserve">
Hay cuatro tipos de pensamiento del sistema del yo que son relevantes para la Nueva Taxonomía: (1) examinar la importancia, (2) examinar la eficacia, (3) examinar la respuesta emocional y (4) examinar la motivación general.</t>
        </r>
      </text>
    </comment>
  </commentList>
</comments>
</file>

<file path=xl/sharedStrings.xml><?xml version="1.0" encoding="utf-8"?>
<sst xmlns="http://schemas.openxmlformats.org/spreadsheetml/2006/main" count="2346" uniqueCount="657">
  <si>
    <t>[Escribir el nombre del programa]</t>
  </si>
  <si>
    <t>[Escribir la modalidad: presencial o virtual]</t>
  </si>
  <si>
    <t>[Escribir el perfil profesional del egresado.]</t>
  </si>
  <si>
    <t>[Escribir el perfil ocupacional del egresado.]</t>
  </si>
  <si>
    <r>
      <rPr>
        <b/>
        <sz val="11"/>
        <color theme="0"/>
        <rFont val="Gill Sans MT"/>
        <family val="2"/>
      </rPr>
      <t>Componentes fundamentales para definir competencias</t>
    </r>
    <r>
      <rPr>
        <b/>
        <sz val="8"/>
        <color theme="0"/>
        <rFont val="Gill Sans MT"/>
        <family val="2"/>
      </rPr>
      <t xml:space="preserve">
</t>
    </r>
    <r>
      <rPr>
        <sz val="8"/>
        <color theme="0"/>
        <rFont val="Gill Sans MT"/>
        <family val="2"/>
      </rPr>
      <t>[Listar las palabras clave, no armar oraciones, respecto qué debe saber el egresado en las categorías de Saber -conocimientos, hechos, teorías-, Saber hacer -técnicas, procedimientos, metodologías-, y Saber ser -valores, condiciones. Esta información se estructura a partir del perfil profesional y cada saber hacer depende del saber ubicado a su izquierda, lo mismo ocurre con el saber ser.]</t>
    </r>
  </si>
  <si>
    <r>
      <rPr>
        <b/>
        <sz val="11"/>
        <color theme="0"/>
        <rFont val="Gill Sans MT"/>
        <family val="2"/>
      </rPr>
      <t>Componentes fundamentales de la ocupación laboral del profesional</t>
    </r>
    <r>
      <rPr>
        <b/>
        <sz val="8"/>
        <color theme="0"/>
        <rFont val="Gill Sans MT"/>
        <family val="2"/>
      </rPr>
      <t xml:space="preserve">
</t>
    </r>
    <r>
      <rPr>
        <sz val="8"/>
        <color theme="0"/>
        <rFont val="Gill Sans MT"/>
        <family val="2"/>
      </rPr>
      <t>[Listar, según lo escrito en el perfil ocupacional, en qué áreas, qué tareas potenciales y en qué poblaciones o contextos podrá laborar el profesional. Esta información es un listado general no requiere dependencia horizontal]</t>
    </r>
  </si>
  <si>
    <r>
      <rPr>
        <b/>
        <sz val="11"/>
        <color theme="0"/>
        <rFont val="Gill Sans MT"/>
        <family val="2"/>
      </rPr>
      <t>Diferencial (valor agregado) del profesional</t>
    </r>
    <r>
      <rPr>
        <b/>
        <sz val="8"/>
        <color theme="0"/>
        <rFont val="Gill Sans MT"/>
        <family val="2"/>
      </rPr>
      <t xml:space="preserve">
</t>
    </r>
    <r>
      <rPr>
        <sz val="8"/>
        <color theme="0"/>
        <rFont val="Gill Sans MT"/>
        <family val="2"/>
      </rPr>
      <t>[Listar, según lo escrito en los perfiles, los elementos que son diferenciales y generan un valor agregado al egresado. Debe ser disciplinar, asociado al perfil, ¿qué es lo que lo hace diferente a otros perfiles similares.]</t>
    </r>
  </si>
  <si>
    <t>Programa</t>
  </si>
  <si>
    <t>Modalidad</t>
  </si>
  <si>
    <t>Perfil profesional</t>
  </si>
  <si>
    <t>Perfil ocupacional</t>
  </si>
  <si>
    <t>Saber</t>
  </si>
  <si>
    <t>Saberhacer</t>
  </si>
  <si>
    <t>Saberser</t>
  </si>
  <si>
    <t>ÁreasProfesionales</t>
  </si>
  <si>
    <t>TareasProfesionales</t>
  </si>
  <si>
    <t>PoblacionesActuacion</t>
  </si>
  <si>
    <t>ValorAgregado</t>
  </si>
  <si>
    <t>Especialización en Logística y Gestión de la Cadena de Abastecimiento</t>
  </si>
  <si>
    <t>Presencial</t>
  </si>
  <si>
    <t>El especialista en Logística y Gestión de la Cadena de Abastecimiento en las organizaciones gestiona los procesos de abastecimiento, almacenamiento, y distribución, aplicando modelos analíticos y herramientas digitales para la toma de decisiones, la mejora en los procesos, y la reducción en tiempos y costos en la cadena de suministro. Se caracteriza por su capacidad de análisis, enfoque estratégico y adaptación a entornos dinámicos, contribuyendo a la eficiencia y competitividad de las organizaciones.</t>
  </si>
  <si>
    <t>El egresado de la Especialización en Logística y Gestión de la Cadena de Abastecimiento posee habilidades para identificar problemáticas en las operaciones logísticas, analizar su impacto en la gestión organizacional y formular estrategias para su mejora. Su formación le permite diseñar propuestas que optimicen el abastecimiento, almacenamiento y distribución de materiales, evaluando su impacto en indicadores clave y costos. Además, está capacitado para planificar y controlar procesos logísticos en contextos de producción, comercialización y prestación de servicios, gestionando de manera eficiente los recursos disponibles. Su enfoque analítico y estratégico le permite tomar decisiones fundamentadas en datos, fortaleciendo la competitividad de las organizaciones en entornos dinámicos.</t>
  </si>
  <si>
    <t>Modelos analíticos y estrategias logísticas</t>
  </si>
  <si>
    <t>Mejorar los procesos de abastecimiento, almacenamiento y distribución mediante técnicas y procedimientos sistemáticos</t>
  </si>
  <si>
    <t>Actuando con pensamiento crítico y enfoque en la gestión eficiente de la cadena de suministro</t>
  </si>
  <si>
    <t>Departamento de Planeación y Gestión de la Cadena de Abastecimiento
(Gestión de la cadena de abastecimiento / Planeación y optimización logística / Gestión de costos en la cadena de suministro / Logística de última milla)/Departamento de Innovación y Digitalización Logística
(Tecnologías aplicadas a la logística / Digitalización y automatización de procesos logísticos / Análisis de datos logísticos)/Departamento de Logística Global
( Gestión de operaciones en mercados internacionales)</t>
  </si>
  <si>
    <t>Diseñar estrategias de abastecimiento, almacenamiento y distribución alineadas con los objetivos organizacionales / Aplicar modelos de optimización para la reducción de costos y mejora del servicio logístico / Implementar estrategias para la logística de última milla asegurando entregas eficientes / Coordinar la relación entre proveedores, centros de distribución y clientes finales/Integrar herramientas digitales y sistemas de información para mejorar la trazabilidad y el control de inventarios / Implementar soluciones tecnológicas para la optimización y automatización de operaciones logísticas / Aplicar análisis de datos para la toma de decisiones estratégicas en la cadena de abastecimiento / Desarrollar proyectos de transformación digital para mejorar la competitividad logística/Gestionar operaciones de importación y exportación / Desarrollar estrategias de distribución en mercados nacionales e internacionales / Supervisar la logística internacional asegurando la eficiencia en el transporte multimodal y la reducción de costos en la distribución global</t>
  </si>
  <si>
    <t>Empresas de manufactura, retail, operadores logísticos, sector industrial, comercio electrónico/Empresas con redes de distribución digitalizadas, compañías con sistemas de gestión logística/Empresas de comercio exterior, compañías exportadoras e importadoras, agencias aduaneras</t>
  </si>
  <si>
    <t>El especialista en Logística y Gestión de la Cadena de Abastecimiento se diferencia por su capacidad para diseñar estrategias, optimizar procesos con herramientas digitales y analíticas y gestionar operaciones en distintos niveles al interior de las organizaciones. Su formación le permite tomar decisiones basadas en datos integrando tecnología y análisis en la cadena de suministro.</t>
  </si>
  <si>
    <t>Tecnologías digitales aplicadas a la logística</t>
  </si>
  <si>
    <t>Gestionar operaciones y reducir costos en la cadena de suministro</t>
  </si>
  <si>
    <t>Aplicando criterios de eficiencia y análisis de datos en la gestión de procesos</t>
  </si>
  <si>
    <t>Elementos para redactar las competencias que desarrollará el programa</t>
  </si>
  <si>
    <t>[Enumerar las competencias que se van a declarar.]</t>
  </si>
  <si>
    <t>[A partir de la celda B2 dar clic sobre el ícono de lista desplegable y elegir el verbo que considere adecuado.]</t>
  </si>
  <si>
    <t>[A partir de la celda C2 dar clic sobre la lista desplegable y elegir el saber extraído del perfil de egreso.]</t>
  </si>
  <si>
    <t>[Escribir para qué se abordará el saber elegido. Se sugiere apoyarse en el saber hacer.]</t>
  </si>
  <si>
    <t>[Escribir la condición describiendo los referentes, parámetros, principios, requerimientos o retos que se necesitan para alcanzar las características del perfil en el contexto donde el egresado se desenvolverá.]</t>
  </si>
  <si>
    <t>[Articular los componentes. Iniciar con el verbo, continuar con el objeto conceptual, luego la finalidad y condición de contexto o referencia; estos últimos no requieren un orden particular.]</t>
  </si>
  <si>
    <t>[Escribir el tipo de competencia del perfil: Específica (si es del bloque Disciplinar para pregrado o de los componentes para el caso de posgrado) o Genérica (si aplica bloque institucional pregrado)]</t>
  </si>
  <si>
    <t>No.</t>
  </si>
  <si>
    <t>Verbo competencia</t>
  </si>
  <si>
    <t>Objeto conceptual</t>
  </si>
  <si>
    <t>Finalidad</t>
  </si>
  <si>
    <t>Condición de contexto o referencia</t>
  </si>
  <si>
    <t>Redacción competencia</t>
  </si>
  <si>
    <t>Tipo competencia</t>
  </si>
  <si>
    <t>Aplicar</t>
  </si>
  <si>
    <t>Aplicar modelos analíticos y estrategias logísticas para mejorar los procesos de abastecimiento, almacenamiento y distribución mediante técnicas y procedimientos sistemáticos, actuando con pensamiento crítico y enfoque en la gestión eficiente de la cadena de suministro.</t>
  </si>
  <si>
    <t>Específica</t>
  </si>
  <si>
    <t>Implementar</t>
  </si>
  <si>
    <t>Implementar herramientas digitales y sistemas de información para monitorear operaciones y gestionar costos en la cadena de suministro, aplicando criterios de eficiencia y análisis de datos en la gestión de procesos.</t>
  </si>
  <si>
    <t>[A partir de la celda A2 dar clic en la lista desplegable y seleccionar la competencia redactada en el paso 2.]</t>
  </si>
  <si>
    <t>[Enumerar los resultados de aprendizaje que se van a declarar.]</t>
  </si>
  <si>
    <t>[A partir de la celda C2, dar clic en la lista desplegable y elegir el tipo de dominio a tratar en el resultado de aprendizaje.]</t>
  </si>
  <si>
    <t>[A partir de la cela D2, dar clic en la lista desplegable y elegir el saber correspondiente al dominio.]</t>
  </si>
  <si>
    <t>[A partir de la celda E2, dar clic en la lista desplegable y elegir la  taxonomía que se considere adecuada, solo se elige una para todos los saberes.]</t>
  </si>
  <si>
    <t>[A partir de la celda F2, dar clic en la lista desplegable y elegir el dominio que se considera adecuado.]</t>
  </si>
  <si>
    <t>[A partir de la celda G2, dar clic en la lista desplegable y elegir el nivel del dominio que se considera adecuado.]</t>
  </si>
  <si>
    <t>[A partir de la celda H2, dar clic en la lista desplegable y elegir el verbo que se considera adecuado.]</t>
  </si>
  <si>
    <t>[Iniciar con el verbo elegido (columna H), en infinitivo, luego el objeto sobre el cual recae la acción (columna D) y finalmente la condición de contexto (académico, disciplinar, social u otro).]</t>
  </si>
  <si>
    <t>Competencia por desarrollar</t>
  </si>
  <si>
    <t>Número de resultado</t>
  </si>
  <si>
    <t>TipoSaber</t>
  </si>
  <si>
    <t>SaberAsociado</t>
  </si>
  <si>
    <t>Taxonomía</t>
  </si>
  <si>
    <t>Dominio Asociado</t>
  </si>
  <si>
    <t>Nivel Dominio</t>
  </si>
  <si>
    <t>Verbo RA</t>
  </si>
  <si>
    <t>Resultados Aprendizaje</t>
  </si>
  <si>
    <t>BAK</t>
  </si>
  <si>
    <t>CognitivoBAK</t>
  </si>
  <si>
    <t>AnálisisBAK</t>
  </si>
  <si>
    <t>Analizar</t>
  </si>
  <si>
    <t>Analiza datos e información de la cadena de suministro mediante el uso de modelos cuantitativos y herramientas digitales, para determinar el tipo de estrategias que se pueden implementar en los procesos o en la toma de decisiones.</t>
  </si>
  <si>
    <t>ProcedimentalBAK</t>
  </si>
  <si>
    <t>PrecisiónBAK</t>
  </si>
  <si>
    <t>Aplica modelos analíticos y procedimientos de gestión de la cadena de suministro para diseñar propuestas de mejora en abastecimiento, almacenamiento y distribución que orienten la toma de decisiones en contextos organizacionales del sector.</t>
  </si>
  <si>
    <t>ActitudinalBAK</t>
  </si>
  <si>
    <t>OrganizarBAK</t>
  </si>
  <si>
    <t>Analiza datos y escenarios logísticos para plantear acciones de mejora en la gestión de procesos y de la cadena de suministro, con criterios de eficiencia que orienten la toma de decisiones.</t>
  </si>
  <si>
    <t>Aplica herramientas digitales y sistemas de información en la gestión de datos logísticos, para diseñar estrategias de reducción de costos y control de operaciones en la cadena de suministro.</t>
  </si>
  <si>
    <t>[A partir de la celda A3 despliegue el(los) resultado(s) de aprendizaje y elegir aquel (aquellos)  al(a los) que se contribuye desde la estrategia.]</t>
  </si>
  <si>
    <t>[Escribir el nombre de la estrategia a desarrollar. Participación de los estudiantes en cursos, talleres, seminarios, conferencias, pruebas estandarizadas, investigaciones, actividades o experiencias, cuerpos académicos, redes, comunidades, la elaboración de textos y materiales, así como las publicaciones, entre otros.]</t>
  </si>
  <si>
    <t>[Describir la(s) estrategia(s) definidas por el programa.]</t>
  </si>
  <si>
    <t>[Escribir los indicadores de impacto de la estrategia. Se sugieren indicadores como: Valora el nivel de contribución de la estrategia a los resultados de aprendizaje; Número de estudiantes que participan en la estrategia; Número de veces que se realiza la estrategia, entre otros.]</t>
  </si>
  <si>
    <t>[Escribir las acciones de retroalimentación que usará el programa para comunicar a los estudiantes sobre el alcance de sus resultados de aprendizaje.]</t>
  </si>
  <si>
    <t>[Escribir, para cada indicador con qué instrumento se recogerá información para evidenciar el (los) impacto (s) declarados. Encuesta, lista de asistencia, informe, entre otros.]</t>
  </si>
  <si>
    <t>Resultado de aprendizaje</t>
  </si>
  <si>
    <t>Estrategia del programa</t>
  </si>
  <si>
    <t>Descripción</t>
  </si>
  <si>
    <t>Indicador de Impacto de la Estrategia</t>
  </si>
  <si>
    <t>Acciones de retroalimentación para los estudiantes</t>
  </si>
  <si>
    <t>Instrumentos de medición</t>
  </si>
  <si>
    <t>Congreso Internacional en Logística</t>
  </si>
  <si>
    <t>Evento que reúne expositores nacionales e internacionales con el objetivo de presentar investigaciones y desarrollos en logística y gestión de la cadena de suministro en diversos sectores económicos. Además, busca mostrar la aplicación de la logística y sus nuevas líneas de investigación en el sector real.</t>
  </si>
  <si>
    <t>Valoración del nivel de contribución de la estrategia a los resultados de aprendizaje del programa, en una escala de 1 a 5.</t>
  </si>
  <si>
    <t>Informar a los estudiantes sobre los temas transversales, de actualización o que afectan la disciplina o amplían el saber de la misma.</t>
  </si>
  <si>
    <t>Encuesta</t>
  </si>
  <si>
    <t>Número de estudiantes y graduados que participan en la estrategia.</t>
  </si>
  <si>
    <t>Listado</t>
  </si>
  <si>
    <t>Número de veces que se realiza la estrategia en el tiempo que determine el programa.</t>
  </si>
  <si>
    <t>Informe o Reporte</t>
  </si>
  <si>
    <t>Congreso Internacional en BI</t>
  </si>
  <si>
    <t>Evento que reúne expositores nacionales e internacionales con el objetivo de presentar investigaciones y desarrollos en logística y gestión de la cadena de suministro soportados en datos, en diversos sectores económicos. Además, busca mostrar la aplicación de la logística y sus nuevas líneas de investigación en el sector real.</t>
  </si>
  <si>
    <t>Informar y formar a los estudiantes sobre  temas transversales, de actualización que afectan la disciplina o amplían el saber de la misma.</t>
  </si>
  <si>
    <t>Número de estudiantes que participan en la estrategia.</t>
  </si>
  <si>
    <t>Webinars</t>
  </si>
  <si>
    <t xml:space="preserve">Charlas impartidas por expertos en diversas áreas de la ingeniería industrial incluyendo logística y gestión de cadena de abastecimiento, donde comparten sus experiencias profesionales y casos de éxito en el sector real. Estas sesiones permiten a los estudiantes reconocer y comprender problemas en el campo de la logística y la gestión de la cadena de abastecimiento. </t>
  </si>
  <si>
    <t>Seminario Internacional en Logística</t>
  </si>
  <si>
    <t>Evento en el que profesores extranjeros orientan sesiones magistrales sobre un tema específico relacionado con la logística y la gestión de la cadena de suministro, brindando una perspectiva internacional sobre su aplicación y tendencias.</t>
  </si>
  <si>
    <t>Misión Académica Logística</t>
  </si>
  <si>
    <t>Experiencia internacional en la que un grupo de estudiantes y profesores del programa visitan universidades, empresas y entidades en un país extranjero para conocer de primera mano las dinámicas, estrategias y mejores prácticas en logística y gestión de la cadena de suministro.</t>
  </si>
  <si>
    <t>[Estas celdas se diligencian automáticamente. No ajustar.]</t>
  </si>
  <si>
    <t>[A partir de la celda A3 despliegue el(los) resultado(s) de aprendizaje y elija aquel (aquellos) al(a los) que se contribuye desde la asignatura o módulo).]</t>
  </si>
  <si>
    <t>[Escribir el semestre en el que se cursa la asignatura o módulo.]</t>
  </si>
  <si>
    <t>[Escribir el nombre de la asignatura o módulo que contribuye al logro del resultado de aprendizaje.]</t>
  </si>
  <si>
    <t>[Redactar los indicadores iniciando con el verbo en presente indicativo, luego el objeto conceptual y finalmente el complemento de oración (que indique una condición o finalidad, con, para, de, entre otros conectores).]</t>
  </si>
  <si>
    <t> [Escribir la tipología: T (teórico), P (Práctico), TP (Teórico Práctico)]</t>
  </si>
  <si>
    <t>[Marcar con X el bloque o componente al que pertenece la asignatura o módulo. Por favor ajustar para posgrado, eliminar una columna y ubicar los títulos C.Fundamentación y C.Profundización.]</t>
  </si>
  <si>
    <t>[Escribir el número de créditos de la asignatura o módulo]</t>
  </si>
  <si>
    <t>[Escribir el número de horas de trabajo directo: 16*# o 12*#, para presencial o virtual, según sea el caso.]</t>
  </si>
  <si>
    <t>[Escribir el número de horas de trabajo independiente: 32*# columna J o 36*# columna J, para presencial o virtual, respectivamente.]</t>
  </si>
  <si>
    <t>[Escribir la suma de los números de horas de las dos celdas anteriores.]</t>
  </si>
  <si>
    <t>[Escribir el nombre de los cuatro núcleos temáticos que abordará la asignatura o el módulo.]</t>
  </si>
  <si>
    <t>[Escribir las lecturas, talleres, análisis, referentes, etc., que realiza el estudiante, clasificadas en trabajo directo e independiente.]</t>
  </si>
  <si>
    <t xml:space="preserve">[Escribir las actividades de evaluación que se emplean para identificar el alcance del (de los) indicador(es) de logro(s).] </t>
  </si>
  <si>
    <t>[Escribir las acciones de retroalimentación que se emplearán en la asignatura o módulo, para retroalimentar a los estudiantes respecto al alcance de los indicadores de logro. Recordar que son cuatro acciones: informar, formar, prevenir y ayudar a tomar decisiones e indique cómo.]</t>
  </si>
  <si>
    <t>Tipo de Saber</t>
  </si>
  <si>
    <t>Semestre</t>
  </si>
  <si>
    <t>Nombre asignatura o módulo</t>
  </si>
  <si>
    <t>Indicadores de logro asignatura o módulo</t>
  </si>
  <si>
    <t>Tipología</t>
  </si>
  <si>
    <t>C.Fundamentación</t>
  </si>
  <si>
    <t>C.Profundización</t>
  </si>
  <si>
    <t>Créditos</t>
  </si>
  <si>
    <t>Número de horas trabajo directo</t>
  </si>
  <si>
    <t>Número de horas trabajo independiente</t>
  </si>
  <si>
    <t>Total de horas</t>
  </si>
  <si>
    <t>Núcleos temáticos</t>
  </si>
  <si>
    <t>Actividades de aprendizaje</t>
  </si>
  <si>
    <t>Actividades de evaluación</t>
  </si>
  <si>
    <t>Acciones de retroalimentación</t>
  </si>
  <si>
    <t>Formulación y Evaluación de Proyectos</t>
  </si>
  <si>
    <t>Evalúa el alcance, tiempo, costos y recursos humanos en proyectos, para diseñar propuestas que orienten la toma de decisiones estratégicas en contextos organizacionales.</t>
  </si>
  <si>
    <t>TP</t>
  </si>
  <si>
    <t>X</t>
  </si>
  <si>
    <t>1. Contexto de la Gerencia de Proyectos y Gestión de la Integración
2. Gestión del Alcance y del Gestión del Tiempo
3. Gestión de Costos
4. Gestión de Recursos Humanos</t>
  </si>
  <si>
    <t>Las estrategias pueden variar entre estas u otras:
Trabajo directo
Clase magistral activa/Análisis o Estudio de casos/Resolución de problemas/Talleres prácticos
Trabajo independiente
Lecturas relacionadas o de materiales complementarios/Resolución de problemas/Ejercicios aplicados/Desarrollo de proyectos/Talleres grupales o individuales/Análisis o Estudio de casos/Elaboración de informes o documentos técnicos</t>
  </si>
  <si>
    <t>Las actividades pueden varias entre estas u otras:
Formativas
Resolución de problemas/Análisis de casos reales o simulados/Talleres/Representaciones gráficas o visuales (mapas conceptuales, infografías, presentaciones, entre otros)
Sumativas
Pruebas escritas/Proyectos aplicados/Estudios de caso/Simulaciones y modelado de procesos/Informes técnicos/Presentaciones orales o defensa de propuestas</t>
  </si>
  <si>
    <t xml:space="preserve">Las acciones retroalimentación varían entre las siguientes, según las condiciones que identifique el tutor.
Formar: donde se crean las condiciones para que los estudiantes adquieran conocimientos, habilidades, actitudes, aptitudes y destrezas. Además, debe promover su desarrollo integral y debe acompañarlos en las situaciones académicas que enfrenten durante el desarrollo de un módulo o una asignatura.  
Informar: para que los estudiantes identifiquen los cambios que pueden afectarlos directa o indirectamente tanto en el aula de clase como en otros espacios. 
Prevenir: con el fin de anticiparse a las situaciones académicas que pueden representar dificultad para los estudiantes. Esto se logra a través de la interacción individual con los estudiantes y del completo conocimiento del contexto educativo en que el tutor se desenvuelve.
Ayudar a decidir: donde se orienta a los estudiantes para que tomen la mejor decisión ante una situación concreta. El objetivo es que el estudiante fortalezca su autonomía y la toma de decisiones responsable. </t>
  </si>
  <si>
    <t xml:space="preserve"> </t>
  </si>
  <si>
    <t>Simulación de Modelos de Producción y Logística</t>
  </si>
  <si>
    <t>Analiza datos de entrada y salida en modelos de simulación de producción y logística, para proponer mejoras en la gestión de procesos y el mejoramiento de costos, en contextos de la cadena de suministro.</t>
  </si>
  <si>
    <t xml:space="preserve">1. Introducción y Conceptos Básicos de Simulación 
2. Análisis de Entrada 
3. Análisis de Salida  
4. Comparación y Verificación de Alternativas </t>
  </si>
  <si>
    <t>Las estrategias pueden variar entre estas u otras:
Trabajo directo
Clase magistral activa/Análisis o Estudio de casos/Resolución de problemas/Talleres prácticos
Trabajo independiente
Lecturas relacionadas o de materiales/complementarios/Resolución de problemas/Ejercicios aplicados/Desarrollo de proyectos/Talleres grupales o individuales/Análisis o Estudio de casos/Elaboración de informes o documentos técnicos</t>
  </si>
  <si>
    <t xml:space="preserve">Formar: donde se crean las condiciones para que los estudiantes adquieran conocimientos, habilidades, actitudes, aptitudes y destrezas. Además, debe promover su desarrollo integral y debe acompañarlos en las situaciones académicas que enfrenten durante el desarrollo de un módulo o una asignatura.  
Informar: para que los estudiantes identifiquen los cambios que pueden afectarlos directa o indirectamente tanto en el aula de clase como en otros espacios. 
Prevenir: con el fin de anticiparse a las situaciones académicas que pueden representar dificultad para los estudiantes. Esto se logra a través de la interacción individual con los estudiantes y del completo conocimiento del contexto educativo en que el tutor se desenvuelve.
Ayudar a decidir: donde se orienta a los estudiantes para que tomen la mejor decisión ante una situación concreta. El objetivo es que el estudiante fortalezca su autonomía y la toma de decisiones responsable. </t>
  </si>
  <si>
    <t>Teoría de la Decisión Aplicada a la Logística</t>
  </si>
  <si>
    <t xml:space="preserve">Analiza escenarios en abastecimiento, almacenamiento y distribución para aplicar modelos cuantitativos que orienten la toma de decisiones en logística y gestión de cadena de abastecimiento. </t>
  </si>
  <si>
    <t>1. Programación Lineal Aplicada a la Logística
2. Técnicas y Modelos Avanzados de Optimización Aplicados a la logística 
3. Punto de Equilibrio 
4. Modelos Probabilísticos Aplicados a la Logística</t>
  </si>
  <si>
    <t>Modelos para el Control de Inventarios</t>
  </si>
  <si>
    <t>Analiza datos de demanda y abastecimiento, para aplicar modelos determinísticos y probabilísticos en la gestión y control de inventarios en la cadena de suministro.</t>
  </si>
  <si>
    <t>1. Modelos de Inventarios Determinísticos
2. Modelos de Inventarios Probabilísticos
3. Herramientas Adicionales para el Manejo de Inventarios 
4. Modelos de Inventarios de Demanda Dependiente (MRP)</t>
  </si>
  <si>
    <t>Gerencia de la Cadena de Abastecimiento</t>
  </si>
  <si>
    <t>Analiza los procesos de la cadena de abastecimiento, para diseñar estrategias de integración y mejora en la gestión logística con base en modelos analíticos y herramientas digitales.</t>
  </si>
  <si>
    <t>1. Fundamentos de la Gerencia de la Cadena de Abastecimiento
2. Integración y Colaboración en la Cadena de Suministro
3. Estrategia Logística
4. Indicadores de Desempeño y Evaluación de la Cadena de Suministro</t>
  </si>
  <si>
    <t>Metaheurísticas Aplicadas a la Logística</t>
  </si>
  <si>
    <t>Aplica técnicas heurísticas y metaheurísticas en problemas logísticos, para proponer estrategias de mejora en procesos de distribución, almacenamiento y transporte, que orienten la toma de decisiones.</t>
  </si>
  <si>
    <t xml:space="preserve">1. Bases Introductorias de Algorítmica 
2. Heurísticas Simples para Problemas Específicos 
3. Metaheurísticas
4. Metaheurísticas Casos Discretos </t>
  </si>
  <si>
    <t>Diseño de Experimentos</t>
  </si>
  <si>
    <t>Analiza variables y factores en experimentos en el marco de la logística, para diseñar estrategias de mejoramiento en procesos de abastecimiento, almacenamiento y distribución.</t>
  </si>
  <si>
    <t>1. Introducción y Conceptos Básicos en el Diseño de Experimentos
2. Experimentos Comparativos Simples 
3. Experimentos con un Solo Factor 
4. Bloques Aleatorizados</t>
  </si>
  <si>
    <t>Formar a través del estudio de casos, de la clase magistral, de la lectura de artículos sobre los avances o los temas que se requieren abordar alrededor de los núcleos temáticos.</t>
  </si>
  <si>
    <t>Análisis Multivariado</t>
  </si>
  <si>
    <t>Aplica modelos de análisis con datos multivariados en la cadena de suministro, para identificar patrones que evidencien tendencias y oportunidades de mejora en los procesos logísticos.</t>
  </si>
  <si>
    <t>1. Modelos de Pronósticos Monovariados
2. Modelos Causales
3. Modelos Auto regresivos
4. Análisis de Agrupamiento</t>
  </si>
  <si>
    <t>Sistemas de Gestión de la Producción</t>
  </si>
  <si>
    <t>Analiza los procesos de producción y logística, para aplicar estrategias de planeación y mejoramiento en la gestión de materiales y capacidades.</t>
  </si>
  <si>
    <t>1. Conceptos Generales de la Producción y la Logística 
2. Planeación Agregada de la Producción
3. Planeación y Programación de la Capacidad 
4. Planeación de Requerimientos de Materiales (MRP)</t>
  </si>
  <si>
    <t>Gestión de Compras y Proveedores</t>
  </si>
  <si>
    <t>Analiza escenarios de abastecimiento, almacenamiento y distribución, para plantear estrategias de mejora en los procesos de compras y gestión de proveedores de la cadena de suministro.</t>
  </si>
  <si>
    <t>1. Administración de las Compras y sus Proveedores
2. Estrategia de Compras y Proveedores
3. Organización del Abastecimiento 
4. Procesos y Tecnología para las Compras y su Relación con los Proveedores</t>
  </si>
  <si>
    <t>Proyecto Aplicado a la Logística</t>
  </si>
  <si>
    <t>Estructura una propuesta de proyecto en logística, para plantear estrategias de mejora en la gestión de la cadena de suministro, usando modelos analíticos e incorporando herramientas digitales.</t>
  </si>
  <si>
    <t>1. Identificación de Oportunidades de Mejora en la Gestión Logística y la Cadena de Suministro.
2. Formulación de Proyectos Logísticos
3. Evaluación y Validación de Estrategias Logísticas
4. Presentación y Comunicación de Resultados en Proyectos</t>
  </si>
  <si>
    <t>II</t>
  </si>
  <si>
    <t>Total módulos del programa</t>
  </si>
  <si>
    <t>Total créditos programa</t>
  </si>
  <si>
    <t>Total créditos fundamentación</t>
  </si>
  <si>
    <t>Total créditos profundización</t>
  </si>
  <si>
    <t>Verbos Competencias</t>
  </si>
  <si>
    <r>
      <rPr>
        <b/>
        <sz val="11"/>
        <color theme="0"/>
        <rFont val="Calibri"/>
        <family val="2"/>
        <scheme val="minor"/>
      </rPr>
      <t>Observación:</t>
    </r>
    <r>
      <rPr>
        <sz val="11"/>
        <color theme="0"/>
        <rFont val="Calibri"/>
        <family val="2"/>
        <scheme val="minor"/>
      </rPr>
      <t xml:space="preserve"> estos verbos son solo algunos y se pueden agregar tantos como se requieran; solo hay que tener en cuenta que debe estar al nivel de un perfil profesional.</t>
    </r>
  </si>
  <si>
    <t>Actualizar</t>
  </si>
  <si>
    <t>Administrar</t>
  </si>
  <si>
    <t>Asegurar</t>
  </si>
  <si>
    <t>Asesorar</t>
  </si>
  <si>
    <t>Auditar</t>
  </si>
  <si>
    <t>Comunicar</t>
  </si>
  <si>
    <t>Conducir</t>
  </si>
  <si>
    <t>Conocer</t>
  </si>
  <si>
    <t>Coordinar</t>
  </si>
  <si>
    <t>Definir</t>
  </si>
  <si>
    <t>Desarrollar</t>
  </si>
  <si>
    <t>Dirigir</t>
  </si>
  <si>
    <t>Diseñar</t>
  </si>
  <si>
    <t>Dominar</t>
  </si>
  <si>
    <t>Establecer</t>
  </si>
  <si>
    <t>Evaluar</t>
  </si>
  <si>
    <t>Fiscalizar</t>
  </si>
  <si>
    <t>Formular</t>
  </si>
  <si>
    <t>Generar</t>
  </si>
  <si>
    <t>Gestionar</t>
  </si>
  <si>
    <t>Hacer</t>
  </si>
  <si>
    <t>Liderar</t>
  </si>
  <si>
    <t>Modelar</t>
  </si>
  <si>
    <t>Participar</t>
  </si>
  <si>
    <t>Planear</t>
  </si>
  <si>
    <t>Presidir</t>
  </si>
  <si>
    <t>Producir</t>
  </si>
  <si>
    <t>Resolver</t>
  </si>
  <si>
    <t>Sistematizar</t>
  </si>
  <si>
    <t>Supervisar</t>
  </si>
  <si>
    <t>Transformar</t>
  </si>
  <si>
    <t>Validar</t>
  </si>
  <si>
    <t>Valorar</t>
  </si>
  <si>
    <t>Verificar</t>
  </si>
  <si>
    <t>Taxonomía de Bloom Adaptada con las propuestas de Anderson y Krathwohl</t>
  </si>
  <si>
    <t>Taxonomía de Anderson y Krathwohl (AK)</t>
  </si>
  <si>
    <t>Taxonomía de Marzano y Kendal (MK)</t>
  </si>
  <si>
    <t>Taxonomía de Bloom</t>
  </si>
  <si>
    <t>Cognitivo(BAK)</t>
  </si>
  <si>
    <t>Procedimental(BAK)</t>
  </si>
  <si>
    <t>Actitudinal(BAK)</t>
  </si>
  <si>
    <t>Taxonomías</t>
  </si>
  <si>
    <t>AK</t>
  </si>
  <si>
    <t>MK</t>
  </si>
  <si>
    <t>CognitivoB</t>
  </si>
  <si>
    <t>ProcedimentalB</t>
  </si>
  <si>
    <t>ActitudinalB</t>
  </si>
  <si>
    <t>ConocimientoB</t>
  </si>
  <si>
    <t>ComprensiónB</t>
  </si>
  <si>
    <t>AplicaciónB</t>
  </si>
  <si>
    <t>AnálisisB</t>
  </si>
  <si>
    <t>SíntesisB</t>
  </si>
  <si>
    <t>EvaluaciónB</t>
  </si>
  <si>
    <t>ConocimientoBAK</t>
  </si>
  <si>
    <t>ComprensiónBAK</t>
  </si>
  <si>
    <t>AplicaciónBAK</t>
  </si>
  <si>
    <t>SíntesisBAK</t>
  </si>
  <si>
    <t>EvaluaciónBAK</t>
  </si>
  <si>
    <t>ImitaciónBAK</t>
  </si>
  <si>
    <t>ManipulaciónBAK</t>
  </si>
  <si>
    <t>ControlBAK</t>
  </si>
  <si>
    <t>PercepciónBAK</t>
  </si>
  <si>
    <t>ResponderBAK</t>
  </si>
  <si>
    <t>ValorarBAK</t>
  </si>
  <si>
    <t>CaracterizarBAK</t>
  </si>
  <si>
    <t>CognitivoInf(AK)</t>
  </si>
  <si>
    <t>CognitivoSup(AK)</t>
  </si>
  <si>
    <t>Procedimental(AK)</t>
  </si>
  <si>
    <t>Actitudinal(AK)</t>
  </si>
  <si>
    <t>Bloom</t>
  </si>
  <si>
    <t>HechosAK</t>
  </si>
  <si>
    <t>InformaciónMK</t>
  </si>
  <si>
    <t>Adquirir</t>
  </si>
  <si>
    <t>Aislar</t>
  </si>
  <si>
    <t>Adaptar</t>
  </si>
  <si>
    <t>Aconsejar</t>
  </si>
  <si>
    <t>Ajustar</t>
  </si>
  <si>
    <t>Direccionar</t>
  </si>
  <si>
    <t>Disponer</t>
  </si>
  <si>
    <t>Remover</t>
  </si>
  <si>
    <t>Aprobar</t>
  </si>
  <si>
    <t>Adoptar</t>
  </si>
  <si>
    <t>Extraer</t>
  </si>
  <si>
    <t>Negociar</t>
  </si>
  <si>
    <t>RecordarLK</t>
  </si>
  <si>
    <t>ComprenderLK</t>
  </si>
  <si>
    <t>AplicarLK</t>
  </si>
  <si>
    <t>AnalizarLK</t>
  </si>
  <si>
    <t>EvaluarLK</t>
  </si>
  <si>
    <t>CrearLK</t>
  </si>
  <si>
    <t>RecuperaciónMK</t>
  </si>
  <si>
    <t>ComprensiónMK</t>
  </si>
  <si>
    <t>AnálisisMK</t>
  </si>
  <si>
    <t>UsoConocimientoMK</t>
  </si>
  <si>
    <t>MetacogniciónMK</t>
  </si>
  <si>
    <t>SistemadelYoMK</t>
  </si>
  <si>
    <t>ConceptosAK</t>
  </si>
  <si>
    <t>ProcesosMentalesMK</t>
  </si>
  <si>
    <t>Buscar</t>
  </si>
  <si>
    <t>Bosquejar</t>
  </si>
  <si>
    <t>Calisificar</t>
  </si>
  <si>
    <t>Adjuntar</t>
  </si>
  <si>
    <t>Desmontar</t>
  </si>
  <si>
    <t>Quitar</t>
  </si>
  <si>
    <t>Autorizar</t>
  </si>
  <si>
    <t>Resumir</t>
  </si>
  <si>
    <t>Ofrecer</t>
  </si>
  <si>
    <t>Afirmar</t>
  </si>
  <si>
    <t>Clasificar</t>
  </si>
  <si>
    <t>Actuar</t>
  </si>
  <si>
    <t>Agrupar</t>
  </si>
  <si>
    <t>Acordar</t>
  </si>
  <si>
    <t>Acceder</t>
  </si>
  <si>
    <t>Abrir</t>
  </si>
  <si>
    <t>Arreglar</t>
  </si>
  <si>
    <t>Adelantar</t>
  </si>
  <si>
    <t>Aceptar</t>
  </si>
  <si>
    <t>ProcedimientoslAK</t>
  </si>
  <si>
    <t>PsicomotorMK</t>
  </si>
  <si>
    <t>Citar</t>
  </si>
  <si>
    <t>Comentar</t>
  </si>
  <si>
    <t>Combinar</t>
  </si>
  <si>
    <t>Calcular</t>
  </si>
  <si>
    <t>Agregar</t>
  </si>
  <si>
    <t>Modificar</t>
  </si>
  <si>
    <t>Dramatizar</t>
  </si>
  <si>
    <t>Apalancar</t>
  </si>
  <si>
    <t>Suprimir</t>
  </si>
  <si>
    <t>Demostrar</t>
  </si>
  <si>
    <t>Promover</t>
  </si>
  <si>
    <t>Comparar</t>
  </si>
  <si>
    <t>Añadir</t>
  </si>
  <si>
    <t>Elaborar</t>
  </si>
  <si>
    <t>Balancear</t>
  </si>
  <si>
    <t>MetacogniciónAK</t>
  </si>
  <si>
    <t>Consignar</t>
  </si>
  <si>
    <t>Componer</t>
  </si>
  <si>
    <t>Categorizar</t>
  </si>
  <si>
    <t>Alinear</t>
  </si>
  <si>
    <t>Concretar</t>
  </si>
  <si>
    <t>Docificar</t>
  </si>
  <si>
    <t>Levantar</t>
  </si>
  <si>
    <t>Eliminar</t>
  </si>
  <si>
    <t>Comportarse bajo condiciones</t>
  </si>
  <si>
    <t>Copiar</t>
  </si>
  <si>
    <t>Contrastar</t>
  </si>
  <si>
    <t>Asumir</t>
  </si>
  <si>
    <t>Apoyar</t>
  </si>
  <si>
    <t>Maximizar</t>
  </si>
  <si>
    <t>Anticipar</t>
  </si>
  <si>
    <t>Afinar</t>
  </si>
  <si>
    <t>Decir</t>
  </si>
  <si>
    <t>Convertir</t>
  </si>
  <si>
    <t>Articular</t>
  </si>
  <si>
    <t>Arbitrar</t>
  </si>
  <si>
    <t>Dibujar</t>
  </si>
  <si>
    <t>Estimular</t>
  </si>
  <si>
    <t>Retirar</t>
  </si>
  <si>
    <t>Ratificar</t>
  </si>
  <si>
    <t>Fomentar</t>
  </si>
  <si>
    <t>Completar</t>
  </si>
  <si>
    <t>Buscar similitudes</t>
  </si>
  <si>
    <t>Argumentar</t>
  </si>
  <si>
    <t>Mejorar</t>
  </si>
  <si>
    <t>Ampliar</t>
  </si>
  <si>
    <t>Codificar</t>
  </si>
  <si>
    <t>Agradecer</t>
  </si>
  <si>
    <t>Criticar</t>
  </si>
  <si>
    <t>Construir</t>
  </si>
  <si>
    <t>Considerar</t>
  </si>
  <si>
    <t>Aumentar</t>
  </si>
  <si>
    <t>Trazar</t>
  </si>
  <si>
    <t>Localizar</t>
  </si>
  <si>
    <t>Extirpar</t>
  </si>
  <si>
    <t>Manejar</t>
  </si>
  <si>
    <t>Apreciar</t>
  </si>
  <si>
    <t>Discutir</t>
  </si>
  <si>
    <t>Conectar</t>
  </si>
  <si>
    <t>Cambiar</t>
  </si>
  <si>
    <t>Minimizar</t>
  </si>
  <si>
    <t>Colocar</t>
  </si>
  <si>
    <t>Ambicionar</t>
  </si>
  <si>
    <t>Deletrear</t>
  </si>
  <si>
    <t>Dar ejemplos</t>
  </si>
  <si>
    <t>Ubicar</t>
  </si>
  <si>
    <t>Disipar</t>
  </si>
  <si>
    <t>Guiar</t>
  </si>
  <si>
    <t>Comprender</t>
  </si>
  <si>
    <t>Proponer</t>
  </si>
  <si>
    <t>Acabar</t>
  </si>
  <si>
    <t>Ejemplificar</t>
  </si>
  <si>
    <t xml:space="preserve">Construir </t>
  </si>
  <si>
    <t>Centrarse</t>
  </si>
  <si>
    <t>Bajar</t>
  </si>
  <si>
    <t>Anhelar</t>
  </si>
  <si>
    <t>CognitivoAK</t>
  </si>
  <si>
    <t>ProcedimientosAK</t>
  </si>
  <si>
    <t>Debatir</t>
  </si>
  <si>
    <t>Determinar</t>
  </si>
  <si>
    <t>Atar</t>
  </si>
  <si>
    <t>Encontrar</t>
  </si>
  <si>
    <t>Realizar</t>
  </si>
  <si>
    <t>Hablar</t>
  </si>
  <si>
    <t>Defender</t>
  </si>
  <si>
    <t>Terminar</t>
  </si>
  <si>
    <t xml:space="preserve">Duplicar </t>
  </si>
  <si>
    <t>Esquematizar</t>
  </si>
  <si>
    <t>Pensar</t>
  </si>
  <si>
    <t>Armar</t>
  </si>
  <si>
    <t>Cuestionar</t>
  </si>
  <si>
    <t>RecordarAK</t>
  </si>
  <si>
    <t>Describir</t>
  </si>
  <si>
    <t>Computar</t>
  </si>
  <si>
    <t>Perforar</t>
  </si>
  <si>
    <t>Reproducir</t>
  </si>
  <si>
    <t>Emplear</t>
  </si>
  <si>
    <t>Estimar</t>
  </si>
  <si>
    <t>Proteger</t>
  </si>
  <si>
    <t>Contextualizar</t>
  </si>
  <si>
    <t>Elegir</t>
  </si>
  <si>
    <t>Explicar</t>
  </si>
  <si>
    <t>Correlacionar</t>
  </si>
  <si>
    <t>Compilar</t>
  </si>
  <si>
    <t xml:space="preserve">Planear </t>
  </si>
  <si>
    <t>Comenzar</t>
  </si>
  <si>
    <t>Correr</t>
  </si>
  <si>
    <t>ComprenderAK</t>
  </si>
  <si>
    <t>ComprendeAK</t>
  </si>
  <si>
    <t>Desplegar</t>
  </si>
  <si>
    <t>Discriminar</t>
  </si>
  <si>
    <t>Concluir</t>
  </si>
  <si>
    <t>Calificar</t>
  </si>
  <si>
    <t>Organizar</t>
  </si>
  <si>
    <t>Ejercitar</t>
  </si>
  <si>
    <t>Traducir</t>
  </si>
  <si>
    <t>Cooperar</t>
  </si>
  <si>
    <t>Tasar</t>
  </si>
  <si>
    <t>Escribir</t>
  </si>
  <si>
    <t>Expresar</t>
  </si>
  <si>
    <t>Descomponer</t>
  </si>
  <si>
    <t>Cortar</t>
  </si>
  <si>
    <t>Coser</t>
  </si>
  <si>
    <t>AplicarAK</t>
  </si>
  <si>
    <t>Enseñar</t>
  </si>
  <si>
    <t>Deducir</t>
  </si>
  <si>
    <t>Censurar</t>
  </si>
  <si>
    <t>Ordenar</t>
  </si>
  <si>
    <t>Hallar</t>
  </si>
  <si>
    <t>Entregar</t>
  </si>
  <si>
    <t>Admitir</t>
  </si>
  <si>
    <t>Colaborar</t>
  </si>
  <si>
    <t>Aspirar</t>
  </si>
  <si>
    <t>Leer</t>
  </si>
  <si>
    <t>Generalizar</t>
  </si>
  <si>
    <t>Diferenciar</t>
  </si>
  <si>
    <t>Reescribir</t>
  </si>
  <si>
    <t>Bailar</t>
  </si>
  <si>
    <t>Cumplir</t>
  </si>
  <si>
    <t>Difundir</t>
  </si>
  <si>
    <t>Asistir</t>
  </si>
  <si>
    <t>AnalizarAK</t>
  </si>
  <si>
    <t>Situar</t>
  </si>
  <si>
    <t>Actuar recíprocamente</t>
  </si>
  <si>
    <t>Listar</t>
  </si>
  <si>
    <t>Ilustrar</t>
  </si>
  <si>
    <t>Distinguir</t>
  </si>
  <si>
    <t>Convencer</t>
  </si>
  <si>
    <t>Simplificar</t>
  </si>
  <si>
    <t>Destapar</t>
  </si>
  <si>
    <t>EvaluarAK</t>
  </si>
  <si>
    <t>Duplicar</t>
  </si>
  <si>
    <t>Detectar</t>
  </si>
  <si>
    <t>Crear</t>
  </si>
  <si>
    <t>Obrar recíprocamente</t>
  </si>
  <si>
    <t>Discernir</t>
  </si>
  <si>
    <t>Inferir</t>
  </si>
  <si>
    <t>Dividir</t>
  </si>
  <si>
    <t>Suponer</t>
  </si>
  <si>
    <t>Atender</t>
  </si>
  <si>
    <t>CrearAK</t>
  </si>
  <si>
    <t>Etiquetar</t>
  </si>
  <si>
    <t>Diagramar</t>
  </si>
  <si>
    <t>Decidir</t>
  </si>
  <si>
    <t>Manipular</t>
  </si>
  <si>
    <t>Reparar</t>
  </si>
  <si>
    <t>Recitar</t>
  </si>
  <si>
    <t>Creer</t>
  </si>
  <si>
    <t>Percibir</t>
  </si>
  <si>
    <t>Memorizar</t>
  </si>
  <si>
    <t xml:space="preserve">Informar </t>
  </si>
  <si>
    <t>Entrevistar</t>
  </si>
  <si>
    <t>Sustituir</t>
  </si>
  <si>
    <t>Comprobar</t>
  </si>
  <si>
    <t>Exteriorizar</t>
  </si>
  <si>
    <t>Examinar</t>
  </si>
  <si>
    <t>Emparejar</t>
  </si>
  <si>
    <t>Conformar</t>
  </si>
  <si>
    <t>Ser partidario de</t>
  </si>
  <si>
    <t>Identificar</t>
  </si>
  <si>
    <t>Juzgar</t>
  </si>
  <si>
    <t>Mostrar</t>
  </si>
  <si>
    <t>Interpretar</t>
  </si>
  <si>
    <t>Hacer uso</t>
  </si>
  <si>
    <t>Teorizar</t>
  </si>
  <si>
    <t>Ejecutar</t>
  </si>
  <si>
    <t>Derivar</t>
  </si>
  <si>
    <t>Constrastar</t>
  </si>
  <si>
    <t>Ensamblar</t>
  </si>
  <si>
    <t>Medir</t>
  </si>
  <si>
    <t>Reemplazar</t>
  </si>
  <si>
    <t>Enumerar</t>
  </si>
  <si>
    <t>Cuidar</t>
  </si>
  <si>
    <t>Reconocer</t>
  </si>
  <si>
    <t>Nombrar</t>
  </si>
  <si>
    <t>Encuestar</t>
  </si>
  <si>
    <t>Testar</t>
  </si>
  <si>
    <t>Grabar</t>
  </si>
  <si>
    <t>Exponer</t>
  </si>
  <si>
    <t>Contabilizar</t>
  </si>
  <si>
    <t>Reunir</t>
  </si>
  <si>
    <t>Racionar</t>
  </si>
  <si>
    <t>Preguntar</t>
  </si>
  <si>
    <t>Narrar</t>
  </si>
  <si>
    <t>Observar</t>
  </si>
  <si>
    <t>Ejercer</t>
  </si>
  <si>
    <t>Controlar</t>
  </si>
  <si>
    <t>Explorar</t>
  </si>
  <si>
    <t>Separer</t>
  </si>
  <si>
    <t>Reponer</t>
  </si>
  <si>
    <t>Interrogar</t>
  </si>
  <si>
    <t>Referir</t>
  </si>
  <si>
    <t>Servir</t>
  </si>
  <si>
    <t>Omitir</t>
  </si>
  <si>
    <t>Parafrasear</t>
  </si>
  <si>
    <t>Visualizar</t>
  </si>
  <si>
    <t>Contar</t>
  </si>
  <si>
    <t>Encajar</t>
  </si>
  <si>
    <t>Emitir</t>
  </si>
  <si>
    <t>Ensanchar</t>
  </si>
  <si>
    <t>Aunar</t>
  </si>
  <si>
    <t>Estructurar</t>
  </si>
  <si>
    <t>Desempeñar</t>
  </si>
  <si>
    <t>Corregir</t>
  </si>
  <si>
    <t>Edificar</t>
  </si>
  <si>
    <t>Publicar</t>
  </si>
  <si>
    <t>Preocuparse de o por</t>
  </si>
  <si>
    <t>Rastrear</t>
  </si>
  <si>
    <t>Predecir</t>
  </si>
  <si>
    <t>Entallar</t>
  </si>
  <si>
    <t>Repartir</t>
  </si>
  <si>
    <t>Asisitir</t>
  </si>
  <si>
    <t>Inspeccionar</t>
  </si>
  <si>
    <t>Descubrir</t>
  </si>
  <si>
    <t>Empaquetar</t>
  </si>
  <si>
    <t>Experimentar</t>
  </si>
  <si>
    <t>Mezclar</t>
  </si>
  <si>
    <t>Seleccionar</t>
  </si>
  <si>
    <t>Relacionar</t>
  </si>
  <si>
    <t>Practicar</t>
  </si>
  <si>
    <t>Investigar</t>
  </si>
  <si>
    <t>Esculpir</t>
  </si>
  <si>
    <t>Constatar</t>
  </si>
  <si>
    <t>Mostar</t>
  </si>
  <si>
    <t>Culminar</t>
  </si>
  <si>
    <t>Preparar</t>
  </si>
  <si>
    <t>Porcionar</t>
  </si>
  <si>
    <t>Escoger</t>
  </si>
  <si>
    <t>Motivar</t>
  </si>
  <si>
    <t>Entrenar</t>
  </si>
  <si>
    <t>Extender</t>
  </si>
  <si>
    <t>Compartir</t>
  </si>
  <si>
    <t>Indicar</t>
  </si>
  <si>
    <t>Inventariar</t>
  </si>
  <si>
    <t>Llevar</t>
  </si>
  <si>
    <t>Ocupar</t>
  </si>
  <si>
    <t>Relatar</t>
  </si>
  <si>
    <t>Soportar</t>
  </si>
  <si>
    <t>Revisar</t>
  </si>
  <si>
    <t>Cotejar</t>
  </si>
  <si>
    <t>Envasar</t>
  </si>
  <si>
    <t>Numerar</t>
  </si>
  <si>
    <t>Convocar</t>
  </si>
  <si>
    <t>Revelar</t>
  </si>
  <si>
    <t>Repetir</t>
  </si>
  <si>
    <t>Mover</t>
  </si>
  <si>
    <t>Seguir</t>
  </si>
  <si>
    <t>Unir</t>
  </si>
  <si>
    <t>Simular</t>
  </si>
  <si>
    <t>Estampar</t>
  </si>
  <si>
    <t>Obtener</t>
  </si>
  <si>
    <t>Estudiar</t>
  </si>
  <si>
    <t>Maniobrar</t>
  </si>
  <si>
    <t>Trasladar</t>
  </si>
  <si>
    <t>Informar</t>
  </si>
  <si>
    <t>Transferir</t>
  </si>
  <si>
    <t>Priorizar</t>
  </si>
  <si>
    <t>Industrializar</t>
  </si>
  <si>
    <t>Figurar</t>
  </si>
  <si>
    <t>Escuchar</t>
  </si>
  <si>
    <t>Probar</t>
  </si>
  <si>
    <t>Anotar</t>
  </si>
  <si>
    <t>Usar</t>
  </si>
  <si>
    <t>Razonar</t>
  </si>
  <si>
    <t>Hipotetizar</t>
  </si>
  <si>
    <t>Instalar</t>
  </si>
  <si>
    <t>Fabricar</t>
  </si>
  <si>
    <t>Proporcionar</t>
  </si>
  <si>
    <t>Reorganizar</t>
  </si>
  <si>
    <t>Influir</t>
  </si>
  <si>
    <t>Presentar</t>
  </si>
  <si>
    <t>Operar</t>
  </si>
  <si>
    <t>Registrar</t>
  </si>
  <si>
    <t>Resaltar</t>
  </si>
  <si>
    <t>Innovar</t>
  </si>
  <si>
    <t>Mecanizar</t>
  </si>
  <si>
    <t>Limpiar</t>
  </si>
  <si>
    <t>Contribuir</t>
  </si>
  <si>
    <t>Separar</t>
  </si>
  <si>
    <t>Justificar</t>
  </si>
  <si>
    <t>Filtrar</t>
  </si>
  <si>
    <t>Reportar</t>
  </si>
  <si>
    <t>Patronar</t>
  </si>
  <si>
    <t>Soldar</t>
  </si>
  <si>
    <t>Provocar</t>
  </si>
  <si>
    <t>Subdividir</t>
  </si>
  <si>
    <t>Poner</t>
  </si>
  <si>
    <t>Imprimir</t>
  </si>
  <si>
    <t>Ponderar</t>
  </si>
  <si>
    <t>Recordar</t>
  </si>
  <si>
    <t>Recoger</t>
  </si>
  <si>
    <t>Opinar</t>
  </si>
  <si>
    <t>Impulsar</t>
  </si>
  <si>
    <t>Introducir</t>
  </si>
  <si>
    <t>Recaudar</t>
  </si>
  <si>
    <t>Originar</t>
  </si>
  <si>
    <t>Juntar</t>
  </si>
  <si>
    <t>Inventar</t>
  </si>
  <si>
    <t>Finalizar</t>
  </si>
  <si>
    <t>Persuadir</t>
  </si>
  <si>
    <t>Formar</t>
  </si>
  <si>
    <t>Premiar</t>
  </si>
  <si>
    <t>Repasar</t>
  </si>
  <si>
    <t>Rotular</t>
  </si>
  <si>
    <t>Recomendar</t>
  </si>
  <si>
    <t>Marcar</t>
  </si>
  <si>
    <t>Subrayar</t>
  </si>
  <si>
    <t>Pintar</t>
  </si>
  <si>
    <t>Mitigar</t>
  </si>
  <si>
    <t>Recortar</t>
  </si>
  <si>
    <t>Sincronizar</t>
  </si>
  <si>
    <t>Perfeccionar</t>
  </si>
  <si>
    <t>Peritar</t>
  </si>
  <si>
    <t>Señalar</t>
  </si>
  <si>
    <t>Planificar</t>
  </si>
  <si>
    <t>Pronosticar</t>
  </si>
  <si>
    <t>Tocar</t>
  </si>
  <si>
    <t>Transmitir</t>
  </si>
  <si>
    <t>Representar</t>
  </si>
  <si>
    <t>Tapizar</t>
  </si>
  <si>
    <t>Proyectar</t>
  </si>
  <si>
    <t>Sacar</t>
  </si>
  <si>
    <t>Utilizar</t>
  </si>
  <si>
    <t>Sugerir</t>
  </si>
  <si>
    <t>Reducir</t>
  </si>
  <si>
    <t>Vincular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</si>
</sst>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0" x14ac:knownFonts="1">
    <font>
      <sz val="11"/>
      <color theme="1"/>
      <name val="Calibri"/>
      <family val="2"/>
      <scheme val="minor"/>
    </font>
    <font>
      <sz val="9"/>
      <color indexed="81"/>
      <name val="Tahoma"/>
      <family val="2"/>
    </font>
    <font>
      <b/>
      <sz val="9"/>
      <color indexed="81"/>
      <name val="Tahoma"/>
      <family val="2"/>
    </font>
    <font>
      <sz val="11"/>
      <color theme="1"/>
      <name val="Gill Sans MT"/>
      <family val="2"/>
    </font>
    <font>
      <sz val="11"/>
      <color rgb="FF000000"/>
      <name val="Gill Sans MT"/>
      <family val="2"/>
    </font>
    <font>
      <b/>
      <sz val="11"/>
      <color theme="0"/>
      <name val="Gill Sans MT"/>
      <family val="2"/>
    </font>
    <font>
      <sz val="11"/>
      <color theme="0"/>
      <name val="Gill Sans MT"/>
      <family val="2"/>
    </font>
    <font>
      <b/>
      <sz val="11"/>
      <name val="Gill Sans MT"/>
      <family val="2"/>
    </font>
    <font>
      <b/>
      <sz val="9"/>
      <color theme="0"/>
      <name val="Gill Sans MT"/>
      <family val="2"/>
    </font>
    <font>
      <sz val="11"/>
      <name val="Gill Sans MT"/>
      <family val="2"/>
    </font>
    <font>
      <sz val="8"/>
      <color theme="0"/>
      <name val="Gill Sans MT"/>
      <family val="2"/>
    </font>
    <font>
      <b/>
      <sz val="11"/>
      <color theme="0"/>
      <name val="Calibri"/>
      <family val="2"/>
      <scheme val="minor"/>
    </font>
    <font>
      <sz val="11"/>
      <color theme="0"/>
      <name val="Calibri"/>
      <family val="2"/>
      <scheme val="minor"/>
    </font>
    <font>
      <b/>
      <sz val="11"/>
      <color rgb="FFFFFFFF"/>
      <name val="Gill Sans MT"/>
      <family val="2"/>
    </font>
    <font>
      <sz val="8"/>
      <color rgb="FFFFFFFF"/>
      <name val="Gill Sans MT"/>
      <family val="2"/>
    </font>
    <font>
      <b/>
      <sz val="8"/>
      <color theme="0"/>
      <name val="Gill Sans MT"/>
      <family val="2"/>
    </font>
    <font>
      <sz val="8"/>
      <color rgb="FF000000"/>
      <name val="Gill Sans MT"/>
      <family val="2"/>
    </font>
    <font>
      <sz val="8"/>
      <name val="Gill Sans MT"/>
      <family val="2"/>
    </font>
    <font>
      <b/>
      <sz val="11"/>
      <color rgb="FF000000"/>
      <name val="Gill Sans MT"/>
      <family val="2"/>
    </font>
    <font>
      <sz val="8"/>
      <color theme="1"/>
      <name val="Gill Sans MT"/>
      <family val="2"/>
    </font>
  </fonts>
  <fills count="9">
    <fill>
      <patternFill patternType="none"/>
    </fill>
    <fill>
      <patternFill patternType="gray125"/>
    </fill>
    <fill>
      <patternFill patternType="solid">
        <fgColor rgb="FF0F385A"/>
        <bgColor indexed="64"/>
      </patternFill>
    </fill>
    <fill>
      <patternFill patternType="solid">
        <fgColor rgb="FF1FB2DE"/>
        <bgColor indexed="64"/>
      </patternFill>
    </fill>
    <fill>
      <patternFill patternType="solid">
        <fgColor theme="4"/>
        <bgColor indexed="64"/>
      </patternFill>
    </fill>
    <fill>
      <patternFill patternType="solid">
        <fgColor theme="4" tint="0.79998168889431442"/>
        <bgColor theme="4" tint="0.79998168889431442"/>
      </patternFill>
    </fill>
    <fill>
      <patternFill patternType="solid">
        <fgColor rgb="FF0F385A"/>
        <bgColor rgb="FF000000"/>
      </patternFill>
    </fill>
    <fill>
      <patternFill patternType="solid">
        <fgColor rgb="FF1FB2DE"/>
        <bgColor rgb="FF000000"/>
      </patternFill>
    </fill>
    <fill>
      <patternFill patternType="solid">
        <fgColor rgb="FFDDEBF7"/>
        <bgColor rgb="FF000000"/>
      </patternFill>
    </fill>
  </fills>
  <borders count="26">
    <border>
      <left/>
      <right/>
      <top/>
      <bottom/>
      <diagonal/>
    </border>
    <border>
      <left style="thin">
        <color auto="1"/>
      </left>
      <right style="thin">
        <color auto="1"/>
      </right>
      <top style="thin">
        <color auto="1"/>
      </top>
      <bottom style="thin">
        <color auto="1"/>
      </bottom>
      <diagonal/>
    </border>
    <border>
      <left style="thin">
        <color rgb="FF1FB2DE"/>
      </left>
      <right style="thin">
        <color rgb="FF1FB2DE"/>
      </right>
      <top style="thin">
        <color rgb="FF1FB2DE"/>
      </top>
      <bottom/>
      <diagonal/>
    </border>
    <border>
      <left style="thin">
        <color theme="4" tint="0.39997558519241921"/>
      </left>
      <right style="thin">
        <color theme="4" tint="0.39997558519241921"/>
      </right>
      <top style="thin">
        <color theme="4" tint="0.39997558519241921"/>
      </top>
      <bottom style="thin">
        <color theme="4" tint="0.39997558519241921"/>
      </bottom>
      <diagonal/>
    </border>
    <border>
      <left style="thin">
        <color theme="4" tint="0.39997558519241921"/>
      </left>
      <right style="thin">
        <color theme="4" tint="0.39997558519241921"/>
      </right>
      <top style="thin">
        <color theme="4" tint="0.39997558519241921"/>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rgb="FF1FB2DE"/>
      </left>
      <right style="thin">
        <color rgb="FF1FB2DE"/>
      </right>
      <top/>
      <bottom/>
      <diagonal/>
    </border>
    <border>
      <left style="thin">
        <color rgb="FF1FB2DE"/>
      </left>
      <right style="thin">
        <color rgb="FF1FB2DE"/>
      </right>
      <top/>
      <bottom style="thin">
        <color rgb="FF1FB2DE"/>
      </bottom>
      <diagonal/>
    </border>
    <border>
      <left style="thin">
        <color rgb="FF1FB2DE"/>
      </left>
      <right style="thin">
        <color rgb="FF1FB2DE"/>
      </right>
      <top style="medium">
        <color indexed="64"/>
      </top>
      <bottom/>
      <diagonal/>
    </border>
    <border>
      <left style="thin">
        <color rgb="FF1FB2DE"/>
      </left>
      <right style="thin">
        <color rgb="FF1FB2DE"/>
      </right>
      <top/>
      <bottom style="medium">
        <color indexed="64"/>
      </bottom>
      <diagonal/>
    </border>
    <border>
      <left style="thin">
        <color auto="1"/>
      </left>
      <right style="thin">
        <color auto="1"/>
      </right>
      <top style="thin">
        <color auto="1"/>
      </top>
      <bottom/>
      <diagonal/>
    </border>
    <border>
      <left/>
      <right/>
      <top style="thin">
        <color auto="1"/>
      </top>
      <bottom/>
      <diagonal/>
    </border>
    <border>
      <left style="thin">
        <color rgb="FF1FB2DE"/>
      </left>
      <right/>
      <top/>
      <bottom style="thin">
        <color indexed="64"/>
      </bottom>
      <diagonal/>
    </border>
    <border>
      <left/>
      <right/>
      <top/>
      <bottom style="thin">
        <color indexed="64"/>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s>
  <cellStyleXfs count="1">
    <xf numFmtId="0" fontId="0" fillId="0" borderId="0"/>
  </cellStyleXfs>
  <cellXfs count="111">
    <xf numFmtId="0" fontId="0" fillId="0" borderId="0" xfId="0"/>
    <xf numFmtId="0" fontId="3" fillId="0" borderId="0" xfId="0" applyFont="1"/>
    <xf numFmtId="0" fontId="4" fillId="0" borderId="0" xfId="0" applyFont="1" applyAlignment="1">
      <alignment vertical="center"/>
    </xf>
    <xf numFmtId="0" fontId="3" fillId="0" borderId="0" xfId="0" applyFont="1" applyAlignment="1">
      <alignment wrapText="1"/>
    </xf>
    <xf numFmtId="0" fontId="3" fillId="0" borderId="0" xfId="0" applyFont="1" applyAlignment="1">
      <alignment horizontal="left" wrapText="1"/>
    </xf>
    <xf numFmtId="0" fontId="3" fillId="0" borderId="0" xfId="0" applyFont="1" applyAlignment="1">
      <alignment vertical="center" wrapText="1"/>
    </xf>
    <xf numFmtId="0" fontId="3" fillId="0" borderId="0" xfId="0" applyFont="1" applyAlignment="1">
      <alignment horizontal="left" vertical="center" wrapText="1"/>
    </xf>
    <xf numFmtId="0" fontId="3" fillId="0" borderId="0" xfId="0" applyFont="1" applyAlignment="1">
      <alignment horizontal="center" vertical="center" wrapText="1"/>
    </xf>
    <xf numFmtId="0" fontId="3" fillId="0" borderId="0" xfId="0" applyFont="1" applyAlignment="1">
      <alignment horizontal="center" vertical="center"/>
    </xf>
    <xf numFmtId="0" fontId="3" fillId="0" borderId="0" xfId="0" applyFont="1" applyAlignment="1">
      <alignment horizontal="center"/>
    </xf>
    <xf numFmtId="0" fontId="4" fillId="0" borderId="0" xfId="0" applyFont="1" applyAlignment="1">
      <alignment horizontal="center" vertical="center"/>
    </xf>
    <xf numFmtId="0" fontId="6" fillId="0" borderId="0" xfId="0" applyFont="1" applyAlignment="1">
      <alignment horizontal="center" vertical="center"/>
    </xf>
    <xf numFmtId="0" fontId="6" fillId="0" borderId="0" xfId="0" applyFont="1" applyAlignment="1">
      <alignment vertical="center"/>
    </xf>
    <xf numFmtId="0" fontId="4" fillId="5" borderId="3" xfId="0" applyFont="1" applyFill="1" applyBorder="1" applyAlignment="1">
      <alignment vertical="center"/>
    </xf>
    <xf numFmtId="0" fontId="4" fillId="0" borderId="3" xfId="0" applyFont="1" applyBorder="1" applyAlignment="1">
      <alignment vertical="center"/>
    </xf>
    <xf numFmtId="0" fontId="3" fillId="5" borderId="3" xfId="0" applyFont="1" applyFill="1" applyBorder="1"/>
    <xf numFmtId="0" fontId="3" fillId="0" borderId="3" xfId="0" applyFont="1" applyBorder="1"/>
    <xf numFmtId="0" fontId="3" fillId="5" borderId="4" xfId="0" applyFont="1" applyFill="1" applyBorder="1"/>
    <xf numFmtId="0" fontId="4" fillId="5" borderId="4" xfId="0" applyFont="1" applyFill="1" applyBorder="1" applyAlignment="1">
      <alignment vertical="center"/>
    </xf>
    <xf numFmtId="0" fontId="3" fillId="0" borderId="4" xfId="0" applyFont="1" applyBorder="1"/>
    <xf numFmtId="0" fontId="3" fillId="0" borderId="8" xfId="0" applyFont="1" applyBorder="1" applyAlignment="1">
      <alignment horizontal="center" vertical="center" wrapText="1"/>
    </xf>
    <xf numFmtId="0" fontId="3" fillId="0" borderId="9" xfId="0" applyFont="1" applyBorder="1" applyAlignment="1">
      <alignment horizontal="left" vertical="center" wrapText="1"/>
    </xf>
    <xf numFmtId="0" fontId="3" fillId="0" borderId="10" xfId="0" applyFont="1" applyBorder="1" applyAlignment="1">
      <alignment horizontal="left" vertical="center" wrapText="1"/>
    </xf>
    <xf numFmtId="0" fontId="3" fillId="0" borderId="11" xfId="0" applyFont="1" applyBorder="1" applyAlignment="1">
      <alignment horizontal="center" vertical="center" wrapText="1"/>
    </xf>
    <xf numFmtId="0" fontId="3" fillId="0" borderId="13" xfId="0" applyFont="1" applyBorder="1" applyAlignment="1">
      <alignment horizontal="center" vertical="center" wrapText="1"/>
    </xf>
    <xf numFmtId="0" fontId="3" fillId="0" borderId="14" xfId="0" applyFont="1" applyBorder="1" applyAlignment="1">
      <alignment horizontal="left" vertical="center" wrapText="1"/>
    </xf>
    <xf numFmtId="0" fontId="12" fillId="2" borderId="0" xfId="0" applyFont="1" applyFill="1" applyAlignment="1">
      <alignment wrapText="1"/>
    </xf>
    <xf numFmtId="0" fontId="4" fillId="0" borderId="0" xfId="0" applyFont="1" applyAlignment="1">
      <alignment vertical="center" wrapText="1"/>
    </xf>
    <xf numFmtId="0" fontId="4" fillId="0" borderId="0" xfId="0" applyFont="1" applyAlignment="1">
      <alignment wrapText="1"/>
    </xf>
    <xf numFmtId="0" fontId="4" fillId="0" borderId="12" xfId="0" applyFont="1" applyBorder="1" applyAlignment="1">
      <alignment horizontal="left" vertical="center" wrapText="1"/>
    </xf>
    <xf numFmtId="0" fontId="4" fillId="0" borderId="15" xfId="0" applyFont="1" applyBorder="1" applyAlignment="1">
      <alignment horizontal="left" vertical="center" wrapText="1"/>
    </xf>
    <xf numFmtId="0" fontId="3" fillId="0" borderId="0" xfId="0" applyFont="1" applyAlignment="1">
      <alignment vertical="center"/>
    </xf>
    <xf numFmtId="0" fontId="9" fillId="0" borderId="0" xfId="0" applyFont="1" applyAlignment="1">
      <alignment horizontal="left" vertical="center" wrapText="1"/>
    </xf>
    <xf numFmtId="0" fontId="13" fillId="6" borderId="2" xfId="0" applyFont="1" applyFill="1" applyBorder="1" applyAlignment="1">
      <alignment horizontal="center" vertical="center" wrapText="1"/>
    </xf>
    <xf numFmtId="0" fontId="3" fillId="0" borderId="14" xfId="0" applyFont="1" applyBorder="1" applyAlignment="1">
      <alignment vertical="center" wrapText="1"/>
    </xf>
    <xf numFmtId="0" fontId="3" fillId="0" borderId="9" xfId="0" applyFont="1" applyBorder="1" applyAlignment="1">
      <alignment vertical="center" wrapText="1"/>
    </xf>
    <xf numFmtId="0" fontId="5" fillId="2" borderId="17" xfId="0" applyFont="1" applyFill="1" applyBorder="1" applyAlignment="1">
      <alignment horizontal="center" vertical="center" wrapText="1"/>
    </xf>
    <xf numFmtId="0" fontId="3" fillId="0" borderId="9" xfId="0" applyFont="1" applyBorder="1" applyAlignment="1">
      <alignment vertical="center"/>
    </xf>
    <xf numFmtId="0" fontId="3" fillId="0" borderId="14" xfId="0" applyFont="1" applyBorder="1" applyAlignment="1">
      <alignment vertical="center"/>
    </xf>
    <xf numFmtId="0" fontId="5" fillId="2" borderId="1" xfId="0" applyFont="1" applyFill="1" applyBorder="1" applyAlignment="1">
      <alignment horizontal="center" vertical="center" wrapText="1"/>
    </xf>
    <xf numFmtId="0" fontId="3" fillId="0" borderId="18" xfId="0" applyFont="1" applyBorder="1" applyAlignment="1">
      <alignment vertical="center" wrapText="1"/>
    </xf>
    <xf numFmtId="0" fontId="3" fillId="0" borderId="16" xfId="0" applyFont="1" applyBorder="1" applyAlignment="1">
      <alignment vertical="center" wrapText="1"/>
    </xf>
    <xf numFmtId="0" fontId="7" fillId="3" borderId="20" xfId="0" applyFont="1" applyFill="1" applyBorder="1" applyAlignment="1">
      <alignment horizontal="center" vertical="center" wrapText="1"/>
    </xf>
    <xf numFmtId="0" fontId="3" fillId="0" borderId="19" xfId="0" applyFont="1" applyBorder="1" applyAlignment="1">
      <alignment vertical="center" wrapText="1"/>
    </xf>
    <xf numFmtId="0" fontId="14" fillId="6" borderId="1" xfId="0" applyFont="1" applyFill="1" applyBorder="1" applyAlignment="1">
      <alignment horizontal="center" vertical="center" wrapText="1"/>
    </xf>
    <xf numFmtId="0" fontId="15" fillId="2" borderId="1" xfId="0" applyFont="1" applyFill="1" applyBorder="1" applyAlignment="1">
      <alignment horizontal="center" vertical="center" wrapText="1"/>
    </xf>
    <xf numFmtId="0" fontId="7" fillId="3" borderId="1" xfId="0" applyFont="1" applyFill="1" applyBorder="1" applyAlignment="1">
      <alignment horizontal="center" vertical="center" wrapText="1"/>
    </xf>
    <xf numFmtId="0" fontId="4" fillId="0" borderId="21" xfId="0" applyFont="1" applyBorder="1" applyAlignment="1">
      <alignment vertical="center" wrapText="1"/>
    </xf>
    <xf numFmtId="0" fontId="13" fillId="6" borderId="1" xfId="0" applyFont="1" applyFill="1" applyBorder="1" applyAlignment="1">
      <alignment horizontal="center" vertical="center" wrapText="1"/>
    </xf>
    <xf numFmtId="0" fontId="16" fillId="7" borderId="1" xfId="0" applyFont="1" applyFill="1" applyBorder="1" applyAlignment="1">
      <alignment horizontal="center" vertical="center" wrapText="1"/>
    </xf>
    <xf numFmtId="0" fontId="17" fillId="7" borderId="1" xfId="0" applyFont="1" applyFill="1" applyBorder="1" applyAlignment="1">
      <alignment horizontal="center" vertical="center" wrapText="1"/>
    </xf>
    <xf numFmtId="0" fontId="18" fillId="7" borderId="1" xfId="0" applyFont="1" applyFill="1" applyBorder="1" applyAlignment="1">
      <alignment horizontal="center" vertical="center" wrapText="1"/>
    </xf>
    <xf numFmtId="0" fontId="7" fillId="7" borderId="1" xfId="0" applyFont="1" applyFill="1" applyBorder="1" applyAlignment="1">
      <alignment horizontal="center" vertical="center" wrapText="1"/>
    </xf>
    <xf numFmtId="0" fontId="8" fillId="2" borderId="1" xfId="0" applyFont="1" applyFill="1" applyBorder="1" applyAlignment="1">
      <alignment horizontal="center" vertical="center" wrapText="1"/>
    </xf>
    <xf numFmtId="0" fontId="16" fillId="8" borderId="24" xfId="0" applyFont="1" applyFill="1" applyBorder="1" applyAlignment="1">
      <alignment horizontal="center" vertical="center" wrapText="1"/>
    </xf>
    <xf numFmtId="0" fontId="16" fillId="7" borderId="25" xfId="0" applyFont="1" applyFill="1" applyBorder="1" applyAlignment="1">
      <alignment horizontal="center" vertical="center" wrapText="1"/>
    </xf>
    <xf numFmtId="0" fontId="14" fillId="6" borderId="25" xfId="0" applyFont="1" applyFill="1" applyBorder="1" applyAlignment="1">
      <alignment horizontal="center" vertical="center" wrapText="1"/>
    </xf>
    <xf numFmtId="0" fontId="18" fillId="8" borderId="24" xfId="0" applyFont="1" applyFill="1" applyBorder="1" applyAlignment="1">
      <alignment horizontal="center" vertical="center" wrapText="1"/>
    </xf>
    <xf numFmtId="0" fontId="18" fillId="7" borderId="25" xfId="0" applyFont="1" applyFill="1" applyBorder="1" applyAlignment="1">
      <alignment horizontal="center" vertical="center" wrapText="1"/>
    </xf>
    <xf numFmtId="0" fontId="13" fillId="6" borderId="25" xfId="0" applyFont="1" applyFill="1" applyBorder="1" applyAlignment="1">
      <alignment horizontal="center" vertical="center" wrapText="1"/>
    </xf>
    <xf numFmtId="0" fontId="9" fillId="0" borderId="9" xfId="0" applyFont="1" applyBorder="1" applyAlignment="1">
      <alignment horizontal="left" vertical="center" wrapText="1"/>
    </xf>
    <xf numFmtId="0" fontId="9" fillId="0" borderId="14" xfId="0" applyFont="1" applyBorder="1" applyAlignment="1">
      <alignment horizontal="left" vertical="center" wrapText="1"/>
    </xf>
    <xf numFmtId="0" fontId="3" fillId="0" borderId="21" xfId="0" applyFont="1" applyBorder="1" applyAlignment="1">
      <alignment horizontal="left" vertical="center" wrapText="1"/>
    </xf>
    <xf numFmtId="0" fontId="3" fillId="0" borderId="21" xfId="0" applyFont="1" applyBorder="1" applyAlignment="1">
      <alignment vertical="center" wrapText="1"/>
    </xf>
    <xf numFmtId="0" fontId="9" fillId="0" borderId="21" xfId="0" applyFont="1" applyBorder="1" applyAlignment="1">
      <alignment horizontal="left" vertical="center" wrapText="1"/>
    </xf>
    <xf numFmtId="0" fontId="3" fillId="0" borderId="21" xfId="0" applyFont="1" applyBorder="1" applyAlignment="1">
      <alignment vertical="center"/>
    </xf>
    <xf numFmtId="0" fontId="19" fillId="0" borderId="0" xfId="0" applyFont="1" applyAlignment="1">
      <alignment horizontal="center" vertical="center" wrapText="1"/>
    </xf>
    <xf numFmtId="0" fontId="3" fillId="0" borderId="9" xfId="0" applyFont="1" applyBorder="1" applyAlignment="1">
      <alignment horizontal="center" vertical="center" wrapText="1"/>
    </xf>
    <xf numFmtId="0" fontId="3" fillId="0" borderId="0" xfId="0" applyFont="1" applyAlignment="1">
      <alignment horizontal="center" vertical="center" wrapText="1"/>
    </xf>
    <xf numFmtId="0" fontId="3" fillId="0" borderId="14" xfId="0" applyFont="1" applyBorder="1" applyAlignment="1">
      <alignment horizontal="center" vertical="center" wrapText="1"/>
    </xf>
    <xf numFmtId="0" fontId="3" fillId="0" borderId="9" xfId="0" applyFont="1" applyBorder="1" applyAlignment="1">
      <alignment horizontal="left" vertical="center" wrapText="1"/>
    </xf>
    <xf numFmtId="0" fontId="3" fillId="0" borderId="0" xfId="0" applyFont="1" applyAlignment="1">
      <alignment horizontal="left" vertical="center" wrapText="1"/>
    </xf>
    <xf numFmtId="0" fontId="3" fillId="0" borderId="14" xfId="0" applyFont="1" applyBorder="1" applyAlignment="1">
      <alignment horizontal="left" vertical="center" wrapText="1"/>
    </xf>
    <xf numFmtId="0" fontId="4" fillId="0" borderId="9" xfId="0" applyFont="1" applyBorder="1" applyAlignment="1">
      <alignment horizontal="center" vertical="center" wrapText="1"/>
    </xf>
    <xf numFmtId="0" fontId="4" fillId="0" borderId="0" xfId="0" applyFont="1" applyAlignment="1">
      <alignment horizontal="center" vertical="center" wrapText="1"/>
    </xf>
    <xf numFmtId="0" fontId="4" fillId="0" borderId="14" xfId="0" applyFont="1" applyBorder="1" applyAlignment="1">
      <alignment horizontal="center" vertical="center" wrapText="1"/>
    </xf>
    <xf numFmtId="0" fontId="4" fillId="0" borderId="9" xfId="0" applyFont="1" applyBorder="1" applyAlignment="1">
      <alignment vertical="center" wrapText="1"/>
    </xf>
    <xf numFmtId="0" fontId="4" fillId="0" borderId="0" xfId="0" applyFont="1" applyAlignment="1">
      <alignment vertical="center" wrapText="1"/>
    </xf>
    <xf numFmtId="0" fontId="4" fillId="0" borderId="14" xfId="0" applyFont="1" applyBorder="1" applyAlignment="1">
      <alignment vertical="center" wrapText="1"/>
    </xf>
    <xf numFmtId="0" fontId="9" fillId="0" borderId="9" xfId="0" applyFont="1" applyBorder="1" applyAlignment="1">
      <alignment horizontal="left" vertical="center" wrapText="1"/>
    </xf>
    <xf numFmtId="0" fontId="9" fillId="0" borderId="0" xfId="0" applyFont="1" applyAlignment="1">
      <alignment horizontal="left" vertical="center" wrapText="1"/>
    </xf>
    <xf numFmtId="0" fontId="9" fillId="0" borderId="14" xfId="0" applyFont="1" applyBorder="1" applyAlignment="1">
      <alignment horizontal="left" vertical="center" wrapText="1"/>
    </xf>
    <xf numFmtId="0" fontId="4" fillId="0" borderId="9" xfId="0" applyFont="1" applyBorder="1" applyAlignment="1">
      <alignment horizontal="left" vertical="center" wrapText="1"/>
    </xf>
    <xf numFmtId="0" fontId="4" fillId="0" borderId="0" xfId="0" applyFont="1" applyAlignment="1">
      <alignment horizontal="left" vertical="center" wrapText="1"/>
    </xf>
    <xf numFmtId="0" fontId="4" fillId="0" borderId="14" xfId="0" applyFont="1" applyBorder="1" applyAlignment="1">
      <alignment horizontal="left" vertical="center" wrapText="1"/>
    </xf>
    <xf numFmtId="0" fontId="14" fillId="6" borderId="5" xfId="0" applyFont="1" applyFill="1" applyBorder="1" applyAlignment="1">
      <alignment horizontal="center" vertical="center" wrapText="1"/>
    </xf>
    <xf numFmtId="0" fontId="14" fillId="6" borderId="7" xfId="0" applyFont="1" applyFill="1" applyBorder="1" applyAlignment="1">
      <alignment horizontal="center" vertical="center" wrapText="1"/>
    </xf>
    <xf numFmtId="0" fontId="3" fillId="0" borderId="9" xfId="0" applyFont="1" applyBorder="1" applyAlignment="1">
      <alignment vertical="center" wrapText="1"/>
    </xf>
    <xf numFmtId="0" fontId="3" fillId="0" borderId="0" xfId="0" applyFont="1" applyAlignment="1">
      <alignment vertical="center" wrapText="1"/>
    </xf>
    <xf numFmtId="0" fontId="3" fillId="0" borderId="14" xfId="0" applyFont="1" applyBorder="1" applyAlignment="1">
      <alignment vertical="center" wrapText="1"/>
    </xf>
    <xf numFmtId="0" fontId="4" fillId="0" borderId="9" xfId="0" applyFont="1" applyBorder="1" applyAlignment="1">
      <alignment horizontal="center" vertical="center"/>
    </xf>
    <xf numFmtId="0" fontId="4" fillId="0" borderId="0" xfId="0" applyFont="1" applyAlignment="1">
      <alignment horizontal="center" vertical="center"/>
    </xf>
    <xf numFmtId="0" fontId="4" fillId="0" borderId="14" xfId="0" applyFont="1" applyBorder="1" applyAlignment="1">
      <alignment horizontal="center" vertical="center"/>
    </xf>
    <xf numFmtId="0" fontId="3" fillId="0" borderId="21" xfId="0" applyFont="1" applyBorder="1" applyAlignment="1">
      <alignment horizontal="center" vertical="center" wrapText="1"/>
    </xf>
    <xf numFmtId="0" fontId="15" fillId="2" borderId="1" xfId="0" applyFont="1" applyFill="1" applyBorder="1" applyAlignment="1">
      <alignment horizontal="center" vertical="center" wrapText="1"/>
    </xf>
    <xf numFmtId="0" fontId="3" fillId="0" borderId="21" xfId="0" applyFont="1" applyBorder="1" applyAlignment="1">
      <alignment horizontal="left" vertical="center" wrapText="1"/>
    </xf>
    <xf numFmtId="0" fontId="13" fillId="6" borderId="22" xfId="0" applyFont="1" applyFill="1" applyBorder="1" applyAlignment="1">
      <alignment horizontal="center" vertical="center" wrapText="1"/>
    </xf>
    <xf numFmtId="0" fontId="13" fillId="6" borderId="23" xfId="0" applyFont="1" applyFill="1" applyBorder="1" applyAlignment="1">
      <alignment horizontal="center" vertical="center" wrapText="1"/>
    </xf>
    <xf numFmtId="0" fontId="4" fillId="0" borderId="21" xfId="0" applyFont="1" applyBorder="1" applyAlignment="1">
      <alignment horizontal="center" vertical="center" wrapText="1"/>
    </xf>
    <xf numFmtId="0" fontId="9" fillId="0" borderId="21" xfId="0" applyFont="1" applyBorder="1" applyAlignment="1">
      <alignment vertical="center" wrapText="1"/>
    </xf>
    <xf numFmtId="0" fontId="9" fillId="0" borderId="0" xfId="0" applyFont="1" applyAlignment="1">
      <alignment vertical="center" wrapText="1"/>
    </xf>
    <xf numFmtId="0" fontId="9" fillId="0" borderId="14" xfId="0" applyFont="1" applyBorder="1" applyAlignment="1">
      <alignment vertical="center" wrapText="1"/>
    </xf>
    <xf numFmtId="0" fontId="3" fillId="0" borderId="0" xfId="0" applyFont="1" applyAlignment="1">
      <alignment horizontal="center" vertical="center"/>
    </xf>
    <xf numFmtId="0" fontId="3" fillId="0" borderId="14" xfId="0" applyFont="1" applyBorder="1" applyAlignment="1">
      <alignment horizontal="center" vertical="center"/>
    </xf>
    <xf numFmtId="0" fontId="3" fillId="0" borderId="9" xfId="0" applyFont="1" applyBorder="1" applyAlignment="1">
      <alignment horizontal="center" vertical="center"/>
    </xf>
    <xf numFmtId="0" fontId="9" fillId="0" borderId="9" xfId="0" applyFont="1" applyBorder="1" applyAlignment="1">
      <alignment vertical="center" wrapText="1"/>
    </xf>
    <xf numFmtId="0" fontId="3" fillId="0" borderId="0" xfId="0" applyFont="1" applyAlignment="1">
      <alignment horizontal="center"/>
    </xf>
    <xf numFmtId="0" fontId="5" fillId="4" borderId="1" xfId="0" applyFont="1" applyFill="1" applyBorder="1" applyAlignment="1">
      <alignment horizontal="center"/>
    </xf>
    <xf numFmtId="0" fontId="5" fillId="4" borderId="5" xfId="0" applyFont="1" applyFill="1" applyBorder="1" applyAlignment="1">
      <alignment horizontal="center"/>
    </xf>
    <xf numFmtId="0" fontId="5" fillId="4" borderId="6" xfId="0" applyFont="1" applyFill="1" applyBorder="1" applyAlignment="1">
      <alignment horizontal="center"/>
    </xf>
    <xf numFmtId="0" fontId="5" fillId="4" borderId="7" xfId="0" applyFont="1" applyFill="1" applyBorder="1" applyAlignment="1">
      <alignment horizontal="center"/>
    </xf>
  </cellXfs>
  <cellStyles count="1">
    <cellStyle name="Normal" xfId="0" builtinId="0"/>
  </cellStyles>
  <dxfs count="179">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solid">
          <fgColor theme="4" tint="0.79998168889431442"/>
          <bgColor theme="4" tint="0.79998168889431442"/>
        </patternFill>
      </fill>
      <alignment horizontal="general" vertical="bottom" textRotation="0" wrapText="0" indent="0" justifyLastLine="0" shrinkToFit="0" readingOrder="0"/>
      <border diagonalUp="0" diagonalDown="0">
        <left style="thin">
          <color theme="4" tint="0.39997558519241921"/>
        </left>
        <right style="thin">
          <color theme="4" tint="0.39997558519241921"/>
        </right>
        <top style="thin">
          <color theme="4" tint="0.39997558519241921"/>
        </top>
        <bottom style="thin">
          <color theme="4" tint="0.39997558519241921"/>
        </bottom>
        <vertical/>
        <horizontal/>
      </border>
    </dxf>
    <dxf>
      <border outline="0">
        <bottom style="thin">
          <color theme="4" tint="0.39997558519241921"/>
        </bottom>
      </border>
    </dxf>
    <dxf>
      <font>
        <b val="0"/>
        <i val="0"/>
        <strike val="0"/>
        <condense val="0"/>
        <extend val="0"/>
        <outline val="0"/>
        <shadow val="0"/>
        <u val="none"/>
        <vertAlign val="baseline"/>
        <sz val="11"/>
        <color theme="1"/>
        <name val="Gill Sans MT"/>
        <family val="2"/>
        <scheme val="none"/>
      </font>
      <fill>
        <patternFill patternType="solid">
          <fgColor theme="4" tint="0.79998168889431442"/>
          <bgColor theme="4" tint="0.79998168889431442"/>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border diagonalUp="0" diagonalDown="0">
        <left style="thin">
          <color theme="4" tint="0.39997558519241921"/>
        </left>
        <right style="thin">
          <color theme="4" tint="0.39997558519241921"/>
        </right>
        <top style="thin">
          <color theme="4" tint="0.39997558519241921"/>
        </top>
        <bottom style="thin">
          <color theme="4" tint="0.39997558519241921"/>
        </bottom>
        <vertical/>
        <horizontal/>
      </border>
    </dxf>
    <dxf>
      <border outline="0">
        <bottom style="thin">
          <color theme="4" tint="0.39997558519241921"/>
        </bottom>
      </border>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rgb="FF000000"/>
        <name val="Gill Sans MT"/>
        <family val="2"/>
        <scheme val="none"/>
      </font>
      <fill>
        <patternFill patternType="solid">
          <fgColor theme="4" tint="0.79998168889431442"/>
          <bgColor theme="4" tint="0.79998168889431442"/>
        </patternFill>
      </fill>
      <alignment horizontal="general" vertical="center" textRotation="0" wrapText="0" indent="0" justifyLastLine="0" shrinkToFit="0" readingOrder="0"/>
      <border diagonalUp="0" diagonalDown="0">
        <left style="thin">
          <color theme="4" tint="0.39997558519241921"/>
        </left>
        <right style="thin">
          <color theme="4" tint="0.39997558519241921"/>
        </right>
        <top style="thin">
          <color theme="4" tint="0.39997558519241921"/>
        </top>
        <bottom style="thin">
          <color theme="4" tint="0.39997558519241921"/>
        </bottom>
        <vertical/>
        <horizontal/>
      </border>
    </dxf>
    <dxf>
      <border outline="0">
        <bottom style="thin">
          <color theme="4" tint="0.39997558519241921"/>
        </bottom>
      </border>
    </dxf>
    <dxf>
      <font>
        <b val="0"/>
        <i val="0"/>
        <strike val="0"/>
        <condense val="0"/>
        <extend val="0"/>
        <outline val="0"/>
        <shadow val="0"/>
        <u val="none"/>
        <vertAlign val="baseline"/>
        <sz val="11"/>
        <color rgb="FF000000"/>
        <name val="Gill Sans MT"/>
        <family val="2"/>
        <scheme val="none"/>
      </font>
      <fill>
        <patternFill patternType="solid">
          <fgColor theme="4" tint="0.79998168889431442"/>
          <bgColor theme="4" tint="0.79998168889431442"/>
        </patternFill>
      </fill>
      <alignment horizontal="general" vertical="center"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border diagonalUp="0" diagonalDown="0">
        <left style="thin">
          <color theme="4" tint="0.39997558519241921"/>
        </left>
        <right style="thin">
          <color theme="4" tint="0.39997558519241921"/>
        </right>
        <top style="thin">
          <color theme="4" tint="0.39997558519241921"/>
        </top>
        <bottom style="thin">
          <color theme="4" tint="0.39997558519241921"/>
        </bottom>
        <vertical/>
        <horizontal/>
      </border>
    </dxf>
    <dxf>
      <border outline="0">
        <bottom style="thin">
          <color theme="4" tint="0.39997558519241921"/>
        </bottom>
      </border>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solid">
          <fgColor theme="4" tint="0.79998168889431442"/>
          <bgColor theme="4" tint="0.79998168889431442"/>
        </patternFill>
      </fill>
      <alignment horizontal="general" vertical="bottom" textRotation="0" wrapText="0" indent="0" justifyLastLine="0" shrinkToFit="0" readingOrder="0"/>
      <border diagonalUp="0" diagonalDown="0">
        <left style="thin">
          <color theme="4" tint="0.39997558519241921"/>
        </left>
        <right style="thin">
          <color theme="4" tint="0.39997558519241921"/>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Gill Sans MT"/>
        <family val="2"/>
        <scheme val="none"/>
      </font>
      <fill>
        <patternFill patternType="solid">
          <fgColor theme="4" tint="0.79998168889431442"/>
          <bgColor theme="4" tint="0.79998168889431442"/>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rgb="FF000000"/>
        <name val="Gill Sans MT"/>
        <family val="2"/>
        <scheme val="none"/>
      </font>
      <fill>
        <patternFill patternType="solid">
          <fgColor theme="4" tint="0.79998168889431442"/>
          <bgColor theme="4" tint="0.79998168889431442"/>
        </patternFill>
      </fill>
      <alignment horizontal="general" vertical="center" textRotation="0" wrapText="0" indent="0" justifyLastLine="0" shrinkToFit="0" readingOrder="0"/>
      <border diagonalUp="0" diagonalDown="0">
        <left style="thin">
          <color theme="4" tint="0.39997558519241921"/>
        </left>
        <right style="thin">
          <color theme="4" tint="0.39997558519241921"/>
        </right>
        <top style="thin">
          <color theme="4" tint="0.39997558519241921"/>
        </top>
        <bottom style="thin">
          <color theme="4" tint="0.39997558519241921"/>
        </bottom>
        <vertical/>
        <horizontal/>
      </border>
    </dxf>
    <dxf>
      <border outline="0">
        <bottom style="thin">
          <color theme="4" tint="0.39997558519241921"/>
        </bottom>
      </border>
    </dxf>
    <dxf>
      <font>
        <b val="0"/>
        <i val="0"/>
        <strike val="0"/>
        <condense val="0"/>
        <extend val="0"/>
        <outline val="0"/>
        <shadow val="0"/>
        <u val="none"/>
        <vertAlign val="baseline"/>
        <sz val="11"/>
        <color rgb="FF000000"/>
        <name val="Gill Sans MT"/>
        <family val="2"/>
        <scheme val="none"/>
      </font>
      <fill>
        <patternFill patternType="solid">
          <fgColor theme="4" tint="0.79998168889431442"/>
          <bgColor theme="4" tint="0.79998168889431442"/>
        </patternFill>
      </fill>
      <alignment horizontal="general" vertical="center"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0"/>
        <name val="Gill Sans MT"/>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0"/>
        <name val="Gill Sans MT"/>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0"/>
        <name val="Gill Sans MT"/>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0"/>
        <name val="Gill Sans MT"/>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0"/>
        <name val="Gill Sans MT"/>
        <family val="2"/>
        <scheme val="none"/>
      </font>
      <alignment horizontal="center" vertical="center" textRotation="0" wrapText="0" indent="0" justifyLastLine="0" shrinkToFit="0" readingOrder="0"/>
    </dxf>
    <dxf>
      <font>
        <strike val="0"/>
        <outline val="0"/>
        <shadow val="0"/>
        <u val="none"/>
        <vertAlign val="baseline"/>
        <sz val="11"/>
        <name val="Gill Sans MT"/>
        <family val="2"/>
        <scheme val="none"/>
      </font>
    </dxf>
    <dxf>
      <font>
        <strike val="0"/>
        <outline val="0"/>
        <shadow val="0"/>
        <u val="none"/>
        <vertAlign val="baseline"/>
        <sz val="11"/>
        <name val="Gill Sans MT"/>
        <family val="2"/>
        <scheme val="none"/>
      </font>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strike val="0"/>
        <outline val="0"/>
        <shadow val="0"/>
        <u val="none"/>
        <vertAlign val="baseline"/>
        <sz val="11"/>
        <color theme="1"/>
        <name val="Gill Sans MT"/>
        <family val="2"/>
        <scheme val="none"/>
      </font>
    </dxf>
    <dxf>
      <font>
        <strike val="0"/>
        <outline val="0"/>
        <shadow val="0"/>
        <u val="none"/>
        <vertAlign val="baseline"/>
        <sz val="11"/>
        <color theme="1"/>
        <name val="Gill Sans MT"/>
        <family val="2"/>
        <scheme val="none"/>
      </font>
    </dxf>
    <dxf>
      <font>
        <strike val="0"/>
        <outline val="0"/>
        <shadow val="0"/>
        <u val="none"/>
        <vertAlign val="baseline"/>
        <sz val="11"/>
        <color theme="1"/>
        <name val="Gill Sans MT"/>
        <family val="2"/>
        <scheme val="none"/>
      </font>
    </dxf>
    <dxf>
      <fill>
        <patternFill>
          <bgColor theme="8" tint="0.79998168889431442"/>
        </patternFill>
      </fill>
      <border>
        <left style="thin">
          <color auto="1"/>
        </left>
        <right style="thin">
          <color auto="1"/>
        </right>
        <top style="thin">
          <color auto="1"/>
        </top>
        <bottom style="thin">
          <color auto="1"/>
        </bottom>
      </border>
    </dxf>
    <dxf>
      <fill>
        <patternFill patternType="none">
          <bgColor auto="1"/>
        </patternFill>
      </fill>
    </dxf>
    <dxf>
      <fill>
        <patternFill>
          <bgColor theme="4"/>
        </patternFill>
      </fill>
      <border>
        <left style="thin">
          <color auto="1"/>
        </left>
        <right style="thin">
          <color auto="1"/>
        </right>
        <top style="thin">
          <color auto="1"/>
        </top>
        <bottom style="thin">
          <color auto="1"/>
        </bottom>
        <vertical style="thin">
          <color auto="1"/>
        </vertical>
        <horizontal style="thin">
          <color auto="1"/>
        </horizontal>
      </border>
    </dxf>
  </dxfs>
  <tableStyles count="3" defaultTableStyle="TableStyleMedium2" defaultPivotStyle="PivotStyleLight16">
    <tableStyle name="Estilo de tabla 1" pivot="0" count="1" xr9:uid="{D31AC5D5-9EFB-4153-9086-9AA6037B7BF8}">
      <tableStyleElement type="headerRow" dxfId="178"/>
    </tableStyle>
    <tableStyle name="Estilo de tabla 2" pivot="0" count="1" xr9:uid="{C6F8D6C6-DD7E-42E8-8328-19C722F9F97F}">
      <tableStyleElement type="wholeTable" dxfId="177"/>
    </tableStyle>
    <tableStyle name="Estilo de tabla 3" pivot="0" count="1" xr9:uid="{BD8219D8-F95E-4ADD-BD98-5883EDA7E91C}">
      <tableStyleElement type="headerRow" dxfId="176"/>
    </tableStyle>
  </tableStyles>
  <colors>
    <mruColors>
      <color rgb="FF0F385A"/>
      <color rgb="FF1FB2D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2" xr:uid="{B2A92B26-EF0C-4878-B50A-6837C8B938F9}" name="Tabla33103" displayName="Tabla33103" ref="B1:B37" totalsRowShown="0" headerRowDxfId="175" dataDxfId="174">
  <autoFilter ref="B1:B37" xr:uid="{B2A92B26-EF0C-4878-B50A-6837C8B938F9}"/>
  <sortState xmlns:xlrd2="http://schemas.microsoft.com/office/spreadsheetml/2017/richdata2" ref="B2:B37">
    <sortCondition ref="B1:B37"/>
  </sortState>
  <tableColumns count="1">
    <tableColumn id="1" xr3:uid="{29152045-E0EB-4BF0-98F0-61C280340B30}" name="Verbos Competencias" dataDxfId="173"/>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48FC5A9A-4920-4623-A07A-3CF9371DCF4A}" name="Tabla1715" displayName="Tabla1715" ref="A3:A7" totalsRowShown="0" headerRowDxfId="172" dataDxfId="171">
  <autoFilter ref="A3:A7" xr:uid="{48FC5A9A-4920-4623-A07A-3CF9371DCF4A}"/>
  <tableColumns count="1">
    <tableColumn id="1" xr3:uid="{63D540FA-82EB-4145-8DC7-B519D8CD7CC0}" name="Taxonomías" dataDxfId="170"/>
  </tableColumns>
  <tableStyleInfo name="Estilo de tabla 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59BF92EC-A277-4656-A963-5B1EAB7D46D6}" name="Tabla1816" displayName="Tabla1816" ref="AL4:AL32" totalsRowShown="0" headerRowDxfId="169" dataDxfId="168">
  <autoFilter ref="AL4:AL32" xr:uid="{59BF92EC-A277-4656-A963-5B1EAB7D46D6}"/>
  <sortState xmlns:xlrd2="http://schemas.microsoft.com/office/spreadsheetml/2017/richdata2" ref="AL5:AL32">
    <sortCondition ref="AL5:AL32"/>
  </sortState>
  <tableColumns count="1">
    <tableColumn id="1" xr3:uid="{F4C3BEC3-A8BA-43A6-AF00-06D2C8E04D5E}" name="RecordarLK" dataDxfId="167"/>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B3A057E8-BC14-4481-9B47-B7A94BC9D97A}" name="Tabla1926" displayName="Tabla1926" ref="AM4:AM28" totalsRowShown="0" headerRowDxfId="166" dataDxfId="165">
  <autoFilter ref="AM4:AM28" xr:uid="{B3A057E8-BC14-4481-9B47-B7A94BC9D97A}"/>
  <sortState xmlns:xlrd2="http://schemas.microsoft.com/office/spreadsheetml/2017/richdata2" ref="AM5:AM28">
    <sortCondition ref="AM5:AM28"/>
  </sortState>
  <tableColumns count="1">
    <tableColumn id="1" xr3:uid="{22C36FE7-AAEE-4B9D-8345-61BDDF16672A}" name="ComprenderLK" dataDxfId="164"/>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CD6709B3-878C-4665-A64F-6617D841DAF8}" name="Tabla2028" displayName="Tabla2028" ref="AN4:AN31" totalsRowShown="0" headerRowDxfId="163" dataDxfId="162">
  <autoFilter ref="AN4:AN31" xr:uid="{CD6709B3-878C-4665-A64F-6617D841DAF8}"/>
  <sortState xmlns:xlrd2="http://schemas.microsoft.com/office/spreadsheetml/2017/richdata2" ref="AN5:AN31">
    <sortCondition ref="AN5:AN31"/>
  </sortState>
  <tableColumns count="1">
    <tableColumn id="1" xr3:uid="{E0748E34-505E-4B6C-88AD-69D1650A1458}" name="AplicarLK" dataDxfId="161"/>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C6F0B0E8-A8D0-4F61-A40D-B1423DE7B813}" name="Tabla2129" displayName="Tabla2129" ref="AO4:AO35" totalsRowShown="0" headerRowDxfId="160" dataDxfId="159">
  <autoFilter ref="AO4:AO35" xr:uid="{C6F0B0E8-A8D0-4F61-A40D-B1423DE7B813}"/>
  <sortState xmlns:xlrd2="http://schemas.microsoft.com/office/spreadsheetml/2017/richdata2" ref="AO5:AO35">
    <sortCondition ref="AO5:AO35"/>
  </sortState>
  <tableColumns count="1">
    <tableColumn id="1" xr3:uid="{4EC3AE28-DA86-4BC0-BF7B-BF5699537101}" name="AnalizarLK" dataDxfId="158"/>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7847CBB9-9D6E-4D0E-8127-07F853DB7AC6}" name="Tabla2230" displayName="Tabla2230" ref="AP4:AP47" totalsRowShown="0" headerRowDxfId="157" dataDxfId="156">
  <autoFilter ref="AP4:AP47" xr:uid="{7847CBB9-9D6E-4D0E-8127-07F853DB7AC6}"/>
  <sortState xmlns:xlrd2="http://schemas.microsoft.com/office/spreadsheetml/2017/richdata2" ref="AP5:AP47">
    <sortCondition ref="AP5:AP47"/>
  </sortState>
  <tableColumns count="1">
    <tableColumn id="1" xr3:uid="{47FDF88B-30DA-4104-BC28-92F05B1464DC}" name="EvaluarLK" dataDxfId="155"/>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1D29FBDA-C4C7-4802-9945-B1136AA1A5B6}" name="Tabla2333" displayName="Tabla2333" ref="AQ4:AQ21" totalsRowShown="0" headerRowDxfId="154" dataDxfId="153">
  <autoFilter ref="AQ4:AQ21" xr:uid="{1D29FBDA-C4C7-4802-9945-B1136AA1A5B6}"/>
  <sortState xmlns:xlrd2="http://schemas.microsoft.com/office/spreadsheetml/2017/richdata2" ref="AQ5:AQ21">
    <sortCondition ref="AQ5:AQ21"/>
  </sortState>
  <tableColumns count="1">
    <tableColumn id="1" xr3:uid="{695E3FF0-9053-4D06-82E6-12950FD1BCA1}" name="CrearLK" dataDxfId="152"/>
  </tableColumns>
  <tableStyleInfo name="TableStyleMedium2"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4" xr:uid="{F8CECA1C-3082-403C-A916-A3F7860E419B}" name="Tabla3555" displayName="Tabla3555" ref="S3:S45" totalsRowShown="0" headerRowDxfId="151" dataDxfId="150">
  <autoFilter ref="S3:S45" xr:uid="{F8CECA1C-3082-403C-A916-A3F7860E419B}"/>
  <sortState xmlns:xlrd2="http://schemas.microsoft.com/office/spreadsheetml/2017/richdata2" ref="S4:S45">
    <sortCondition ref="S4:S45"/>
  </sortState>
  <tableColumns count="1">
    <tableColumn id="1" xr3:uid="{E8288FDF-6DC1-467B-8083-3BB5E5966D23}" name="ConocimientoBAK" dataDxfId="149"/>
  </tableColumns>
  <tableStyleInfo name="TableStyleMedium2"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2" xr:uid="{91DAFDAE-F212-4BAF-BC19-DDD22FBAA62D}" name="Tabla3663" displayName="Tabla3663" ref="T3:T42" totalsRowShown="0" headerRowDxfId="148" dataDxfId="147">
  <autoFilter ref="T3:T42" xr:uid="{91DAFDAE-F212-4BAF-BC19-DDD22FBAA62D}"/>
  <sortState xmlns:xlrd2="http://schemas.microsoft.com/office/spreadsheetml/2017/richdata2" ref="T4:T42">
    <sortCondition ref="T4:T42"/>
  </sortState>
  <tableColumns count="1">
    <tableColumn id="1" xr3:uid="{BE0B8AE9-98EE-44F6-8C48-260F8C2558A0}" name="ComprensiónBAK" dataDxfId="146"/>
  </tableColumns>
  <tableStyleInfo name="TableStyleMedium2"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3" xr:uid="{B1A040A9-8CFD-4596-8FBC-27FD56392945}" name="Tabla3764" displayName="Tabla3764" ref="U3:U43" totalsRowShown="0" headerRowDxfId="145" dataDxfId="144">
  <autoFilter ref="U3:U43" xr:uid="{B1A040A9-8CFD-4596-8FBC-27FD56392945}"/>
  <sortState xmlns:xlrd2="http://schemas.microsoft.com/office/spreadsheetml/2017/richdata2" ref="U4:U43">
    <sortCondition ref="U4:U43"/>
  </sortState>
  <tableColumns count="1">
    <tableColumn id="1" xr3:uid="{37523E1E-21F0-4AD5-AE5F-B4C6B322C81C}" name="AplicaciónBAK" dataDxfId="143"/>
  </tableColumns>
  <tableStyleInfo name="TableStyleMedium2"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4" xr:uid="{2AA761F5-FCA1-4A0B-90D8-1C642DDF1D1A}" name="Tabla3865" displayName="Tabla3865" ref="V3:V36" totalsRowShown="0" headerRowDxfId="142" dataDxfId="141">
  <autoFilter ref="V3:V36" xr:uid="{2AA761F5-FCA1-4A0B-90D8-1C642DDF1D1A}"/>
  <sortState xmlns:xlrd2="http://schemas.microsoft.com/office/spreadsheetml/2017/richdata2" ref="V4:V36">
    <sortCondition ref="V4:V36"/>
  </sortState>
  <tableColumns count="1">
    <tableColumn id="1" xr3:uid="{AF14FE7A-A899-43F9-A3C0-8119863088B1}" name="AnálisisBAK" dataDxfId="140"/>
  </tableColumns>
  <tableStyleInfo name="TableStyleMedium2"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5" xr:uid="{F6A45780-86A0-4428-88DB-1A555C4970E6}" name="Tabla3966" displayName="Tabla3966" ref="W3:W63" totalsRowShown="0" headerRowDxfId="139" dataDxfId="138">
  <autoFilter ref="W3:W63" xr:uid="{F6A45780-86A0-4428-88DB-1A555C4970E6}"/>
  <sortState xmlns:xlrd2="http://schemas.microsoft.com/office/spreadsheetml/2017/richdata2" ref="W4:W63">
    <sortCondition ref="W4:W63"/>
  </sortState>
  <tableColumns count="1">
    <tableColumn id="1" xr3:uid="{8D1F3CAA-A929-411E-B3AB-90C77CB5BC14}" name="SíntesisBAK" dataDxfId="137"/>
  </tableColumns>
  <tableStyleInfo name="TableStyleMedium2"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6" xr:uid="{3245156A-EE8E-4F9F-B3E3-F1F013A29E6E}" name="Tabla4067" displayName="Tabla4067" ref="X3:X66" totalsRowShown="0" headerRowDxfId="136" dataDxfId="135">
  <autoFilter ref="X3:X66" xr:uid="{3245156A-EE8E-4F9F-B3E3-F1F013A29E6E}"/>
  <sortState xmlns:xlrd2="http://schemas.microsoft.com/office/spreadsheetml/2017/richdata2" ref="X4:X66">
    <sortCondition ref="X4:X66"/>
  </sortState>
  <tableColumns count="1">
    <tableColumn id="1" xr3:uid="{D08EDAAB-166E-48F7-9B09-46F65D2F2270}" name="EvaluaciónBAK" dataDxfId="134"/>
  </tableColumns>
  <tableStyleInfo name="TableStyleMedium2"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7" xr:uid="{0C46EE9B-0911-4522-BB5D-1931406AB4AB}" name="Tabla1168" displayName="Tabla1168" ref="Y3:Y52" totalsRowShown="0" headerRowDxfId="133" dataDxfId="132">
  <autoFilter ref="Y3:Y52" xr:uid="{0C46EE9B-0911-4522-BB5D-1931406AB4AB}"/>
  <tableColumns count="1">
    <tableColumn id="1" xr3:uid="{CDE7758F-9A83-44EB-B2E4-CC670F5593B8}" name="ImitaciónBAK" dataDxfId="131"/>
  </tableColumns>
  <tableStyleInfo name="TableStyleMedium2"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8" xr:uid="{300A78DD-9219-4A2F-A2DA-93669B9B6AF3}" name="Tabla3069" displayName="Tabla3069" ref="Z3:Z40" totalsRowShown="0" headerRowDxfId="130" dataDxfId="129">
  <autoFilter ref="Z3:Z40" xr:uid="{300A78DD-9219-4A2F-A2DA-93669B9B6AF3}"/>
  <tableColumns count="1">
    <tableColumn id="1" xr3:uid="{3C407CCE-B486-4656-BA81-116BE1090143}" name="ManipulaciónBAK" dataDxfId="128"/>
  </tableColumns>
  <tableStyleInfo name="TableStyleMedium2"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9" xr:uid="{6877FA86-1F49-4E2D-9448-AFF0346B8BB8}" name="Tabla4170" displayName="Tabla4170" ref="AA3:AA68" totalsRowShown="0" headerRowDxfId="127" dataDxfId="126">
  <autoFilter ref="AA3:AA68" xr:uid="{6877FA86-1F49-4E2D-9448-AFF0346B8BB8}"/>
  <tableColumns count="1">
    <tableColumn id="1" xr3:uid="{D21AF291-1BAF-43EA-AFD3-DAFB2D955E09}" name="PrecisiónBAK" dataDxfId="125"/>
  </tableColumns>
  <tableStyleInfo name="TableStyleMedium2"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0" xr:uid="{FD38FA61-1361-4EA5-A764-8E58B96581E9}" name="Tabla4271" displayName="Tabla4271" ref="AB3:AB62" totalsRowShown="0" headerRowDxfId="124" dataDxfId="123">
  <autoFilter ref="AB3:AB62" xr:uid="{FD38FA61-1361-4EA5-A764-8E58B96581E9}"/>
  <tableColumns count="1">
    <tableColumn id="1" xr3:uid="{982D722A-3D7A-4AAD-A2DF-5EE8DF5E4D9D}" name="ControlBAK" dataDxfId="122"/>
  </tableColumns>
  <tableStyleInfo name="TableStyleMedium2"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1" xr:uid="{503448E5-D0D5-4B82-B461-0CD544CE9D23}" name="Tabla4372" displayName="Tabla4372" ref="AC3:AC43" totalsRowShown="0" headerRowDxfId="121" dataDxfId="120">
  <autoFilter ref="AC3:AC43" xr:uid="{503448E5-D0D5-4B82-B461-0CD544CE9D23}"/>
  <tableColumns count="1">
    <tableColumn id="1" xr3:uid="{03441D59-E383-407F-99E2-74596636CEF0}" name="PercepciónBAK" dataDxfId="119"/>
  </tableColumns>
  <tableStyleInfo name="TableStyleMedium2"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2" xr:uid="{08B46976-D2F4-4AEA-B0BA-6ECF06521BA8}" name="Tabla4473" displayName="Tabla4473" ref="AD3:AD33" totalsRowShown="0" headerRowDxfId="118" dataDxfId="117">
  <autoFilter ref="AD3:AD33" xr:uid="{08B46976-D2F4-4AEA-B0BA-6ECF06521BA8}"/>
  <tableColumns count="1">
    <tableColumn id="1" xr3:uid="{0C49A45E-6C59-4AAB-BD6C-F53324766649}" name="ResponderBAK" dataDxfId="116"/>
  </tableColumns>
  <tableStyleInfo name="TableStyleMedium2"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3" xr:uid="{49448539-0C4F-43C9-9924-5A219B16757C}" name="Tabla4574" displayName="Tabla4574" ref="AE3:AE38" totalsRowShown="0" headerRowDxfId="115" dataDxfId="114">
  <autoFilter ref="AE3:AE38" xr:uid="{49448539-0C4F-43C9-9924-5A219B16757C}"/>
  <tableColumns count="1">
    <tableColumn id="1" xr3:uid="{E2890547-6570-4474-811E-70109D5F5465}" name="ValorarBAK" dataDxfId="113"/>
  </tableColumns>
  <tableStyleInfo name="TableStyleMedium2"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4" xr:uid="{21E76DB2-0E8B-466D-A413-2ABD524DDEEA}" name="Tabla4675" displayName="Tabla4675" ref="AF3:AF29" totalsRowShown="0" headerRowDxfId="112" dataDxfId="111">
  <autoFilter ref="AF3:AF29" xr:uid="{21E76DB2-0E8B-466D-A413-2ABD524DDEEA}"/>
  <tableColumns count="1">
    <tableColumn id="1" xr3:uid="{674DA899-A4D0-4618-B839-C8613BA61338}" name="OrganizarBAK" dataDxfId="110"/>
  </tableColumns>
  <tableStyleInfo name="TableStyleMedium2"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5" xr:uid="{835318B2-CEAD-4A84-8E6B-21115489F3F9}" name="Tabla4776" displayName="Tabla4776" ref="AG3:AG29" totalsRowShown="0" headerRowDxfId="109" dataDxfId="108">
  <autoFilter ref="AG3:AG29" xr:uid="{835318B2-CEAD-4A84-8E6B-21115489F3F9}"/>
  <tableColumns count="1">
    <tableColumn id="1" xr3:uid="{C98AB4FD-C9CE-4966-B509-E36C390C09C7}" name="CaracterizarBAK" dataDxfId="107"/>
  </tableColumns>
  <tableStyleInfo name="TableStyleMedium2"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6" xr:uid="{9E4643CC-87B6-4485-9E83-A8ED35E11905}" name="Tabla354977" displayName="Tabla354977" ref="L3:L45" totalsRowShown="0" headerRowDxfId="106" dataDxfId="105">
  <autoFilter ref="L3:L45" xr:uid="{9E4643CC-87B6-4485-9E83-A8ED35E11905}"/>
  <sortState xmlns:xlrd2="http://schemas.microsoft.com/office/spreadsheetml/2017/richdata2" ref="L4:L45">
    <sortCondition ref="L4:L45"/>
  </sortState>
  <tableColumns count="1">
    <tableColumn id="1" xr3:uid="{29725637-71B1-4F7E-96A8-CB90D5C646B2}" name="ConocimientoB" dataDxfId="104"/>
  </tableColumns>
  <tableStyleInfo name="TableStyleMedium2"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7" xr:uid="{C726BD4C-A167-44A9-8F1B-6936952A7A59}" name="Tabla365078" displayName="Tabla365078" ref="M3:M42" totalsRowShown="0" headerRowDxfId="103" dataDxfId="102">
  <autoFilter ref="M3:M42" xr:uid="{C726BD4C-A167-44A9-8F1B-6936952A7A59}"/>
  <sortState xmlns:xlrd2="http://schemas.microsoft.com/office/spreadsheetml/2017/richdata2" ref="M4:M42">
    <sortCondition ref="M4:M42"/>
  </sortState>
  <tableColumns count="1">
    <tableColumn id="1" xr3:uid="{302CEF3F-D9B7-44E2-B341-CAA4B0E1BEB1}" name="ComprensiónB" dataDxfId="101"/>
  </tableColumns>
  <tableStyleInfo name="TableStyleMedium2"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8" xr:uid="{85965F80-D722-4217-9624-BAE055366227}" name="Tabla375179" displayName="Tabla375179" ref="N3:N43" totalsRowShown="0" headerRowDxfId="100" dataDxfId="99">
  <autoFilter ref="N3:N43" xr:uid="{85965F80-D722-4217-9624-BAE055366227}"/>
  <sortState xmlns:xlrd2="http://schemas.microsoft.com/office/spreadsheetml/2017/richdata2" ref="N4:N43">
    <sortCondition ref="N4:N43"/>
  </sortState>
  <tableColumns count="1">
    <tableColumn id="1" xr3:uid="{8CDFD0B2-187A-490F-B898-52C789C626A8}" name="AplicaciónB" dataDxfId="98"/>
  </tableColumns>
  <tableStyleInfo name="TableStyleMedium2"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9" xr:uid="{4F44782F-9CE2-445E-8EAA-F5D6BC4CE9FF}" name="Tabla385280" displayName="Tabla385280" ref="O3:O36" totalsRowShown="0" headerRowDxfId="97" dataDxfId="96">
  <autoFilter ref="O3:O36" xr:uid="{4F44782F-9CE2-445E-8EAA-F5D6BC4CE9FF}"/>
  <sortState xmlns:xlrd2="http://schemas.microsoft.com/office/spreadsheetml/2017/richdata2" ref="O4:O36">
    <sortCondition ref="O4:O36"/>
  </sortState>
  <tableColumns count="1">
    <tableColumn id="1" xr3:uid="{7941CE9F-DC23-4AFF-A5EC-374F0F21BBEB}" name="AnálisisB" dataDxfId="95"/>
  </tableColumns>
  <tableStyleInfo name="TableStyleMedium2"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0" xr:uid="{8357A631-F2AC-40DB-8ACA-80F00DED06A3}" name="Tabla395381" displayName="Tabla395381" ref="P3:P63" totalsRowShown="0" headerRowDxfId="94" dataDxfId="93">
  <autoFilter ref="P3:P63" xr:uid="{8357A631-F2AC-40DB-8ACA-80F00DED06A3}"/>
  <sortState xmlns:xlrd2="http://schemas.microsoft.com/office/spreadsheetml/2017/richdata2" ref="P4:P63">
    <sortCondition ref="P4:P63"/>
  </sortState>
  <tableColumns count="1">
    <tableColumn id="1" xr3:uid="{E9C49887-DB96-4751-9494-F1CFAE7E02AD}" name="SíntesisB" dataDxfId="92"/>
  </tableColumns>
  <tableStyleInfo name="TableStyleMedium2"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1" xr:uid="{141F631B-4F40-430C-9880-8A1F264F50D0}" name="Tabla405482" displayName="Tabla405482" ref="Q3:Q66" totalsRowShown="0" headerRowDxfId="91" dataDxfId="90">
  <autoFilter ref="Q3:Q66" xr:uid="{141F631B-4F40-430C-9880-8A1F264F50D0}"/>
  <sortState xmlns:xlrd2="http://schemas.microsoft.com/office/spreadsheetml/2017/richdata2" ref="Q4:Q66">
    <sortCondition ref="Q4:Q66"/>
  </sortState>
  <tableColumns count="1">
    <tableColumn id="1" xr3:uid="{42FB5979-4CFB-474A-948A-4C9E2A15A2FA}" name="EvaluaciónB" dataDxfId="89"/>
  </tableColumns>
  <tableStyleInfo name="TableStyleMedium2"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7" xr:uid="{284779C2-7F70-4C90-85C0-9E3404733D87}" name="Tabla6088" displayName="Tabla6088" ref="E3:E6" totalsRowShown="0" headerRowDxfId="88" dataDxfId="87">
  <autoFilter ref="E3:E6" xr:uid="{284779C2-7F70-4C90-85C0-9E3404733D87}"/>
  <tableColumns count="1">
    <tableColumn id="1" xr3:uid="{CE47A420-A4CC-4416-8E2B-4A40C2078194}" name="MK" dataDxfId="86"/>
  </tableColumns>
  <tableStyleInfo name="Estilo de tabla 1" showFirstColumn="0"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6" xr:uid="{0359C141-9677-47C3-845D-242D3C20A7BD}" name="Tabla5987" displayName="Tabla5987" ref="D3:D7" totalsRowShown="0" headerRowDxfId="85" dataDxfId="84">
  <autoFilter ref="D3:D7" xr:uid="{0359C141-9677-47C3-845D-242D3C20A7BD}"/>
  <tableColumns count="1">
    <tableColumn id="1" xr3:uid="{027F3234-EBF7-434A-A95C-3D90248F7600}" name="AK" dataDxfId="83"/>
  </tableColumns>
  <tableStyleInfo name="Estilo de tabla 1" showFirstColumn="0" showLastColumn="0" showRowStripes="1"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5" xr:uid="{60F5C8CF-3F5B-45A8-90A3-91960BC0CC3F}" name="Tabla5886" displayName="Tabla5886" ref="C3:C6" totalsRowShown="0" headerRowDxfId="82" dataDxfId="81">
  <autoFilter ref="C3:C6" xr:uid="{60F5C8CF-3F5B-45A8-90A3-91960BC0CC3F}"/>
  <tableColumns count="1">
    <tableColumn id="1" xr3:uid="{7261A279-5B41-48E2-A232-E66D4B2C997C}" name="BAK" dataDxfId="80"/>
  </tableColumns>
  <tableStyleInfo name="Estilo de tabla 1" showFirstColumn="0" showLastColumn="0" showRowStripes="1" showColumnStripes="0"/>
</table>
</file>

<file path=xl/tables/table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4" xr:uid="{46409B6B-E133-4AC9-A20A-4A73C6DBD813}" name="Tabla5785" displayName="Tabla5785" ref="I3:I9" totalsRowShown="0" headerRowDxfId="79" dataDxfId="78">
  <autoFilter ref="I3:I9" xr:uid="{46409B6B-E133-4AC9-A20A-4A73C6DBD813}"/>
  <tableColumns count="1">
    <tableColumn id="1" xr3:uid="{12B3014A-6B1D-4C6D-9FA4-0161E9656EA6}" name="ActitudinalB" dataDxfId="77"/>
  </tableColumns>
  <tableStyleInfo name="Estilo de tabla 1" showFirstColumn="0" showLastColumn="0" showRowStripes="1" showColumnStripes="0"/>
</table>
</file>

<file path=xl/tables/table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3" xr:uid="{4FBECC47-261F-41D0-B554-ADEA02FBDD3E}" name="Tabla5684" displayName="Tabla5684" ref="H3:H9" totalsRowShown="0" headerRowDxfId="76" dataDxfId="75">
  <autoFilter ref="H3:H9" xr:uid="{4FBECC47-261F-41D0-B554-ADEA02FBDD3E}"/>
  <tableColumns count="1">
    <tableColumn id="1" xr3:uid="{D263AD73-E936-424B-80A9-E791CCE4D60C}" name="ProcedimentalB" dataDxfId="74"/>
  </tableColumns>
  <tableStyleInfo name="Estilo de tabla 1" showFirstColumn="0" showLastColumn="0" showRowStripes="1" showColumnStripes="0"/>
</table>
</file>

<file path=xl/tables/table3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2" xr:uid="{E7A59938-F7EA-457A-87F1-AA0873A8FDA8}" name="Tabla5583" displayName="Tabla5583" ref="G3:G9" totalsRowShown="0" headerRowDxfId="73" dataDxfId="72">
  <autoFilter ref="G3:G9" xr:uid="{E7A59938-F7EA-457A-87F1-AA0873A8FDA8}"/>
  <tableColumns count="1">
    <tableColumn id="1" xr3:uid="{9BE87125-AAAE-4780-B69A-FA583B2B341A}" name="CognitivoB" dataDxfId="71"/>
  </tableColumns>
  <tableStyleInfo name="Estilo de tabla 1" showFirstColumn="0" showLastColumn="0" showRowStripes="1" showColumnStripes="0"/>
</table>
</file>

<file path=xl/tables/table3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0" xr:uid="{FB5563E9-3423-496B-A7C6-740A8638246F}" name="Tabla90" displayName="Tabla90" ref="G11:G17" totalsRowShown="0" headerRowDxfId="70" dataDxfId="69">
  <autoFilter ref="G11:G17" xr:uid="{FB5563E9-3423-496B-A7C6-740A8638246F}"/>
  <tableColumns count="1">
    <tableColumn id="1" xr3:uid="{D2F8054E-C594-43A9-96F5-5294D078E620}" name="CognitivoAK" dataDxfId="68"/>
  </tableColumns>
  <tableStyleInfo name="Estilo de tabla 1" showFirstColumn="0" showLastColumn="0" showRowStripes="1" showColumnStripes="0"/>
</table>
</file>

<file path=xl/tables/table3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1" xr:uid="{5235961D-4B2F-4CB8-AC75-46CF8A859099}" name="Tabla91" displayName="Tabla91" ref="H11:H17" totalsRowShown="0" headerRowDxfId="67" dataDxfId="66">
  <autoFilter ref="H11:H17" xr:uid="{5235961D-4B2F-4CB8-AC75-46CF8A859099}"/>
  <tableColumns count="1">
    <tableColumn id="1" xr3:uid="{DF3A0232-2B49-4FF7-B62E-7F56B2A16095}" name="ConceptosAK" dataDxfId="65"/>
  </tableColumns>
  <tableStyleInfo name="Estilo de tabla 1" showFirstColumn="0" showLastColumn="0" showRowStripes="1" showColumnStripes="0"/>
</table>
</file>

<file path=xl/tables/table3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2" xr:uid="{74EFBE03-70FE-4E61-AF1A-7CAE74394FB0}" name="Tabla92" displayName="Tabla92" ref="I11:I17" totalsRowShown="0" headerRowDxfId="64" dataDxfId="63">
  <autoFilter ref="I11:I17" xr:uid="{74EFBE03-70FE-4E61-AF1A-7CAE74394FB0}"/>
  <tableColumns count="1">
    <tableColumn id="1" xr3:uid="{02D20833-4DB8-415C-A919-A0178DA3CC95}" name="ProcedimientosAK" dataDxfId="62"/>
  </tableColumns>
  <tableStyleInfo name="Estilo de tabla 1" showFirstColumn="0" showLastColumn="0" showRowStripes="1" showColumnStripes="0"/>
</table>
</file>

<file path=xl/tables/table3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3" xr:uid="{01D445B2-006B-45B1-9326-AB65B144ABD8}" name="Tabla93" displayName="Tabla93" ref="J11:J17" totalsRowShown="0" headerRowDxfId="61" dataDxfId="60">
  <autoFilter ref="J11:J17" xr:uid="{01D445B2-006B-45B1-9326-AB65B144ABD8}"/>
  <tableColumns count="1">
    <tableColumn id="1" xr3:uid="{B548BB39-2B40-4E98-AE24-D564B24A0831}" name="MetacogniciónAK" dataDxfId="59"/>
  </tableColumns>
  <tableStyleInfo name="Estilo de tabla 1" showFirstColumn="0" showLastColumn="0" showRowStripes="1" showColumnStripes="0"/>
</table>
</file>

<file path=xl/tables/table4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4" xr:uid="{8F99EDF7-BECB-4CB8-94CB-15DEF8DBE8E0}" name="InformaciónMK" displayName="InformaciónMK" ref="G19:G25" totalsRowShown="0" headerRowDxfId="58" dataDxfId="57">
  <autoFilter ref="G19:G25" xr:uid="{8F99EDF7-BECB-4CB8-94CB-15DEF8DBE8E0}"/>
  <tableColumns count="1">
    <tableColumn id="1" xr3:uid="{995D4B7F-2557-48EF-AE97-D4FE09E63D59}" name="InformaciónMK" dataDxfId="56"/>
  </tableColumns>
  <tableStyleInfo name="Estilo de tabla 1" showFirstColumn="0" showLastColumn="0" showRowStripes="1" showColumnStripes="0"/>
</table>
</file>

<file path=xl/tables/table4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5" xr:uid="{DFB0C1EA-F7F7-4443-9626-BCD7D06ACAA7}" name="ProcesosMentalesMK" displayName="ProcesosMentalesMK" ref="H19:H25" totalsRowShown="0" headerRowDxfId="55" dataDxfId="54">
  <autoFilter ref="H19:H25" xr:uid="{DFB0C1EA-F7F7-4443-9626-BCD7D06ACAA7}"/>
  <tableColumns count="1">
    <tableColumn id="1" xr3:uid="{977268A2-A618-4E2F-BE67-44E018AA2B3D}" name="ProcesosMentalesMK" dataDxfId="53"/>
  </tableColumns>
  <tableStyleInfo name="Estilo de tabla 1" showFirstColumn="0" showLastColumn="0" showRowStripes="1" showColumnStripes="0"/>
</table>
</file>

<file path=xl/tables/table4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6" xr:uid="{AC2042AB-A078-4FDF-91CA-322668C40EBE}" name="Tabla96" displayName="Tabla96" ref="I19:I25" totalsRowShown="0" headerRowDxfId="52" dataDxfId="51">
  <autoFilter ref="I19:I25" xr:uid="{AC2042AB-A078-4FDF-91CA-322668C40EBE}"/>
  <tableColumns count="1">
    <tableColumn id="1" xr3:uid="{AAE35896-9168-4715-8D56-25997B0AB9C8}" name="PsicomotorMK" dataDxfId="50"/>
  </tableColumns>
  <tableStyleInfo name="Estilo de tabla 1" showFirstColumn="0" showLastColumn="0" showRowStripes="1" showColumnStripes="0"/>
</table>
</file>

<file path=xl/tables/table4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7" xr:uid="{538ED7E5-6B58-402B-94DF-D07C13DE2D9E}" name="Tabla97" displayName="Tabla97" ref="BB4:BB28" totalsRowShown="0" headerRowDxfId="49" dataDxfId="48" tableBorderDxfId="47">
  <autoFilter ref="BB4:BB28" xr:uid="{538ED7E5-6B58-402B-94DF-D07C13DE2D9E}"/>
  <sortState xmlns:xlrd2="http://schemas.microsoft.com/office/spreadsheetml/2017/richdata2" ref="BB5:BB28">
    <sortCondition ref="BB5:BB28"/>
  </sortState>
  <tableColumns count="1">
    <tableColumn id="1" xr3:uid="{BBBA71C3-D37D-42D2-B57F-3792E560AED8}" name="RecuperaciónMK" dataDxfId="46"/>
  </tableColumns>
  <tableStyleInfo name="TableStyleMedium2" showFirstColumn="0" showLastColumn="0" showRowStripes="1" showColumnStripes="0"/>
</table>
</file>

<file path=xl/tables/table4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8" xr:uid="{0217E0C4-2DD9-4417-BE26-3FF0FF3F395D}" name="Tabla98" displayName="Tabla98" ref="BC4:BC56" totalsRowShown="0" headerRowDxfId="45" dataDxfId="44">
  <autoFilter ref="BC4:BC56" xr:uid="{0217E0C4-2DD9-4417-BE26-3FF0FF3F395D}"/>
  <sortState xmlns:xlrd2="http://schemas.microsoft.com/office/spreadsheetml/2017/richdata2" ref="BC5:BC56">
    <sortCondition ref="BC5:BC56"/>
  </sortState>
  <tableColumns count="1">
    <tableColumn id="1" xr3:uid="{EEF7A2C9-904A-475E-B946-D75F88E5CF1A}" name="ComprensiónMK" dataDxfId="43"/>
  </tableColumns>
  <tableStyleInfo name="TableStyleMedium2" showFirstColumn="0" showLastColumn="0" showRowStripes="1" showColumnStripes="0"/>
</table>
</file>

<file path=xl/tables/table4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9" xr:uid="{522023D2-447B-4863-8827-33272C577B77}" name="Tabla99" displayName="Tabla99" ref="BD4:BD108" totalsRowShown="0" headerRowDxfId="42" dataDxfId="41" tableBorderDxfId="40">
  <autoFilter ref="BD4:BD108" xr:uid="{522023D2-447B-4863-8827-33272C577B77}"/>
  <sortState xmlns:xlrd2="http://schemas.microsoft.com/office/spreadsheetml/2017/richdata2" ref="BD5:BD108">
    <sortCondition ref="BD5:BD108"/>
  </sortState>
  <tableColumns count="1">
    <tableColumn id="1" xr3:uid="{9344A526-D889-455B-8393-6E992E4F8707}" name="AnálisisMK" dataDxfId="39"/>
  </tableColumns>
  <tableStyleInfo name="TableStyleMedium2" showFirstColumn="0" showLastColumn="0" showRowStripes="1" showColumnStripes="0"/>
</table>
</file>

<file path=xl/tables/table4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0" xr:uid="{6AB46F11-6BD0-4EBD-B99F-F1D1FC283558}" name="Tabla100" displayName="Tabla100" ref="BE4:BE70" totalsRowShown="0" headerRowDxfId="38" dataDxfId="37" tableBorderDxfId="36">
  <autoFilter ref="BE4:BE70" xr:uid="{6AB46F11-6BD0-4EBD-B99F-F1D1FC283558}"/>
  <sortState xmlns:xlrd2="http://schemas.microsoft.com/office/spreadsheetml/2017/richdata2" ref="BE5:BE70">
    <sortCondition ref="BE5:BE70"/>
  </sortState>
  <tableColumns count="1">
    <tableColumn id="1" xr3:uid="{9B864D54-9851-4B93-B3C8-06FA6FD5E1D3}" name="UsoConocimientoMK" dataDxfId="35"/>
  </tableColumns>
  <tableStyleInfo name="TableStyleMedium2" showFirstColumn="0" showLastColumn="0" showRowStripes="1" showColumnStripes="0"/>
</table>
</file>

<file path=xl/tables/table4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1" xr:uid="{5C094C7C-8551-4EC0-B36D-BC7DA6369C48}" name="Tabla101" displayName="Tabla101" ref="BF4:BF92" totalsRowShown="0" headerRowDxfId="34" dataDxfId="33" tableBorderDxfId="32">
  <autoFilter ref="BF4:BF92" xr:uid="{5C094C7C-8551-4EC0-B36D-BC7DA6369C48}"/>
  <sortState xmlns:xlrd2="http://schemas.microsoft.com/office/spreadsheetml/2017/richdata2" ref="BF5:BF92">
    <sortCondition ref="BF5:BF92"/>
  </sortState>
  <tableColumns count="1">
    <tableColumn id="1" xr3:uid="{02A922E1-8BFE-426F-8C44-897F7B4F7498}" name="MetacogniciónMK" dataDxfId="31"/>
  </tableColumns>
  <tableStyleInfo name="TableStyleMedium2" showFirstColumn="0" showLastColumn="0" showRowStripes="1" showColumnStripes="0"/>
</table>
</file>

<file path=xl/tables/table4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E028CBBA-0913-46A4-9A7A-1484F73BB293}" name="Tabla11" displayName="Tabla11" ref="BG4:BG87" totalsRowShown="0" headerRowDxfId="30" dataDxfId="29" tableBorderDxfId="28">
  <autoFilter ref="BG4:BG87" xr:uid="{E028CBBA-0913-46A4-9A7A-1484F73BB293}"/>
  <tableColumns count="1">
    <tableColumn id="1" xr3:uid="{0478638C-EFB5-452E-960C-8B4E2E4D8F5A}" name="SistemadelYoMK" dataDxfId="27"/>
  </tableColumns>
  <tableStyleInfo name="TableStyleMedium2" showFirstColumn="0" showLastColumn="0" showRowStripes="1" showColumnStripes="0"/>
</table>
</file>

<file path=xl/tables/table4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93AEC37-2B83-41E3-AA53-B1C4C9AAFED6}" name="Tabla11682" displayName="Tabla11682" ref="AR4:AR53" totalsRowShown="0" headerRowDxfId="26" dataDxfId="25">
  <autoFilter ref="AR4:AR53" xr:uid="{A93AEC37-2B83-41E3-AA53-B1C4C9AAFED6}"/>
  <sortState xmlns:xlrd2="http://schemas.microsoft.com/office/spreadsheetml/2017/richdata2" ref="AR5:AR53">
    <sortCondition ref="AR4:AR53"/>
  </sortState>
  <tableColumns count="1">
    <tableColumn id="1" xr3:uid="{BC599931-18FB-493B-998F-5EBFDA26F99A}" name="ImitaciónBAK" dataDxfId="24"/>
  </tableColumns>
  <tableStyleInfo name="TableStyleMedium2" showFirstColumn="0" showLastColumn="0" showRowStripes="1" showColumnStripes="0"/>
</table>
</file>

<file path=xl/tables/table5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5F6786D6-3072-4AED-9E96-46E6FBDF3D96}" name="Tabla30694" displayName="Tabla30694" ref="AS4:AS42" totalsRowShown="0" headerRowDxfId="23" dataDxfId="22">
  <autoFilter ref="AS4:AS42" xr:uid="{5F6786D6-3072-4AED-9E96-46E6FBDF3D96}"/>
  <sortState xmlns:xlrd2="http://schemas.microsoft.com/office/spreadsheetml/2017/richdata2" ref="AS5:AS42">
    <sortCondition ref="AS4:AS42"/>
  </sortState>
  <tableColumns count="1">
    <tableColumn id="1" xr3:uid="{7541B21B-5B3A-458E-99AA-6AC7DBF28BEC}" name="ManipulaciónBAK" dataDxfId="21"/>
  </tableColumns>
  <tableStyleInfo name="TableStyleMedium2" showFirstColumn="0" showLastColumn="0" showRowStripes="1" showColumnStripes="0"/>
</table>
</file>

<file path=xl/tables/table5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BA139879-F39C-4F39-932E-1A47FC0092F6}" name="Tabla41706" displayName="Tabla41706" ref="AT4:AT71" totalsRowShown="0" headerRowDxfId="20" dataDxfId="19">
  <autoFilter ref="AT4:AT71" xr:uid="{BA139879-F39C-4F39-932E-1A47FC0092F6}"/>
  <sortState xmlns:xlrd2="http://schemas.microsoft.com/office/spreadsheetml/2017/richdata2" ref="AT5:AT71">
    <sortCondition ref="AT4:AT71"/>
  </sortState>
  <tableColumns count="1">
    <tableColumn id="1" xr3:uid="{CEE9D729-59A2-41C0-AF9F-CCA72DF4F138}" name="PrecisiónBAK" dataDxfId="18"/>
  </tableColumns>
  <tableStyleInfo name="TableStyleMedium2" showFirstColumn="0" showLastColumn="0" showRowStripes="1" showColumnStripes="0"/>
</table>
</file>

<file path=xl/tables/table5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9D6BCE83-DCD0-4239-95CE-6A6A7A146442}" name="Tabla42717" displayName="Tabla42717" ref="AU4:AU63" totalsRowShown="0" headerRowDxfId="17" dataDxfId="16">
  <autoFilter ref="AU4:AU63" xr:uid="{9D6BCE83-DCD0-4239-95CE-6A6A7A146442}"/>
  <sortState xmlns:xlrd2="http://schemas.microsoft.com/office/spreadsheetml/2017/richdata2" ref="AU5:AU63">
    <sortCondition ref="AU4:AU63"/>
  </sortState>
  <tableColumns count="1">
    <tableColumn id="1" xr3:uid="{A6259F30-12C1-4C84-9ECA-D290C3094A76}" name="ControlBAK" dataDxfId="15"/>
  </tableColumns>
  <tableStyleInfo name="TableStyleMedium2" showFirstColumn="0" showLastColumn="0" showRowStripes="1" showColumnStripes="0"/>
</table>
</file>

<file path=xl/tables/table5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13318784-679D-484B-A0F4-4662B63A05DE}" name="Tabla437218" displayName="Tabla437218" ref="AV4:AV44" totalsRowShown="0" headerRowDxfId="14" dataDxfId="13">
  <autoFilter ref="AV4:AV44" xr:uid="{13318784-679D-484B-A0F4-4662B63A05DE}"/>
  <tableColumns count="1">
    <tableColumn id="1" xr3:uid="{30F45F34-6591-419F-827C-BF81F08B96E2}" name="PercepciónBAK" dataDxfId="12"/>
  </tableColumns>
  <tableStyleInfo name="TableStyleMedium2" showFirstColumn="0" showLastColumn="0" showRowStripes="1" showColumnStripes="0"/>
</table>
</file>

<file path=xl/tables/table5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721176BB-02DC-4671-9FA9-797A042C6481}" name="Tabla447319" displayName="Tabla447319" ref="AW4:AW35" totalsRowShown="0" headerRowDxfId="11" dataDxfId="10">
  <autoFilter ref="AW4:AW35" xr:uid="{721176BB-02DC-4671-9FA9-797A042C6481}"/>
  <tableColumns count="1">
    <tableColumn id="1" xr3:uid="{F605F378-67F2-4F23-8E79-B8A90607E39A}" name="ResponderBAK" dataDxfId="9"/>
  </tableColumns>
  <tableStyleInfo name="TableStyleMedium2" showFirstColumn="0" showLastColumn="0" showRowStripes="1" showColumnStripes="0"/>
</table>
</file>

<file path=xl/tables/table5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26EE921D-2080-42C6-AD5D-D4AB16D41154}" name="Tabla457420" displayName="Tabla457420" ref="AX4:AX39" totalsRowShown="0" headerRowDxfId="8" dataDxfId="7">
  <autoFilter ref="AX4:AX39" xr:uid="{26EE921D-2080-42C6-AD5D-D4AB16D41154}"/>
  <tableColumns count="1">
    <tableColumn id="1" xr3:uid="{686D7ECA-9035-4891-94AC-7D1EEE0CA2FF}" name="ValorarBAK" dataDxfId="6"/>
  </tableColumns>
  <tableStyleInfo name="TableStyleMedium2" showFirstColumn="0" showLastColumn="0" showRowStripes="1" showColumnStripes="0"/>
</table>
</file>

<file path=xl/tables/table5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C2FD5F7B-4A17-40C0-AA00-7F903470FD5C}" name="Tabla467521" displayName="Tabla467521" ref="AY4:AY31" totalsRowShown="0" headerRowDxfId="5" dataDxfId="4">
  <autoFilter ref="AY4:AY31" xr:uid="{C2FD5F7B-4A17-40C0-AA00-7F903470FD5C}"/>
  <sortState xmlns:xlrd2="http://schemas.microsoft.com/office/spreadsheetml/2017/richdata2" ref="AY5:AY31">
    <sortCondition ref="AY5:AY31"/>
  </sortState>
  <tableColumns count="1">
    <tableColumn id="1" xr3:uid="{D6CB45EB-499A-4E4F-AC0E-DC20DF7271A5}" name="OrganizarBAK" dataDxfId="3"/>
  </tableColumns>
  <tableStyleInfo name="TableStyleMedium2" showFirstColumn="0" showLastColumn="0" showRowStripes="1" showColumnStripes="0"/>
</table>
</file>

<file path=xl/tables/table5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F6D5E08D-ACF9-4A74-B1D2-CD9F4DF55DB1}" name="Tabla477622" displayName="Tabla477622" ref="AZ4:AZ30" totalsRowShown="0" headerRowDxfId="2" dataDxfId="1">
  <autoFilter ref="AZ4:AZ30" xr:uid="{F6D5E08D-ACF9-4A74-B1D2-CD9F4DF55DB1}"/>
  <tableColumns count="1">
    <tableColumn id="1" xr3:uid="{016529B9-A15E-4EE4-B1CE-6BB660F0619F}" name="CaracterizarBAK" dataDxfId="0"/>
  </tableColumns>
  <tableStyleInfo name="TableStyleMedium2" showFirstColumn="0" showLastColumn="0" showRowStripes="1" showColumnStripes="0"/>
</table>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table" Target="../tables/table1.xml"/></Relationships>
</file>

<file path=xl/worksheets/_rels/sheet7.xml.rels><?xml version="1.0" encoding="UTF-8" standalone="yes"?>
<Relationships xmlns="http://schemas.openxmlformats.org/package/2006/relationships"><Relationship Id="rId13" Type="http://schemas.openxmlformats.org/officeDocument/2006/relationships/table" Target="../tables/table13.xml"/><Relationship Id="rId18" Type="http://schemas.openxmlformats.org/officeDocument/2006/relationships/table" Target="../tables/table18.xml"/><Relationship Id="rId26" Type="http://schemas.openxmlformats.org/officeDocument/2006/relationships/table" Target="../tables/table26.xml"/><Relationship Id="rId39" Type="http://schemas.openxmlformats.org/officeDocument/2006/relationships/table" Target="../tables/table39.xml"/><Relationship Id="rId21" Type="http://schemas.openxmlformats.org/officeDocument/2006/relationships/table" Target="../tables/table21.xml"/><Relationship Id="rId34" Type="http://schemas.openxmlformats.org/officeDocument/2006/relationships/table" Target="../tables/table34.xml"/><Relationship Id="rId42" Type="http://schemas.openxmlformats.org/officeDocument/2006/relationships/table" Target="../tables/table42.xml"/><Relationship Id="rId47" Type="http://schemas.openxmlformats.org/officeDocument/2006/relationships/table" Target="../tables/table47.xml"/><Relationship Id="rId50" Type="http://schemas.openxmlformats.org/officeDocument/2006/relationships/table" Target="../tables/table50.xml"/><Relationship Id="rId55" Type="http://schemas.openxmlformats.org/officeDocument/2006/relationships/table" Target="../tables/table55.xml"/><Relationship Id="rId7" Type="http://schemas.openxmlformats.org/officeDocument/2006/relationships/table" Target="../tables/table7.xml"/><Relationship Id="rId2" Type="http://schemas.openxmlformats.org/officeDocument/2006/relationships/table" Target="../tables/table2.xml"/><Relationship Id="rId16" Type="http://schemas.openxmlformats.org/officeDocument/2006/relationships/table" Target="../tables/table16.xml"/><Relationship Id="rId29" Type="http://schemas.openxmlformats.org/officeDocument/2006/relationships/table" Target="../tables/table29.xml"/><Relationship Id="rId11" Type="http://schemas.openxmlformats.org/officeDocument/2006/relationships/table" Target="../tables/table11.xml"/><Relationship Id="rId24" Type="http://schemas.openxmlformats.org/officeDocument/2006/relationships/table" Target="../tables/table24.xml"/><Relationship Id="rId32" Type="http://schemas.openxmlformats.org/officeDocument/2006/relationships/table" Target="../tables/table32.xml"/><Relationship Id="rId37" Type="http://schemas.openxmlformats.org/officeDocument/2006/relationships/table" Target="../tables/table37.xml"/><Relationship Id="rId40" Type="http://schemas.openxmlformats.org/officeDocument/2006/relationships/table" Target="../tables/table40.xml"/><Relationship Id="rId45" Type="http://schemas.openxmlformats.org/officeDocument/2006/relationships/table" Target="../tables/table45.xml"/><Relationship Id="rId53" Type="http://schemas.openxmlformats.org/officeDocument/2006/relationships/table" Target="../tables/table53.xml"/><Relationship Id="rId58" Type="http://schemas.openxmlformats.org/officeDocument/2006/relationships/comments" Target="../comments6.xml"/><Relationship Id="rId5" Type="http://schemas.openxmlformats.org/officeDocument/2006/relationships/table" Target="../tables/table5.xml"/><Relationship Id="rId19" Type="http://schemas.openxmlformats.org/officeDocument/2006/relationships/table" Target="../tables/table19.xml"/><Relationship Id="rId4" Type="http://schemas.openxmlformats.org/officeDocument/2006/relationships/table" Target="../tables/table4.xml"/><Relationship Id="rId9" Type="http://schemas.openxmlformats.org/officeDocument/2006/relationships/table" Target="../tables/table9.xml"/><Relationship Id="rId14" Type="http://schemas.openxmlformats.org/officeDocument/2006/relationships/table" Target="../tables/table14.xml"/><Relationship Id="rId22" Type="http://schemas.openxmlformats.org/officeDocument/2006/relationships/table" Target="../tables/table22.xml"/><Relationship Id="rId27" Type="http://schemas.openxmlformats.org/officeDocument/2006/relationships/table" Target="../tables/table27.xml"/><Relationship Id="rId30" Type="http://schemas.openxmlformats.org/officeDocument/2006/relationships/table" Target="../tables/table30.xml"/><Relationship Id="rId35" Type="http://schemas.openxmlformats.org/officeDocument/2006/relationships/table" Target="../tables/table35.xml"/><Relationship Id="rId43" Type="http://schemas.openxmlformats.org/officeDocument/2006/relationships/table" Target="../tables/table43.xml"/><Relationship Id="rId48" Type="http://schemas.openxmlformats.org/officeDocument/2006/relationships/table" Target="../tables/table48.xml"/><Relationship Id="rId56" Type="http://schemas.openxmlformats.org/officeDocument/2006/relationships/table" Target="../tables/table56.xml"/><Relationship Id="rId8" Type="http://schemas.openxmlformats.org/officeDocument/2006/relationships/table" Target="../tables/table8.xml"/><Relationship Id="rId51" Type="http://schemas.openxmlformats.org/officeDocument/2006/relationships/table" Target="../tables/table51.xml"/><Relationship Id="rId3" Type="http://schemas.openxmlformats.org/officeDocument/2006/relationships/table" Target="../tables/table3.xml"/><Relationship Id="rId12" Type="http://schemas.openxmlformats.org/officeDocument/2006/relationships/table" Target="../tables/table12.xml"/><Relationship Id="rId17" Type="http://schemas.openxmlformats.org/officeDocument/2006/relationships/table" Target="../tables/table17.xml"/><Relationship Id="rId25" Type="http://schemas.openxmlformats.org/officeDocument/2006/relationships/table" Target="../tables/table25.xml"/><Relationship Id="rId33" Type="http://schemas.openxmlformats.org/officeDocument/2006/relationships/table" Target="../tables/table33.xml"/><Relationship Id="rId38" Type="http://schemas.openxmlformats.org/officeDocument/2006/relationships/table" Target="../tables/table38.xml"/><Relationship Id="rId46" Type="http://schemas.openxmlformats.org/officeDocument/2006/relationships/table" Target="../tables/table46.xml"/><Relationship Id="rId20" Type="http://schemas.openxmlformats.org/officeDocument/2006/relationships/table" Target="../tables/table20.xml"/><Relationship Id="rId41" Type="http://schemas.openxmlformats.org/officeDocument/2006/relationships/table" Target="../tables/table41.xml"/><Relationship Id="rId54" Type="http://schemas.openxmlformats.org/officeDocument/2006/relationships/table" Target="../tables/table54.xml"/><Relationship Id="rId1" Type="http://schemas.openxmlformats.org/officeDocument/2006/relationships/vmlDrawing" Target="../drawings/vmlDrawing6.vml"/><Relationship Id="rId6" Type="http://schemas.openxmlformats.org/officeDocument/2006/relationships/table" Target="../tables/table6.xml"/><Relationship Id="rId15" Type="http://schemas.openxmlformats.org/officeDocument/2006/relationships/table" Target="../tables/table15.xml"/><Relationship Id="rId23" Type="http://schemas.openxmlformats.org/officeDocument/2006/relationships/table" Target="../tables/table23.xml"/><Relationship Id="rId28" Type="http://schemas.openxmlformats.org/officeDocument/2006/relationships/table" Target="../tables/table28.xml"/><Relationship Id="rId36" Type="http://schemas.openxmlformats.org/officeDocument/2006/relationships/table" Target="../tables/table36.xml"/><Relationship Id="rId49" Type="http://schemas.openxmlformats.org/officeDocument/2006/relationships/table" Target="../tables/table49.xml"/><Relationship Id="rId57" Type="http://schemas.openxmlformats.org/officeDocument/2006/relationships/table" Target="../tables/table57.xml"/><Relationship Id="rId10" Type="http://schemas.openxmlformats.org/officeDocument/2006/relationships/table" Target="../tables/table10.xml"/><Relationship Id="rId31" Type="http://schemas.openxmlformats.org/officeDocument/2006/relationships/table" Target="../tables/table31.xml"/><Relationship Id="rId44" Type="http://schemas.openxmlformats.org/officeDocument/2006/relationships/table" Target="../tables/table44.xml"/><Relationship Id="rId52" Type="http://schemas.openxmlformats.org/officeDocument/2006/relationships/table" Target="../tables/table5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FA7EDF-246F-4EE0-BFE4-7EACACD45C48}">
  <dimension ref="A1:K22"/>
  <sheetViews>
    <sheetView zoomScaleNormal="100" workbookViewId="0"/>
  </sheetViews>
  <sheetFormatPr baseColWidth="10" defaultColWidth="76.26953125" defaultRowHeight="16.5" x14ac:dyDescent="0.5"/>
  <cols>
    <col min="1" max="1" width="19.7265625" style="3" customWidth="1"/>
    <col min="2" max="2" width="16.7265625" style="3" customWidth="1"/>
    <col min="3" max="3" width="43" style="3" customWidth="1"/>
    <col min="4" max="4" width="57.54296875" style="3" customWidth="1"/>
    <col min="5" max="5" width="26.1796875" style="3" customWidth="1"/>
    <col min="6" max="6" width="26.54296875" style="1" bestFit="1" customWidth="1"/>
    <col min="7" max="7" width="30.26953125" style="1" customWidth="1"/>
    <col min="8" max="8" width="40" style="3" customWidth="1"/>
    <col min="9" max="9" width="75.81640625" style="3" customWidth="1"/>
    <col min="10" max="10" width="30" style="3" customWidth="1"/>
    <col min="11" max="11" width="53.26953125" style="3" customWidth="1"/>
    <col min="12" max="16384" width="76.26953125" style="3"/>
  </cols>
  <sheetData>
    <row r="1" spans="1:11" ht="55.5" x14ac:dyDescent="0.5">
      <c r="A1" s="44" t="s">
        <v>0</v>
      </c>
      <c r="B1" s="44" t="s">
        <v>1</v>
      </c>
      <c r="C1" s="44" t="s">
        <v>2</v>
      </c>
      <c r="D1" s="44" t="s">
        <v>3</v>
      </c>
      <c r="E1" s="94" t="s">
        <v>4</v>
      </c>
      <c r="F1" s="94"/>
      <c r="G1" s="94"/>
      <c r="H1" s="94" t="s">
        <v>5</v>
      </c>
      <c r="I1" s="94"/>
      <c r="J1" s="94"/>
      <c r="K1" s="45" t="s">
        <v>6</v>
      </c>
    </row>
    <row r="2" spans="1:11" s="4" customFormat="1" x14ac:dyDescent="0.5">
      <c r="A2" s="39" t="s">
        <v>7</v>
      </c>
      <c r="B2" s="39" t="s">
        <v>8</v>
      </c>
      <c r="C2" s="39" t="s">
        <v>9</v>
      </c>
      <c r="D2" s="39" t="s">
        <v>10</v>
      </c>
      <c r="E2" s="42" t="s">
        <v>11</v>
      </c>
      <c r="F2" s="42" t="s">
        <v>12</v>
      </c>
      <c r="G2" s="42" t="s">
        <v>13</v>
      </c>
      <c r="H2" s="46" t="s">
        <v>14</v>
      </c>
      <c r="I2" s="46" t="s">
        <v>15</v>
      </c>
      <c r="J2" s="46" t="s">
        <v>16</v>
      </c>
      <c r="K2" s="46" t="s">
        <v>17</v>
      </c>
    </row>
    <row r="3" spans="1:11" s="6" customFormat="1" ht="123.75" customHeight="1" x14ac:dyDescent="0.35">
      <c r="A3" s="93" t="s">
        <v>18</v>
      </c>
      <c r="B3" s="93" t="s">
        <v>19</v>
      </c>
      <c r="C3" s="93" t="s">
        <v>20</v>
      </c>
      <c r="D3" s="93" t="s">
        <v>21</v>
      </c>
      <c r="E3" s="47" t="s">
        <v>22</v>
      </c>
      <c r="F3" s="47" t="s">
        <v>23</v>
      </c>
      <c r="G3" s="47" t="s">
        <v>24</v>
      </c>
      <c r="H3" s="95" t="s">
        <v>25</v>
      </c>
      <c r="I3" s="95" t="s">
        <v>26</v>
      </c>
      <c r="J3" s="95" t="s">
        <v>27</v>
      </c>
      <c r="K3" s="93" t="s">
        <v>28</v>
      </c>
    </row>
    <row r="4" spans="1:11" s="6" customFormat="1" ht="123.75" customHeight="1" x14ac:dyDescent="0.35">
      <c r="A4" s="68"/>
      <c r="B4" s="68"/>
      <c r="C4" s="68"/>
      <c r="D4" s="68"/>
      <c r="E4" s="6" t="s">
        <v>29</v>
      </c>
      <c r="F4" s="27" t="s">
        <v>30</v>
      </c>
      <c r="G4" s="27" t="s">
        <v>31</v>
      </c>
      <c r="H4" s="71"/>
      <c r="I4" s="71"/>
      <c r="J4" s="71"/>
      <c r="K4" s="68"/>
    </row>
    <row r="5" spans="1:11" s="6" customFormat="1" x14ac:dyDescent="0.5">
      <c r="A5" s="5"/>
      <c r="B5" s="5"/>
      <c r="C5" s="5"/>
      <c r="D5" s="5"/>
      <c r="F5" s="28"/>
      <c r="G5" s="27"/>
    </row>
    <row r="6" spans="1:11" s="5" customFormat="1" x14ac:dyDescent="0.35">
      <c r="E6" s="6"/>
      <c r="F6" s="6"/>
      <c r="G6" s="31"/>
    </row>
    <row r="7" spans="1:11" x14ac:dyDescent="0.5">
      <c r="A7" s="5"/>
      <c r="B7" s="5"/>
      <c r="C7" s="7"/>
      <c r="D7" s="7"/>
      <c r="E7" s="5"/>
      <c r="F7" s="4"/>
      <c r="H7" s="4"/>
    </row>
    <row r="8" spans="1:11" x14ac:dyDescent="0.5">
      <c r="A8" s="5"/>
      <c r="B8" s="5"/>
      <c r="C8" s="7"/>
      <c r="D8" s="7"/>
      <c r="E8" s="5"/>
      <c r="F8" s="4"/>
      <c r="H8" s="4"/>
    </row>
    <row r="9" spans="1:11" x14ac:dyDescent="0.5">
      <c r="A9" s="5"/>
      <c r="B9" s="5"/>
      <c r="C9" s="7"/>
      <c r="D9" s="7"/>
      <c r="E9" s="5"/>
      <c r="F9" s="4"/>
    </row>
    <row r="10" spans="1:11" x14ac:dyDescent="0.5">
      <c r="A10" s="5"/>
      <c r="B10" s="5"/>
      <c r="C10" s="7"/>
      <c r="D10" s="7"/>
      <c r="E10" s="4"/>
      <c r="F10" s="4"/>
    </row>
    <row r="11" spans="1:11" x14ac:dyDescent="0.5">
      <c r="A11" s="5"/>
      <c r="B11" s="5"/>
      <c r="C11" s="7"/>
      <c r="D11" s="7"/>
      <c r="E11" s="4"/>
      <c r="F11" s="4"/>
    </row>
    <row r="12" spans="1:11" x14ac:dyDescent="0.5">
      <c r="A12" s="5"/>
      <c r="B12" s="5"/>
      <c r="C12" s="7"/>
      <c r="D12" s="7"/>
      <c r="E12" s="4"/>
      <c r="F12" s="4"/>
    </row>
    <row r="13" spans="1:11" x14ac:dyDescent="0.5">
      <c r="A13" s="5"/>
      <c r="B13" s="5"/>
      <c r="C13" s="7"/>
      <c r="D13" s="7"/>
      <c r="E13" s="4"/>
      <c r="F13" s="4"/>
    </row>
    <row r="14" spans="1:11" x14ac:dyDescent="0.5">
      <c r="A14" s="5"/>
      <c r="B14" s="5"/>
      <c r="C14" s="5"/>
      <c r="E14" s="4"/>
      <c r="F14" s="4"/>
    </row>
    <row r="15" spans="1:11" x14ac:dyDescent="0.5">
      <c r="A15" s="5"/>
      <c r="B15" s="5"/>
      <c r="C15" s="5"/>
      <c r="E15" s="4"/>
      <c r="F15" s="4"/>
    </row>
    <row r="16" spans="1:11" x14ac:dyDescent="0.5">
      <c r="A16" s="5"/>
      <c r="B16" s="5"/>
      <c r="C16" s="5"/>
      <c r="E16" s="4"/>
      <c r="F16" s="4"/>
    </row>
    <row r="17" spans="1:5" x14ac:dyDescent="0.5">
      <c r="A17" s="5"/>
      <c r="B17" s="5"/>
      <c r="C17" s="5"/>
      <c r="E17" s="4"/>
    </row>
    <row r="18" spans="1:5" x14ac:dyDescent="0.5">
      <c r="A18" s="5"/>
      <c r="B18" s="5"/>
      <c r="C18" s="5"/>
    </row>
    <row r="19" spans="1:5" x14ac:dyDescent="0.5">
      <c r="A19" s="5"/>
      <c r="B19" s="5"/>
      <c r="C19" s="5"/>
    </row>
    <row r="20" spans="1:5" x14ac:dyDescent="0.5">
      <c r="A20" s="5"/>
      <c r="B20" s="5"/>
      <c r="C20" s="5"/>
    </row>
    <row r="21" spans="1:5" x14ac:dyDescent="0.5">
      <c r="A21" s="5"/>
      <c r="B21" s="5"/>
      <c r="C21" s="5"/>
    </row>
    <row r="22" spans="1:5" x14ac:dyDescent="0.5">
      <c r="A22" s="5"/>
      <c r="B22" s="5"/>
      <c r="C22" s="5"/>
    </row>
  </sheetData>
  <mergeCells count="10">
    <mergeCell ref="K3:K4"/>
    <mergeCell ref="H1:J1"/>
    <mergeCell ref="E1:G1"/>
    <mergeCell ref="A3:A4"/>
    <mergeCell ref="B3:B4"/>
    <mergeCell ref="C3:C4"/>
    <mergeCell ref="D3:D4"/>
    <mergeCell ref="H3:H4"/>
    <mergeCell ref="I3:I4"/>
    <mergeCell ref="J3:J4"/>
  </mergeCells>
  <pageMargins left="0.7" right="0.7" top="0.75" bottom="0.75" header="0.3" footer="0.3"/>
  <pageSetup orientation="portrait"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C1850E-A9C8-4F69-8E80-DEAF9721FFBF}">
  <dimension ref="A1:G7"/>
  <sheetViews>
    <sheetView zoomScaleNormal="100" workbookViewId="0">
      <selection sqref="A1:G1"/>
    </sheetView>
  </sheetViews>
  <sheetFormatPr baseColWidth="10" defaultColWidth="11.453125" defaultRowHeight="16.5" x14ac:dyDescent="0.5"/>
  <cols>
    <col min="1" max="1" width="19" style="3" customWidth="1"/>
    <col min="2" max="2" width="22.81640625" style="3" customWidth="1"/>
    <col min="3" max="3" width="23.54296875" style="3" customWidth="1"/>
    <col min="4" max="4" width="29.81640625" style="3" customWidth="1"/>
    <col min="5" max="5" width="35.81640625" style="3" customWidth="1"/>
    <col min="6" max="6" width="57.81640625" style="3" customWidth="1"/>
    <col min="7" max="7" width="39" style="3" customWidth="1"/>
    <col min="8" max="16384" width="11.453125" style="3"/>
  </cols>
  <sheetData>
    <row r="1" spans="1:7" ht="15" customHeight="1" x14ac:dyDescent="0.5">
      <c r="A1" s="96" t="s">
        <v>32</v>
      </c>
      <c r="B1" s="97"/>
      <c r="C1" s="97"/>
      <c r="D1" s="97"/>
      <c r="E1" s="97"/>
      <c r="F1" s="97"/>
      <c r="G1" s="97"/>
    </row>
    <row r="2" spans="1:7" ht="52" x14ac:dyDescent="0.5">
      <c r="A2" s="54" t="s">
        <v>33</v>
      </c>
      <c r="B2" s="55" t="s">
        <v>34</v>
      </c>
      <c r="C2" s="55" t="s">
        <v>35</v>
      </c>
      <c r="D2" s="55" t="s">
        <v>36</v>
      </c>
      <c r="E2" s="55" t="s">
        <v>37</v>
      </c>
      <c r="F2" s="56" t="s">
        <v>38</v>
      </c>
      <c r="G2" s="56" t="s">
        <v>39</v>
      </c>
    </row>
    <row r="3" spans="1:7" s="5" customFormat="1" x14ac:dyDescent="0.35">
      <c r="A3" s="57" t="s">
        <v>40</v>
      </c>
      <c r="B3" s="58" t="s">
        <v>41</v>
      </c>
      <c r="C3" s="58" t="s">
        <v>42</v>
      </c>
      <c r="D3" s="58" t="s">
        <v>43</v>
      </c>
      <c r="E3" s="58" t="s">
        <v>44</v>
      </c>
      <c r="F3" s="59" t="s">
        <v>45</v>
      </c>
      <c r="G3" s="59" t="s">
        <v>46</v>
      </c>
    </row>
    <row r="4" spans="1:7" s="5" customFormat="1" ht="66" x14ac:dyDescent="0.35">
      <c r="A4" s="5">
        <v>1</v>
      </c>
      <c r="B4" s="31" t="s">
        <v>47</v>
      </c>
      <c r="C4" s="5" t="s">
        <v>22</v>
      </c>
      <c r="D4" s="47" t="s">
        <v>23</v>
      </c>
      <c r="E4" s="47" t="s">
        <v>24</v>
      </c>
      <c r="F4" s="6" t="s">
        <v>48</v>
      </c>
      <c r="G4" s="5" t="s">
        <v>49</v>
      </c>
    </row>
    <row r="5" spans="1:7" s="5" customFormat="1" ht="66" x14ac:dyDescent="0.35">
      <c r="A5" s="5">
        <v>2</v>
      </c>
      <c r="B5" s="31" t="s">
        <v>50</v>
      </c>
      <c r="C5" s="5" t="s">
        <v>29</v>
      </c>
      <c r="D5" s="27" t="s">
        <v>30</v>
      </c>
      <c r="E5" s="27" t="s">
        <v>31</v>
      </c>
      <c r="F5" s="6" t="s">
        <v>51</v>
      </c>
      <c r="G5" s="5" t="s">
        <v>49</v>
      </c>
    </row>
    <row r="6" spans="1:7" x14ac:dyDescent="0.5">
      <c r="B6" s="1"/>
      <c r="D6" s="4"/>
      <c r="E6" s="1"/>
    </row>
    <row r="7" spans="1:7" x14ac:dyDescent="0.5">
      <c r="B7" s="1"/>
    </row>
  </sheetData>
  <mergeCells count="1">
    <mergeCell ref="A1:G1"/>
  </mergeCells>
  <dataValidations count="2">
    <dataValidation type="list" allowBlank="1" showInputMessage="1" showErrorMessage="1" sqref="C4:C7" xr:uid="{296160A6-FB03-49EA-93B2-DD1CAF2E1EB2}">
      <formula1>Conocimientos</formula1>
    </dataValidation>
    <dataValidation type="list" allowBlank="1" showInputMessage="1" showErrorMessage="1" sqref="B4:B7" xr:uid="{7FF6EE86-2F70-4AF5-821E-634C08680A10}">
      <formula1>Verboscompetencias</formula1>
    </dataValidation>
  </dataValidations>
  <pageMargins left="0.7" right="0.7" top="0.75" bottom="0.75" header="0.3" footer="0.3"/>
  <legacy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AAF649-42F4-466A-BE11-44357078F961}">
  <dimension ref="A1:I8"/>
  <sheetViews>
    <sheetView zoomScaleNormal="100" workbookViewId="0"/>
  </sheetViews>
  <sheetFormatPr baseColWidth="10" defaultColWidth="11.453125" defaultRowHeight="16.5" x14ac:dyDescent="0.5"/>
  <cols>
    <col min="1" max="1" width="81.1796875" style="6" customWidth="1"/>
    <col min="2" max="2" width="16.7265625" style="7" customWidth="1"/>
    <col min="3" max="3" width="19.1796875" style="6" customWidth="1"/>
    <col min="4" max="4" width="35.81640625" style="6" customWidth="1"/>
    <col min="5" max="5" width="17.54296875" style="6" customWidth="1"/>
    <col min="6" max="6" width="17.81640625" style="6" customWidth="1"/>
    <col min="7" max="7" width="20.1796875" style="8" customWidth="1"/>
    <col min="8" max="8" width="18.26953125" style="1" customWidth="1"/>
    <col min="9" max="9" width="72" style="1" customWidth="1"/>
    <col min="10" max="10" width="43.26953125" style="6" customWidth="1"/>
    <col min="11" max="16384" width="11.453125" style="6"/>
  </cols>
  <sheetData>
    <row r="1" spans="1:9" ht="78" x14ac:dyDescent="0.35">
      <c r="A1" s="44" t="s">
        <v>52</v>
      </c>
      <c r="B1" s="44" t="s">
        <v>53</v>
      </c>
      <c r="C1" s="49" t="s">
        <v>54</v>
      </c>
      <c r="D1" s="50" t="s">
        <v>55</v>
      </c>
      <c r="E1" s="50" t="s">
        <v>56</v>
      </c>
      <c r="F1" s="49" t="s">
        <v>57</v>
      </c>
      <c r="G1" s="49" t="s">
        <v>58</v>
      </c>
      <c r="H1" s="49" t="s">
        <v>59</v>
      </c>
      <c r="I1" s="44" t="s">
        <v>60</v>
      </c>
    </row>
    <row r="2" spans="1:9" ht="33.5" thickBot="1" x14ac:dyDescent="0.4">
      <c r="A2" s="48" t="s">
        <v>61</v>
      </c>
      <c r="B2" s="48" t="s">
        <v>62</v>
      </c>
      <c r="C2" s="51" t="s">
        <v>63</v>
      </c>
      <c r="D2" s="52" t="s">
        <v>64</v>
      </c>
      <c r="E2" s="52" t="s">
        <v>65</v>
      </c>
      <c r="F2" s="51" t="s">
        <v>66</v>
      </c>
      <c r="G2" s="51" t="s">
        <v>67</v>
      </c>
      <c r="H2" s="51" t="s">
        <v>68</v>
      </c>
      <c r="I2" s="48" t="s">
        <v>69</v>
      </c>
    </row>
    <row r="3" spans="1:9" ht="49.5" x14ac:dyDescent="0.35">
      <c r="A3" s="40" t="s">
        <v>48</v>
      </c>
      <c r="B3" s="20">
        <v>1</v>
      </c>
      <c r="C3" s="21" t="s">
        <v>11</v>
      </c>
      <c r="D3" s="21" t="s">
        <v>22</v>
      </c>
      <c r="E3" s="21" t="s">
        <v>70</v>
      </c>
      <c r="F3" s="35" t="s">
        <v>71</v>
      </c>
      <c r="G3" s="37" t="s">
        <v>72</v>
      </c>
      <c r="H3" s="37" t="s">
        <v>73</v>
      </c>
      <c r="I3" s="22" t="s">
        <v>74</v>
      </c>
    </row>
    <row r="4" spans="1:9" ht="49.5" x14ac:dyDescent="0.35">
      <c r="A4" s="41" t="s">
        <v>48</v>
      </c>
      <c r="B4" s="23">
        <v>2</v>
      </c>
      <c r="C4" s="6" t="s">
        <v>12</v>
      </c>
      <c r="D4" s="6" t="s">
        <v>23</v>
      </c>
      <c r="E4" s="6" t="s">
        <v>70</v>
      </c>
      <c r="F4" s="5" t="s">
        <v>75</v>
      </c>
      <c r="G4" s="31" t="s">
        <v>76</v>
      </c>
      <c r="H4" s="31" t="s">
        <v>47</v>
      </c>
      <c r="I4" s="29" t="s">
        <v>77</v>
      </c>
    </row>
    <row r="5" spans="1:9" ht="50" thickBot="1" x14ac:dyDescent="0.4">
      <c r="A5" s="41" t="s">
        <v>48</v>
      </c>
      <c r="B5" s="24">
        <v>4</v>
      </c>
      <c r="C5" s="6" t="s">
        <v>13</v>
      </c>
      <c r="D5" s="6" t="s">
        <v>24</v>
      </c>
      <c r="E5" s="6" t="s">
        <v>70</v>
      </c>
      <c r="F5" s="5" t="s">
        <v>78</v>
      </c>
      <c r="G5" s="31" t="s">
        <v>79</v>
      </c>
      <c r="H5" s="31" t="s">
        <v>73</v>
      </c>
      <c r="I5" s="30" t="s">
        <v>80</v>
      </c>
    </row>
    <row r="6" spans="1:9" ht="49.5" x14ac:dyDescent="0.35">
      <c r="A6" s="40" t="s">
        <v>51</v>
      </c>
      <c r="B6" s="20">
        <v>1</v>
      </c>
      <c r="C6" s="21" t="s">
        <v>11</v>
      </c>
      <c r="D6" s="21" t="s">
        <v>29</v>
      </c>
      <c r="E6" s="21" t="s">
        <v>70</v>
      </c>
      <c r="F6" s="35" t="s">
        <v>71</v>
      </c>
      <c r="G6" s="37" t="s">
        <v>72</v>
      </c>
      <c r="H6" s="37" t="s">
        <v>73</v>
      </c>
      <c r="I6" s="22" t="s">
        <v>74</v>
      </c>
    </row>
    <row r="7" spans="1:9" ht="49.5" x14ac:dyDescent="0.35">
      <c r="A7" s="41" t="s">
        <v>51</v>
      </c>
      <c r="B7" s="23">
        <v>3</v>
      </c>
      <c r="C7" s="6" t="s">
        <v>12</v>
      </c>
      <c r="D7" s="6" t="s">
        <v>30</v>
      </c>
      <c r="E7" s="6" t="s">
        <v>70</v>
      </c>
      <c r="F7" s="5" t="s">
        <v>75</v>
      </c>
      <c r="G7" s="31" t="s">
        <v>76</v>
      </c>
      <c r="H7" s="31" t="s">
        <v>47</v>
      </c>
      <c r="I7" s="29" t="s">
        <v>81</v>
      </c>
    </row>
    <row r="8" spans="1:9" ht="50" thickBot="1" x14ac:dyDescent="0.4">
      <c r="A8" s="43" t="s">
        <v>51</v>
      </c>
      <c r="B8" s="24">
        <v>4</v>
      </c>
      <c r="C8" s="25" t="s">
        <v>13</v>
      </c>
      <c r="D8" s="25" t="s">
        <v>31</v>
      </c>
      <c r="E8" s="25" t="s">
        <v>70</v>
      </c>
      <c r="F8" s="34" t="s">
        <v>78</v>
      </c>
      <c r="G8" s="38" t="s">
        <v>79</v>
      </c>
      <c r="H8" s="38" t="s">
        <v>73</v>
      </c>
      <c r="I8" s="30" t="s">
        <v>80</v>
      </c>
    </row>
  </sheetData>
  <autoFilter ref="A2:I8" xr:uid="{94AAF649-42F4-466A-BE11-44357078F961}"/>
  <dataValidations count="7">
    <dataValidation type="list" allowBlank="1" showInputMessage="1" showErrorMessage="1" sqref="C3:C8" xr:uid="{3EEE3B63-C572-46CF-960D-B5C131832E7C}">
      <formula1>dominios</formula1>
    </dataValidation>
    <dataValidation type="list" allowBlank="1" showInputMessage="1" showErrorMessage="1" sqref="A3:A8" xr:uid="{C75ACEBC-F466-42F9-8994-B0B52F0BD49B}">
      <formula1>competencias</formula1>
    </dataValidation>
    <dataValidation type="list" allowBlank="1" showInputMessage="1" showErrorMessage="1" promptTitle="Taxonomías" prompt="De la lista elija la taxonomía que considere pertinente para establecer los verbos de los resultados de aprendizaje._x000a_B: Tax. de Bloom_x000a_BAK: Tax. Bloom según Anderson y Krathwohl_x000a_AK: Tax. según Anderson y Krathwohl_x000a_MK: Tax. según Marzano y Kendal" sqref="E3:E8" xr:uid="{EFFF541A-9FA7-4D87-BD80-7B4D10675962}">
      <formula1>taxonomiasra</formula1>
    </dataValidation>
    <dataValidation type="list" allowBlank="1" showInputMessage="1" showErrorMessage="1" sqref="F3:F8" xr:uid="{A67273FC-D6BC-4601-A146-88AA40CB5471}">
      <formula1>INDIRECT($E3)</formula1>
    </dataValidation>
    <dataValidation type="list" allowBlank="1" showInputMessage="1" showErrorMessage="1" sqref="H3:H8" xr:uid="{BD1A6CDA-7283-4262-9F88-FE80565918E8}">
      <formula1>INDIRECT($G3)</formula1>
    </dataValidation>
    <dataValidation type="list" allowBlank="1" showInputMessage="1" showErrorMessage="1" sqref="G3:G8" xr:uid="{5A5167AA-8E05-4C2B-AB93-AFCCFC818F7C}">
      <formula1>INDIRECT($F3)</formula1>
    </dataValidation>
    <dataValidation type="list" allowBlank="1" showInputMessage="1" showErrorMessage="1" sqref="D3:D8" xr:uid="{8B694A6C-2F9D-4256-9525-279EF56F94F5}">
      <formula1>INDIRECT($C3)</formula1>
    </dataValidation>
  </dataValidations>
  <pageMargins left="0.7" right="0.7" top="0.75" bottom="0.75" header="0.3" footer="0.3"/>
  <pageSetup orientation="portrait" r:id="rId1"/>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726B80-E6B4-4ED4-A764-E59AF4E18393}">
  <dimension ref="A1:F22"/>
  <sheetViews>
    <sheetView zoomScaleNormal="100" workbookViewId="0"/>
  </sheetViews>
  <sheetFormatPr baseColWidth="10" defaultColWidth="11.453125" defaultRowHeight="16.5" x14ac:dyDescent="0.35"/>
  <cols>
    <col min="1" max="1" width="46.26953125" style="31" customWidth="1"/>
    <col min="2" max="2" width="43.81640625" style="8" customWidth="1"/>
    <col min="3" max="3" width="48" style="5" customWidth="1"/>
    <col min="4" max="4" width="45.81640625" style="31" customWidth="1"/>
    <col min="5" max="5" width="39.1796875" style="31" customWidth="1"/>
    <col min="6" max="6" width="33.453125" style="31" customWidth="1"/>
    <col min="7" max="16384" width="11.453125" style="31"/>
  </cols>
  <sheetData>
    <row r="1" spans="1:6" ht="65" x14ac:dyDescent="0.35">
      <c r="A1" s="44" t="s">
        <v>82</v>
      </c>
      <c r="B1" s="44" t="s">
        <v>83</v>
      </c>
      <c r="C1" s="44" t="s">
        <v>84</v>
      </c>
      <c r="D1" s="44" t="s">
        <v>85</v>
      </c>
      <c r="E1" s="44" t="s">
        <v>86</v>
      </c>
      <c r="F1" s="44" t="s">
        <v>87</v>
      </c>
    </row>
    <row r="2" spans="1:6" ht="33" x14ac:dyDescent="0.35">
      <c r="A2" s="48" t="s">
        <v>88</v>
      </c>
      <c r="B2" s="48" t="s">
        <v>89</v>
      </c>
      <c r="C2" s="48" t="s">
        <v>90</v>
      </c>
      <c r="D2" s="48" t="s">
        <v>91</v>
      </c>
      <c r="E2" s="48" t="s">
        <v>92</v>
      </c>
      <c r="F2" s="48" t="s">
        <v>93</v>
      </c>
    </row>
    <row r="3" spans="1:6" ht="82.5" x14ac:dyDescent="0.35">
      <c r="A3" s="63" t="s">
        <v>74</v>
      </c>
      <c r="B3" s="98" t="s">
        <v>94</v>
      </c>
      <c r="C3" s="99" t="s">
        <v>95</v>
      </c>
      <c r="D3" s="64" t="s">
        <v>96</v>
      </c>
      <c r="E3" s="62" t="s">
        <v>97</v>
      </c>
      <c r="F3" s="65" t="s">
        <v>98</v>
      </c>
    </row>
    <row r="4" spans="1:6" ht="82.5" x14ac:dyDescent="0.35">
      <c r="A4" s="5" t="s">
        <v>77</v>
      </c>
      <c r="B4" s="74"/>
      <c r="C4" s="100"/>
      <c r="D4" s="32" t="s">
        <v>99</v>
      </c>
      <c r="F4" s="31" t="s">
        <v>100</v>
      </c>
    </row>
    <row r="5" spans="1:6" ht="66" x14ac:dyDescent="0.35">
      <c r="A5" s="5" t="s">
        <v>80</v>
      </c>
      <c r="B5" s="74"/>
      <c r="C5" s="100"/>
      <c r="D5" s="32" t="s">
        <v>101</v>
      </c>
      <c r="F5" s="5" t="s">
        <v>102</v>
      </c>
    </row>
    <row r="6" spans="1:6" ht="66.5" thickBot="1" x14ac:dyDescent="0.4">
      <c r="A6" s="34" t="s">
        <v>81</v>
      </c>
      <c r="B6" s="75"/>
      <c r="C6" s="101"/>
      <c r="D6" s="61"/>
      <c r="E6" s="38"/>
      <c r="F6" s="38"/>
    </row>
    <row r="7" spans="1:6" ht="82.5" x14ac:dyDescent="0.35">
      <c r="A7" s="5" t="s">
        <v>74</v>
      </c>
      <c r="B7" s="74" t="s">
        <v>103</v>
      </c>
      <c r="C7" s="100" t="s">
        <v>104</v>
      </c>
      <c r="D7" s="32" t="s">
        <v>96</v>
      </c>
      <c r="E7" s="6" t="s">
        <v>105</v>
      </c>
      <c r="F7" s="31" t="s">
        <v>98</v>
      </c>
    </row>
    <row r="8" spans="1:6" ht="82.5" x14ac:dyDescent="0.35">
      <c r="A8" s="5" t="s">
        <v>77</v>
      </c>
      <c r="B8" s="74"/>
      <c r="C8" s="100"/>
      <c r="D8" s="32" t="s">
        <v>106</v>
      </c>
      <c r="F8" s="31" t="s">
        <v>100</v>
      </c>
    </row>
    <row r="9" spans="1:6" ht="66" x14ac:dyDescent="0.35">
      <c r="A9" s="5" t="s">
        <v>80</v>
      </c>
      <c r="B9" s="74"/>
      <c r="C9" s="100"/>
      <c r="D9" s="32" t="s">
        <v>101</v>
      </c>
      <c r="F9" s="5"/>
    </row>
    <row r="10" spans="1:6" ht="66.5" thickBot="1" x14ac:dyDescent="0.4">
      <c r="A10" s="5" t="s">
        <v>81</v>
      </c>
      <c r="B10" s="74"/>
      <c r="C10" s="100"/>
      <c r="D10" s="32"/>
    </row>
    <row r="11" spans="1:6" ht="82.5" x14ac:dyDescent="0.35">
      <c r="A11" s="35" t="s">
        <v>74</v>
      </c>
      <c r="B11" s="73" t="s">
        <v>107</v>
      </c>
      <c r="C11" s="105" t="s">
        <v>108</v>
      </c>
      <c r="D11" s="60" t="s">
        <v>96</v>
      </c>
      <c r="E11" s="21" t="s">
        <v>105</v>
      </c>
      <c r="F11" s="37" t="s">
        <v>98</v>
      </c>
    </row>
    <row r="12" spans="1:6" ht="82.5" x14ac:dyDescent="0.35">
      <c r="A12" s="5" t="s">
        <v>77</v>
      </c>
      <c r="B12" s="74"/>
      <c r="C12" s="100"/>
      <c r="D12" s="32" t="s">
        <v>106</v>
      </c>
      <c r="F12" s="31" t="s">
        <v>100</v>
      </c>
    </row>
    <row r="13" spans="1:6" ht="66" x14ac:dyDescent="0.35">
      <c r="A13" s="5" t="s">
        <v>80</v>
      </c>
      <c r="B13" s="74"/>
      <c r="C13" s="100"/>
      <c r="D13" s="32" t="s">
        <v>101</v>
      </c>
      <c r="F13" s="5" t="s">
        <v>102</v>
      </c>
    </row>
    <row r="14" spans="1:6" ht="66.5" thickBot="1" x14ac:dyDescent="0.4">
      <c r="A14" s="34" t="s">
        <v>81</v>
      </c>
      <c r="B14" s="75"/>
      <c r="C14" s="101"/>
      <c r="D14" s="61"/>
      <c r="E14" s="38"/>
      <c r="F14" s="38"/>
    </row>
    <row r="15" spans="1:6" ht="82.5" x14ac:dyDescent="0.35">
      <c r="A15" s="5" t="s">
        <v>74</v>
      </c>
      <c r="B15" s="102" t="s">
        <v>109</v>
      </c>
      <c r="C15" s="88" t="s">
        <v>110</v>
      </c>
      <c r="D15" s="32" t="s">
        <v>96</v>
      </c>
      <c r="E15" s="6" t="s">
        <v>97</v>
      </c>
      <c r="F15" s="31" t="s">
        <v>98</v>
      </c>
    </row>
    <row r="16" spans="1:6" ht="82.5" x14ac:dyDescent="0.35">
      <c r="A16" s="5" t="s">
        <v>77</v>
      </c>
      <c r="B16" s="102"/>
      <c r="C16" s="88"/>
      <c r="D16" s="32" t="s">
        <v>99</v>
      </c>
      <c r="F16" s="31" t="s">
        <v>100</v>
      </c>
    </row>
    <row r="17" spans="1:6" ht="66" x14ac:dyDescent="0.35">
      <c r="A17" s="5" t="s">
        <v>80</v>
      </c>
      <c r="B17" s="102"/>
      <c r="C17" s="88"/>
      <c r="D17" s="32" t="s">
        <v>101</v>
      </c>
      <c r="F17" s="5" t="s">
        <v>102</v>
      </c>
    </row>
    <row r="18" spans="1:6" ht="66.5" thickBot="1" x14ac:dyDescent="0.4">
      <c r="A18" s="34" t="s">
        <v>81</v>
      </c>
      <c r="B18" s="103"/>
      <c r="C18" s="89"/>
      <c r="D18" s="38"/>
      <c r="E18" s="38"/>
      <c r="F18" s="38"/>
    </row>
    <row r="19" spans="1:6" ht="82.5" x14ac:dyDescent="0.35">
      <c r="A19" s="5" t="s">
        <v>74</v>
      </c>
      <c r="B19" s="104" t="s">
        <v>111</v>
      </c>
      <c r="C19" s="87" t="s">
        <v>112</v>
      </c>
      <c r="D19" s="32" t="s">
        <v>96</v>
      </c>
      <c r="E19" s="6" t="s">
        <v>97</v>
      </c>
      <c r="F19" s="31" t="s">
        <v>98</v>
      </c>
    </row>
    <row r="20" spans="1:6" ht="82.5" x14ac:dyDescent="0.35">
      <c r="A20" s="5" t="s">
        <v>77</v>
      </c>
      <c r="B20" s="102"/>
      <c r="C20" s="88"/>
      <c r="D20" s="32" t="s">
        <v>99</v>
      </c>
      <c r="F20" s="31" t="s">
        <v>100</v>
      </c>
    </row>
    <row r="21" spans="1:6" ht="66" x14ac:dyDescent="0.35">
      <c r="A21" s="5" t="s">
        <v>80</v>
      </c>
      <c r="B21" s="102"/>
      <c r="C21" s="88"/>
      <c r="D21" s="32" t="s">
        <v>101</v>
      </c>
      <c r="F21" s="5" t="s">
        <v>102</v>
      </c>
    </row>
    <row r="22" spans="1:6" ht="66.5" thickBot="1" x14ac:dyDescent="0.4">
      <c r="A22" s="34" t="s">
        <v>81</v>
      </c>
      <c r="B22" s="103"/>
      <c r="C22" s="89"/>
      <c r="D22" s="38"/>
      <c r="E22" s="38"/>
      <c r="F22" s="38"/>
    </row>
  </sheetData>
  <mergeCells count="10">
    <mergeCell ref="B19:B22"/>
    <mergeCell ref="C19:C22"/>
    <mergeCell ref="C15:C18"/>
    <mergeCell ref="B11:B14"/>
    <mergeCell ref="C11:C14"/>
    <mergeCell ref="B3:B6"/>
    <mergeCell ref="C3:C6"/>
    <mergeCell ref="B7:B10"/>
    <mergeCell ref="C7:C10"/>
    <mergeCell ref="B15:B18"/>
  </mergeCells>
  <dataValidations count="1">
    <dataValidation type="list" allowBlank="1" showInputMessage="1" showErrorMessage="1" sqref="A3:A22" xr:uid="{D048ED25-334D-4F32-B2A7-D11385F03FF6}">
      <formula1>resultadoaprendizaje</formula1>
    </dataValidation>
  </dataValidations>
  <pageMargins left="0.7" right="0.7" top="0.75" bottom="0.75" header="0.3" footer="0.3"/>
  <pageSetup orientation="portrait" r:id="rId1"/>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248250-C92C-4D02-A0C3-2CB27C341894}">
  <dimension ref="A1:Q43"/>
  <sheetViews>
    <sheetView tabSelected="1" topLeftCell="E1" zoomScaleNormal="100" workbookViewId="0">
      <selection activeCell="I43" sqref="I43"/>
    </sheetView>
  </sheetViews>
  <sheetFormatPr baseColWidth="10" defaultColWidth="11.453125" defaultRowHeight="16.5" x14ac:dyDescent="0.35"/>
  <cols>
    <col min="1" max="1" width="11.1796875" style="5" customWidth="1"/>
    <col min="2" max="2" width="57" style="5" customWidth="1"/>
    <col min="3" max="3" width="17.26953125" style="5" customWidth="1"/>
    <col min="4" max="4" width="26.54296875" style="5" customWidth="1"/>
    <col min="5" max="5" width="49.54296875" style="6" customWidth="1"/>
    <col min="6" max="6" width="27.1796875" style="7" customWidth="1"/>
    <col min="7" max="7" width="16.7265625" style="7" customWidth="1"/>
    <col min="8" max="8" width="18.1796875" style="7" customWidth="1"/>
    <col min="9" max="9" width="13.54296875" style="7" customWidth="1"/>
    <col min="10" max="10" width="20.453125" style="7" customWidth="1"/>
    <col min="11" max="11" width="24.453125" style="7" customWidth="1"/>
    <col min="12" max="12" width="11.26953125" style="7" customWidth="1"/>
    <col min="13" max="13" width="33.26953125" style="6" customWidth="1"/>
    <col min="14" max="14" width="60.7265625" style="6" customWidth="1"/>
    <col min="15" max="15" width="58.1796875" style="6" customWidth="1"/>
    <col min="16" max="16" width="104.54296875" style="6" customWidth="1"/>
    <col min="17" max="16384" width="11.453125" style="5"/>
  </cols>
  <sheetData>
    <row r="1" spans="1:17" s="7" customFormat="1" ht="65" x14ac:dyDescent="0.35">
      <c r="A1" s="44" t="s">
        <v>113</v>
      </c>
      <c r="B1" s="44" t="s">
        <v>114</v>
      </c>
      <c r="C1" s="44" t="s">
        <v>115</v>
      </c>
      <c r="D1" s="44" t="s">
        <v>116</v>
      </c>
      <c r="E1" s="44" t="s">
        <v>117</v>
      </c>
      <c r="F1" s="44" t="s">
        <v>118</v>
      </c>
      <c r="G1" s="85" t="s">
        <v>119</v>
      </c>
      <c r="H1" s="86"/>
      <c r="I1" s="44" t="s">
        <v>120</v>
      </c>
      <c r="J1" s="44" t="s">
        <v>121</v>
      </c>
      <c r="K1" s="44" t="s">
        <v>122</v>
      </c>
      <c r="L1" s="44" t="s">
        <v>123</v>
      </c>
      <c r="M1" s="44" t="s">
        <v>124</v>
      </c>
      <c r="N1" s="44" t="s">
        <v>125</v>
      </c>
      <c r="O1" s="44" t="s">
        <v>126</v>
      </c>
      <c r="P1" s="44" t="s">
        <v>127</v>
      </c>
    </row>
    <row r="2" spans="1:17" s="7" customFormat="1" ht="33" x14ac:dyDescent="0.35">
      <c r="A2" s="48" t="s">
        <v>128</v>
      </c>
      <c r="B2" s="48" t="s">
        <v>88</v>
      </c>
      <c r="C2" s="48" t="s">
        <v>129</v>
      </c>
      <c r="D2" s="48" t="s">
        <v>130</v>
      </c>
      <c r="E2" s="48" t="s">
        <v>131</v>
      </c>
      <c r="F2" s="48" t="s">
        <v>132</v>
      </c>
      <c r="G2" s="53" t="s">
        <v>133</v>
      </c>
      <c r="H2" s="53" t="s">
        <v>134</v>
      </c>
      <c r="I2" s="48" t="s">
        <v>135</v>
      </c>
      <c r="J2" s="48" t="s">
        <v>136</v>
      </c>
      <c r="K2" s="48" t="s">
        <v>137</v>
      </c>
      <c r="L2" s="48" t="s">
        <v>138</v>
      </c>
      <c r="M2" s="48" t="s">
        <v>139</v>
      </c>
      <c r="N2" s="48" t="s">
        <v>140</v>
      </c>
      <c r="O2" s="48" t="s">
        <v>141</v>
      </c>
      <c r="P2" s="48" t="s">
        <v>142</v>
      </c>
    </row>
    <row r="3" spans="1:17" ht="66" x14ac:dyDescent="0.35">
      <c r="A3" s="5" t="str">
        <f>_xlfn.XLOOKUP(B3,'Paso 3 Redacción RA '!I$3:I$8,'Paso 3 Redacción RA '!C$3:C$8,,0,1)</f>
        <v>Saber</v>
      </c>
      <c r="B3" s="5" t="s">
        <v>74</v>
      </c>
      <c r="C3" s="68">
        <v>1</v>
      </c>
      <c r="D3" s="68" t="s">
        <v>143</v>
      </c>
      <c r="E3" s="71" t="s">
        <v>144</v>
      </c>
      <c r="F3" s="74" t="s">
        <v>145</v>
      </c>
      <c r="G3" s="74" t="s">
        <v>146</v>
      </c>
      <c r="H3" s="74"/>
      <c r="I3" s="74">
        <v>2</v>
      </c>
      <c r="J3" s="74">
        <f>12*I3</f>
        <v>24</v>
      </c>
      <c r="K3" s="74">
        <f>36*I3</f>
        <v>72</v>
      </c>
      <c r="L3" s="74">
        <f>SUM(J3:K5)</f>
        <v>96</v>
      </c>
      <c r="M3" s="83" t="s">
        <v>147</v>
      </c>
      <c r="N3" s="83" t="s">
        <v>148</v>
      </c>
      <c r="O3" s="77" t="s">
        <v>149</v>
      </c>
      <c r="P3" s="83" t="s">
        <v>150</v>
      </c>
      <c r="Q3" s="5" t="s">
        <v>151</v>
      </c>
    </row>
    <row r="4" spans="1:17" ht="66" x14ac:dyDescent="0.35">
      <c r="A4" s="5" t="str">
        <f>_xlfn.XLOOKUP(B4,'Paso 3 Redacción RA '!I$3:I$8,'Paso 3 Redacción RA '!C$3:C$8,,0,1)</f>
        <v>Saberhacer</v>
      </c>
      <c r="B4" s="5" t="s">
        <v>77</v>
      </c>
      <c r="C4" s="68"/>
      <c r="D4" s="68"/>
      <c r="E4" s="71"/>
      <c r="F4" s="74"/>
      <c r="G4" s="74"/>
      <c r="H4" s="74"/>
      <c r="I4" s="74"/>
      <c r="J4" s="74"/>
      <c r="K4" s="74"/>
      <c r="L4" s="74"/>
      <c r="M4" s="83"/>
      <c r="N4" s="83"/>
      <c r="O4" s="77"/>
      <c r="P4" s="83"/>
    </row>
    <row r="5" spans="1:17" ht="50" thickBot="1" x14ac:dyDescent="0.4">
      <c r="A5" s="34" t="str">
        <f>_xlfn.XLOOKUP(B5,'Paso 3 Redacción RA '!I$3:I$8,'Paso 3 Redacción RA '!C$3:C$8,,0,1)</f>
        <v>Saberser</v>
      </c>
      <c r="B5" s="34" t="s">
        <v>80</v>
      </c>
      <c r="C5" s="69"/>
      <c r="D5" s="69"/>
      <c r="E5" s="72"/>
      <c r="F5" s="75"/>
      <c r="G5" s="75"/>
      <c r="H5" s="75"/>
      <c r="I5" s="75"/>
      <c r="J5" s="75"/>
      <c r="K5" s="75"/>
      <c r="L5" s="75"/>
      <c r="M5" s="84"/>
      <c r="N5" s="84"/>
      <c r="O5" s="78"/>
      <c r="P5" s="84"/>
    </row>
    <row r="6" spans="1:17" ht="66" x14ac:dyDescent="0.35">
      <c r="A6" s="35" t="str">
        <f>_xlfn.XLOOKUP(B6,'Paso 3 Redacción RA '!I$3:I$8,'Paso 3 Redacción RA '!C$3:C$8,,0,1)</f>
        <v>Saber</v>
      </c>
      <c r="B6" s="35" t="s">
        <v>74</v>
      </c>
      <c r="C6" s="67">
        <v>1</v>
      </c>
      <c r="D6" s="67" t="s">
        <v>152</v>
      </c>
      <c r="E6" s="87" t="s">
        <v>153</v>
      </c>
      <c r="F6" s="67" t="s">
        <v>145</v>
      </c>
      <c r="G6" s="73" t="s">
        <v>146</v>
      </c>
      <c r="H6" s="73"/>
      <c r="I6" s="73">
        <v>2</v>
      </c>
      <c r="J6" s="73">
        <f>12*I6</f>
        <v>24</v>
      </c>
      <c r="K6" s="73">
        <f>36*I6</f>
        <v>72</v>
      </c>
      <c r="L6" s="73">
        <f>SUM(J6:K9)</f>
        <v>96</v>
      </c>
      <c r="M6" s="82" t="s">
        <v>154</v>
      </c>
      <c r="N6" s="82" t="s">
        <v>155</v>
      </c>
      <c r="O6" s="76" t="s">
        <v>149</v>
      </c>
      <c r="P6" s="82" t="s">
        <v>156</v>
      </c>
    </row>
    <row r="7" spans="1:17" ht="66" x14ac:dyDescent="0.35">
      <c r="A7" s="5" t="str">
        <f>_xlfn.XLOOKUP(B7,'Paso 3 Redacción RA '!I$3:I$8,'Paso 3 Redacción RA '!C$3:C$8,,0,1)</f>
        <v>Saberhacer</v>
      </c>
      <c r="B7" s="5" t="s">
        <v>77</v>
      </c>
      <c r="C7" s="68"/>
      <c r="D7" s="68"/>
      <c r="E7" s="88"/>
      <c r="F7" s="68"/>
      <c r="G7" s="74"/>
      <c r="H7" s="74"/>
      <c r="I7" s="74"/>
      <c r="J7" s="74"/>
      <c r="K7" s="74"/>
      <c r="L7" s="74"/>
      <c r="M7" s="83"/>
      <c r="N7" s="83"/>
      <c r="O7" s="77"/>
      <c r="P7" s="83"/>
    </row>
    <row r="8" spans="1:17" ht="49.5" x14ac:dyDescent="0.35">
      <c r="A8" s="5" t="str">
        <f>_xlfn.XLOOKUP(B8,'Paso 3 Redacción RA '!I$3:I$8,'Paso 3 Redacción RA '!C$3:C$8,,0,1)</f>
        <v>Saberhacer</v>
      </c>
      <c r="B8" s="5" t="s">
        <v>81</v>
      </c>
      <c r="C8" s="68"/>
      <c r="D8" s="68"/>
      <c r="E8" s="88"/>
      <c r="F8" s="68"/>
      <c r="G8" s="74"/>
      <c r="H8" s="74"/>
      <c r="I8" s="74"/>
      <c r="J8" s="74"/>
      <c r="K8" s="74"/>
      <c r="L8" s="74"/>
      <c r="M8" s="83"/>
      <c r="N8" s="83"/>
      <c r="O8" s="77"/>
      <c r="P8" s="83"/>
    </row>
    <row r="9" spans="1:17" ht="50" thickBot="1" x14ac:dyDescent="0.4">
      <c r="A9" s="34" t="str">
        <f>_xlfn.XLOOKUP(B9,'Paso 3 Redacción RA '!I$3:I$8,'Paso 3 Redacción RA '!C$3:C$8,,0,1)</f>
        <v>Saberser</v>
      </c>
      <c r="B9" s="34" t="s">
        <v>80</v>
      </c>
      <c r="C9" s="69"/>
      <c r="D9" s="69"/>
      <c r="E9" s="89"/>
      <c r="F9" s="69"/>
      <c r="G9" s="75"/>
      <c r="H9" s="75"/>
      <c r="I9" s="75"/>
      <c r="J9" s="75"/>
      <c r="K9" s="75"/>
      <c r="L9" s="75"/>
      <c r="M9" s="84"/>
      <c r="N9" s="84"/>
      <c r="O9" s="78"/>
      <c r="P9" s="84"/>
    </row>
    <row r="10" spans="1:17" ht="66" x14ac:dyDescent="0.35">
      <c r="A10" s="5" t="str">
        <f>_xlfn.XLOOKUP(B10,'Paso 3 Redacción RA '!I$3:I$8,'Paso 3 Redacción RA '!C$3:C$8,,0,1)</f>
        <v>Saber</v>
      </c>
      <c r="B10" s="35" t="s">
        <v>74</v>
      </c>
      <c r="C10" s="67">
        <v>1</v>
      </c>
      <c r="D10" s="67" t="s">
        <v>157</v>
      </c>
      <c r="E10" s="70" t="s">
        <v>158</v>
      </c>
      <c r="F10" s="67" t="s">
        <v>145</v>
      </c>
      <c r="G10" s="73"/>
      <c r="H10" s="73" t="s">
        <v>146</v>
      </c>
      <c r="I10" s="73">
        <v>2</v>
      </c>
      <c r="J10" s="73">
        <f>12*I10</f>
        <v>24</v>
      </c>
      <c r="K10" s="73">
        <f>36*I10</f>
        <v>72</v>
      </c>
      <c r="L10" s="73">
        <f>SUM(J10:K10)</f>
        <v>96</v>
      </c>
      <c r="M10" s="76" t="s">
        <v>159</v>
      </c>
      <c r="N10" s="82" t="s">
        <v>148</v>
      </c>
      <c r="O10" s="76" t="s">
        <v>149</v>
      </c>
      <c r="P10" s="82" t="s">
        <v>150</v>
      </c>
    </row>
    <row r="11" spans="1:17" ht="66" x14ac:dyDescent="0.35">
      <c r="A11" s="5" t="str">
        <f>_xlfn.XLOOKUP(B11,'Paso 3 Redacción RA '!I$3:I$8,'Paso 3 Redacción RA '!C$3:C$8,,0,1)</f>
        <v>Saberhacer</v>
      </c>
      <c r="B11" s="5" t="s">
        <v>77</v>
      </c>
      <c r="C11" s="68"/>
      <c r="D11" s="68"/>
      <c r="E11" s="71"/>
      <c r="F11" s="68"/>
      <c r="G11" s="74"/>
      <c r="H11" s="74"/>
      <c r="I11" s="74"/>
      <c r="J11" s="74"/>
      <c r="K11" s="74"/>
      <c r="L11" s="74"/>
      <c r="M11" s="77"/>
      <c r="N11" s="83"/>
      <c r="O11" s="77"/>
      <c r="P11" s="83"/>
    </row>
    <row r="12" spans="1:17" ht="50" thickBot="1" x14ac:dyDescent="0.4">
      <c r="A12" s="34" t="str">
        <f>_xlfn.XLOOKUP(B12,'Paso 3 Redacción RA '!I$3:I$8,'Paso 3 Redacción RA '!C$3:C$8,,0,1)</f>
        <v>Saberser</v>
      </c>
      <c r="B12" s="5" t="s">
        <v>80</v>
      </c>
      <c r="C12" s="68"/>
      <c r="D12" s="68"/>
      <c r="E12" s="71"/>
      <c r="F12" s="68"/>
      <c r="G12" s="74"/>
      <c r="H12" s="74"/>
      <c r="I12" s="74"/>
      <c r="J12" s="74"/>
      <c r="K12" s="74"/>
      <c r="L12" s="74"/>
      <c r="M12" s="77"/>
      <c r="N12" s="83"/>
      <c r="O12" s="77"/>
      <c r="P12" s="83"/>
    </row>
    <row r="13" spans="1:17" ht="66" x14ac:dyDescent="0.35">
      <c r="A13" s="5" t="str">
        <f>_xlfn.XLOOKUP(B13,'Paso 3 Redacción RA '!I$3:I$8,'Paso 3 Redacción RA '!C$3:C$8,,0,1)</f>
        <v>Saber</v>
      </c>
      <c r="B13" s="35" t="s">
        <v>74</v>
      </c>
      <c r="C13" s="67">
        <v>1</v>
      </c>
      <c r="D13" s="67" t="s">
        <v>160</v>
      </c>
      <c r="E13" s="70" t="s">
        <v>161</v>
      </c>
      <c r="F13" s="67" t="s">
        <v>145</v>
      </c>
      <c r="G13" s="67"/>
      <c r="H13" s="67" t="s">
        <v>146</v>
      </c>
      <c r="I13" s="73">
        <v>3</v>
      </c>
      <c r="J13" s="73">
        <f>12*I13</f>
        <v>36</v>
      </c>
      <c r="K13" s="73">
        <f>36*I13</f>
        <v>108</v>
      </c>
      <c r="L13" s="73">
        <f>SUM(J13:K13)</f>
        <v>144</v>
      </c>
      <c r="M13" s="70" t="s">
        <v>162</v>
      </c>
      <c r="N13" s="70" t="s">
        <v>148</v>
      </c>
      <c r="O13" s="76" t="s">
        <v>149</v>
      </c>
      <c r="P13" s="82" t="s">
        <v>150</v>
      </c>
    </row>
    <row r="14" spans="1:17" ht="66" x14ac:dyDescent="0.35">
      <c r="A14" s="5" t="str">
        <f>_xlfn.XLOOKUP(B14,'Paso 3 Redacción RA '!I$3:I$8,'Paso 3 Redacción RA '!C$3:C$8,,0,1)</f>
        <v>Saberhacer</v>
      </c>
      <c r="B14" s="5" t="s">
        <v>77</v>
      </c>
      <c r="C14" s="68"/>
      <c r="D14" s="68"/>
      <c r="E14" s="71"/>
      <c r="F14" s="68"/>
      <c r="G14" s="68"/>
      <c r="H14" s="68"/>
      <c r="I14" s="74"/>
      <c r="J14" s="74"/>
      <c r="K14" s="74"/>
      <c r="L14" s="74"/>
      <c r="M14" s="71"/>
      <c r="N14" s="71"/>
      <c r="O14" s="77"/>
      <c r="P14" s="83"/>
    </row>
    <row r="15" spans="1:17" ht="49.5" x14ac:dyDescent="0.35">
      <c r="A15" s="5" t="str">
        <f>_xlfn.XLOOKUP(B15,'Paso 3 Redacción RA '!I$3:I$8,'Paso 3 Redacción RA '!C$3:C$8,,0,1)</f>
        <v>Saberhacer</v>
      </c>
      <c r="B15" s="5" t="s">
        <v>81</v>
      </c>
      <c r="C15" s="68"/>
      <c r="D15" s="68"/>
      <c r="E15" s="71"/>
      <c r="F15" s="68"/>
      <c r="G15" s="68"/>
      <c r="H15" s="68"/>
      <c r="I15" s="74"/>
      <c r="J15" s="74"/>
      <c r="K15" s="74"/>
      <c r="L15" s="74"/>
      <c r="M15" s="71"/>
      <c r="N15" s="71"/>
      <c r="O15" s="77"/>
      <c r="P15" s="83"/>
    </row>
    <row r="16" spans="1:17" ht="50" thickBot="1" x14ac:dyDescent="0.4">
      <c r="A16" s="34" t="str">
        <f>_xlfn.XLOOKUP(B16,'Paso 3 Redacción RA '!I$3:I$8,'Paso 3 Redacción RA '!C$3:C$8,,0,1)</f>
        <v>Saberser</v>
      </c>
      <c r="B16" s="34" t="s">
        <v>80</v>
      </c>
      <c r="C16" s="69"/>
      <c r="D16" s="69"/>
      <c r="E16" s="72"/>
      <c r="F16" s="69"/>
      <c r="G16" s="69"/>
      <c r="H16" s="69"/>
      <c r="I16" s="75"/>
      <c r="J16" s="75"/>
      <c r="K16" s="75"/>
      <c r="L16" s="75"/>
      <c r="M16" s="72"/>
      <c r="N16" s="72"/>
      <c r="O16" s="78"/>
      <c r="P16" s="84"/>
    </row>
    <row r="17" spans="1:17" ht="69" customHeight="1" x14ac:dyDescent="0.35">
      <c r="A17" s="35" t="str">
        <f>_xlfn.XLOOKUP(B17,'Paso 3 Redacción RA '!I$3:I$8,'Paso 3 Redacción RA '!C$3:C$8,,0,1)</f>
        <v>Saber</v>
      </c>
      <c r="B17" s="35" t="s">
        <v>74</v>
      </c>
      <c r="C17" s="67">
        <v>1</v>
      </c>
      <c r="D17" s="67" t="s">
        <v>163</v>
      </c>
      <c r="E17" s="70" t="s">
        <v>164</v>
      </c>
      <c r="F17" s="67" t="s">
        <v>145</v>
      </c>
      <c r="G17" s="67"/>
      <c r="H17" s="73" t="s">
        <v>146</v>
      </c>
      <c r="I17" s="90">
        <v>2</v>
      </c>
      <c r="J17" s="73">
        <f>12*I17</f>
        <v>24</v>
      </c>
      <c r="K17" s="73">
        <f>36*I17</f>
        <v>72</v>
      </c>
      <c r="L17" s="73">
        <f>SUM(J17:K20)</f>
        <v>96</v>
      </c>
      <c r="M17" s="79" t="s">
        <v>165</v>
      </c>
      <c r="N17" s="70" t="s">
        <v>148</v>
      </c>
      <c r="O17" s="76" t="s">
        <v>149</v>
      </c>
      <c r="P17" s="70" t="s">
        <v>150</v>
      </c>
    </row>
    <row r="18" spans="1:17" ht="66" x14ac:dyDescent="0.35">
      <c r="A18" s="5" t="str">
        <f>_xlfn.XLOOKUP(B18,'Paso 3 Redacción RA '!I$3:I$8,'Paso 3 Redacción RA '!C$3:C$8,,0,1)</f>
        <v>Saberhacer</v>
      </c>
      <c r="B18" s="5" t="s">
        <v>77</v>
      </c>
      <c r="C18" s="68"/>
      <c r="D18" s="68"/>
      <c r="E18" s="71"/>
      <c r="F18" s="68"/>
      <c r="G18" s="68"/>
      <c r="H18" s="74"/>
      <c r="I18" s="91"/>
      <c r="J18" s="74"/>
      <c r="K18" s="74"/>
      <c r="L18" s="74"/>
      <c r="M18" s="80"/>
      <c r="N18" s="71"/>
      <c r="O18" s="77"/>
      <c r="P18" s="71"/>
    </row>
    <row r="19" spans="1:17" ht="49.5" x14ac:dyDescent="0.35">
      <c r="A19" s="5" t="str">
        <f>_xlfn.XLOOKUP(B19,'Paso 3 Redacción RA '!I$3:I$8,'Paso 3 Redacción RA '!C$3:C$8,,0,1)</f>
        <v>Saberhacer</v>
      </c>
      <c r="B19" s="5" t="s">
        <v>81</v>
      </c>
      <c r="C19" s="68"/>
      <c r="D19" s="68"/>
      <c r="E19" s="71"/>
      <c r="F19" s="68"/>
      <c r="G19" s="68"/>
      <c r="H19" s="74"/>
      <c r="I19" s="91"/>
      <c r="J19" s="74"/>
      <c r="K19" s="74"/>
      <c r="L19" s="74"/>
      <c r="M19" s="80"/>
      <c r="N19" s="71"/>
      <c r="O19" s="77"/>
      <c r="P19" s="71"/>
    </row>
    <row r="20" spans="1:17" ht="50" thickBot="1" x14ac:dyDescent="0.4">
      <c r="A20" s="34" t="str">
        <f>_xlfn.XLOOKUP(B20,'Paso 3 Redacción RA '!I$3:I$8,'Paso 3 Redacción RA '!C$3:C$8,,0,1)</f>
        <v>Saberser</v>
      </c>
      <c r="B20" s="34" t="s">
        <v>80</v>
      </c>
      <c r="C20" s="69"/>
      <c r="D20" s="69"/>
      <c r="E20" s="72"/>
      <c r="F20" s="69"/>
      <c r="G20" s="69"/>
      <c r="H20" s="75"/>
      <c r="I20" s="92"/>
      <c r="J20" s="75"/>
      <c r="K20" s="75"/>
      <c r="L20" s="75"/>
      <c r="M20" s="81"/>
      <c r="N20" s="72"/>
      <c r="O20" s="78"/>
      <c r="P20" s="72"/>
      <c r="Q20" s="5">
        <f>SUM(I3:I20)</f>
        <v>11</v>
      </c>
    </row>
    <row r="21" spans="1:17" ht="66" x14ac:dyDescent="0.35">
      <c r="A21" s="5" t="str">
        <f>_xlfn.XLOOKUP(B21,'Paso 3 Redacción RA '!I$3:I$8,'Paso 3 Redacción RA '!C$3:C$8,,0,1)</f>
        <v>Saber</v>
      </c>
      <c r="B21" s="35" t="s">
        <v>74</v>
      </c>
      <c r="C21" s="67">
        <v>2</v>
      </c>
      <c r="D21" s="67" t="s">
        <v>166</v>
      </c>
      <c r="E21" s="70" t="s">
        <v>167</v>
      </c>
      <c r="F21" s="67" t="s">
        <v>145</v>
      </c>
      <c r="G21" s="67" t="s">
        <v>146</v>
      </c>
      <c r="H21" s="67"/>
      <c r="I21" s="67">
        <v>2</v>
      </c>
      <c r="J21" s="67">
        <f>12*I21</f>
        <v>24</v>
      </c>
      <c r="K21" s="67">
        <f>36*I21</f>
        <v>72</v>
      </c>
      <c r="L21" s="67">
        <f>SUM(J21:K23)</f>
        <v>96</v>
      </c>
      <c r="M21" s="79" t="s">
        <v>168</v>
      </c>
      <c r="N21" s="70" t="s">
        <v>148</v>
      </c>
      <c r="O21" s="76" t="s">
        <v>149</v>
      </c>
      <c r="P21" s="70" t="s">
        <v>150</v>
      </c>
    </row>
    <row r="22" spans="1:17" ht="66" x14ac:dyDescent="0.35">
      <c r="A22" s="5" t="str">
        <f>_xlfn.XLOOKUP(B22,'Paso 3 Redacción RA '!I$3:I$8,'Paso 3 Redacción RA '!C$3:C$8,,0,1)</f>
        <v>Saberhacer</v>
      </c>
      <c r="B22" s="5" t="s">
        <v>77</v>
      </c>
      <c r="C22" s="68"/>
      <c r="D22" s="68"/>
      <c r="E22" s="71"/>
      <c r="F22" s="68"/>
      <c r="G22" s="68"/>
      <c r="H22" s="68"/>
      <c r="I22" s="68"/>
      <c r="J22" s="68"/>
      <c r="K22" s="68"/>
      <c r="L22" s="68"/>
      <c r="M22" s="80"/>
      <c r="N22" s="71"/>
      <c r="O22" s="77"/>
      <c r="P22" s="71"/>
    </row>
    <row r="23" spans="1:17" ht="50" thickBot="1" x14ac:dyDescent="0.4">
      <c r="A23" s="5" t="str">
        <f>_xlfn.XLOOKUP(B23,'Paso 3 Redacción RA '!I$3:I$8,'Paso 3 Redacción RA '!C$3:C$8,,0,1)</f>
        <v>Saberhacer</v>
      </c>
      <c r="B23" s="5" t="s">
        <v>81</v>
      </c>
      <c r="C23" s="68"/>
      <c r="D23" s="68"/>
      <c r="E23" s="71"/>
      <c r="F23" s="68"/>
      <c r="G23" s="68"/>
      <c r="H23" s="68"/>
      <c r="I23" s="68"/>
      <c r="J23" s="68"/>
      <c r="K23" s="68"/>
      <c r="L23" s="68"/>
      <c r="M23" s="80"/>
      <c r="N23" s="71"/>
      <c r="O23" s="77"/>
      <c r="P23" s="71"/>
    </row>
    <row r="24" spans="1:17" ht="66" x14ac:dyDescent="0.35">
      <c r="A24" s="35" t="str">
        <f>_xlfn.XLOOKUP(B24,'Paso 3 Redacción RA '!I$3:I$8,'Paso 3 Redacción RA '!C$3:C$8,,0,1)</f>
        <v>Saber</v>
      </c>
      <c r="B24" s="35" t="s">
        <v>74</v>
      </c>
      <c r="C24" s="67">
        <v>2</v>
      </c>
      <c r="D24" s="67" t="s">
        <v>169</v>
      </c>
      <c r="E24" s="70" t="s">
        <v>170</v>
      </c>
      <c r="F24" s="67" t="s">
        <v>145</v>
      </c>
      <c r="G24" s="67" t="s">
        <v>146</v>
      </c>
      <c r="H24" s="67"/>
      <c r="I24" s="73">
        <v>2</v>
      </c>
      <c r="J24" s="73">
        <f>I24*12</f>
        <v>24</v>
      </c>
      <c r="K24" s="73">
        <f>I24*36</f>
        <v>72</v>
      </c>
      <c r="L24" s="73">
        <f>SUM(J24:K26)</f>
        <v>96</v>
      </c>
      <c r="M24" s="70" t="s">
        <v>171</v>
      </c>
      <c r="N24" s="70" t="s">
        <v>148</v>
      </c>
      <c r="O24" s="76" t="s">
        <v>149</v>
      </c>
      <c r="P24" s="70" t="s">
        <v>150</v>
      </c>
    </row>
    <row r="25" spans="1:17" ht="66" x14ac:dyDescent="0.35">
      <c r="A25" s="5" t="str">
        <f>_xlfn.XLOOKUP(B25,'Paso 3 Redacción RA '!I$3:I$8,'Paso 3 Redacción RA '!C$3:C$8,,0,1)</f>
        <v>Saberhacer</v>
      </c>
      <c r="B25" s="5" t="s">
        <v>77</v>
      </c>
      <c r="C25" s="68"/>
      <c r="D25" s="68"/>
      <c r="E25" s="71"/>
      <c r="F25" s="68"/>
      <c r="G25" s="68"/>
      <c r="H25" s="68"/>
      <c r="I25" s="74"/>
      <c r="J25" s="74"/>
      <c r="K25" s="74"/>
      <c r="L25" s="74"/>
      <c r="M25" s="71"/>
      <c r="N25" s="71"/>
      <c r="O25" s="77"/>
      <c r="P25" s="71"/>
    </row>
    <row r="26" spans="1:17" ht="50" thickBot="1" x14ac:dyDescent="0.4">
      <c r="A26" s="34" t="str">
        <f>_xlfn.XLOOKUP(B26,'Paso 3 Redacción RA '!I$3:I$8,'Paso 3 Redacción RA '!C$3:C$8,,0,1)</f>
        <v>Saberser</v>
      </c>
      <c r="B26" s="5" t="s">
        <v>80</v>
      </c>
      <c r="C26" s="68"/>
      <c r="D26" s="68"/>
      <c r="E26" s="71"/>
      <c r="F26" s="68"/>
      <c r="G26" s="68"/>
      <c r="H26" s="68"/>
      <c r="I26" s="74"/>
      <c r="J26" s="74"/>
      <c r="K26" s="74"/>
      <c r="L26" s="74"/>
      <c r="M26" s="71"/>
      <c r="N26" s="71"/>
      <c r="O26" s="77"/>
      <c r="P26" s="71" t="s">
        <v>172</v>
      </c>
    </row>
    <row r="27" spans="1:17" ht="66" x14ac:dyDescent="0.35">
      <c r="A27" s="5" t="str">
        <f>_xlfn.XLOOKUP(B27,'Paso 3 Redacción RA '!I$3:I$8,'Paso 3 Redacción RA '!C$3:C$8,,0,1)</f>
        <v>Saber</v>
      </c>
      <c r="B27" s="35" t="s">
        <v>74</v>
      </c>
      <c r="C27" s="67">
        <v>2</v>
      </c>
      <c r="D27" s="67" t="s">
        <v>173</v>
      </c>
      <c r="E27" s="70" t="s">
        <v>174</v>
      </c>
      <c r="F27" s="67" t="s">
        <v>145</v>
      </c>
      <c r="G27" s="67" t="s">
        <v>146</v>
      </c>
      <c r="H27" s="67"/>
      <c r="I27" s="73">
        <v>2</v>
      </c>
      <c r="J27" s="73">
        <f>I27*12</f>
        <v>24</v>
      </c>
      <c r="K27" s="73">
        <f>I27*36</f>
        <v>72</v>
      </c>
      <c r="L27" s="73">
        <f>SUM(J27:K29)</f>
        <v>96</v>
      </c>
      <c r="M27" s="79" t="s">
        <v>175</v>
      </c>
      <c r="N27" s="70" t="s">
        <v>148</v>
      </c>
      <c r="O27" s="76" t="s">
        <v>149</v>
      </c>
      <c r="P27" s="70" t="s">
        <v>150</v>
      </c>
    </row>
    <row r="28" spans="1:17" ht="66" x14ac:dyDescent="0.35">
      <c r="A28" s="5" t="str">
        <f>_xlfn.XLOOKUP(B28,'Paso 3 Redacción RA '!I$3:I$8,'Paso 3 Redacción RA '!C$3:C$8,,0,1)</f>
        <v>Saberhacer</v>
      </c>
      <c r="B28" s="5" t="s">
        <v>77</v>
      </c>
      <c r="C28" s="68"/>
      <c r="D28" s="68"/>
      <c r="E28" s="71"/>
      <c r="F28" s="68"/>
      <c r="G28" s="68"/>
      <c r="H28" s="68"/>
      <c r="I28" s="74"/>
      <c r="J28" s="74"/>
      <c r="K28" s="74"/>
      <c r="L28" s="74"/>
      <c r="M28" s="80"/>
      <c r="N28" s="71"/>
      <c r="O28" s="77"/>
      <c r="P28" s="71"/>
    </row>
    <row r="29" spans="1:17" ht="50" thickBot="1" x14ac:dyDescent="0.4">
      <c r="A29" s="5" t="str">
        <f>_xlfn.XLOOKUP(B29,'Paso 3 Redacción RA '!I$3:I$8,'Paso 3 Redacción RA '!C$3:C$8,,0,1)</f>
        <v>Saberser</v>
      </c>
      <c r="B29" s="5" t="s">
        <v>80</v>
      </c>
      <c r="C29" s="68"/>
      <c r="D29" s="68"/>
      <c r="E29" s="71"/>
      <c r="F29" s="68"/>
      <c r="G29" s="68"/>
      <c r="H29" s="68"/>
      <c r="I29" s="74"/>
      <c r="J29" s="74"/>
      <c r="K29" s="74"/>
      <c r="L29" s="74"/>
      <c r="M29" s="80"/>
      <c r="N29" s="71"/>
      <c r="O29" s="77"/>
      <c r="P29" s="71"/>
    </row>
    <row r="30" spans="1:17" ht="66" x14ac:dyDescent="0.35">
      <c r="A30" s="35" t="str">
        <f>_xlfn.XLOOKUP(B30,'Paso 3 Redacción RA '!I$3:I$8,'Paso 3 Redacción RA '!C$3:C$8,,0,1)</f>
        <v>Saber</v>
      </c>
      <c r="B30" s="35" t="s">
        <v>74</v>
      </c>
      <c r="C30" s="67">
        <v>2</v>
      </c>
      <c r="D30" s="67" t="s">
        <v>176</v>
      </c>
      <c r="E30" s="70" t="s">
        <v>177</v>
      </c>
      <c r="F30" s="67" t="s">
        <v>145</v>
      </c>
      <c r="G30" s="67"/>
      <c r="H30" s="67" t="s">
        <v>146</v>
      </c>
      <c r="I30" s="73">
        <v>2</v>
      </c>
      <c r="J30" s="73">
        <f>12*I30</f>
        <v>24</v>
      </c>
      <c r="K30" s="73">
        <f>36*I30</f>
        <v>72</v>
      </c>
      <c r="L30" s="73">
        <f>SUM(J30:K32)</f>
        <v>96</v>
      </c>
      <c r="M30" s="70" t="s">
        <v>178</v>
      </c>
      <c r="N30" s="70" t="s">
        <v>148</v>
      </c>
      <c r="O30" s="76" t="s">
        <v>149</v>
      </c>
      <c r="P30" s="70" t="s">
        <v>150</v>
      </c>
    </row>
    <row r="31" spans="1:17" ht="66" x14ac:dyDescent="0.35">
      <c r="A31" s="5" t="str">
        <f>_xlfn.XLOOKUP(B31,'Paso 3 Redacción RA '!I$3:I$8,'Paso 3 Redacción RA '!C$3:C$8,,0,1)</f>
        <v>Saberhacer</v>
      </c>
      <c r="B31" s="5" t="s">
        <v>77</v>
      </c>
      <c r="C31" s="68"/>
      <c r="D31" s="68"/>
      <c r="E31" s="71"/>
      <c r="F31" s="68"/>
      <c r="G31" s="68"/>
      <c r="H31" s="68"/>
      <c r="I31" s="74"/>
      <c r="J31" s="74"/>
      <c r="K31" s="74"/>
      <c r="L31" s="74"/>
      <c r="M31" s="71"/>
      <c r="N31" s="71"/>
      <c r="O31" s="77"/>
      <c r="P31" s="71"/>
    </row>
    <row r="32" spans="1:17" ht="50" thickBot="1" x14ac:dyDescent="0.4">
      <c r="A32" s="5" t="str">
        <f>_xlfn.XLOOKUP(B32,'Paso 3 Redacción RA '!I$3:I$8,'Paso 3 Redacción RA '!C$3:C$8,,0,1)</f>
        <v>Saberser</v>
      </c>
      <c r="B32" s="5" t="s">
        <v>80</v>
      </c>
      <c r="C32" s="68"/>
      <c r="D32" s="68"/>
      <c r="E32" s="71"/>
      <c r="F32" s="68"/>
      <c r="G32" s="68"/>
      <c r="H32" s="68"/>
      <c r="I32" s="74"/>
      <c r="J32" s="74"/>
      <c r="K32" s="74"/>
      <c r="L32" s="74"/>
      <c r="M32" s="71"/>
      <c r="N32" s="71"/>
      <c r="O32" s="77"/>
      <c r="P32" s="71"/>
    </row>
    <row r="33" spans="1:17" ht="69" customHeight="1" x14ac:dyDescent="0.35">
      <c r="A33" s="35" t="str">
        <f>_xlfn.XLOOKUP(B33,'Paso 3 Redacción RA '!I$3:I$8,'Paso 3 Redacción RA '!C$3:C$8,,0,1)</f>
        <v>Saber</v>
      </c>
      <c r="B33" s="35" t="s">
        <v>74</v>
      </c>
      <c r="C33" s="67">
        <v>2</v>
      </c>
      <c r="D33" s="67" t="s">
        <v>179</v>
      </c>
      <c r="E33" s="70" t="s">
        <v>180</v>
      </c>
      <c r="F33" s="67" t="s">
        <v>145</v>
      </c>
      <c r="G33" s="67"/>
      <c r="H33" s="67" t="s">
        <v>146</v>
      </c>
      <c r="I33" s="67">
        <v>2</v>
      </c>
      <c r="J33" s="67">
        <f>12*I33</f>
        <v>24</v>
      </c>
      <c r="K33" s="67">
        <f>36*I33</f>
        <v>72</v>
      </c>
      <c r="L33" s="67">
        <f>SUM(J33:K36)</f>
        <v>96</v>
      </c>
      <c r="M33" s="79" t="s">
        <v>181</v>
      </c>
      <c r="N33" s="70" t="s">
        <v>148</v>
      </c>
      <c r="O33" s="70" t="s">
        <v>149</v>
      </c>
      <c r="P33" s="70" t="s">
        <v>150</v>
      </c>
    </row>
    <row r="34" spans="1:17" ht="66" x14ac:dyDescent="0.35">
      <c r="A34" s="5" t="str">
        <f>_xlfn.XLOOKUP(B34,'Paso 3 Redacción RA '!I$3:I$8,'Paso 3 Redacción RA '!C$3:C$8,,0,1)</f>
        <v>Saberhacer</v>
      </c>
      <c r="B34" s="5" t="s">
        <v>77</v>
      </c>
      <c r="C34" s="68"/>
      <c r="D34" s="68"/>
      <c r="E34" s="71"/>
      <c r="F34" s="68"/>
      <c r="G34" s="68"/>
      <c r="H34" s="68"/>
      <c r="I34" s="68"/>
      <c r="J34" s="68"/>
      <c r="K34" s="68"/>
      <c r="L34" s="68"/>
      <c r="M34" s="80"/>
      <c r="N34" s="71"/>
      <c r="O34" s="71"/>
      <c r="P34" s="71"/>
    </row>
    <row r="35" spans="1:17" ht="49.5" x14ac:dyDescent="0.35">
      <c r="A35" s="5" t="str">
        <f>_xlfn.XLOOKUP(B35,'Paso 3 Redacción RA '!I$3:I$8,'Paso 3 Redacción RA '!C$3:C$8,,0,1)</f>
        <v>Saberhacer</v>
      </c>
      <c r="B35" s="5" t="s">
        <v>81</v>
      </c>
      <c r="C35" s="68"/>
      <c r="D35" s="68"/>
      <c r="E35" s="71"/>
      <c r="F35" s="68"/>
      <c r="G35" s="68"/>
      <c r="H35" s="68"/>
      <c r="I35" s="68"/>
      <c r="J35" s="68"/>
      <c r="K35" s="68"/>
      <c r="L35" s="68"/>
      <c r="M35" s="80"/>
      <c r="N35" s="71"/>
      <c r="O35" s="71"/>
      <c r="P35" s="71"/>
    </row>
    <row r="36" spans="1:17" ht="50" thickBot="1" x14ac:dyDescent="0.4">
      <c r="A36" s="34" t="str">
        <f>_xlfn.XLOOKUP(B36,'Paso 3 Redacción RA '!I$3:I$8,'Paso 3 Redacción RA '!C$3:C$8,,0,1)</f>
        <v>Saberser</v>
      </c>
      <c r="B36" s="34" t="s">
        <v>80</v>
      </c>
      <c r="C36" s="69"/>
      <c r="D36" s="69"/>
      <c r="E36" s="72"/>
      <c r="F36" s="69"/>
      <c r="G36" s="69"/>
      <c r="H36" s="69"/>
      <c r="I36" s="69"/>
      <c r="J36" s="69"/>
      <c r="K36" s="69"/>
      <c r="L36" s="69"/>
      <c r="M36" s="81"/>
      <c r="N36" s="72"/>
      <c r="O36" s="72"/>
      <c r="P36" s="72"/>
    </row>
    <row r="37" spans="1:17" ht="66" x14ac:dyDescent="0.35">
      <c r="A37" s="35" t="str">
        <f>_xlfn.XLOOKUP(B37,'Paso 3 Redacción RA '!I$3:I$8,'Paso 3 Redacción RA '!C$3:C$8,,0,1)</f>
        <v>Saber</v>
      </c>
      <c r="B37" s="35" t="s">
        <v>74</v>
      </c>
      <c r="C37" s="67">
        <v>2</v>
      </c>
      <c r="D37" s="67" t="s">
        <v>182</v>
      </c>
      <c r="E37" s="70" t="s">
        <v>183</v>
      </c>
      <c r="F37" s="67" t="s">
        <v>145</v>
      </c>
      <c r="G37" s="67"/>
      <c r="H37" s="67" t="s">
        <v>146</v>
      </c>
      <c r="I37" s="73">
        <v>3</v>
      </c>
      <c r="J37" s="73">
        <f>I37*12</f>
        <v>36</v>
      </c>
      <c r="K37" s="73">
        <f>I37*36</f>
        <v>108</v>
      </c>
      <c r="L37" s="73">
        <f>SUM(J37:K37)</f>
        <v>144</v>
      </c>
      <c r="M37" s="79" t="s">
        <v>184</v>
      </c>
      <c r="N37" s="70" t="s">
        <v>148</v>
      </c>
      <c r="O37" s="76" t="s">
        <v>149</v>
      </c>
      <c r="P37" s="70" t="s">
        <v>150</v>
      </c>
    </row>
    <row r="38" spans="1:17" ht="66" x14ac:dyDescent="0.35">
      <c r="A38" s="5" t="str">
        <f>_xlfn.XLOOKUP(B38,'Paso 3 Redacción RA '!I$3:I$8,'Paso 3 Redacción RA '!C$3:C$8,,0,1)</f>
        <v>Saberhacer</v>
      </c>
      <c r="B38" s="5" t="s">
        <v>77</v>
      </c>
      <c r="C38" s="68"/>
      <c r="D38" s="68"/>
      <c r="E38" s="71"/>
      <c r="F38" s="68"/>
      <c r="G38" s="68"/>
      <c r="H38" s="68"/>
      <c r="I38" s="74"/>
      <c r="J38" s="74"/>
      <c r="K38" s="74"/>
      <c r="L38" s="74"/>
      <c r="M38" s="80"/>
      <c r="N38" s="71"/>
      <c r="O38" s="77"/>
      <c r="P38" s="71"/>
    </row>
    <row r="39" spans="1:17" ht="49.5" x14ac:dyDescent="0.35">
      <c r="A39" s="5" t="str">
        <f>_xlfn.XLOOKUP(B39,'Paso 3 Redacción RA '!I$3:I$8,'Paso 3 Redacción RA '!C$3:C$8,,0,1)</f>
        <v>Saberhacer</v>
      </c>
      <c r="B39" s="5" t="s">
        <v>81</v>
      </c>
      <c r="C39" s="68"/>
      <c r="D39" s="68"/>
      <c r="E39" s="71"/>
      <c r="F39" s="68"/>
      <c r="G39" s="68"/>
      <c r="H39" s="68"/>
      <c r="I39" s="74"/>
      <c r="J39" s="74"/>
      <c r="K39" s="74"/>
      <c r="L39" s="74"/>
      <c r="M39" s="80"/>
      <c r="N39" s="71"/>
      <c r="O39" s="77"/>
      <c r="P39" s="71"/>
    </row>
    <row r="40" spans="1:17" ht="50" thickBot="1" x14ac:dyDescent="0.4">
      <c r="A40" s="34" t="str">
        <f>_xlfn.XLOOKUP(B40,'Paso 3 Redacción RA '!I$3:I$8,'Paso 3 Redacción RA '!C$3:C$8,,0,1)</f>
        <v>Saberser</v>
      </c>
      <c r="B40" s="34" t="s">
        <v>80</v>
      </c>
      <c r="C40" s="69" t="s">
        <v>185</v>
      </c>
      <c r="D40" s="69"/>
      <c r="E40" s="72"/>
      <c r="F40" s="69"/>
      <c r="G40" s="69"/>
      <c r="H40" s="69"/>
      <c r="I40" s="75"/>
      <c r="J40" s="75"/>
      <c r="K40" s="75"/>
      <c r="L40" s="75"/>
      <c r="M40" s="81"/>
      <c r="N40" s="72"/>
      <c r="O40" s="78"/>
      <c r="P40" s="72"/>
      <c r="Q40" s="5">
        <f>SUM(I21:I40)</f>
        <v>13</v>
      </c>
    </row>
    <row r="41" spans="1:17" ht="39" x14ac:dyDescent="0.35">
      <c r="C41" s="36" t="s">
        <v>186</v>
      </c>
      <c r="D41" s="7">
        <v>11</v>
      </c>
      <c r="H41" s="36" t="s">
        <v>187</v>
      </c>
      <c r="I41" s="7">
        <f>SUM(I3:I40)</f>
        <v>24</v>
      </c>
      <c r="J41" s="66" t="str">
        <f>IF(AND(I41&gt;=22,I41&lt;=25),"Correcto: Cumple la Política de Gestión, Evaluación e Innovación Curricular","Error: Revisar Política de Gestión, Evaluación e Innovación Curricular")</f>
        <v>Correcto: Cumple la Política de Gestión, Evaluación e Innovación Curricular</v>
      </c>
    </row>
    <row r="42" spans="1:17" ht="39" x14ac:dyDescent="0.35">
      <c r="H42" s="33" t="s">
        <v>188</v>
      </c>
      <c r="I42" s="7">
        <f>SUM(I3:I9,I21:I29)</f>
        <v>10</v>
      </c>
      <c r="J42" s="66" t="str">
        <f>IF(AND(I42&gt;=9,I42&lt;=12),"Correcto: Cumple la Política de Gestión, Evaluación e Innovación Curricular","Error: Revisar Política de Gestión, Evaluación e Innovación Curricular")</f>
        <v>Correcto: Cumple la Política de Gestión, Evaluación e Innovación Curricular</v>
      </c>
    </row>
    <row r="43" spans="1:17" ht="39" x14ac:dyDescent="0.35">
      <c r="H43" s="33" t="s">
        <v>189</v>
      </c>
      <c r="I43" s="7">
        <f>SUM(I10:I20,I30:I40)</f>
        <v>14</v>
      </c>
      <c r="J43" s="66" t="str">
        <f>IF(AND(I43&gt;=12,I43&lt;=14),"Correcto: Cumple la Política de Gestión, Evaluación e Innovación Curricular","Error: Revisar Política de Gestión, Evaluación e Innovación Curricular")</f>
        <v>Correcto: Cumple la Política de Gestión, Evaluación e Innovación Curricular</v>
      </c>
    </row>
  </sheetData>
  <mergeCells count="155">
    <mergeCell ref="C33:C36"/>
    <mergeCell ref="D33:D36"/>
    <mergeCell ref="E33:E36"/>
    <mergeCell ref="F33:F36"/>
    <mergeCell ref="G33:G36"/>
    <mergeCell ref="H33:H36"/>
    <mergeCell ref="I33:I36"/>
    <mergeCell ref="J33:J36"/>
    <mergeCell ref="K33:K36"/>
    <mergeCell ref="C17:C20"/>
    <mergeCell ref="D17:D20"/>
    <mergeCell ref="E17:E20"/>
    <mergeCell ref="G17:G20"/>
    <mergeCell ref="H17:H20"/>
    <mergeCell ref="I17:I20"/>
    <mergeCell ref="J17:J20"/>
    <mergeCell ref="K17:K20"/>
    <mergeCell ref="C27:C29"/>
    <mergeCell ref="D27:D29"/>
    <mergeCell ref="E27:E29"/>
    <mergeCell ref="G27:G29"/>
    <mergeCell ref="H27:H29"/>
    <mergeCell ref="I27:I29"/>
    <mergeCell ref="J27:J29"/>
    <mergeCell ref="K27:K29"/>
    <mergeCell ref="C24:C26"/>
    <mergeCell ref="D24:D26"/>
    <mergeCell ref="E24:E26"/>
    <mergeCell ref="F17:F20"/>
    <mergeCell ref="F21:F23"/>
    <mergeCell ref="F24:F26"/>
    <mergeCell ref="F27:F29"/>
    <mergeCell ref="D30:D32"/>
    <mergeCell ref="I30:I32"/>
    <mergeCell ref="P30:P32"/>
    <mergeCell ref="O30:O32"/>
    <mergeCell ref="N30:N32"/>
    <mergeCell ref="C21:C23"/>
    <mergeCell ref="D21:D23"/>
    <mergeCell ref="E21:E23"/>
    <mergeCell ref="G21:G23"/>
    <mergeCell ref="H21:H23"/>
    <mergeCell ref="I21:I23"/>
    <mergeCell ref="J21:J23"/>
    <mergeCell ref="K21:K23"/>
    <mergeCell ref="L21:L23"/>
    <mergeCell ref="M21:M23"/>
    <mergeCell ref="N21:N23"/>
    <mergeCell ref="C30:C32"/>
    <mergeCell ref="N27:N29"/>
    <mergeCell ref="O27:O29"/>
    <mergeCell ref="P27:P29"/>
    <mergeCell ref="N24:N26"/>
    <mergeCell ref="G30:G32"/>
    <mergeCell ref="H30:H32"/>
    <mergeCell ref="M30:M32"/>
    <mergeCell ref="E30:E32"/>
    <mergeCell ref="M13:M16"/>
    <mergeCell ref="L13:L16"/>
    <mergeCell ref="K13:K16"/>
    <mergeCell ref="J13:J16"/>
    <mergeCell ref="I13:I16"/>
    <mergeCell ref="H13:H16"/>
    <mergeCell ref="L17:L20"/>
    <mergeCell ref="M17:M20"/>
    <mergeCell ref="M27:M29"/>
    <mergeCell ref="K24:K26"/>
    <mergeCell ref="L24:L26"/>
    <mergeCell ref="L27:L29"/>
    <mergeCell ref="F13:F16"/>
    <mergeCell ref="F30:F32"/>
    <mergeCell ref="L30:L32"/>
    <mergeCell ref="K30:K32"/>
    <mergeCell ref="J30:J32"/>
    <mergeCell ref="G24:G26"/>
    <mergeCell ref="H24:H26"/>
    <mergeCell ref="I24:I26"/>
    <mergeCell ref="J24:J26"/>
    <mergeCell ref="M24:M26"/>
    <mergeCell ref="C13:C16"/>
    <mergeCell ref="D13:D16"/>
    <mergeCell ref="E13:E16"/>
    <mergeCell ref="G13:G16"/>
    <mergeCell ref="N10:N12"/>
    <mergeCell ref="N13:N16"/>
    <mergeCell ref="F3:F5"/>
    <mergeCell ref="G1:H1"/>
    <mergeCell ref="O13:O16"/>
    <mergeCell ref="L6:L9"/>
    <mergeCell ref="C6:C9"/>
    <mergeCell ref="D6:D9"/>
    <mergeCell ref="E6:E9"/>
    <mergeCell ref="G6:G9"/>
    <mergeCell ref="C10:C12"/>
    <mergeCell ref="D10:D12"/>
    <mergeCell ref="E10:E12"/>
    <mergeCell ref="G10:G12"/>
    <mergeCell ref="H10:H12"/>
    <mergeCell ref="I10:I12"/>
    <mergeCell ref="J10:J12"/>
    <mergeCell ref="K10:K12"/>
    <mergeCell ref="H6:H9"/>
    <mergeCell ref="I6:I9"/>
    <mergeCell ref="C3:C5"/>
    <mergeCell ref="D3:D5"/>
    <mergeCell ref="E3:E5"/>
    <mergeCell ref="G3:G5"/>
    <mergeCell ref="H3:H5"/>
    <mergeCell ref="I3:I5"/>
    <mergeCell ref="N3:N5"/>
    <mergeCell ref="M3:M5"/>
    <mergeCell ref="L10:L12"/>
    <mergeCell ref="M10:M12"/>
    <mergeCell ref="J3:J5"/>
    <mergeCell ref="K3:K5"/>
    <mergeCell ref="L3:L5"/>
    <mergeCell ref="J6:J9"/>
    <mergeCell ref="K6:K9"/>
    <mergeCell ref="F6:F9"/>
    <mergeCell ref="F10:F12"/>
    <mergeCell ref="P13:P16"/>
    <mergeCell ref="O10:O12"/>
    <mergeCell ref="P10:P12"/>
    <mergeCell ref="P6:P9"/>
    <mergeCell ref="P3:P5"/>
    <mergeCell ref="N6:N9"/>
    <mergeCell ref="M6:M9"/>
    <mergeCell ref="O6:O9"/>
    <mergeCell ref="O3:O5"/>
    <mergeCell ref="O21:O23"/>
    <mergeCell ref="P21:P23"/>
    <mergeCell ref="O17:O20"/>
    <mergeCell ref="P17:P20"/>
    <mergeCell ref="N17:N20"/>
    <mergeCell ref="O24:O26"/>
    <mergeCell ref="P24:P26"/>
    <mergeCell ref="L37:L40"/>
    <mergeCell ref="M37:M40"/>
    <mergeCell ref="N37:N40"/>
    <mergeCell ref="O37:O40"/>
    <mergeCell ref="P37:P40"/>
    <mergeCell ref="L33:L36"/>
    <mergeCell ref="M33:M36"/>
    <mergeCell ref="N33:N36"/>
    <mergeCell ref="O33:O36"/>
    <mergeCell ref="P33:P36"/>
    <mergeCell ref="C37:C40"/>
    <mergeCell ref="D37:D40"/>
    <mergeCell ref="E37:E40"/>
    <mergeCell ref="F37:F40"/>
    <mergeCell ref="G37:G40"/>
    <mergeCell ref="H37:H40"/>
    <mergeCell ref="I37:I40"/>
    <mergeCell ref="J37:J40"/>
    <mergeCell ref="K37:K40"/>
  </mergeCells>
  <dataValidations count="1">
    <dataValidation type="list" allowBlank="1" showInputMessage="1" showErrorMessage="1" sqref="B3:B54" xr:uid="{149936BB-E9F7-467B-9B8A-466861C21273}">
      <formula1>resultadoaprendizaje</formula1>
    </dataValidation>
  </dataValidations>
  <pageMargins left="0.7" right="0.7" top="0.75" bottom="0.75" header="0.3" footer="0.3"/>
  <pageSetup orientation="portrait" horizontalDpi="1200" verticalDpi="1200" r:id="rId1"/>
  <legacy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64FCBD-ADC1-40F4-BFE8-98BA12AA9611}">
  <dimension ref="B1:D37"/>
  <sheetViews>
    <sheetView topLeftCell="A15" workbookViewId="0">
      <selection activeCell="B38" sqref="B38"/>
    </sheetView>
  </sheetViews>
  <sheetFormatPr baseColWidth="10" defaultColWidth="11.453125" defaultRowHeight="14.5" x14ac:dyDescent="0.35"/>
  <cols>
    <col min="2" max="2" width="27.1796875" customWidth="1"/>
    <col min="4" max="4" width="99.26953125" customWidth="1"/>
  </cols>
  <sheetData>
    <row r="1" spans="2:4" ht="30.5" x14ac:dyDescent="0.5">
      <c r="B1" s="1" t="s">
        <v>190</v>
      </c>
      <c r="D1" s="26" t="s">
        <v>191</v>
      </c>
    </row>
    <row r="2" spans="2:4" ht="16.5" x14ac:dyDescent="0.5">
      <c r="B2" s="1" t="s">
        <v>192</v>
      </c>
    </row>
    <row r="3" spans="2:4" ht="16.5" x14ac:dyDescent="0.5">
      <c r="B3" s="1" t="s">
        <v>193</v>
      </c>
    </row>
    <row r="4" spans="2:4" ht="16.5" x14ac:dyDescent="0.5">
      <c r="B4" s="1" t="s">
        <v>47</v>
      </c>
    </row>
    <row r="5" spans="2:4" ht="16.5" x14ac:dyDescent="0.5">
      <c r="B5" s="1" t="s">
        <v>194</v>
      </c>
    </row>
    <row r="6" spans="2:4" ht="16.5" x14ac:dyDescent="0.5">
      <c r="B6" s="1" t="s">
        <v>195</v>
      </c>
    </row>
    <row r="7" spans="2:4" ht="16.5" x14ac:dyDescent="0.5">
      <c r="B7" s="1" t="s">
        <v>196</v>
      </c>
    </row>
    <row r="8" spans="2:4" ht="16.5" x14ac:dyDescent="0.5">
      <c r="B8" s="1" t="s">
        <v>197</v>
      </c>
    </row>
    <row r="9" spans="2:4" ht="16.5" x14ac:dyDescent="0.5">
      <c r="B9" s="1" t="s">
        <v>198</v>
      </c>
    </row>
    <row r="10" spans="2:4" ht="16.5" x14ac:dyDescent="0.5">
      <c r="B10" s="1" t="s">
        <v>199</v>
      </c>
    </row>
    <row r="11" spans="2:4" ht="16.5" x14ac:dyDescent="0.5">
      <c r="B11" s="1" t="s">
        <v>200</v>
      </c>
    </row>
    <row r="12" spans="2:4" ht="16.5" x14ac:dyDescent="0.5">
      <c r="B12" s="1" t="s">
        <v>201</v>
      </c>
    </row>
    <row r="13" spans="2:4" ht="16.5" x14ac:dyDescent="0.5">
      <c r="B13" s="1" t="s">
        <v>202</v>
      </c>
    </row>
    <row r="14" spans="2:4" ht="16.5" x14ac:dyDescent="0.5">
      <c r="B14" s="1" t="s">
        <v>203</v>
      </c>
    </row>
    <row r="15" spans="2:4" ht="16.5" x14ac:dyDescent="0.5">
      <c r="B15" s="1" t="s">
        <v>204</v>
      </c>
    </row>
    <row r="16" spans="2:4" ht="16.5" x14ac:dyDescent="0.5">
      <c r="B16" s="1" t="s">
        <v>205</v>
      </c>
    </row>
    <row r="17" spans="2:2" ht="16.5" x14ac:dyDescent="0.5">
      <c r="B17" s="1" t="s">
        <v>206</v>
      </c>
    </row>
    <row r="18" spans="2:2" ht="16.5" x14ac:dyDescent="0.5">
      <c r="B18" s="1" t="s">
        <v>207</v>
      </c>
    </row>
    <row r="19" spans="2:2" ht="16.5" x14ac:dyDescent="0.5">
      <c r="B19" s="1" t="s">
        <v>208</v>
      </c>
    </row>
    <row r="20" spans="2:2" ht="16.5" x14ac:dyDescent="0.5">
      <c r="B20" s="1" t="s">
        <v>209</v>
      </c>
    </row>
    <row r="21" spans="2:2" ht="16.5" x14ac:dyDescent="0.5">
      <c r="B21" s="1" t="s">
        <v>210</v>
      </c>
    </row>
    <row r="22" spans="2:2" ht="16.5" x14ac:dyDescent="0.5">
      <c r="B22" s="1" t="s">
        <v>211</v>
      </c>
    </row>
    <row r="23" spans="2:2" ht="16.5" x14ac:dyDescent="0.5">
      <c r="B23" s="1" t="s">
        <v>212</v>
      </c>
    </row>
    <row r="24" spans="2:2" ht="16.5" x14ac:dyDescent="0.5">
      <c r="B24" s="1" t="s">
        <v>50</v>
      </c>
    </row>
    <row r="25" spans="2:2" ht="16.5" x14ac:dyDescent="0.5">
      <c r="B25" s="1" t="s">
        <v>213</v>
      </c>
    </row>
    <row r="26" spans="2:2" ht="16.5" x14ac:dyDescent="0.5">
      <c r="B26" s="1" t="s">
        <v>214</v>
      </c>
    </row>
    <row r="27" spans="2:2" ht="16.5" x14ac:dyDescent="0.5">
      <c r="B27" s="1" t="s">
        <v>215</v>
      </c>
    </row>
    <row r="28" spans="2:2" ht="16.5" x14ac:dyDescent="0.5">
      <c r="B28" s="1" t="s">
        <v>216</v>
      </c>
    </row>
    <row r="29" spans="2:2" ht="16.5" x14ac:dyDescent="0.5">
      <c r="B29" s="1" t="s">
        <v>217</v>
      </c>
    </row>
    <row r="30" spans="2:2" ht="16.5" x14ac:dyDescent="0.5">
      <c r="B30" s="1" t="s">
        <v>218</v>
      </c>
    </row>
    <row r="31" spans="2:2" ht="16.5" x14ac:dyDescent="0.5">
      <c r="B31" s="1" t="s">
        <v>219</v>
      </c>
    </row>
    <row r="32" spans="2:2" ht="16.5" x14ac:dyDescent="0.5">
      <c r="B32" s="1" t="s">
        <v>220</v>
      </c>
    </row>
    <row r="33" spans="2:2" ht="16.5" x14ac:dyDescent="0.5">
      <c r="B33" s="1" t="s">
        <v>221</v>
      </c>
    </row>
    <row r="34" spans="2:2" ht="16.5" x14ac:dyDescent="0.5">
      <c r="B34" s="1" t="s">
        <v>222</v>
      </c>
    </row>
    <row r="35" spans="2:2" ht="16.5" x14ac:dyDescent="0.5">
      <c r="B35" s="1" t="s">
        <v>223</v>
      </c>
    </row>
    <row r="36" spans="2:2" ht="16.5" x14ac:dyDescent="0.5">
      <c r="B36" s="1" t="s">
        <v>224</v>
      </c>
    </row>
    <row r="37" spans="2:2" ht="16.5" x14ac:dyDescent="0.5">
      <c r="B37" s="1" t="s">
        <v>225</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A97597-49CE-4804-805A-84A20592BE98}">
  <dimension ref="A1:BK108"/>
  <sheetViews>
    <sheetView topLeftCell="AG1" zoomScale="66" workbookViewId="0">
      <selection activeCell="AS24" sqref="AS24"/>
    </sheetView>
  </sheetViews>
  <sheetFormatPr baseColWidth="10" defaultColWidth="11.453125" defaultRowHeight="16.5" x14ac:dyDescent="0.5"/>
  <cols>
    <col min="1" max="1" width="20.453125" style="1" customWidth="1"/>
    <col min="2" max="2" width="14.26953125" style="1" customWidth="1"/>
    <col min="3" max="3" width="22.1796875" style="1" customWidth="1"/>
    <col min="4" max="4" width="21.54296875" style="1" customWidth="1"/>
    <col min="5" max="5" width="22.81640625" style="1" customWidth="1"/>
    <col min="6" max="6" width="16.81640625" style="1" customWidth="1"/>
    <col min="7" max="7" width="21.81640625" style="1" customWidth="1"/>
    <col min="8" max="8" width="26.1796875" style="1" customWidth="1"/>
    <col min="9" max="9" width="25.26953125" style="1" customWidth="1"/>
    <col min="10" max="10" width="24.453125" style="1" customWidth="1"/>
    <col min="11" max="11" width="15.26953125" style="1" customWidth="1"/>
    <col min="12" max="17" width="17.7265625" style="1" customWidth="1"/>
    <col min="18" max="18" width="22.54296875" style="1" customWidth="1"/>
    <col min="19" max="33" width="17.453125" style="1" customWidth="1"/>
    <col min="34" max="36" width="13.1796875" style="1" customWidth="1"/>
    <col min="37" max="37" width="14.54296875" style="1" customWidth="1"/>
    <col min="38" max="38" width="23.1796875" style="1" bestFit="1" customWidth="1"/>
    <col min="39" max="39" width="18" style="1" customWidth="1"/>
    <col min="40" max="40" width="20.453125" style="1" bestFit="1" customWidth="1"/>
    <col min="41" max="41" width="21.81640625" style="1" bestFit="1" customWidth="1"/>
    <col min="42" max="42" width="17.453125" style="1" bestFit="1" customWidth="1"/>
    <col min="43" max="43" width="18.54296875" style="1" bestFit="1" customWidth="1"/>
    <col min="44" max="44" width="16.7265625" style="1" customWidth="1"/>
    <col min="45" max="45" width="26.54296875" style="1" bestFit="1" customWidth="1"/>
    <col min="46" max="46" width="21.54296875" style="1" bestFit="1" customWidth="1"/>
    <col min="47" max="47" width="19.1796875" style="1" bestFit="1" customWidth="1"/>
    <col min="48" max="48" width="24.1796875" style="1" bestFit="1" customWidth="1"/>
    <col min="49" max="49" width="24.81640625" style="1" bestFit="1" customWidth="1"/>
    <col min="50" max="50" width="23.1796875" style="1" bestFit="1" customWidth="1"/>
    <col min="51" max="51" width="22.26953125" style="1" bestFit="1" customWidth="1"/>
    <col min="52" max="52" width="32.1796875" style="1" bestFit="1" customWidth="1"/>
    <col min="53" max="53" width="13.26953125" style="1" customWidth="1"/>
    <col min="54" max="54" width="23.81640625" style="1" customWidth="1"/>
    <col min="55" max="55" width="22.54296875" style="1" customWidth="1"/>
    <col min="56" max="56" width="21.453125" style="1" customWidth="1"/>
    <col min="57" max="57" width="25" style="1" customWidth="1"/>
    <col min="58" max="58" width="24.7265625" style="1" customWidth="1"/>
    <col min="59" max="59" width="22.7265625" style="1" customWidth="1"/>
    <col min="60" max="63" width="13.26953125" style="1" customWidth="1"/>
    <col min="64" max="16384" width="11.453125" style="1"/>
  </cols>
  <sheetData>
    <row r="1" spans="1:63" x14ac:dyDescent="0.5">
      <c r="S1" s="106" t="s">
        <v>226</v>
      </c>
      <c r="T1" s="106"/>
      <c r="U1" s="106"/>
      <c r="V1" s="106"/>
      <c r="W1" s="106"/>
      <c r="X1" s="106"/>
      <c r="Y1" s="106"/>
      <c r="Z1" s="106"/>
      <c r="AA1" s="106"/>
      <c r="AB1" s="106"/>
      <c r="AC1" s="106"/>
      <c r="AD1" s="106"/>
      <c r="AE1" s="106"/>
      <c r="AF1" s="106"/>
      <c r="AG1" s="106"/>
      <c r="AH1" s="9"/>
      <c r="AI1" s="9"/>
      <c r="AJ1" s="9"/>
      <c r="AL1" s="106" t="s">
        <v>227</v>
      </c>
      <c r="AM1" s="106"/>
      <c r="AN1" s="106"/>
      <c r="AO1" s="106"/>
      <c r="AP1" s="106"/>
      <c r="AQ1" s="106"/>
      <c r="AR1" s="106"/>
      <c r="AS1" s="106"/>
      <c r="AT1" s="106"/>
      <c r="AU1" s="106"/>
      <c r="AV1" s="106"/>
      <c r="AW1" s="106"/>
      <c r="AX1" s="106"/>
      <c r="AY1" s="106"/>
      <c r="AZ1" s="106"/>
      <c r="BA1" s="9"/>
      <c r="BB1" s="106" t="s">
        <v>228</v>
      </c>
      <c r="BC1" s="106"/>
      <c r="BD1" s="106"/>
      <c r="BE1" s="106"/>
      <c r="BF1" s="106"/>
      <c r="BG1" s="106"/>
      <c r="BH1" s="9"/>
      <c r="BK1" s="9"/>
    </row>
    <row r="2" spans="1:63" x14ac:dyDescent="0.5">
      <c r="L2" s="106" t="s">
        <v>229</v>
      </c>
      <c r="M2" s="106"/>
      <c r="N2" s="106"/>
      <c r="O2" s="106"/>
      <c r="P2" s="106"/>
      <c r="Q2" s="106"/>
      <c r="S2" s="107" t="s">
        <v>230</v>
      </c>
      <c r="T2" s="107"/>
      <c r="U2" s="107"/>
      <c r="V2" s="107"/>
      <c r="W2" s="107"/>
      <c r="X2" s="107"/>
      <c r="Y2" s="107" t="s">
        <v>231</v>
      </c>
      <c r="Z2" s="107"/>
      <c r="AA2" s="107"/>
      <c r="AB2" s="107"/>
      <c r="AC2" s="107" t="s">
        <v>232</v>
      </c>
      <c r="AD2" s="107"/>
      <c r="AE2" s="107"/>
      <c r="AF2" s="107"/>
      <c r="AG2" s="107"/>
      <c r="AH2" s="9"/>
      <c r="AI2" s="9"/>
      <c r="AJ2" s="9"/>
      <c r="AL2" s="106"/>
      <c r="AM2" s="106"/>
      <c r="AN2" s="106"/>
      <c r="AO2" s="106"/>
      <c r="AP2" s="106"/>
      <c r="AQ2" s="106"/>
      <c r="AR2" s="9"/>
      <c r="AS2" s="9"/>
      <c r="AT2" s="9"/>
      <c r="AU2" s="9"/>
      <c r="AV2" s="9"/>
      <c r="AW2" s="9"/>
      <c r="AX2" s="9"/>
      <c r="AY2" s="9"/>
      <c r="AZ2" s="9"/>
      <c r="BA2" s="9"/>
      <c r="BB2" s="9"/>
      <c r="BC2" s="9"/>
      <c r="BD2" s="9"/>
      <c r="BE2" s="9"/>
      <c r="BF2" s="9"/>
      <c r="BG2" s="9"/>
      <c r="BH2" s="9"/>
      <c r="BK2" s="9"/>
    </row>
    <row r="3" spans="1:63" x14ac:dyDescent="0.5">
      <c r="A3" s="1" t="s">
        <v>233</v>
      </c>
      <c r="C3" s="1" t="s">
        <v>70</v>
      </c>
      <c r="D3" s="1" t="s">
        <v>234</v>
      </c>
      <c r="E3" s="1" t="s">
        <v>235</v>
      </c>
      <c r="G3" s="1" t="s">
        <v>236</v>
      </c>
      <c r="H3" s="1" t="s">
        <v>237</v>
      </c>
      <c r="I3" s="1" t="s">
        <v>238</v>
      </c>
      <c r="L3" s="1" t="s">
        <v>239</v>
      </c>
      <c r="M3" s="1" t="s">
        <v>240</v>
      </c>
      <c r="N3" s="1" t="s">
        <v>241</v>
      </c>
      <c r="O3" s="1" t="s">
        <v>242</v>
      </c>
      <c r="P3" s="1" t="s">
        <v>243</v>
      </c>
      <c r="Q3" s="1" t="s">
        <v>244</v>
      </c>
      <c r="S3" s="1" t="s">
        <v>245</v>
      </c>
      <c r="T3" s="1" t="s">
        <v>246</v>
      </c>
      <c r="U3" s="1" t="s">
        <v>247</v>
      </c>
      <c r="V3" s="1" t="s">
        <v>72</v>
      </c>
      <c r="W3" s="1" t="s">
        <v>248</v>
      </c>
      <c r="X3" s="1" t="s">
        <v>249</v>
      </c>
      <c r="Y3" s="1" t="s">
        <v>250</v>
      </c>
      <c r="Z3" s="1" t="s">
        <v>251</v>
      </c>
      <c r="AA3" s="1" t="s">
        <v>76</v>
      </c>
      <c r="AB3" s="1" t="s">
        <v>252</v>
      </c>
      <c r="AC3" s="1" t="s">
        <v>253</v>
      </c>
      <c r="AD3" s="1" t="s">
        <v>254</v>
      </c>
      <c r="AE3" s="1" t="s">
        <v>255</v>
      </c>
      <c r="AF3" s="1" t="s">
        <v>79</v>
      </c>
      <c r="AG3" s="1" t="s">
        <v>256</v>
      </c>
      <c r="AL3" s="108" t="s">
        <v>257</v>
      </c>
      <c r="AM3" s="109"/>
      <c r="AN3" s="109"/>
      <c r="AO3" s="108" t="s">
        <v>258</v>
      </c>
      <c r="AP3" s="109"/>
      <c r="AQ3" s="109"/>
      <c r="AR3" s="108" t="s">
        <v>259</v>
      </c>
      <c r="AS3" s="109"/>
      <c r="AT3" s="109"/>
      <c r="AU3" s="110"/>
      <c r="AV3" s="108" t="s">
        <v>260</v>
      </c>
      <c r="AW3" s="109"/>
      <c r="AX3" s="109"/>
      <c r="AY3" s="109"/>
      <c r="AZ3" s="110"/>
      <c r="BA3" s="10"/>
      <c r="BB3" s="10"/>
      <c r="BC3" s="10"/>
      <c r="BD3" s="10"/>
      <c r="BE3" s="10"/>
      <c r="BF3" s="10"/>
      <c r="BG3" s="10"/>
      <c r="BH3" s="10"/>
      <c r="BK3" s="10"/>
    </row>
    <row r="4" spans="1:63" x14ac:dyDescent="0.5">
      <c r="A4" s="1" t="s">
        <v>261</v>
      </c>
      <c r="C4" s="1" t="s">
        <v>71</v>
      </c>
      <c r="D4" s="1" t="s">
        <v>262</v>
      </c>
      <c r="E4" s="1" t="s">
        <v>263</v>
      </c>
      <c r="G4" s="1" t="s">
        <v>239</v>
      </c>
      <c r="H4" s="1" t="s">
        <v>239</v>
      </c>
      <c r="I4" s="1" t="s">
        <v>239</v>
      </c>
      <c r="L4" s="1" t="s">
        <v>264</v>
      </c>
      <c r="M4" s="1" t="s">
        <v>196</v>
      </c>
      <c r="N4" s="1" t="s">
        <v>47</v>
      </c>
      <c r="O4" s="1" t="s">
        <v>265</v>
      </c>
      <c r="P4" s="1" t="s">
        <v>266</v>
      </c>
      <c r="Q4" s="1" t="s">
        <v>267</v>
      </c>
      <c r="S4" s="1" t="s">
        <v>264</v>
      </c>
      <c r="T4" s="1" t="s">
        <v>196</v>
      </c>
      <c r="U4" s="1" t="s">
        <v>47</v>
      </c>
      <c r="V4" s="1" t="s">
        <v>265</v>
      </c>
      <c r="W4" s="1" t="s">
        <v>266</v>
      </c>
      <c r="X4" s="1" t="s">
        <v>267</v>
      </c>
      <c r="Y4" s="1" t="s">
        <v>268</v>
      </c>
      <c r="Z4" s="1" t="s">
        <v>269</v>
      </c>
      <c r="AA4" s="1" t="s">
        <v>270</v>
      </c>
      <c r="AB4" s="1" t="s">
        <v>271</v>
      </c>
      <c r="AC4" s="1" t="s">
        <v>212</v>
      </c>
      <c r="AD4" s="1" t="s">
        <v>272</v>
      </c>
      <c r="AE4" s="1" t="s">
        <v>273</v>
      </c>
      <c r="AF4" s="1" t="s">
        <v>274</v>
      </c>
      <c r="AG4" s="1" t="s">
        <v>275</v>
      </c>
      <c r="AL4" s="11" t="s">
        <v>276</v>
      </c>
      <c r="AM4" s="11" t="s">
        <v>277</v>
      </c>
      <c r="AN4" s="11" t="s">
        <v>278</v>
      </c>
      <c r="AO4" s="11" t="s">
        <v>279</v>
      </c>
      <c r="AP4" s="12" t="s">
        <v>280</v>
      </c>
      <c r="AQ4" s="11" t="s">
        <v>281</v>
      </c>
      <c r="AR4" s="1" t="s">
        <v>250</v>
      </c>
      <c r="AS4" s="1" t="s">
        <v>251</v>
      </c>
      <c r="AT4" s="1" t="s">
        <v>76</v>
      </c>
      <c r="AU4" s="1" t="s">
        <v>252</v>
      </c>
      <c r="AV4" s="1" t="s">
        <v>253</v>
      </c>
      <c r="AW4" s="1" t="s">
        <v>254</v>
      </c>
      <c r="AX4" s="1" t="s">
        <v>255</v>
      </c>
      <c r="AY4" s="1" t="s">
        <v>79</v>
      </c>
      <c r="AZ4" s="1" t="s">
        <v>256</v>
      </c>
      <c r="BA4" s="10"/>
      <c r="BB4" s="1" t="s">
        <v>282</v>
      </c>
      <c r="BC4" s="1" t="s">
        <v>283</v>
      </c>
      <c r="BD4" s="1" t="s">
        <v>284</v>
      </c>
      <c r="BE4" s="1" t="s">
        <v>285</v>
      </c>
      <c r="BF4" s="1" t="s">
        <v>286</v>
      </c>
      <c r="BG4" s="1" t="s">
        <v>287</v>
      </c>
      <c r="BH4" s="10"/>
      <c r="BK4" s="10"/>
    </row>
    <row r="5" spans="1:63" x14ac:dyDescent="0.5">
      <c r="A5" s="1" t="s">
        <v>70</v>
      </c>
      <c r="C5" s="1" t="s">
        <v>75</v>
      </c>
      <c r="D5" s="1" t="s">
        <v>288</v>
      </c>
      <c r="E5" s="1" t="s">
        <v>289</v>
      </c>
      <c r="G5" s="1" t="s">
        <v>240</v>
      </c>
      <c r="H5" s="1" t="s">
        <v>240</v>
      </c>
      <c r="I5" s="1" t="s">
        <v>240</v>
      </c>
      <c r="L5" s="1" t="s">
        <v>290</v>
      </c>
      <c r="M5" s="1" t="s">
        <v>291</v>
      </c>
      <c r="N5" s="1" t="s">
        <v>292</v>
      </c>
      <c r="O5" s="1" t="s">
        <v>73</v>
      </c>
      <c r="P5" s="1" t="s">
        <v>193</v>
      </c>
      <c r="Q5" s="1" t="s">
        <v>293</v>
      </c>
      <c r="S5" s="1" t="s">
        <v>290</v>
      </c>
      <c r="T5" s="1" t="s">
        <v>291</v>
      </c>
      <c r="U5" s="1" t="s">
        <v>292</v>
      </c>
      <c r="V5" s="1" t="s">
        <v>73</v>
      </c>
      <c r="W5" s="1" t="s">
        <v>193</v>
      </c>
      <c r="X5" s="1" t="s">
        <v>293</v>
      </c>
      <c r="Y5" s="1" t="s">
        <v>266</v>
      </c>
      <c r="Z5" s="1" t="s">
        <v>294</v>
      </c>
      <c r="AA5" s="1" t="s">
        <v>216</v>
      </c>
      <c r="AB5" s="1" t="s">
        <v>295</v>
      </c>
      <c r="AC5" s="1" t="s">
        <v>198</v>
      </c>
      <c r="AD5" s="1" t="s">
        <v>296</v>
      </c>
      <c r="AE5" s="1" t="s">
        <v>272</v>
      </c>
      <c r="AF5" s="1" t="s">
        <v>297</v>
      </c>
      <c r="AG5" s="1" t="s">
        <v>298</v>
      </c>
      <c r="AL5" s="2" t="s">
        <v>299</v>
      </c>
      <c r="AM5" s="2" t="s">
        <v>300</v>
      </c>
      <c r="AN5" s="2" t="s">
        <v>301</v>
      </c>
      <c r="AO5" s="2" t="s">
        <v>302</v>
      </c>
      <c r="AP5" s="2" t="s">
        <v>266</v>
      </c>
      <c r="AQ5" s="2" t="s">
        <v>202</v>
      </c>
      <c r="AR5" s="1" t="s">
        <v>303</v>
      </c>
      <c r="AS5" s="1" t="s">
        <v>304</v>
      </c>
      <c r="AT5" s="1" t="s">
        <v>305</v>
      </c>
      <c r="AU5" s="1" t="s">
        <v>306</v>
      </c>
      <c r="AV5" s="1" t="s">
        <v>212</v>
      </c>
      <c r="AW5" s="1" t="s">
        <v>272</v>
      </c>
      <c r="AX5" s="1" t="s">
        <v>273</v>
      </c>
      <c r="AY5" s="1" t="s">
        <v>307</v>
      </c>
      <c r="AZ5" s="1" t="s">
        <v>275</v>
      </c>
      <c r="BA5" s="2"/>
      <c r="BB5" s="13" t="s">
        <v>299</v>
      </c>
      <c r="BC5" s="15" t="s">
        <v>196</v>
      </c>
      <c r="BD5" s="13" t="s">
        <v>302</v>
      </c>
      <c r="BE5" s="13" t="s">
        <v>301</v>
      </c>
      <c r="BF5" s="15" t="s">
        <v>308</v>
      </c>
      <c r="BG5" s="15" t="s">
        <v>308</v>
      </c>
      <c r="BH5" s="2"/>
      <c r="BK5" s="2"/>
    </row>
    <row r="6" spans="1:63" x14ac:dyDescent="0.5">
      <c r="A6" s="1" t="s">
        <v>234</v>
      </c>
      <c r="C6" s="1" t="s">
        <v>78</v>
      </c>
      <c r="D6" s="1" t="s">
        <v>309</v>
      </c>
      <c r="E6" s="1" t="s">
        <v>310</v>
      </c>
      <c r="G6" s="1" t="s">
        <v>241</v>
      </c>
      <c r="H6" s="1" t="s">
        <v>241</v>
      </c>
      <c r="I6" s="1" t="s">
        <v>241</v>
      </c>
      <c r="L6" s="1" t="s">
        <v>311</v>
      </c>
      <c r="M6" s="1" t="s">
        <v>312</v>
      </c>
      <c r="N6" s="1" t="s">
        <v>313</v>
      </c>
      <c r="O6" s="1" t="s">
        <v>314</v>
      </c>
      <c r="P6" s="1" t="s">
        <v>306</v>
      </c>
      <c r="Q6" s="1" t="s">
        <v>315</v>
      </c>
      <c r="S6" s="1" t="s">
        <v>311</v>
      </c>
      <c r="T6" s="1" t="s">
        <v>312</v>
      </c>
      <c r="U6" s="1" t="s">
        <v>313</v>
      </c>
      <c r="V6" s="1" t="s">
        <v>314</v>
      </c>
      <c r="W6" s="1" t="s">
        <v>306</v>
      </c>
      <c r="X6" s="1" t="s">
        <v>315</v>
      </c>
      <c r="Y6" s="1" t="s">
        <v>316</v>
      </c>
      <c r="Z6" s="1" t="s">
        <v>317</v>
      </c>
      <c r="AA6" s="1" t="s">
        <v>318</v>
      </c>
      <c r="AB6" s="1" t="s">
        <v>319</v>
      </c>
      <c r="AC6" s="1" t="s">
        <v>203</v>
      </c>
      <c r="AD6" s="1" t="s">
        <v>320</v>
      </c>
      <c r="AE6" s="1" t="s">
        <v>308</v>
      </c>
      <c r="AF6" s="1" t="s">
        <v>321</v>
      </c>
      <c r="AG6" s="1" t="s">
        <v>198</v>
      </c>
      <c r="AL6" s="2" t="s">
        <v>311</v>
      </c>
      <c r="AM6" s="2" t="s">
        <v>322</v>
      </c>
      <c r="AN6" s="2" t="s">
        <v>302</v>
      </c>
      <c r="AO6" s="2" t="s">
        <v>265</v>
      </c>
      <c r="AP6" s="2" t="s">
        <v>323</v>
      </c>
      <c r="AQ6" s="2" t="s">
        <v>324</v>
      </c>
      <c r="AR6" s="1" t="s">
        <v>266</v>
      </c>
      <c r="AS6" s="1" t="s">
        <v>265</v>
      </c>
      <c r="AT6" s="1" t="s">
        <v>301</v>
      </c>
      <c r="AU6" s="1" t="s">
        <v>325</v>
      </c>
      <c r="AV6" s="1" t="s">
        <v>198</v>
      </c>
      <c r="AW6" s="1" t="s">
        <v>296</v>
      </c>
      <c r="AX6" s="1" t="s">
        <v>272</v>
      </c>
      <c r="AY6" s="1" t="s">
        <v>73</v>
      </c>
      <c r="AZ6" s="1" t="s">
        <v>298</v>
      </c>
      <c r="BA6" s="2"/>
      <c r="BB6" s="14" t="s">
        <v>311</v>
      </c>
      <c r="BC6" s="16" t="s">
        <v>291</v>
      </c>
      <c r="BD6" s="15" t="s">
        <v>265</v>
      </c>
      <c r="BE6" s="14" t="s">
        <v>302</v>
      </c>
      <c r="BF6" s="16" t="s">
        <v>307</v>
      </c>
      <c r="BG6" s="15" t="s">
        <v>273</v>
      </c>
      <c r="BH6" s="2"/>
      <c r="BK6" s="2"/>
    </row>
    <row r="7" spans="1:63" x14ac:dyDescent="0.5">
      <c r="A7" s="1" t="s">
        <v>235</v>
      </c>
      <c r="D7" s="1" t="s">
        <v>326</v>
      </c>
      <c r="G7" s="1" t="s">
        <v>242</v>
      </c>
      <c r="H7" s="1" t="s">
        <v>242</v>
      </c>
      <c r="I7" s="1" t="s">
        <v>242</v>
      </c>
      <c r="L7" s="1" t="s">
        <v>327</v>
      </c>
      <c r="M7" s="1" t="s">
        <v>197</v>
      </c>
      <c r="N7" s="1" t="s">
        <v>328</v>
      </c>
      <c r="O7" s="1" t="s">
        <v>329</v>
      </c>
      <c r="P7" s="1" t="s">
        <v>306</v>
      </c>
      <c r="Q7" s="1" t="s">
        <v>330</v>
      </c>
      <c r="S7" s="1" t="s">
        <v>327</v>
      </c>
      <c r="T7" s="1" t="s">
        <v>197</v>
      </c>
      <c r="U7" s="1" t="s">
        <v>328</v>
      </c>
      <c r="V7" s="1" t="s">
        <v>329</v>
      </c>
      <c r="W7" s="1" t="s">
        <v>306</v>
      </c>
      <c r="X7" s="1" t="s">
        <v>330</v>
      </c>
      <c r="Y7" s="1" t="s">
        <v>331</v>
      </c>
      <c r="Z7" s="1" t="s">
        <v>332</v>
      </c>
      <c r="AA7" s="1" t="s">
        <v>333</v>
      </c>
      <c r="AB7" s="1" t="s">
        <v>334</v>
      </c>
      <c r="AC7" s="1" t="s">
        <v>269</v>
      </c>
      <c r="AD7" s="1" t="s">
        <v>299</v>
      </c>
      <c r="AE7" s="1" t="s">
        <v>299</v>
      </c>
      <c r="AF7" s="1" t="s">
        <v>307</v>
      </c>
      <c r="AG7" s="1" t="s">
        <v>335</v>
      </c>
      <c r="AL7" s="2" t="s">
        <v>336</v>
      </c>
      <c r="AM7" s="2" t="s">
        <v>337</v>
      </c>
      <c r="AN7" s="2" t="s">
        <v>314</v>
      </c>
      <c r="AO7" s="2" t="s">
        <v>338</v>
      </c>
      <c r="AP7" s="2" t="s">
        <v>339</v>
      </c>
      <c r="AQ7" s="2" t="s">
        <v>340</v>
      </c>
      <c r="AR7" s="1" t="s">
        <v>268</v>
      </c>
      <c r="AS7" s="1" t="s">
        <v>268</v>
      </c>
      <c r="AT7" s="1" t="s">
        <v>268</v>
      </c>
      <c r="AU7" s="1" t="s">
        <v>300</v>
      </c>
      <c r="AV7" s="1" t="s">
        <v>203</v>
      </c>
      <c r="AW7" s="1" t="s">
        <v>320</v>
      </c>
      <c r="AX7" s="1" t="s">
        <v>308</v>
      </c>
      <c r="AY7" s="1" t="s">
        <v>341</v>
      </c>
      <c r="AZ7" s="1" t="s">
        <v>198</v>
      </c>
      <c r="BA7" s="2"/>
      <c r="BB7" s="13" t="s">
        <v>336</v>
      </c>
      <c r="BC7" s="1" t="s">
        <v>300</v>
      </c>
      <c r="BD7" s="16" t="s">
        <v>73</v>
      </c>
      <c r="BE7" s="15" t="s">
        <v>47</v>
      </c>
      <c r="BF7" s="15" t="s">
        <v>273</v>
      </c>
      <c r="BG7" s="15" t="s">
        <v>342</v>
      </c>
      <c r="BH7" s="2"/>
      <c r="BK7" s="2"/>
    </row>
    <row r="8" spans="1:63" x14ac:dyDescent="0.5">
      <c r="G8" s="1" t="s">
        <v>243</v>
      </c>
      <c r="H8" s="1" t="s">
        <v>243</v>
      </c>
      <c r="I8" s="1" t="s">
        <v>243</v>
      </c>
      <c r="L8" s="1" t="s">
        <v>343</v>
      </c>
      <c r="M8" s="1" t="s">
        <v>344</v>
      </c>
      <c r="N8" s="1" t="s">
        <v>198</v>
      </c>
      <c r="O8" s="1" t="s">
        <v>322</v>
      </c>
      <c r="P8" s="1" t="s">
        <v>345</v>
      </c>
      <c r="Q8" s="1" t="s">
        <v>346</v>
      </c>
      <c r="S8" s="1" t="s">
        <v>343</v>
      </c>
      <c r="T8" s="1" t="s">
        <v>344</v>
      </c>
      <c r="U8" s="1" t="s">
        <v>198</v>
      </c>
      <c r="V8" s="1" t="s">
        <v>322</v>
      </c>
      <c r="W8" s="1" t="s">
        <v>345</v>
      </c>
      <c r="X8" s="1" t="s">
        <v>346</v>
      </c>
      <c r="Y8" s="1" t="s">
        <v>194</v>
      </c>
      <c r="Z8" s="1" t="s">
        <v>347</v>
      </c>
      <c r="AA8" s="1" t="s">
        <v>348</v>
      </c>
      <c r="AB8" s="1" t="s">
        <v>349</v>
      </c>
      <c r="AC8" s="1" t="s">
        <v>47</v>
      </c>
      <c r="AD8" s="1" t="s">
        <v>194</v>
      </c>
      <c r="AE8" s="1" t="s">
        <v>350</v>
      </c>
      <c r="AF8" s="1" t="s">
        <v>351</v>
      </c>
      <c r="AG8" s="1" t="s">
        <v>352</v>
      </c>
      <c r="AL8" s="2" t="s">
        <v>343</v>
      </c>
      <c r="AM8" s="2" t="s">
        <v>320</v>
      </c>
      <c r="AN8" s="2" t="s">
        <v>329</v>
      </c>
      <c r="AO8" s="2" t="s">
        <v>353</v>
      </c>
      <c r="AP8" s="2" t="s">
        <v>354</v>
      </c>
      <c r="AQ8" s="2" t="s">
        <v>355</v>
      </c>
      <c r="AR8" s="1" t="s">
        <v>330</v>
      </c>
      <c r="AS8" s="1" t="s">
        <v>356</v>
      </c>
      <c r="AT8" s="1" t="s">
        <v>318</v>
      </c>
      <c r="AU8" s="1" t="s">
        <v>357</v>
      </c>
      <c r="AV8" s="1" t="s">
        <v>269</v>
      </c>
      <c r="AW8" s="1" t="s">
        <v>299</v>
      </c>
      <c r="AX8" s="1" t="s">
        <v>299</v>
      </c>
      <c r="AY8" s="1" t="s">
        <v>306</v>
      </c>
      <c r="AZ8" s="1" t="s">
        <v>335</v>
      </c>
      <c r="BA8" s="2"/>
      <c r="BB8" s="14" t="s">
        <v>343</v>
      </c>
      <c r="BC8" s="15" t="s">
        <v>312</v>
      </c>
      <c r="BD8" s="15" t="s">
        <v>47</v>
      </c>
      <c r="BE8" s="13" t="s">
        <v>314</v>
      </c>
      <c r="BF8" s="16" t="s">
        <v>342</v>
      </c>
      <c r="BG8" s="15" t="s">
        <v>358</v>
      </c>
      <c r="BH8" s="2"/>
      <c r="BK8" s="2"/>
    </row>
    <row r="9" spans="1:63" x14ac:dyDescent="0.5">
      <c r="G9" s="1" t="s">
        <v>244</v>
      </c>
      <c r="H9" s="1" t="s">
        <v>244</v>
      </c>
      <c r="I9" s="1" t="s">
        <v>244</v>
      </c>
      <c r="L9" s="1" t="s">
        <v>201</v>
      </c>
      <c r="M9" s="1" t="s">
        <v>359</v>
      </c>
      <c r="N9" s="1" t="s">
        <v>360</v>
      </c>
      <c r="O9" s="1" t="s">
        <v>361</v>
      </c>
      <c r="P9" s="1" t="s">
        <v>362</v>
      </c>
      <c r="Q9" s="1" t="s">
        <v>194</v>
      </c>
      <c r="S9" s="1" t="s">
        <v>201</v>
      </c>
      <c r="T9" s="1" t="s">
        <v>359</v>
      </c>
      <c r="U9" s="1" t="s">
        <v>360</v>
      </c>
      <c r="V9" s="1" t="s">
        <v>361</v>
      </c>
      <c r="W9" s="1" t="s">
        <v>362</v>
      </c>
      <c r="X9" s="1" t="s">
        <v>194</v>
      </c>
      <c r="Y9" s="1" t="s">
        <v>330</v>
      </c>
      <c r="Z9" s="1" t="s">
        <v>363</v>
      </c>
      <c r="AA9" s="1" t="s">
        <v>364</v>
      </c>
      <c r="AB9" s="1" t="s">
        <v>365</v>
      </c>
      <c r="AC9" s="1" t="s">
        <v>366</v>
      </c>
      <c r="AD9" s="1" t="s">
        <v>212</v>
      </c>
      <c r="AE9" s="1" t="s">
        <v>367</v>
      </c>
      <c r="AF9" s="1" t="s">
        <v>341</v>
      </c>
      <c r="AG9" s="1" t="s">
        <v>342</v>
      </c>
      <c r="AL9" s="2" t="s">
        <v>201</v>
      </c>
      <c r="AM9" s="2" t="s">
        <v>368</v>
      </c>
      <c r="AN9" s="2" t="s">
        <v>369</v>
      </c>
      <c r="AO9" s="2" t="s">
        <v>329</v>
      </c>
      <c r="AP9" s="2" t="s">
        <v>370</v>
      </c>
      <c r="AQ9" s="2" t="s">
        <v>371</v>
      </c>
      <c r="AR9" s="1" t="s">
        <v>73</v>
      </c>
      <c r="AS9" s="1" t="s">
        <v>47</v>
      </c>
      <c r="AT9" s="1" t="s">
        <v>47</v>
      </c>
      <c r="AU9" s="1" t="s">
        <v>372</v>
      </c>
      <c r="AV9" s="1" t="s">
        <v>47</v>
      </c>
      <c r="AW9" s="1" t="s">
        <v>194</v>
      </c>
      <c r="AX9" s="1" t="s">
        <v>350</v>
      </c>
      <c r="AY9" s="1" t="s">
        <v>369</v>
      </c>
      <c r="AZ9" s="1" t="s">
        <v>352</v>
      </c>
      <c r="BA9" s="2"/>
      <c r="BB9" s="13" t="s">
        <v>201</v>
      </c>
      <c r="BC9" s="14" t="s">
        <v>322</v>
      </c>
      <c r="BD9" s="15" t="s">
        <v>338</v>
      </c>
      <c r="BE9" s="16" t="s">
        <v>292</v>
      </c>
      <c r="BF9" s="16" t="s">
        <v>299</v>
      </c>
      <c r="BG9" s="16" t="s">
        <v>373</v>
      </c>
      <c r="BH9" s="2"/>
      <c r="BK9" s="2"/>
    </row>
    <row r="10" spans="1:63" x14ac:dyDescent="0.5">
      <c r="L10" s="1" t="s">
        <v>374</v>
      </c>
      <c r="M10" s="1" t="s">
        <v>375</v>
      </c>
      <c r="N10" s="1" t="s">
        <v>320</v>
      </c>
      <c r="O10" s="1" t="s">
        <v>337</v>
      </c>
      <c r="P10" s="1" t="s">
        <v>314</v>
      </c>
      <c r="Q10" s="1" t="s">
        <v>195</v>
      </c>
      <c r="S10" s="1" t="s">
        <v>374</v>
      </c>
      <c r="T10" s="1" t="s">
        <v>375</v>
      </c>
      <c r="U10" s="1" t="s">
        <v>320</v>
      </c>
      <c r="V10" s="1" t="s">
        <v>337</v>
      </c>
      <c r="W10" s="1" t="s">
        <v>314</v>
      </c>
      <c r="X10" s="1" t="s">
        <v>195</v>
      </c>
      <c r="Y10" s="1" t="s">
        <v>73</v>
      </c>
      <c r="Z10" s="1" t="s">
        <v>212</v>
      </c>
      <c r="AA10" s="1" t="s">
        <v>376</v>
      </c>
      <c r="AB10" s="1" t="s">
        <v>377</v>
      </c>
      <c r="AC10" s="1" t="s">
        <v>378</v>
      </c>
      <c r="AD10" s="1" t="s">
        <v>197</v>
      </c>
      <c r="AE10" s="1" t="s">
        <v>379</v>
      </c>
      <c r="AF10" s="1" t="s">
        <v>380</v>
      </c>
      <c r="AG10" s="1" t="s">
        <v>381</v>
      </c>
      <c r="AL10" s="2" t="s">
        <v>374</v>
      </c>
      <c r="AM10" s="2" t="s">
        <v>382</v>
      </c>
      <c r="AN10" s="2" t="s">
        <v>383</v>
      </c>
      <c r="AO10" s="2" t="s">
        <v>384</v>
      </c>
      <c r="AP10" s="2" t="s">
        <v>313</v>
      </c>
      <c r="AQ10" s="2" t="s">
        <v>214</v>
      </c>
      <c r="AR10" s="1" t="s">
        <v>47</v>
      </c>
      <c r="AS10" s="1" t="s">
        <v>306</v>
      </c>
      <c r="AT10" s="1" t="s">
        <v>385</v>
      </c>
      <c r="AU10" s="1" t="s">
        <v>328</v>
      </c>
      <c r="AV10" s="1" t="s">
        <v>366</v>
      </c>
      <c r="AW10" s="1" t="s">
        <v>212</v>
      </c>
      <c r="AX10" s="1" t="s">
        <v>367</v>
      </c>
      <c r="AY10" s="1" t="s">
        <v>361</v>
      </c>
      <c r="AZ10" s="1" t="s">
        <v>342</v>
      </c>
      <c r="BA10" s="2"/>
      <c r="BB10" s="14" t="s">
        <v>374</v>
      </c>
      <c r="BC10" s="16" t="s">
        <v>197</v>
      </c>
      <c r="BD10" s="16" t="s">
        <v>353</v>
      </c>
      <c r="BE10" s="14" t="s">
        <v>329</v>
      </c>
      <c r="BF10" s="16" t="s">
        <v>358</v>
      </c>
      <c r="BG10" s="15" t="s">
        <v>386</v>
      </c>
      <c r="BH10" s="2"/>
      <c r="BK10" s="2"/>
    </row>
    <row r="11" spans="1:63" x14ac:dyDescent="0.5">
      <c r="G11" s="1" t="s">
        <v>387</v>
      </c>
      <c r="H11" s="1" t="s">
        <v>288</v>
      </c>
      <c r="I11" s="1" t="s">
        <v>388</v>
      </c>
      <c r="J11" s="1" t="s">
        <v>326</v>
      </c>
      <c r="L11" s="1" t="s">
        <v>320</v>
      </c>
      <c r="M11" s="1" t="s">
        <v>389</v>
      </c>
      <c r="N11" s="1" t="s">
        <v>390</v>
      </c>
      <c r="O11" s="1" t="s">
        <v>359</v>
      </c>
      <c r="P11" s="1" t="s">
        <v>328</v>
      </c>
      <c r="Q11" s="1" t="s">
        <v>391</v>
      </c>
      <c r="S11" s="1" t="s">
        <v>320</v>
      </c>
      <c r="T11" s="1" t="s">
        <v>389</v>
      </c>
      <c r="U11" s="1" t="s">
        <v>390</v>
      </c>
      <c r="V11" s="1" t="s">
        <v>359</v>
      </c>
      <c r="W11" s="1" t="s">
        <v>328</v>
      </c>
      <c r="X11" s="1" t="s">
        <v>391</v>
      </c>
      <c r="Y11" s="1" t="s">
        <v>47</v>
      </c>
      <c r="Z11" s="1" t="s">
        <v>274</v>
      </c>
      <c r="AA11" s="1" t="s">
        <v>392</v>
      </c>
      <c r="AB11" s="1" t="s">
        <v>212</v>
      </c>
      <c r="AC11" s="1" t="s">
        <v>393</v>
      </c>
      <c r="AD11" s="1" t="s">
        <v>394</v>
      </c>
      <c r="AE11" s="1" t="s">
        <v>358</v>
      </c>
      <c r="AF11" s="1" t="s">
        <v>395</v>
      </c>
      <c r="AG11" s="1" t="s">
        <v>396</v>
      </c>
      <c r="AL11" s="2" t="s">
        <v>397</v>
      </c>
      <c r="AM11" s="2" t="s">
        <v>398</v>
      </c>
      <c r="AN11" s="2" t="s">
        <v>320</v>
      </c>
      <c r="AO11" s="2" t="s">
        <v>322</v>
      </c>
      <c r="AP11" s="2" t="s">
        <v>322</v>
      </c>
      <c r="AQ11" s="2" t="s">
        <v>399</v>
      </c>
      <c r="AR11" s="1" t="s">
        <v>400</v>
      </c>
      <c r="AS11" s="1" t="s">
        <v>372</v>
      </c>
      <c r="AT11" s="1" t="s">
        <v>372</v>
      </c>
      <c r="AU11" s="1" t="s">
        <v>198</v>
      </c>
      <c r="AV11" s="1" t="s">
        <v>378</v>
      </c>
      <c r="AW11" s="1" t="s">
        <v>197</v>
      </c>
      <c r="AX11" s="1" t="s">
        <v>379</v>
      </c>
      <c r="AY11" s="1" t="s">
        <v>401</v>
      </c>
      <c r="AZ11" s="1" t="s">
        <v>381</v>
      </c>
      <c r="BA11" s="2"/>
      <c r="BB11" s="13" t="s">
        <v>397</v>
      </c>
      <c r="BC11" s="13" t="s">
        <v>337</v>
      </c>
      <c r="BD11" s="15" t="s">
        <v>314</v>
      </c>
      <c r="BE11" s="15" t="s">
        <v>313</v>
      </c>
      <c r="BF11" s="16" t="s">
        <v>373</v>
      </c>
      <c r="BG11" s="15" t="s">
        <v>341</v>
      </c>
      <c r="BH11" s="2"/>
      <c r="BK11" s="2"/>
    </row>
    <row r="12" spans="1:63" x14ac:dyDescent="0.5">
      <c r="G12" s="1" t="s">
        <v>402</v>
      </c>
      <c r="H12" s="1" t="s">
        <v>402</v>
      </c>
      <c r="I12" s="1" t="s">
        <v>402</v>
      </c>
      <c r="J12" s="1" t="s">
        <v>402</v>
      </c>
      <c r="L12" s="1" t="s">
        <v>403</v>
      </c>
      <c r="M12" s="1" t="s">
        <v>403</v>
      </c>
      <c r="N12" s="1" t="s">
        <v>347</v>
      </c>
      <c r="O12" s="1" t="s">
        <v>401</v>
      </c>
      <c r="P12" s="1" t="s">
        <v>404</v>
      </c>
      <c r="Q12" s="1" t="s">
        <v>314</v>
      </c>
      <c r="S12" s="1" t="s">
        <v>403</v>
      </c>
      <c r="T12" s="1" t="s">
        <v>403</v>
      </c>
      <c r="U12" s="1" t="s">
        <v>347</v>
      </c>
      <c r="V12" s="1" t="s">
        <v>401</v>
      </c>
      <c r="W12" s="1" t="s">
        <v>404</v>
      </c>
      <c r="X12" s="1" t="s">
        <v>314</v>
      </c>
      <c r="Y12" s="1" t="s">
        <v>306</v>
      </c>
      <c r="Z12" s="1" t="s">
        <v>405</v>
      </c>
      <c r="AA12" s="1" t="s">
        <v>372</v>
      </c>
      <c r="AB12" s="1" t="s">
        <v>406</v>
      </c>
      <c r="AC12" s="1" t="s">
        <v>407</v>
      </c>
      <c r="AD12" s="1" t="s">
        <v>368</v>
      </c>
      <c r="AE12" s="1" t="s">
        <v>408</v>
      </c>
      <c r="AF12" s="1" t="s">
        <v>409</v>
      </c>
      <c r="AG12" s="1" t="s">
        <v>410</v>
      </c>
      <c r="AL12" s="2" t="s">
        <v>411</v>
      </c>
      <c r="AM12" s="2" t="s">
        <v>412</v>
      </c>
      <c r="AN12" s="2" t="s">
        <v>202</v>
      </c>
      <c r="AO12" s="2" t="s">
        <v>413</v>
      </c>
      <c r="AP12" s="2" t="s">
        <v>414</v>
      </c>
      <c r="AQ12" s="2" t="s">
        <v>415</v>
      </c>
      <c r="AR12" s="1" t="s">
        <v>306</v>
      </c>
      <c r="AS12" s="1" t="s">
        <v>198</v>
      </c>
      <c r="AT12" s="1" t="s">
        <v>416</v>
      </c>
      <c r="AU12" s="1" t="s">
        <v>417</v>
      </c>
      <c r="AV12" s="1" t="s">
        <v>393</v>
      </c>
      <c r="AW12" s="1" t="s">
        <v>394</v>
      </c>
      <c r="AX12" s="1" t="s">
        <v>358</v>
      </c>
      <c r="AY12" s="1" t="s">
        <v>395</v>
      </c>
      <c r="AZ12" s="1" t="s">
        <v>396</v>
      </c>
      <c r="BA12" s="2"/>
      <c r="BB12" s="14" t="s">
        <v>411</v>
      </c>
      <c r="BC12" s="15" t="s">
        <v>344</v>
      </c>
      <c r="BD12" s="16" t="s">
        <v>300</v>
      </c>
      <c r="BE12" s="16" t="s">
        <v>328</v>
      </c>
      <c r="BF12" s="15" t="s">
        <v>386</v>
      </c>
      <c r="BG12" s="16" t="s">
        <v>367</v>
      </c>
      <c r="BH12" s="2"/>
      <c r="BK12" s="2"/>
    </row>
    <row r="13" spans="1:63" x14ac:dyDescent="0.5">
      <c r="G13" s="1" t="s">
        <v>418</v>
      </c>
      <c r="H13" s="1" t="s">
        <v>418</v>
      </c>
      <c r="I13" s="1" t="s">
        <v>418</v>
      </c>
      <c r="J13" s="1" t="s">
        <v>419</v>
      </c>
      <c r="L13" s="1" t="s">
        <v>411</v>
      </c>
      <c r="M13" s="1" t="s">
        <v>420</v>
      </c>
      <c r="N13" s="1" t="s">
        <v>421</v>
      </c>
      <c r="O13" s="1" t="s">
        <v>389</v>
      </c>
      <c r="P13" s="1" t="s">
        <v>422</v>
      </c>
      <c r="Q13" s="1" t="s">
        <v>423</v>
      </c>
      <c r="S13" s="1" t="s">
        <v>411</v>
      </c>
      <c r="T13" s="1" t="s">
        <v>420</v>
      </c>
      <c r="U13" s="1" t="s">
        <v>421</v>
      </c>
      <c r="V13" s="1" t="s">
        <v>389</v>
      </c>
      <c r="W13" s="1" t="s">
        <v>422</v>
      </c>
      <c r="X13" s="1" t="s">
        <v>423</v>
      </c>
      <c r="Y13" s="1" t="s">
        <v>424</v>
      </c>
      <c r="Z13" s="1" t="s">
        <v>425</v>
      </c>
      <c r="AA13" s="1" t="s">
        <v>206</v>
      </c>
      <c r="AB13" s="1" t="s">
        <v>426</v>
      </c>
      <c r="AC13" s="1" t="s">
        <v>308</v>
      </c>
      <c r="AD13" s="1" t="s">
        <v>427</v>
      </c>
      <c r="AE13" s="1" t="s">
        <v>428</v>
      </c>
      <c r="AF13" s="1" t="s">
        <v>201</v>
      </c>
      <c r="AG13" s="1" t="s">
        <v>427</v>
      </c>
      <c r="AL13" s="2" t="s">
        <v>429</v>
      </c>
      <c r="AM13" s="2" t="s">
        <v>430</v>
      </c>
      <c r="AN13" s="2" t="s">
        <v>317</v>
      </c>
      <c r="AO13" s="2" t="s">
        <v>431</v>
      </c>
      <c r="AP13" s="2" t="s">
        <v>328</v>
      </c>
      <c r="AQ13" s="2" t="s">
        <v>380</v>
      </c>
      <c r="AR13" s="1" t="s">
        <v>194</v>
      </c>
      <c r="AS13" s="1" t="s">
        <v>294</v>
      </c>
      <c r="AT13" s="1" t="s">
        <v>432</v>
      </c>
      <c r="AU13" s="1" t="s">
        <v>433</v>
      </c>
      <c r="AV13" s="1" t="s">
        <v>407</v>
      </c>
      <c r="AW13" s="1" t="s">
        <v>368</v>
      </c>
      <c r="AX13" s="1" t="s">
        <v>408</v>
      </c>
      <c r="AY13" s="1" t="s">
        <v>201</v>
      </c>
      <c r="AZ13" s="1" t="s">
        <v>410</v>
      </c>
      <c r="BA13" s="2"/>
      <c r="BB13" s="13" t="s">
        <v>429</v>
      </c>
      <c r="BC13" s="16" t="s">
        <v>359</v>
      </c>
      <c r="BD13" s="16" t="s">
        <v>329</v>
      </c>
      <c r="BE13" s="15" t="s">
        <v>198</v>
      </c>
      <c r="BF13" s="16" t="s">
        <v>341</v>
      </c>
      <c r="BG13" s="15" t="s">
        <v>272</v>
      </c>
      <c r="BH13" s="2"/>
      <c r="BK13" s="2"/>
    </row>
    <row r="14" spans="1:63" x14ac:dyDescent="0.5">
      <c r="G14" s="1" t="s">
        <v>434</v>
      </c>
      <c r="H14" s="1" t="s">
        <v>434</v>
      </c>
      <c r="I14" s="1" t="s">
        <v>434</v>
      </c>
      <c r="J14" s="1" t="s">
        <v>434</v>
      </c>
      <c r="L14" s="1" t="s">
        <v>435</v>
      </c>
      <c r="M14" s="1" t="s">
        <v>347</v>
      </c>
      <c r="N14" s="1" t="s">
        <v>204</v>
      </c>
      <c r="O14" s="1" t="s">
        <v>436</v>
      </c>
      <c r="P14" s="1" t="s">
        <v>369</v>
      </c>
      <c r="Q14" s="1" t="s">
        <v>437</v>
      </c>
      <c r="S14" s="1" t="s">
        <v>435</v>
      </c>
      <c r="T14" s="1" t="s">
        <v>347</v>
      </c>
      <c r="U14" s="1" t="s">
        <v>204</v>
      </c>
      <c r="V14" s="1" t="s">
        <v>436</v>
      </c>
      <c r="W14" s="1" t="s">
        <v>369</v>
      </c>
      <c r="X14" s="1" t="s">
        <v>437</v>
      </c>
      <c r="Y14" s="1" t="s">
        <v>438</v>
      </c>
      <c r="Z14" s="1" t="s">
        <v>435</v>
      </c>
      <c r="AA14" s="1" t="s">
        <v>439</v>
      </c>
      <c r="AB14" s="1" t="s">
        <v>440</v>
      </c>
      <c r="AC14" s="1" t="s">
        <v>441</v>
      </c>
      <c r="AD14" s="1" t="s">
        <v>442</v>
      </c>
      <c r="AE14" s="1" t="s">
        <v>443</v>
      </c>
      <c r="AF14" s="1" t="s">
        <v>390</v>
      </c>
      <c r="AG14" s="1" t="s">
        <v>442</v>
      </c>
      <c r="AL14" s="2" t="s">
        <v>444</v>
      </c>
      <c r="AM14" s="2" t="s">
        <v>445</v>
      </c>
      <c r="AN14" s="2" t="s">
        <v>411</v>
      </c>
      <c r="AO14" s="2" t="s">
        <v>446</v>
      </c>
      <c r="AP14" s="2" t="s">
        <v>360</v>
      </c>
      <c r="AQ14" s="2" t="s">
        <v>447</v>
      </c>
      <c r="AR14" s="1" t="s">
        <v>448</v>
      </c>
      <c r="AS14" s="1" t="s">
        <v>347</v>
      </c>
      <c r="AT14" s="1" t="s">
        <v>449</v>
      </c>
      <c r="AU14" s="1" t="s">
        <v>450</v>
      </c>
      <c r="AV14" s="1" t="s">
        <v>308</v>
      </c>
      <c r="AW14" s="1" t="s">
        <v>427</v>
      </c>
      <c r="AX14" s="1" t="s">
        <v>428</v>
      </c>
      <c r="AY14" s="1" t="s">
        <v>420</v>
      </c>
      <c r="AZ14" s="1" t="s">
        <v>427</v>
      </c>
      <c r="BA14" s="2"/>
      <c r="BB14" s="14" t="s">
        <v>444</v>
      </c>
      <c r="BC14" s="15" t="s">
        <v>375</v>
      </c>
      <c r="BD14" s="14" t="s">
        <v>384</v>
      </c>
      <c r="BE14" s="13" t="s">
        <v>369</v>
      </c>
      <c r="BF14" s="16" t="s">
        <v>339</v>
      </c>
      <c r="BG14" s="15" t="s">
        <v>451</v>
      </c>
      <c r="BH14" s="2"/>
      <c r="BK14" s="2"/>
    </row>
    <row r="15" spans="1:63" x14ac:dyDescent="0.5">
      <c r="G15" s="1" t="s">
        <v>452</v>
      </c>
      <c r="H15" s="1" t="s">
        <v>452</v>
      </c>
      <c r="I15" s="1" t="s">
        <v>452</v>
      </c>
      <c r="J15" s="1" t="s">
        <v>452</v>
      </c>
      <c r="L15" s="1" t="s">
        <v>429</v>
      </c>
      <c r="M15" s="1" t="s">
        <v>368</v>
      </c>
      <c r="N15" s="1" t="s">
        <v>317</v>
      </c>
      <c r="O15" s="1" t="s">
        <v>202</v>
      </c>
      <c r="P15" s="1" t="s">
        <v>360</v>
      </c>
      <c r="Q15" s="1" t="s">
        <v>300</v>
      </c>
      <c r="S15" s="1" t="s">
        <v>429</v>
      </c>
      <c r="T15" s="1" t="s">
        <v>368</v>
      </c>
      <c r="U15" s="1" t="s">
        <v>317</v>
      </c>
      <c r="V15" s="1" t="s">
        <v>202</v>
      </c>
      <c r="W15" s="1" t="s">
        <v>360</v>
      </c>
      <c r="X15" s="1" t="s">
        <v>300</v>
      </c>
      <c r="Y15" s="1" t="s">
        <v>270</v>
      </c>
      <c r="Z15" s="1" t="s">
        <v>198</v>
      </c>
      <c r="AA15" s="1" t="s">
        <v>453</v>
      </c>
      <c r="AB15" s="1" t="s">
        <v>198</v>
      </c>
      <c r="AC15" s="1" t="s">
        <v>207</v>
      </c>
      <c r="AD15" s="1" t="s">
        <v>454</v>
      </c>
      <c r="AE15" s="1" t="s">
        <v>373</v>
      </c>
      <c r="AF15" s="1" t="s">
        <v>361</v>
      </c>
      <c r="AG15" s="1" t="s">
        <v>421</v>
      </c>
      <c r="AL15" s="2" t="s">
        <v>455</v>
      </c>
      <c r="AM15" s="2" t="s">
        <v>456</v>
      </c>
      <c r="AN15" s="2" t="s">
        <v>407</v>
      </c>
      <c r="AO15" s="2" t="s">
        <v>457</v>
      </c>
      <c r="AP15" s="2" t="s">
        <v>458</v>
      </c>
      <c r="AQ15" s="2" t="s">
        <v>459</v>
      </c>
      <c r="AR15" s="1" t="s">
        <v>370</v>
      </c>
      <c r="AS15" s="1" t="s">
        <v>269</v>
      </c>
      <c r="AT15" s="1" t="s">
        <v>460</v>
      </c>
      <c r="AU15" s="1" t="s">
        <v>269</v>
      </c>
      <c r="AV15" s="1" t="s">
        <v>441</v>
      </c>
      <c r="AW15" s="1" t="s">
        <v>442</v>
      </c>
      <c r="AX15" s="1" t="s">
        <v>443</v>
      </c>
      <c r="AY15" s="1" t="s">
        <v>390</v>
      </c>
      <c r="AZ15" s="1" t="s">
        <v>442</v>
      </c>
      <c r="BA15" s="2"/>
      <c r="BB15" s="13" t="s">
        <v>455</v>
      </c>
      <c r="BC15" s="16" t="s">
        <v>389</v>
      </c>
      <c r="BD15" s="15" t="s">
        <v>313</v>
      </c>
      <c r="BE15" s="16" t="s">
        <v>360</v>
      </c>
      <c r="BF15" s="16" t="s">
        <v>367</v>
      </c>
      <c r="BG15" s="15" t="s">
        <v>443</v>
      </c>
      <c r="BH15" s="2"/>
      <c r="BK15" s="2"/>
    </row>
    <row r="16" spans="1:63" x14ac:dyDescent="0.5">
      <c r="G16" s="1" t="s">
        <v>461</v>
      </c>
      <c r="H16" s="1" t="s">
        <v>461</v>
      </c>
      <c r="I16" s="1" t="s">
        <v>461</v>
      </c>
      <c r="J16" s="1" t="s">
        <v>461</v>
      </c>
      <c r="L16" s="1" t="s">
        <v>206</v>
      </c>
      <c r="M16" s="1" t="s">
        <v>204</v>
      </c>
      <c r="N16" s="1" t="s">
        <v>462</v>
      </c>
      <c r="O16" s="1" t="s">
        <v>463</v>
      </c>
      <c r="P16" s="1" t="s">
        <v>464</v>
      </c>
      <c r="Q16" s="1" t="s">
        <v>404</v>
      </c>
      <c r="S16" s="1" t="s">
        <v>206</v>
      </c>
      <c r="T16" s="1" t="s">
        <v>204</v>
      </c>
      <c r="U16" s="1" t="s">
        <v>462</v>
      </c>
      <c r="V16" s="1" t="s">
        <v>463</v>
      </c>
      <c r="W16" s="1" t="s">
        <v>464</v>
      </c>
      <c r="X16" s="1" t="s">
        <v>404</v>
      </c>
      <c r="Y16" s="1" t="s">
        <v>303</v>
      </c>
      <c r="Z16" s="1" t="s">
        <v>203</v>
      </c>
      <c r="AA16" s="1" t="s">
        <v>385</v>
      </c>
      <c r="AB16" s="1" t="s">
        <v>269</v>
      </c>
      <c r="AC16" s="1" t="s">
        <v>224</v>
      </c>
      <c r="AD16" s="1" t="s">
        <v>465</v>
      </c>
      <c r="AE16" s="1" t="s">
        <v>386</v>
      </c>
      <c r="AF16" s="1" t="s">
        <v>466</v>
      </c>
      <c r="AG16" s="1" t="s">
        <v>457</v>
      </c>
      <c r="AL16" s="2" t="s">
        <v>364</v>
      </c>
      <c r="AM16" s="2" t="s">
        <v>467</v>
      </c>
      <c r="AN16" s="2" t="s">
        <v>435</v>
      </c>
      <c r="AO16" s="2" t="s">
        <v>468</v>
      </c>
      <c r="AP16" s="2" t="s">
        <v>464</v>
      </c>
      <c r="AQ16" s="2" t="s">
        <v>469</v>
      </c>
      <c r="AR16" s="1" t="s">
        <v>322</v>
      </c>
      <c r="AS16" s="1" t="s">
        <v>203</v>
      </c>
      <c r="AT16" s="1" t="s">
        <v>203</v>
      </c>
      <c r="AU16" s="1" t="s">
        <v>204</v>
      </c>
      <c r="AV16" s="1" t="s">
        <v>207</v>
      </c>
      <c r="AW16" s="1" t="s">
        <v>454</v>
      </c>
      <c r="AX16" s="1" t="s">
        <v>373</v>
      </c>
      <c r="AY16" s="1" t="s">
        <v>466</v>
      </c>
      <c r="AZ16" s="1" t="s">
        <v>421</v>
      </c>
      <c r="BA16" s="2"/>
      <c r="BB16" s="14" t="s">
        <v>364</v>
      </c>
      <c r="BC16" s="14" t="s">
        <v>320</v>
      </c>
      <c r="BD16" s="15" t="s">
        <v>322</v>
      </c>
      <c r="BE16" s="13" t="s">
        <v>320</v>
      </c>
      <c r="BF16" s="16" t="s">
        <v>272</v>
      </c>
      <c r="BG16" s="15" t="s">
        <v>470</v>
      </c>
      <c r="BH16" s="2"/>
      <c r="BK16" s="2"/>
    </row>
    <row r="17" spans="7:63" x14ac:dyDescent="0.5">
      <c r="G17" s="1" t="s">
        <v>471</v>
      </c>
      <c r="H17" s="1" t="s">
        <v>471</v>
      </c>
      <c r="I17" s="1" t="s">
        <v>471</v>
      </c>
      <c r="J17" s="1" t="s">
        <v>471</v>
      </c>
      <c r="L17" s="1" t="s">
        <v>472</v>
      </c>
      <c r="M17" s="1" t="s">
        <v>206</v>
      </c>
      <c r="N17" s="1" t="s">
        <v>411</v>
      </c>
      <c r="O17" s="1" t="s">
        <v>473</v>
      </c>
      <c r="P17" s="1" t="s">
        <v>474</v>
      </c>
      <c r="Q17" s="1" t="s">
        <v>422</v>
      </c>
      <c r="S17" s="1" t="s">
        <v>472</v>
      </c>
      <c r="T17" s="1" t="s">
        <v>206</v>
      </c>
      <c r="U17" s="1" t="s">
        <v>411</v>
      </c>
      <c r="V17" s="1" t="s">
        <v>473</v>
      </c>
      <c r="W17" s="1" t="s">
        <v>474</v>
      </c>
      <c r="X17" s="1" t="s">
        <v>422</v>
      </c>
      <c r="Y17" s="1" t="s">
        <v>211</v>
      </c>
      <c r="Z17" s="1" t="s">
        <v>366</v>
      </c>
      <c r="AA17" s="1" t="s">
        <v>475</v>
      </c>
      <c r="AB17" s="1" t="s">
        <v>476</v>
      </c>
      <c r="AC17" s="1" t="s">
        <v>367</v>
      </c>
      <c r="AD17" s="1" t="s">
        <v>477</v>
      </c>
      <c r="AE17" s="1" t="s">
        <v>478</v>
      </c>
      <c r="AF17" s="1" t="s">
        <v>479</v>
      </c>
      <c r="AG17" s="1" t="s">
        <v>329</v>
      </c>
      <c r="AL17" s="2" t="s">
        <v>480</v>
      </c>
      <c r="AM17" s="2" t="s">
        <v>481</v>
      </c>
      <c r="AN17" s="2" t="s">
        <v>482</v>
      </c>
      <c r="AO17" s="2" t="s">
        <v>411</v>
      </c>
      <c r="AP17" s="2" t="s">
        <v>359</v>
      </c>
      <c r="AQ17" s="2" t="s">
        <v>483</v>
      </c>
      <c r="AR17" s="1" t="s">
        <v>484</v>
      </c>
      <c r="AS17" s="1" t="s">
        <v>332</v>
      </c>
      <c r="AT17" s="1" t="s">
        <v>270</v>
      </c>
      <c r="AU17" s="1" t="s">
        <v>377</v>
      </c>
      <c r="AV17" s="1" t="s">
        <v>224</v>
      </c>
      <c r="AW17" s="1" t="s">
        <v>465</v>
      </c>
      <c r="AX17" s="1" t="s">
        <v>386</v>
      </c>
      <c r="AY17" s="1" t="s">
        <v>485</v>
      </c>
      <c r="AZ17" s="1" t="s">
        <v>457</v>
      </c>
      <c r="BA17" s="2"/>
      <c r="BB17" s="13" t="s">
        <v>480</v>
      </c>
      <c r="BC17" s="15" t="s">
        <v>403</v>
      </c>
      <c r="BD17" s="16" t="s">
        <v>328</v>
      </c>
      <c r="BE17" s="14" t="s">
        <v>202</v>
      </c>
      <c r="BF17" s="16" t="s">
        <v>306</v>
      </c>
      <c r="BG17" s="15" t="s">
        <v>329</v>
      </c>
      <c r="BH17" s="2"/>
      <c r="BK17" s="2"/>
    </row>
    <row r="18" spans="7:63" x14ac:dyDescent="0.5">
      <c r="L18" s="1" t="s">
        <v>486</v>
      </c>
      <c r="M18" s="1" t="s">
        <v>486</v>
      </c>
      <c r="N18" s="1" t="s">
        <v>487</v>
      </c>
      <c r="O18" s="1" t="s">
        <v>446</v>
      </c>
      <c r="P18" s="1" t="s">
        <v>436</v>
      </c>
      <c r="Q18" s="1" t="s">
        <v>488</v>
      </c>
      <c r="S18" s="1" t="s">
        <v>486</v>
      </c>
      <c r="T18" s="1" t="s">
        <v>486</v>
      </c>
      <c r="U18" s="1" t="s">
        <v>487</v>
      </c>
      <c r="V18" s="1" t="s">
        <v>446</v>
      </c>
      <c r="W18" s="1" t="s">
        <v>436</v>
      </c>
      <c r="X18" s="1" t="s">
        <v>488</v>
      </c>
      <c r="Y18" s="1" t="s">
        <v>400</v>
      </c>
      <c r="Z18" s="1" t="s">
        <v>378</v>
      </c>
      <c r="AA18" s="1" t="s">
        <v>366</v>
      </c>
      <c r="AB18" s="1" t="s">
        <v>328</v>
      </c>
      <c r="AC18" s="1" t="s">
        <v>428</v>
      </c>
      <c r="AD18" s="1" t="s">
        <v>343</v>
      </c>
      <c r="AE18" s="1" t="s">
        <v>489</v>
      </c>
      <c r="AF18" s="1" t="s">
        <v>490</v>
      </c>
      <c r="AG18" s="1" t="s">
        <v>491</v>
      </c>
      <c r="AL18" s="2" t="s">
        <v>492</v>
      </c>
      <c r="AM18" s="2" t="s">
        <v>493</v>
      </c>
      <c r="AN18" s="2" t="s">
        <v>494</v>
      </c>
      <c r="AO18" s="2" t="s">
        <v>392</v>
      </c>
      <c r="AP18" s="2" t="s">
        <v>389</v>
      </c>
      <c r="AQ18" s="2" t="s">
        <v>495</v>
      </c>
      <c r="AR18" s="1" t="s">
        <v>331</v>
      </c>
      <c r="AS18" s="1" t="s">
        <v>317</v>
      </c>
      <c r="AT18" s="1" t="s">
        <v>468</v>
      </c>
      <c r="AU18" s="1" t="s">
        <v>496</v>
      </c>
      <c r="AV18" s="1" t="s">
        <v>367</v>
      </c>
      <c r="AW18" s="1" t="s">
        <v>477</v>
      </c>
      <c r="AX18" s="1" t="s">
        <v>478</v>
      </c>
      <c r="AY18" s="1" t="s">
        <v>274</v>
      </c>
      <c r="AZ18" s="1" t="s">
        <v>329</v>
      </c>
      <c r="BA18" s="2"/>
      <c r="BB18" s="14" t="s">
        <v>492</v>
      </c>
      <c r="BC18" s="16" t="s">
        <v>420</v>
      </c>
      <c r="BD18" s="15" t="s">
        <v>198</v>
      </c>
      <c r="BE18" s="13" t="s">
        <v>390</v>
      </c>
      <c r="BF18" s="16" t="s">
        <v>451</v>
      </c>
      <c r="BG18" s="15" t="s">
        <v>300</v>
      </c>
      <c r="BH18" s="2"/>
      <c r="BK18" s="2"/>
    </row>
    <row r="19" spans="7:63" x14ac:dyDescent="0.5">
      <c r="G19" s="1" t="s">
        <v>263</v>
      </c>
      <c r="H19" s="1" t="s">
        <v>289</v>
      </c>
      <c r="I19" s="1" t="s">
        <v>310</v>
      </c>
      <c r="L19" s="1" t="s">
        <v>486</v>
      </c>
      <c r="M19" s="1" t="s">
        <v>412</v>
      </c>
      <c r="N19" s="1" t="s">
        <v>407</v>
      </c>
      <c r="O19" s="1" t="s">
        <v>466</v>
      </c>
      <c r="P19" s="1" t="s">
        <v>497</v>
      </c>
      <c r="Q19" s="1" t="s">
        <v>498</v>
      </c>
      <c r="S19" s="1" t="s">
        <v>486</v>
      </c>
      <c r="T19" s="1" t="s">
        <v>412</v>
      </c>
      <c r="U19" s="1" t="s">
        <v>407</v>
      </c>
      <c r="V19" s="1" t="s">
        <v>466</v>
      </c>
      <c r="W19" s="1" t="s">
        <v>497</v>
      </c>
      <c r="X19" s="1" t="s">
        <v>498</v>
      </c>
      <c r="Y19" s="1" t="s">
        <v>499</v>
      </c>
      <c r="Z19" s="1" t="s">
        <v>486</v>
      </c>
      <c r="AA19" s="1" t="s">
        <v>500</v>
      </c>
      <c r="AB19" s="1" t="s">
        <v>501</v>
      </c>
      <c r="AC19" s="1" t="s">
        <v>408</v>
      </c>
      <c r="AD19" s="1" t="s">
        <v>502</v>
      </c>
      <c r="AE19" s="1" t="s">
        <v>503</v>
      </c>
      <c r="AF19" s="1" t="s">
        <v>504</v>
      </c>
      <c r="AG19" s="1" t="s">
        <v>215</v>
      </c>
      <c r="AL19" s="2" t="s">
        <v>505</v>
      </c>
      <c r="AM19" s="2" t="s">
        <v>492</v>
      </c>
      <c r="AN19" s="2" t="s">
        <v>490</v>
      </c>
      <c r="AO19" s="2" t="s">
        <v>506</v>
      </c>
      <c r="AP19" s="2" t="s">
        <v>474</v>
      </c>
      <c r="AQ19" s="2" t="s">
        <v>507</v>
      </c>
      <c r="AR19" s="1" t="s">
        <v>198</v>
      </c>
      <c r="AS19" s="1" t="s">
        <v>496</v>
      </c>
      <c r="AT19" s="1" t="s">
        <v>496</v>
      </c>
      <c r="AU19" s="1" t="s">
        <v>334</v>
      </c>
      <c r="AV19" s="1" t="s">
        <v>428</v>
      </c>
      <c r="AW19" s="1" t="s">
        <v>343</v>
      </c>
      <c r="AX19" s="1" t="s">
        <v>489</v>
      </c>
      <c r="AY19" s="1" t="s">
        <v>351</v>
      </c>
      <c r="AZ19" s="1" t="s">
        <v>491</v>
      </c>
      <c r="BA19" s="2"/>
      <c r="BB19" s="13" t="s">
        <v>505</v>
      </c>
      <c r="BC19" s="15" t="s">
        <v>347</v>
      </c>
      <c r="BD19" s="16" t="s">
        <v>361</v>
      </c>
      <c r="BE19" s="13" t="s">
        <v>347</v>
      </c>
      <c r="BF19" s="15" t="s">
        <v>443</v>
      </c>
      <c r="BG19" s="15" t="s">
        <v>352</v>
      </c>
      <c r="BH19" s="2"/>
      <c r="BK19" s="2"/>
    </row>
    <row r="20" spans="7:63" x14ac:dyDescent="0.5">
      <c r="G20" s="1" t="s">
        <v>282</v>
      </c>
      <c r="H20" s="1" t="s">
        <v>282</v>
      </c>
      <c r="I20" s="1" t="s">
        <v>282</v>
      </c>
      <c r="L20" s="1" t="s">
        <v>508</v>
      </c>
      <c r="M20" s="1" t="s">
        <v>509</v>
      </c>
      <c r="N20" s="1" t="s">
        <v>398</v>
      </c>
      <c r="O20" s="1" t="s">
        <v>421</v>
      </c>
      <c r="P20" s="1" t="s">
        <v>202</v>
      </c>
      <c r="Q20" s="1" t="s">
        <v>510</v>
      </c>
      <c r="S20" s="1" t="s">
        <v>508</v>
      </c>
      <c r="T20" s="1" t="s">
        <v>509</v>
      </c>
      <c r="U20" s="1" t="s">
        <v>398</v>
      </c>
      <c r="V20" s="1" t="s">
        <v>421</v>
      </c>
      <c r="W20" s="1" t="s">
        <v>202</v>
      </c>
      <c r="X20" s="1" t="s">
        <v>510</v>
      </c>
      <c r="Y20" s="1" t="s">
        <v>511</v>
      </c>
      <c r="Z20" s="1" t="s">
        <v>496</v>
      </c>
      <c r="AA20" s="1" t="s">
        <v>512</v>
      </c>
      <c r="AB20" s="1" t="s">
        <v>483</v>
      </c>
      <c r="AC20" s="1" t="s">
        <v>513</v>
      </c>
      <c r="AD20" s="1" t="s">
        <v>514</v>
      </c>
      <c r="AE20" s="1" t="s">
        <v>470</v>
      </c>
      <c r="AF20" s="1" t="s">
        <v>209</v>
      </c>
      <c r="AG20" s="1" t="s">
        <v>470</v>
      </c>
      <c r="AL20" s="2" t="s">
        <v>515</v>
      </c>
      <c r="AM20" s="2" t="s">
        <v>515</v>
      </c>
      <c r="AN20" s="2" t="s">
        <v>493</v>
      </c>
      <c r="AO20" s="2" t="s">
        <v>206</v>
      </c>
      <c r="AP20" s="2" t="s">
        <v>436</v>
      </c>
      <c r="AQ20" s="2" t="s">
        <v>222</v>
      </c>
      <c r="AR20" s="1" t="s">
        <v>360</v>
      </c>
      <c r="AS20" s="1" t="s">
        <v>425</v>
      </c>
      <c r="AT20" s="1" t="s">
        <v>516</v>
      </c>
      <c r="AU20" s="1" t="s">
        <v>407</v>
      </c>
      <c r="AV20" s="1" t="s">
        <v>408</v>
      </c>
      <c r="AW20" s="1" t="s">
        <v>502</v>
      </c>
      <c r="AX20" s="1" t="s">
        <v>503</v>
      </c>
      <c r="AY20" s="1" t="s">
        <v>209</v>
      </c>
      <c r="AZ20" s="1" t="s">
        <v>215</v>
      </c>
      <c r="BA20" s="2"/>
      <c r="BB20" s="14" t="s">
        <v>515</v>
      </c>
      <c r="BC20" s="13" t="s">
        <v>368</v>
      </c>
      <c r="BD20" s="16" t="s">
        <v>360</v>
      </c>
      <c r="BE20" s="13" t="s">
        <v>421</v>
      </c>
      <c r="BF20" s="15" t="s">
        <v>470</v>
      </c>
      <c r="BG20" s="15" t="s">
        <v>379</v>
      </c>
      <c r="BH20" s="2"/>
      <c r="BK20" s="2"/>
    </row>
    <row r="21" spans="7:63" x14ac:dyDescent="0.5">
      <c r="G21" s="1" t="s">
        <v>283</v>
      </c>
      <c r="H21" s="1" t="s">
        <v>283</v>
      </c>
      <c r="I21" s="1" t="s">
        <v>283</v>
      </c>
      <c r="L21" s="1" t="s">
        <v>212</v>
      </c>
      <c r="M21" s="1" t="s">
        <v>430</v>
      </c>
      <c r="N21" s="1" t="s">
        <v>408</v>
      </c>
      <c r="O21" s="1" t="s">
        <v>457</v>
      </c>
      <c r="P21" s="1" t="s">
        <v>403</v>
      </c>
      <c r="Q21" s="1" t="s">
        <v>517</v>
      </c>
      <c r="S21" s="1" t="s">
        <v>212</v>
      </c>
      <c r="T21" s="1" t="s">
        <v>430</v>
      </c>
      <c r="U21" s="1" t="s">
        <v>408</v>
      </c>
      <c r="V21" s="1" t="s">
        <v>457</v>
      </c>
      <c r="W21" s="1" t="s">
        <v>403</v>
      </c>
      <c r="X21" s="1" t="s">
        <v>517</v>
      </c>
      <c r="Y21" s="1" t="s">
        <v>360</v>
      </c>
      <c r="Z21" s="1" t="s">
        <v>518</v>
      </c>
      <c r="AA21" s="1" t="s">
        <v>519</v>
      </c>
      <c r="AB21" s="1" t="s">
        <v>520</v>
      </c>
      <c r="AC21" s="1" t="s">
        <v>521</v>
      </c>
      <c r="AD21" s="1" t="s">
        <v>522</v>
      </c>
      <c r="AE21" s="1" t="s">
        <v>451</v>
      </c>
      <c r="AF21" s="1" t="s">
        <v>306</v>
      </c>
      <c r="AG21" s="1" t="s">
        <v>523</v>
      </c>
      <c r="AL21" s="2" t="s">
        <v>524</v>
      </c>
      <c r="AM21" s="2" t="s">
        <v>525</v>
      </c>
      <c r="AN21" s="2" t="s">
        <v>475</v>
      </c>
      <c r="AO21" s="2" t="s">
        <v>486</v>
      </c>
      <c r="AP21" s="2" t="s">
        <v>395</v>
      </c>
      <c r="AQ21" s="2" t="s">
        <v>526</v>
      </c>
      <c r="AR21" s="1" t="s">
        <v>527</v>
      </c>
      <c r="AS21" s="1" t="s">
        <v>528</v>
      </c>
      <c r="AT21" s="1" t="s">
        <v>529</v>
      </c>
      <c r="AU21" s="1" t="s">
        <v>530</v>
      </c>
      <c r="AV21" s="1" t="s">
        <v>513</v>
      </c>
      <c r="AW21" s="1" t="s">
        <v>514</v>
      </c>
      <c r="AX21" s="1" t="s">
        <v>470</v>
      </c>
      <c r="AY21" s="1" t="s">
        <v>490</v>
      </c>
      <c r="AZ21" s="1" t="s">
        <v>470</v>
      </c>
      <c r="BA21" s="2"/>
      <c r="BB21" s="13" t="s">
        <v>524</v>
      </c>
      <c r="BC21" s="15" t="s">
        <v>204</v>
      </c>
      <c r="BD21" s="15" t="s">
        <v>337</v>
      </c>
      <c r="BE21" s="13" t="s">
        <v>204</v>
      </c>
      <c r="BF21" s="16" t="s">
        <v>531</v>
      </c>
      <c r="BG21" s="15" t="s">
        <v>198</v>
      </c>
      <c r="BH21" s="2"/>
      <c r="BK21" s="2"/>
    </row>
    <row r="22" spans="7:63" x14ac:dyDescent="0.5">
      <c r="G22" s="1" t="s">
        <v>284</v>
      </c>
      <c r="H22" s="1" t="s">
        <v>284</v>
      </c>
      <c r="I22" s="1" t="s">
        <v>284</v>
      </c>
      <c r="L22" s="1" t="s">
        <v>490</v>
      </c>
      <c r="M22" s="1" t="s">
        <v>274</v>
      </c>
      <c r="N22" s="1" t="s">
        <v>532</v>
      </c>
      <c r="O22" s="1" t="s">
        <v>532</v>
      </c>
      <c r="P22" s="1" t="s">
        <v>533</v>
      </c>
      <c r="Q22" s="1" t="s">
        <v>534</v>
      </c>
      <c r="S22" s="1" t="s">
        <v>490</v>
      </c>
      <c r="T22" s="1" t="s">
        <v>274</v>
      </c>
      <c r="U22" s="1" t="s">
        <v>532</v>
      </c>
      <c r="V22" s="1" t="s">
        <v>532</v>
      </c>
      <c r="W22" s="1" t="s">
        <v>533</v>
      </c>
      <c r="X22" s="1" t="s">
        <v>534</v>
      </c>
      <c r="Y22" s="1" t="s">
        <v>535</v>
      </c>
      <c r="Z22" s="1" t="s">
        <v>430</v>
      </c>
      <c r="AA22" s="1" t="s">
        <v>468</v>
      </c>
      <c r="AB22" s="1" t="s">
        <v>372</v>
      </c>
      <c r="AC22" s="1" t="s">
        <v>536</v>
      </c>
      <c r="AD22" s="1" t="s">
        <v>219</v>
      </c>
      <c r="AE22" s="1" t="s">
        <v>537</v>
      </c>
      <c r="AF22" s="1" t="s">
        <v>513</v>
      </c>
      <c r="AG22" s="1" t="s">
        <v>449</v>
      </c>
      <c r="AL22" s="2" t="s">
        <v>538</v>
      </c>
      <c r="AM22" s="2" t="s">
        <v>539</v>
      </c>
      <c r="AN22" s="2" t="s">
        <v>424</v>
      </c>
      <c r="AO22" s="2" t="s">
        <v>467</v>
      </c>
      <c r="AP22" s="2" t="s">
        <v>320</v>
      </c>
      <c r="AR22" s="1" t="s">
        <v>337</v>
      </c>
      <c r="AS22" s="1" t="s">
        <v>435</v>
      </c>
      <c r="AT22" s="1" t="s">
        <v>529</v>
      </c>
      <c r="AU22" s="1" t="s">
        <v>540</v>
      </c>
      <c r="AV22" s="1" t="s">
        <v>521</v>
      </c>
      <c r="AW22" s="1" t="s">
        <v>522</v>
      </c>
      <c r="AX22" s="1" t="s">
        <v>451</v>
      </c>
      <c r="AY22" s="1" t="s">
        <v>479</v>
      </c>
      <c r="AZ22" s="1" t="s">
        <v>523</v>
      </c>
      <c r="BB22" s="13" t="s">
        <v>525</v>
      </c>
      <c r="BC22" s="15" t="s">
        <v>382</v>
      </c>
      <c r="BD22" s="16" t="s">
        <v>413</v>
      </c>
      <c r="BE22" s="13" t="s">
        <v>317</v>
      </c>
      <c r="BF22" s="16" t="s">
        <v>329</v>
      </c>
      <c r="BG22" s="15" t="s">
        <v>369</v>
      </c>
    </row>
    <row r="23" spans="7:63" x14ac:dyDescent="0.5">
      <c r="G23" s="1" t="s">
        <v>285</v>
      </c>
      <c r="H23" s="1" t="s">
        <v>285</v>
      </c>
      <c r="I23" s="1" t="s">
        <v>285</v>
      </c>
      <c r="L23" s="1" t="s">
        <v>456</v>
      </c>
      <c r="M23" s="1" t="s">
        <v>445</v>
      </c>
      <c r="N23" s="1" t="s">
        <v>532</v>
      </c>
      <c r="O23" s="1" t="s">
        <v>486</v>
      </c>
      <c r="P23" s="1" t="s">
        <v>203</v>
      </c>
      <c r="Q23" s="1" t="s">
        <v>359</v>
      </c>
      <c r="S23" s="1" t="s">
        <v>456</v>
      </c>
      <c r="T23" s="1" t="s">
        <v>445</v>
      </c>
      <c r="U23" s="1" t="s">
        <v>532</v>
      </c>
      <c r="V23" s="1" t="s">
        <v>486</v>
      </c>
      <c r="W23" s="1" t="s">
        <v>203</v>
      </c>
      <c r="X23" s="1" t="s">
        <v>359</v>
      </c>
      <c r="Y23" s="1" t="s">
        <v>212</v>
      </c>
      <c r="Z23" s="1" t="s">
        <v>528</v>
      </c>
      <c r="AA23" s="1" t="s">
        <v>541</v>
      </c>
      <c r="AB23" s="1" t="s">
        <v>376</v>
      </c>
      <c r="AC23" s="1" t="s">
        <v>542</v>
      </c>
      <c r="AD23" s="1" t="s">
        <v>303</v>
      </c>
      <c r="AE23" s="1" t="s">
        <v>411</v>
      </c>
      <c r="AF23" s="1" t="s">
        <v>401</v>
      </c>
      <c r="AG23" s="1" t="s">
        <v>516</v>
      </c>
      <c r="AL23" s="2" t="s">
        <v>477</v>
      </c>
      <c r="AM23" s="2" t="s">
        <v>513</v>
      </c>
      <c r="AN23" s="2" t="s">
        <v>216</v>
      </c>
      <c r="AO23" s="2" t="s">
        <v>543</v>
      </c>
      <c r="AP23" s="2" t="s">
        <v>544</v>
      </c>
      <c r="AR23" s="1" t="s">
        <v>517</v>
      </c>
      <c r="AS23" s="1" t="s">
        <v>486</v>
      </c>
      <c r="AT23" s="1" t="s">
        <v>545</v>
      </c>
      <c r="AU23" s="1" t="s">
        <v>440</v>
      </c>
      <c r="AV23" s="1" t="s">
        <v>536</v>
      </c>
      <c r="AW23" s="1" t="s">
        <v>219</v>
      </c>
      <c r="AX23" s="1" t="s">
        <v>537</v>
      </c>
      <c r="AY23" s="1" t="s">
        <v>513</v>
      </c>
      <c r="AZ23" s="1" t="s">
        <v>449</v>
      </c>
      <c r="BB23" s="14" t="s">
        <v>538</v>
      </c>
      <c r="BC23" s="15" t="s">
        <v>398</v>
      </c>
      <c r="BD23" s="16" t="s">
        <v>359</v>
      </c>
      <c r="BE23" s="15" t="s">
        <v>462</v>
      </c>
      <c r="BF23" s="15" t="s">
        <v>300</v>
      </c>
      <c r="BG23" s="15" t="s">
        <v>361</v>
      </c>
    </row>
    <row r="24" spans="7:63" x14ac:dyDescent="0.5">
      <c r="G24" s="1" t="s">
        <v>286</v>
      </c>
      <c r="H24" s="1" t="s">
        <v>286</v>
      </c>
      <c r="I24" s="1" t="s">
        <v>286</v>
      </c>
      <c r="L24" s="1" t="s">
        <v>455</v>
      </c>
      <c r="M24" s="1" t="s">
        <v>212</v>
      </c>
      <c r="N24" s="1" t="s">
        <v>207</v>
      </c>
      <c r="O24" s="1" t="s">
        <v>546</v>
      </c>
      <c r="P24" s="1" t="s">
        <v>204</v>
      </c>
      <c r="Q24" s="1" t="s">
        <v>401</v>
      </c>
      <c r="S24" s="1" t="s">
        <v>455</v>
      </c>
      <c r="T24" s="1" t="s">
        <v>212</v>
      </c>
      <c r="U24" s="1" t="s">
        <v>207</v>
      </c>
      <c r="V24" s="1" t="s">
        <v>546</v>
      </c>
      <c r="W24" s="1" t="s">
        <v>204</v>
      </c>
      <c r="X24" s="1" t="s">
        <v>401</v>
      </c>
      <c r="Y24" s="1" t="s">
        <v>363</v>
      </c>
      <c r="Z24" s="1" t="s">
        <v>268</v>
      </c>
      <c r="AA24" s="1" t="s">
        <v>547</v>
      </c>
      <c r="AB24" s="1" t="s">
        <v>496</v>
      </c>
      <c r="AC24" s="1" t="s">
        <v>470</v>
      </c>
      <c r="AD24" s="1" t="s">
        <v>548</v>
      </c>
      <c r="AE24" s="1" t="s">
        <v>548</v>
      </c>
      <c r="AF24" s="1" t="s">
        <v>549</v>
      </c>
      <c r="AG24" s="1" t="s">
        <v>440</v>
      </c>
      <c r="AL24" s="2" t="s">
        <v>504</v>
      </c>
      <c r="AM24" s="2" t="s">
        <v>549</v>
      </c>
      <c r="AN24" s="2" t="s">
        <v>550</v>
      </c>
      <c r="AO24" s="2" t="s">
        <v>551</v>
      </c>
      <c r="AP24" s="2" t="s">
        <v>204</v>
      </c>
      <c r="AR24" s="1" t="s">
        <v>200</v>
      </c>
      <c r="AS24" s="1" t="s">
        <v>518</v>
      </c>
      <c r="AT24" s="1" t="s">
        <v>392</v>
      </c>
      <c r="AU24" s="1" t="s">
        <v>552</v>
      </c>
      <c r="AV24" s="1" t="s">
        <v>542</v>
      </c>
      <c r="AW24" s="1" t="s">
        <v>303</v>
      </c>
      <c r="AX24" s="1" t="s">
        <v>411</v>
      </c>
      <c r="AY24" s="1" t="s">
        <v>321</v>
      </c>
      <c r="AZ24" s="1" t="s">
        <v>516</v>
      </c>
      <c r="BB24" s="13" t="s">
        <v>477</v>
      </c>
      <c r="BC24" s="15" t="s">
        <v>206</v>
      </c>
      <c r="BD24" s="15" t="s">
        <v>401</v>
      </c>
      <c r="BE24" s="14" t="s">
        <v>411</v>
      </c>
      <c r="BF24" s="15" t="s">
        <v>442</v>
      </c>
      <c r="BG24" s="15" t="s">
        <v>553</v>
      </c>
    </row>
    <row r="25" spans="7:63" x14ac:dyDescent="0.5">
      <c r="G25" s="1" t="s">
        <v>287</v>
      </c>
      <c r="H25" s="1" t="s">
        <v>287</v>
      </c>
      <c r="I25" s="1" t="s">
        <v>287</v>
      </c>
      <c r="L25" s="1" t="s">
        <v>554</v>
      </c>
      <c r="M25" s="1" t="s">
        <v>490</v>
      </c>
      <c r="N25" s="1" t="s">
        <v>546</v>
      </c>
      <c r="O25" s="1" t="s">
        <v>543</v>
      </c>
      <c r="P25" s="1" t="s">
        <v>516</v>
      </c>
      <c r="Q25" s="1" t="s">
        <v>555</v>
      </c>
      <c r="S25" s="1" t="s">
        <v>554</v>
      </c>
      <c r="T25" s="1" t="s">
        <v>490</v>
      </c>
      <c r="U25" s="1" t="s">
        <v>546</v>
      </c>
      <c r="V25" s="1" t="s">
        <v>543</v>
      </c>
      <c r="W25" s="1" t="s">
        <v>516</v>
      </c>
      <c r="X25" s="1" t="s">
        <v>555</v>
      </c>
      <c r="Y25" s="1" t="s">
        <v>556</v>
      </c>
      <c r="Z25" s="1" t="s">
        <v>304</v>
      </c>
      <c r="AA25" s="1" t="s">
        <v>557</v>
      </c>
      <c r="AB25" s="1" t="s">
        <v>417</v>
      </c>
      <c r="AC25" s="1" t="s">
        <v>523</v>
      </c>
      <c r="AD25" s="1" t="s">
        <v>411</v>
      </c>
      <c r="AE25" s="1" t="s">
        <v>558</v>
      </c>
      <c r="AF25" s="1" t="s">
        <v>369</v>
      </c>
      <c r="AG25" s="1" t="s">
        <v>339</v>
      </c>
      <c r="AL25" s="2" t="s">
        <v>549</v>
      </c>
      <c r="AM25" s="2" t="s">
        <v>297</v>
      </c>
      <c r="AN25" s="2" t="s">
        <v>219</v>
      </c>
      <c r="AO25" s="2" t="s">
        <v>559</v>
      </c>
      <c r="AP25" s="2" t="s">
        <v>408</v>
      </c>
      <c r="AR25" s="1" t="s">
        <v>432</v>
      </c>
      <c r="AS25" s="1" t="s">
        <v>430</v>
      </c>
      <c r="AT25" s="1" t="s">
        <v>560</v>
      </c>
      <c r="AU25" s="1" t="s">
        <v>561</v>
      </c>
      <c r="AV25" s="1" t="s">
        <v>470</v>
      </c>
      <c r="AW25" s="1" t="s">
        <v>548</v>
      </c>
      <c r="AX25" s="1" t="s">
        <v>548</v>
      </c>
      <c r="AY25" s="1" t="s">
        <v>380</v>
      </c>
      <c r="AZ25" s="1" t="s">
        <v>440</v>
      </c>
      <c r="BB25" s="14" t="s">
        <v>504</v>
      </c>
      <c r="BC25" s="15" t="s">
        <v>486</v>
      </c>
      <c r="BD25" s="16" t="s">
        <v>389</v>
      </c>
      <c r="BE25" s="15" t="s">
        <v>487</v>
      </c>
      <c r="BF25" s="15" t="s">
        <v>562</v>
      </c>
      <c r="BG25" s="15" t="s">
        <v>410</v>
      </c>
    </row>
    <row r="26" spans="7:63" x14ac:dyDescent="0.5">
      <c r="L26" s="1" t="s">
        <v>505</v>
      </c>
      <c r="M26" s="1" t="s">
        <v>563</v>
      </c>
      <c r="N26" s="1" t="s">
        <v>456</v>
      </c>
      <c r="O26" s="1" t="s">
        <v>564</v>
      </c>
      <c r="P26" s="1" t="s">
        <v>499</v>
      </c>
      <c r="Q26" s="1" t="s">
        <v>389</v>
      </c>
      <c r="S26" s="1" t="s">
        <v>505</v>
      </c>
      <c r="T26" s="1" t="s">
        <v>563</v>
      </c>
      <c r="U26" s="1" t="s">
        <v>456</v>
      </c>
      <c r="V26" s="1" t="s">
        <v>564</v>
      </c>
      <c r="W26" s="1" t="s">
        <v>499</v>
      </c>
      <c r="X26" s="1" t="s">
        <v>389</v>
      </c>
      <c r="Y26" s="1" t="s">
        <v>370</v>
      </c>
      <c r="Z26" s="1" t="s">
        <v>306</v>
      </c>
      <c r="AA26" s="1" t="s">
        <v>316</v>
      </c>
      <c r="AB26" s="1" t="s">
        <v>565</v>
      </c>
      <c r="AC26" s="1" t="s">
        <v>566</v>
      </c>
      <c r="AD26" s="1" t="s">
        <v>558</v>
      </c>
      <c r="AE26" s="1" t="s">
        <v>300</v>
      </c>
      <c r="AF26" s="1" t="s">
        <v>567</v>
      </c>
      <c r="AG26" s="1" t="s">
        <v>568</v>
      </c>
      <c r="AL26" s="2" t="s">
        <v>549</v>
      </c>
      <c r="AM26" s="2" t="s">
        <v>569</v>
      </c>
      <c r="AN26" s="2" t="s">
        <v>297</v>
      </c>
      <c r="AO26" s="2" t="s">
        <v>515</v>
      </c>
      <c r="AP26" s="2" t="s">
        <v>207</v>
      </c>
      <c r="AR26" s="1" t="s">
        <v>570</v>
      </c>
      <c r="AS26" s="1" t="s">
        <v>274</v>
      </c>
      <c r="AT26" s="1" t="s">
        <v>571</v>
      </c>
      <c r="AU26" s="1" t="s">
        <v>365</v>
      </c>
      <c r="AV26" s="1" t="s">
        <v>523</v>
      </c>
      <c r="AW26" s="1" t="s">
        <v>411</v>
      </c>
      <c r="AX26" s="1" t="s">
        <v>558</v>
      </c>
      <c r="AY26" s="1" t="s">
        <v>409</v>
      </c>
      <c r="AZ26" s="1" t="s">
        <v>339</v>
      </c>
      <c r="BB26" s="13" t="s">
        <v>549</v>
      </c>
      <c r="BC26" s="15" t="s">
        <v>412</v>
      </c>
      <c r="BD26" s="15" t="s">
        <v>436</v>
      </c>
      <c r="BE26" s="16" t="s">
        <v>407</v>
      </c>
      <c r="BF26" s="15" t="s">
        <v>352</v>
      </c>
      <c r="BG26" s="15" t="s">
        <v>401</v>
      </c>
    </row>
    <row r="27" spans="7:63" x14ac:dyDescent="0.5">
      <c r="L27" s="1" t="s">
        <v>572</v>
      </c>
      <c r="M27" s="1" t="s">
        <v>467</v>
      </c>
      <c r="N27" s="1" t="s">
        <v>563</v>
      </c>
      <c r="O27" s="1" t="s">
        <v>551</v>
      </c>
      <c r="P27" s="1" t="s">
        <v>429</v>
      </c>
      <c r="Q27" s="1" t="s">
        <v>474</v>
      </c>
      <c r="S27" s="1" t="s">
        <v>572</v>
      </c>
      <c r="T27" s="1" t="s">
        <v>467</v>
      </c>
      <c r="U27" s="1" t="s">
        <v>563</v>
      </c>
      <c r="V27" s="1" t="s">
        <v>551</v>
      </c>
      <c r="W27" s="1" t="s">
        <v>429</v>
      </c>
      <c r="X27" s="1" t="s">
        <v>474</v>
      </c>
      <c r="Y27" s="1" t="s">
        <v>316</v>
      </c>
      <c r="Z27" s="1" t="s">
        <v>355</v>
      </c>
      <c r="AA27" s="1" t="s">
        <v>268</v>
      </c>
      <c r="AB27" s="1" t="s">
        <v>366</v>
      </c>
      <c r="AC27" s="1" t="s">
        <v>411</v>
      </c>
      <c r="AD27" s="1" t="s">
        <v>300</v>
      </c>
      <c r="AE27" s="1" t="s">
        <v>573</v>
      </c>
      <c r="AF27" s="1" t="s">
        <v>574</v>
      </c>
      <c r="AG27" s="1" t="s">
        <v>225</v>
      </c>
      <c r="AL27" s="2" t="s">
        <v>575</v>
      </c>
      <c r="AM27" s="2" t="s">
        <v>426</v>
      </c>
      <c r="AN27" s="2" t="s">
        <v>548</v>
      </c>
      <c r="AO27" s="2" t="s">
        <v>438</v>
      </c>
      <c r="AP27" s="2" t="s">
        <v>546</v>
      </c>
      <c r="AR27" s="1" t="s">
        <v>320</v>
      </c>
      <c r="AS27" s="1" t="s">
        <v>378</v>
      </c>
      <c r="AT27" s="1" t="s">
        <v>206</v>
      </c>
      <c r="AU27" s="1" t="s">
        <v>212</v>
      </c>
      <c r="AV27" s="1" t="s">
        <v>566</v>
      </c>
      <c r="AW27" s="1" t="s">
        <v>558</v>
      </c>
      <c r="AX27" s="1" t="s">
        <v>300</v>
      </c>
      <c r="AY27" s="1" t="s">
        <v>504</v>
      </c>
      <c r="AZ27" s="1" t="s">
        <v>568</v>
      </c>
      <c r="BB27" s="18" t="s">
        <v>575</v>
      </c>
      <c r="BC27" s="15" t="s">
        <v>509</v>
      </c>
      <c r="BD27" s="15" t="s">
        <v>320</v>
      </c>
      <c r="BE27" s="14" t="s">
        <v>435</v>
      </c>
      <c r="BF27" s="16" t="s">
        <v>335</v>
      </c>
      <c r="BG27" s="15" t="s">
        <v>503</v>
      </c>
    </row>
    <row r="28" spans="7:63" x14ac:dyDescent="0.5">
      <c r="L28" s="1" t="s">
        <v>515</v>
      </c>
      <c r="M28" s="1" t="s">
        <v>493</v>
      </c>
      <c r="N28" s="1" t="s">
        <v>493</v>
      </c>
      <c r="O28" s="1" t="s">
        <v>455</v>
      </c>
      <c r="P28" s="1" t="s">
        <v>206</v>
      </c>
      <c r="Q28" s="1" t="s">
        <v>436</v>
      </c>
      <c r="S28" s="1" t="s">
        <v>515</v>
      </c>
      <c r="T28" s="1" t="s">
        <v>493</v>
      </c>
      <c r="U28" s="1" t="s">
        <v>493</v>
      </c>
      <c r="V28" s="1" t="s">
        <v>455</v>
      </c>
      <c r="W28" s="1" t="s">
        <v>206</v>
      </c>
      <c r="X28" s="1" t="s">
        <v>436</v>
      </c>
      <c r="Y28" s="1" t="s">
        <v>222</v>
      </c>
      <c r="Z28" s="1" t="s">
        <v>475</v>
      </c>
      <c r="AA28" s="1" t="s">
        <v>576</v>
      </c>
      <c r="AB28" s="1" t="s">
        <v>577</v>
      </c>
      <c r="AC28" s="1" t="s">
        <v>558</v>
      </c>
      <c r="AD28" s="1" t="s">
        <v>527</v>
      </c>
      <c r="AE28" s="1" t="s">
        <v>578</v>
      </c>
      <c r="AF28" s="1" t="s">
        <v>485</v>
      </c>
      <c r="AG28" s="1" t="s">
        <v>553</v>
      </c>
      <c r="AL28" s="2"/>
      <c r="AM28" s="2"/>
      <c r="AN28" s="2" t="s">
        <v>579</v>
      </c>
      <c r="AO28" s="2" t="s">
        <v>513</v>
      </c>
      <c r="AP28" s="2" t="s">
        <v>412</v>
      </c>
      <c r="AR28" s="1" t="s">
        <v>463</v>
      </c>
      <c r="AS28" s="1" t="s">
        <v>212</v>
      </c>
      <c r="AT28" s="1" t="s">
        <v>580</v>
      </c>
      <c r="AU28" s="1" t="s">
        <v>50</v>
      </c>
      <c r="AV28" s="1" t="s">
        <v>411</v>
      </c>
      <c r="AW28" s="1" t="s">
        <v>300</v>
      </c>
      <c r="AX28" s="1" t="s">
        <v>573</v>
      </c>
      <c r="AY28" s="1" t="s">
        <v>549</v>
      </c>
      <c r="AZ28" s="1" t="s">
        <v>225</v>
      </c>
      <c r="BB28" s="18"/>
      <c r="BC28" s="15" t="s">
        <v>430</v>
      </c>
      <c r="BD28" s="16" t="s">
        <v>202</v>
      </c>
      <c r="BE28" s="13" t="s">
        <v>482</v>
      </c>
      <c r="BF28" s="15" t="s">
        <v>379</v>
      </c>
      <c r="BG28" s="15" t="s">
        <v>449</v>
      </c>
    </row>
    <row r="29" spans="7:63" x14ac:dyDescent="0.5">
      <c r="L29" s="1" t="s">
        <v>581</v>
      </c>
      <c r="M29" s="1" t="s">
        <v>564</v>
      </c>
      <c r="N29" s="1" t="s">
        <v>551</v>
      </c>
      <c r="O29" s="1" t="s">
        <v>500</v>
      </c>
      <c r="P29" s="1" t="s">
        <v>582</v>
      </c>
      <c r="Q29" s="1" t="s">
        <v>395</v>
      </c>
      <c r="S29" s="1" t="s">
        <v>581</v>
      </c>
      <c r="T29" s="1" t="s">
        <v>564</v>
      </c>
      <c r="U29" s="1" t="s">
        <v>551</v>
      </c>
      <c r="V29" s="1" t="s">
        <v>500</v>
      </c>
      <c r="W29" s="1" t="s">
        <v>582</v>
      </c>
      <c r="X29" s="1" t="s">
        <v>395</v>
      </c>
      <c r="Y29" s="1" t="s">
        <v>484</v>
      </c>
      <c r="Z29" s="1" t="s">
        <v>583</v>
      </c>
      <c r="AA29" s="1" t="s">
        <v>583</v>
      </c>
      <c r="AB29" s="1" t="s">
        <v>584</v>
      </c>
      <c r="AC29" s="1" t="s">
        <v>548</v>
      </c>
      <c r="AD29" s="1" t="s">
        <v>585</v>
      </c>
      <c r="AE29" s="1" t="s">
        <v>499</v>
      </c>
      <c r="AF29" s="1" t="s">
        <v>420</v>
      </c>
      <c r="AG29" s="1" t="s">
        <v>517</v>
      </c>
      <c r="AL29" s="2"/>
      <c r="AN29" s="2" t="s">
        <v>586</v>
      </c>
      <c r="AO29" s="2" t="s">
        <v>587</v>
      </c>
      <c r="AP29" s="2" t="s">
        <v>561</v>
      </c>
      <c r="AR29" s="1" t="s">
        <v>269</v>
      </c>
      <c r="AS29" s="1" t="s">
        <v>490</v>
      </c>
      <c r="AT29" s="1" t="s">
        <v>348</v>
      </c>
      <c r="AU29" s="1" t="s">
        <v>588</v>
      </c>
      <c r="AV29" s="1" t="s">
        <v>558</v>
      </c>
      <c r="AW29" s="1" t="s">
        <v>527</v>
      </c>
      <c r="AX29" s="1" t="s">
        <v>578</v>
      </c>
      <c r="AY29" s="1" t="s">
        <v>567</v>
      </c>
      <c r="AZ29" s="1" t="s">
        <v>553</v>
      </c>
      <c r="BC29" s="15" t="s">
        <v>274</v>
      </c>
      <c r="BD29" s="15" t="s">
        <v>431</v>
      </c>
      <c r="BE29" s="15" t="s">
        <v>398</v>
      </c>
      <c r="BF29" s="15" t="s">
        <v>198</v>
      </c>
      <c r="BG29" s="15" t="s">
        <v>395</v>
      </c>
    </row>
    <row r="30" spans="7:63" x14ac:dyDescent="0.5">
      <c r="L30" s="1" t="s">
        <v>438</v>
      </c>
      <c r="M30" s="1" t="s">
        <v>364</v>
      </c>
      <c r="N30" s="1" t="s">
        <v>455</v>
      </c>
      <c r="O30" s="1" t="s">
        <v>216</v>
      </c>
      <c r="P30" s="1" t="s">
        <v>589</v>
      </c>
      <c r="Q30" s="1" t="s">
        <v>395</v>
      </c>
      <c r="S30" s="1" t="s">
        <v>438</v>
      </c>
      <c r="T30" s="1" t="s">
        <v>364</v>
      </c>
      <c r="U30" s="1" t="s">
        <v>455</v>
      </c>
      <c r="V30" s="1" t="s">
        <v>216</v>
      </c>
      <c r="W30" s="1" t="s">
        <v>589</v>
      </c>
      <c r="X30" s="1" t="s">
        <v>395</v>
      </c>
      <c r="Y30" s="1" t="s">
        <v>225</v>
      </c>
      <c r="Z30" s="1" t="s">
        <v>490</v>
      </c>
      <c r="AA30" s="1" t="s">
        <v>211</v>
      </c>
      <c r="AB30" s="1" t="s">
        <v>50</v>
      </c>
      <c r="AC30" s="1" t="s">
        <v>590</v>
      </c>
      <c r="AD30" s="1" t="s">
        <v>563</v>
      </c>
      <c r="AE30" s="1" t="s">
        <v>215</v>
      </c>
      <c r="AL30" s="2"/>
      <c r="AN30" s="2" t="s">
        <v>578</v>
      </c>
      <c r="AO30" s="2" t="s">
        <v>591</v>
      </c>
      <c r="AP30" s="2" t="s">
        <v>209</v>
      </c>
      <c r="AR30" s="1" t="s">
        <v>270</v>
      </c>
      <c r="AS30" s="1" t="s">
        <v>543</v>
      </c>
      <c r="AT30" s="1" t="s">
        <v>274</v>
      </c>
      <c r="AU30" s="1" t="s">
        <v>543</v>
      </c>
      <c r="AV30" s="1" t="s">
        <v>548</v>
      </c>
      <c r="AW30" s="1" t="s">
        <v>585</v>
      </c>
      <c r="AX30" s="1" t="s">
        <v>499</v>
      </c>
      <c r="AY30" s="1" t="s">
        <v>297</v>
      </c>
      <c r="AZ30" s="1" t="s">
        <v>517</v>
      </c>
      <c r="BC30" s="15" t="s">
        <v>445</v>
      </c>
      <c r="BD30" s="15" t="s">
        <v>463</v>
      </c>
      <c r="BE30" s="16" t="s">
        <v>408</v>
      </c>
      <c r="BF30" s="16" t="s">
        <v>369</v>
      </c>
      <c r="BG30" s="15" t="s">
        <v>390</v>
      </c>
    </row>
    <row r="31" spans="7:63" x14ac:dyDescent="0.5">
      <c r="L31" s="1" t="s">
        <v>424</v>
      </c>
      <c r="M31" s="1" t="s">
        <v>514</v>
      </c>
      <c r="N31" s="1" t="s">
        <v>475</v>
      </c>
      <c r="O31" s="1" t="s">
        <v>513</v>
      </c>
      <c r="P31" s="1" t="s">
        <v>209</v>
      </c>
      <c r="Q31" s="1" t="s">
        <v>390</v>
      </c>
      <c r="S31" s="1" t="s">
        <v>424</v>
      </c>
      <c r="T31" s="1" t="s">
        <v>514</v>
      </c>
      <c r="U31" s="1" t="s">
        <v>475</v>
      </c>
      <c r="V31" s="1" t="s">
        <v>513</v>
      </c>
      <c r="W31" s="1" t="s">
        <v>209</v>
      </c>
      <c r="X31" s="1" t="s">
        <v>390</v>
      </c>
      <c r="Y31" s="1" t="s">
        <v>517</v>
      </c>
      <c r="Z31" s="1" t="s">
        <v>543</v>
      </c>
      <c r="AA31" s="1" t="s">
        <v>275</v>
      </c>
      <c r="AB31" s="1" t="s">
        <v>552</v>
      </c>
      <c r="AC31" s="1" t="s">
        <v>592</v>
      </c>
      <c r="AD31" s="1" t="s">
        <v>457</v>
      </c>
      <c r="AE31" s="1" t="s">
        <v>531</v>
      </c>
      <c r="AL31" s="2"/>
      <c r="AN31" s="2" t="s">
        <v>593</v>
      </c>
      <c r="AO31" s="2" t="s">
        <v>594</v>
      </c>
      <c r="AP31" s="2" t="s">
        <v>595</v>
      </c>
      <c r="AR31" s="1" t="s">
        <v>535</v>
      </c>
      <c r="AS31" s="1" t="s">
        <v>596</v>
      </c>
      <c r="AT31" s="1" t="s">
        <v>597</v>
      </c>
      <c r="AU31" s="1" t="s">
        <v>565</v>
      </c>
      <c r="AV31" s="1" t="s">
        <v>590</v>
      </c>
      <c r="AW31" s="1" t="s">
        <v>563</v>
      </c>
      <c r="AX31" s="1" t="s">
        <v>215</v>
      </c>
      <c r="AY31" s="1" t="s">
        <v>574</v>
      </c>
      <c r="BC31" s="15" t="s">
        <v>212</v>
      </c>
      <c r="BD31" s="16" t="s">
        <v>390</v>
      </c>
      <c r="BE31" s="15" t="s">
        <v>532</v>
      </c>
      <c r="BF31" s="16" t="s">
        <v>361</v>
      </c>
      <c r="BG31" s="15" t="s">
        <v>466</v>
      </c>
    </row>
    <row r="32" spans="7:63" x14ac:dyDescent="0.5">
      <c r="L32" s="1" t="s">
        <v>513</v>
      </c>
      <c r="M32" s="1" t="s">
        <v>525</v>
      </c>
      <c r="N32" s="1" t="s">
        <v>214</v>
      </c>
      <c r="O32" s="1" t="s">
        <v>591</v>
      </c>
      <c r="P32" s="1" t="s">
        <v>210</v>
      </c>
      <c r="Q32" s="1" t="s">
        <v>368</v>
      </c>
      <c r="S32" s="1" t="s">
        <v>513</v>
      </c>
      <c r="T32" s="1" t="s">
        <v>525</v>
      </c>
      <c r="U32" s="1" t="s">
        <v>214</v>
      </c>
      <c r="V32" s="1" t="s">
        <v>591</v>
      </c>
      <c r="W32" s="1" t="s">
        <v>210</v>
      </c>
      <c r="X32" s="1" t="s">
        <v>368</v>
      </c>
      <c r="Y32" s="1" t="s">
        <v>337</v>
      </c>
      <c r="Z32" s="1" t="s">
        <v>569</v>
      </c>
      <c r="AA32" s="1" t="s">
        <v>529</v>
      </c>
      <c r="AB32" s="1" t="s">
        <v>540</v>
      </c>
      <c r="AC32" s="1" t="s">
        <v>515</v>
      </c>
      <c r="AD32" s="1" t="s">
        <v>567</v>
      </c>
      <c r="AE32" s="1" t="s">
        <v>598</v>
      </c>
      <c r="AL32" s="2"/>
      <c r="AO32" s="2" t="s">
        <v>599</v>
      </c>
      <c r="AP32" s="2" t="s">
        <v>600</v>
      </c>
      <c r="AR32" s="1" t="s">
        <v>499</v>
      </c>
      <c r="AS32" s="1" t="s">
        <v>564</v>
      </c>
      <c r="AT32" s="1" t="s">
        <v>211</v>
      </c>
      <c r="AU32" s="1" t="s">
        <v>366</v>
      </c>
      <c r="AV32" s="1" t="s">
        <v>592</v>
      </c>
      <c r="AW32" s="1" t="s">
        <v>457</v>
      </c>
      <c r="AX32" s="1" t="s">
        <v>531</v>
      </c>
      <c r="BC32" s="15" t="s">
        <v>490</v>
      </c>
      <c r="BD32" s="16" t="s">
        <v>473</v>
      </c>
      <c r="BE32" s="15" t="s">
        <v>207</v>
      </c>
      <c r="BF32" s="15" t="s">
        <v>553</v>
      </c>
      <c r="BG32" s="15" t="s">
        <v>421</v>
      </c>
    </row>
    <row r="33" spans="12:59" x14ac:dyDescent="0.5">
      <c r="L33" s="1" t="s">
        <v>601</v>
      </c>
      <c r="M33" s="1" t="s">
        <v>601</v>
      </c>
      <c r="N33" s="1" t="s">
        <v>602</v>
      </c>
      <c r="O33" s="1" t="s">
        <v>504</v>
      </c>
      <c r="P33" s="1" t="s">
        <v>211</v>
      </c>
      <c r="Q33" s="1" t="s">
        <v>411</v>
      </c>
      <c r="S33" s="1" t="s">
        <v>601</v>
      </c>
      <c r="T33" s="1" t="s">
        <v>601</v>
      </c>
      <c r="U33" s="1" t="s">
        <v>602</v>
      </c>
      <c r="V33" s="1" t="s">
        <v>504</v>
      </c>
      <c r="W33" s="1" t="s">
        <v>211</v>
      </c>
      <c r="X33" s="1" t="s">
        <v>411</v>
      </c>
      <c r="Y33" s="1" t="s">
        <v>527</v>
      </c>
      <c r="Z33" s="1" t="s">
        <v>603</v>
      </c>
      <c r="AA33" s="1" t="s">
        <v>305</v>
      </c>
      <c r="AB33" s="1" t="s">
        <v>523</v>
      </c>
      <c r="AC33" s="1" t="s">
        <v>449</v>
      </c>
      <c r="AD33" s="1" t="s">
        <v>199</v>
      </c>
      <c r="AE33" s="1" t="s">
        <v>348</v>
      </c>
      <c r="AO33" s="2" t="s">
        <v>604</v>
      </c>
      <c r="AP33" s="2" t="s">
        <v>605</v>
      </c>
      <c r="AR33" s="1" t="s">
        <v>558</v>
      </c>
      <c r="AS33" s="1" t="s">
        <v>366</v>
      </c>
      <c r="AT33" s="1" t="s">
        <v>508</v>
      </c>
      <c r="AU33" s="1" t="s">
        <v>606</v>
      </c>
      <c r="AV33" s="1" t="s">
        <v>515</v>
      </c>
      <c r="AW33" s="1" t="s">
        <v>567</v>
      </c>
      <c r="AX33" s="1" t="s">
        <v>598</v>
      </c>
      <c r="BC33" s="15" t="s">
        <v>456</v>
      </c>
      <c r="BD33" s="15" t="s">
        <v>347</v>
      </c>
      <c r="BE33" s="16" t="s">
        <v>546</v>
      </c>
      <c r="BF33" s="15" t="s">
        <v>410</v>
      </c>
      <c r="BG33" s="15" t="s">
        <v>457</v>
      </c>
    </row>
    <row r="34" spans="12:59" x14ac:dyDescent="0.5">
      <c r="L34" s="1" t="s">
        <v>591</v>
      </c>
      <c r="M34" s="1" t="s">
        <v>567</v>
      </c>
      <c r="N34" s="1" t="s">
        <v>424</v>
      </c>
      <c r="O34" s="1" t="s">
        <v>549</v>
      </c>
      <c r="P34" s="1" t="s">
        <v>212</v>
      </c>
      <c r="Q34" s="1" t="s">
        <v>499</v>
      </c>
      <c r="S34" s="1" t="s">
        <v>591</v>
      </c>
      <c r="T34" s="1" t="s">
        <v>567</v>
      </c>
      <c r="U34" s="1" t="s">
        <v>424</v>
      </c>
      <c r="V34" s="1" t="s">
        <v>549</v>
      </c>
      <c r="W34" s="1" t="s">
        <v>212</v>
      </c>
      <c r="X34" s="1" t="s">
        <v>499</v>
      </c>
      <c r="Y34" s="1" t="s">
        <v>607</v>
      </c>
      <c r="Z34" s="1" t="s">
        <v>504</v>
      </c>
      <c r="AA34" s="1" t="s">
        <v>460</v>
      </c>
      <c r="AB34" s="1" t="s">
        <v>433</v>
      </c>
      <c r="AC34" s="1" t="s">
        <v>486</v>
      </c>
      <c r="AE34" s="1" t="s">
        <v>608</v>
      </c>
      <c r="AO34" s="2" t="s">
        <v>609</v>
      </c>
      <c r="AP34" s="2" t="s">
        <v>610</v>
      </c>
      <c r="AR34" s="1" t="s">
        <v>611</v>
      </c>
      <c r="AS34" s="1" t="s">
        <v>583</v>
      </c>
      <c r="AT34" s="1" t="s">
        <v>212</v>
      </c>
      <c r="AU34" s="1" t="s">
        <v>576</v>
      </c>
      <c r="AV34" s="1" t="s">
        <v>449</v>
      </c>
      <c r="AW34" s="1" t="s">
        <v>199</v>
      </c>
      <c r="AX34" s="1" t="s">
        <v>348</v>
      </c>
      <c r="BC34" s="15" t="s">
        <v>563</v>
      </c>
      <c r="BD34" s="15" t="s">
        <v>446</v>
      </c>
      <c r="BE34" s="14" t="s">
        <v>494</v>
      </c>
      <c r="BF34" s="15" t="s">
        <v>608</v>
      </c>
      <c r="BG34" s="15" t="s">
        <v>516</v>
      </c>
    </row>
    <row r="35" spans="12:59" x14ac:dyDescent="0.5">
      <c r="L35" s="1" t="s">
        <v>393</v>
      </c>
      <c r="M35" s="1" t="s">
        <v>612</v>
      </c>
      <c r="N35" s="1" t="s">
        <v>613</v>
      </c>
      <c r="O35" s="1" t="s">
        <v>609</v>
      </c>
      <c r="P35" s="1" t="s">
        <v>467</v>
      </c>
      <c r="Q35" s="1" t="s">
        <v>558</v>
      </c>
      <c r="S35" s="1" t="s">
        <v>393</v>
      </c>
      <c r="T35" s="1" t="s">
        <v>612</v>
      </c>
      <c r="U35" s="1" t="s">
        <v>613</v>
      </c>
      <c r="V35" s="1" t="s">
        <v>609</v>
      </c>
      <c r="W35" s="1" t="s">
        <v>467</v>
      </c>
      <c r="X35" s="1" t="s">
        <v>558</v>
      </c>
      <c r="Y35" s="1" t="s">
        <v>611</v>
      </c>
      <c r="Z35" s="1" t="s">
        <v>596</v>
      </c>
      <c r="AA35" s="1" t="s">
        <v>416</v>
      </c>
      <c r="AB35" s="1" t="s">
        <v>614</v>
      </c>
      <c r="AC35" s="1" t="s">
        <v>593</v>
      </c>
      <c r="AE35" s="1" t="s">
        <v>615</v>
      </c>
      <c r="AO35" s="2" t="s">
        <v>459</v>
      </c>
      <c r="AP35" s="2" t="s">
        <v>491</v>
      </c>
      <c r="AR35" s="1" t="s">
        <v>211</v>
      </c>
      <c r="AS35" s="1" t="s">
        <v>475</v>
      </c>
      <c r="AT35" s="1" t="s">
        <v>439</v>
      </c>
      <c r="AU35" s="1" t="s">
        <v>438</v>
      </c>
      <c r="AV35" s="1" t="s">
        <v>486</v>
      </c>
      <c r="AW35" s="1" t="s">
        <v>47</v>
      </c>
      <c r="AX35" s="1" t="s">
        <v>608</v>
      </c>
      <c r="BC35" s="15" t="s">
        <v>467</v>
      </c>
      <c r="BD35" s="16" t="s">
        <v>466</v>
      </c>
      <c r="BE35" s="13" t="s">
        <v>490</v>
      </c>
      <c r="BF35" s="16" t="s">
        <v>517</v>
      </c>
      <c r="BG35" s="15" t="s">
        <v>411</v>
      </c>
    </row>
    <row r="36" spans="12:59" x14ac:dyDescent="0.5">
      <c r="L36" s="1" t="s">
        <v>504</v>
      </c>
      <c r="M36" s="1" t="s">
        <v>297</v>
      </c>
      <c r="N36" s="1" t="s">
        <v>550</v>
      </c>
      <c r="O36" s="1" t="s">
        <v>616</v>
      </c>
      <c r="P36" s="1" t="s">
        <v>596</v>
      </c>
      <c r="Q36" s="1" t="s">
        <v>206</v>
      </c>
      <c r="S36" s="1" t="s">
        <v>504</v>
      </c>
      <c r="T36" s="1" t="s">
        <v>297</v>
      </c>
      <c r="U36" s="1" t="s">
        <v>550</v>
      </c>
      <c r="V36" s="1" t="s">
        <v>616</v>
      </c>
      <c r="W36" s="1" t="s">
        <v>596</v>
      </c>
      <c r="X36" s="1" t="s">
        <v>206</v>
      </c>
      <c r="Y36" s="1" t="s">
        <v>558</v>
      </c>
      <c r="Z36" s="1" t="s">
        <v>617</v>
      </c>
      <c r="AA36" s="1" t="s">
        <v>602</v>
      </c>
      <c r="AB36" s="1" t="s">
        <v>300</v>
      </c>
      <c r="AC36" s="1" t="s">
        <v>343</v>
      </c>
      <c r="AE36" s="1" t="s">
        <v>562</v>
      </c>
      <c r="AP36" s="2" t="s">
        <v>500</v>
      </c>
      <c r="AR36" s="1" t="s">
        <v>212</v>
      </c>
      <c r="AS36" s="1" t="s">
        <v>355</v>
      </c>
      <c r="AT36" s="1" t="s">
        <v>618</v>
      </c>
      <c r="AU36" s="1" t="s">
        <v>619</v>
      </c>
      <c r="AV36" s="1" t="s">
        <v>593</v>
      </c>
      <c r="AX36" s="1" t="s">
        <v>615</v>
      </c>
      <c r="BC36" s="15" t="s">
        <v>481</v>
      </c>
      <c r="BD36" s="15" t="s">
        <v>421</v>
      </c>
      <c r="BE36" s="15" t="s">
        <v>456</v>
      </c>
      <c r="BF36" s="16" t="s">
        <v>573</v>
      </c>
      <c r="BG36" s="15" t="s">
        <v>558</v>
      </c>
    </row>
    <row r="37" spans="12:59" x14ac:dyDescent="0.5">
      <c r="L37" s="1" t="s">
        <v>620</v>
      </c>
      <c r="M37" s="1" t="s">
        <v>569</v>
      </c>
      <c r="N37" s="1" t="s">
        <v>621</v>
      </c>
      <c r="P37" s="1" t="s">
        <v>493</v>
      </c>
      <c r="Q37" s="1" t="s">
        <v>408</v>
      </c>
      <c r="S37" s="1" t="s">
        <v>620</v>
      </c>
      <c r="T37" s="1" t="s">
        <v>569</v>
      </c>
      <c r="U37" s="1" t="s">
        <v>621</v>
      </c>
      <c r="W37" s="1" t="s">
        <v>493</v>
      </c>
      <c r="X37" s="1" t="s">
        <v>408</v>
      </c>
      <c r="Y37" s="1" t="s">
        <v>621</v>
      </c>
      <c r="Z37" s="1" t="s">
        <v>372</v>
      </c>
      <c r="AA37" s="1" t="s">
        <v>203</v>
      </c>
      <c r="AB37" s="1" t="s">
        <v>438</v>
      </c>
      <c r="AC37" s="1" t="s">
        <v>367</v>
      </c>
      <c r="AE37" s="1" t="s">
        <v>339</v>
      </c>
      <c r="AP37" s="2" t="s">
        <v>622</v>
      </c>
      <c r="AR37" s="1" t="s">
        <v>543</v>
      </c>
      <c r="AS37" s="1" t="s">
        <v>405</v>
      </c>
      <c r="AT37" s="1" t="s">
        <v>623</v>
      </c>
      <c r="AU37" s="1" t="s">
        <v>513</v>
      </c>
      <c r="AV37" s="1" t="s">
        <v>343</v>
      </c>
      <c r="AX37" s="1" t="s">
        <v>562</v>
      </c>
      <c r="BC37" s="15" t="s">
        <v>493</v>
      </c>
      <c r="BD37" s="15" t="s">
        <v>204</v>
      </c>
      <c r="BE37" s="16" t="s">
        <v>563</v>
      </c>
      <c r="BF37" s="16" t="s">
        <v>427</v>
      </c>
      <c r="BG37" s="15" t="s">
        <v>408</v>
      </c>
    </row>
    <row r="38" spans="12:59" x14ac:dyDescent="0.5">
      <c r="L38" s="1" t="s">
        <v>603</v>
      </c>
      <c r="M38" s="1" t="s">
        <v>548</v>
      </c>
      <c r="N38" s="1" t="s">
        <v>549</v>
      </c>
      <c r="P38" s="1" t="s">
        <v>624</v>
      </c>
      <c r="Q38" s="1" t="s">
        <v>207</v>
      </c>
      <c r="S38" s="1" t="s">
        <v>603</v>
      </c>
      <c r="T38" s="1" t="s">
        <v>548</v>
      </c>
      <c r="U38" s="1" t="s">
        <v>549</v>
      </c>
      <c r="W38" s="1" t="s">
        <v>624</v>
      </c>
      <c r="X38" s="1" t="s">
        <v>207</v>
      </c>
      <c r="Y38" s="1" t="s">
        <v>625</v>
      </c>
      <c r="Z38" s="1" t="s">
        <v>564</v>
      </c>
      <c r="AA38" s="1" t="s">
        <v>623</v>
      </c>
      <c r="AB38" s="1" t="s">
        <v>306</v>
      </c>
      <c r="AC38" s="1" t="s">
        <v>457</v>
      </c>
      <c r="AE38" s="1" t="s">
        <v>568</v>
      </c>
      <c r="AP38" s="2" t="s">
        <v>626</v>
      </c>
      <c r="AR38" s="1" t="s">
        <v>627</v>
      </c>
      <c r="AS38" s="1" t="s">
        <v>617</v>
      </c>
      <c r="AT38" s="1" t="s">
        <v>493</v>
      </c>
      <c r="AU38" s="1" t="s">
        <v>591</v>
      </c>
      <c r="AV38" s="1" t="s">
        <v>367</v>
      </c>
      <c r="AX38" s="1" t="s">
        <v>339</v>
      </c>
      <c r="BC38" s="15" t="s">
        <v>564</v>
      </c>
      <c r="BD38" s="13" t="s">
        <v>457</v>
      </c>
      <c r="BE38" s="13" t="s">
        <v>493</v>
      </c>
      <c r="BF38" s="16" t="s">
        <v>478</v>
      </c>
      <c r="BG38" s="15" t="s">
        <v>348</v>
      </c>
    </row>
    <row r="39" spans="12:59" x14ac:dyDescent="0.5">
      <c r="L39" s="1" t="s">
        <v>549</v>
      </c>
      <c r="M39" s="1" t="s">
        <v>609</v>
      </c>
      <c r="N39" s="1" t="s">
        <v>612</v>
      </c>
      <c r="P39" s="1" t="s">
        <v>628</v>
      </c>
      <c r="Q39" s="1" t="s">
        <v>207</v>
      </c>
      <c r="S39" s="1" t="s">
        <v>549</v>
      </c>
      <c r="T39" s="1" t="s">
        <v>609</v>
      </c>
      <c r="U39" s="1" t="s">
        <v>612</v>
      </c>
      <c r="W39" s="1" t="s">
        <v>628</v>
      </c>
      <c r="X39" s="1" t="s">
        <v>207</v>
      </c>
      <c r="Y39" s="1" t="s">
        <v>627</v>
      </c>
      <c r="Z39" s="1" t="s">
        <v>265</v>
      </c>
      <c r="AA39" s="1" t="s">
        <v>424</v>
      </c>
      <c r="AB39" s="1" t="s">
        <v>561</v>
      </c>
      <c r="AC39" s="1" t="s">
        <v>463</v>
      </c>
      <c r="AP39" s="2" t="s">
        <v>479</v>
      </c>
      <c r="AR39" s="1" t="s">
        <v>607</v>
      </c>
      <c r="AS39" s="1" t="s">
        <v>504</v>
      </c>
      <c r="AT39" s="1" t="s">
        <v>333</v>
      </c>
      <c r="AU39" s="1" t="s">
        <v>295</v>
      </c>
      <c r="AV39" s="1" t="s">
        <v>457</v>
      </c>
      <c r="AX39" s="1" t="s">
        <v>568</v>
      </c>
      <c r="BC39" s="15" t="s">
        <v>364</v>
      </c>
      <c r="BD39" s="14" t="s">
        <v>468</v>
      </c>
      <c r="BE39" s="16" t="s">
        <v>551</v>
      </c>
      <c r="BF39" s="16" t="s">
        <v>401</v>
      </c>
      <c r="BG39" s="15" t="s">
        <v>485</v>
      </c>
    </row>
    <row r="40" spans="12:59" x14ac:dyDescent="0.5">
      <c r="L40" s="1" t="s">
        <v>567</v>
      </c>
      <c r="M40" s="1" t="s">
        <v>426</v>
      </c>
      <c r="N40" s="1" t="s">
        <v>219</v>
      </c>
      <c r="P40" s="1" t="s">
        <v>627</v>
      </c>
      <c r="Q40" s="1" t="s">
        <v>629</v>
      </c>
      <c r="S40" s="1" t="s">
        <v>567</v>
      </c>
      <c r="T40" s="1" t="s">
        <v>426</v>
      </c>
      <c r="U40" s="1" t="s">
        <v>219</v>
      </c>
      <c r="W40" s="1" t="s">
        <v>627</v>
      </c>
      <c r="X40" s="1" t="s">
        <v>629</v>
      </c>
      <c r="Y40" s="1" t="s">
        <v>322</v>
      </c>
      <c r="Z40" s="1" t="s">
        <v>356</v>
      </c>
      <c r="AA40" s="1" t="s">
        <v>438</v>
      </c>
      <c r="AB40" s="1" t="s">
        <v>530</v>
      </c>
      <c r="AC40" s="1" t="s">
        <v>300</v>
      </c>
      <c r="AP40" s="2" t="s">
        <v>630</v>
      </c>
      <c r="AR40" s="1" t="s">
        <v>316</v>
      </c>
      <c r="AS40" s="1" t="s">
        <v>603</v>
      </c>
      <c r="AT40" s="1" t="s">
        <v>364</v>
      </c>
      <c r="AU40" s="1" t="s">
        <v>504</v>
      </c>
      <c r="AV40" s="1" t="s">
        <v>463</v>
      </c>
      <c r="BC40" s="15" t="s">
        <v>492</v>
      </c>
      <c r="BD40" s="16" t="s">
        <v>317</v>
      </c>
      <c r="BE40" s="15" t="s">
        <v>455</v>
      </c>
      <c r="BF40" s="16" t="s">
        <v>503</v>
      </c>
      <c r="BG40" s="15" t="s">
        <v>274</v>
      </c>
    </row>
    <row r="41" spans="12:59" x14ac:dyDescent="0.5">
      <c r="L41" s="1" t="s">
        <v>406</v>
      </c>
      <c r="M41" s="1" t="s">
        <v>222</v>
      </c>
      <c r="N41" s="1" t="s">
        <v>586</v>
      </c>
      <c r="P41" s="1" t="s">
        <v>475</v>
      </c>
      <c r="Q41" s="1" t="s">
        <v>631</v>
      </c>
      <c r="S41" s="1" t="s">
        <v>406</v>
      </c>
      <c r="T41" s="1" t="s">
        <v>222</v>
      </c>
      <c r="U41" s="1" t="s">
        <v>586</v>
      </c>
      <c r="W41" s="1" t="s">
        <v>475</v>
      </c>
      <c r="X41" s="1" t="s">
        <v>631</v>
      </c>
      <c r="Y41" s="1" t="s">
        <v>570</v>
      </c>
      <c r="AA41" s="1" t="s">
        <v>569</v>
      </c>
      <c r="AB41" s="1" t="s">
        <v>513</v>
      </c>
      <c r="AP41" s="2" t="s">
        <v>632</v>
      </c>
      <c r="AR41" s="1" t="s">
        <v>316</v>
      </c>
      <c r="AS41" s="1" t="s">
        <v>569</v>
      </c>
      <c r="AT41" s="1" t="s">
        <v>366</v>
      </c>
      <c r="AU41" s="1" t="s">
        <v>501</v>
      </c>
      <c r="AV41" s="1" t="s">
        <v>300</v>
      </c>
      <c r="BC41" s="15" t="s">
        <v>514</v>
      </c>
      <c r="BD41" s="15" t="s">
        <v>462</v>
      </c>
      <c r="BE41" s="16" t="s">
        <v>475</v>
      </c>
      <c r="BF41" s="15" t="s">
        <v>449</v>
      </c>
      <c r="BG41" s="15" t="s">
        <v>209</v>
      </c>
    </row>
    <row r="42" spans="12:59" x14ac:dyDescent="0.5">
      <c r="L42" s="1" t="s">
        <v>569</v>
      </c>
      <c r="M42" s="1" t="s">
        <v>376</v>
      </c>
      <c r="N42" s="1" t="s">
        <v>593</v>
      </c>
      <c r="P42" s="1" t="s">
        <v>355</v>
      </c>
      <c r="Q42" s="1" t="s">
        <v>610</v>
      </c>
      <c r="S42" s="1" t="s">
        <v>569</v>
      </c>
      <c r="T42" s="1" t="s">
        <v>376</v>
      </c>
      <c r="U42" s="1" t="s">
        <v>593</v>
      </c>
      <c r="W42" s="1" t="s">
        <v>355</v>
      </c>
      <c r="X42" s="1" t="s">
        <v>610</v>
      </c>
      <c r="Y42" s="1" t="s">
        <v>198</v>
      </c>
      <c r="AA42" s="1" t="s">
        <v>633</v>
      </c>
      <c r="AB42" s="1" t="s">
        <v>576</v>
      </c>
      <c r="AP42" s="2" t="s">
        <v>591</v>
      </c>
      <c r="AR42" s="1" t="s">
        <v>438</v>
      </c>
      <c r="AS42" s="1" t="s">
        <v>363</v>
      </c>
      <c r="AT42" s="1" t="s">
        <v>583</v>
      </c>
      <c r="AU42" s="1" t="s">
        <v>271</v>
      </c>
      <c r="AV42" s="1" t="s">
        <v>47</v>
      </c>
      <c r="BC42" s="15" t="s">
        <v>515</v>
      </c>
      <c r="BD42" s="13" t="s">
        <v>411</v>
      </c>
      <c r="BE42" s="15" t="s">
        <v>214</v>
      </c>
      <c r="BF42" s="16" t="s">
        <v>395</v>
      </c>
      <c r="BG42" s="15" t="s">
        <v>490</v>
      </c>
    </row>
    <row r="43" spans="12:59" x14ac:dyDescent="0.5">
      <c r="L43" s="1" t="s">
        <v>634</v>
      </c>
      <c r="N43" s="1" t="s">
        <v>224</v>
      </c>
      <c r="P43" s="1" t="s">
        <v>316</v>
      </c>
      <c r="Q43" s="1" t="s">
        <v>491</v>
      </c>
      <c r="S43" s="1" t="s">
        <v>634</v>
      </c>
      <c r="U43" s="1" t="s">
        <v>224</v>
      </c>
      <c r="W43" s="1" t="s">
        <v>316</v>
      </c>
      <c r="X43" s="1" t="s">
        <v>491</v>
      </c>
      <c r="Y43" s="1" t="s">
        <v>269</v>
      </c>
      <c r="AA43" s="1" t="s">
        <v>545</v>
      </c>
      <c r="AB43" s="1" t="s">
        <v>325</v>
      </c>
      <c r="AP43" s="2" t="s">
        <v>635</v>
      </c>
      <c r="AR43" s="1" t="s">
        <v>424</v>
      </c>
      <c r="AT43" s="1" t="s">
        <v>475</v>
      </c>
      <c r="AU43" s="1" t="s">
        <v>476</v>
      </c>
      <c r="BC43" s="15" t="s">
        <v>539</v>
      </c>
      <c r="BD43" s="15" t="s">
        <v>487</v>
      </c>
      <c r="BE43" s="16" t="s">
        <v>602</v>
      </c>
      <c r="BF43" s="16" t="s">
        <v>201</v>
      </c>
      <c r="BG43" s="15" t="s">
        <v>491</v>
      </c>
    </row>
    <row r="44" spans="12:59" x14ac:dyDescent="0.5">
      <c r="L44" s="1" t="s">
        <v>548</v>
      </c>
      <c r="P44" s="1" t="s">
        <v>572</v>
      </c>
      <c r="Q44" s="1" t="s">
        <v>636</v>
      </c>
      <c r="S44" s="1" t="s">
        <v>548</v>
      </c>
      <c r="W44" s="1" t="s">
        <v>572</v>
      </c>
      <c r="X44" s="1" t="s">
        <v>636</v>
      </c>
      <c r="Y44" s="1" t="s">
        <v>543</v>
      </c>
      <c r="AA44" s="1" t="s">
        <v>571</v>
      </c>
      <c r="AB44" s="1" t="s">
        <v>504</v>
      </c>
      <c r="AP44" s="2" t="s">
        <v>548</v>
      </c>
      <c r="AR44" s="1" t="s">
        <v>556</v>
      </c>
      <c r="AT44" s="1" t="s">
        <v>500</v>
      </c>
      <c r="AU44" s="1" t="s">
        <v>520</v>
      </c>
      <c r="BC44" s="15" t="s">
        <v>513</v>
      </c>
      <c r="BD44" s="16" t="s">
        <v>407</v>
      </c>
      <c r="BE44" s="15" t="s">
        <v>424</v>
      </c>
      <c r="BF44" s="16" t="s">
        <v>420</v>
      </c>
      <c r="BG44" s="15" t="s">
        <v>275</v>
      </c>
    </row>
    <row r="45" spans="12:59" x14ac:dyDescent="0.5">
      <c r="L45" s="1" t="s">
        <v>637</v>
      </c>
      <c r="P45" s="1" t="s">
        <v>581</v>
      </c>
      <c r="Q45" s="1" t="s">
        <v>636</v>
      </c>
      <c r="S45" s="1" t="s">
        <v>637</v>
      </c>
      <c r="W45" s="1" t="s">
        <v>581</v>
      </c>
      <c r="X45" s="1" t="s">
        <v>636</v>
      </c>
      <c r="Y45" s="1" t="s">
        <v>200</v>
      </c>
      <c r="AA45" s="1" t="s">
        <v>638</v>
      </c>
      <c r="AB45" s="1" t="s">
        <v>543</v>
      </c>
      <c r="AP45" s="2" t="s">
        <v>507</v>
      </c>
      <c r="AR45" s="1" t="s">
        <v>591</v>
      </c>
      <c r="AT45" s="1" t="s">
        <v>547</v>
      </c>
      <c r="AU45" s="1" t="s">
        <v>406</v>
      </c>
      <c r="BC45" s="15" t="s">
        <v>601</v>
      </c>
      <c r="BD45" s="14" t="s">
        <v>392</v>
      </c>
      <c r="BE45" s="16" t="s">
        <v>613</v>
      </c>
      <c r="BF45" s="15" t="s">
        <v>390</v>
      </c>
      <c r="BG45" s="15" t="s">
        <v>298</v>
      </c>
    </row>
    <row r="46" spans="12:59" x14ac:dyDescent="0.5">
      <c r="P46" s="1" t="s">
        <v>438</v>
      </c>
      <c r="Q46" s="1" t="s">
        <v>500</v>
      </c>
      <c r="W46" s="1" t="s">
        <v>438</v>
      </c>
      <c r="X46" s="1" t="s">
        <v>500</v>
      </c>
      <c r="Y46" s="1" t="s">
        <v>432</v>
      </c>
      <c r="AA46" s="1" t="s">
        <v>393</v>
      </c>
      <c r="AB46" s="1" t="s">
        <v>204</v>
      </c>
      <c r="AP46" s="2" t="s">
        <v>224</v>
      </c>
      <c r="AR46" s="1" t="s">
        <v>625</v>
      </c>
      <c r="AT46" s="1" t="s">
        <v>639</v>
      </c>
      <c r="AU46" s="1" t="s">
        <v>219</v>
      </c>
      <c r="BC46" s="15" t="s">
        <v>549</v>
      </c>
      <c r="BD46" s="13" t="s">
        <v>506</v>
      </c>
      <c r="BE46" s="13" t="s">
        <v>216</v>
      </c>
      <c r="BF46" s="15" t="s">
        <v>466</v>
      </c>
      <c r="BG46" s="15" t="s">
        <v>215</v>
      </c>
    </row>
    <row r="47" spans="12:59" x14ac:dyDescent="0.5">
      <c r="P47" s="1" t="s">
        <v>424</v>
      </c>
      <c r="Q47" s="1" t="s">
        <v>316</v>
      </c>
      <c r="W47" s="1" t="s">
        <v>424</v>
      </c>
      <c r="X47" s="1" t="s">
        <v>316</v>
      </c>
      <c r="Y47" s="1" t="s">
        <v>640</v>
      </c>
      <c r="AA47" s="1" t="s">
        <v>212</v>
      </c>
      <c r="AB47" s="1" t="s">
        <v>641</v>
      </c>
      <c r="AP47" s="2"/>
      <c r="AR47" s="1" t="s">
        <v>621</v>
      </c>
      <c r="AT47" s="1" t="s">
        <v>316</v>
      </c>
      <c r="AU47" s="1" t="s">
        <v>349</v>
      </c>
      <c r="BC47" s="15" t="s">
        <v>567</v>
      </c>
      <c r="BD47" s="15" t="s">
        <v>398</v>
      </c>
      <c r="BE47" s="15" t="s">
        <v>550</v>
      </c>
      <c r="BF47" s="16" t="s">
        <v>421</v>
      </c>
      <c r="BG47" s="15" t="s">
        <v>479</v>
      </c>
    </row>
    <row r="48" spans="12:59" x14ac:dyDescent="0.5">
      <c r="P48" s="1" t="s">
        <v>424</v>
      </c>
      <c r="Q48" s="1" t="s">
        <v>572</v>
      </c>
      <c r="W48" s="1" t="s">
        <v>424</v>
      </c>
      <c r="X48" s="1" t="s">
        <v>572</v>
      </c>
      <c r="Y48" s="1" t="s">
        <v>448</v>
      </c>
      <c r="AA48" s="1" t="s">
        <v>496</v>
      </c>
      <c r="AB48" s="1" t="s">
        <v>225</v>
      </c>
      <c r="AR48" s="1" t="s">
        <v>640</v>
      </c>
      <c r="AT48" s="1" t="s">
        <v>576</v>
      </c>
      <c r="AU48" s="1" t="s">
        <v>569</v>
      </c>
      <c r="BC48" s="15" t="s">
        <v>612</v>
      </c>
      <c r="BD48" s="14" t="s">
        <v>206</v>
      </c>
      <c r="BE48" s="16" t="s">
        <v>621</v>
      </c>
      <c r="BF48" s="15" t="s">
        <v>457</v>
      </c>
      <c r="BG48" s="15" t="s">
        <v>513</v>
      </c>
    </row>
    <row r="49" spans="16:59" x14ac:dyDescent="0.5">
      <c r="P49" s="1" t="s">
        <v>642</v>
      </c>
      <c r="Q49" s="1" t="s">
        <v>643</v>
      </c>
      <c r="W49" s="1" t="s">
        <v>642</v>
      </c>
      <c r="X49" s="1" t="s">
        <v>643</v>
      </c>
      <c r="Y49" s="1" t="s">
        <v>320</v>
      </c>
      <c r="AA49" s="1" t="s">
        <v>449</v>
      </c>
      <c r="AB49" s="1" t="s">
        <v>223</v>
      </c>
      <c r="AR49" s="1" t="s">
        <v>511</v>
      </c>
      <c r="AT49" s="1" t="s">
        <v>275</v>
      </c>
      <c r="AU49" s="1" t="s">
        <v>577</v>
      </c>
      <c r="BC49" s="15" t="s">
        <v>297</v>
      </c>
      <c r="BD49" s="16" t="s">
        <v>408</v>
      </c>
      <c r="BE49" s="15" t="s">
        <v>549</v>
      </c>
      <c r="BF49" s="16" t="s">
        <v>516</v>
      </c>
      <c r="BG49" s="15" t="s">
        <v>321</v>
      </c>
    </row>
    <row r="50" spans="16:59" x14ac:dyDescent="0.5">
      <c r="P50" s="1" t="s">
        <v>216</v>
      </c>
      <c r="Q50" s="1" t="s">
        <v>539</v>
      </c>
      <c r="W50" s="1" t="s">
        <v>216</v>
      </c>
      <c r="X50" s="1" t="s">
        <v>539</v>
      </c>
      <c r="Y50" s="1" t="s">
        <v>463</v>
      </c>
      <c r="AA50" s="1" t="s">
        <v>301</v>
      </c>
      <c r="AB50" s="1" t="s">
        <v>569</v>
      </c>
      <c r="AR50" s="1" t="s">
        <v>644</v>
      </c>
      <c r="AT50" s="1" t="s">
        <v>602</v>
      </c>
      <c r="AU50" s="1" t="s">
        <v>523</v>
      </c>
      <c r="BC50" s="15" t="s">
        <v>569</v>
      </c>
      <c r="BD50" s="15" t="s">
        <v>532</v>
      </c>
      <c r="BE50" s="16" t="s">
        <v>612</v>
      </c>
      <c r="BF50" s="16" t="s">
        <v>411</v>
      </c>
      <c r="BG50" s="15" t="s">
        <v>380</v>
      </c>
    </row>
    <row r="51" spans="16:59" x14ac:dyDescent="0.5">
      <c r="P51" s="1" t="s">
        <v>645</v>
      </c>
      <c r="Q51" s="1" t="s">
        <v>646</v>
      </c>
      <c r="W51" s="1" t="s">
        <v>645</v>
      </c>
      <c r="X51" s="1" t="s">
        <v>646</v>
      </c>
      <c r="Y51" s="1" t="s">
        <v>644</v>
      </c>
      <c r="AA51" s="1" t="s">
        <v>516</v>
      </c>
      <c r="AB51" s="1" t="s">
        <v>591</v>
      </c>
      <c r="AR51" s="1" t="s">
        <v>222</v>
      </c>
      <c r="AT51" s="1" t="s">
        <v>438</v>
      </c>
      <c r="AU51" s="1" t="s">
        <v>641</v>
      </c>
      <c r="BC51" s="15" t="s">
        <v>548</v>
      </c>
      <c r="BD51" s="15" t="s">
        <v>207</v>
      </c>
      <c r="BE51" s="15" t="s">
        <v>219</v>
      </c>
      <c r="BF51" s="16" t="s">
        <v>499</v>
      </c>
      <c r="BG51" s="15" t="s">
        <v>598</v>
      </c>
    </row>
    <row r="52" spans="16:59" x14ac:dyDescent="0.5">
      <c r="P52" s="1" t="s">
        <v>617</v>
      </c>
      <c r="Q52" s="1" t="s">
        <v>635</v>
      </c>
      <c r="W52" s="1" t="s">
        <v>617</v>
      </c>
      <c r="X52" s="1" t="s">
        <v>635</v>
      </c>
      <c r="Y52" s="1" t="s">
        <v>591</v>
      </c>
      <c r="AA52" s="1" t="s">
        <v>493</v>
      </c>
      <c r="AB52" s="1" t="s">
        <v>450</v>
      </c>
      <c r="AR52" s="1" t="s">
        <v>363</v>
      </c>
      <c r="AT52" s="1" t="s">
        <v>424</v>
      </c>
      <c r="AU52" s="1" t="s">
        <v>614</v>
      </c>
      <c r="BC52" s="15" t="s">
        <v>609</v>
      </c>
      <c r="BD52" s="13" t="s">
        <v>486</v>
      </c>
      <c r="BE52" s="14" t="s">
        <v>297</v>
      </c>
      <c r="BF52" s="15" t="s">
        <v>440</v>
      </c>
      <c r="BG52" s="15" t="s">
        <v>615</v>
      </c>
    </row>
    <row r="53" spans="16:59" x14ac:dyDescent="0.5">
      <c r="P53" s="1" t="s">
        <v>539</v>
      </c>
      <c r="Q53" s="1" t="s">
        <v>541</v>
      </c>
      <c r="W53" s="1" t="s">
        <v>539</v>
      </c>
      <c r="X53" s="1" t="s">
        <v>541</v>
      </c>
      <c r="AA53" s="1" t="s">
        <v>647</v>
      </c>
      <c r="AB53" s="1" t="s">
        <v>648</v>
      </c>
      <c r="AR53" s="1" t="s">
        <v>225</v>
      </c>
      <c r="AT53" s="1" t="s">
        <v>638</v>
      </c>
      <c r="AU53" s="1" t="s">
        <v>319</v>
      </c>
      <c r="BC53" s="15" t="s">
        <v>426</v>
      </c>
      <c r="BD53" s="15" t="s">
        <v>546</v>
      </c>
      <c r="BE53" s="13" t="s">
        <v>548</v>
      </c>
      <c r="BF53" s="16" t="s">
        <v>558</v>
      </c>
      <c r="BG53" s="15" t="s">
        <v>504</v>
      </c>
    </row>
    <row r="54" spans="16:59" x14ac:dyDescent="0.5">
      <c r="P54" s="1" t="s">
        <v>556</v>
      </c>
      <c r="Q54" s="1" t="s">
        <v>219</v>
      </c>
      <c r="W54" s="1" t="s">
        <v>556</v>
      </c>
      <c r="X54" s="1" t="s">
        <v>219</v>
      </c>
      <c r="AA54" s="1" t="s">
        <v>649</v>
      </c>
      <c r="AB54" s="1" t="s">
        <v>219</v>
      </c>
      <c r="AT54" s="1" t="s">
        <v>216</v>
      </c>
      <c r="AU54" s="1" t="s">
        <v>483</v>
      </c>
      <c r="BC54" s="15" t="s">
        <v>222</v>
      </c>
      <c r="BD54" s="15" t="s">
        <v>456</v>
      </c>
      <c r="BE54" s="14" t="s">
        <v>579</v>
      </c>
      <c r="BF54" s="15" t="s">
        <v>408</v>
      </c>
      <c r="BG54" s="15" t="s">
        <v>549</v>
      </c>
    </row>
    <row r="55" spans="16:59" x14ac:dyDescent="0.5">
      <c r="P55" s="1" t="s">
        <v>218</v>
      </c>
      <c r="Q55" s="1" t="s">
        <v>511</v>
      </c>
      <c r="W55" s="1" t="s">
        <v>218</v>
      </c>
      <c r="X55" s="1" t="s">
        <v>511</v>
      </c>
      <c r="AA55" s="1" t="s">
        <v>550</v>
      </c>
      <c r="AB55" s="1" t="s">
        <v>650</v>
      </c>
      <c r="AT55" s="1" t="s">
        <v>557</v>
      </c>
      <c r="AU55" s="1" t="s">
        <v>650</v>
      </c>
      <c r="BC55" s="15" t="s">
        <v>376</v>
      </c>
      <c r="BD55" s="16" t="s">
        <v>563</v>
      </c>
      <c r="BE55" s="16" t="s">
        <v>586</v>
      </c>
      <c r="BF55" s="16" t="s">
        <v>348</v>
      </c>
      <c r="BG55" s="15" t="s">
        <v>297</v>
      </c>
    </row>
    <row r="56" spans="16:59" x14ac:dyDescent="0.5">
      <c r="P56" s="1" t="s">
        <v>380</v>
      </c>
      <c r="Q56" s="1" t="s">
        <v>569</v>
      </c>
      <c r="W56" s="1" t="s">
        <v>380</v>
      </c>
      <c r="X56" s="1" t="s">
        <v>569</v>
      </c>
      <c r="AA56" s="1" t="s">
        <v>560</v>
      </c>
      <c r="AB56" s="1" t="s">
        <v>593</v>
      </c>
      <c r="AT56" s="1" t="s">
        <v>550</v>
      </c>
      <c r="AU56" s="1" t="s">
        <v>426</v>
      </c>
      <c r="BC56" s="17"/>
      <c r="BD56" s="14" t="s">
        <v>467</v>
      </c>
      <c r="BE56" s="14" t="s">
        <v>578</v>
      </c>
      <c r="BF56" s="15" t="s">
        <v>485</v>
      </c>
      <c r="BG56" s="15" t="s">
        <v>548</v>
      </c>
    </row>
    <row r="57" spans="16:59" x14ac:dyDescent="0.5">
      <c r="P57" s="1" t="s">
        <v>651</v>
      </c>
      <c r="Q57" s="1" t="s">
        <v>548</v>
      </c>
      <c r="W57" s="1" t="s">
        <v>651</v>
      </c>
      <c r="X57" s="1" t="s">
        <v>548</v>
      </c>
      <c r="AA57" s="1" t="s">
        <v>508</v>
      </c>
      <c r="AB57" s="1" t="s">
        <v>407</v>
      </c>
      <c r="AT57" s="1" t="s">
        <v>601</v>
      </c>
      <c r="AU57" s="1" t="s">
        <v>648</v>
      </c>
      <c r="BD57" s="16" t="s">
        <v>543</v>
      </c>
      <c r="BE57" s="15" t="s">
        <v>593</v>
      </c>
      <c r="BF57" s="15" t="s">
        <v>274</v>
      </c>
      <c r="BG57" s="15" t="s">
        <v>489</v>
      </c>
    </row>
    <row r="58" spans="16:59" x14ac:dyDescent="0.5">
      <c r="P58" s="1" t="s">
        <v>219</v>
      </c>
      <c r="Q58" s="1" t="s">
        <v>220</v>
      </c>
      <c r="W58" s="1" t="s">
        <v>219</v>
      </c>
      <c r="X58" s="1" t="s">
        <v>220</v>
      </c>
      <c r="AA58" s="1" t="s">
        <v>652</v>
      </c>
      <c r="AB58" s="1" t="s">
        <v>653</v>
      </c>
      <c r="AT58" s="1" t="s">
        <v>218</v>
      </c>
      <c r="AU58" s="1" t="s">
        <v>584</v>
      </c>
      <c r="BD58" s="15" t="s">
        <v>493</v>
      </c>
      <c r="BE58" s="13"/>
      <c r="BF58" s="15" t="s">
        <v>351</v>
      </c>
      <c r="BG58" s="15" t="s">
        <v>578</v>
      </c>
    </row>
    <row r="59" spans="16:59" x14ac:dyDescent="0.5">
      <c r="P59" s="1" t="s">
        <v>511</v>
      </c>
      <c r="Q59" s="1" t="s">
        <v>654</v>
      </c>
      <c r="W59" s="1" t="s">
        <v>511</v>
      </c>
      <c r="X59" s="1" t="s">
        <v>654</v>
      </c>
      <c r="AA59" s="1" t="s">
        <v>618</v>
      </c>
      <c r="AB59" s="1" t="s">
        <v>619</v>
      </c>
      <c r="AT59" s="1" t="s">
        <v>512</v>
      </c>
      <c r="AU59" s="1" t="s">
        <v>376</v>
      </c>
      <c r="BC59" s="2"/>
      <c r="BD59" s="15" t="s">
        <v>564</v>
      </c>
      <c r="BE59" s="13"/>
      <c r="BF59" s="15" t="s">
        <v>209</v>
      </c>
      <c r="BG59" s="15" t="s">
        <v>224</v>
      </c>
    </row>
    <row r="60" spans="16:59" x14ac:dyDescent="0.5">
      <c r="P60" s="1" t="s">
        <v>644</v>
      </c>
      <c r="Q60" s="1" t="s">
        <v>428</v>
      </c>
      <c r="W60" s="1" t="s">
        <v>644</v>
      </c>
      <c r="X60" s="1" t="s">
        <v>428</v>
      </c>
      <c r="AA60" s="1" t="s">
        <v>580</v>
      </c>
      <c r="AB60" s="1" t="s">
        <v>606</v>
      </c>
      <c r="AT60" s="1" t="s">
        <v>393</v>
      </c>
      <c r="AU60" s="1" t="s">
        <v>593</v>
      </c>
      <c r="BD60" s="16" t="s">
        <v>551</v>
      </c>
      <c r="BE60" s="13"/>
      <c r="BF60" s="15" t="s">
        <v>490</v>
      </c>
      <c r="BG60" s="15"/>
    </row>
    <row r="61" spans="16:59" x14ac:dyDescent="0.5">
      <c r="P61" s="1" t="s">
        <v>459</v>
      </c>
      <c r="Q61" s="1" t="s">
        <v>396</v>
      </c>
      <c r="W61" s="1" t="s">
        <v>459</v>
      </c>
      <c r="X61" s="1" t="s">
        <v>396</v>
      </c>
      <c r="AA61" s="1" t="s">
        <v>274</v>
      </c>
      <c r="AB61" s="1" t="s">
        <v>588</v>
      </c>
      <c r="AT61" s="1" t="s">
        <v>655</v>
      </c>
      <c r="AU61" s="1" t="s">
        <v>653</v>
      </c>
      <c r="BD61" s="15" t="s">
        <v>455</v>
      </c>
      <c r="BE61" s="13"/>
      <c r="BF61" s="15" t="s">
        <v>491</v>
      </c>
      <c r="BG61" s="15"/>
    </row>
    <row r="62" spans="16:59" x14ac:dyDescent="0.5">
      <c r="P62" s="1" t="s">
        <v>616</v>
      </c>
      <c r="Q62" s="1" t="s">
        <v>578</v>
      </c>
      <c r="W62" s="1" t="s">
        <v>616</v>
      </c>
      <c r="X62" s="1" t="s">
        <v>578</v>
      </c>
      <c r="AA62" s="1" t="s">
        <v>218</v>
      </c>
      <c r="AB62" s="1" t="s">
        <v>357</v>
      </c>
      <c r="AT62" s="1" t="s">
        <v>541</v>
      </c>
      <c r="AU62" s="1" t="s">
        <v>223</v>
      </c>
      <c r="BD62" s="16" t="s">
        <v>475</v>
      </c>
      <c r="BE62" s="13"/>
      <c r="BF62" s="15" t="s">
        <v>275</v>
      </c>
      <c r="BG62" s="15"/>
    </row>
    <row r="63" spans="16:59" x14ac:dyDescent="0.5">
      <c r="P63" s="1" t="s">
        <v>469</v>
      </c>
      <c r="Q63" s="1" t="s">
        <v>223</v>
      </c>
      <c r="W63" s="1" t="s">
        <v>469</v>
      </c>
      <c r="X63" s="1" t="s">
        <v>223</v>
      </c>
      <c r="AA63" s="1" t="s">
        <v>597</v>
      </c>
      <c r="AT63" s="1" t="s">
        <v>633</v>
      </c>
      <c r="AU63" s="1" t="s">
        <v>225</v>
      </c>
      <c r="BC63" s="2"/>
      <c r="BD63" s="16" t="s">
        <v>500</v>
      </c>
      <c r="BE63" s="13"/>
      <c r="BF63" s="16" t="s">
        <v>298</v>
      </c>
      <c r="BG63" s="15"/>
    </row>
    <row r="64" spans="16:59" x14ac:dyDescent="0.5">
      <c r="Q64" s="1" t="s">
        <v>224</v>
      </c>
      <c r="X64" s="1" t="s">
        <v>224</v>
      </c>
      <c r="AA64" s="1" t="s">
        <v>601</v>
      </c>
      <c r="AT64" s="1" t="s">
        <v>649</v>
      </c>
      <c r="BD64" s="15" t="s">
        <v>214</v>
      </c>
      <c r="BE64" s="13"/>
      <c r="BF64" s="15" t="s">
        <v>215</v>
      </c>
      <c r="BG64" s="15"/>
    </row>
    <row r="65" spans="17:59" x14ac:dyDescent="0.5">
      <c r="Q65" s="1" t="s">
        <v>225</v>
      </c>
      <c r="X65" s="1" t="s">
        <v>225</v>
      </c>
      <c r="AA65" s="1" t="s">
        <v>432</v>
      </c>
      <c r="AT65" s="1" t="s">
        <v>569</v>
      </c>
      <c r="BD65" s="13" t="s">
        <v>559</v>
      </c>
      <c r="BE65" s="13"/>
      <c r="BF65" s="16" t="s">
        <v>479</v>
      </c>
      <c r="BG65" s="15"/>
    </row>
    <row r="66" spans="17:59" x14ac:dyDescent="0.5">
      <c r="Q66" s="1" t="s">
        <v>656</v>
      </c>
      <c r="X66" s="1" t="s">
        <v>656</v>
      </c>
      <c r="AA66" s="1" t="s">
        <v>655</v>
      </c>
      <c r="AT66" s="1" t="s">
        <v>652</v>
      </c>
      <c r="BD66" s="14" t="s">
        <v>515</v>
      </c>
      <c r="BE66" s="13"/>
      <c r="BF66" s="15" t="s">
        <v>513</v>
      </c>
      <c r="BG66" s="15"/>
    </row>
    <row r="67" spans="17:59" x14ac:dyDescent="0.5">
      <c r="AA67" s="1" t="s">
        <v>639</v>
      </c>
      <c r="AT67" s="1" t="s">
        <v>519</v>
      </c>
      <c r="BD67" s="16" t="s">
        <v>602</v>
      </c>
      <c r="BE67" s="13"/>
      <c r="BF67" s="15" t="s">
        <v>537</v>
      </c>
      <c r="BG67" s="15"/>
    </row>
    <row r="68" spans="17:59" x14ac:dyDescent="0.5">
      <c r="AA68" s="1" t="s">
        <v>529</v>
      </c>
      <c r="AT68" s="1" t="s">
        <v>453</v>
      </c>
      <c r="BD68" s="13" t="s">
        <v>438</v>
      </c>
      <c r="BE68" s="13"/>
      <c r="BF68" s="15" t="s">
        <v>321</v>
      </c>
      <c r="BG68" s="15"/>
    </row>
    <row r="69" spans="17:59" x14ac:dyDescent="0.5">
      <c r="AT69" s="1" t="s">
        <v>647</v>
      </c>
      <c r="BD69" s="15" t="s">
        <v>424</v>
      </c>
      <c r="BE69" s="13"/>
      <c r="BF69" s="15" t="s">
        <v>380</v>
      </c>
      <c r="BG69" s="15"/>
    </row>
    <row r="70" spans="17:59" x14ac:dyDescent="0.5">
      <c r="AT70" s="1" t="s">
        <v>376</v>
      </c>
      <c r="BD70" s="16" t="s">
        <v>613</v>
      </c>
      <c r="BE70" s="18"/>
      <c r="BF70" s="15" t="s">
        <v>598</v>
      </c>
      <c r="BG70" s="15"/>
    </row>
    <row r="71" spans="17:59" x14ac:dyDescent="0.5">
      <c r="AT71" s="1" t="s">
        <v>593</v>
      </c>
      <c r="BD71" s="15" t="s">
        <v>216</v>
      </c>
      <c r="BF71" s="15" t="s">
        <v>409</v>
      </c>
      <c r="BG71" s="15"/>
    </row>
    <row r="72" spans="17:59" x14ac:dyDescent="0.5">
      <c r="BD72" s="15" t="s">
        <v>550</v>
      </c>
      <c r="BF72" s="16" t="s">
        <v>615</v>
      </c>
      <c r="BG72" s="15"/>
    </row>
    <row r="73" spans="17:59" x14ac:dyDescent="0.5">
      <c r="BD73" s="16" t="s">
        <v>513</v>
      </c>
      <c r="BF73" s="15" t="s">
        <v>350</v>
      </c>
      <c r="BG73" s="15"/>
    </row>
    <row r="74" spans="17:59" x14ac:dyDescent="0.5">
      <c r="BD74" s="13" t="s">
        <v>587</v>
      </c>
      <c r="BF74" s="16" t="s">
        <v>504</v>
      </c>
      <c r="BG74" s="15"/>
    </row>
    <row r="75" spans="17:59" x14ac:dyDescent="0.5">
      <c r="BD75" s="14" t="s">
        <v>591</v>
      </c>
      <c r="BF75" s="15" t="s">
        <v>549</v>
      </c>
      <c r="BG75" s="15"/>
    </row>
    <row r="76" spans="17:59" x14ac:dyDescent="0.5">
      <c r="BD76" s="13" t="s">
        <v>594</v>
      </c>
      <c r="BF76" s="15" t="s">
        <v>567</v>
      </c>
      <c r="BG76" s="15"/>
    </row>
    <row r="77" spans="17:59" x14ac:dyDescent="0.5">
      <c r="BD77" s="16" t="s">
        <v>621</v>
      </c>
      <c r="BF77" s="16" t="s">
        <v>297</v>
      </c>
      <c r="BG77" s="15"/>
    </row>
    <row r="78" spans="17:59" x14ac:dyDescent="0.5">
      <c r="BD78" s="16" t="s">
        <v>504</v>
      </c>
      <c r="BF78" s="16" t="s">
        <v>574</v>
      </c>
      <c r="BG78" s="15"/>
    </row>
    <row r="79" spans="17:59" x14ac:dyDescent="0.5">
      <c r="BD79" s="15" t="s">
        <v>549</v>
      </c>
      <c r="BF79" s="15" t="s">
        <v>548</v>
      </c>
      <c r="BG79" s="15"/>
    </row>
    <row r="80" spans="17:59" x14ac:dyDescent="0.5">
      <c r="BD80" s="14" t="s">
        <v>599</v>
      </c>
      <c r="BF80" s="15" t="s">
        <v>489</v>
      </c>
      <c r="BG80" s="15"/>
    </row>
    <row r="81" spans="56:59" x14ac:dyDescent="0.5">
      <c r="BD81" s="16" t="s">
        <v>612</v>
      </c>
      <c r="BF81" s="16" t="s">
        <v>523</v>
      </c>
      <c r="BG81" s="16"/>
    </row>
    <row r="82" spans="56:59" x14ac:dyDescent="0.5">
      <c r="BD82" s="13" t="s">
        <v>604</v>
      </c>
      <c r="BF82" s="15" t="s">
        <v>568</v>
      </c>
      <c r="BG82" s="15"/>
    </row>
    <row r="83" spans="56:59" x14ac:dyDescent="0.5">
      <c r="BD83" s="15" t="s">
        <v>219</v>
      </c>
      <c r="BF83" s="16" t="s">
        <v>428</v>
      </c>
      <c r="BG83" s="16"/>
    </row>
    <row r="84" spans="56:59" x14ac:dyDescent="0.5">
      <c r="BD84" s="16" t="s">
        <v>609</v>
      </c>
      <c r="BF84" s="16" t="s">
        <v>396</v>
      </c>
      <c r="BG84" s="15"/>
    </row>
    <row r="85" spans="56:59" x14ac:dyDescent="0.5">
      <c r="BD85" s="13" t="s">
        <v>459</v>
      </c>
      <c r="BF85" s="15" t="s">
        <v>578</v>
      </c>
      <c r="BG85" s="15"/>
    </row>
    <row r="86" spans="56:59" x14ac:dyDescent="0.5">
      <c r="BD86" s="15" t="s">
        <v>616</v>
      </c>
      <c r="BF86" s="19" t="s">
        <v>224</v>
      </c>
      <c r="BG86" s="15"/>
    </row>
    <row r="87" spans="56:59" x14ac:dyDescent="0.5">
      <c r="BD87" s="16" t="s">
        <v>586</v>
      </c>
      <c r="BF87" s="16" t="s">
        <v>225</v>
      </c>
      <c r="BG87" s="19"/>
    </row>
    <row r="88" spans="56:59" x14ac:dyDescent="0.5">
      <c r="BD88" s="15" t="s">
        <v>593</v>
      </c>
      <c r="BF88" s="16" t="s">
        <v>206</v>
      </c>
    </row>
    <row r="89" spans="56:59" x14ac:dyDescent="0.5">
      <c r="BD89" s="16"/>
      <c r="BF89" s="16" t="s">
        <v>493</v>
      </c>
    </row>
    <row r="90" spans="56:59" x14ac:dyDescent="0.5">
      <c r="BD90" s="16"/>
      <c r="BF90" s="16"/>
    </row>
    <row r="91" spans="56:59" x14ac:dyDescent="0.5">
      <c r="BD91" s="15"/>
      <c r="BF91" s="16"/>
    </row>
    <row r="92" spans="56:59" x14ac:dyDescent="0.5">
      <c r="BD92" s="16"/>
      <c r="BF92" s="19"/>
    </row>
    <row r="93" spans="56:59" x14ac:dyDescent="0.5">
      <c r="BD93" s="16"/>
    </row>
    <row r="94" spans="56:59" x14ac:dyDescent="0.5">
      <c r="BD94" s="16"/>
    </row>
    <row r="95" spans="56:59" x14ac:dyDescent="0.5">
      <c r="BD95" s="16"/>
    </row>
    <row r="96" spans="56:59" x14ac:dyDescent="0.5">
      <c r="BD96" s="16"/>
    </row>
    <row r="97" spans="56:56" x14ac:dyDescent="0.5">
      <c r="BD97" s="15"/>
    </row>
    <row r="98" spans="56:56" x14ac:dyDescent="0.5">
      <c r="BD98" s="16"/>
    </row>
    <row r="99" spans="56:56" x14ac:dyDescent="0.5">
      <c r="BD99" s="16"/>
    </row>
    <row r="100" spans="56:56" x14ac:dyDescent="0.5">
      <c r="BD100" s="16"/>
    </row>
    <row r="101" spans="56:56" x14ac:dyDescent="0.5">
      <c r="BD101" s="16"/>
    </row>
    <row r="102" spans="56:56" x14ac:dyDescent="0.5">
      <c r="BD102" s="16"/>
    </row>
    <row r="103" spans="56:56" x14ac:dyDescent="0.5">
      <c r="BD103" s="14"/>
    </row>
    <row r="104" spans="56:56" x14ac:dyDescent="0.5">
      <c r="BD104" s="16"/>
    </row>
    <row r="105" spans="56:56" x14ac:dyDescent="0.5">
      <c r="BD105" s="16"/>
    </row>
    <row r="106" spans="56:56" x14ac:dyDescent="0.5">
      <c r="BD106" s="16"/>
    </row>
    <row r="107" spans="56:56" x14ac:dyDescent="0.5">
      <c r="BD107" s="16"/>
    </row>
    <row r="108" spans="56:56" x14ac:dyDescent="0.5">
      <c r="BD108" s="19"/>
    </row>
  </sheetData>
  <sortState xmlns:xlrd2="http://schemas.microsoft.com/office/spreadsheetml/2017/richdata2" ref="BC6:BC66">
    <sortCondition ref="BC5:BC66"/>
  </sortState>
  <mergeCells count="12">
    <mergeCell ref="AV3:AZ3"/>
    <mergeCell ref="AR3:AU3"/>
    <mergeCell ref="AL3:AN3"/>
    <mergeCell ref="AO3:AQ3"/>
    <mergeCell ref="BB1:BG1"/>
    <mergeCell ref="AL2:AQ2"/>
    <mergeCell ref="AL1:AZ1"/>
    <mergeCell ref="S1:AG1"/>
    <mergeCell ref="L2:Q2"/>
    <mergeCell ref="S2:X2"/>
    <mergeCell ref="Y2:AB2"/>
    <mergeCell ref="AC2:AG2"/>
  </mergeCells>
  <pageMargins left="0.7" right="0.7" top="0.75" bottom="0.75" header="0.3" footer="0.3"/>
  <legacyDrawing r:id="rId1"/>
  <tableParts count="56">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 r:id="rId19"/>
    <tablePart r:id="rId20"/>
    <tablePart r:id="rId21"/>
    <tablePart r:id="rId22"/>
    <tablePart r:id="rId23"/>
    <tablePart r:id="rId24"/>
    <tablePart r:id="rId25"/>
    <tablePart r:id="rId26"/>
    <tablePart r:id="rId27"/>
    <tablePart r:id="rId28"/>
    <tablePart r:id="rId29"/>
    <tablePart r:id="rId30"/>
    <tablePart r:id="rId31"/>
    <tablePart r:id="rId32"/>
    <tablePart r:id="rId33"/>
    <tablePart r:id="rId34"/>
    <tablePart r:id="rId35"/>
    <tablePart r:id="rId36"/>
    <tablePart r:id="rId37"/>
    <tablePart r:id="rId38"/>
    <tablePart r:id="rId39"/>
    <tablePart r:id="rId40"/>
    <tablePart r:id="rId41"/>
    <tablePart r:id="rId42"/>
    <tablePart r:id="rId43"/>
    <tablePart r:id="rId44"/>
    <tablePart r:id="rId45"/>
    <tablePart r:id="rId46"/>
    <tablePart r:id="rId47"/>
    <tablePart r:id="rId48"/>
    <tablePart r:id="rId49"/>
    <tablePart r:id="rId50"/>
    <tablePart r:id="rId51"/>
    <tablePart r:id="rId52"/>
    <tablePart r:id="rId53"/>
    <tablePart r:id="rId54"/>
    <tablePart r:id="rId55"/>
    <tablePart r:id="rId56"/>
    <tablePart r:id="rId57"/>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7</vt:i4>
      </vt:variant>
      <vt:variant>
        <vt:lpstr>Rangos con nombre</vt:lpstr>
      </vt:variant>
      <vt:variant>
        <vt:i4>61</vt:i4>
      </vt:variant>
    </vt:vector>
  </HeadingPairs>
  <TitlesOfParts>
    <vt:vector size="68" baseType="lpstr">
      <vt:lpstr>Paso1 Analisis perfil egreso</vt:lpstr>
      <vt:lpstr>Paso 2 Redacción competen</vt:lpstr>
      <vt:lpstr>Paso 3 Redacción RA </vt:lpstr>
      <vt:lpstr>Paso 4 Estrategias mesocurricu</vt:lpstr>
      <vt:lpstr>Paso 5 Estrategias micro</vt:lpstr>
      <vt:lpstr>Taxonomía para competencias</vt:lpstr>
      <vt:lpstr>Taxonomias para RA</vt:lpstr>
      <vt:lpstr>actitudinalB</vt:lpstr>
      <vt:lpstr>ActitudinalBAK</vt:lpstr>
      <vt:lpstr>AK</vt:lpstr>
      <vt:lpstr>AnálisisB</vt:lpstr>
      <vt:lpstr>AnálisisBAK</vt:lpstr>
      <vt:lpstr>AnálisisMK</vt:lpstr>
      <vt:lpstr>AnalizarLK</vt:lpstr>
      <vt:lpstr>AplicaciónB</vt:lpstr>
      <vt:lpstr>AplicaciónBAK</vt:lpstr>
      <vt:lpstr>AplicarLK</vt:lpstr>
      <vt:lpstr>BAK</vt:lpstr>
      <vt:lpstr>Bloom</vt:lpstr>
      <vt:lpstr>CaracterizarBAK</vt:lpstr>
      <vt:lpstr>Cognitivo</vt:lpstr>
      <vt:lpstr>CognitivoAK</vt:lpstr>
      <vt:lpstr>cognitivoB</vt:lpstr>
      <vt:lpstr>CognitivoBAK</vt:lpstr>
      <vt:lpstr>competencias</vt:lpstr>
      <vt:lpstr>ComprenderLK</vt:lpstr>
      <vt:lpstr>ComprensionB</vt:lpstr>
      <vt:lpstr>ComprensiónBAK</vt:lpstr>
      <vt:lpstr>ComprensiónMK</vt:lpstr>
      <vt:lpstr>ConceptosLK</vt:lpstr>
      <vt:lpstr>ConocimientoB</vt:lpstr>
      <vt:lpstr>ConocimientoBAK</vt:lpstr>
      <vt:lpstr>Conocimientos</vt:lpstr>
      <vt:lpstr>ControlBAK</vt:lpstr>
      <vt:lpstr>CrearLK</vt:lpstr>
      <vt:lpstr>dominios</vt:lpstr>
      <vt:lpstr>EvaluaciónB</vt:lpstr>
      <vt:lpstr>EvaluaciónBAK</vt:lpstr>
      <vt:lpstr>EvaluarLK</vt:lpstr>
      <vt:lpstr>HechosLK</vt:lpstr>
      <vt:lpstr>ImitaciónBAK</vt:lpstr>
      <vt:lpstr>ManipulaciónBAK</vt:lpstr>
      <vt:lpstr>MetacogniciónLK</vt:lpstr>
      <vt:lpstr>MetacogniciónMK</vt:lpstr>
      <vt:lpstr>MetocogniciónAK</vt:lpstr>
      <vt:lpstr>MK</vt:lpstr>
      <vt:lpstr>OrganizarBAK</vt:lpstr>
      <vt:lpstr>PercepciónBAK</vt:lpstr>
      <vt:lpstr>PrecisiónBAK</vt:lpstr>
      <vt:lpstr>procedimentalB</vt:lpstr>
      <vt:lpstr>ProcedimentalBAK</vt:lpstr>
      <vt:lpstr>ProcedimientosMK</vt:lpstr>
      <vt:lpstr>ProcesosAK</vt:lpstr>
      <vt:lpstr>PsicomotorMK</vt:lpstr>
      <vt:lpstr>RecordarLK</vt:lpstr>
      <vt:lpstr>RecuperaciónMK</vt:lpstr>
      <vt:lpstr>ResponderBAK</vt:lpstr>
      <vt:lpstr>resultadoaprendizaje</vt:lpstr>
      <vt:lpstr>Saber</vt:lpstr>
      <vt:lpstr>Saberhacer</vt:lpstr>
      <vt:lpstr>saberser</vt:lpstr>
      <vt:lpstr>SíntesisB</vt:lpstr>
      <vt:lpstr>SíntesisBAK</vt:lpstr>
      <vt:lpstr>SistemadelYoMK</vt:lpstr>
      <vt:lpstr>taxonomiasra</vt:lpstr>
      <vt:lpstr>UsoConocimientoMK</vt:lpstr>
      <vt:lpstr>ValorarBAK</vt:lpstr>
      <vt:lpstr>Verboscompetencias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Diana Shirley Velasquez Rojas</dc:creator>
  <cp:keywords/>
  <dc:description/>
  <cp:lastModifiedBy>Maria Isabel Cortes Cortes</cp:lastModifiedBy>
  <cp:revision/>
  <dcterms:created xsi:type="dcterms:W3CDTF">2021-03-03T13:22:18Z</dcterms:created>
  <dcterms:modified xsi:type="dcterms:W3CDTF">2026-05-12T16:02:03Z</dcterms:modified>
  <cp:category/>
  <cp:contentStatus/>
</cp:coreProperties>
</file>