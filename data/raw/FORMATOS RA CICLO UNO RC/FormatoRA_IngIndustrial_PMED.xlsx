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752" documentId="8_{276C0453-98D8-486F-AE12-391FADFB420A}" xr6:coauthVersionLast="47" xr6:coauthVersionMax="47" xr10:uidLastSave="{915D154A-6361-4D7D-9A8E-F31FDE744E2C}"/>
  <bookViews>
    <workbookView xWindow="28680" yWindow="-120" windowWidth="29040" windowHeight="1572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RA'!$A$2:$K$18</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micro'!$A$2:$R$152</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micro'!$B$21</definedName>
    <definedName name="resultadoaprendizaje">#REF!</definedName>
    <definedName name="Saber">'Paso1 Analisis perfil egreso'!$E$3:$E$8</definedName>
    <definedName name="SaberHacer">'Paso1 Analisis perfil egreso'!$F$3:$F$8</definedName>
    <definedName name="SaberSer">'Paso1 Analisis perfil egreso'!$G$3:$G$8</definedName>
    <definedName name="TIC">'Paso 2 Redacción competen'!$F$8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9" i="14" l="1"/>
  <c r="S148" i="14"/>
  <c r="S133" i="14"/>
  <c r="S117" i="14"/>
  <c r="S94" i="14"/>
  <c r="S71" i="14"/>
  <c r="S53" i="14"/>
  <c r="S38" i="14"/>
  <c r="S20" i="14"/>
  <c r="A93" i="14"/>
  <c r="A56" i="14"/>
  <c r="A20" i="14"/>
  <c r="K20" i="14"/>
  <c r="L20" i="14"/>
  <c r="R20" i="14"/>
  <c r="A21" i="14"/>
  <c r="K21" i="14"/>
  <c r="L21" i="14"/>
  <c r="M21" i="14"/>
  <c r="A22" i="14"/>
  <c r="A23" i="14"/>
  <c r="A24" i="14"/>
  <c r="A140" i="14"/>
  <c r="M20" i="14" l="1"/>
  <c r="R133" i="14"/>
  <c r="R117" i="14"/>
  <c r="R94" i="14"/>
  <c r="R71" i="14"/>
  <c r="R53" i="14"/>
  <c r="L81" i="14"/>
  <c r="K81" i="14"/>
  <c r="M81" i="14" s="1"/>
  <c r="A81" i="14"/>
  <c r="A82" i="14"/>
  <c r="A83" i="14"/>
  <c r="A84" i="14"/>
  <c r="A63" i="14"/>
  <c r="A62" i="14"/>
  <c r="A61" i="14"/>
  <c r="A60" i="14"/>
  <c r="L59" i="14"/>
  <c r="K59" i="14"/>
  <c r="A59" i="14"/>
  <c r="A45" i="14"/>
  <c r="A46" i="14"/>
  <c r="K44" i="14"/>
  <c r="L44" i="14"/>
  <c r="J151" i="14"/>
  <c r="J152" i="14"/>
  <c r="A34" i="14"/>
  <c r="K34" i="14"/>
  <c r="L34" i="14"/>
  <c r="A35" i="14"/>
  <c r="A36" i="14"/>
  <c r="A38" i="14"/>
  <c r="R38" i="14"/>
  <c r="L16" i="14"/>
  <c r="K16" i="14"/>
  <c r="A16" i="14"/>
  <c r="A17" i="14"/>
  <c r="A18" i="14"/>
  <c r="A19" i="14"/>
  <c r="M59" i="14" l="1"/>
  <c r="M44" i="14"/>
  <c r="M34" i="14"/>
  <c r="M16" i="14"/>
  <c r="R148" i="14" l="1"/>
  <c r="K152" i="14"/>
  <c r="K151" i="14"/>
  <c r="J150" i="14"/>
  <c r="K150" i="14" s="1"/>
  <c r="J149" i="14"/>
  <c r="K149" i="14" s="1"/>
  <c r="L12" i="14"/>
  <c r="K12" i="14"/>
  <c r="L8" i="14"/>
  <c r="K8" i="14"/>
  <c r="L3" i="14"/>
  <c r="A15" i="14"/>
  <c r="A14" i="14"/>
  <c r="A13" i="14"/>
  <c r="A12" i="14"/>
  <c r="A11" i="14"/>
  <c r="A10" i="14"/>
  <c r="A9" i="14"/>
  <c r="A8" i="14"/>
  <c r="A4" i="14"/>
  <c r="A5" i="14"/>
  <c r="A6" i="14"/>
  <c r="A3" i="14"/>
  <c r="A144" i="14"/>
  <c r="A139" i="14"/>
  <c r="A135" i="14"/>
  <c r="A136" i="14"/>
  <c r="A128" i="14"/>
  <c r="A129" i="14"/>
  <c r="A124" i="14"/>
  <c r="A119" i="14"/>
  <c r="A120" i="14"/>
  <c r="A115" i="14"/>
  <c r="A110" i="14"/>
  <c r="A111" i="14"/>
  <c r="A105" i="14"/>
  <c r="A106" i="14"/>
  <c r="A101" i="14"/>
  <c r="A100" i="14"/>
  <c r="A96" i="14"/>
  <c r="A87" i="14"/>
  <c r="A74" i="14"/>
  <c r="A70" i="14"/>
  <c r="A91" i="14"/>
  <c r="A86" i="14"/>
  <c r="A78" i="14"/>
  <c r="A79" i="14"/>
  <c r="A73" i="14"/>
  <c r="A69" i="14"/>
  <c r="A65" i="14"/>
  <c r="A50" i="14"/>
  <c r="A52" i="14"/>
  <c r="A53" i="14"/>
  <c r="A44" i="14"/>
  <c r="A41" i="14"/>
  <c r="A47" i="14"/>
  <c r="A30" i="14"/>
  <c r="A26" i="14"/>
  <c r="D149" i="14"/>
  <c r="K3" i="14"/>
  <c r="K7" i="14"/>
  <c r="L7" i="14"/>
  <c r="A67" i="14"/>
  <c r="A66" i="14"/>
  <c r="A64" i="14"/>
  <c r="A76" i="14"/>
  <c r="A75" i="14"/>
  <c r="A72" i="14"/>
  <c r="A33" i="14"/>
  <c r="A51" i="14"/>
  <c r="A49" i="14"/>
  <c r="A48" i="14"/>
  <c r="A43" i="14"/>
  <c r="A42" i="14"/>
  <c r="A40" i="14"/>
  <c r="A32" i="14"/>
  <c r="A31" i="14"/>
  <c r="A29" i="14"/>
  <c r="A28" i="14"/>
  <c r="A27" i="14"/>
  <c r="A25" i="14"/>
  <c r="M3" i="14" l="1"/>
  <c r="M8" i="14"/>
  <c r="M12" i="14"/>
  <c r="R149" i="14"/>
  <c r="M7" i="14"/>
  <c r="L72" i="14" l="1"/>
  <c r="K72" i="14"/>
  <c r="L53" i="14"/>
  <c r="K53" i="14"/>
  <c r="L54" i="14"/>
  <c r="K54" i="14"/>
  <c r="L39" i="14"/>
  <c r="K39" i="14"/>
  <c r="K55" i="14"/>
  <c r="L55" i="14"/>
  <c r="L33" i="14"/>
  <c r="K33" i="14"/>
  <c r="L49" i="14"/>
  <c r="K49" i="14"/>
  <c r="L134" i="14"/>
  <c r="K134" i="14"/>
  <c r="L138" i="14"/>
  <c r="K138" i="14"/>
  <c r="L143" i="14"/>
  <c r="K143" i="14"/>
  <c r="L148" i="14"/>
  <c r="K148" i="14"/>
  <c r="L133" i="14"/>
  <c r="K133" i="14"/>
  <c r="L127" i="14"/>
  <c r="K127" i="14"/>
  <c r="L114" i="14"/>
  <c r="K114" i="14"/>
  <c r="L109" i="14"/>
  <c r="K109" i="14"/>
  <c r="L123" i="14"/>
  <c r="K123" i="14"/>
  <c r="L147" i="14"/>
  <c r="K147" i="14"/>
  <c r="L132" i="14"/>
  <c r="K132" i="14"/>
  <c r="L95" i="14"/>
  <c r="K95" i="14"/>
  <c r="L99" i="14"/>
  <c r="K99" i="14"/>
  <c r="L64" i="14"/>
  <c r="K64" i="14"/>
  <c r="L85" i="14"/>
  <c r="K85" i="14"/>
  <c r="L77" i="14"/>
  <c r="K77" i="14"/>
  <c r="L90" i="14"/>
  <c r="K90" i="14"/>
  <c r="L104" i="14"/>
  <c r="K104" i="14"/>
  <c r="L118" i="14"/>
  <c r="K118" i="14"/>
  <c r="L68" i="14"/>
  <c r="K68" i="14"/>
  <c r="L40" i="14"/>
  <c r="K40" i="14"/>
  <c r="L29" i="14"/>
  <c r="K29" i="14"/>
  <c r="L25" i="14"/>
  <c r="K25" i="14"/>
  <c r="A7" i="14"/>
  <c r="A39" i="14"/>
  <c r="A55" i="14"/>
  <c r="A57" i="14"/>
  <c r="A58" i="14"/>
  <c r="A54" i="14"/>
  <c r="A68" i="14"/>
  <c r="A71" i="14"/>
  <c r="A118" i="14"/>
  <c r="A121" i="14"/>
  <c r="A122" i="14"/>
  <c r="A104" i="14"/>
  <c r="A107" i="14"/>
  <c r="A108" i="14"/>
  <c r="A90" i="14"/>
  <c r="A92" i="14"/>
  <c r="A94" i="14"/>
  <c r="A77" i="14"/>
  <c r="A80" i="14"/>
  <c r="A85" i="14"/>
  <c r="A88" i="14"/>
  <c r="A89" i="14"/>
  <c r="A99" i="14"/>
  <c r="A102" i="14"/>
  <c r="A103" i="14"/>
  <c r="A95" i="14"/>
  <c r="A97" i="14"/>
  <c r="A98" i="14"/>
  <c r="A123" i="14"/>
  <c r="A125" i="14"/>
  <c r="A126" i="14"/>
  <c r="A109" i="14"/>
  <c r="A112" i="14"/>
  <c r="A113" i="14"/>
  <c r="A114" i="14"/>
  <c r="A116" i="14"/>
  <c r="A117" i="14"/>
  <c r="A127" i="14"/>
  <c r="A130" i="14"/>
  <c r="A131" i="14"/>
  <c r="A143" i="14"/>
  <c r="A145" i="14"/>
  <c r="A146" i="14"/>
  <c r="A138" i="14"/>
  <c r="A141" i="14"/>
  <c r="A142" i="14"/>
  <c r="A134" i="14"/>
  <c r="A137" i="14"/>
  <c r="M49" i="14" l="1"/>
  <c r="M29" i="14"/>
  <c r="M40" i="14"/>
  <c r="M118" i="14"/>
  <c r="M77" i="14"/>
  <c r="M123" i="14"/>
  <c r="M127" i="14"/>
  <c r="M54" i="14"/>
  <c r="M104" i="14"/>
  <c r="M95" i="14"/>
  <c r="M133" i="14"/>
  <c r="M53" i="14"/>
  <c r="M114" i="14"/>
  <c r="M148" i="14"/>
  <c r="M72" i="14"/>
  <c r="M55" i="14"/>
  <c r="M85" i="14"/>
  <c r="M109" i="14"/>
  <c r="M138" i="14"/>
  <c r="M132" i="14"/>
  <c r="M39" i="14"/>
  <c r="M68" i="14"/>
  <c r="M25" i="14"/>
  <c r="M90" i="14"/>
  <c r="M99" i="14"/>
  <c r="M147" i="14"/>
  <c r="M143" i="14"/>
  <c r="M134" i="14"/>
  <c r="M33"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<sst xmlns="http://schemas.openxmlformats.org/spreadsheetml/2006/main" count="2605" uniqueCount="824">
  <si>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</si>
  <si>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</si>
  <si>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</si>
  <si>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</si>
  <si>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</si>
  <si>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</si>
  <si>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</si>
  <si>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</si>
  <si>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</si>
  <si>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</si>
  <si>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</si>
  <si>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</si>
  <si>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</si>
  <si>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</si>
  <si>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</si>
  <si>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</si>
  <si>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</si>
  <si>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</si>
  <si>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Industrial</t>
  </si>
  <si>
    <t>Presencial</t>
  </si>
  <si>
    <t>El egresado del programa de Ingeniería Industrial del Politécnico Grancolombiano es un profesional integral, ético y competente, con sólida formación en ciencias básicas, ingeniería, gestión organizacional y tecnologías de la información, capacitado para concebir, diseñar, implementar y operar soluciones innovadoras en sistemas productivos, logísticos y de cadena de suministro. Está preparado para identificar, formular y resolver problemas complejos mediante el uso riguroso de herramientas cuantitativas y cualitativas, considerando restricciones técnicas, económicas, sociales y ambientales. Demuestra pensamiento sistémico y crítico, toma decisiones fundamentadas bajo condiciones de incertidumbre y gestiona eficientemente el tiempo y los recursos. Se comunica con claridad en entornos técnicos y no técnicos, trabaja de forma colaborativa en equipos multidisciplinarios, y lidera proyectos de mejora e innovación con responsabilidad social, compromiso con la sostenibilidad y disposición al aprendizaje permanente.</t>
  </si>
  <si>
    <t>El ingeniero industrial del Politécnico Grancolombiano cuenta con sólidas competencias en el diseño, análisis, gestión y control de sistemas productivos y de servicios, capaz de integrar recursos humanos, materiales, tecnológicos y financieros para mejorar la eficiencia, la calidad y la sostenibilidad organizacional. Su formación le permite aplicar principios de ingeniería, metodologías de mejora continua, herramientas de análisis de datos, tecnologías emergentes y enfoques de innovación para la solución de problemas complejos en entornos dinámicos y globalizados. Por lo tanto, podrá desempeñarse en campos como la gestión de operaciones, logística y cadena de suministro, control y aseguramiento de la calidad, planeación y control de la producción, gestión de proyectos, ingeniería de procesos, gestión de la innovación, manejo eficiente de recursos, sostenibilidad empresarial, análisis y gestión de riesgos, consultoría estratégica y transformación digital. Su versatilidad le permite aportar valor en sectores como manufactura, servicios, salud, transporte, energía, agroindustria, tecnología, construcción y organizaciones públicas y privadas, liderando iniciativas que generen ventajas competitivas y contribuyan al desarrollo social y económico.</t>
  </si>
  <si>
    <t>Fundamentos de ciencia aplicada, ingeniería y tecnologías de información</t>
  </si>
  <si>
    <t>solucionar problemas complejos de ingeniería</t>
  </si>
  <si>
    <t xml:space="preserve">teniendo en cuenta los impactos culturales, sociales, económicos y ambientales. </t>
  </si>
  <si>
    <t>Diseño, control y coordinación de procesos organizacionales y productivos en las empresas.
Dirección de producción, para la programación de actividades productivas, optimización de recursos físicos y desarrollo tecnológico.
Dirección administrativa, ejecutando las labores propias de la administración, planeación organización, ejecución y control.
Dirección de planeación, analizando y proyectando la utilización de recursos, físicos, humanos y económicos.
Dirección de organización y métodos, manejando la optimización de procesos de la organización desde la perspectiva de tiempos, volúmenes, formas de papelería y recursos.
Dirección de compras, efectuando la labor de manejo de inventarios, generación de órdenes de compra y costos de almacén.
Dirección de control de calidad, controlando los procesos de análisis estadístico de calidad en empresas de tipo industrial y coordinando las labores de estandarización de procesos para la obtención de certificados de calidad.</t>
  </si>
  <si>
    <t xml:space="preserve">Diseño, planeación e implementar procesos logísticos, productivos y organizacionales
Administración de áreas organizacionales y de recursos.
Administración y gestión de procesos productivos, logísticos y organizacionales.
Resolución de problemas complejos asociados a los procesos organizacionales.
Gestión, optimización de inventarios y compras.
Gestión de la seguridad y salud en el trabajo.
Gestión y administración de la calidad
</t>
  </si>
  <si>
    <t xml:space="preserve">Organizaciones con y sin ánimo de lucro/ Empresas de todos los sectores de la económica en áreas asociadas a la ingeniería industrial/Población social por medio de entidades sin ánimo de lucro o entidades gubernamentales.
</t>
  </si>
  <si>
    <t xml:space="preserve">El programa posee un enfoque en el uso de herramientas analíticas avanzadas y de gestión estratégica adaptadas a la Industria incluye y formación especializada en Lean Six Sigma-Green Belt, Logística Integral y Planeación Estratégica para Inteligencia de Negocios, permitiendo a los estudiantes desarrollar proyectos aplicados en estas áreas.
</t>
  </si>
  <si>
    <t>Operaciones e instalaciones organizacionales</t>
  </si>
  <si>
    <t>generar estrategias de mejoramiento continuo de los procesos asociados a bienes y servicios eficientes y de calidad</t>
  </si>
  <si>
    <t xml:space="preserve">que propicien la sostenibilidad organizacional. </t>
  </si>
  <si>
    <t xml:space="preserve">Técnicas, herramientas y metodologías ingenieriles </t>
  </si>
  <si>
    <t>reconocer, evaluar y optimizar los recursos humanos, físicos, técnicos y operativos de los procesos productivos</t>
  </si>
  <si>
    <t xml:space="preserve">a partir del diagnóstico de problemas complejos de ingeniería y la comprensión de las limitaciones asociadas. </t>
  </si>
  <si>
    <t>Sistemas, componentes, procesos, productos e instalaciones</t>
  </si>
  <si>
    <t>satisfacer las necesidades y expectativas del cliente, la organización y las partes interesadas</t>
  </si>
  <si>
    <t>de forma que promuevan la seguridad y salud de los trabajadores así como el cuidado del medio ambiente.</t>
  </si>
  <si>
    <t>Proyectos productivos o de investigación,  incluyendo el diseño y la conducción de experimentos</t>
  </si>
  <si>
    <t>impulsar el establecimiento y desarrollo organizacional y estimular la generación de empleos y mejores condiciones de vida</t>
  </si>
  <si>
    <t xml:space="preserve">a partir de resultados y conclusiones válidas y confiables. </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</si>
  <si>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</si>
  <si>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</si>
  <si>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</si>
  <si>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</si>
  <si>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</si>
  <si>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</si>
  <si>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</si>
  <si>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</si>
  <si>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</si>
  <si>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</si>
  <si>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</si>
  <si>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</si>
  <si>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</si>
  <si>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</si>
  <si>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</si>
  <si>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</si>
  <si>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</si>
  <si>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</si>
  <si>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</si>
  <si>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solucionar problemas complejos de Ingeniería</t>
  </si>
  <si>
    <t xml:space="preserve">Dominar los fundamentos de ciencia aplicada, ingeniería y tecnologías de información para solucionar problemas complejos de Ingeniería, teniendo en cuenta los impactos culturales, sociales, económicos y ambientales. </t>
  </si>
  <si>
    <t>Específica</t>
  </si>
  <si>
    <t>Coordinar</t>
  </si>
  <si>
    <t>Coordinar operaciones e instalaciones organizacionales para generar estrategias de mejoramiento continuo de los procesos asociados a bienes y servicios eficientes y de calidad, que propicien por la sostenibilidad organizacional.</t>
  </si>
  <si>
    <t>Implementar</t>
  </si>
  <si>
    <t xml:space="preserve">Implementar técnicas, herramientas y metodologías ingenieriles para reconocer, evaluar y optimizar los recursos humanos, físicos, técnicos y operativos de todo un proceso productivo, a partir del diagnóstico de problemas complejos de ingeniería y la comprensión de las limitaciones asociadas. </t>
  </si>
  <si>
    <t>Diseñar</t>
  </si>
  <si>
    <t xml:space="preserve">satisfacer las necesidades y expectativas del cliente, la organización y las partes interesadas. </t>
  </si>
  <si>
    <t>Diseñar sistemas, componentes, procesos, productos e instalaciones para satisfacer las necesidades y expectativas del cliente, las organizaciones y las partes interesadas, de forma que propicien la seguridad y salud de los trabajadores y el cuidado del medio ambiente.</t>
  </si>
  <si>
    <t>Formular</t>
  </si>
  <si>
    <r>
      <t xml:space="preserve">Formular </t>
    </r>
    <r>
      <rPr>
        <sz val="11"/>
        <color rgb="FF000000"/>
        <rFont val="Gill Sans MT"/>
        <family val="2"/>
      </rPr>
      <t>proyectos productivos o de investigación para impulsar el desarrollo organizacional y propiciar mejores condiciones de vida, a partir de resultados y conclusiones válidas y confiables.</t>
    </r>
  </si>
  <si>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</si>
  <si>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</si>
  <si>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</si>
  <si>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</si>
  <si>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</si>
  <si>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</si>
  <si>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</si>
  <si>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</si>
  <si>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</si>
  <si>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</si>
  <si>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</si>
  <si>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</si>
  <si>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</si>
  <si>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</si>
  <si>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</si>
  <si>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</si>
  <si>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</si>
  <si>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</si>
  <si>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</si>
  <si>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</si>
  <si>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</si>
  <si>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</si>
  <si>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</si>
  <si>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</si>
  <si>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</si>
  <si>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Identificar</t>
  </si>
  <si>
    <t>Identifica leyes y lenguajes de las ciencias naturales y matemáticas que permiten abordar situaciones o problemas ingenieriles, para estructurar propuestas de solución en las cuales estas se apliquen, según las condiciones del problema y sus implicaciones cuando corresponda.</t>
  </si>
  <si>
    <t>ProcedimentalBAK</t>
  </si>
  <si>
    <t>PrecisiónBAK</t>
  </si>
  <si>
    <t>Aplicar</t>
  </si>
  <si>
    <t>Aplica conocimientos y métodos de las ciencias y las matemáticas (método científico, diseño de experimentos, análisis e interpretación de datos y síntesis de información, entre otros), para modelar sistemas, componentes, instalaciones y procesos productivos y de servicio que resuelvan problemas de ingeniería.</t>
  </si>
  <si>
    <t>ActitudinalBAK</t>
  </si>
  <si>
    <t>ValorarBAK</t>
  </si>
  <si>
    <t>Diagnosticar</t>
  </si>
  <si>
    <t xml:space="preserve">Diagnostica los recursos humanos, físicos, técnicos y operativos necesarios en la creación y producción de bienes o prestación de servicios de contextos organizacionales, que permiten garantizar la productividad, la calidad, la competitividad y la sostenibilidad, para determinar las condiciones, necesidades, requisitos e impactos tanto de la seguridad y salud de los trabajadores como del cuidado del medio ambiente y el bienestar de las personas.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</si>
  <si>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</si>
  <si>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ManipulaciónBAK</t>
  </si>
  <si>
    <t>Diseña procesos, componentes, sistemas e instalaciones, teniendo en cuenta las restricciones del contexto, para proponer estrategias, soluciones o proyectos que resuelvan problemas o atiendan las necesidades industriales que emergen en situaciones del sector o de las organizaciones.</t>
  </si>
  <si>
    <t>AnálisisBAK</t>
  </si>
  <si>
    <t>Establecer</t>
  </si>
  <si>
    <t>Establece las técnicas, herramientas y metodologías ingenieriles que son adecuadas de usar para estructurar planteamientos referentes al tratamiento de la información relacionada con los sistemas, los procesos y las actividades de proyectos o de las propias organizaciones que permitan un análisis objetivo y confiable de estos.</t>
  </si>
  <si>
    <t>Usar</t>
  </si>
  <si>
    <t xml:space="preserve">Usa técnicas, herramientas y metodologías ingenieriles para reconocer, evaluar y optimizar los recursos humanos, físicos, técnicos y operativos necesarios en la creación y producción de bienes o prestación de servicios, en toda clase de situaciones organizacionales o del sector industrial.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</si>
  <si>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</si>
  <si>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Formular proyectos productivos o de investigación para impulsar el desarrollo organizacional y propiciar mejores condiciones de vida, a partir de resultados y conclusiones validas y confiables.</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</si>
  <si>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</si>
  <si>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</si>
  <si>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</si>
  <si>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</si>
  <si>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</si>
  <si>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</si>
  <si>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</si>
  <si>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</si>
  <si>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</si>
  <si>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</si>
  <si>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</si>
  <si>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</si>
  <si>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</si>
  <si>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</si>
  <si>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</si>
  <si>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</si>
  <si>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</si>
  <si>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</si>
  <si>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</si>
  <si>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</si>
  <si>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</si>
  <si>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</si>
  <si>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</si>
  <si>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</si>
  <si>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</si>
  <si>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</si>
  <si>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</si>
  <si>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</si>
  <si>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</si>
  <si>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</si>
  <si>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</si>
  <si>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</si>
  <si>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Simposio Internacional de Productividad</t>
  </si>
  <si>
    <t>Evento con invitados nacionales e internacionales  propiciado para dialogar, compartir, construir conocimiento y diseñar acciones, cuya implementación ofrezca solución a problemáticas organizacionales, actuales y futuras, impactando positivamente la calidad de vida y competitividad de la región y del país.</t>
  </si>
  <si>
    <t>Número de estudiantes del programa que participan en la estrategia.</t>
  </si>
  <si>
    <t>Informar y formar sobre temas en tendencia asociados a la profesión.</t>
  </si>
  <si>
    <t>Listado de participación</t>
  </si>
  <si>
    <t>Valoración de los estudiantes respecto a la contribución que da la estrategia a los resultados de aprendizaje asociados.</t>
  </si>
  <si>
    <t>Encuesta</t>
  </si>
  <si>
    <t>Número de eventos realizados en el periodo de tiempo que establezca el programa.</t>
  </si>
  <si>
    <t>Reporte, Informe o Memorias</t>
  </si>
  <si>
    <t>Jornadas Lúdicas Internacionales</t>
  </si>
  <si>
    <t xml:space="preserve">Espacio generado con el fin de que los participantes de las actividades lúdicas se apropien del conocimiento de una forma más natural, motivante y esporádica, a partir del principio del juego para el desarrollo de competencias, habilidades, destrezas y conocimientos, en el que se espera propiciar en los participantes un aprendizaje significativo. </t>
  </si>
  <si>
    <t>Número de veces que se realiza la estrategia en el periodo de tiempo que establezca el programa.</t>
  </si>
  <si>
    <t>Congreso internacional en Logística</t>
  </si>
  <si>
    <t>Evento que convoca expositores nacionales e internacionales, cuyo objetivo es mostrar las investigaciones y desarrollos en torno al ámbito de la logística y la cadena de suministro de diferentes sectores económicos. Su objetivo es mostrar la aplicación de la logística y las nuevas líneas de investigación, así como su aplicación en el sector real.</t>
  </si>
  <si>
    <t>Congreso internacional en BI</t>
  </si>
  <si>
    <t>Evento que convoca expositores nacionales e internacionales, cuyo objetivo es mostrar las investigaciones y desarrollos en torno al ámbito de la inteligencia de negocios en diferentes sectores económicos. Su objetivo es mostrar la aplicación de la inteligencia de negocios y las nuevas líneas de investigación, así como su aplicación en el sector real.</t>
  </si>
  <si>
    <t>Clases espejo</t>
  </si>
  <si>
    <t>Actividad en donde docentes de universidades internacionales brindan a los estudiantes del programa charlas sobre tópicos propios de la ingeniería industrial, principalmente sobre la aplicación del que hacer del ingeniero en el sector real, así mismo se corresponde dichas charlas por parte de los docentes del programa a universidades internacionales.</t>
  </si>
  <si>
    <t>Formar a los estudiantes sobre temas de la profesión y su manejo en contextos nacionales e internacionales.</t>
  </si>
  <si>
    <t>Reporte o Informe</t>
  </si>
  <si>
    <t>Visitas empresariales</t>
  </si>
  <si>
    <t>En esta actividad los estudiantes tienen la oportunidad de realizar visitas a empresas de diferentes sectores, con el objeto de reconocer procesos, actividades, herramientas y maquinaria propia del que hacer del ingeniero industrial, así como identificar de manera guiada la manera en que se realiza dicho bien o servicio.</t>
  </si>
  <si>
    <t>Formar a los estudiantes sobre temas disciplinares y su manejo en contextos procedimentales.</t>
  </si>
  <si>
    <t>Webinars</t>
  </si>
  <si>
    <t>Esta actividad permite recibir charlas de expertos en diferentes campos relacionados con la ingeniería industrial que les permita narrar sus experiencias y labor como ingenieros en el sector real, esto le permite al estudiante reconocer dichas experiencias y comprender la manera en que han solucionado problemas dentro de su campo laboral.</t>
  </si>
  <si>
    <t>Formar a los estudiantes sobre temas de la profesión.
Prevenir y ayudar a tomar decisiones a los estudiantes, según los resultados obtenidos.</t>
  </si>
  <si>
    <t>Semilleros de Investigación</t>
  </si>
  <si>
    <t>Espacio en el que los estudiantes tienen la oportunidad de desarrollar y fortalecer sus competencias en ingeniería industrial y de otras áreas pertinentes a la ingeniería, así como de el aprendizaje en modelos  de investigación al desarrollar proyectos prácticos que resuelvan problemas complejos, así como de mejora de sistemas productivos y organizacionales.</t>
  </si>
  <si>
    <t>Informar y formar haciendo apropiación social del conocimiento sobre los documentos y el saber generado por los estudiantes del programa.</t>
  </si>
  <si>
    <t>Redes de Semilleros</t>
  </si>
  <si>
    <t>Espacios en los que los estudiantes y docentes del programa muestran resultados sobre investigaciones realizadas en el marco de la ingeniería industrial, así como la asistencia en ponencias de interés sobre ingeniería y las tendencias que mueven el marco de la profesión.</t>
  </si>
  <si>
    <t>Consultorías Empresas</t>
  </si>
  <si>
    <t>Desarrollo de consultorías en empresas de orden regional con el objeto de identificar oportunidades de mejora, realizar diagnósticos propios de ingeniería industrial en diversos campos, áreas y procesos de las organizaciones, así como la búsqueda de implementación de dichas propuestas en las organizaciones.</t>
  </si>
  <si>
    <t>Informar y formar haciendo apropiación social del conocimiento sobre el saber alcanzado por los estudiantes del programa.</t>
  </si>
  <si>
    <t>Proyectos COIL</t>
  </si>
  <si>
    <t xml:space="preserve">Proyectos en los cuales se aplica una metodología pedagógica colaborativa en línea con participación intercultural que busca la colaboración internacional entre varias instituciones educativas a través del apoyo de las tics con el fin de ofrecer  los participantes un aprendizaje global y experiencias interculturales en el aula.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</si>
  <si>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</si>
  <si>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</si>
  <si>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</si>
  <si>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</si>
  <si>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</si>
  <si>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</si>
  <si>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</si>
  <si>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</si>
  <si>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</si>
  <si>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</si>
  <si>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</si>
  <si>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</si>
  <si>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</si>
  <si>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</si>
  <si>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</si>
  <si>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</si>
  <si>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</si>
  <si>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</si>
  <si>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</si>
  <si>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</si>
  <si>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</si>
  <si>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</si>
  <si>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</si>
  <si>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</si>
  <si>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</si>
  <si>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</si>
  <si>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</si>
  <si>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</si>
  <si>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</si>
  <si>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</si>
  <si>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</si>
  <si>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Fundamentos de Química</t>
  </si>
  <si>
    <t>Identifica los conceptos fundamentales de la química para analizar contextos reales y situaciones de aprendizaje.
Aplica los principios de la electroquímica y la termoquímica para el análisis de contextos reales o planteados en laboratorio.</t>
  </si>
  <si>
    <t>TP</t>
  </si>
  <si>
    <t>X</t>
  </si>
  <si>
    <t>1. Lenguaje de la química y cálculos estequiométricos
2. Estados de agregación de la materia y gases ideales
3. Soluciones y pH
4. Termoquímica y electroquímica</t>
  </si>
  <si>
    <t>Las estrategias pueden variar entre estas y otras que emerjan en el proceso formativo.
Trabajo directo: 
Lecturas, vídeos o simulaciones exploratorias al inicio de cada núcleo temático
Talleres introductorios a la temática
Prerrequisitos de nociones y conceptos
Talleres extra clase de aplicación
Sesiones expositivas del profesor
Trabajo independiente:
Talleres, laboratorios, vídeos o simulaciones en temáticas de estudio. Trabajo grupal
Exposiciones de conclusiones y resultados obtenidos en talleres, laboratorios, vídeos o simulaciones
PIF
Laboratorios presenciales o con simuladores</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</si>
  <si>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</si>
  <si>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Las acciones de realimentación varían entre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</si>
  <si>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</si>
  <si>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</si>
  <si>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</si>
  <si>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y otras que emerjan en el proceso formativo.
Trabajo directo:
Clase magistral activa
Trabajo independiente: 
Lecturas
Laboratorios, talleres, resolución de problemas</t>
  </si>
  <si>
    <t>Las estrategias pueden variar entre estas y otras que emerjan en el proceso formativo.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</si>
  <si>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</si>
  <si>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 </t>
  </si>
  <si>
    <t xml:space="preserve">Identifica variables relevantes, su naturaleza y la forma en que se relacionan para modelar un problema computacional básico.
Implementa expresiones matemáticas y estructuras básicas de programación para desarrollar soluciones a problemas computacionales básicos.
</t>
  </si>
  <si>
    <t>T</t>
  </si>
  <si>
    <t>1. Fundamentos de pensamiento algorítmico 
2. Modelado y especificación de problemas 
3. Estructuras básicas de un algoritmo 
4. Relaciones de recurrencias</t>
  </si>
  <si>
    <t>Las estrategias pueden variar entre estas y otras que emerjan en el proceso formativo.
Trabajo directo:
Clase magistral activa
Ejemplos y talleres en clase
Trabajo independiente:
Lecturas complementarias
Talleres de trabajo autónomo
Actividades de refuerzo
Tutorías o monitorias</t>
  </si>
  <si>
    <t>Las estrategias pueden variar entre estas y otras que emerjan en el proceso formativo.
Evaluación formativa:
Trabajo en clase
Evaluación sumativa:
Pruebas conceptuales
Trabajo en clase
Exámenes
Avances del proyecto de aula</t>
  </si>
  <si>
    <t>Introducción a la Ingeniería y Ciencias Básicas </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</si>
  <si>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</si>
  <si>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</si>
  <si>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</si>
  <si>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Las estrategias pueden variar entre estas y otras que emerjan en el proceso formativo.
Evaluación formativa:
Exposiciones
PIF
Evaluación sumativa:
Trabajos escritos
Exposiciones
PIF</t>
  </si>
  <si>
    <t>Dibujo Técnico </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</si>
  <si>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</si>
  <si>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</si>
  <si>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Las estrategias pueden variar entre estas y otras que emerjan en el proceso formativo.
Trabajo directo
Clase magistral activa
Lecturas
Talleres individuales 
Trabajo independiente
Talleres</t>
  </si>
  <si>
    <t>Las estrategias pueden variar entre estas y otras que emerjan en el proceso formativo.
Evaluación formativa:
Resolución de problemas
Proyectos
Talleres
Evaluación sumativa:
Talleres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</si>
  <si>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</si>
  <si>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</si>
  <si>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</si>
  <si>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estrategias pueden variar entre estas y otras que emerjan en el proceso formativo.
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</si>
  <si>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</si>
  <si>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Cálculo Diferencial </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</si>
  <si>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</si>
  <si>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</si>
  <si>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</si>
  <si>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 xml:space="preserve">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
</t>
  </si>
  <si>
    <t>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</si>
  <si>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</si>
  <si>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 xml:space="preserve">1. Fundamentos de programación de computadores
2. Estructuras de control
3. Estructuras de datos básicas
4. Recursividad
</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</si>
  <si>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</si>
  <si>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Álgebra Lineal </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</si>
  <si>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</si>
  <si>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</si>
  <si>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</si>
  <si>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Las estrategias pueden variar entre estas y otras que emerjan en el proceso formativo.
Evaluación formativa:
Resolución de problemas. - Soluciones numéricas. - Uso de herramientas computacionales. - Tareas. 
Evaluación sumativa:
Evaluación parcial. - Quiz. - Taller / Laboratorios. - Proyecto de investigación formativa</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</si>
  <si>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</si>
  <si>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</si>
  <si>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</si>
  <si>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Las estrategias pueden variar entre estas y otras que emerjan en el proceso formativo.
Trabajo directo:
Clase magistral activa combinada con estrategias de metodologías activas
Trabajo independiente:
Lecturas
Laboratorios
Talleres
Estudios de caso.</t>
  </si>
  <si>
    <t>Las estrategias pueden variar entre estas y otras que emerjan en el proceso formativo.
Evaluación formativa: Preguntas intercaladas, presentaciones de situaciones problema, talleres, exposiciones, análisis de casos, trabajos de campo o proyectos.
Evaluación sumativa: Valoración de trabajo, talleres, estudios de casos y una evaluación final.</t>
  </si>
  <si>
    <t>Diseño de Nuevos Productos</t>
  </si>
  <si>
    <t>Identifica oportunidades de solución innovadoras para crear productos que se ajusten a los requerimientos en un contexto real o situación de aprendizaje teniendo en cuenta criterios de la responsabilidad social.
Maneja herramientas del diseño asistido por computador para proponer alternativas de solución de productos, a problemas del contexto real o planteados en el laboratorio.</t>
  </si>
  <si>
    <t>1. Metodología para el desarrollo de producto
2. Introducción a la propiedad intelectual
3. Niveles de desarrollo
4. Aspectos sociales</t>
  </si>
  <si>
    <t>Las estrategias pueden variar entre estas y otras que emerjan en el proceso formativo.
Trabajo directo:
Clase magistral activa y apoyo con metodologías activas
Trabajo independiente:
Metodologías activas
Desarrollo de proyectos
Talleres
Exposiciones
Pruebas escritas</t>
  </si>
  <si>
    <t>Las estrategias pueden variar entre estas y otras que emerjan en el proceso formativo.
Evaluación formativa:
Preguntas intercaladas
Mesas de discusión
Evaluación sumativa: 
Mapa conceptual, resumen, ensayo o Visual Specch 
Quizes
Exámenes Parciales 
Talleres grupales
Estudios de casos
Entregas Proyecto de investigación Formativa
Sustentación final PIF
Exposiciones</t>
  </si>
  <si>
    <t>Pensamiento Crítico y Ciudadanías Activas</t>
  </si>
  <si>
    <t xml:space="preserve">Identifica los derechos y deberes consignados en la Constitución de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</si>
  <si>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</si>
  <si>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Las estrategias pueden variar entre estas y otras que emerjan en el proceso formativo.
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</si>
  <si>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</si>
  <si>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Cálculo Integral </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</si>
  <si>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</si>
  <si>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</si>
  <si>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Evaluación formativa:
Resolución de problemas
Soluciones numéricas
Uso de herramientas computacionales
Tareas
Evaluación sumativa:
Evaluación parcial
Quiz
Talleres</t>
  </si>
  <si>
    <t>Organización y Métodos </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</si>
  <si>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</si>
  <si>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</si>
  <si>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 xml:space="preserve">Análisis Descriptivo de Datos </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</si>
  <si>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</si>
  <si>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</si>
  <si>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 xml:space="preserve">Las estrategias pueden variar entre estas y otras que emerjan en el proceso formativo.
Trabajo directo
Clase magistral activa
Lecturas
Talleres individuales 
Trabajo independiente
Lecturas
Talleres
</t>
  </si>
  <si>
    <t>Las estrategias pueden variar entre estas y otras que emerjan en el proceso formativo.
Evaluación formativa:
Resolución de problemas
Proyectos
Talleres
Evaluación sumativa:
Talleres
Exposiciones grupales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</si>
  <si>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</si>
  <si>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</si>
  <si>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</si>
  <si>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Las estrategias pueden variar entre estas y otras que emerjan en el proceso formativo.
Trabajo directo:
Clase magistral activa combinada con estrategias de metodologías activas
Trabajo independiente:
Lecturas. Laboratorios, talleres, estudios de caso.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</si>
  <si>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</si>
  <si>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</si>
  <si>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</si>
  <si>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</si>
  <si>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Cálculo Vectorial </t>
  </si>
  <si>
    <t>Aplica representaciones matemáticas escalares y vectoriales para analizar situaciones que involucren procesos de derivación e integración en varias variables en la interpretación de resultados en contextos matemáticos y aplicados.</t>
  </si>
  <si>
    <t>1. Geometría del plano y del espacio
2. Funciones de varias variables
3. Integrales múltiples
4. Cálculo vectorial</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</si>
  <si>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</si>
  <si>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Las estrategias pueden variar entre estas y otras que emerjan en el proceso formativo.
Formativas:
Prácticas de laboratorio y simulación
Proyecto de aula
Sumativas:
Evaluaciones teórico - prácticas
Proyecto de aula
Quices</t>
  </si>
  <si>
    <t>Ergonomía y Factores Humanos </t>
  </si>
  <si>
    <t>Identifica los factores ergonómicos que influyen en el desempeño y la salud del trabajador, con base en las características y capacidades humanas, para aplicar herramientas de análisis en la evaluación de puestos de trabajo.
Analiza condiciones de diseño de máquinas, herramientas, puestos de trabajo, procesos y tareas, para proponer diseños ergonómicos orientados a mejorar el bienestar y desempeño del ser humano en el campo laboral.</t>
  </si>
  <si>
    <t>1. Introducción a la ergonomía y los factores humanos
2. Características y capacidades humanas I
3. Características y capacidades humanas II
4. Evaluación y diseño ergonómico</t>
  </si>
  <si>
    <t>Trabajo directo:
Catedra magistral activa
Lecturas
Aprendizaje basado en proyectos
Trabajo independiente
Desarrollo de actividades y revisión de material de apoyo en los espacios de interacción facilitados por el docente LMS Teams, Correo, Plataformas Tecnológicas)
Talleres
Revisión y estudio de material de apoyo
PIF (Entrega de avances del Proyecto de Investigación Formativa)</t>
  </si>
  <si>
    <t>Las estrategias pueden variar entre estas y otras que emerjan en el proceso formativo.
Evaluación formativa:
Preguntas intercaladas
Simulaciones
Evaluación sumativa: 
Talleres
Entrega de documentos</t>
  </si>
  <si>
    <t>Estadística Predictiva </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</si>
  <si>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</si>
  <si>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</si>
  <si>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Las estrategias pueden variar entre estas y otras que emerjan en el proceso formativo.
Trabajo directo
Clase magistral activa
Lecturas
Talleres
Trabajo independiente
Lecturas
Talleres</t>
  </si>
  <si>
    <t>Física Mecánica </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</si>
  <si>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</si>
  <si>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</si>
  <si>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Las estrategias pueden variar entre estas y otras que emerjan en el proceso formativo.
Trabajo directo: 
Lecturas, vídeos y/o simulaciones exploratorias al inicio de cada núcleo temático.
Talleres introductorios a la temática. 
Prerrequisitos de nociones y conceptos.
Talleres extra clase de aplicación.
Sesiones expositivas del profesor
Trabajo independiente:
Talleres, laboratorios, vídeos y/o simulaciones en temáticas de estudio. Trabajo grupal
Exposiciones de conclusiones y resultados obtenidos en talleres, laboratorios, vídeos y/o simulaciones
PIF de la asignatura
Laboratorios presenciales o con simuladores</t>
  </si>
  <si>
    <t>Investigación de Operaciones </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</si>
  <si>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</si>
  <si>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1. Programación lineal y formulación 
2. Métodos de solución - Lenguaje de modelaje matemático 
3. Teoría de la dualidad y análisis de sensibilidad 
4. Flujo en redes</t>
  </si>
  <si>
    <t>Procesos Industriales </t>
  </si>
  <si>
    <t>Identifica las características propias de los materiales para seleccionar el método de mecanizado y/o fabricación adecuado en contextos reales y situaciones de aprendizaje.
Aplica los principios básicos del manejo y operación de equipos especializados de remoción de material para el análisis de procesos industriales en contextos reales o planteados en laboratorio.</t>
  </si>
  <si>
    <t>1. Procesos de manufactura
2. Materiales, características, procesos y aplicaciones
3. Procesos y maquinaria para la remoción de materiales y conformado
4. Procesos de unión, aplicaciones en los procesos industriales y procesos de acabados</t>
  </si>
  <si>
    <t>Fluidos y Termodinámica </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</si>
  <si>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</si>
  <si>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</si>
  <si>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Las estrategias pueden variar entre estas y otras que emerjan en el proceso formativo.
Evaluación formativa: Entrega parcial de PIF. Pruebas escritas sobre contenidos desarrollados en talleres. 
Evaluación sumativa: Quizzes sobre contenidos de sesiones expositivas o talleres de aplicación. Evaluación parcial de período o examen final. Entrega final de PIF. Evaluación oral o escrita de los laboratorios</t>
  </si>
  <si>
    <t>Producción </t>
  </si>
  <si>
    <t>Aplica métodos de pronóstico de la demanda a partir del análisis de su comportamiento histórico, para elaborar planes maestros de producción (MPS) y planes de requerimiento de materiales (MRP) según las necesidades de los sitemas de producción en contextos empresariales.
Organiza procesos de producción en sistemas productivos, para establecer esquemas básicos de programación que consideren criterios de sostenibilidad y seguridad.</t>
  </si>
  <si>
    <t xml:space="preserve">1. Estrategias de producción y gestión de la demanda - pronósticos 
2. Planeación global de la producción y Planeación de la capacidad 
3. Plan maestro de producción (MPS) y plan de requerimiento de materiales (MRP) 
4. Sistemas de producción </t>
  </si>
  <si>
    <t>Programación Estocástica </t>
  </si>
  <si>
    <t>Representa de forma sistémica, conceptual y matemática sistemas con un alto componente de aleatoriedad, para proponer soluciones a problemas propios de la ingeniería industrial mediante la formulación, implementación y análisis de modelos estocásticos. 
Establece los escenarios de incertidumbre en problemas contextualizados, con base en supuestos definidos, para estructurar representaciones de modelos estocásticos aplicables a sistemas industriales.</t>
  </si>
  <si>
    <t>1. Introducción a los procesos estocásticos  
2. Cadenas de Markov de tiempo discreto  
3. Cadenas de Markov de tiempo continuo  
4. Teoría de colas </t>
  </si>
  <si>
    <t>Costos y Presupuestos </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</si>
  <si>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</si>
  <si>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</si>
  <si>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Las estrategias pueden variar entre estas y otras que emerjan en el proceso formativo.
Trabajo directo: Presentación magistral de los ejes temáticos, con participación activa de los estudiantes a través de talleres, ejercicios, juegos de mesa o simuladores.
Trabajo independiente: 
Lecturas previas con bibliografía sugerida Desarrollo de talleres</t>
  </si>
  <si>
    <t xml:space="preserve">Las estrategias pueden variar entre estas y otras que emerjan en el proceso formativo.
Evaluación formativa:
Talleres, controles de lectura, estudio de caso, exposiciones.
Evaluación sumativa:
Talleres, quiz, controles de lectura, estudio de caso, exposiciones, parciales.
</t>
  </si>
  <si>
    <t>Simulación IND </t>
  </si>
  <si>
    <t xml:space="preserve">Estructura estudios de simulación a partir de la definición de un problema de ingeniería, la recolección y análisis de datos de entrada y la creación de un modelo conceptual con el fin de proponer mejoras en procesos de manufactura y servicios.  
Representa en una simulación de eventos discretos un proceso a partir de la selección adecuada de metodologías cuantitativas y conocimientos específicos de optimización matemática y modelaje de procesos para plantear propuestas que apoyen la toma de decisiones en contextos organizacionales. </t>
  </si>
  <si>
    <t>1. Introducción a la simulación 
2. Análisis de entrada y modelamiento básico 
3. Generación de variables aleatorias y modelamiento intermedio 
4. Análisis de salida y comparación de alternativas</t>
  </si>
  <si>
    <t>Proyecto Aplicado a Sistemas Productivos</t>
  </si>
  <si>
    <t>Analiza sistemas productivos en función de su variabilidad, cuellos de botella y desperdicio, para formular propuestas de mejora aplicando principios de ingeniería de métodos, balanceo de líneas y distribución de instalaciones.
Emplea herramientas digitales y tecnologías de información en el diseño y control de procesos productivos, para fortalecer la toma de decisiones en contextos industriales.</t>
  </si>
  <si>
    <t xml:space="preserve">1. Diagnóstico de sistemas productivos 
2. Diseño de proceso y distribución de instalaciones 
3. Fundamentos de dinámica de plantas 
4. Introducción al uso de tecnologías de información en diseños de sistemas productivos </t>
  </si>
  <si>
    <t>Logística IND </t>
  </si>
  <si>
    <t>Diagnostica las características funcionales de la cadena de abastecimiento y las etapas de la gestión logística (aprovisionamiento, producción y distribución–comercialización), para formular soluciones integrales que respondan a las necesidades de contextos organizacionales. 
Aplica herramientas cuantitativas básicas y técnicas de optimización matemática y de modelado para apoyar la toma de decisiones en el diseño, planificación y operación logística de la cadena de suministro, considerando ventajas, limitaciones y condiciones del entorno.</t>
  </si>
  <si>
    <t>1. Conceptos básicos de cadena de suministro 
2. Diseño de redes de distribución
3. Gestión de inventarios
4. Ruteo y transporte</t>
  </si>
  <si>
    <t>Control de Calidad </t>
  </si>
  <si>
    <t>Analiza datos de procesos productivos o de servicios, utilizando herramientas estadísticas y de control de calidad para identificar las causas raíz que generan variaciones y oportunidades de mejora.
Aplica metodologías y normas de calidad, como el control estadístico de procesos, muestreo de aceptación y sistemas de gestión de calidad, para proponer soluciones efectivas orientadas a la mejora continua.</t>
  </si>
  <si>
    <t xml:space="preserve">1. La gestión de la calidad y su evolución  
2. Control estadístico de procesos 
3. Muestreo de aceptación de lotes por atributos y variable 
4. Mejoramiento continuo de la calidad </t>
  </si>
  <si>
    <t>Proyecto Aplicado a Cadena de Suministro </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</si>
  <si>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</si>
  <si>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</si>
  <si>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Distribución de Planta </t>
  </si>
  <si>
    <t>Propone distribuciones físicas de planta mediante el modelamiento de Layout, para elaborar diseños que ofrezcan soluciones espaciales de acuerdo con los requerimientos funcionales de un sistema productivo.</t>
  </si>
  <si>
    <t xml:space="preserve">1. Introducción y principios de la distribución en planta
2. Alternativas y tipos de distribución de la planta 
3. Estaciones de trabajo, manejo de materiales y construcción del Layout 
4. Proyección del Espacio total requerido y construcción de Layout </t>
  </si>
  <si>
    <t>Gerencia Estratégica de Proyectos en Cascada </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</si>
  <si>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</si>
  <si>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</si>
  <si>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Electiva 1</t>
  </si>
  <si>
    <t>Electiva 2</t>
  </si>
  <si>
    <t>Ingeniería Económica  </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</si>
  <si>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</si>
  <si>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</si>
  <si>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Proyecto de Diseño para el Diagnóstico Industrial</t>
  </si>
  <si>
    <t>Realiza diagnósticos organizacionales aplicando herramientas de la Ingeniería Industrial para identificar problemáticas clave en contextos reales o simulados.
Elabora propuestas de mejora estratégica para formular planes de acción considerando criterios de viabilidad técnica, financiera y de sostenibilidad.
Reflexiona sobre las soluciones obtenidas para actuar con responsabilidad ética y social, reconociendo el rol del ingeniero en el aseguramiento de la calidad, la sostenibilidad y la satisfacción de las partes interesadas.</t>
  </si>
  <si>
    <t>1. Particularidades de una organización empresarial desde el ámbito de la ingeniería industrial (análisis de los principales procesos productivos y logísticos)
2. Formula la estrategia para la organización a partir de las matrices de administración
3. Construye el diagnóstico empresarial y la propuesta de mejora para la organización
4. Redacción de informe técnico</t>
  </si>
  <si>
    <t>Gerencia Estratégica de Proyectos Ágiles </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</si>
  <si>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</si>
  <si>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</si>
  <si>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</si>
  <si>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</si>
  <si>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</si>
  <si>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</si>
  <si>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</si>
  <si>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</si>
  <si>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</si>
  <si>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</si>
  <si>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</si>
  <si>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</si>
  <si>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</si>
  <si>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</si>
  <si>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</si>
  <si>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</si>
  <si>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</si>
  <si>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</si>
  <si>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</si>
  <si>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Desarrollar</t>
  </si>
  <si>
    <t>Dirigir</t>
  </si>
  <si>
    <t>Evaluar</t>
  </si>
  <si>
    <t>Fiscalizar</t>
  </si>
  <si>
    <t>Generar</t>
  </si>
  <si>
    <t>Gestionar</t>
  </si>
  <si>
    <t>Hacer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</si>
  <si>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</si>
  <si>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</si>
  <si>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</si>
  <si>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</si>
  <si>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</si>
  <si>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</si>
  <si>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</si>
  <si>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</si>
  <si>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</si>
  <si>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</si>
  <si>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</si>
  <si>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</si>
  <si>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</si>
  <si>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</si>
  <si>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</si>
  <si>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</si>
  <si>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</si>
  <si>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</si>
  <si>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</si>
  <si>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</si>
  <si>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</si>
  <si>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</si>
  <si>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</si>
  <si>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</si>
  <si>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</si>
  <si>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</si>
  <si>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</si>
  <si>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</si>
  <si>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</si>
  <si>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</si>
  <si>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</si>
  <si>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</si>
  <si>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</si>
  <si>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</si>
  <si>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</si>
  <si>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</si>
  <si>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</si>
  <si>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</si>
  <si>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</si>
  <si>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</si>
  <si>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</si>
  <si>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</si>
  <si>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</si>
  <si>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</si>
  <si>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</si>
  <si>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</si>
  <si>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</si>
  <si>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</si>
  <si>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</si>
  <si>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</si>
  <si>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</si>
  <si>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</si>
  <si>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</si>
  <si>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</si>
  <si>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</si>
  <si>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</si>
  <si>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</si>
  <si>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</si>
  <si>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</si>
  <si>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</si>
  <si>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</si>
  <si>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</si>
  <si>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</si>
  <si>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</si>
  <si>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</si>
  <si>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</si>
  <si>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</si>
  <si>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</si>
  <si>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</si>
  <si>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</si>
  <si>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</si>
  <si>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</si>
  <si>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</si>
  <si>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</si>
  <si>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</si>
  <si>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</si>
  <si>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</si>
  <si>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</si>
  <si>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</si>
  <si>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</si>
  <si>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</si>
  <si>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</si>
  <si>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</si>
  <si>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</si>
  <si>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</si>
  <si>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</si>
  <si>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</si>
  <si>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</si>
  <si>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</si>
  <si>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</si>
  <si>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</si>
  <si>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</si>
  <si>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</si>
  <si>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</si>
  <si>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</si>
  <si>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</si>
  <si>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</si>
  <si>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</si>
  <si>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</si>
  <si>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</si>
  <si>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</si>
  <si>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</si>
  <si>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</si>
  <si>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</si>
  <si>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</si>
  <si>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</si>
  <si>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</si>
  <si>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</si>
  <si>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</si>
  <si>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</si>
  <si>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</si>
  <si>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</si>
  <si>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</si>
  <si>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</si>
  <si>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</si>
  <si>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</si>
  <si>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</si>
  <si>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</si>
  <si>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</si>
  <si>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</si>
  <si>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</si>
  <si>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</si>
  <si>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</si>
  <si>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</si>
  <si>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</si>
  <si>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</si>
  <si>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</si>
  <si>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</si>
  <si>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</si>
  <si>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Autorizar</t>
  </si>
  <si>
    <t>Anhelar</t>
  </si>
  <si>
    <t>Cuestionar</t>
  </si>
  <si>
    <t>Colaborar</t>
  </si>
  <si>
    <t>Discutir</t>
  </si>
  <si>
    <t>Cambiar</t>
  </si>
  <si>
    <t>Minimizar</t>
  </si>
  <si>
    <t>Deletrear</t>
  </si>
  <si>
    <t>Dar ejemplos</t>
  </si>
  <si>
    <t>Armar</t>
  </si>
  <si>
    <t>Bajar</t>
  </si>
  <si>
    <t>Asisitir</t>
  </si>
  <si>
    <t>Defender</t>
  </si>
  <si>
    <t>Completar</t>
  </si>
  <si>
    <t>Ejemplificar</t>
  </si>
  <si>
    <t xml:space="preserve">Construir </t>
  </si>
  <si>
    <t>Centrarse</t>
  </si>
  <si>
    <t>ProcedimientosLK</t>
  </si>
  <si>
    <t>Debatir</t>
  </si>
  <si>
    <t>Determinar</t>
  </si>
  <si>
    <t>Atar</t>
  </si>
  <si>
    <t>Correr</t>
  </si>
  <si>
    <t>Comportarse bajo condiciones</t>
  </si>
  <si>
    <t xml:space="preserve">Duplicar </t>
  </si>
  <si>
    <t>Esquematizar</t>
  </si>
  <si>
    <t>Pensar</t>
  </si>
  <si>
    <t>Describir</t>
  </si>
  <si>
    <t>Dibujar</t>
  </si>
  <si>
    <t>Computar</t>
  </si>
  <si>
    <t>Desmontar</t>
  </si>
  <si>
    <t>Comenzar</t>
  </si>
  <si>
    <t>Coser</t>
  </si>
  <si>
    <t>Desplegar</t>
  </si>
  <si>
    <t>Elegir</t>
  </si>
  <si>
    <t>Explicar</t>
  </si>
  <si>
    <t>Correlacionar</t>
  </si>
  <si>
    <t>Compilar</t>
  </si>
  <si>
    <t xml:space="preserve">Planear </t>
  </si>
  <si>
    <t>Discriminar</t>
  </si>
  <si>
    <t>Concluir</t>
  </si>
  <si>
    <t>Calificar</t>
  </si>
  <si>
    <t>Bailar</t>
  </si>
  <si>
    <t>Cortar</t>
  </si>
  <si>
    <t>Difundir</t>
  </si>
  <si>
    <t>Asistir</t>
  </si>
  <si>
    <t>Constatar</t>
  </si>
  <si>
    <t>Escribir</t>
  </si>
  <si>
    <t>Expresar</t>
  </si>
  <si>
    <t>Dramatizar</t>
  </si>
  <si>
    <t>Descomponer</t>
  </si>
  <si>
    <t>Proponer</t>
  </si>
  <si>
    <t>Enseñar</t>
  </si>
  <si>
    <t>Deducir</t>
  </si>
  <si>
    <t>Censurar</t>
  </si>
  <si>
    <t>Direccionar</t>
  </si>
  <si>
    <t>Cumplir</t>
  </si>
  <si>
    <t>Contar</t>
  </si>
  <si>
    <t>Aspirar</t>
  </si>
  <si>
    <t>Discernir</t>
  </si>
  <si>
    <t>Contextualizar</t>
  </si>
  <si>
    <t>Leer</t>
  </si>
  <si>
    <t>Generalizar</t>
  </si>
  <si>
    <t>Diferenciar</t>
  </si>
  <si>
    <t>Reescribir</t>
  </si>
  <si>
    <t>Destapar</t>
  </si>
  <si>
    <t>Cooperar</t>
  </si>
  <si>
    <t>Exteriorizar</t>
  </si>
  <si>
    <t>Controlar</t>
  </si>
  <si>
    <t>Listar</t>
  </si>
  <si>
    <t>Ilustrar</t>
  </si>
  <si>
    <t>Distinguir</t>
  </si>
  <si>
    <t>Convencer</t>
  </si>
  <si>
    <t>Simplificar</t>
  </si>
  <si>
    <t>Duplicar</t>
  </si>
  <si>
    <t>Detectar</t>
  </si>
  <si>
    <t>Crear</t>
  </si>
  <si>
    <t>Comprobar</t>
  </si>
  <si>
    <t>Disipar</t>
  </si>
  <si>
    <t>Aunar</t>
  </si>
  <si>
    <t>Extraer</t>
  </si>
  <si>
    <t>Localizar</t>
  </si>
  <si>
    <t>Inferir</t>
  </si>
  <si>
    <t>Dividir</t>
  </si>
  <si>
    <t>Suponer</t>
  </si>
  <si>
    <t>Etiquetar</t>
  </si>
  <si>
    <t>Diagramar</t>
  </si>
  <si>
    <t>Decidir</t>
  </si>
  <si>
    <t>Concretar</t>
  </si>
  <si>
    <t>Docificar</t>
  </si>
  <si>
    <t>Disponer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</si>
  <si>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</si>
  <si>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</si>
  <si>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</si>
  <si>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</si>
  <si>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</si>
  <si>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</si>
  <si>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</si>
  <si>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</si>
  <si>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</si>
  <si>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</si>
  <si>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</si>
  <si>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</si>
  <si>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</si>
  <si>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</si>
  <si>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</si>
  <si>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</si>
  <si>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</si>
  <si>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</si>
  <si>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Comprender</t>
  </si>
  <si>
    <t>Nombrar</t>
  </si>
  <si>
    <t>Encuestar</t>
  </si>
  <si>
    <t>Testar</t>
  </si>
  <si>
    <t>Grabar</t>
  </si>
  <si>
    <t>Exponer</t>
  </si>
  <si>
    <t>Contabilizar</t>
  </si>
  <si>
    <t>Ejercitar</t>
  </si>
  <si>
    <t>Ejercer</t>
  </si>
  <si>
    <t>Ensanchar</t>
  </si>
  <si>
    <t>Contribuir</t>
  </si>
  <si>
    <t>Percibir</t>
  </si>
  <si>
    <t>Observar</t>
  </si>
  <si>
    <t>Estimar</t>
  </si>
  <si>
    <t>Encajar</t>
  </si>
  <si>
    <t>Emitir</t>
  </si>
  <si>
    <t>Entallar</t>
  </si>
  <si>
    <t>Enumerar</t>
  </si>
  <si>
    <t>Convocar</t>
  </si>
  <si>
    <t>Preguntar</t>
  </si>
  <si>
    <t>Entregar</t>
  </si>
  <si>
    <t>Omitir</t>
  </si>
  <si>
    <t>Parafrasear</t>
  </si>
  <si>
    <t>Manipular</t>
  </si>
  <si>
    <t>Visualizar</t>
  </si>
  <si>
    <t>Estructurar</t>
  </si>
  <si>
    <t>Desempeñar</t>
  </si>
  <si>
    <t>Corregir</t>
  </si>
  <si>
    <t>Escoger</t>
  </si>
  <si>
    <t>Creer</t>
  </si>
  <si>
    <t>Promover</t>
  </si>
  <si>
    <t>Juzgar</t>
  </si>
  <si>
    <t>Rastrear</t>
  </si>
  <si>
    <t>Predecir</t>
  </si>
  <si>
    <t>Organizar</t>
  </si>
  <si>
    <t>Empaquetar</t>
  </si>
  <si>
    <t>Esculpir</t>
  </si>
  <si>
    <t>Escuchar</t>
  </si>
  <si>
    <t>Hablar</t>
  </si>
  <si>
    <t>Cuidar</t>
  </si>
  <si>
    <t>Negociar</t>
  </si>
  <si>
    <t>Recitar</t>
  </si>
  <si>
    <t>Inspeccionar</t>
  </si>
  <si>
    <t>Descubrir</t>
  </si>
  <si>
    <t>Experimentar</t>
  </si>
  <si>
    <t>Explorar</t>
  </si>
  <si>
    <t>Extender</t>
  </si>
  <si>
    <t>Proteger</t>
  </si>
  <si>
    <t>Ofrecer</t>
  </si>
  <si>
    <t>Relacionar</t>
  </si>
  <si>
    <t>Practicar</t>
  </si>
  <si>
    <t>Investigar</t>
  </si>
  <si>
    <t>AutoSistemaAK</t>
  </si>
  <si>
    <t>Mostar</t>
  </si>
  <si>
    <t>Culminar</t>
  </si>
  <si>
    <t>Cotejar</t>
  </si>
  <si>
    <t>Entrenar</t>
  </si>
  <si>
    <t>Extirpar</t>
  </si>
  <si>
    <t>Indicar</t>
  </si>
  <si>
    <t>Resumir</t>
  </si>
  <si>
    <t>Motivar</t>
  </si>
  <si>
    <t>Inventariar</t>
  </si>
  <si>
    <t>Ensamblar</t>
  </si>
  <si>
    <t>Envasar</t>
  </si>
  <si>
    <t>Informar</t>
  </si>
  <si>
    <t>Servir</t>
  </si>
  <si>
    <t>Revisar</t>
  </si>
  <si>
    <t>Numerar</t>
  </si>
  <si>
    <t>Guiar</t>
  </si>
  <si>
    <t>Narrar</t>
  </si>
  <si>
    <t>Relatar</t>
  </si>
  <si>
    <t>Soportar</t>
  </si>
  <si>
    <t>Repetir</t>
  </si>
  <si>
    <t>Traducir</t>
  </si>
  <si>
    <t>Seleccionar</t>
  </si>
  <si>
    <t>Ordenar</t>
  </si>
  <si>
    <t>Estampar</t>
  </si>
  <si>
    <t>Industrializar</t>
  </si>
  <si>
    <t>Obrar recíprocamente</t>
  </si>
  <si>
    <t>Terminar</t>
  </si>
  <si>
    <t>Simular</t>
  </si>
  <si>
    <t>Obtener</t>
  </si>
  <si>
    <t>Medir</t>
  </si>
  <si>
    <t>Estudiar</t>
  </si>
  <si>
    <t>Estimular</t>
  </si>
  <si>
    <t>Interrogar</t>
  </si>
  <si>
    <t>Revelar</t>
  </si>
  <si>
    <t>Transferir</t>
  </si>
  <si>
    <t>Priorizar</t>
  </si>
  <si>
    <t>Figurar</t>
  </si>
  <si>
    <t>Edificar</t>
  </si>
  <si>
    <t>Llevar</t>
  </si>
  <si>
    <t>Manejar</t>
  </si>
  <si>
    <t>Referir</t>
  </si>
  <si>
    <t>Unir</t>
  </si>
  <si>
    <t>Probar</t>
  </si>
  <si>
    <t>Instalar</t>
  </si>
  <si>
    <t>Fabricar</t>
  </si>
  <si>
    <t>Razonar</t>
  </si>
  <si>
    <t>Hipotetizar</t>
  </si>
  <si>
    <t>Mecanizar</t>
  </si>
  <si>
    <t>Ocupar</t>
  </si>
  <si>
    <t>Preocuparse de o por</t>
  </si>
  <si>
    <t>Reorganizar</t>
  </si>
  <si>
    <t>Influir</t>
  </si>
  <si>
    <t>Presentar</t>
  </si>
  <si>
    <t>Operar</t>
  </si>
  <si>
    <t>Filtrar</t>
  </si>
  <si>
    <t>Mover</t>
  </si>
  <si>
    <t>Proporcionar</t>
  </si>
  <si>
    <t>Resaltar</t>
  </si>
  <si>
    <t>Innovar</t>
  </si>
  <si>
    <t>Maniobrar</t>
  </si>
  <si>
    <t>Publicar</t>
  </si>
  <si>
    <t>Provocar</t>
  </si>
  <si>
    <t>Separar</t>
  </si>
  <si>
    <t>Justificar</t>
  </si>
  <si>
    <t>Realizar</t>
  </si>
  <si>
    <t>Reportar</t>
  </si>
  <si>
    <t>Patronar</t>
  </si>
  <si>
    <t>Hallar</t>
  </si>
  <si>
    <t>Ponderar</t>
  </si>
  <si>
    <t>Ratificar</t>
  </si>
  <si>
    <t>Subdividir</t>
  </si>
  <si>
    <t>Imprimir</t>
  </si>
  <si>
    <t>Recordar</t>
  </si>
  <si>
    <t>Recoger</t>
  </si>
  <si>
    <t>Juntar</t>
  </si>
  <si>
    <t>Perforar</t>
  </si>
  <si>
    <t>Impulsar</t>
  </si>
  <si>
    <t>Ser partidario de</t>
  </si>
  <si>
    <t>Opinar</t>
  </si>
  <si>
    <t>Registrar</t>
  </si>
  <si>
    <t>Introducir</t>
  </si>
  <si>
    <t>Limpiar</t>
  </si>
  <si>
    <t>Poner</t>
  </si>
  <si>
    <t>Quitar</t>
  </si>
  <si>
    <t>Tasar</t>
  </si>
  <si>
    <t>Originar</t>
  </si>
  <si>
    <t>Inventar</t>
  </si>
  <si>
    <t>Modificar</t>
  </si>
  <si>
    <t>Levantar</t>
  </si>
  <si>
    <t>Finalizar</t>
  </si>
  <si>
    <t>Reemplazar</t>
  </si>
  <si>
    <t>Valorar</t>
  </si>
  <si>
    <t>Persuadir</t>
  </si>
  <si>
    <t>Reproducir</t>
  </si>
  <si>
    <t>Formar</t>
  </si>
  <si>
    <t>Remover</t>
  </si>
  <si>
    <t>Premiar</t>
  </si>
  <si>
    <t>Ubicar</t>
  </si>
  <si>
    <t>Trazar</t>
  </si>
  <si>
    <t>Reparar</t>
  </si>
  <si>
    <t>Rotular</t>
  </si>
  <si>
    <t>Preparar</t>
  </si>
  <si>
    <t>Reponer</t>
  </si>
  <si>
    <t>Recomendar</t>
  </si>
  <si>
    <t>Marcar</t>
  </si>
  <si>
    <t>Subrayar</t>
  </si>
  <si>
    <t>Recaudar</t>
  </si>
  <si>
    <t>Mezclar</t>
  </si>
  <si>
    <t>Mitigar</t>
  </si>
  <si>
    <t>Retirar</t>
  </si>
  <si>
    <t>Recortar</t>
  </si>
  <si>
    <t>Reunir</t>
  </si>
  <si>
    <t>Seguir</t>
  </si>
  <si>
    <t>Perfeccionar</t>
  </si>
  <si>
    <t>Peritar</t>
  </si>
  <si>
    <t>Señalar</t>
  </si>
  <si>
    <t>Sincronizar</t>
  </si>
  <si>
    <t>Planificar</t>
  </si>
  <si>
    <t>Pronosticar</t>
  </si>
  <si>
    <t>Soldar</t>
  </si>
  <si>
    <t>Suprimir</t>
  </si>
  <si>
    <t>Repartir</t>
  </si>
  <si>
    <t>Pintar</t>
  </si>
  <si>
    <t>Tapizar</t>
  </si>
  <si>
    <t>Porcionar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</si>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</sst>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rgb="FFD9E1F2"/>
        <bgColor rgb="FF000000"/>
      </patternFill>
    </fill>
  </fills>
  <borders count="1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54">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vertical="center"/>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11"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11" xfId="0" applyFont="1" applyBorder="1" applyAlignment="1">
      <alignment horizontal="left" vertical="center" wrapText="1"/>
    </xf>
    <xf numFmtId="0" fontId="3" fillId="6" borderId="12" xfId="0" applyFont="1" applyFill="1" applyBorder="1" applyAlignment="1">
      <alignment horizontal="left" vertical="center" wrapText="1"/>
    </xf>
    <xf numFmtId="0" fontId="3" fillId="6" borderId="12"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12" xfId="0" applyFont="1" applyFill="1" applyBorder="1" applyAlignment="1">
      <alignment horizontal="left" vertical="center" wrapText="1"/>
    </xf>
    <xf numFmtId="0" fontId="3" fillId="6" borderId="12" xfId="0" applyFont="1" applyFill="1" applyBorder="1" applyAlignment="1">
      <alignment horizontal="center" vertical="center"/>
    </xf>
    <xf numFmtId="49" fontId="3" fillId="6" borderId="12" xfId="0" applyNumberFormat="1" applyFont="1" applyFill="1" applyBorder="1" applyAlignment="1">
      <alignment horizontal="left" vertical="center" wrapText="1"/>
    </xf>
    <xf numFmtId="0" fontId="11" fillId="10" borderId="12"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1" xfId="0" applyFont="1" applyBorder="1" applyAlignment="1">
      <alignment horizontal="left" vertical="center"/>
    </xf>
    <xf numFmtId="0" fontId="3" fillId="0" borderId="0" xfId="0" applyFont="1" applyAlignment="1">
      <alignment horizontal="left"/>
    </xf>
    <xf numFmtId="0" fontId="3" fillId="10" borderId="12" xfId="0" applyFont="1" applyFill="1" applyBorder="1" applyAlignment="1">
      <alignment horizontal="left" vertical="center"/>
    </xf>
    <xf numFmtId="0" fontId="3" fillId="10" borderId="12" xfId="0" applyFont="1" applyFill="1" applyBorder="1" applyAlignment="1">
      <alignment horizontal="center" vertical="center"/>
    </xf>
    <xf numFmtId="0" fontId="3" fillId="10" borderId="12" xfId="0" applyFont="1" applyFill="1" applyBorder="1" applyAlignment="1">
      <alignment horizontal="left" vertical="center" wrapText="1"/>
    </xf>
    <xf numFmtId="0" fontId="11" fillId="10" borderId="12" xfId="0" applyFont="1" applyFill="1" applyBorder="1" applyAlignment="1">
      <alignment horizontal="center" vertical="center"/>
    </xf>
    <xf numFmtId="0" fontId="25"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6" fillId="3" borderId="7" xfId="0" applyFont="1" applyFill="1" applyBorder="1" applyAlignment="1">
      <alignment horizontal="center" vertical="center" wrapText="1"/>
    </xf>
    <xf numFmtId="0" fontId="13" fillId="0" borderId="8" xfId="0" applyFont="1" applyBorder="1" applyAlignment="1">
      <alignment vertical="center" wrapText="1"/>
    </xf>
    <xf numFmtId="0" fontId="3" fillId="0" borderId="8" xfId="0" applyFont="1" applyBorder="1" applyAlignment="1">
      <alignment vertical="center"/>
    </xf>
    <xf numFmtId="0" fontId="13" fillId="0" borderId="9" xfId="0" applyFont="1" applyBorder="1" applyAlignment="1">
      <alignment vertical="center" wrapText="1"/>
    </xf>
    <xf numFmtId="0" fontId="13" fillId="0" borderId="11" xfId="0" applyFont="1" applyBorder="1" applyAlignment="1">
      <alignment vertical="center" wrapText="1"/>
    </xf>
    <xf numFmtId="0" fontId="11" fillId="0" borderId="8" xfId="0" applyFont="1" applyBorder="1" applyAlignment="1">
      <alignment vertical="center"/>
    </xf>
    <xf numFmtId="0" fontId="13" fillId="0" borderId="0" xfId="0" applyFont="1" applyAlignment="1">
      <alignment vertical="center"/>
    </xf>
    <xf numFmtId="0" fontId="11" fillId="6" borderId="8" xfId="0" applyFont="1" applyFill="1" applyBorder="1" applyAlignment="1">
      <alignment horizontal="left" vertical="center" wrapText="1"/>
    </xf>
    <xf numFmtId="0" fontId="11" fillId="6" borderId="8"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11" fillId="11" borderId="12" xfId="0" applyFont="1" applyFill="1" applyBorder="1" applyAlignment="1">
      <alignment horizontal="center" vertical="center"/>
    </xf>
    <xf numFmtId="0" fontId="11" fillId="11" borderId="12"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9" xfId="0" applyFont="1" applyBorder="1" applyAlignment="1">
      <alignment horizontal="left" vertical="center" wrapText="1"/>
    </xf>
    <xf numFmtId="0" fontId="11"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1" fillId="0" borderId="11"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left" vertical="center" wrapText="1"/>
    </xf>
    <xf numFmtId="0" fontId="11" fillId="0" borderId="8"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6" xfId="0" applyFont="1" applyBorder="1" applyAlignment="1">
      <alignment horizontal="left" vertical="center" wrapText="1"/>
    </xf>
    <xf numFmtId="0" fontId="11" fillId="0" borderId="5" xfId="0" applyFont="1" applyBorder="1" applyAlignment="1">
      <alignment horizontal="left" vertical="center" wrapText="1"/>
    </xf>
    <xf numFmtId="0" fontId="1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8" xfId="0" applyFont="1" applyBorder="1" applyAlignment="1">
      <alignment horizontal="left" vertical="center" wrapText="1"/>
    </xf>
    <xf numFmtId="0" fontId="13" fillId="0" borderId="11"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19" fillId="7" borderId="2" xfId="0" applyFont="1" applyFill="1" applyBorder="1" applyAlignment="1">
      <alignment horizontal="center" vertical="center" wrapText="1"/>
    </xf>
    <xf numFmtId="0" fontId="3" fillId="0" borderId="0" xfId="0" applyFont="1" applyAlignment="1">
      <alignment horizontal="center"/>
    </xf>
    <xf numFmtId="0" fontId="5" fillId="4" borderId="0" xfId="0" applyFont="1" applyFill="1" applyAlignment="1">
      <alignment horizontal="center"/>
    </xf>
    <xf numFmtId="0" fontId="4" fillId="4" borderId="0" xfId="0" applyFont="1" applyFill="1" applyAlignment="1">
      <alignment horizontal="center"/>
    </xf>
    <xf numFmtId="0" fontId="7" fillId="0" borderId="0" xfId="0" applyFont="1" applyAlignment="1">
      <alignment horizontal="center" vertical="center"/>
    </xf>
    <xf numFmtId="0" fontId="18"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7" totalsRowShown="0" headerRowDxfId="115" dataDxfId="114">
  <autoFilter ref="V3:V37" xr:uid="{8F4B4DA5-2E6A-4AE6-935A-CC2B94779B96}"/>
  <sortState xmlns:xlrd2="http://schemas.microsoft.com/office/spreadsheetml/2017/richdata2" ref="V4:V37">
    <sortCondition ref="V3:V37"/>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3" totalsRowShown="0" headerRowDxfId="103" dataDxfId="102">
  <autoFilter ref="Z3:Z43" xr:uid="{8CC53E0E-533C-40E8-9B1D-08F34978407F}"/>
  <sortState xmlns:xlrd2="http://schemas.microsoft.com/office/spreadsheetml/2017/richdata2" ref="Z4:Z42">
    <sortCondition ref="Z3:Z42"/>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70">
    <sortCondition ref="AA3:AA70"/>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1" totalsRowShown="0" headerRowDxfId="88" dataDxfId="87">
  <autoFilter ref="AE3:AE41" xr:uid="{19344631-8A85-4D95-9EA7-1E2C9FA2E476}"/>
  <sortState xmlns:xlrd2="http://schemas.microsoft.com/office/spreadsheetml/2017/richdata2" ref="AE4:AE41">
    <sortCondition ref="AE3:AE41"/>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abSelected="1" zoomScale="110" zoomScaleNormal="110" workbookViewId="0"/>
  </sheetViews>
  <sheetFormatPr defaultColWidth="76.28515625" defaultRowHeight="16.5"/>
  <cols>
    <col min="1" max="1" width="21.140625" style="2" customWidth="1"/>
    <col min="2" max="2" width="16.7109375" style="2" customWidth="1"/>
    <col min="3" max="3" width="44" style="2" customWidth="1"/>
    <col min="4" max="4" width="55.5703125" style="2" customWidth="1"/>
    <col min="5" max="5" width="44.42578125" style="2" customWidth="1"/>
    <col min="6" max="6" width="50.28515625" customWidth="1"/>
    <col min="7" max="7" width="51.28515625" customWidth="1"/>
    <col min="8" max="8" width="71.8554687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19" t="s">
        <v>4</v>
      </c>
      <c r="F1" s="119"/>
      <c r="G1" s="119"/>
      <c r="H1" s="119" t="s">
        <v>5</v>
      </c>
      <c r="I1" s="119"/>
      <c r="J1" s="119"/>
      <c r="K1" s="38" t="s">
        <v>6</v>
      </c>
    </row>
    <row r="2" spans="1:11" s="29" customFormat="1">
      <c r="A2" s="40" t="s">
        <v>7</v>
      </c>
      <c r="B2" s="40" t="s">
        <v>8</v>
      </c>
      <c r="C2" s="40" t="s">
        <v>9</v>
      </c>
      <c r="D2" s="46" t="s">
        <v>10</v>
      </c>
      <c r="E2" s="102" t="s">
        <v>11</v>
      </c>
      <c r="F2" s="102" t="s">
        <v>12</v>
      </c>
      <c r="G2" s="102" t="s">
        <v>13</v>
      </c>
      <c r="H2" s="48" t="s">
        <v>14</v>
      </c>
      <c r="I2" s="48" t="s">
        <v>15</v>
      </c>
      <c r="J2" s="48" t="s">
        <v>16</v>
      </c>
      <c r="K2" s="47" t="s">
        <v>17</v>
      </c>
    </row>
    <row r="3" spans="1:11" s="4" customFormat="1" ht="33">
      <c r="A3" s="120" t="s">
        <v>18</v>
      </c>
      <c r="B3" s="120" t="s">
        <v>19</v>
      </c>
      <c r="C3" s="122" t="s">
        <v>20</v>
      </c>
      <c r="D3" s="122" t="s">
        <v>21</v>
      </c>
      <c r="E3" s="51" t="s">
        <v>22</v>
      </c>
      <c r="F3" s="51" t="s">
        <v>23</v>
      </c>
      <c r="G3" s="51" t="s">
        <v>24</v>
      </c>
      <c r="H3" s="117" t="s">
        <v>25</v>
      </c>
      <c r="I3" s="117" t="s">
        <v>26</v>
      </c>
      <c r="J3" s="117" t="s">
        <v>27</v>
      </c>
      <c r="K3" s="117" t="s">
        <v>28</v>
      </c>
    </row>
    <row r="4" spans="1:11" s="4" customFormat="1" ht="49.5">
      <c r="A4" s="121"/>
      <c r="B4" s="121"/>
      <c r="C4" s="123"/>
      <c r="D4" s="123"/>
      <c r="E4" s="5" t="s">
        <v>29</v>
      </c>
      <c r="F4" s="5" t="s">
        <v>30</v>
      </c>
      <c r="G4" s="5" t="s">
        <v>31</v>
      </c>
      <c r="H4" s="118"/>
      <c r="I4" s="118"/>
      <c r="J4" s="118"/>
      <c r="K4" s="118"/>
    </row>
    <row r="5" spans="1:11" s="4" customFormat="1" ht="33">
      <c r="A5" s="121"/>
      <c r="B5" s="121"/>
      <c r="C5" s="123"/>
      <c r="D5" s="123"/>
      <c r="E5" s="65" t="s">
        <v>32</v>
      </c>
      <c r="F5" s="65" t="s">
        <v>33</v>
      </c>
      <c r="G5" s="65" t="s">
        <v>34</v>
      </c>
      <c r="H5" s="118"/>
      <c r="I5" s="118"/>
      <c r="J5" s="118"/>
      <c r="K5" s="118"/>
    </row>
    <row r="6" spans="1:11" s="4" customFormat="1" ht="33">
      <c r="A6" s="121"/>
      <c r="B6" s="121"/>
      <c r="C6" s="123"/>
      <c r="D6" s="123"/>
      <c r="E6" s="65" t="s">
        <v>35</v>
      </c>
      <c r="F6" s="65" t="s">
        <v>36</v>
      </c>
      <c r="G6" s="5" t="s">
        <v>37</v>
      </c>
      <c r="H6" s="118"/>
      <c r="I6" s="118"/>
      <c r="J6" s="118"/>
      <c r="K6" s="118"/>
    </row>
    <row r="7" spans="1:11" s="4" customFormat="1" ht="49.5">
      <c r="A7" s="121"/>
      <c r="B7" s="121"/>
      <c r="C7" s="123"/>
      <c r="D7" s="123"/>
      <c r="E7" s="65" t="s">
        <v>38</v>
      </c>
      <c r="F7" s="65" t="s">
        <v>39</v>
      </c>
      <c r="G7" s="65" t="s">
        <v>40</v>
      </c>
      <c r="H7" s="118"/>
      <c r="I7" s="118"/>
      <c r="J7" s="118"/>
      <c r="K7" s="118"/>
    </row>
    <row r="8" spans="1:11" s="4" customFormat="1" ht="49.5">
      <c r="A8" s="121"/>
      <c r="B8" s="121"/>
      <c r="C8" s="123"/>
      <c r="D8" s="123"/>
      <c r="E8" s="79" t="s">
        <v>41</v>
      </c>
      <c r="F8" s="79" t="s">
        <v>42</v>
      </c>
      <c r="G8" s="79" t="s">
        <v>43</v>
      </c>
      <c r="H8" s="118"/>
      <c r="I8" s="118"/>
      <c r="J8" s="118"/>
      <c r="K8" s="118"/>
    </row>
    <row r="9" spans="1:11" s="4" customFormat="1">
      <c r="C9" s="34"/>
      <c r="D9" s="99"/>
      <c r="E9" s="34"/>
      <c r="F9" s="34"/>
      <c r="G9" s="34"/>
      <c r="H9" s="5"/>
    </row>
    <row r="10" spans="1:11" ht="21">
      <c r="D10" s="28"/>
      <c r="E10" s="8"/>
      <c r="F10" s="8"/>
      <c r="H10" s="3"/>
    </row>
    <row r="11" spans="1:11" ht="21">
      <c r="D11" s="28"/>
      <c r="E11" s="8"/>
      <c r="F11" s="8"/>
      <c r="H11" s="3"/>
    </row>
    <row r="12" spans="1:11" ht="21">
      <c r="C12" s="30"/>
      <c r="D12" s="28"/>
      <c r="E12" s="30"/>
      <c r="F12" s="30"/>
      <c r="H12" s="3"/>
    </row>
    <row r="13" spans="1:11" ht="21">
      <c r="D13" s="28"/>
      <c r="E13" s="8"/>
      <c r="F13" s="8"/>
      <c r="H13" s="3"/>
    </row>
    <row r="14" spans="1:11" ht="21">
      <c r="C14" s="4"/>
      <c r="D14" s="28"/>
      <c r="E14" s="10"/>
      <c r="F14" s="2"/>
      <c r="H14" s="3"/>
    </row>
    <row r="15" spans="1:11" ht="21">
      <c r="D15" s="28"/>
      <c r="E15" s="8"/>
    </row>
    <row r="16" spans="1:11" ht="21">
      <c r="D16" s="28"/>
    </row>
    <row r="17" spans="4:4" ht="21">
      <c r="D17" s="28"/>
    </row>
    <row r="18" spans="4:4" ht="21">
      <c r="D18" s="28"/>
    </row>
    <row r="19" spans="4:4" ht="21">
      <c r="D19" s="28"/>
    </row>
    <row r="20" spans="4:4" ht="21">
      <c r="D20" s="28"/>
    </row>
    <row r="21" spans="4:4" ht="21">
      <c r="D21" s="28"/>
    </row>
    <row r="22" spans="4:4" ht="21">
      <c r="D22" s="28"/>
    </row>
    <row r="23" spans="4:4" ht="21">
      <c r="D23" s="28"/>
    </row>
  </sheetData>
  <mergeCells count="10">
    <mergeCell ref="K3:K8"/>
    <mergeCell ref="E1:G1"/>
    <mergeCell ref="H1:J1"/>
    <mergeCell ref="A3:A8"/>
    <mergeCell ref="B3:B8"/>
    <mergeCell ref="C3:C8"/>
    <mergeCell ref="D3:D8"/>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7"/>
  <sheetViews>
    <sheetView zoomScaleNormal="100" workbookViewId="0">
      <selection sqref="A1:G1"/>
    </sheetView>
  </sheetViews>
  <sheetFormatPr defaultColWidth="11.42578125" defaultRowHeight="16.5"/>
  <cols>
    <col min="1" max="1" width="19" style="6" customWidth="1"/>
    <col min="2" max="2" width="21" style="6" customWidth="1"/>
    <col min="3" max="3" width="31.5703125" style="6" customWidth="1"/>
    <col min="4" max="4" width="32.28515625" style="6" customWidth="1"/>
    <col min="5" max="5" width="41.85546875" style="6" customWidth="1"/>
    <col min="6" max="6" width="78.5703125" style="6" customWidth="1"/>
    <col min="7" max="7" width="24" style="6" customWidth="1"/>
    <col min="8" max="16384" width="11.42578125" style="6"/>
  </cols>
  <sheetData>
    <row r="1" spans="1:7" s="2" customFormat="1">
      <c r="A1" s="124" t="s">
        <v>44</v>
      </c>
      <c r="B1" s="125"/>
      <c r="C1" s="125"/>
      <c r="D1" s="125"/>
      <c r="E1" s="125"/>
      <c r="F1" s="125"/>
      <c r="G1" s="125"/>
    </row>
    <row r="2" spans="1:7" s="39" customFormat="1" ht="78">
      <c r="A2" s="36" t="s">
        <v>45</v>
      </c>
      <c r="B2" s="37" t="s">
        <v>46</v>
      </c>
      <c r="C2" s="37" t="s">
        <v>47</v>
      </c>
      <c r="D2" s="37" t="s">
        <v>48</v>
      </c>
      <c r="E2" s="37" t="s">
        <v>49</v>
      </c>
      <c r="F2" s="38" t="s">
        <v>50</v>
      </c>
      <c r="G2" s="38" t="s">
        <v>51</v>
      </c>
    </row>
    <row r="3" spans="1:7" s="41" customFormat="1">
      <c r="A3" s="60" t="s">
        <v>52</v>
      </c>
      <c r="B3" s="61" t="s">
        <v>53</v>
      </c>
      <c r="C3" s="61" t="s">
        <v>54</v>
      </c>
      <c r="D3" s="61" t="s">
        <v>55</v>
      </c>
      <c r="E3" s="61" t="s">
        <v>56</v>
      </c>
      <c r="F3" s="50" t="s">
        <v>57</v>
      </c>
      <c r="G3" s="50" t="s">
        <v>58</v>
      </c>
    </row>
    <row r="4" spans="1:7" ht="49.5">
      <c r="A4" s="6">
        <v>1</v>
      </c>
      <c r="B4" s="5" t="s">
        <v>59</v>
      </c>
      <c r="C4" s="5" t="s">
        <v>22</v>
      </c>
      <c r="D4" s="65" t="s">
        <v>60</v>
      </c>
      <c r="E4" s="34" t="s">
        <v>24</v>
      </c>
      <c r="F4" s="34" t="s">
        <v>61</v>
      </c>
      <c r="G4" s="65" t="s">
        <v>62</v>
      </c>
    </row>
    <row r="5" spans="1:7" ht="66">
      <c r="A5" s="6">
        <v>2</v>
      </c>
      <c r="B5" s="5" t="s">
        <v>63</v>
      </c>
      <c r="C5" s="5" t="s">
        <v>29</v>
      </c>
      <c r="D5" s="34" t="s">
        <v>30</v>
      </c>
      <c r="E5" s="34" t="s">
        <v>31</v>
      </c>
      <c r="F5" s="34" t="s">
        <v>64</v>
      </c>
      <c r="G5" s="65" t="s">
        <v>62</v>
      </c>
    </row>
    <row r="6" spans="1:7" ht="66">
      <c r="A6" s="6">
        <v>3</v>
      </c>
      <c r="B6" s="5" t="s">
        <v>65</v>
      </c>
      <c r="C6" s="5" t="s">
        <v>32</v>
      </c>
      <c r="D6" s="65" t="s">
        <v>33</v>
      </c>
      <c r="E6" s="34" t="s">
        <v>34</v>
      </c>
      <c r="F6" s="34" t="s">
        <v>66</v>
      </c>
      <c r="G6" s="65" t="s">
        <v>62</v>
      </c>
    </row>
    <row r="7" spans="1:7" ht="49.5">
      <c r="A7" s="6">
        <v>4</v>
      </c>
      <c r="B7" s="5" t="s">
        <v>67</v>
      </c>
      <c r="C7" s="5" t="s">
        <v>35</v>
      </c>
      <c r="D7" s="65" t="s">
        <v>68</v>
      </c>
      <c r="E7" s="34" t="s">
        <v>37</v>
      </c>
      <c r="F7" s="34" t="s">
        <v>69</v>
      </c>
      <c r="G7" s="65" t="s">
        <v>62</v>
      </c>
    </row>
    <row r="8" spans="1:7" ht="66.599999999999994" thickBot="1">
      <c r="A8" s="73">
        <v>5</v>
      </c>
      <c r="B8" s="72" t="s">
        <v>70</v>
      </c>
      <c r="C8" s="72" t="s">
        <v>38</v>
      </c>
      <c r="D8" s="78" t="s">
        <v>39</v>
      </c>
      <c r="E8" s="76" t="s">
        <v>40</v>
      </c>
      <c r="F8" s="103" t="s">
        <v>71</v>
      </c>
      <c r="G8" s="78" t="s">
        <v>62</v>
      </c>
    </row>
    <row r="9" spans="1:7" ht="66">
      <c r="A9" s="6">
        <v>6</v>
      </c>
      <c r="B9" s="34" t="s">
        <v>72</v>
      </c>
      <c r="C9" s="5" t="s">
        <v>41</v>
      </c>
      <c r="D9" s="34" t="s">
        <v>73</v>
      </c>
      <c r="E9" s="34" t="s">
        <v>43</v>
      </c>
      <c r="F9" s="34" t="s">
        <v>74</v>
      </c>
      <c r="G9" s="5" t="s">
        <v>75</v>
      </c>
    </row>
    <row r="10" spans="1:7">
      <c r="B10" s="5"/>
      <c r="C10" s="32"/>
      <c r="D10" s="33"/>
      <c r="E10" s="33"/>
      <c r="F10" s="5"/>
    </row>
    <row r="11" spans="1:7">
      <c r="C11" s="31"/>
      <c r="D11" s="31"/>
      <c r="E11" s="31"/>
    </row>
    <row r="15" spans="1:7">
      <c r="C15" s="31"/>
      <c r="D15" s="15"/>
      <c r="E15" s="15"/>
    </row>
    <row r="16" spans="1:7">
      <c r="C16" s="31"/>
      <c r="D16" s="15"/>
      <c r="E16" s="15"/>
    </row>
    <row r="17" spans="3:5">
      <c r="C17" s="31"/>
      <c r="D17" s="15"/>
      <c r="E17" s="15"/>
    </row>
  </sheetData>
  <mergeCells count="1">
    <mergeCell ref="A1:G1"/>
  </mergeCells>
  <dataValidations count="1">
    <dataValidation type="list" allowBlank="1" showInputMessage="1" showErrorMessage="1" sqref="B9:B13"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B14</xm:sqref>
        </x14:dataValidation>
        <x14:dataValidation type="list" allowBlank="1" showInputMessage="1" showErrorMessage="1" xr:uid="{27BB9EA1-A522-436A-B320-3844B1FF49FC}">
          <x14:formula1>
            <xm:f>'Taxonomía para competencias'!$B$2:$B$49</xm:f>
          </x14:formula1>
          <xm:sqref>B4:B8</xm:sqref>
        </x14:dataValidation>
        <x14:dataValidation type="list" allowBlank="1" showInputMessage="1" showErrorMessage="1" xr:uid="{5EADCC8E-A021-41D2-A781-82D42FE181E0}">
          <x14:formula1>
            <xm:f>'Paso1 Analisis perfil egreso'!$E$3:$E$9</xm:f>
          </x14:formula1>
          <xm:sqref>C9</xm:sqref>
        </x14:dataValidation>
        <x14:dataValidation type="list" allowBlank="1" showInputMessage="1" showErrorMessage="1" xr:uid="{33DE93D0-28B9-435A-9EE1-5F80FDE293A1}">
          <x14:formula1>
            <xm:f>'Paso1 Analisis perfil egreso'!$E$3:$E$7</xm:f>
          </x14:formula1>
          <xm:sqref>C4:C8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1"/>
  <sheetViews>
    <sheetView zoomScaleNormal="100" workbookViewId="0"/>
  </sheetViews>
  <sheetFormatPr defaultColWidth="11.42578125" defaultRowHeight="16.5"/>
  <cols>
    <col min="1" max="1" width="79"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74" customWidth="1"/>
    <col min="9" max="9" width="106" style="74" customWidth="1"/>
    <col min="10" max="10" width="97.140625" style="5" customWidth="1"/>
    <col min="11" max="16384" width="11.42578125" style="5"/>
  </cols>
  <sheetData>
    <row r="1" spans="1:10" s="68" customFormat="1" ht="51.95">
      <c r="A1" s="66" t="s">
        <v>76</v>
      </c>
      <c r="B1" s="66" t="s">
        <v>77</v>
      </c>
      <c r="C1" s="37" t="s">
        <v>78</v>
      </c>
      <c r="D1" s="67" t="s">
        <v>79</v>
      </c>
      <c r="E1" s="67" t="s">
        <v>80</v>
      </c>
      <c r="F1" s="37" t="s">
        <v>81</v>
      </c>
      <c r="G1" s="37" t="s">
        <v>82</v>
      </c>
      <c r="H1" s="37" t="s">
        <v>83</v>
      </c>
      <c r="I1" s="66" t="s">
        <v>84</v>
      </c>
    </row>
    <row r="2" spans="1:10" s="71" customFormat="1">
      <c r="A2" s="69" t="s">
        <v>85</v>
      </c>
      <c r="B2" s="69" t="s">
        <v>86</v>
      </c>
      <c r="C2" s="61" t="s">
        <v>87</v>
      </c>
      <c r="D2" s="70" t="s">
        <v>88</v>
      </c>
      <c r="E2" s="70" t="s">
        <v>89</v>
      </c>
      <c r="F2" s="61" t="s">
        <v>90</v>
      </c>
      <c r="G2" s="61" t="s">
        <v>91</v>
      </c>
      <c r="H2" s="61" t="s">
        <v>92</v>
      </c>
      <c r="I2" s="69" t="s">
        <v>93</v>
      </c>
    </row>
    <row r="3" spans="1:10" ht="49.5">
      <c r="A3" s="5" t="s">
        <v>61</v>
      </c>
      <c r="B3" s="6">
        <v>1</v>
      </c>
      <c r="C3" s="5" t="s">
        <v>11</v>
      </c>
      <c r="D3" s="5" t="s">
        <v>22</v>
      </c>
      <c r="E3" s="5" t="s">
        <v>94</v>
      </c>
      <c r="F3" s="74" t="s">
        <v>95</v>
      </c>
      <c r="G3" s="74" t="s">
        <v>96</v>
      </c>
      <c r="H3" s="5" t="s">
        <v>97</v>
      </c>
      <c r="I3" s="34" t="s">
        <v>98</v>
      </c>
    </row>
    <row r="4" spans="1:10" ht="49.5">
      <c r="A4" s="5" t="s">
        <v>61</v>
      </c>
      <c r="B4" s="6">
        <v>5</v>
      </c>
      <c r="C4" s="5" t="s">
        <v>12</v>
      </c>
      <c r="D4" s="5" t="s">
        <v>60</v>
      </c>
      <c r="E4" s="5" t="s">
        <v>94</v>
      </c>
      <c r="F4" s="74" t="s">
        <v>99</v>
      </c>
      <c r="G4" s="74" t="s">
        <v>100</v>
      </c>
      <c r="H4" s="5" t="s">
        <v>101</v>
      </c>
      <c r="I4" s="65" t="s">
        <v>102</v>
      </c>
    </row>
    <row r="5" spans="1:10" ht="66.599999999999994" thickBot="1">
      <c r="A5" s="72" t="s">
        <v>61</v>
      </c>
      <c r="B5" s="73">
        <v>8</v>
      </c>
      <c r="C5" s="72" t="s">
        <v>13</v>
      </c>
      <c r="D5" s="72" t="s">
        <v>24</v>
      </c>
      <c r="E5" s="72" t="s">
        <v>94</v>
      </c>
      <c r="F5" s="104" t="s">
        <v>103</v>
      </c>
      <c r="G5" s="104" t="s">
        <v>104</v>
      </c>
      <c r="H5" s="72" t="s">
        <v>105</v>
      </c>
      <c r="I5" s="78" t="s">
        <v>106</v>
      </c>
    </row>
    <row r="6" spans="1:10" ht="49.5">
      <c r="A6" s="5" t="s">
        <v>64</v>
      </c>
      <c r="B6" s="6">
        <v>2</v>
      </c>
      <c r="C6" s="5" t="s">
        <v>11</v>
      </c>
      <c r="D6" s="5" t="s">
        <v>29</v>
      </c>
      <c r="E6" s="5" t="s">
        <v>94</v>
      </c>
      <c r="F6" s="74" t="s">
        <v>95</v>
      </c>
      <c r="G6" s="74" t="s">
        <v>96</v>
      </c>
      <c r="H6" s="5" t="s">
        <v>97</v>
      </c>
      <c r="I6" s="82" t="s">
        <v>107</v>
      </c>
    </row>
    <row r="7" spans="1:10" ht="66">
      <c r="A7" s="5" t="s">
        <v>64</v>
      </c>
      <c r="B7" s="6">
        <v>6</v>
      </c>
      <c r="C7" s="5" t="s">
        <v>12</v>
      </c>
      <c r="D7" s="5" t="s">
        <v>30</v>
      </c>
      <c r="E7" s="5" t="s">
        <v>94</v>
      </c>
      <c r="F7" s="74" t="s">
        <v>99</v>
      </c>
      <c r="G7" s="74" t="s">
        <v>108</v>
      </c>
      <c r="H7" s="5" t="s">
        <v>67</v>
      </c>
      <c r="I7" s="65" t="s">
        <v>109</v>
      </c>
    </row>
    <row r="8" spans="1:10" ht="66.599999999999994" thickBot="1">
      <c r="A8" s="72" t="s">
        <v>64</v>
      </c>
      <c r="B8" s="73">
        <v>8</v>
      </c>
      <c r="C8" s="72" t="s">
        <v>13</v>
      </c>
      <c r="D8" s="72" t="s">
        <v>31</v>
      </c>
      <c r="E8" s="72" t="s">
        <v>94</v>
      </c>
      <c r="F8" s="104" t="s">
        <v>103</v>
      </c>
      <c r="G8" s="104" t="s">
        <v>104</v>
      </c>
      <c r="H8" s="72" t="s">
        <v>105</v>
      </c>
      <c r="I8" s="78" t="s">
        <v>106</v>
      </c>
      <c r="J8" s="99"/>
    </row>
    <row r="9" spans="1:10" ht="66">
      <c r="A9" s="5" t="s">
        <v>66</v>
      </c>
      <c r="B9" s="6">
        <v>3</v>
      </c>
      <c r="C9" s="5" t="s">
        <v>11</v>
      </c>
      <c r="D9" s="5" t="s">
        <v>32</v>
      </c>
      <c r="E9" s="5" t="s">
        <v>94</v>
      </c>
      <c r="F9" s="74" t="s">
        <v>95</v>
      </c>
      <c r="G9" s="74" t="s">
        <v>110</v>
      </c>
      <c r="H9" s="5" t="s">
        <v>111</v>
      </c>
      <c r="I9" s="82" t="s">
        <v>112</v>
      </c>
    </row>
    <row r="10" spans="1:10" ht="66">
      <c r="A10" s="5" t="s">
        <v>66</v>
      </c>
      <c r="B10" s="6">
        <v>7</v>
      </c>
      <c r="C10" s="5" t="s">
        <v>12</v>
      </c>
      <c r="D10" s="5" t="s">
        <v>33</v>
      </c>
      <c r="E10" s="5" t="s">
        <v>94</v>
      </c>
      <c r="F10" s="74" t="s">
        <v>99</v>
      </c>
      <c r="G10" s="74" t="s">
        <v>108</v>
      </c>
      <c r="H10" s="5" t="s">
        <v>113</v>
      </c>
      <c r="I10" s="65" t="s">
        <v>114</v>
      </c>
    </row>
    <row r="11" spans="1:10" ht="66.599999999999994" thickBot="1">
      <c r="A11" s="72" t="s">
        <v>66</v>
      </c>
      <c r="B11" s="73">
        <v>8</v>
      </c>
      <c r="C11" s="72" t="s">
        <v>13</v>
      </c>
      <c r="D11" s="72" t="s">
        <v>34</v>
      </c>
      <c r="E11" s="72" t="s">
        <v>94</v>
      </c>
      <c r="F11" s="104" t="s">
        <v>103</v>
      </c>
      <c r="G11" s="104" t="s">
        <v>104</v>
      </c>
      <c r="H11" s="72" t="s">
        <v>105</v>
      </c>
      <c r="I11" s="78" t="s">
        <v>106</v>
      </c>
      <c r="J11" s="99"/>
    </row>
    <row r="12" spans="1:10" ht="49.5">
      <c r="A12" s="5" t="s">
        <v>69</v>
      </c>
      <c r="B12" s="6">
        <v>2</v>
      </c>
      <c r="C12" s="5" t="s">
        <v>11</v>
      </c>
      <c r="D12" s="5" t="s">
        <v>35</v>
      </c>
      <c r="E12" s="5" t="s">
        <v>94</v>
      </c>
      <c r="F12" s="74" t="s">
        <v>95</v>
      </c>
      <c r="G12" s="74" t="s">
        <v>96</v>
      </c>
      <c r="H12" s="5" t="s">
        <v>97</v>
      </c>
      <c r="I12" s="65" t="s">
        <v>115</v>
      </c>
    </row>
    <row r="13" spans="1:10" ht="66">
      <c r="A13" s="5" t="s">
        <v>69</v>
      </c>
      <c r="B13" s="6">
        <v>6</v>
      </c>
      <c r="C13" s="5" t="s">
        <v>12</v>
      </c>
      <c r="D13" s="5" t="s">
        <v>36</v>
      </c>
      <c r="E13" s="5" t="s">
        <v>94</v>
      </c>
      <c r="F13" s="74" t="s">
        <v>99</v>
      </c>
      <c r="G13" s="74" t="s">
        <v>108</v>
      </c>
      <c r="H13" s="5" t="s">
        <v>67</v>
      </c>
      <c r="I13" s="65" t="s">
        <v>109</v>
      </c>
    </row>
    <row r="14" spans="1:10" ht="66.599999999999994" thickBot="1">
      <c r="A14" s="72" t="s">
        <v>69</v>
      </c>
      <c r="B14" s="73">
        <v>8</v>
      </c>
      <c r="C14" s="72" t="s">
        <v>13</v>
      </c>
      <c r="D14" s="72" t="s">
        <v>37</v>
      </c>
      <c r="E14" s="72" t="s">
        <v>94</v>
      </c>
      <c r="F14" s="104" t="s">
        <v>103</v>
      </c>
      <c r="G14" s="104" t="s">
        <v>104</v>
      </c>
      <c r="H14" s="72" t="s">
        <v>105</v>
      </c>
      <c r="I14" s="78" t="s">
        <v>106</v>
      </c>
      <c r="J14" s="99"/>
    </row>
    <row r="15" spans="1:10" ht="66">
      <c r="A15" s="5" t="s">
        <v>116</v>
      </c>
      <c r="B15" s="6">
        <v>2</v>
      </c>
      <c r="C15" s="5" t="s">
        <v>11</v>
      </c>
      <c r="D15" s="5" t="s">
        <v>38</v>
      </c>
      <c r="E15" s="5" t="s">
        <v>94</v>
      </c>
      <c r="F15" s="74" t="s">
        <v>95</v>
      </c>
      <c r="G15" s="74" t="s">
        <v>96</v>
      </c>
      <c r="H15" s="5" t="s">
        <v>97</v>
      </c>
      <c r="I15" s="65" t="s">
        <v>115</v>
      </c>
    </row>
    <row r="16" spans="1:10" ht="82.5">
      <c r="A16" s="5" t="s">
        <v>116</v>
      </c>
      <c r="B16" s="6">
        <v>6</v>
      </c>
      <c r="C16" s="5" t="s">
        <v>12</v>
      </c>
      <c r="D16" s="5" t="s">
        <v>39</v>
      </c>
      <c r="E16" s="5" t="s">
        <v>94</v>
      </c>
      <c r="F16" s="74" t="s">
        <v>99</v>
      </c>
      <c r="G16" s="74" t="s">
        <v>108</v>
      </c>
      <c r="H16" s="5" t="s">
        <v>67</v>
      </c>
      <c r="I16" s="65" t="s">
        <v>109</v>
      </c>
    </row>
    <row r="17" spans="1:10" ht="66.599999999999994" thickBot="1">
      <c r="A17" s="72" t="s">
        <v>116</v>
      </c>
      <c r="B17" s="73">
        <v>8</v>
      </c>
      <c r="C17" s="72" t="s">
        <v>13</v>
      </c>
      <c r="D17" s="72" t="s">
        <v>40</v>
      </c>
      <c r="E17" s="72" t="s">
        <v>94</v>
      </c>
      <c r="F17" s="104" t="s">
        <v>103</v>
      </c>
      <c r="G17" s="104" t="s">
        <v>104</v>
      </c>
      <c r="H17" s="72" t="s">
        <v>105</v>
      </c>
      <c r="I17" s="78" t="s">
        <v>106</v>
      </c>
      <c r="J17" s="99"/>
    </row>
    <row r="18" spans="1:10" ht="49.5">
      <c r="A18" s="5" t="s">
        <v>74</v>
      </c>
      <c r="B18" s="6">
        <v>4</v>
      </c>
      <c r="C18" s="5" t="s">
        <v>11</v>
      </c>
      <c r="D18" s="5" t="s">
        <v>41</v>
      </c>
      <c r="E18" s="5" t="s">
        <v>117</v>
      </c>
      <c r="F18" s="74" t="s">
        <v>118</v>
      </c>
      <c r="G18" s="74" t="s">
        <v>119</v>
      </c>
      <c r="H18" s="5" t="s">
        <v>97</v>
      </c>
      <c r="I18" s="34" t="s">
        <v>120</v>
      </c>
      <c r="J18" s="99"/>
    </row>
    <row r="19" spans="1:10">
      <c r="A19" s="4"/>
      <c r="F19" s="74"/>
      <c r="G19" s="74"/>
      <c r="H19" s="5"/>
      <c r="I19" s="4"/>
      <c r="J19" s="99"/>
    </row>
    <row r="20" spans="1:10">
      <c r="A20" s="4"/>
      <c r="F20" s="74"/>
      <c r="G20" s="74"/>
      <c r="H20" s="5"/>
      <c r="I20" s="4"/>
    </row>
    <row r="21" spans="1:10">
      <c r="A21" s="4"/>
      <c r="F21" s="74"/>
      <c r="G21" s="74"/>
      <c r="H21" s="5"/>
      <c r="I21" s="4"/>
    </row>
    <row r="22" spans="1:10">
      <c r="A22" s="4"/>
      <c r="F22" s="74"/>
      <c r="G22" s="74"/>
      <c r="H22" s="5"/>
      <c r="I22" s="4"/>
    </row>
    <row r="23" spans="1:10">
      <c r="A23" s="4"/>
      <c r="F23" s="74"/>
      <c r="G23" s="74"/>
      <c r="H23" s="5"/>
      <c r="I23" s="4"/>
    </row>
    <row r="24" spans="1:10">
      <c r="A24" s="4"/>
      <c r="F24" s="74"/>
      <c r="G24" s="74"/>
      <c r="H24" s="5"/>
      <c r="I24" s="4"/>
    </row>
    <row r="25" spans="1:10">
      <c r="A25" s="4"/>
      <c r="H25" s="5"/>
      <c r="I25" s="4"/>
    </row>
    <row r="26" spans="1:10">
      <c r="A26" s="4"/>
      <c r="I26" s="4"/>
    </row>
    <row r="27" spans="1:10">
      <c r="A27" s="4"/>
      <c r="I27" s="4"/>
    </row>
    <row r="28" spans="1:10">
      <c r="A28" s="4"/>
    </row>
    <row r="29" spans="1:10">
      <c r="A29" s="4"/>
    </row>
    <row r="30" spans="1:10">
      <c r="A30" s="4"/>
    </row>
    <row r="31" spans="1:10">
      <c r="A31" s="4"/>
    </row>
  </sheetData>
  <autoFilter ref="A2:K18" xr:uid="{94AAF649-42F4-466A-BE11-44357078F961}"/>
  <dataValidations count="5">
    <dataValidation type="list" allowBlank="1" showInputMessage="1" showErrorMessage="1" sqref="H3:H18" xr:uid="{EF7E0087-1A07-4340-9A8A-E18F2705EAA5}">
      <formula1>INDIRECT($G3)</formula1>
    </dataValidation>
    <dataValidation type="list" allowBlank="1" showInputMessage="1" showErrorMessage="1" sqref="G3:G18" xr:uid="{C824F632-68FF-A845-8310-1160831D753F}">
      <formula1>INDIRECT($F3)</formula1>
    </dataValidation>
    <dataValidation type="list" allowBlank="1" showInputMessage="1" showErrorMessage="1" sqref="F3:F18" xr:uid="{A432778F-7D53-8543-B7B7-9CEB372333AB}">
      <formula1>INDIRECT($E3)</formula1>
    </dataValidation>
    <dataValidation type="list" allowBlank="1" showInputMessage="1" showErrorMessage="1" sqref="D3:D18" xr:uid="{7E1D182A-6AF9-A04C-9AFE-674494F658A5}">
      <formula1>INDIRECT($C3)</formula1>
    </dataValidation>
    <dataValidation type="list" allowBlank="1" showInputMessage="1" showErrorMessage="1" sqref="C3:C18"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E3:E18</xm:sqref>
        </x14:dataValidation>
        <x14:dataValidation type="list" allowBlank="1" showInputMessage="1" showErrorMessage="1" xr:uid="{98578F6C-C527-A048-93A4-A8514981207B}">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76</v>
      </c>
      <c r="B1" s="44" t="s">
        <v>77</v>
      </c>
      <c r="C1" s="52" t="s">
        <v>78</v>
      </c>
      <c r="D1" s="53" t="s">
        <v>79</v>
      </c>
      <c r="E1" s="53" t="s">
        <v>80</v>
      </c>
      <c r="F1" s="52" t="s">
        <v>81</v>
      </c>
      <c r="G1" s="52" t="s">
        <v>82</v>
      </c>
      <c r="H1" s="52" t="s">
        <v>83</v>
      </c>
      <c r="I1" s="44" t="s">
        <v>84</v>
      </c>
      <c r="J1" s="45"/>
    </row>
    <row r="2" spans="1:11" ht="16.5">
      <c r="A2" s="62" t="s">
        <v>85</v>
      </c>
      <c r="B2" s="59" t="s">
        <v>86</v>
      </c>
      <c r="C2" s="63" t="s">
        <v>87</v>
      </c>
      <c r="D2" s="54" t="s">
        <v>88</v>
      </c>
      <c r="E2" s="54" t="s">
        <v>89</v>
      </c>
      <c r="F2" s="63" t="s">
        <v>90</v>
      </c>
      <c r="G2" s="63" t="s">
        <v>91</v>
      </c>
      <c r="H2" s="63" t="s">
        <v>92</v>
      </c>
      <c r="I2" s="59" t="s">
        <v>93</v>
      </c>
      <c r="J2" s="64"/>
    </row>
    <row r="3" spans="1:11" ht="136.5" hidden="1" customHeight="1">
      <c r="A3" s="4" t="s">
        <v>121</v>
      </c>
      <c r="B3" s="6">
        <v>1</v>
      </c>
      <c r="C3" s="5" t="s">
        <v>11</v>
      </c>
      <c r="D3" s="5" t="s">
        <v>122</v>
      </c>
      <c r="E3" s="5" t="s">
        <v>94</v>
      </c>
      <c r="F3" s="9" t="s">
        <v>95</v>
      </c>
      <c r="G3" s="9" t="s">
        <v>96</v>
      </c>
      <c r="H3" s="5" t="s">
        <v>97</v>
      </c>
      <c r="I3" s="34" t="s">
        <v>123</v>
      </c>
      <c r="J3" s="27"/>
    </row>
    <row r="4" spans="1:11" ht="142.5" hidden="1" customHeight="1">
      <c r="A4" s="4" t="s">
        <v>121</v>
      </c>
      <c r="B4" s="6">
        <v>4</v>
      </c>
      <c r="C4" s="5" t="s">
        <v>12</v>
      </c>
      <c r="D4" s="5" t="s">
        <v>124</v>
      </c>
      <c r="E4" s="5" t="s">
        <v>94</v>
      </c>
      <c r="F4" s="9" t="s">
        <v>99</v>
      </c>
      <c r="G4" s="9" t="s">
        <v>108</v>
      </c>
      <c r="H4" s="5" t="s">
        <v>101</v>
      </c>
      <c r="I4" s="34" t="s">
        <v>125</v>
      </c>
    </row>
    <row r="5" spans="1:11" ht="126" hidden="1" customHeight="1">
      <c r="A5" s="4" t="s">
        <v>121</v>
      </c>
      <c r="B5" s="6">
        <v>7</v>
      </c>
      <c r="C5" s="5" t="s">
        <v>13</v>
      </c>
      <c r="D5" s="5" t="s">
        <v>126</v>
      </c>
      <c r="E5" s="5" t="s">
        <v>94</v>
      </c>
      <c r="F5" s="9" t="s">
        <v>103</v>
      </c>
      <c r="G5" s="9" t="s">
        <v>104</v>
      </c>
      <c r="H5" s="5" t="s">
        <v>127</v>
      </c>
      <c r="I5" s="34" t="s">
        <v>128</v>
      </c>
    </row>
    <row r="6" spans="1:11" ht="99">
      <c r="A6" s="4" t="s">
        <v>129</v>
      </c>
      <c r="B6" s="6">
        <v>1</v>
      </c>
      <c r="C6" s="5" t="s">
        <v>11</v>
      </c>
      <c r="D6" s="5" t="s">
        <v>130</v>
      </c>
      <c r="E6" s="5" t="s">
        <v>94</v>
      </c>
      <c r="F6" s="9" t="s">
        <v>95</v>
      </c>
      <c r="G6" s="9" t="s">
        <v>96</v>
      </c>
      <c r="H6" s="5" t="s">
        <v>97</v>
      </c>
      <c r="I6" s="34" t="s">
        <v>131</v>
      </c>
    </row>
    <row r="7" spans="1:11" ht="115.5">
      <c r="A7" s="4" t="s">
        <v>129</v>
      </c>
      <c r="B7" s="6">
        <v>5</v>
      </c>
      <c r="C7" s="5" t="s">
        <v>12</v>
      </c>
      <c r="D7" s="5" t="s">
        <v>132</v>
      </c>
      <c r="E7" s="5" t="s">
        <v>94</v>
      </c>
      <c r="F7" s="9" t="s">
        <v>99</v>
      </c>
      <c r="G7" s="9" t="s">
        <v>108</v>
      </c>
      <c r="H7" s="5" t="s">
        <v>101</v>
      </c>
      <c r="I7" s="34" t="s">
        <v>125</v>
      </c>
    </row>
    <row r="8" spans="1:11" ht="82.5">
      <c r="A8" s="4" t="s">
        <v>129</v>
      </c>
      <c r="B8" s="6">
        <v>7</v>
      </c>
      <c r="C8" s="5" t="s">
        <v>13</v>
      </c>
      <c r="D8" s="5" t="s">
        <v>126</v>
      </c>
      <c r="E8" s="5" t="s">
        <v>94</v>
      </c>
      <c r="F8" s="9" t="s">
        <v>103</v>
      </c>
      <c r="G8" s="9" t="s">
        <v>104</v>
      </c>
      <c r="H8" s="5" t="s">
        <v>127</v>
      </c>
      <c r="I8" s="34" t="s">
        <v>128</v>
      </c>
      <c r="J8" s="11"/>
    </row>
    <row r="9" spans="1:11" ht="99" hidden="1">
      <c r="A9" s="4" t="s">
        <v>133</v>
      </c>
      <c r="B9" s="6">
        <v>2</v>
      </c>
      <c r="C9" s="5" t="s">
        <v>11</v>
      </c>
      <c r="D9" s="5" t="s">
        <v>134</v>
      </c>
      <c r="E9" s="5" t="s">
        <v>94</v>
      </c>
      <c r="F9" s="9" t="s">
        <v>95</v>
      </c>
      <c r="G9" s="9" t="s">
        <v>96</v>
      </c>
      <c r="H9" s="5" t="s">
        <v>97</v>
      </c>
      <c r="I9" s="34" t="s">
        <v>131</v>
      </c>
      <c r="J9" s="11"/>
    </row>
    <row r="10" spans="1:11" ht="115.5" hidden="1">
      <c r="A10" s="4" t="s">
        <v>133</v>
      </c>
      <c r="B10" s="6">
        <v>6</v>
      </c>
      <c r="C10" s="5" t="s">
        <v>12</v>
      </c>
      <c r="D10" s="5" t="s">
        <v>135</v>
      </c>
      <c r="E10" s="5" t="s">
        <v>94</v>
      </c>
      <c r="F10" s="9" t="s">
        <v>99</v>
      </c>
      <c r="G10" s="9" t="s">
        <v>108</v>
      </c>
      <c r="H10" s="5" t="s">
        <v>101</v>
      </c>
      <c r="I10" s="34" t="s">
        <v>125</v>
      </c>
    </row>
    <row r="11" spans="1:11" ht="82.5" hidden="1">
      <c r="A11" s="56" t="s">
        <v>133</v>
      </c>
      <c r="B11" s="42">
        <v>7</v>
      </c>
      <c r="C11" s="43" t="s">
        <v>13</v>
      </c>
      <c r="D11" s="5" t="s">
        <v>136</v>
      </c>
      <c r="E11" s="43" t="s">
        <v>94</v>
      </c>
      <c r="F11" s="57" t="s">
        <v>103</v>
      </c>
      <c r="G11" s="57" t="s">
        <v>104</v>
      </c>
      <c r="H11" s="43" t="s">
        <v>127</v>
      </c>
      <c r="I11" s="34" t="s">
        <v>128</v>
      </c>
      <c r="J11" s="56"/>
      <c r="K11" s="49"/>
    </row>
    <row r="12" spans="1:11" ht="49.5" hidden="1">
      <c r="A12" s="4" t="s">
        <v>74</v>
      </c>
      <c r="B12" s="6">
        <v>3</v>
      </c>
      <c r="C12" s="5" t="s">
        <v>11</v>
      </c>
      <c r="D12" s="5" t="s">
        <v>41</v>
      </c>
      <c r="E12" s="5" t="s">
        <v>117</v>
      </c>
      <c r="F12" s="9" t="s">
        <v>118</v>
      </c>
      <c r="G12" s="9" t="s">
        <v>119</v>
      </c>
      <c r="H12" s="5" t="s">
        <v>97</v>
      </c>
      <c r="I12" s="55" t="s">
        <v>120</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competen'!$F$4:$F$9</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G66"/>
  <sheetViews>
    <sheetView topLeftCell="A2" zoomScaleNormal="100" workbookViewId="0">
      <selection activeCell="A2" sqref="A2"/>
    </sheetView>
  </sheetViews>
  <sheetFormatPr defaultColWidth="10.7109375" defaultRowHeight="14.45"/>
  <cols>
    <col min="1" max="1" width="94.85546875" style="13" customWidth="1"/>
    <col min="2" max="2" width="44.42578125" style="13" customWidth="1"/>
    <col min="3" max="3" width="54.7109375" style="26" customWidth="1"/>
    <col min="4" max="4" width="46.42578125" style="26" customWidth="1"/>
    <col min="5" max="5" width="46.42578125" style="13" customWidth="1"/>
    <col min="6" max="6" width="38.28515625" style="26" customWidth="1"/>
    <col min="7" max="16384" width="10.7109375" style="13"/>
  </cols>
  <sheetData>
    <row r="1" spans="1:7" s="74" customFormat="1" ht="65.099999999999994">
      <c r="A1" s="66" t="s">
        <v>137</v>
      </c>
      <c r="B1" s="66" t="s">
        <v>138</v>
      </c>
      <c r="C1" s="66" t="s">
        <v>139</v>
      </c>
      <c r="D1" s="66" t="s">
        <v>140</v>
      </c>
      <c r="E1" s="66" t="s">
        <v>141</v>
      </c>
      <c r="F1" s="66" t="s">
        <v>142</v>
      </c>
    </row>
    <row r="2" spans="1:7" s="74" customFormat="1" ht="33">
      <c r="A2" s="69" t="s">
        <v>143</v>
      </c>
      <c r="B2" s="69" t="s">
        <v>144</v>
      </c>
      <c r="C2" s="69" t="s">
        <v>145</v>
      </c>
      <c r="D2" s="69" t="s">
        <v>146</v>
      </c>
      <c r="E2" s="69" t="s">
        <v>147</v>
      </c>
      <c r="F2" s="69" t="s">
        <v>148</v>
      </c>
    </row>
    <row r="3" spans="1:7" ht="66">
      <c r="A3" s="34" t="s">
        <v>115</v>
      </c>
      <c r="B3" s="120" t="s">
        <v>149</v>
      </c>
      <c r="C3" s="139" t="s">
        <v>150</v>
      </c>
      <c r="D3" s="105" t="s">
        <v>151</v>
      </c>
      <c r="E3" s="120" t="s">
        <v>152</v>
      </c>
      <c r="F3" s="75" t="s">
        <v>153</v>
      </c>
    </row>
    <row r="4" spans="1:7" ht="49.5">
      <c r="A4" s="34" t="s">
        <v>112</v>
      </c>
      <c r="B4" s="121"/>
      <c r="C4" s="135"/>
      <c r="D4" s="99" t="s">
        <v>154</v>
      </c>
      <c r="E4" s="121"/>
      <c r="F4" s="34" t="s">
        <v>155</v>
      </c>
    </row>
    <row r="5" spans="1:7" ht="49.5">
      <c r="A5" s="76" t="s">
        <v>114</v>
      </c>
      <c r="B5" s="132"/>
      <c r="C5" s="136"/>
      <c r="D5" s="103" t="s">
        <v>156</v>
      </c>
      <c r="E5" s="132"/>
      <c r="F5" s="76" t="s">
        <v>157</v>
      </c>
    </row>
    <row r="6" spans="1:7" ht="49.5">
      <c r="A6" s="34" t="s">
        <v>98</v>
      </c>
      <c r="B6" s="131" t="s">
        <v>158</v>
      </c>
      <c r="C6" s="134" t="s">
        <v>159</v>
      </c>
      <c r="D6" s="106" t="s">
        <v>151</v>
      </c>
      <c r="E6" s="131" t="s">
        <v>152</v>
      </c>
      <c r="F6" s="79" t="s">
        <v>153</v>
      </c>
      <c r="G6" s="34"/>
    </row>
    <row r="7" spans="1:7" ht="49.5">
      <c r="A7" s="34" t="s">
        <v>102</v>
      </c>
      <c r="B7" s="121"/>
      <c r="C7" s="135"/>
      <c r="D7" s="99" t="s">
        <v>154</v>
      </c>
      <c r="E7" s="121"/>
      <c r="F7" s="34" t="s">
        <v>155</v>
      </c>
      <c r="G7" s="34"/>
    </row>
    <row r="8" spans="1:7" ht="49.5">
      <c r="A8" s="34" t="s">
        <v>112</v>
      </c>
      <c r="B8" s="121"/>
      <c r="C8" s="135"/>
      <c r="D8" s="99" t="s">
        <v>160</v>
      </c>
      <c r="E8" s="121"/>
      <c r="F8" s="34" t="s">
        <v>157</v>
      </c>
      <c r="G8" s="34"/>
    </row>
    <row r="9" spans="1:7" ht="49.5">
      <c r="A9" s="76" t="s">
        <v>109</v>
      </c>
      <c r="B9" s="132"/>
      <c r="C9" s="136"/>
      <c r="D9" s="103"/>
      <c r="E9" s="132"/>
      <c r="F9" s="76"/>
      <c r="G9" s="34"/>
    </row>
    <row r="10" spans="1:7" ht="49.5">
      <c r="A10" s="34" t="s">
        <v>98</v>
      </c>
      <c r="B10" s="131" t="s">
        <v>161</v>
      </c>
      <c r="C10" s="134" t="s">
        <v>162</v>
      </c>
      <c r="D10" s="106" t="s">
        <v>151</v>
      </c>
      <c r="E10" s="131" t="s">
        <v>152</v>
      </c>
      <c r="F10" s="79" t="s">
        <v>153</v>
      </c>
    </row>
    <row r="11" spans="1:7" ht="49.5">
      <c r="A11" s="34" t="s">
        <v>102</v>
      </c>
      <c r="B11" s="121"/>
      <c r="C11" s="135"/>
      <c r="D11" s="99" t="s">
        <v>154</v>
      </c>
      <c r="E11" s="121"/>
      <c r="F11" s="34" t="s">
        <v>155</v>
      </c>
    </row>
    <row r="12" spans="1:7" ht="66">
      <c r="A12" s="34" t="s">
        <v>115</v>
      </c>
      <c r="B12" s="121"/>
      <c r="C12" s="135"/>
      <c r="D12" s="99" t="s">
        <v>160</v>
      </c>
      <c r="E12" s="121"/>
      <c r="F12" s="34" t="s">
        <v>157</v>
      </c>
    </row>
    <row r="13" spans="1:7" ht="49.5">
      <c r="A13" s="34" t="s">
        <v>109</v>
      </c>
      <c r="B13" s="121"/>
      <c r="C13" s="135"/>
      <c r="D13" s="99"/>
      <c r="E13" s="121"/>
      <c r="F13" s="18"/>
    </row>
    <row r="14" spans="1:7" ht="49.5">
      <c r="A14" s="76" t="s">
        <v>112</v>
      </c>
      <c r="B14" s="132"/>
      <c r="C14" s="136"/>
      <c r="D14" s="103"/>
      <c r="E14" s="132"/>
      <c r="F14" s="107"/>
    </row>
    <row r="15" spans="1:7" ht="49.5">
      <c r="A15" s="34" t="s">
        <v>98</v>
      </c>
      <c r="B15" s="131" t="s">
        <v>163</v>
      </c>
      <c r="C15" s="134" t="s">
        <v>164</v>
      </c>
      <c r="D15" s="106" t="s">
        <v>151</v>
      </c>
      <c r="E15" s="131" t="s">
        <v>152</v>
      </c>
      <c r="F15" s="79" t="s">
        <v>153</v>
      </c>
    </row>
    <row r="16" spans="1:7" ht="49.5">
      <c r="A16" s="34" t="s">
        <v>102</v>
      </c>
      <c r="B16" s="121"/>
      <c r="C16" s="135"/>
      <c r="D16" s="99" t="s">
        <v>154</v>
      </c>
      <c r="E16" s="121"/>
      <c r="F16" s="34" t="s">
        <v>155</v>
      </c>
    </row>
    <row r="17" spans="1:6" ht="66">
      <c r="A17" s="34" t="s">
        <v>115</v>
      </c>
      <c r="B17" s="121"/>
      <c r="C17" s="135"/>
      <c r="D17" s="99" t="s">
        <v>160</v>
      </c>
      <c r="E17" s="121"/>
      <c r="F17" s="34" t="s">
        <v>157</v>
      </c>
    </row>
    <row r="18" spans="1:6" ht="49.5">
      <c r="A18" s="34" t="s">
        <v>109</v>
      </c>
      <c r="B18" s="121"/>
      <c r="C18" s="135"/>
      <c r="D18" s="99"/>
      <c r="E18" s="121"/>
      <c r="F18" s="18"/>
    </row>
    <row r="19" spans="1:6" ht="49.5">
      <c r="A19" s="76" t="s">
        <v>112</v>
      </c>
      <c r="B19" s="132"/>
      <c r="C19" s="136"/>
      <c r="D19" s="101"/>
      <c r="E19" s="132"/>
      <c r="F19" s="107"/>
    </row>
    <row r="20" spans="1:6" ht="49.5">
      <c r="A20" s="34" t="s">
        <v>98</v>
      </c>
      <c r="B20" s="131" t="s">
        <v>165</v>
      </c>
      <c r="C20" s="134" t="s">
        <v>166</v>
      </c>
      <c r="D20" s="106" t="s">
        <v>151</v>
      </c>
      <c r="E20" s="131" t="s">
        <v>167</v>
      </c>
      <c r="F20" s="79" t="s">
        <v>153</v>
      </c>
    </row>
    <row r="21" spans="1:6" ht="49.5">
      <c r="A21" s="34" t="s">
        <v>102</v>
      </c>
      <c r="B21" s="121"/>
      <c r="C21" s="135"/>
      <c r="D21" s="99" t="s">
        <v>154</v>
      </c>
      <c r="E21" s="121"/>
      <c r="F21" s="34" t="s">
        <v>155</v>
      </c>
    </row>
    <row r="22" spans="1:6" ht="82.5">
      <c r="A22" s="34" t="s">
        <v>106</v>
      </c>
      <c r="B22" s="121"/>
      <c r="C22" s="135"/>
      <c r="D22" s="99" t="s">
        <v>160</v>
      </c>
      <c r="E22" s="121"/>
      <c r="F22" s="34" t="s">
        <v>168</v>
      </c>
    </row>
    <row r="23" spans="1:6" ht="66">
      <c r="A23" s="34" t="s">
        <v>115</v>
      </c>
      <c r="B23" s="121"/>
      <c r="C23" s="135"/>
      <c r="D23" s="100"/>
      <c r="E23" s="121"/>
      <c r="F23" s="18"/>
    </row>
    <row r="24" spans="1:6" ht="49.5">
      <c r="A24" s="34" t="s">
        <v>109</v>
      </c>
      <c r="B24" s="121"/>
      <c r="C24" s="135"/>
      <c r="D24" s="100"/>
      <c r="E24" s="121"/>
      <c r="F24" s="18"/>
    </row>
    <row r="25" spans="1:6" ht="49.5">
      <c r="A25" s="34" t="s">
        <v>112</v>
      </c>
      <c r="B25" s="121"/>
      <c r="C25" s="135"/>
      <c r="D25" s="100"/>
      <c r="E25" s="121"/>
      <c r="F25" s="18"/>
    </row>
    <row r="26" spans="1:6" ht="49.5">
      <c r="A26" s="76" t="s">
        <v>114</v>
      </c>
      <c r="B26" s="132"/>
      <c r="C26" s="136"/>
      <c r="D26" s="101"/>
      <c r="E26" s="132"/>
      <c r="F26" s="107"/>
    </row>
    <row r="27" spans="1:6" ht="82.5">
      <c r="A27" s="34" t="s">
        <v>106</v>
      </c>
      <c r="B27" s="131" t="s">
        <v>169</v>
      </c>
      <c r="C27" s="134" t="s">
        <v>170</v>
      </c>
      <c r="D27" s="106" t="s">
        <v>151</v>
      </c>
      <c r="E27" s="131" t="s">
        <v>171</v>
      </c>
      <c r="F27" s="79" t="s">
        <v>153</v>
      </c>
    </row>
    <row r="28" spans="1:6" ht="66">
      <c r="A28" s="34" t="s">
        <v>115</v>
      </c>
      <c r="B28" s="121"/>
      <c r="C28" s="135"/>
      <c r="D28" s="99" t="s">
        <v>154</v>
      </c>
      <c r="E28" s="121"/>
      <c r="F28" s="34" t="s">
        <v>155</v>
      </c>
    </row>
    <row r="29" spans="1:6" ht="49.5">
      <c r="A29" s="34" t="s">
        <v>109</v>
      </c>
      <c r="B29" s="121"/>
      <c r="C29" s="135"/>
      <c r="D29" s="99" t="s">
        <v>160</v>
      </c>
      <c r="E29" s="121"/>
      <c r="F29" s="34" t="s">
        <v>168</v>
      </c>
    </row>
    <row r="30" spans="1:6" ht="49.5">
      <c r="A30" s="34" t="s">
        <v>112</v>
      </c>
      <c r="B30" s="121"/>
      <c r="C30" s="135"/>
      <c r="D30" s="34"/>
      <c r="E30" s="121"/>
      <c r="F30" s="18"/>
    </row>
    <row r="31" spans="1:6" ht="49.5">
      <c r="A31" s="76" t="s">
        <v>114</v>
      </c>
      <c r="B31" s="132"/>
      <c r="C31" s="136"/>
      <c r="D31" s="77"/>
      <c r="E31" s="121"/>
      <c r="F31" s="107"/>
    </row>
    <row r="32" spans="1:6" ht="71.25" customHeight="1">
      <c r="A32" s="34" t="s">
        <v>98</v>
      </c>
      <c r="B32" s="131" t="s">
        <v>172</v>
      </c>
      <c r="C32" s="134" t="s">
        <v>173</v>
      </c>
      <c r="D32" s="106" t="s">
        <v>151</v>
      </c>
      <c r="E32" s="131" t="s">
        <v>174</v>
      </c>
      <c r="F32" s="79" t="s">
        <v>153</v>
      </c>
    </row>
    <row r="33" spans="1:6" ht="49.5">
      <c r="A33" s="34" t="s">
        <v>102</v>
      </c>
      <c r="B33" s="121"/>
      <c r="C33" s="135"/>
      <c r="D33" s="99" t="s">
        <v>154</v>
      </c>
      <c r="E33" s="121"/>
      <c r="F33" s="34" t="s">
        <v>155</v>
      </c>
    </row>
    <row r="34" spans="1:6" ht="82.5">
      <c r="A34" s="34" t="s">
        <v>106</v>
      </c>
      <c r="B34" s="121"/>
      <c r="C34" s="135"/>
      <c r="D34" s="99" t="s">
        <v>160</v>
      </c>
      <c r="E34" s="121"/>
      <c r="F34" s="34" t="s">
        <v>157</v>
      </c>
    </row>
    <row r="35" spans="1:6" ht="66">
      <c r="A35" s="34" t="s">
        <v>115</v>
      </c>
      <c r="B35" s="121"/>
      <c r="C35" s="135"/>
      <c r="D35" s="99"/>
      <c r="E35" s="121"/>
      <c r="F35" s="18"/>
    </row>
    <row r="36" spans="1:6" ht="49.5">
      <c r="A36" s="34" t="s">
        <v>109</v>
      </c>
      <c r="B36" s="121"/>
      <c r="C36" s="135"/>
      <c r="D36" s="99"/>
      <c r="E36" s="121"/>
      <c r="F36" s="18"/>
    </row>
    <row r="37" spans="1:6" ht="49.5">
      <c r="A37" s="34" t="s">
        <v>112</v>
      </c>
      <c r="B37" s="121"/>
      <c r="C37" s="135"/>
      <c r="D37" s="99"/>
      <c r="E37" s="121"/>
      <c r="F37" s="18"/>
    </row>
    <row r="38" spans="1:6" ht="49.5">
      <c r="A38" s="76" t="s">
        <v>114</v>
      </c>
      <c r="B38" s="132"/>
      <c r="C38" s="137"/>
      <c r="D38" s="77"/>
      <c r="E38" s="132"/>
      <c r="F38" s="107"/>
    </row>
    <row r="39" spans="1:6" ht="49.5">
      <c r="A39" s="34" t="s">
        <v>98</v>
      </c>
      <c r="B39" s="126" t="s">
        <v>175</v>
      </c>
      <c r="C39" s="138" t="s">
        <v>176</v>
      </c>
      <c r="D39" s="106" t="s">
        <v>151</v>
      </c>
      <c r="E39" s="131" t="s">
        <v>177</v>
      </c>
      <c r="F39" s="79" t="s">
        <v>153</v>
      </c>
    </row>
    <row r="40" spans="1:6" ht="49.5">
      <c r="A40" s="34" t="s">
        <v>102</v>
      </c>
      <c r="B40" s="127"/>
      <c r="C40" s="123"/>
      <c r="D40" s="99" t="s">
        <v>154</v>
      </c>
      <c r="E40" s="121"/>
      <c r="F40" s="34" t="s">
        <v>155</v>
      </c>
    </row>
    <row r="41" spans="1:6" ht="82.5">
      <c r="A41" s="34" t="s">
        <v>106</v>
      </c>
      <c r="B41" s="127"/>
      <c r="C41" s="123"/>
      <c r="D41" s="99" t="s">
        <v>160</v>
      </c>
      <c r="E41" s="121"/>
      <c r="F41" s="34" t="s">
        <v>168</v>
      </c>
    </row>
    <row r="42" spans="1:6" ht="66">
      <c r="A42" s="34" t="s">
        <v>115</v>
      </c>
      <c r="B42" s="127"/>
      <c r="C42" s="123"/>
      <c r="D42" s="18"/>
      <c r="E42" s="121"/>
      <c r="F42" s="18"/>
    </row>
    <row r="43" spans="1:6" ht="49.5">
      <c r="A43" s="34" t="s">
        <v>109</v>
      </c>
      <c r="B43" s="127"/>
      <c r="C43" s="123"/>
      <c r="D43" s="18"/>
      <c r="E43" s="121"/>
      <c r="F43" s="18"/>
    </row>
    <row r="44" spans="1:6" ht="49.5">
      <c r="A44" s="34" t="s">
        <v>112</v>
      </c>
      <c r="B44" s="127"/>
      <c r="C44" s="123"/>
      <c r="D44" s="18"/>
      <c r="E44" s="121"/>
      <c r="F44" s="18"/>
    </row>
    <row r="45" spans="1:6" ht="49.5">
      <c r="A45" s="76" t="s">
        <v>114</v>
      </c>
      <c r="B45" s="127"/>
      <c r="C45" s="123"/>
      <c r="D45" s="107"/>
      <c r="E45" s="121"/>
      <c r="F45" s="107"/>
    </row>
    <row r="46" spans="1:6" ht="49.5">
      <c r="A46" s="34" t="s">
        <v>98</v>
      </c>
      <c r="B46" s="126" t="s">
        <v>178</v>
      </c>
      <c r="C46" s="129" t="s">
        <v>179</v>
      </c>
      <c r="D46" s="106" t="s">
        <v>151</v>
      </c>
      <c r="E46" s="131" t="s">
        <v>177</v>
      </c>
      <c r="F46" s="79" t="s">
        <v>153</v>
      </c>
    </row>
    <row r="47" spans="1:6" ht="49.5">
      <c r="A47" s="34" t="s">
        <v>102</v>
      </c>
      <c r="B47" s="127"/>
      <c r="C47" s="123"/>
      <c r="D47" s="99" t="s">
        <v>154</v>
      </c>
      <c r="E47" s="121"/>
      <c r="F47" s="34" t="s">
        <v>155</v>
      </c>
    </row>
    <row r="48" spans="1:6" ht="82.5">
      <c r="A48" s="34" t="s">
        <v>106</v>
      </c>
      <c r="B48" s="127"/>
      <c r="C48" s="123"/>
      <c r="D48" s="99" t="s">
        <v>160</v>
      </c>
      <c r="E48" s="121"/>
      <c r="F48" s="34" t="s">
        <v>168</v>
      </c>
    </row>
    <row r="49" spans="1:6" ht="66">
      <c r="A49" s="34" t="s">
        <v>115</v>
      </c>
      <c r="B49" s="127"/>
      <c r="C49" s="123"/>
      <c r="D49" s="18"/>
      <c r="E49" s="121"/>
      <c r="F49" s="18"/>
    </row>
    <row r="50" spans="1:6" ht="49.5">
      <c r="A50" s="34" t="s">
        <v>109</v>
      </c>
      <c r="B50" s="127"/>
      <c r="C50" s="123"/>
      <c r="D50" s="18"/>
      <c r="E50" s="121"/>
      <c r="F50" s="18"/>
    </row>
    <row r="51" spans="1:6" ht="49.5">
      <c r="A51" s="34" t="s">
        <v>112</v>
      </c>
      <c r="B51" s="127"/>
      <c r="C51" s="123"/>
      <c r="D51" s="18"/>
      <c r="E51" s="121"/>
      <c r="F51" s="18"/>
    </row>
    <row r="52" spans="1:6" ht="49.5">
      <c r="A52" s="76" t="s">
        <v>114</v>
      </c>
      <c r="B52" s="128"/>
      <c r="C52" s="130"/>
      <c r="D52" s="107"/>
      <c r="E52" s="132"/>
      <c r="F52" s="107"/>
    </row>
    <row r="53" spans="1:6" ht="49.5">
      <c r="A53" s="34" t="s">
        <v>98</v>
      </c>
      <c r="B53" s="126" t="s">
        <v>180</v>
      </c>
      <c r="C53" s="129" t="s">
        <v>181</v>
      </c>
      <c r="D53" s="106" t="s">
        <v>151</v>
      </c>
      <c r="E53" s="131" t="s">
        <v>182</v>
      </c>
      <c r="F53" s="79" t="s">
        <v>153</v>
      </c>
    </row>
    <row r="54" spans="1:6" ht="49.5">
      <c r="A54" s="34" t="s">
        <v>102</v>
      </c>
      <c r="B54" s="127"/>
      <c r="C54" s="123"/>
      <c r="D54" s="99" t="s">
        <v>154</v>
      </c>
      <c r="E54" s="121"/>
      <c r="F54" s="34" t="s">
        <v>155</v>
      </c>
    </row>
    <row r="55" spans="1:6" ht="82.5">
      <c r="A55" s="34" t="s">
        <v>106</v>
      </c>
      <c r="B55" s="127"/>
      <c r="C55" s="123"/>
      <c r="D55" s="99" t="s">
        <v>160</v>
      </c>
      <c r="E55" s="121"/>
      <c r="F55" s="34" t="s">
        <v>168</v>
      </c>
    </row>
    <row r="56" spans="1:6" ht="66">
      <c r="A56" s="34" t="s">
        <v>115</v>
      </c>
      <c r="B56" s="127"/>
      <c r="C56" s="123"/>
      <c r="D56" s="18"/>
      <c r="E56" s="121"/>
      <c r="F56" s="18"/>
    </row>
    <row r="57" spans="1:6" ht="49.5">
      <c r="A57" s="34" t="s">
        <v>109</v>
      </c>
      <c r="B57" s="127"/>
      <c r="C57" s="123"/>
      <c r="D57" s="18"/>
      <c r="E57" s="121"/>
      <c r="F57" s="18"/>
    </row>
    <row r="58" spans="1:6" ht="49.5">
      <c r="A58" s="34" t="s">
        <v>112</v>
      </c>
      <c r="B58" s="127"/>
      <c r="C58" s="123"/>
      <c r="D58" s="18"/>
      <c r="E58" s="121"/>
      <c r="F58" s="18"/>
    </row>
    <row r="59" spans="1:6" ht="49.5">
      <c r="A59" s="76" t="s">
        <v>114</v>
      </c>
      <c r="B59" s="128"/>
      <c r="C59" s="130"/>
      <c r="D59" s="107"/>
      <c r="E59" s="132"/>
      <c r="F59" s="107"/>
    </row>
    <row r="60" spans="1:6" ht="49.5">
      <c r="A60" s="79" t="s">
        <v>98</v>
      </c>
      <c r="B60" s="126" t="s">
        <v>183</v>
      </c>
      <c r="C60" s="129" t="s">
        <v>184</v>
      </c>
      <c r="D60" s="106" t="s">
        <v>151</v>
      </c>
      <c r="E60" s="131" t="s">
        <v>182</v>
      </c>
      <c r="F60" s="79" t="s">
        <v>153</v>
      </c>
    </row>
    <row r="61" spans="1:6" ht="49.5">
      <c r="A61" s="34" t="s">
        <v>102</v>
      </c>
      <c r="B61" s="127"/>
      <c r="C61" s="123"/>
      <c r="D61" s="99" t="s">
        <v>154</v>
      </c>
      <c r="E61" s="121"/>
      <c r="F61" s="34" t="s">
        <v>155</v>
      </c>
    </row>
    <row r="62" spans="1:6" ht="82.5">
      <c r="A62" s="34" t="s">
        <v>106</v>
      </c>
      <c r="B62" s="127"/>
      <c r="C62" s="123"/>
      <c r="D62" s="99" t="s">
        <v>160</v>
      </c>
      <c r="E62" s="121"/>
      <c r="F62" s="34" t="s">
        <v>168</v>
      </c>
    </row>
    <row r="63" spans="1:6" ht="66">
      <c r="A63" s="34" t="s">
        <v>115</v>
      </c>
      <c r="B63" s="127"/>
      <c r="C63" s="123"/>
      <c r="D63" s="18"/>
      <c r="E63" s="121"/>
      <c r="F63" s="18"/>
    </row>
    <row r="64" spans="1:6" ht="49.5">
      <c r="A64" s="34" t="s">
        <v>109</v>
      </c>
      <c r="B64" s="127"/>
      <c r="C64" s="123"/>
      <c r="D64" s="18"/>
      <c r="E64" s="121"/>
      <c r="F64" s="18"/>
    </row>
    <row r="65" spans="1:6" ht="49.5">
      <c r="A65" s="34" t="s">
        <v>112</v>
      </c>
      <c r="B65" s="127"/>
      <c r="C65" s="123"/>
      <c r="D65" s="18"/>
      <c r="E65" s="121"/>
      <c r="F65" s="18"/>
    </row>
    <row r="66" spans="1:6" ht="49.5">
      <c r="A66" s="76" t="s">
        <v>114</v>
      </c>
      <c r="B66" s="128"/>
      <c r="C66" s="130"/>
      <c r="D66" s="107"/>
      <c r="E66" s="133"/>
      <c r="F66" s="107"/>
    </row>
  </sheetData>
  <mergeCells count="33">
    <mergeCell ref="B3:B5"/>
    <mergeCell ref="B20:B26"/>
    <mergeCell ref="C20:C26"/>
    <mergeCell ref="B6:B9"/>
    <mergeCell ref="C6:C9"/>
    <mergeCell ref="B10:B14"/>
    <mergeCell ref="B15:B19"/>
    <mergeCell ref="C15:C19"/>
    <mergeCell ref="E15:E19"/>
    <mergeCell ref="E20:E26"/>
    <mergeCell ref="E3:E5"/>
    <mergeCell ref="C10:C14"/>
    <mergeCell ref="E10:E14"/>
    <mergeCell ref="E6:E9"/>
    <mergeCell ref="C3:C5"/>
    <mergeCell ref="E27:E31"/>
    <mergeCell ref="E39:E45"/>
    <mergeCell ref="B46:B52"/>
    <mergeCell ref="C46:C52"/>
    <mergeCell ref="E46:E52"/>
    <mergeCell ref="B27:B31"/>
    <mergeCell ref="C27:C31"/>
    <mergeCell ref="B32:B38"/>
    <mergeCell ref="C32:C38"/>
    <mergeCell ref="B39:B45"/>
    <mergeCell ref="C39:C45"/>
    <mergeCell ref="E32:E38"/>
    <mergeCell ref="B53:B59"/>
    <mergeCell ref="C53:C59"/>
    <mergeCell ref="E53:E59"/>
    <mergeCell ref="B60:B66"/>
    <mergeCell ref="C60:C66"/>
    <mergeCell ref="E60:E6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RA'!$I$3:$I$18</xm:f>
          </x14:formula1>
          <xm:sqref>A3:A66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1"/>
  <sheetViews>
    <sheetView zoomScale="79" zoomScaleNormal="79" workbookViewId="0">
      <pane ySplit="2" topLeftCell="A3" activePane="bottomLeft" state="frozen"/>
      <selection pane="bottomLeft"/>
      <selection activeCell="B1" sqref="B1"/>
    </sheetView>
  </sheetViews>
  <sheetFormatPr defaultColWidth="14.7109375" defaultRowHeight="16.5"/>
  <cols>
    <col min="1" max="1" width="13.140625" style="93" customWidth="1"/>
    <col min="2" max="2" width="106.7109375" style="5" customWidth="1"/>
    <col min="3" max="3" width="18.42578125" style="7" customWidth="1"/>
    <col min="4" max="4" width="33.7109375" style="6" bestFit="1" customWidth="1"/>
    <col min="5" max="5" width="61.140625" style="5" customWidth="1"/>
    <col min="6" max="6" width="16.140625" style="7" customWidth="1"/>
    <col min="7" max="7" width="19.28515625" style="7" customWidth="1"/>
    <col min="8" max="8" width="17.7109375" style="7" customWidth="1"/>
    <col min="9" max="9" width="17.42578125" style="7" customWidth="1"/>
    <col min="10" max="10" width="13.140625" style="7" customWidth="1"/>
    <col min="11" max="11" width="29" style="7" customWidth="1"/>
    <col min="12" max="12" width="25.7109375" style="7" customWidth="1"/>
    <col min="13" max="13" width="13.140625" style="7" customWidth="1"/>
    <col min="14" max="14" width="38.85546875" style="5" customWidth="1"/>
    <col min="15" max="15" width="48.28515625" style="5" customWidth="1"/>
    <col min="16" max="16" width="48.42578125" style="5" bestFit="1" customWidth="1"/>
    <col min="17" max="17" width="83.7109375" style="5" customWidth="1"/>
    <col min="18" max="18" width="16.140625" style="5" customWidth="1"/>
    <col min="19" max="19" width="13.85546875" style="5" customWidth="1"/>
    <col min="20" max="20" width="14.7109375" style="14" customWidth="1"/>
    <col min="21" max="16384" width="14.7109375" style="7"/>
  </cols>
  <sheetData>
    <row r="1" spans="1:20" s="74" customFormat="1" ht="51.95">
      <c r="A1" s="66" t="s">
        <v>185</v>
      </c>
      <c r="B1" s="66" t="s">
        <v>186</v>
      </c>
      <c r="C1" s="66" t="s">
        <v>187</v>
      </c>
      <c r="D1" s="66" t="s">
        <v>188</v>
      </c>
      <c r="E1" s="66" t="s">
        <v>189</v>
      </c>
      <c r="F1" s="66" t="s">
        <v>190</v>
      </c>
      <c r="G1" s="148" t="s">
        <v>191</v>
      </c>
      <c r="H1" s="148"/>
      <c r="I1" s="148"/>
      <c r="J1" s="66" t="s">
        <v>192</v>
      </c>
      <c r="K1" s="66" t="s">
        <v>193</v>
      </c>
      <c r="L1" s="66" t="s">
        <v>194</v>
      </c>
      <c r="M1" s="66" t="s">
        <v>195</v>
      </c>
      <c r="N1" s="66" t="s">
        <v>196</v>
      </c>
      <c r="O1" s="66" t="s">
        <v>197</v>
      </c>
      <c r="P1" s="66" t="s">
        <v>198</v>
      </c>
      <c r="Q1" s="66" t="s">
        <v>199</v>
      </c>
      <c r="R1" s="90"/>
      <c r="S1" s="90"/>
    </row>
    <row r="2" spans="1:20" s="74" customFormat="1" ht="33">
      <c r="A2" s="69" t="s">
        <v>200</v>
      </c>
      <c r="B2" s="69" t="s">
        <v>143</v>
      </c>
      <c r="C2" s="69" t="s">
        <v>201</v>
      </c>
      <c r="D2" s="69" t="s">
        <v>202</v>
      </c>
      <c r="E2" s="69" t="s">
        <v>203</v>
      </c>
      <c r="F2" s="69" t="s">
        <v>204</v>
      </c>
      <c r="G2" s="69" t="s">
        <v>205</v>
      </c>
      <c r="H2" s="69" t="s">
        <v>206</v>
      </c>
      <c r="I2" s="69" t="s">
        <v>207</v>
      </c>
      <c r="J2" s="69" t="s">
        <v>208</v>
      </c>
      <c r="K2" s="69" t="s">
        <v>209</v>
      </c>
      <c r="L2" s="69" t="s">
        <v>210</v>
      </c>
      <c r="M2" s="69" t="s">
        <v>211</v>
      </c>
      <c r="N2" s="69" t="s">
        <v>212</v>
      </c>
      <c r="O2" s="69" t="s">
        <v>213</v>
      </c>
      <c r="P2" s="69" t="s">
        <v>214</v>
      </c>
      <c r="Q2" s="69" t="s">
        <v>215</v>
      </c>
      <c r="R2" s="91"/>
      <c r="S2" s="91"/>
    </row>
    <row r="3" spans="1:20" s="108" customFormat="1" ht="88.5" customHeight="1">
      <c r="A3" s="58" t="str">
        <f>_xlfn.XLOOKUP(B3,'Paso 3 Redacción RA'!I$3:I$18,'Paso 3 Redacción RA'!C$3:C$18,,0,1)</f>
        <v>Saber</v>
      </c>
      <c r="B3" s="58" t="s">
        <v>98</v>
      </c>
      <c r="C3" s="142">
        <v>1</v>
      </c>
      <c r="D3" s="142" t="s">
        <v>216</v>
      </c>
      <c r="E3" s="139" t="s">
        <v>217</v>
      </c>
      <c r="F3" s="142" t="s">
        <v>218</v>
      </c>
      <c r="G3" s="142"/>
      <c r="H3" s="142" t="s">
        <v>219</v>
      </c>
      <c r="I3" s="142"/>
      <c r="J3" s="142">
        <v>3</v>
      </c>
      <c r="K3" s="142">
        <f>16*J3</f>
        <v>48</v>
      </c>
      <c r="L3" s="142">
        <f>32*J3</f>
        <v>96</v>
      </c>
      <c r="M3" s="142">
        <f>SUM(K3:L6)</f>
        <v>144</v>
      </c>
      <c r="N3" s="134" t="s">
        <v>220</v>
      </c>
      <c r="O3" s="134" t="s">
        <v>221</v>
      </c>
      <c r="P3" s="134" t="s">
        <v>222</v>
      </c>
      <c r="Q3" s="134" t="s">
        <v>223</v>
      </c>
      <c r="R3" s="100"/>
      <c r="S3" s="100"/>
    </row>
    <row r="4" spans="1:20" s="108" customFormat="1" ht="78" customHeight="1">
      <c r="A4" s="58" t="str">
        <f>_xlfn.XLOOKUP(B4,'Paso 3 Redacción RA'!I$3:I$18,'Paso 3 Redacción RA'!C$3:C$18,,0,1)</f>
        <v>SaberHacer</v>
      </c>
      <c r="B4" s="58" t="s">
        <v>102</v>
      </c>
      <c r="C4" s="143"/>
      <c r="D4" s="143"/>
      <c r="E4" s="135"/>
      <c r="F4" s="143"/>
      <c r="G4" s="143"/>
      <c r="H4" s="143"/>
      <c r="I4" s="143"/>
      <c r="J4" s="143"/>
      <c r="K4" s="143"/>
      <c r="L4" s="143"/>
      <c r="M4" s="143"/>
      <c r="N4" s="135"/>
      <c r="O4" s="135"/>
      <c r="P4" s="135"/>
      <c r="Q4" s="135"/>
      <c r="R4" s="100"/>
      <c r="S4" s="100"/>
    </row>
    <row r="5" spans="1:20" s="108" customFormat="1" ht="101.25" customHeight="1">
      <c r="A5" s="58" t="str">
        <f>_xlfn.XLOOKUP(B5,'Paso 3 Redacción RA'!I$3:I$18,'Paso 3 Redacción RA'!C$3:C$18,,0,1)</f>
        <v>SaberHacer</v>
      </c>
      <c r="B5" s="58" t="s">
        <v>109</v>
      </c>
      <c r="C5" s="143"/>
      <c r="D5" s="143"/>
      <c r="E5" s="135"/>
      <c r="F5" s="143"/>
      <c r="G5" s="143"/>
      <c r="H5" s="143"/>
      <c r="I5" s="143"/>
      <c r="J5" s="143"/>
      <c r="K5" s="143"/>
      <c r="L5" s="143"/>
      <c r="M5" s="143"/>
      <c r="N5" s="135"/>
      <c r="O5" s="135"/>
      <c r="P5" s="135"/>
      <c r="Q5" s="135"/>
      <c r="R5" s="100"/>
      <c r="S5" s="100"/>
    </row>
    <row r="6" spans="1:20" s="108" customFormat="1" ht="83.25" customHeight="1">
      <c r="A6" s="58" t="str">
        <f>_xlfn.XLOOKUP(B6,'Paso 3 Redacción RA'!I$3:I$18,'Paso 3 Redacción RA'!C$3:C$18,,0,1)</f>
        <v>Saber</v>
      </c>
      <c r="B6" s="58" t="s">
        <v>112</v>
      </c>
      <c r="C6" s="144"/>
      <c r="D6" s="144"/>
      <c r="E6" s="136"/>
      <c r="F6" s="144"/>
      <c r="G6" s="144"/>
      <c r="H6" s="144"/>
      <c r="I6" s="144"/>
      <c r="J6" s="144"/>
      <c r="K6" s="144"/>
      <c r="L6" s="144"/>
      <c r="M6" s="144"/>
      <c r="N6" s="136"/>
      <c r="O6" s="136"/>
      <c r="P6" s="136"/>
      <c r="Q6" s="136"/>
      <c r="R6" s="100"/>
      <c r="S6" s="100"/>
    </row>
    <row r="7" spans="1:20" s="74" customFormat="1" ht="231">
      <c r="A7" s="83" t="str">
        <f>_xlfn.XLOOKUP(B7,'Paso 3 Redacción RA'!I$3:I$18,'Paso 3 Redacción RA'!C$3:C$18,,0,1)</f>
        <v>Saber</v>
      </c>
      <c r="B7" s="83" t="s">
        <v>120</v>
      </c>
      <c r="C7" s="84">
        <v>1</v>
      </c>
      <c r="D7" s="85" t="s">
        <v>224</v>
      </c>
      <c r="E7" s="86" t="s">
        <v>225</v>
      </c>
      <c r="F7" s="84" t="s">
        <v>218</v>
      </c>
      <c r="G7" s="84" t="s">
        <v>219</v>
      </c>
      <c r="H7" s="84"/>
      <c r="I7" s="84"/>
      <c r="J7" s="84">
        <v>3</v>
      </c>
      <c r="K7" s="84">
        <f>16*J7</f>
        <v>48</v>
      </c>
      <c r="L7" s="84">
        <f>32*J7</f>
        <v>96</v>
      </c>
      <c r="M7" s="84">
        <f>SUM(K7:L7)</f>
        <v>144</v>
      </c>
      <c r="N7" s="88" t="s">
        <v>226</v>
      </c>
      <c r="O7" s="83" t="s">
        <v>227</v>
      </c>
      <c r="P7" s="86" t="s">
        <v>228</v>
      </c>
      <c r="Q7" s="83" t="s">
        <v>229</v>
      </c>
      <c r="R7" s="5"/>
      <c r="S7" s="5"/>
      <c r="T7" s="7"/>
    </row>
    <row r="8" spans="1:20" s="74" customFormat="1" ht="42.75">
      <c r="A8" s="58" t="str">
        <f>_xlfn.XLOOKUP(B8,'Paso 3 Redacción RA'!I$3:I$18,'Paso 3 Redacción RA'!C$3:C$18,,0,1)</f>
        <v>SaberHacer</v>
      </c>
      <c r="B8" s="5" t="s">
        <v>102</v>
      </c>
      <c r="C8" s="131">
        <v>1</v>
      </c>
      <c r="D8" s="131" t="s">
        <v>230</v>
      </c>
      <c r="E8" s="129" t="s">
        <v>231</v>
      </c>
      <c r="F8" s="131" t="s">
        <v>232</v>
      </c>
      <c r="G8" s="131"/>
      <c r="H8" s="131" t="s">
        <v>219</v>
      </c>
      <c r="I8" s="131"/>
      <c r="J8" s="131">
        <v>2</v>
      </c>
      <c r="K8" s="142">
        <f>16*J8</f>
        <v>32</v>
      </c>
      <c r="L8" s="142">
        <f>32*J8</f>
        <v>64</v>
      </c>
      <c r="M8" s="142">
        <f>SUM(K8:L11)</f>
        <v>96</v>
      </c>
      <c r="N8" s="129" t="s">
        <v>233</v>
      </c>
      <c r="O8" s="129" t="s">
        <v>234</v>
      </c>
      <c r="P8" s="129" t="s">
        <v>235</v>
      </c>
      <c r="Q8" s="129" t="s">
        <v>223</v>
      </c>
      <c r="R8" s="5"/>
      <c r="S8" s="5"/>
      <c r="T8" s="7"/>
    </row>
    <row r="9" spans="1:20" s="74" customFormat="1" ht="42.75">
      <c r="A9" s="58" t="str">
        <f>_xlfn.XLOOKUP(B9,'Paso 3 Redacción RA'!I$3:I$18,'Paso 3 Redacción RA'!C$3:C$18,,0,1)</f>
        <v>Saber</v>
      </c>
      <c r="B9" s="5" t="s">
        <v>115</v>
      </c>
      <c r="C9" s="121"/>
      <c r="D9" s="121"/>
      <c r="E9" s="123"/>
      <c r="F9" s="121"/>
      <c r="G9" s="121"/>
      <c r="H9" s="121"/>
      <c r="I9" s="121"/>
      <c r="J9" s="121"/>
      <c r="K9" s="143"/>
      <c r="L9" s="143"/>
      <c r="M9" s="143"/>
      <c r="N9" s="123"/>
      <c r="O9" s="123"/>
      <c r="P9" s="123"/>
      <c r="Q9" s="123"/>
      <c r="R9" s="5"/>
      <c r="S9" s="5"/>
      <c r="T9" s="7"/>
    </row>
    <row r="10" spans="1:20" s="74" customFormat="1" ht="42.75">
      <c r="A10" s="58" t="str">
        <f>_xlfn.XLOOKUP(B10,'Paso 3 Redacción RA'!I$3:I$18,'Paso 3 Redacción RA'!C$3:C$18,,0,1)</f>
        <v>Saber</v>
      </c>
      <c r="B10" s="5" t="s">
        <v>112</v>
      </c>
      <c r="C10" s="121"/>
      <c r="D10" s="121"/>
      <c r="E10" s="123"/>
      <c r="F10" s="121"/>
      <c r="G10" s="121"/>
      <c r="H10" s="121"/>
      <c r="I10" s="121"/>
      <c r="J10" s="121"/>
      <c r="K10" s="143"/>
      <c r="L10" s="143"/>
      <c r="M10" s="143"/>
      <c r="N10" s="123"/>
      <c r="O10" s="123"/>
      <c r="P10" s="123"/>
      <c r="Q10" s="123"/>
      <c r="R10" s="5"/>
      <c r="S10" s="5"/>
      <c r="T10" s="7"/>
    </row>
    <row r="11" spans="1:20" s="74" customFormat="1" ht="42.75">
      <c r="A11" s="77" t="str">
        <f>_xlfn.XLOOKUP(B11,'Paso 3 Redacción RA'!I$3:I$18,'Paso 3 Redacción RA'!C$3:C$18,,0,1)</f>
        <v>SaberHacer</v>
      </c>
      <c r="B11" s="72" t="s">
        <v>114</v>
      </c>
      <c r="C11" s="132"/>
      <c r="D11" s="132"/>
      <c r="E11" s="130"/>
      <c r="F11" s="132"/>
      <c r="G11" s="132"/>
      <c r="H11" s="132"/>
      <c r="I11" s="132"/>
      <c r="J11" s="132"/>
      <c r="K11" s="144"/>
      <c r="L11" s="144"/>
      <c r="M11" s="144"/>
      <c r="N11" s="130"/>
      <c r="O11" s="130"/>
      <c r="P11" s="130"/>
      <c r="Q11" s="130"/>
      <c r="R11" s="5"/>
      <c r="S11" s="5"/>
      <c r="T11" s="7"/>
    </row>
    <row r="12" spans="1:20" s="74" customFormat="1" ht="76.5" customHeight="1">
      <c r="A12" s="58" t="str">
        <f>_xlfn.XLOOKUP(B12,'Paso 3 Redacción RA'!I$3:I$18,'Paso 3 Redacción RA'!C$3:C$18,,0,1)</f>
        <v>SaberHacer</v>
      </c>
      <c r="B12" s="5" t="s">
        <v>102</v>
      </c>
      <c r="C12" s="131">
        <v>1</v>
      </c>
      <c r="D12" s="131" t="s">
        <v>236</v>
      </c>
      <c r="E12" s="129" t="s">
        <v>237</v>
      </c>
      <c r="F12" s="131" t="s">
        <v>218</v>
      </c>
      <c r="G12" s="131"/>
      <c r="H12" s="131" t="s">
        <v>219</v>
      </c>
      <c r="I12" s="131"/>
      <c r="J12" s="131">
        <v>2</v>
      </c>
      <c r="K12" s="142">
        <f>16*J12</f>
        <v>32</v>
      </c>
      <c r="L12" s="142">
        <f>32*J12</f>
        <v>64</v>
      </c>
      <c r="M12" s="142">
        <f>SUM(K12:L15)</f>
        <v>96</v>
      </c>
      <c r="N12" s="129" t="s">
        <v>238</v>
      </c>
      <c r="O12" s="129" t="s">
        <v>239</v>
      </c>
      <c r="P12" s="129" t="s">
        <v>240</v>
      </c>
      <c r="Q12" s="129" t="s">
        <v>223</v>
      </c>
      <c r="R12" s="5"/>
      <c r="S12" s="5"/>
      <c r="T12" s="7"/>
    </row>
    <row r="13" spans="1:20" s="74" customFormat="1" ht="49.5">
      <c r="A13" s="58" t="str">
        <f>_xlfn.XLOOKUP(B13,'Paso 3 Redacción RA'!I$3:I$18,'Paso 3 Redacción RA'!C$3:C$18,,0,1)</f>
        <v>Saber</v>
      </c>
      <c r="B13" s="5" t="s">
        <v>115</v>
      </c>
      <c r="C13" s="121"/>
      <c r="D13" s="121"/>
      <c r="E13" s="123"/>
      <c r="F13" s="121"/>
      <c r="G13" s="121"/>
      <c r="H13" s="121"/>
      <c r="I13" s="121"/>
      <c r="J13" s="121"/>
      <c r="K13" s="143"/>
      <c r="L13" s="143"/>
      <c r="M13" s="143"/>
      <c r="N13" s="123"/>
      <c r="O13" s="123"/>
      <c r="P13" s="123"/>
      <c r="Q13" s="123"/>
      <c r="R13" s="5"/>
      <c r="S13" s="5"/>
      <c r="T13" s="7"/>
    </row>
    <row r="14" spans="1:20" s="74" customFormat="1" ht="57.95" customHeight="1">
      <c r="A14" s="58" t="str">
        <f>_xlfn.XLOOKUP(B14,'Paso 3 Redacción RA'!I$3:I$18,'Paso 3 Redacción RA'!C$3:C$18,,0,1)</f>
        <v>Saber</v>
      </c>
      <c r="B14" s="5" t="s">
        <v>112</v>
      </c>
      <c r="C14" s="121"/>
      <c r="D14" s="121"/>
      <c r="E14" s="123"/>
      <c r="F14" s="121"/>
      <c r="G14" s="121"/>
      <c r="H14" s="121"/>
      <c r="I14" s="121"/>
      <c r="J14" s="121"/>
      <c r="K14" s="143"/>
      <c r="L14" s="143"/>
      <c r="M14" s="143"/>
      <c r="N14" s="123"/>
      <c r="O14" s="123"/>
      <c r="P14" s="123"/>
      <c r="Q14" s="123"/>
      <c r="R14" s="5"/>
      <c r="S14" s="5"/>
      <c r="T14" s="7"/>
    </row>
    <row r="15" spans="1:20" s="74" customFormat="1" ht="89.1" customHeight="1">
      <c r="A15" s="77" t="str">
        <f>_xlfn.XLOOKUP(B15,'Paso 3 Redacción RA'!I$3:I$18,'Paso 3 Redacción RA'!C$3:C$18,,0,1)</f>
        <v>SaberHacer</v>
      </c>
      <c r="B15" s="72" t="s">
        <v>114</v>
      </c>
      <c r="C15" s="132"/>
      <c r="D15" s="132"/>
      <c r="E15" s="130"/>
      <c r="F15" s="132"/>
      <c r="G15" s="132"/>
      <c r="H15" s="132"/>
      <c r="I15" s="132"/>
      <c r="J15" s="132"/>
      <c r="K15" s="144"/>
      <c r="L15" s="144"/>
      <c r="M15" s="144"/>
      <c r="N15" s="130"/>
      <c r="O15" s="130"/>
      <c r="P15" s="130"/>
      <c r="Q15" s="130"/>
      <c r="R15" s="5"/>
      <c r="S15" s="5"/>
      <c r="T15" s="7"/>
    </row>
    <row r="16" spans="1:20" s="74" customFormat="1" ht="49.5">
      <c r="A16" s="58" t="str">
        <f>_xlfn.XLOOKUP(B16,'Paso 3 Redacción RA'!I$3:I$18,'Paso 3 Redacción RA'!C$3:C$18,,0,1)</f>
        <v>SaberHacer</v>
      </c>
      <c r="B16" s="5" t="s">
        <v>102</v>
      </c>
      <c r="C16" s="131">
        <v>1</v>
      </c>
      <c r="D16" s="131" t="s">
        <v>241</v>
      </c>
      <c r="E16" s="129" t="s">
        <v>242</v>
      </c>
      <c r="F16" s="131" t="s">
        <v>218</v>
      </c>
      <c r="G16" s="131"/>
      <c r="H16" s="131" t="s">
        <v>219</v>
      </c>
      <c r="I16" s="131"/>
      <c r="J16" s="131">
        <v>3</v>
      </c>
      <c r="K16" s="142">
        <f>16*J16</f>
        <v>48</v>
      </c>
      <c r="L16" s="142">
        <f>32*J16</f>
        <v>96</v>
      </c>
      <c r="M16" s="142">
        <f>SUM(K16:L19)</f>
        <v>144</v>
      </c>
      <c r="N16" s="129" t="s">
        <v>243</v>
      </c>
      <c r="O16" s="129" t="s">
        <v>244</v>
      </c>
      <c r="P16" s="129" t="s">
        <v>245</v>
      </c>
      <c r="Q16" s="129" t="s">
        <v>223</v>
      </c>
      <c r="R16" s="5"/>
      <c r="S16" s="5"/>
      <c r="T16" s="7"/>
    </row>
    <row r="17" spans="1:20" s="74" customFormat="1" ht="49.5">
      <c r="A17" s="58" t="str">
        <f>_xlfn.XLOOKUP(B17,'Paso 3 Redacción RA'!I$3:I$18,'Paso 3 Redacción RA'!C$3:C$18,,0,1)</f>
        <v>Saber</v>
      </c>
      <c r="B17" s="5" t="s">
        <v>107</v>
      </c>
      <c r="C17" s="121"/>
      <c r="D17" s="121"/>
      <c r="E17" s="123"/>
      <c r="F17" s="121"/>
      <c r="G17" s="121"/>
      <c r="H17" s="121"/>
      <c r="I17" s="121"/>
      <c r="J17" s="121"/>
      <c r="K17" s="143"/>
      <c r="L17" s="143"/>
      <c r="M17" s="143"/>
      <c r="N17" s="123"/>
      <c r="O17" s="123"/>
      <c r="P17" s="123"/>
      <c r="Q17" s="123"/>
      <c r="R17" s="5"/>
      <c r="S17" s="5"/>
      <c r="T17" s="7"/>
    </row>
    <row r="18" spans="1:20" s="74" customFormat="1" ht="49.5">
      <c r="A18" s="58" t="str">
        <f>_xlfn.XLOOKUP(B18,'Paso 3 Redacción RA'!I$3:I$18,'Paso 3 Redacción RA'!C$3:C$18,,0,1)</f>
        <v>Saber</v>
      </c>
      <c r="B18" s="5" t="s">
        <v>112</v>
      </c>
      <c r="C18" s="121"/>
      <c r="D18" s="121"/>
      <c r="E18" s="123"/>
      <c r="F18" s="121"/>
      <c r="G18" s="121"/>
      <c r="H18" s="121"/>
      <c r="I18" s="121"/>
      <c r="J18" s="121"/>
      <c r="K18" s="143"/>
      <c r="L18" s="143"/>
      <c r="M18" s="143"/>
      <c r="N18" s="123"/>
      <c r="O18" s="123"/>
      <c r="P18" s="123"/>
      <c r="Q18" s="123"/>
      <c r="R18" s="5"/>
      <c r="S18" s="5"/>
      <c r="T18" s="7"/>
    </row>
    <row r="19" spans="1:20" s="74" customFormat="1" ht="49.5">
      <c r="A19" s="77" t="str">
        <f>_xlfn.XLOOKUP(B19,'Paso 3 Redacción RA'!I$3:I$18,'Paso 3 Redacción RA'!C$3:C$18,,0,1)</f>
        <v>SaberHacer</v>
      </c>
      <c r="B19" s="72" t="s">
        <v>114</v>
      </c>
      <c r="C19" s="132"/>
      <c r="D19" s="132"/>
      <c r="E19" s="130"/>
      <c r="F19" s="132"/>
      <c r="G19" s="132"/>
      <c r="H19" s="132"/>
      <c r="I19" s="132"/>
      <c r="J19" s="132"/>
      <c r="K19" s="144"/>
      <c r="L19" s="144"/>
      <c r="M19" s="144"/>
      <c r="N19" s="130"/>
      <c r="O19" s="130"/>
      <c r="P19" s="130"/>
      <c r="Q19" s="130"/>
      <c r="R19" s="5"/>
      <c r="S19" s="5"/>
      <c r="T19" s="7"/>
    </row>
    <row r="20" spans="1:20" s="80" customFormat="1" ht="330">
      <c r="A20" s="109" t="str">
        <f>_xlfn.XLOOKUP(B20,'Paso 3 Redacción RA'!I$3:I$18,'Paso 3 Redacción RA'!C$3:C$18,,0,1)</f>
        <v>Saber</v>
      </c>
      <c r="B20" s="109" t="s">
        <v>120</v>
      </c>
      <c r="C20" s="110">
        <v>1</v>
      </c>
      <c r="D20" s="110" t="s">
        <v>246</v>
      </c>
      <c r="E20" s="109" t="s">
        <v>247</v>
      </c>
      <c r="F20" s="110" t="s">
        <v>218</v>
      </c>
      <c r="G20" s="111" t="s">
        <v>219</v>
      </c>
      <c r="H20" s="111"/>
      <c r="I20" s="111"/>
      <c r="J20" s="111">
        <v>3</v>
      </c>
      <c r="K20" s="111">
        <f>16*J20</f>
        <v>48</v>
      </c>
      <c r="L20" s="111">
        <f>32*J20</f>
        <v>96</v>
      </c>
      <c r="M20" s="111">
        <f>SUM(K20:L20)</f>
        <v>144</v>
      </c>
      <c r="N20" s="112" t="s">
        <v>248</v>
      </c>
      <c r="O20" s="112" t="s">
        <v>249</v>
      </c>
      <c r="P20" s="112" t="s">
        <v>250</v>
      </c>
      <c r="Q20" s="112" t="s">
        <v>229</v>
      </c>
      <c r="R20" s="5">
        <f>SUM(J3:J20)</f>
        <v>16</v>
      </c>
      <c r="S20" s="5">
        <f>COUNTA(D3:D20)</f>
        <v>6</v>
      </c>
      <c r="T20" s="93"/>
    </row>
    <row r="21" spans="1:20" s="80" customFormat="1" ht="49.5">
      <c r="A21" s="80" t="str">
        <f>_xlfn.XLOOKUP(B21,'Paso 3 Redacción RA'!I$3:I$18,'Paso 3 Redacción RA'!C$3:C$18,,0,1)</f>
        <v>Saber</v>
      </c>
      <c r="B21" s="58" t="s">
        <v>98</v>
      </c>
      <c r="C21" s="131">
        <v>2</v>
      </c>
      <c r="D21" s="131" t="s">
        <v>251</v>
      </c>
      <c r="E21" s="129" t="s">
        <v>252</v>
      </c>
      <c r="F21" s="145" t="s">
        <v>218</v>
      </c>
      <c r="G21" s="145"/>
      <c r="H21" s="145" t="s">
        <v>219</v>
      </c>
      <c r="I21" s="145"/>
      <c r="J21" s="145">
        <v>4</v>
      </c>
      <c r="K21" s="145">
        <f>16*J21</f>
        <v>64</v>
      </c>
      <c r="L21" s="145">
        <f>32*J21</f>
        <v>128</v>
      </c>
      <c r="M21" s="145">
        <f>SUM(K21:L21)</f>
        <v>192</v>
      </c>
      <c r="N21" s="140" t="s">
        <v>253</v>
      </c>
      <c r="O21" s="140" t="s">
        <v>254</v>
      </c>
      <c r="P21" s="140" t="s">
        <v>255</v>
      </c>
      <c r="Q21" s="140" t="s">
        <v>229</v>
      </c>
      <c r="R21" s="5"/>
      <c r="S21" s="5"/>
      <c r="T21" s="93"/>
    </row>
    <row r="22" spans="1:20" s="80" customFormat="1" ht="49.5">
      <c r="A22" s="80" t="str">
        <f>_xlfn.XLOOKUP(B22,'Paso 3 Redacción RA'!I$3:I$18,'Paso 3 Redacción RA'!C$3:C$18,,0,1)</f>
        <v>SaberHacer</v>
      </c>
      <c r="B22" s="58" t="s">
        <v>102</v>
      </c>
      <c r="C22" s="121"/>
      <c r="D22" s="121"/>
      <c r="E22" s="123"/>
      <c r="F22" s="146"/>
      <c r="G22" s="146"/>
      <c r="H22" s="146"/>
      <c r="I22" s="146"/>
      <c r="J22" s="146"/>
      <c r="K22" s="146"/>
      <c r="L22" s="146"/>
      <c r="M22" s="146"/>
      <c r="N22" s="118"/>
      <c r="O22" s="118"/>
      <c r="P22" s="118"/>
      <c r="Q22" s="118"/>
      <c r="R22" s="5"/>
      <c r="S22" s="5"/>
      <c r="T22" s="93"/>
    </row>
    <row r="23" spans="1:20" s="80" customFormat="1" ht="49.5">
      <c r="A23" s="80" t="str">
        <f>_xlfn.XLOOKUP(B23,'Paso 3 Redacción RA'!I$3:I$18,'Paso 3 Redacción RA'!C$3:C$18,,0,1)</f>
        <v>SaberHacer</v>
      </c>
      <c r="B23" s="58" t="s">
        <v>109</v>
      </c>
      <c r="C23" s="121"/>
      <c r="D23" s="121"/>
      <c r="E23" s="123"/>
      <c r="F23" s="146"/>
      <c r="G23" s="146"/>
      <c r="H23" s="146"/>
      <c r="I23" s="146"/>
      <c r="J23" s="146"/>
      <c r="K23" s="146"/>
      <c r="L23" s="146"/>
      <c r="M23" s="146"/>
      <c r="N23" s="118"/>
      <c r="O23" s="118"/>
      <c r="P23" s="118"/>
      <c r="Q23" s="118"/>
      <c r="R23" s="5"/>
      <c r="S23" s="5"/>
      <c r="T23" s="93"/>
    </row>
    <row r="24" spans="1:20" s="80" customFormat="1" ht="49.5">
      <c r="A24" s="81" t="str">
        <f>_xlfn.XLOOKUP(B24,'Paso 3 Redacción RA'!I$3:I$18,'Paso 3 Redacción RA'!C$3:C$18,,0,1)</f>
        <v>Saber</v>
      </c>
      <c r="B24" s="77" t="s">
        <v>112</v>
      </c>
      <c r="C24" s="132"/>
      <c r="D24" s="132"/>
      <c r="E24" s="130"/>
      <c r="F24" s="147"/>
      <c r="G24" s="147"/>
      <c r="H24" s="147"/>
      <c r="I24" s="147"/>
      <c r="J24" s="147"/>
      <c r="K24" s="147"/>
      <c r="L24" s="147"/>
      <c r="M24" s="147"/>
      <c r="N24" s="141"/>
      <c r="O24" s="141"/>
      <c r="P24" s="141"/>
      <c r="Q24" s="141"/>
      <c r="R24" s="5"/>
      <c r="S24" s="5"/>
      <c r="T24" s="93"/>
    </row>
    <row r="25" spans="1:20" s="5" customFormat="1" ht="49.5">
      <c r="A25" s="80" t="str">
        <f>_xlfn.XLOOKUP(B25,'Paso 3 Redacción RA'!I$3:I$18,'Paso 3 Redacción RA'!C$3:C$18,,0,1)</f>
        <v>SaberHacer</v>
      </c>
      <c r="B25" s="5" t="s">
        <v>102</v>
      </c>
      <c r="C25" s="131">
        <v>2</v>
      </c>
      <c r="D25" s="131" t="s">
        <v>256</v>
      </c>
      <c r="E25" s="123" t="s">
        <v>257</v>
      </c>
      <c r="F25" s="121" t="s">
        <v>218</v>
      </c>
      <c r="G25" s="121"/>
      <c r="H25" s="121" t="s">
        <v>219</v>
      </c>
      <c r="I25" s="121"/>
      <c r="J25" s="121">
        <v>3</v>
      </c>
      <c r="K25" s="121">
        <f>16*J25</f>
        <v>48</v>
      </c>
      <c r="L25" s="121">
        <f>32*J25</f>
        <v>96</v>
      </c>
      <c r="M25" s="121">
        <f>SUM(K25:L25)</f>
        <v>144</v>
      </c>
      <c r="N25" s="123" t="s">
        <v>258</v>
      </c>
      <c r="O25" s="123" t="s">
        <v>259</v>
      </c>
      <c r="P25" s="123" t="s">
        <v>235</v>
      </c>
      <c r="Q25" s="123" t="s">
        <v>229</v>
      </c>
      <c r="R25" s="65"/>
      <c r="S25" s="65"/>
      <c r="T25" s="3"/>
    </row>
    <row r="26" spans="1:20" s="5" customFormat="1" ht="49.5">
      <c r="A26" s="80" t="str">
        <f>_xlfn.XLOOKUP(B26,'Paso 3 Redacción RA'!I$3:I$18,'Paso 3 Redacción RA'!C$3:C$18,,0,1)</f>
        <v>Saber</v>
      </c>
      <c r="B26" s="5" t="s">
        <v>115</v>
      </c>
      <c r="C26" s="121"/>
      <c r="D26" s="121"/>
      <c r="E26" s="123"/>
      <c r="F26" s="121"/>
      <c r="G26" s="121"/>
      <c r="H26" s="121"/>
      <c r="I26" s="121"/>
      <c r="J26" s="121"/>
      <c r="K26" s="121"/>
      <c r="L26" s="121"/>
      <c r="M26" s="121"/>
      <c r="N26" s="123"/>
      <c r="O26" s="123"/>
      <c r="P26" s="123"/>
      <c r="Q26" s="123"/>
      <c r="R26" s="65"/>
      <c r="S26" s="65"/>
      <c r="T26" s="3"/>
    </row>
    <row r="27" spans="1:20" s="5" customFormat="1" ht="49.5">
      <c r="A27" s="80" t="str">
        <f>_xlfn.XLOOKUP(B27,'Paso 3 Redacción RA'!I$3:I$18,'Paso 3 Redacción RA'!C$3:C$18,,0,1)</f>
        <v>Saber</v>
      </c>
      <c r="B27" s="5" t="s">
        <v>112</v>
      </c>
      <c r="C27" s="121"/>
      <c r="D27" s="121"/>
      <c r="E27" s="123"/>
      <c r="F27" s="121"/>
      <c r="G27" s="121"/>
      <c r="H27" s="121"/>
      <c r="I27" s="121"/>
      <c r="J27" s="121"/>
      <c r="K27" s="121"/>
      <c r="L27" s="121"/>
      <c r="M27" s="121"/>
      <c r="N27" s="123"/>
      <c r="O27" s="123"/>
      <c r="P27" s="123"/>
      <c r="Q27" s="123"/>
      <c r="R27" s="65"/>
      <c r="S27" s="65"/>
      <c r="T27" s="3"/>
    </row>
    <row r="28" spans="1:20" s="5" customFormat="1" ht="49.5">
      <c r="A28" s="81" t="str">
        <f>_xlfn.XLOOKUP(B28,'Paso 3 Redacción RA'!I$3:I$18,'Paso 3 Redacción RA'!C$3:C$18,,0,1)</f>
        <v>SaberHacer</v>
      </c>
      <c r="B28" s="72" t="s">
        <v>114</v>
      </c>
      <c r="C28" s="132"/>
      <c r="D28" s="132"/>
      <c r="E28" s="123"/>
      <c r="F28" s="121"/>
      <c r="G28" s="121"/>
      <c r="H28" s="121"/>
      <c r="I28" s="121"/>
      <c r="J28" s="121"/>
      <c r="K28" s="121"/>
      <c r="L28" s="121"/>
      <c r="M28" s="121"/>
      <c r="N28" s="123"/>
      <c r="O28" s="123"/>
      <c r="P28" s="123"/>
      <c r="Q28" s="123"/>
      <c r="R28" s="65"/>
      <c r="S28" s="65"/>
      <c r="T28" s="3"/>
    </row>
    <row r="29" spans="1:20" s="5" customFormat="1" ht="49.5">
      <c r="A29" s="80" t="str">
        <f>_xlfn.XLOOKUP(B29,'Paso 3 Redacción RA'!I$3:I$18,'Paso 3 Redacción RA'!C$3:C$18,,0,1)</f>
        <v>Saber</v>
      </c>
      <c r="B29" s="58" t="s">
        <v>98</v>
      </c>
      <c r="C29" s="131">
        <v>2</v>
      </c>
      <c r="D29" s="131" t="s">
        <v>260</v>
      </c>
      <c r="E29" s="129" t="s">
        <v>261</v>
      </c>
      <c r="F29" s="131" t="s">
        <v>218</v>
      </c>
      <c r="G29" s="131"/>
      <c r="H29" s="131" t="s">
        <v>219</v>
      </c>
      <c r="I29" s="131"/>
      <c r="J29" s="131">
        <v>3</v>
      </c>
      <c r="K29" s="131">
        <f>16*J29</f>
        <v>48</v>
      </c>
      <c r="L29" s="131">
        <f>32*J29</f>
        <v>96</v>
      </c>
      <c r="M29" s="131">
        <f>SUM(K29:L29)</f>
        <v>144</v>
      </c>
      <c r="N29" s="129" t="s">
        <v>262</v>
      </c>
      <c r="O29" s="129" t="s">
        <v>263</v>
      </c>
      <c r="P29" s="129" t="s">
        <v>264</v>
      </c>
      <c r="Q29" s="129" t="s">
        <v>229</v>
      </c>
      <c r="R29" s="65"/>
      <c r="S29" s="65"/>
      <c r="T29" s="3"/>
    </row>
    <row r="30" spans="1:20" s="5" customFormat="1" ht="49.5">
      <c r="A30" s="80" t="str">
        <f>_xlfn.XLOOKUP(B30,'Paso 3 Redacción RA'!I$3:I$18,'Paso 3 Redacción RA'!C$3:C$18,,0,1)</f>
        <v>SaberHacer</v>
      </c>
      <c r="B30" s="58" t="s">
        <v>102</v>
      </c>
      <c r="C30" s="121"/>
      <c r="D30" s="121"/>
      <c r="E30" s="123"/>
      <c r="F30" s="121"/>
      <c r="G30" s="121"/>
      <c r="H30" s="121"/>
      <c r="I30" s="121"/>
      <c r="J30" s="121"/>
      <c r="K30" s="121"/>
      <c r="L30" s="121"/>
      <c r="M30" s="121"/>
      <c r="N30" s="123"/>
      <c r="O30" s="123"/>
      <c r="P30" s="123"/>
      <c r="Q30" s="123"/>
      <c r="R30" s="65"/>
      <c r="S30" s="65"/>
      <c r="T30" s="3"/>
    </row>
    <row r="31" spans="1:20" s="5" customFormat="1" ht="49.5">
      <c r="A31" s="80" t="str">
        <f>_xlfn.XLOOKUP(B31,'Paso 3 Redacción RA'!I$3:I$18,'Paso 3 Redacción RA'!C$3:C$18,,0,1)</f>
        <v>SaberHacer</v>
      </c>
      <c r="B31" s="58" t="s">
        <v>109</v>
      </c>
      <c r="C31" s="121"/>
      <c r="D31" s="121"/>
      <c r="E31" s="123"/>
      <c r="F31" s="121"/>
      <c r="G31" s="121"/>
      <c r="H31" s="121"/>
      <c r="I31" s="121"/>
      <c r="J31" s="121"/>
      <c r="K31" s="121"/>
      <c r="L31" s="121"/>
      <c r="M31" s="121"/>
      <c r="N31" s="123"/>
      <c r="O31" s="123"/>
      <c r="P31" s="123"/>
      <c r="Q31" s="123"/>
      <c r="R31" s="65"/>
      <c r="S31" s="65"/>
      <c r="T31" s="3"/>
    </row>
    <row r="32" spans="1:20" s="5" customFormat="1" ht="49.5">
      <c r="A32" s="81" t="str">
        <f>_xlfn.XLOOKUP(B32,'Paso 3 Redacción RA'!I$3:I$18,'Paso 3 Redacción RA'!C$3:C$18,,0,1)</f>
        <v>Saber</v>
      </c>
      <c r="B32" s="58" t="s">
        <v>112</v>
      </c>
      <c r="C32" s="132"/>
      <c r="D32" s="132"/>
      <c r="E32" s="123"/>
      <c r="F32" s="121"/>
      <c r="G32" s="121"/>
      <c r="H32" s="121"/>
      <c r="I32" s="121"/>
      <c r="J32" s="121"/>
      <c r="K32" s="121"/>
      <c r="L32" s="121"/>
      <c r="M32" s="121"/>
      <c r="N32" s="130"/>
      <c r="O32" s="123"/>
      <c r="P32" s="123"/>
      <c r="Q32" s="123"/>
      <c r="R32" s="65"/>
      <c r="S32" s="65"/>
      <c r="T32" s="3"/>
    </row>
    <row r="33" spans="1:20" s="80" customFormat="1" ht="231">
      <c r="A33" s="86" t="str">
        <f>_xlfn.XLOOKUP(B33,'Paso 3 Redacción RA'!I$3:I$18,'Paso 3 Redacción RA'!C$3:C$18,,0,1)</f>
        <v>Saber</v>
      </c>
      <c r="B33" s="86" t="s">
        <v>120</v>
      </c>
      <c r="C33" s="85">
        <v>2</v>
      </c>
      <c r="D33" s="85" t="s">
        <v>265</v>
      </c>
      <c r="E33" s="86" t="s">
        <v>266</v>
      </c>
      <c r="F33" s="84" t="s">
        <v>218</v>
      </c>
      <c r="G33" s="85" t="s">
        <v>219</v>
      </c>
      <c r="H33" s="85"/>
      <c r="I33" s="85"/>
      <c r="J33" s="84">
        <v>3</v>
      </c>
      <c r="K33" s="84">
        <f>16*J33</f>
        <v>48</v>
      </c>
      <c r="L33" s="84">
        <f>32*J33</f>
        <v>96</v>
      </c>
      <c r="M33" s="84">
        <f>SUM(K33:L33)</f>
        <v>144</v>
      </c>
      <c r="N33" s="86" t="s">
        <v>267</v>
      </c>
      <c r="O33" s="86" t="s">
        <v>268</v>
      </c>
      <c r="P33" s="86" t="s">
        <v>269</v>
      </c>
      <c r="Q33" s="83" t="s">
        <v>229</v>
      </c>
      <c r="R33" s="5"/>
      <c r="S33" s="5"/>
      <c r="T33" s="93"/>
    </row>
    <row r="34" spans="1:20" ht="49.5">
      <c r="A34" s="80" t="str">
        <f>_xlfn.XLOOKUP(B34,'Paso 3 Redacción RA'!I$3:I$18,'Paso 3 Redacción RA'!C$3:C$18,,0,1)</f>
        <v>SaberHacer</v>
      </c>
      <c r="B34" s="82" t="s">
        <v>102</v>
      </c>
      <c r="C34" s="131">
        <v>2</v>
      </c>
      <c r="D34" s="131" t="s">
        <v>270</v>
      </c>
      <c r="E34" s="129" t="s">
        <v>271</v>
      </c>
      <c r="F34" s="145" t="s">
        <v>218</v>
      </c>
      <c r="G34" s="145"/>
      <c r="H34" s="145" t="s">
        <v>219</v>
      </c>
      <c r="I34" s="145"/>
      <c r="J34" s="145">
        <v>4</v>
      </c>
      <c r="K34" s="145">
        <f>16*J34</f>
        <v>64</v>
      </c>
      <c r="L34" s="145">
        <f>32*J34</f>
        <v>128</v>
      </c>
      <c r="M34" s="145">
        <f>SUM(K34:L34)</f>
        <v>192</v>
      </c>
      <c r="N34" s="140" t="s">
        <v>272</v>
      </c>
      <c r="O34" s="140" t="s">
        <v>273</v>
      </c>
      <c r="P34" s="140" t="s">
        <v>274</v>
      </c>
      <c r="Q34" s="140" t="s">
        <v>229</v>
      </c>
      <c r="T34" s="93"/>
    </row>
    <row r="35" spans="1:20" ht="66">
      <c r="A35" s="80" t="str">
        <f>_xlfn.XLOOKUP(B35,'Paso 3 Redacción RA'!I$3:I$18,'Paso 3 Redacción RA'!C$3:C$18,,0,1)</f>
        <v>SaberSer</v>
      </c>
      <c r="B35" s="65" t="s">
        <v>106</v>
      </c>
      <c r="C35" s="121"/>
      <c r="D35" s="121"/>
      <c r="E35" s="123"/>
      <c r="F35" s="146"/>
      <c r="G35" s="146"/>
      <c r="H35" s="146"/>
      <c r="I35" s="146"/>
      <c r="J35" s="146"/>
      <c r="K35" s="146"/>
      <c r="L35" s="146"/>
      <c r="M35" s="146"/>
      <c r="N35" s="118"/>
      <c r="O35" s="118"/>
      <c r="P35" s="118"/>
      <c r="Q35" s="118"/>
      <c r="T35" s="93"/>
    </row>
    <row r="36" spans="1:20" ht="49.5">
      <c r="A36" s="80" t="str">
        <f>_xlfn.XLOOKUP(B36,'Paso 3 Redacción RA'!I$3:I$18,'Paso 3 Redacción RA'!C$3:C$18,,0,1)</f>
        <v>Saber</v>
      </c>
      <c r="B36" s="65" t="s">
        <v>115</v>
      </c>
      <c r="C36" s="131"/>
      <c r="D36" s="131"/>
      <c r="E36" s="129"/>
      <c r="F36" s="145"/>
      <c r="G36" s="145"/>
      <c r="H36" s="145"/>
      <c r="I36" s="145"/>
      <c r="J36" s="145"/>
      <c r="K36" s="145"/>
      <c r="L36" s="145"/>
      <c r="M36" s="145"/>
      <c r="N36" s="140"/>
      <c r="O36" s="118"/>
      <c r="P36" s="118"/>
      <c r="Q36" s="140"/>
      <c r="T36" s="93"/>
    </row>
    <row r="37" spans="1:20" ht="49.5">
      <c r="A37" s="80"/>
      <c r="B37" s="65" t="s">
        <v>109</v>
      </c>
      <c r="C37" s="121"/>
      <c r="D37" s="121"/>
      <c r="E37" s="123"/>
      <c r="F37" s="146"/>
      <c r="G37" s="146"/>
      <c r="H37" s="146"/>
      <c r="I37" s="146"/>
      <c r="J37" s="146"/>
      <c r="K37" s="146"/>
      <c r="L37" s="146"/>
      <c r="M37" s="146"/>
      <c r="N37" s="118"/>
      <c r="O37" s="118"/>
      <c r="P37" s="118"/>
      <c r="Q37" s="118"/>
      <c r="T37" s="93"/>
    </row>
    <row r="38" spans="1:20" ht="49.5">
      <c r="A38" s="81" t="str">
        <f>_xlfn.XLOOKUP(B38,'Paso 3 Redacción RA'!I$3:I$18,'Paso 3 Redacción RA'!C$3:C$18,,0,1)</f>
        <v>SaberHacer</v>
      </c>
      <c r="B38" s="65" t="s">
        <v>114</v>
      </c>
      <c r="C38" s="132"/>
      <c r="D38" s="132"/>
      <c r="E38" s="130"/>
      <c r="F38" s="147"/>
      <c r="G38" s="147"/>
      <c r="H38" s="147"/>
      <c r="I38" s="147"/>
      <c r="J38" s="147"/>
      <c r="K38" s="147"/>
      <c r="L38" s="147"/>
      <c r="M38" s="147"/>
      <c r="N38" s="141"/>
      <c r="O38" s="141"/>
      <c r="P38" s="141"/>
      <c r="Q38" s="141"/>
      <c r="R38" s="5">
        <f>SUM(J21:J38)</f>
        <v>17</v>
      </c>
      <c r="S38" s="5">
        <f>COUNTA(D21:D38)</f>
        <v>5</v>
      </c>
      <c r="T38" s="93"/>
    </row>
    <row r="39" spans="1:20" s="80" customFormat="1" ht="328.5">
      <c r="A39" s="86" t="str">
        <f>_xlfn.XLOOKUP(B39,'Paso 3 Redacción RA'!I$3:I$18,'Paso 3 Redacción RA'!C$3:C$18,,0,1)</f>
        <v>Saber</v>
      </c>
      <c r="B39" s="86" t="s">
        <v>120</v>
      </c>
      <c r="C39" s="85">
        <v>3</v>
      </c>
      <c r="D39" s="85" t="s">
        <v>275</v>
      </c>
      <c r="E39" s="86" t="s">
        <v>276</v>
      </c>
      <c r="F39" s="84" t="s">
        <v>218</v>
      </c>
      <c r="G39" s="84" t="s">
        <v>219</v>
      </c>
      <c r="H39" s="84"/>
      <c r="I39" s="84"/>
      <c r="J39" s="87">
        <v>3</v>
      </c>
      <c r="K39" s="84">
        <f>16*J39</f>
        <v>48</v>
      </c>
      <c r="L39" s="84">
        <f>32*J39</f>
        <v>96</v>
      </c>
      <c r="M39" s="84">
        <f>SUM(K39:L39)</f>
        <v>144</v>
      </c>
      <c r="N39" s="83" t="s">
        <v>277</v>
      </c>
      <c r="O39" s="83" t="s">
        <v>278</v>
      </c>
      <c r="P39" s="83" t="s">
        <v>279</v>
      </c>
      <c r="Q39" s="83" t="s">
        <v>229</v>
      </c>
      <c r="R39" s="5"/>
      <c r="S39" s="5"/>
      <c r="T39" s="93"/>
    </row>
    <row r="40" spans="1:20" s="80" customFormat="1" ht="49.5">
      <c r="A40" s="92" t="str">
        <f>_xlfn.XLOOKUP(B40,'Paso 3 Redacción RA'!I$3:I$18,'Paso 3 Redacción RA'!C$3:C$18,,0,1)</f>
        <v>Saber</v>
      </c>
      <c r="B40" s="58" t="s">
        <v>98</v>
      </c>
      <c r="C40" s="131">
        <v>3</v>
      </c>
      <c r="D40" s="131" t="s">
        <v>280</v>
      </c>
      <c r="E40" s="129" t="s">
        <v>281</v>
      </c>
      <c r="F40" s="145" t="s">
        <v>218</v>
      </c>
      <c r="G40" s="145"/>
      <c r="H40" s="145" t="s">
        <v>219</v>
      </c>
      <c r="I40" s="145"/>
      <c r="J40" s="145">
        <v>4</v>
      </c>
      <c r="K40" s="145">
        <f>16*J40</f>
        <v>64</v>
      </c>
      <c r="L40" s="145">
        <f>32*J40</f>
        <v>128</v>
      </c>
      <c r="M40" s="145">
        <f>SUM(K40:L40)</f>
        <v>192</v>
      </c>
      <c r="N40" s="140" t="s">
        <v>282</v>
      </c>
      <c r="O40" s="140" t="s">
        <v>263</v>
      </c>
      <c r="P40" s="140" t="s">
        <v>283</v>
      </c>
      <c r="Q40" s="140" t="s">
        <v>229</v>
      </c>
      <c r="R40" s="5"/>
      <c r="S40" s="5"/>
      <c r="T40" s="93"/>
    </row>
    <row r="41" spans="1:20" s="80" customFormat="1" ht="49.5">
      <c r="A41" s="80" t="str">
        <f>_xlfn.XLOOKUP(B41,'Paso 3 Redacción RA'!I$3:I$18,'Paso 3 Redacción RA'!C$3:C$18,,0,1)</f>
        <v>SaberHacer</v>
      </c>
      <c r="B41" s="58" t="s">
        <v>102</v>
      </c>
      <c r="C41" s="121"/>
      <c r="D41" s="121"/>
      <c r="E41" s="123"/>
      <c r="F41" s="146"/>
      <c r="G41" s="146"/>
      <c r="H41" s="146"/>
      <c r="I41" s="146"/>
      <c r="J41" s="146"/>
      <c r="K41" s="146"/>
      <c r="L41" s="146"/>
      <c r="M41" s="146"/>
      <c r="N41" s="118"/>
      <c r="O41" s="118"/>
      <c r="P41" s="118"/>
      <c r="Q41" s="118"/>
      <c r="R41" s="5"/>
      <c r="S41" s="5"/>
      <c r="T41" s="93"/>
    </row>
    <row r="42" spans="1:20" s="80" customFormat="1" ht="49.5">
      <c r="A42" s="80" t="str">
        <f>_xlfn.XLOOKUP(B42,'Paso 3 Redacción RA'!I$3:I$18,'Paso 3 Redacción RA'!C$3:C$18,,0,1)</f>
        <v>SaberHacer</v>
      </c>
      <c r="B42" s="58" t="s">
        <v>109</v>
      </c>
      <c r="C42" s="121"/>
      <c r="D42" s="121"/>
      <c r="E42" s="123"/>
      <c r="F42" s="146"/>
      <c r="G42" s="146"/>
      <c r="H42" s="146"/>
      <c r="I42" s="146"/>
      <c r="J42" s="146"/>
      <c r="K42" s="146"/>
      <c r="L42" s="146"/>
      <c r="M42" s="146"/>
      <c r="N42" s="118"/>
      <c r="O42" s="118"/>
      <c r="P42" s="118"/>
      <c r="Q42" s="118"/>
      <c r="R42" s="5"/>
      <c r="S42" s="5"/>
      <c r="T42" s="93"/>
    </row>
    <row r="43" spans="1:20" s="80" customFormat="1" ht="70.5" customHeight="1">
      <c r="A43" s="81" t="str">
        <f>_xlfn.XLOOKUP(B43,'Paso 3 Redacción RA'!I$3:I$18,'Paso 3 Redacción RA'!C$3:C$18,,0,1)</f>
        <v>Saber</v>
      </c>
      <c r="B43" s="77" t="s">
        <v>112</v>
      </c>
      <c r="C43" s="132"/>
      <c r="D43" s="132"/>
      <c r="E43" s="130"/>
      <c r="F43" s="147"/>
      <c r="G43" s="147"/>
      <c r="H43" s="147"/>
      <c r="I43" s="147"/>
      <c r="J43" s="147"/>
      <c r="K43" s="147"/>
      <c r="L43" s="147"/>
      <c r="M43" s="147"/>
      <c r="N43" s="141"/>
      <c r="O43" s="141"/>
      <c r="P43" s="141"/>
      <c r="Q43" s="141"/>
      <c r="R43" s="5"/>
      <c r="S43" s="5"/>
      <c r="T43" s="93"/>
    </row>
    <row r="44" spans="1:20" s="80" customFormat="1" ht="87" customHeight="1">
      <c r="A44" s="80" t="str">
        <f>_xlfn.XLOOKUP(B44,'Paso 3 Redacción RA'!I$3:I$18,'Paso 3 Redacción RA'!C$3:C$18,,0,1)</f>
        <v>SaberSer</v>
      </c>
      <c r="B44" s="58" t="s">
        <v>106</v>
      </c>
      <c r="C44" s="131">
        <v>3</v>
      </c>
      <c r="D44" s="131" t="s">
        <v>284</v>
      </c>
      <c r="E44" s="129" t="s">
        <v>285</v>
      </c>
      <c r="F44" s="145" t="s">
        <v>218</v>
      </c>
      <c r="G44" s="145"/>
      <c r="H44" s="145" t="s">
        <v>219</v>
      </c>
      <c r="I44" s="145"/>
      <c r="J44" s="145">
        <v>3</v>
      </c>
      <c r="K44" s="145">
        <f>16*J44</f>
        <v>48</v>
      </c>
      <c r="L44" s="145">
        <f>32*J44</f>
        <v>96</v>
      </c>
      <c r="M44" s="145">
        <f>SUM(K44:L44)</f>
        <v>144</v>
      </c>
      <c r="N44" s="140" t="s">
        <v>286</v>
      </c>
      <c r="O44" s="140" t="s">
        <v>273</v>
      </c>
      <c r="P44" s="140" t="s">
        <v>274</v>
      </c>
      <c r="Q44" s="140" t="s">
        <v>229</v>
      </c>
      <c r="R44" s="5"/>
      <c r="S44" s="5"/>
      <c r="T44" s="93"/>
    </row>
    <row r="45" spans="1:20" s="80" customFormat="1" ht="65.25" customHeight="1">
      <c r="A45" s="80" t="str">
        <f>_xlfn.XLOOKUP(B45,'Paso 3 Redacción RA'!I$3:I$18,'Paso 3 Redacción RA'!C$3:C$18,,0,1)</f>
        <v>Saber</v>
      </c>
      <c r="B45" s="58" t="s">
        <v>107</v>
      </c>
      <c r="C45" s="121"/>
      <c r="D45" s="121"/>
      <c r="E45" s="123"/>
      <c r="F45" s="146"/>
      <c r="G45" s="146"/>
      <c r="H45" s="146"/>
      <c r="I45" s="146"/>
      <c r="J45" s="146"/>
      <c r="K45" s="146"/>
      <c r="L45" s="146"/>
      <c r="M45" s="146"/>
      <c r="N45" s="118"/>
      <c r="O45" s="118"/>
      <c r="P45" s="118"/>
      <c r="Q45" s="118"/>
      <c r="R45" s="5"/>
      <c r="S45" s="5"/>
      <c r="T45" s="93"/>
    </row>
    <row r="46" spans="1:20" s="80" customFormat="1" ht="51.75" customHeight="1">
      <c r="A46" s="80" t="str">
        <f>_xlfn.XLOOKUP(B46,'Paso 3 Redacción RA'!I$3:I$18,'Paso 3 Redacción RA'!C$3:C$18,,0,1)</f>
        <v>SaberHacer</v>
      </c>
      <c r="B46" s="58" t="s">
        <v>109</v>
      </c>
      <c r="C46" s="121"/>
      <c r="D46" s="121"/>
      <c r="E46" s="123"/>
      <c r="F46" s="146"/>
      <c r="G46" s="146"/>
      <c r="H46" s="146"/>
      <c r="I46" s="146"/>
      <c r="J46" s="146"/>
      <c r="K46" s="146"/>
      <c r="L46" s="146"/>
      <c r="M46" s="146"/>
      <c r="N46" s="118"/>
      <c r="O46" s="118"/>
      <c r="P46" s="118"/>
      <c r="Q46" s="118"/>
      <c r="R46" s="5"/>
      <c r="S46" s="5"/>
      <c r="T46" s="93"/>
    </row>
    <row r="47" spans="1:20" s="80" customFormat="1" ht="49.5">
      <c r="A47" s="80" t="str">
        <f>_xlfn.XLOOKUP(B47,'Paso 3 Redacción RA'!I$3:I$18,'Paso 3 Redacción RA'!C$3:C$18,,0,1)</f>
        <v>Saber</v>
      </c>
      <c r="B47" s="58" t="s">
        <v>112</v>
      </c>
      <c r="C47" s="121"/>
      <c r="D47" s="121"/>
      <c r="E47" s="123"/>
      <c r="F47" s="146"/>
      <c r="G47" s="146"/>
      <c r="H47" s="146"/>
      <c r="I47" s="146"/>
      <c r="J47" s="146"/>
      <c r="K47" s="146"/>
      <c r="L47" s="146"/>
      <c r="M47" s="146"/>
      <c r="N47" s="118"/>
      <c r="O47" s="118"/>
      <c r="P47" s="118"/>
      <c r="Q47" s="118"/>
      <c r="R47" s="5"/>
      <c r="S47" s="5"/>
      <c r="T47" s="93"/>
    </row>
    <row r="48" spans="1:20" s="80" customFormat="1" ht="49.5" customHeight="1">
      <c r="A48" s="81" t="str">
        <f>_xlfn.XLOOKUP(B48,'Paso 3 Redacción RA'!I$3:I$18,'Paso 3 Redacción RA'!C$3:C$18,,0,1)</f>
        <v>SaberHacer</v>
      </c>
      <c r="B48" s="77" t="s">
        <v>114</v>
      </c>
      <c r="C48" s="132"/>
      <c r="D48" s="132"/>
      <c r="E48" s="130"/>
      <c r="F48" s="147"/>
      <c r="G48" s="147"/>
      <c r="H48" s="147"/>
      <c r="I48" s="147"/>
      <c r="J48" s="147"/>
      <c r="K48" s="147"/>
      <c r="L48" s="147"/>
      <c r="M48" s="147"/>
      <c r="N48" s="141"/>
      <c r="O48" s="141"/>
      <c r="P48" s="141"/>
      <c r="Q48" s="141"/>
      <c r="R48" s="5"/>
      <c r="S48" s="5"/>
      <c r="T48" s="93"/>
    </row>
    <row r="49" spans="1:20" s="80" customFormat="1" ht="49.5">
      <c r="A49" s="92" t="str">
        <f>_xlfn.XLOOKUP(B49,'Paso 3 Redacción RA'!I$3:I$18,'Paso 3 Redacción RA'!C$3:C$18,,0,1)</f>
        <v>SaberHacer</v>
      </c>
      <c r="B49" s="65" t="s">
        <v>102</v>
      </c>
      <c r="C49" s="131">
        <v>3</v>
      </c>
      <c r="D49" s="131" t="s">
        <v>287</v>
      </c>
      <c r="E49" s="129" t="s">
        <v>288</v>
      </c>
      <c r="F49" s="145" t="s">
        <v>218</v>
      </c>
      <c r="G49" s="145"/>
      <c r="H49" s="145" t="s">
        <v>219</v>
      </c>
      <c r="I49" s="145"/>
      <c r="J49" s="145">
        <v>3</v>
      </c>
      <c r="K49" s="145">
        <f>16*J49</f>
        <v>48</v>
      </c>
      <c r="L49" s="145">
        <f>32*J49</f>
        <v>96</v>
      </c>
      <c r="M49" s="145">
        <f>SUM(K49:L49)</f>
        <v>144</v>
      </c>
      <c r="N49" s="140" t="s">
        <v>289</v>
      </c>
      <c r="O49" s="140" t="s">
        <v>290</v>
      </c>
      <c r="P49" s="140" t="s">
        <v>291</v>
      </c>
      <c r="Q49" s="140" t="s">
        <v>229</v>
      </c>
      <c r="R49" s="5"/>
      <c r="S49" s="5"/>
      <c r="T49" s="93"/>
    </row>
    <row r="50" spans="1:20" s="80" customFormat="1" ht="49.5">
      <c r="A50" s="80" t="str">
        <f>_xlfn.XLOOKUP(B50,'Paso 3 Redacción RA'!I$3:I$18,'Paso 3 Redacción RA'!C$3:C$18,,0,1)</f>
        <v>Saber</v>
      </c>
      <c r="B50" s="65" t="s">
        <v>115</v>
      </c>
      <c r="C50" s="121"/>
      <c r="D50" s="121"/>
      <c r="E50" s="123"/>
      <c r="F50" s="146"/>
      <c r="G50" s="146"/>
      <c r="H50" s="146"/>
      <c r="I50" s="146"/>
      <c r="J50" s="146"/>
      <c r="K50" s="146"/>
      <c r="L50" s="146"/>
      <c r="M50" s="146"/>
      <c r="N50" s="118"/>
      <c r="O50" s="118"/>
      <c r="P50" s="118"/>
      <c r="Q50" s="118"/>
      <c r="R50" s="5"/>
      <c r="S50" s="5"/>
      <c r="T50" s="93"/>
    </row>
    <row r="51" spans="1:20" s="80" customFormat="1" ht="49.5">
      <c r="A51" s="80" t="str">
        <f>_xlfn.XLOOKUP(B51,'Paso 3 Redacción RA'!I$3:I$18,'Paso 3 Redacción RA'!C$3:C$18,,0,1)</f>
        <v>Saber</v>
      </c>
      <c r="B51" s="65" t="s">
        <v>112</v>
      </c>
      <c r="C51" s="121"/>
      <c r="D51" s="121"/>
      <c r="E51" s="123"/>
      <c r="F51" s="146"/>
      <c r="G51" s="146"/>
      <c r="H51" s="146"/>
      <c r="I51" s="146"/>
      <c r="J51" s="146"/>
      <c r="K51" s="146"/>
      <c r="L51" s="146"/>
      <c r="M51" s="146"/>
      <c r="N51" s="118"/>
      <c r="O51" s="118"/>
      <c r="P51" s="118"/>
      <c r="Q51" s="118"/>
      <c r="R51" s="5"/>
      <c r="S51" s="5"/>
      <c r="T51" s="93"/>
    </row>
    <row r="52" spans="1:20" s="80" customFormat="1" ht="49.5">
      <c r="A52" s="81" t="str">
        <f>_xlfn.XLOOKUP(B52,'Paso 3 Redacción RA'!I$3:I$18,'Paso 3 Redacción RA'!C$3:C$18,,0,1)</f>
        <v>SaberHacer</v>
      </c>
      <c r="B52" s="78" t="s">
        <v>114</v>
      </c>
      <c r="C52" s="132"/>
      <c r="D52" s="132"/>
      <c r="E52" s="123"/>
      <c r="F52" s="146"/>
      <c r="G52" s="146"/>
      <c r="H52" s="146"/>
      <c r="I52" s="146"/>
      <c r="J52" s="146"/>
      <c r="K52" s="146"/>
      <c r="L52" s="146"/>
      <c r="M52" s="147"/>
      <c r="N52" s="118"/>
      <c r="O52" s="118"/>
      <c r="P52" s="118"/>
      <c r="Q52" s="118"/>
      <c r="R52" s="5"/>
      <c r="S52" s="5"/>
      <c r="T52" s="93"/>
    </row>
    <row r="53" spans="1:20" s="80" customFormat="1" ht="231">
      <c r="A53" s="86" t="str">
        <f>_xlfn.XLOOKUP(B53,'Paso 3 Redacción RA'!I$3:I$18,'Paso 3 Redacción RA'!C$3:C$18,,0,1)</f>
        <v>Saber</v>
      </c>
      <c r="B53" s="86" t="s">
        <v>120</v>
      </c>
      <c r="C53" s="85">
        <v>3</v>
      </c>
      <c r="D53" s="85" t="s">
        <v>292</v>
      </c>
      <c r="E53" s="86" t="s">
        <v>293</v>
      </c>
      <c r="F53" s="84" t="s">
        <v>218</v>
      </c>
      <c r="G53" s="85" t="s">
        <v>219</v>
      </c>
      <c r="H53" s="85"/>
      <c r="I53" s="85"/>
      <c r="J53" s="84">
        <v>3</v>
      </c>
      <c r="K53" s="84">
        <f>16*J53</f>
        <v>48</v>
      </c>
      <c r="L53" s="84">
        <f>32*J53</f>
        <v>96</v>
      </c>
      <c r="M53" s="84">
        <f>SUM(K53:L53)</f>
        <v>144</v>
      </c>
      <c r="N53" s="83" t="s">
        <v>294</v>
      </c>
      <c r="O53" s="86" t="s">
        <v>295</v>
      </c>
      <c r="P53" s="86" t="s">
        <v>269</v>
      </c>
      <c r="Q53" s="83" t="s">
        <v>229</v>
      </c>
      <c r="R53" s="5">
        <f>SUM(J39:J53)</f>
        <v>16</v>
      </c>
      <c r="S53" s="5">
        <f>COUNTA(D39:D53)</f>
        <v>5</v>
      </c>
      <c r="T53" s="93"/>
    </row>
    <row r="54" spans="1:20" s="80" customFormat="1" ht="231">
      <c r="A54" s="86" t="str">
        <f>_xlfn.XLOOKUP(B54,'Paso 3 Redacción RA'!I$3:I$18,'Paso 3 Redacción RA'!C$3:C$18,,0,1)</f>
        <v>Saber</v>
      </c>
      <c r="B54" s="86" t="s">
        <v>120</v>
      </c>
      <c r="C54" s="85">
        <v>4</v>
      </c>
      <c r="D54" s="85" t="s">
        <v>296</v>
      </c>
      <c r="E54" s="86" t="s">
        <v>297</v>
      </c>
      <c r="F54" s="84" t="s">
        <v>218</v>
      </c>
      <c r="G54" s="85" t="s">
        <v>219</v>
      </c>
      <c r="H54" s="85" t="s">
        <v>298</v>
      </c>
      <c r="I54" s="85"/>
      <c r="J54" s="85">
        <v>3</v>
      </c>
      <c r="K54" s="84">
        <f>16*J54</f>
        <v>48</v>
      </c>
      <c r="L54" s="84">
        <f>32*J54</f>
        <v>96</v>
      </c>
      <c r="M54" s="84">
        <f>SUM(K54:L54)</f>
        <v>144</v>
      </c>
      <c r="N54" s="86" t="s">
        <v>299</v>
      </c>
      <c r="O54" s="86" t="s">
        <v>295</v>
      </c>
      <c r="P54" s="86" t="s">
        <v>269</v>
      </c>
      <c r="Q54" s="83" t="s">
        <v>229</v>
      </c>
      <c r="R54" s="5"/>
      <c r="S54" s="5"/>
      <c r="T54" s="93"/>
    </row>
    <row r="55" spans="1:20" s="80" customFormat="1" ht="49.5">
      <c r="A55" s="92" t="str">
        <f>_xlfn.XLOOKUP(B55,'Paso 3 Redacción RA'!I$3:I$18,'Paso 3 Redacción RA'!C$3:C$18,,0,1)</f>
        <v>Saber</v>
      </c>
      <c r="B55" s="58" t="s">
        <v>98</v>
      </c>
      <c r="C55" s="131">
        <v>4</v>
      </c>
      <c r="D55" s="131" t="s">
        <v>300</v>
      </c>
      <c r="E55" s="129" t="s">
        <v>301</v>
      </c>
      <c r="F55" s="145" t="s">
        <v>218</v>
      </c>
      <c r="G55" s="145"/>
      <c r="H55" s="145" t="s">
        <v>219</v>
      </c>
      <c r="I55" s="145"/>
      <c r="J55" s="145">
        <v>4</v>
      </c>
      <c r="K55" s="145">
        <f>16*J55</f>
        <v>64</v>
      </c>
      <c r="L55" s="145">
        <f>32*J55</f>
        <v>128</v>
      </c>
      <c r="M55" s="145">
        <f>SUM(K55:L55)</f>
        <v>192</v>
      </c>
      <c r="N55" s="140" t="s">
        <v>302</v>
      </c>
      <c r="O55" s="140" t="s">
        <v>303</v>
      </c>
      <c r="P55" s="140" t="s">
        <v>304</v>
      </c>
      <c r="Q55" s="140" t="s">
        <v>229</v>
      </c>
      <c r="R55" s="5"/>
      <c r="S55" s="5"/>
      <c r="T55" s="93"/>
    </row>
    <row r="56" spans="1:20" s="80" customFormat="1" ht="49.5">
      <c r="A56" s="80" t="str">
        <f>_xlfn.XLOOKUP(B56,'Paso 3 Redacción RA'!I$3:I$18,'Paso 3 Redacción RA'!C$3:C$18,,0,1)</f>
        <v>SaberHacer</v>
      </c>
      <c r="B56" s="58" t="s">
        <v>102</v>
      </c>
      <c r="C56" s="121"/>
      <c r="D56" s="121"/>
      <c r="E56" s="123"/>
      <c r="F56" s="146"/>
      <c r="G56" s="146"/>
      <c r="H56" s="146"/>
      <c r="I56" s="146"/>
      <c r="J56" s="146"/>
      <c r="K56" s="146"/>
      <c r="L56" s="146"/>
      <c r="M56" s="146"/>
      <c r="N56" s="118"/>
      <c r="O56" s="118"/>
      <c r="P56" s="118"/>
      <c r="Q56" s="118"/>
      <c r="R56" s="5"/>
      <c r="S56" s="5"/>
      <c r="T56" s="93"/>
    </row>
    <row r="57" spans="1:20" s="80" customFormat="1" ht="60.95" customHeight="1">
      <c r="A57" s="80" t="str">
        <f>_xlfn.XLOOKUP(B57,'Paso 3 Redacción RA'!I$3:I$18,'Paso 3 Redacción RA'!C$3:C$18,,0,1)</f>
        <v>SaberHacer</v>
      </c>
      <c r="B57" s="58" t="s">
        <v>109</v>
      </c>
      <c r="C57" s="121"/>
      <c r="D57" s="121"/>
      <c r="E57" s="123"/>
      <c r="F57" s="146"/>
      <c r="G57" s="146"/>
      <c r="H57" s="146"/>
      <c r="I57" s="146"/>
      <c r="J57" s="146"/>
      <c r="K57" s="146"/>
      <c r="L57" s="146"/>
      <c r="M57" s="146"/>
      <c r="N57" s="118"/>
      <c r="O57" s="118"/>
      <c r="P57" s="118"/>
      <c r="Q57" s="118"/>
      <c r="R57" s="5"/>
      <c r="S57" s="5"/>
      <c r="T57" s="93"/>
    </row>
    <row r="58" spans="1:20" s="80" customFormat="1" ht="49.5">
      <c r="A58" s="81" t="str">
        <f>_xlfn.XLOOKUP(B58,'Paso 3 Redacción RA'!I$3:I$18,'Paso 3 Redacción RA'!C$3:C$18,,0,1)</f>
        <v>Saber</v>
      </c>
      <c r="B58" s="77" t="s">
        <v>112</v>
      </c>
      <c r="C58" s="132"/>
      <c r="D58" s="132"/>
      <c r="E58" s="130"/>
      <c r="F58" s="147"/>
      <c r="G58" s="147"/>
      <c r="H58" s="147"/>
      <c r="I58" s="147"/>
      <c r="J58" s="147"/>
      <c r="K58" s="147"/>
      <c r="L58" s="147"/>
      <c r="M58" s="147"/>
      <c r="N58" s="141"/>
      <c r="O58" s="141"/>
      <c r="P58" s="141"/>
      <c r="Q58" s="141"/>
      <c r="R58" s="5"/>
      <c r="S58" s="5"/>
      <c r="T58" s="93"/>
    </row>
    <row r="59" spans="1:20" s="80" customFormat="1" ht="58.5" customHeight="1">
      <c r="A59" s="92" t="str">
        <f>_xlfn.XLOOKUP(B59,'Paso 3 Redacción RA'!I$3:I$18,'Paso 3 Redacción RA'!C$3:C$18,,0,1)</f>
        <v>SaberHacer</v>
      </c>
      <c r="B59" s="82" t="s">
        <v>102</v>
      </c>
      <c r="C59" s="131">
        <v>4</v>
      </c>
      <c r="D59" s="131" t="s">
        <v>305</v>
      </c>
      <c r="E59" s="129" t="s">
        <v>306</v>
      </c>
      <c r="F59" s="145" t="s">
        <v>218</v>
      </c>
      <c r="G59" s="145"/>
      <c r="H59" s="145" t="s">
        <v>219</v>
      </c>
      <c r="I59" s="145"/>
      <c r="J59" s="145">
        <v>4</v>
      </c>
      <c r="K59" s="145">
        <f>16*J59</f>
        <v>64</v>
      </c>
      <c r="L59" s="145">
        <f>32*J59</f>
        <v>128</v>
      </c>
      <c r="M59" s="145">
        <f>SUM(K59:L59)</f>
        <v>192</v>
      </c>
      <c r="N59" s="140" t="s">
        <v>307</v>
      </c>
      <c r="O59" s="140" t="s">
        <v>308</v>
      </c>
      <c r="P59" s="140" t="s">
        <v>309</v>
      </c>
      <c r="Q59" s="140" t="s">
        <v>229</v>
      </c>
      <c r="R59" s="5"/>
      <c r="S59" s="5"/>
      <c r="T59" s="93"/>
    </row>
    <row r="60" spans="1:20" s="80" customFormat="1" ht="87" customHeight="1">
      <c r="A60" s="80" t="str">
        <f>_xlfn.XLOOKUP(B60,'Paso 3 Redacción RA'!I$3:I$18,'Paso 3 Redacción RA'!C$3:C$18,,0,1)</f>
        <v>SaberSer</v>
      </c>
      <c r="B60" s="65" t="s">
        <v>106</v>
      </c>
      <c r="C60" s="121"/>
      <c r="D60" s="121"/>
      <c r="E60" s="123"/>
      <c r="F60" s="146"/>
      <c r="G60" s="146"/>
      <c r="H60" s="146"/>
      <c r="I60" s="146"/>
      <c r="J60" s="146"/>
      <c r="K60" s="146"/>
      <c r="L60" s="146"/>
      <c r="M60" s="146"/>
      <c r="N60" s="118"/>
      <c r="O60" s="118"/>
      <c r="P60" s="118"/>
      <c r="Q60" s="118"/>
      <c r="R60" s="5"/>
      <c r="S60" s="5"/>
      <c r="T60" s="93"/>
    </row>
    <row r="61" spans="1:20" s="80" customFormat="1" ht="49.5">
      <c r="A61" s="80" t="str">
        <f>_xlfn.XLOOKUP(B61,'Paso 3 Redacción RA'!I$3:I$18,'Paso 3 Redacción RA'!C$3:C$18,,0,1)</f>
        <v>Saber</v>
      </c>
      <c r="B61" s="65" t="s">
        <v>107</v>
      </c>
      <c r="C61" s="121"/>
      <c r="D61" s="121"/>
      <c r="E61" s="123"/>
      <c r="F61" s="146"/>
      <c r="G61" s="146"/>
      <c r="H61" s="146"/>
      <c r="I61" s="146"/>
      <c r="J61" s="146"/>
      <c r="K61" s="146"/>
      <c r="L61" s="146"/>
      <c r="M61" s="146"/>
      <c r="N61" s="118"/>
      <c r="O61" s="118"/>
      <c r="P61" s="118"/>
      <c r="Q61" s="118"/>
      <c r="R61" s="5"/>
      <c r="S61" s="5"/>
      <c r="T61" s="93"/>
    </row>
    <row r="62" spans="1:20" s="80" customFormat="1" ht="49.5">
      <c r="A62" s="80" t="str">
        <f>_xlfn.XLOOKUP(B62,'Paso 3 Redacción RA'!I$3:I$18,'Paso 3 Redacción RA'!C$3:C$18,,0,1)</f>
        <v>SaberHacer</v>
      </c>
      <c r="B62" s="65" t="s">
        <v>109</v>
      </c>
      <c r="C62" s="121"/>
      <c r="D62" s="121"/>
      <c r="E62" s="123"/>
      <c r="F62" s="146"/>
      <c r="G62" s="146"/>
      <c r="H62" s="146"/>
      <c r="I62" s="146"/>
      <c r="J62" s="146"/>
      <c r="K62" s="146"/>
      <c r="L62" s="146"/>
      <c r="M62" s="146"/>
      <c r="N62" s="118"/>
      <c r="O62" s="118"/>
      <c r="P62" s="118"/>
      <c r="Q62" s="118"/>
      <c r="R62" s="5"/>
      <c r="S62" s="5"/>
      <c r="T62" s="93"/>
    </row>
    <row r="63" spans="1:20" s="80" customFormat="1" ht="49.5">
      <c r="A63" s="81" t="str">
        <f>_xlfn.XLOOKUP(B63,'Paso 3 Redacción RA'!I$3:I$18,'Paso 3 Redacción RA'!C$3:C$18,,0,1)</f>
        <v>SaberHacer</v>
      </c>
      <c r="B63" s="78" t="s">
        <v>114</v>
      </c>
      <c r="C63" s="132"/>
      <c r="D63" s="132"/>
      <c r="E63" s="130"/>
      <c r="F63" s="147"/>
      <c r="G63" s="147"/>
      <c r="H63" s="147"/>
      <c r="I63" s="147"/>
      <c r="J63" s="147"/>
      <c r="K63" s="147"/>
      <c r="L63" s="147"/>
      <c r="M63" s="147"/>
      <c r="N63" s="118"/>
      <c r="O63" s="118"/>
      <c r="P63" s="118"/>
      <c r="Q63" s="141"/>
      <c r="R63" s="5"/>
      <c r="S63" s="5"/>
      <c r="T63" s="93"/>
    </row>
    <row r="64" spans="1:20" s="80" customFormat="1" ht="49.5">
      <c r="A64" s="92" t="str">
        <f>_xlfn.XLOOKUP(B64,'Paso 3 Redacción RA'!I$3:I$18,'Paso 3 Redacción RA'!C$3:C$18,,0,1)</f>
        <v>SaberHacer</v>
      </c>
      <c r="B64" s="82" t="s">
        <v>102</v>
      </c>
      <c r="C64" s="131">
        <v>4</v>
      </c>
      <c r="D64" s="131" t="s">
        <v>310</v>
      </c>
      <c r="E64" s="129" t="s">
        <v>311</v>
      </c>
      <c r="F64" s="145" t="s">
        <v>218</v>
      </c>
      <c r="G64" s="145"/>
      <c r="H64" s="145" t="s">
        <v>219</v>
      </c>
      <c r="I64" s="145"/>
      <c r="J64" s="145">
        <v>3</v>
      </c>
      <c r="K64" s="145">
        <f>16*J64</f>
        <v>48</v>
      </c>
      <c r="L64" s="145">
        <f>32*J64</f>
        <v>96</v>
      </c>
      <c r="M64" s="145">
        <f>SUM(K64:L64)</f>
        <v>144</v>
      </c>
      <c r="N64" s="140" t="s">
        <v>312</v>
      </c>
      <c r="O64" s="140" t="s">
        <v>313</v>
      </c>
      <c r="P64" s="140" t="s">
        <v>291</v>
      </c>
      <c r="Q64" s="140" t="s">
        <v>229</v>
      </c>
      <c r="R64" s="5"/>
      <c r="S64" s="5"/>
      <c r="T64" s="93"/>
    </row>
    <row r="65" spans="1:20" s="80" customFormat="1" ht="49.5">
      <c r="A65" s="80" t="str">
        <f>_xlfn.XLOOKUP(B65,'Paso 3 Redacción RA'!I$3:I$18,'Paso 3 Redacción RA'!C$3:C$18,,0,1)</f>
        <v>Saber</v>
      </c>
      <c r="B65" s="65" t="s">
        <v>115</v>
      </c>
      <c r="C65" s="121"/>
      <c r="D65" s="121"/>
      <c r="E65" s="123"/>
      <c r="F65" s="146"/>
      <c r="G65" s="146"/>
      <c r="H65" s="146"/>
      <c r="I65" s="146"/>
      <c r="J65" s="146"/>
      <c r="K65" s="146"/>
      <c r="L65" s="146"/>
      <c r="M65" s="146"/>
      <c r="N65" s="118"/>
      <c r="O65" s="118"/>
      <c r="P65" s="118"/>
      <c r="Q65" s="118"/>
      <c r="R65" s="5"/>
      <c r="S65" s="5"/>
      <c r="T65" s="93"/>
    </row>
    <row r="66" spans="1:20" s="80" customFormat="1" ht="49.5">
      <c r="A66" s="80" t="str">
        <f>_xlfn.XLOOKUP(B66,'Paso 3 Redacción RA'!I$3:I$18,'Paso 3 Redacción RA'!C$3:C$18,,0,1)</f>
        <v>Saber</v>
      </c>
      <c r="B66" s="65" t="s">
        <v>112</v>
      </c>
      <c r="C66" s="121"/>
      <c r="D66" s="121"/>
      <c r="E66" s="123"/>
      <c r="F66" s="146"/>
      <c r="G66" s="146"/>
      <c r="H66" s="146"/>
      <c r="I66" s="146"/>
      <c r="J66" s="146"/>
      <c r="K66" s="146"/>
      <c r="L66" s="146"/>
      <c r="M66" s="146"/>
      <c r="N66" s="118"/>
      <c r="O66" s="118"/>
      <c r="P66" s="118"/>
      <c r="Q66" s="118"/>
      <c r="R66" s="5"/>
      <c r="S66" s="5"/>
      <c r="T66" s="93"/>
    </row>
    <row r="67" spans="1:20" s="80" customFormat="1" ht="49.5">
      <c r="A67" s="81" t="str">
        <f>_xlfn.XLOOKUP(B67,'Paso 3 Redacción RA'!I$3:I$18,'Paso 3 Redacción RA'!C$3:C$18,,0,1)</f>
        <v>SaberHacer</v>
      </c>
      <c r="B67" s="78" t="s">
        <v>114</v>
      </c>
      <c r="C67" s="132"/>
      <c r="D67" s="132"/>
      <c r="E67" s="130"/>
      <c r="F67" s="147"/>
      <c r="G67" s="147"/>
      <c r="H67" s="147"/>
      <c r="I67" s="147"/>
      <c r="J67" s="147"/>
      <c r="K67" s="147"/>
      <c r="L67" s="147"/>
      <c r="M67" s="147"/>
      <c r="N67" s="141"/>
      <c r="O67" s="141"/>
      <c r="P67" s="141"/>
      <c r="Q67" s="141"/>
      <c r="R67" s="5"/>
      <c r="S67" s="5"/>
      <c r="T67" s="93"/>
    </row>
    <row r="68" spans="1:20" s="80" customFormat="1" ht="64.5" customHeight="1">
      <c r="A68" s="92" t="str">
        <f>_xlfn.XLOOKUP(B68,'Paso 3 Redacción RA'!I$3:I$18,'Paso 3 Redacción RA'!C$3:C$18,,0,1)</f>
        <v>Saber</v>
      </c>
      <c r="B68" s="58" t="s">
        <v>98</v>
      </c>
      <c r="C68" s="131">
        <v>4</v>
      </c>
      <c r="D68" s="131" t="s">
        <v>314</v>
      </c>
      <c r="E68" s="129" t="s">
        <v>315</v>
      </c>
      <c r="F68" s="145" t="s">
        <v>218</v>
      </c>
      <c r="G68" s="145"/>
      <c r="H68" s="145" t="s">
        <v>219</v>
      </c>
      <c r="I68" s="145"/>
      <c r="J68" s="145">
        <v>4</v>
      </c>
      <c r="K68" s="145">
        <f>16*J68</f>
        <v>64</v>
      </c>
      <c r="L68" s="145">
        <f>32*J68</f>
        <v>128</v>
      </c>
      <c r="M68" s="145">
        <f>SUM(K68:L68)</f>
        <v>192</v>
      </c>
      <c r="N68" s="140" t="s">
        <v>316</v>
      </c>
      <c r="O68" s="140" t="s">
        <v>317</v>
      </c>
      <c r="P68" s="140" t="s">
        <v>222</v>
      </c>
      <c r="Q68" s="140" t="s">
        <v>229</v>
      </c>
      <c r="R68" s="5"/>
      <c r="S68" s="5"/>
      <c r="T68" s="93"/>
    </row>
    <row r="69" spans="1:20" s="80" customFormat="1" ht="49.5">
      <c r="A69" s="80" t="str">
        <f>_xlfn.XLOOKUP(B69,'Paso 3 Redacción RA'!I$3:I$18,'Paso 3 Redacción RA'!C$3:C$18,,0,1)</f>
        <v>SaberHacer</v>
      </c>
      <c r="B69" s="58" t="s">
        <v>102</v>
      </c>
      <c r="C69" s="121"/>
      <c r="D69" s="121"/>
      <c r="E69" s="123"/>
      <c r="F69" s="146"/>
      <c r="G69" s="146"/>
      <c r="H69" s="146"/>
      <c r="I69" s="146"/>
      <c r="J69" s="146"/>
      <c r="K69" s="146"/>
      <c r="L69" s="146"/>
      <c r="M69" s="146"/>
      <c r="N69" s="118"/>
      <c r="O69" s="118"/>
      <c r="P69" s="118"/>
      <c r="Q69" s="118"/>
      <c r="R69" s="5"/>
      <c r="S69" s="5"/>
      <c r="T69" s="93"/>
    </row>
    <row r="70" spans="1:20" s="80" customFormat="1" ht="49.5">
      <c r="A70" s="80" t="str">
        <f>_xlfn.XLOOKUP(B70,'Paso 3 Redacción RA'!I$3:I$18,'Paso 3 Redacción RA'!C$3:C$18,,0,1)</f>
        <v>SaberHacer</v>
      </c>
      <c r="B70" s="58" t="s">
        <v>109</v>
      </c>
      <c r="C70" s="121"/>
      <c r="D70" s="121"/>
      <c r="E70" s="123"/>
      <c r="F70" s="146"/>
      <c r="G70" s="146"/>
      <c r="H70" s="146"/>
      <c r="I70" s="146"/>
      <c r="J70" s="146"/>
      <c r="K70" s="146"/>
      <c r="L70" s="146"/>
      <c r="M70" s="146"/>
      <c r="N70" s="118"/>
      <c r="O70" s="118"/>
      <c r="P70" s="118"/>
      <c r="Q70" s="118"/>
      <c r="R70" s="5"/>
      <c r="S70" s="5"/>
      <c r="T70" s="93"/>
    </row>
    <row r="71" spans="1:20" s="80" customFormat="1" ht="49.5">
      <c r="A71" s="81" t="str">
        <f>_xlfn.XLOOKUP(B71,'Paso 3 Redacción RA'!I$3:I$18,'Paso 3 Redacción RA'!C$3:C$18,,0,1)</f>
        <v>Saber</v>
      </c>
      <c r="B71" s="77" t="s">
        <v>112</v>
      </c>
      <c r="C71" s="132"/>
      <c r="D71" s="132"/>
      <c r="E71" s="123"/>
      <c r="F71" s="147"/>
      <c r="G71" s="147"/>
      <c r="H71" s="147"/>
      <c r="I71" s="147"/>
      <c r="J71" s="147"/>
      <c r="K71" s="147"/>
      <c r="L71" s="147"/>
      <c r="M71" s="147"/>
      <c r="N71" s="141"/>
      <c r="O71" s="141"/>
      <c r="P71" s="141"/>
      <c r="Q71" s="141"/>
      <c r="R71" s="5">
        <f>SUM(J54:J68)</f>
        <v>18</v>
      </c>
      <c r="S71" s="5">
        <f>COUNTA(D54:D71)</f>
        <v>5</v>
      </c>
      <c r="T71" s="93"/>
    </row>
    <row r="72" spans="1:20" s="80" customFormat="1" ht="49.5">
      <c r="A72" s="92" t="str">
        <f>_xlfn.XLOOKUP(B72,'Paso 3 Redacción RA'!I$3:I$18,'Paso 3 Redacción RA'!C$3:C$18,,0,1)</f>
        <v>Saber</v>
      </c>
      <c r="B72" s="82" t="s">
        <v>98</v>
      </c>
      <c r="C72" s="131">
        <v>5</v>
      </c>
      <c r="D72" s="131" t="s">
        <v>318</v>
      </c>
      <c r="E72" s="129" t="s">
        <v>319</v>
      </c>
      <c r="F72" s="145" t="s">
        <v>218</v>
      </c>
      <c r="G72" s="145"/>
      <c r="H72" s="145" t="s">
        <v>219</v>
      </c>
      <c r="I72" s="145"/>
      <c r="J72" s="145">
        <v>3</v>
      </c>
      <c r="K72" s="145">
        <f>16*J72</f>
        <v>48</v>
      </c>
      <c r="L72" s="145">
        <f>32*J72</f>
        <v>96</v>
      </c>
      <c r="M72" s="145">
        <f>SUM(K72:L76)</f>
        <v>144</v>
      </c>
      <c r="N72" s="140" t="s">
        <v>320</v>
      </c>
      <c r="O72" s="140" t="s">
        <v>273</v>
      </c>
      <c r="P72" s="140" t="s">
        <v>274</v>
      </c>
      <c r="Q72" s="140" t="s">
        <v>229</v>
      </c>
      <c r="R72" s="5"/>
      <c r="S72" s="5"/>
      <c r="T72" s="93"/>
    </row>
    <row r="73" spans="1:20" s="80" customFormat="1" ht="49.5">
      <c r="A73" s="80" t="str">
        <f>_xlfn.XLOOKUP(B73,'Paso 3 Redacción RA'!I$3:I$18,'Paso 3 Redacción RA'!C$3:C$18,,0,1)</f>
        <v>SaberHacer</v>
      </c>
      <c r="B73" s="65" t="s">
        <v>102</v>
      </c>
      <c r="C73" s="121"/>
      <c r="D73" s="121"/>
      <c r="E73" s="123"/>
      <c r="F73" s="146"/>
      <c r="G73" s="146"/>
      <c r="H73" s="146"/>
      <c r="I73" s="146"/>
      <c r="J73" s="146"/>
      <c r="K73" s="146"/>
      <c r="L73" s="146"/>
      <c r="M73" s="146"/>
      <c r="N73" s="118"/>
      <c r="O73" s="118"/>
      <c r="P73" s="118"/>
      <c r="Q73" s="118"/>
      <c r="R73" s="5"/>
      <c r="S73" s="5"/>
      <c r="T73" s="93"/>
    </row>
    <row r="74" spans="1:20" s="80" customFormat="1" ht="49.5">
      <c r="A74" s="80" t="str">
        <f>_xlfn.XLOOKUP(B74,'Paso 3 Redacción RA'!I$3:I$18,'Paso 3 Redacción RA'!C$3:C$18,,0,1)</f>
        <v>Saber</v>
      </c>
      <c r="B74" s="65" t="s">
        <v>115</v>
      </c>
      <c r="C74" s="121"/>
      <c r="D74" s="121"/>
      <c r="E74" s="123"/>
      <c r="F74" s="146"/>
      <c r="G74" s="146"/>
      <c r="H74" s="146"/>
      <c r="I74" s="146"/>
      <c r="J74" s="146"/>
      <c r="K74" s="146"/>
      <c r="L74" s="146"/>
      <c r="M74" s="146"/>
      <c r="N74" s="118"/>
      <c r="O74" s="118"/>
      <c r="P74" s="118"/>
      <c r="Q74" s="118"/>
      <c r="R74" s="5"/>
      <c r="S74" s="5"/>
      <c r="T74" s="93"/>
    </row>
    <row r="75" spans="1:20" s="80" customFormat="1" ht="49.5">
      <c r="A75" s="80" t="str">
        <f>_xlfn.XLOOKUP(B75,'Paso 3 Redacción RA'!I$3:I$18,'Paso 3 Redacción RA'!C$3:C$18,,0,1)</f>
        <v>Saber</v>
      </c>
      <c r="B75" s="65" t="s">
        <v>112</v>
      </c>
      <c r="C75" s="121"/>
      <c r="D75" s="121"/>
      <c r="E75" s="123"/>
      <c r="F75" s="146"/>
      <c r="G75" s="146"/>
      <c r="H75" s="146"/>
      <c r="I75" s="146"/>
      <c r="J75" s="146"/>
      <c r="K75" s="146"/>
      <c r="L75" s="146"/>
      <c r="M75" s="146"/>
      <c r="N75" s="118"/>
      <c r="O75" s="118"/>
      <c r="P75" s="118"/>
      <c r="Q75" s="118"/>
      <c r="R75" s="5"/>
      <c r="S75" s="5"/>
      <c r="T75" s="93"/>
    </row>
    <row r="76" spans="1:20" s="80" customFormat="1" ht="49.5">
      <c r="A76" s="81" t="str">
        <f>_xlfn.XLOOKUP(B76,'Paso 3 Redacción RA'!I$3:I$18,'Paso 3 Redacción RA'!C$3:C$18,,0,1)</f>
        <v>SaberHacer</v>
      </c>
      <c r="B76" s="78" t="s">
        <v>114</v>
      </c>
      <c r="C76" s="132"/>
      <c r="D76" s="132"/>
      <c r="E76" s="130"/>
      <c r="F76" s="146"/>
      <c r="G76" s="146"/>
      <c r="H76" s="146"/>
      <c r="I76" s="146"/>
      <c r="J76" s="146"/>
      <c r="K76" s="146"/>
      <c r="L76" s="146"/>
      <c r="M76" s="146"/>
      <c r="N76" s="118"/>
      <c r="O76" s="118"/>
      <c r="P76" s="118"/>
      <c r="Q76" s="118"/>
      <c r="S76" s="5"/>
      <c r="T76" s="93"/>
    </row>
    <row r="77" spans="1:20" s="80" customFormat="1" ht="66">
      <c r="A77" s="92" t="str">
        <f>_xlfn.XLOOKUP(B77,'Paso 3 Redacción RA'!I$3:I$18,'Paso 3 Redacción RA'!C$3:C$18,,0,1)</f>
        <v>SaberSer</v>
      </c>
      <c r="B77" s="82" t="s">
        <v>106</v>
      </c>
      <c r="C77" s="131">
        <v>5</v>
      </c>
      <c r="D77" s="131" t="s">
        <v>321</v>
      </c>
      <c r="E77" s="129" t="s">
        <v>322</v>
      </c>
      <c r="F77" s="145" t="s">
        <v>218</v>
      </c>
      <c r="G77" s="145"/>
      <c r="H77" s="145" t="s">
        <v>219</v>
      </c>
      <c r="I77" s="145"/>
      <c r="J77" s="145">
        <v>4</v>
      </c>
      <c r="K77" s="145">
        <f>16*J77</f>
        <v>64</v>
      </c>
      <c r="L77" s="145">
        <f>32*J77</f>
        <v>128</v>
      </c>
      <c r="M77" s="145">
        <f>SUM(K77:L77)</f>
        <v>192</v>
      </c>
      <c r="N77" s="140" t="s">
        <v>323</v>
      </c>
      <c r="O77" s="140" t="s">
        <v>273</v>
      </c>
      <c r="P77" s="140" t="s">
        <v>274</v>
      </c>
      <c r="Q77" s="140" t="s">
        <v>229</v>
      </c>
      <c r="R77" s="5"/>
      <c r="S77" s="5"/>
      <c r="T77" s="93"/>
    </row>
    <row r="78" spans="1:20" s="80" customFormat="1" ht="49.5">
      <c r="A78" s="80" t="str">
        <f>_xlfn.XLOOKUP(B78,'Paso 3 Redacción RA'!I$3:I$18,'Paso 3 Redacción RA'!C$3:C$18,,0,1)</f>
        <v>Saber</v>
      </c>
      <c r="B78" s="65" t="s">
        <v>115</v>
      </c>
      <c r="C78" s="121"/>
      <c r="D78" s="121"/>
      <c r="E78" s="123"/>
      <c r="F78" s="146"/>
      <c r="G78" s="146"/>
      <c r="H78" s="146"/>
      <c r="I78" s="146"/>
      <c r="J78" s="146"/>
      <c r="K78" s="146"/>
      <c r="L78" s="146"/>
      <c r="M78" s="146"/>
      <c r="N78" s="118"/>
      <c r="O78" s="118"/>
      <c r="P78" s="118"/>
      <c r="Q78" s="118"/>
      <c r="R78" s="5"/>
      <c r="S78" s="5"/>
      <c r="T78" s="93"/>
    </row>
    <row r="79" spans="1:20" s="80" customFormat="1" ht="49.5">
      <c r="A79" s="80" t="str">
        <f>_xlfn.XLOOKUP(B79,'Paso 3 Redacción RA'!I$3:I$18,'Paso 3 Redacción RA'!C$3:C$18,,0,1)</f>
        <v>SaberHacer</v>
      </c>
      <c r="B79" s="65" t="s">
        <v>109</v>
      </c>
      <c r="C79" s="121"/>
      <c r="D79" s="121"/>
      <c r="E79" s="123"/>
      <c r="F79" s="146"/>
      <c r="G79" s="146"/>
      <c r="H79" s="146"/>
      <c r="I79" s="146"/>
      <c r="J79" s="146"/>
      <c r="K79" s="146"/>
      <c r="L79" s="146"/>
      <c r="M79" s="146"/>
      <c r="N79" s="118"/>
      <c r="O79" s="118"/>
      <c r="P79" s="118"/>
      <c r="Q79" s="118"/>
      <c r="R79" s="5"/>
      <c r="S79" s="5"/>
      <c r="T79" s="93"/>
    </row>
    <row r="80" spans="1:20" s="80" customFormat="1" ht="49.5">
      <c r="A80" s="81" t="str">
        <f>_xlfn.XLOOKUP(B80,'Paso 3 Redacción RA'!I$3:I$18,'Paso 3 Redacción RA'!C$3:C$18,,0,1)</f>
        <v>SaberHacer</v>
      </c>
      <c r="B80" s="78" t="s">
        <v>114</v>
      </c>
      <c r="C80" s="132"/>
      <c r="D80" s="132"/>
      <c r="E80" s="130"/>
      <c r="F80" s="147"/>
      <c r="G80" s="147"/>
      <c r="H80" s="147"/>
      <c r="I80" s="147"/>
      <c r="J80" s="147"/>
      <c r="K80" s="147"/>
      <c r="L80" s="147"/>
      <c r="M80" s="147"/>
      <c r="N80" s="141"/>
      <c r="O80" s="141"/>
      <c r="P80" s="141"/>
      <c r="Q80" s="141"/>
      <c r="R80" s="5"/>
      <c r="S80" s="5"/>
      <c r="T80" s="93"/>
    </row>
    <row r="81" spans="1:20" s="80" customFormat="1" ht="51.75" customHeight="1">
      <c r="A81" s="92" t="str">
        <f>_xlfn.XLOOKUP(B81,'Paso 3 Redacción RA'!I$3:I$18,'Paso 3 Redacción RA'!C$3:C$18,,0,1)</f>
        <v>Saber</v>
      </c>
      <c r="B81" s="82" t="s">
        <v>98</v>
      </c>
      <c r="C81" s="131">
        <v>5</v>
      </c>
      <c r="D81" s="131" t="s">
        <v>324</v>
      </c>
      <c r="E81" s="129" t="s">
        <v>325</v>
      </c>
      <c r="F81" s="145" t="s">
        <v>218</v>
      </c>
      <c r="G81" s="145"/>
      <c r="H81" s="145" t="s">
        <v>219</v>
      </c>
      <c r="I81" s="145"/>
      <c r="J81" s="145">
        <v>4</v>
      </c>
      <c r="K81" s="145">
        <f>16*J81</f>
        <v>64</v>
      </c>
      <c r="L81" s="145">
        <f>32*J81</f>
        <v>128</v>
      </c>
      <c r="M81" s="145">
        <f>SUM(K81:L81)</f>
        <v>192</v>
      </c>
      <c r="N81" s="140" t="s">
        <v>326</v>
      </c>
      <c r="O81" s="140" t="s">
        <v>317</v>
      </c>
      <c r="P81" s="140" t="s">
        <v>327</v>
      </c>
      <c r="Q81" s="140" t="s">
        <v>229</v>
      </c>
      <c r="R81" s="5"/>
      <c r="S81" s="5"/>
      <c r="T81" s="93"/>
    </row>
    <row r="82" spans="1:20" s="80" customFormat="1" ht="49.5">
      <c r="A82" s="80" t="str">
        <f>_xlfn.XLOOKUP(B82,'Paso 3 Redacción RA'!I$3:I$18,'Paso 3 Redacción RA'!C$3:C$18,,0,1)</f>
        <v>SaberHacer</v>
      </c>
      <c r="B82" s="65" t="s">
        <v>102</v>
      </c>
      <c r="C82" s="121"/>
      <c r="D82" s="121"/>
      <c r="E82" s="123"/>
      <c r="F82" s="146"/>
      <c r="G82" s="146"/>
      <c r="H82" s="146"/>
      <c r="I82" s="146"/>
      <c r="J82" s="146"/>
      <c r="K82" s="146"/>
      <c r="L82" s="146"/>
      <c r="M82" s="146"/>
      <c r="N82" s="118"/>
      <c r="O82" s="118"/>
      <c r="P82" s="118"/>
      <c r="Q82" s="118"/>
      <c r="R82" s="5"/>
      <c r="S82" s="5"/>
      <c r="T82" s="93"/>
    </row>
    <row r="83" spans="1:20" s="80" customFormat="1" ht="49.5">
      <c r="A83" s="80" t="str">
        <f>_xlfn.XLOOKUP(B83,'Paso 3 Redacción RA'!I$3:I$18,'Paso 3 Redacción RA'!C$3:C$18,,0,1)</f>
        <v>SaberHacer</v>
      </c>
      <c r="B83" s="65" t="s">
        <v>109</v>
      </c>
      <c r="C83" s="121"/>
      <c r="D83" s="121"/>
      <c r="E83" s="123"/>
      <c r="F83" s="146"/>
      <c r="G83" s="146"/>
      <c r="H83" s="146"/>
      <c r="I83" s="146"/>
      <c r="J83" s="146"/>
      <c r="K83" s="146"/>
      <c r="L83" s="146"/>
      <c r="M83" s="146"/>
      <c r="N83" s="118"/>
      <c r="O83" s="118"/>
      <c r="P83" s="118"/>
      <c r="Q83" s="118"/>
      <c r="R83" s="5"/>
      <c r="S83" s="5"/>
      <c r="T83" s="93"/>
    </row>
    <row r="84" spans="1:20" s="80" customFormat="1" ht="49.5">
      <c r="A84" s="81" t="str">
        <f>_xlfn.XLOOKUP(B84,'Paso 3 Redacción RA'!I$3:I$18,'Paso 3 Redacción RA'!C$3:C$18,,0,1)</f>
        <v>Saber</v>
      </c>
      <c r="B84" s="78" t="s">
        <v>112</v>
      </c>
      <c r="C84" s="132"/>
      <c r="D84" s="132"/>
      <c r="E84" s="130"/>
      <c r="F84" s="147"/>
      <c r="G84" s="147"/>
      <c r="H84" s="147"/>
      <c r="I84" s="147"/>
      <c r="J84" s="147"/>
      <c r="K84" s="147"/>
      <c r="L84" s="147"/>
      <c r="M84" s="147"/>
      <c r="N84" s="141"/>
      <c r="O84" s="141"/>
      <c r="P84" s="141"/>
      <c r="Q84" s="141"/>
      <c r="R84" s="5"/>
      <c r="S84" s="5"/>
      <c r="T84" s="93"/>
    </row>
    <row r="85" spans="1:20" s="80" customFormat="1" ht="69" customHeight="1">
      <c r="A85" s="92" t="str">
        <f>_xlfn.XLOOKUP(B85,'Paso 3 Redacción RA'!I$3:I$18,'Paso 3 Redacción RA'!C$3:C$18,,0,1)</f>
        <v>SaberSer</v>
      </c>
      <c r="B85" s="82" t="s">
        <v>106</v>
      </c>
      <c r="C85" s="131">
        <v>5</v>
      </c>
      <c r="D85" s="131" t="s">
        <v>328</v>
      </c>
      <c r="E85" s="129" t="s">
        <v>329</v>
      </c>
      <c r="F85" s="145" t="s">
        <v>218</v>
      </c>
      <c r="G85" s="145"/>
      <c r="H85" s="145" t="s">
        <v>219</v>
      </c>
      <c r="I85" s="145"/>
      <c r="J85" s="145">
        <v>4</v>
      </c>
      <c r="K85" s="145">
        <f>16*J85</f>
        <v>64</v>
      </c>
      <c r="L85" s="145">
        <f>32*J85</f>
        <v>128</v>
      </c>
      <c r="M85" s="145">
        <f>SUM(K85:L85)</f>
        <v>192</v>
      </c>
      <c r="N85" s="140" t="s">
        <v>330</v>
      </c>
      <c r="O85" s="140" t="s">
        <v>273</v>
      </c>
      <c r="P85" s="140" t="s">
        <v>274</v>
      </c>
      <c r="Q85" s="140" t="s">
        <v>229</v>
      </c>
      <c r="R85" s="5"/>
      <c r="S85" s="5"/>
      <c r="T85" s="93"/>
    </row>
    <row r="86" spans="1:20" s="80" customFormat="1" ht="49.5">
      <c r="A86" s="80" t="str">
        <f>_xlfn.XLOOKUP(B86,'Paso 3 Redacción RA'!I$3:I$18,'Paso 3 Redacción RA'!C$3:C$18,,0,1)</f>
        <v>Saber</v>
      </c>
      <c r="B86" s="65" t="s">
        <v>107</v>
      </c>
      <c r="C86" s="121"/>
      <c r="D86" s="121"/>
      <c r="E86" s="123"/>
      <c r="F86" s="146"/>
      <c r="G86" s="146"/>
      <c r="H86" s="146"/>
      <c r="I86" s="146"/>
      <c r="J86" s="146"/>
      <c r="K86" s="146"/>
      <c r="L86" s="146"/>
      <c r="M86" s="146"/>
      <c r="N86" s="118"/>
      <c r="O86" s="118"/>
      <c r="P86" s="118"/>
      <c r="Q86" s="118"/>
      <c r="R86" s="5"/>
      <c r="S86" s="5"/>
      <c r="T86" s="93"/>
    </row>
    <row r="87" spans="1:20" s="80" customFormat="1" ht="49.5">
      <c r="A87" s="80" t="str">
        <f>_xlfn.XLOOKUP(B87,'Paso 3 Redacción RA'!I$3:I$18,'Paso 3 Redacción RA'!C$3:C$18,,0,1)</f>
        <v>SaberHacer</v>
      </c>
      <c r="B87" s="65" t="s">
        <v>109</v>
      </c>
      <c r="C87" s="121"/>
      <c r="D87" s="121"/>
      <c r="E87" s="123"/>
      <c r="F87" s="146"/>
      <c r="G87" s="146"/>
      <c r="H87" s="146"/>
      <c r="I87" s="146"/>
      <c r="J87" s="146"/>
      <c r="K87" s="146"/>
      <c r="L87" s="146"/>
      <c r="M87" s="146"/>
      <c r="N87" s="118"/>
      <c r="O87" s="118"/>
      <c r="P87" s="118"/>
      <c r="Q87" s="118"/>
      <c r="R87" s="5"/>
      <c r="S87" s="5"/>
      <c r="T87" s="93"/>
    </row>
    <row r="88" spans="1:20" s="80" customFormat="1" ht="49.5">
      <c r="A88" s="80" t="str">
        <f>_xlfn.XLOOKUP(B88,'Paso 3 Redacción RA'!I$3:I$18,'Paso 3 Redacción RA'!C$3:C$18,,0,1)</f>
        <v>Saber</v>
      </c>
      <c r="B88" s="65" t="s">
        <v>112</v>
      </c>
      <c r="C88" s="121"/>
      <c r="D88" s="121"/>
      <c r="E88" s="123"/>
      <c r="F88" s="146"/>
      <c r="G88" s="146"/>
      <c r="H88" s="146"/>
      <c r="I88" s="146"/>
      <c r="J88" s="146"/>
      <c r="K88" s="146"/>
      <c r="L88" s="146"/>
      <c r="M88" s="146"/>
      <c r="N88" s="118"/>
      <c r="O88" s="118"/>
      <c r="P88" s="118"/>
      <c r="Q88" s="118"/>
      <c r="R88" s="5"/>
      <c r="S88" s="5"/>
      <c r="T88" s="93"/>
    </row>
    <row r="89" spans="1:20" s="80" customFormat="1" ht="49.5">
      <c r="A89" s="81" t="str">
        <f>_xlfn.XLOOKUP(B89,'Paso 3 Redacción RA'!I$3:I$18,'Paso 3 Redacción RA'!C$3:C$18,,0,1)</f>
        <v>SaberHacer</v>
      </c>
      <c r="B89" s="78" t="s">
        <v>114</v>
      </c>
      <c r="C89" s="132"/>
      <c r="D89" s="132"/>
      <c r="E89" s="130"/>
      <c r="F89" s="147"/>
      <c r="G89" s="147"/>
      <c r="H89" s="147"/>
      <c r="I89" s="147"/>
      <c r="J89" s="147"/>
      <c r="K89" s="147"/>
      <c r="L89" s="147"/>
      <c r="M89" s="147"/>
      <c r="N89" s="141"/>
      <c r="O89" s="141"/>
      <c r="P89" s="141"/>
      <c r="Q89" s="141"/>
      <c r="S89" s="5"/>
      <c r="T89" s="93"/>
    </row>
    <row r="90" spans="1:20" s="80" customFormat="1" ht="49.5">
      <c r="A90" s="92" t="str">
        <f>_xlfn.XLOOKUP(B90,'Paso 3 Redacción RA'!I$3:I$18,'Paso 3 Redacción RA'!C$3:C$18,,0,1)</f>
        <v>Saber</v>
      </c>
      <c r="B90" s="82" t="s">
        <v>98</v>
      </c>
      <c r="C90" s="131">
        <v>5</v>
      </c>
      <c r="D90" s="131" t="s">
        <v>331</v>
      </c>
      <c r="E90" s="129" t="s">
        <v>332</v>
      </c>
      <c r="F90" s="145" t="s">
        <v>218</v>
      </c>
      <c r="G90" s="145"/>
      <c r="H90" s="145" t="s">
        <v>219</v>
      </c>
      <c r="I90" s="145"/>
      <c r="J90" s="145">
        <v>3</v>
      </c>
      <c r="K90" s="145">
        <f>16*J90</f>
        <v>48</v>
      </c>
      <c r="L90" s="145">
        <f>32*J90</f>
        <v>96</v>
      </c>
      <c r="M90" s="145">
        <f>SUM(K90:L90)</f>
        <v>144</v>
      </c>
      <c r="N90" s="140" t="s">
        <v>333</v>
      </c>
      <c r="O90" s="140" t="s">
        <v>273</v>
      </c>
      <c r="P90" s="140" t="s">
        <v>274</v>
      </c>
      <c r="Q90" s="140" t="s">
        <v>229</v>
      </c>
      <c r="R90" s="5"/>
      <c r="S90" s="5"/>
      <c r="T90" s="93"/>
    </row>
    <row r="91" spans="1:20" s="80" customFormat="1" ht="49.5">
      <c r="A91" s="80" t="str">
        <f>_xlfn.XLOOKUP(B91,'Paso 3 Redacción RA'!I$3:I$18,'Paso 3 Redacción RA'!C$3:C$18,,0,1)</f>
        <v>SaberHacer</v>
      </c>
      <c r="B91" s="65" t="s">
        <v>102</v>
      </c>
      <c r="C91" s="121"/>
      <c r="D91" s="121"/>
      <c r="E91" s="123"/>
      <c r="F91" s="146"/>
      <c r="G91" s="146"/>
      <c r="H91" s="146"/>
      <c r="I91" s="146"/>
      <c r="J91" s="146"/>
      <c r="K91" s="146"/>
      <c r="L91" s="146"/>
      <c r="M91" s="146"/>
      <c r="N91" s="118"/>
      <c r="O91" s="118"/>
      <c r="P91" s="118"/>
      <c r="Q91" s="118"/>
      <c r="R91" s="5"/>
      <c r="S91" s="5"/>
      <c r="T91" s="93"/>
    </row>
    <row r="92" spans="1:20" s="80" customFormat="1" ht="49.5">
      <c r="A92" s="80" t="str">
        <f>_xlfn.XLOOKUP(B92,'Paso 3 Redacción RA'!I$3:I$18,'Paso 3 Redacción RA'!C$3:C$18,,0,1)</f>
        <v>Saber</v>
      </c>
      <c r="B92" s="65" t="s">
        <v>107</v>
      </c>
      <c r="C92" s="121"/>
      <c r="D92" s="121"/>
      <c r="E92" s="123"/>
      <c r="F92" s="146"/>
      <c r="G92" s="146"/>
      <c r="H92" s="146"/>
      <c r="I92" s="146"/>
      <c r="J92" s="146"/>
      <c r="K92" s="146"/>
      <c r="L92" s="146"/>
      <c r="M92" s="146"/>
      <c r="N92" s="118"/>
      <c r="O92" s="118"/>
      <c r="P92" s="118"/>
      <c r="Q92" s="118"/>
      <c r="R92" s="5"/>
      <c r="S92" s="5"/>
      <c r="T92" s="93"/>
    </row>
    <row r="93" spans="1:20" s="80" customFormat="1" ht="49.5">
      <c r="A93" s="80" t="str">
        <f>_xlfn.XLOOKUP(B93,'Paso 3 Redacción RA'!I$3:I$18,'Paso 3 Redacción RA'!C$3:C$18,,0,1)</f>
        <v>Saber</v>
      </c>
      <c r="B93" s="65" t="s">
        <v>112</v>
      </c>
      <c r="C93" s="121"/>
      <c r="D93" s="121"/>
      <c r="E93" s="123"/>
      <c r="F93" s="146"/>
      <c r="G93" s="146"/>
      <c r="H93" s="146"/>
      <c r="I93" s="146"/>
      <c r="J93" s="146"/>
      <c r="K93" s="146"/>
      <c r="L93" s="146"/>
      <c r="M93" s="146"/>
      <c r="N93" s="118"/>
      <c r="O93" s="118"/>
      <c r="P93" s="118"/>
      <c r="Q93" s="118"/>
      <c r="R93" s="5"/>
      <c r="S93" s="5"/>
      <c r="T93" s="93"/>
    </row>
    <row r="94" spans="1:20" s="80" customFormat="1" ht="49.5">
      <c r="A94" s="81" t="str">
        <f>_xlfn.XLOOKUP(B94,'Paso 3 Redacción RA'!I$3:I$18,'Paso 3 Redacción RA'!C$3:C$18,,0,1)</f>
        <v>SaberHacer</v>
      </c>
      <c r="B94" s="78" t="s">
        <v>114</v>
      </c>
      <c r="C94" s="132"/>
      <c r="D94" s="132"/>
      <c r="E94" s="130"/>
      <c r="F94" s="147"/>
      <c r="G94" s="147"/>
      <c r="H94" s="147"/>
      <c r="I94" s="147"/>
      <c r="J94" s="147"/>
      <c r="K94" s="147"/>
      <c r="L94" s="147"/>
      <c r="M94" s="147"/>
      <c r="N94" s="141"/>
      <c r="O94" s="141"/>
      <c r="P94" s="141"/>
      <c r="Q94" s="141"/>
      <c r="R94" s="5">
        <f>SUM(J72:J90)</f>
        <v>18</v>
      </c>
      <c r="S94" s="5">
        <f>COUNTA(D72:D94)</f>
        <v>5</v>
      </c>
      <c r="T94" s="93"/>
    </row>
    <row r="95" spans="1:20" s="80" customFormat="1" ht="66">
      <c r="A95" s="92" t="str">
        <f>_xlfn.XLOOKUP(B95,'Paso 3 Redacción RA'!I$3:I$18,'Paso 3 Redacción RA'!C$3:C$18,,0,1)</f>
        <v>SaberSer</v>
      </c>
      <c r="B95" s="82" t="s">
        <v>106</v>
      </c>
      <c r="C95" s="131">
        <v>6</v>
      </c>
      <c r="D95" s="131" t="s">
        <v>334</v>
      </c>
      <c r="E95" s="129" t="s">
        <v>335</v>
      </c>
      <c r="F95" s="145" t="s">
        <v>218</v>
      </c>
      <c r="G95" s="145"/>
      <c r="H95" s="145" t="s">
        <v>219</v>
      </c>
      <c r="I95" s="145"/>
      <c r="J95" s="145">
        <v>3</v>
      </c>
      <c r="K95" s="145">
        <f>16*J95</f>
        <v>48</v>
      </c>
      <c r="L95" s="145">
        <f>32*J95</f>
        <v>96</v>
      </c>
      <c r="M95" s="145">
        <f>SUM(K95:L95)</f>
        <v>144</v>
      </c>
      <c r="N95" s="140" t="s">
        <v>336</v>
      </c>
      <c r="O95" s="140" t="s">
        <v>337</v>
      </c>
      <c r="P95" s="140" t="s">
        <v>338</v>
      </c>
      <c r="Q95" s="140" t="s">
        <v>229</v>
      </c>
      <c r="R95" s="5"/>
      <c r="S95" s="5"/>
      <c r="T95" s="93"/>
    </row>
    <row r="96" spans="1:20" s="80" customFormat="1" ht="49.5">
      <c r="A96" s="80" t="str">
        <f>_xlfn.XLOOKUP(B96,'Paso 3 Redacción RA'!I$3:I$18,'Paso 3 Redacción RA'!C$3:C$18,,0,1)</f>
        <v>Saber</v>
      </c>
      <c r="B96" s="65" t="s">
        <v>115</v>
      </c>
      <c r="C96" s="121"/>
      <c r="D96" s="121"/>
      <c r="E96" s="123"/>
      <c r="F96" s="146"/>
      <c r="G96" s="146"/>
      <c r="H96" s="146"/>
      <c r="I96" s="146"/>
      <c r="J96" s="146"/>
      <c r="K96" s="146"/>
      <c r="L96" s="146"/>
      <c r="M96" s="146"/>
      <c r="N96" s="118"/>
      <c r="O96" s="118"/>
      <c r="P96" s="118"/>
      <c r="Q96" s="118"/>
      <c r="R96" s="5"/>
      <c r="S96" s="5"/>
      <c r="T96" s="93"/>
    </row>
    <row r="97" spans="1:20" s="80" customFormat="1" ht="49.5">
      <c r="A97" s="80" t="str">
        <f>_xlfn.XLOOKUP(B97,'Paso 3 Redacción RA'!I$3:I$18,'Paso 3 Redacción RA'!C$3:C$18,,0,1)</f>
        <v>SaberHacer</v>
      </c>
      <c r="B97" s="65" t="s">
        <v>109</v>
      </c>
      <c r="C97" s="121"/>
      <c r="D97" s="121"/>
      <c r="E97" s="123"/>
      <c r="F97" s="146"/>
      <c r="G97" s="146"/>
      <c r="H97" s="146"/>
      <c r="I97" s="146"/>
      <c r="J97" s="146"/>
      <c r="K97" s="146"/>
      <c r="L97" s="146"/>
      <c r="M97" s="146"/>
      <c r="N97" s="118"/>
      <c r="O97" s="118"/>
      <c r="P97" s="118"/>
      <c r="Q97" s="118"/>
      <c r="R97" s="5"/>
      <c r="S97" s="5"/>
      <c r="T97" s="93"/>
    </row>
    <row r="98" spans="1:20" s="80" customFormat="1" ht="49.5">
      <c r="A98" s="81" t="str">
        <f>_xlfn.XLOOKUP(B98,'Paso 3 Redacción RA'!I$3:I$18,'Paso 3 Redacción RA'!C$3:C$18,,0,1)</f>
        <v>SaberHacer</v>
      </c>
      <c r="B98" s="78" t="s">
        <v>114</v>
      </c>
      <c r="C98" s="132"/>
      <c r="D98" s="132"/>
      <c r="E98" s="130"/>
      <c r="F98" s="147"/>
      <c r="G98" s="147"/>
      <c r="H98" s="147"/>
      <c r="I98" s="147"/>
      <c r="J98" s="147"/>
      <c r="K98" s="147"/>
      <c r="L98" s="147"/>
      <c r="M98" s="147"/>
      <c r="N98" s="141"/>
      <c r="O98" s="141"/>
      <c r="P98" s="141"/>
      <c r="Q98" s="141"/>
      <c r="R98" s="5"/>
      <c r="S98" s="5"/>
      <c r="T98" s="93"/>
    </row>
    <row r="99" spans="1:20" s="80" customFormat="1" ht="49.5">
      <c r="A99" s="92" t="str">
        <f>_xlfn.XLOOKUP(B99,'Paso 3 Redacción RA'!I$3:I$18,'Paso 3 Redacción RA'!C$3:C$18,,0,1)</f>
        <v>SaberHacer</v>
      </c>
      <c r="B99" s="82" t="s">
        <v>102</v>
      </c>
      <c r="C99" s="131">
        <v>6</v>
      </c>
      <c r="D99" s="131" t="s">
        <v>339</v>
      </c>
      <c r="E99" s="129" t="s">
        <v>340</v>
      </c>
      <c r="F99" s="145" t="s">
        <v>218</v>
      </c>
      <c r="G99" s="145"/>
      <c r="H99" s="145" t="s">
        <v>219</v>
      </c>
      <c r="I99" s="145"/>
      <c r="J99" s="145">
        <v>4</v>
      </c>
      <c r="K99" s="145">
        <f>16*J99</f>
        <v>64</v>
      </c>
      <c r="L99" s="145">
        <f>32*J99</f>
        <v>128</v>
      </c>
      <c r="M99" s="145">
        <f>SUM(K99:L99)</f>
        <v>192</v>
      </c>
      <c r="N99" s="140" t="s">
        <v>341</v>
      </c>
      <c r="O99" s="140" t="s">
        <v>273</v>
      </c>
      <c r="P99" s="140" t="s">
        <v>274</v>
      </c>
      <c r="Q99" s="140" t="s">
        <v>229</v>
      </c>
      <c r="R99" s="5"/>
      <c r="S99" s="5"/>
      <c r="T99" s="93"/>
    </row>
    <row r="100" spans="1:20" s="80" customFormat="1" ht="66">
      <c r="A100" s="80" t="str">
        <f>_xlfn.XLOOKUP(B100,'Paso 3 Redacción RA'!I$3:I$18,'Paso 3 Redacción RA'!C$3:C$18,,0,1)</f>
        <v>SaberSer</v>
      </c>
      <c r="B100" s="65" t="s">
        <v>106</v>
      </c>
      <c r="C100" s="121"/>
      <c r="D100" s="121"/>
      <c r="E100" s="123"/>
      <c r="F100" s="146"/>
      <c r="G100" s="146"/>
      <c r="H100" s="146"/>
      <c r="I100" s="146"/>
      <c r="J100" s="146"/>
      <c r="K100" s="146"/>
      <c r="L100" s="146"/>
      <c r="M100" s="146"/>
      <c r="N100" s="118"/>
      <c r="O100" s="118"/>
      <c r="P100" s="118"/>
      <c r="Q100" s="118"/>
      <c r="R100" s="5"/>
      <c r="S100" s="5"/>
      <c r="T100" s="93"/>
    </row>
    <row r="101" spans="1:20" s="80" customFormat="1" ht="49.5">
      <c r="A101" s="80" t="str">
        <f>_xlfn.XLOOKUP(B101,'Paso 3 Redacción RA'!I$3:I$18,'Paso 3 Redacción RA'!C$3:C$18,,0,1)</f>
        <v>Saber</v>
      </c>
      <c r="B101" s="65" t="s">
        <v>115</v>
      </c>
      <c r="C101" s="121"/>
      <c r="D101" s="121"/>
      <c r="E101" s="123"/>
      <c r="F101" s="146"/>
      <c r="G101" s="146"/>
      <c r="H101" s="146"/>
      <c r="I101" s="146"/>
      <c r="J101" s="146"/>
      <c r="K101" s="146"/>
      <c r="L101" s="146"/>
      <c r="M101" s="146"/>
      <c r="N101" s="118"/>
      <c r="O101" s="118"/>
      <c r="P101" s="118"/>
      <c r="Q101" s="118"/>
      <c r="R101" s="5"/>
      <c r="S101" s="5"/>
      <c r="T101" s="93"/>
    </row>
    <row r="102" spans="1:20" s="80" customFormat="1" ht="49.5">
      <c r="A102" s="80" t="str">
        <f>_xlfn.XLOOKUP(B102,'Paso 3 Redacción RA'!I$3:I$18,'Paso 3 Redacción RA'!C$3:C$18,,0,1)</f>
        <v>SaberHacer</v>
      </c>
      <c r="B102" s="65" t="s">
        <v>109</v>
      </c>
      <c r="C102" s="121"/>
      <c r="D102" s="121"/>
      <c r="E102" s="123"/>
      <c r="F102" s="146"/>
      <c r="G102" s="146"/>
      <c r="H102" s="146"/>
      <c r="I102" s="146"/>
      <c r="J102" s="146"/>
      <c r="K102" s="146"/>
      <c r="L102" s="146"/>
      <c r="M102" s="146"/>
      <c r="N102" s="118"/>
      <c r="O102" s="118"/>
      <c r="P102" s="118"/>
      <c r="Q102" s="118"/>
      <c r="R102" s="5"/>
      <c r="S102" s="5"/>
      <c r="T102" s="93"/>
    </row>
    <row r="103" spans="1:20" s="80" customFormat="1" ht="49.5">
      <c r="A103" s="81" t="str">
        <f>_xlfn.XLOOKUP(B103,'Paso 3 Redacción RA'!I$3:I$18,'Paso 3 Redacción RA'!C$3:C$18,,0,1)</f>
        <v>SaberHacer</v>
      </c>
      <c r="B103" s="78" t="s">
        <v>114</v>
      </c>
      <c r="C103" s="132"/>
      <c r="D103" s="132"/>
      <c r="E103" s="130"/>
      <c r="F103" s="147"/>
      <c r="G103" s="147"/>
      <c r="H103" s="147"/>
      <c r="I103" s="147"/>
      <c r="J103" s="147"/>
      <c r="K103" s="147"/>
      <c r="L103" s="147"/>
      <c r="M103" s="147"/>
      <c r="N103" s="141"/>
      <c r="O103" s="141"/>
      <c r="P103" s="141"/>
      <c r="Q103" s="141"/>
      <c r="R103" s="5"/>
      <c r="S103" s="5"/>
      <c r="T103" s="93"/>
    </row>
    <row r="104" spans="1:20" s="80" customFormat="1" ht="66">
      <c r="A104" s="92" t="str">
        <f>_xlfn.XLOOKUP(B104,'Paso 3 Redacción RA'!I$3:I$18,'Paso 3 Redacción RA'!C$3:C$18,,0,1)</f>
        <v>SaberSer</v>
      </c>
      <c r="B104" s="82" t="s">
        <v>106</v>
      </c>
      <c r="C104" s="131">
        <v>6</v>
      </c>
      <c r="D104" s="131" t="s">
        <v>342</v>
      </c>
      <c r="E104" s="129" t="s">
        <v>343</v>
      </c>
      <c r="F104" s="145" t="s">
        <v>218</v>
      </c>
      <c r="G104" s="145"/>
      <c r="H104" s="145" t="s">
        <v>219</v>
      </c>
      <c r="I104" s="145"/>
      <c r="J104" s="145">
        <v>4</v>
      </c>
      <c r="K104" s="145">
        <f>16*J104</f>
        <v>64</v>
      </c>
      <c r="L104" s="145">
        <f>32*J104</f>
        <v>128</v>
      </c>
      <c r="M104" s="145">
        <f>SUM(K104:L104)</f>
        <v>192</v>
      </c>
      <c r="N104" s="140" t="s">
        <v>344</v>
      </c>
      <c r="O104" s="140" t="s">
        <v>273</v>
      </c>
      <c r="P104" s="140" t="s">
        <v>274</v>
      </c>
      <c r="Q104" s="140" t="s">
        <v>229</v>
      </c>
      <c r="R104" s="5"/>
      <c r="S104" s="5"/>
      <c r="T104" s="93"/>
    </row>
    <row r="105" spans="1:20" s="80" customFormat="1" ht="49.5">
      <c r="A105" s="80" t="str">
        <f>_xlfn.XLOOKUP(B105,'Paso 3 Redacción RA'!I$3:I$18,'Paso 3 Redacción RA'!C$3:C$18,,0,1)</f>
        <v>Saber</v>
      </c>
      <c r="B105" s="65" t="s">
        <v>115</v>
      </c>
      <c r="C105" s="121"/>
      <c r="D105" s="121"/>
      <c r="E105" s="123"/>
      <c r="F105" s="146"/>
      <c r="G105" s="146"/>
      <c r="H105" s="146"/>
      <c r="I105" s="146"/>
      <c r="J105" s="146"/>
      <c r="K105" s="146"/>
      <c r="L105" s="146"/>
      <c r="M105" s="146"/>
      <c r="N105" s="118"/>
      <c r="O105" s="118"/>
      <c r="P105" s="118"/>
      <c r="Q105" s="118"/>
      <c r="R105" s="5"/>
      <c r="S105" s="5"/>
      <c r="T105" s="93"/>
    </row>
    <row r="106" spans="1:20" s="80" customFormat="1" ht="49.5">
      <c r="A106" s="80" t="str">
        <f>_xlfn.XLOOKUP(B106,'Paso 3 Redacción RA'!I$3:I$18,'Paso 3 Redacción RA'!C$3:C$18,,0,1)</f>
        <v>SaberHacer</v>
      </c>
      <c r="B106" s="65" t="s">
        <v>109</v>
      </c>
      <c r="C106" s="121"/>
      <c r="D106" s="121"/>
      <c r="E106" s="123"/>
      <c r="F106" s="146"/>
      <c r="G106" s="146"/>
      <c r="H106" s="146"/>
      <c r="I106" s="146"/>
      <c r="J106" s="146"/>
      <c r="K106" s="146"/>
      <c r="L106" s="146"/>
      <c r="M106" s="146"/>
      <c r="N106" s="118"/>
      <c r="O106" s="118"/>
      <c r="P106" s="118"/>
      <c r="Q106" s="118"/>
      <c r="R106" s="5"/>
      <c r="S106" s="5"/>
      <c r="T106" s="93"/>
    </row>
    <row r="107" spans="1:20" s="80" customFormat="1" ht="49.5">
      <c r="A107" s="80" t="str">
        <f>_xlfn.XLOOKUP(B107,'Paso 3 Redacción RA'!I$3:I$18,'Paso 3 Redacción RA'!C$3:C$18,,0,1)</f>
        <v>Saber</v>
      </c>
      <c r="B107" s="65" t="s">
        <v>112</v>
      </c>
      <c r="C107" s="121"/>
      <c r="D107" s="121"/>
      <c r="E107" s="123"/>
      <c r="F107" s="146"/>
      <c r="G107" s="146"/>
      <c r="H107" s="146"/>
      <c r="I107" s="146"/>
      <c r="J107" s="146"/>
      <c r="K107" s="146"/>
      <c r="L107" s="146"/>
      <c r="M107" s="146"/>
      <c r="N107" s="118"/>
      <c r="O107" s="118"/>
      <c r="P107" s="118"/>
      <c r="Q107" s="118"/>
      <c r="R107" s="5"/>
      <c r="S107" s="5"/>
      <c r="T107" s="93"/>
    </row>
    <row r="108" spans="1:20" s="80" customFormat="1" ht="49.5">
      <c r="A108" s="81" t="str">
        <f>_xlfn.XLOOKUP(B108,'Paso 3 Redacción RA'!I$3:I$18,'Paso 3 Redacción RA'!C$3:C$18,,0,1)</f>
        <v>SaberHacer</v>
      </c>
      <c r="B108" s="78" t="s">
        <v>114</v>
      </c>
      <c r="C108" s="132"/>
      <c r="D108" s="132"/>
      <c r="E108" s="130"/>
      <c r="F108" s="147"/>
      <c r="G108" s="147"/>
      <c r="H108" s="147"/>
      <c r="I108" s="147"/>
      <c r="J108" s="147"/>
      <c r="K108" s="147"/>
      <c r="L108" s="147"/>
      <c r="M108" s="147"/>
      <c r="N108" s="141"/>
      <c r="O108" s="141"/>
      <c r="P108" s="141"/>
      <c r="Q108" s="141"/>
      <c r="R108" s="5"/>
      <c r="S108" s="5"/>
      <c r="T108" s="93"/>
    </row>
    <row r="109" spans="1:20" s="80" customFormat="1" ht="66">
      <c r="A109" s="92" t="str">
        <f>_xlfn.XLOOKUP(B109,'Paso 3 Redacción RA'!I$3:I$18,'Paso 3 Redacción RA'!C$3:C$18,,0,1)</f>
        <v>SaberSer</v>
      </c>
      <c r="B109" s="82" t="s">
        <v>106</v>
      </c>
      <c r="C109" s="131">
        <v>6</v>
      </c>
      <c r="D109" s="131" t="s">
        <v>345</v>
      </c>
      <c r="E109" s="129" t="s">
        <v>346</v>
      </c>
      <c r="F109" s="145" t="s">
        <v>218</v>
      </c>
      <c r="G109" s="145"/>
      <c r="H109" s="145" t="s">
        <v>219</v>
      </c>
      <c r="I109" s="145"/>
      <c r="J109" s="145">
        <v>4</v>
      </c>
      <c r="K109" s="145">
        <f>16*J109</f>
        <v>64</v>
      </c>
      <c r="L109" s="145">
        <f>32*J109</f>
        <v>128</v>
      </c>
      <c r="M109" s="145">
        <f>SUM(K109:L109)</f>
        <v>192</v>
      </c>
      <c r="N109" s="140" t="s">
        <v>347</v>
      </c>
      <c r="O109" s="140" t="s">
        <v>273</v>
      </c>
      <c r="P109" s="140" t="s">
        <v>274</v>
      </c>
      <c r="Q109" s="140" t="s">
        <v>229</v>
      </c>
      <c r="R109" s="5"/>
      <c r="S109" s="5"/>
      <c r="T109" s="93"/>
    </row>
    <row r="110" spans="1:20" s="80" customFormat="1" ht="49.5">
      <c r="A110" s="80" t="str">
        <f>_xlfn.XLOOKUP(B110,'Paso 3 Redacción RA'!I$3:I$18,'Paso 3 Redacción RA'!C$3:C$18,,0,1)</f>
        <v>Saber</v>
      </c>
      <c r="B110" s="65" t="s">
        <v>115</v>
      </c>
      <c r="C110" s="121"/>
      <c r="D110" s="121"/>
      <c r="E110" s="123"/>
      <c r="F110" s="146"/>
      <c r="G110" s="146"/>
      <c r="H110" s="146"/>
      <c r="I110" s="146"/>
      <c r="J110" s="146"/>
      <c r="K110" s="146"/>
      <c r="L110" s="146"/>
      <c r="M110" s="146"/>
      <c r="N110" s="118"/>
      <c r="O110" s="118"/>
      <c r="P110" s="118"/>
      <c r="Q110" s="118"/>
      <c r="R110" s="5"/>
      <c r="S110" s="5"/>
      <c r="T110" s="93"/>
    </row>
    <row r="111" spans="1:20" s="80" customFormat="1" ht="49.5">
      <c r="A111" s="80" t="str">
        <f>_xlfn.XLOOKUP(B111,'Paso 3 Redacción RA'!I$3:I$18,'Paso 3 Redacción RA'!C$3:C$18,,0,1)</f>
        <v>SaberHacer</v>
      </c>
      <c r="B111" s="65" t="s">
        <v>109</v>
      </c>
      <c r="C111" s="121"/>
      <c r="D111" s="121"/>
      <c r="E111" s="123"/>
      <c r="F111" s="146"/>
      <c r="G111" s="146"/>
      <c r="H111" s="146"/>
      <c r="I111" s="146"/>
      <c r="J111" s="146"/>
      <c r="K111" s="146"/>
      <c r="L111" s="146"/>
      <c r="M111" s="146"/>
      <c r="N111" s="118"/>
      <c r="O111" s="118"/>
      <c r="P111" s="118"/>
      <c r="Q111" s="118"/>
      <c r="R111" s="5"/>
      <c r="S111" s="5"/>
      <c r="T111" s="93"/>
    </row>
    <row r="112" spans="1:20" s="80" customFormat="1" ht="49.5">
      <c r="A112" s="80" t="str">
        <f>_xlfn.XLOOKUP(B112,'Paso 3 Redacción RA'!I$3:I$18,'Paso 3 Redacción RA'!C$3:C$18,,0,1)</f>
        <v>Saber</v>
      </c>
      <c r="B112" s="65" t="s">
        <v>112</v>
      </c>
      <c r="C112" s="121"/>
      <c r="D112" s="121"/>
      <c r="E112" s="123"/>
      <c r="F112" s="146"/>
      <c r="G112" s="146"/>
      <c r="H112" s="146"/>
      <c r="I112" s="146"/>
      <c r="J112" s="146"/>
      <c r="K112" s="146"/>
      <c r="L112" s="146"/>
      <c r="M112" s="146"/>
      <c r="N112" s="118"/>
      <c r="O112" s="118"/>
      <c r="P112" s="118"/>
      <c r="Q112" s="118"/>
      <c r="R112" s="5"/>
      <c r="S112" s="5"/>
      <c r="T112" s="93"/>
    </row>
    <row r="113" spans="1:20" s="80" customFormat="1" ht="49.5">
      <c r="A113" s="81" t="str">
        <f>_xlfn.XLOOKUP(B113,'Paso 3 Redacción RA'!I$3:I$18,'Paso 3 Redacción RA'!C$3:C$18,,0,1)</f>
        <v>SaberHacer</v>
      </c>
      <c r="B113" s="78" t="s">
        <v>114</v>
      </c>
      <c r="C113" s="132"/>
      <c r="D113" s="132"/>
      <c r="E113" s="130"/>
      <c r="F113" s="147"/>
      <c r="G113" s="147"/>
      <c r="H113" s="147"/>
      <c r="I113" s="147"/>
      <c r="J113" s="147"/>
      <c r="K113" s="147"/>
      <c r="L113" s="147"/>
      <c r="M113" s="147"/>
      <c r="N113" s="141"/>
      <c r="O113" s="141"/>
      <c r="P113" s="141"/>
      <c r="Q113" s="141"/>
      <c r="R113" s="5"/>
      <c r="S113" s="5"/>
      <c r="T113" s="93"/>
    </row>
    <row r="114" spans="1:20" s="80" customFormat="1" ht="66">
      <c r="A114" s="92" t="str">
        <f>_xlfn.XLOOKUP(B114,'Paso 3 Redacción RA'!I$3:I$18,'Paso 3 Redacción RA'!C$3:C$18,,0,1)</f>
        <v>SaberSer</v>
      </c>
      <c r="B114" s="82" t="s">
        <v>106</v>
      </c>
      <c r="C114" s="131">
        <v>6</v>
      </c>
      <c r="D114" s="131" t="s">
        <v>348</v>
      </c>
      <c r="E114" s="129" t="s">
        <v>349</v>
      </c>
      <c r="F114" s="145" t="s">
        <v>218</v>
      </c>
      <c r="G114" s="145"/>
      <c r="H114" s="145" t="s">
        <v>219</v>
      </c>
      <c r="I114" s="145"/>
      <c r="J114" s="145">
        <v>3</v>
      </c>
      <c r="K114" s="145">
        <f>16*J114</f>
        <v>48</v>
      </c>
      <c r="L114" s="145">
        <f>32*J114</f>
        <v>96</v>
      </c>
      <c r="M114" s="145">
        <f>SUM(K114:L114)</f>
        <v>144</v>
      </c>
      <c r="N114" s="140" t="s">
        <v>350</v>
      </c>
      <c r="O114" s="140" t="s">
        <v>273</v>
      </c>
      <c r="P114" s="140" t="s">
        <v>274</v>
      </c>
      <c r="Q114" s="140" t="s">
        <v>229</v>
      </c>
      <c r="R114" s="5"/>
      <c r="S114" s="5"/>
      <c r="T114" s="93"/>
    </row>
    <row r="115" spans="1:20" s="80" customFormat="1" ht="49.5">
      <c r="A115" s="80" t="str">
        <f>_xlfn.XLOOKUP(B115,'Paso 3 Redacción RA'!I$3:I$18,'Paso 3 Redacción RA'!C$3:C$18,,0,1)</f>
        <v>Saber</v>
      </c>
      <c r="B115" s="65" t="s">
        <v>115</v>
      </c>
      <c r="C115" s="121"/>
      <c r="D115" s="121"/>
      <c r="E115" s="123"/>
      <c r="F115" s="146"/>
      <c r="G115" s="146"/>
      <c r="H115" s="146"/>
      <c r="I115" s="146"/>
      <c r="J115" s="146"/>
      <c r="K115" s="146"/>
      <c r="L115" s="146"/>
      <c r="M115" s="146"/>
      <c r="N115" s="118"/>
      <c r="O115" s="118"/>
      <c r="P115" s="118"/>
      <c r="Q115" s="118"/>
      <c r="R115" s="5"/>
      <c r="S115" s="5"/>
      <c r="T115" s="93"/>
    </row>
    <row r="116" spans="1:20" s="80" customFormat="1" ht="49.5">
      <c r="A116" s="80" t="str">
        <f>_xlfn.XLOOKUP(B116,'Paso 3 Redacción RA'!I$3:I$18,'Paso 3 Redacción RA'!C$3:C$18,,0,1)</f>
        <v>Saber</v>
      </c>
      <c r="B116" s="65" t="s">
        <v>112</v>
      </c>
      <c r="C116" s="121"/>
      <c r="D116" s="121"/>
      <c r="E116" s="123"/>
      <c r="F116" s="146"/>
      <c r="G116" s="146"/>
      <c r="H116" s="146"/>
      <c r="I116" s="146"/>
      <c r="J116" s="146"/>
      <c r="K116" s="146"/>
      <c r="L116" s="146"/>
      <c r="M116" s="146"/>
      <c r="N116" s="118"/>
      <c r="O116" s="118"/>
      <c r="P116" s="118"/>
      <c r="Q116" s="118"/>
      <c r="R116" s="5"/>
      <c r="S116" s="5"/>
      <c r="T116" s="93"/>
    </row>
    <row r="117" spans="1:20" s="80" customFormat="1" ht="49.5">
      <c r="A117" s="81" t="str">
        <f>_xlfn.XLOOKUP(B117,'Paso 3 Redacción RA'!I$3:I$18,'Paso 3 Redacción RA'!C$3:C$18,,0,1)</f>
        <v>SaberHacer</v>
      </c>
      <c r="B117" s="78" t="s">
        <v>114</v>
      </c>
      <c r="C117" s="132"/>
      <c r="D117" s="132"/>
      <c r="E117" s="130"/>
      <c r="F117" s="147"/>
      <c r="G117" s="147"/>
      <c r="H117" s="147"/>
      <c r="I117" s="147"/>
      <c r="J117" s="147"/>
      <c r="K117" s="147"/>
      <c r="L117" s="147"/>
      <c r="M117" s="147"/>
      <c r="N117" s="141"/>
      <c r="O117" s="141"/>
      <c r="P117" s="141"/>
      <c r="Q117" s="141"/>
      <c r="R117" s="5">
        <f>SUM(J95:J117)</f>
        <v>18</v>
      </c>
      <c r="S117" s="5">
        <f>COUNTA(D95:D117)</f>
        <v>5</v>
      </c>
      <c r="T117" s="93"/>
    </row>
    <row r="118" spans="1:20" s="80" customFormat="1" ht="66">
      <c r="A118" s="92" t="str">
        <f>_xlfn.XLOOKUP(B118,'Paso 3 Redacción RA'!I$3:I$18,'Paso 3 Redacción RA'!C$3:C$18,,0,1)</f>
        <v>SaberSer</v>
      </c>
      <c r="B118" s="82" t="s">
        <v>106</v>
      </c>
      <c r="C118" s="131">
        <v>7</v>
      </c>
      <c r="D118" s="131" t="s">
        <v>351</v>
      </c>
      <c r="E118" s="129" t="s">
        <v>352</v>
      </c>
      <c r="F118" s="145" t="s">
        <v>218</v>
      </c>
      <c r="G118" s="145"/>
      <c r="H118" s="145" t="s">
        <v>219</v>
      </c>
      <c r="I118" s="145"/>
      <c r="J118" s="145">
        <v>4</v>
      </c>
      <c r="K118" s="145">
        <f>16*J118</f>
        <v>64</v>
      </c>
      <c r="L118" s="145">
        <f>32*J118</f>
        <v>128</v>
      </c>
      <c r="M118" s="145">
        <f>SUM(K118:L118)</f>
        <v>192</v>
      </c>
      <c r="N118" s="140" t="s">
        <v>353</v>
      </c>
      <c r="O118" s="140" t="s">
        <v>273</v>
      </c>
      <c r="P118" s="140" t="s">
        <v>274</v>
      </c>
      <c r="Q118" s="140" t="s">
        <v>229</v>
      </c>
      <c r="R118" s="5"/>
      <c r="S118" s="5"/>
      <c r="T118" s="93"/>
    </row>
    <row r="119" spans="1:20" s="80" customFormat="1" ht="49.5">
      <c r="A119" s="80" t="str">
        <f>_xlfn.XLOOKUP(B119,'Paso 3 Redacción RA'!I$3:I$18,'Paso 3 Redacción RA'!C$3:C$18,,0,1)</f>
        <v>Saber</v>
      </c>
      <c r="B119" s="65" t="s">
        <v>115</v>
      </c>
      <c r="C119" s="121"/>
      <c r="D119" s="121"/>
      <c r="E119" s="123"/>
      <c r="F119" s="146"/>
      <c r="G119" s="146"/>
      <c r="H119" s="146"/>
      <c r="I119" s="146"/>
      <c r="J119" s="146"/>
      <c r="K119" s="146"/>
      <c r="L119" s="146"/>
      <c r="M119" s="146"/>
      <c r="N119" s="118"/>
      <c r="O119" s="118"/>
      <c r="P119" s="118"/>
      <c r="Q119" s="118"/>
      <c r="R119" s="5"/>
      <c r="S119" s="5"/>
      <c r="T119" s="93"/>
    </row>
    <row r="120" spans="1:20" s="80" customFormat="1" ht="49.5">
      <c r="A120" s="80" t="str">
        <f>_xlfn.XLOOKUP(B120,'Paso 3 Redacción RA'!I$3:I$18,'Paso 3 Redacción RA'!C$3:C$18,,0,1)</f>
        <v>SaberHacer</v>
      </c>
      <c r="B120" s="65" t="s">
        <v>109</v>
      </c>
      <c r="C120" s="121"/>
      <c r="D120" s="121"/>
      <c r="E120" s="123"/>
      <c r="F120" s="146"/>
      <c r="G120" s="146"/>
      <c r="H120" s="146"/>
      <c r="I120" s="146"/>
      <c r="J120" s="146"/>
      <c r="K120" s="146"/>
      <c r="L120" s="146"/>
      <c r="M120" s="146"/>
      <c r="N120" s="118"/>
      <c r="O120" s="118"/>
      <c r="P120" s="118"/>
      <c r="Q120" s="118"/>
      <c r="R120" s="5"/>
      <c r="S120" s="5"/>
      <c r="T120" s="93"/>
    </row>
    <row r="121" spans="1:20" s="80" customFormat="1" ht="49.5">
      <c r="A121" s="80" t="str">
        <f>_xlfn.XLOOKUP(B121,'Paso 3 Redacción RA'!I$3:I$18,'Paso 3 Redacción RA'!C$3:C$18,,0,1)</f>
        <v>Saber</v>
      </c>
      <c r="B121" s="65" t="s">
        <v>112</v>
      </c>
      <c r="C121" s="121"/>
      <c r="D121" s="121"/>
      <c r="E121" s="123"/>
      <c r="F121" s="146"/>
      <c r="G121" s="146"/>
      <c r="H121" s="146"/>
      <c r="I121" s="146"/>
      <c r="J121" s="146"/>
      <c r="K121" s="146"/>
      <c r="L121" s="146"/>
      <c r="M121" s="146"/>
      <c r="N121" s="118"/>
      <c r="O121" s="118"/>
      <c r="P121" s="118"/>
      <c r="Q121" s="118"/>
      <c r="R121" s="5"/>
      <c r="S121" s="5"/>
      <c r="T121" s="93"/>
    </row>
    <row r="122" spans="1:20" s="80" customFormat="1" ht="49.5">
      <c r="A122" s="81" t="str">
        <f>_xlfn.XLOOKUP(B122,'Paso 3 Redacción RA'!I$3:I$18,'Paso 3 Redacción RA'!C$3:C$18,,0,1)</f>
        <v>SaberHacer</v>
      </c>
      <c r="B122" s="78" t="s">
        <v>114</v>
      </c>
      <c r="C122" s="132"/>
      <c r="D122" s="132"/>
      <c r="E122" s="130"/>
      <c r="F122" s="147"/>
      <c r="G122" s="147"/>
      <c r="H122" s="147"/>
      <c r="I122" s="147"/>
      <c r="J122" s="147"/>
      <c r="K122" s="147"/>
      <c r="L122" s="147"/>
      <c r="M122" s="147"/>
      <c r="N122" s="141"/>
      <c r="O122" s="141"/>
      <c r="P122" s="141"/>
      <c r="Q122" s="141"/>
      <c r="S122" s="5"/>
      <c r="T122" s="93"/>
    </row>
    <row r="123" spans="1:20" s="80" customFormat="1" ht="66">
      <c r="A123" s="92" t="str">
        <f>_xlfn.XLOOKUP(B123,'Paso 3 Redacción RA'!I$3:I$18,'Paso 3 Redacción RA'!C$3:C$18,,0,1)</f>
        <v>SaberSer</v>
      </c>
      <c r="B123" s="82" t="s">
        <v>106</v>
      </c>
      <c r="C123" s="131">
        <v>7</v>
      </c>
      <c r="D123" s="131" t="s">
        <v>354</v>
      </c>
      <c r="E123" s="129" t="s">
        <v>355</v>
      </c>
      <c r="F123" s="145" t="s">
        <v>218</v>
      </c>
      <c r="G123" s="145"/>
      <c r="H123" s="145" t="s">
        <v>219</v>
      </c>
      <c r="I123" s="145"/>
      <c r="J123" s="145">
        <v>3</v>
      </c>
      <c r="K123" s="145">
        <f>16*J123</f>
        <v>48</v>
      </c>
      <c r="L123" s="145">
        <f>32*J123</f>
        <v>96</v>
      </c>
      <c r="M123" s="145">
        <f>SUM(K123:L123)</f>
        <v>144</v>
      </c>
      <c r="N123" s="140" t="s">
        <v>356</v>
      </c>
      <c r="O123" s="140" t="s">
        <v>273</v>
      </c>
      <c r="P123" s="140" t="s">
        <v>274</v>
      </c>
      <c r="Q123" s="140" t="s">
        <v>229</v>
      </c>
      <c r="R123" s="5"/>
      <c r="S123" s="5"/>
      <c r="T123" s="93"/>
    </row>
    <row r="124" spans="1:20" s="80" customFormat="1" ht="49.5">
      <c r="A124" s="80" t="str">
        <f>_xlfn.XLOOKUP(B124,'Paso 3 Redacción RA'!I$3:I$18,'Paso 3 Redacción RA'!C$3:C$18,,0,1)</f>
        <v>Saber</v>
      </c>
      <c r="B124" s="65" t="s">
        <v>115</v>
      </c>
      <c r="C124" s="121"/>
      <c r="D124" s="121"/>
      <c r="E124" s="123"/>
      <c r="F124" s="146"/>
      <c r="G124" s="146"/>
      <c r="H124" s="146"/>
      <c r="I124" s="146"/>
      <c r="J124" s="146"/>
      <c r="K124" s="146"/>
      <c r="L124" s="146"/>
      <c r="M124" s="146"/>
      <c r="N124" s="118"/>
      <c r="O124" s="118"/>
      <c r="P124" s="118"/>
      <c r="Q124" s="118"/>
      <c r="R124" s="5"/>
      <c r="S124" s="5"/>
      <c r="T124" s="93"/>
    </row>
    <row r="125" spans="1:20" s="80" customFormat="1" ht="49.5">
      <c r="A125" s="80" t="str">
        <f>_xlfn.XLOOKUP(B125,'Paso 3 Redacción RA'!I$3:I$18,'Paso 3 Redacción RA'!C$3:C$18,,0,1)</f>
        <v>SaberHacer</v>
      </c>
      <c r="B125" s="65" t="s">
        <v>109</v>
      </c>
      <c r="C125" s="121"/>
      <c r="D125" s="121"/>
      <c r="E125" s="123"/>
      <c r="F125" s="146"/>
      <c r="G125" s="146"/>
      <c r="H125" s="146"/>
      <c r="I125" s="146"/>
      <c r="J125" s="146"/>
      <c r="K125" s="146"/>
      <c r="L125" s="146"/>
      <c r="M125" s="146"/>
      <c r="N125" s="118"/>
      <c r="O125" s="118"/>
      <c r="P125" s="118"/>
      <c r="Q125" s="118"/>
      <c r="R125" s="5"/>
      <c r="S125" s="5"/>
      <c r="T125" s="93"/>
    </row>
    <row r="126" spans="1:20" s="80" customFormat="1" ht="49.5">
      <c r="A126" s="81" t="str">
        <f>_xlfn.XLOOKUP(B126,'Paso 3 Redacción RA'!I$3:I$18,'Paso 3 Redacción RA'!C$3:C$18,,0,1)</f>
        <v>SaberHacer</v>
      </c>
      <c r="B126" s="78" t="s">
        <v>114</v>
      </c>
      <c r="C126" s="132"/>
      <c r="D126" s="132"/>
      <c r="E126" s="130"/>
      <c r="F126" s="147"/>
      <c r="G126" s="147"/>
      <c r="H126" s="147"/>
      <c r="I126" s="147"/>
      <c r="J126" s="147"/>
      <c r="K126" s="147"/>
      <c r="L126" s="147"/>
      <c r="M126" s="147"/>
      <c r="N126" s="141"/>
      <c r="O126" s="141"/>
      <c r="P126" s="141"/>
      <c r="Q126" s="141"/>
      <c r="R126" s="5"/>
      <c r="S126" s="5"/>
      <c r="T126" s="93"/>
    </row>
    <row r="127" spans="1:20" s="80" customFormat="1" ht="51.75" customHeight="1">
      <c r="A127" s="92" t="str">
        <f>_xlfn.XLOOKUP(B127,'Paso 3 Redacción RA'!I$3:I$18,'Paso 3 Redacción RA'!C$3:C$18,,0,1)</f>
        <v>SaberSer</v>
      </c>
      <c r="B127" s="82" t="s">
        <v>106</v>
      </c>
      <c r="C127" s="131">
        <v>7</v>
      </c>
      <c r="D127" s="131" t="s">
        <v>357</v>
      </c>
      <c r="E127" s="129" t="s">
        <v>358</v>
      </c>
      <c r="F127" s="145" t="s">
        <v>218</v>
      </c>
      <c r="G127" s="145"/>
      <c r="H127" s="145" t="s">
        <v>219</v>
      </c>
      <c r="I127" s="145"/>
      <c r="J127" s="145">
        <v>3</v>
      </c>
      <c r="K127" s="145">
        <f>16*J127</f>
        <v>48</v>
      </c>
      <c r="L127" s="145">
        <f>32*J127</f>
        <v>96</v>
      </c>
      <c r="M127" s="145">
        <f>SUM(K127:L127)</f>
        <v>144</v>
      </c>
      <c r="N127" s="140" t="s">
        <v>359</v>
      </c>
      <c r="O127" s="140" t="s">
        <v>273</v>
      </c>
      <c r="P127" s="140" t="s">
        <v>274</v>
      </c>
      <c r="Q127" s="140" t="s">
        <v>229</v>
      </c>
      <c r="R127" s="5"/>
      <c r="S127" s="5"/>
      <c r="T127" s="93"/>
    </row>
    <row r="128" spans="1:20" s="80" customFormat="1" ht="49.5">
      <c r="A128" s="80" t="str">
        <f>_xlfn.XLOOKUP(B128,'Paso 3 Redacción RA'!I$3:I$18,'Paso 3 Redacción RA'!C$3:C$18,,0,1)</f>
        <v>Saber</v>
      </c>
      <c r="B128" s="65" t="s">
        <v>107</v>
      </c>
      <c r="C128" s="121"/>
      <c r="D128" s="121"/>
      <c r="E128" s="123"/>
      <c r="F128" s="146"/>
      <c r="G128" s="146"/>
      <c r="H128" s="146"/>
      <c r="I128" s="146"/>
      <c r="J128" s="146"/>
      <c r="K128" s="146"/>
      <c r="L128" s="146"/>
      <c r="M128" s="146"/>
      <c r="N128" s="118"/>
      <c r="O128" s="118"/>
      <c r="P128" s="118"/>
      <c r="Q128" s="118"/>
      <c r="R128" s="5"/>
      <c r="S128" s="5"/>
      <c r="T128" s="93"/>
    </row>
    <row r="129" spans="1:20" s="80" customFormat="1" ht="49.5">
      <c r="A129" s="80" t="str">
        <f>_xlfn.XLOOKUP(B129,'Paso 3 Redacción RA'!I$3:I$18,'Paso 3 Redacción RA'!C$3:C$18,,0,1)</f>
        <v>SaberHacer</v>
      </c>
      <c r="B129" s="65" t="s">
        <v>109</v>
      </c>
      <c r="C129" s="121"/>
      <c r="D129" s="121"/>
      <c r="E129" s="123"/>
      <c r="F129" s="146"/>
      <c r="G129" s="146"/>
      <c r="H129" s="146"/>
      <c r="I129" s="146"/>
      <c r="J129" s="146"/>
      <c r="K129" s="146"/>
      <c r="L129" s="146"/>
      <c r="M129" s="146"/>
      <c r="N129" s="118"/>
      <c r="O129" s="118"/>
      <c r="P129" s="118"/>
      <c r="Q129" s="118"/>
      <c r="R129" s="5"/>
      <c r="S129" s="5"/>
      <c r="T129" s="93"/>
    </row>
    <row r="130" spans="1:20" s="80" customFormat="1" ht="49.5">
      <c r="A130" s="80" t="str">
        <f>_xlfn.XLOOKUP(B130,'Paso 3 Redacción RA'!I$3:I$18,'Paso 3 Redacción RA'!C$3:C$18,,0,1)</f>
        <v>Saber</v>
      </c>
      <c r="B130" s="65" t="s">
        <v>112</v>
      </c>
      <c r="C130" s="121"/>
      <c r="D130" s="121"/>
      <c r="E130" s="123"/>
      <c r="F130" s="146"/>
      <c r="G130" s="146"/>
      <c r="H130" s="146"/>
      <c r="I130" s="146"/>
      <c r="J130" s="146"/>
      <c r="K130" s="146"/>
      <c r="L130" s="146"/>
      <c r="M130" s="146"/>
      <c r="N130" s="118"/>
      <c r="O130" s="118"/>
      <c r="P130" s="118"/>
      <c r="Q130" s="118"/>
      <c r="R130" s="5"/>
      <c r="S130" s="5"/>
      <c r="T130" s="93"/>
    </row>
    <row r="131" spans="1:20" s="80" customFormat="1" ht="49.5">
      <c r="A131" s="81" t="str">
        <f>_xlfn.XLOOKUP(B131,'Paso 3 Redacción RA'!I$3:I$18,'Paso 3 Redacción RA'!C$3:C$18,,0,1)</f>
        <v>SaberHacer</v>
      </c>
      <c r="B131" s="78" t="s">
        <v>114</v>
      </c>
      <c r="C131" s="132"/>
      <c r="D131" s="132"/>
      <c r="E131" s="130"/>
      <c r="F131" s="147"/>
      <c r="G131" s="147"/>
      <c r="H131" s="147"/>
      <c r="I131" s="147"/>
      <c r="J131" s="147"/>
      <c r="K131" s="147"/>
      <c r="L131" s="147"/>
      <c r="M131" s="147"/>
      <c r="N131" s="141"/>
      <c r="O131" s="141"/>
      <c r="P131" s="141"/>
      <c r="Q131" s="141"/>
      <c r="R131" s="5"/>
      <c r="S131" s="5"/>
      <c r="T131" s="93"/>
    </row>
    <row r="132" spans="1:20" s="80" customFormat="1">
      <c r="A132" s="94"/>
      <c r="B132" s="89"/>
      <c r="C132" s="113">
        <v>7</v>
      </c>
      <c r="D132" s="114" t="s">
        <v>360</v>
      </c>
      <c r="E132" s="89"/>
      <c r="F132" s="94"/>
      <c r="G132" s="97"/>
      <c r="H132" s="97"/>
      <c r="I132" s="97" t="s">
        <v>219</v>
      </c>
      <c r="J132" s="95">
        <v>3</v>
      </c>
      <c r="K132" s="95">
        <f>16*J132</f>
        <v>48</v>
      </c>
      <c r="L132" s="95">
        <f>32*J132</f>
        <v>96</v>
      </c>
      <c r="M132" s="95">
        <f>SUM(K132:L132)</f>
        <v>144</v>
      </c>
      <c r="N132" s="96"/>
      <c r="O132" s="96"/>
      <c r="P132" s="96"/>
      <c r="Q132" s="96"/>
      <c r="R132" s="5"/>
      <c r="S132" s="5"/>
      <c r="T132" s="93"/>
    </row>
    <row r="133" spans="1:20" s="80" customFormat="1">
      <c r="A133" s="94"/>
      <c r="B133" s="89"/>
      <c r="C133" s="113">
        <v>7</v>
      </c>
      <c r="D133" s="114" t="s">
        <v>361</v>
      </c>
      <c r="E133" s="89"/>
      <c r="F133" s="94"/>
      <c r="G133" s="97"/>
      <c r="H133" s="97"/>
      <c r="I133" s="97" t="s">
        <v>219</v>
      </c>
      <c r="J133" s="95">
        <v>3</v>
      </c>
      <c r="K133" s="95">
        <f>16*J133</f>
        <v>48</v>
      </c>
      <c r="L133" s="95">
        <f>32*J133</f>
        <v>96</v>
      </c>
      <c r="M133" s="95">
        <f>SUM(K133:L133)</f>
        <v>144</v>
      </c>
      <c r="N133" s="96"/>
      <c r="O133" s="96"/>
      <c r="P133" s="96"/>
      <c r="Q133" s="96"/>
      <c r="R133" s="5">
        <f>SUM(J118:J133)</f>
        <v>16</v>
      </c>
      <c r="S133" s="5">
        <f>COUNTA(D118:D133)</f>
        <v>5</v>
      </c>
      <c r="T133" s="93"/>
    </row>
    <row r="134" spans="1:20" s="80" customFormat="1" ht="69" customHeight="1">
      <c r="A134" s="92" t="str">
        <f>_xlfn.XLOOKUP(B134,'Paso 3 Redacción RA'!I$3:I$18,'Paso 3 Redacción RA'!C$3:C$18,,0,1)</f>
        <v>SaberSer</v>
      </c>
      <c r="B134" s="82" t="s">
        <v>106</v>
      </c>
      <c r="C134" s="131">
        <v>8</v>
      </c>
      <c r="D134" s="131" t="s">
        <v>362</v>
      </c>
      <c r="E134" s="129" t="s">
        <v>363</v>
      </c>
      <c r="F134" s="145" t="s">
        <v>218</v>
      </c>
      <c r="G134" s="145"/>
      <c r="H134" s="145" t="s">
        <v>219</v>
      </c>
      <c r="I134" s="145"/>
      <c r="J134" s="145">
        <v>3</v>
      </c>
      <c r="K134" s="145">
        <f>16*J134</f>
        <v>48</v>
      </c>
      <c r="L134" s="145">
        <f>32*J134</f>
        <v>96</v>
      </c>
      <c r="M134" s="145">
        <f>SUM(K134:L134)</f>
        <v>144</v>
      </c>
      <c r="N134" s="140" t="s">
        <v>364</v>
      </c>
      <c r="O134" s="140" t="s">
        <v>273</v>
      </c>
      <c r="P134" s="140" t="s">
        <v>274</v>
      </c>
      <c r="Q134" s="140" t="s">
        <v>229</v>
      </c>
      <c r="R134" s="5"/>
      <c r="S134" s="5"/>
      <c r="T134" s="93"/>
    </row>
    <row r="135" spans="1:20" s="80" customFormat="1" ht="49.5">
      <c r="A135" s="80" t="str">
        <f>_xlfn.XLOOKUP(B135,'Paso 3 Redacción RA'!I$3:I$18,'Paso 3 Redacción RA'!C$3:C$18,,0,1)</f>
        <v>Saber</v>
      </c>
      <c r="B135" s="65" t="s">
        <v>115</v>
      </c>
      <c r="C135" s="121"/>
      <c r="D135" s="121"/>
      <c r="E135" s="123"/>
      <c r="F135" s="146"/>
      <c r="G135" s="146"/>
      <c r="H135" s="146"/>
      <c r="I135" s="146"/>
      <c r="J135" s="146"/>
      <c r="K135" s="146"/>
      <c r="L135" s="146"/>
      <c r="M135" s="146"/>
      <c r="N135" s="118"/>
      <c r="O135" s="118"/>
      <c r="P135" s="118"/>
      <c r="Q135" s="118"/>
      <c r="R135" s="5"/>
      <c r="S135" s="5"/>
      <c r="T135" s="93"/>
    </row>
    <row r="136" spans="1:20" s="80" customFormat="1" ht="49.5">
      <c r="A136" s="80" t="str">
        <f>_xlfn.XLOOKUP(B136,'Paso 3 Redacción RA'!I$3:I$18,'Paso 3 Redacción RA'!C$3:C$18,,0,1)</f>
        <v>SaberHacer</v>
      </c>
      <c r="B136" s="65" t="s">
        <v>109</v>
      </c>
      <c r="C136" s="121"/>
      <c r="D136" s="121"/>
      <c r="E136" s="123"/>
      <c r="F136" s="146"/>
      <c r="G136" s="146"/>
      <c r="H136" s="146"/>
      <c r="I136" s="146"/>
      <c r="J136" s="146"/>
      <c r="K136" s="146"/>
      <c r="L136" s="146"/>
      <c r="M136" s="146"/>
      <c r="N136" s="118"/>
      <c r="O136" s="118"/>
      <c r="P136" s="118"/>
      <c r="Q136" s="118"/>
      <c r="R136" s="5"/>
      <c r="S136" s="5"/>
      <c r="T136" s="93"/>
    </row>
    <row r="137" spans="1:20" s="80" customFormat="1" ht="49.5">
      <c r="A137" s="81" t="str">
        <f>_xlfn.XLOOKUP(B137,'Paso 3 Redacción RA'!I$3:I$18,'Paso 3 Redacción RA'!C$3:C$18,,0,1)</f>
        <v>SaberHacer</v>
      </c>
      <c r="B137" s="78" t="s">
        <v>114</v>
      </c>
      <c r="C137" s="132"/>
      <c r="D137" s="132"/>
      <c r="E137" s="130"/>
      <c r="F137" s="147"/>
      <c r="G137" s="147"/>
      <c r="H137" s="147"/>
      <c r="I137" s="147"/>
      <c r="J137" s="147"/>
      <c r="K137" s="147"/>
      <c r="L137" s="147"/>
      <c r="M137" s="147"/>
      <c r="N137" s="141"/>
      <c r="O137" s="141"/>
      <c r="P137" s="141"/>
      <c r="Q137" s="141"/>
      <c r="S137" s="5"/>
      <c r="T137" s="93"/>
    </row>
    <row r="138" spans="1:20" s="80" customFormat="1" ht="66">
      <c r="A138" s="92" t="str">
        <f>_xlfn.XLOOKUP(B138,'Paso 3 Redacción RA'!I$3:I$18,'Paso 3 Redacción RA'!C$3:C$18,,0,1)</f>
        <v>SaberSer</v>
      </c>
      <c r="B138" s="82" t="s">
        <v>106</v>
      </c>
      <c r="C138" s="131">
        <v>8</v>
      </c>
      <c r="D138" s="131" t="s">
        <v>365</v>
      </c>
      <c r="E138" s="129" t="s">
        <v>366</v>
      </c>
      <c r="F138" s="145" t="s">
        <v>218</v>
      </c>
      <c r="G138" s="145"/>
      <c r="H138" s="145" t="s">
        <v>219</v>
      </c>
      <c r="I138" s="145"/>
      <c r="J138" s="145">
        <v>4</v>
      </c>
      <c r="K138" s="145">
        <f>16*J138</f>
        <v>64</v>
      </c>
      <c r="L138" s="145">
        <f>32*J138</f>
        <v>128</v>
      </c>
      <c r="M138" s="145">
        <f>SUM(K138:L138)</f>
        <v>192</v>
      </c>
      <c r="N138" s="140" t="s">
        <v>367</v>
      </c>
      <c r="O138" s="140" t="s">
        <v>273</v>
      </c>
      <c r="P138" s="140" t="s">
        <v>274</v>
      </c>
      <c r="Q138" s="140" t="s">
        <v>229</v>
      </c>
      <c r="R138" s="5"/>
      <c r="S138" s="5"/>
      <c r="T138" s="93"/>
    </row>
    <row r="139" spans="1:20" s="80" customFormat="1" ht="49.5">
      <c r="A139" s="80" t="str">
        <f>_xlfn.XLOOKUP(B139,'Paso 3 Redacción RA'!I$3:I$18,'Paso 3 Redacción RA'!C$3:C$18,,0,1)</f>
        <v>Saber</v>
      </c>
      <c r="B139" s="65" t="s">
        <v>107</v>
      </c>
      <c r="C139" s="121"/>
      <c r="D139" s="121"/>
      <c r="E139" s="123"/>
      <c r="F139" s="146"/>
      <c r="G139" s="146"/>
      <c r="H139" s="146"/>
      <c r="I139" s="146"/>
      <c r="J139" s="146"/>
      <c r="K139" s="146"/>
      <c r="L139" s="146"/>
      <c r="M139" s="146"/>
      <c r="N139" s="118"/>
      <c r="O139" s="118"/>
      <c r="P139" s="118"/>
      <c r="Q139" s="118"/>
      <c r="R139" s="5"/>
      <c r="S139" s="5"/>
      <c r="T139" s="93"/>
    </row>
    <row r="140" spans="1:20" s="80" customFormat="1" ht="49.5">
      <c r="A140" s="80" t="str">
        <f>_xlfn.XLOOKUP(B140,'Paso 3 Redacción RA'!I$3:I$18,'Paso 3 Redacción RA'!C$3:C$18,,0,1)</f>
        <v>SaberHacer</v>
      </c>
      <c r="B140" s="65" t="s">
        <v>109</v>
      </c>
      <c r="C140" s="121"/>
      <c r="D140" s="121"/>
      <c r="E140" s="123"/>
      <c r="F140" s="146"/>
      <c r="G140" s="146"/>
      <c r="H140" s="146"/>
      <c r="I140" s="146"/>
      <c r="J140" s="146"/>
      <c r="K140" s="146"/>
      <c r="L140" s="146"/>
      <c r="M140" s="146"/>
      <c r="N140" s="118"/>
      <c r="O140" s="118"/>
      <c r="P140" s="118"/>
      <c r="Q140" s="118"/>
      <c r="R140" s="5"/>
      <c r="S140" s="5"/>
      <c r="T140" s="93"/>
    </row>
    <row r="141" spans="1:20" s="80" customFormat="1" ht="49.5">
      <c r="A141" s="80" t="str">
        <f>_xlfn.XLOOKUP(B141,'Paso 3 Redacción RA'!I$3:I$18,'Paso 3 Redacción RA'!C$3:C$18,,0,1)</f>
        <v>Saber</v>
      </c>
      <c r="B141" s="65" t="s">
        <v>112</v>
      </c>
      <c r="C141" s="121"/>
      <c r="D141" s="121"/>
      <c r="E141" s="123"/>
      <c r="F141" s="146"/>
      <c r="G141" s="146"/>
      <c r="H141" s="146"/>
      <c r="I141" s="146"/>
      <c r="J141" s="146"/>
      <c r="K141" s="146"/>
      <c r="L141" s="146"/>
      <c r="M141" s="146"/>
      <c r="N141" s="118"/>
      <c r="O141" s="118"/>
      <c r="P141" s="118"/>
      <c r="Q141" s="118"/>
      <c r="R141" s="5"/>
      <c r="S141" s="5"/>
      <c r="T141" s="93"/>
    </row>
    <row r="142" spans="1:20" s="80" customFormat="1" ht="49.5">
      <c r="A142" s="81" t="str">
        <f>_xlfn.XLOOKUP(B142,'Paso 3 Redacción RA'!I$3:I$18,'Paso 3 Redacción RA'!C$3:C$18,,0,1)</f>
        <v>SaberHacer</v>
      </c>
      <c r="B142" s="78" t="s">
        <v>114</v>
      </c>
      <c r="C142" s="132"/>
      <c r="D142" s="132"/>
      <c r="E142" s="130"/>
      <c r="F142" s="147"/>
      <c r="G142" s="147"/>
      <c r="H142" s="147"/>
      <c r="I142" s="147"/>
      <c r="J142" s="147"/>
      <c r="K142" s="147"/>
      <c r="L142" s="147"/>
      <c r="M142" s="147"/>
      <c r="N142" s="141"/>
      <c r="O142" s="141"/>
      <c r="P142" s="141"/>
      <c r="Q142" s="141"/>
      <c r="R142" s="5"/>
      <c r="S142" s="5"/>
      <c r="T142" s="93"/>
    </row>
    <row r="143" spans="1:20" s="80" customFormat="1" ht="49.5">
      <c r="A143" s="92" t="str">
        <f>_xlfn.XLOOKUP(B143,'Paso 3 Redacción RA'!I$3:I$18,'Paso 3 Redacción RA'!C$3:C$18,,0,1)</f>
        <v>Saber</v>
      </c>
      <c r="B143" s="82" t="s">
        <v>115</v>
      </c>
      <c r="C143" s="131">
        <v>8</v>
      </c>
      <c r="D143" s="131" t="s">
        <v>368</v>
      </c>
      <c r="E143" s="129" t="s">
        <v>369</v>
      </c>
      <c r="F143" s="145" t="s">
        <v>218</v>
      </c>
      <c r="G143" s="145"/>
      <c r="H143" s="145" t="s">
        <v>219</v>
      </c>
      <c r="I143" s="145"/>
      <c r="J143" s="145">
        <v>3</v>
      </c>
      <c r="K143" s="145">
        <f>16*J143</f>
        <v>48</v>
      </c>
      <c r="L143" s="145">
        <f>32*J143</f>
        <v>96</v>
      </c>
      <c r="M143" s="145">
        <f>SUM(K143:L143)</f>
        <v>144</v>
      </c>
      <c r="N143" s="140" t="s">
        <v>370</v>
      </c>
      <c r="O143" s="140" t="s">
        <v>273</v>
      </c>
      <c r="P143" s="140" t="s">
        <v>274</v>
      </c>
      <c r="Q143" s="140" t="s">
        <v>229</v>
      </c>
      <c r="R143" s="5"/>
      <c r="S143" s="5"/>
      <c r="T143" s="93"/>
    </row>
    <row r="144" spans="1:20" s="80" customFormat="1" ht="49.5">
      <c r="A144" s="80" t="str">
        <f>_xlfn.XLOOKUP(B144,'Paso 3 Redacción RA'!I$3:I$18,'Paso 3 Redacción RA'!C$3:C$18,,0,1)</f>
        <v>SaberHacer</v>
      </c>
      <c r="B144" s="65" t="s">
        <v>109</v>
      </c>
      <c r="C144" s="121"/>
      <c r="D144" s="121"/>
      <c r="E144" s="123"/>
      <c r="F144" s="146"/>
      <c r="G144" s="146"/>
      <c r="H144" s="146"/>
      <c r="I144" s="146"/>
      <c r="J144" s="146"/>
      <c r="K144" s="146"/>
      <c r="L144" s="146"/>
      <c r="M144" s="146"/>
      <c r="N144" s="118"/>
      <c r="O144" s="118"/>
      <c r="P144" s="118"/>
      <c r="Q144" s="118"/>
      <c r="R144" s="5"/>
      <c r="S144" s="5"/>
      <c r="T144" s="93"/>
    </row>
    <row r="145" spans="1:20" s="80" customFormat="1" ht="49.5">
      <c r="A145" s="80" t="str">
        <f>_xlfn.XLOOKUP(B145,'Paso 3 Redacción RA'!I$3:I$18,'Paso 3 Redacción RA'!C$3:C$18,,0,1)</f>
        <v>Saber</v>
      </c>
      <c r="B145" s="65" t="s">
        <v>112</v>
      </c>
      <c r="C145" s="121"/>
      <c r="D145" s="121"/>
      <c r="E145" s="123"/>
      <c r="F145" s="146"/>
      <c r="G145" s="146"/>
      <c r="H145" s="146"/>
      <c r="I145" s="146"/>
      <c r="J145" s="146"/>
      <c r="K145" s="146"/>
      <c r="L145" s="146"/>
      <c r="M145" s="146"/>
      <c r="N145" s="118"/>
      <c r="O145" s="118"/>
      <c r="P145" s="118"/>
      <c r="Q145" s="118"/>
      <c r="R145" s="5"/>
      <c r="S145" s="5"/>
      <c r="T145" s="93"/>
    </row>
    <row r="146" spans="1:20" s="80" customFormat="1" ht="49.5">
      <c r="A146" s="81" t="str">
        <f>_xlfn.XLOOKUP(B146,'Paso 3 Redacción RA'!I$3:I$18,'Paso 3 Redacción RA'!C$3:C$18,,0,1)</f>
        <v>SaberHacer</v>
      </c>
      <c r="B146" s="78" t="s">
        <v>114</v>
      </c>
      <c r="C146" s="132"/>
      <c r="D146" s="132"/>
      <c r="E146" s="130"/>
      <c r="F146" s="147"/>
      <c r="G146" s="147"/>
      <c r="H146" s="147"/>
      <c r="I146" s="147"/>
      <c r="J146" s="147"/>
      <c r="K146" s="147"/>
      <c r="L146" s="147"/>
      <c r="M146" s="147"/>
      <c r="N146" s="141"/>
      <c r="O146" s="141"/>
      <c r="P146" s="141"/>
      <c r="Q146" s="141"/>
      <c r="R146" s="5"/>
      <c r="S146" s="5"/>
      <c r="T146" s="93"/>
    </row>
    <row r="147" spans="1:20" s="80" customFormat="1">
      <c r="A147" s="94"/>
      <c r="B147" s="89"/>
      <c r="C147" s="113">
        <v>8</v>
      </c>
      <c r="D147" s="114" t="s">
        <v>371</v>
      </c>
      <c r="E147" s="89"/>
      <c r="F147" s="94"/>
      <c r="G147" s="97"/>
      <c r="H147" s="97"/>
      <c r="I147" s="97" t="s">
        <v>219</v>
      </c>
      <c r="J147" s="95">
        <v>3</v>
      </c>
      <c r="K147" s="95">
        <f>16*J147</f>
        <v>48</v>
      </c>
      <c r="L147" s="95">
        <f>32*J147</f>
        <v>96</v>
      </c>
      <c r="M147" s="95">
        <f>SUM(K147:L147)</f>
        <v>144</v>
      </c>
      <c r="N147" s="96"/>
      <c r="O147" s="96"/>
      <c r="P147" s="96"/>
      <c r="Q147" s="96"/>
      <c r="R147" s="5"/>
      <c r="S147" s="5"/>
      <c r="T147" s="93"/>
    </row>
    <row r="148" spans="1:20" s="80" customFormat="1">
      <c r="A148" s="94"/>
      <c r="B148" s="89"/>
      <c r="C148" s="113">
        <v>8</v>
      </c>
      <c r="D148" s="114" t="s">
        <v>372</v>
      </c>
      <c r="E148" s="96"/>
      <c r="F148" s="94"/>
      <c r="G148" s="97"/>
      <c r="H148" s="97"/>
      <c r="I148" s="97" t="s">
        <v>219</v>
      </c>
      <c r="J148" s="95">
        <v>3</v>
      </c>
      <c r="K148" s="95">
        <f>16*J148</f>
        <v>48</v>
      </c>
      <c r="L148" s="95">
        <f>32*J148</f>
        <v>96</v>
      </c>
      <c r="M148" s="95">
        <f>SUM(K148:L148)</f>
        <v>144</v>
      </c>
      <c r="N148" s="96"/>
      <c r="O148" s="96"/>
      <c r="P148" s="96"/>
      <c r="Q148" s="96"/>
      <c r="R148" s="5">
        <f>SUM(J134:J148)</f>
        <v>16</v>
      </c>
      <c r="S148" s="5">
        <f>COUNTA(D134:D148)</f>
        <v>5</v>
      </c>
      <c r="T148" s="93"/>
    </row>
    <row r="149" spans="1:20" ht="42.75">
      <c r="A149" s="80"/>
      <c r="B149" s="65"/>
      <c r="C149" s="115" t="s">
        <v>373</v>
      </c>
      <c r="D149" s="152">
        <f>COUNTA(D3:D148)</f>
        <v>41</v>
      </c>
      <c r="F149" s="6"/>
      <c r="G149" s="6"/>
      <c r="H149" s="6"/>
      <c r="I149" s="116" t="s">
        <v>374</v>
      </c>
      <c r="J149" s="153">
        <f>SUM(J3:J148)</f>
        <v>135</v>
      </c>
      <c r="K149" s="100" t="str">
        <f>IF(AND(J149&gt;=135,J149&lt;=160),"Correcto: Cumple la Política de Gestión, Evaluación e Innovación Curricular","Error: Revisar Política de Gestión, Evaluación e Innovación Curricular")</f>
        <v>Correcto: Cumple la Política de Gestión, Evaluación e Innovación Curricular</v>
      </c>
      <c r="L149" s="6"/>
      <c r="M149" s="6"/>
      <c r="R149" s="5">
        <f>SUM(R3:R148)</f>
        <v>135</v>
      </c>
      <c r="S149" s="5">
        <f>SUM(S3:S148)</f>
        <v>41</v>
      </c>
    </row>
    <row r="150" spans="1:20" ht="49.5">
      <c r="A150" s="80"/>
      <c r="B150" s="65"/>
      <c r="C150" s="6"/>
      <c r="F150" s="6"/>
      <c r="G150" s="6"/>
      <c r="H150" s="6"/>
      <c r="I150" s="69" t="s">
        <v>375</v>
      </c>
      <c r="J150" s="31">
        <f>SUM(J7,J20,J33,J39,J53,J54)</f>
        <v>18</v>
      </c>
      <c r="K150" s="100" t="str">
        <f>IF(J150=18,"Correcto: Cumple la Política de Gestión, Evaluación e Innovación Curricular","Error: Revisar Política de Gestión, Evaluación e Innovación Curricular")</f>
        <v>Correcto: Cumple la Política de Gestión, Evaluación e Innovación Curricular</v>
      </c>
      <c r="L150" s="6"/>
      <c r="M150" s="6"/>
    </row>
    <row r="151" spans="1:20" ht="49.5">
      <c r="B151" s="65"/>
      <c r="C151" s="6"/>
      <c r="F151" s="6"/>
      <c r="G151" s="6"/>
      <c r="H151" s="6"/>
      <c r="I151" s="69" t="s">
        <v>376</v>
      </c>
      <c r="J151" s="31">
        <f>SUM(J3,J8:J15,J21:J32,J34,J40:J52,J16,J55:J131,J134:J146)</f>
        <v>105</v>
      </c>
      <c r="K151" s="100" t="str">
        <f>IF(AND(J151&gt;=99,J151&lt;=130),"Correcto: Cumple la Política de Gestión, Evaluación e Innovación Curricular","Error: Revisar Política de Gestión, Evaluación e Innovación Curricular")</f>
        <v>Correcto: Cumple la Política de Gestión, Evaluación e Innovación Curricular</v>
      </c>
      <c r="L151" s="6"/>
      <c r="M151" s="6"/>
    </row>
    <row r="152" spans="1:20" ht="49.5">
      <c r="B152" s="65"/>
      <c r="C152" s="6"/>
      <c r="E152" s="7"/>
      <c r="F152" s="6"/>
      <c r="G152" s="6"/>
      <c r="H152" s="6"/>
      <c r="I152" s="69" t="s">
        <v>377</v>
      </c>
      <c r="J152" s="6">
        <f>SUM(J132:J133,J147:J148)</f>
        <v>12</v>
      </c>
      <c r="K152" s="31" t="str">
        <f>IF(AND(J152&gt;=12,J152&lt;=18),"Correcto: Cumple la Política de Gestión, Evaluación e Innovación Curricular","Error: Revisar Política de Gestión, Evaluación e Innovación Curricular")</f>
        <v>Correcto: Cumple la Política de Gestión, Evaluación e Innovación Curricular</v>
      </c>
      <c r="L152" s="6"/>
      <c r="M152" s="6"/>
    </row>
    <row r="153" spans="1:20">
      <c r="C153" s="6"/>
      <c r="F153" s="6"/>
      <c r="G153" s="6"/>
      <c r="H153" s="6"/>
      <c r="I153" s="6"/>
      <c r="J153" s="6"/>
      <c r="K153" s="6"/>
      <c r="L153" s="6"/>
      <c r="M153" s="6"/>
    </row>
    <row r="154" spans="1:20">
      <c r="C154" s="6"/>
      <c r="F154" s="6"/>
      <c r="G154" s="6"/>
      <c r="H154" s="6"/>
      <c r="I154" s="6"/>
      <c r="J154" s="6"/>
      <c r="K154" s="6"/>
      <c r="L154" s="6"/>
      <c r="M154" s="6"/>
    </row>
    <row r="155" spans="1:20">
      <c r="C155" s="6"/>
      <c r="F155" s="6"/>
      <c r="G155" s="6"/>
      <c r="H155" s="6"/>
      <c r="I155" s="6"/>
      <c r="J155" s="6"/>
      <c r="K155" s="6"/>
      <c r="L155" s="6"/>
      <c r="M155" s="6"/>
    </row>
    <row r="156" spans="1:20">
      <c r="C156" s="6"/>
      <c r="F156" s="6"/>
      <c r="G156" s="6"/>
      <c r="H156" s="6"/>
      <c r="I156" s="6"/>
      <c r="J156" s="6"/>
      <c r="K156" s="6"/>
      <c r="L156" s="6"/>
      <c r="M156" s="6"/>
    </row>
    <row r="157" spans="1:20">
      <c r="C157" s="6"/>
      <c r="F157" s="6"/>
      <c r="G157" s="6"/>
      <c r="H157" s="6"/>
      <c r="I157" s="6"/>
      <c r="J157" s="6"/>
      <c r="K157" s="6"/>
      <c r="L157" s="6"/>
      <c r="M157" s="6"/>
    </row>
    <row r="158" spans="1:20">
      <c r="C158" s="6"/>
      <c r="F158" s="6"/>
      <c r="G158" s="6"/>
      <c r="H158" s="6"/>
      <c r="I158" s="6"/>
      <c r="J158" s="6"/>
      <c r="K158" s="6"/>
      <c r="L158" s="6"/>
      <c r="M158" s="6"/>
    </row>
    <row r="159" spans="1:20">
      <c r="C159" s="6"/>
      <c r="F159" s="6"/>
      <c r="G159" s="6"/>
      <c r="H159" s="6"/>
      <c r="I159" s="6"/>
      <c r="J159" s="6"/>
      <c r="K159" s="6"/>
      <c r="L159" s="6"/>
      <c r="M159" s="6"/>
    </row>
    <row r="161" spans="5:5">
      <c r="E161" s="98"/>
    </row>
  </sheetData>
  <autoFilter ref="A2:R152" xr:uid="{F0EE195A-FBC9-4847-94C9-3ADDAD335674}"/>
  <mergeCells count="466">
    <mergeCell ref="E68:E71"/>
    <mergeCell ref="F68:F71"/>
    <mergeCell ref="G68:G71"/>
    <mergeCell ref="G81:G84"/>
    <mergeCell ref="I85:I89"/>
    <mergeCell ref="J85:J89"/>
    <mergeCell ref="K85:K89"/>
    <mergeCell ref="L85:L89"/>
    <mergeCell ref="C59:C63"/>
    <mergeCell ref="D59:D63"/>
    <mergeCell ref="E59:E63"/>
    <mergeCell ref="F59:F63"/>
    <mergeCell ref="G59:G63"/>
    <mergeCell ref="H59:H63"/>
    <mergeCell ref="I59:I63"/>
    <mergeCell ref="J59:J63"/>
    <mergeCell ref="K59:K63"/>
    <mergeCell ref="C77:C80"/>
    <mergeCell ref="D77:D80"/>
    <mergeCell ref="E77:E80"/>
    <mergeCell ref="F77:F80"/>
    <mergeCell ref="G77:G80"/>
    <mergeCell ref="L16:L19"/>
    <mergeCell ref="M16:M19"/>
    <mergeCell ref="N16:N19"/>
    <mergeCell ref="O16:O19"/>
    <mergeCell ref="P16:P19"/>
    <mergeCell ref="Q16:Q19"/>
    <mergeCell ref="C16:C19"/>
    <mergeCell ref="D16:D19"/>
    <mergeCell ref="E16:E19"/>
    <mergeCell ref="F16:F19"/>
    <mergeCell ref="G16:G19"/>
    <mergeCell ref="H16:H19"/>
    <mergeCell ref="I16:I19"/>
    <mergeCell ref="J16:J19"/>
    <mergeCell ref="K16:K19"/>
    <mergeCell ref="G1:I1"/>
    <mergeCell ref="P25:P28"/>
    <mergeCell ref="M49:M52"/>
    <mergeCell ref="H49:H52"/>
    <mergeCell ref="M40:M43"/>
    <mergeCell ref="N40:N43"/>
    <mergeCell ref="O40:O43"/>
    <mergeCell ref="P40:P43"/>
    <mergeCell ref="P44:P48"/>
    <mergeCell ref="K29:K32"/>
    <mergeCell ref="L29:L32"/>
    <mergeCell ref="M29:M32"/>
    <mergeCell ref="N29:N32"/>
    <mergeCell ref="O29:O32"/>
    <mergeCell ref="P29:P32"/>
    <mergeCell ref="N25:N28"/>
    <mergeCell ref="O25:O28"/>
    <mergeCell ref="J34:J38"/>
    <mergeCell ref="I34:I38"/>
    <mergeCell ref="H34:H38"/>
    <mergeCell ref="M21:M24"/>
    <mergeCell ref="N21:N24"/>
    <mergeCell ref="O21:O24"/>
    <mergeCell ref="P21:P24"/>
    <mergeCell ref="Q21:Q24"/>
    <mergeCell ref="Q25:Q28"/>
    <mergeCell ref="H25:H28"/>
    <mergeCell ref="I25:I28"/>
    <mergeCell ref="J25:J28"/>
    <mergeCell ref="K25:K28"/>
    <mergeCell ref="L25:L28"/>
    <mergeCell ref="M25:M28"/>
    <mergeCell ref="H21:H24"/>
    <mergeCell ref="I21:I24"/>
    <mergeCell ref="J21:J24"/>
    <mergeCell ref="K21:K24"/>
    <mergeCell ref="L21:L24"/>
    <mergeCell ref="C21:C24"/>
    <mergeCell ref="G21:G24"/>
    <mergeCell ref="F40:F43"/>
    <mergeCell ref="G40:G43"/>
    <mergeCell ref="D21:D24"/>
    <mergeCell ref="E21:E24"/>
    <mergeCell ref="F21:F24"/>
    <mergeCell ref="C40:C43"/>
    <mergeCell ref="D40:D43"/>
    <mergeCell ref="E40:E43"/>
    <mergeCell ref="D29:D32"/>
    <mergeCell ref="E29:E32"/>
    <mergeCell ref="F29:F32"/>
    <mergeCell ref="G29:G32"/>
    <mergeCell ref="E25:E28"/>
    <mergeCell ref="F25:F28"/>
    <mergeCell ref="G25:G28"/>
    <mergeCell ref="D49:D52"/>
    <mergeCell ref="E49:E52"/>
    <mergeCell ref="F49:F52"/>
    <mergeCell ref="G49:G52"/>
    <mergeCell ref="C49:C52"/>
    <mergeCell ref="G44:G48"/>
    <mergeCell ref="C44:C48"/>
    <mergeCell ref="D44:D48"/>
    <mergeCell ref="E44:E48"/>
    <mergeCell ref="F44:F48"/>
    <mergeCell ref="Q40:Q43"/>
    <mergeCell ref="N49:N52"/>
    <mergeCell ref="O49:O52"/>
    <mergeCell ref="P49:P52"/>
    <mergeCell ref="Q49:Q52"/>
    <mergeCell ref="H40:H43"/>
    <mergeCell ref="I40:I43"/>
    <mergeCell ref="J40:J43"/>
    <mergeCell ref="K40:K43"/>
    <mergeCell ref="L40:L43"/>
    <mergeCell ref="I49:I52"/>
    <mergeCell ref="J49:J52"/>
    <mergeCell ref="K49:K52"/>
    <mergeCell ref="L49:L52"/>
    <mergeCell ref="Q44:Q48"/>
    <mergeCell ref="H44:H48"/>
    <mergeCell ref="I44:I48"/>
    <mergeCell ref="J44:J48"/>
    <mergeCell ref="K44:K48"/>
    <mergeCell ref="L44:L48"/>
    <mergeCell ref="Q59:Q63"/>
    <mergeCell ref="M44:M48"/>
    <mergeCell ref="N44:N48"/>
    <mergeCell ref="O44:O48"/>
    <mergeCell ref="Q55:Q58"/>
    <mergeCell ref="H55:H58"/>
    <mergeCell ref="I55:I58"/>
    <mergeCell ref="J55:J58"/>
    <mergeCell ref="K55:K58"/>
    <mergeCell ref="L55:L58"/>
    <mergeCell ref="M55:M58"/>
    <mergeCell ref="N55:N58"/>
    <mergeCell ref="O55:O58"/>
    <mergeCell ref="P55:P58"/>
    <mergeCell ref="L59:L63"/>
    <mergeCell ref="M59:M63"/>
    <mergeCell ref="N59:N63"/>
    <mergeCell ref="O59:O63"/>
    <mergeCell ref="P59:P63"/>
    <mergeCell ref="Q72:Q76"/>
    <mergeCell ref="H72:H76"/>
    <mergeCell ref="I72:I76"/>
    <mergeCell ref="J72:J76"/>
    <mergeCell ref="K72:K76"/>
    <mergeCell ref="L72:L76"/>
    <mergeCell ref="C55:C58"/>
    <mergeCell ref="D55:D58"/>
    <mergeCell ref="E55:E58"/>
    <mergeCell ref="F55:F58"/>
    <mergeCell ref="G55:G58"/>
    <mergeCell ref="C72:C76"/>
    <mergeCell ref="D72:D76"/>
    <mergeCell ref="E72:E76"/>
    <mergeCell ref="F72:F76"/>
    <mergeCell ref="G72:G76"/>
    <mergeCell ref="Q68:Q71"/>
    <mergeCell ref="H68:H71"/>
    <mergeCell ref="I68:I71"/>
    <mergeCell ref="J68:J71"/>
    <mergeCell ref="K68:K71"/>
    <mergeCell ref="L68:L71"/>
    <mergeCell ref="C68:C71"/>
    <mergeCell ref="D68:D71"/>
    <mergeCell ref="C118:C122"/>
    <mergeCell ref="D118:D122"/>
    <mergeCell ref="E118:E122"/>
    <mergeCell ref="F118:F122"/>
    <mergeCell ref="G118:G122"/>
    <mergeCell ref="M68:M71"/>
    <mergeCell ref="N68:N71"/>
    <mergeCell ref="O68:O71"/>
    <mergeCell ref="P68:P71"/>
    <mergeCell ref="M118:M122"/>
    <mergeCell ref="N118:N122"/>
    <mergeCell ref="O118:O122"/>
    <mergeCell ref="P118:P122"/>
    <mergeCell ref="M72:M76"/>
    <mergeCell ref="N72:N76"/>
    <mergeCell ref="O72:O76"/>
    <mergeCell ref="P72:P76"/>
    <mergeCell ref="H118:H122"/>
    <mergeCell ref="I118:I122"/>
    <mergeCell ref="J118:J122"/>
    <mergeCell ref="K118:K122"/>
    <mergeCell ref="L118:L122"/>
    <mergeCell ref="C104:C108"/>
    <mergeCell ref="D104:D108"/>
    <mergeCell ref="C99:C103"/>
    <mergeCell ref="D99:D103"/>
    <mergeCell ref="E99:E103"/>
    <mergeCell ref="F99:F103"/>
    <mergeCell ref="G99:G103"/>
    <mergeCell ref="E81:E84"/>
    <mergeCell ref="F81:F84"/>
    <mergeCell ref="C95:C98"/>
    <mergeCell ref="D95:D98"/>
    <mergeCell ref="E95:E98"/>
    <mergeCell ref="C85:C89"/>
    <mergeCell ref="D85:D89"/>
    <mergeCell ref="E85:E89"/>
    <mergeCell ref="F85:F89"/>
    <mergeCell ref="G85:G89"/>
    <mergeCell ref="E104:E108"/>
    <mergeCell ref="F104:F108"/>
    <mergeCell ref="G104:G108"/>
    <mergeCell ref="Q104:Q108"/>
    <mergeCell ref="H104:H108"/>
    <mergeCell ref="I104:I108"/>
    <mergeCell ref="J104:J108"/>
    <mergeCell ref="K104:K108"/>
    <mergeCell ref="L104:L108"/>
    <mergeCell ref="M104:M108"/>
    <mergeCell ref="N104:N108"/>
    <mergeCell ref="O104:O108"/>
    <mergeCell ref="P104:P108"/>
    <mergeCell ref="Q90:Q94"/>
    <mergeCell ref="H90:H94"/>
    <mergeCell ref="I90:I94"/>
    <mergeCell ref="J90:J94"/>
    <mergeCell ref="K90:K94"/>
    <mergeCell ref="L90:L94"/>
    <mergeCell ref="Q77:Q80"/>
    <mergeCell ref="H77:H80"/>
    <mergeCell ref="I77:I80"/>
    <mergeCell ref="J77:J80"/>
    <mergeCell ref="K77:K80"/>
    <mergeCell ref="L77:L80"/>
    <mergeCell ref="M77:M80"/>
    <mergeCell ref="N77:N80"/>
    <mergeCell ref="O77:O80"/>
    <mergeCell ref="P77:P80"/>
    <mergeCell ref="M81:M84"/>
    <mergeCell ref="N85:N89"/>
    <mergeCell ref="O85:O89"/>
    <mergeCell ref="P85:P89"/>
    <mergeCell ref="M90:M94"/>
    <mergeCell ref="N90:N94"/>
    <mergeCell ref="Q85:Q89"/>
    <mergeCell ref="H85:H89"/>
    <mergeCell ref="Q81:Q84"/>
    <mergeCell ref="H81:H84"/>
    <mergeCell ref="I81:I84"/>
    <mergeCell ref="J81:J84"/>
    <mergeCell ref="K81:K84"/>
    <mergeCell ref="L81:L84"/>
    <mergeCell ref="C81:C84"/>
    <mergeCell ref="D81:D84"/>
    <mergeCell ref="Q64:Q67"/>
    <mergeCell ref="H64:H67"/>
    <mergeCell ref="I64:I67"/>
    <mergeCell ref="J64:J67"/>
    <mergeCell ref="K64:K67"/>
    <mergeCell ref="L64:L67"/>
    <mergeCell ref="C64:C67"/>
    <mergeCell ref="D64:D67"/>
    <mergeCell ref="E64:E67"/>
    <mergeCell ref="F64:F67"/>
    <mergeCell ref="G64:G67"/>
    <mergeCell ref="M64:M67"/>
    <mergeCell ref="N64:N67"/>
    <mergeCell ref="O64:O67"/>
    <mergeCell ref="P64:P67"/>
    <mergeCell ref="N81:N84"/>
    <mergeCell ref="N95:N98"/>
    <mergeCell ref="O95:O98"/>
    <mergeCell ref="P95:P98"/>
    <mergeCell ref="M85:M89"/>
    <mergeCell ref="C90:C94"/>
    <mergeCell ref="D90:D94"/>
    <mergeCell ref="E90:E94"/>
    <mergeCell ref="F90:F94"/>
    <mergeCell ref="G90:G94"/>
    <mergeCell ref="F95:F98"/>
    <mergeCell ref="G95:G98"/>
    <mergeCell ref="O90:O94"/>
    <mergeCell ref="P90:P94"/>
    <mergeCell ref="Q99:Q103"/>
    <mergeCell ref="H99:H103"/>
    <mergeCell ref="I99:I103"/>
    <mergeCell ref="J99:J103"/>
    <mergeCell ref="K99:K103"/>
    <mergeCell ref="L99:L103"/>
    <mergeCell ref="M99:M103"/>
    <mergeCell ref="N99:N103"/>
    <mergeCell ref="O99:O103"/>
    <mergeCell ref="P99:P103"/>
    <mergeCell ref="Q95:Q98"/>
    <mergeCell ref="H95:H98"/>
    <mergeCell ref="I95:I98"/>
    <mergeCell ref="J95:J98"/>
    <mergeCell ref="K95:K98"/>
    <mergeCell ref="L95:L98"/>
    <mergeCell ref="M95:M98"/>
    <mergeCell ref="H123:H126"/>
    <mergeCell ref="I123:I126"/>
    <mergeCell ref="J123:J126"/>
    <mergeCell ref="K123:K126"/>
    <mergeCell ref="L123:L126"/>
    <mergeCell ref="M109:M113"/>
    <mergeCell ref="N109:N113"/>
    <mergeCell ref="O109:O113"/>
    <mergeCell ref="P109:P113"/>
    <mergeCell ref="Q123:Q126"/>
    <mergeCell ref="Q118:Q122"/>
    <mergeCell ref="Q109:Q113"/>
    <mergeCell ref="H109:H113"/>
    <mergeCell ref="I109:I113"/>
    <mergeCell ref="J109:J113"/>
    <mergeCell ref="K109:K113"/>
    <mergeCell ref="L109:L113"/>
    <mergeCell ref="C123:C126"/>
    <mergeCell ref="D123:D126"/>
    <mergeCell ref="E123:E126"/>
    <mergeCell ref="F123:F126"/>
    <mergeCell ref="G123:G126"/>
    <mergeCell ref="M123:M126"/>
    <mergeCell ref="N123:N126"/>
    <mergeCell ref="O123:O126"/>
    <mergeCell ref="P123:P126"/>
    <mergeCell ref="Q114:Q117"/>
    <mergeCell ref="H114:H117"/>
    <mergeCell ref="I114:I117"/>
    <mergeCell ref="J114:J117"/>
    <mergeCell ref="K114:K117"/>
    <mergeCell ref="L114:L117"/>
    <mergeCell ref="M114:M117"/>
    <mergeCell ref="N114:N117"/>
    <mergeCell ref="O114:O117"/>
    <mergeCell ref="P114:P117"/>
    <mergeCell ref="E114:E117"/>
    <mergeCell ref="F114:F117"/>
    <mergeCell ref="G114:G117"/>
    <mergeCell ref="C109:C113"/>
    <mergeCell ref="D109:D113"/>
    <mergeCell ref="E109:E113"/>
    <mergeCell ref="F109:F113"/>
    <mergeCell ref="G109:G113"/>
    <mergeCell ref="C114:C117"/>
    <mergeCell ref="D114:D117"/>
    <mergeCell ref="L143:L146"/>
    <mergeCell ref="M127:M131"/>
    <mergeCell ref="P127:P131"/>
    <mergeCell ref="M143:M146"/>
    <mergeCell ref="N143:N146"/>
    <mergeCell ref="O143:O146"/>
    <mergeCell ref="P143:P146"/>
    <mergeCell ref="Q127:Q131"/>
    <mergeCell ref="Q143:Q146"/>
    <mergeCell ref="M138:M142"/>
    <mergeCell ref="N138:N142"/>
    <mergeCell ref="O138:O142"/>
    <mergeCell ref="P138:P142"/>
    <mergeCell ref="Q138:Q142"/>
    <mergeCell ref="M134:M137"/>
    <mergeCell ref="N134:N137"/>
    <mergeCell ref="O134:O137"/>
    <mergeCell ref="P134:P137"/>
    <mergeCell ref="Q134:Q137"/>
    <mergeCell ref="N127:N131"/>
    <mergeCell ref="O127:O131"/>
    <mergeCell ref="C143:C146"/>
    <mergeCell ref="D143:D146"/>
    <mergeCell ref="E143:E146"/>
    <mergeCell ref="F143:F146"/>
    <mergeCell ref="G143:G146"/>
    <mergeCell ref="H143:H146"/>
    <mergeCell ref="I143:I146"/>
    <mergeCell ref="J143:J146"/>
    <mergeCell ref="K143:K146"/>
    <mergeCell ref="H138:H142"/>
    <mergeCell ref="I138:I142"/>
    <mergeCell ref="J138:J142"/>
    <mergeCell ref="K138:K142"/>
    <mergeCell ref="L138:L142"/>
    <mergeCell ref="C138:C142"/>
    <mergeCell ref="D138:D142"/>
    <mergeCell ref="E138:E142"/>
    <mergeCell ref="F138:F142"/>
    <mergeCell ref="G138:G142"/>
    <mergeCell ref="H134:H137"/>
    <mergeCell ref="I134:I137"/>
    <mergeCell ref="J134:J137"/>
    <mergeCell ref="K134:K137"/>
    <mergeCell ref="L134:L137"/>
    <mergeCell ref="C134:C137"/>
    <mergeCell ref="D134:D137"/>
    <mergeCell ref="E134:E137"/>
    <mergeCell ref="F134:F137"/>
    <mergeCell ref="G134:G137"/>
    <mergeCell ref="H127:H131"/>
    <mergeCell ref="I127:I131"/>
    <mergeCell ref="J127:J131"/>
    <mergeCell ref="K127:K131"/>
    <mergeCell ref="L127:L131"/>
    <mergeCell ref="C127:C131"/>
    <mergeCell ref="D127:D131"/>
    <mergeCell ref="E127:E131"/>
    <mergeCell ref="F127:F131"/>
    <mergeCell ref="G127:G131"/>
    <mergeCell ref="Q34:Q38"/>
    <mergeCell ref="P34:P38"/>
    <mergeCell ref="O34:O38"/>
    <mergeCell ref="N34:N38"/>
    <mergeCell ref="M34:M38"/>
    <mergeCell ref="L34:L38"/>
    <mergeCell ref="K34:K38"/>
    <mergeCell ref="C25:C28"/>
    <mergeCell ref="D25:D28"/>
    <mergeCell ref="C34:C38"/>
    <mergeCell ref="D34:D38"/>
    <mergeCell ref="E34:E38"/>
    <mergeCell ref="F34:F38"/>
    <mergeCell ref="G34:G38"/>
    <mergeCell ref="Q29:Q32"/>
    <mergeCell ref="H29:H32"/>
    <mergeCell ref="I29:I32"/>
    <mergeCell ref="J29:J32"/>
    <mergeCell ref="C29:C32"/>
    <mergeCell ref="C12:C15"/>
    <mergeCell ref="D12:D15"/>
    <mergeCell ref="E12:E15"/>
    <mergeCell ref="F12:F15"/>
    <mergeCell ref="G12:G15"/>
    <mergeCell ref="H12:H15"/>
    <mergeCell ref="I8:I11"/>
    <mergeCell ref="J8:J11"/>
    <mergeCell ref="I12:I15"/>
    <mergeCell ref="J12:J15"/>
    <mergeCell ref="M3:M6"/>
    <mergeCell ref="N3:N6"/>
    <mergeCell ref="O3:O6"/>
    <mergeCell ref="P3:P6"/>
    <mergeCell ref="C3:C6"/>
    <mergeCell ref="D3:D6"/>
    <mergeCell ref="C8:C11"/>
    <mergeCell ref="D8:D11"/>
    <mergeCell ref="F8:F11"/>
    <mergeCell ref="G8:G11"/>
    <mergeCell ref="H8:H11"/>
    <mergeCell ref="F3:F6"/>
    <mergeCell ref="G3:G6"/>
    <mergeCell ref="O81:O84"/>
    <mergeCell ref="P81:P84"/>
    <mergeCell ref="Q3:Q6"/>
    <mergeCell ref="E3:E6"/>
    <mergeCell ref="K8:K11"/>
    <mergeCell ref="K12:K15"/>
    <mergeCell ref="L8:L11"/>
    <mergeCell ref="M8:M11"/>
    <mergeCell ref="N8:N11"/>
    <mergeCell ref="O8:O11"/>
    <mergeCell ref="P8:P11"/>
    <mergeCell ref="Q8:Q11"/>
    <mergeCell ref="L12:L15"/>
    <mergeCell ref="M12:M15"/>
    <mergeCell ref="N12:N15"/>
    <mergeCell ref="O12:O15"/>
    <mergeCell ref="P12:P15"/>
    <mergeCell ref="Q12:Q15"/>
    <mergeCell ref="E8:E11"/>
    <mergeCell ref="H3:H6"/>
    <mergeCell ref="I3:I6"/>
    <mergeCell ref="J3:J6"/>
    <mergeCell ref="K3:K6"/>
    <mergeCell ref="L3:L6"/>
  </mergeCells>
  <pageMargins left="0.7" right="0.7" top="0.75" bottom="0.75" header="0.3" footer="0.3"/>
  <pageSetup paperSize="9" orientation="portrait" r:id="rId1"/>
  <ignoredErrors>
    <ignoredError sqref="M72"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RA'!$I$3:$I$18</xm:f>
          </x14:formula1>
          <xm:sqref>B3:B152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4.45"/>
  <cols>
    <col min="2" max="2" width="29.28515625" customWidth="1"/>
  </cols>
  <sheetData>
    <row r="1" spans="2:2" ht="16.5">
      <c r="B1" s="1" t="s">
        <v>378</v>
      </c>
    </row>
    <row r="2" spans="2:2" ht="16.5">
      <c r="B2" s="1" t="s">
        <v>379</v>
      </c>
    </row>
    <row r="3" spans="2:2" ht="16.5">
      <c r="B3" s="1" t="s">
        <v>380</v>
      </c>
    </row>
    <row r="4" spans="2:2" ht="16.5">
      <c r="B4" s="1" t="s">
        <v>381</v>
      </c>
    </row>
    <row r="5" spans="2:2" ht="16.5">
      <c r="B5" s="1" t="s">
        <v>382</v>
      </c>
    </row>
    <row r="6" spans="2:2" ht="16.5">
      <c r="B6" s="1" t="s">
        <v>383</v>
      </c>
    </row>
    <row r="7" spans="2:2" ht="16.5">
      <c r="B7" s="1" t="s">
        <v>384</v>
      </c>
    </row>
    <row r="8" spans="2:2" ht="16.5">
      <c r="B8" s="1" t="s">
        <v>385</v>
      </c>
    </row>
    <row r="9" spans="2:2" ht="16.5">
      <c r="B9" s="1" t="s">
        <v>386</v>
      </c>
    </row>
    <row r="10" spans="2:2" ht="16.5">
      <c r="B10" s="1" t="s">
        <v>63</v>
      </c>
    </row>
    <row r="11" spans="2:2" ht="16.5">
      <c r="B11" s="1" t="s">
        <v>387</v>
      </c>
    </row>
    <row r="12" spans="2:2" ht="16.5">
      <c r="B12" s="1" t="s">
        <v>388</v>
      </c>
    </row>
    <row r="13" spans="2:2" ht="16.5">
      <c r="B13" s="1" t="s">
        <v>389</v>
      </c>
    </row>
    <row r="14" spans="2:2" ht="16.5">
      <c r="B14" s="1" t="s">
        <v>67</v>
      </c>
    </row>
    <row r="15" spans="2:2" ht="16.5">
      <c r="B15" s="1" t="s">
        <v>59</v>
      </c>
    </row>
    <row r="16" spans="2:2" ht="16.5">
      <c r="B16" s="1" t="s">
        <v>111</v>
      </c>
    </row>
    <row r="17" spans="2:2" ht="16.5">
      <c r="B17" s="1" t="s">
        <v>390</v>
      </c>
    </row>
    <row r="18" spans="2:2" ht="16.5">
      <c r="B18" s="1" t="s">
        <v>391</v>
      </c>
    </row>
    <row r="19" spans="2:2" ht="16.5">
      <c r="B19" s="1" t="s">
        <v>70</v>
      </c>
    </row>
    <row r="20" spans="2:2" ht="16.5">
      <c r="B20" s="1" t="s">
        <v>392</v>
      </c>
    </row>
    <row r="21" spans="2:2" ht="16.5">
      <c r="B21" s="1" t="s">
        <v>393</v>
      </c>
    </row>
    <row r="22" spans="2:2" ht="16.5">
      <c r="B22" s="1" t="s">
        <v>394</v>
      </c>
    </row>
    <row r="23" spans="2:2" ht="16.5">
      <c r="B23" s="1" t="s">
        <v>65</v>
      </c>
    </row>
    <row r="24" spans="2:2" ht="16.5">
      <c r="B24" s="1" t="s">
        <v>395</v>
      </c>
    </row>
    <row r="25" spans="2:2" ht="16.5">
      <c r="B25" s="1" t="s">
        <v>396</v>
      </c>
    </row>
    <row r="26" spans="2:2" ht="16.5">
      <c r="B26" s="1" t="s">
        <v>397</v>
      </c>
    </row>
    <row r="27" spans="2:2" ht="16.5">
      <c r="B27" s="1" t="s">
        <v>398</v>
      </c>
    </row>
    <row r="28" spans="2:2" ht="16.5">
      <c r="B28" s="1" t="s">
        <v>399</v>
      </c>
    </row>
    <row r="29" spans="2:2" ht="16.5">
      <c r="B29" s="1" t="s">
        <v>400</v>
      </c>
    </row>
    <row r="30" spans="2:2" ht="16.5">
      <c r="B30" s="1" t="s">
        <v>401</v>
      </c>
    </row>
    <row r="31" spans="2:2" ht="16.5">
      <c r="B31" s="1" t="s">
        <v>402</v>
      </c>
    </row>
    <row r="32" spans="2:2" ht="16.5">
      <c r="B32" s="1" t="s">
        <v>403</v>
      </c>
    </row>
    <row r="33" spans="2:2" ht="16.5">
      <c r="B33" s="1" t="s">
        <v>404</v>
      </c>
    </row>
    <row r="34" spans="2:2" ht="16.5">
      <c r="B34" s="1" t="s">
        <v>405</v>
      </c>
    </row>
    <row r="35" spans="2:2" ht="16.5">
      <c r="B35" s="1" t="s">
        <v>406</v>
      </c>
    </row>
    <row r="36" spans="2:2" ht="16.5">
      <c r="B36" s="1" t="s">
        <v>407</v>
      </c>
    </row>
    <row r="37" spans="2:2" ht="16.5">
      <c r="B37" s="1" t="s">
        <v>408</v>
      </c>
    </row>
    <row r="38" spans="2:2" ht="16.5">
      <c r="B38" s="1" t="s">
        <v>409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C1" zoomScale="90" zoomScaleNormal="90" workbookViewId="0">
      <selection activeCell="AK1" sqref="AK1:BA93"/>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c r="A1" s="1"/>
      <c r="B1" s="1"/>
      <c r="C1" s="1"/>
      <c r="D1" s="1"/>
      <c r="E1" s="1"/>
      <c r="F1" s="1"/>
      <c r="G1" s="1"/>
      <c r="H1" s="1"/>
      <c r="I1" s="1"/>
      <c r="J1" s="1"/>
      <c r="K1" s="1"/>
      <c r="L1" s="1"/>
      <c r="M1" s="1"/>
      <c r="N1" s="1"/>
      <c r="O1" s="1"/>
      <c r="P1" s="1"/>
      <c r="Q1" s="1"/>
      <c r="R1" s="1"/>
      <c r="S1" s="149" t="s">
        <v>410</v>
      </c>
      <c r="T1" s="149"/>
      <c r="U1" s="149"/>
      <c r="V1" s="149"/>
      <c r="W1" s="149"/>
      <c r="X1" s="149"/>
      <c r="Y1" s="149"/>
      <c r="Z1" s="149"/>
      <c r="AA1" s="149"/>
      <c r="AB1" s="149"/>
      <c r="AC1" s="149"/>
      <c r="AD1" s="149"/>
      <c r="AE1" s="149"/>
      <c r="AF1" s="149"/>
      <c r="AG1" s="149"/>
      <c r="AH1" s="14"/>
      <c r="AI1" s="14"/>
      <c r="AJ1" s="14"/>
      <c r="AK1" s="1"/>
      <c r="AL1" s="149" t="s">
        <v>411</v>
      </c>
      <c r="AM1" s="149"/>
      <c r="AN1" s="149"/>
      <c r="AO1" s="149"/>
      <c r="AP1" s="149"/>
      <c r="AQ1" s="149"/>
      <c r="AR1" s="14"/>
      <c r="AS1" s="14"/>
      <c r="AT1" s="149" t="s">
        <v>412</v>
      </c>
      <c r="AU1" s="149"/>
      <c r="AV1" s="149"/>
      <c r="AW1" s="149"/>
      <c r="AX1" s="149"/>
      <c r="AY1" s="149"/>
      <c r="AZ1" s="14"/>
      <c r="BA1" s="1"/>
      <c r="BB1" s="1"/>
      <c r="BC1" s="14"/>
    </row>
    <row r="2" spans="1:55">
      <c r="A2" s="1"/>
      <c r="B2" s="1"/>
      <c r="C2" s="1"/>
      <c r="D2" s="1"/>
      <c r="E2" s="1"/>
      <c r="F2" s="1"/>
      <c r="G2" s="1"/>
      <c r="H2" s="1"/>
      <c r="I2" s="1"/>
      <c r="J2" s="1"/>
      <c r="K2" s="1"/>
      <c r="L2" s="149" t="s">
        <v>413</v>
      </c>
      <c r="M2" s="149"/>
      <c r="N2" s="149"/>
      <c r="O2" s="149"/>
      <c r="P2" s="149"/>
      <c r="Q2" s="149"/>
      <c r="R2" s="1"/>
      <c r="S2" s="150" t="s">
        <v>414</v>
      </c>
      <c r="T2" s="150"/>
      <c r="U2" s="150"/>
      <c r="V2" s="150"/>
      <c r="W2" s="150"/>
      <c r="X2" s="150"/>
      <c r="Y2" s="151" t="s">
        <v>415</v>
      </c>
      <c r="Z2" s="151"/>
      <c r="AA2" s="151"/>
      <c r="AB2" s="151"/>
      <c r="AC2" s="151" t="s">
        <v>416</v>
      </c>
      <c r="AD2" s="151"/>
      <c r="AE2" s="151"/>
      <c r="AF2" s="151"/>
      <c r="AG2" s="151"/>
      <c r="AH2" s="14"/>
      <c r="AI2" s="14"/>
      <c r="AJ2" s="14"/>
      <c r="AK2" s="1"/>
      <c r="AL2" s="149"/>
      <c r="AM2" s="149"/>
      <c r="AN2" s="149"/>
      <c r="AO2" s="149"/>
      <c r="AP2" s="149"/>
      <c r="AQ2" s="149"/>
      <c r="AR2" s="14"/>
      <c r="AS2" s="14"/>
      <c r="AT2" s="14"/>
      <c r="AU2" s="14"/>
      <c r="AV2" s="14"/>
      <c r="AW2" s="14"/>
      <c r="AX2" s="14"/>
      <c r="AY2" s="14"/>
      <c r="AZ2" s="14"/>
      <c r="BA2" s="1"/>
      <c r="BB2" s="1"/>
      <c r="BC2" s="14"/>
    </row>
    <row r="3" spans="1:55">
      <c r="A3" s="1" t="s">
        <v>417</v>
      </c>
      <c r="B3" s="1"/>
      <c r="C3" s="1" t="s">
        <v>94</v>
      </c>
      <c r="D3" s="1" t="s">
        <v>418</v>
      </c>
      <c r="E3" s="1" t="s">
        <v>419</v>
      </c>
      <c r="F3" s="1"/>
      <c r="G3" s="1" t="s">
        <v>118</v>
      </c>
      <c r="H3" s="1" t="s">
        <v>420</v>
      </c>
      <c r="I3" s="1" t="s">
        <v>421</v>
      </c>
      <c r="J3" s="1"/>
      <c r="K3" s="1"/>
      <c r="L3" s="1" t="s">
        <v>422</v>
      </c>
      <c r="M3" s="1" t="s">
        <v>119</v>
      </c>
      <c r="N3" s="1" t="s">
        <v>423</v>
      </c>
      <c r="O3" s="1" t="s">
        <v>424</v>
      </c>
      <c r="P3" s="1" t="s">
        <v>425</v>
      </c>
      <c r="Q3" s="1" t="s">
        <v>426</v>
      </c>
      <c r="R3" s="1"/>
      <c r="S3" s="1" t="s">
        <v>427</v>
      </c>
      <c r="T3" s="1" t="s">
        <v>96</v>
      </c>
      <c r="U3" s="1" t="s">
        <v>428</v>
      </c>
      <c r="V3" s="1" t="s">
        <v>110</v>
      </c>
      <c r="W3" s="1" t="s">
        <v>429</v>
      </c>
      <c r="X3" s="1" t="s">
        <v>430</v>
      </c>
      <c r="Y3" s="1" t="s">
        <v>431</v>
      </c>
      <c r="Z3" s="1" t="s">
        <v>108</v>
      </c>
      <c r="AA3" s="1" t="s">
        <v>100</v>
      </c>
      <c r="AB3" s="1" t="s">
        <v>432</v>
      </c>
      <c r="AC3" s="1" t="s">
        <v>433</v>
      </c>
      <c r="AD3" s="1" t="s">
        <v>434</v>
      </c>
      <c r="AE3" s="1" t="s">
        <v>104</v>
      </c>
      <c r="AF3" s="1" t="s">
        <v>435</v>
      </c>
      <c r="AG3" s="1" t="s">
        <v>436</v>
      </c>
      <c r="AH3" s="1"/>
      <c r="AI3" s="1"/>
      <c r="AJ3" s="1"/>
      <c r="AK3" s="1"/>
      <c r="AL3" s="127" t="s">
        <v>437</v>
      </c>
      <c r="AM3" s="127"/>
      <c r="AN3" s="127"/>
      <c r="AO3" s="127" t="s">
        <v>438</v>
      </c>
      <c r="AP3" s="127"/>
      <c r="AQ3" s="127"/>
      <c r="AR3" s="15"/>
      <c r="AS3" s="15"/>
      <c r="AT3" s="15"/>
      <c r="AU3" s="15"/>
      <c r="AV3" s="15"/>
      <c r="AW3" s="15"/>
      <c r="AX3" s="15"/>
      <c r="AY3" s="15"/>
      <c r="AZ3" s="15"/>
      <c r="BA3" s="1"/>
      <c r="BB3" s="1"/>
      <c r="BC3" s="15"/>
    </row>
    <row r="4" spans="1:55">
      <c r="A4" s="1" t="s">
        <v>117</v>
      </c>
      <c r="B4" s="1"/>
      <c r="C4" s="1" t="s">
        <v>95</v>
      </c>
      <c r="D4" s="1" t="s">
        <v>439</v>
      </c>
      <c r="E4" s="1" t="s">
        <v>440</v>
      </c>
      <c r="F4" s="1"/>
      <c r="G4" s="1" t="s">
        <v>422</v>
      </c>
      <c r="H4" s="1" t="s">
        <v>422</v>
      </c>
      <c r="I4" s="1" t="s">
        <v>422</v>
      </c>
      <c r="J4" s="1"/>
      <c r="K4" s="1"/>
      <c r="L4" s="1" t="s">
        <v>441</v>
      </c>
      <c r="M4" s="1" t="s">
        <v>383</v>
      </c>
      <c r="N4" s="1" t="s">
        <v>101</v>
      </c>
      <c r="O4" s="1" t="s">
        <v>442</v>
      </c>
      <c r="P4" s="1" t="s">
        <v>443</v>
      </c>
      <c r="Q4" s="1" t="s">
        <v>444</v>
      </c>
      <c r="R4" s="1"/>
      <c r="S4" s="1" t="s">
        <v>441</v>
      </c>
      <c r="T4" s="1" t="s">
        <v>383</v>
      </c>
      <c r="U4" s="1" t="s">
        <v>101</v>
      </c>
      <c r="V4" s="1" t="s">
        <v>442</v>
      </c>
      <c r="W4" s="1" t="s">
        <v>443</v>
      </c>
      <c r="X4" s="1" t="s">
        <v>444</v>
      </c>
      <c r="Y4" s="1" t="s">
        <v>445</v>
      </c>
      <c r="Z4" s="1" t="s">
        <v>446</v>
      </c>
      <c r="AA4" s="1" t="s">
        <v>447</v>
      </c>
      <c r="AB4" s="1" t="s">
        <v>448</v>
      </c>
      <c r="AC4" s="1" t="s">
        <v>449</v>
      </c>
      <c r="AD4" s="1" t="s">
        <v>445</v>
      </c>
      <c r="AE4" s="1" t="s">
        <v>449</v>
      </c>
      <c r="AF4" s="1" t="s">
        <v>450</v>
      </c>
      <c r="AG4" s="1" t="s">
        <v>451</v>
      </c>
      <c r="AH4" s="1"/>
      <c r="AI4" s="1"/>
      <c r="AJ4" s="1"/>
      <c r="AK4" s="1"/>
      <c r="AL4" s="16" t="s">
        <v>452</v>
      </c>
      <c r="AM4" s="16" t="s">
        <v>453</v>
      </c>
      <c r="AN4" s="16" t="s">
        <v>454</v>
      </c>
      <c r="AO4" s="16" t="s">
        <v>455</v>
      </c>
      <c r="AP4" s="17" t="s">
        <v>456</v>
      </c>
      <c r="AQ4" s="16" t="s">
        <v>457</v>
      </c>
      <c r="AR4" s="15"/>
      <c r="AS4" s="15"/>
      <c r="AT4" s="1" t="s">
        <v>458</v>
      </c>
      <c r="AU4" s="1" t="s">
        <v>459</v>
      </c>
      <c r="AV4" s="1" t="s">
        <v>460</v>
      </c>
      <c r="AW4" s="1" t="s">
        <v>461</v>
      </c>
      <c r="AX4" s="1" t="s">
        <v>462</v>
      </c>
      <c r="AY4" s="1" t="s">
        <v>463</v>
      </c>
      <c r="AZ4" s="15"/>
      <c r="BA4" s="1"/>
      <c r="BB4" s="1"/>
      <c r="BC4" s="15"/>
    </row>
    <row r="5" spans="1:55">
      <c r="A5" s="1" t="s">
        <v>94</v>
      </c>
      <c r="B5" s="1"/>
      <c r="C5" s="1" t="s">
        <v>99</v>
      </c>
      <c r="D5" s="1" t="s">
        <v>464</v>
      </c>
      <c r="E5" s="1" t="s">
        <v>465</v>
      </c>
      <c r="F5" s="1"/>
      <c r="G5" s="1" t="s">
        <v>119</v>
      </c>
      <c r="H5" s="1" t="s">
        <v>119</v>
      </c>
      <c r="I5" s="1" t="s">
        <v>119</v>
      </c>
      <c r="J5" s="1"/>
      <c r="K5" s="1"/>
      <c r="L5" s="1" t="s">
        <v>466</v>
      </c>
      <c r="M5" s="1" t="s">
        <v>467</v>
      </c>
      <c r="N5" s="1" t="s">
        <v>468</v>
      </c>
      <c r="O5" s="1" t="s">
        <v>72</v>
      </c>
      <c r="P5" s="1" t="s">
        <v>380</v>
      </c>
      <c r="Q5" s="1" t="s">
        <v>469</v>
      </c>
      <c r="R5" s="1"/>
      <c r="S5" s="1" t="s">
        <v>466</v>
      </c>
      <c r="T5" s="1" t="s">
        <v>467</v>
      </c>
      <c r="U5" s="1" t="s">
        <v>468</v>
      </c>
      <c r="V5" s="1" t="s">
        <v>72</v>
      </c>
      <c r="W5" s="1" t="s">
        <v>380</v>
      </c>
      <c r="X5" s="1" t="s">
        <v>469</v>
      </c>
      <c r="Y5" s="1" t="s">
        <v>443</v>
      </c>
      <c r="Z5" s="1" t="s">
        <v>442</v>
      </c>
      <c r="AA5" s="1" t="s">
        <v>470</v>
      </c>
      <c r="AB5" s="1" t="s">
        <v>471</v>
      </c>
      <c r="AC5" s="1" t="s">
        <v>472</v>
      </c>
      <c r="AD5" s="1" t="s">
        <v>473</v>
      </c>
      <c r="AE5" s="1" t="s">
        <v>474</v>
      </c>
      <c r="AF5" s="1" t="s">
        <v>475</v>
      </c>
      <c r="AG5" s="1" t="s">
        <v>476</v>
      </c>
      <c r="AH5" s="1"/>
      <c r="AI5" s="1"/>
      <c r="AJ5" s="1"/>
      <c r="AK5" s="1"/>
      <c r="AL5" s="18" t="s">
        <v>477</v>
      </c>
      <c r="AM5" s="18" t="s">
        <v>478</v>
      </c>
      <c r="AN5" s="18" t="s">
        <v>470</v>
      </c>
      <c r="AO5" s="18" t="s">
        <v>479</v>
      </c>
      <c r="AP5" s="18" t="s">
        <v>443</v>
      </c>
      <c r="AQ5" s="18" t="s">
        <v>388</v>
      </c>
      <c r="AR5" s="18"/>
      <c r="AS5" s="18"/>
      <c r="AT5" s="19" t="s">
        <v>477</v>
      </c>
      <c r="AU5" s="20" t="s">
        <v>383</v>
      </c>
      <c r="AV5" s="19" t="s">
        <v>479</v>
      </c>
      <c r="AW5" s="19" t="s">
        <v>470</v>
      </c>
      <c r="AX5" s="20" t="s">
        <v>449</v>
      </c>
      <c r="AY5" s="20" t="s">
        <v>449</v>
      </c>
      <c r="AZ5" s="18"/>
      <c r="BA5" s="1"/>
      <c r="BB5" s="1"/>
      <c r="BC5" s="18"/>
    </row>
    <row r="6" spans="1:55">
      <c r="A6" s="1" t="s">
        <v>418</v>
      </c>
      <c r="B6" s="1"/>
      <c r="C6" s="1" t="s">
        <v>103</v>
      </c>
      <c r="D6" s="1" t="s">
        <v>480</v>
      </c>
      <c r="E6" s="1" t="s">
        <v>481</v>
      </c>
      <c r="F6" s="1"/>
      <c r="G6" s="1" t="s">
        <v>423</v>
      </c>
      <c r="H6" s="1" t="s">
        <v>423</v>
      </c>
      <c r="I6" s="1" t="s">
        <v>423</v>
      </c>
      <c r="J6" s="1"/>
      <c r="K6" s="1"/>
      <c r="L6" s="1" t="s">
        <v>482</v>
      </c>
      <c r="M6" s="1" t="s">
        <v>483</v>
      </c>
      <c r="N6" s="1" t="s">
        <v>484</v>
      </c>
      <c r="O6" s="1" t="s">
        <v>485</v>
      </c>
      <c r="P6" s="1" t="s">
        <v>448</v>
      </c>
      <c r="Q6" s="1" t="s">
        <v>486</v>
      </c>
      <c r="R6" s="1"/>
      <c r="S6" s="1" t="s">
        <v>482</v>
      </c>
      <c r="T6" s="1" t="s">
        <v>483</v>
      </c>
      <c r="U6" s="1" t="s">
        <v>484</v>
      </c>
      <c r="V6" s="1" t="s">
        <v>485</v>
      </c>
      <c r="W6" s="1" t="s">
        <v>448</v>
      </c>
      <c r="X6" s="1" t="s">
        <v>486</v>
      </c>
      <c r="Y6" s="1" t="s">
        <v>487</v>
      </c>
      <c r="Z6" s="1" t="s">
        <v>487</v>
      </c>
      <c r="AA6" s="1" t="s">
        <v>443</v>
      </c>
      <c r="AB6" s="1" t="s">
        <v>478</v>
      </c>
      <c r="AC6" s="1" t="s">
        <v>488</v>
      </c>
      <c r="AD6" s="1" t="s">
        <v>477</v>
      </c>
      <c r="AE6" s="1" t="s">
        <v>477</v>
      </c>
      <c r="AF6" s="1" t="s">
        <v>448</v>
      </c>
      <c r="AG6" s="1" t="s">
        <v>489</v>
      </c>
      <c r="AH6" s="1"/>
      <c r="AI6" s="1"/>
      <c r="AJ6" s="1"/>
      <c r="AK6" s="1"/>
      <c r="AL6" s="18" t="s">
        <v>482</v>
      </c>
      <c r="AM6" s="18" t="s">
        <v>490</v>
      </c>
      <c r="AN6" s="18" t="s">
        <v>479</v>
      </c>
      <c r="AO6" s="18" t="s">
        <v>442</v>
      </c>
      <c r="AP6" s="18" t="s">
        <v>491</v>
      </c>
      <c r="AQ6" s="18" t="s">
        <v>492</v>
      </c>
      <c r="AR6" s="18"/>
      <c r="AS6" s="18"/>
      <c r="AT6" s="21" t="s">
        <v>482</v>
      </c>
      <c r="AU6" s="22" t="s">
        <v>467</v>
      </c>
      <c r="AV6" s="20" t="s">
        <v>442</v>
      </c>
      <c r="AW6" s="21" t="s">
        <v>479</v>
      </c>
      <c r="AX6" s="22" t="s">
        <v>450</v>
      </c>
      <c r="AY6" s="20" t="s">
        <v>474</v>
      </c>
      <c r="AZ6" s="18"/>
      <c r="BA6" s="1"/>
      <c r="BB6" s="1"/>
      <c r="BC6" s="18"/>
    </row>
    <row r="7" spans="1:55">
      <c r="A7" s="1" t="s">
        <v>419</v>
      </c>
      <c r="B7" s="1"/>
      <c r="C7" s="1"/>
      <c r="D7" s="1" t="s">
        <v>493</v>
      </c>
      <c r="E7" s="1"/>
      <c r="F7" s="1"/>
      <c r="G7" s="1" t="s">
        <v>424</v>
      </c>
      <c r="H7" s="1" t="s">
        <v>424</v>
      </c>
      <c r="I7" s="1" t="s">
        <v>424</v>
      </c>
      <c r="J7" s="1"/>
      <c r="K7" s="1"/>
      <c r="L7" s="1" t="s">
        <v>494</v>
      </c>
      <c r="M7" s="1" t="s">
        <v>384</v>
      </c>
      <c r="N7" s="1" t="s">
        <v>495</v>
      </c>
      <c r="O7" s="1" t="s">
        <v>496</v>
      </c>
      <c r="P7" s="1" t="s">
        <v>448</v>
      </c>
      <c r="Q7" s="1" t="s">
        <v>497</v>
      </c>
      <c r="R7" s="1"/>
      <c r="S7" s="1" t="s">
        <v>494</v>
      </c>
      <c r="T7" s="1" t="s">
        <v>384</v>
      </c>
      <c r="U7" s="1" t="s">
        <v>495</v>
      </c>
      <c r="V7" s="1" t="s">
        <v>496</v>
      </c>
      <c r="W7" s="1" t="s">
        <v>448</v>
      </c>
      <c r="X7" s="1" t="s">
        <v>497</v>
      </c>
      <c r="Y7" s="1" t="s">
        <v>497</v>
      </c>
      <c r="Z7" s="1" t="s">
        <v>498</v>
      </c>
      <c r="AA7" s="1" t="s">
        <v>487</v>
      </c>
      <c r="AB7" s="1" t="s">
        <v>499</v>
      </c>
      <c r="AC7" s="1" t="s">
        <v>101</v>
      </c>
      <c r="AD7" s="1" t="s">
        <v>500</v>
      </c>
      <c r="AE7" s="1" t="s">
        <v>501</v>
      </c>
      <c r="AF7" s="1" t="s">
        <v>502</v>
      </c>
      <c r="AG7" s="1" t="s">
        <v>503</v>
      </c>
      <c r="AH7" s="1"/>
      <c r="AI7" s="1"/>
      <c r="AJ7" s="1"/>
      <c r="AK7" s="1"/>
      <c r="AL7" s="18" t="s">
        <v>504</v>
      </c>
      <c r="AM7" s="18" t="s">
        <v>505</v>
      </c>
      <c r="AN7" s="18" t="s">
        <v>485</v>
      </c>
      <c r="AO7" s="18" t="s">
        <v>506</v>
      </c>
      <c r="AP7" s="18" t="s">
        <v>489</v>
      </c>
      <c r="AQ7" s="18" t="s">
        <v>507</v>
      </c>
      <c r="AR7" s="18"/>
      <c r="AS7" s="18"/>
      <c r="AT7" s="19" t="s">
        <v>504</v>
      </c>
      <c r="AU7" s="1" t="s">
        <v>478</v>
      </c>
      <c r="AV7" s="22" t="s">
        <v>72</v>
      </c>
      <c r="AW7" s="20" t="s">
        <v>101</v>
      </c>
      <c r="AX7" s="20" t="s">
        <v>474</v>
      </c>
      <c r="AY7" s="20" t="s">
        <v>476</v>
      </c>
      <c r="AZ7" s="18"/>
      <c r="BA7" s="1"/>
      <c r="BB7" s="1"/>
      <c r="BC7" s="18"/>
    </row>
    <row r="8" spans="1:55">
      <c r="A8" s="1"/>
      <c r="B8" s="1"/>
      <c r="C8" s="1"/>
      <c r="D8" s="1"/>
      <c r="E8" s="1"/>
      <c r="F8" s="1"/>
      <c r="G8" s="1" t="s">
        <v>425</v>
      </c>
      <c r="H8" s="1" t="s">
        <v>425</v>
      </c>
      <c r="I8" s="1" t="s">
        <v>425</v>
      </c>
      <c r="J8" s="1"/>
      <c r="K8" s="1"/>
      <c r="L8" s="1" t="s">
        <v>508</v>
      </c>
      <c r="M8" s="1" t="s">
        <v>509</v>
      </c>
      <c r="N8" s="1" t="s">
        <v>385</v>
      </c>
      <c r="O8" s="1" t="s">
        <v>490</v>
      </c>
      <c r="P8" s="1" t="s">
        <v>510</v>
      </c>
      <c r="Q8" s="1" t="s">
        <v>511</v>
      </c>
      <c r="R8" s="1"/>
      <c r="S8" s="1" t="s">
        <v>508</v>
      </c>
      <c r="T8" s="1" t="s">
        <v>509</v>
      </c>
      <c r="U8" s="1" t="s">
        <v>385</v>
      </c>
      <c r="V8" s="1" t="s">
        <v>490</v>
      </c>
      <c r="W8" s="1" t="s">
        <v>510</v>
      </c>
      <c r="X8" s="1" t="s">
        <v>511</v>
      </c>
      <c r="Y8" s="1" t="s">
        <v>72</v>
      </c>
      <c r="Z8" s="1" t="s">
        <v>101</v>
      </c>
      <c r="AA8" s="1" t="s">
        <v>512</v>
      </c>
      <c r="AB8" s="1" t="s">
        <v>513</v>
      </c>
      <c r="AC8" s="1" t="s">
        <v>514</v>
      </c>
      <c r="AD8" s="1" t="s">
        <v>381</v>
      </c>
      <c r="AE8" s="1" t="s">
        <v>515</v>
      </c>
      <c r="AF8" s="1" t="s">
        <v>516</v>
      </c>
      <c r="AG8" s="1" t="s">
        <v>496</v>
      </c>
      <c r="AH8" s="1"/>
      <c r="AI8" s="1"/>
      <c r="AJ8" s="1"/>
      <c r="AK8" s="1"/>
      <c r="AL8" s="18" t="s">
        <v>508</v>
      </c>
      <c r="AM8" s="18" t="s">
        <v>517</v>
      </c>
      <c r="AN8" s="18" t="s">
        <v>496</v>
      </c>
      <c r="AO8" s="18" t="s">
        <v>518</v>
      </c>
      <c r="AP8" s="18" t="s">
        <v>519</v>
      </c>
      <c r="AQ8" s="18" t="s">
        <v>520</v>
      </c>
      <c r="AR8" s="18"/>
      <c r="AS8" s="18"/>
      <c r="AT8" s="21" t="s">
        <v>508</v>
      </c>
      <c r="AU8" s="20" t="s">
        <v>483</v>
      </c>
      <c r="AV8" s="20" t="s">
        <v>101</v>
      </c>
      <c r="AW8" s="19" t="s">
        <v>485</v>
      </c>
      <c r="AX8" s="22" t="s">
        <v>476</v>
      </c>
      <c r="AY8" s="20" t="s">
        <v>501</v>
      </c>
      <c r="AZ8" s="18"/>
      <c r="BA8" s="1"/>
      <c r="BB8" s="1"/>
      <c r="BC8" s="18"/>
    </row>
    <row r="9" spans="1:55">
      <c r="A9" s="1"/>
      <c r="B9" s="1"/>
      <c r="C9" s="1"/>
      <c r="D9" s="1"/>
      <c r="E9" s="1"/>
      <c r="F9" s="1"/>
      <c r="G9" s="1" t="s">
        <v>426</v>
      </c>
      <c r="H9" s="1" t="s">
        <v>426</v>
      </c>
      <c r="I9" s="1" t="s">
        <v>426</v>
      </c>
      <c r="J9" s="1"/>
      <c r="K9" s="1"/>
      <c r="L9" s="1" t="s">
        <v>387</v>
      </c>
      <c r="M9" s="1" t="s">
        <v>521</v>
      </c>
      <c r="N9" s="1" t="s">
        <v>522</v>
      </c>
      <c r="O9" s="1" t="s">
        <v>516</v>
      </c>
      <c r="P9" s="1" t="s">
        <v>523</v>
      </c>
      <c r="Q9" s="1" t="s">
        <v>381</v>
      </c>
      <c r="R9" s="1"/>
      <c r="S9" s="1" t="s">
        <v>387</v>
      </c>
      <c r="T9" s="1" t="s">
        <v>521</v>
      </c>
      <c r="U9" s="1" t="s">
        <v>522</v>
      </c>
      <c r="V9" s="1" t="s">
        <v>516</v>
      </c>
      <c r="W9" s="1" t="s">
        <v>523</v>
      </c>
      <c r="X9" s="1" t="s">
        <v>381</v>
      </c>
      <c r="Y9" s="1" t="s">
        <v>101</v>
      </c>
      <c r="Z9" s="1" t="s">
        <v>448</v>
      </c>
      <c r="AA9" s="1" t="s">
        <v>101</v>
      </c>
      <c r="AB9" s="1" t="s">
        <v>495</v>
      </c>
      <c r="AC9" s="1" t="s">
        <v>514</v>
      </c>
      <c r="AD9" s="1" t="s">
        <v>524</v>
      </c>
      <c r="AE9" s="1" t="s">
        <v>525</v>
      </c>
      <c r="AF9" s="1" t="s">
        <v>526</v>
      </c>
      <c r="AG9" s="1" t="s">
        <v>527</v>
      </c>
      <c r="AH9" s="1"/>
      <c r="AI9" s="1"/>
      <c r="AJ9" s="1"/>
      <c r="AK9" s="1"/>
      <c r="AL9" s="18" t="s">
        <v>387</v>
      </c>
      <c r="AM9" s="18" t="s">
        <v>528</v>
      </c>
      <c r="AN9" s="18" t="s">
        <v>502</v>
      </c>
      <c r="AO9" s="18" t="s">
        <v>496</v>
      </c>
      <c r="AP9" s="18" t="s">
        <v>529</v>
      </c>
      <c r="AQ9" s="18" t="s">
        <v>530</v>
      </c>
      <c r="AR9" s="18"/>
      <c r="AS9" s="18"/>
      <c r="AT9" s="19" t="s">
        <v>387</v>
      </c>
      <c r="AU9" s="21" t="s">
        <v>490</v>
      </c>
      <c r="AV9" s="20" t="s">
        <v>506</v>
      </c>
      <c r="AW9" s="22" t="s">
        <v>468</v>
      </c>
      <c r="AX9" s="22" t="s">
        <v>477</v>
      </c>
      <c r="AY9" s="22" t="s">
        <v>515</v>
      </c>
      <c r="AZ9" s="18"/>
      <c r="BA9" s="1"/>
      <c r="BB9" s="1"/>
      <c r="BC9" s="18"/>
    </row>
    <row r="10" spans="1:55">
      <c r="A10" s="1"/>
      <c r="B10" s="1"/>
      <c r="C10" s="1"/>
      <c r="D10" s="1"/>
      <c r="E10" s="1"/>
      <c r="F10" s="1"/>
      <c r="G10" s="1"/>
      <c r="H10" s="1"/>
      <c r="I10" s="1"/>
      <c r="J10" s="1"/>
      <c r="K10" s="1"/>
      <c r="L10" s="1" t="s">
        <v>531</v>
      </c>
      <c r="M10" s="1" t="s">
        <v>532</v>
      </c>
      <c r="N10" s="1" t="s">
        <v>517</v>
      </c>
      <c r="O10" s="1" t="s">
        <v>505</v>
      </c>
      <c r="P10" s="1" t="s">
        <v>485</v>
      </c>
      <c r="Q10" s="1" t="s">
        <v>382</v>
      </c>
      <c r="R10" s="1"/>
      <c r="S10" s="1" t="s">
        <v>531</v>
      </c>
      <c r="T10" s="1" t="s">
        <v>532</v>
      </c>
      <c r="U10" s="1" t="s">
        <v>517</v>
      </c>
      <c r="V10" s="1" t="s">
        <v>505</v>
      </c>
      <c r="W10" s="1" t="s">
        <v>485</v>
      </c>
      <c r="X10" s="1" t="s">
        <v>382</v>
      </c>
      <c r="Y10" s="1" t="s">
        <v>533</v>
      </c>
      <c r="Z10" s="1" t="s">
        <v>513</v>
      </c>
      <c r="AA10" s="1" t="s">
        <v>534</v>
      </c>
      <c r="AB10" s="1" t="s">
        <v>385</v>
      </c>
      <c r="AC10" s="1" t="s">
        <v>535</v>
      </c>
      <c r="AD10" s="1" t="s">
        <v>478</v>
      </c>
      <c r="AE10" s="1" t="s">
        <v>489</v>
      </c>
      <c r="AF10" s="1" t="s">
        <v>536</v>
      </c>
      <c r="AG10" s="1" t="s">
        <v>537</v>
      </c>
      <c r="AH10" s="1"/>
      <c r="AI10" s="1"/>
      <c r="AJ10" s="1"/>
      <c r="AK10" s="1"/>
      <c r="AL10" s="18" t="s">
        <v>531</v>
      </c>
      <c r="AM10" s="18" t="s">
        <v>538</v>
      </c>
      <c r="AN10" s="18" t="s">
        <v>539</v>
      </c>
      <c r="AO10" s="18" t="s">
        <v>540</v>
      </c>
      <c r="AP10" s="18" t="s">
        <v>484</v>
      </c>
      <c r="AQ10" s="18" t="s">
        <v>396</v>
      </c>
      <c r="AR10" s="18"/>
      <c r="AS10" s="18"/>
      <c r="AT10" s="21" t="s">
        <v>531</v>
      </c>
      <c r="AU10" s="22" t="s">
        <v>384</v>
      </c>
      <c r="AV10" s="22" t="s">
        <v>518</v>
      </c>
      <c r="AW10" s="21" t="s">
        <v>496</v>
      </c>
      <c r="AX10" s="22" t="s">
        <v>501</v>
      </c>
      <c r="AY10" s="20" t="s">
        <v>525</v>
      </c>
      <c r="AZ10" s="18"/>
      <c r="BA10" s="1"/>
      <c r="BB10" s="1"/>
      <c r="BC10" s="18"/>
    </row>
    <row r="11" spans="1:55">
      <c r="A11" s="1"/>
      <c r="B11" s="1"/>
      <c r="C11" s="1"/>
      <c r="D11" s="1"/>
      <c r="E11" s="1"/>
      <c r="F11" s="1"/>
      <c r="G11" s="1" t="s">
        <v>439</v>
      </c>
      <c r="H11" s="1" t="s">
        <v>464</v>
      </c>
      <c r="I11" s="1" t="s">
        <v>541</v>
      </c>
      <c r="J11" s="1" t="s">
        <v>493</v>
      </c>
      <c r="K11" s="1"/>
      <c r="L11" s="1" t="s">
        <v>517</v>
      </c>
      <c r="M11" s="1" t="s">
        <v>542</v>
      </c>
      <c r="N11" s="1" t="s">
        <v>543</v>
      </c>
      <c r="O11" s="1" t="s">
        <v>521</v>
      </c>
      <c r="P11" s="1" t="s">
        <v>495</v>
      </c>
      <c r="Q11" s="1" t="s">
        <v>544</v>
      </c>
      <c r="R11" s="1"/>
      <c r="S11" s="1" t="s">
        <v>517</v>
      </c>
      <c r="T11" s="1" t="s">
        <v>542</v>
      </c>
      <c r="U11" s="1" t="s">
        <v>543</v>
      </c>
      <c r="V11" s="1" t="s">
        <v>521</v>
      </c>
      <c r="W11" s="1" t="s">
        <v>495</v>
      </c>
      <c r="X11" s="1" t="s">
        <v>544</v>
      </c>
      <c r="Y11" s="1" t="s">
        <v>448</v>
      </c>
      <c r="Z11" s="1" t="s">
        <v>385</v>
      </c>
      <c r="AA11" s="1" t="s">
        <v>513</v>
      </c>
      <c r="AB11" s="1" t="s">
        <v>545</v>
      </c>
      <c r="AC11" s="1" t="s">
        <v>503</v>
      </c>
      <c r="AD11" s="1" t="s">
        <v>527</v>
      </c>
      <c r="AE11" s="1" t="s">
        <v>514</v>
      </c>
      <c r="AF11" s="1" t="s">
        <v>387</v>
      </c>
      <c r="AG11" s="1" t="s">
        <v>546</v>
      </c>
      <c r="AH11" s="1"/>
      <c r="AI11" s="1"/>
      <c r="AJ11" s="1"/>
      <c r="AK11" s="1"/>
      <c r="AL11" s="18" t="s">
        <v>547</v>
      </c>
      <c r="AM11" s="18" t="s">
        <v>548</v>
      </c>
      <c r="AN11" s="18" t="s">
        <v>517</v>
      </c>
      <c r="AO11" s="18" t="s">
        <v>490</v>
      </c>
      <c r="AP11" s="18" t="s">
        <v>490</v>
      </c>
      <c r="AQ11" s="18" t="s">
        <v>549</v>
      </c>
      <c r="AR11" s="18"/>
      <c r="AS11" s="18"/>
      <c r="AT11" s="19" t="s">
        <v>547</v>
      </c>
      <c r="AU11" s="19" t="s">
        <v>505</v>
      </c>
      <c r="AV11" s="20" t="s">
        <v>485</v>
      </c>
      <c r="AW11" s="20" t="s">
        <v>484</v>
      </c>
      <c r="AX11" s="22" t="s">
        <v>515</v>
      </c>
      <c r="AY11" s="20" t="s">
        <v>475</v>
      </c>
      <c r="AZ11" s="18"/>
      <c r="BA11" s="1"/>
      <c r="BB11" s="1"/>
      <c r="BC11" s="18"/>
    </row>
    <row r="12" spans="1:55">
      <c r="A12" s="1"/>
      <c r="B12" s="1"/>
      <c r="C12" s="1"/>
      <c r="D12" s="1"/>
      <c r="E12" s="1"/>
      <c r="F12" s="1"/>
      <c r="G12" s="1" t="s">
        <v>452</v>
      </c>
      <c r="H12" s="1" t="s">
        <v>452</v>
      </c>
      <c r="I12" s="1" t="s">
        <v>452</v>
      </c>
      <c r="J12" s="1" t="s">
        <v>452</v>
      </c>
      <c r="K12" s="1"/>
      <c r="L12" s="1" t="s">
        <v>550</v>
      </c>
      <c r="M12" s="1" t="s">
        <v>550</v>
      </c>
      <c r="N12" s="1" t="s">
        <v>551</v>
      </c>
      <c r="O12" s="1" t="s">
        <v>526</v>
      </c>
      <c r="P12" s="1" t="s">
        <v>552</v>
      </c>
      <c r="Q12" s="1" t="s">
        <v>485</v>
      </c>
      <c r="R12" s="1"/>
      <c r="S12" s="1" t="s">
        <v>550</v>
      </c>
      <c r="T12" s="1" t="s">
        <v>550</v>
      </c>
      <c r="U12" s="1" t="s">
        <v>551</v>
      </c>
      <c r="V12" s="1" t="s">
        <v>526</v>
      </c>
      <c r="W12" s="1" t="s">
        <v>552</v>
      </c>
      <c r="X12" s="1" t="s">
        <v>485</v>
      </c>
      <c r="Y12" s="1" t="s">
        <v>381</v>
      </c>
      <c r="Z12" s="1" t="s">
        <v>553</v>
      </c>
      <c r="AA12" s="1" t="s">
        <v>554</v>
      </c>
      <c r="AB12" s="1" t="s">
        <v>555</v>
      </c>
      <c r="AC12" s="1" t="s">
        <v>478</v>
      </c>
      <c r="AD12" s="1" t="s">
        <v>384</v>
      </c>
      <c r="AE12" s="1" t="s">
        <v>500</v>
      </c>
      <c r="AF12" s="1" t="s">
        <v>556</v>
      </c>
      <c r="AG12" s="1" t="s">
        <v>385</v>
      </c>
      <c r="AH12" s="1"/>
      <c r="AI12" s="1"/>
      <c r="AJ12" s="1"/>
      <c r="AK12" s="1"/>
      <c r="AL12" s="18" t="s">
        <v>557</v>
      </c>
      <c r="AM12" s="18" t="s">
        <v>558</v>
      </c>
      <c r="AN12" s="18" t="s">
        <v>388</v>
      </c>
      <c r="AO12" s="18" t="s">
        <v>559</v>
      </c>
      <c r="AP12" s="18" t="s">
        <v>560</v>
      </c>
      <c r="AQ12" s="18" t="s">
        <v>561</v>
      </c>
      <c r="AR12" s="18"/>
      <c r="AS12" s="18"/>
      <c r="AT12" s="21" t="s">
        <v>557</v>
      </c>
      <c r="AU12" s="20" t="s">
        <v>509</v>
      </c>
      <c r="AV12" s="22" t="s">
        <v>468</v>
      </c>
      <c r="AW12" s="22" t="s">
        <v>495</v>
      </c>
      <c r="AX12" s="20" t="s">
        <v>525</v>
      </c>
      <c r="AY12" s="22" t="s">
        <v>514</v>
      </c>
      <c r="AZ12" s="18"/>
      <c r="BA12" s="1"/>
      <c r="BB12" s="1"/>
      <c r="BC12" s="18"/>
    </row>
    <row r="13" spans="1:55">
      <c r="A13" s="1"/>
      <c r="B13" s="1"/>
      <c r="C13" s="1"/>
      <c r="D13" s="1"/>
      <c r="E13" s="1"/>
      <c r="F13" s="1"/>
      <c r="G13" s="1" t="s">
        <v>453</v>
      </c>
      <c r="H13" s="1" t="s">
        <v>453</v>
      </c>
      <c r="I13" s="1" t="s">
        <v>453</v>
      </c>
      <c r="J13" s="1" t="s">
        <v>453</v>
      </c>
      <c r="K13" s="1"/>
      <c r="L13" s="1" t="s">
        <v>557</v>
      </c>
      <c r="M13" s="1" t="s">
        <v>556</v>
      </c>
      <c r="N13" s="1" t="s">
        <v>562</v>
      </c>
      <c r="O13" s="1" t="s">
        <v>542</v>
      </c>
      <c r="P13" s="1" t="s">
        <v>563</v>
      </c>
      <c r="Q13" s="1" t="s">
        <v>564</v>
      </c>
      <c r="R13" s="1"/>
      <c r="S13" s="1" t="s">
        <v>557</v>
      </c>
      <c r="T13" s="1" t="s">
        <v>556</v>
      </c>
      <c r="U13" s="1" t="s">
        <v>562</v>
      </c>
      <c r="V13" s="1" t="s">
        <v>542</v>
      </c>
      <c r="W13" s="1" t="s">
        <v>563</v>
      </c>
      <c r="X13" s="1" t="s">
        <v>564</v>
      </c>
      <c r="Y13" s="1" t="s">
        <v>565</v>
      </c>
      <c r="Z13" s="1" t="s">
        <v>551</v>
      </c>
      <c r="AA13" s="1" t="s">
        <v>566</v>
      </c>
      <c r="AB13" s="1" t="s">
        <v>567</v>
      </c>
      <c r="AC13" s="1" t="s">
        <v>385</v>
      </c>
      <c r="AD13" s="1" t="s">
        <v>386</v>
      </c>
      <c r="AE13" s="1" t="s">
        <v>568</v>
      </c>
      <c r="AF13" s="1" t="s">
        <v>543</v>
      </c>
      <c r="AG13" s="1" t="s">
        <v>569</v>
      </c>
      <c r="AH13" s="1"/>
      <c r="AI13" s="1"/>
      <c r="AJ13" s="1"/>
      <c r="AK13" s="1"/>
      <c r="AL13" s="18" t="s">
        <v>570</v>
      </c>
      <c r="AM13" s="18" t="s">
        <v>571</v>
      </c>
      <c r="AN13" s="18" t="s">
        <v>572</v>
      </c>
      <c r="AO13" s="18" t="s">
        <v>573</v>
      </c>
      <c r="AP13" s="18" t="s">
        <v>495</v>
      </c>
      <c r="AQ13" s="18" t="s">
        <v>574</v>
      </c>
      <c r="AR13" s="18"/>
      <c r="AS13" s="18"/>
      <c r="AT13" s="19" t="s">
        <v>570</v>
      </c>
      <c r="AU13" s="22" t="s">
        <v>521</v>
      </c>
      <c r="AV13" s="22" t="s">
        <v>496</v>
      </c>
      <c r="AW13" s="20" t="s">
        <v>385</v>
      </c>
      <c r="AX13" s="22" t="s">
        <v>475</v>
      </c>
      <c r="AY13" s="20" t="s">
        <v>500</v>
      </c>
      <c r="AZ13" s="18"/>
      <c r="BA13" s="1"/>
      <c r="BB13" s="1"/>
      <c r="BC13" s="18"/>
    </row>
    <row r="14" spans="1:55">
      <c r="A14" s="1"/>
      <c r="B14" s="1"/>
      <c r="C14" s="1"/>
      <c r="D14" s="1"/>
      <c r="E14" s="1"/>
      <c r="F14" s="1"/>
      <c r="G14" s="1" t="s">
        <v>454</v>
      </c>
      <c r="H14" s="1" t="s">
        <v>454</v>
      </c>
      <c r="I14" s="1" t="s">
        <v>454</v>
      </c>
      <c r="J14" s="1" t="s">
        <v>454</v>
      </c>
      <c r="K14" s="1"/>
      <c r="L14" s="1" t="s">
        <v>575</v>
      </c>
      <c r="M14" s="1" t="s">
        <v>551</v>
      </c>
      <c r="N14" s="1" t="s">
        <v>67</v>
      </c>
      <c r="O14" s="1" t="s">
        <v>576</v>
      </c>
      <c r="P14" s="1" t="s">
        <v>502</v>
      </c>
      <c r="Q14" s="1" t="s">
        <v>577</v>
      </c>
      <c r="R14" s="1"/>
      <c r="S14" s="1" t="s">
        <v>575</v>
      </c>
      <c r="T14" s="1" t="s">
        <v>551</v>
      </c>
      <c r="U14" s="1" t="s">
        <v>67</v>
      </c>
      <c r="V14" s="1" t="s">
        <v>576</v>
      </c>
      <c r="W14" s="1" t="s">
        <v>502</v>
      </c>
      <c r="X14" s="1" t="s">
        <v>577</v>
      </c>
      <c r="Y14" s="1" t="s">
        <v>529</v>
      </c>
      <c r="Z14" s="1" t="s">
        <v>578</v>
      </c>
      <c r="AA14" s="1" t="s">
        <v>579</v>
      </c>
      <c r="AB14" s="1" t="s">
        <v>578</v>
      </c>
      <c r="AC14" s="1" t="s">
        <v>579</v>
      </c>
      <c r="AD14" s="1" t="s">
        <v>580</v>
      </c>
      <c r="AE14" s="1" t="s">
        <v>581</v>
      </c>
      <c r="AF14" s="1" t="s">
        <v>582</v>
      </c>
      <c r="AG14" s="1" t="s">
        <v>583</v>
      </c>
      <c r="AH14" s="1"/>
      <c r="AI14" s="1"/>
      <c r="AJ14" s="1"/>
      <c r="AK14" s="1"/>
      <c r="AL14" s="18" t="s">
        <v>584</v>
      </c>
      <c r="AM14" s="18" t="s">
        <v>585</v>
      </c>
      <c r="AN14" s="18" t="s">
        <v>557</v>
      </c>
      <c r="AO14" s="18" t="s">
        <v>586</v>
      </c>
      <c r="AP14" s="18" t="s">
        <v>522</v>
      </c>
      <c r="AQ14" s="18" t="s">
        <v>587</v>
      </c>
      <c r="AR14" s="18"/>
      <c r="AS14" s="18"/>
      <c r="AT14" s="21" t="s">
        <v>584</v>
      </c>
      <c r="AU14" s="20" t="s">
        <v>532</v>
      </c>
      <c r="AV14" s="21" t="s">
        <v>540</v>
      </c>
      <c r="AW14" s="19" t="s">
        <v>502</v>
      </c>
      <c r="AX14" s="22" t="s">
        <v>489</v>
      </c>
      <c r="AY14" s="20" t="s">
        <v>568</v>
      </c>
      <c r="AZ14" s="18"/>
      <c r="BA14" s="1"/>
      <c r="BB14" s="1"/>
      <c r="BC14" s="18"/>
    </row>
    <row r="15" spans="1:55">
      <c r="A15" s="1"/>
      <c r="B15" s="1"/>
      <c r="C15" s="1"/>
      <c r="D15" s="1"/>
      <c r="E15" s="1"/>
      <c r="F15" s="1"/>
      <c r="G15" s="1" t="s">
        <v>455</v>
      </c>
      <c r="H15" s="1" t="s">
        <v>455</v>
      </c>
      <c r="I15" s="1" t="s">
        <v>455</v>
      </c>
      <c r="J15" s="1" t="s">
        <v>455</v>
      </c>
      <c r="K15" s="1"/>
      <c r="L15" s="1" t="s">
        <v>570</v>
      </c>
      <c r="M15" s="1" t="s">
        <v>528</v>
      </c>
      <c r="N15" s="1" t="s">
        <v>572</v>
      </c>
      <c r="O15" s="1" t="s">
        <v>388</v>
      </c>
      <c r="P15" s="1" t="s">
        <v>522</v>
      </c>
      <c r="Q15" s="1" t="s">
        <v>478</v>
      </c>
      <c r="R15" s="1"/>
      <c r="S15" s="1" t="s">
        <v>570</v>
      </c>
      <c r="T15" s="1" t="s">
        <v>528</v>
      </c>
      <c r="U15" s="1" t="s">
        <v>572</v>
      </c>
      <c r="V15" s="1" t="s">
        <v>388</v>
      </c>
      <c r="W15" s="1" t="s">
        <v>522</v>
      </c>
      <c r="X15" s="1" t="s">
        <v>478</v>
      </c>
      <c r="Y15" s="1" t="s">
        <v>490</v>
      </c>
      <c r="Z15" s="1" t="s">
        <v>389</v>
      </c>
      <c r="AA15" s="1" t="s">
        <v>588</v>
      </c>
      <c r="AB15" s="1" t="s">
        <v>67</v>
      </c>
      <c r="AC15" s="1" t="s">
        <v>508</v>
      </c>
      <c r="AD15" s="1" t="s">
        <v>589</v>
      </c>
      <c r="AE15" s="1" t="s">
        <v>503</v>
      </c>
      <c r="AF15" s="1" t="s">
        <v>590</v>
      </c>
      <c r="AG15" s="1" t="s">
        <v>591</v>
      </c>
      <c r="AH15" s="1"/>
      <c r="AI15" s="1"/>
      <c r="AJ15" s="1"/>
      <c r="AK15" s="1"/>
      <c r="AL15" s="18" t="s">
        <v>592</v>
      </c>
      <c r="AM15" s="18" t="s">
        <v>593</v>
      </c>
      <c r="AN15" s="18" t="s">
        <v>127</v>
      </c>
      <c r="AO15" s="18" t="s">
        <v>594</v>
      </c>
      <c r="AP15" s="18" t="s">
        <v>595</v>
      </c>
      <c r="AQ15" s="18" t="s">
        <v>596</v>
      </c>
      <c r="AR15" s="18"/>
      <c r="AS15" s="18"/>
      <c r="AT15" s="19" t="s">
        <v>592</v>
      </c>
      <c r="AU15" s="22" t="s">
        <v>542</v>
      </c>
      <c r="AV15" s="20" t="s">
        <v>484</v>
      </c>
      <c r="AW15" s="22" t="s">
        <v>522</v>
      </c>
      <c r="AX15" s="22" t="s">
        <v>514</v>
      </c>
      <c r="AY15" s="20" t="s">
        <v>581</v>
      </c>
      <c r="AZ15" s="18"/>
      <c r="BA15" s="1"/>
      <c r="BB15" s="1"/>
      <c r="BC15" s="18"/>
    </row>
    <row r="16" spans="1:55">
      <c r="A16" s="1"/>
      <c r="B16" s="1"/>
      <c r="C16" s="1"/>
      <c r="D16" s="1"/>
      <c r="E16" s="1"/>
      <c r="F16" s="1"/>
      <c r="G16" s="1" t="s">
        <v>456</v>
      </c>
      <c r="H16" s="1" t="s">
        <v>456</v>
      </c>
      <c r="I16" s="1" t="s">
        <v>456</v>
      </c>
      <c r="J16" s="1" t="s">
        <v>456</v>
      </c>
      <c r="K16" s="1"/>
      <c r="L16" s="1" t="s">
        <v>111</v>
      </c>
      <c r="M16" s="1" t="s">
        <v>67</v>
      </c>
      <c r="N16" s="1" t="s">
        <v>597</v>
      </c>
      <c r="O16" s="1" t="s">
        <v>598</v>
      </c>
      <c r="P16" s="1" t="s">
        <v>599</v>
      </c>
      <c r="Q16" s="1" t="s">
        <v>552</v>
      </c>
      <c r="R16" s="1"/>
      <c r="S16" s="1" t="s">
        <v>111</v>
      </c>
      <c r="T16" s="1" t="s">
        <v>67</v>
      </c>
      <c r="U16" s="1" t="s">
        <v>597</v>
      </c>
      <c r="V16" s="1" t="s">
        <v>598</v>
      </c>
      <c r="W16" s="1" t="s">
        <v>599</v>
      </c>
      <c r="X16" s="1" t="s">
        <v>552</v>
      </c>
      <c r="Y16" s="1" t="s">
        <v>600</v>
      </c>
      <c r="Z16" s="1" t="s">
        <v>67</v>
      </c>
      <c r="AA16" s="1" t="s">
        <v>389</v>
      </c>
      <c r="AB16" s="1" t="s">
        <v>601</v>
      </c>
      <c r="AC16" s="1" t="s">
        <v>598</v>
      </c>
      <c r="AD16" s="1" t="s">
        <v>508</v>
      </c>
      <c r="AE16" s="1" t="s">
        <v>602</v>
      </c>
      <c r="AF16" s="1" t="s">
        <v>603</v>
      </c>
      <c r="AG16" s="1" t="s">
        <v>589</v>
      </c>
      <c r="AH16" s="1"/>
      <c r="AI16" s="1"/>
      <c r="AJ16" s="1"/>
      <c r="AK16" s="1"/>
      <c r="AL16" s="18" t="s">
        <v>604</v>
      </c>
      <c r="AM16" s="18" t="s">
        <v>605</v>
      </c>
      <c r="AN16" s="18" t="s">
        <v>575</v>
      </c>
      <c r="AO16" s="18" t="s">
        <v>606</v>
      </c>
      <c r="AP16" s="18" t="s">
        <v>599</v>
      </c>
      <c r="AQ16" s="18" t="s">
        <v>607</v>
      </c>
      <c r="AR16" s="18"/>
      <c r="AS16" s="18"/>
      <c r="AT16" s="21" t="s">
        <v>604</v>
      </c>
      <c r="AU16" s="21" t="s">
        <v>517</v>
      </c>
      <c r="AV16" s="20" t="s">
        <v>490</v>
      </c>
      <c r="AW16" s="19" t="s">
        <v>517</v>
      </c>
      <c r="AX16" s="22" t="s">
        <v>500</v>
      </c>
      <c r="AY16" s="20" t="s">
        <v>503</v>
      </c>
      <c r="AZ16" s="18"/>
      <c r="BA16" s="1"/>
      <c r="BB16" s="1"/>
      <c r="BC16" s="18"/>
    </row>
    <row r="17" spans="7:55">
      <c r="G17" s="1" t="s">
        <v>457</v>
      </c>
      <c r="H17" s="1" t="s">
        <v>457</v>
      </c>
      <c r="I17" s="1" t="s">
        <v>457</v>
      </c>
      <c r="J17" s="1" t="s">
        <v>457</v>
      </c>
      <c r="K17" s="1"/>
      <c r="L17" s="1" t="s">
        <v>608</v>
      </c>
      <c r="M17" s="1" t="s">
        <v>111</v>
      </c>
      <c r="N17" s="1" t="s">
        <v>557</v>
      </c>
      <c r="O17" s="1" t="s">
        <v>609</v>
      </c>
      <c r="P17" s="1" t="s">
        <v>610</v>
      </c>
      <c r="Q17" s="1" t="s">
        <v>563</v>
      </c>
      <c r="R17" s="1"/>
      <c r="S17" s="1" t="s">
        <v>608</v>
      </c>
      <c r="T17" s="1" t="s">
        <v>111</v>
      </c>
      <c r="U17" s="1" t="s">
        <v>557</v>
      </c>
      <c r="V17" s="1" t="s">
        <v>609</v>
      </c>
      <c r="W17" s="1" t="s">
        <v>610</v>
      </c>
      <c r="X17" s="1" t="s">
        <v>563</v>
      </c>
      <c r="Y17" s="1" t="s">
        <v>611</v>
      </c>
      <c r="Z17" s="1" t="s">
        <v>612</v>
      </c>
      <c r="AA17" s="1" t="s">
        <v>613</v>
      </c>
      <c r="AB17" s="1" t="s">
        <v>614</v>
      </c>
      <c r="AC17" s="1" t="s">
        <v>578</v>
      </c>
      <c r="AD17" s="1" t="s">
        <v>517</v>
      </c>
      <c r="AE17" s="1" t="s">
        <v>478</v>
      </c>
      <c r="AF17" s="1" t="s">
        <v>615</v>
      </c>
      <c r="AG17" s="1" t="s">
        <v>579</v>
      </c>
      <c r="AH17" s="1"/>
      <c r="AI17" s="1"/>
      <c r="AJ17" s="1"/>
      <c r="AK17" s="1"/>
      <c r="AL17" s="18" t="s">
        <v>616</v>
      </c>
      <c r="AM17" s="18" t="s">
        <v>617</v>
      </c>
      <c r="AN17" s="18" t="s">
        <v>618</v>
      </c>
      <c r="AO17" s="18" t="s">
        <v>557</v>
      </c>
      <c r="AP17" s="18" t="s">
        <v>521</v>
      </c>
      <c r="AQ17" s="18" t="s">
        <v>619</v>
      </c>
      <c r="AR17" s="18"/>
      <c r="AS17" s="18"/>
      <c r="AT17" s="19" t="s">
        <v>616</v>
      </c>
      <c r="AU17" s="20" t="s">
        <v>550</v>
      </c>
      <c r="AV17" s="22" t="s">
        <v>495</v>
      </c>
      <c r="AW17" s="21" t="s">
        <v>388</v>
      </c>
      <c r="AX17" s="22" t="s">
        <v>448</v>
      </c>
      <c r="AY17" s="20" t="s">
        <v>496</v>
      </c>
      <c r="AZ17" s="18"/>
      <c r="BA17" s="1"/>
      <c r="BB17" s="1"/>
      <c r="BC17" s="18"/>
    </row>
    <row r="18" spans="7:55">
      <c r="G18" s="1"/>
      <c r="H18" s="1"/>
      <c r="I18" s="1"/>
      <c r="J18" s="1"/>
      <c r="K18" s="1"/>
      <c r="L18" s="1" t="s">
        <v>620</v>
      </c>
      <c r="M18" s="1" t="s">
        <v>620</v>
      </c>
      <c r="N18" s="1" t="s">
        <v>621</v>
      </c>
      <c r="O18" s="1" t="s">
        <v>586</v>
      </c>
      <c r="P18" s="1" t="s">
        <v>576</v>
      </c>
      <c r="Q18" s="1" t="s">
        <v>622</v>
      </c>
      <c r="R18" s="1"/>
      <c r="S18" s="1" t="s">
        <v>620</v>
      </c>
      <c r="T18" s="1" t="s">
        <v>620</v>
      </c>
      <c r="U18" s="1" t="s">
        <v>621</v>
      </c>
      <c r="V18" s="1" t="s">
        <v>586</v>
      </c>
      <c r="W18" s="1" t="s">
        <v>576</v>
      </c>
      <c r="X18" s="1" t="s">
        <v>622</v>
      </c>
      <c r="Y18" s="1" t="s">
        <v>385</v>
      </c>
      <c r="Z18" s="1" t="s">
        <v>572</v>
      </c>
      <c r="AA18" s="1" t="s">
        <v>606</v>
      </c>
      <c r="AB18" s="1" t="s">
        <v>623</v>
      </c>
      <c r="AC18" s="1" t="s">
        <v>389</v>
      </c>
      <c r="AD18" s="1" t="s">
        <v>528</v>
      </c>
      <c r="AE18" s="1" t="s">
        <v>624</v>
      </c>
      <c r="AF18" s="1" t="s">
        <v>70</v>
      </c>
      <c r="AG18" s="1" t="s">
        <v>562</v>
      </c>
      <c r="AH18" s="1"/>
      <c r="AI18" s="1"/>
      <c r="AJ18" s="1"/>
      <c r="AK18" s="1"/>
      <c r="AL18" s="18" t="s">
        <v>625</v>
      </c>
      <c r="AM18" s="18" t="s">
        <v>408</v>
      </c>
      <c r="AN18" s="18" t="s">
        <v>626</v>
      </c>
      <c r="AO18" s="18" t="s">
        <v>627</v>
      </c>
      <c r="AP18" s="18" t="s">
        <v>542</v>
      </c>
      <c r="AQ18" s="18" t="s">
        <v>628</v>
      </c>
      <c r="AR18" s="18"/>
      <c r="AS18" s="18"/>
      <c r="AT18" s="21" t="s">
        <v>625</v>
      </c>
      <c r="AU18" s="22" t="s">
        <v>556</v>
      </c>
      <c r="AV18" s="20" t="s">
        <v>385</v>
      </c>
      <c r="AW18" s="19" t="s">
        <v>543</v>
      </c>
      <c r="AX18" s="22" t="s">
        <v>568</v>
      </c>
      <c r="AY18" s="20" t="s">
        <v>478</v>
      </c>
      <c r="AZ18" s="18"/>
      <c r="BA18" s="1"/>
      <c r="BB18" s="1"/>
      <c r="BC18" s="18"/>
    </row>
    <row r="19" spans="7:55">
      <c r="G19" s="1" t="s">
        <v>440</v>
      </c>
      <c r="H19" s="1" t="s">
        <v>629</v>
      </c>
      <c r="I19" s="1" t="s">
        <v>481</v>
      </c>
      <c r="J19" s="1"/>
      <c r="K19" s="1"/>
      <c r="L19" s="1" t="s">
        <v>620</v>
      </c>
      <c r="M19" s="1" t="s">
        <v>558</v>
      </c>
      <c r="N19" s="1" t="s">
        <v>127</v>
      </c>
      <c r="O19" s="1" t="s">
        <v>582</v>
      </c>
      <c r="P19" s="1" t="s">
        <v>630</v>
      </c>
      <c r="Q19" s="1" t="s">
        <v>631</v>
      </c>
      <c r="R19" s="1"/>
      <c r="S19" s="1" t="s">
        <v>620</v>
      </c>
      <c r="T19" s="1" t="s">
        <v>558</v>
      </c>
      <c r="U19" s="1" t="s">
        <v>127</v>
      </c>
      <c r="V19" s="1" t="s">
        <v>582</v>
      </c>
      <c r="W19" s="1" t="s">
        <v>630</v>
      </c>
      <c r="X19" s="1" t="s">
        <v>631</v>
      </c>
      <c r="Y19" s="1" t="s">
        <v>522</v>
      </c>
      <c r="Z19" s="1" t="s">
        <v>614</v>
      </c>
      <c r="AA19" s="1" t="s">
        <v>614</v>
      </c>
      <c r="AB19" s="1" t="s">
        <v>127</v>
      </c>
      <c r="AC19" s="1" t="s">
        <v>594</v>
      </c>
      <c r="AD19" s="1" t="s">
        <v>594</v>
      </c>
      <c r="AE19" s="1" t="s">
        <v>632</v>
      </c>
      <c r="AF19" s="1" t="s">
        <v>97</v>
      </c>
      <c r="AG19" s="1" t="s">
        <v>594</v>
      </c>
      <c r="AH19" s="1"/>
      <c r="AI19" s="1"/>
      <c r="AJ19" s="1"/>
      <c r="AK19" s="1"/>
      <c r="AL19" s="18" t="s">
        <v>633</v>
      </c>
      <c r="AM19" s="18" t="s">
        <v>625</v>
      </c>
      <c r="AN19" s="18" t="s">
        <v>97</v>
      </c>
      <c r="AO19" s="18" t="s">
        <v>634</v>
      </c>
      <c r="AP19" s="18" t="s">
        <v>610</v>
      </c>
      <c r="AQ19" s="18" t="s">
        <v>635</v>
      </c>
      <c r="AR19" s="18"/>
      <c r="AS19" s="18"/>
      <c r="AT19" s="19" t="s">
        <v>633</v>
      </c>
      <c r="AU19" s="20" t="s">
        <v>551</v>
      </c>
      <c r="AV19" s="22" t="s">
        <v>516</v>
      </c>
      <c r="AW19" s="19" t="s">
        <v>551</v>
      </c>
      <c r="AX19" s="20" t="s">
        <v>581</v>
      </c>
      <c r="AY19" s="20" t="s">
        <v>537</v>
      </c>
      <c r="AZ19" s="18"/>
      <c r="BA19" s="1"/>
      <c r="BB19" s="1"/>
      <c r="BC19" s="18"/>
    </row>
    <row r="20" spans="7:55">
      <c r="G20" s="1" t="s">
        <v>458</v>
      </c>
      <c r="H20" s="1" t="s">
        <v>458</v>
      </c>
      <c r="I20" s="1" t="s">
        <v>458</v>
      </c>
      <c r="J20" s="1"/>
      <c r="K20" s="1"/>
      <c r="L20" s="1" t="s">
        <v>636</v>
      </c>
      <c r="M20" s="1" t="s">
        <v>637</v>
      </c>
      <c r="N20" s="1" t="s">
        <v>548</v>
      </c>
      <c r="O20" s="1" t="s">
        <v>562</v>
      </c>
      <c r="P20" s="1" t="s">
        <v>388</v>
      </c>
      <c r="Q20" s="1" t="s">
        <v>638</v>
      </c>
      <c r="R20" s="1"/>
      <c r="S20" s="1" t="s">
        <v>636</v>
      </c>
      <c r="T20" s="1" t="s">
        <v>637</v>
      </c>
      <c r="U20" s="1" t="s">
        <v>548</v>
      </c>
      <c r="V20" s="1" t="s">
        <v>562</v>
      </c>
      <c r="W20" s="1" t="s">
        <v>388</v>
      </c>
      <c r="X20" s="1" t="s">
        <v>638</v>
      </c>
      <c r="Y20" s="1" t="s">
        <v>580</v>
      </c>
      <c r="Z20" s="1" t="s">
        <v>639</v>
      </c>
      <c r="AA20" s="1" t="s">
        <v>640</v>
      </c>
      <c r="AB20" s="1" t="s">
        <v>641</v>
      </c>
      <c r="AC20" s="1" t="s">
        <v>557</v>
      </c>
      <c r="AD20" s="1" t="s">
        <v>557</v>
      </c>
      <c r="AE20" s="1" t="s">
        <v>642</v>
      </c>
      <c r="AF20" s="1" t="s">
        <v>643</v>
      </c>
      <c r="AG20" s="1" t="s">
        <v>640</v>
      </c>
      <c r="AH20" s="1"/>
      <c r="AI20" s="1"/>
      <c r="AJ20" s="1"/>
      <c r="AK20" s="1"/>
      <c r="AL20" s="18" t="s">
        <v>644</v>
      </c>
      <c r="AM20" s="18" t="s">
        <v>644</v>
      </c>
      <c r="AN20" s="18" t="s">
        <v>408</v>
      </c>
      <c r="AO20" s="18" t="s">
        <v>111</v>
      </c>
      <c r="AP20" s="18" t="s">
        <v>576</v>
      </c>
      <c r="AQ20" s="18" t="s">
        <v>404</v>
      </c>
      <c r="AR20" s="18"/>
      <c r="AS20" s="18"/>
      <c r="AT20" s="21" t="s">
        <v>644</v>
      </c>
      <c r="AU20" s="19" t="s">
        <v>528</v>
      </c>
      <c r="AV20" s="22" t="s">
        <v>522</v>
      </c>
      <c r="AW20" s="19" t="s">
        <v>562</v>
      </c>
      <c r="AX20" s="20" t="s">
        <v>503</v>
      </c>
      <c r="AY20" s="20" t="s">
        <v>632</v>
      </c>
      <c r="AZ20" s="18"/>
      <c r="BA20" s="1"/>
      <c r="BB20" s="1"/>
      <c r="BC20" s="18"/>
    </row>
    <row r="21" spans="7:55">
      <c r="G21" s="1" t="s">
        <v>459</v>
      </c>
      <c r="H21" s="1" t="s">
        <v>459</v>
      </c>
      <c r="I21" s="1" t="s">
        <v>459</v>
      </c>
      <c r="J21" s="1"/>
      <c r="K21" s="1"/>
      <c r="L21" s="1" t="s">
        <v>394</v>
      </c>
      <c r="M21" s="1" t="s">
        <v>571</v>
      </c>
      <c r="N21" s="1" t="s">
        <v>645</v>
      </c>
      <c r="O21" s="1" t="s">
        <v>594</v>
      </c>
      <c r="P21" s="1" t="s">
        <v>550</v>
      </c>
      <c r="Q21" s="1" t="s">
        <v>591</v>
      </c>
      <c r="R21" s="1"/>
      <c r="S21" s="1" t="s">
        <v>394</v>
      </c>
      <c r="T21" s="1" t="s">
        <v>571</v>
      </c>
      <c r="U21" s="1" t="s">
        <v>645</v>
      </c>
      <c r="V21" s="1" t="s">
        <v>594</v>
      </c>
      <c r="W21" s="1" t="s">
        <v>550</v>
      </c>
      <c r="X21" s="1" t="s">
        <v>591</v>
      </c>
      <c r="Y21" s="1" t="s">
        <v>505</v>
      </c>
      <c r="Z21" s="1" t="s">
        <v>646</v>
      </c>
      <c r="AA21" s="1" t="s">
        <v>647</v>
      </c>
      <c r="AB21" s="1" t="s">
        <v>648</v>
      </c>
      <c r="AC21" s="1" t="s">
        <v>127</v>
      </c>
      <c r="AD21" s="1" t="s">
        <v>649</v>
      </c>
      <c r="AE21" s="1" t="s">
        <v>650</v>
      </c>
      <c r="AF21" s="1" t="s">
        <v>651</v>
      </c>
      <c r="AG21" s="1" t="s">
        <v>652</v>
      </c>
      <c r="AH21" s="1"/>
      <c r="AI21" s="1"/>
      <c r="AJ21" s="1"/>
      <c r="AK21" s="1"/>
      <c r="AL21" s="18" t="s">
        <v>653</v>
      </c>
      <c r="AM21" s="18" t="s">
        <v>654</v>
      </c>
      <c r="AN21" s="18" t="s">
        <v>655</v>
      </c>
      <c r="AO21" s="18" t="s">
        <v>620</v>
      </c>
      <c r="AP21" s="18" t="s">
        <v>536</v>
      </c>
      <c r="AQ21" s="18" t="s">
        <v>656</v>
      </c>
      <c r="AR21" s="18"/>
      <c r="AS21" s="18"/>
      <c r="AT21" s="19" t="s">
        <v>653</v>
      </c>
      <c r="AU21" s="20" t="s">
        <v>67</v>
      </c>
      <c r="AV21" s="20" t="s">
        <v>505</v>
      </c>
      <c r="AW21" s="19" t="s">
        <v>67</v>
      </c>
      <c r="AX21" s="22" t="s">
        <v>602</v>
      </c>
      <c r="AY21" s="20" t="s">
        <v>385</v>
      </c>
      <c r="AZ21" s="18"/>
      <c r="BA21" s="1"/>
      <c r="BB21" s="1"/>
      <c r="BC21" s="18"/>
    </row>
    <row r="22" spans="7:55">
      <c r="G22" s="1" t="s">
        <v>460</v>
      </c>
      <c r="H22" s="1" t="s">
        <v>460</v>
      </c>
      <c r="I22" s="1" t="s">
        <v>460</v>
      </c>
      <c r="J22" s="1"/>
      <c r="K22" s="1"/>
      <c r="L22" s="1" t="s">
        <v>97</v>
      </c>
      <c r="M22" s="1" t="s">
        <v>603</v>
      </c>
      <c r="N22" s="1" t="s">
        <v>657</v>
      </c>
      <c r="O22" s="1" t="s">
        <v>657</v>
      </c>
      <c r="P22" s="1" t="s">
        <v>658</v>
      </c>
      <c r="Q22" s="1" t="s">
        <v>659</v>
      </c>
      <c r="R22" s="1"/>
      <c r="S22" s="1" t="s">
        <v>97</v>
      </c>
      <c r="T22" s="1" t="s">
        <v>603</v>
      </c>
      <c r="U22" s="1" t="s">
        <v>657</v>
      </c>
      <c r="V22" s="1" t="s">
        <v>111</v>
      </c>
      <c r="W22" s="1" t="s">
        <v>658</v>
      </c>
      <c r="X22" s="1" t="s">
        <v>659</v>
      </c>
      <c r="Y22" s="1" t="s">
        <v>591</v>
      </c>
      <c r="Z22" s="1" t="s">
        <v>575</v>
      </c>
      <c r="AA22" s="1" t="s">
        <v>647</v>
      </c>
      <c r="AB22" s="1" t="s">
        <v>652</v>
      </c>
      <c r="AC22" s="1" t="s">
        <v>660</v>
      </c>
      <c r="AD22" s="1" t="s">
        <v>660</v>
      </c>
      <c r="AE22" s="1" t="s">
        <v>661</v>
      </c>
      <c r="AF22" s="1" t="s">
        <v>662</v>
      </c>
      <c r="AG22" s="1" t="s">
        <v>663</v>
      </c>
      <c r="AH22" s="1"/>
      <c r="AI22" s="1"/>
      <c r="AJ22" s="1"/>
      <c r="AK22" s="1"/>
      <c r="AL22" s="18" t="s">
        <v>664</v>
      </c>
      <c r="AM22" s="18" t="s">
        <v>665</v>
      </c>
      <c r="AN22" s="18" t="s">
        <v>666</v>
      </c>
      <c r="AO22" s="18" t="s">
        <v>605</v>
      </c>
      <c r="AP22" s="18" t="s">
        <v>517</v>
      </c>
      <c r="AQ22" s="1"/>
      <c r="AR22" s="1"/>
      <c r="AS22" s="1"/>
      <c r="AT22" s="19" t="s">
        <v>654</v>
      </c>
      <c r="AU22" s="20" t="s">
        <v>538</v>
      </c>
      <c r="AV22" s="22" t="s">
        <v>559</v>
      </c>
      <c r="AW22" s="19" t="s">
        <v>572</v>
      </c>
      <c r="AX22" s="22" t="s">
        <v>496</v>
      </c>
      <c r="AY22" s="20" t="s">
        <v>502</v>
      </c>
      <c r="AZ22" s="1"/>
      <c r="BA22" s="1"/>
      <c r="BB22" s="1"/>
      <c r="BC22" s="1"/>
    </row>
    <row r="23" spans="7:55">
      <c r="G23" s="1" t="s">
        <v>461</v>
      </c>
      <c r="H23" s="1" t="s">
        <v>461</v>
      </c>
      <c r="I23" s="1" t="s">
        <v>461</v>
      </c>
      <c r="J23" s="1"/>
      <c r="K23" s="1"/>
      <c r="L23" s="1" t="s">
        <v>593</v>
      </c>
      <c r="M23" s="1" t="s">
        <v>585</v>
      </c>
      <c r="N23" s="1" t="s">
        <v>657</v>
      </c>
      <c r="O23" s="1" t="s">
        <v>620</v>
      </c>
      <c r="P23" s="1" t="s">
        <v>389</v>
      </c>
      <c r="Q23" s="1" t="s">
        <v>521</v>
      </c>
      <c r="R23" s="1"/>
      <c r="S23" s="1" t="s">
        <v>593</v>
      </c>
      <c r="T23" s="1" t="s">
        <v>585</v>
      </c>
      <c r="U23" s="1" t="s">
        <v>657</v>
      </c>
      <c r="V23" s="1" t="s">
        <v>657</v>
      </c>
      <c r="W23" s="1" t="s">
        <v>389</v>
      </c>
      <c r="X23" s="1" t="s">
        <v>521</v>
      </c>
      <c r="Y23" s="1" t="s">
        <v>63</v>
      </c>
      <c r="Z23" s="1" t="s">
        <v>620</v>
      </c>
      <c r="AA23" s="1" t="s">
        <v>667</v>
      </c>
      <c r="AB23" s="1" t="s">
        <v>668</v>
      </c>
      <c r="AC23" s="1" t="s">
        <v>669</v>
      </c>
      <c r="AD23" s="1" t="s">
        <v>670</v>
      </c>
      <c r="AE23" s="1" t="s">
        <v>671</v>
      </c>
      <c r="AF23" s="1" t="s">
        <v>574</v>
      </c>
      <c r="AG23" s="1" t="s">
        <v>672</v>
      </c>
      <c r="AH23" s="1"/>
      <c r="AI23" s="1"/>
      <c r="AJ23" s="1"/>
      <c r="AK23" s="1"/>
      <c r="AL23" s="18" t="s">
        <v>673</v>
      </c>
      <c r="AM23" s="18" t="s">
        <v>651</v>
      </c>
      <c r="AN23" s="18" t="s">
        <v>398</v>
      </c>
      <c r="AO23" s="18" t="s">
        <v>674</v>
      </c>
      <c r="AP23" s="18" t="s">
        <v>675</v>
      </c>
      <c r="AQ23" s="1"/>
      <c r="AR23" s="1"/>
      <c r="AS23" s="1"/>
      <c r="AT23" s="21" t="s">
        <v>664</v>
      </c>
      <c r="AU23" s="20" t="s">
        <v>548</v>
      </c>
      <c r="AV23" s="22" t="s">
        <v>521</v>
      </c>
      <c r="AW23" s="20" t="s">
        <v>597</v>
      </c>
      <c r="AX23" s="20" t="s">
        <v>478</v>
      </c>
      <c r="AY23" s="20" t="s">
        <v>516</v>
      </c>
      <c r="AZ23" s="1"/>
      <c r="BA23" s="1"/>
      <c r="BB23" s="1"/>
      <c r="BC23" s="1"/>
    </row>
    <row r="24" spans="7:55">
      <c r="G24" s="1" t="s">
        <v>462</v>
      </c>
      <c r="H24" s="1" t="s">
        <v>462</v>
      </c>
      <c r="I24" s="1" t="s">
        <v>462</v>
      </c>
      <c r="J24" s="1"/>
      <c r="K24" s="1"/>
      <c r="L24" s="1" t="s">
        <v>592</v>
      </c>
      <c r="M24" s="1" t="s">
        <v>394</v>
      </c>
      <c r="N24" s="1" t="s">
        <v>390</v>
      </c>
      <c r="O24" s="1" t="s">
        <v>676</v>
      </c>
      <c r="P24" s="1" t="s">
        <v>67</v>
      </c>
      <c r="Q24" s="1" t="s">
        <v>526</v>
      </c>
      <c r="R24" s="1"/>
      <c r="S24" s="1" t="s">
        <v>592</v>
      </c>
      <c r="T24" s="1" t="s">
        <v>394</v>
      </c>
      <c r="U24" s="1" t="s">
        <v>390</v>
      </c>
      <c r="V24" s="1" t="s">
        <v>620</v>
      </c>
      <c r="W24" s="1" t="s">
        <v>67</v>
      </c>
      <c r="X24" s="1" t="s">
        <v>526</v>
      </c>
      <c r="Y24" s="1" t="s">
        <v>566</v>
      </c>
      <c r="Z24" s="1" t="s">
        <v>677</v>
      </c>
      <c r="AA24" s="1" t="s">
        <v>627</v>
      </c>
      <c r="AB24" s="1" t="s">
        <v>678</v>
      </c>
      <c r="AC24" s="1" t="s">
        <v>645</v>
      </c>
      <c r="AD24" s="1" t="s">
        <v>394</v>
      </c>
      <c r="AE24" s="1" t="s">
        <v>105</v>
      </c>
      <c r="AF24" s="1" t="s">
        <v>679</v>
      </c>
      <c r="AG24" s="1" t="s">
        <v>680</v>
      </c>
      <c r="AH24" s="1"/>
      <c r="AI24" s="1"/>
      <c r="AJ24" s="1"/>
      <c r="AK24" s="1"/>
      <c r="AL24" s="18" t="s">
        <v>409</v>
      </c>
      <c r="AM24" s="18" t="s">
        <v>681</v>
      </c>
      <c r="AN24" s="18" t="s">
        <v>682</v>
      </c>
      <c r="AO24" s="18" t="s">
        <v>683</v>
      </c>
      <c r="AP24" s="18" t="s">
        <v>67</v>
      </c>
      <c r="AQ24" s="1"/>
      <c r="AR24" s="1"/>
      <c r="AS24" s="1"/>
      <c r="AT24" s="19" t="s">
        <v>673</v>
      </c>
      <c r="AU24" s="20" t="s">
        <v>111</v>
      </c>
      <c r="AV24" s="20" t="s">
        <v>526</v>
      </c>
      <c r="AW24" s="21" t="s">
        <v>557</v>
      </c>
      <c r="AX24" s="20" t="s">
        <v>527</v>
      </c>
      <c r="AY24" s="20" t="s">
        <v>569</v>
      </c>
      <c r="AZ24" s="1"/>
      <c r="BA24" s="1"/>
      <c r="BB24" s="1"/>
      <c r="BC24" s="1"/>
    </row>
    <row r="25" spans="7:55">
      <c r="G25" s="1" t="s">
        <v>684</v>
      </c>
      <c r="H25" s="1" t="s">
        <v>684</v>
      </c>
      <c r="I25" s="1" t="s">
        <v>684</v>
      </c>
      <c r="J25" s="1"/>
      <c r="K25" s="1"/>
      <c r="L25" s="1" t="s">
        <v>685</v>
      </c>
      <c r="M25" s="1" t="s">
        <v>97</v>
      </c>
      <c r="N25" s="1" t="s">
        <v>676</v>
      </c>
      <c r="O25" s="1" t="s">
        <v>674</v>
      </c>
      <c r="P25" s="1" t="s">
        <v>640</v>
      </c>
      <c r="Q25" s="1" t="s">
        <v>686</v>
      </c>
      <c r="R25" s="1"/>
      <c r="S25" s="1" t="s">
        <v>685</v>
      </c>
      <c r="T25" s="1" t="s">
        <v>97</v>
      </c>
      <c r="U25" s="1" t="s">
        <v>676</v>
      </c>
      <c r="V25" s="1" t="s">
        <v>676</v>
      </c>
      <c r="W25" s="1" t="s">
        <v>640</v>
      </c>
      <c r="X25" s="1" t="s">
        <v>686</v>
      </c>
      <c r="Y25" s="1" t="s">
        <v>687</v>
      </c>
      <c r="Z25" s="1" t="s">
        <v>571</v>
      </c>
      <c r="AA25" s="1" t="s">
        <v>688</v>
      </c>
      <c r="AB25" s="1" t="s">
        <v>689</v>
      </c>
      <c r="AC25" s="1" t="s">
        <v>390</v>
      </c>
      <c r="AD25" s="1" t="s">
        <v>690</v>
      </c>
      <c r="AE25" s="1" t="s">
        <v>557</v>
      </c>
      <c r="AF25" s="1" t="s">
        <v>409</v>
      </c>
      <c r="AG25" s="1" t="s">
        <v>397</v>
      </c>
      <c r="AH25" s="1"/>
      <c r="AI25" s="1"/>
      <c r="AJ25" s="1"/>
      <c r="AK25" s="1"/>
      <c r="AL25" s="18" t="s">
        <v>681</v>
      </c>
      <c r="AM25" s="18" t="s">
        <v>691</v>
      </c>
      <c r="AN25" s="18" t="s">
        <v>401</v>
      </c>
      <c r="AO25" s="18" t="s">
        <v>692</v>
      </c>
      <c r="AP25" s="18" t="s">
        <v>645</v>
      </c>
      <c r="AQ25" s="1"/>
      <c r="AR25" s="1"/>
      <c r="AS25" s="1"/>
      <c r="AT25" s="21" t="s">
        <v>409</v>
      </c>
      <c r="AU25" s="20" t="s">
        <v>620</v>
      </c>
      <c r="AV25" s="22" t="s">
        <v>542</v>
      </c>
      <c r="AW25" s="20" t="s">
        <v>621</v>
      </c>
      <c r="AX25" s="20" t="s">
        <v>624</v>
      </c>
      <c r="AY25" s="20" t="s">
        <v>583</v>
      </c>
      <c r="AZ25" s="1"/>
      <c r="BA25" s="1"/>
      <c r="BB25" s="1"/>
      <c r="BC25" s="1"/>
    </row>
    <row r="26" spans="7:55">
      <c r="G26" s="1"/>
      <c r="H26" s="1"/>
      <c r="I26" s="1"/>
      <c r="J26" s="1"/>
      <c r="K26" s="1"/>
      <c r="L26" s="1" t="s">
        <v>633</v>
      </c>
      <c r="M26" s="1" t="s">
        <v>690</v>
      </c>
      <c r="N26" s="1" t="s">
        <v>593</v>
      </c>
      <c r="O26" s="1" t="s">
        <v>693</v>
      </c>
      <c r="P26" s="1" t="s">
        <v>694</v>
      </c>
      <c r="Q26" s="1" t="s">
        <v>542</v>
      </c>
      <c r="R26" s="1"/>
      <c r="S26" s="1" t="s">
        <v>633</v>
      </c>
      <c r="T26" s="1" t="s">
        <v>690</v>
      </c>
      <c r="U26" s="1" t="s">
        <v>593</v>
      </c>
      <c r="V26" s="1" t="s">
        <v>674</v>
      </c>
      <c r="W26" s="1" t="s">
        <v>694</v>
      </c>
      <c r="X26" s="1" t="s">
        <v>542</v>
      </c>
      <c r="Y26" s="1" t="s">
        <v>517</v>
      </c>
      <c r="Z26" s="1" t="s">
        <v>603</v>
      </c>
      <c r="AA26" s="1" t="s">
        <v>695</v>
      </c>
      <c r="AB26" s="1" t="s">
        <v>394</v>
      </c>
      <c r="AC26" s="1" t="s">
        <v>620</v>
      </c>
      <c r="AD26" s="1" t="s">
        <v>696</v>
      </c>
      <c r="AE26" s="1" t="s">
        <v>127</v>
      </c>
      <c r="AF26" s="1" t="s">
        <v>681</v>
      </c>
      <c r="AG26" s="1" t="s">
        <v>697</v>
      </c>
      <c r="AH26" s="1"/>
      <c r="AI26" s="1"/>
      <c r="AJ26" s="1"/>
      <c r="AK26" s="1"/>
      <c r="AL26" s="18" t="s">
        <v>681</v>
      </c>
      <c r="AM26" s="18" t="s">
        <v>698</v>
      </c>
      <c r="AN26" s="18" t="s">
        <v>691</v>
      </c>
      <c r="AO26" s="18" t="s">
        <v>644</v>
      </c>
      <c r="AP26" s="18" t="s">
        <v>390</v>
      </c>
      <c r="AQ26" s="1"/>
      <c r="AR26" s="1"/>
      <c r="AS26" s="1"/>
      <c r="AT26" s="19" t="s">
        <v>681</v>
      </c>
      <c r="AU26" s="20" t="s">
        <v>558</v>
      </c>
      <c r="AV26" s="20" t="s">
        <v>576</v>
      </c>
      <c r="AW26" s="22" t="s">
        <v>127</v>
      </c>
      <c r="AX26" s="20" t="s">
        <v>537</v>
      </c>
      <c r="AY26" s="20" t="s">
        <v>526</v>
      </c>
      <c r="AZ26" s="1"/>
      <c r="BA26" s="1"/>
      <c r="BB26" s="1"/>
      <c r="BC26" s="1"/>
    </row>
    <row r="27" spans="7:55">
      <c r="G27" s="1"/>
      <c r="H27" s="1"/>
      <c r="I27" s="1"/>
      <c r="J27" s="1"/>
      <c r="K27" s="1"/>
      <c r="L27" s="1" t="s">
        <v>699</v>
      </c>
      <c r="M27" s="1" t="s">
        <v>605</v>
      </c>
      <c r="N27" s="1" t="s">
        <v>690</v>
      </c>
      <c r="O27" s="1" t="s">
        <v>683</v>
      </c>
      <c r="P27" s="1" t="s">
        <v>570</v>
      </c>
      <c r="Q27" s="1" t="s">
        <v>610</v>
      </c>
      <c r="R27" s="1"/>
      <c r="S27" s="1" t="s">
        <v>699</v>
      </c>
      <c r="T27" s="1" t="s">
        <v>605</v>
      </c>
      <c r="U27" s="1" t="s">
        <v>690</v>
      </c>
      <c r="V27" s="1" t="s">
        <v>693</v>
      </c>
      <c r="W27" s="1" t="s">
        <v>570</v>
      </c>
      <c r="X27" s="1" t="s">
        <v>610</v>
      </c>
      <c r="Y27" s="1" t="s">
        <v>598</v>
      </c>
      <c r="Z27" s="1" t="s">
        <v>700</v>
      </c>
      <c r="AA27" s="1" t="s">
        <v>111</v>
      </c>
      <c r="AB27" s="1" t="s">
        <v>65</v>
      </c>
      <c r="AC27" s="1" t="s">
        <v>700</v>
      </c>
      <c r="AD27" s="1" t="s">
        <v>701</v>
      </c>
      <c r="AE27" s="1" t="s">
        <v>694</v>
      </c>
      <c r="AF27" s="1" t="s">
        <v>702</v>
      </c>
      <c r="AG27" s="1" t="s">
        <v>703</v>
      </c>
      <c r="AH27" s="1"/>
      <c r="AI27" s="1"/>
      <c r="AJ27" s="1"/>
      <c r="AK27" s="1"/>
      <c r="AL27" s="18" t="s">
        <v>704</v>
      </c>
      <c r="AM27" s="18" t="s">
        <v>705</v>
      </c>
      <c r="AN27" s="18" t="s">
        <v>706</v>
      </c>
      <c r="AO27" s="18" t="s">
        <v>707</v>
      </c>
      <c r="AP27" s="18" t="s">
        <v>676</v>
      </c>
      <c r="AQ27" s="1"/>
      <c r="AR27" s="1"/>
      <c r="AS27" s="1"/>
      <c r="AT27" s="23" t="s">
        <v>704</v>
      </c>
      <c r="AU27" s="20" t="s">
        <v>637</v>
      </c>
      <c r="AV27" s="20" t="s">
        <v>517</v>
      </c>
      <c r="AW27" s="21" t="s">
        <v>575</v>
      </c>
      <c r="AX27" s="22" t="s">
        <v>546</v>
      </c>
      <c r="AY27" s="20" t="s">
        <v>671</v>
      </c>
      <c r="AZ27" s="1"/>
      <c r="BA27" s="1"/>
      <c r="BB27" s="1"/>
      <c r="BC27" s="1"/>
    </row>
    <row r="28" spans="7:55">
      <c r="G28" s="1"/>
      <c r="H28" s="1"/>
      <c r="I28" s="1"/>
      <c r="J28" s="1"/>
      <c r="K28" s="1"/>
      <c r="L28" s="1" t="s">
        <v>644</v>
      </c>
      <c r="M28" s="1" t="s">
        <v>408</v>
      </c>
      <c r="N28" s="1" t="s">
        <v>408</v>
      </c>
      <c r="O28" s="1" t="s">
        <v>592</v>
      </c>
      <c r="P28" s="1" t="s">
        <v>111</v>
      </c>
      <c r="Q28" s="1" t="s">
        <v>576</v>
      </c>
      <c r="R28" s="1"/>
      <c r="S28" s="1" t="s">
        <v>644</v>
      </c>
      <c r="T28" s="1" t="s">
        <v>408</v>
      </c>
      <c r="U28" s="1" t="s">
        <v>408</v>
      </c>
      <c r="V28" s="1" t="s">
        <v>683</v>
      </c>
      <c r="W28" s="1" t="s">
        <v>111</v>
      </c>
      <c r="X28" s="1" t="s">
        <v>576</v>
      </c>
      <c r="Y28" s="1" t="s">
        <v>578</v>
      </c>
      <c r="Z28" s="1" t="s">
        <v>394</v>
      </c>
      <c r="AA28" s="1" t="s">
        <v>708</v>
      </c>
      <c r="AB28" s="1" t="s">
        <v>709</v>
      </c>
      <c r="AC28" s="1" t="s">
        <v>394</v>
      </c>
      <c r="AD28" s="1" t="s">
        <v>710</v>
      </c>
      <c r="AE28" s="1" t="s">
        <v>660</v>
      </c>
      <c r="AF28" s="1" t="s">
        <v>691</v>
      </c>
      <c r="AG28" s="1" t="s">
        <v>711</v>
      </c>
      <c r="AH28" s="1"/>
      <c r="AI28" s="1"/>
      <c r="AJ28" s="1"/>
      <c r="AK28" s="1"/>
      <c r="AL28" s="18"/>
      <c r="AM28" s="18"/>
      <c r="AN28" s="18" t="s">
        <v>712</v>
      </c>
      <c r="AO28" s="18" t="s">
        <v>651</v>
      </c>
      <c r="AP28" s="18" t="s">
        <v>558</v>
      </c>
      <c r="AQ28" s="1"/>
      <c r="AR28" s="1"/>
      <c r="AS28" s="1"/>
      <c r="AT28" s="23"/>
      <c r="AU28" s="20" t="s">
        <v>571</v>
      </c>
      <c r="AV28" s="22" t="s">
        <v>388</v>
      </c>
      <c r="AW28" s="19" t="s">
        <v>618</v>
      </c>
      <c r="AX28" s="20" t="s">
        <v>632</v>
      </c>
      <c r="AY28" s="20" t="s">
        <v>579</v>
      </c>
      <c r="AZ28" s="1"/>
      <c r="BA28" s="1"/>
      <c r="BB28" s="1"/>
      <c r="BC28" s="1"/>
    </row>
    <row r="29" spans="7:55">
      <c r="G29" s="1"/>
      <c r="H29" s="1"/>
      <c r="I29" s="1"/>
      <c r="J29" s="1"/>
      <c r="K29" s="1"/>
      <c r="L29" s="1" t="s">
        <v>713</v>
      </c>
      <c r="M29" s="1" t="s">
        <v>693</v>
      </c>
      <c r="N29" s="1" t="s">
        <v>683</v>
      </c>
      <c r="O29" s="1" t="s">
        <v>714</v>
      </c>
      <c r="P29" s="1" t="s">
        <v>715</v>
      </c>
      <c r="Q29" s="1" t="s">
        <v>536</v>
      </c>
      <c r="R29" s="1"/>
      <c r="S29" s="1" t="s">
        <v>713</v>
      </c>
      <c r="T29" s="1" t="s">
        <v>693</v>
      </c>
      <c r="U29" s="1" t="s">
        <v>683</v>
      </c>
      <c r="V29" s="1" t="s">
        <v>592</v>
      </c>
      <c r="W29" s="1" t="s">
        <v>715</v>
      </c>
      <c r="X29" s="1" t="s">
        <v>536</v>
      </c>
      <c r="Y29" s="1" t="s">
        <v>613</v>
      </c>
      <c r="Z29" s="1" t="s">
        <v>97</v>
      </c>
      <c r="AA29" s="1" t="s">
        <v>716</v>
      </c>
      <c r="AB29" s="1" t="s">
        <v>674</v>
      </c>
      <c r="AC29" s="1" t="s">
        <v>717</v>
      </c>
      <c r="AD29" s="1" t="s">
        <v>673</v>
      </c>
      <c r="AE29" s="1" t="s">
        <v>645</v>
      </c>
      <c r="AF29" s="1" t="s">
        <v>718</v>
      </c>
      <c r="AG29" s="1" t="s">
        <v>406</v>
      </c>
      <c r="AH29" s="1"/>
      <c r="AI29" s="1"/>
      <c r="AJ29" s="1"/>
      <c r="AK29" s="1"/>
      <c r="AL29" s="18"/>
      <c r="AM29" s="1"/>
      <c r="AN29" s="18" t="s">
        <v>719</v>
      </c>
      <c r="AO29" s="18" t="s">
        <v>720</v>
      </c>
      <c r="AP29" s="18" t="s">
        <v>678</v>
      </c>
      <c r="AQ29" s="1"/>
      <c r="AR29" s="1"/>
      <c r="AS29" s="1"/>
      <c r="AT29" s="1"/>
      <c r="AU29" s="20" t="s">
        <v>603</v>
      </c>
      <c r="AV29" s="20" t="s">
        <v>573</v>
      </c>
      <c r="AW29" s="20" t="s">
        <v>548</v>
      </c>
      <c r="AX29" s="20" t="s">
        <v>385</v>
      </c>
      <c r="AY29" s="20" t="s">
        <v>536</v>
      </c>
      <c r="AZ29" s="1"/>
      <c r="BA29" s="1"/>
      <c r="BB29" s="1"/>
      <c r="BC29" s="1"/>
    </row>
    <row r="30" spans="7:55">
      <c r="G30" s="1"/>
      <c r="H30" s="1"/>
      <c r="I30" s="1"/>
      <c r="J30" s="1"/>
      <c r="K30" s="1"/>
      <c r="L30" s="1" t="s">
        <v>707</v>
      </c>
      <c r="M30" s="1" t="s">
        <v>604</v>
      </c>
      <c r="N30" s="1" t="s">
        <v>592</v>
      </c>
      <c r="O30" s="1" t="s">
        <v>398</v>
      </c>
      <c r="P30" s="1" t="s">
        <v>721</v>
      </c>
      <c r="Q30" s="1" t="s">
        <v>536</v>
      </c>
      <c r="R30" s="1"/>
      <c r="S30" s="1" t="s">
        <v>707</v>
      </c>
      <c r="T30" s="1" t="s">
        <v>604</v>
      </c>
      <c r="U30" s="1" t="s">
        <v>592</v>
      </c>
      <c r="V30" s="1" t="s">
        <v>714</v>
      </c>
      <c r="W30" s="1" t="s">
        <v>721</v>
      </c>
      <c r="X30" s="1" t="s">
        <v>536</v>
      </c>
      <c r="Y30" s="1" t="s">
        <v>722</v>
      </c>
      <c r="Z30" s="1" t="s">
        <v>674</v>
      </c>
      <c r="AA30" s="1" t="s">
        <v>603</v>
      </c>
      <c r="AB30" s="1" t="s">
        <v>723</v>
      </c>
      <c r="AC30" s="1" t="s">
        <v>724</v>
      </c>
      <c r="AD30" s="1" t="s">
        <v>725</v>
      </c>
      <c r="AE30" s="1" t="s">
        <v>716</v>
      </c>
      <c r="AF30" s="1"/>
      <c r="AG30" s="1" t="s">
        <v>620</v>
      </c>
      <c r="AH30" s="1"/>
      <c r="AI30" s="1"/>
      <c r="AJ30" s="1"/>
      <c r="AK30" s="1"/>
      <c r="AL30" s="18"/>
      <c r="AM30" s="1"/>
      <c r="AN30" s="18" t="s">
        <v>726</v>
      </c>
      <c r="AO30" s="18" t="s">
        <v>727</v>
      </c>
      <c r="AP30" s="18" t="s">
        <v>70</v>
      </c>
      <c r="AQ30" s="1"/>
      <c r="AR30" s="1"/>
      <c r="AS30" s="1"/>
      <c r="AT30" s="1"/>
      <c r="AU30" s="20" t="s">
        <v>585</v>
      </c>
      <c r="AV30" s="20" t="s">
        <v>598</v>
      </c>
      <c r="AW30" s="22" t="s">
        <v>645</v>
      </c>
      <c r="AX30" s="22" t="s">
        <v>502</v>
      </c>
      <c r="AY30" s="20" t="s">
        <v>543</v>
      </c>
      <c r="AZ30" s="1"/>
      <c r="BA30" s="1"/>
      <c r="BB30" s="1"/>
      <c r="BC30" s="1"/>
    </row>
    <row r="31" spans="7:55">
      <c r="G31" s="1"/>
      <c r="H31" s="1"/>
      <c r="I31" s="1"/>
      <c r="J31" s="1"/>
      <c r="K31" s="1"/>
      <c r="L31" s="1" t="s">
        <v>666</v>
      </c>
      <c r="M31" s="1" t="s">
        <v>701</v>
      </c>
      <c r="N31" s="1" t="s">
        <v>655</v>
      </c>
      <c r="O31" s="1" t="s">
        <v>651</v>
      </c>
      <c r="P31" s="1" t="s">
        <v>70</v>
      </c>
      <c r="Q31" s="1" t="s">
        <v>543</v>
      </c>
      <c r="R31" s="1"/>
      <c r="S31" s="1" t="s">
        <v>666</v>
      </c>
      <c r="T31" s="1" t="s">
        <v>701</v>
      </c>
      <c r="U31" s="1" t="s">
        <v>655</v>
      </c>
      <c r="V31" s="1" t="s">
        <v>398</v>
      </c>
      <c r="W31" s="1" t="s">
        <v>70</v>
      </c>
      <c r="X31" s="1" t="s">
        <v>543</v>
      </c>
      <c r="Y31" s="1" t="s">
        <v>694</v>
      </c>
      <c r="Z31" s="1" t="s">
        <v>728</v>
      </c>
      <c r="AA31" s="1" t="s">
        <v>729</v>
      </c>
      <c r="AB31" s="1" t="s">
        <v>724</v>
      </c>
      <c r="AC31" s="1" t="s">
        <v>644</v>
      </c>
      <c r="AD31" s="1" t="s">
        <v>702</v>
      </c>
      <c r="AE31" s="1" t="s">
        <v>397</v>
      </c>
      <c r="AF31" s="1"/>
      <c r="AG31" s="1"/>
      <c r="AH31" s="1"/>
      <c r="AI31" s="1"/>
      <c r="AJ31" s="1"/>
      <c r="AK31" s="1"/>
      <c r="AL31" s="18"/>
      <c r="AM31" s="1"/>
      <c r="AN31" s="18" t="s">
        <v>113</v>
      </c>
      <c r="AO31" s="18" t="s">
        <v>730</v>
      </c>
      <c r="AP31" s="18" t="s">
        <v>731</v>
      </c>
      <c r="AQ31" s="1"/>
      <c r="AR31" s="1"/>
      <c r="AS31" s="1"/>
      <c r="AT31" s="1"/>
      <c r="AU31" s="20" t="s">
        <v>394</v>
      </c>
      <c r="AV31" s="22" t="s">
        <v>543</v>
      </c>
      <c r="AW31" s="20" t="s">
        <v>657</v>
      </c>
      <c r="AX31" s="22" t="s">
        <v>516</v>
      </c>
      <c r="AY31" s="20" t="s">
        <v>582</v>
      </c>
      <c r="AZ31" s="1"/>
      <c r="BA31" s="1"/>
      <c r="BB31" s="1"/>
      <c r="BC31" s="1"/>
    </row>
    <row r="32" spans="7:55">
      <c r="G32" s="1"/>
      <c r="H32" s="1"/>
      <c r="I32" s="1"/>
      <c r="J32" s="1"/>
      <c r="K32" s="1"/>
      <c r="L32" s="1" t="s">
        <v>651</v>
      </c>
      <c r="M32" s="1" t="s">
        <v>654</v>
      </c>
      <c r="N32" s="1" t="s">
        <v>396</v>
      </c>
      <c r="O32" s="1" t="s">
        <v>727</v>
      </c>
      <c r="P32" s="1" t="s">
        <v>392</v>
      </c>
      <c r="Q32" s="1" t="s">
        <v>528</v>
      </c>
      <c r="R32" s="1"/>
      <c r="S32" s="1" t="s">
        <v>651</v>
      </c>
      <c r="T32" s="1" t="s">
        <v>654</v>
      </c>
      <c r="U32" s="1" t="s">
        <v>396</v>
      </c>
      <c r="V32" s="1" t="s">
        <v>651</v>
      </c>
      <c r="W32" s="1" t="s">
        <v>392</v>
      </c>
      <c r="X32" s="1" t="s">
        <v>528</v>
      </c>
      <c r="Y32" s="1" t="s">
        <v>660</v>
      </c>
      <c r="Z32" s="1" t="s">
        <v>693</v>
      </c>
      <c r="AA32" s="1" t="s">
        <v>393</v>
      </c>
      <c r="AB32" s="1" t="s">
        <v>732</v>
      </c>
      <c r="AC32" s="1" t="s">
        <v>733</v>
      </c>
      <c r="AD32" s="1" t="s">
        <v>401</v>
      </c>
      <c r="AE32" s="1" t="s">
        <v>734</v>
      </c>
      <c r="AF32" s="1"/>
      <c r="AG32" s="1"/>
      <c r="AH32" s="1"/>
      <c r="AI32" s="1"/>
      <c r="AJ32" s="1"/>
      <c r="AK32" s="1"/>
      <c r="AL32" s="18"/>
      <c r="AM32" s="1"/>
      <c r="AN32" s="1"/>
      <c r="AO32" s="18" t="s">
        <v>735</v>
      </c>
      <c r="AP32" s="18" t="s">
        <v>736</v>
      </c>
      <c r="AQ32" s="1"/>
      <c r="AR32" s="1"/>
      <c r="AS32" s="1"/>
      <c r="AT32" s="1"/>
      <c r="AU32" s="20" t="s">
        <v>97</v>
      </c>
      <c r="AV32" s="22" t="s">
        <v>609</v>
      </c>
      <c r="AW32" s="20" t="s">
        <v>390</v>
      </c>
      <c r="AX32" s="20" t="s">
        <v>569</v>
      </c>
      <c r="AY32" s="20" t="s">
        <v>562</v>
      </c>
      <c r="AZ32" s="1"/>
      <c r="BA32" s="1"/>
      <c r="BB32" s="1"/>
      <c r="BC32" s="1"/>
    </row>
    <row r="33" spans="12:51">
      <c r="L33" s="1" t="s">
        <v>737</v>
      </c>
      <c r="M33" s="1" t="s">
        <v>737</v>
      </c>
      <c r="N33" s="1" t="s">
        <v>738</v>
      </c>
      <c r="O33" s="1" t="s">
        <v>409</v>
      </c>
      <c r="P33" s="1" t="s">
        <v>393</v>
      </c>
      <c r="Q33" s="1" t="s">
        <v>557</v>
      </c>
      <c r="R33" s="1"/>
      <c r="S33" s="1" t="s">
        <v>737</v>
      </c>
      <c r="T33" s="1" t="s">
        <v>737</v>
      </c>
      <c r="U33" s="1" t="s">
        <v>738</v>
      </c>
      <c r="V33" s="1" t="s">
        <v>727</v>
      </c>
      <c r="W33" s="1" t="s">
        <v>393</v>
      </c>
      <c r="X33" s="1" t="s">
        <v>557</v>
      </c>
      <c r="Y33" s="1" t="s">
        <v>739</v>
      </c>
      <c r="Z33" s="1" t="s">
        <v>724</v>
      </c>
      <c r="AA33" s="1" t="s">
        <v>636</v>
      </c>
      <c r="AB33" s="1" t="s">
        <v>740</v>
      </c>
      <c r="AC33" s="1" t="s">
        <v>651</v>
      </c>
      <c r="AD33" s="1" t="s">
        <v>706</v>
      </c>
      <c r="AE33" s="1" t="s">
        <v>741</v>
      </c>
      <c r="AF33" s="1"/>
      <c r="AG33" s="1"/>
      <c r="AH33" s="1"/>
      <c r="AI33" s="1"/>
      <c r="AJ33" s="1"/>
      <c r="AK33" s="1"/>
      <c r="AL33" s="1"/>
      <c r="AM33" s="1"/>
      <c r="AN33" s="1"/>
      <c r="AO33" s="18" t="s">
        <v>742</v>
      </c>
      <c r="AP33" s="18" t="s">
        <v>743</v>
      </c>
      <c r="AQ33" s="1"/>
      <c r="AR33" s="1"/>
      <c r="AS33" s="1"/>
      <c r="AT33" s="1"/>
      <c r="AU33" s="20" t="s">
        <v>593</v>
      </c>
      <c r="AV33" s="20" t="s">
        <v>551</v>
      </c>
      <c r="AW33" s="22" t="s">
        <v>676</v>
      </c>
      <c r="AX33" s="20" t="s">
        <v>583</v>
      </c>
      <c r="AY33" s="20" t="s">
        <v>594</v>
      </c>
    </row>
    <row r="34" spans="12:51">
      <c r="L34" s="1" t="s">
        <v>727</v>
      </c>
      <c r="M34" s="1" t="s">
        <v>702</v>
      </c>
      <c r="N34" s="1" t="s">
        <v>666</v>
      </c>
      <c r="O34" s="1" t="s">
        <v>681</v>
      </c>
      <c r="P34" s="1" t="s">
        <v>394</v>
      </c>
      <c r="Q34" s="1" t="s">
        <v>694</v>
      </c>
      <c r="R34" s="1"/>
      <c r="S34" s="1" t="s">
        <v>727</v>
      </c>
      <c r="T34" s="1" t="s">
        <v>702</v>
      </c>
      <c r="U34" s="1" t="s">
        <v>666</v>
      </c>
      <c r="V34" s="1" t="s">
        <v>409</v>
      </c>
      <c r="W34" s="1" t="s">
        <v>394</v>
      </c>
      <c r="X34" s="1" t="s">
        <v>694</v>
      </c>
      <c r="Y34" s="1" t="s">
        <v>393</v>
      </c>
      <c r="Z34" s="1" t="s">
        <v>744</v>
      </c>
      <c r="AA34" s="1" t="s">
        <v>394</v>
      </c>
      <c r="AB34" s="1" t="s">
        <v>707</v>
      </c>
      <c r="AC34" s="1" t="s">
        <v>745</v>
      </c>
      <c r="AD34" s="1"/>
      <c r="AE34" s="1" t="s">
        <v>746</v>
      </c>
      <c r="AF34" s="1"/>
      <c r="AG34" s="1"/>
      <c r="AH34" s="1"/>
      <c r="AI34" s="1"/>
      <c r="AJ34" s="1"/>
      <c r="AK34" s="1"/>
      <c r="AL34" s="1"/>
      <c r="AM34" s="1"/>
      <c r="AN34" s="1"/>
      <c r="AO34" s="18" t="s">
        <v>747</v>
      </c>
      <c r="AP34" s="18" t="s">
        <v>748</v>
      </c>
      <c r="AQ34" s="1"/>
      <c r="AR34" s="1"/>
      <c r="AS34" s="1"/>
      <c r="AT34" s="1"/>
      <c r="AU34" s="20" t="s">
        <v>690</v>
      </c>
      <c r="AV34" s="20" t="s">
        <v>586</v>
      </c>
      <c r="AW34" s="21" t="s">
        <v>626</v>
      </c>
      <c r="AX34" s="20" t="s">
        <v>642</v>
      </c>
      <c r="AY34" s="20" t="s">
        <v>640</v>
      </c>
    </row>
    <row r="35" spans="12:51">
      <c r="L35" s="1" t="s">
        <v>749</v>
      </c>
      <c r="M35" s="1" t="s">
        <v>750</v>
      </c>
      <c r="N35" s="1" t="s">
        <v>751</v>
      </c>
      <c r="O35" s="1" t="s">
        <v>747</v>
      </c>
      <c r="P35" s="1" t="s">
        <v>605</v>
      </c>
      <c r="Q35" s="1" t="s">
        <v>660</v>
      </c>
      <c r="R35" s="1"/>
      <c r="S35" s="1" t="s">
        <v>749</v>
      </c>
      <c r="T35" s="1" t="s">
        <v>750</v>
      </c>
      <c r="U35" s="1" t="s">
        <v>751</v>
      </c>
      <c r="V35" s="1" t="s">
        <v>681</v>
      </c>
      <c r="W35" s="1" t="s">
        <v>605</v>
      </c>
      <c r="X35" s="1" t="s">
        <v>660</v>
      </c>
      <c r="Y35" s="1" t="s">
        <v>394</v>
      </c>
      <c r="Z35" s="1" t="s">
        <v>655</v>
      </c>
      <c r="AA35" s="1" t="s">
        <v>752</v>
      </c>
      <c r="AB35" s="1" t="s">
        <v>753</v>
      </c>
      <c r="AC35" s="1" t="s">
        <v>749</v>
      </c>
      <c r="AD35" s="1"/>
      <c r="AE35" s="1" t="s">
        <v>754</v>
      </c>
      <c r="AF35" s="1"/>
      <c r="AG35" s="1"/>
      <c r="AH35" s="1"/>
      <c r="AI35" s="1"/>
      <c r="AJ35" s="1"/>
      <c r="AK35" s="1"/>
      <c r="AL35" s="1"/>
      <c r="AM35" s="1"/>
      <c r="AN35" s="1"/>
      <c r="AO35" s="18" t="s">
        <v>596</v>
      </c>
      <c r="AP35" s="18" t="s">
        <v>663</v>
      </c>
      <c r="AQ35" s="1"/>
      <c r="AR35" s="1"/>
      <c r="AS35" s="1"/>
      <c r="AT35" s="1"/>
      <c r="AU35" s="20" t="s">
        <v>605</v>
      </c>
      <c r="AV35" s="22" t="s">
        <v>582</v>
      </c>
      <c r="AW35" s="19" t="s">
        <v>97</v>
      </c>
      <c r="AX35" s="22" t="s">
        <v>591</v>
      </c>
      <c r="AY35" s="20" t="s">
        <v>557</v>
      </c>
    </row>
    <row r="36" spans="12:51">
      <c r="L36" s="1" t="s">
        <v>409</v>
      </c>
      <c r="M36" s="1" t="s">
        <v>691</v>
      </c>
      <c r="N36" s="1" t="s">
        <v>682</v>
      </c>
      <c r="O36" s="1" t="s">
        <v>755</v>
      </c>
      <c r="P36" s="1" t="s">
        <v>728</v>
      </c>
      <c r="Q36" s="1" t="s">
        <v>111</v>
      </c>
      <c r="R36" s="1"/>
      <c r="S36" s="1" t="s">
        <v>409</v>
      </c>
      <c r="T36" s="1" t="s">
        <v>691</v>
      </c>
      <c r="U36" s="1" t="s">
        <v>682</v>
      </c>
      <c r="V36" s="1" t="s">
        <v>747</v>
      </c>
      <c r="W36" s="1" t="s">
        <v>728</v>
      </c>
      <c r="X36" s="1" t="s">
        <v>111</v>
      </c>
      <c r="Y36" s="1" t="s">
        <v>674</v>
      </c>
      <c r="Z36" s="1" t="s">
        <v>520</v>
      </c>
      <c r="AA36" s="1" t="s">
        <v>756</v>
      </c>
      <c r="AB36" s="1" t="s">
        <v>651</v>
      </c>
      <c r="AC36" s="1" t="s">
        <v>706</v>
      </c>
      <c r="AD36" s="1"/>
      <c r="AE36" s="1" t="s">
        <v>706</v>
      </c>
      <c r="AF36" s="1"/>
      <c r="AG36" s="1"/>
      <c r="AH36" s="1"/>
      <c r="AI36" s="1"/>
      <c r="AJ36" s="1"/>
      <c r="AK36" s="1"/>
      <c r="AL36" s="1"/>
      <c r="AM36" s="1"/>
      <c r="AN36" s="1"/>
      <c r="AO36" s="1"/>
      <c r="AP36" s="18" t="s">
        <v>714</v>
      </c>
      <c r="AQ36" s="1"/>
      <c r="AR36" s="1"/>
      <c r="AS36" s="1"/>
      <c r="AT36" s="1"/>
      <c r="AU36" s="20" t="s">
        <v>617</v>
      </c>
      <c r="AV36" s="20" t="s">
        <v>562</v>
      </c>
      <c r="AW36" s="20" t="s">
        <v>593</v>
      </c>
      <c r="AX36" s="22" t="s">
        <v>650</v>
      </c>
      <c r="AY36" s="20" t="s">
        <v>660</v>
      </c>
    </row>
    <row r="37" spans="12:51">
      <c r="L37" s="1" t="s">
        <v>757</v>
      </c>
      <c r="M37" s="1" t="s">
        <v>698</v>
      </c>
      <c r="N37" s="1" t="s">
        <v>758</v>
      </c>
      <c r="O37" s="1"/>
      <c r="P37" s="1" t="s">
        <v>408</v>
      </c>
      <c r="Q37" s="1" t="s">
        <v>645</v>
      </c>
      <c r="R37" s="1"/>
      <c r="S37" s="1" t="s">
        <v>757</v>
      </c>
      <c r="T37" s="1" t="s">
        <v>698</v>
      </c>
      <c r="U37" s="1" t="s">
        <v>758</v>
      </c>
      <c r="V37" s="1" t="s">
        <v>755</v>
      </c>
      <c r="W37" s="1" t="s">
        <v>408</v>
      </c>
      <c r="X37" s="1" t="s">
        <v>645</v>
      </c>
      <c r="Y37" s="1" t="s">
        <v>759</v>
      </c>
      <c r="Z37" s="1" t="s">
        <v>760</v>
      </c>
      <c r="AA37" s="1" t="s">
        <v>761</v>
      </c>
      <c r="AB37" s="1" t="s">
        <v>727</v>
      </c>
      <c r="AC37" s="1" t="s">
        <v>697</v>
      </c>
      <c r="AD37" s="1"/>
      <c r="AE37" s="1" t="s">
        <v>762</v>
      </c>
      <c r="AF37" s="1"/>
      <c r="AG37" s="1"/>
      <c r="AH37" s="1"/>
      <c r="AI37" s="1"/>
      <c r="AJ37" s="1"/>
      <c r="AK37" s="1"/>
      <c r="AL37" s="1"/>
      <c r="AM37" s="1"/>
      <c r="AN37" s="1"/>
      <c r="AO37" s="1"/>
      <c r="AP37" s="18" t="s">
        <v>763</v>
      </c>
      <c r="AQ37" s="1"/>
      <c r="AR37" s="1"/>
      <c r="AS37" s="1"/>
      <c r="AT37" s="1"/>
      <c r="AU37" s="20" t="s">
        <v>408</v>
      </c>
      <c r="AV37" s="20" t="s">
        <v>67</v>
      </c>
      <c r="AW37" s="22" t="s">
        <v>690</v>
      </c>
      <c r="AX37" s="22" t="s">
        <v>589</v>
      </c>
      <c r="AY37" s="20" t="s">
        <v>645</v>
      </c>
    </row>
    <row r="38" spans="12:51">
      <c r="L38" s="1" t="s">
        <v>764</v>
      </c>
      <c r="M38" s="1" t="s">
        <v>706</v>
      </c>
      <c r="N38" s="1" t="s">
        <v>681</v>
      </c>
      <c r="O38" s="1"/>
      <c r="P38" s="1" t="s">
        <v>765</v>
      </c>
      <c r="Q38" s="1" t="s">
        <v>390</v>
      </c>
      <c r="R38" s="1"/>
      <c r="S38" s="1" t="s">
        <v>764</v>
      </c>
      <c r="T38" s="1" t="s">
        <v>706</v>
      </c>
      <c r="U38" s="1" t="s">
        <v>681</v>
      </c>
      <c r="V38" s="1"/>
      <c r="W38" s="1" t="s">
        <v>765</v>
      </c>
      <c r="X38" s="1" t="s">
        <v>390</v>
      </c>
      <c r="Y38" s="1" t="s">
        <v>766</v>
      </c>
      <c r="Z38" s="1" t="s">
        <v>767</v>
      </c>
      <c r="AA38" s="1" t="s">
        <v>408</v>
      </c>
      <c r="AB38" s="1" t="s">
        <v>768</v>
      </c>
      <c r="AC38" s="1" t="s">
        <v>769</v>
      </c>
      <c r="AD38" s="1"/>
      <c r="AE38" s="1" t="s">
        <v>703</v>
      </c>
      <c r="AF38" s="1"/>
      <c r="AG38" s="1"/>
      <c r="AH38" s="1"/>
      <c r="AI38" s="1"/>
      <c r="AJ38" s="1"/>
      <c r="AK38" s="1"/>
      <c r="AL38" s="1"/>
      <c r="AM38" s="1"/>
      <c r="AN38" s="1"/>
      <c r="AO38" s="1"/>
      <c r="AP38" s="18" t="s">
        <v>770</v>
      </c>
      <c r="AQ38" s="1"/>
      <c r="AR38" s="1"/>
      <c r="AS38" s="1"/>
      <c r="AT38" s="1"/>
      <c r="AU38" s="20" t="s">
        <v>693</v>
      </c>
      <c r="AV38" s="19" t="s">
        <v>594</v>
      </c>
      <c r="AW38" s="19" t="s">
        <v>408</v>
      </c>
      <c r="AX38" s="22" t="s">
        <v>661</v>
      </c>
      <c r="AY38" s="20" t="s">
        <v>716</v>
      </c>
    </row>
    <row r="39" spans="12:51">
      <c r="L39" s="1" t="s">
        <v>681</v>
      </c>
      <c r="M39" s="1" t="s">
        <v>747</v>
      </c>
      <c r="N39" s="1" t="s">
        <v>750</v>
      </c>
      <c r="O39" s="1"/>
      <c r="P39" s="1" t="s">
        <v>771</v>
      </c>
      <c r="Q39" s="1" t="s">
        <v>390</v>
      </c>
      <c r="R39" s="1"/>
      <c r="S39" s="1" t="s">
        <v>681</v>
      </c>
      <c r="T39" s="1" t="s">
        <v>747</v>
      </c>
      <c r="U39" s="1" t="s">
        <v>750</v>
      </c>
      <c r="V39" s="1"/>
      <c r="W39" s="1" t="s">
        <v>771</v>
      </c>
      <c r="X39" s="1" t="s">
        <v>390</v>
      </c>
      <c r="Y39" s="1" t="s">
        <v>772</v>
      </c>
      <c r="Z39" s="1" t="s">
        <v>409</v>
      </c>
      <c r="AA39" s="1" t="s">
        <v>773</v>
      </c>
      <c r="AB39" s="1" t="s">
        <v>409</v>
      </c>
      <c r="AC39" s="1" t="s">
        <v>113</v>
      </c>
      <c r="AD39" s="1"/>
      <c r="AE39" s="1" t="s">
        <v>769</v>
      </c>
      <c r="AF39" s="1"/>
      <c r="AG39" s="1"/>
      <c r="AH39" s="1"/>
      <c r="AI39" s="1"/>
      <c r="AJ39" s="1"/>
      <c r="AK39" s="1"/>
      <c r="AL39" s="1"/>
      <c r="AM39" s="1"/>
      <c r="AN39" s="1"/>
      <c r="AO39" s="1"/>
      <c r="AP39" s="18" t="s">
        <v>643</v>
      </c>
      <c r="AQ39" s="1"/>
      <c r="AR39" s="1"/>
      <c r="AS39" s="1"/>
      <c r="AT39" s="1"/>
      <c r="AU39" s="20" t="s">
        <v>604</v>
      </c>
      <c r="AV39" s="21" t="s">
        <v>606</v>
      </c>
      <c r="AW39" s="22" t="s">
        <v>683</v>
      </c>
      <c r="AX39" s="22" t="s">
        <v>526</v>
      </c>
      <c r="AY39" s="20" t="s">
        <v>590</v>
      </c>
    </row>
    <row r="40" spans="12:51">
      <c r="L40" s="1" t="s">
        <v>702</v>
      </c>
      <c r="M40" s="1" t="s">
        <v>705</v>
      </c>
      <c r="N40" s="1" t="s">
        <v>401</v>
      </c>
      <c r="O40" s="1"/>
      <c r="P40" s="1" t="s">
        <v>759</v>
      </c>
      <c r="Q40" s="1" t="s">
        <v>774</v>
      </c>
      <c r="R40" s="1"/>
      <c r="S40" s="1" t="s">
        <v>702</v>
      </c>
      <c r="T40" s="1" t="s">
        <v>705</v>
      </c>
      <c r="U40" s="1" t="s">
        <v>401</v>
      </c>
      <c r="V40" s="1"/>
      <c r="W40" s="1" t="s">
        <v>759</v>
      </c>
      <c r="X40" s="1" t="s">
        <v>774</v>
      </c>
      <c r="Y40" s="1" t="s">
        <v>772</v>
      </c>
      <c r="Z40" s="1" t="s">
        <v>764</v>
      </c>
      <c r="AA40" s="1" t="s">
        <v>604</v>
      </c>
      <c r="AB40" s="1" t="s">
        <v>775</v>
      </c>
      <c r="AC40" s="1" t="s">
        <v>776</v>
      </c>
      <c r="AD40" s="1"/>
      <c r="AE40" s="1" t="s">
        <v>726</v>
      </c>
      <c r="AF40" s="1"/>
      <c r="AG40" s="1"/>
      <c r="AH40" s="1"/>
      <c r="AI40" s="1"/>
      <c r="AJ40" s="1"/>
      <c r="AK40" s="1"/>
      <c r="AL40" s="1"/>
      <c r="AM40" s="1"/>
      <c r="AN40" s="1"/>
      <c r="AO40" s="1"/>
      <c r="AP40" s="18" t="s">
        <v>777</v>
      </c>
      <c r="AQ40" s="1"/>
      <c r="AR40" s="1"/>
      <c r="AS40" s="1"/>
      <c r="AT40" s="1"/>
      <c r="AU40" s="20" t="s">
        <v>625</v>
      </c>
      <c r="AV40" s="22" t="s">
        <v>572</v>
      </c>
      <c r="AW40" s="20" t="s">
        <v>592</v>
      </c>
      <c r="AX40" s="22" t="s">
        <v>671</v>
      </c>
      <c r="AY40" s="20" t="s">
        <v>603</v>
      </c>
    </row>
    <row r="41" spans="12:51">
      <c r="L41" s="1" t="s">
        <v>778</v>
      </c>
      <c r="M41" s="1" t="s">
        <v>404</v>
      </c>
      <c r="N41" s="1" t="s">
        <v>719</v>
      </c>
      <c r="O41" s="1"/>
      <c r="P41" s="1" t="s">
        <v>655</v>
      </c>
      <c r="Q41" s="1" t="s">
        <v>779</v>
      </c>
      <c r="R41" s="1"/>
      <c r="S41" s="1" t="s">
        <v>778</v>
      </c>
      <c r="T41" s="1" t="s">
        <v>404</v>
      </c>
      <c r="U41" s="1" t="s">
        <v>719</v>
      </c>
      <c r="V41" s="1"/>
      <c r="W41" s="1" t="s">
        <v>655</v>
      </c>
      <c r="X41" s="1" t="s">
        <v>779</v>
      </c>
      <c r="Y41" s="1" t="s">
        <v>707</v>
      </c>
      <c r="Z41" s="1" t="s">
        <v>698</v>
      </c>
      <c r="AA41" s="1" t="s">
        <v>724</v>
      </c>
      <c r="AB41" s="1" t="s">
        <v>780</v>
      </c>
      <c r="AC41" s="1"/>
      <c r="AD41" s="1"/>
      <c r="AE41" s="1"/>
      <c r="AF41" s="1"/>
      <c r="AG41" s="1"/>
      <c r="AH41" s="1"/>
      <c r="AI41" s="1"/>
      <c r="AJ41" s="1"/>
      <c r="AK41" s="1"/>
      <c r="AL41" s="1"/>
      <c r="AM41" s="1"/>
      <c r="AN41" s="1"/>
      <c r="AO41" s="1"/>
      <c r="AP41" s="18" t="s">
        <v>781</v>
      </c>
      <c r="AQ41" s="1"/>
      <c r="AR41" s="1"/>
      <c r="AS41" s="1"/>
      <c r="AT41" s="1"/>
      <c r="AU41" s="20" t="s">
        <v>701</v>
      </c>
      <c r="AV41" s="20" t="s">
        <v>597</v>
      </c>
      <c r="AW41" s="22" t="s">
        <v>655</v>
      </c>
      <c r="AX41" s="20" t="s">
        <v>579</v>
      </c>
      <c r="AY41" s="20" t="s">
        <v>70</v>
      </c>
    </row>
    <row r="42" spans="12:51">
      <c r="L42" s="1" t="s">
        <v>698</v>
      </c>
      <c r="M42" s="1" t="s">
        <v>782</v>
      </c>
      <c r="N42" s="1" t="s">
        <v>113</v>
      </c>
      <c r="O42" s="1"/>
      <c r="P42" s="1" t="s">
        <v>520</v>
      </c>
      <c r="Q42" s="1" t="s">
        <v>748</v>
      </c>
      <c r="R42" s="1"/>
      <c r="S42" s="1" t="s">
        <v>698</v>
      </c>
      <c r="T42" s="1" t="s">
        <v>782</v>
      </c>
      <c r="U42" s="1" t="s">
        <v>113</v>
      </c>
      <c r="V42" s="1"/>
      <c r="W42" s="1" t="s">
        <v>520</v>
      </c>
      <c r="X42" s="1" t="s">
        <v>748</v>
      </c>
      <c r="Y42" s="1" t="s">
        <v>666</v>
      </c>
      <c r="Z42" s="1" t="s">
        <v>783</v>
      </c>
      <c r="AA42" s="1" t="s">
        <v>744</v>
      </c>
      <c r="AB42" s="1" t="s">
        <v>784</v>
      </c>
      <c r="AC42" s="1"/>
      <c r="AD42" s="1"/>
      <c r="AE42" s="1"/>
      <c r="AF42" s="1"/>
      <c r="AG42" s="1"/>
      <c r="AH42" s="1"/>
      <c r="AI42" s="1"/>
      <c r="AJ42" s="1"/>
      <c r="AK42" s="1"/>
      <c r="AL42" s="1"/>
      <c r="AM42" s="1"/>
      <c r="AN42" s="1"/>
      <c r="AO42" s="1"/>
      <c r="AP42" s="18" t="s">
        <v>727</v>
      </c>
      <c r="AQ42" s="1"/>
      <c r="AR42" s="1"/>
      <c r="AS42" s="1"/>
      <c r="AT42" s="1"/>
      <c r="AU42" s="20" t="s">
        <v>644</v>
      </c>
      <c r="AV42" s="19" t="s">
        <v>557</v>
      </c>
      <c r="AW42" s="20" t="s">
        <v>396</v>
      </c>
      <c r="AX42" s="22" t="s">
        <v>536</v>
      </c>
      <c r="AY42" s="20" t="s">
        <v>97</v>
      </c>
    </row>
    <row r="43" spans="12:51">
      <c r="L43" s="1" t="s">
        <v>785</v>
      </c>
      <c r="M43" s="1"/>
      <c r="N43" s="1" t="s">
        <v>776</v>
      </c>
      <c r="O43" s="1"/>
      <c r="P43" s="1" t="s">
        <v>772</v>
      </c>
      <c r="Q43" s="1" t="s">
        <v>663</v>
      </c>
      <c r="R43" s="1"/>
      <c r="S43" s="1" t="s">
        <v>785</v>
      </c>
      <c r="T43" s="1"/>
      <c r="U43" s="1" t="s">
        <v>776</v>
      </c>
      <c r="V43" s="1"/>
      <c r="W43" s="1" t="s">
        <v>772</v>
      </c>
      <c r="X43" s="1" t="s">
        <v>663</v>
      </c>
      <c r="Y43" s="1" t="s">
        <v>786</v>
      </c>
      <c r="Z43" s="1" t="s">
        <v>113</v>
      </c>
      <c r="AA43" s="1" t="s">
        <v>655</v>
      </c>
      <c r="AB43" s="1" t="s">
        <v>787</v>
      </c>
      <c r="AC43" s="1"/>
      <c r="AD43" s="1"/>
      <c r="AE43" s="1"/>
      <c r="AF43" s="1"/>
      <c r="AG43" s="1"/>
      <c r="AH43" s="1"/>
      <c r="AI43" s="1"/>
      <c r="AJ43" s="1"/>
      <c r="AK43" s="1"/>
      <c r="AL43" s="1"/>
      <c r="AM43" s="1"/>
      <c r="AN43" s="1"/>
      <c r="AO43" s="1"/>
      <c r="AP43" s="18" t="s">
        <v>788</v>
      </c>
      <c r="AQ43" s="1"/>
      <c r="AR43" s="1"/>
      <c r="AS43" s="1"/>
      <c r="AT43" s="1"/>
      <c r="AU43" s="20" t="s">
        <v>665</v>
      </c>
      <c r="AV43" s="20" t="s">
        <v>621</v>
      </c>
      <c r="AW43" s="22" t="s">
        <v>738</v>
      </c>
      <c r="AX43" s="22" t="s">
        <v>387</v>
      </c>
      <c r="AY43" s="20" t="s">
        <v>663</v>
      </c>
    </row>
    <row r="44" spans="12:51">
      <c r="L44" s="1" t="s">
        <v>706</v>
      </c>
      <c r="M44" s="1"/>
      <c r="N44" s="1"/>
      <c r="O44" s="1"/>
      <c r="P44" s="1" t="s">
        <v>699</v>
      </c>
      <c r="Q44" s="1" t="s">
        <v>789</v>
      </c>
      <c r="R44" s="1"/>
      <c r="S44" s="1" t="s">
        <v>706</v>
      </c>
      <c r="T44" s="1"/>
      <c r="U44" s="1"/>
      <c r="V44" s="1"/>
      <c r="W44" s="1" t="s">
        <v>699</v>
      </c>
      <c r="X44" s="1" t="s">
        <v>789</v>
      </c>
      <c r="Y44" s="1" t="s">
        <v>727</v>
      </c>
      <c r="Z44" s="1"/>
      <c r="AA44" s="1" t="s">
        <v>714</v>
      </c>
      <c r="AB44" s="1" t="s">
        <v>778</v>
      </c>
      <c r="AC44" s="1"/>
      <c r="AD44" s="1"/>
      <c r="AE44" s="1"/>
      <c r="AF44" s="1"/>
      <c r="AG44" s="1"/>
      <c r="AH44" s="1"/>
      <c r="AI44" s="1"/>
      <c r="AJ44" s="1"/>
      <c r="AK44" s="1"/>
      <c r="AL44" s="1"/>
      <c r="AM44" s="1"/>
      <c r="AN44" s="1"/>
      <c r="AO44" s="1"/>
      <c r="AP44" s="18" t="s">
        <v>706</v>
      </c>
      <c r="AQ44" s="1"/>
      <c r="AR44" s="1"/>
      <c r="AS44" s="1"/>
      <c r="AT44" s="1"/>
      <c r="AU44" s="20" t="s">
        <v>651</v>
      </c>
      <c r="AV44" s="22" t="s">
        <v>127</v>
      </c>
      <c r="AW44" s="20" t="s">
        <v>666</v>
      </c>
      <c r="AX44" s="22" t="s">
        <v>556</v>
      </c>
      <c r="AY44" s="20" t="s">
        <v>672</v>
      </c>
    </row>
    <row r="45" spans="12:51">
      <c r="L45" s="1" t="s">
        <v>790</v>
      </c>
      <c r="M45" s="1"/>
      <c r="N45" s="1"/>
      <c r="O45" s="1"/>
      <c r="P45" s="1" t="s">
        <v>713</v>
      </c>
      <c r="Q45" s="1" t="s">
        <v>789</v>
      </c>
      <c r="R45" s="1"/>
      <c r="S45" s="1" t="s">
        <v>790</v>
      </c>
      <c r="T45" s="1"/>
      <c r="U45" s="1"/>
      <c r="V45" s="1"/>
      <c r="W45" s="1" t="s">
        <v>713</v>
      </c>
      <c r="X45" s="1" t="s">
        <v>789</v>
      </c>
      <c r="Y45" s="1" t="s">
        <v>791</v>
      </c>
      <c r="Z45" s="1"/>
      <c r="AA45" s="1" t="s">
        <v>792</v>
      </c>
      <c r="AB45" s="1" t="s">
        <v>401</v>
      </c>
      <c r="AC45" s="1"/>
      <c r="AD45" s="1"/>
      <c r="AE45" s="1"/>
      <c r="AF45" s="1"/>
      <c r="AG45" s="1"/>
      <c r="AH45" s="1"/>
      <c r="AI45" s="1"/>
      <c r="AJ45" s="1"/>
      <c r="AK45" s="1"/>
      <c r="AL45" s="1"/>
      <c r="AM45" s="1"/>
      <c r="AN45" s="1"/>
      <c r="AO45" s="1"/>
      <c r="AP45" s="18" t="s">
        <v>635</v>
      </c>
      <c r="AQ45" s="1"/>
      <c r="AR45" s="1"/>
      <c r="AS45" s="1"/>
      <c r="AT45" s="1"/>
      <c r="AU45" s="20" t="s">
        <v>737</v>
      </c>
      <c r="AV45" s="21" t="s">
        <v>627</v>
      </c>
      <c r="AW45" s="22" t="s">
        <v>751</v>
      </c>
      <c r="AX45" s="20" t="s">
        <v>543</v>
      </c>
      <c r="AY45" s="20" t="s">
        <v>680</v>
      </c>
    </row>
    <row r="46" spans="12:51">
      <c r="L46" s="1"/>
      <c r="M46" s="1"/>
      <c r="N46" s="1"/>
      <c r="O46" s="1"/>
      <c r="P46" s="1" t="s">
        <v>707</v>
      </c>
      <c r="Q46" s="1" t="s">
        <v>714</v>
      </c>
      <c r="R46" s="1"/>
      <c r="S46" s="1"/>
      <c r="T46" s="1"/>
      <c r="U46" s="1"/>
      <c r="V46" s="1"/>
      <c r="W46" s="1" t="s">
        <v>707</v>
      </c>
      <c r="X46" s="1" t="s">
        <v>714</v>
      </c>
      <c r="Y46" s="1" t="s">
        <v>758</v>
      </c>
      <c r="Z46" s="1"/>
      <c r="AA46" s="1" t="s">
        <v>793</v>
      </c>
      <c r="AB46" s="1" t="s">
        <v>794</v>
      </c>
      <c r="AC46" s="1"/>
      <c r="AD46" s="1"/>
      <c r="AE46" s="1"/>
      <c r="AF46" s="1"/>
      <c r="AG46" s="1"/>
      <c r="AH46" s="1"/>
      <c r="AI46" s="1"/>
      <c r="AJ46" s="1"/>
      <c r="AK46" s="1"/>
      <c r="AL46" s="1"/>
      <c r="AM46" s="1"/>
      <c r="AN46" s="1"/>
      <c r="AO46" s="1"/>
      <c r="AP46" s="18" t="s">
        <v>776</v>
      </c>
      <c r="AQ46" s="1"/>
      <c r="AR46" s="1"/>
      <c r="AS46" s="1"/>
      <c r="AT46" s="1"/>
      <c r="AU46" s="20" t="s">
        <v>681</v>
      </c>
      <c r="AV46" s="19" t="s">
        <v>634</v>
      </c>
      <c r="AW46" s="19" t="s">
        <v>398</v>
      </c>
      <c r="AX46" s="20" t="s">
        <v>582</v>
      </c>
      <c r="AY46" s="20" t="s">
        <v>397</v>
      </c>
    </row>
    <row r="47" spans="12:51">
      <c r="L47" s="1"/>
      <c r="M47" s="1"/>
      <c r="N47" s="1"/>
      <c r="O47" s="1"/>
      <c r="P47" s="1" t="s">
        <v>666</v>
      </c>
      <c r="Q47" s="1" t="s">
        <v>772</v>
      </c>
      <c r="R47" s="1"/>
      <c r="S47" s="1"/>
      <c r="T47" s="1"/>
      <c r="U47" s="1"/>
      <c r="V47" s="1"/>
      <c r="W47" s="1" t="s">
        <v>666</v>
      </c>
      <c r="X47" s="1" t="s">
        <v>772</v>
      </c>
      <c r="Y47" s="1" t="s">
        <v>795</v>
      </c>
      <c r="Z47" s="1"/>
      <c r="AA47" s="1" t="s">
        <v>772</v>
      </c>
      <c r="AB47" s="1" t="s">
        <v>698</v>
      </c>
      <c r="AC47" s="1"/>
      <c r="AD47" s="1"/>
      <c r="AE47" s="1"/>
      <c r="AF47" s="1"/>
      <c r="AG47" s="1"/>
      <c r="AH47" s="1"/>
      <c r="AI47" s="1"/>
      <c r="AJ47" s="1"/>
      <c r="AK47" s="1"/>
      <c r="AL47" s="1"/>
      <c r="AM47" s="1"/>
      <c r="AN47" s="1"/>
      <c r="AO47" s="1"/>
      <c r="AP47" s="18"/>
      <c r="AQ47" s="1"/>
      <c r="AR47" s="1"/>
      <c r="AS47" s="1"/>
      <c r="AT47" s="1"/>
      <c r="AU47" s="20" t="s">
        <v>702</v>
      </c>
      <c r="AV47" s="20" t="s">
        <v>548</v>
      </c>
      <c r="AW47" s="20" t="s">
        <v>682</v>
      </c>
      <c r="AX47" s="22" t="s">
        <v>562</v>
      </c>
      <c r="AY47" s="20" t="s">
        <v>643</v>
      </c>
    </row>
    <row r="48" spans="12:51">
      <c r="L48" s="1"/>
      <c r="M48" s="1"/>
      <c r="N48" s="1"/>
      <c r="O48" s="1"/>
      <c r="P48" s="1" t="s">
        <v>666</v>
      </c>
      <c r="Q48" s="1" t="s">
        <v>699</v>
      </c>
      <c r="R48" s="1"/>
      <c r="S48" s="1"/>
      <c r="T48" s="1"/>
      <c r="U48" s="1"/>
      <c r="V48" s="1"/>
      <c r="W48" s="1" t="s">
        <v>666</v>
      </c>
      <c r="X48" s="1" t="s">
        <v>699</v>
      </c>
      <c r="Y48" s="1" t="s">
        <v>796</v>
      </c>
      <c r="Z48" s="1"/>
      <c r="AA48" s="1" t="s">
        <v>740</v>
      </c>
      <c r="AB48" s="1" t="s">
        <v>797</v>
      </c>
      <c r="AC48" s="1"/>
      <c r="AD48" s="1"/>
      <c r="AE48" s="1"/>
      <c r="AF48" s="1"/>
      <c r="AG48" s="1"/>
      <c r="AH48" s="1"/>
      <c r="AI48" s="1"/>
      <c r="AJ48" s="1"/>
      <c r="AK48" s="1"/>
      <c r="AL48" s="1"/>
      <c r="AM48" s="1"/>
      <c r="AN48" s="1"/>
      <c r="AO48" s="1"/>
      <c r="AP48" s="1"/>
      <c r="AQ48" s="1"/>
      <c r="AR48" s="1"/>
      <c r="AS48" s="1"/>
      <c r="AT48" s="1"/>
      <c r="AU48" s="20" t="s">
        <v>750</v>
      </c>
      <c r="AV48" s="21" t="s">
        <v>111</v>
      </c>
      <c r="AW48" s="22" t="s">
        <v>758</v>
      </c>
      <c r="AX48" s="20" t="s">
        <v>594</v>
      </c>
      <c r="AY48" s="20" t="s">
        <v>651</v>
      </c>
    </row>
    <row r="49" spans="16:51">
      <c r="P49" s="1" t="s">
        <v>798</v>
      </c>
      <c r="Q49" s="1" t="s">
        <v>799</v>
      </c>
      <c r="R49" s="1"/>
      <c r="S49" s="1"/>
      <c r="T49" s="1"/>
      <c r="U49" s="1"/>
      <c r="V49" s="1"/>
      <c r="W49" s="1" t="s">
        <v>798</v>
      </c>
      <c r="X49" s="1" t="s">
        <v>799</v>
      </c>
      <c r="Y49" s="1" t="s">
        <v>800</v>
      </c>
      <c r="Z49" s="1"/>
      <c r="AA49" s="1" t="s">
        <v>672</v>
      </c>
      <c r="AB49" s="1" t="s">
        <v>697</v>
      </c>
      <c r="AC49" s="1"/>
      <c r="AD49" s="1"/>
      <c r="AE49" s="1"/>
      <c r="AF49" s="1"/>
      <c r="AG49" s="1"/>
      <c r="AH49" s="1"/>
      <c r="AI49" s="1"/>
      <c r="AJ49" s="1"/>
      <c r="AK49" s="1"/>
      <c r="AL49" s="1"/>
      <c r="AM49" s="1"/>
      <c r="AN49" s="1"/>
      <c r="AO49" s="1"/>
      <c r="AP49" s="1"/>
      <c r="AQ49" s="1"/>
      <c r="AR49" s="1"/>
      <c r="AS49" s="1"/>
      <c r="AT49" s="1"/>
      <c r="AU49" s="20" t="s">
        <v>691</v>
      </c>
      <c r="AV49" s="22" t="s">
        <v>645</v>
      </c>
      <c r="AW49" s="20" t="s">
        <v>681</v>
      </c>
      <c r="AX49" s="22" t="s">
        <v>640</v>
      </c>
      <c r="AY49" s="20" t="s">
        <v>662</v>
      </c>
    </row>
    <row r="50" spans="16:51">
      <c r="P50" s="1" t="s">
        <v>398</v>
      </c>
      <c r="Q50" s="1" t="s">
        <v>665</v>
      </c>
      <c r="R50" s="1"/>
      <c r="S50" s="1"/>
      <c r="T50" s="1"/>
      <c r="U50" s="1"/>
      <c r="V50" s="1"/>
      <c r="W50" s="1" t="s">
        <v>398</v>
      </c>
      <c r="X50" s="1" t="s">
        <v>665</v>
      </c>
      <c r="Y50" s="1" t="s">
        <v>404</v>
      </c>
      <c r="Z50" s="1"/>
      <c r="AA50" s="1" t="s">
        <v>738</v>
      </c>
      <c r="AB50" s="1" t="s">
        <v>801</v>
      </c>
      <c r="AC50" s="1"/>
      <c r="AD50" s="1"/>
      <c r="AE50" s="1"/>
      <c r="AF50" s="1"/>
      <c r="AG50" s="1"/>
      <c r="AH50" s="1"/>
      <c r="AI50" s="1"/>
      <c r="AJ50" s="1"/>
      <c r="AK50" s="1"/>
      <c r="AL50" s="1"/>
      <c r="AM50" s="1"/>
      <c r="AN50" s="1"/>
      <c r="AO50" s="1"/>
      <c r="AP50" s="1"/>
      <c r="AQ50" s="1"/>
      <c r="AR50" s="1"/>
      <c r="AS50" s="1"/>
      <c r="AT50" s="1"/>
      <c r="AU50" s="20" t="s">
        <v>698</v>
      </c>
      <c r="AV50" s="20" t="s">
        <v>657</v>
      </c>
      <c r="AW50" s="22" t="s">
        <v>750</v>
      </c>
      <c r="AX50" s="22" t="s">
        <v>557</v>
      </c>
      <c r="AY50" s="20" t="s">
        <v>574</v>
      </c>
    </row>
    <row r="51" spans="16:51">
      <c r="P51" s="1" t="s">
        <v>802</v>
      </c>
      <c r="Q51" s="1" t="s">
        <v>803</v>
      </c>
      <c r="R51" s="1"/>
      <c r="S51" s="1"/>
      <c r="T51" s="1"/>
      <c r="U51" s="1"/>
      <c r="V51" s="1"/>
      <c r="W51" s="1" t="s">
        <v>802</v>
      </c>
      <c r="X51" s="1" t="s">
        <v>803</v>
      </c>
      <c r="Y51" s="1" t="s">
        <v>783</v>
      </c>
      <c r="Z51" s="1"/>
      <c r="AA51" s="1" t="s">
        <v>707</v>
      </c>
      <c r="AB51" s="1" t="s">
        <v>804</v>
      </c>
      <c r="AC51" s="1"/>
      <c r="AD51" s="1"/>
      <c r="AE51" s="1"/>
      <c r="AF51" s="1"/>
      <c r="AG51" s="1"/>
      <c r="AH51" s="1"/>
      <c r="AI51" s="1"/>
      <c r="AJ51" s="1"/>
      <c r="AK51" s="1"/>
      <c r="AL51" s="1"/>
      <c r="AM51" s="1"/>
      <c r="AN51" s="1"/>
      <c r="AO51" s="1"/>
      <c r="AP51" s="1"/>
      <c r="AQ51" s="1"/>
      <c r="AR51" s="1"/>
      <c r="AS51" s="1"/>
      <c r="AT51" s="1"/>
      <c r="AU51" s="20" t="s">
        <v>706</v>
      </c>
      <c r="AV51" s="20" t="s">
        <v>390</v>
      </c>
      <c r="AW51" s="20" t="s">
        <v>401</v>
      </c>
      <c r="AX51" s="22" t="s">
        <v>694</v>
      </c>
      <c r="AY51" s="20" t="s">
        <v>741</v>
      </c>
    </row>
    <row r="52" spans="16:51">
      <c r="P52" s="1" t="s">
        <v>767</v>
      </c>
      <c r="Q52" s="1" t="s">
        <v>788</v>
      </c>
      <c r="R52" s="1"/>
      <c r="S52" s="1"/>
      <c r="T52" s="1"/>
      <c r="U52" s="1"/>
      <c r="V52" s="1"/>
      <c r="W52" s="1" t="s">
        <v>767</v>
      </c>
      <c r="X52" s="1" t="s">
        <v>788</v>
      </c>
      <c r="Y52" s="1" t="s">
        <v>406</v>
      </c>
      <c r="Z52" s="1"/>
      <c r="AA52" s="1" t="s">
        <v>666</v>
      </c>
      <c r="AB52" s="1" t="s">
        <v>805</v>
      </c>
      <c r="AC52" s="1"/>
      <c r="AD52" s="1"/>
      <c r="AE52" s="1"/>
      <c r="AF52" s="1"/>
      <c r="AG52" s="1"/>
      <c r="AH52" s="1"/>
      <c r="AI52" s="1"/>
      <c r="AJ52" s="1"/>
      <c r="AK52" s="1"/>
      <c r="AL52" s="1"/>
      <c r="AM52" s="1"/>
      <c r="AN52" s="1"/>
      <c r="AO52" s="1"/>
      <c r="AP52" s="1"/>
      <c r="AQ52" s="1"/>
      <c r="AR52" s="1"/>
      <c r="AS52" s="1"/>
      <c r="AT52" s="1"/>
      <c r="AU52" s="20" t="s">
        <v>747</v>
      </c>
      <c r="AV52" s="19" t="s">
        <v>620</v>
      </c>
      <c r="AW52" s="21" t="s">
        <v>691</v>
      </c>
      <c r="AX52" s="20" t="s">
        <v>652</v>
      </c>
      <c r="AY52" s="20" t="s">
        <v>746</v>
      </c>
    </row>
    <row r="53" spans="16:51">
      <c r="P53" s="1" t="s">
        <v>665</v>
      </c>
      <c r="Q53" s="1" t="s">
        <v>806</v>
      </c>
      <c r="R53" s="1"/>
      <c r="S53" s="1"/>
      <c r="T53" s="1"/>
      <c r="U53" s="1"/>
      <c r="V53" s="1"/>
      <c r="W53" s="1" t="s">
        <v>665</v>
      </c>
      <c r="X53" s="1" t="s">
        <v>806</v>
      </c>
      <c r="Y53" s="1"/>
      <c r="Z53" s="1"/>
      <c r="AA53" s="1" t="s">
        <v>807</v>
      </c>
      <c r="AB53" s="1" t="s">
        <v>619</v>
      </c>
      <c r="AC53" s="1"/>
      <c r="AD53" s="1"/>
      <c r="AE53" s="1"/>
      <c r="AF53" s="1"/>
      <c r="AG53" s="1"/>
      <c r="AH53" s="1"/>
      <c r="AI53" s="1"/>
      <c r="AJ53" s="1"/>
      <c r="AK53" s="1"/>
      <c r="AL53" s="1"/>
      <c r="AM53" s="1"/>
      <c r="AN53" s="1"/>
      <c r="AO53" s="1"/>
      <c r="AP53" s="1"/>
      <c r="AQ53" s="1"/>
      <c r="AR53" s="1"/>
      <c r="AS53" s="1"/>
      <c r="AT53" s="1"/>
      <c r="AU53" s="20" t="s">
        <v>705</v>
      </c>
      <c r="AV53" s="20" t="s">
        <v>676</v>
      </c>
      <c r="AW53" s="19" t="s">
        <v>706</v>
      </c>
      <c r="AX53" s="22" t="s">
        <v>660</v>
      </c>
      <c r="AY53" s="20" t="s">
        <v>409</v>
      </c>
    </row>
    <row r="54" spans="16:51">
      <c r="P54" s="1" t="s">
        <v>786</v>
      </c>
      <c r="Q54" s="1" t="s">
        <v>401</v>
      </c>
      <c r="R54" s="1"/>
      <c r="S54" s="1"/>
      <c r="T54" s="1"/>
      <c r="U54" s="1"/>
      <c r="V54" s="1"/>
      <c r="W54" s="1" t="s">
        <v>786</v>
      </c>
      <c r="X54" s="1" t="s">
        <v>401</v>
      </c>
      <c r="Y54" s="1"/>
      <c r="Z54" s="1"/>
      <c r="AA54" s="1" t="s">
        <v>398</v>
      </c>
      <c r="AB54" s="1" t="s">
        <v>808</v>
      </c>
      <c r="AC54" s="1"/>
      <c r="AD54" s="1"/>
      <c r="AE54" s="1"/>
      <c r="AF54" s="1"/>
      <c r="AG54" s="1"/>
      <c r="AH54" s="1"/>
      <c r="AI54" s="1"/>
      <c r="AJ54" s="1"/>
      <c r="AK54" s="1"/>
      <c r="AL54" s="1"/>
      <c r="AM54" s="1"/>
      <c r="AN54" s="1"/>
      <c r="AO54" s="1"/>
      <c r="AP54" s="1"/>
      <c r="AQ54" s="1"/>
      <c r="AR54" s="1"/>
      <c r="AS54" s="1"/>
      <c r="AT54" s="1"/>
      <c r="AU54" s="20" t="s">
        <v>404</v>
      </c>
      <c r="AV54" s="20" t="s">
        <v>593</v>
      </c>
      <c r="AW54" s="21" t="s">
        <v>712</v>
      </c>
      <c r="AX54" s="20" t="s">
        <v>645</v>
      </c>
      <c r="AY54" s="20" t="s">
        <v>681</v>
      </c>
    </row>
    <row r="55" spans="16:51">
      <c r="P55" s="1" t="s">
        <v>400</v>
      </c>
      <c r="Q55" s="1" t="s">
        <v>796</v>
      </c>
      <c r="R55" s="1"/>
      <c r="S55" s="1"/>
      <c r="T55" s="1"/>
      <c r="U55" s="1"/>
      <c r="V55" s="1"/>
      <c r="W55" s="1" t="s">
        <v>400</v>
      </c>
      <c r="X55" s="1" t="s">
        <v>796</v>
      </c>
      <c r="Y55" s="1"/>
      <c r="Z55" s="1"/>
      <c r="AA55" s="1" t="s">
        <v>809</v>
      </c>
      <c r="AB55" s="1" t="s">
        <v>705</v>
      </c>
      <c r="AC55" s="1"/>
      <c r="AD55" s="1"/>
      <c r="AE55" s="1"/>
      <c r="AF55" s="1"/>
      <c r="AG55" s="1"/>
      <c r="AH55" s="1"/>
      <c r="AI55" s="1"/>
      <c r="AJ55" s="1"/>
      <c r="AK55" s="1"/>
      <c r="AL55" s="1"/>
      <c r="AM55" s="1"/>
      <c r="AN55" s="1"/>
      <c r="AO55" s="1"/>
      <c r="AP55" s="1"/>
      <c r="AQ55" s="1"/>
      <c r="AR55" s="1"/>
      <c r="AS55" s="1"/>
      <c r="AT55" s="1"/>
      <c r="AU55" s="20" t="s">
        <v>782</v>
      </c>
      <c r="AV55" s="22" t="s">
        <v>690</v>
      </c>
      <c r="AW55" s="22" t="s">
        <v>719</v>
      </c>
      <c r="AX55" s="22" t="s">
        <v>716</v>
      </c>
      <c r="AY55" s="20" t="s">
        <v>691</v>
      </c>
    </row>
    <row r="56" spans="16:51">
      <c r="P56" s="1" t="s">
        <v>574</v>
      </c>
      <c r="Q56" s="1" t="s">
        <v>698</v>
      </c>
      <c r="R56" s="1"/>
      <c r="S56" s="1"/>
      <c r="T56" s="1"/>
      <c r="U56" s="1"/>
      <c r="V56" s="1"/>
      <c r="W56" s="1" t="s">
        <v>574</v>
      </c>
      <c r="X56" s="1" t="s">
        <v>698</v>
      </c>
      <c r="Y56" s="1"/>
      <c r="Z56" s="1"/>
      <c r="AA56" s="1" t="s">
        <v>682</v>
      </c>
      <c r="AB56" s="1" t="s">
        <v>810</v>
      </c>
      <c r="AC56" s="1"/>
      <c r="AD56" s="1"/>
      <c r="AE56" s="1"/>
      <c r="AF56" s="1"/>
      <c r="AG56" s="1"/>
      <c r="AH56" s="1"/>
      <c r="AI56" s="1"/>
      <c r="AJ56" s="1"/>
      <c r="AK56" s="1"/>
      <c r="AL56" s="1"/>
      <c r="AM56" s="1"/>
      <c r="AN56" s="1"/>
      <c r="AO56" s="1"/>
      <c r="AP56" s="1"/>
      <c r="AQ56" s="1"/>
      <c r="AR56" s="1"/>
      <c r="AS56" s="1"/>
      <c r="AT56" s="1"/>
      <c r="AU56" s="24"/>
      <c r="AV56" s="21" t="s">
        <v>605</v>
      </c>
      <c r="AW56" s="21" t="s">
        <v>726</v>
      </c>
      <c r="AX56" s="20" t="s">
        <v>590</v>
      </c>
      <c r="AY56" s="20" t="s">
        <v>706</v>
      </c>
    </row>
    <row r="57" spans="16:51">
      <c r="P57" s="1" t="s">
        <v>811</v>
      </c>
      <c r="Q57" s="1" t="s">
        <v>706</v>
      </c>
      <c r="R57" s="1"/>
      <c r="S57" s="1"/>
      <c r="T57" s="1"/>
      <c r="U57" s="1"/>
      <c r="V57" s="1"/>
      <c r="W57" s="1" t="s">
        <v>811</v>
      </c>
      <c r="X57" s="1" t="s">
        <v>706</v>
      </c>
      <c r="Y57" s="1"/>
      <c r="Z57" s="1"/>
      <c r="AA57" s="1" t="s">
        <v>737</v>
      </c>
      <c r="AB57" s="1" t="s">
        <v>812</v>
      </c>
      <c r="AC57" s="1"/>
      <c r="AD57" s="1"/>
      <c r="AE57" s="1"/>
      <c r="AF57" s="1"/>
      <c r="AG57" s="1"/>
      <c r="AH57" s="1"/>
      <c r="AI57" s="1"/>
      <c r="AJ57" s="1"/>
      <c r="AK57" s="1"/>
      <c r="AL57" s="1"/>
      <c r="AM57" s="1"/>
      <c r="AN57" s="1"/>
      <c r="AO57" s="1"/>
      <c r="AP57" s="1"/>
      <c r="AQ57" s="1"/>
      <c r="AR57" s="1"/>
      <c r="AS57" s="1"/>
      <c r="AT57" s="1"/>
      <c r="AU57" s="1"/>
      <c r="AV57" s="22" t="s">
        <v>674</v>
      </c>
      <c r="AW57" s="20" t="s">
        <v>113</v>
      </c>
      <c r="AX57" s="20" t="s">
        <v>603</v>
      </c>
      <c r="AY57" s="20" t="s">
        <v>762</v>
      </c>
    </row>
    <row r="58" spans="16:51">
      <c r="P58" s="1" t="s">
        <v>401</v>
      </c>
      <c r="Q58" s="1" t="s">
        <v>402</v>
      </c>
      <c r="R58" s="1"/>
      <c r="S58" s="1"/>
      <c r="T58" s="1"/>
      <c r="U58" s="1"/>
      <c r="V58" s="1"/>
      <c r="W58" s="1" t="s">
        <v>401</v>
      </c>
      <c r="X58" s="1" t="s">
        <v>402</v>
      </c>
      <c r="Y58" s="1"/>
      <c r="Z58" s="1"/>
      <c r="AA58" s="1" t="s">
        <v>400</v>
      </c>
      <c r="AB58" s="1" t="s">
        <v>782</v>
      </c>
      <c r="AC58" s="1"/>
      <c r="AD58" s="1"/>
      <c r="AE58" s="1"/>
      <c r="AF58" s="1"/>
      <c r="AG58" s="1"/>
      <c r="AH58" s="1"/>
      <c r="AI58" s="1"/>
      <c r="AJ58" s="1"/>
      <c r="AK58" s="1"/>
      <c r="AL58" s="1"/>
      <c r="AM58" s="1"/>
      <c r="AN58" s="1"/>
      <c r="AO58" s="1"/>
      <c r="AP58" s="1"/>
      <c r="AQ58" s="1"/>
      <c r="AR58" s="1"/>
      <c r="AS58" s="1"/>
      <c r="AT58" s="1"/>
      <c r="AU58" s="1"/>
      <c r="AV58" s="20" t="s">
        <v>408</v>
      </c>
      <c r="AW58" s="19"/>
      <c r="AX58" s="20" t="s">
        <v>615</v>
      </c>
      <c r="AY58" s="20" t="s">
        <v>726</v>
      </c>
    </row>
    <row r="59" spans="16:51">
      <c r="P59" s="1" t="s">
        <v>796</v>
      </c>
      <c r="Q59" s="1" t="s">
        <v>813</v>
      </c>
      <c r="R59" s="1"/>
      <c r="S59" s="1"/>
      <c r="T59" s="1"/>
      <c r="U59" s="1"/>
      <c r="V59" s="1"/>
      <c r="W59" s="1" t="s">
        <v>796</v>
      </c>
      <c r="X59" s="1" t="s">
        <v>813</v>
      </c>
      <c r="Y59" s="1"/>
      <c r="Z59" s="1"/>
      <c r="AA59" s="1" t="s">
        <v>814</v>
      </c>
      <c r="AB59" s="1" t="s">
        <v>113</v>
      </c>
      <c r="AC59" s="1"/>
      <c r="AD59" s="1"/>
      <c r="AE59" s="1"/>
      <c r="AF59" s="1"/>
      <c r="AG59" s="1"/>
      <c r="AH59" s="1"/>
      <c r="AI59" s="1"/>
      <c r="AJ59" s="1"/>
      <c r="AK59" s="1"/>
      <c r="AL59" s="1"/>
      <c r="AM59" s="1"/>
      <c r="AN59" s="1"/>
      <c r="AO59" s="1"/>
      <c r="AP59" s="1"/>
      <c r="AQ59" s="1"/>
      <c r="AR59" s="1"/>
      <c r="AS59" s="1"/>
      <c r="AT59" s="1"/>
      <c r="AU59" s="18"/>
      <c r="AV59" s="20" t="s">
        <v>693</v>
      </c>
      <c r="AW59" s="19"/>
      <c r="AX59" s="20" t="s">
        <v>70</v>
      </c>
      <c r="AY59" s="20" t="s">
        <v>776</v>
      </c>
    </row>
    <row r="60" spans="16:51">
      <c r="P60" s="1" t="s">
        <v>800</v>
      </c>
      <c r="Q60" s="1" t="s">
        <v>769</v>
      </c>
      <c r="R60" s="1"/>
      <c r="S60" s="1"/>
      <c r="T60" s="1"/>
      <c r="U60" s="1"/>
      <c r="V60" s="1"/>
      <c r="W60" s="1" t="s">
        <v>800</v>
      </c>
      <c r="X60" s="1" t="s">
        <v>769</v>
      </c>
      <c r="Y60" s="1"/>
      <c r="Z60" s="1"/>
      <c r="AA60" s="1" t="s">
        <v>749</v>
      </c>
      <c r="AB60" s="1" t="s">
        <v>815</v>
      </c>
      <c r="AC60" s="1"/>
      <c r="AD60" s="1"/>
      <c r="AE60" s="1"/>
      <c r="AF60" s="1"/>
      <c r="AG60" s="1"/>
      <c r="AH60" s="1"/>
      <c r="AI60" s="1"/>
      <c r="AJ60" s="1"/>
      <c r="AK60" s="1"/>
      <c r="AL60" s="1"/>
      <c r="AM60" s="1"/>
      <c r="AN60" s="1"/>
      <c r="AO60" s="1"/>
      <c r="AP60" s="1"/>
      <c r="AQ60" s="1"/>
      <c r="AR60" s="1"/>
      <c r="AS60" s="1"/>
      <c r="AT60" s="1"/>
      <c r="AU60" s="1"/>
      <c r="AV60" s="22" t="s">
        <v>683</v>
      </c>
      <c r="AW60" s="19"/>
      <c r="AX60" s="20" t="s">
        <v>97</v>
      </c>
      <c r="AY60" s="20"/>
    </row>
    <row r="61" spans="16:51">
      <c r="P61" s="1" t="s">
        <v>596</v>
      </c>
      <c r="Q61" s="1" t="s">
        <v>711</v>
      </c>
      <c r="R61" s="1"/>
      <c r="S61" s="1"/>
      <c r="T61" s="1"/>
      <c r="U61" s="1"/>
      <c r="V61" s="1"/>
      <c r="W61" s="1" t="s">
        <v>596</v>
      </c>
      <c r="X61" s="1" t="s">
        <v>711</v>
      </c>
      <c r="Y61" s="1"/>
      <c r="Z61" s="1"/>
      <c r="AA61" s="1" t="s">
        <v>816</v>
      </c>
      <c r="AB61" s="1" t="s">
        <v>405</v>
      </c>
      <c r="AC61" s="1"/>
      <c r="AD61" s="1"/>
      <c r="AE61" s="1"/>
      <c r="AF61" s="1"/>
      <c r="AG61" s="1"/>
      <c r="AH61" s="1"/>
      <c r="AI61" s="1"/>
      <c r="AJ61" s="1"/>
      <c r="AK61" s="1"/>
      <c r="AL61" s="1"/>
      <c r="AM61" s="1"/>
      <c r="AN61" s="1"/>
      <c r="AO61" s="1"/>
      <c r="AP61" s="1"/>
      <c r="AQ61" s="1"/>
      <c r="AR61" s="1"/>
      <c r="AS61" s="1"/>
      <c r="AT61" s="1"/>
      <c r="AU61" s="1"/>
      <c r="AV61" s="20" t="s">
        <v>592</v>
      </c>
      <c r="AW61" s="19"/>
      <c r="AX61" s="20" t="s">
        <v>663</v>
      </c>
      <c r="AY61" s="20"/>
    </row>
    <row r="62" spans="16:51">
      <c r="P62" s="1" t="s">
        <v>755</v>
      </c>
      <c r="Q62" s="1" t="s">
        <v>726</v>
      </c>
      <c r="R62" s="1"/>
      <c r="S62" s="1"/>
      <c r="T62" s="1"/>
      <c r="U62" s="1"/>
      <c r="V62" s="1"/>
      <c r="W62" s="1" t="s">
        <v>755</v>
      </c>
      <c r="X62" s="1" t="s">
        <v>726</v>
      </c>
      <c r="Y62" s="1"/>
      <c r="Z62" s="1"/>
      <c r="AA62" s="1" t="s">
        <v>806</v>
      </c>
      <c r="AB62" s="1" t="s">
        <v>406</v>
      </c>
      <c r="AC62" s="1"/>
      <c r="AD62" s="1"/>
      <c r="AE62" s="1"/>
      <c r="AF62" s="1"/>
      <c r="AG62" s="1"/>
      <c r="AH62" s="1"/>
      <c r="AI62" s="1"/>
      <c r="AJ62" s="1"/>
      <c r="AK62" s="1"/>
      <c r="AL62" s="1"/>
      <c r="AM62" s="1"/>
      <c r="AN62" s="1"/>
      <c r="AO62" s="1"/>
      <c r="AP62" s="1"/>
      <c r="AQ62" s="1"/>
      <c r="AR62" s="1"/>
      <c r="AS62" s="1"/>
      <c r="AT62" s="1"/>
      <c r="AU62" s="1"/>
      <c r="AV62" s="22" t="s">
        <v>655</v>
      </c>
      <c r="AW62" s="19"/>
      <c r="AX62" s="20" t="s">
        <v>672</v>
      </c>
      <c r="AY62" s="20"/>
    </row>
    <row r="63" spans="16:51">
      <c r="P63" s="1" t="s">
        <v>607</v>
      </c>
      <c r="Q63" s="1" t="s">
        <v>405</v>
      </c>
      <c r="R63" s="1"/>
      <c r="S63" s="1"/>
      <c r="T63" s="1"/>
      <c r="U63" s="1"/>
      <c r="V63" s="1"/>
      <c r="W63" s="1" t="s">
        <v>607</v>
      </c>
      <c r="X63" s="1" t="s">
        <v>405</v>
      </c>
      <c r="Y63" s="1"/>
      <c r="Z63" s="1"/>
      <c r="AA63" s="1" t="s">
        <v>817</v>
      </c>
      <c r="AB63" s="1"/>
      <c r="AC63" s="1"/>
      <c r="AD63" s="1"/>
      <c r="AE63" s="1"/>
      <c r="AF63" s="1"/>
      <c r="AG63" s="1"/>
      <c r="AH63" s="1"/>
      <c r="AI63" s="1"/>
      <c r="AJ63" s="1"/>
      <c r="AK63" s="1"/>
      <c r="AL63" s="1"/>
      <c r="AM63" s="1"/>
      <c r="AN63" s="1"/>
      <c r="AO63" s="1"/>
      <c r="AP63" s="1"/>
      <c r="AQ63" s="1"/>
      <c r="AR63" s="1"/>
      <c r="AS63" s="1"/>
      <c r="AT63" s="1"/>
      <c r="AU63" s="18"/>
      <c r="AV63" s="22" t="s">
        <v>714</v>
      </c>
      <c r="AW63" s="19"/>
      <c r="AX63" s="22" t="s">
        <v>680</v>
      </c>
      <c r="AY63" s="20"/>
    </row>
    <row r="64" spans="16:51">
      <c r="P64" s="1"/>
      <c r="Q64" s="1" t="s">
        <v>776</v>
      </c>
      <c r="R64" s="1"/>
      <c r="S64" s="1"/>
      <c r="T64" s="1"/>
      <c r="U64" s="1"/>
      <c r="V64" s="1"/>
      <c r="W64" s="1"/>
      <c r="X64" s="1" t="s">
        <v>776</v>
      </c>
      <c r="Y64" s="1"/>
      <c r="Z64" s="1"/>
      <c r="AA64" s="1" t="s">
        <v>818</v>
      </c>
      <c r="AB64" s="1"/>
      <c r="AC64" s="1"/>
      <c r="AD64" s="1"/>
      <c r="AE64" s="1"/>
      <c r="AF64" s="1"/>
      <c r="AG64" s="1"/>
      <c r="AH64" s="1"/>
      <c r="AI64" s="1"/>
      <c r="AJ64" s="1"/>
      <c r="AK64" s="1"/>
      <c r="AL64" s="1"/>
      <c r="AM64" s="1"/>
      <c r="AN64" s="1"/>
      <c r="AO64" s="1"/>
      <c r="AP64" s="1"/>
      <c r="AQ64" s="1"/>
      <c r="AR64" s="1"/>
      <c r="AS64" s="1"/>
      <c r="AT64" s="1"/>
      <c r="AU64" s="1"/>
      <c r="AV64" s="20" t="s">
        <v>396</v>
      </c>
      <c r="AW64" s="19"/>
      <c r="AX64" s="20" t="s">
        <v>397</v>
      </c>
      <c r="AY64" s="20"/>
    </row>
    <row r="65" spans="17:51">
      <c r="Q65" s="1" t="s">
        <v>406</v>
      </c>
      <c r="R65" s="1"/>
      <c r="S65" s="1"/>
      <c r="T65" s="1"/>
      <c r="U65" s="1"/>
      <c r="V65" s="1"/>
      <c r="W65" s="1"/>
      <c r="X65" s="1" t="s">
        <v>406</v>
      </c>
      <c r="Y65" s="1"/>
      <c r="Z65" s="1"/>
      <c r="AA65" s="1" t="s">
        <v>698</v>
      </c>
      <c r="AB65" s="1"/>
      <c r="AC65" s="1"/>
      <c r="AD65" s="1"/>
      <c r="AE65" s="1"/>
      <c r="AF65" s="1"/>
      <c r="AG65" s="1"/>
      <c r="AH65" s="1"/>
      <c r="AI65" s="1"/>
      <c r="AJ65" s="1"/>
      <c r="AK65" s="1"/>
      <c r="AL65" s="1"/>
      <c r="AM65" s="1"/>
      <c r="AN65" s="1"/>
      <c r="AO65" s="1"/>
      <c r="AP65" s="1"/>
      <c r="AQ65" s="1"/>
      <c r="AR65" s="1"/>
      <c r="AS65" s="1"/>
      <c r="AT65" s="1"/>
      <c r="AU65" s="1"/>
      <c r="AV65" s="19" t="s">
        <v>692</v>
      </c>
      <c r="AW65" s="19"/>
      <c r="AX65" s="22" t="s">
        <v>643</v>
      </c>
      <c r="AY65" s="20"/>
    </row>
    <row r="66" spans="17:51">
      <c r="Q66" s="1" t="s">
        <v>819</v>
      </c>
      <c r="R66" s="1"/>
      <c r="S66" s="1"/>
      <c r="T66" s="1"/>
      <c r="U66" s="1"/>
      <c r="V66" s="1"/>
      <c r="W66" s="1"/>
      <c r="X66" s="1" t="s">
        <v>819</v>
      </c>
      <c r="Y66" s="1"/>
      <c r="Z66" s="1"/>
      <c r="AA66" s="1" t="s">
        <v>820</v>
      </c>
      <c r="AB66" s="1"/>
      <c r="AC66" s="1"/>
      <c r="AD66" s="1"/>
      <c r="AE66" s="1"/>
      <c r="AF66" s="1"/>
      <c r="AG66" s="1"/>
      <c r="AH66" s="1"/>
      <c r="AI66" s="1"/>
      <c r="AJ66" s="1"/>
      <c r="AK66" s="1"/>
      <c r="AL66" s="1"/>
      <c r="AM66" s="1"/>
      <c r="AN66" s="1"/>
      <c r="AO66" s="1"/>
      <c r="AP66" s="1"/>
      <c r="AQ66" s="1"/>
      <c r="AR66" s="1"/>
      <c r="AS66" s="1"/>
      <c r="AT66" s="1"/>
      <c r="AU66" s="1"/>
      <c r="AV66" s="21" t="s">
        <v>644</v>
      </c>
      <c r="AW66" s="19"/>
      <c r="AX66" s="20" t="s">
        <v>651</v>
      </c>
      <c r="AY66" s="20"/>
    </row>
    <row r="67" spans="17:51">
      <c r="Q67" s="1"/>
      <c r="R67" s="1"/>
      <c r="S67" s="1"/>
      <c r="T67" s="1"/>
      <c r="U67" s="1"/>
      <c r="V67" s="1"/>
      <c r="W67" s="1"/>
      <c r="X67" s="1"/>
      <c r="Y67" s="1"/>
      <c r="Z67" s="1"/>
      <c r="AA67" s="1" t="s">
        <v>821</v>
      </c>
      <c r="AB67" s="1"/>
      <c r="AC67" s="1"/>
      <c r="AD67" s="1"/>
      <c r="AE67" s="1"/>
      <c r="AF67" s="1"/>
      <c r="AG67" s="1"/>
      <c r="AH67" s="1"/>
      <c r="AI67" s="1"/>
      <c r="AJ67" s="1"/>
      <c r="AK67" s="1"/>
      <c r="AL67" s="1"/>
      <c r="AM67" s="1"/>
      <c r="AN67" s="1"/>
      <c r="AO67" s="1"/>
      <c r="AP67" s="1"/>
      <c r="AQ67" s="1"/>
      <c r="AR67" s="1"/>
      <c r="AS67" s="1"/>
      <c r="AT67" s="1"/>
      <c r="AU67" s="1"/>
      <c r="AV67" s="22" t="s">
        <v>738</v>
      </c>
      <c r="AW67" s="19"/>
      <c r="AX67" s="20" t="s">
        <v>734</v>
      </c>
      <c r="AY67" s="20"/>
    </row>
    <row r="68" spans="17:51">
      <c r="Q68" s="1"/>
      <c r="R68" s="1"/>
      <c r="S68" s="1"/>
      <c r="T68" s="1"/>
      <c r="U68" s="1"/>
      <c r="V68" s="1"/>
      <c r="W68" s="1"/>
      <c r="X68" s="1"/>
      <c r="Y68" s="1"/>
      <c r="Z68" s="1"/>
      <c r="AA68" s="1" t="s">
        <v>822</v>
      </c>
      <c r="AB68" s="1"/>
      <c r="AC68" s="1"/>
      <c r="AD68" s="1"/>
      <c r="AE68" s="1"/>
      <c r="AF68" s="1"/>
      <c r="AG68" s="1"/>
      <c r="AH68" s="1"/>
      <c r="AI68" s="1"/>
      <c r="AJ68" s="1"/>
      <c r="AK68" s="1"/>
      <c r="AL68" s="1"/>
      <c r="AM68" s="1"/>
      <c r="AN68" s="1"/>
      <c r="AO68" s="1"/>
      <c r="AP68" s="1"/>
      <c r="AQ68" s="1"/>
      <c r="AR68" s="1"/>
      <c r="AS68" s="1"/>
      <c r="AT68" s="1"/>
      <c r="AU68" s="1"/>
      <c r="AV68" s="19" t="s">
        <v>707</v>
      </c>
      <c r="AW68" s="19"/>
      <c r="AX68" s="20" t="s">
        <v>662</v>
      </c>
      <c r="AY68" s="20"/>
    </row>
    <row r="69" spans="17:51">
      <c r="Q69" s="1"/>
      <c r="R69" s="1"/>
      <c r="S69" s="1"/>
      <c r="T69" s="1"/>
      <c r="U69" s="1"/>
      <c r="V69" s="1"/>
      <c r="W69" s="1"/>
      <c r="X69" s="1"/>
      <c r="Y69" s="1"/>
      <c r="Z69" s="1"/>
      <c r="AA69" s="1" t="s">
        <v>823</v>
      </c>
      <c r="AB69" s="1"/>
      <c r="AC69" s="1"/>
      <c r="AD69" s="1"/>
      <c r="AE69" s="1"/>
      <c r="AF69" s="1"/>
      <c r="AG69" s="1"/>
      <c r="AH69" s="1"/>
      <c r="AI69" s="1"/>
      <c r="AJ69" s="1"/>
      <c r="AK69" s="1"/>
      <c r="AL69" s="1"/>
      <c r="AM69" s="1"/>
      <c r="AN69" s="1"/>
      <c r="AO69" s="1"/>
      <c r="AP69" s="1"/>
      <c r="AQ69" s="1"/>
      <c r="AR69" s="1"/>
      <c r="AS69" s="1"/>
      <c r="AT69" s="1"/>
      <c r="AU69" s="1"/>
      <c r="AV69" s="20" t="s">
        <v>666</v>
      </c>
      <c r="AW69" s="19"/>
      <c r="AX69" s="20" t="s">
        <v>574</v>
      </c>
      <c r="AY69" s="20"/>
    </row>
    <row r="70" spans="17:51">
      <c r="Q70" s="1"/>
      <c r="R70" s="1"/>
      <c r="S70" s="1"/>
      <c r="T70" s="1"/>
      <c r="U70" s="1"/>
      <c r="V70" s="1"/>
      <c r="W70" s="1"/>
      <c r="X70" s="1"/>
      <c r="Y70" s="1"/>
      <c r="Z70" s="1"/>
      <c r="AA70" s="1" t="s">
        <v>782</v>
      </c>
      <c r="AB70" s="1"/>
      <c r="AC70" s="1"/>
      <c r="AD70" s="1"/>
      <c r="AE70" s="1"/>
      <c r="AF70" s="1"/>
      <c r="AG70" s="1"/>
      <c r="AH70" s="1"/>
      <c r="AI70" s="1"/>
      <c r="AJ70" s="1"/>
      <c r="AK70" s="1"/>
      <c r="AL70" s="1"/>
      <c r="AM70" s="1"/>
      <c r="AN70" s="1"/>
      <c r="AO70" s="1"/>
      <c r="AP70" s="1"/>
      <c r="AQ70" s="1"/>
      <c r="AR70" s="1"/>
      <c r="AS70" s="1"/>
      <c r="AT70" s="1"/>
      <c r="AU70" s="1"/>
      <c r="AV70" s="22" t="s">
        <v>751</v>
      </c>
      <c r="AW70" s="23"/>
      <c r="AX70" s="20" t="s">
        <v>741</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398</v>
      </c>
      <c r="AW71" s="1"/>
      <c r="AX71" s="20" t="s">
        <v>679</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682</v>
      </c>
      <c r="AW72" s="1"/>
      <c r="AX72" s="22" t="s">
        <v>746</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651</v>
      </c>
      <c r="AW73" s="1"/>
      <c r="AX73" s="20" t="s">
        <v>754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720</v>
      </c>
      <c r="AW74" s="1"/>
      <c r="AX74" s="22" t="s">
        <v>409</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727</v>
      </c>
      <c r="AW75" s="1"/>
      <c r="AX75" s="20" t="s">
        <v>681</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730</v>
      </c>
      <c r="AW76" s="1"/>
      <c r="AX76" s="20" t="s">
        <v>702</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758</v>
      </c>
      <c r="AW77" s="1"/>
      <c r="AX77" s="22" t="s">
        <v>691</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409</v>
      </c>
      <c r="AW78" s="1"/>
      <c r="AX78" s="22" t="s">
        <v>718</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681</v>
      </c>
      <c r="AW79" s="1"/>
      <c r="AX79" s="20" t="s">
        <v>706</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735</v>
      </c>
      <c r="AW80" s="1"/>
      <c r="AX80" s="20" t="s">
        <v>762</v>
      </c>
      <c r="AY80" s="20"/>
    </row>
    <row r="81" spans="48:51">
      <c r="AV81" s="22" t="s">
        <v>750</v>
      </c>
      <c r="AW81" s="1"/>
      <c r="AX81" s="22" t="s">
        <v>697</v>
      </c>
      <c r="AY81" s="22"/>
    </row>
    <row r="82" spans="48:51">
      <c r="AV82" s="19" t="s">
        <v>742</v>
      </c>
      <c r="AW82" s="1"/>
      <c r="AX82" s="20" t="s">
        <v>703</v>
      </c>
      <c r="AY82" s="20"/>
    </row>
    <row r="83" spans="48:51">
      <c r="AV83" s="20" t="s">
        <v>401</v>
      </c>
      <c r="AW83" s="1"/>
      <c r="AX83" s="22" t="s">
        <v>769</v>
      </c>
      <c r="AY83" s="22"/>
    </row>
    <row r="84" spans="48:51">
      <c r="AV84" s="22" t="s">
        <v>747</v>
      </c>
      <c r="AW84" s="1"/>
      <c r="AX84" s="22" t="s">
        <v>711</v>
      </c>
      <c r="AY84" s="20"/>
    </row>
    <row r="85" spans="48:51">
      <c r="AV85" s="19" t="s">
        <v>596</v>
      </c>
      <c r="AW85" s="1"/>
      <c r="AX85" s="20" t="s">
        <v>726</v>
      </c>
      <c r="AY85" s="20"/>
    </row>
    <row r="86" spans="48:51">
      <c r="AV86" s="20" t="s">
        <v>755</v>
      </c>
      <c r="AW86" s="1"/>
      <c r="AX86" s="25" t="s">
        <v>776</v>
      </c>
      <c r="AY86" s="20"/>
    </row>
    <row r="87" spans="48:51">
      <c r="AV87" s="22" t="s">
        <v>719</v>
      </c>
      <c r="AW87" s="1"/>
      <c r="AX87" s="22" t="s">
        <v>406</v>
      </c>
      <c r="AY87" s="25"/>
    </row>
    <row r="88" spans="48:51">
      <c r="AV88" s="20" t="s">
        <v>113</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B49BFC408D81854C9038B10AA16151A2" ma:contentTypeVersion="4" ma:contentTypeDescription="Crear nuevo documento." ma:contentTypeScope="" ma:versionID="2ae512e848ecd943ef9c408473385a75">
  <xsd:schema xmlns:xsd="http://www.w3.org/2001/XMLSchema" xmlns:xs="http://www.w3.org/2001/XMLSchema" xmlns:p="http://schemas.microsoft.com/office/2006/metadata/properties" xmlns:ns2="e3b10f00-148e-496e-b7c3-7528a35ed9d8" targetNamespace="http://schemas.microsoft.com/office/2006/metadata/properties" ma:root="true" ma:fieldsID="35d7aedfcebb3107b7bfd102e7abac18" ns2:_="">
    <xsd:import namespace="e3b10f00-148e-496e-b7c3-7528a35ed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b10f00-148e-496e-b7c3-7528a35ed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EDD1A40C-6F4C-4910-BBC3-23B561DA40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2026-03-03T17:59:52Z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0x010100B49BFC408D81854C9038B10AA16151A2</vt:lpwstr>
  </property>
</Properties>
</file>