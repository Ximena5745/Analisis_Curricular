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comments6.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always" defaultThemeVersion="166925"/>
  <mc:AlternateContent xmlns:mc="http://schemas.openxmlformats.org/markup-compatibility/2006">
    <mc:Choice Requires="x15">
      <x15ac:absPath xmlns:x15ac="http://schemas.microsoft.com/office/spreadsheetml/2010/11/ac" url="https://poligran-my.sharepoint.com/personal/micortes_poligran_edu_co/Documents/Escritorio/FORMATOS RA CICLO UNO RC/"/>
    </mc:Choice>
  </mc:AlternateContent>
  <xr:revisionPtr revIDLastSave="19" documentId="13_ncr:1_{65619CD8-07B6-41FC-BB7F-A5D9158D239C}" xr6:coauthVersionLast="47" xr6:coauthVersionMax="47" xr10:uidLastSave="{BA5267D1-6D13-4641-A447-9A60BCCACEE3}"/>
  <bookViews>
    <workbookView xWindow="-110" yWindow="-110" windowWidth="19420" windowHeight="10300" firstSheet="4" activeTab="4" xr2:uid="{BD68381A-4EB3-42BA-ADD5-D7B5B6C7E498}"/>
  </bookViews>
  <sheets>
    <sheet name="Paso1 Analisis perfil egreso" sheetId="1" r:id="rId1"/>
    <sheet name="Paso 2 Redacción competen" sheetId="6" r:id="rId2"/>
    <sheet name="Paso 3 Redacción RA " sheetId="5" r:id="rId3"/>
    <sheet name="Paso 4 Estrategias mesocurricu" sheetId="8" r:id="rId4"/>
    <sheet name="Paso 5 Estrategias micro" sheetId="10" r:id="rId5"/>
    <sheet name="Taxonomia para Competencias" sheetId="11" r:id="rId6"/>
    <sheet name="Taxonomias para RA" sheetId="9" r:id="rId7"/>
  </sheets>
  <externalReferences>
    <externalReference r:id="rId8"/>
  </externalReferences>
  <definedNames>
    <definedName name="_xlnm._FilterDatabase" localSheetId="2" hidden="1">'Paso 3 Redacción RA '!$A$2:$I$12</definedName>
    <definedName name="_xlnm._FilterDatabase" localSheetId="3" hidden="1">'Paso 4 Estrategias mesocurricu'!$A$2:$E$8</definedName>
    <definedName name="_xlnm._FilterDatabase" localSheetId="4" hidden="1">'Paso 5 Estrategias micro'!$A$1:$Q$139</definedName>
    <definedName name="actitudinalB" localSheetId="4">Tabla5785[ActitudinalB]</definedName>
    <definedName name="actitudinalB">Tabla5785[ActitudinalB]</definedName>
    <definedName name="ActitudinalBAK">'Taxonomias para RA'!$AC$3:$AG$3</definedName>
    <definedName name="AK" localSheetId="4">Tabla6088[AK]</definedName>
    <definedName name="AK">Tabla6088[AK]</definedName>
    <definedName name="AnálisisAK" localSheetId="4">Tabla99[AnálisisAK]</definedName>
    <definedName name="AnálisisAK">Tabla99[AnálisisAK]</definedName>
    <definedName name="AnálisisB" localSheetId="4">Tabla385280[AnálisisB]</definedName>
    <definedName name="AnálisisB">Tabla385280[AnálisisB]</definedName>
    <definedName name="AnálisisBAK" localSheetId="4">Tabla3865[AnálisisBAK]</definedName>
    <definedName name="AnálisisBAK">Tabla3865[AnálisisBAK]</definedName>
    <definedName name="AnalizarLK" localSheetId="4">Tabla2129[AnalizarLK]</definedName>
    <definedName name="AnalizarLK">Tabla2129[AnalizarLK]</definedName>
    <definedName name="AplicaciónB" localSheetId="4">Tabla375179[AplicaciónB]</definedName>
    <definedName name="AplicaciónB">Tabla375179[AplicaciónB]</definedName>
    <definedName name="AplicaciónBAK" localSheetId="4">Tabla3764[AplicaciónBAK]</definedName>
    <definedName name="AplicaciónBAK">Tabla3764[AplicaciónBAK]</definedName>
    <definedName name="AplicarLK" localSheetId="4">Tabla2028[AplicarLK]</definedName>
    <definedName name="AplicarLK">Tabla2028[AplicarLK]</definedName>
    <definedName name="áreasprofesionales" localSheetId="4">'Paso1 Analisis perfil egreso'!$H$3:$H$12</definedName>
    <definedName name="áreasprofesionales">'Paso1 Analisis perfil egreso'!$H$3:$H$12</definedName>
    <definedName name="BAK" localSheetId="4">Tabla5886[BAK]</definedName>
    <definedName name="BAK">Tabla5886[BAK]</definedName>
    <definedName name="Bloom">'Taxonomias para RA'!$G$3:$I$3</definedName>
    <definedName name="CaracterizarBAK" localSheetId="4">Tabla4776[CaracterizarBAK]</definedName>
    <definedName name="CaracterizarBAK">Tabla4776[CaracterizarBAK]</definedName>
    <definedName name="Cognitivo" localSheetId="4">'Paso1 Analisis perfil egreso'!$E$3:$E$13</definedName>
    <definedName name="Cognitivo">'Paso1 Analisis perfil egreso'!$E$3:$E$13</definedName>
    <definedName name="cognitivoB" localSheetId="4">Tabla5583[CognitivoB]</definedName>
    <definedName name="cognitivoB">Tabla5583[CognitivoB]</definedName>
    <definedName name="CognitivoBAK">'Taxonomias para RA'!$S$3:$X$3</definedName>
    <definedName name="competencias">'Paso 2 Redacción competen'!$F$4:$F$12</definedName>
    <definedName name="ComponentesCompetencias">'[1]Paso1 Analisis perfil egreso'!$E$2:$G$2</definedName>
    <definedName name="ComprenderLK">'Taxonomias para RA'!$AM$5:$AM$27</definedName>
    <definedName name="ComprensiónAK" localSheetId="4">Tabla98[ComprensiónAK]</definedName>
    <definedName name="ComprensiónAK">Tabla98[ComprensiónAK]</definedName>
    <definedName name="ComprensionB" localSheetId="4">Tabla365078[ComprensiónB]</definedName>
    <definedName name="ComprensionB">Tabla365078[ComprensiónB]</definedName>
    <definedName name="ComprensiónBAK" localSheetId="4">Tabla3663[ComprensiónBAK]</definedName>
    <definedName name="ComprensiónBAK">Tabla3663[ComprensiónBAK]</definedName>
    <definedName name="ConceptosLK" localSheetId="4">Tabla91[ConceptosLK]</definedName>
    <definedName name="ConceptosLK">Tabla91[ConceptosLK]</definedName>
    <definedName name="ConocimientoB" localSheetId="4">Tabla354977[ConocimientoB]</definedName>
    <definedName name="ConocimientoB">Tabla354977[ConocimientoB]</definedName>
    <definedName name="ConocimientoBAK" localSheetId="4">Tabla3555[ConocimientoBAK]</definedName>
    <definedName name="ConocimientoBAK">Tabla3555[ConocimientoBAK]</definedName>
    <definedName name="Conocimientos" localSheetId="4">'Paso1 Analisis perfil egreso'!$E$3:$E$13</definedName>
    <definedName name="Conocimientos">'Paso1 Analisis perfil egreso'!$E$3:$E$13</definedName>
    <definedName name="ControlBAK" localSheetId="4">Tabla4271[ControlBAK]</definedName>
    <definedName name="ControlBAK">Tabla4271[ControlBAK]</definedName>
    <definedName name="CrearLK" localSheetId="4">Tabla2333[CrearLK]</definedName>
    <definedName name="CrearLK">Tabla2333[CrearLK]</definedName>
    <definedName name="dominios">'Paso1 Analisis perfil egreso'!$E$2:$G$2</definedName>
    <definedName name="EvaluaciónB" localSheetId="4">Tabla405482[EvaluaciónB]</definedName>
    <definedName name="EvaluaciónB">Tabla405482[EvaluaciónB]</definedName>
    <definedName name="EvaluaciónBAK" localSheetId="4">Tabla4067[EvaluaciónBAK]</definedName>
    <definedName name="EvaluaciónBAK">Tabla4067[EvaluaciónBAK]</definedName>
    <definedName name="EvaluarLK">'Taxonomias para RA'!$AP$5:$AP$46</definedName>
    <definedName name="HechosLK" localSheetId="4">Tabla90[HechosLK]</definedName>
    <definedName name="HechosLK">Tabla90[HechosLK]</definedName>
    <definedName name="ImitaciónBAK" localSheetId="4">Tabla1168[ImitaciónBAK]</definedName>
    <definedName name="ImitaciónBAK">Tabla1168[ImitaciónBAK]</definedName>
    <definedName name="InformaciónAK" localSheetId="4">Tabla94[InformaciónAK]</definedName>
    <definedName name="InformaciónAK">Tabla94[InformaciónAK]</definedName>
    <definedName name="LK" localSheetId="4">Tabla5987[LK]</definedName>
    <definedName name="LK">Tabla5987[LK]</definedName>
    <definedName name="ManipulaciónBAK" localSheetId="4">Tabla3069[ManipulaciónBAK]</definedName>
    <definedName name="ManipulaciónBAK">Tabla3069[ManipulaciónBAK]</definedName>
    <definedName name="MetacogniciónAK" localSheetId="4">Tabla101[MetacogniciónAK]</definedName>
    <definedName name="MetacogniciónAK">Tabla101[MetacogniciónAK]</definedName>
    <definedName name="MetacogniciónLK" localSheetId="4">Tabla93[MetacogniciónLK]</definedName>
    <definedName name="MetacogniciónLK">Tabla93[MetacogniciónLK]</definedName>
    <definedName name="MetocogniciónAK" localSheetId="4">Tabla101[MetacogniciónAK]</definedName>
    <definedName name="MetocogniciónAK">Tabla101[MetacogniciónAK]</definedName>
    <definedName name="ocupacional">'Paso1 Analisis perfil egreso'!$H$2:$J$2</definedName>
    <definedName name="OrganizarBAK" localSheetId="4">Tabla4675[OrganizarBAK]</definedName>
    <definedName name="OrganizarBAK">Tabla4675[OrganizarBAK]</definedName>
    <definedName name="PercepciónBAK">'Taxonomias para RA'!$AC$4:$AC$40</definedName>
    <definedName name="poblacionactuacion" localSheetId="4">'Paso1 Analisis perfil egreso'!$J$3:$J$6</definedName>
    <definedName name="poblacionactuacion">'Paso1 Analisis perfil egreso'!$J$3:$J$6</definedName>
    <definedName name="poblaciones" localSheetId="4">'Paso1 Analisis perfil egreso'!$J$3:$J$6</definedName>
    <definedName name="poblaciones">'Paso1 Analisis perfil egreso'!$J$3:$J$6</definedName>
    <definedName name="poblacionesactuación" localSheetId="4">'Paso1 Analisis perfil egreso'!$J$3:$J$6</definedName>
    <definedName name="poblacionesactuación">'Paso1 Analisis perfil egreso'!$J$3:$J$6</definedName>
    <definedName name="PrecisiónBAK" localSheetId="4">Tabla4170[PrecisiónBAK]</definedName>
    <definedName name="PrecisiónBAK">Tabla4170[PrecisiónBAK]</definedName>
    <definedName name="procedimentalB" localSheetId="4">Tabla5684[ProcedimentalB]</definedName>
    <definedName name="procedimentalB">Tabla5684[ProcedimentalB]</definedName>
    <definedName name="ProcedimentalBAK">'Taxonomias para RA'!$Y$3:$AB$3</definedName>
    <definedName name="ProcedimientosLK" localSheetId="4">Tabla92[ProcedimientosLK]</definedName>
    <definedName name="ProcedimientosLK">Tabla92[ProcedimientosLK]</definedName>
    <definedName name="ProcesosAK" localSheetId="4">Tabla95[ProcesosAK]</definedName>
    <definedName name="ProcesosAK">Tabla95[ProcesosAK]</definedName>
    <definedName name="PsicomotorAK" localSheetId="4">Tabla96[PsicomotorAK]</definedName>
    <definedName name="PsicomotorAK">Tabla96[PsicomotorAK]</definedName>
    <definedName name="RecordarLK">'Taxonomias para RA'!$AL$5:$AL$27</definedName>
    <definedName name="RecuperaciónAK">'Taxonomias para RA'!$AT$4:$AT$27</definedName>
    <definedName name="ResponderBAK" localSheetId="4">Tabla4473[ResponderBAK]</definedName>
    <definedName name="ResponderBAK">Tabla4473[ResponderBAK]</definedName>
    <definedName name="resultadoaprendizaje">'Paso 3 Redacción RA '!$I$3:$I$13</definedName>
    <definedName name="Saber">'Paso1 Analisis perfil egreso'!$E$3:$E$5</definedName>
    <definedName name="Saberhacer" localSheetId="4">'Paso1 Analisis perfil egreso'!$F$3:$F$13</definedName>
    <definedName name="Saberhacer">'Paso1 Analisis perfil egreso'!$F$3:$F$13</definedName>
    <definedName name="saberser" localSheetId="4">'Paso1 Analisis perfil egreso'!$G$3:$G$13</definedName>
    <definedName name="saberser">'Paso1 Analisis perfil egreso'!$G$3:$G$13</definedName>
    <definedName name="SíntesisB" localSheetId="4">Tabla395381[SíntesisB]</definedName>
    <definedName name="SíntesisB">Tabla395381[SíntesisB]</definedName>
    <definedName name="SíntesisBAK" localSheetId="4">Tabla3966[SíntesisBAK]</definedName>
    <definedName name="SíntesisBAK">Tabla3966[SíntesisBAK]</definedName>
    <definedName name="tareas" localSheetId="4">'Paso1 Analisis perfil egreso'!$I$3:$I$12</definedName>
    <definedName name="tareas">'Paso1 Analisis perfil egreso'!$I$3:$I$12</definedName>
    <definedName name="tareasprofesionales" localSheetId="4">'Paso1 Analisis perfil egreso'!$I$3:$I$12</definedName>
    <definedName name="tareasprofesionales">'Paso1 Analisis perfil egreso'!$I$3:$I$12</definedName>
    <definedName name="taxonomiasra" localSheetId="4">Tabla1715[Taxonomías]</definedName>
    <definedName name="taxonomiasra">Tabla1715[Taxonomías]</definedName>
    <definedName name="UsoConocimientoAK">'Taxonomias para RA'!$AW$4:$AW$70</definedName>
    <definedName name="Valoragregado" localSheetId="4">'Paso1 Analisis perfil egreso'!$K$3:$K$6</definedName>
    <definedName name="Valoragregado">'Paso1 Analisis perfil egreso'!$K$3:$K$6</definedName>
    <definedName name="ValorarBAK" localSheetId="4">Tabla4574[ValorarBAK]</definedName>
    <definedName name="ValorarBAK">Tabla4574[ValorarBAK]</definedName>
    <definedName name="VerbosCompetencias">'Taxonomia para Competencias'!$B:$B</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9" i="10" l="1"/>
  <c r="J138" i="10"/>
  <c r="J137" i="10"/>
  <c r="D137" i="10" l="1"/>
  <c r="L90" i="10" l="1"/>
  <c r="A129" i="10" l="1"/>
  <c r="A117" i="10"/>
  <c r="A118" i="10"/>
  <c r="A111" i="10"/>
  <c r="A107" i="10"/>
  <c r="A134" i="10"/>
  <c r="A128" i="10"/>
  <c r="A116" i="10"/>
  <c r="A110" i="10"/>
  <c r="A112" i="10"/>
  <c r="A105" i="10"/>
  <c r="A101" i="10"/>
  <c r="A96" i="10"/>
  <c r="A97" i="10"/>
  <c r="A91" i="10"/>
  <c r="A92" i="10"/>
  <c r="A86" i="10"/>
  <c r="A87" i="10"/>
  <c r="A82" i="10"/>
  <c r="A77" i="10"/>
  <c r="A78" i="10"/>
  <c r="A71" i="10"/>
  <c r="A72" i="10"/>
  <c r="A66" i="10"/>
  <c r="A67" i="10"/>
  <c r="A61" i="10"/>
  <c r="A55" i="10"/>
  <c r="A56" i="10"/>
  <c r="A49" i="10"/>
  <c r="A50" i="10"/>
  <c r="A45" i="10"/>
  <c r="A40" i="10"/>
  <c r="A41" i="10"/>
  <c r="A34" i="10"/>
  <c r="A35" i="10"/>
  <c r="A30" i="10"/>
  <c r="A26" i="10"/>
  <c r="A22" i="10"/>
  <c r="A24" i="10"/>
  <c r="A16" i="10"/>
  <c r="A17" i="10"/>
  <c r="A18" i="10"/>
  <c r="A11" i="10"/>
  <c r="A12" i="10"/>
  <c r="A4" i="10"/>
  <c r="A5" i="10"/>
  <c r="A136" i="10"/>
  <c r="A108" i="10"/>
  <c r="A52" i="10"/>
  <c r="A32" i="10"/>
  <c r="A75" i="10"/>
  <c r="A64" i="10"/>
  <c r="A122" i="10"/>
  <c r="A123" i="10"/>
  <c r="A124" i="10"/>
  <c r="A135" i="10"/>
  <c r="A133" i="10"/>
  <c r="A132" i="10"/>
  <c r="A131" i="10"/>
  <c r="A130" i="10"/>
  <c r="A127" i="10"/>
  <c r="A126" i="10"/>
  <c r="A125" i="10"/>
  <c r="A121" i="10"/>
  <c r="A120" i="10"/>
  <c r="A119" i="10"/>
  <c r="A115" i="10"/>
  <c r="A114" i="10"/>
  <c r="A113" i="10"/>
  <c r="A109" i="10"/>
  <c r="A106" i="10"/>
  <c r="A104" i="10"/>
  <c r="A103" i="10"/>
  <c r="A102" i="10"/>
  <c r="A100" i="10"/>
  <c r="A99" i="10"/>
  <c r="A98" i="10"/>
  <c r="A95" i="10"/>
  <c r="A94" i="10"/>
  <c r="A93" i="10"/>
  <c r="A90" i="10"/>
  <c r="A89" i="10"/>
  <c r="A88" i="10"/>
  <c r="A85" i="10"/>
  <c r="A84" i="10"/>
  <c r="A83" i="10"/>
  <c r="A81" i="10"/>
  <c r="A80" i="10"/>
  <c r="A79" i="10"/>
  <c r="A76" i="10"/>
  <c r="A74" i="10"/>
  <c r="A73" i="10"/>
  <c r="A70" i="10"/>
  <c r="A69" i="10"/>
  <c r="A68" i="10"/>
  <c r="A65" i="10"/>
  <c r="A63" i="10"/>
  <c r="A62" i="10"/>
  <c r="A60" i="10"/>
  <c r="A58" i="10"/>
  <c r="A57" i="10"/>
  <c r="A54" i="10"/>
  <c r="A51" i="10"/>
  <c r="A48" i="10"/>
  <c r="A47" i="10"/>
  <c r="A46" i="10"/>
  <c r="A44" i="10"/>
  <c r="A43" i="10"/>
  <c r="A42" i="10"/>
  <c r="A39" i="10"/>
  <c r="A37" i="10"/>
  <c r="A36" i="10"/>
  <c r="A33" i="10"/>
  <c r="A31" i="10"/>
  <c r="A29" i="10"/>
  <c r="A28" i="10"/>
  <c r="A27" i="10"/>
  <c r="A25" i="10"/>
  <c r="A23" i="10"/>
  <c r="A21" i="10"/>
  <c r="A20" i="10"/>
  <c r="A19" i="10"/>
  <c r="A15" i="10"/>
  <c r="A3" i="10"/>
  <c r="A7" i="10"/>
  <c r="A6" i="10"/>
  <c r="A13" i="10"/>
  <c r="A14" i="10"/>
  <c r="A10" i="10"/>
  <c r="K59" i="10" l="1"/>
  <c r="L3" i="10"/>
  <c r="K3" i="10"/>
  <c r="M3" i="10" l="1"/>
  <c r="K10" i="10" l="1"/>
  <c r="L10" i="10"/>
  <c r="K15" i="10"/>
  <c r="L15" i="10"/>
  <c r="K21" i="10"/>
  <c r="L21" i="10"/>
  <c r="M10" i="10" l="1"/>
  <c r="M21" i="10"/>
  <c r="M15" i="10"/>
  <c r="L132" i="10"/>
  <c r="K132" i="10"/>
  <c r="L127" i="10"/>
  <c r="K127" i="10"/>
  <c r="L121" i="10"/>
  <c r="K121" i="10"/>
  <c r="L115" i="10"/>
  <c r="K115" i="10"/>
  <c r="L109" i="10"/>
  <c r="K109" i="10"/>
  <c r="L104" i="10"/>
  <c r="K104" i="10"/>
  <c r="L100" i="10"/>
  <c r="K100" i="10"/>
  <c r="L95" i="10"/>
  <c r="K95" i="10"/>
  <c r="K90" i="10"/>
  <c r="L85" i="10"/>
  <c r="K85" i="10"/>
  <c r="M85" i="10" s="1"/>
  <c r="L81" i="10"/>
  <c r="K81" i="10"/>
  <c r="L76" i="10"/>
  <c r="K76" i="10"/>
  <c r="L70" i="10"/>
  <c r="K70" i="10"/>
  <c r="M70" i="10" s="1"/>
  <c r="L65" i="10"/>
  <c r="K65" i="10"/>
  <c r="L75" i="10"/>
  <c r="K75" i="10"/>
  <c r="L60" i="10"/>
  <c r="K60" i="10"/>
  <c r="K54" i="10"/>
  <c r="L54" i="10"/>
  <c r="L48" i="10"/>
  <c r="L59" i="10"/>
  <c r="L53" i="10"/>
  <c r="K53" i="10"/>
  <c r="L44" i="10"/>
  <c r="K44" i="10"/>
  <c r="L39" i="10"/>
  <c r="K39" i="10"/>
  <c r="L33" i="10"/>
  <c r="K33" i="10"/>
  <c r="L29" i="10"/>
  <c r="K29" i="10"/>
  <c r="L25" i="10"/>
  <c r="K25" i="10"/>
  <c r="L38" i="10"/>
  <c r="K38" i="10"/>
  <c r="L9" i="10"/>
  <c r="K9" i="10"/>
  <c r="L8" i="10"/>
  <c r="K8" i="10"/>
  <c r="A59" i="10"/>
  <c r="A53" i="10"/>
  <c r="A38" i="10"/>
  <c r="A8" i="10"/>
  <c r="A9" i="10"/>
  <c r="M100" i="10" l="1"/>
  <c r="M39" i="10"/>
  <c r="M33" i="10"/>
  <c r="M104" i="10"/>
  <c r="M121" i="10"/>
  <c r="M132" i="10"/>
  <c r="M25" i="10"/>
  <c r="M29" i="10"/>
  <c r="M48" i="10"/>
  <c r="M65" i="10"/>
  <c r="M81" i="10"/>
  <c r="M76" i="10"/>
  <c r="M95" i="10"/>
  <c r="M115" i="10"/>
  <c r="M54" i="10"/>
  <c r="M60" i="10"/>
  <c r="M127" i="10"/>
  <c r="M44" i="10"/>
  <c r="M75" i="10"/>
  <c r="M90" i="10"/>
  <c r="M109" i="10"/>
  <c r="M53" i="10" l="1"/>
  <c r="M59" i="10"/>
  <c r="M38" i="10"/>
  <c r="M8" i="10"/>
  <c r="M9"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C1" authorId="0" shapeId="0" xr:uid="{E338DED5-79E3-45EA-817F-66D8D3C549D2}">
      <text>
        <r>
          <rPr>
            <sz val="11"/>
            <color theme="1"/>
            <rFont val="Calibri"/>
            <family val="2"/>
            <scheme val="minor"/>
          </rPr>
          <t>Diana Shirley Velasquez Rojas:
Escriba el perfil del egresado que tiene el programa en su documento maestro o el que se haya ajustado de acuerdo con las tendencias o necesidades del entorno que lo hayan generado.</t>
        </r>
      </text>
    </comment>
    <comment ref="E2" authorId="0" shapeId="0" xr:uid="{12792177-0D62-47E7-9BFF-318A4AB271E4}">
      <text>
        <r>
          <rPr>
            <b/>
            <sz val="9"/>
            <color indexed="81"/>
            <rFont val="Tahoma"/>
            <family val="2"/>
          </rPr>
          <t>Dir. Currículo:</t>
        </r>
        <r>
          <rPr>
            <sz val="9"/>
            <color indexed="81"/>
            <rFont val="Tahoma"/>
            <family val="2"/>
          </rPr>
          <t xml:space="preserve">
Son los conocimientos generales que caracterizan el saber del egresado.</t>
        </r>
      </text>
    </comment>
    <comment ref="F2" authorId="0" shapeId="0" xr:uid="{F061F63A-3635-4989-89F1-6CCF984D96A3}">
      <text>
        <r>
          <rPr>
            <b/>
            <sz val="9"/>
            <color indexed="81"/>
            <rFont val="Tahoma"/>
            <family val="2"/>
          </rPr>
          <t>Dir. Currículo:</t>
        </r>
        <r>
          <rPr>
            <sz val="9"/>
            <color indexed="81"/>
            <rFont val="Tahoma"/>
            <family val="2"/>
          </rPr>
          <t xml:space="preserve">
Es el conocimiento referente a la ejecución de estrategias, técnicas, habilidades, métodos y procedimientos; implican fuerza, rapidez y precisión; hacen referencia a saber cómo hacer y saber hacer.</t>
        </r>
      </text>
    </comment>
    <comment ref="G2" authorId="0" shapeId="0" xr:uid="{389D3840-7D6C-4F77-AE2B-C83F9926A6C6}">
      <text>
        <r>
          <rPr>
            <b/>
            <sz val="9"/>
            <color indexed="81"/>
            <rFont val="Tahoma"/>
            <family val="2"/>
          </rPr>
          <t>Dir. Currículo:</t>
        </r>
        <r>
          <rPr>
            <sz val="9"/>
            <color indexed="81"/>
            <rFont val="Tahoma"/>
            <family val="2"/>
          </rPr>
          <t xml:space="preserve">
Se refiere a cómo debe ser el egresado en el contexto profesional, abarca los principios, normas, condiciones de contexto y reglas, entre otros.</t>
        </r>
      </text>
    </comment>
    <comment ref="H2" authorId="0" shapeId="0" xr:uid="{91F787E4-9F42-4666-B6D1-66DE9D88CA79}">
      <text>
        <r>
          <rPr>
            <b/>
            <sz val="9"/>
            <color indexed="81"/>
            <rFont val="Tahoma"/>
            <family val="2"/>
          </rPr>
          <t>Dir. Currículo:</t>
        </r>
        <r>
          <rPr>
            <sz val="9"/>
            <color indexed="81"/>
            <rFont val="Tahoma"/>
            <family val="2"/>
          </rPr>
          <t xml:space="preserve">
Áreas en las que podrá laborar el profesional.</t>
        </r>
      </text>
    </comment>
    <comment ref="I2" authorId="0" shapeId="0" xr:uid="{4990A9C5-31E1-4BCB-81EB-7C14549AB462}">
      <text>
        <r>
          <rPr>
            <b/>
            <sz val="9"/>
            <color indexed="81"/>
            <rFont val="Tahoma"/>
            <family val="2"/>
          </rPr>
          <t>Dir. Currículo:</t>
        </r>
        <r>
          <rPr>
            <sz val="9"/>
            <color indexed="81"/>
            <rFont val="Tahoma"/>
            <family val="2"/>
          </rPr>
          <t xml:space="preserve">
Tareas potenciales que hará el profesional.</t>
        </r>
      </text>
    </comment>
    <comment ref="J2" authorId="0" shapeId="0" xr:uid="{7BF9192D-7FC7-43E0-A6DE-5F1A0C0CB845}">
      <text>
        <r>
          <rPr>
            <b/>
            <sz val="9"/>
            <color indexed="81"/>
            <rFont val="Tahoma"/>
            <family val="2"/>
          </rPr>
          <t>Dir. Currículo:</t>
        </r>
        <r>
          <rPr>
            <sz val="9"/>
            <color indexed="81"/>
            <rFont val="Tahoma"/>
            <family val="2"/>
          </rPr>
          <t xml:space="preserve">
Poblaciones o contextos donde podrán laborar los profesionales o dónde podrán ejercer su profesión.</t>
        </r>
      </text>
    </comment>
    <comment ref="K2" authorId="0" shapeId="0" xr:uid="{1CF5AD7F-64EB-4A95-94F5-CEFC52E18578}">
      <text>
        <r>
          <rPr>
            <b/>
            <sz val="9"/>
            <color indexed="81"/>
            <rFont val="Tahoma"/>
            <family val="2"/>
          </rPr>
          <t>Dir. Currículo:</t>
        </r>
        <r>
          <rPr>
            <sz val="9"/>
            <color indexed="81"/>
            <rFont val="Tahoma"/>
            <family val="2"/>
          </rPr>
          <t xml:space="preserve">
Elementos diferenciales que caracterizan al egresado.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3" authorId="0" shapeId="0" xr:uid="{53EF9953-5C1D-409D-ADCD-293F780FDCB1}">
      <text>
        <r>
          <rPr>
            <b/>
            <sz val="9"/>
            <color indexed="81"/>
            <rFont val="Tahoma"/>
            <family val="2"/>
          </rPr>
          <t>Dir. Currículo:</t>
        </r>
        <r>
          <rPr>
            <sz val="9"/>
            <color indexed="81"/>
            <rFont val="Tahoma"/>
            <family val="2"/>
          </rPr>
          <t xml:space="preserve">
Respecto al número de competencias a redactar no hay una restricción ni número limitante, solo se debe tener en cuenta que el programa deberá garantizar y demostrar su desarrollo a través del proceso de aprendizaje que lleve a cabo el estudiante y que se desglosarán y declararán por medio de los resultados de aprendizaje.</t>
        </r>
      </text>
    </comment>
    <comment ref="B3" authorId="0" shapeId="0" xr:uid="{89B1F064-85DD-446C-A9DE-35C70EC4764C}">
      <text>
        <r>
          <rPr>
            <b/>
            <sz val="9"/>
            <color indexed="81"/>
            <rFont val="Tahoma"/>
            <family val="2"/>
          </rPr>
          <t xml:space="preserve">Dir. de Currículo:
</t>
        </r>
        <r>
          <rPr>
            <sz val="9"/>
            <color indexed="81"/>
            <rFont val="Tahoma"/>
            <family val="2"/>
          </rPr>
          <t>Si desea incluir un verbo puede hacerlo en la hoja Taxonomía para competencias, solo procure usar verbos que pueda desagregarse en verbos medibles</t>
        </r>
        <r>
          <rPr>
            <b/>
            <sz val="9"/>
            <color indexed="81"/>
            <rFont val="Tahoma"/>
            <family val="2"/>
          </rPr>
          <t xml:space="preserve">. </t>
        </r>
        <r>
          <rPr>
            <sz val="9"/>
            <color indexed="81"/>
            <rFont val="Tahoma"/>
            <family val="2"/>
          </rPr>
          <t xml:space="preserve">Después de incluirlo podrá elegirlo en la celda que lo requiera.
</t>
        </r>
      </text>
    </comment>
    <comment ref="C3" authorId="0" shapeId="0" xr:uid="{845B80FF-0F7D-4D93-B3F5-84DCA285350F}">
      <text>
        <r>
          <rPr>
            <b/>
            <sz val="9"/>
            <color indexed="81"/>
            <rFont val="Tahoma"/>
            <family val="2"/>
          </rPr>
          <t>Dir. Currículo:</t>
        </r>
        <r>
          <rPr>
            <sz val="9"/>
            <color indexed="81"/>
            <rFont val="Tahoma"/>
            <family val="2"/>
          </rPr>
          <t xml:space="preserve">
Recuerde que el objeto conceptual hace referencia a qué debe saber (conocimientos, hechos, teorías) el egresado cuando termine su formación profesional.</t>
        </r>
      </text>
    </comment>
    <comment ref="D3" authorId="0" shapeId="0" xr:uid="{DA64038A-6099-4D22-9EF8-C8D9FC3F33E7}">
      <text>
        <r>
          <rPr>
            <b/>
            <sz val="9"/>
            <color indexed="81"/>
            <rFont val="Tahoma"/>
            <family val="2"/>
          </rPr>
          <t>Dir. Currículo:</t>
        </r>
        <r>
          <rPr>
            <sz val="9"/>
            <color indexed="81"/>
            <rFont val="Tahoma"/>
            <family val="2"/>
          </rPr>
          <t xml:space="preserve">
La finalidad se refiere al para qué, se centra en qué es lo que el egresado sabrá hacer (procedimientos, procesos, metodologías, entre otros) con el saber enunciado como objeto conceptual.
El saber hacer o los elementos del componente ocupacional pueden ayudar a declarar la finalidad. Se listaron en la hoja Paso 1.</t>
        </r>
      </text>
    </comment>
    <comment ref="E3" authorId="0" shapeId="0" xr:uid="{7AD9CEF8-C620-4D74-A493-6111E862964C}">
      <text>
        <r>
          <rPr>
            <b/>
            <sz val="9"/>
            <color indexed="81"/>
            <rFont val="Tahoma"/>
            <family val="2"/>
          </rPr>
          <t>Dir. Currículo:</t>
        </r>
        <r>
          <rPr>
            <sz val="9"/>
            <color indexed="81"/>
            <rFont val="Tahoma"/>
            <family val="2"/>
          </rPr>
          <t xml:space="preserve">
Describe los referentes y parámetros, requerimientos o retos que se necesitan para alcanzar las características del perfil en el contexto donde el egresado se desenvolverá. 
Una pregunta orientadora para diligenciar esta componente es: ¿Qué condición se requiere para que lograr lo estableció en el perfil, en el contexto donde se desenvolverá el egresado? </t>
        </r>
      </text>
    </comment>
    <comment ref="F3" authorId="0" shapeId="0" xr:uid="{1DDC73BF-6D66-45D6-8CC2-D2CCBDED89EA}">
      <text>
        <r>
          <rPr>
            <b/>
            <sz val="9"/>
            <color indexed="81"/>
            <rFont val="Tahoma"/>
            <family val="2"/>
          </rPr>
          <t>Dir. Currículo:</t>
        </r>
        <r>
          <rPr>
            <sz val="9"/>
            <color indexed="81"/>
            <rFont val="Tahoma"/>
            <family val="2"/>
          </rPr>
          <t xml:space="preserve">
Tenga en cuenta que la competencia indica qué acción hará el egresado con un saber determinado, con un fin asociado a lo que debe saber hacer con el saber y unas condiciones de contexto o referencia, que enmarcan su comportamiento en el ámbito profesional.</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2" authorId="0" shapeId="0" xr:uid="{D3F143C3-D231-4875-B93F-43DD53FE5195}">
      <text>
        <r>
          <rPr>
            <b/>
            <sz val="9"/>
            <color indexed="81"/>
            <rFont val="Tahoma"/>
            <family val="2"/>
          </rPr>
          <t>Dir. Currículo:</t>
        </r>
        <r>
          <rPr>
            <sz val="9"/>
            <color indexed="81"/>
            <rFont val="Tahoma"/>
            <family val="2"/>
          </rPr>
          <t xml:space="preserve">
Recuerde que cada competencia hace referencia a tres dominios que demostrará el estudiante, el cognitivo, el procedimental y el actitudinal o valorativo.
La competencia es lo que demostrará el estudiante en el ámbito profesional y en la academia se implementarán acciones educativas que mostrarán los resultados de lo que el estudiante aprendió y que están orientados a verificar que el estudiante saber, saber hacer y sabe ser en un contexto determinado.</t>
        </r>
      </text>
    </comment>
    <comment ref="B2" authorId="0" shapeId="0" xr:uid="{B1FB04BB-65D6-44B8-8F8C-4AC9B8A95942}">
      <text>
        <r>
          <rPr>
            <b/>
            <sz val="9"/>
            <color indexed="81"/>
            <rFont val="Tahoma"/>
            <family val="2"/>
          </rPr>
          <t>Dir. Currículo:</t>
        </r>
        <r>
          <rPr>
            <sz val="9"/>
            <color indexed="81"/>
            <rFont val="Tahoma"/>
            <family val="2"/>
          </rPr>
          <t xml:space="preserve">
Los resultados deben ser concretos, entre más competencias se declaren más resultados se deberán demostrar.</t>
        </r>
      </text>
    </comment>
    <comment ref="C2" authorId="0" shapeId="0" xr:uid="{958DBB57-68B3-466F-A186-1D6CED4E13CE}">
      <text>
        <r>
          <rPr>
            <b/>
            <sz val="9"/>
            <color indexed="81"/>
            <rFont val="Tahoma"/>
            <family val="2"/>
          </rPr>
          <t>Dir. Currículo:</t>
        </r>
        <r>
          <rPr>
            <sz val="9"/>
            <color indexed="81"/>
            <rFont val="Tahoma"/>
            <family val="2"/>
          </rPr>
          <t xml:space="preserve">
Dado que la competencia se determina por el saber, saber hacer y saber ser, se va a redactar por lo menos un resultado de aprendizaje por cada saber.
Pero puede ocurrir que un resultado sea el mismo para dos o más competencias.</t>
        </r>
      </text>
    </comment>
    <comment ref="D2" authorId="0" shapeId="0" xr:uid="{179B26A7-FC6E-4158-A82B-747AD08A87C0}">
      <text>
        <r>
          <rPr>
            <b/>
            <sz val="9"/>
            <color indexed="81"/>
            <rFont val="Tahoma"/>
            <family val="2"/>
          </rPr>
          <t>Dir. Currículo:</t>
        </r>
        <r>
          <rPr>
            <sz val="9"/>
            <color indexed="81"/>
            <rFont val="Tahoma"/>
            <family val="2"/>
          </rPr>
          <t xml:space="preserve">
El listado despliega, según el saber elegido en la columna C, lo que se escribió en el paso 1 para ese tipo de saber.</t>
        </r>
      </text>
    </comment>
    <comment ref="E2" authorId="0" shapeId="0" xr:uid="{DC2391F0-23C2-4858-A4CC-DE1159046B64}">
      <text>
        <r>
          <rPr>
            <b/>
            <sz val="9"/>
            <color indexed="81"/>
            <rFont val="Tahoma"/>
            <family val="2"/>
          </rPr>
          <t xml:space="preserve">Dir. Currículo:
</t>
        </r>
        <r>
          <rPr>
            <sz val="9"/>
            <color indexed="81"/>
            <rFont val="Tahoma"/>
            <family val="2"/>
          </rPr>
          <t>Se elije según los conocimientos que se tienen sobre ellas, la más empleada es la de Bloom, pero existen muchas otras.
Si requiere emplear una distinta puede adaptar el formato a sus necesidades.</t>
        </r>
      </text>
    </comment>
    <comment ref="F2" authorId="0" shapeId="0" xr:uid="{BA81069A-F375-4BBA-B338-1D6EDE5CE274}">
      <text>
        <r>
          <rPr>
            <b/>
            <sz val="9"/>
            <color indexed="81"/>
            <rFont val="Tahoma"/>
            <family val="2"/>
          </rPr>
          <t>Dir. Currículo:</t>
        </r>
        <r>
          <rPr>
            <sz val="9"/>
            <color indexed="81"/>
            <rFont val="Tahoma"/>
            <family val="2"/>
          </rPr>
          <t xml:space="preserve">
En la columna C se indicó el saber que se trabajará por lo que aquí se debe elegir el dominio que debe alcanzar el estudiante.
Recuerde, el saber corresponde al dominio cognitivo en alguna taxonomía, el saber hacer hace referencia al dominio procedimental y el saber ser al dominio actitudinal.</t>
        </r>
      </text>
    </comment>
    <comment ref="G2" authorId="0" shapeId="0" xr:uid="{314680C8-A08A-49DA-998F-2218755A6E23}">
      <text>
        <r>
          <rPr>
            <b/>
            <sz val="9"/>
            <color indexed="81"/>
            <rFont val="Tahoma"/>
            <family val="2"/>
          </rPr>
          <t>Dir. Currículo:</t>
        </r>
        <r>
          <rPr>
            <sz val="9"/>
            <color indexed="81"/>
            <rFont val="Tahoma"/>
            <family val="2"/>
          </rPr>
          <t xml:space="preserve">
Las taxonomías se clasifican en niveles, por eso, al elegirlo en la columna E, las filas los despliegan y se selecciona según la coherencia de éste con el dominio por desarrollará. Elegir el nivel permite que en la columna H aparezcan los verbos recomendados.</t>
        </r>
      </text>
    </comment>
    <comment ref="H2" authorId="0" shapeId="0" xr:uid="{C91CCBA1-C27D-4136-A997-8392C8F3ED69}">
      <text>
        <r>
          <rPr>
            <b/>
            <sz val="9"/>
            <color indexed="81"/>
            <rFont val="Tahoma"/>
            <family val="2"/>
          </rPr>
          <t>Dir. Currículo:</t>
        </r>
        <r>
          <rPr>
            <sz val="9"/>
            <color indexed="81"/>
            <rFont val="Tahoma"/>
            <family val="2"/>
          </rPr>
          <t xml:space="preserve">
En las celdas se despliegan los verbos sugeridos para la categoría seleccionada en la columna G.</t>
        </r>
      </text>
    </comment>
    <comment ref="I2" authorId="0" shapeId="0" xr:uid="{3F53F5B1-B1E3-4596-A9B1-55041ACD33EB}">
      <text>
        <r>
          <rPr>
            <b/>
            <sz val="9"/>
            <color indexed="81"/>
            <rFont val="Tahoma"/>
            <family val="2"/>
          </rPr>
          <t>Dir. Currículo:</t>
        </r>
        <r>
          <rPr>
            <sz val="9"/>
            <color indexed="81"/>
            <rFont val="Tahoma"/>
            <family val="2"/>
          </rPr>
          <t xml:space="preserve">
En las filas de esta columna articule las columnas H y D en una oración que comience por el verbo (col. H), que recaiga sobre el objeto conceptual (col. D) y termine con un complemento de oración, conocida como condición de contexto, que indique para qué, como, con qué, o lo que considere conveniente para dar cierre al resultado de aprendizaje.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B2" authorId="0" shapeId="0" xr:uid="{C011BE17-7130-44E8-AB43-A7ABB726547F}">
      <text>
        <r>
          <rPr>
            <b/>
            <sz val="9"/>
            <color indexed="81"/>
            <rFont val="Tahoma"/>
            <family val="2"/>
          </rPr>
          <t>Dir. Currículo:</t>
        </r>
        <r>
          <rPr>
            <sz val="9"/>
            <color indexed="81"/>
            <rFont val="Tahoma"/>
            <family val="2"/>
          </rPr>
          <t xml:space="preserve">
Escriba las estrategias que el programa emplea para evaluar los resultados de aprendizaje.</t>
        </r>
      </text>
    </comment>
    <comment ref="D2" authorId="0" shapeId="0" xr:uid="{866CD5F0-AA71-406A-BF4F-2F8088056BD6}">
      <text>
        <r>
          <rPr>
            <b/>
            <sz val="9"/>
            <color indexed="81"/>
            <rFont val="Tahoma"/>
            <family val="2"/>
          </rPr>
          <t>Dir. Currículo:</t>
        </r>
        <r>
          <rPr>
            <sz val="9"/>
            <color indexed="81"/>
            <rFont val="Tahoma"/>
            <family val="2"/>
          </rPr>
          <t xml:space="preserve">
Los indicadores de logro, indican cómo cada estrategia contribuye al resultado de aprendizaje y serán aquellos a los que el programa apuntará para ser alcanzados por los estudiantes.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E1" authorId="0" shapeId="0" xr:uid="{70784CBA-9D53-4A90-B97A-05E3615D36F9}">
      <text>
        <r>
          <rPr>
            <b/>
            <sz val="9"/>
            <color indexed="81"/>
            <rFont val="Tahoma"/>
            <family val="2"/>
          </rPr>
          <t>Dir. Currículo:</t>
        </r>
        <r>
          <rPr>
            <sz val="9"/>
            <color indexed="81"/>
            <rFont val="Tahoma"/>
            <family val="2"/>
          </rPr>
          <t xml:space="preserve">
Los indicadores de logro, indican cómo cada asignatura o módulo contribuye al resultado de aprendizaje y serán aquellos a los que los docentes deberán apuntar para que con sus estrategias sean alcanzados por los estudiantes.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Diana Shirley Velasquez Rojas</author>
  </authors>
  <commentList>
    <comment ref="AY4" authorId="0" shapeId="0" xr:uid="{9607C37A-C8B3-44AC-90C2-DDC4836F9013}">
      <text>
        <r>
          <rPr>
            <b/>
            <sz val="9"/>
            <color indexed="81"/>
            <rFont val="Tahoma"/>
            <family val="2"/>
          </rPr>
          <t>Dir. Currículo:</t>
        </r>
        <r>
          <rPr>
            <sz val="9"/>
            <color indexed="81"/>
            <rFont val="Tahoma"/>
            <family val="2"/>
          </rPr>
          <t xml:space="preserve">
Hay cuatro tipos de pensamiento del sistema del yo que son relevantes para la Nueva Taxonomía: (1) examinar la importancia, (2) examinar la eficacia, (3) examinar la respuesta emocional y (4) examinar la motivación general.</t>
        </r>
      </text>
    </comment>
  </commentList>
</comments>
</file>

<file path=xl/sharedStrings.xml><?xml version="1.0" encoding="utf-8"?>
<sst xmlns="http://schemas.openxmlformats.org/spreadsheetml/2006/main" count="2313" uniqueCount="753">
  <si>
    <t>[Escribir el nombre del programa]</t>
  </si>
  <si>
    <t>[Escribir la modalidad: presencial o virtual]</t>
  </si>
  <si>
    <t>[Escribir el perfil profesional del egresado.]</t>
  </si>
  <si>
    <t>[Escribir el perfil ocupacional del egresado.]</t>
  </si>
  <si>
    <r>
      <rPr>
        <b/>
        <sz val="11"/>
        <color theme="0"/>
        <rFont val="Gill Sans MT"/>
        <family val="2"/>
      </rPr>
      <t>Componentes fundamentales para definir competencias</t>
    </r>
    <r>
      <rPr>
        <b/>
        <sz val="8"/>
        <color theme="0"/>
        <rFont val="Gill Sans MT"/>
        <family val="2"/>
      </rPr>
      <t xml:space="preserve">
</t>
    </r>
    <r>
      <rPr>
        <sz val="8"/>
        <color theme="0"/>
        <rFont val="Gill Sans MT"/>
        <family val="2"/>
      </rPr>
      <t>[Listar las palabras clave, no armar oraciones, respecto qué debe saber el egresado en las categorías de Saber -conocimientos, hechos, teorías-, Saber hacer -técnicas, procedimientos, metodologías-, y Saber ser -valores, condiciones. Esta información se estructura a partir del perfil profesional y cada saber hacer depende del saber ubicado a su izquierda, lo mismo ocurre con el saber ser.]</t>
    </r>
  </si>
  <si>
    <r>
      <rPr>
        <b/>
        <sz val="11"/>
        <color theme="0"/>
        <rFont val="Gill Sans MT"/>
        <family val="2"/>
      </rPr>
      <t>Componentes fundamentales de la ocupación laboral del profesional</t>
    </r>
    <r>
      <rPr>
        <b/>
        <sz val="8"/>
        <color theme="0"/>
        <rFont val="Gill Sans MT"/>
        <family val="2"/>
      </rPr>
      <t xml:space="preserve">
</t>
    </r>
    <r>
      <rPr>
        <sz val="8"/>
        <color theme="0"/>
        <rFont val="Gill Sans MT"/>
        <family val="2"/>
      </rPr>
      <t>[Listar, según lo escrito en el perfil ocupacional, en qué áreas, qué tareas potenciales y en qué poblaciones o contextos podrá laborar el profesional. Esta información es un listado general no requiere dependencia horizontal]</t>
    </r>
  </si>
  <si>
    <r>
      <rPr>
        <b/>
        <sz val="11"/>
        <color theme="0"/>
        <rFont val="Gill Sans MT"/>
        <family val="2"/>
      </rPr>
      <t>Diferencial (valor agregado) del profesional</t>
    </r>
    <r>
      <rPr>
        <b/>
        <sz val="8"/>
        <color theme="0"/>
        <rFont val="Gill Sans MT"/>
        <family val="2"/>
      </rPr>
      <t xml:space="preserve">
</t>
    </r>
    <r>
      <rPr>
        <sz val="8"/>
        <color theme="0"/>
        <rFont val="Gill Sans MT"/>
        <family val="2"/>
      </rPr>
      <t>[Listar, según lo escrito en los perfiles, los elementos que son diferenciales y generan un valor agregado al egresado. Debe ser disciplinar, asociado al perfil, ¿qué es lo que lo hace diferente a otros perfiles similares.]</t>
    </r>
  </si>
  <si>
    <t>Programa</t>
  </si>
  <si>
    <t>Modalidad</t>
  </si>
  <si>
    <t>Perfil profesional</t>
  </si>
  <si>
    <t>Perfil ocupacional</t>
  </si>
  <si>
    <t>Saber</t>
  </si>
  <si>
    <t>Saberhacer</t>
  </si>
  <si>
    <t>Saberser</t>
  </si>
  <si>
    <t>ÁreasProfesionales</t>
  </si>
  <si>
    <t>TareasProfesionales</t>
  </si>
  <si>
    <t>PoblacionesActuacion</t>
  </si>
  <si>
    <t>ValorAgregado</t>
  </si>
  <si>
    <t>Tecnología en Gestión Ambiental</t>
  </si>
  <si>
    <t>Virtual</t>
  </si>
  <si>
    <t>El graduado del programa de Tecnología en Gestión Ambiental del Politécnico Grancolombiano cuenta con bases sólidas para apoyar la gestión ambiental y la valoración del riesgo, contribuyendo a la minimización del impacto generado por la acción humana sobre el territorio. Está preparado para implementar medidas de prevención, control y mitigación sobre el aire, el agua y el suelo, mediante el uso de herramientas técnicas y tecnológicas, la ejecución de actividades de monitoreo, la gestión de residuos y el manejo de vertimientos, en coherencia con las condiciones sociales, normativas y geográficas del contexto en el que se desempeñe.</t>
  </si>
  <si>
    <t>Está capacitado para desarrollar actividades de identificación, valoración y control de impactos ambientales, apoyar la gestión de residuos, monitorear variables ambientales, procesar información ambiental a través de herramientas técnicas y tecnológicas, y proponer acciones de mejora en sectores productivos o territoriales. Podrá vincularse a procesos de implementación de sistemas de gestión ambiental o proyectos ambientales, certificaciones, caracterización y monitoreo de variables ambientales y gobernanza ambiental en contextos públicos y privados, desempeñándose como asistente, supervisor o coordinador.</t>
  </si>
  <si>
    <t xml:space="preserve">procesos de caracterización y valoración ambiental </t>
  </si>
  <si>
    <t>para aplicar medidas de prevención, control, mitigación o compensación de impactos, generados por la acción humana sobre el territorio y su entorno natural</t>
  </si>
  <si>
    <t>dando cumplimiento a los criterios normativos vigentes de los entes regulatorios correspondientes.</t>
  </si>
  <si>
    <t>Gestión Ambiental/Monitoreo y Control de la Calidad Ambiental/Gestión de la Calidad/Área de Sostenibilidad: Asistente Ambiental/Líder ambiental/Supervisor Ambiental/Analista Ambiental como Asistente ambiental
Líder ambiental/ Supervisor ambiental/Analista ambiental</t>
  </si>
  <si>
    <t>Identificar y valorar aspectos ambientales asociados a actividades productivas para cumplir con la normatividad vigente.
Aplicar medidas técnicas para prevenir, mitigar y controlar impactos sobre aire, agua, suelo y residuos.
Evaluar el cumplimiento de requisitos técnicos y legales ambientales, y apoyar trámites regulatorios.
Recolectar y analizar muestras ambientales para proponer correctivos en procesos o territorios.
Apoyar la implementación, seguimiento y mejora de sistemas de gestión ambiental, certificaciones y sellos verdes.
Ejecutar actividades de monitoreo y medición de variables ambientales en campo o laboratorio.
Promover buenas prácticas, producción limpia y consumo sostenible mediante seguimiento de programas internos.
Realizar actividades de capacitación y sensibilización ambiental dirigidas a equipos y comunidades.
Vigilar el cumplimiento normativo en entornos organizacionales o territoriales, reportando desviaciones y acciones correctivas.</t>
  </si>
  <si>
    <t xml:space="preserve">Entidades gubernamentales y de control ambiental  / Empresas del sector productivo e industrial. /Consultoras y firmas de ingeniería ambiental /
Empresas del sector productivo y de infraestructura / 
ONG dedicadas a conservación, educación y sostenibilidad ambiental/  </t>
  </si>
  <si>
    <t>El programa ofrece una formación técnica que articula el análisis ambiental con el uso de tecnologías para la interpretación y representación de problemáticas territoriales, articulando metodologías de gestión del riesgo y fortaleciendo procesos de gobernanza ambiental con diversos grupos de interés en la toma de decisiones que conduzcan a soluciones en contextos productivos, sociales y normativos.</t>
  </si>
  <si>
    <t xml:space="preserve">metodologías de gestión del riesgo ambiental </t>
  </si>
  <si>
    <t>para determinar o implementar acciones de tratamiento y control</t>
  </si>
  <si>
    <t>que contribuyan a reducir los efectos adversos y a potenciar las oportunidades, derivadas de la acción humana sobre el territorio y su entorno natural.</t>
  </si>
  <si>
    <t>procesos de articulación o relacionamiento entre comunidades y grupos de interés</t>
  </si>
  <si>
    <t>para facilitar la participación de estos en la toma de decisiones ambientales</t>
  </si>
  <si>
    <t>con enfoque territorial y responsabilidad social.</t>
  </si>
  <si>
    <t>Fenómenos contemporáneos</t>
  </si>
  <si>
    <t>reconocer sus afectaciones o contribuciones en el marco de las ciudadanías globales y de una sociedad responsable y sostenible.</t>
  </si>
  <si>
    <t>desde una perspectiva glocal, soportada en datos, con una mirada ética y crítica</t>
  </si>
  <si>
    <t>Elementos para redactar las competencias que desarrollará el programa</t>
  </si>
  <si>
    <t>[Enumerar las competencias que se van a declarar.]</t>
  </si>
  <si>
    <t>[A partir de la celda B2 dar clic sobre el ícono de lista desplegable y elegir el verbo que considere adecuado.]</t>
  </si>
  <si>
    <t>[A partir de la celda C2 dar clic sobre la lista desplegable y elegir el saber extraído del perfil de egreso.]</t>
  </si>
  <si>
    <t>[Escribir para qué se abordará el saber elegido. Se sugiere apoyarse en el saber hacer.]</t>
  </si>
  <si>
    <t>[Escribir la condición describiendo los referentes, parámetros, principios, requerimientos o retos que se necesitan para alcanzar las características del perfil en el contexto donde el egresado se desenvolverá.]</t>
  </si>
  <si>
    <t>[Articular los componentes. Iniciar con el verbo, continuar con el objeto conceptual, luego la finalidad y condición de contexto o referencia; estos últimos no requieren un orden particular.]</t>
  </si>
  <si>
    <t>[Escribir el tipo de competencia del perfil: Específica (si es del bloque Disciplinar para pregrado o de los componentes para el caso de posgrado) o Genérica (si aplica bloque institucional pregrado)]</t>
  </si>
  <si>
    <t>No.</t>
  </si>
  <si>
    <t>Verbo competencia</t>
  </si>
  <si>
    <t>Objeto conceptual</t>
  </si>
  <si>
    <t>Finalidad</t>
  </si>
  <si>
    <t>Condición de contexto o referencia</t>
  </si>
  <si>
    <t>Redacción competencia</t>
  </si>
  <si>
    <t>Tipo competencia</t>
  </si>
  <si>
    <t>Gestionar</t>
  </si>
  <si>
    <t>Gestiona procesos de caracterización y valoración ambiental para aplicar medidas de prevención, control, mitigación o compensación de impactos, generados por la acción humana sobre el territorio y su entorno natural, dando cumplimiento a los criterios normativos vigentes, de los entes regulatorios correspondientes.</t>
  </si>
  <si>
    <t>Específica</t>
  </si>
  <si>
    <t>Aplicar</t>
  </si>
  <si>
    <t>Aplicar metodologías de gestión del riesgo ambiental para determinar o implementar acciones de tratamiento y control, que contribuyan a reducir los efectos adversos y a potenciar las oportunidades, derivadas de la acción humana sobre el territorio y su entorno natural.</t>
  </si>
  <si>
    <t>Implementar</t>
  </si>
  <si>
    <t>Implementar procesos de articulación o relacionamiento entre comunidades y grupos de interés, para facilitar la participación de estos en la toma de decisiones ambientales, con enfoque territorial y responsabilidad social.</t>
  </si>
  <si>
    <t>Analizar</t>
  </si>
  <si>
    <t>fenómenos contemporáneos</t>
  </si>
  <si>
    <t>Analizar los fenómenos contemporáneos desde una perspectiva glocal, soportada en datos, con una mirada ética y crítica, para reconocer sus afectaciones o contribuciones en el marco de las ciudadanías globales y de una sociedad responsable y sostenible.</t>
  </si>
  <si>
    <t>Genérica</t>
  </si>
  <si>
    <t xml:space="preserve">  </t>
  </si>
  <si>
    <t>[A partir de la celda A2 dar clic en la lista desplegable y seleccionar la competencia redactada en el paso 2.]</t>
  </si>
  <si>
    <t>[Enumerar los resultados de aprendizaje que se van a declarar.]</t>
  </si>
  <si>
    <t>[A partir de la celda C2, dar clic en la lista desplegable y elegir el tipo de dominio a tratar en el resultado de aprendizaje.]</t>
  </si>
  <si>
    <t>[A partir de la cela D2, dar clic en la lista desplegable y elegir el saber correspondiente al dominio.]</t>
  </si>
  <si>
    <t>[A partir de la celda E2, dar clic en la lista desplegable y elegir la  taxonomía que se considere adecuada, solo se elige una para todos los saberes.]</t>
  </si>
  <si>
    <t>[A partir de la celda F2, dar clic en la lista desplegable y elegir el dominio que se considera adecuado.]</t>
  </si>
  <si>
    <t>[A partir de la celda G2, dar clic en la lista desplegable y elegir el nivel del dominio que se considera adecuado.]</t>
  </si>
  <si>
    <t>[A partir de la celda H2, dar clic en la lista desplegable y elegir el verbo que se considera adecuado.]</t>
  </si>
  <si>
    <t>[Iniciar con el verbo elegido (columna H), en infinitivo, luego el objeto sobre el cual recae la acción (columna D) y finalmente la condición de contexto (académico, disciplinar, social u otro).]</t>
  </si>
  <si>
    <t>Competencia por desarrollar</t>
  </si>
  <si>
    <t>Número de resultado</t>
  </si>
  <si>
    <t>TipoSaber</t>
  </si>
  <si>
    <t>SaberAsociado</t>
  </si>
  <si>
    <t>Taxonomía</t>
  </si>
  <si>
    <t>Dominio Asociado</t>
  </si>
  <si>
    <t>Nivel Dominio</t>
  </si>
  <si>
    <t>Verbo RA</t>
  </si>
  <si>
    <t>Resultados Aprendizaje</t>
  </si>
  <si>
    <t>BAK</t>
  </si>
  <si>
    <t>CognitivoBAK</t>
  </si>
  <si>
    <t>AnálisisBAK</t>
  </si>
  <si>
    <t>Analiza los fundamentos físicos, químicos y ecosistémicos del entorno natural, junto con metodologías de gestión del riesgo, para caracterizar condiciones y efectos ambientales relevantes en contextos específicos.</t>
  </si>
  <si>
    <t>ProcedimentalBAK</t>
  </si>
  <si>
    <t>ImitaciónBAK</t>
  </si>
  <si>
    <t>Aplica procedimientos técnicos y normativos de la gestión ambiental para generar propuestas de prevención, control, mitigación o compensación de efectos ambientales generados por actividades humanas en el territorio.</t>
  </si>
  <si>
    <t>ActitudinalBAK</t>
  </si>
  <si>
    <t>ValorarBAK</t>
  </si>
  <si>
    <t>Integrar</t>
  </si>
  <si>
    <t>Integra criterios normativos, sociales y territoriales en la elaboración de propuestas de gestión ambiental, para establecer acciones contextualizadas frente a los efectos de la acción humana sobre el entorno.</t>
  </si>
  <si>
    <t>Aplica metodologías de gestión del riesgo ambiental para proponer acciones de tratamiento y control en escenarios que involucren cambios o amenazas en las condiciones del entorno.</t>
  </si>
  <si>
    <t>Implementar proceso de articulación o relacionamiento entres comunidades y grupos de interés, para facilitar la participación de estos en la toma de decisiones ambientales, con enfoque territorial y responsabilidad social.</t>
  </si>
  <si>
    <t>ComprensiónBAK</t>
  </si>
  <si>
    <t>Interpretar</t>
  </si>
  <si>
    <t>Interpreta marcos normativos y principios de gobernanza ambiental para reconocer el papel de los actores sociales en procesos de articulación y toma de decisiones sobre el uso y la conservación de recursos naturales del territorio.</t>
  </si>
  <si>
    <t>ManipulaciónBAK</t>
  </si>
  <si>
    <t>Plantear</t>
  </si>
  <si>
    <t>Plantea actividades de comunicación o articulación entre actores sociales y grupos de interés, para estructurar propuestas de participación en contextos de gestión ambiental.</t>
  </si>
  <si>
    <t>Bloom</t>
  </si>
  <si>
    <t>CognitivoB</t>
  </si>
  <si>
    <t>ComprensiónB</t>
  </si>
  <si>
    <t>Identificar</t>
  </si>
  <si>
    <t>Identifica fenómenos contemporáneos y su relación con la profesión, para determinar sus impactos e influencia en la sociedad, de forma responsable y crítica.</t>
  </si>
  <si>
    <t>[A partir de la celda A3 despliegue el(los) resultado(s) de aprendizaje y elegir aquel (aquellos)  al(a los) que se contribuye desde la estrategia.]</t>
  </si>
  <si>
    <t>[Escribir el nombre de la estrategia a desarrollar. Participación de los estudiantes en cursos, talleres, seminarios, conferencias, pruebas estandarizadas, investigaciones, actividades o experiencias, cuerpos académicos, redes, comunidades, la elaboración de textos y materiales, así como las publicaciones, entre otros.]</t>
  </si>
  <si>
    <t>[Describir la(s) estrategia(s) definidas por el programa.]</t>
  </si>
  <si>
    <t>[Escribir los indicadores de impacto de la estrategia. Se sugieren indicadores como: Valora el nivel de contribución de la estrategia a los resultados de aprendizaje; Número de estudiantes que participan en la estrategia; Número de veces que se realiza la estrategia, entre otros.]</t>
  </si>
  <si>
    <t>[Escribir las acciones de retroalimentación que usará el programa para comunicar a los estudiantes sobre el alcance de sus resultados de aprendizaje.]</t>
  </si>
  <si>
    <t>[Escribir, para cada indicador con qué instrumento se recogerá información para evidenciar el (los) impacto (s) declarados. Encuesta, lista de asistencia, informe, entre otros.]</t>
  </si>
  <si>
    <t>Resultado de aprendizaje</t>
  </si>
  <si>
    <t>Estrategia del programa</t>
  </si>
  <si>
    <t>Descripción</t>
  </si>
  <si>
    <t>Indicador de Impacto de la Estrategia</t>
  </si>
  <si>
    <t>Acciones de retroalimentación para los estudiantes</t>
  </si>
  <si>
    <t>Instrumentos de medición</t>
  </si>
  <si>
    <t>Analiza los fundamentos ecosistémicos, químicos y físicos del entorno natural, junto con metodologías de gestión del riesgo, para caracterizar condiciones y efectos ambientales relevantes en contextos territoriales específicos.</t>
  </si>
  <si>
    <t>Semillero de investigación Habba Kagui</t>
  </si>
  <si>
    <t>Se realizan estudios para llevar la cultura ambiental a comunidades vulnerables económicamente y en condiciones de discapacidad cognitiva. Los estudiantes participan en encuentros locales o nacionales de semilleros de investigación donde tienen la oportunidad de presentar ante sus pares y evaluadores sus avances de investigación.</t>
  </si>
  <si>
    <t>Valoración de la estrategia respecto al nivel de aporte a los resultados de aprendizaje del programa.</t>
  </si>
  <si>
    <t>Informar al estudiante sobre los avances del proceso investigativo y cómo se ajustan a los objetivos del proyecto y a las necesidades de las comunidades intervenidas.
Formar en la aplicación del método científico, la ética investigativa y el trabajo con poblaciones vulnerables.</t>
  </si>
  <si>
    <t>Encuesta de valoración para los estudiantes</t>
  </si>
  <si>
    <t>Aplica procedimientos técnicos, tecnológicos y normativos de la gestión ambiental para generar propuestas de prevención, control, mitigación o compensación de efectos ambientales generados por actividades humanas en el territorio.</t>
  </si>
  <si>
    <t xml:space="preserve">Número de estudiantes que participan en la estrategia. </t>
  </si>
  <si>
    <t>Listados de participación de los estudiantes</t>
  </si>
  <si>
    <t>Integra criterios normativos, sociales y territoriales en la elaboración de propuestas de gestión ambiental, para establecer acciones fundamentadas ética y contextualmente frente a los efectos de la acción humana sobre el entorno.</t>
  </si>
  <si>
    <t>Número de veces que se aplicó la estrategia en los periodos que determine el programa.</t>
  </si>
  <si>
    <t>Informe o Reporte</t>
  </si>
  <si>
    <t>Interpreta marcos normativos y principios de gobernanza ambiental para reconocer el papel de los actores sociales en procesos de articulación y toma de decisiones sobre el uso y conservación del territorio.</t>
  </si>
  <si>
    <t>Clases espejo</t>
  </si>
  <si>
    <t>En este espacio el estudiante recibe charlas o clases sobre temas específicos que refuerzan o amplian los contenidos habituales de los módulos. La estrategia involucra docentes nacionales o extranjeros.</t>
  </si>
  <si>
    <t>Informar y formar al estudiante sobre cómo el contenido de la clase espejo complementa su aprendizaje.</t>
  </si>
  <si>
    <t>Congreso Internacional de Competitividad y Sostenibilidad</t>
  </si>
  <si>
    <t>Este evento que empezó como seminario de escuela y ahora es congreso internacional, abre espacios para que el estudiante se acerque a resultados de investigación internacionales en el marco de los objetivos de desarrollo sostenible (ODS). Así mismo tiene la posibilidad de participar en conjutno con sus docentes como ponentes.</t>
  </si>
  <si>
    <t xml:space="preserve">Informar y formar al estudiante sobre el abordaje de los ODS a nivel internacional y sobre otros temas que allí se traten. </t>
  </si>
  <si>
    <t>Red Colombiana de Formación Ambiental</t>
  </si>
  <si>
    <t>Espacio de intercambio académico de instituciones académicas y de investigación nacional e internacional.</t>
  </si>
  <si>
    <t xml:space="preserve">Informar  y formar sobre las oportunidades de articulación, aprendizaje y actualización disponibles a través de la red, así como el reconocimiento de buenas prácticas en formación ambiental. </t>
  </si>
  <si>
    <t>Semana Ambiental (Semana Grancolombiana)</t>
  </si>
  <si>
    <t>Estrategia que promueve la sensibilización, formación y participación de la comunidad académica en torno a los desafíos ambientales contemporáneos. A través de conversatorios, charlas, webinars y otras actividades formativas, esta iniciativa articula saberes disciplinares y experiencias prácticas para fortalecer la conciencia ambiental, fomentar el diálogo interdisciplinario y difundir buenas prácticas de sostenibilidad.</t>
  </si>
  <si>
    <t>Informar y formar sobre los aprendizajes, reflexiones y buenas prácticas ambientales presentadas en los conversatorios y actividades académicas.</t>
  </si>
  <si>
    <t>Recorridos 360</t>
  </si>
  <si>
    <t>Es una estrategia formativa que integra herramientas digitales interactivas con recorridos 360° permiten explorar procesos productivos y ecosistemas estratégicos desde una perspectiva práctica y contextualizada. A través del recorrido 360° por una fábrica de producción láctea, los estudiantes analizan condiciones sanitarias y ambientales relacionadas con la salud pública; mientras que con el recorrido 360° por un ecosistema de páramo, comprenden algunas dinámicas ecológicas. Estas actividades facilitan el aprendizaje activo al acercar a los estudiantes a escenarios reales mediante simulación y visualización detallada, fortaleciendo su comprensión de los procedimientos ambientales, la identificación de impactos y y el análisis de las condiciones del entorno.</t>
  </si>
  <si>
    <t>Informar y formar sobre los procesos, impactos y elementos ambientales observados en los recorridos 360 y su relación con los referentes conceptuales del programa.</t>
  </si>
  <si>
    <t>Plantilla de Diagnóstico Ambiental</t>
  </si>
  <si>
    <t>Recurso digital diseñado para apoyar a los estudiantes en la identificación de aspectos e impactos ambientales mediante herramientas simples y de fácil uso. A través de una plantilla en Excel (versión beta), el recurso guía el proceso de revisión ambiental inicial, permite organizar información clave del entorno evaluado y facilita el análisis básico de riesgos e impactos en contextos reales o simulados.</t>
  </si>
  <si>
    <t>Informar y formar sobre el uso adecuado de la plantilla, la interpretación de los datos registrados y la mejora en la identificación de aspectos e impactos ambientales.</t>
  </si>
  <si>
    <t>[Estas celdas se diligencian automáticamente. No ajustar.]</t>
  </si>
  <si>
    <t>[A partir de la celda A3 despliegue el(los) resultado(s) de aprendizaje y elija aquel (aquellos) al(a los) que se contribuye desde la asignatura o módulo).]</t>
  </si>
  <si>
    <t>[Escribir el semestre en el que se cursa la asignatura o módulo.]</t>
  </si>
  <si>
    <t>[Escribir el nombre de la asignatura o módulo que contribuye al logro del resultado de aprendizaje.]</t>
  </si>
  <si>
    <t>[Redactar los indicadores iniciando con el verbo en presente indicativo, luego el objeto conceptual y finalmente el complemento de oración (que indique una condición o finalidad, con, para, de, entre otros conectores).]</t>
  </si>
  <si>
    <t> [Escribir la tipología: T (teórico), P (Práctico), TP (Teórico Práctico)]</t>
  </si>
  <si>
    <t>[Marcar con X el bloque o componente al que pertenece la asignatura o módulo. Por favor ajustar para posgrado, eliminar una columna y ubicar los títulos C.Fundamentación y C.Profundización.]</t>
  </si>
  <si>
    <t>[Escribir el número de créditos de la asignatura o módulo]</t>
  </si>
  <si>
    <t>[Escribir el número de horas de trabajo directo: 16*# o 12*#, para presencial o virtual, según sea el caso.]</t>
  </si>
  <si>
    <t>[Escribir el número de horas de trabajo independiente: 32*# columna J o 36*# columna J, para presencial o virtual, respectivamente.]</t>
  </si>
  <si>
    <t>[Escribir la suma de los números de horas de las dos celdas anteriores.]</t>
  </si>
  <si>
    <t>[Escribir el nombre de los cuatro núcleos temáticos que abordará la asignatura o el módulo.]</t>
  </si>
  <si>
    <t>[Escribir las lecturas, talleres, análisis, referentes, etc., que realiza el estudiante, clasificadas en trabajo directo e independiente.]</t>
  </si>
  <si>
    <t xml:space="preserve">[Escribir las actividades de evaluación que se emplean para identificar el alcance del (de los) indicador(es) de logro(s).] </t>
  </si>
  <si>
    <t>[Escribir las acciones de retroalimentación que se emplearán en la asignatura o módulo, para retroalimentar a los estudiantes respecto al alcance de los indicadores de logro. Recordar que son cuatro acciones: informar, formar, prevenir y ayudar a tomar decisiones e indique cómo.]</t>
  </si>
  <si>
    <t>Tipo de Saber</t>
  </si>
  <si>
    <t>Semestre</t>
  </si>
  <si>
    <t>Nombre asignatura o módulo</t>
  </si>
  <si>
    <t>Indicadores de logro asignatura o módulo</t>
  </si>
  <si>
    <t>Tipología</t>
  </si>
  <si>
    <t>B.Institucional</t>
  </si>
  <si>
    <t>B.Disciplinar</t>
  </si>
  <si>
    <t>B.Electivo</t>
  </si>
  <si>
    <t>Créditos</t>
  </si>
  <si>
    <t>Número de horas trabajo directo</t>
  </si>
  <si>
    <t>Número de horas trabajo independiente</t>
  </si>
  <si>
    <t>Total de horas</t>
  </si>
  <si>
    <t>Núcleos temáticos</t>
  </si>
  <si>
    <t>Actividades de aprendizaje</t>
  </si>
  <si>
    <t>Actividades de evaluación</t>
  </si>
  <si>
    <t>Acciones de retroalimentación</t>
  </si>
  <si>
    <t>Proceso Administrativo</t>
  </si>
  <si>
    <t>Reconoce las etapas del proceso administrativo (planeación, organización, dirección y control) para aplicarlas en situaciones organizacionales.</t>
  </si>
  <si>
    <t>TP</t>
  </si>
  <si>
    <t>X</t>
  </si>
  <si>
    <t>1. Planeación
2. Organización
3. Dirección:  Integración de Personal - Motivación – liderazgo y comunicación
4. Control</t>
  </si>
  <si>
    <t>Las actividades pueden variar entre estas u otras:
Trabajo directo:
Encuentros sincrónicos
Mensajería interna
Anuncios
Trabajo independiente:
Lecturas fundamentales y complementarias
Recursos de apoyo
Participación en foros</t>
  </si>
  <si>
    <t xml:space="preserve"> 
Evaluación diagnóstica (semana 1- Cuestionario inicial de, mínimo, cinco preguntas, que recopila información sobre el conocimiento previo o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 de entrega 1 (semana 4 - Actividad individual o grupal, diseñada para evaluar de manera integral el nivel de conocimiento, comprensión y el desempeño de los indicadores de logro. Varía entre entregas independientes o secuenciales).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Actividad de entrega 2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 </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</si>
  <si>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</si>
  <si>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Razonamiento Cuantitativo</t>
  </si>
  <si>
    <t>Analiza datos numéricos presentados en tablas, gráficos o textos para proponer soluciones informadas a situaciones problema del contexto.</t>
  </si>
  <si>
    <t>1.	Pensamiento numérico. Interpretación y representación de información numérica
2.	Pensamiento algebraico. Desde la representación de regularidades y patrones
3.	Pensamiento algebraico. Desde las relaciones de comparación entre cantidades o expresiones numéricas
4.	Pensamiento geométrico. Propiedades, formas y relaciones espaciales</t>
  </si>
  <si>
    <t>Trabajo directo:
Ecuentros sincrónicos
Mensajería interna
Anuncios
Trabajo independiente:
Lecturas fundamentales y complementarias
Material de trabajo
Participación en foros</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</si>
  <si>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evaluativa: Cuestionario de, mínimo, cinco preguntas, que da cuenta del desarrollo total o parcial de los indicadores de logro y el desarrollo de los temas vistos hasta la unidad 3. 
Examen final: Cuestionario de, mínimo, quince preguntas, que da cuenta del desarrollo total o parcial de los indicadores de logro y el desarrollo de los temas vistos en el módulo. 
Autoevaluación: Cuestionario final de, mínimo, cinco preguntas, en el cual el estudiante reflexiona sobre su propio desempeño, habilidades y resultados en un contexto específico. </t>
  </si>
  <si>
    <t>Informar oportunamente a través de la plataforma institucional y sesiones sincrónicas sobre el propósito, el proceso de realización, entrega de la actividad y criterios de evaluación. 
En las sesiones sincrónicas, atender las inquietudes y dar orientaciones al respecto, así como invitar a tomar asesorías ofrecidas por la Escuela de Ciencia Básicas, como estrategia de prevención y ayuda. 
Ayudar a tomar decisiones a través de preguntas orientadoras y actividades de refuerzo dentro del trabajo directo y autónomo. 
Retroalimentación por medio de rúbrica que indica el nivel de alcance del logro obtenido. 
Retroalimentación general del docente acorde a los resultados alcanzados por el grupo</t>
  </si>
  <si>
    <t>Cultura, Política y Sociedad</t>
  </si>
  <si>
    <t>Reconoce las problemáticas, escenarios y mecanismos de participación ciudadana en el marco de sociedades de información y digitales para abordarlas desde iniciativas investigativas. 
Identifica los objetivos de desarrollo sostenible para la comprensión de problemáticas sociales, ambientales y culturales. 
Reflexiona los impactos de avances tecnológicos en su contexto profesional y ciudadano para el análisis de contextos situados.</t>
  </si>
  <si>
    <t>1. ODS, problemas locales: una mirada a Colombia, territorio en búsqueda de la consolidación de la Paz.   
2. Ciudadanía y su lugar: relaciones, dinámicas, construcción, expresión y mecanismos de participación.  
3. Ecosistemas digitales: relaciones, dinámicas, construcción, expresión e impactos en el contexto profesional.  
4. Narrativas y contenidos digitales: análisis de contextos situados.</t>
  </si>
  <si>
    <t>1. Evaluación diagnóstica escenario 1: Cuestionario inicial de mínimo cinco preguntas que recopila información sobre el conocimiento previo y las habilidades del estudiante.
2. Actividad formativa escenario 2: Foro individual o grupal, creado para que el estudiante participe activamente en la construcción de su conocimiento y desarrollo de habilidades. Varía entre una actividad entregable y la participación en un foro.
3. Actividad de entrega 1 escenario 4: Actividad individual o grupal, diseñada para evaluar de manera integral el nivel de conocimiento, comprensión y el desempeño de los indicadores de logro. Varía entre entregas independientes o secuenciales.
4. Actividad formativa escenario 5: Foro individual o grupal, creado para que el estudiante participe activamente en la construcción de su conocimiento y desarrollo de habilidades. Varía entre una actividad entregable y la participación en un foro.
5. Actividad evaluativa escenario 6: Cuestionario de, mínimo, cinco preguntas, que da cuenta del desarrollo total o parcial de los indicadores de logro y el desarrollo de los temas vistos hasta la unidad 3.
6. Actividad de entrega 2 escenario 7: Actividad individual o grupal, diseñada para evaluar de manera integral el nivel de conocimiento, comprensión y el desempeño de los indicadores de logro. Varía entre entregas independientes o secuenciales.
7. Autoevaluación escenario 8: Cuestionario final de mínimo cinco preguntas en el cual el estudiante reflexiona sobre su propio desempeño, habilidades y resultados en un contexto específico.</t>
  </si>
  <si>
    <t>Biología</t>
  </si>
  <si>
    <t>Reconoce los fundamentos de la biología, la estructura de la célula, las características de los seres vivos, los niveles ecológicos y la diversidad biológica, para caracterizar la organización y función de los ecosistemas, las interacciones entre sus componentes, la importancia de su conservación y los efectos provocados por la acción humana.</t>
  </si>
  <si>
    <t>T</t>
  </si>
  <si>
    <t>1.	Fundamentos básicos de la Biología  
2.	La célula y los seres vivos  
3.	Niveles ecológicos
4.	Diversidad biológica</t>
  </si>
  <si>
    <t>Quiz (semana 2 - Cuestionario de 5 preguntas). 
Entrega inicial (semana 3 – Ensayo, artículo, cuadro comparativo, revisión documental, entre otros). 
Foro analítico o argumentativo (semanas 5 y 6 – Participación en el espacio correspondiente del aula). 
Entrega final (semana 7 – Ensayo, artículo, cuadro comparativo, revisión documental, entre otros). 
Evaluación final (semana 8 – Cuestionario de entre 15 y 20 preguntas).</t>
  </si>
  <si>
    <t>Introducción a la Gestión Ambiental</t>
  </si>
  <si>
    <t>Identifica acuerdos internacionales y herramientas de la gestión ambiental, para establecer acciones que apoyen la resolución de conflictos en problemáticas ambientales a nivel nacional.</t>
  </si>
  <si>
    <t xml:space="preserve">1.	Problemas ambientales globales 
2.	Problemática socio – ambiental de Colombia 
3.	Acuerdos internacionales para el medio ambiente
4.	Fundamentación de la Gestión Ambiental </t>
  </si>
  <si>
    <t xml:space="preserve">Actividad de puntos evaluables (semana 2 – Cuestionario de 5 preguntas). 
Entrega previa 1 (semana 3 - Laboratorio, taller, ejercicios, resolución de casos o de problemas, desarrollo de procesos o ejecución de propuestas. Entrega de forma individual o grupal, según indicaciones del profesor). 
Parcial (semana 4 - Cuestionarios de entre 15 y 20 preguntas). 
Entrega previa 2 (semana 5 - Laboratorio, taller, ejercicios, resolución de casos o de problemas, desarrollo de procesos o ejecución de propuestas. Entrega de forma individual o grupal, según indicaciones dadas por el profesor). 
Entrega final (semana 7 - Laboratorio, taller, ejercicios, resolución de casos o de problemas, desarrollo de procesos o ejecución de propuestas. Entrega de forma individual o grupal, según indicaciones dadas por el profesor). 
Evaluación final (semana 8 - Cuestionario de entre 15 y 20 preguntas). </t>
  </si>
  <si>
    <t>Fundamentos de Química Ambiental</t>
  </si>
  <si>
    <t>Reconoce las transformaciones químicas de los materiales en procesos productivos para identificar los residuos o contaminantes generados según los principios de la química ambiental.</t>
  </si>
  <si>
    <t>1. Fundamentos de química ambiental 
2. Química de la atmósfera
3. Química del agua
4. Química del suelo y química verde</t>
  </si>
  <si>
    <t>Razonamiento Variacional</t>
  </si>
  <si>
    <t xml:space="preserve">Aplica el pensamiento variacional y acumulativo para interpretar, modelar y resolver problemas de cambio y acumulación, relacionados con su contexto profesional y personal, mediante el uso reflexivo de las propiedades y aplicaciones de las derivadas e integrales.  </t>
  </si>
  <si>
    <t>1. Fundamentos del Pensamiento Variacional 
2. Análisis del Cambio y Dinámica 
3. Acumulación y Modelado Integral 
4. Aplicaciones Avanzadas y Modelización</t>
  </si>
  <si>
    <t>Análisis Descriptivo de Datos</t>
  </si>
  <si>
    <t>Aplica herramientas tecnológicas y modelos probabilístico, para representar procesos, aleatorios y determinar valores de probabilidad en diferentes escenarios.
Aplica conceptos de probabilidad elemental y distribuciones como la normal y la binomial para apoyar decisiones en diversos contextos.</t>
  </si>
  <si>
    <t>1. Estadística descriptiva
2. Teoría de la probabilidad 
3. Variables aleatorias y distribuciones de probabilidad
4. Distribuciones de probabilidad discretas y continuas</t>
  </si>
  <si>
    <t>Fundamentos de Economía</t>
  </si>
  <si>
    <t>Identifica los conceptos básicos de economía, la dinámica del mercado, las teorías del consumidor y productor, y los fundamentos de la macroeconomía, para evaluar la interacción de los agentes económicos y el impacto de políticas económicas en el entorno.</t>
  </si>
  <si>
    <t>1. Conceptos básicos de la economía como ciencia social 
2. Dinámica del mercado
3. Teoría del consumidor y el productor
4. Conceptos básicos de macroeconomía</t>
  </si>
  <si>
    <t>Análisis y Visualización de Datos</t>
  </si>
  <si>
    <t>Identifica conceptos básicos relacionados con el análisis y visualización de datos con el propósito de comunicar información relevante de manera efectiva en diversos contextos. 
Utiliza herramientas para realizar análisis y transformación de datos que garanticen una visualización sencilla y eficiente. 
Utiliza asistentes virtuales para realizar tareas prácticas y resolver problemas en su campo de estudio. 
Evalúa la presencia de sesgos y cuestiones éticas en el análisis y tratamiento de dato para garantizar que su uso esté desprovisto de efectos negativos en el entorno.</t>
  </si>
  <si>
    <t xml:space="preserve">1. Contextualización 
2. Análisis de Datos y Visualización 
3. Usos de la Inteligencia Artificial 
4. Casos de Estudio </t>
  </si>
  <si>
    <t>Ecosistemas y Producción</t>
  </si>
  <si>
    <t>Analiza un ecosistema —incluyendo sus características ambientales, económicas y sociales, los problemas presentes, sus causas, consecuencias, actores e instrumentos de gobernanza— para proponer una solución de producción sostenible basada en criterios de negocios verdes vincludos a políticas públicas aplicables.</t>
  </si>
  <si>
    <t>1. Los ecosistemas y su funcionamiento
2. Servicios ecosistémicos y sistemas de producción y consumo
3. Gobernanza de los recursos naturales
4. Producción sostenible</t>
  </si>
  <si>
    <t>Gestión de Riesgos Industriales</t>
  </si>
  <si>
    <t>Aplica las etapas de la gestión del riesgo para proponer un plan de tratamiento y un plan de continuidad del negocio que considere los diferentes tipos de riesgos asociados al contexto de operación de una organización.</t>
  </si>
  <si>
    <t>1. La gestión del riesgo en las industrias
2. Proceso de la gestión del riesgo
3. Planes de gestión del riesgo
4. Controlando la salud ambiental en la industria</t>
  </si>
  <si>
    <t>Hidrometeorología</t>
  </si>
  <si>
    <t>Analiza una problemática hidrometeorológica aplicando sus principios para proponer una respuesta o solución desde la gestión ambiental.</t>
  </si>
  <si>
    <t>1. Principios de hidrometeorología
2. Red hidrometeorológica Nacional, estaciones.
3. Alertas tempranas IDEAM Hidrometeorología
4. Casos de estudio hidrometeorológicos</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</si>
  <si>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
.</t>
  </si>
  <si>
    <t>Oportunidades para Emprender</t>
  </si>
  <si>
    <t>Propone soluciones a los problemas, frustraciones y expectativas de un grupo de personas en su comunidad para idear productos o servicios con valor agregado dentro de su campo de acción profesional.
Diseña una idea de negocio que represente una oportunidad de mercado teniendo en cuenta sus habilidades para emprender y el análisis del entorno.</t>
  </si>
  <si>
    <t>1. Empatía y Comprensión del Usuario   
2. Co-creación con los Usuarios   
3. Enfoque en la Experiencia del Usuario   
4. Diseño del modelo de negocio</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</si>
  <si>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</si>
  <si>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Calidad de Agua</t>
  </si>
  <si>
    <t>Analiza las propiedades fisicoquímicas y microbiológicas del agua, aplicando protocolos de muestreo, para proponer recomendaciones que contribuyan a mejorar su calidad en contextos específicos.</t>
  </si>
  <si>
    <t xml:space="preserve">1.	Propiedades fisicoquímicas del agua 
2.	Muestreo de aguas y protocolos de muestreo 
3.	Análisis fisicoquímicos del agua 
4.	Potabilización del agua y parámetros microbiológicos del agua </t>
  </si>
  <si>
    <t>Pensamiento Crítico y Ciudadanías Activas</t>
  </si>
  <si>
    <t xml:space="preserve">Identifica los Derechos y Deberes consignados en la Constitución 1991 en relación con la ciudadanía de manera local y global para la comprensión de inmersiones sociales éticas. 
Reflexiona los impactos de la investigación- acción sin daño en los espacios académicos y los territorios para el abordaje desde proyectos de investigación formativa. 
Elabora el diseño de planes detallados desde abordajes investigativos e inmersiones creativas para divulgar hallazgos en el ámbito académico. </t>
  </si>
  <si>
    <t>1. Pacto social colombiano y marco de referencias de DDHH internacionales
2. Planes detallados e inmersiones sociales desde procesos participativos, acciones sociales e iniciativas ciudadanas como respuesta a problemas glocales
3. Perspectivas para la participación ciudadana en los territorios
4. Los avances tecnológicos y su impacto en lo social, cultural y ambiental en el marco de las sociedades de información</t>
  </si>
  <si>
    <t>1. Actividad de puntos evaluables escenario 1 (diagnóstica) - Cuestionario de 5 preguntas.
2. Entrega escenario 2 (formativa)
3. Entrega escenario 4 (formativa)
4. Entrega escenario 5 (formativa)
5. Quiz escenario 6 (sumativa.)</t>
  </si>
  <si>
    <t>Gestión Integral de Residuos Sólidos</t>
  </si>
  <si>
    <t>Analiza situaciones en las que se generan residuos solidos, caracterizándolos como peligrosos o no, para proponer recomendaciones relacionadas con la gestión integral de estos.</t>
  </si>
  <si>
    <t>1. Definición y Clasificación de los Residuos Sólidos
2. Manejo y Tratamiento de los Residuos Sólidos
3. Disposición Final de los Residuos Sólides
4. Residuos sólidos peligrosos y especiales</t>
  </si>
  <si>
    <t>Calidad del Aire</t>
  </si>
  <si>
    <t>Analiza condiciones de calidad del aire a partir de parámetros establecidos y su contraste con la normativa vigente, para proponer recomendaciones económicas, sociales y ambientales que contribuyan a mejorar las condiciones del contexto.</t>
  </si>
  <si>
    <t xml:space="preserve">1. Fundamentos de contaminación atmosférica
2. Sistemas de monitoreo nacional de calidad de aire y ciencia ciudadana
3. Normas EPA para la determinación de contaminantes por sector industrial
4. Informes de calidad de aire </t>
  </si>
  <si>
    <t>Ordenamiento Ambiental del Territorio</t>
  </si>
  <si>
    <t>Analiza los fundamentos, instrumentos y metodologías del ordenamiento ambiental del territorio para aplicar criterios de organización que integren la gestión del riesgo y de cuencas hidrográficas.</t>
  </si>
  <si>
    <t>1. Fundamentos del ordenamiento ambiental del territorio
2. Instrumentos y metodologías del ordenamiento ambiental territorial
3. Gestión del riesgo en el ordenamiento territorial
4. Gestión integral de cuencas hidrográficas como instrumento de ordenamiento</t>
  </si>
  <si>
    <t>Desarrollo Sostenible</t>
  </si>
  <si>
    <t>Identifica ejemplos de problemas ambientales, sociales y económicos en la sociedad contemporánea para analizar sus causas y efectos desde el enfoque del desarrollo sostenible a escala local y global. 
Compara enfoques y aproximaciones tanto privados como público/colectivos desde la sostenibilidad y otras visiones alternativas para proponer ideas de solución que respondan a los desafíos contemporáneos.</t>
  </si>
  <si>
    <t xml:space="preserve">1. Análisis de la Era del Antropoceno 
2. Otras Alternativas al Desarrollo Sostenible 
3. Ciudadanía y Políticas Públicas para el Desarrollo Sostenible 
4. El aporte de Negocios para la Búsqueda del Desarrollo Sostenible </t>
  </si>
  <si>
    <t xml:space="preserve">Evaluación diagnóstica: Cuestionario inicial de mínimo cinco preguntas que recopila información sobre el conocimiento previo y las habilidades del estudiante. 
Actividad formativa: Foro individual o grupal, creado para que el estudiante participe activamente en la construcción de su conocimiento y desarrollo de habilidades. Varía entre una actividad entregable y la participación en un foro. 
Actividad de entrega 1 y 2: Actividad individual o grupal, diseñada para evaluar de manera integral el nivel de conocimiento, comprensión y el desempeño de los indicadores de logro. Varía entre entregas independientes o secuenciales. 
Actividad evaluativa: Cuestionario de, mínimo, cinco preguntas, que da cuenta del desarrollo total o parcial de los indicadores de logro y el desarrollo de los temas vistos hasta la unidad 3. 
Autoevaluación: Cuestionario final de mínimo cinco preguntas en el cual el estudiante reflexiona sobre su propio desempeño, habilidades y resultados en un contexto específico. </t>
  </si>
  <si>
    <t>Derecho Ambiental</t>
  </si>
  <si>
    <t>Analiza casos ambientales aplicando la normatividad y los principios del derecho ambiental, para identificar la responsabilidad ambiental y las obligaciones asociadas en relación con los diferentes componentes del ambiente.</t>
  </si>
  <si>
    <t>1. Introducción al derecho ambiental
2. Responsabilidad ambiental en la empresa
3. Normatividad ambiental por componentes (agua y residuos)
4. Normatividad por componentes (aire, suelo y biodiversidad)</t>
  </si>
  <si>
    <t>Entrega proyecto 1 (semana 3 - Entrega previa del proyecto de carácter grupal, que está referenciada en las actividades evaluativas). 
Entrega proyecto 2 (semana 5 - Entrega previa del proyecto de carácter grupal, que está referenciada en las actividades evaluativas). 
Entrega final (semana 7 - Entrega del proyecto de carácter grupal, que está referenciada en las actividades evaluativas). 
Sustentación (semana 8 - Presentación del proyecto).</t>
  </si>
  <si>
    <t>Las acciones de retroalimentación giran en torno a las siguientes.
Formar: donde se crean las condiciones para que los estudiantes adquieran conocimientos, habilidades, actitudes, aptitudes y destrezas. Además, debe promover su desarrollo integral y debe acompañarlos en las situaciones académicas que enfrenten durante el desarrollo de un módulo o una asignatura.  
Informar: para que los estudiantes identifiquen los cambios que pueden afectarlos directa o indirectamente tanto en el aula de clase como en otros espacios.
Prevenir: con el fin de anticiparse a las situaciones académicas que pueden representar dificultad para los estudiantes. Esto se logra a través de la interacción individual con los estudiantes y del completo conocimiento del contexto educativo en que el tutor se desenvuelve.  
Ayudar a decidir: donde se orienta a los estudiantes para que tomen la mejor decisión ante una situación concreta. El objetivo es que el estudiante fortalezca su autonomía y la toma de decisiones responsable.</t>
  </si>
  <si>
    <t>Sistemas de Información Ambiental</t>
  </si>
  <si>
    <t>Analiza información geográfica vector y raster utilizando herramientas SIG y recursos del SIAC, para generar salidas cartográficas que representen casos ambientales o territoriales específicos.</t>
  </si>
  <si>
    <t>1. Introducción a los sistemas de información Geográfica
2. Análisis de información Vector y Raster
3. SIAC Sistema de Información Ambiental Colombiano
4. Casos aplicados SIG y salidas geográfica</t>
  </si>
  <si>
    <t>Economía Ambiental</t>
  </si>
  <si>
    <t>Aplica un modelo bioeconómico que permita simular la situación actual y en prospectiva de un contexto ambiental determinado, para planificar medidas de gestión de recursos naturales.</t>
  </si>
  <si>
    <t>1. Relaciones entre la economía y el medio ambiente
2. Herramientas económicas para la gestión sostenible de recursos naturales
3. Herramientas económicas para la gestión sostenible de la contaminación
4. Regulación y política ambiental</t>
  </si>
  <si>
    <t>Producción Limpia y Sostenible</t>
  </si>
  <si>
    <t>Analiza procesos productivos para proponer soluciones a situaciones ambientales basadas en herramientas de producción limpia y sostenible.</t>
  </si>
  <si>
    <t>1.	Contexto de la Producción más limpia y el desarrollo sostenible 
2.	Herramientas para la aplicación de la producción limpia y sostenible
3.	Estrategias de producción limpia y sostenible
4.	Metodología para la aplicación de la producción limpia y sostenible</t>
  </si>
  <si>
    <t>Gestión Ambiental Urbana y Rural</t>
  </si>
  <si>
    <t>Analiza las condiciones ambientales urbanas o rurales de un municipio —incluyendo infraestructura, gestión y riesgos— para proponer una estrategia de mejora orientada a fortalecer su calidad ambiental.</t>
  </si>
  <si>
    <t>1. Generalidades de la gestión ambiental urbana y rural
2. Infraestructura urbana y rural en el contexto de la gestión ambiental
3. Gestión ambiental municipal
4. Calidad ambiental urbana y rural</t>
  </si>
  <si>
    <t>Comunicación para la Gestión Ambiental</t>
  </si>
  <si>
    <t>Analiza una situación ambiental comunicativa en un contexto organizacional —incluyendo problemas, grupos de interés y necesidades de participación— para diseñar un plan de comunicaciones acorde con el diagnóstico realizado.</t>
  </si>
  <si>
    <t>1.	Comunicación y educación ambiental
2.	Comunicación ambiental
3.	Comunicación organizacional
4.	Participación y acción</t>
  </si>
  <si>
    <t xml:space="preserve">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Examen final (semana 8 - Cuestionario de, mínimo, quince preguntas, que da cuenta del desarrollo total o parcial de los indicadores de logro y el desarrollo de los temas vistos en el módulo). 
Autoevaluación (semana 8 - Cuestionario final de, mínimo, cinco preguntas, en el cual el estudiante reflexiona sobre su propio desempeño, habilidades y resultados en un contexto específico). </t>
  </si>
  <si>
    <t>Gestión del Riesgo Laboral</t>
  </si>
  <si>
    <t>Analiza los peligros y riesgos derivados del uso de sustancias químicas en un proceso productivo —aplicando principios del SG-SST— para formular una estrategia de gestión del riesgo.</t>
  </si>
  <si>
    <t>1. Contextualización de la relación hombre, salud laboral y trabajo
2.  Entorno legal base del sistema de gestión en seguridad y salud en el trabajo
3.  Sistema de gestión de seguridad y salud en el trabajo SG-SST
4.  SG-SST bajo lineamientos internacionales</t>
  </si>
  <si>
    <t>Evaluación de Impacto Ambiental</t>
  </si>
  <si>
    <t>Evalúa la línea base ambiental y los impactos generados por un proyecto, obra o actividad, para diseñar un programa de manejo ambiental que incluya medidas de prevención, mitigación y corrección.</t>
  </si>
  <si>
    <t>1.	Línea base ambiental
2.	Metodologías de identificación y evaluación de impacto ambiental
3.	Diagnóstico ambiental de alternativas y evaluación de impacto ambiental
4.	Plan de manejo ambiental</t>
  </si>
  <si>
    <t>Sistemas de Gestión Ambiental</t>
  </si>
  <si>
    <t>Diagnostica un caso empresarial a partir de los componentes del sistema de gestión ambiental para proponer controles operacionales y mecanismos de seguimiento orientados a la mejora continua.</t>
  </si>
  <si>
    <t>1. Revisión ambiental inicial
2. Planeación del Sistema de gestión ambiental
3. Implementación y operación de un Sistema de gestión ambiental
4. Evaluación de desempeño y mejora de un sistema de gestión ambiental</t>
  </si>
  <si>
    <t>Práctica Aplicada [TEA]</t>
  </si>
  <si>
    <t>Aplica los conocimientos adquiridos durante su proceso formativo para generar un plan de mejora ambiental en una situación empresarial.</t>
  </si>
  <si>
    <t>P</t>
  </si>
  <si>
    <t>1. Diagnóstico ambiental empresarial
2. Priorización de problemas ambientales
3. Planeación de la gestión ambiental
4. Conceptos y herramientas de mejora ambiental</t>
  </si>
  <si>
    <t xml:space="preserve">Evaluación diagnóstica (semana 1- Cuestionario inicial de, mínimo, cinco preguntas, que recopila información sobre el conocimiento previo o las habilidades del estudiante). 
Actividad formativa (semanas 2 a 7 - Foro individual o grupal, diseñado para que el estudiante participe activamente en la construcción de su conocimiento y desarrollo de habilidades. Este foro permanecerá abierto de la semana 2 a la semana 7). 
Actividad de entrega 1 (semana 5 - Actividad individual o grupal, diseñada para evaluar de manera integral el nivel de conocimiento, comprensión y el desempeño de los indicadores de logro. Varía entre entregas independientes o secuenciales).  
Actividad de entrega final (semana 7 - Actividad individual o grupal, diseñada para evaluar de manera integral el nivel de conocimiento, comprensión y el desempeño de los indicadores de logro. Varía entre entregas independientes o secuenciales). 
Autoevaluación (semana 8 - Cuestionario final de, mínimo, cinco preguntas, en el cual el estudiante reflexiona sobre su propio desempeño, habilidades y resultados en un contexto específico). </t>
  </si>
  <si>
    <t>Salud Pública</t>
  </si>
  <si>
    <t>Analiza una situación de salud pública considerando los riesgos ambientales, la incidencia, los factores asociados y los actores involucrados, para proponer estrategias de mitigación y acciones de gestión ambiental que reduzcan los factores de riesgo en el territorio.</t>
  </si>
  <si>
    <t>1.	Introducción a la salud pública y su relación con los riesgos ambientales
2.	Factores de riesgo ambiental en la salud pública
3.	Saneamiento ambiental, zoonosis y epidemiologia
4.	Sistemas e infraestructura de vigilancia en salud pública</t>
  </si>
  <si>
    <t>Bioeconomía</t>
  </si>
  <si>
    <t>Analiza los principios de la bioeconomía, la circularidad y las estrategias de adaptación para caracterizar prácticas bioeconómicas presentes en un contexto socio económico.</t>
  </si>
  <si>
    <t>1. Fundamentos de la Bioeconomía y circularidad 
2. Estrategias de Adaptación y bioeconomía  
3. Innovación y Desarrollo económico capital natural 
4. Proyectos bioeconomía, Bienestar y Cohesión Social</t>
  </si>
  <si>
    <t xml:space="preserve">Evaluación diagnóstica (semana 1- Cuestionario inicial de, mínimo, cinco preguntas, que recopila información sobre el conocimiento previo y las habilidades del estudiante). 
Actividad formativa (semana 2 - Foro individual o grupal, creado para que el estudiante participe activamente en la construcción de su conocimiento y desarrollo de habilidades. Varía entre una actividad entregable y la participación en un foro). 
Actividades de entrega (semana 4 - Actividad individual o grupal, diseñada para evaluar de manera integral el nivel de conocimiento, comprensión y el desempeño de los indicadores de logro. Varía entre entregas independientes o secuenciales. Al ser un módulo teórico, ésta es la única actividad de entrega). 
Actividad formativa (semana 5 - Foro individual o grupal, creado para que el estudiante participe activamente en la construcción de su conocimiento y desarrollo de habilidades. Varía entre una actividad entregable y la participación en un foro). 
Actividad evaluativa (semana 6 - Cuestionario de, mínimo, cinco preguntas, que da cuenta del desarrollo total o parcial de los indicadores de logro y el desarrollo de los temas vistos hasta la unidad 3). 
Examen final (semana 8 - Cuestionario de, mínimo, quince preguntas, que da cuenta del desarrollo total o parcial de los indicadores de logro y el desarrollo de los temas vistos en el módulo). 
Autoevaluación (semana 8 - Cuestionario final de, mínimo, cinco preguntas, en el cual el estudiante reflexiona sobre su propio desempeño, habilidades y resultados en un contexto específico). </t>
  </si>
  <si>
    <t>Total modulos del programa</t>
  </si>
  <si>
    <t>Total créditos programa</t>
  </si>
  <si>
    <t>Total créditos bloque institucional</t>
  </si>
  <si>
    <t>Total créditos bloque disciplinar</t>
  </si>
  <si>
    <t>Verbos Competencias</t>
  </si>
  <si>
    <t>Actualizar</t>
  </si>
  <si>
    <t>Administrar</t>
  </si>
  <si>
    <t>Asegurar</t>
  </si>
  <si>
    <t>Asesorar</t>
  </si>
  <si>
    <t>Auditar</t>
  </si>
  <si>
    <t>Comunicar</t>
  </si>
  <si>
    <t>Conducir</t>
  </si>
  <si>
    <t>Conocer</t>
  </si>
  <si>
    <t>Coordinar</t>
  </si>
  <si>
    <t>Definir</t>
  </si>
  <si>
    <t>Desarrollar</t>
  </si>
  <si>
    <t>Dirigir</t>
  </si>
  <si>
    <t>Diseñar</t>
  </si>
  <si>
    <t>Dominar</t>
  </si>
  <si>
    <t>Establecer</t>
  </si>
  <si>
    <t>Evaluar</t>
  </si>
  <si>
    <t>Fiscalizar</t>
  </si>
  <si>
    <t>Formular</t>
  </si>
  <si>
    <t>Generar</t>
  </si>
  <si>
    <t>Hacer</t>
  </si>
  <si>
    <t>Liderar</t>
  </si>
  <si>
    <t>Modelar</t>
  </si>
  <si>
    <t>Participar</t>
  </si>
  <si>
    <t>Planear</t>
  </si>
  <si>
    <t>Presidir</t>
  </si>
  <si>
    <t>Producir</t>
  </si>
  <si>
    <t>Resolver</t>
  </si>
  <si>
    <t>Sistematizar</t>
  </si>
  <si>
    <t>Supervisar</t>
  </si>
  <si>
    <t>Transformar</t>
  </si>
  <si>
    <t>Usar</t>
  </si>
  <si>
    <t>Validar</t>
  </si>
  <si>
    <t>Verificar</t>
  </si>
  <si>
    <t>Taxonomía de Bloom Adaptada bajo las ideas de Anderson y Krathwohl</t>
  </si>
  <si>
    <t>Taxonomía de Bloom adaptada bajo las ideas de Lorin y Krathwohl (LK)</t>
  </si>
  <si>
    <t>Taxonomía de Bloom adaptada bajo las ideas de Anderson y Kendal (AK)</t>
  </si>
  <si>
    <t>Taxonomía de Bloom</t>
  </si>
  <si>
    <t>Cognitivo(BAK)</t>
  </si>
  <si>
    <t>Procedimental(BAK)</t>
  </si>
  <si>
    <t>Actitudinal(BAK)</t>
  </si>
  <si>
    <t>Taxonomías</t>
  </si>
  <si>
    <t>LK</t>
  </si>
  <si>
    <t>AK</t>
  </si>
  <si>
    <t>ProcedimentalB</t>
  </si>
  <si>
    <t>ActitudinalB</t>
  </si>
  <si>
    <t>ConocimientoB</t>
  </si>
  <si>
    <t>AplicaciónB</t>
  </si>
  <si>
    <t>AnálisisB</t>
  </si>
  <si>
    <t>SíntesisB</t>
  </si>
  <si>
    <t>EvaluaciónB</t>
  </si>
  <si>
    <t>ConocimientoBAK</t>
  </si>
  <si>
    <t>AplicaciónBAK</t>
  </si>
  <si>
    <t>SíntesisBAK</t>
  </si>
  <si>
    <t>EvaluaciónBAK</t>
  </si>
  <si>
    <t>PrecisiónBAK</t>
  </si>
  <si>
    <t>ControlBAK</t>
  </si>
  <si>
    <t>PercepciónBAK</t>
  </si>
  <si>
    <t>ResponderBAK</t>
  </si>
  <si>
    <t>OrganizarBAK</t>
  </si>
  <si>
    <t>CaracterizarBAK</t>
  </si>
  <si>
    <t>Procesos cognitivos de orden inferior</t>
  </si>
  <si>
    <t>Procesos cognitivos de orden superior</t>
  </si>
  <si>
    <t>HechosLK</t>
  </si>
  <si>
    <t>InformaciónAK</t>
  </si>
  <si>
    <t>Adquirir</t>
  </si>
  <si>
    <t>Aislar</t>
  </si>
  <si>
    <t>Adaptar</t>
  </si>
  <si>
    <t>Aconsejar</t>
  </si>
  <si>
    <t>Ajustar</t>
  </si>
  <si>
    <t>Direccionar</t>
  </si>
  <si>
    <t>Disponer</t>
  </si>
  <si>
    <t>Remover</t>
  </si>
  <si>
    <t>Aprobar</t>
  </si>
  <si>
    <t>Adoptar</t>
  </si>
  <si>
    <t>Extraer</t>
  </si>
  <si>
    <t>Negociar</t>
  </si>
  <si>
    <t>RecordarLK</t>
  </si>
  <si>
    <t>ComprenderLK</t>
  </si>
  <si>
    <t>AplicarLK</t>
  </si>
  <si>
    <t>AnalizarLK</t>
  </si>
  <si>
    <t>EvaluarLK</t>
  </si>
  <si>
    <t>CrearLK</t>
  </si>
  <si>
    <t>RecuperaciónAK</t>
  </si>
  <si>
    <t>ComprensiónAK</t>
  </si>
  <si>
    <t>AnálisisAK</t>
  </si>
  <si>
    <t>UsoConocimientoAK</t>
  </si>
  <si>
    <t>MetacogniciónAK</t>
  </si>
  <si>
    <t>SistemadelYoAK</t>
  </si>
  <si>
    <t>ConceptosLK</t>
  </si>
  <si>
    <t>ProcesosMentalesAK</t>
  </si>
  <si>
    <t>Buscar</t>
  </si>
  <si>
    <t>Bosquejar</t>
  </si>
  <si>
    <t>Clasificar</t>
  </si>
  <si>
    <t>Adjuntar</t>
  </si>
  <si>
    <t>Calisificar</t>
  </si>
  <si>
    <t>Desmontar</t>
  </si>
  <si>
    <t>Quitar</t>
  </si>
  <si>
    <t>Autorizar</t>
  </si>
  <si>
    <t>Resumir</t>
  </si>
  <si>
    <t>Ofrecer</t>
  </si>
  <si>
    <t>Afirmar</t>
  </si>
  <si>
    <t>Actuar</t>
  </si>
  <si>
    <t>Agrupar</t>
  </si>
  <si>
    <t>Aceptar</t>
  </si>
  <si>
    <t>ProcedimientoslLK</t>
  </si>
  <si>
    <t>PsicomotorAK</t>
  </si>
  <si>
    <t>Citar</t>
  </si>
  <si>
    <t>Comentar</t>
  </si>
  <si>
    <t>Combinar</t>
  </si>
  <si>
    <t>Calcular</t>
  </si>
  <si>
    <t>Arreglar</t>
  </si>
  <si>
    <t>Agregar</t>
  </si>
  <si>
    <t>Modificar</t>
  </si>
  <si>
    <t>Dramatizar</t>
  </si>
  <si>
    <t>Apalancar</t>
  </si>
  <si>
    <t>Suprimir</t>
  </si>
  <si>
    <t>Demostrar</t>
  </si>
  <si>
    <t>Promover</t>
  </si>
  <si>
    <t>Comparar</t>
  </si>
  <si>
    <t>Añadir</t>
  </si>
  <si>
    <t>Elaborar</t>
  </si>
  <si>
    <t>Adelantar</t>
  </si>
  <si>
    <t>MetacogniciónLK</t>
  </si>
  <si>
    <t>Consignar</t>
  </si>
  <si>
    <t>Componer</t>
  </si>
  <si>
    <t>Categorizar</t>
  </si>
  <si>
    <t>Alinear</t>
  </si>
  <si>
    <t>Concretar</t>
  </si>
  <si>
    <t>Docificar</t>
  </si>
  <si>
    <t>Levantar</t>
  </si>
  <si>
    <t>Eliminar</t>
  </si>
  <si>
    <t>Comportarse bajo condiciones</t>
  </si>
  <si>
    <t>Copiar</t>
  </si>
  <si>
    <t>Contrastar</t>
  </si>
  <si>
    <t>Asumir</t>
  </si>
  <si>
    <t>Apoyar</t>
  </si>
  <si>
    <t>Maximizar</t>
  </si>
  <si>
    <t>Afinar</t>
  </si>
  <si>
    <t>Decir</t>
  </si>
  <si>
    <t>Convertir</t>
  </si>
  <si>
    <t>Articular</t>
  </si>
  <si>
    <t>Arbitrar</t>
  </si>
  <si>
    <t>Dibujar</t>
  </si>
  <si>
    <t>Estimular</t>
  </si>
  <si>
    <t>Retirar</t>
  </si>
  <si>
    <t>Ratificar</t>
  </si>
  <si>
    <t>Fomentar</t>
  </si>
  <si>
    <t>Completar</t>
  </si>
  <si>
    <t>Buscar similitudes</t>
  </si>
  <si>
    <t>Argumentar</t>
  </si>
  <si>
    <t>Mejorar</t>
  </si>
  <si>
    <t>Agradecer</t>
  </si>
  <si>
    <t>Criticar</t>
  </si>
  <si>
    <t>Construir</t>
  </si>
  <si>
    <t>Considerar</t>
  </si>
  <si>
    <t>Aumentar</t>
  </si>
  <si>
    <t>Trazar</t>
  </si>
  <si>
    <t>Localizar</t>
  </si>
  <si>
    <t>Extirpar</t>
  </si>
  <si>
    <t>Manejar</t>
  </si>
  <si>
    <t>Apreciar</t>
  </si>
  <si>
    <t>Anticipar</t>
  </si>
  <si>
    <t>Discutir</t>
  </si>
  <si>
    <t>Conectar</t>
  </si>
  <si>
    <t>Cambiar</t>
  </si>
  <si>
    <t>Minimizar</t>
  </si>
  <si>
    <t>Ambicionar</t>
  </si>
  <si>
    <t>Deletrear</t>
  </si>
  <si>
    <t>Dar ejemplos</t>
  </si>
  <si>
    <t>Ubicar</t>
  </si>
  <si>
    <t>Disipar</t>
  </si>
  <si>
    <t>Guiar</t>
  </si>
  <si>
    <t>Comprender</t>
  </si>
  <si>
    <t>Proponer</t>
  </si>
  <si>
    <t>Acabar</t>
  </si>
  <si>
    <t>Ejemplificar</t>
  </si>
  <si>
    <t xml:space="preserve">Construir </t>
  </si>
  <si>
    <t>Centrarse</t>
  </si>
  <si>
    <t>Anhelar</t>
  </si>
  <si>
    <t>ProcedimientosLK</t>
  </si>
  <si>
    <t>Debatir</t>
  </si>
  <si>
    <t>Determinar</t>
  </si>
  <si>
    <t>Atar</t>
  </si>
  <si>
    <t>Encontrar</t>
  </si>
  <si>
    <t>Realizar</t>
  </si>
  <si>
    <t>Hablar</t>
  </si>
  <si>
    <t>Defender</t>
  </si>
  <si>
    <t>Terminar</t>
  </si>
  <si>
    <t xml:space="preserve">Duplicar </t>
  </si>
  <si>
    <t>Esquematizar</t>
  </si>
  <si>
    <t>Pensar</t>
  </si>
  <si>
    <t>Describir</t>
  </si>
  <si>
    <t>Cuestionar</t>
  </si>
  <si>
    <t>Computar</t>
  </si>
  <si>
    <t>Perforar</t>
  </si>
  <si>
    <t>Colocar</t>
  </si>
  <si>
    <t>Reproducir</t>
  </si>
  <si>
    <t>Emplear</t>
  </si>
  <si>
    <t>Estimar</t>
  </si>
  <si>
    <t>Proteger</t>
  </si>
  <si>
    <t>Contextualizar</t>
  </si>
  <si>
    <t>Elegir</t>
  </si>
  <si>
    <t>Explicar</t>
  </si>
  <si>
    <t>Correlacionar</t>
  </si>
  <si>
    <t>Compilar</t>
  </si>
  <si>
    <t xml:space="preserve">Planear </t>
  </si>
  <si>
    <t>Desplegar</t>
  </si>
  <si>
    <t>Discriminar</t>
  </si>
  <si>
    <t>Concluir</t>
  </si>
  <si>
    <t>Calificar</t>
  </si>
  <si>
    <t>Organizar</t>
  </si>
  <si>
    <t>Ejercitar</t>
  </si>
  <si>
    <t>Traducir</t>
  </si>
  <si>
    <t>Cooperar</t>
  </si>
  <si>
    <t>Tasar</t>
  </si>
  <si>
    <t>Escribir</t>
  </si>
  <si>
    <t>Expresar</t>
  </si>
  <si>
    <t>Descomponer</t>
  </si>
  <si>
    <t>Enseñar</t>
  </si>
  <si>
    <t>Deducir</t>
  </si>
  <si>
    <t>Censurar</t>
  </si>
  <si>
    <t>Ordenar</t>
  </si>
  <si>
    <t>Hallar</t>
  </si>
  <si>
    <t>Entregar</t>
  </si>
  <si>
    <t>Admitir</t>
  </si>
  <si>
    <t>Colaborar</t>
  </si>
  <si>
    <t>Aspirar</t>
  </si>
  <si>
    <t>Leer</t>
  </si>
  <si>
    <t>Generalizar</t>
  </si>
  <si>
    <t>Diferenciar</t>
  </si>
  <si>
    <t>Reescribir</t>
  </si>
  <si>
    <t>Asistir</t>
  </si>
  <si>
    <t>Situar</t>
  </si>
  <si>
    <t>Actuar recíprocamente</t>
  </si>
  <si>
    <t>Listar</t>
  </si>
  <si>
    <t>Ilustrar</t>
  </si>
  <si>
    <t>Distinguir</t>
  </si>
  <si>
    <t>Convencer</t>
  </si>
  <si>
    <t>Simplificar</t>
  </si>
  <si>
    <t>Duplicar</t>
  </si>
  <si>
    <t>Detectar</t>
  </si>
  <si>
    <t>Crear</t>
  </si>
  <si>
    <t>Acordar</t>
  </si>
  <si>
    <t>Bajar</t>
  </si>
  <si>
    <t>Valorar</t>
  </si>
  <si>
    <t>Obrar recíprocamente</t>
  </si>
  <si>
    <t>Discernir</t>
  </si>
  <si>
    <t>Inferir</t>
  </si>
  <si>
    <t>Dividir</t>
  </si>
  <si>
    <t>Suponer</t>
  </si>
  <si>
    <t>Atender</t>
  </si>
  <si>
    <t>Etiquetar</t>
  </si>
  <si>
    <t>Diagramar</t>
  </si>
  <si>
    <t>Decidir</t>
  </si>
  <si>
    <t>Manipular</t>
  </si>
  <si>
    <t>Reparar</t>
  </si>
  <si>
    <t>Recitar</t>
  </si>
  <si>
    <t>Creer</t>
  </si>
  <si>
    <t>Percibir</t>
  </si>
  <si>
    <t>Memorizar</t>
  </si>
  <si>
    <t xml:space="preserve">Informar </t>
  </si>
  <si>
    <t>Entrevistar</t>
  </si>
  <si>
    <t>Sustituir</t>
  </si>
  <si>
    <t>Examinar</t>
  </si>
  <si>
    <t>Emparejar</t>
  </si>
  <si>
    <t>Conformar</t>
  </si>
  <si>
    <t>Armar</t>
  </si>
  <si>
    <t>Ser partidario de</t>
  </si>
  <si>
    <t>Juzgar</t>
  </si>
  <si>
    <t>Mostrar</t>
  </si>
  <si>
    <t>Hacer uso</t>
  </si>
  <si>
    <t>Teorizar</t>
  </si>
  <si>
    <t>ProcesosAK</t>
  </si>
  <si>
    <t>Derivar</t>
  </si>
  <si>
    <t>Constrastar</t>
  </si>
  <si>
    <t>Ensamblar</t>
  </si>
  <si>
    <t>Medir</t>
  </si>
  <si>
    <t>Reemplazar</t>
  </si>
  <si>
    <t>Enumerar</t>
  </si>
  <si>
    <t>Cuidar</t>
  </si>
  <si>
    <t>Reconocer</t>
  </si>
  <si>
    <t>Nombrar</t>
  </si>
  <si>
    <t>Encuestar</t>
  </si>
  <si>
    <t>Testar</t>
  </si>
  <si>
    <t>Grabar</t>
  </si>
  <si>
    <t>Exponer</t>
  </si>
  <si>
    <t>Contabilizar</t>
  </si>
  <si>
    <t>Reunir</t>
  </si>
  <si>
    <t>Ejecutar</t>
  </si>
  <si>
    <t>Racionar</t>
  </si>
  <si>
    <t>Preguntar</t>
  </si>
  <si>
    <t>Narrar</t>
  </si>
  <si>
    <t>Observar</t>
  </si>
  <si>
    <t>Controlar</t>
  </si>
  <si>
    <t>Explorar</t>
  </si>
  <si>
    <t>Separer</t>
  </si>
  <si>
    <t>Reponer</t>
  </si>
  <si>
    <t>Interrogar</t>
  </si>
  <si>
    <t>Referir</t>
  </si>
  <si>
    <t>Servir</t>
  </si>
  <si>
    <t>Omitir</t>
  </si>
  <si>
    <t>Parafrasear</t>
  </si>
  <si>
    <t>Visualizar</t>
  </si>
  <si>
    <t>Aunar</t>
  </si>
  <si>
    <t>Estructurar</t>
  </si>
  <si>
    <t>Desempeñar</t>
  </si>
  <si>
    <t>Corregir</t>
  </si>
  <si>
    <t>Edificar</t>
  </si>
  <si>
    <t>Publicar</t>
  </si>
  <si>
    <t>Preocuparse de o por</t>
  </si>
  <si>
    <t>Cumplir</t>
  </si>
  <si>
    <t>Rastrear</t>
  </si>
  <si>
    <t>Predecir</t>
  </si>
  <si>
    <t>Encajar</t>
  </si>
  <si>
    <t>Repartir</t>
  </si>
  <si>
    <t>Asisitir</t>
  </si>
  <si>
    <t>Ejercer</t>
  </si>
  <si>
    <t>Inspeccionar</t>
  </si>
  <si>
    <t>Descubrir</t>
  </si>
  <si>
    <t>Experimentar</t>
  </si>
  <si>
    <t>Mezclar</t>
  </si>
  <si>
    <t>Seleccionar</t>
  </si>
  <si>
    <t>Relacionar</t>
  </si>
  <si>
    <t>Practicar</t>
  </si>
  <si>
    <t>Investigar</t>
  </si>
  <si>
    <t>Constatar</t>
  </si>
  <si>
    <t>AutoSistemaAK</t>
  </si>
  <si>
    <t>Mostar</t>
  </si>
  <si>
    <t>Culminar</t>
  </si>
  <si>
    <t>Preparar</t>
  </si>
  <si>
    <t>Acceder</t>
  </si>
  <si>
    <t>Porcionar</t>
  </si>
  <si>
    <t>Correr</t>
  </si>
  <si>
    <t>Escoger</t>
  </si>
  <si>
    <t>Motivar</t>
  </si>
  <si>
    <t>Compartir</t>
  </si>
  <si>
    <t>Indicar</t>
  </si>
  <si>
    <t>Inventariar</t>
  </si>
  <si>
    <t>Llevar</t>
  </si>
  <si>
    <t>Ocupar</t>
  </si>
  <si>
    <t>Relatar</t>
  </si>
  <si>
    <t>Soportar</t>
  </si>
  <si>
    <t>Revisar</t>
  </si>
  <si>
    <t>Numerar</t>
  </si>
  <si>
    <t>Convocar</t>
  </si>
  <si>
    <t>Revelar</t>
  </si>
  <si>
    <t>Repetir</t>
  </si>
  <si>
    <t>Mover</t>
  </si>
  <si>
    <t>Seguir</t>
  </si>
  <si>
    <t>Contar</t>
  </si>
  <si>
    <t>Unir</t>
  </si>
  <si>
    <t>Exteriorizar</t>
  </si>
  <si>
    <t>Simular</t>
  </si>
  <si>
    <t>Obtener</t>
  </si>
  <si>
    <t>Estudiar</t>
  </si>
  <si>
    <t>Comprobar</t>
  </si>
  <si>
    <t>Maniobrar</t>
  </si>
  <si>
    <t>Trasladar</t>
  </si>
  <si>
    <t>Informar</t>
  </si>
  <si>
    <t>Transferir</t>
  </si>
  <si>
    <t>Priorizar</t>
  </si>
  <si>
    <t>Extender</t>
  </si>
  <si>
    <t>Figurar</t>
  </si>
  <si>
    <t>Escuchar</t>
  </si>
  <si>
    <t>Probar</t>
  </si>
  <si>
    <t>Esculpir</t>
  </si>
  <si>
    <t>Anotar</t>
  </si>
  <si>
    <t>Razonar</t>
  </si>
  <si>
    <t>Hipotetizar</t>
  </si>
  <si>
    <t>Emitir</t>
  </si>
  <si>
    <t>Entallar</t>
  </si>
  <si>
    <t>Proporcionar</t>
  </si>
  <si>
    <t>Reorganizar</t>
  </si>
  <si>
    <t>Influir</t>
  </si>
  <si>
    <t>Presentar</t>
  </si>
  <si>
    <t>Operar</t>
  </si>
  <si>
    <t>Registrar</t>
  </si>
  <si>
    <t>Abrir</t>
  </si>
  <si>
    <t>Resaltar</t>
  </si>
  <si>
    <t>Innovar</t>
  </si>
  <si>
    <t>Limpiar</t>
  </si>
  <si>
    <t>Destapar</t>
  </si>
  <si>
    <t>Coser</t>
  </si>
  <si>
    <t>Contribuir</t>
  </si>
  <si>
    <t>Separar</t>
  </si>
  <si>
    <t>Justificar</t>
  </si>
  <si>
    <t>Reportar</t>
  </si>
  <si>
    <t>Patronar</t>
  </si>
  <si>
    <t>Filtrar</t>
  </si>
  <si>
    <t>Instalar</t>
  </si>
  <si>
    <t>Comenzar</t>
  </si>
  <si>
    <t>Soldar</t>
  </si>
  <si>
    <t>Provocar</t>
  </si>
  <si>
    <t>Subdividir</t>
  </si>
  <si>
    <t>Poner</t>
  </si>
  <si>
    <t>Recordar</t>
  </si>
  <si>
    <t>Recoger</t>
  </si>
  <si>
    <t>Opinar</t>
  </si>
  <si>
    <t>Introducir</t>
  </si>
  <si>
    <t>Recaudar</t>
  </si>
  <si>
    <t>Impulsar</t>
  </si>
  <si>
    <t>Originar</t>
  </si>
  <si>
    <t>Inventar</t>
  </si>
  <si>
    <t>Juntar</t>
  </si>
  <si>
    <t>Finalizar</t>
  </si>
  <si>
    <t>Ampliar</t>
  </si>
  <si>
    <t>Ensanchar</t>
  </si>
  <si>
    <t>Persuadir</t>
  </si>
  <si>
    <t>Formar</t>
  </si>
  <si>
    <t>Cotejar</t>
  </si>
  <si>
    <t>Premiar</t>
  </si>
  <si>
    <t>Repasar</t>
  </si>
  <si>
    <t>Rotular</t>
  </si>
  <si>
    <t>Empaquetar</t>
  </si>
  <si>
    <t>Balancear</t>
  </si>
  <si>
    <t>Recomendar</t>
  </si>
  <si>
    <t>Marcar</t>
  </si>
  <si>
    <t>Envasar</t>
  </si>
  <si>
    <t>Subrayar</t>
  </si>
  <si>
    <t>Pintar</t>
  </si>
  <si>
    <t>Cortar</t>
  </si>
  <si>
    <t>Recortar</t>
  </si>
  <si>
    <t>Sincronizar</t>
  </si>
  <si>
    <t>Bailar</t>
  </si>
  <si>
    <t>Perfeccionar</t>
  </si>
  <si>
    <t>Peritar</t>
  </si>
  <si>
    <t>Planificar</t>
  </si>
  <si>
    <t>Pronosticar</t>
  </si>
  <si>
    <t>Señalar</t>
  </si>
  <si>
    <t>Difundir</t>
  </si>
  <si>
    <t>Tocar</t>
  </si>
  <si>
    <t>Transmitir</t>
  </si>
  <si>
    <t>Representar</t>
  </si>
  <si>
    <t>Tapizar</t>
  </si>
  <si>
    <t>Entrenar</t>
  </si>
  <si>
    <t>Proyectar</t>
  </si>
  <si>
    <t>Sacar</t>
  </si>
  <si>
    <t>Utilizar</t>
  </si>
  <si>
    <t>Sugerir</t>
  </si>
  <si>
    <t>Imprimir</t>
  </si>
  <si>
    <t>Ponderar</t>
  </si>
  <si>
    <t>Estampar</t>
  </si>
  <si>
    <t>Mecanizar</t>
  </si>
  <si>
    <t>Industrializar</t>
  </si>
  <si>
    <t>Codificar</t>
  </si>
  <si>
    <t>Fabricar</t>
  </si>
  <si>
    <t>Vincular</t>
  </si>
  <si>
    <t>Reducir</t>
  </si>
  <si>
    <t>Mitigar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</si>
</sst>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6" x14ac:knownFonts="1">
    <font>
      <sz val="11"/>
      <color theme="1"/>
      <name val="Calibri"/>
      <family val="2"/>
      <scheme val="minor"/>
    </font>
    <font>
      <sz val="9"/>
      <color indexed="81"/>
      <name val="Tahoma"/>
      <family val="2"/>
    </font>
    <font>
      <b/>
      <sz val="9"/>
      <color indexed="81"/>
      <name val="Tahoma"/>
      <family val="2"/>
    </font>
    <font>
      <sz val="11"/>
      <color theme="1"/>
      <name val="Gill Sans MT"/>
      <family val="2"/>
    </font>
    <font>
      <sz val="11"/>
      <color rgb="FF000000"/>
      <name val="Gill Sans MT"/>
      <family val="2"/>
    </font>
    <font>
      <b/>
      <sz val="11"/>
      <color theme="0"/>
      <name val="Gill Sans MT"/>
      <family val="2"/>
    </font>
    <font>
      <sz val="11"/>
      <color theme="0"/>
      <name val="Gill Sans MT"/>
      <family val="2"/>
    </font>
    <font>
      <b/>
      <sz val="11"/>
      <name val="Gill Sans MT"/>
      <family val="2"/>
    </font>
    <font>
      <b/>
      <sz val="11"/>
      <color theme="1"/>
      <name val="Gill Sans MT"/>
      <family val="2"/>
    </font>
    <font>
      <sz val="11"/>
      <name val="Gill Sans MT"/>
      <family val="2"/>
    </font>
    <font>
      <sz val="10"/>
      <color theme="1"/>
      <name val="Gill Sans MT"/>
      <family val="2"/>
    </font>
    <font>
      <sz val="10"/>
      <color rgb="FF000000"/>
      <name val="Gill Sans MT"/>
      <family val="2"/>
    </font>
    <font>
      <sz val="10"/>
      <name val="Gill Sans MT"/>
      <family val="2"/>
    </font>
    <font>
      <sz val="10"/>
      <color rgb="FF000000"/>
      <name val="Candara"/>
      <family val="2"/>
    </font>
    <font>
      <sz val="10"/>
      <color theme="1"/>
      <name val="Candara"/>
      <family val="2"/>
    </font>
    <font>
      <sz val="11"/>
      <color rgb="FFFF0000"/>
      <name val="Gill Sans MT"/>
      <family val="2"/>
    </font>
    <font>
      <sz val="8"/>
      <color rgb="FFFFFFFF"/>
      <name val="Gill Sans MT"/>
      <family val="2"/>
    </font>
    <font>
      <b/>
      <sz val="11"/>
      <color rgb="FFFFFFFF"/>
      <name val="Gill Sans MT"/>
      <family val="2"/>
    </font>
    <font>
      <b/>
      <sz val="8"/>
      <color theme="0"/>
      <name val="Gill Sans MT"/>
      <family val="2"/>
    </font>
    <font>
      <sz val="8"/>
      <color theme="0"/>
      <name val="Gill Sans MT"/>
      <family val="2"/>
    </font>
    <font>
      <sz val="8"/>
      <color rgb="FF000000"/>
      <name val="Gill Sans MT"/>
      <family val="2"/>
    </font>
    <font>
      <sz val="8"/>
      <color theme="1"/>
      <name val="Gill Sans MT"/>
      <family val="2"/>
    </font>
    <font>
      <b/>
      <sz val="11"/>
      <color rgb="FF000000"/>
      <name val="Gill Sans MT"/>
      <family val="2"/>
    </font>
    <font>
      <sz val="8"/>
      <name val="Gill Sans MT"/>
      <family val="2"/>
    </font>
    <font>
      <b/>
      <sz val="10"/>
      <color rgb="FFFFFFFF"/>
      <name val="Gill Sans MT"/>
      <family val="2"/>
    </font>
    <font>
      <sz val="11"/>
      <color rgb="FF7030A0"/>
      <name val="Gill Sans MT"/>
      <family val="2"/>
    </font>
  </fonts>
  <fills count="10">
    <fill>
      <patternFill patternType="none"/>
    </fill>
    <fill>
      <patternFill patternType="gray125"/>
    </fill>
    <fill>
      <patternFill patternType="solid">
        <fgColor rgb="FF0F385A"/>
        <bgColor indexed="64"/>
      </patternFill>
    </fill>
    <fill>
      <patternFill patternType="solid">
        <fgColor rgb="FF1FB2DE"/>
        <bgColor indexed="64"/>
      </patternFill>
    </fill>
    <fill>
      <patternFill patternType="solid">
        <fgColor theme="4"/>
        <bgColor indexed="64"/>
      </patternFill>
    </fill>
    <fill>
      <patternFill patternType="solid">
        <fgColor theme="4" tint="0.79998168889431442"/>
        <bgColor theme="4" tint="0.79998168889431442"/>
      </patternFill>
    </fill>
    <fill>
      <patternFill patternType="solid">
        <fgColor rgb="FF0F385A"/>
        <bgColor rgb="FF000000"/>
      </patternFill>
    </fill>
    <fill>
      <patternFill patternType="solid">
        <fgColor theme="7" tint="0.79998168889431442"/>
        <bgColor indexed="64"/>
      </patternFill>
    </fill>
    <fill>
      <patternFill patternType="solid">
        <fgColor rgb="FFDDEBF7"/>
        <bgColor rgb="FF000000"/>
      </patternFill>
    </fill>
    <fill>
      <patternFill patternType="solid">
        <fgColor rgb="FF1FB2DE"/>
        <bgColor rgb="FF000000"/>
      </patternFill>
    </fill>
  </fills>
  <borders count="14">
    <border>
      <left/>
      <right/>
      <top/>
      <bottom/>
      <diagonal/>
    </border>
    <border>
      <left style="thin">
        <color auto="1"/>
      </left>
      <right style="thin">
        <color auto="1"/>
      </right>
      <top style="thin">
        <color auto="1"/>
      </top>
      <bottom style="thin">
        <color auto="1"/>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right/>
      <top style="medium">
        <color indexed="64"/>
      </top>
      <bottom style="medium">
        <color indexed="64"/>
      </bottom>
      <diagonal/>
    </border>
    <border>
      <left/>
      <right/>
      <top style="medium">
        <color indexed="64"/>
      </top>
      <bottom/>
      <diagonal/>
    </border>
    <border>
      <left/>
      <right/>
      <top style="thin">
        <color auto="1"/>
      </top>
      <bottom/>
      <diagonal/>
    </border>
    <border>
      <left/>
      <right/>
      <top/>
      <bottom style="medium">
        <color indexed="64"/>
      </bottom>
      <diagonal/>
    </border>
    <border>
      <left/>
      <right/>
      <top/>
      <bottom style="medium">
        <color rgb="FF000000"/>
      </bottom>
      <diagonal/>
    </border>
    <border>
      <left style="thin">
        <color rgb="FF1FB2DE"/>
      </left>
      <right style="thin">
        <color rgb="FF1FB2DE"/>
      </right>
      <top/>
      <bottom style="thin">
        <color rgb="FF1FB2DE"/>
      </bottom>
      <diagonal/>
    </border>
    <border>
      <left style="thin">
        <color auto="1"/>
      </left>
      <right style="thin">
        <color auto="1"/>
      </right>
      <top/>
      <bottom style="thin">
        <color auto="1"/>
      </bottom>
      <diagonal/>
    </border>
    <border>
      <left style="thin">
        <color rgb="FF1FB2DE"/>
      </left>
      <right/>
      <top/>
      <bottom style="thin">
        <color indexed="64"/>
      </bottom>
      <diagonal/>
    </border>
    <border>
      <left/>
      <right/>
      <top/>
      <bottom style="thin">
        <color indexed="64"/>
      </bottom>
      <diagonal/>
    </border>
    <border>
      <left/>
      <right/>
      <top style="medium">
        <color rgb="FF000000"/>
      </top>
      <bottom/>
      <diagonal/>
    </border>
  </borders>
  <cellStyleXfs count="1">
    <xf numFmtId="0" fontId="0" fillId="0" borderId="0"/>
  </cellStyleXfs>
  <cellXfs count="165">
    <xf numFmtId="0" fontId="0" fillId="0" borderId="0" xfId="0"/>
    <xf numFmtId="0" fontId="3" fillId="0" borderId="0" xfId="0" applyFont="1"/>
    <xf numFmtId="0" fontId="4" fillId="0" borderId="0" xfId="0" applyFont="1" applyAlignment="1">
      <alignment vertical="center"/>
    </xf>
    <xf numFmtId="0" fontId="6" fillId="0" borderId="0" xfId="0" applyFont="1" applyAlignment="1">
      <alignment horizontal="center" vertical="center"/>
    </xf>
    <xf numFmtId="0" fontId="6" fillId="0" borderId="0" xfId="0" applyFont="1" applyAlignment="1">
      <alignment vertical="center"/>
    </xf>
    <xf numFmtId="0" fontId="4" fillId="5" borderId="2" xfId="0" applyFont="1" applyFill="1" applyBorder="1" applyAlignment="1">
      <alignment vertical="center"/>
    </xf>
    <xf numFmtId="0" fontId="4" fillId="0" borderId="2" xfId="0" applyFont="1" applyBorder="1" applyAlignment="1">
      <alignment vertical="center"/>
    </xf>
    <xf numFmtId="0" fontId="3" fillId="5" borderId="2" xfId="0" applyFont="1" applyFill="1" applyBorder="1"/>
    <xf numFmtId="0" fontId="3" fillId="0" borderId="2" xfId="0" applyFont="1" applyBorder="1"/>
    <xf numFmtId="0" fontId="3" fillId="5" borderId="3" xfId="0" applyFont="1" applyFill="1" applyBorder="1"/>
    <xf numFmtId="0" fontId="4" fillId="5" borderId="3" xfId="0" applyFont="1" applyFill="1" applyBorder="1" applyAlignment="1">
      <alignment vertical="center"/>
    </xf>
    <xf numFmtId="0" fontId="3" fillId="0" borderId="3" xfId="0" applyFont="1" applyBorder="1"/>
    <xf numFmtId="0" fontId="3" fillId="0" borderId="0" xfId="0" applyFont="1" applyAlignment="1">
      <alignment vertical="center"/>
    </xf>
    <xf numFmtId="0" fontId="4" fillId="0" borderId="0" xfId="0" applyFont="1" applyAlignment="1">
      <alignment horizontal="center" vertical="center"/>
    </xf>
    <xf numFmtId="0" fontId="3" fillId="0" borderId="0" xfId="0" applyFont="1" applyAlignment="1">
      <alignment horizontal="center"/>
    </xf>
    <xf numFmtId="0" fontId="16" fillId="6" borderId="1" xfId="0" applyFont="1" applyFill="1" applyBorder="1" applyAlignment="1">
      <alignment horizontal="center" vertical="center" wrapText="1"/>
    </xf>
    <xf numFmtId="0" fontId="3" fillId="0" borderId="0" xfId="0" applyFont="1" applyAlignment="1">
      <alignment horizontal="left" vertical="center" wrapText="1"/>
    </xf>
    <xf numFmtId="0" fontId="3" fillId="0" borderId="6" xfId="0" applyFont="1" applyBorder="1" applyAlignment="1">
      <alignment vertical="center" wrapText="1"/>
    </xf>
    <xf numFmtId="0" fontId="16" fillId="6" borderId="0" xfId="0" applyFont="1" applyFill="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vertical="center" wrapText="1"/>
    </xf>
    <xf numFmtId="0" fontId="3" fillId="0" borderId="0" xfId="0" applyFont="1" applyAlignment="1">
      <alignment vertical="center" wrapText="1"/>
    </xf>
    <xf numFmtId="0" fontId="4" fillId="0" borderId="0" xfId="0" applyFont="1" applyAlignment="1">
      <alignment horizontal="left" vertical="center" wrapText="1"/>
    </xf>
    <xf numFmtId="0" fontId="3" fillId="0" borderId="0" xfId="0" applyFont="1" applyAlignment="1">
      <alignment wrapText="1"/>
    </xf>
    <xf numFmtId="0" fontId="3" fillId="0" borderId="0" xfId="0" applyFont="1" applyAlignment="1">
      <alignment horizontal="left" vertical="center"/>
    </xf>
    <xf numFmtId="0" fontId="3" fillId="0" borderId="7" xfId="0" applyFont="1" applyBorder="1" applyAlignment="1">
      <alignment horizontal="center" vertical="center" wrapText="1"/>
    </xf>
    <xf numFmtId="0" fontId="3" fillId="0" borderId="7" xfId="0" applyFont="1" applyBorder="1" applyAlignment="1">
      <alignment horizontal="left" vertical="center" wrapText="1"/>
    </xf>
    <xf numFmtId="0" fontId="3" fillId="0" borderId="5" xfId="0" applyFont="1" applyBorder="1" applyAlignment="1">
      <alignment horizontal="left" vertical="center" wrapText="1"/>
    </xf>
    <xf numFmtId="0" fontId="20" fillId="8"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19" fillId="2" borderId="1" xfId="0" applyFont="1" applyFill="1" applyBorder="1" applyAlignment="1">
      <alignment horizontal="center" vertical="center" wrapText="1"/>
    </xf>
    <xf numFmtId="0" fontId="21" fillId="0" borderId="0" xfId="0" applyFont="1" applyAlignment="1">
      <alignment horizontal="center" vertical="center" wrapText="1"/>
    </xf>
    <xf numFmtId="0" fontId="22" fillId="8" borderId="1" xfId="0" applyFont="1" applyFill="1" applyBorder="1" applyAlignment="1">
      <alignment horizontal="center" vertical="center" wrapText="1"/>
    </xf>
    <xf numFmtId="0" fontId="22" fillId="9"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0" borderId="0" xfId="0" applyFont="1" applyAlignment="1">
      <alignment horizontal="center" vertical="center" wrapText="1"/>
    </xf>
    <xf numFmtId="0" fontId="8" fillId="0" borderId="0" xfId="0" applyFont="1" applyAlignment="1">
      <alignment vertical="center" wrapText="1"/>
    </xf>
    <xf numFmtId="0" fontId="17" fillId="6" borderId="1" xfId="0" applyFont="1" applyFill="1" applyBorder="1" applyAlignment="1">
      <alignment horizontal="center" vertical="center" wrapText="1"/>
    </xf>
    <xf numFmtId="0" fontId="20" fillId="9" borderId="0" xfId="0" applyFont="1" applyFill="1" applyAlignment="1">
      <alignment horizontal="center" vertical="center" wrapText="1"/>
    </xf>
    <xf numFmtId="0" fontId="23" fillId="9" borderId="0" xfId="0" applyFont="1" applyFill="1" applyAlignment="1">
      <alignment horizontal="center" vertical="center" wrapText="1"/>
    </xf>
    <xf numFmtId="0" fontId="21" fillId="0" borderId="0" xfId="0" applyFont="1" applyAlignment="1">
      <alignment horizontal="left" vertical="center" wrapText="1"/>
    </xf>
    <xf numFmtId="0" fontId="17" fillId="6" borderId="0" xfId="0" applyFont="1" applyFill="1" applyAlignment="1">
      <alignment horizontal="center" vertical="center" wrapText="1"/>
    </xf>
    <xf numFmtId="0" fontId="22" fillId="9" borderId="0" xfId="0" applyFont="1" applyFill="1" applyAlignment="1">
      <alignment horizontal="center" vertical="center" wrapText="1"/>
    </xf>
    <xf numFmtId="0" fontId="7" fillId="9" borderId="0" xfId="0" applyFont="1" applyFill="1" applyAlignment="1">
      <alignment horizontal="center" vertical="center" wrapText="1"/>
    </xf>
    <xf numFmtId="0" fontId="8" fillId="0" borderId="0" xfId="0" applyFont="1" applyAlignment="1">
      <alignment horizontal="left" vertical="center" wrapText="1"/>
    </xf>
    <xf numFmtId="0" fontId="4" fillId="0" borderId="0" xfId="0" applyFont="1" applyAlignment="1">
      <alignment horizontal="center" vertical="center" wrapText="1"/>
    </xf>
    <xf numFmtId="0" fontId="0" fillId="0" borderId="0" xfId="0" applyAlignment="1">
      <alignment horizontal="left" vertical="center"/>
    </xf>
    <xf numFmtId="0" fontId="3" fillId="0" borderId="7" xfId="0" applyFont="1" applyBorder="1" applyAlignment="1">
      <alignment vertical="center" wrapText="1"/>
    </xf>
    <xf numFmtId="0" fontId="3" fillId="0" borderId="7" xfId="0" applyFont="1" applyBorder="1" applyAlignment="1">
      <alignment vertical="center"/>
    </xf>
    <xf numFmtId="0" fontId="4" fillId="0" borderId="7"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9" fillId="0" borderId="5" xfId="0" applyFont="1" applyBorder="1" applyAlignment="1">
      <alignment vertical="center" wrapText="1"/>
    </xf>
    <xf numFmtId="0" fontId="3" fillId="0" borderId="5" xfId="0" applyFont="1" applyBorder="1" applyAlignment="1">
      <alignment vertical="center" wrapText="1"/>
    </xf>
    <xf numFmtId="0" fontId="3" fillId="0" borderId="5" xfId="0" applyFont="1" applyBorder="1" applyAlignment="1">
      <alignment horizontal="center" vertical="center" wrapText="1"/>
    </xf>
    <xf numFmtId="0" fontId="3" fillId="0" borderId="0" xfId="0" applyFont="1" applyAlignment="1">
      <alignment horizontal="center" vertical="center"/>
    </xf>
    <xf numFmtId="0" fontId="10" fillId="0" borderId="0" xfId="0" applyFont="1" applyAlignment="1">
      <alignment horizontal="center" vertical="center"/>
    </xf>
    <xf numFmtId="0" fontId="10" fillId="0" borderId="0" xfId="0" applyFont="1" applyAlignment="1">
      <alignment horizontal="center" vertical="center" wrapText="1"/>
    </xf>
    <xf numFmtId="0" fontId="10" fillId="0" borderId="0" xfId="0" applyFont="1" applyAlignment="1" applyProtection="1">
      <alignment horizontal="left" vertical="center" wrapText="1"/>
      <protection locked="0"/>
    </xf>
    <xf numFmtId="0" fontId="10" fillId="0" borderId="0" xfId="0" applyFont="1" applyAlignment="1" applyProtection="1">
      <alignment horizontal="center" vertical="center" wrapText="1"/>
      <protection locked="0"/>
    </xf>
    <xf numFmtId="0" fontId="11" fillId="0" borderId="0" xfId="0" applyFont="1" applyAlignment="1">
      <alignment horizontal="center" vertical="center" wrapText="1"/>
    </xf>
    <xf numFmtId="0" fontId="11"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0" fillId="0" borderId="0" xfId="0" applyFont="1" applyAlignment="1" applyProtection="1">
      <alignment horizontal="left" vertical="center"/>
      <protection locked="0"/>
    </xf>
    <xf numFmtId="0" fontId="14" fillId="0" borderId="0" xfId="0" applyFont="1" applyAlignment="1">
      <alignment horizontal="left" vertical="center" wrapText="1"/>
    </xf>
    <xf numFmtId="0" fontId="14" fillId="0" borderId="0" xfId="0" applyFont="1" applyAlignment="1">
      <alignment horizontal="center" vertical="center" wrapText="1"/>
    </xf>
    <xf numFmtId="0" fontId="12" fillId="0" borderId="0" xfId="0" applyFont="1" applyAlignment="1">
      <alignment horizontal="left" vertical="center" wrapText="1"/>
    </xf>
    <xf numFmtId="0" fontId="10" fillId="0" borderId="0" xfId="0" applyFont="1" applyAlignment="1">
      <alignment horizontal="left" vertical="center"/>
    </xf>
    <xf numFmtId="0" fontId="11" fillId="0" borderId="0" xfId="0" applyFont="1" applyAlignment="1" applyProtection="1">
      <alignment horizontal="left" vertical="center" wrapText="1"/>
      <protection locked="0"/>
    </xf>
    <xf numFmtId="0" fontId="4" fillId="0" borderId="0" xfId="0" applyFont="1"/>
    <xf numFmtId="0" fontId="3" fillId="0" borderId="0" xfId="0" applyFont="1" applyAlignment="1" applyProtection="1">
      <alignment horizontal="left" vertical="center" wrapText="1"/>
      <protection locked="0"/>
    </xf>
    <xf numFmtId="0" fontId="3" fillId="0" borderId="0" xfId="0" applyFont="1" applyAlignment="1" applyProtection="1">
      <alignment horizontal="center" vertical="center" wrapText="1"/>
      <protection locked="0"/>
    </xf>
    <xf numFmtId="0" fontId="4" fillId="0" borderId="0" xfId="0" applyFont="1" applyAlignment="1" applyProtection="1">
      <alignment horizontal="left" vertical="center" wrapText="1"/>
      <protection locked="0"/>
    </xf>
    <xf numFmtId="0" fontId="3" fillId="0" borderId="0" xfId="0" applyFont="1" applyAlignment="1" applyProtection="1">
      <alignment horizontal="left" vertical="center"/>
      <protection locked="0"/>
    </xf>
    <xf numFmtId="0" fontId="3" fillId="7" borderId="5" xfId="0" applyFont="1" applyFill="1" applyBorder="1" applyAlignment="1">
      <alignment horizontal="left" vertical="center" wrapText="1"/>
    </xf>
    <xf numFmtId="0" fontId="3" fillId="7" borderId="5" xfId="0" applyFont="1" applyFill="1" applyBorder="1" applyAlignment="1">
      <alignment horizontal="center" vertical="center" wrapText="1"/>
    </xf>
    <xf numFmtId="0" fontId="4" fillId="7" borderId="5" xfId="0" applyFont="1" applyFill="1" applyBorder="1" applyAlignment="1">
      <alignment horizontal="center" vertical="center" wrapText="1"/>
    </xf>
    <xf numFmtId="0" fontId="4" fillId="7" borderId="5" xfId="0" applyFont="1" applyFill="1" applyBorder="1" applyAlignment="1">
      <alignment horizontal="left" vertical="center" wrapText="1"/>
    </xf>
    <xf numFmtId="0" fontId="3" fillId="7" borderId="5" xfId="0" applyFont="1" applyFill="1" applyBorder="1" applyAlignment="1">
      <alignment horizontal="center" vertical="center"/>
    </xf>
    <xf numFmtId="0" fontId="4" fillId="7" borderId="5" xfId="0" applyFont="1" applyFill="1" applyBorder="1" applyAlignment="1" applyProtection="1">
      <alignment horizontal="left" vertical="center" wrapText="1"/>
      <protection locked="0"/>
    </xf>
    <xf numFmtId="0" fontId="3" fillId="7" borderId="4" xfId="0" applyFont="1" applyFill="1" applyBorder="1" applyAlignment="1">
      <alignment horizontal="left" vertical="center" wrapText="1"/>
    </xf>
    <xf numFmtId="0" fontId="4" fillId="7" borderId="4" xfId="0" applyFont="1" applyFill="1" applyBorder="1" applyAlignment="1">
      <alignment horizontal="left" vertical="center" wrapText="1"/>
    </xf>
    <xf numFmtId="0" fontId="4" fillId="7" borderId="4" xfId="0" applyFont="1" applyFill="1" applyBorder="1" applyAlignment="1">
      <alignment vertical="center" wrapText="1"/>
    </xf>
    <xf numFmtId="0" fontId="24" fillId="6" borderId="9" xfId="0" applyFont="1" applyFill="1" applyBorder="1" applyAlignment="1">
      <alignment horizontal="center" vertical="center" wrapText="1"/>
    </xf>
    <xf numFmtId="0" fontId="24" fillId="6" borderId="10" xfId="0" applyFont="1" applyFill="1" applyBorder="1" applyAlignment="1">
      <alignment horizontal="center" vertical="center" wrapText="1"/>
    </xf>
    <xf numFmtId="0" fontId="23" fillId="0" borderId="0" xfId="0" applyFont="1" applyAlignment="1">
      <alignment horizontal="center" vertical="center" wrapText="1"/>
    </xf>
    <xf numFmtId="0" fontId="24" fillId="6" borderId="1" xfId="0" applyFont="1" applyFill="1" applyBorder="1" applyAlignment="1">
      <alignment horizontal="center" vertical="center" wrapText="1"/>
    </xf>
    <xf numFmtId="0" fontId="3" fillId="7" borderId="7" xfId="0" applyFont="1" applyFill="1" applyBorder="1" applyAlignment="1">
      <alignment horizontal="left" vertical="center"/>
    </xf>
    <xf numFmtId="0" fontId="15" fillId="0" borderId="0" xfId="0" applyFont="1" applyAlignment="1">
      <alignment vertical="center" wrapText="1"/>
    </xf>
    <xf numFmtId="0" fontId="3" fillId="0" borderId="8" xfId="0" applyFont="1" applyBorder="1" applyAlignment="1">
      <alignment vertical="center" wrapText="1"/>
    </xf>
    <xf numFmtId="0" fontId="3" fillId="7" borderId="4" xfId="0" applyFont="1" applyFill="1" applyBorder="1" applyAlignment="1">
      <alignment horizontal="center" vertical="center" wrapText="1"/>
    </xf>
    <xf numFmtId="0" fontId="4" fillId="7" borderId="4" xfId="0" applyFont="1" applyFill="1" applyBorder="1" applyAlignment="1">
      <alignment horizontal="center" vertical="center" wrapText="1"/>
    </xf>
    <xf numFmtId="0" fontId="3" fillId="0" borderId="7" xfId="0" applyFont="1" applyBorder="1" applyAlignment="1">
      <alignment horizontal="left" vertical="center"/>
    </xf>
    <xf numFmtId="0" fontId="3" fillId="7" borderId="7" xfId="0" applyFont="1" applyFill="1" applyBorder="1" applyAlignment="1">
      <alignment horizontal="left" vertical="center" wrapText="1"/>
    </xf>
    <xf numFmtId="0" fontId="18" fillId="2" borderId="1"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3" fillId="7" borderId="0" xfId="0" applyFont="1" applyFill="1" applyAlignment="1">
      <alignment horizontal="center" vertical="center" wrapText="1"/>
    </xf>
    <xf numFmtId="0" fontId="4" fillId="7" borderId="0" xfId="0" applyFont="1" applyFill="1" applyAlignment="1">
      <alignment horizontal="center" vertical="center" wrapText="1"/>
    </xf>
    <xf numFmtId="0" fontId="3" fillId="7" borderId="0" xfId="0" applyFont="1" applyFill="1" applyAlignment="1">
      <alignment horizontal="left" vertical="center" wrapText="1"/>
    </xf>
    <xf numFmtId="49" fontId="3" fillId="7" borderId="0" xfId="0" applyNumberFormat="1" applyFont="1" applyFill="1" applyAlignment="1">
      <alignment horizontal="left" vertical="center" wrapText="1"/>
    </xf>
    <xf numFmtId="0" fontId="4" fillId="7" borderId="7" xfId="0" applyFont="1" applyFill="1" applyBorder="1" applyAlignment="1">
      <alignment horizontal="left" vertical="center" wrapText="1"/>
    </xf>
    <xf numFmtId="0" fontId="9" fillId="0" borderId="7" xfId="0" applyFont="1" applyBorder="1" applyAlignment="1">
      <alignment horizontal="center" vertical="center" wrapText="1"/>
    </xf>
    <xf numFmtId="0" fontId="4" fillId="0" borderId="7" xfId="0" applyFont="1" applyBorder="1" applyAlignment="1">
      <alignment vertical="center"/>
    </xf>
    <xf numFmtId="0" fontId="9" fillId="0" borderId="6" xfId="0" applyFont="1" applyBorder="1" applyAlignment="1">
      <alignment vertical="center" wrapText="1"/>
    </xf>
    <xf numFmtId="0" fontId="9" fillId="0" borderId="0" xfId="0" applyFont="1" applyAlignment="1">
      <alignment horizontal="left" vertical="center" wrapText="1"/>
    </xf>
    <xf numFmtId="0" fontId="9" fillId="0" borderId="0" xfId="0" applyFont="1" applyAlignment="1">
      <alignment horizontal="center" vertical="center"/>
    </xf>
    <xf numFmtId="0" fontId="9" fillId="0" borderId="7" xfId="0" applyFont="1" applyBorder="1" applyAlignment="1">
      <alignment horizontal="left" vertical="center" wrapText="1"/>
    </xf>
    <xf numFmtId="0" fontId="19" fillId="6" borderId="1" xfId="0" applyFont="1" applyFill="1" applyBorder="1" applyAlignment="1">
      <alignment horizontal="center" vertical="center" wrapText="1"/>
    </xf>
    <xf numFmtId="0" fontId="3" fillId="0" borderId="6" xfId="0" applyFont="1" applyBorder="1" applyAlignment="1">
      <alignment horizontal="center" vertical="center" wrapText="1"/>
    </xf>
    <xf numFmtId="0" fontId="3" fillId="0" borderId="6" xfId="0" applyFont="1" applyBorder="1" applyAlignment="1">
      <alignment vertical="center"/>
    </xf>
    <xf numFmtId="0" fontId="3" fillId="0" borderId="6" xfId="0" applyFont="1" applyBorder="1" applyAlignment="1">
      <alignment horizontal="left" vertical="center" wrapText="1"/>
    </xf>
    <xf numFmtId="0" fontId="3" fillId="0" borderId="5" xfId="0" applyFont="1" applyBorder="1" applyAlignment="1">
      <alignment vertical="center"/>
    </xf>
    <xf numFmtId="0" fontId="4" fillId="0" borderId="5" xfId="0" applyFont="1" applyBorder="1" applyAlignment="1">
      <alignment vertical="center" wrapText="1"/>
    </xf>
    <xf numFmtId="0" fontId="3" fillId="7" borderId="0" xfId="0" applyFont="1" applyFill="1" applyAlignment="1" applyProtection="1">
      <alignment horizontal="center" vertical="center" wrapText="1"/>
      <protection locked="0"/>
    </xf>
    <xf numFmtId="0" fontId="4" fillId="7" borderId="0" xfId="0" applyFont="1" applyFill="1" applyAlignment="1">
      <alignment vertical="center" wrapText="1"/>
    </xf>
    <xf numFmtId="0" fontId="4" fillId="7" borderId="7" xfId="0" applyFont="1" applyFill="1" applyBorder="1" applyAlignment="1">
      <alignment vertical="center" wrapText="1"/>
    </xf>
    <xf numFmtId="0" fontId="9" fillId="0" borderId="0" xfId="0" applyFont="1" applyAlignment="1">
      <alignment horizontal="left" vertical="center" wrapText="1"/>
    </xf>
    <xf numFmtId="0" fontId="3" fillId="0" borderId="0" xfId="0" applyFont="1" applyAlignment="1">
      <alignment horizontal="left" vertical="center" wrapText="1"/>
    </xf>
    <xf numFmtId="0" fontId="18" fillId="2" borderId="1" xfId="0" applyFont="1" applyFill="1" applyBorder="1" applyAlignment="1">
      <alignment horizontal="center" vertical="center" wrapText="1"/>
    </xf>
    <xf numFmtId="0" fontId="3" fillId="0" borderId="0" xfId="0" applyFont="1" applyAlignment="1">
      <alignment horizontal="center" vertical="center" wrapText="1"/>
    </xf>
    <xf numFmtId="0" fontId="17" fillId="6" borderId="11" xfId="0" applyFont="1" applyFill="1" applyBorder="1" applyAlignment="1">
      <alignment horizontal="center" vertical="center" wrapText="1"/>
    </xf>
    <xf numFmtId="0" fontId="17" fillId="6" borderId="12" xfId="0" applyFont="1" applyFill="1" applyBorder="1" applyAlignment="1">
      <alignment horizontal="center" vertical="center" wrapText="1"/>
    </xf>
    <xf numFmtId="0" fontId="9" fillId="0" borderId="13" xfId="0" applyFont="1" applyBorder="1" applyAlignment="1">
      <alignment horizontal="left" vertical="center" wrapText="1"/>
    </xf>
    <xf numFmtId="0" fontId="9" fillId="0" borderId="7" xfId="0" applyFont="1" applyBorder="1" applyAlignment="1">
      <alignment horizontal="left" vertical="center" wrapText="1"/>
    </xf>
    <xf numFmtId="0" fontId="9" fillId="0" borderId="5" xfId="0" applyFont="1" applyBorder="1" applyAlignment="1">
      <alignment horizontal="left" vertical="center" wrapText="1"/>
    </xf>
    <xf numFmtId="0" fontId="3" fillId="0" borderId="5" xfId="0" applyFont="1" applyBorder="1" applyAlignment="1">
      <alignment horizontal="center" vertical="center"/>
    </xf>
    <xf numFmtId="0" fontId="3" fillId="0" borderId="0" xfId="0" applyFont="1" applyAlignment="1">
      <alignment horizontal="center" vertical="center"/>
    </xf>
    <xf numFmtId="0" fontId="3" fillId="0" borderId="7" xfId="0" applyFont="1" applyBorder="1" applyAlignment="1">
      <alignment horizontal="center" vertical="center"/>
    </xf>
    <xf numFmtId="0" fontId="3" fillId="0" borderId="5" xfId="0" applyFont="1" applyBorder="1" applyAlignment="1">
      <alignment horizontal="left" vertical="center" wrapText="1"/>
    </xf>
    <xf numFmtId="0" fontId="3" fillId="0" borderId="7" xfId="0" applyFont="1" applyBorder="1" applyAlignment="1">
      <alignment horizontal="left" vertical="center" wrapText="1"/>
    </xf>
    <xf numFmtId="0" fontId="3" fillId="0" borderId="13" xfId="0" applyFont="1" applyBorder="1" applyAlignment="1">
      <alignment horizontal="center" vertical="center"/>
    </xf>
    <xf numFmtId="0" fontId="3" fillId="0" borderId="13" xfId="0" applyFont="1" applyBorder="1" applyAlignment="1">
      <alignment horizontal="left" vertical="center" wrapText="1"/>
    </xf>
    <xf numFmtId="0" fontId="9" fillId="0" borderId="13" xfId="0" applyFont="1" applyBorder="1" applyAlignment="1">
      <alignment horizontal="center" vertical="center"/>
    </xf>
    <xf numFmtId="0" fontId="9" fillId="0" borderId="0" xfId="0" applyFont="1" applyAlignment="1">
      <alignment horizontal="center" vertical="center"/>
    </xf>
    <xf numFmtId="0" fontId="9" fillId="0" borderId="8" xfId="0" applyFont="1" applyBorder="1" applyAlignment="1">
      <alignment horizontal="center" vertical="center"/>
    </xf>
    <xf numFmtId="0" fontId="9" fillId="0" borderId="8" xfId="0" applyFont="1" applyBorder="1" applyAlignment="1">
      <alignment horizontal="left" vertical="center" wrapText="1"/>
    </xf>
    <xf numFmtId="0" fontId="9" fillId="0" borderId="5" xfId="0" applyFont="1" applyBorder="1" applyAlignment="1">
      <alignment horizontal="center" vertical="center" wrapText="1"/>
    </xf>
    <xf numFmtId="0" fontId="9" fillId="0" borderId="0" xfId="0" applyFont="1" applyAlignment="1">
      <alignment horizontal="center" vertical="center" wrapText="1"/>
    </xf>
    <xf numFmtId="0" fontId="9" fillId="0" borderId="7" xfId="0" applyFont="1" applyBorder="1" applyAlignment="1">
      <alignment horizontal="center" vertical="center" wrapText="1"/>
    </xf>
    <xf numFmtId="0" fontId="9" fillId="0" borderId="5" xfId="0" applyFont="1" applyBorder="1" applyAlignment="1">
      <alignment vertical="center" wrapText="1"/>
    </xf>
    <xf numFmtId="0" fontId="9" fillId="0" borderId="0" xfId="0" applyFont="1" applyAlignment="1">
      <alignment vertical="center" wrapText="1"/>
    </xf>
    <xf numFmtId="0" fontId="9" fillId="0" borderId="7" xfId="0" applyFont="1" applyBorder="1" applyAlignment="1">
      <alignment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9" fillId="0" borderId="5" xfId="0" applyFont="1" applyBorder="1" applyAlignment="1" applyProtection="1">
      <alignment horizontal="left" vertical="center" wrapText="1"/>
      <protection locked="0"/>
    </xf>
    <xf numFmtId="0" fontId="9" fillId="0" borderId="0" xfId="0" applyFont="1" applyAlignment="1" applyProtection="1">
      <alignment horizontal="left" vertical="center" wrapText="1"/>
      <protection locked="0"/>
    </xf>
    <xf numFmtId="0" fontId="9" fillId="0" borderId="7" xfId="0" applyFont="1" applyBorder="1" applyAlignment="1" applyProtection="1">
      <alignment horizontal="left" vertical="center" wrapText="1"/>
      <protection locked="0"/>
    </xf>
    <xf numFmtId="0" fontId="9" fillId="0" borderId="5" xfId="0" applyFont="1" applyBorder="1" applyAlignment="1">
      <alignment horizontal="center" vertical="center"/>
    </xf>
    <xf numFmtId="0" fontId="9" fillId="0" borderId="7" xfId="0" applyFont="1" applyBorder="1" applyAlignment="1">
      <alignment horizontal="center" vertical="center"/>
    </xf>
    <xf numFmtId="0" fontId="3" fillId="0" borderId="5" xfId="0" applyFont="1" applyBorder="1" applyAlignment="1" applyProtection="1">
      <alignment horizontal="left" vertical="center" wrapText="1"/>
      <protection locked="0"/>
    </xf>
    <xf numFmtId="0" fontId="3" fillId="0" borderId="0" xfId="0" applyFont="1" applyAlignment="1" applyProtection="1">
      <alignment horizontal="left" vertical="center" wrapText="1"/>
      <protection locked="0"/>
    </xf>
    <xf numFmtId="0" fontId="3" fillId="0" borderId="7" xfId="0" applyFont="1" applyBorder="1" applyAlignment="1" applyProtection="1">
      <alignment horizontal="left" vertical="center" wrapText="1"/>
      <protection locked="0"/>
    </xf>
    <xf numFmtId="0" fontId="16" fillId="6" borderId="1" xfId="0" applyFont="1" applyFill="1" applyBorder="1" applyAlignment="1">
      <alignment horizontal="center" vertical="center" wrapText="1"/>
    </xf>
    <xf numFmtId="0" fontId="4" fillId="0" borderId="5" xfId="0" applyFont="1" applyBorder="1" applyAlignment="1" applyProtection="1">
      <alignment horizontal="left" vertical="center" wrapText="1"/>
      <protection locked="0"/>
    </xf>
    <xf numFmtId="0" fontId="4" fillId="0" borderId="0" xfId="0" applyFont="1" applyAlignment="1" applyProtection="1">
      <alignment horizontal="left" vertical="center" wrapText="1"/>
      <protection locked="0"/>
    </xf>
    <xf numFmtId="0" fontId="9" fillId="0" borderId="8" xfId="0" applyFont="1" applyBorder="1" applyAlignment="1" applyProtection="1">
      <alignment horizontal="left" vertical="center" wrapText="1"/>
      <protection locked="0"/>
    </xf>
    <xf numFmtId="0" fontId="3" fillId="0" borderId="8" xfId="0" applyFont="1" applyBorder="1" applyAlignment="1">
      <alignment horizontal="center" vertical="center" wrapText="1"/>
    </xf>
    <xf numFmtId="0" fontId="3" fillId="0" borderId="8" xfId="0" applyFont="1" applyBorder="1" applyAlignment="1" applyProtection="1">
      <alignment horizontal="left" vertical="center" wrapText="1"/>
      <protection locked="0"/>
    </xf>
    <xf numFmtId="0" fontId="25" fillId="0" borderId="0" xfId="0" applyFont="1" applyAlignment="1" applyProtection="1">
      <alignment horizontal="left" vertical="center" wrapText="1"/>
      <protection locked="0"/>
    </xf>
    <xf numFmtId="0" fontId="3" fillId="0" borderId="0" xfId="0" applyFont="1" applyAlignment="1">
      <alignment horizontal="center"/>
    </xf>
    <xf numFmtId="0" fontId="5" fillId="4" borderId="1" xfId="0" applyFont="1" applyFill="1" applyBorder="1" applyAlignment="1">
      <alignment horizontal="center"/>
    </xf>
    <xf numFmtId="0" fontId="4" fillId="0" borderId="0" xfId="0" applyFont="1" applyAlignment="1">
      <alignment horizontal="center" vertical="center"/>
    </xf>
  </cellXfs>
  <cellStyles count="1">
    <cellStyle name="Normal" xfId="0" builtinId="0"/>
  </cellStyles>
  <dxfs count="152">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Gill Sans MT"/>
        <family val="2"/>
        <scheme val="none"/>
      </font>
      <fill>
        <patternFill patternType="solid">
          <fgColor theme="4" tint="0.79998168889431442"/>
          <bgColor theme="4" tint="0.79998168889431442"/>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border diagonalUp="0" diagonalDown="0">
        <left style="thin">
          <color theme="4" tint="0.39997558519241921"/>
        </left>
        <right style="thin">
          <color theme="4" tint="0.39997558519241921"/>
        </right>
        <top style="thin">
          <color theme="4" tint="0.39997558519241921"/>
        </top>
        <bottom style="thin">
          <color theme="4" tint="0.39997558519241921"/>
        </bottom>
        <vertical/>
        <horizontal/>
      </border>
    </dxf>
    <dxf>
      <border outline="0">
        <bottom style="thin">
          <color theme="4" tint="0.39997558519241921"/>
        </bottom>
      </border>
    </dxf>
    <dxf>
      <font>
        <b val="0"/>
        <i val="0"/>
        <strike val="0"/>
        <condense val="0"/>
        <extend val="0"/>
        <outline val="0"/>
        <shadow val="0"/>
        <u val="none"/>
        <vertAlign val="baseline"/>
        <sz val="11"/>
        <color rgb="FF000000"/>
        <name val="Gill Sans MT"/>
        <family val="2"/>
        <scheme val="none"/>
      </font>
      <fill>
        <patternFill patternType="solid">
          <fgColor theme="4" tint="0.79998168889431442"/>
          <bgColor theme="4" tint="0.79998168889431442"/>
        </patternFill>
      </fill>
      <alignment horizontal="general" vertical="center"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rgb="FF000000"/>
        <name val="Gill Sans MT"/>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theme="0"/>
        <name val="Gill Sans MT"/>
        <family val="2"/>
        <scheme val="none"/>
      </font>
      <alignment horizontal="center" vertical="center" textRotation="0" wrapText="0" indent="0" justifyLastLine="0" shrinkToFit="0" readingOrder="0"/>
    </dxf>
    <dxf>
      <font>
        <strike val="0"/>
        <outline val="0"/>
        <shadow val="0"/>
        <u val="none"/>
        <vertAlign val="baseline"/>
        <sz val="11"/>
        <name val="Gill Sans MT"/>
        <family val="2"/>
        <scheme val="none"/>
      </font>
    </dxf>
    <dxf>
      <font>
        <strike val="0"/>
        <outline val="0"/>
        <shadow val="0"/>
        <u val="none"/>
        <vertAlign val="baseline"/>
        <sz val="11"/>
        <name val="Gill Sans MT"/>
        <family val="2"/>
        <scheme val="none"/>
      </font>
    </dxf>
    <dxf>
      <font>
        <b val="0"/>
        <i val="0"/>
        <strike val="0"/>
        <condense val="0"/>
        <extend val="0"/>
        <outline val="0"/>
        <shadow val="0"/>
        <u val="none"/>
        <vertAlign val="baseline"/>
        <sz val="11"/>
        <color theme="1"/>
        <name val="Gill Sans MT"/>
        <family val="2"/>
        <scheme val="none"/>
      </font>
      <alignment horizontal="general" vertical="bottom" textRotation="0" wrapText="0" indent="0" justifyLastLine="0" shrinkToFit="0" readingOrder="0"/>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ont>
        <strike val="0"/>
        <outline val="0"/>
        <shadow val="0"/>
        <u val="none"/>
        <vertAlign val="baseline"/>
        <sz val="11"/>
        <color theme="1"/>
        <name val="Gill Sans MT"/>
        <family val="2"/>
        <scheme val="none"/>
      </font>
    </dxf>
    <dxf>
      <fill>
        <patternFill>
          <bgColor theme="8" tint="0.79998168889431442"/>
        </patternFill>
      </fill>
      <border>
        <left style="thin">
          <color auto="1"/>
        </left>
        <right style="thin">
          <color auto="1"/>
        </right>
        <top style="thin">
          <color auto="1"/>
        </top>
        <bottom style="thin">
          <color auto="1"/>
        </bottom>
      </border>
    </dxf>
    <dxf>
      <fill>
        <patternFill patternType="none">
          <bgColor auto="1"/>
        </patternFill>
      </fill>
    </dxf>
    <dxf>
      <fill>
        <patternFill>
          <bgColor theme="4"/>
        </patternFill>
      </fill>
      <border>
        <left style="thin">
          <color auto="1"/>
        </left>
        <right style="thin">
          <color auto="1"/>
        </right>
        <top style="thin">
          <color auto="1"/>
        </top>
        <bottom style="thin">
          <color auto="1"/>
        </bottom>
        <vertical style="thin">
          <color auto="1"/>
        </vertical>
        <horizontal style="thin">
          <color auto="1"/>
        </horizontal>
      </border>
    </dxf>
  </dxfs>
  <tableStyles count="3" defaultTableStyle="TableStyleMedium2" defaultPivotStyle="PivotStyleLight16">
    <tableStyle name="Estilo de tabla 1" pivot="0" count="1" xr9:uid="{D31AC5D5-9EFB-4153-9086-9AA6037B7BF8}">
      <tableStyleElement type="headerRow" dxfId="151"/>
    </tableStyle>
    <tableStyle name="Estilo de tabla 2" pivot="0" count="1" xr9:uid="{C6F8D6C6-DD7E-42E8-8328-19C722F9F97F}">
      <tableStyleElement type="wholeTable" dxfId="150"/>
    </tableStyle>
    <tableStyle name="Estilo de tabla 3" pivot="0" count="1" xr9:uid="{BD8219D8-F95E-4ADD-BD98-5883EDA7E91C}">
      <tableStyleElement type="headerRow" dxfId="149"/>
    </tableStyle>
  </tableStyles>
  <colors>
    <mruColors>
      <color rgb="FFF5B0B0"/>
      <color rgb="FFCC99FF"/>
      <color rgb="FF6666FF"/>
      <color rgb="FF1FB2DE"/>
      <color rgb="FF0F385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https://poligran-my.sharepoint.com/personal/dvelasquez_poligran_edu_co/Documents/02_Curriculo_Virtual/05_Documentos_Reforzamiento%20curricular/ReforzamientoCurricular2022/03_Entregables/Nivel%20Micro/06_FormatosRA2024_AC/01_Renovacion/FormatoRA_TecProfJudicial_VNAL.xlsx" TargetMode="External"/><Relationship Id="rId2" Type="http://schemas.microsoft.com/office/2019/04/relationships/externalLinkLongPath" Target="/personal/dvelasquez_poligran_edu_co/Documents/02_Curriculo_Virtual/05_Documentos_Reforzamiento%20curricular/ReforzamientoCurricular2022/03_Entregables/Nivel%20Micro/06_FormatosRA2024_AC/01_Renovacion/FormatoRA_TecProfJudicial_VNAL.xlsx?0A18EC3A" TargetMode="External"/><Relationship Id="rId1" Type="http://schemas.openxmlformats.org/officeDocument/2006/relationships/externalLinkPath" Target="file:///\\0A18EC3A\FormatoRA_TecProfJudicial_VNAL.xlsx" TargetMode="External"/><Relationship Id="rId4" Type="http://schemas.openxmlformats.org/officeDocument/2006/relationships/externalLinkPath" Target="../../../../dvelasquez_poligran_edu_co/Documents/02_Curriculo_Virtual/05_Documentos_Reforzamiento%20curricular/ReforzamientoCurricular2022/03_Entregables/Nivel%20Micro/06_FormatosRA2024_AC/01_Renovacion/FormatoRA_TecProfJudicial_V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cni8NL5dwkaGySQFxD1mpD9Up9Jq245OlXEFAEVxh_yGpr5orbeXS77QVIKZKnPK" itemId="012I3KOA5EEP7EY6FKXFEKPBOGH5NVIR4O">
      <xxl21:absoluteUrl r:id="rId3"/>
      <xxl21:relativeUrl r:id="rId4"/>
    </xxl21:alternateUrls>
    <sheetNames>
      <sheetName val="Paso1 Analisis perfil egreso"/>
      <sheetName val="Paso 2 Redacción competen"/>
      <sheetName val="Paso 3 Redacción RA "/>
      <sheetName val="Paso 4 Estrategias mesocurricu"/>
      <sheetName val="Paso 5 Estrategias microcurricu"/>
      <sheetName val="Taxonomía para competencias"/>
      <sheetName val="Taxonomias para RA"/>
    </sheetNames>
    <sheetDataSet>
      <sheetData sheetId="0"/>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C8770C3-071D-499F-9BF2-620169EB50C6}" name="Tabla33103" displayName="Tabla33103" ref="B1:B38" totalsRowShown="0" headerRowDxfId="148" dataDxfId="147">
  <autoFilter ref="B1:B38" xr:uid="{5C8770C3-071D-499F-9BF2-620169EB50C6}"/>
  <sortState xmlns:xlrd2="http://schemas.microsoft.com/office/spreadsheetml/2017/richdata2" ref="B2:B38">
    <sortCondition ref="B1:B38"/>
  </sortState>
  <tableColumns count="1">
    <tableColumn id="1" xr3:uid="{4942F65A-DE34-45AD-8AFA-EDFC3B88631B}" name="Verbos Competencias" dataDxfId="14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8FC5A9A-4920-4623-A07A-3CF9371DCF4A}" name="Tabla1715" displayName="Tabla1715" ref="A3:A7" totalsRowShown="0" headerRowDxfId="145" dataDxfId="144">
  <autoFilter ref="A3:A7" xr:uid="{48FC5A9A-4920-4623-A07A-3CF9371DCF4A}"/>
  <tableColumns count="1">
    <tableColumn id="1" xr3:uid="{63D540FA-82EB-4145-8DC7-B519D8CD7CC0}" name="Taxonomías" dataDxfId="143"/>
  </tableColumns>
  <tableStyleInfo name="Estilo de tabla 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BF92EC-A277-4656-A963-5B1EAB7D46D6}" name="Tabla1816" displayName="Tabla1816" ref="AL4:AL32" totalsRowShown="0" headerRowDxfId="142" dataDxfId="141">
  <autoFilter ref="AL4:AL32" xr:uid="{59BF92EC-A277-4656-A963-5B1EAB7D46D6}"/>
  <sortState xmlns:xlrd2="http://schemas.microsoft.com/office/spreadsheetml/2017/richdata2" ref="AL5:AL32">
    <sortCondition ref="AL5:AL32"/>
  </sortState>
  <tableColumns count="1">
    <tableColumn id="1" xr3:uid="{F4C3BEC3-A8BA-43A6-AF00-06D2C8E04D5E}" name="RecordarLK" dataDxfId="140"/>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3A057E8-BC14-4481-9B47-B7A94BC9D97A}" name="Tabla1926" displayName="Tabla1926" ref="AM4:AM28" totalsRowShown="0" headerRowDxfId="139" dataDxfId="138">
  <autoFilter ref="AM4:AM28" xr:uid="{B3A057E8-BC14-4481-9B47-B7A94BC9D97A}"/>
  <sortState xmlns:xlrd2="http://schemas.microsoft.com/office/spreadsheetml/2017/richdata2" ref="AM5:AM28">
    <sortCondition ref="AM5:AM28"/>
  </sortState>
  <tableColumns count="1">
    <tableColumn id="1" xr3:uid="{22C36FE7-AAEE-4B9D-8345-61BDDF16672A}" name="ComprenderLK" dataDxfId="137"/>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CD6709B3-878C-4665-A64F-6617D841DAF8}" name="Tabla2028" displayName="Tabla2028" ref="AN4:AN31" totalsRowShown="0" headerRowDxfId="136" dataDxfId="135">
  <autoFilter ref="AN4:AN31" xr:uid="{CD6709B3-878C-4665-A64F-6617D841DAF8}"/>
  <sortState xmlns:xlrd2="http://schemas.microsoft.com/office/spreadsheetml/2017/richdata2" ref="AN5:AN31">
    <sortCondition ref="AN5:AN31"/>
  </sortState>
  <tableColumns count="1">
    <tableColumn id="1" xr3:uid="{E0748E34-505E-4B6C-88AD-69D1650A1458}" name="AplicarLK" dataDxfId="134"/>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6F0B0E8-A8D0-4F61-A40D-B1423DE7B813}" name="Tabla2129" displayName="Tabla2129" ref="AO4:AO35" totalsRowShown="0" headerRowDxfId="133" dataDxfId="132">
  <autoFilter ref="AO4:AO35" xr:uid="{C6F0B0E8-A8D0-4F61-A40D-B1423DE7B813}"/>
  <sortState xmlns:xlrd2="http://schemas.microsoft.com/office/spreadsheetml/2017/richdata2" ref="AO5:AO35">
    <sortCondition ref="AO5:AO35"/>
  </sortState>
  <tableColumns count="1">
    <tableColumn id="1" xr3:uid="{4EC3AE28-DA86-4BC0-BF7B-BF5699537101}" name="AnalizarLK" dataDxfId="13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7847CBB9-9D6E-4D0E-8127-07F853DB7AC6}" name="Tabla2230" displayName="Tabla2230" ref="AP4:AP47" totalsRowShown="0" headerRowDxfId="130" dataDxfId="129">
  <autoFilter ref="AP4:AP47" xr:uid="{7847CBB9-9D6E-4D0E-8127-07F853DB7AC6}"/>
  <sortState xmlns:xlrd2="http://schemas.microsoft.com/office/spreadsheetml/2017/richdata2" ref="AP5:AP47">
    <sortCondition ref="AP5:AP47"/>
  </sortState>
  <tableColumns count="1">
    <tableColumn id="1" xr3:uid="{47FDF88B-30DA-4104-BC28-92F05B1464DC}" name="EvaluarLK" dataDxfId="128"/>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D29FBDA-C4C7-4802-9945-B1136AA1A5B6}" name="Tabla2333" displayName="Tabla2333" ref="AQ4:AQ21" totalsRowShown="0" headerRowDxfId="127" dataDxfId="126">
  <autoFilter ref="AQ4:AQ21" xr:uid="{1D29FBDA-C4C7-4802-9945-B1136AA1A5B6}"/>
  <sortState xmlns:xlrd2="http://schemas.microsoft.com/office/spreadsheetml/2017/richdata2" ref="AQ5:AQ21">
    <sortCondition ref="AQ5:AQ21"/>
  </sortState>
  <tableColumns count="1">
    <tableColumn id="1" xr3:uid="{695E3FF0-9053-4D06-82E6-12950FD1BCA1}" name="CrearLK" dataDxfId="125"/>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F8CECA1C-3082-403C-A916-A3F7860E419B}" name="Tabla3555" displayName="Tabla3555" ref="S3:S45" totalsRowShown="0" headerRowDxfId="124" dataDxfId="123">
  <autoFilter ref="S3:S45" xr:uid="{F8CECA1C-3082-403C-A916-A3F7860E419B}"/>
  <sortState xmlns:xlrd2="http://schemas.microsoft.com/office/spreadsheetml/2017/richdata2" ref="S4:S45">
    <sortCondition ref="S4:S45"/>
  </sortState>
  <tableColumns count="1">
    <tableColumn id="1" xr3:uid="{E8288FDF-6DC1-467B-8083-3BB5E5966D23}" name="ConocimientoBAK" dataDxfId="122"/>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91DAFDAE-F212-4BAF-BC19-DDD22FBAA62D}" name="Tabla3663" displayName="Tabla3663" ref="T3:T43" totalsRowShown="0" headerRowDxfId="121" dataDxfId="120">
  <autoFilter ref="T3:T43" xr:uid="{91DAFDAE-F212-4BAF-BC19-DDD22FBAA62D}"/>
  <sortState xmlns:xlrd2="http://schemas.microsoft.com/office/spreadsheetml/2017/richdata2" ref="T4:T42">
    <sortCondition ref="T4:T42"/>
  </sortState>
  <tableColumns count="1">
    <tableColumn id="1" xr3:uid="{BE0B8AE9-98EE-44F6-8C48-260F8C2558A0}" name="ComprensiónBAK" dataDxfId="119"/>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B1A040A9-8CFD-4596-8FBC-27FD56392945}" name="Tabla3764" displayName="Tabla3764" ref="U3:U43" totalsRowShown="0" headerRowDxfId="118" dataDxfId="117">
  <autoFilter ref="U3:U43" xr:uid="{B1A040A9-8CFD-4596-8FBC-27FD56392945}"/>
  <sortState xmlns:xlrd2="http://schemas.microsoft.com/office/spreadsheetml/2017/richdata2" ref="U4:U43">
    <sortCondition ref="U4:U43"/>
  </sortState>
  <tableColumns count="1">
    <tableColumn id="1" xr3:uid="{37523E1E-21F0-4AD5-AE5F-B4C6B322C81C}" name="AplicaciónBAK" dataDxfId="116"/>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2AA761F5-FCA1-4A0B-90D8-1C642DDF1D1A}" name="Tabla3865" displayName="Tabla3865" ref="V3:V36" totalsRowShown="0" headerRowDxfId="115" dataDxfId="114">
  <autoFilter ref="V3:V36" xr:uid="{2AA761F5-FCA1-4A0B-90D8-1C642DDF1D1A}"/>
  <sortState xmlns:xlrd2="http://schemas.microsoft.com/office/spreadsheetml/2017/richdata2" ref="V4:V36">
    <sortCondition ref="V4:V36"/>
  </sortState>
  <tableColumns count="1">
    <tableColumn id="1" xr3:uid="{AF14FE7A-A899-43F9-A3C0-8119863088B1}" name="AnálisisBAK" dataDxfId="11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F6A45780-86A0-4428-88DB-1A555C4970E6}" name="Tabla3966" displayName="Tabla3966" ref="W3:W63" totalsRowShown="0" headerRowDxfId="112" dataDxfId="111">
  <autoFilter ref="W3:W63" xr:uid="{F6A45780-86A0-4428-88DB-1A555C4970E6}"/>
  <sortState xmlns:xlrd2="http://schemas.microsoft.com/office/spreadsheetml/2017/richdata2" ref="W4:W63">
    <sortCondition ref="W4:W63"/>
  </sortState>
  <tableColumns count="1">
    <tableColumn id="1" xr3:uid="{8D1F3CAA-A929-411E-B3AB-90C77CB5BC14}" name="SíntesisBAK" dataDxfId="11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245156A-EE8E-4F9F-B3E3-F1F013A29E6E}" name="Tabla4067" displayName="Tabla4067" ref="X3:X66" totalsRowShown="0" headerRowDxfId="109" dataDxfId="108">
  <autoFilter ref="X3:X66" xr:uid="{3245156A-EE8E-4F9F-B3E3-F1F013A29E6E}"/>
  <sortState xmlns:xlrd2="http://schemas.microsoft.com/office/spreadsheetml/2017/richdata2" ref="X4:X66">
    <sortCondition ref="X4:X66"/>
  </sortState>
  <tableColumns count="1">
    <tableColumn id="1" xr3:uid="{D08EDAAB-166E-48F7-9B09-46F65D2F2270}" name="EvaluaciónBAK" dataDxfId="107"/>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0C46EE9B-0911-4522-BB5D-1931406AB4AB}" name="Tabla1168" displayName="Tabla1168" ref="Y3:Y52" totalsRowShown="0" headerRowDxfId="106" dataDxfId="105">
  <autoFilter ref="Y3:Y52" xr:uid="{0C46EE9B-0911-4522-BB5D-1931406AB4AB}"/>
  <tableColumns count="1">
    <tableColumn id="1" xr3:uid="{CDE7758F-9A83-44EB-B2E4-CC670F5593B8}" name="ImitaciónBAK" dataDxfId="104"/>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300A78DD-9219-4A2F-A2DA-93669B9B6AF3}" name="Tabla3069" displayName="Tabla3069" ref="Z3:Z42" totalsRowShown="0" headerRowDxfId="103" dataDxfId="102">
  <autoFilter ref="Z3:Z42" xr:uid="{300A78DD-9219-4A2F-A2DA-93669B9B6AF3}"/>
  <tableColumns count="1">
    <tableColumn id="1" xr3:uid="{3C407CCE-B486-4656-BA81-116BE1090143}" name="ManipulaciónBAK" dataDxfId="101"/>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6877FA86-1F49-4E2D-9448-AFF0346B8BB8}" name="Tabla4170" displayName="Tabla4170" ref="AA3:AA70" totalsRowShown="0" headerRowDxfId="100" dataDxfId="99">
  <autoFilter ref="AA3:AA70" xr:uid="{6877FA86-1F49-4E2D-9448-AFF0346B8BB8}"/>
  <tableColumns count="1">
    <tableColumn id="1" xr3:uid="{D21AF291-1BAF-43EA-AFD3-DAFB2D955E09}" name="PrecisiónBAK" dataDxfId="98"/>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D38FA61-1361-4EA5-A764-8E58B96581E9}" name="Tabla4271" displayName="Tabla4271" ref="AB3:AB62" totalsRowShown="0" headerRowDxfId="97" dataDxfId="96">
  <autoFilter ref="AB3:AB62" xr:uid="{FD38FA61-1361-4EA5-A764-8E58B96581E9}"/>
  <tableColumns count="1">
    <tableColumn id="1" xr3:uid="{982D722A-3D7A-4AAD-A2DF-5EE8DF5E4D9D}" name="ControlBAK" dataDxfId="95"/>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503448E5-D0D5-4B82-B461-0CD544CE9D23}" name="Tabla4372" displayName="Tabla4372" ref="AC3:AC43" totalsRowShown="0" headerRowDxfId="94" dataDxfId="93">
  <autoFilter ref="AC3:AC43" xr:uid="{503448E5-D0D5-4B82-B461-0CD544CE9D23}"/>
  <tableColumns count="1">
    <tableColumn id="1" xr3:uid="{03441D59-E383-407F-99E2-74596636CEF0}" name="PercepciónBAK" dataDxfId="92"/>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08B46976-D2F4-4AEA-B0BA-6ECF06521BA8}" name="Tabla4473" displayName="Tabla4473" ref="AD3:AD34" totalsRowShown="0" headerRowDxfId="91" dataDxfId="90">
  <autoFilter ref="AD3:AD34" xr:uid="{08B46976-D2F4-4AEA-B0BA-6ECF06521BA8}"/>
  <tableColumns count="1">
    <tableColumn id="1" xr3:uid="{0C49A45E-6C59-4AAB-BD6C-F53324766649}" name="ResponderBAK" dataDxfId="89"/>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448539-0C4F-43C9-9924-5A219B16757C}" name="Tabla4574" displayName="Tabla4574" ref="AE3:AE39" totalsRowShown="0" headerRowDxfId="88" dataDxfId="87">
  <autoFilter ref="AE3:AE39" xr:uid="{49448539-0C4F-43C9-9924-5A219B16757C}"/>
  <tableColumns count="1">
    <tableColumn id="1" xr3:uid="{E2890547-6570-4474-811E-70109D5F5465}" name="ValorarBAK" dataDxfId="86"/>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21E76DB2-0E8B-466D-A413-2ABD524DDEEA}" name="Tabla4675" displayName="Tabla4675" ref="AF3:AF29" totalsRowShown="0" headerRowDxfId="85" dataDxfId="84">
  <autoFilter ref="AF3:AF29" xr:uid="{21E76DB2-0E8B-466D-A413-2ABD524DDEEA}"/>
  <tableColumns count="1">
    <tableColumn id="1" xr3:uid="{674DA899-A4D0-4618-B839-C8613BA61338}" name="OrganizarBAK" dataDxfId="83"/>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835318B2-CEAD-4A84-8E6B-21115489F3F9}" name="Tabla4776" displayName="Tabla4776" ref="AG3:AG29" totalsRowShown="0" headerRowDxfId="82" dataDxfId="81">
  <autoFilter ref="AG3:AG29" xr:uid="{835318B2-CEAD-4A84-8E6B-21115489F3F9}"/>
  <tableColumns count="1">
    <tableColumn id="1" xr3:uid="{C98AB4FD-C9CE-4966-B509-E36C390C09C7}" name="CaracterizarBAK" dataDxfId="80"/>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9E4643CC-87B6-4485-9E83-A8ED35E11905}" name="Tabla354977" displayName="Tabla354977" ref="L3:L45" totalsRowShown="0" headerRowDxfId="79" dataDxfId="78">
  <autoFilter ref="L3:L45" xr:uid="{9E4643CC-87B6-4485-9E83-A8ED35E11905}"/>
  <sortState xmlns:xlrd2="http://schemas.microsoft.com/office/spreadsheetml/2017/richdata2" ref="L4:L45">
    <sortCondition ref="L4:L45"/>
  </sortState>
  <tableColumns count="1">
    <tableColumn id="1" xr3:uid="{29725637-71B1-4F7E-96A8-CB90D5C646B2}" name="ConocimientoB" dataDxfId="77"/>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C726BD4C-A167-44A9-8F1B-6936952A7A59}" name="Tabla365078" displayName="Tabla365078" ref="M3:M42" totalsRowShown="0" headerRowDxfId="76" dataDxfId="75">
  <autoFilter ref="M3:M42" xr:uid="{C726BD4C-A167-44A9-8F1B-6936952A7A59}"/>
  <sortState xmlns:xlrd2="http://schemas.microsoft.com/office/spreadsheetml/2017/richdata2" ref="M4:M42">
    <sortCondition ref="M4:M42"/>
  </sortState>
  <tableColumns count="1">
    <tableColumn id="1" xr3:uid="{302CEF3F-D9B7-44E2-B341-CAA4B0E1BEB1}" name="ComprensiónB" dataDxfId="74"/>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85965F80-D722-4217-9624-BAE055366227}" name="Tabla375179" displayName="Tabla375179" ref="N3:N43" totalsRowShown="0" headerRowDxfId="73" dataDxfId="72">
  <autoFilter ref="N3:N43" xr:uid="{85965F80-D722-4217-9624-BAE055366227}"/>
  <sortState xmlns:xlrd2="http://schemas.microsoft.com/office/spreadsheetml/2017/richdata2" ref="N4:N43">
    <sortCondition ref="N4:N43"/>
  </sortState>
  <tableColumns count="1">
    <tableColumn id="1" xr3:uid="{8CDFD0B2-187A-490F-B898-52C789C626A8}" name="AplicaciónB" dataDxfId="7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4F44782F-9CE2-445E-8EAA-F5D6BC4CE9FF}" name="Tabla385280" displayName="Tabla385280" ref="O3:O36" totalsRowShown="0" headerRowDxfId="70" dataDxfId="69">
  <autoFilter ref="O3:O36" xr:uid="{4F44782F-9CE2-445E-8EAA-F5D6BC4CE9FF}"/>
  <sortState xmlns:xlrd2="http://schemas.microsoft.com/office/spreadsheetml/2017/richdata2" ref="O4:O36">
    <sortCondition ref="O4:O36"/>
  </sortState>
  <tableColumns count="1">
    <tableColumn id="1" xr3:uid="{7941CE9F-DC23-4AFF-A5EC-374F0F21BBEB}" name="AnálisisB" dataDxfId="68"/>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8357A631-F2AC-40DB-8ACA-80F00DED06A3}" name="Tabla395381" displayName="Tabla395381" ref="P3:P63" totalsRowShown="0" headerRowDxfId="67" dataDxfId="66">
  <autoFilter ref="P3:P63" xr:uid="{8357A631-F2AC-40DB-8ACA-80F00DED06A3}"/>
  <sortState xmlns:xlrd2="http://schemas.microsoft.com/office/spreadsheetml/2017/richdata2" ref="P4:P63">
    <sortCondition ref="P4:P63"/>
  </sortState>
  <tableColumns count="1">
    <tableColumn id="1" xr3:uid="{E9C49887-DB96-4751-9494-F1CFAE7E02AD}" name="SíntesisB" dataDxfId="65"/>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141F631B-4F40-430C-9880-8A1F264F50D0}" name="Tabla405482" displayName="Tabla405482" ref="Q3:Q66" totalsRowShown="0" headerRowDxfId="64" dataDxfId="63">
  <autoFilter ref="Q3:Q66" xr:uid="{141F631B-4F40-430C-9880-8A1F264F50D0}"/>
  <sortState xmlns:xlrd2="http://schemas.microsoft.com/office/spreadsheetml/2017/richdata2" ref="Q4:Q66">
    <sortCondition ref="Q4:Q66"/>
  </sortState>
  <tableColumns count="1">
    <tableColumn id="1" xr3:uid="{42FB5979-4CFB-474A-948A-4C9E2A15A2FA}" name="EvaluaciónB" dataDxfId="62"/>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284779C2-7F70-4C90-85C0-9E3404733D87}" name="Tabla6088" displayName="Tabla6088" ref="E3:E6" totalsRowShown="0" headerRowDxfId="61" dataDxfId="60">
  <autoFilter ref="E3:E6" xr:uid="{284779C2-7F70-4C90-85C0-9E3404733D87}"/>
  <tableColumns count="1">
    <tableColumn id="1" xr3:uid="{CE47A420-A4CC-4416-8E2B-4A40C2078194}" name="AK" dataDxfId="59"/>
  </tableColumns>
  <tableStyleInfo name="Estilo de tabla 1"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359C141-9677-47C3-845D-242D3C20A7BD}" name="Tabla5987" displayName="Tabla5987" ref="D3:D7" totalsRowShown="0" headerRowDxfId="58" dataDxfId="57">
  <autoFilter ref="D3:D7" xr:uid="{0359C141-9677-47C3-845D-242D3C20A7BD}"/>
  <tableColumns count="1">
    <tableColumn id="1" xr3:uid="{027F3234-EBF7-434A-A95C-3D90248F7600}" name="LK" dataDxfId="56"/>
  </tableColumns>
  <tableStyleInfo name="Estilo de tabla 1"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60F5C8CF-3F5B-45A8-90A3-91960BC0CC3F}" name="Tabla5886" displayName="Tabla5886" ref="C3:C6" totalsRowShown="0" headerRowDxfId="55" dataDxfId="54">
  <autoFilter ref="C3:C6" xr:uid="{60F5C8CF-3F5B-45A8-90A3-91960BC0CC3F}"/>
  <tableColumns count="1">
    <tableColumn id="1" xr3:uid="{7261A279-5B41-48E2-A232-E66D4B2C997C}" name="BAK" dataDxfId="53"/>
  </tableColumns>
  <tableStyleInfo name="Estilo de tabla 1"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46409B6B-E133-4AC9-A20A-4A73C6DBD813}" name="Tabla5785" displayName="Tabla5785" ref="I3:I9" totalsRowShown="0" headerRowDxfId="52" dataDxfId="51">
  <autoFilter ref="I3:I9" xr:uid="{46409B6B-E133-4AC9-A20A-4A73C6DBD813}"/>
  <tableColumns count="1">
    <tableColumn id="1" xr3:uid="{12B3014A-6B1D-4C6D-9FA4-0161E9656EA6}" name="ActitudinalB" dataDxfId="50"/>
  </tableColumns>
  <tableStyleInfo name="Estilo de tabla 1"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4FBECC47-261F-41D0-B554-ADEA02FBDD3E}" name="Tabla5684" displayName="Tabla5684" ref="H3:H9" totalsRowShown="0" headerRowDxfId="49" dataDxfId="48">
  <autoFilter ref="H3:H9" xr:uid="{4FBECC47-261F-41D0-B554-ADEA02FBDD3E}"/>
  <tableColumns count="1">
    <tableColumn id="1" xr3:uid="{D263AD73-E936-424B-80A9-E791CCE4D60C}" name="ProcedimentalB" dataDxfId="47"/>
  </tableColumns>
  <tableStyleInfo name="Estilo de tabla 1"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E7A59938-F7EA-457A-87F1-AA0873A8FDA8}" name="Tabla5583" displayName="Tabla5583" ref="G3:G9" totalsRowShown="0" headerRowDxfId="46" dataDxfId="45">
  <autoFilter ref="G3:G9" xr:uid="{E7A59938-F7EA-457A-87F1-AA0873A8FDA8}"/>
  <tableColumns count="1">
    <tableColumn id="1" xr3:uid="{9BE87125-AAAE-4780-B69A-FA583B2B341A}" name="CognitivoB" dataDxfId="44"/>
  </tableColumns>
  <tableStyleInfo name="Estilo de tabla 1"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B5563E9-3423-496B-A7C6-740A8638246F}" name="Tabla90" displayName="Tabla90" ref="G11:G17" totalsRowShown="0" headerRowDxfId="43" dataDxfId="42">
  <autoFilter ref="G11:G17" xr:uid="{FB5563E9-3423-496B-A7C6-740A8638246F}"/>
  <tableColumns count="1">
    <tableColumn id="1" xr3:uid="{D2F8054E-C594-43A9-96F5-5294D078E620}" name="HechosLK" dataDxfId="41"/>
  </tableColumns>
  <tableStyleInfo name="Estilo de tabla 1"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5235961D-4B2F-4CB8-AC75-46CF8A859099}" name="Tabla91" displayName="Tabla91" ref="H11:H17" totalsRowShown="0" headerRowDxfId="40" dataDxfId="39">
  <autoFilter ref="H11:H17" xr:uid="{5235961D-4B2F-4CB8-AC75-46CF8A859099}"/>
  <tableColumns count="1">
    <tableColumn id="1" xr3:uid="{DF3A0232-2B49-4FF7-B62E-7F56B2A16095}" name="ConceptosLK" dataDxfId="38"/>
  </tableColumns>
  <tableStyleInfo name="Estilo de tabla 1"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74EFBE03-70FE-4E61-AF1A-7CAE74394FB0}" name="Tabla92" displayName="Tabla92" ref="I11:I17" totalsRowShown="0" headerRowDxfId="37" dataDxfId="36">
  <autoFilter ref="I11:I17" xr:uid="{74EFBE03-70FE-4E61-AF1A-7CAE74394FB0}"/>
  <tableColumns count="1">
    <tableColumn id="1" xr3:uid="{02D20833-4DB8-415C-A919-A0178DA3CC95}" name="ProcedimientosLK" dataDxfId="35"/>
  </tableColumns>
  <tableStyleInfo name="Estilo de tabla 1"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01D445B2-006B-45B1-9326-AB65B144ABD8}" name="Tabla93" displayName="Tabla93" ref="J11:J17" totalsRowShown="0" headerRowDxfId="34" dataDxfId="33">
  <autoFilter ref="J11:J17" xr:uid="{01D445B2-006B-45B1-9326-AB65B144ABD8}"/>
  <tableColumns count="1">
    <tableColumn id="1" xr3:uid="{B548BB39-2B40-4E98-AE24-D564B24A0831}" name="MetacogniciónLK" dataDxfId="32"/>
  </tableColumns>
  <tableStyleInfo name="Estilo de tabla 1"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F99EDF7-BECB-4CB8-94CB-15DEF8DBE8E0}" name="Tabla94" displayName="Tabla94" ref="G19:G25" totalsRowShown="0" headerRowDxfId="31" dataDxfId="30">
  <autoFilter ref="G19:G25" xr:uid="{8F99EDF7-BECB-4CB8-94CB-15DEF8DBE8E0}"/>
  <tableColumns count="1">
    <tableColumn id="1" xr3:uid="{995D4B7F-2557-48EF-AE97-D4FE09E63D59}" name="InformaciónAK" dataDxfId="29"/>
  </tableColumns>
  <tableStyleInfo name="Estilo de tabla 1"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DFB0C1EA-F7F7-4443-9626-BCD7D06ACAA7}" name="Tabla95" displayName="Tabla95" ref="H19:H25" totalsRowShown="0" headerRowDxfId="28" dataDxfId="27">
  <autoFilter ref="H19:H25" xr:uid="{DFB0C1EA-F7F7-4443-9626-BCD7D06ACAA7}"/>
  <tableColumns count="1">
    <tableColumn id="1" xr3:uid="{977268A2-A618-4E2F-BE67-44E018AA2B3D}" name="ProcesosAK" dataDxfId="26"/>
  </tableColumns>
  <tableStyleInfo name="Estilo de tabla 1"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AC2042AB-A078-4FDF-91CA-322668C40EBE}" name="Tabla96" displayName="Tabla96" ref="I19:I25" totalsRowShown="0" headerRowDxfId="25" dataDxfId="24">
  <autoFilter ref="I19:I25" xr:uid="{AC2042AB-A078-4FDF-91CA-322668C40EBE}"/>
  <tableColumns count="1">
    <tableColumn id="1" xr3:uid="{AAE35896-9168-4715-8D56-25997B0AB9C8}" name="PsicomotorAK" dataDxfId="23"/>
  </tableColumns>
  <tableStyleInfo name="Estilo de tabla 1"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538ED7E5-6B58-402B-94DF-D07C13DE2D9E}" name="Tabla97" displayName="Tabla97" ref="AT4:AT28" totalsRowShown="0" headerRowDxfId="22" dataDxfId="21" tableBorderDxfId="20">
  <autoFilter ref="AT4:AT28" xr:uid="{538ED7E5-6B58-402B-94DF-D07C13DE2D9E}"/>
  <sortState xmlns:xlrd2="http://schemas.microsoft.com/office/spreadsheetml/2017/richdata2" ref="AT5:AT28">
    <sortCondition ref="AT5:AT28"/>
  </sortState>
  <tableColumns count="1">
    <tableColumn id="1" xr3:uid="{BBBA71C3-D37D-42D2-B57F-3792E560AED8}" name="RecuperaciónAK" dataDxfId="19"/>
  </tableColumns>
  <tableStyleInfo name="TableStyleMedium2"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0217E0C4-2DD9-4417-BE26-3FF0FF3F395D}" name="Tabla98" displayName="Tabla98" ref="AU4:AU56" totalsRowShown="0" headerRowDxfId="18" dataDxfId="17">
  <autoFilter ref="AU4:AU56" xr:uid="{0217E0C4-2DD9-4417-BE26-3FF0FF3F395D}"/>
  <sortState xmlns:xlrd2="http://schemas.microsoft.com/office/spreadsheetml/2017/richdata2" ref="AU5:AU56">
    <sortCondition ref="AU5:AU56"/>
  </sortState>
  <tableColumns count="1">
    <tableColumn id="1" xr3:uid="{EEF7A2C9-904A-475E-B946-D75F88E5CF1A}" name="ComprensiónAK" dataDxfId="16"/>
  </tableColumns>
  <tableStyleInfo name="TableStyleMedium2"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522023D2-447B-4863-8827-33272C577B77}" name="Tabla99" displayName="Tabla99" ref="AV4:AV108" totalsRowShown="0" headerRowDxfId="15" dataDxfId="14" tableBorderDxfId="13">
  <autoFilter ref="AV4:AV108" xr:uid="{522023D2-447B-4863-8827-33272C577B77}"/>
  <sortState xmlns:xlrd2="http://schemas.microsoft.com/office/spreadsheetml/2017/richdata2" ref="AV5:AV108">
    <sortCondition ref="AV5:AV108"/>
  </sortState>
  <tableColumns count="1">
    <tableColumn id="1" xr3:uid="{9344A526-D889-455B-8393-6E992E4F8707}" name="AnálisisAK" dataDxfId="12"/>
  </tableColumns>
  <tableStyleInfo name="TableStyleMedium2"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6AB46F11-6BD0-4EBD-B99F-F1D1FC283558}" name="Tabla100" displayName="Tabla100" ref="AW4:AW70" totalsRowShown="0" headerRowDxfId="11" dataDxfId="10" tableBorderDxfId="9">
  <autoFilter ref="AW4:AW70" xr:uid="{6AB46F11-6BD0-4EBD-B99F-F1D1FC283558}"/>
  <sortState xmlns:xlrd2="http://schemas.microsoft.com/office/spreadsheetml/2017/richdata2" ref="AW5:AW70">
    <sortCondition ref="AW5:AW70"/>
  </sortState>
  <tableColumns count="1">
    <tableColumn id="1" xr3:uid="{9B864D54-9851-4B93-B3C8-06FA6FD5E1D3}" name="UsoConocimientoAK" dataDxfId="8"/>
  </tableColumns>
  <tableStyleInfo name="TableStyleMedium2"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5C094C7C-8551-4EC0-B36D-BC7DA6369C48}" name="Tabla101" displayName="Tabla101" ref="AX4:AX92" totalsRowShown="0" headerRowDxfId="7" dataDxfId="6" tableBorderDxfId="5">
  <autoFilter ref="AX4:AX92" xr:uid="{5C094C7C-8551-4EC0-B36D-BC7DA6369C48}"/>
  <sortState xmlns:xlrd2="http://schemas.microsoft.com/office/spreadsheetml/2017/richdata2" ref="AX5:AX92">
    <sortCondition ref="AX5:AX92"/>
  </sortState>
  <tableColumns count="1">
    <tableColumn id="1" xr3:uid="{02A922E1-8BFE-426F-8C44-897F7B4F7498}" name="MetacogniciónAK" dataDxfId="4"/>
  </tableColumns>
  <tableStyleInfo name="TableStyleMedium2"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028CBBA-0913-46A4-9A7A-1484F73BB293}" name="Tabla11" displayName="Tabla11" ref="AY4:AY87" totalsRowShown="0" headerRowDxfId="3" dataDxfId="2" tableBorderDxfId="1">
  <autoFilter ref="AY4:AY87" xr:uid="{E028CBBA-0913-46A4-9A7A-1484F73BB293}"/>
  <tableColumns count="1">
    <tableColumn id="1" xr3:uid="{0478638C-EFB5-452E-960C-8B4E2E4D8F5A}" name="SistemadelYoAK" dataDxfId="0"/>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3" Type="http://schemas.openxmlformats.org/officeDocument/2006/relationships/table" Target="../tables/table13.xml"/><Relationship Id="rId18" Type="http://schemas.openxmlformats.org/officeDocument/2006/relationships/table" Target="../tables/table18.xml"/><Relationship Id="rId26" Type="http://schemas.openxmlformats.org/officeDocument/2006/relationships/table" Target="../tables/table26.xml"/><Relationship Id="rId39" Type="http://schemas.openxmlformats.org/officeDocument/2006/relationships/table" Target="../tables/table39.xml"/><Relationship Id="rId21" Type="http://schemas.openxmlformats.org/officeDocument/2006/relationships/table" Target="../tables/table21.xml"/><Relationship Id="rId34" Type="http://schemas.openxmlformats.org/officeDocument/2006/relationships/table" Target="../tables/table34.xml"/><Relationship Id="rId42" Type="http://schemas.openxmlformats.org/officeDocument/2006/relationships/table" Target="../tables/table42.xml"/><Relationship Id="rId47" Type="http://schemas.openxmlformats.org/officeDocument/2006/relationships/table" Target="../tables/table47.xml"/><Relationship Id="rId7" Type="http://schemas.openxmlformats.org/officeDocument/2006/relationships/table" Target="../tables/table7.xml"/><Relationship Id="rId2" Type="http://schemas.openxmlformats.org/officeDocument/2006/relationships/table" Target="../tables/table2.xml"/><Relationship Id="rId16" Type="http://schemas.openxmlformats.org/officeDocument/2006/relationships/table" Target="../tables/table16.xml"/><Relationship Id="rId29" Type="http://schemas.openxmlformats.org/officeDocument/2006/relationships/table" Target="../tables/table29.xml"/><Relationship Id="rId11" Type="http://schemas.openxmlformats.org/officeDocument/2006/relationships/table" Target="../tables/table11.xml"/><Relationship Id="rId24" Type="http://schemas.openxmlformats.org/officeDocument/2006/relationships/table" Target="../tables/table24.xml"/><Relationship Id="rId32" Type="http://schemas.openxmlformats.org/officeDocument/2006/relationships/table" Target="../tables/table32.xml"/><Relationship Id="rId37" Type="http://schemas.openxmlformats.org/officeDocument/2006/relationships/table" Target="../tables/table37.xml"/><Relationship Id="rId40" Type="http://schemas.openxmlformats.org/officeDocument/2006/relationships/table" Target="../tables/table40.xml"/><Relationship Id="rId45" Type="http://schemas.openxmlformats.org/officeDocument/2006/relationships/table" Target="../tables/table45.xml"/><Relationship Id="rId5" Type="http://schemas.openxmlformats.org/officeDocument/2006/relationships/table" Target="../tables/table5.xml"/><Relationship Id="rId15" Type="http://schemas.openxmlformats.org/officeDocument/2006/relationships/table" Target="../tables/table15.xml"/><Relationship Id="rId23" Type="http://schemas.openxmlformats.org/officeDocument/2006/relationships/table" Target="../tables/table23.xml"/><Relationship Id="rId28" Type="http://schemas.openxmlformats.org/officeDocument/2006/relationships/table" Target="../tables/table28.xml"/><Relationship Id="rId36" Type="http://schemas.openxmlformats.org/officeDocument/2006/relationships/table" Target="../tables/table36.xml"/><Relationship Id="rId49" Type="http://schemas.openxmlformats.org/officeDocument/2006/relationships/comments" Target="../comments6.xml"/><Relationship Id="rId10" Type="http://schemas.openxmlformats.org/officeDocument/2006/relationships/table" Target="../tables/table10.xml"/><Relationship Id="rId19" Type="http://schemas.openxmlformats.org/officeDocument/2006/relationships/table" Target="../tables/table19.xml"/><Relationship Id="rId31" Type="http://schemas.openxmlformats.org/officeDocument/2006/relationships/table" Target="../tables/table31.xml"/><Relationship Id="rId44" Type="http://schemas.openxmlformats.org/officeDocument/2006/relationships/table" Target="../tables/table44.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 Id="rId22" Type="http://schemas.openxmlformats.org/officeDocument/2006/relationships/table" Target="../tables/table22.xml"/><Relationship Id="rId27" Type="http://schemas.openxmlformats.org/officeDocument/2006/relationships/table" Target="../tables/table27.xml"/><Relationship Id="rId30" Type="http://schemas.openxmlformats.org/officeDocument/2006/relationships/table" Target="../tables/table30.xml"/><Relationship Id="rId35" Type="http://schemas.openxmlformats.org/officeDocument/2006/relationships/table" Target="../tables/table35.xml"/><Relationship Id="rId43" Type="http://schemas.openxmlformats.org/officeDocument/2006/relationships/table" Target="../tables/table43.xml"/><Relationship Id="rId48" Type="http://schemas.openxmlformats.org/officeDocument/2006/relationships/table" Target="../tables/table48.xml"/><Relationship Id="rId8" Type="http://schemas.openxmlformats.org/officeDocument/2006/relationships/table" Target="../tables/table8.xml"/><Relationship Id="rId3" Type="http://schemas.openxmlformats.org/officeDocument/2006/relationships/table" Target="../tables/table3.xml"/><Relationship Id="rId12" Type="http://schemas.openxmlformats.org/officeDocument/2006/relationships/table" Target="../tables/table12.xml"/><Relationship Id="rId17" Type="http://schemas.openxmlformats.org/officeDocument/2006/relationships/table" Target="../tables/table17.xml"/><Relationship Id="rId25" Type="http://schemas.openxmlformats.org/officeDocument/2006/relationships/table" Target="../tables/table25.xml"/><Relationship Id="rId33" Type="http://schemas.openxmlformats.org/officeDocument/2006/relationships/table" Target="../tables/table33.xml"/><Relationship Id="rId38" Type="http://schemas.openxmlformats.org/officeDocument/2006/relationships/table" Target="../tables/table38.xml"/><Relationship Id="rId46" Type="http://schemas.openxmlformats.org/officeDocument/2006/relationships/table" Target="../tables/table46.xml"/><Relationship Id="rId20" Type="http://schemas.openxmlformats.org/officeDocument/2006/relationships/table" Target="../tables/table20.xml"/><Relationship Id="rId41" Type="http://schemas.openxmlformats.org/officeDocument/2006/relationships/table" Target="../tables/table41.xml"/><Relationship Id="rId1" Type="http://schemas.openxmlformats.org/officeDocument/2006/relationships/vmlDrawing" Target="../drawings/vmlDrawing6.vml"/><Relationship Id="rId6"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A7EDF-246F-4EE0-BFE4-7EACACD45C48}">
  <dimension ref="A1:K15"/>
  <sheetViews>
    <sheetView zoomScaleNormal="100" workbookViewId="0"/>
  </sheetViews>
  <sheetFormatPr baseColWidth="10" defaultColWidth="76.26953125" defaultRowHeight="16.5" x14ac:dyDescent="0.35"/>
  <cols>
    <col min="1" max="1" width="23.1796875" style="21" customWidth="1"/>
    <col min="2" max="2" width="17.1796875" style="21" customWidth="1"/>
    <col min="3" max="3" width="49.81640625" style="21" customWidth="1"/>
    <col min="4" max="4" width="51.81640625" style="21" customWidth="1"/>
    <col min="5" max="5" width="27.54296875" style="21" customWidth="1"/>
    <col min="6" max="6" width="36" style="12" customWidth="1"/>
    <col min="7" max="7" width="51" style="21" customWidth="1"/>
    <col min="8" max="8" width="23.54296875" style="21" customWidth="1"/>
    <col min="9" max="9" width="62.1796875" style="21" customWidth="1"/>
    <col min="10" max="10" width="25.7265625" style="21" customWidth="1"/>
    <col min="11" max="11" width="47.7265625" style="21" customWidth="1"/>
    <col min="12" max="16384" width="76.26953125" style="21"/>
  </cols>
  <sheetData>
    <row r="1" spans="1:11" s="19" customFormat="1" ht="55.5" x14ac:dyDescent="0.35">
      <c r="A1" s="15" t="s">
        <v>0</v>
      </c>
      <c r="B1" s="15" t="s">
        <v>1</v>
      </c>
      <c r="C1" s="15" t="s">
        <v>2</v>
      </c>
      <c r="D1" s="15" t="s">
        <v>3</v>
      </c>
      <c r="E1" s="121" t="s">
        <v>4</v>
      </c>
      <c r="F1" s="121"/>
      <c r="G1" s="121"/>
      <c r="H1" s="121" t="s">
        <v>5</v>
      </c>
      <c r="I1" s="121"/>
      <c r="J1" s="121"/>
      <c r="K1" s="97" t="s">
        <v>6</v>
      </c>
    </row>
    <row r="2" spans="1:11" s="19" customFormat="1" x14ac:dyDescent="0.35">
      <c r="A2" s="34" t="s">
        <v>7</v>
      </c>
      <c r="B2" s="34" t="s">
        <v>8</v>
      </c>
      <c r="C2" s="34" t="s">
        <v>9</v>
      </c>
      <c r="D2" s="34" t="s">
        <v>10</v>
      </c>
      <c r="E2" s="98" t="s">
        <v>11</v>
      </c>
      <c r="F2" s="98" t="s">
        <v>12</v>
      </c>
      <c r="G2" s="98" t="s">
        <v>13</v>
      </c>
      <c r="H2" s="98" t="s">
        <v>14</v>
      </c>
      <c r="I2" s="98" t="s">
        <v>15</v>
      </c>
      <c r="J2" s="98" t="s">
        <v>16</v>
      </c>
      <c r="K2" s="98" t="s">
        <v>17</v>
      </c>
    </row>
    <row r="3" spans="1:11" ht="66" x14ac:dyDescent="0.35">
      <c r="A3" s="122" t="s">
        <v>18</v>
      </c>
      <c r="B3" s="122" t="s">
        <v>19</v>
      </c>
      <c r="C3" s="119" t="s">
        <v>20</v>
      </c>
      <c r="D3" s="119" t="s">
        <v>21</v>
      </c>
      <c r="E3" s="21" t="s">
        <v>22</v>
      </c>
      <c r="F3" s="21" t="s">
        <v>23</v>
      </c>
      <c r="G3" s="21" t="s">
        <v>24</v>
      </c>
      <c r="H3" s="119" t="s">
        <v>25</v>
      </c>
      <c r="I3" s="119" t="s">
        <v>26</v>
      </c>
      <c r="J3" s="119" t="s">
        <v>27</v>
      </c>
      <c r="K3" s="120" t="s">
        <v>28</v>
      </c>
    </row>
    <row r="4" spans="1:11" ht="49.5" x14ac:dyDescent="0.35">
      <c r="A4" s="122"/>
      <c r="B4" s="122"/>
      <c r="C4" s="119"/>
      <c r="D4" s="119"/>
      <c r="E4" s="21" t="s">
        <v>29</v>
      </c>
      <c r="F4" s="21" t="s">
        <v>30</v>
      </c>
      <c r="G4" s="21" t="s">
        <v>31</v>
      </c>
      <c r="H4" s="119"/>
      <c r="I4" s="119"/>
      <c r="J4" s="119"/>
      <c r="K4" s="120"/>
    </row>
    <row r="5" spans="1:11" ht="66.5" thickBot="1" x14ac:dyDescent="0.4">
      <c r="A5" s="122"/>
      <c r="B5" s="122"/>
      <c r="C5" s="119"/>
      <c r="D5" s="119"/>
      <c r="E5" s="47" t="s">
        <v>32</v>
      </c>
      <c r="F5" s="47" t="s">
        <v>33</v>
      </c>
      <c r="G5" s="47" t="s">
        <v>34</v>
      </c>
      <c r="H5" s="119"/>
      <c r="I5" s="119"/>
      <c r="J5" s="119"/>
      <c r="K5" s="120"/>
    </row>
    <row r="6" spans="1:11" ht="66" x14ac:dyDescent="0.35">
      <c r="A6" s="122"/>
      <c r="B6" s="122"/>
      <c r="C6" s="119"/>
      <c r="D6" s="119"/>
      <c r="E6" s="21" t="s">
        <v>35</v>
      </c>
      <c r="F6" s="21" t="s">
        <v>36</v>
      </c>
      <c r="G6" s="20" t="s">
        <v>37</v>
      </c>
      <c r="H6" s="119"/>
      <c r="I6" s="119"/>
      <c r="J6" s="119"/>
      <c r="K6" s="120"/>
    </row>
    <row r="7" spans="1:11" x14ac:dyDescent="0.35">
      <c r="E7" s="22"/>
      <c r="F7" s="16"/>
      <c r="G7" s="22"/>
      <c r="H7" s="16"/>
    </row>
    <row r="8" spans="1:11" x14ac:dyDescent="0.35">
      <c r="E8" s="16"/>
      <c r="F8" s="16"/>
      <c r="G8" s="16"/>
      <c r="H8" s="16"/>
    </row>
    <row r="9" spans="1:11" x14ac:dyDescent="0.35">
      <c r="E9" s="22"/>
      <c r="F9" s="22"/>
      <c r="G9" s="22"/>
      <c r="H9" s="16"/>
    </row>
    <row r="10" spans="1:11" x14ac:dyDescent="0.35">
      <c r="E10" s="22"/>
      <c r="F10" s="22"/>
      <c r="G10" s="22"/>
      <c r="H10" s="16"/>
    </row>
    <row r="11" spans="1:11" x14ac:dyDescent="0.35">
      <c r="E11" s="16"/>
      <c r="F11" s="16"/>
      <c r="H11" s="16"/>
    </row>
    <row r="12" spans="1:11" x14ac:dyDescent="0.35">
      <c r="E12" s="16"/>
      <c r="F12" s="16"/>
      <c r="H12" s="16"/>
      <c r="I12" s="20"/>
    </row>
    <row r="13" spans="1:11" x14ac:dyDescent="0.35">
      <c r="E13" s="16"/>
      <c r="F13" s="16"/>
    </row>
    <row r="15" spans="1:11" x14ac:dyDescent="0.35">
      <c r="F15" s="21"/>
    </row>
  </sheetData>
  <mergeCells count="10">
    <mergeCell ref="J3:J6"/>
    <mergeCell ref="K3:K6"/>
    <mergeCell ref="E1:G1"/>
    <mergeCell ref="H1:J1"/>
    <mergeCell ref="A3:A6"/>
    <mergeCell ref="B3:B6"/>
    <mergeCell ref="C3:C6"/>
    <mergeCell ref="D3:D6"/>
    <mergeCell ref="H3:H6"/>
    <mergeCell ref="I3:I6"/>
  </mergeCells>
  <dataValidations count="1">
    <dataValidation allowBlank="1" showInputMessage="1" showErrorMessage="1" sqref="E6:E9" xr:uid="{27C591BA-C3BF-4762-98CA-55FF4063ED86}"/>
  </dataValidation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1850E-A9C8-4F69-8E80-DEAF9721FFBF}">
  <dimension ref="A1:G21"/>
  <sheetViews>
    <sheetView topLeftCell="A2" zoomScaleNormal="100" workbookViewId="0">
      <selection activeCell="A2" sqref="A2"/>
    </sheetView>
  </sheetViews>
  <sheetFormatPr baseColWidth="10" defaultColWidth="11.453125" defaultRowHeight="16.5" x14ac:dyDescent="0.35"/>
  <cols>
    <col min="1" max="1" width="19" style="19" customWidth="1"/>
    <col min="2" max="2" width="18" style="21" customWidth="1"/>
    <col min="3" max="3" width="27.7265625" style="21" customWidth="1"/>
    <col min="4" max="4" width="34" style="21" customWidth="1"/>
    <col min="5" max="5" width="45.1796875" style="21" customWidth="1"/>
    <col min="6" max="6" width="90.453125" style="21" customWidth="1"/>
    <col min="7" max="7" width="32.453125" style="21" customWidth="1"/>
    <col min="8" max="16384" width="11.453125" style="21"/>
  </cols>
  <sheetData>
    <row r="1" spans="1:7" x14ac:dyDescent="0.35">
      <c r="A1" s="123" t="s">
        <v>38</v>
      </c>
      <c r="B1" s="124"/>
      <c r="C1" s="124"/>
      <c r="D1" s="124"/>
      <c r="E1" s="124"/>
      <c r="F1" s="124"/>
      <c r="G1" s="124"/>
    </row>
    <row r="2" spans="1:7" s="31" customFormat="1" ht="52" x14ac:dyDescent="0.35">
      <c r="A2" s="28" t="s">
        <v>39</v>
      </c>
      <c r="B2" s="29" t="s">
        <v>40</v>
      </c>
      <c r="C2" s="29" t="s">
        <v>41</v>
      </c>
      <c r="D2" s="29" t="s">
        <v>42</v>
      </c>
      <c r="E2" s="29" t="s">
        <v>43</v>
      </c>
      <c r="F2" s="30" t="s">
        <v>44</v>
      </c>
      <c r="G2" s="30" t="s">
        <v>45</v>
      </c>
    </row>
    <row r="3" spans="1:7" s="36" customFormat="1" ht="33" x14ac:dyDescent="0.35">
      <c r="A3" s="32" t="s">
        <v>46</v>
      </c>
      <c r="B3" s="33" t="s">
        <v>47</v>
      </c>
      <c r="C3" s="33" t="s">
        <v>48</v>
      </c>
      <c r="D3" s="33" t="s">
        <v>49</v>
      </c>
      <c r="E3" s="33" t="s">
        <v>50</v>
      </c>
      <c r="F3" s="34" t="s">
        <v>51</v>
      </c>
      <c r="G3" s="34" t="s">
        <v>52</v>
      </c>
    </row>
    <row r="4" spans="1:7" ht="82.5" x14ac:dyDescent="0.35">
      <c r="A4" s="19">
        <v>1</v>
      </c>
      <c r="B4" s="12" t="s">
        <v>53</v>
      </c>
      <c r="C4" s="21" t="s">
        <v>22</v>
      </c>
      <c r="D4" s="21" t="s">
        <v>23</v>
      </c>
      <c r="E4" s="21" t="s">
        <v>24</v>
      </c>
      <c r="F4" s="17" t="s">
        <v>54</v>
      </c>
      <c r="G4" s="17" t="s">
        <v>55</v>
      </c>
    </row>
    <row r="5" spans="1:7" s="20" customFormat="1" ht="49.5" x14ac:dyDescent="0.35">
      <c r="A5" s="45">
        <v>2</v>
      </c>
      <c r="B5" s="20" t="s">
        <v>56</v>
      </c>
      <c r="C5" s="20" t="s">
        <v>29</v>
      </c>
      <c r="D5" s="21" t="s">
        <v>30</v>
      </c>
      <c r="E5" s="21" t="s">
        <v>31</v>
      </c>
      <c r="F5" s="20" t="s">
        <v>57</v>
      </c>
      <c r="G5" s="20" t="s">
        <v>55</v>
      </c>
    </row>
    <row r="6" spans="1:7" s="91" customFormat="1" ht="66.5" thickBot="1" x14ac:dyDescent="0.4">
      <c r="A6" s="104">
        <v>3</v>
      </c>
      <c r="B6" s="105" t="s">
        <v>58</v>
      </c>
      <c r="C6" s="49" t="s">
        <v>32</v>
      </c>
      <c r="D6" s="47" t="s">
        <v>33</v>
      </c>
      <c r="E6" s="47" t="s">
        <v>34</v>
      </c>
      <c r="F6" s="49" t="s">
        <v>59</v>
      </c>
      <c r="G6" s="20" t="s">
        <v>55</v>
      </c>
    </row>
    <row r="7" spans="1:7" ht="66" x14ac:dyDescent="0.35">
      <c r="A7" s="19">
        <v>4</v>
      </c>
      <c r="B7" s="22" t="s">
        <v>60</v>
      </c>
      <c r="C7" s="21" t="s">
        <v>61</v>
      </c>
      <c r="D7" s="21" t="s">
        <v>36</v>
      </c>
      <c r="E7" s="20" t="s">
        <v>37</v>
      </c>
      <c r="F7" s="20" t="s">
        <v>62</v>
      </c>
      <c r="G7" s="27" t="s">
        <v>63</v>
      </c>
    </row>
    <row r="8" spans="1:7" x14ac:dyDescent="0.35">
      <c r="C8" s="22"/>
      <c r="D8" s="22"/>
      <c r="E8" s="22"/>
      <c r="F8" s="20"/>
    </row>
    <row r="9" spans="1:7" x14ac:dyDescent="0.35">
      <c r="C9" s="22"/>
      <c r="D9" s="22"/>
      <c r="E9" s="22"/>
      <c r="F9" s="20"/>
    </row>
    <row r="10" spans="1:7" x14ac:dyDescent="0.35">
      <c r="C10"/>
      <c r="D10" s="22"/>
      <c r="E10" s="22"/>
      <c r="F10" s="20"/>
    </row>
    <row r="11" spans="1:7" x14ac:dyDescent="0.35">
      <c r="C11" s="22"/>
      <c r="D11" s="22"/>
      <c r="E11" s="22"/>
      <c r="F11" s="20"/>
    </row>
    <row r="12" spans="1:7" x14ac:dyDescent="0.35">
      <c r="C12" s="22"/>
      <c r="E12" s="22"/>
      <c r="F12" s="20"/>
    </row>
    <row r="19" spans="3:4" x14ac:dyDescent="0.35">
      <c r="C19" s="21" t="s">
        <v>64</v>
      </c>
    </row>
    <row r="20" spans="3:4" x14ac:dyDescent="0.35">
      <c r="C20" t="s">
        <v>64</v>
      </c>
    </row>
    <row r="21" spans="3:4" x14ac:dyDescent="0.35">
      <c r="D21" s="22"/>
    </row>
  </sheetData>
  <mergeCells count="1">
    <mergeCell ref="A1:G1"/>
  </mergeCells>
  <dataValidations count="2">
    <dataValidation type="list" allowBlank="1" showInputMessage="1" showErrorMessage="1" sqref="C4:C7" xr:uid="{296160A6-FB03-49EA-93B2-DD1CAF2E1EB2}">
      <formula1>Conocimientos</formula1>
    </dataValidation>
    <dataValidation type="list" allowBlank="1" showInputMessage="1" showErrorMessage="1" sqref="B4:B7" xr:uid="{7FF6EE86-2F70-4AF5-821E-634C08680A10}">
      <formula1>VerbosCompetencias</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F649-42F4-466A-BE11-44357078F961}">
  <dimension ref="A1:K21"/>
  <sheetViews>
    <sheetView zoomScale="110" zoomScaleNormal="110" workbookViewId="0">
      <pane ySplit="2" topLeftCell="A3" activePane="bottomLeft" state="frozen"/>
      <selection pane="bottomLeft"/>
    </sheetView>
  </sheetViews>
  <sheetFormatPr baseColWidth="10" defaultColWidth="11.453125" defaultRowHeight="16.5" x14ac:dyDescent="0.35"/>
  <cols>
    <col min="1" max="1" width="77.453125" style="16" customWidth="1"/>
    <col min="2" max="2" width="23.1796875" style="19" customWidth="1"/>
    <col min="3" max="3" width="23" style="21" customWidth="1"/>
    <col min="4" max="4" width="30.7265625" style="21" customWidth="1"/>
    <col min="5" max="5" width="25.54296875" style="21" hidden="1" customWidth="1"/>
    <col min="6" max="6" width="21.81640625" style="21" hidden="1" customWidth="1"/>
    <col min="7" max="7" width="27.453125" style="12" hidden="1" customWidth="1"/>
    <col min="8" max="8" width="20" style="12" customWidth="1"/>
    <col min="9" max="9" width="72" style="46" customWidth="1"/>
    <col min="10" max="16384" width="11.453125" style="16"/>
  </cols>
  <sheetData>
    <row r="1" spans="1:11" s="40" customFormat="1" ht="52" x14ac:dyDescent="0.35">
      <c r="A1" s="18" t="s">
        <v>65</v>
      </c>
      <c r="B1" s="18" t="s">
        <v>66</v>
      </c>
      <c r="C1" s="38" t="s">
        <v>67</v>
      </c>
      <c r="D1" s="39" t="s">
        <v>68</v>
      </c>
      <c r="E1" s="39" t="s">
        <v>69</v>
      </c>
      <c r="F1" s="38" t="s">
        <v>70</v>
      </c>
      <c r="G1" s="38" t="s">
        <v>71</v>
      </c>
      <c r="H1" s="38" t="s">
        <v>72</v>
      </c>
      <c r="I1" s="18" t="s">
        <v>73</v>
      </c>
    </row>
    <row r="2" spans="1:11" s="44" customFormat="1" x14ac:dyDescent="0.35">
      <c r="A2" s="41" t="s">
        <v>74</v>
      </c>
      <c r="B2" s="41" t="s">
        <v>75</v>
      </c>
      <c r="C2" s="42" t="s">
        <v>76</v>
      </c>
      <c r="D2" s="43" t="s">
        <v>77</v>
      </c>
      <c r="E2" s="43" t="s">
        <v>78</v>
      </c>
      <c r="F2" s="42" t="s">
        <v>79</v>
      </c>
      <c r="G2" s="42" t="s">
        <v>80</v>
      </c>
      <c r="H2" s="42" t="s">
        <v>81</v>
      </c>
      <c r="I2" s="41" t="s">
        <v>82</v>
      </c>
    </row>
    <row r="3" spans="1:11" ht="66" x14ac:dyDescent="0.35">
      <c r="A3" s="21" t="s">
        <v>54</v>
      </c>
      <c r="B3" s="111">
        <v>1</v>
      </c>
      <c r="C3" s="17" t="s">
        <v>11</v>
      </c>
      <c r="D3" s="17" t="s">
        <v>22</v>
      </c>
      <c r="E3" s="17" t="s">
        <v>83</v>
      </c>
      <c r="F3" s="112" t="s">
        <v>84</v>
      </c>
      <c r="G3" s="112" t="s">
        <v>85</v>
      </c>
      <c r="H3" s="112" t="s">
        <v>60</v>
      </c>
      <c r="I3" s="113" t="s">
        <v>86</v>
      </c>
    </row>
    <row r="4" spans="1:11" ht="82.5" x14ac:dyDescent="0.35">
      <c r="A4" s="21" t="s">
        <v>54</v>
      </c>
      <c r="B4" s="19">
        <v>4</v>
      </c>
      <c r="C4" s="21" t="s">
        <v>12</v>
      </c>
      <c r="D4" s="21" t="s">
        <v>23</v>
      </c>
      <c r="E4" s="21" t="s">
        <v>83</v>
      </c>
      <c r="F4" s="12" t="s">
        <v>87</v>
      </c>
      <c r="G4" s="12" t="s">
        <v>88</v>
      </c>
      <c r="H4" s="12" t="s">
        <v>56</v>
      </c>
      <c r="I4" s="16" t="s">
        <v>89</v>
      </c>
    </row>
    <row r="5" spans="1:11" ht="66.5" thickBot="1" x14ac:dyDescent="0.4">
      <c r="A5" s="47" t="s">
        <v>54</v>
      </c>
      <c r="B5" s="25">
        <v>7</v>
      </c>
      <c r="C5" s="47" t="s">
        <v>13</v>
      </c>
      <c r="D5" s="47" t="s">
        <v>24</v>
      </c>
      <c r="E5" s="47" t="s">
        <v>83</v>
      </c>
      <c r="F5" s="48" t="s">
        <v>90</v>
      </c>
      <c r="G5" s="48" t="s">
        <v>91</v>
      </c>
      <c r="H5" s="48" t="s">
        <v>92</v>
      </c>
      <c r="I5" s="26" t="s">
        <v>93</v>
      </c>
    </row>
    <row r="6" spans="1:11" ht="66" x14ac:dyDescent="0.5">
      <c r="A6" s="53" t="s">
        <v>57</v>
      </c>
      <c r="B6" s="54">
        <v>1</v>
      </c>
      <c r="C6" s="53" t="s">
        <v>11</v>
      </c>
      <c r="D6" s="53" t="s">
        <v>29</v>
      </c>
      <c r="E6" s="53" t="s">
        <v>83</v>
      </c>
      <c r="F6" s="114" t="s">
        <v>84</v>
      </c>
      <c r="G6" s="112" t="s">
        <v>85</v>
      </c>
      <c r="H6" s="112" t="s">
        <v>60</v>
      </c>
      <c r="I6" s="115" t="s">
        <v>86</v>
      </c>
      <c r="K6" s="72"/>
    </row>
    <row r="7" spans="1:11" ht="66" x14ac:dyDescent="0.5">
      <c r="A7" s="21" t="s">
        <v>57</v>
      </c>
      <c r="B7" s="19">
        <v>5</v>
      </c>
      <c r="C7" s="21" t="s">
        <v>12</v>
      </c>
      <c r="D7" s="21" t="s">
        <v>30</v>
      </c>
      <c r="E7" s="21" t="s">
        <v>83</v>
      </c>
      <c r="F7" s="12" t="s">
        <v>87</v>
      </c>
      <c r="G7" s="12" t="s">
        <v>88</v>
      </c>
      <c r="H7" s="12" t="s">
        <v>56</v>
      </c>
      <c r="I7" s="16" t="s">
        <v>94</v>
      </c>
      <c r="K7" s="72"/>
    </row>
    <row r="8" spans="1:11" ht="83" thickBot="1" x14ac:dyDescent="0.55000000000000004">
      <c r="A8" s="47" t="s">
        <v>57</v>
      </c>
      <c r="B8" s="25">
        <v>7</v>
      </c>
      <c r="C8" s="47" t="s">
        <v>13</v>
      </c>
      <c r="D8" s="47" t="s">
        <v>31</v>
      </c>
      <c r="E8" s="47" t="s">
        <v>83</v>
      </c>
      <c r="F8" s="48" t="s">
        <v>90</v>
      </c>
      <c r="G8" s="48" t="s">
        <v>91</v>
      </c>
      <c r="H8" s="48" t="s">
        <v>92</v>
      </c>
      <c r="I8" s="49" t="s">
        <v>93</v>
      </c>
      <c r="K8" s="72"/>
    </row>
    <row r="9" spans="1:11" ht="49.5" x14ac:dyDescent="0.5">
      <c r="A9" s="21" t="s">
        <v>95</v>
      </c>
      <c r="B9" s="19">
        <v>2</v>
      </c>
      <c r="C9" s="21" t="s">
        <v>11</v>
      </c>
      <c r="D9" s="21" t="s">
        <v>32</v>
      </c>
      <c r="E9" s="21" t="s">
        <v>83</v>
      </c>
      <c r="F9" s="12" t="s">
        <v>84</v>
      </c>
      <c r="G9" s="12" t="s">
        <v>96</v>
      </c>
      <c r="H9" s="12" t="s">
        <v>97</v>
      </c>
      <c r="I9" s="20" t="s">
        <v>98</v>
      </c>
      <c r="K9" s="72"/>
    </row>
    <row r="10" spans="1:11" ht="49.5" x14ac:dyDescent="0.5">
      <c r="A10" s="21" t="s">
        <v>95</v>
      </c>
      <c r="B10" s="19">
        <v>6</v>
      </c>
      <c r="C10" s="21" t="s">
        <v>12</v>
      </c>
      <c r="D10" s="21" t="s">
        <v>33</v>
      </c>
      <c r="E10" s="21" t="s">
        <v>83</v>
      </c>
      <c r="F10" s="12" t="s">
        <v>87</v>
      </c>
      <c r="G10" s="12" t="s">
        <v>99</v>
      </c>
      <c r="H10" s="12" t="s">
        <v>100</v>
      </c>
      <c r="I10" s="20" t="s">
        <v>101</v>
      </c>
      <c r="K10" s="72"/>
    </row>
    <row r="11" spans="1:11" ht="50" thickBot="1" x14ac:dyDescent="0.4">
      <c r="A11" s="47" t="s">
        <v>95</v>
      </c>
      <c r="B11" s="25">
        <v>7</v>
      </c>
      <c r="C11" s="47" t="s">
        <v>13</v>
      </c>
      <c r="D11" s="47" t="s">
        <v>34</v>
      </c>
      <c r="E11" s="47" t="s">
        <v>83</v>
      </c>
      <c r="F11" s="48" t="s">
        <v>90</v>
      </c>
      <c r="G11" s="48" t="s">
        <v>91</v>
      </c>
      <c r="H11" s="48" t="s">
        <v>92</v>
      </c>
      <c r="I11" s="26" t="s">
        <v>93</v>
      </c>
    </row>
    <row r="12" spans="1:11" ht="49.5" x14ac:dyDescent="0.35">
      <c r="A12" s="20" t="s">
        <v>62</v>
      </c>
      <c r="B12" s="19">
        <v>3</v>
      </c>
      <c r="C12" s="20" t="s">
        <v>11</v>
      </c>
      <c r="D12" s="16" t="s">
        <v>35</v>
      </c>
      <c r="E12" s="21" t="s">
        <v>102</v>
      </c>
      <c r="F12" s="24" t="s">
        <v>103</v>
      </c>
      <c r="G12" s="24" t="s">
        <v>104</v>
      </c>
      <c r="H12" s="24" t="s">
        <v>105</v>
      </c>
      <c r="I12" s="16" t="s">
        <v>106</v>
      </c>
    </row>
    <row r="13" spans="1:11" x14ac:dyDescent="0.35">
      <c r="A13" s="20"/>
      <c r="C13" s="20"/>
      <c r="D13" s="20"/>
      <c r="E13" s="20"/>
      <c r="F13" s="20"/>
      <c r="G13" s="2"/>
      <c r="H13" s="2"/>
      <c r="I13" s="16"/>
    </row>
    <row r="14" spans="1:11" x14ac:dyDescent="0.35">
      <c r="A14" s="20"/>
      <c r="C14" s="20"/>
      <c r="D14" s="20"/>
      <c r="E14" s="20"/>
      <c r="F14" s="20"/>
      <c r="G14" s="2"/>
      <c r="H14" s="2"/>
      <c r="I14" s="16"/>
    </row>
    <row r="15" spans="1:11" x14ac:dyDescent="0.35">
      <c r="A15" s="20"/>
      <c r="C15" s="20"/>
      <c r="D15" s="20"/>
      <c r="E15" s="20"/>
      <c r="F15" s="20"/>
      <c r="G15" s="2"/>
      <c r="H15" s="2"/>
      <c r="I15" s="16"/>
    </row>
    <row r="16" spans="1:11" x14ac:dyDescent="0.35">
      <c r="A16" s="20"/>
      <c r="C16" s="20"/>
      <c r="D16" s="20"/>
      <c r="E16" s="20"/>
      <c r="F16" s="20"/>
      <c r="G16" s="2"/>
      <c r="H16" s="2"/>
      <c r="I16" s="20"/>
    </row>
    <row r="17" spans="1:9" x14ac:dyDescent="0.35">
      <c r="A17" s="20"/>
      <c r="C17" s="20"/>
      <c r="D17" s="20"/>
      <c r="E17" s="20"/>
      <c r="F17" s="20"/>
      <c r="G17" s="2"/>
      <c r="H17" s="2"/>
      <c r="I17" s="16"/>
    </row>
    <row r="18" spans="1:9" x14ac:dyDescent="0.35">
      <c r="A18" s="20"/>
      <c r="C18" s="20"/>
      <c r="D18" s="20"/>
      <c r="E18" s="20"/>
      <c r="F18" s="20"/>
      <c r="G18" s="2"/>
      <c r="H18" s="2"/>
      <c r="I18" s="20"/>
    </row>
    <row r="19" spans="1:9" x14ac:dyDescent="0.35">
      <c r="A19" s="20"/>
      <c r="C19" s="20"/>
      <c r="D19" s="20"/>
      <c r="E19" s="20"/>
      <c r="F19" s="20"/>
      <c r="G19" s="2"/>
      <c r="H19" s="2"/>
      <c r="I19" s="16"/>
    </row>
    <row r="21" spans="1:9" x14ac:dyDescent="0.5">
      <c r="A21" s="23"/>
    </row>
  </sheetData>
  <autoFilter ref="A2:I12" xr:uid="{94AAF649-42F4-466A-BE11-44357078F961}"/>
  <dataValidations count="7">
    <dataValidation type="list" allowBlank="1" showInputMessage="1" showErrorMessage="1" sqref="C3:C12" xr:uid="{3B0FAE21-4414-4928-BE47-40DBF73D85A6}">
      <formula1>dominios</formula1>
    </dataValidation>
    <dataValidation type="list" allowBlank="1" showInputMessage="1" showErrorMessage="1" sqref="H3:H12" xr:uid="{5DC517A5-FC6B-4375-B3E1-04A2C1D437C5}">
      <formula1>INDIRECT($G3)</formula1>
    </dataValidation>
    <dataValidation type="list" allowBlank="1" showInputMessage="1" showErrorMessage="1" sqref="A3:A19" xr:uid="{1BC8411C-0029-4475-BC4D-F429B66D863D}">
      <formula1>competencias</formula1>
    </dataValidation>
    <dataValidation type="list" allowBlank="1" showInputMessage="1" showErrorMessage="1" sqref="F3:F12" xr:uid="{EDC32C5E-443E-464B-B420-6F6CD6A8E099}">
      <formula1>INDIRECT($E3)</formula1>
    </dataValidation>
    <dataValidation type="list" allowBlank="1" showInputMessage="1" showErrorMessage="1" sqref="D3:D12" xr:uid="{D2786A4C-D4BE-47D1-BDF5-271CFB539CAE}">
      <formula1>INDIRECT($C3)</formula1>
    </dataValidation>
    <dataValidation type="list" allowBlank="1" showInputMessage="1" showErrorMessage="1" sqref="G3:G12" xr:uid="{DF3498F9-E1A3-4395-90A6-D9BF5E92F1D0}">
      <formula1>INDIRECT($F3)</formula1>
    </dataValidation>
    <dataValidation type="list" allowBlank="1" showInputMessage="1" showErrorMessage="1" promptTitle="Taxonomías" prompt="De la lista elija la taxonomía que considere pertinente para establecer los verbos de los resultados de aprendizaje._x000a_B: Taxonomía de Bloom_x000a_BAK: Taxonomía según Anderson y Krathwohl_x000a_LK: Taxonomía según Lors y Krathwohl_x000a_AK: Taxonomía según Anderson y Kendal" sqref="E3:E12" xr:uid="{91AF69DB-29AC-4636-A60A-F864E6B2F972}">
      <formula1>taxonomiasra</formula1>
    </dataValidation>
  </dataValidations>
  <pageMargins left="0.7" right="0.7" top="0.75" bottom="0.75" header="0.3" footer="0.3"/>
  <pageSetup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726B80-E6B4-4ED4-A764-E59AF4E18393}">
  <dimension ref="A1:F32"/>
  <sheetViews>
    <sheetView zoomScaleNormal="100" workbookViewId="0"/>
  </sheetViews>
  <sheetFormatPr baseColWidth="10" defaultColWidth="11.453125" defaultRowHeight="16.5" x14ac:dyDescent="0.35"/>
  <cols>
    <col min="1" max="1" width="70" style="12" customWidth="1"/>
    <col min="2" max="2" width="49.1796875" style="55" customWidth="1"/>
    <col min="3" max="4" width="55.54296875" style="12" customWidth="1"/>
    <col min="5" max="5" width="39.1796875" style="12" customWidth="1"/>
    <col min="6" max="6" width="47.7265625" style="12" customWidth="1"/>
    <col min="7" max="16384" width="11.453125" style="12"/>
  </cols>
  <sheetData>
    <row r="1" spans="1:6" ht="65" x14ac:dyDescent="0.35">
      <c r="A1" s="15" t="s">
        <v>107</v>
      </c>
      <c r="B1" s="15" t="s">
        <v>108</v>
      </c>
      <c r="C1" s="15" t="s">
        <v>109</v>
      </c>
      <c r="D1" s="15" t="s">
        <v>110</v>
      </c>
      <c r="E1" s="15" t="s">
        <v>111</v>
      </c>
      <c r="F1" s="15" t="s">
        <v>112</v>
      </c>
    </row>
    <row r="2" spans="1:6" ht="33.5" thickBot="1" x14ac:dyDescent="0.4">
      <c r="A2" s="37" t="s">
        <v>113</v>
      </c>
      <c r="B2" s="37" t="s">
        <v>114</v>
      </c>
      <c r="C2" s="37" t="s">
        <v>115</v>
      </c>
      <c r="D2" s="37" t="s">
        <v>116</v>
      </c>
      <c r="E2" s="37" t="s">
        <v>117</v>
      </c>
      <c r="F2" s="37" t="s">
        <v>118</v>
      </c>
    </row>
    <row r="3" spans="1:6" ht="49.5" x14ac:dyDescent="0.35">
      <c r="A3" s="106" t="s">
        <v>119</v>
      </c>
      <c r="B3" s="139" t="s">
        <v>120</v>
      </c>
      <c r="C3" s="142" t="s">
        <v>121</v>
      </c>
      <c r="D3" s="52" t="s">
        <v>122</v>
      </c>
      <c r="E3" s="127" t="s">
        <v>123</v>
      </c>
      <c r="F3" s="53" t="s">
        <v>124</v>
      </c>
    </row>
    <row r="4" spans="1:6" ht="49.5" x14ac:dyDescent="0.35">
      <c r="A4" s="50" t="s">
        <v>125</v>
      </c>
      <c r="B4" s="140"/>
      <c r="C4" s="143"/>
      <c r="D4" s="50" t="s">
        <v>126</v>
      </c>
      <c r="E4" s="119"/>
      <c r="F4" s="21" t="s">
        <v>127</v>
      </c>
    </row>
    <row r="5" spans="1:6" ht="49.5" x14ac:dyDescent="0.35">
      <c r="A5" s="50" t="s">
        <v>128</v>
      </c>
      <c r="B5" s="140"/>
      <c r="C5" s="143"/>
      <c r="D5" s="50" t="s">
        <v>129</v>
      </c>
      <c r="E5" s="119"/>
      <c r="F5" s="21" t="s">
        <v>130</v>
      </c>
    </row>
    <row r="6" spans="1:6" ht="49.5" x14ac:dyDescent="0.35">
      <c r="A6" s="50" t="s">
        <v>94</v>
      </c>
      <c r="B6" s="140"/>
      <c r="C6" s="143"/>
      <c r="D6" s="50"/>
      <c r="E6" s="119"/>
      <c r="F6" s="21"/>
    </row>
    <row r="7" spans="1:6" ht="49.5" x14ac:dyDescent="0.35">
      <c r="A7" s="50" t="s">
        <v>131</v>
      </c>
      <c r="B7" s="140"/>
      <c r="C7" s="143"/>
      <c r="D7" s="50"/>
      <c r="E7" s="119"/>
      <c r="F7" s="21"/>
    </row>
    <row r="8" spans="1:6" ht="50" thickBot="1" x14ac:dyDescent="0.4">
      <c r="A8" s="51" t="s">
        <v>101</v>
      </c>
      <c r="B8" s="141"/>
      <c r="C8" s="144"/>
      <c r="D8" s="51"/>
      <c r="E8" s="126"/>
      <c r="F8" s="47"/>
    </row>
    <row r="9" spans="1:6" ht="49.5" x14ac:dyDescent="0.35">
      <c r="A9" s="106" t="s">
        <v>125</v>
      </c>
      <c r="B9" s="135" t="s">
        <v>132</v>
      </c>
      <c r="C9" s="125" t="s">
        <v>133</v>
      </c>
      <c r="D9" s="52" t="s">
        <v>122</v>
      </c>
      <c r="E9" s="127" t="s">
        <v>134</v>
      </c>
      <c r="F9" s="53" t="s">
        <v>124</v>
      </c>
    </row>
    <row r="10" spans="1:6" ht="49.5" x14ac:dyDescent="0.35">
      <c r="A10" s="50" t="s">
        <v>128</v>
      </c>
      <c r="B10" s="136"/>
      <c r="C10" s="119"/>
      <c r="D10" s="50" t="s">
        <v>126</v>
      </c>
      <c r="E10" s="119"/>
      <c r="F10" s="21" t="s">
        <v>127</v>
      </c>
    </row>
    <row r="11" spans="1:6" ht="49.5" x14ac:dyDescent="0.35">
      <c r="A11" s="50" t="s">
        <v>94</v>
      </c>
      <c r="B11" s="136"/>
      <c r="C11" s="119"/>
      <c r="D11" s="50" t="s">
        <v>129</v>
      </c>
      <c r="E11" s="119"/>
      <c r="F11" s="21" t="s">
        <v>130</v>
      </c>
    </row>
    <row r="12" spans="1:6" ht="49.5" x14ac:dyDescent="0.35">
      <c r="A12" s="50" t="s">
        <v>131</v>
      </c>
      <c r="B12" s="136"/>
      <c r="C12" s="119"/>
      <c r="E12" s="119"/>
      <c r="F12" s="21"/>
    </row>
    <row r="13" spans="1:6" ht="50" thickBot="1" x14ac:dyDescent="0.4">
      <c r="A13" s="51" t="s">
        <v>101</v>
      </c>
      <c r="B13" s="137"/>
      <c r="C13" s="138"/>
      <c r="D13" s="92"/>
      <c r="E13" s="138"/>
      <c r="F13" s="92"/>
    </row>
    <row r="14" spans="1:6" ht="49.5" x14ac:dyDescent="0.35">
      <c r="A14" s="106" t="s">
        <v>125</v>
      </c>
      <c r="B14" s="135" t="s">
        <v>135</v>
      </c>
      <c r="C14" s="125" t="s">
        <v>136</v>
      </c>
      <c r="D14" s="52" t="s">
        <v>122</v>
      </c>
      <c r="E14" s="127" t="s">
        <v>137</v>
      </c>
      <c r="F14" s="53" t="s">
        <v>124</v>
      </c>
    </row>
    <row r="15" spans="1:6" ht="49.5" x14ac:dyDescent="0.35">
      <c r="A15" s="50" t="s">
        <v>128</v>
      </c>
      <c r="B15" s="136"/>
      <c r="C15" s="119"/>
      <c r="D15" s="50" t="s">
        <v>126</v>
      </c>
      <c r="E15" s="119"/>
      <c r="F15" s="21" t="s">
        <v>127</v>
      </c>
    </row>
    <row r="16" spans="1:6" ht="49.5" x14ac:dyDescent="0.35">
      <c r="A16" s="50" t="s">
        <v>94</v>
      </c>
      <c r="B16" s="136"/>
      <c r="C16" s="119"/>
      <c r="D16" s="50" t="s">
        <v>129</v>
      </c>
      <c r="E16" s="119"/>
      <c r="F16" s="21" t="s">
        <v>130</v>
      </c>
    </row>
    <row r="17" spans="1:6" ht="49.5" x14ac:dyDescent="0.35">
      <c r="A17" s="50" t="s">
        <v>131</v>
      </c>
      <c r="B17" s="136"/>
      <c r="C17" s="119"/>
      <c r="E17" s="119"/>
      <c r="F17" s="21"/>
    </row>
    <row r="18" spans="1:6" ht="50" thickBot="1" x14ac:dyDescent="0.4">
      <c r="A18" s="51" t="s">
        <v>101</v>
      </c>
      <c r="B18" s="137"/>
      <c r="C18" s="138"/>
      <c r="D18" s="92"/>
      <c r="E18" s="138"/>
      <c r="F18" s="92"/>
    </row>
    <row r="19" spans="1:6" ht="49.5" x14ac:dyDescent="0.35">
      <c r="A19" s="106" t="s">
        <v>125</v>
      </c>
      <c r="B19" s="135" t="s">
        <v>138</v>
      </c>
      <c r="C19" s="125" t="s">
        <v>139</v>
      </c>
      <c r="D19" s="52" t="s">
        <v>122</v>
      </c>
      <c r="E19" s="127" t="s">
        <v>140</v>
      </c>
      <c r="F19" s="53" t="s">
        <v>124</v>
      </c>
    </row>
    <row r="20" spans="1:6" ht="49.5" x14ac:dyDescent="0.35">
      <c r="A20" s="50" t="s">
        <v>128</v>
      </c>
      <c r="B20" s="136"/>
      <c r="C20" s="119"/>
      <c r="D20" s="50" t="s">
        <v>126</v>
      </c>
      <c r="E20" s="119"/>
      <c r="F20" s="21" t="s">
        <v>127</v>
      </c>
    </row>
    <row r="21" spans="1:6" ht="49.5" x14ac:dyDescent="0.35">
      <c r="A21" s="50" t="s">
        <v>94</v>
      </c>
      <c r="B21" s="136"/>
      <c r="C21" s="119"/>
      <c r="D21" s="50" t="s">
        <v>129</v>
      </c>
      <c r="E21" s="119"/>
      <c r="F21" s="21" t="s">
        <v>130</v>
      </c>
    </row>
    <row r="22" spans="1:6" ht="49.5" x14ac:dyDescent="0.35">
      <c r="A22" s="50" t="s">
        <v>131</v>
      </c>
      <c r="B22" s="136"/>
      <c r="C22" s="119"/>
      <c r="E22" s="119"/>
      <c r="F22" s="21"/>
    </row>
    <row r="23" spans="1:6" ht="50" thickBot="1" x14ac:dyDescent="0.4">
      <c r="A23" s="51" t="s">
        <v>101</v>
      </c>
      <c r="B23" s="137"/>
      <c r="C23" s="138"/>
      <c r="D23" s="92"/>
      <c r="E23" s="138"/>
      <c r="F23" s="92"/>
    </row>
    <row r="24" spans="1:6" ht="49.5" x14ac:dyDescent="0.35">
      <c r="A24" s="50" t="s">
        <v>86</v>
      </c>
      <c r="B24" s="133" t="s">
        <v>141</v>
      </c>
      <c r="C24" s="134" t="s">
        <v>142</v>
      </c>
      <c r="D24" s="52" t="s">
        <v>122</v>
      </c>
      <c r="E24" s="125" t="s">
        <v>143</v>
      </c>
      <c r="F24" s="53" t="s">
        <v>124</v>
      </c>
    </row>
    <row r="25" spans="1:6" ht="49.5" x14ac:dyDescent="0.35">
      <c r="A25" s="50" t="s">
        <v>89</v>
      </c>
      <c r="B25" s="129"/>
      <c r="C25" s="120"/>
      <c r="D25" s="50" t="s">
        <v>126</v>
      </c>
      <c r="E25" s="119"/>
      <c r="F25" s="21" t="s">
        <v>127</v>
      </c>
    </row>
    <row r="26" spans="1:6" ht="50" thickBot="1" x14ac:dyDescent="0.4">
      <c r="A26" s="51" t="s">
        <v>93</v>
      </c>
      <c r="B26" s="130"/>
      <c r="C26" s="132"/>
      <c r="D26" s="51" t="s">
        <v>129</v>
      </c>
      <c r="E26" s="126"/>
      <c r="F26" s="47" t="s">
        <v>130</v>
      </c>
    </row>
    <row r="27" spans="1:6" ht="49.5" x14ac:dyDescent="0.35">
      <c r="A27" s="52" t="s">
        <v>86</v>
      </c>
      <c r="B27" s="128" t="s">
        <v>144</v>
      </c>
      <c r="C27" s="131" t="s">
        <v>145</v>
      </c>
      <c r="D27" s="52" t="s">
        <v>122</v>
      </c>
      <c r="E27" s="127" t="s">
        <v>146</v>
      </c>
      <c r="F27" s="53" t="s">
        <v>124</v>
      </c>
    </row>
    <row r="28" spans="1:6" ht="49.5" x14ac:dyDescent="0.35">
      <c r="A28" s="50" t="s">
        <v>89</v>
      </c>
      <c r="B28" s="129"/>
      <c r="C28" s="120"/>
      <c r="D28" s="50" t="s">
        <v>126</v>
      </c>
      <c r="E28" s="119"/>
      <c r="F28" s="21" t="s">
        <v>127</v>
      </c>
    </row>
    <row r="29" spans="1:6" ht="50" thickBot="1" x14ac:dyDescent="0.4">
      <c r="A29" s="51" t="s">
        <v>93</v>
      </c>
      <c r="B29" s="130"/>
      <c r="C29" s="132"/>
      <c r="D29" s="51" t="s">
        <v>129</v>
      </c>
      <c r="E29" s="126"/>
      <c r="F29" s="47" t="s">
        <v>130</v>
      </c>
    </row>
    <row r="30" spans="1:6" ht="49.5" x14ac:dyDescent="0.35">
      <c r="A30" s="52" t="s">
        <v>86</v>
      </c>
      <c r="B30" s="128" t="s">
        <v>147</v>
      </c>
      <c r="C30" s="131" t="s">
        <v>148</v>
      </c>
      <c r="D30" s="52" t="s">
        <v>122</v>
      </c>
      <c r="E30" s="127" t="s">
        <v>149</v>
      </c>
      <c r="F30" s="53" t="s">
        <v>124</v>
      </c>
    </row>
    <row r="31" spans="1:6" ht="49.5" x14ac:dyDescent="0.35">
      <c r="A31" s="50" t="s">
        <v>89</v>
      </c>
      <c r="B31" s="129"/>
      <c r="C31" s="120"/>
      <c r="D31" s="50" t="s">
        <v>126</v>
      </c>
      <c r="E31" s="119"/>
      <c r="F31" s="21" t="s">
        <v>127</v>
      </c>
    </row>
    <row r="32" spans="1:6" ht="50" thickBot="1" x14ac:dyDescent="0.4">
      <c r="A32" s="51" t="s">
        <v>94</v>
      </c>
      <c r="B32" s="130"/>
      <c r="C32" s="132"/>
      <c r="D32" s="51" t="s">
        <v>129</v>
      </c>
      <c r="E32" s="126"/>
      <c r="F32" s="47" t="s">
        <v>130</v>
      </c>
    </row>
  </sheetData>
  <mergeCells count="21">
    <mergeCell ref="B9:B13"/>
    <mergeCell ref="C9:C13"/>
    <mergeCell ref="E9:E13"/>
    <mergeCell ref="E3:E8"/>
    <mergeCell ref="B3:B8"/>
    <mergeCell ref="C3:C8"/>
    <mergeCell ref="B14:B18"/>
    <mergeCell ref="C14:C18"/>
    <mergeCell ref="E14:E18"/>
    <mergeCell ref="B19:B23"/>
    <mergeCell ref="C19:C23"/>
    <mergeCell ref="E19:E23"/>
    <mergeCell ref="E24:E26"/>
    <mergeCell ref="E27:E29"/>
    <mergeCell ref="E30:E32"/>
    <mergeCell ref="B27:B29"/>
    <mergeCell ref="C27:C29"/>
    <mergeCell ref="B24:B26"/>
    <mergeCell ref="C24:C26"/>
    <mergeCell ref="C30:C32"/>
    <mergeCell ref="B30:B32"/>
  </mergeCells>
  <dataValidations count="1">
    <dataValidation type="list" allowBlank="1" showInputMessage="1" showErrorMessage="1" sqref="A3:A32" xr:uid="{D048ED25-334D-4F32-B2A7-D11385F03FF6}">
      <formula1>resultadoaprendizaje</formula1>
    </dataValidation>
  </dataValidations>
  <pageMargins left="0.7" right="0.7" top="0.75" bottom="0.75" header="0.3" footer="0.3"/>
  <pageSetup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CB1331-AF3E-489A-B433-09E21B4DF482}">
  <dimension ref="A1:Q213"/>
  <sheetViews>
    <sheetView tabSelected="1" topLeftCell="B1" zoomScaleNormal="100" workbookViewId="0">
      <pane ySplit="1" topLeftCell="A31" activePane="bottomLeft" state="frozen"/>
      <selection activeCell="B1" sqref="B1"/>
      <selection pane="bottomLeft" activeCell="B5" sqref="B5"/>
    </sheetView>
  </sheetViews>
  <sheetFormatPr baseColWidth="10" defaultColWidth="58.7265625" defaultRowHeight="16" x14ac:dyDescent="0.35"/>
  <cols>
    <col min="1" max="1" width="14.453125" style="70" customWidth="1"/>
    <col min="2" max="2" width="75.26953125" style="62" customWidth="1"/>
    <col min="3" max="3" width="14.26953125" style="56" customWidth="1"/>
    <col min="4" max="4" width="27.26953125" style="57" customWidth="1"/>
    <col min="5" max="5" width="69.7265625" style="70" customWidth="1"/>
    <col min="6" max="6" width="18.81640625" style="56" customWidth="1"/>
    <col min="7" max="7" width="15.453125" style="56" customWidth="1"/>
    <col min="8" max="8" width="14.26953125" style="56" customWidth="1"/>
    <col min="9" max="9" width="19.1796875" style="56" customWidth="1"/>
    <col min="10" max="10" width="14.26953125" style="56" customWidth="1"/>
    <col min="11" max="11" width="16.7265625" style="56" customWidth="1"/>
    <col min="12" max="12" width="19.54296875" style="56" customWidth="1"/>
    <col min="13" max="13" width="16.7265625" style="56" customWidth="1"/>
    <col min="14" max="14" width="36" style="70" customWidth="1"/>
    <col min="15" max="15" width="40.453125" style="70" customWidth="1"/>
    <col min="16" max="16" width="45.81640625" style="70" customWidth="1"/>
    <col min="17" max="17" width="58.7265625" style="70"/>
    <col min="18" max="18" width="15.81640625" style="56" customWidth="1"/>
    <col min="19" max="16384" width="58.7265625" style="56"/>
  </cols>
  <sheetData>
    <row r="1" spans="1:17" s="12" customFormat="1" ht="65" x14ac:dyDescent="0.35">
      <c r="A1" s="15" t="s">
        <v>150</v>
      </c>
      <c r="B1" s="15" t="s">
        <v>151</v>
      </c>
      <c r="C1" s="15" t="s">
        <v>152</v>
      </c>
      <c r="D1" s="15" t="s">
        <v>153</v>
      </c>
      <c r="E1" s="15" t="s">
        <v>154</v>
      </c>
      <c r="F1" s="15" t="s">
        <v>155</v>
      </c>
      <c r="G1" s="155" t="s">
        <v>156</v>
      </c>
      <c r="H1" s="155"/>
      <c r="I1" s="155"/>
      <c r="J1" s="15" t="s">
        <v>157</v>
      </c>
      <c r="K1" s="15" t="s">
        <v>158</v>
      </c>
      <c r="L1" s="15" t="s">
        <v>159</v>
      </c>
      <c r="M1" s="15" t="s">
        <v>160</v>
      </c>
      <c r="N1" s="15" t="s">
        <v>161</v>
      </c>
      <c r="O1" s="110" t="s">
        <v>162</v>
      </c>
      <c r="P1" s="110" t="s">
        <v>163</v>
      </c>
      <c r="Q1" s="15" t="s">
        <v>164</v>
      </c>
    </row>
    <row r="2" spans="1:17" s="12" customFormat="1" ht="50" thickBot="1" x14ac:dyDescent="0.4">
      <c r="A2" s="37" t="s">
        <v>165</v>
      </c>
      <c r="B2" s="37" t="s">
        <v>113</v>
      </c>
      <c r="C2" s="37" t="s">
        <v>166</v>
      </c>
      <c r="D2" s="37" t="s">
        <v>167</v>
      </c>
      <c r="E2" s="37" t="s">
        <v>168</v>
      </c>
      <c r="F2" s="37" t="s">
        <v>169</v>
      </c>
      <c r="G2" s="37" t="s">
        <v>170</v>
      </c>
      <c r="H2" s="37" t="s">
        <v>171</v>
      </c>
      <c r="I2" s="37" t="s">
        <v>172</v>
      </c>
      <c r="J2" s="37" t="s">
        <v>173</v>
      </c>
      <c r="K2" s="37" t="s">
        <v>174</v>
      </c>
      <c r="L2" s="37" t="s">
        <v>175</v>
      </c>
      <c r="M2" s="37" t="s">
        <v>176</v>
      </c>
      <c r="N2" s="37" t="s">
        <v>177</v>
      </c>
      <c r="O2" s="37" t="s">
        <v>178</v>
      </c>
      <c r="P2" s="37" t="s">
        <v>179</v>
      </c>
      <c r="Q2" s="37" t="s">
        <v>180</v>
      </c>
    </row>
    <row r="3" spans="1:17" s="108" customFormat="1" ht="49.5" x14ac:dyDescent="0.35">
      <c r="A3" s="24" t="str">
        <f>_xlfn.XLOOKUP(B3,'Paso 3 Redacción RA '!I$3:I$12,'Paso 3 Redacción RA '!C$3:C$12,,0,1)</f>
        <v>Saberhacer</v>
      </c>
      <c r="B3" s="107" t="s">
        <v>89</v>
      </c>
      <c r="C3" s="150">
        <v>1</v>
      </c>
      <c r="D3" s="139" t="s">
        <v>181</v>
      </c>
      <c r="E3" s="147" t="s">
        <v>182</v>
      </c>
      <c r="F3" s="150" t="s">
        <v>183</v>
      </c>
      <c r="G3" s="150"/>
      <c r="H3" s="150" t="s">
        <v>184</v>
      </c>
      <c r="I3" s="150"/>
      <c r="J3" s="150">
        <v>3</v>
      </c>
      <c r="K3" s="139">
        <f>J3*12</f>
        <v>36</v>
      </c>
      <c r="L3" s="139">
        <f>36*J3</f>
        <v>108</v>
      </c>
      <c r="M3" s="139">
        <f>SUM(K3:L3)</f>
        <v>144</v>
      </c>
      <c r="N3" s="152" t="s">
        <v>185</v>
      </c>
      <c r="O3" s="147" t="s">
        <v>186</v>
      </c>
      <c r="P3" s="147" t="s">
        <v>187</v>
      </c>
      <c r="Q3" s="127" t="s">
        <v>188</v>
      </c>
    </row>
    <row r="4" spans="1:17" s="108" customFormat="1" ht="49.5" x14ac:dyDescent="0.35">
      <c r="A4" s="24" t="str">
        <f>_xlfn.XLOOKUP(B4,'Paso 3 Redacción RA '!I$3:I$12,'Paso 3 Redacción RA '!C$3:C$12,,0,1)</f>
        <v>Saberser</v>
      </c>
      <c r="B4" s="107" t="s">
        <v>93</v>
      </c>
      <c r="C4" s="136"/>
      <c r="D4" s="140"/>
      <c r="E4" s="148"/>
      <c r="F4" s="136"/>
      <c r="G4" s="136"/>
      <c r="H4" s="136"/>
      <c r="I4" s="136"/>
      <c r="J4" s="136"/>
      <c r="K4" s="140"/>
      <c r="L4" s="140"/>
      <c r="M4" s="140"/>
      <c r="N4" s="153"/>
      <c r="O4" s="148"/>
      <c r="P4" s="148"/>
      <c r="Q4" s="119"/>
    </row>
    <row r="5" spans="1:17" s="108" customFormat="1" ht="49.5" x14ac:dyDescent="0.35">
      <c r="A5" s="24" t="str">
        <f>_xlfn.XLOOKUP(B5,'Paso 3 Redacción RA '!I$3:I$12,'Paso 3 Redacción RA '!C$3:C$12,,0,1)</f>
        <v>Saberhacer</v>
      </c>
      <c r="B5" s="107" t="s">
        <v>94</v>
      </c>
      <c r="C5" s="136"/>
      <c r="D5" s="140"/>
      <c r="E5" s="148"/>
      <c r="F5" s="136"/>
      <c r="G5" s="136"/>
      <c r="H5" s="136"/>
      <c r="I5" s="136"/>
      <c r="J5" s="136"/>
      <c r="K5" s="140"/>
      <c r="L5" s="140"/>
      <c r="M5" s="140"/>
      <c r="N5" s="153"/>
      <c r="O5" s="148"/>
      <c r="P5" s="148"/>
      <c r="Q5" s="119"/>
    </row>
    <row r="6" spans="1:17" s="108" customFormat="1" ht="49.5" x14ac:dyDescent="0.35">
      <c r="A6" s="24" t="str">
        <f>_xlfn.XLOOKUP(B6,'Paso 3 Redacción RA '!I$3:I$12,'Paso 3 Redacción RA '!C$3:C$12,,0,1)</f>
        <v>Saber</v>
      </c>
      <c r="B6" s="107" t="s">
        <v>98</v>
      </c>
      <c r="C6" s="136"/>
      <c r="D6" s="140"/>
      <c r="E6" s="148"/>
      <c r="F6" s="136"/>
      <c r="G6" s="136"/>
      <c r="H6" s="136"/>
      <c r="I6" s="136"/>
      <c r="J6" s="136"/>
      <c r="K6" s="140"/>
      <c r="L6" s="140"/>
      <c r="M6" s="140"/>
      <c r="N6" s="153"/>
      <c r="O6" s="148"/>
      <c r="P6" s="148"/>
      <c r="Q6" s="119"/>
    </row>
    <row r="7" spans="1:17" s="108" customFormat="1" ht="33.5" thickBot="1" x14ac:dyDescent="0.4">
      <c r="A7" s="95" t="str">
        <f>_xlfn.XLOOKUP(B7,'Paso 3 Redacción RA '!I$3:I$12,'Paso 3 Redacción RA '!C$3:C$12,,0,1)</f>
        <v>Saberhacer</v>
      </c>
      <c r="B7" s="109" t="s">
        <v>101</v>
      </c>
      <c r="C7" s="151"/>
      <c r="D7" s="141"/>
      <c r="E7" s="149"/>
      <c r="F7" s="151"/>
      <c r="G7" s="151"/>
      <c r="H7" s="151"/>
      <c r="I7" s="151"/>
      <c r="J7" s="151"/>
      <c r="K7" s="141"/>
      <c r="L7" s="141"/>
      <c r="M7" s="141"/>
      <c r="N7" s="154"/>
      <c r="O7" s="149"/>
      <c r="P7" s="149"/>
      <c r="Q7" s="126"/>
    </row>
    <row r="8" spans="1:17" s="55" customFormat="1" ht="409.5" x14ac:dyDescent="0.35">
      <c r="A8" s="90" t="str">
        <f>_xlfn.XLOOKUP(B8,'Paso 3 Redacción RA '!I$3:I$12,'Paso 3 Redacción RA '!C$3:C$12,,0,1)</f>
        <v>Saber</v>
      </c>
      <c r="B8" s="96" t="s">
        <v>106</v>
      </c>
      <c r="C8" s="99">
        <v>1</v>
      </c>
      <c r="D8" s="100" t="s">
        <v>189</v>
      </c>
      <c r="E8" s="101" t="s">
        <v>190</v>
      </c>
      <c r="F8" s="99" t="s">
        <v>183</v>
      </c>
      <c r="G8" s="99" t="s">
        <v>184</v>
      </c>
      <c r="H8" s="99"/>
      <c r="I8" s="99"/>
      <c r="J8" s="99">
        <v>3</v>
      </c>
      <c r="K8" s="99">
        <f>12*J8</f>
        <v>36</v>
      </c>
      <c r="L8" s="99">
        <f>36*J8</f>
        <v>108</v>
      </c>
      <c r="M8" s="99">
        <f>SUM(K8:L8)</f>
        <v>144</v>
      </c>
      <c r="N8" s="102" t="s">
        <v>191</v>
      </c>
      <c r="O8" s="96" t="s">
        <v>192</v>
      </c>
      <c r="P8" s="103" t="s">
        <v>193</v>
      </c>
      <c r="Q8" s="101" t="s">
        <v>194</v>
      </c>
    </row>
    <row r="9" spans="1:17" s="55" customFormat="1" ht="409.6" thickBot="1" x14ac:dyDescent="0.4">
      <c r="A9" s="90" t="str">
        <f>_xlfn.XLOOKUP(B9,'Paso 3 Redacción RA '!I$3:I$12,'Paso 3 Redacción RA '!C$3:C$12,,0,1)</f>
        <v>Saber</v>
      </c>
      <c r="B9" s="83" t="s">
        <v>106</v>
      </c>
      <c r="C9" s="93">
        <v>1</v>
      </c>
      <c r="D9" s="94" t="s">
        <v>195</v>
      </c>
      <c r="E9" s="84" t="s">
        <v>196</v>
      </c>
      <c r="F9" s="94" t="s">
        <v>183</v>
      </c>
      <c r="G9" s="93" t="s">
        <v>184</v>
      </c>
      <c r="H9" s="93"/>
      <c r="I9" s="93"/>
      <c r="J9" s="93">
        <v>3</v>
      </c>
      <c r="K9" s="93">
        <f>12*J9</f>
        <v>36</v>
      </c>
      <c r="L9" s="93">
        <f>36*J9</f>
        <v>108</v>
      </c>
      <c r="M9" s="93">
        <f>SUM(K9:L9)</f>
        <v>144</v>
      </c>
      <c r="N9" s="83" t="s">
        <v>197</v>
      </c>
      <c r="O9" s="83" t="s">
        <v>192</v>
      </c>
      <c r="P9" s="83" t="s">
        <v>198</v>
      </c>
      <c r="Q9" s="83" t="s">
        <v>188</v>
      </c>
    </row>
    <row r="10" spans="1:17" s="55" customFormat="1" ht="49.5" x14ac:dyDescent="0.35">
      <c r="A10" s="24" t="str">
        <f>_xlfn.XLOOKUP(B10,'Paso 3 Redacción RA '!I$3:I$12,'Paso 3 Redacción RA '!C$3:C$12,,0,1)</f>
        <v>Saber</v>
      </c>
      <c r="B10" s="16" t="s">
        <v>86</v>
      </c>
      <c r="C10" s="128">
        <v>1</v>
      </c>
      <c r="D10" s="145" t="s">
        <v>199</v>
      </c>
      <c r="E10" s="127" t="s">
        <v>200</v>
      </c>
      <c r="F10" s="145" t="s">
        <v>201</v>
      </c>
      <c r="G10" s="145"/>
      <c r="H10" s="145" t="s">
        <v>184</v>
      </c>
      <c r="I10" s="145"/>
      <c r="J10" s="145">
        <v>3</v>
      </c>
      <c r="K10" s="145">
        <f>J10*12</f>
        <v>36</v>
      </c>
      <c r="L10" s="145">
        <f>36*J10</f>
        <v>108</v>
      </c>
      <c r="M10" s="145">
        <f>SUM(K10:L10)</f>
        <v>144</v>
      </c>
      <c r="N10" s="131" t="s">
        <v>202</v>
      </c>
      <c r="O10" s="127" t="s">
        <v>186</v>
      </c>
      <c r="P10" s="127" t="s">
        <v>203</v>
      </c>
      <c r="Q10" s="127" t="s">
        <v>188</v>
      </c>
    </row>
    <row r="11" spans="1:17" s="55" customFormat="1" ht="49.5" x14ac:dyDescent="0.35">
      <c r="A11" s="24" t="str">
        <f>_xlfn.XLOOKUP(B11,'Paso 3 Redacción RA '!I$3:I$12,'Paso 3 Redacción RA '!C$3:C$12,,0,1)</f>
        <v>Saberhacer</v>
      </c>
      <c r="B11" s="16" t="s">
        <v>89</v>
      </c>
      <c r="C11" s="129"/>
      <c r="D11" s="122"/>
      <c r="E11" s="119"/>
      <c r="F11" s="122"/>
      <c r="G11" s="122"/>
      <c r="H11" s="122"/>
      <c r="I11" s="122"/>
      <c r="J11" s="122"/>
      <c r="K11" s="122"/>
      <c r="L11" s="122"/>
      <c r="M11" s="122"/>
      <c r="N11" s="120"/>
      <c r="O11" s="119"/>
      <c r="P11" s="119"/>
      <c r="Q11" s="119"/>
    </row>
    <row r="12" spans="1:17" s="55" customFormat="1" ht="49.5" x14ac:dyDescent="0.35">
      <c r="A12" s="24" t="str">
        <f>_xlfn.XLOOKUP(B12,'Paso 3 Redacción RA '!I$3:I$12,'Paso 3 Redacción RA '!C$3:C$12,,0,1)</f>
        <v>Saberser</v>
      </c>
      <c r="B12" s="16" t="s">
        <v>93</v>
      </c>
      <c r="C12" s="129"/>
      <c r="D12" s="122"/>
      <c r="E12" s="119"/>
      <c r="F12" s="122"/>
      <c r="G12" s="122"/>
      <c r="H12" s="122"/>
      <c r="I12" s="122"/>
      <c r="J12" s="122"/>
      <c r="K12" s="122"/>
      <c r="L12" s="122"/>
      <c r="M12" s="122"/>
      <c r="N12" s="120"/>
      <c r="O12" s="119"/>
      <c r="P12" s="119"/>
      <c r="Q12" s="119"/>
    </row>
    <row r="13" spans="1:17" s="55" customFormat="1" ht="49.5" x14ac:dyDescent="0.35">
      <c r="A13" s="24" t="str">
        <f>_xlfn.XLOOKUP(B13,'Paso 3 Redacción RA '!I$3:I$12,'Paso 3 Redacción RA '!C$3:C$12,,0,1)</f>
        <v>Saberhacer</v>
      </c>
      <c r="B13" s="16" t="s">
        <v>94</v>
      </c>
      <c r="C13" s="129"/>
      <c r="D13" s="122"/>
      <c r="E13" s="119"/>
      <c r="F13" s="122"/>
      <c r="G13" s="122"/>
      <c r="H13" s="122"/>
      <c r="I13" s="122"/>
      <c r="J13" s="122"/>
      <c r="K13" s="122"/>
      <c r="L13" s="122"/>
      <c r="M13" s="122"/>
      <c r="N13" s="120"/>
      <c r="O13" s="119"/>
      <c r="P13" s="119"/>
      <c r="Q13" s="119"/>
    </row>
    <row r="14" spans="1:17" s="55" customFormat="1" ht="33.5" thickBot="1" x14ac:dyDescent="0.4">
      <c r="A14" s="95" t="str">
        <f>_xlfn.XLOOKUP(B14,'Paso 3 Redacción RA '!I$3:I$12,'Paso 3 Redacción RA '!C$3:C$12,,0,1)</f>
        <v>Saberhacer</v>
      </c>
      <c r="B14" s="26" t="s">
        <v>101</v>
      </c>
      <c r="C14" s="130"/>
      <c r="D14" s="146"/>
      <c r="E14" s="126"/>
      <c r="F14" s="146"/>
      <c r="G14" s="146"/>
      <c r="H14" s="146"/>
      <c r="I14" s="146"/>
      <c r="J14" s="146"/>
      <c r="K14" s="146"/>
      <c r="L14" s="146"/>
      <c r="M14" s="146"/>
      <c r="N14" s="132"/>
      <c r="O14" s="126"/>
      <c r="P14" s="126"/>
      <c r="Q14" s="126"/>
    </row>
    <row r="15" spans="1:17" s="55" customFormat="1" ht="49.5" x14ac:dyDescent="0.35">
      <c r="A15" s="24" t="str">
        <f>_xlfn.XLOOKUP(B15,'Paso 3 Redacción RA '!I$3:I$12,'Paso 3 Redacción RA '!C$3:C$12,,0,1)</f>
        <v>Saber</v>
      </c>
      <c r="B15" s="16" t="s">
        <v>86</v>
      </c>
      <c r="C15" s="128">
        <v>1</v>
      </c>
      <c r="D15" s="145" t="s">
        <v>204</v>
      </c>
      <c r="E15" s="147" t="s">
        <v>205</v>
      </c>
      <c r="F15" s="128" t="s">
        <v>201</v>
      </c>
      <c r="G15" s="128"/>
      <c r="H15" s="128" t="s">
        <v>184</v>
      </c>
      <c r="I15" s="128"/>
      <c r="J15" s="128">
        <v>3</v>
      </c>
      <c r="K15" s="128">
        <f>J15*12</f>
        <v>36</v>
      </c>
      <c r="L15" s="128">
        <f>36*J15</f>
        <v>108</v>
      </c>
      <c r="M15" s="128">
        <f>SUM(K15:L15)</f>
        <v>144</v>
      </c>
      <c r="N15" s="152" t="s">
        <v>206</v>
      </c>
      <c r="O15" s="147" t="s">
        <v>186</v>
      </c>
      <c r="P15" s="147" t="s">
        <v>207</v>
      </c>
      <c r="Q15" s="152" t="s">
        <v>188</v>
      </c>
    </row>
    <row r="16" spans="1:17" s="55" customFormat="1" ht="49.5" x14ac:dyDescent="0.35">
      <c r="A16" s="24" t="str">
        <f>_xlfn.XLOOKUP(B16,'Paso 3 Redacción RA '!I$3:I$12,'Paso 3 Redacción RA '!C$3:C$12,,0,1)</f>
        <v>Saberhacer</v>
      </c>
      <c r="B16" s="16" t="s">
        <v>89</v>
      </c>
      <c r="C16" s="129"/>
      <c r="D16" s="122"/>
      <c r="E16" s="148"/>
      <c r="F16" s="129"/>
      <c r="G16" s="129"/>
      <c r="H16" s="129"/>
      <c r="I16" s="129"/>
      <c r="J16" s="129"/>
      <c r="K16" s="129"/>
      <c r="L16" s="129"/>
      <c r="M16" s="129"/>
      <c r="N16" s="153"/>
      <c r="O16" s="148"/>
      <c r="P16" s="148"/>
      <c r="Q16" s="153"/>
    </row>
    <row r="17" spans="1:17" s="55" customFormat="1" ht="49.5" x14ac:dyDescent="0.35">
      <c r="A17" s="24" t="str">
        <f>_xlfn.XLOOKUP(B17,'Paso 3 Redacción RA '!I$3:I$12,'Paso 3 Redacción RA '!C$3:C$12,,0,1)</f>
        <v>Saberser</v>
      </c>
      <c r="B17" s="16" t="s">
        <v>93</v>
      </c>
      <c r="C17" s="129"/>
      <c r="D17" s="122"/>
      <c r="E17" s="148"/>
      <c r="F17" s="129"/>
      <c r="G17" s="129"/>
      <c r="H17" s="129"/>
      <c r="I17" s="129"/>
      <c r="J17" s="129"/>
      <c r="K17" s="129"/>
      <c r="L17" s="129"/>
      <c r="M17" s="129"/>
      <c r="N17" s="153"/>
      <c r="O17" s="148"/>
      <c r="P17" s="148"/>
      <c r="Q17" s="153"/>
    </row>
    <row r="18" spans="1:17" s="55" customFormat="1" ht="49.5" x14ac:dyDescent="0.35">
      <c r="A18" s="24" t="str">
        <f>_xlfn.XLOOKUP(B18,'Paso 3 Redacción RA '!I$3:I$12,'Paso 3 Redacción RA '!C$3:C$12,,0,1)</f>
        <v>Saberhacer</v>
      </c>
      <c r="B18" s="16" t="s">
        <v>94</v>
      </c>
      <c r="C18" s="129"/>
      <c r="D18" s="122"/>
      <c r="E18" s="148"/>
      <c r="F18" s="129"/>
      <c r="G18" s="129"/>
      <c r="H18" s="129"/>
      <c r="I18" s="129"/>
      <c r="J18" s="129"/>
      <c r="K18" s="129"/>
      <c r="L18" s="129"/>
      <c r="M18" s="129"/>
      <c r="N18" s="153"/>
      <c r="O18" s="148"/>
      <c r="P18" s="148"/>
      <c r="Q18" s="153"/>
    </row>
    <row r="19" spans="1:17" s="55" customFormat="1" ht="49.5" x14ac:dyDescent="0.35">
      <c r="A19" s="24" t="str">
        <f>_xlfn.XLOOKUP(B19,'Paso 3 Redacción RA '!I$3:I$12,'Paso 3 Redacción RA '!C$3:C$12,,0,1)</f>
        <v>Saber</v>
      </c>
      <c r="B19" s="16" t="s">
        <v>98</v>
      </c>
      <c r="C19" s="129"/>
      <c r="D19" s="122"/>
      <c r="E19" s="148"/>
      <c r="F19" s="129"/>
      <c r="G19" s="129"/>
      <c r="H19" s="129"/>
      <c r="I19" s="129"/>
      <c r="J19" s="129"/>
      <c r="K19" s="129"/>
      <c r="L19" s="129"/>
      <c r="M19" s="129"/>
      <c r="N19" s="153"/>
      <c r="O19" s="148"/>
      <c r="P19" s="148"/>
      <c r="Q19" s="153"/>
    </row>
    <row r="20" spans="1:17" s="55" customFormat="1" ht="33.5" thickBot="1" x14ac:dyDescent="0.4">
      <c r="A20" s="95" t="str">
        <f>_xlfn.XLOOKUP(B20,'Paso 3 Redacción RA '!I$3:I$12,'Paso 3 Redacción RA '!C$3:C$12,,0,1)</f>
        <v>Saberhacer</v>
      </c>
      <c r="B20" s="26" t="s">
        <v>101</v>
      </c>
      <c r="C20" s="130"/>
      <c r="D20" s="146"/>
      <c r="E20" s="149"/>
      <c r="F20" s="130"/>
      <c r="G20" s="130"/>
      <c r="H20" s="130"/>
      <c r="I20" s="130"/>
      <c r="J20" s="130"/>
      <c r="K20" s="130"/>
      <c r="L20" s="130"/>
      <c r="M20" s="130"/>
      <c r="N20" s="154"/>
      <c r="O20" s="149"/>
      <c r="P20" s="149"/>
      <c r="Q20" s="154"/>
    </row>
    <row r="21" spans="1:17" s="55" customFormat="1" ht="49.5" x14ac:dyDescent="0.35">
      <c r="A21" s="24" t="str">
        <f>_xlfn.XLOOKUP(B21,'Paso 3 Redacción RA '!I$3:I$12,'Paso 3 Redacción RA '!C$3:C$12,,0,1)</f>
        <v>Saber</v>
      </c>
      <c r="B21" s="16" t="s">
        <v>86</v>
      </c>
      <c r="C21" s="145">
        <v>1</v>
      </c>
      <c r="D21" s="145" t="s">
        <v>208</v>
      </c>
      <c r="E21" s="147" t="s">
        <v>209</v>
      </c>
      <c r="F21" s="145" t="s">
        <v>201</v>
      </c>
      <c r="G21" s="145"/>
      <c r="H21" s="145" t="s">
        <v>184</v>
      </c>
      <c r="I21" s="145"/>
      <c r="J21" s="145">
        <v>3</v>
      </c>
      <c r="K21" s="145">
        <f>J21*12</f>
        <v>36</v>
      </c>
      <c r="L21" s="145">
        <f>36*J21</f>
        <v>108</v>
      </c>
      <c r="M21" s="145">
        <f>SUM(K21:L21)</f>
        <v>144</v>
      </c>
      <c r="N21" s="152" t="s">
        <v>210</v>
      </c>
      <c r="O21" s="147" t="s">
        <v>186</v>
      </c>
      <c r="P21" s="147" t="s">
        <v>207</v>
      </c>
      <c r="Q21" s="152" t="s">
        <v>188</v>
      </c>
    </row>
    <row r="22" spans="1:17" s="55" customFormat="1" ht="49.5" x14ac:dyDescent="0.35">
      <c r="A22" s="24" t="str">
        <f>_xlfn.XLOOKUP(B22,'Paso 3 Redacción RA '!I$3:I$12,'Paso 3 Redacción RA '!C$3:C$12,,0,1)</f>
        <v>Saberhacer</v>
      </c>
      <c r="B22" s="16" t="s">
        <v>89</v>
      </c>
      <c r="C22" s="122"/>
      <c r="D22" s="122"/>
      <c r="E22" s="148"/>
      <c r="F22" s="122"/>
      <c r="G22" s="122"/>
      <c r="H22" s="122"/>
      <c r="I22" s="122"/>
      <c r="J22" s="122"/>
      <c r="K22" s="122"/>
      <c r="L22" s="122"/>
      <c r="M22" s="122"/>
      <c r="N22" s="153"/>
      <c r="O22" s="148"/>
      <c r="P22" s="148"/>
      <c r="Q22" s="153"/>
    </row>
    <row r="23" spans="1:17" s="55" customFormat="1" ht="49.5" x14ac:dyDescent="0.35">
      <c r="A23" s="24" t="str">
        <f>_xlfn.XLOOKUP(B23,'Paso 3 Redacción RA '!I$3:I$12,'Paso 3 Redacción RA '!C$3:C$12,,0,1)</f>
        <v>Saberser</v>
      </c>
      <c r="B23" s="16" t="s">
        <v>93</v>
      </c>
      <c r="C23" s="122"/>
      <c r="D23" s="122"/>
      <c r="E23" s="148"/>
      <c r="F23" s="122"/>
      <c r="G23" s="122"/>
      <c r="H23" s="122"/>
      <c r="I23" s="122"/>
      <c r="J23" s="122"/>
      <c r="K23" s="122"/>
      <c r="L23" s="122"/>
      <c r="M23" s="122"/>
      <c r="N23" s="153"/>
      <c r="O23" s="148"/>
      <c r="P23" s="148"/>
      <c r="Q23" s="153"/>
    </row>
    <row r="24" spans="1:17" s="55" customFormat="1" ht="33.5" thickBot="1" x14ac:dyDescent="0.4">
      <c r="A24" s="95" t="str">
        <f>_xlfn.XLOOKUP(B24,'Paso 3 Redacción RA '!I$3:I$12,'Paso 3 Redacción RA '!C$3:C$12,,0,1)</f>
        <v>Saberhacer</v>
      </c>
      <c r="B24" s="26" t="s">
        <v>101</v>
      </c>
      <c r="C24" s="146"/>
      <c r="D24" s="146"/>
      <c r="E24" s="149"/>
      <c r="F24" s="146"/>
      <c r="G24" s="146"/>
      <c r="H24" s="146"/>
      <c r="I24" s="146"/>
      <c r="J24" s="146"/>
      <c r="K24" s="146"/>
      <c r="L24" s="146"/>
      <c r="M24" s="146"/>
      <c r="N24" s="154"/>
      <c r="O24" s="149"/>
      <c r="P24" s="149"/>
      <c r="Q24" s="154"/>
    </row>
    <row r="25" spans="1:17" s="55" customFormat="1" ht="49.5" x14ac:dyDescent="0.35">
      <c r="A25" s="24" t="str">
        <f>_xlfn.XLOOKUP(B25,'Paso 3 Redacción RA '!I$3:I$12,'Paso 3 Redacción RA '!C$3:C$12,,0,1)</f>
        <v>Saber</v>
      </c>
      <c r="B25" s="16" t="s">
        <v>86</v>
      </c>
      <c r="C25" s="145">
        <v>2</v>
      </c>
      <c r="D25" s="145" t="s">
        <v>211</v>
      </c>
      <c r="E25" s="152" t="s">
        <v>212</v>
      </c>
      <c r="F25" s="145" t="s">
        <v>183</v>
      </c>
      <c r="G25" s="145"/>
      <c r="H25" s="145" t="s">
        <v>184</v>
      </c>
      <c r="I25" s="145"/>
      <c r="J25" s="145">
        <v>3</v>
      </c>
      <c r="K25" s="145">
        <f>J25*12</f>
        <v>36</v>
      </c>
      <c r="L25" s="145">
        <f>36*J25</f>
        <v>108</v>
      </c>
      <c r="M25" s="145">
        <f>SUM(K25:L25)</f>
        <v>144</v>
      </c>
      <c r="N25" s="152" t="s">
        <v>213</v>
      </c>
      <c r="O25" s="152" t="s">
        <v>186</v>
      </c>
      <c r="P25" s="152" t="s">
        <v>207</v>
      </c>
      <c r="Q25" s="152" t="s">
        <v>188</v>
      </c>
    </row>
    <row r="26" spans="1:17" s="55" customFormat="1" ht="49.5" x14ac:dyDescent="0.35">
      <c r="A26" s="24" t="str">
        <f>_xlfn.XLOOKUP(B26,'Paso 3 Redacción RA '!I$3:I$12,'Paso 3 Redacción RA '!C$3:C$12,,0,1)</f>
        <v>Saberhacer</v>
      </c>
      <c r="B26" s="16" t="s">
        <v>89</v>
      </c>
      <c r="C26" s="122"/>
      <c r="D26" s="122"/>
      <c r="E26" s="153"/>
      <c r="F26" s="122"/>
      <c r="G26" s="122"/>
      <c r="H26" s="122"/>
      <c r="I26" s="122"/>
      <c r="J26" s="122"/>
      <c r="K26" s="122"/>
      <c r="L26" s="122"/>
      <c r="M26" s="122"/>
      <c r="N26" s="153"/>
      <c r="O26" s="153"/>
      <c r="P26" s="153"/>
      <c r="Q26" s="153"/>
    </row>
    <row r="27" spans="1:17" s="55" customFormat="1" ht="49.5" x14ac:dyDescent="0.35">
      <c r="A27" s="24" t="str">
        <f>_xlfn.XLOOKUP(B27,'Paso 3 Redacción RA '!I$3:I$12,'Paso 3 Redacción RA '!C$3:C$12,,0,1)</f>
        <v>Saberser</v>
      </c>
      <c r="B27" s="16" t="s">
        <v>93</v>
      </c>
      <c r="C27" s="122"/>
      <c r="D27" s="122"/>
      <c r="E27" s="153"/>
      <c r="F27" s="122"/>
      <c r="G27" s="122"/>
      <c r="H27" s="122"/>
      <c r="I27" s="122"/>
      <c r="J27" s="122"/>
      <c r="K27" s="122"/>
      <c r="L27" s="122"/>
      <c r="M27" s="122"/>
      <c r="N27" s="153"/>
      <c r="O27" s="153"/>
      <c r="P27" s="153"/>
      <c r="Q27" s="153"/>
    </row>
    <row r="28" spans="1:17" s="55" customFormat="1" ht="33.5" thickBot="1" x14ac:dyDescent="0.4">
      <c r="A28" s="95" t="str">
        <f>_xlfn.XLOOKUP(B28,'Paso 3 Redacción RA '!I$3:I$12,'Paso 3 Redacción RA '!C$3:C$12,,0,1)</f>
        <v>Saberhacer</v>
      </c>
      <c r="B28" s="26" t="s">
        <v>101</v>
      </c>
      <c r="C28" s="122"/>
      <c r="D28" s="122"/>
      <c r="E28" s="153"/>
      <c r="F28" s="122"/>
      <c r="G28" s="122"/>
      <c r="H28" s="122"/>
      <c r="I28" s="122"/>
      <c r="J28" s="122"/>
      <c r="K28" s="122"/>
      <c r="L28" s="122"/>
      <c r="M28" s="122"/>
      <c r="N28" s="153"/>
      <c r="O28" s="153"/>
      <c r="P28" s="153"/>
      <c r="Q28" s="153"/>
    </row>
    <row r="29" spans="1:17" s="55" customFormat="1" ht="49.5" x14ac:dyDescent="0.35">
      <c r="A29" s="24" t="str">
        <f>_xlfn.XLOOKUP(B29,'Paso 3 Redacción RA '!I$3:I$12,'Paso 3 Redacción RA '!C$3:C$12,,0,1)</f>
        <v>Saber</v>
      </c>
      <c r="B29" s="16" t="s">
        <v>86</v>
      </c>
      <c r="C29" s="145">
        <v>2</v>
      </c>
      <c r="D29" s="145" t="s">
        <v>214</v>
      </c>
      <c r="E29" s="152" t="s">
        <v>215</v>
      </c>
      <c r="F29" s="145" t="s">
        <v>183</v>
      </c>
      <c r="G29" s="145"/>
      <c r="H29" s="145" t="s">
        <v>184</v>
      </c>
      <c r="I29" s="145"/>
      <c r="J29" s="145">
        <v>3</v>
      </c>
      <c r="K29" s="145">
        <f>J29*12</f>
        <v>36</v>
      </c>
      <c r="L29" s="145">
        <f>36*J29</f>
        <v>108</v>
      </c>
      <c r="M29" s="145">
        <f>SUM(K29:L29)</f>
        <v>144</v>
      </c>
      <c r="N29" s="152" t="s">
        <v>216</v>
      </c>
      <c r="O29" s="152" t="s">
        <v>186</v>
      </c>
      <c r="P29" s="152" t="s">
        <v>207</v>
      </c>
      <c r="Q29" s="152" t="s">
        <v>188</v>
      </c>
    </row>
    <row r="30" spans="1:17" s="55" customFormat="1" ht="49.5" x14ac:dyDescent="0.35">
      <c r="A30" s="24" t="str">
        <f>_xlfn.XLOOKUP(B30,'Paso 3 Redacción RA '!I$3:I$12,'Paso 3 Redacción RA '!C$3:C$12,,0,1)</f>
        <v>Saberhacer</v>
      </c>
      <c r="B30" s="16" t="s">
        <v>89</v>
      </c>
      <c r="C30" s="122"/>
      <c r="D30" s="122"/>
      <c r="E30" s="153"/>
      <c r="F30" s="122"/>
      <c r="G30" s="122"/>
      <c r="H30" s="122"/>
      <c r="I30" s="122"/>
      <c r="J30" s="122"/>
      <c r="K30" s="122"/>
      <c r="L30" s="122"/>
      <c r="M30" s="122"/>
      <c r="N30" s="153"/>
      <c r="O30" s="153"/>
      <c r="P30" s="153"/>
      <c r="Q30" s="153"/>
    </row>
    <row r="31" spans="1:17" s="55" customFormat="1" ht="49.5" x14ac:dyDescent="0.35">
      <c r="A31" s="24" t="str">
        <f>_xlfn.XLOOKUP(B31,'Paso 3 Redacción RA '!I$3:I$12,'Paso 3 Redacción RA '!C$3:C$12,,0,1)</f>
        <v>Saberser</v>
      </c>
      <c r="B31" s="16" t="s">
        <v>93</v>
      </c>
      <c r="C31" s="122"/>
      <c r="D31" s="122"/>
      <c r="E31" s="153"/>
      <c r="F31" s="122"/>
      <c r="G31" s="122"/>
      <c r="H31" s="122"/>
      <c r="I31" s="122"/>
      <c r="J31" s="122"/>
      <c r="K31" s="122"/>
      <c r="L31" s="122"/>
      <c r="M31" s="122"/>
      <c r="N31" s="153"/>
      <c r="O31" s="153"/>
      <c r="P31" s="153"/>
      <c r="Q31" s="153"/>
    </row>
    <row r="32" spans="1:17" s="55" customFormat="1" ht="33.5" thickBot="1" x14ac:dyDescent="0.4">
      <c r="A32" s="95" t="str">
        <f>_xlfn.XLOOKUP(B32,'Paso 3 Redacción RA '!I$3:I$12,'Paso 3 Redacción RA '!C$3:C$12,,0,1)</f>
        <v>Saberhacer</v>
      </c>
      <c r="B32" s="26" t="s">
        <v>101</v>
      </c>
      <c r="C32" s="122"/>
      <c r="D32" s="122"/>
      <c r="E32" s="153"/>
      <c r="F32" s="122"/>
      <c r="G32" s="122"/>
      <c r="H32" s="122"/>
      <c r="I32" s="122"/>
      <c r="J32" s="122"/>
      <c r="K32" s="122"/>
      <c r="L32" s="122"/>
      <c r="M32" s="122"/>
      <c r="N32" s="153"/>
      <c r="O32" s="153"/>
      <c r="P32" s="153"/>
      <c r="Q32" s="153"/>
    </row>
    <row r="33" spans="1:17" s="55" customFormat="1" ht="49.5" x14ac:dyDescent="0.35">
      <c r="A33" s="24" t="str">
        <f>_xlfn.XLOOKUP(B33,'Paso 3 Redacción RA '!I$3:I$12,'Paso 3 Redacción RA '!C$3:C$12,,0,1)</f>
        <v>Saberhacer</v>
      </c>
      <c r="B33" s="16" t="s">
        <v>89</v>
      </c>
      <c r="C33" s="145">
        <v>2</v>
      </c>
      <c r="D33" s="145" t="s">
        <v>217</v>
      </c>
      <c r="E33" s="147" t="s">
        <v>218</v>
      </c>
      <c r="F33" s="145" t="s">
        <v>201</v>
      </c>
      <c r="G33" s="145"/>
      <c r="H33" s="145" t="s">
        <v>184</v>
      </c>
      <c r="I33" s="145"/>
      <c r="J33" s="145">
        <v>3</v>
      </c>
      <c r="K33" s="145">
        <f>J33*12</f>
        <v>36</v>
      </c>
      <c r="L33" s="145">
        <f>36*J33</f>
        <v>108</v>
      </c>
      <c r="M33" s="145">
        <f>SUM(K33:L33)</f>
        <v>144</v>
      </c>
      <c r="N33" s="152" t="s">
        <v>219</v>
      </c>
      <c r="O33" s="152" t="s">
        <v>186</v>
      </c>
      <c r="P33" s="152" t="s">
        <v>203</v>
      </c>
      <c r="Q33" s="152" t="s">
        <v>188</v>
      </c>
    </row>
    <row r="34" spans="1:17" s="55" customFormat="1" ht="49.5" x14ac:dyDescent="0.35">
      <c r="A34" s="24" t="str">
        <f>_xlfn.XLOOKUP(B34,'Paso 3 Redacción RA '!I$3:I$12,'Paso 3 Redacción RA '!C$3:C$12,,0,1)</f>
        <v>Saberser</v>
      </c>
      <c r="B34" s="16" t="s">
        <v>93</v>
      </c>
      <c r="C34" s="122"/>
      <c r="D34" s="122"/>
      <c r="E34" s="148"/>
      <c r="F34" s="122"/>
      <c r="G34" s="122"/>
      <c r="H34" s="122"/>
      <c r="I34" s="122"/>
      <c r="J34" s="122"/>
      <c r="K34" s="122"/>
      <c r="L34" s="122"/>
      <c r="M34" s="122"/>
      <c r="N34" s="153"/>
      <c r="O34" s="153"/>
      <c r="P34" s="153"/>
      <c r="Q34" s="153"/>
    </row>
    <row r="35" spans="1:17" s="55" customFormat="1" ht="49.5" x14ac:dyDescent="0.35">
      <c r="A35" s="24" t="str">
        <f>_xlfn.XLOOKUP(B35,'Paso 3 Redacción RA '!I$3:I$12,'Paso 3 Redacción RA '!C$3:C$12,,0,1)</f>
        <v>Saberhacer</v>
      </c>
      <c r="B35" s="16" t="s">
        <v>94</v>
      </c>
      <c r="C35" s="122"/>
      <c r="D35" s="122"/>
      <c r="E35" s="148"/>
      <c r="F35" s="122"/>
      <c r="G35" s="122"/>
      <c r="H35" s="122"/>
      <c r="I35" s="122"/>
      <c r="J35" s="122"/>
      <c r="K35" s="122"/>
      <c r="L35" s="122"/>
      <c r="M35" s="122"/>
      <c r="N35" s="153"/>
      <c r="O35" s="153"/>
      <c r="P35" s="153"/>
      <c r="Q35" s="153"/>
    </row>
    <row r="36" spans="1:17" s="55" customFormat="1" ht="49.5" x14ac:dyDescent="0.35">
      <c r="A36" s="24" t="str">
        <f>_xlfn.XLOOKUP(B36,'Paso 3 Redacción RA '!I$3:I$12,'Paso 3 Redacción RA '!C$3:C$12,,0,1)</f>
        <v>Saber</v>
      </c>
      <c r="B36" s="16" t="s">
        <v>98</v>
      </c>
      <c r="C36" s="122"/>
      <c r="D36" s="122"/>
      <c r="E36" s="148"/>
      <c r="F36" s="122"/>
      <c r="G36" s="122"/>
      <c r="H36" s="122"/>
      <c r="I36" s="122"/>
      <c r="J36" s="122"/>
      <c r="K36" s="122"/>
      <c r="L36" s="122"/>
      <c r="M36" s="122"/>
      <c r="N36" s="153"/>
      <c r="O36" s="153"/>
      <c r="P36" s="153"/>
      <c r="Q36" s="153"/>
    </row>
    <row r="37" spans="1:17" s="55" customFormat="1" ht="33.5" thickBot="1" x14ac:dyDescent="0.4">
      <c r="A37" s="95" t="str">
        <f>_xlfn.XLOOKUP(B37,'Paso 3 Redacción RA '!I$3:I$12,'Paso 3 Redacción RA '!C$3:C$12,,0,1)</f>
        <v>Saberhacer</v>
      </c>
      <c r="B37" s="26" t="s">
        <v>101</v>
      </c>
      <c r="C37" s="122"/>
      <c r="D37" s="122"/>
      <c r="E37" s="148"/>
      <c r="F37" s="122"/>
      <c r="G37" s="122"/>
      <c r="H37" s="122"/>
      <c r="I37" s="122"/>
      <c r="J37" s="122"/>
      <c r="K37" s="122"/>
      <c r="L37" s="122"/>
      <c r="M37" s="122"/>
      <c r="N37" s="153"/>
      <c r="O37" s="153"/>
      <c r="P37" s="153"/>
      <c r="Q37" s="153"/>
    </row>
    <row r="38" spans="1:17" s="55" customFormat="1" ht="409.6" thickBot="1" x14ac:dyDescent="0.4">
      <c r="A38" s="90" t="str">
        <f>_xlfn.XLOOKUP(B38,'Paso 3 Redacción RA '!I$3:I$12,'Paso 3 Redacción RA '!C$3:C$12,,0,1)</f>
        <v>Saber</v>
      </c>
      <c r="B38" s="96" t="s">
        <v>106</v>
      </c>
      <c r="C38" s="78">
        <v>2</v>
      </c>
      <c r="D38" s="79" t="s">
        <v>220</v>
      </c>
      <c r="E38" s="77" t="s">
        <v>221</v>
      </c>
      <c r="F38" s="78" t="s">
        <v>183</v>
      </c>
      <c r="G38" s="79" t="s">
        <v>184</v>
      </c>
      <c r="H38" s="79"/>
      <c r="I38" s="79"/>
      <c r="J38" s="78">
        <v>3</v>
      </c>
      <c r="K38" s="78">
        <f>12*J38</f>
        <v>36</v>
      </c>
      <c r="L38" s="78">
        <f>36*J38</f>
        <v>108</v>
      </c>
      <c r="M38" s="78">
        <f>SUM(K38:L38)</f>
        <v>144</v>
      </c>
      <c r="N38" s="80" t="s">
        <v>222</v>
      </c>
      <c r="O38" s="84" t="s">
        <v>192</v>
      </c>
      <c r="P38" s="84" t="s">
        <v>198</v>
      </c>
      <c r="Q38" s="77" t="s">
        <v>188</v>
      </c>
    </row>
    <row r="39" spans="1:17" s="55" customFormat="1" ht="49.5" x14ac:dyDescent="0.35">
      <c r="A39" s="24" t="str">
        <f>_xlfn.XLOOKUP(B39,'Paso 3 Redacción RA '!I$3:I$12,'Paso 3 Redacción RA '!C$3:C$12,,0,1)</f>
        <v>Saber</v>
      </c>
      <c r="B39" s="16" t="s">
        <v>86</v>
      </c>
      <c r="C39" s="145">
        <v>2</v>
      </c>
      <c r="D39" s="145" t="s">
        <v>223</v>
      </c>
      <c r="E39" s="147" t="s">
        <v>224</v>
      </c>
      <c r="F39" s="145" t="s">
        <v>183</v>
      </c>
      <c r="G39" s="145"/>
      <c r="H39" s="145" t="s">
        <v>184</v>
      </c>
      <c r="I39" s="145"/>
      <c r="J39" s="145">
        <v>3</v>
      </c>
      <c r="K39" s="145">
        <f>J39*12</f>
        <v>36</v>
      </c>
      <c r="L39" s="145">
        <f>36*J39</f>
        <v>108</v>
      </c>
      <c r="M39" s="145">
        <f>SUM(K39:L39)</f>
        <v>144</v>
      </c>
      <c r="N39" s="152" t="s">
        <v>225</v>
      </c>
      <c r="O39" s="152" t="s">
        <v>186</v>
      </c>
      <c r="P39" s="152" t="s">
        <v>207</v>
      </c>
      <c r="Q39" s="152" t="s">
        <v>188</v>
      </c>
    </row>
    <row r="40" spans="1:17" s="55" customFormat="1" ht="49.5" x14ac:dyDescent="0.35">
      <c r="A40" s="24" t="str">
        <f>_xlfn.XLOOKUP(B40,'Paso 3 Redacción RA '!I$3:I$12,'Paso 3 Redacción RA '!C$3:C$12,,0,1)</f>
        <v>Saberhacer</v>
      </c>
      <c r="B40" s="16" t="s">
        <v>89</v>
      </c>
      <c r="C40" s="122"/>
      <c r="D40" s="122"/>
      <c r="E40" s="148"/>
      <c r="F40" s="122"/>
      <c r="G40" s="122"/>
      <c r="H40" s="122"/>
      <c r="I40" s="122"/>
      <c r="J40" s="122"/>
      <c r="K40" s="122"/>
      <c r="L40" s="122"/>
      <c r="M40" s="122"/>
      <c r="N40" s="153"/>
      <c r="O40" s="153"/>
      <c r="P40" s="153"/>
      <c r="Q40" s="153"/>
    </row>
    <row r="41" spans="1:17" s="55" customFormat="1" ht="49.5" x14ac:dyDescent="0.35">
      <c r="A41" s="24" t="str">
        <f>_xlfn.XLOOKUP(B41,'Paso 3 Redacción RA '!I$3:I$12,'Paso 3 Redacción RA '!C$3:C$12,,0,1)</f>
        <v>Saberser</v>
      </c>
      <c r="B41" s="16" t="s">
        <v>93</v>
      </c>
      <c r="C41" s="122"/>
      <c r="D41" s="122"/>
      <c r="E41" s="148"/>
      <c r="F41" s="122"/>
      <c r="G41" s="122"/>
      <c r="H41" s="122"/>
      <c r="I41" s="122"/>
      <c r="J41" s="122"/>
      <c r="K41" s="122"/>
      <c r="L41" s="122"/>
      <c r="M41" s="122"/>
      <c r="N41" s="153"/>
      <c r="O41" s="153"/>
      <c r="P41" s="153"/>
      <c r="Q41" s="153"/>
    </row>
    <row r="42" spans="1:17" s="55" customFormat="1" ht="49.5" x14ac:dyDescent="0.35">
      <c r="A42" s="24" t="str">
        <f>_xlfn.XLOOKUP(B42,'Paso 3 Redacción RA '!I$3:I$12,'Paso 3 Redacción RA '!C$3:C$12,,0,1)</f>
        <v>Saberhacer</v>
      </c>
      <c r="B42" s="16" t="s">
        <v>94</v>
      </c>
      <c r="C42" s="122"/>
      <c r="D42" s="122"/>
      <c r="E42" s="148"/>
      <c r="F42" s="122"/>
      <c r="G42" s="122"/>
      <c r="H42" s="122"/>
      <c r="I42" s="122"/>
      <c r="J42" s="122"/>
      <c r="K42" s="122"/>
      <c r="L42" s="122"/>
      <c r="M42" s="122"/>
      <c r="N42" s="153"/>
      <c r="O42" s="153"/>
      <c r="P42" s="153"/>
      <c r="Q42" s="153"/>
    </row>
    <row r="43" spans="1:17" s="55" customFormat="1" ht="33.5" thickBot="1" x14ac:dyDescent="0.4">
      <c r="A43" s="95" t="str">
        <f>_xlfn.XLOOKUP(B43,'Paso 3 Redacción RA '!I$3:I$12,'Paso 3 Redacción RA '!C$3:C$12,,0,1)</f>
        <v>Saberhacer</v>
      </c>
      <c r="B43" s="26" t="s">
        <v>101</v>
      </c>
      <c r="C43" s="122"/>
      <c r="D43" s="122"/>
      <c r="E43" s="148"/>
      <c r="F43" s="122"/>
      <c r="G43" s="122"/>
      <c r="H43" s="122"/>
      <c r="I43" s="122"/>
      <c r="J43" s="122"/>
      <c r="K43" s="122"/>
      <c r="L43" s="122"/>
      <c r="M43" s="122"/>
      <c r="N43" s="153"/>
      <c r="O43" s="153"/>
      <c r="P43" s="153"/>
      <c r="Q43" s="153"/>
    </row>
    <row r="44" spans="1:17" s="55" customFormat="1" ht="49.5" x14ac:dyDescent="0.35">
      <c r="A44" s="24" t="str">
        <f>_xlfn.XLOOKUP(B44,'Paso 3 Redacción RA '!I$3:I$12,'Paso 3 Redacción RA '!C$3:C$12,,0,1)</f>
        <v>Saber</v>
      </c>
      <c r="B44" s="16" t="s">
        <v>86</v>
      </c>
      <c r="C44" s="145">
        <v>2</v>
      </c>
      <c r="D44" s="145" t="s">
        <v>226</v>
      </c>
      <c r="E44" s="156" t="s">
        <v>227</v>
      </c>
      <c r="F44" s="145" t="s">
        <v>183</v>
      </c>
      <c r="G44" s="145"/>
      <c r="H44" s="145" t="s">
        <v>184</v>
      </c>
      <c r="I44" s="145"/>
      <c r="J44" s="145">
        <v>3</v>
      </c>
      <c r="K44" s="145">
        <f>J44*12</f>
        <v>36</v>
      </c>
      <c r="L44" s="145">
        <f>36*J44</f>
        <v>108</v>
      </c>
      <c r="M44" s="145">
        <f>SUM(K44:L44)</f>
        <v>144</v>
      </c>
      <c r="N44" s="152" t="s">
        <v>228</v>
      </c>
      <c r="O44" s="152" t="s">
        <v>186</v>
      </c>
      <c r="P44" s="152" t="s">
        <v>207</v>
      </c>
      <c r="Q44" s="152" t="s">
        <v>188</v>
      </c>
    </row>
    <row r="45" spans="1:17" s="55" customFormat="1" ht="49.5" x14ac:dyDescent="0.35">
      <c r="A45" s="24" t="str">
        <f>_xlfn.XLOOKUP(B45,'Paso 3 Redacción RA '!I$3:I$12,'Paso 3 Redacción RA '!C$3:C$12,,0,1)</f>
        <v>Saberhacer</v>
      </c>
      <c r="B45" s="16" t="s">
        <v>89</v>
      </c>
      <c r="C45" s="122"/>
      <c r="D45" s="122"/>
      <c r="E45" s="157"/>
      <c r="F45" s="122"/>
      <c r="G45" s="122"/>
      <c r="H45" s="122"/>
      <c r="I45" s="122"/>
      <c r="J45" s="122"/>
      <c r="K45" s="122"/>
      <c r="L45" s="122"/>
      <c r="M45" s="122"/>
      <c r="N45" s="153"/>
      <c r="O45" s="153"/>
      <c r="P45" s="153"/>
      <c r="Q45" s="153"/>
    </row>
    <row r="46" spans="1:17" s="55" customFormat="1" ht="49.5" x14ac:dyDescent="0.35">
      <c r="A46" s="24" t="str">
        <f>_xlfn.XLOOKUP(B46,'Paso 3 Redacción RA '!I$3:I$12,'Paso 3 Redacción RA '!C$3:C$12,,0,1)</f>
        <v>Saberser</v>
      </c>
      <c r="B46" s="16" t="s">
        <v>93</v>
      </c>
      <c r="C46" s="122"/>
      <c r="D46" s="122"/>
      <c r="E46" s="157"/>
      <c r="F46" s="122"/>
      <c r="G46" s="122"/>
      <c r="H46" s="122"/>
      <c r="I46" s="122"/>
      <c r="J46" s="122"/>
      <c r="K46" s="122"/>
      <c r="L46" s="122"/>
      <c r="M46" s="122"/>
      <c r="N46" s="153"/>
      <c r="O46" s="153"/>
      <c r="P46" s="153"/>
      <c r="Q46" s="153"/>
    </row>
    <row r="47" spans="1:17" s="55" customFormat="1" ht="33" x14ac:dyDescent="0.35">
      <c r="A47" s="95" t="str">
        <f>_xlfn.XLOOKUP(B47,'Paso 3 Redacción RA '!I$3:I$12,'Paso 3 Redacción RA '!C$3:C$12,,0,1)</f>
        <v>Saberhacer</v>
      </c>
      <c r="B47" s="26" t="s">
        <v>101</v>
      </c>
      <c r="C47" s="122"/>
      <c r="D47" s="122"/>
      <c r="E47" s="157"/>
      <c r="F47" s="122"/>
      <c r="G47" s="122"/>
      <c r="H47" s="122"/>
      <c r="I47" s="122"/>
      <c r="J47" s="122"/>
      <c r="K47" s="122"/>
      <c r="L47" s="122"/>
      <c r="M47" s="122"/>
      <c r="N47" s="153"/>
      <c r="O47" s="153"/>
      <c r="P47" s="153"/>
      <c r="Q47" s="153"/>
    </row>
    <row r="48" spans="1:17" s="108" customFormat="1" ht="49.5" x14ac:dyDescent="0.35">
      <c r="A48" s="24" t="str">
        <f>_xlfn.XLOOKUP(B48,'Paso 3 Redacción RA '!I$3:I$12,'Paso 3 Redacción RA '!C$3:C$12,,0,1)</f>
        <v>Saber</v>
      </c>
      <c r="B48" s="107" t="s">
        <v>86</v>
      </c>
      <c r="C48" s="139">
        <v>3</v>
      </c>
      <c r="D48" s="145" t="s">
        <v>229</v>
      </c>
      <c r="E48" s="147" t="s">
        <v>230</v>
      </c>
      <c r="F48" s="139" t="s">
        <v>183</v>
      </c>
      <c r="G48" s="139"/>
      <c r="H48" s="139" t="s">
        <v>184</v>
      </c>
      <c r="I48" s="139"/>
      <c r="J48" s="139">
        <v>3</v>
      </c>
      <c r="K48" s="139">
        <v>36</v>
      </c>
      <c r="L48" s="139">
        <f>36*J48</f>
        <v>108</v>
      </c>
      <c r="M48" s="139">
        <f>SUM(K48:L48)</f>
        <v>144</v>
      </c>
      <c r="N48" s="147" t="s">
        <v>231</v>
      </c>
      <c r="O48" s="147" t="s">
        <v>186</v>
      </c>
      <c r="P48" s="147" t="s">
        <v>203</v>
      </c>
      <c r="Q48" s="147" t="s">
        <v>232</v>
      </c>
    </row>
    <row r="49" spans="1:17" s="108" customFormat="1" ht="49.5" x14ac:dyDescent="0.35">
      <c r="A49" s="24" t="str">
        <f>_xlfn.XLOOKUP(B49,'Paso 3 Redacción RA '!I$3:I$12,'Paso 3 Redacción RA '!C$3:C$12,,0,1)</f>
        <v>Saberhacer</v>
      </c>
      <c r="B49" s="107" t="s">
        <v>89</v>
      </c>
      <c r="C49" s="140"/>
      <c r="D49" s="122"/>
      <c r="E49" s="148"/>
      <c r="F49" s="140"/>
      <c r="G49" s="140"/>
      <c r="H49" s="140"/>
      <c r="I49" s="140"/>
      <c r="J49" s="140"/>
      <c r="K49" s="140"/>
      <c r="L49" s="140"/>
      <c r="M49" s="140"/>
      <c r="N49" s="148"/>
      <c r="O49" s="148"/>
      <c r="P49" s="148"/>
      <c r="Q49" s="148"/>
    </row>
    <row r="50" spans="1:17" s="108" customFormat="1" ht="49.5" x14ac:dyDescent="0.35">
      <c r="A50" s="24" t="str">
        <f>_xlfn.XLOOKUP(B50,'Paso 3 Redacción RA '!I$3:I$12,'Paso 3 Redacción RA '!C$3:C$12,,0,1)</f>
        <v>Saberser</v>
      </c>
      <c r="B50" s="107" t="s">
        <v>93</v>
      </c>
      <c r="C50" s="140"/>
      <c r="D50" s="122"/>
      <c r="E50" s="148"/>
      <c r="F50" s="140"/>
      <c r="G50" s="140"/>
      <c r="H50" s="140"/>
      <c r="I50" s="140"/>
      <c r="J50" s="140"/>
      <c r="K50" s="140"/>
      <c r="L50" s="140"/>
      <c r="M50" s="140"/>
      <c r="N50" s="148"/>
      <c r="O50" s="148"/>
      <c r="P50" s="148"/>
      <c r="Q50" s="148"/>
    </row>
    <row r="51" spans="1:17" s="108" customFormat="1" ht="49.5" x14ac:dyDescent="0.35">
      <c r="A51" s="24" t="str">
        <f>_xlfn.XLOOKUP(B51,'Paso 3 Redacción RA '!I$3:I$12,'Paso 3 Redacción RA '!C$3:C$12,,0,1)</f>
        <v>Saberhacer</v>
      </c>
      <c r="B51" s="107" t="s">
        <v>94</v>
      </c>
      <c r="C51" s="140"/>
      <c r="D51" s="122"/>
      <c r="E51" s="148"/>
      <c r="F51" s="140"/>
      <c r="G51" s="140"/>
      <c r="H51" s="140"/>
      <c r="I51" s="140"/>
      <c r="J51" s="140"/>
      <c r="K51" s="140"/>
      <c r="L51" s="140"/>
      <c r="M51" s="140"/>
      <c r="N51" s="148"/>
      <c r="O51" s="148"/>
      <c r="P51" s="148"/>
      <c r="Q51" s="148"/>
    </row>
    <row r="52" spans="1:17" s="108" customFormat="1" ht="33.5" thickBot="1" x14ac:dyDescent="0.4">
      <c r="A52" s="95" t="str">
        <f>_xlfn.XLOOKUP(B52,'Paso 3 Redacción RA '!I$3:I$12,'Paso 3 Redacción RA '!C$3:C$12,,0,1)</f>
        <v>Saberhacer</v>
      </c>
      <c r="B52" s="109" t="s">
        <v>101</v>
      </c>
      <c r="C52" s="140"/>
      <c r="D52" s="122"/>
      <c r="E52" s="148"/>
      <c r="F52" s="140"/>
      <c r="G52" s="140"/>
      <c r="H52" s="140"/>
      <c r="I52" s="140"/>
      <c r="J52" s="140"/>
      <c r="K52" s="140"/>
      <c r="L52" s="140"/>
      <c r="M52" s="140"/>
      <c r="N52" s="148"/>
      <c r="O52" s="148"/>
      <c r="P52" s="148"/>
      <c r="Q52" s="148"/>
    </row>
    <row r="53" spans="1:17" s="55" customFormat="1" ht="363.5" thickBot="1" x14ac:dyDescent="0.4">
      <c r="A53" s="90" t="str">
        <f>_xlfn.XLOOKUP(B53,'Paso 3 Redacción RA '!I$3:I$12,'Paso 3 Redacción RA '!C$3:C$12,,0,1)</f>
        <v>Saber</v>
      </c>
      <c r="B53" s="96" t="s">
        <v>106</v>
      </c>
      <c r="C53" s="78">
        <v>3</v>
      </c>
      <c r="D53" s="79" t="s">
        <v>233</v>
      </c>
      <c r="E53" s="77" t="s">
        <v>234</v>
      </c>
      <c r="F53" s="78" t="s">
        <v>183</v>
      </c>
      <c r="G53" s="79" t="s">
        <v>184</v>
      </c>
      <c r="H53" s="79"/>
      <c r="I53" s="79"/>
      <c r="J53" s="78">
        <v>3</v>
      </c>
      <c r="K53" s="78">
        <f>12*J53</f>
        <v>36</v>
      </c>
      <c r="L53" s="78">
        <f>36*J53</f>
        <v>108</v>
      </c>
      <c r="M53" s="78">
        <f>SUM(K53:L53)</f>
        <v>144</v>
      </c>
      <c r="N53" s="77" t="s">
        <v>235</v>
      </c>
      <c r="O53" s="84" t="s">
        <v>192</v>
      </c>
      <c r="P53" s="84" t="s">
        <v>236</v>
      </c>
      <c r="Q53" s="77" t="s">
        <v>188</v>
      </c>
    </row>
    <row r="54" spans="1:17" s="55" customFormat="1" ht="49.5" x14ac:dyDescent="0.35">
      <c r="A54" s="24" t="str">
        <f>_xlfn.XLOOKUP(B54,'Paso 3 Redacción RA '!I$3:I$12,'Paso 3 Redacción RA '!C$3:C$12,,0,1)</f>
        <v>Saber</v>
      </c>
      <c r="B54" s="107" t="s">
        <v>86</v>
      </c>
      <c r="C54" s="145">
        <v>3</v>
      </c>
      <c r="D54" s="145" t="s">
        <v>237</v>
      </c>
      <c r="E54" s="147" t="s">
        <v>238</v>
      </c>
      <c r="F54" s="145" t="s">
        <v>183</v>
      </c>
      <c r="G54" s="145"/>
      <c r="H54" s="145" t="s">
        <v>184</v>
      </c>
      <c r="I54" s="145"/>
      <c r="J54" s="145">
        <v>3</v>
      </c>
      <c r="K54" s="145">
        <f>J54*12</f>
        <v>36</v>
      </c>
      <c r="L54" s="145">
        <f>36*J54</f>
        <v>108</v>
      </c>
      <c r="M54" s="145">
        <f>SUM(K54:L54)</f>
        <v>144</v>
      </c>
      <c r="N54" s="152" t="s">
        <v>239</v>
      </c>
      <c r="O54" s="152" t="s">
        <v>186</v>
      </c>
      <c r="P54" s="147" t="s">
        <v>207</v>
      </c>
      <c r="Q54" s="152" t="s">
        <v>188</v>
      </c>
    </row>
    <row r="55" spans="1:17" s="55" customFormat="1" ht="49.5" x14ac:dyDescent="0.35">
      <c r="A55" s="24" t="str">
        <f>_xlfn.XLOOKUP(B55,'Paso 3 Redacción RA '!I$3:I$12,'Paso 3 Redacción RA '!C$3:C$12,,0,1)</f>
        <v>Saberhacer</v>
      </c>
      <c r="B55" s="107" t="s">
        <v>89</v>
      </c>
      <c r="C55" s="122"/>
      <c r="D55" s="122"/>
      <c r="E55" s="148"/>
      <c r="F55" s="122"/>
      <c r="G55" s="122"/>
      <c r="H55" s="122"/>
      <c r="I55" s="122"/>
      <c r="J55" s="122"/>
      <c r="K55" s="122"/>
      <c r="L55" s="122"/>
      <c r="M55" s="122"/>
      <c r="N55" s="153"/>
      <c r="O55" s="153"/>
      <c r="P55" s="148"/>
      <c r="Q55" s="153"/>
    </row>
    <row r="56" spans="1:17" s="55" customFormat="1" ht="49.5" x14ac:dyDescent="0.35">
      <c r="A56" s="24" t="str">
        <f>_xlfn.XLOOKUP(B56,'Paso 3 Redacción RA '!I$3:I$12,'Paso 3 Redacción RA '!C$3:C$12,,0,1)</f>
        <v>Saberser</v>
      </c>
      <c r="B56" s="107" t="s">
        <v>93</v>
      </c>
      <c r="C56" s="122"/>
      <c r="D56" s="122"/>
      <c r="E56" s="148"/>
      <c r="F56" s="122"/>
      <c r="G56" s="122"/>
      <c r="H56" s="122"/>
      <c r="I56" s="122"/>
      <c r="J56" s="122"/>
      <c r="K56" s="122"/>
      <c r="L56" s="122"/>
      <c r="M56" s="122"/>
      <c r="N56" s="153"/>
      <c r="O56" s="153"/>
      <c r="P56" s="148"/>
      <c r="Q56" s="153"/>
    </row>
    <row r="57" spans="1:17" s="55" customFormat="1" ht="49.5" x14ac:dyDescent="0.35">
      <c r="A57" s="24" t="str">
        <f>_xlfn.XLOOKUP(B57,'Paso 3 Redacción RA '!I$3:I$12,'Paso 3 Redacción RA '!C$3:C$12,,0,1)</f>
        <v>Saberhacer</v>
      </c>
      <c r="B57" s="107" t="s">
        <v>94</v>
      </c>
      <c r="C57" s="122"/>
      <c r="D57" s="122"/>
      <c r="E57" s="148"/>
      <c r="F57" s="122"/>
      <c r="G57" s="122"/>
      <c r="H57" s="122"/>
      <c r="I57" s="122"/>
      <c r="J57" s="122"/>
      <c r="K57" s="122"/>
      <c r="L57" s="122"/>
      <c r="M57" s="122"/>
      <c r="N57" s="153"/>
      <c r="O57" s="153"/>
      <c r="P57" s="148"/>
      <c r="Q57" s="153"/>
    </row>
    <row r="58" spans="1:17" s="55" customFormat="1" ht="33.5" thickBot="1" x14ac:dyDescent="0.4">
      <c r="A58" s="95" t="str">
        <f>_xlfn.XLOOKUP(B58,'Paso 3 Redacción RA '!I$3:I$12,'Paso 3 Redacción RA '!C$3:C$12,,0,1)</f>
        <v>Saberhacer</v>
      </c>
      <c r="B58" s="109" t="s">
        <v>101</v>
      </c>
      <c r="C58" s="122"/>
      <c r="D58" s="122"/>
      <c r="E58" s="148"/>
      <c r="F58" s="122"/>
      <c r="G58" s="122"/>
      <c r="H58" s="122"/>
      <c r="I58" s="122"/>
      <c r="J58" s="122"/>
      <c r="K58" s="122"/>
      <c r="L58" s="122"/>
      <c r="M58" s="122"/>
      <c r="N58" s="153"/>
      <c r="O58" s="153"/>
      <c r="P58" s="148"/>
      <c r="Q58" s="153"/>
    </row>
    <row r="59" spans="1:17" s="12" customFormat="1" ht="297" x14ac:dyDescent="0.35">
      <c r="A59" s="90" t="str">
        <f>_xlfn.XLOOKUP(B59,'Paso 3 Redacción RA '!I$3:I$12,'Paso 3 Redacción RA '!C$3:C$12,,0,1)</f>
        <v>Saber</v>
      </c>
      <c r="B59" s="83" t="s">
        <v>106</v>
      </c>
      <c r="C59" s="81">
        <v>3</v>
      </c>
      <c r="D59" s="79" t="s">
        <v>240</v>
      </c>
      <c r="E59" s="77" t="s">
        <v>241</v>
      </c>
      <c r="F59" s="78" t="s">
        <v>183</v>
      </c>
      <c r="G59" s="78" t="s">
        <v>184</v>
      </c>
      <c r="H59" s="78"/>
      <c r="I59" s="78"/>
      <c r="J59" s="81">
        <v>3</v>
      </c>
      <c r="K59" s="78">
        <f>12*J59</f>
        <v>36</v>
      </c>
      <c r="L59" s="78">
        <f>36*J59</f>
        <v>108</v>
      </c>
      <c r="M59" s="78">
        <f>SUM(K59:L59)</f>
        <v>144</v>
      </c>
      <c r="N59" s="77" t="s">
        <v>242</v>
      </c>
      <c r="O59" s="83" t="s">
        <v>192</v>
      </c>
      <c r="P59" s="83" t="s">
        <v>243</v>
      </c>
      <c r="Q59" s="77" t="s">
        <v>188</v>
      </c>
    </row>
    <row r="60" spans="1:17" s="55" customFormat="1" ht="49.5" x14ac:dyDescent="0.35">
      <c r="A60" s="24" t="str">
        <f>_xlfn.XLOOKUP(B60,'Paso 3 Redacción RA '!I$3:I$12,'Paso 3 Redacción RA '!C$3:C$12,,0,1)</f>
        <v>Saber</v>
      </c>
      <c r="B60" s="107" t="s">
        <v>86</v>
      </c>
      <c r="C60" s="145">
        <v>3</v>
      </c>
      <c r="D60" s="145" t="s">
        <v>244</v>
      </c>
      <c r="E60" s="147" t="s">
        <v>245</v>
      </c>
      <c r="F60" s="145" t="s">
        <v>183</v>
      </c>
      <c r="G60" s="145"/>
      <c r="H60" s="145" t="s">
        <v>184</v>
      </c>
      <c r="I60" s="145"/>
      <c r="J60" s="145">
        <v>3</v>
      </c>
      <c r="K60" s="145">
        <f>J60*12</f>
        <v>36</v>
      </c>
      <c r="L60" s="145">
        <f>36*J60</f>
        <v>108</v>
      </c>
      <c r="M60" s="145">
        <f>SUM(K60:L60)</f>
        <v>144</v>
      </c>
      <c r="N60" s="147" t="s">
        <v>246</v>
      </c>
      <c r="O60" s="152" t="s">
        <v>186</v>
      </c>
      <c r="P60" s="152" t="s">
        <v>207</v>
      </c>
      <c r="Q60" s="152" t="s">
        <v>188</v>
      </c>
    </row>
    <row r="61" spans="1:17" s="55" customFormat="1" ht="49.5" x14ac:dyDescent="0.35">
      <c r="A61" s="24" t="str">
        <f>_xlfn.XLOOKUP(B61,'Paso 3 Redacción RA '!I$3:I$12,'Paso 3 Redacción RA '!C$3:C$12,,0,1)</f>
        <v>Saberhacer</v>
      </c>
      <c r="B61" s="107" t="s">
        <v>89</v>
      </c>
      <c r="C61" s="122"/>
      <c r="D61" s="122"/>
      <c r="E61" s="148"/>
      <c r="F61" s="122"/>
      <c r="G61" s="122"/>
      <c r="H61" s="122"/>
      <c r="I61" s="122"/>
      <c r="J61" s="122"/>
      <c r="K61" s="122"/>
      <c r="L61" s="122"/>
      <c r="M61" s="122"/>
      <c r="N61" s="148"/>
      <c r="O61" s="153"/>
      <c r="P61" s="153"/>
      <c r="Q61" s="153"/>
    </row>
    <row r="62" spans="1:17" s="55" customFormat="1" ht="49.5" x14ac:dyDescent="0.35">
      <c r="A62" s="24" t="str">
        <f>_xlfn.XLOOKUP(B62,'Paso 3 Redacción RA '!I$3:I$12,'Paso 3 Redacción RA '!C$3:C$12,,0,1)</f>
        <v>Saberser</v>
      </c>
      <c r="B62" s="107" t="s">
        <v>93</v>
      </c>
      <c r="C62" s="122"/>
      <c r="D62" s="122"/>
      <c r="E62" s="148"/>
      <c r="F62" s="122"/>
      <c r="G62" s="122"/>
      <c r="H62" s="122"/>
      <c r="I62" s="122"/>
      <c r="J62" s="122"/>
      <c r="K62" s="122"/>
      <c r="L62" s="122"/>
      <c r="M62" s="122"/>
      <c r="N62" s="148"/>
      <c r="O62" s="153"/>
      <c r="P62" s="153"/>
      <c r="Q62" s="153"/>
    </row>
    <row r="63" spans="1:17" s="55" customFormat="1" ht="49.5" x14ac:dyDescent="0.35">
      <c r="A63" s="24" t="str">
        <f>_xlfn.XLOOKUP(B63,'Paso 3 Redacción RA '!I$3:I$12,'Paso 3 Redacción RA '!C$3:C$12,,0,1)</f>
        <v>Saberhacer</v>
      </c>
      <c r="B63" s="107" t="s">
        <v>94</v>
      </c>
      <c r="C63" s="122"/>
      <c r="D63" s="122"/>
      <c r="E63" s="148"/>
      <c r="F63" s="122"/>
      <c r="G63" s="122"/>
      <c r="H63" s="122"/>
      <c r="I63" s="122"/>
      <c r="J63" s="122"/>
      <c r="K63" s="122"/>
      <c r="L63" s="122"/>
      <c r="M63" s="122"/>
      <c r="N63" s="148"/>
      <c r="O63" s="153"/>
      <c r="P63" s="153"/>
      <c r="Q63" s="153"/>
    </row>
    <row r="64" spans="1:17" s="55" customFormat="1" ht="33.5" thickBot="1" x14ac:dyDescent="0.4">
      <c r="A64" s="95" t="str">
        <f>_xlfn.XLOOKUP(B64,'Paso 3 Redacción RA '!I$3:I$12,'Paso 3 Redacción RA '!C$3:C$12,,0,1)</f>
        <v>Saberhacer</v>
      </c>
      <c r="B64" s="109" t="s">
        <v>101</v>
      </c>
      <c r="C64" s="146"/>
      <c r="D64" s="146"/>
      <c r="E64" s="149"/>
      <c r="F64" s="146"/>
      <c r="G64" s="146"/>
      <c r="H64" s="146"/>
      <c r="I64" s="146"/>
      <c r="J64" s="146"/>
      <c r="K64" s="146"/>
      <c r="L64" s="146"/>
      <c r="M64" s="146"/>
      <c r="N64" s="149"/>
      <c r="O64" s="154"/>
      <c r="P64" s="154"/>
      <c r="Q64" s="154"/>
    </row>
    <row r="65" spans="1:17" s="55" customFormat="1" ht="49.5" x14ac:dyDescent="0.35">
      <c r="A65" s="24" t="str">
        <f>_xlfn.XLOOKUP(B65,'Paso 3 Redacción RA '!I$3:I$12,'Paso 3 Redacción RA '!C$3:C$12,,0,1)</f>
        <v>Saber</v>
      </c>
      <c r="B65" s="107" t="s">
        <v>86</v>
      </c>
      <c r="C65" s="145">
        <v>4</v>
      </c>
      <c r="D65" s="145" t="s">
        <v>247</v>
      </c>
      <c r="E65" s="147" t="s">
        <v>248</v>
      </c>
      <c r="F65" s="145" t="s">
        <v>183</v>
      </c>
      <c r="G65" s="145"/>
      <c r="H65" s="145" t="s">
        <v>184</v>
      </c>
      <c r="I65" s="145"/>
      <c r="J65" s="145">
        <v>3</v>
      </c>
      <c r="K65" s="145">
        <f>J65*12</f>
        <v>36</v>
      </c>
      <c r="L65" s="145">
        <f>36*J65</f>
        <v>108</v>
      </c>
      <c r="M65" s="145">
        <f>SUM(K65:L65)</f>
        <v>144</v>
      </c>
      <c r="N65" s="147" t="s">
        <v>249</v>
      </c>
      <c r="O65" s="152" t="s">
        <v>186</v>
      </c>
      <c r="P65" s="147" t="s">
        <v>207</v>
      </c>
      <c r="Q65" s="152" t="s">
        <v>188</v>
      </c>
    </row>
    <row r="66" spans="1:17" s="55" customFormat="1" ht="49.5" x14ac:dyDescent="0.35">
      <c r="A66" s="24" t="str">
        <f>_xlfn.XLOOKUP(B66,'Paso 3 Redacción RA '!I$3:I$12,'Paso 3 Redacción RA '!C$3:C$12,,0,1)</f>
        <v>Saberhacer</v>
      </c>
      <c r="B66" s="107" t="s">
        <v>89</v>
      </c>
      <c r="C66" s="122"/>
      <c r="D66" s="122"/>
      <c r="E66" s="148"/>
      <c r="F66" s="122"/>
      <c r="G66" s="122"/>
      <c r="H66" s="122"/>
      <c r="I66" s="122"/>
      <c r="J66" s="122"/>
      <c r="K66" s="122"/>
      <c r="L66" s="122"/>
      <c r="M66" s="122"/>
      <c r="N66" s="148"/>
      <c r="O66" s="153"/>
      <c r="P66" s="148"/>
      <c r="Q66" s="153"/>
    </row>
    <row r="67" spans="1:17" s="55" customFormat="1" ht="49.5" x14ac:dyDescent="0.35">
      <c r="A67" s="24" t="str">
        <f>_xlfn.XLOOKUP(B67,'Paso 3 Redacción RA '!I$3:I$12,'Paso 3 Redacción RA '!C$3:C$12,,0,1)</f>
        <v>Saberser</v>
      </c>
      <c r="B67" s="107" t="s">
        <v>93</v>
      </c>
      <c r="C67" s="122"/>
      <c r="D67" s="122"/>
      <c r="E67" s="148"/>
      <c r="F67" s="122"/>
      <c r="G67" s="122"/>
      <c r="H67" s="122"/>
      <c r="I67" s="122"/>
      <c r="J67" s="122"/>
      <c r="K67" s="122"/>
      <c r="L67" s="122"/>
      <c r="M67" s="122"/>
      <c r="N67" s="148"/>
      <c r="O67" s="153"/>
      <c r="P67" s="148"/>
      <c r="Q67" s="153"/>
    </row>
    <row r="68" spans="1:17" s="55" customFormat="1" ht="49.5" x14ac:dyDescent="0.35">
      <c r="A68" s="24" t="str">
        <f>_xlfn.XLOOKUP(B68,'Paso 3 Redacción RA '!I$3:I$12,'Paso 3 Redacción RA '!C$3:C$12,,0,1)</f>
        <v>Saberhacer</v>
      </c>
      <c r="B68" s="107" t="s">
        <v>94</v>
      </c>
      <c r="C68" s="122"/>
      <c r="D68" s="122"/>
      <c r="E68" s="148"/>
      <c r="F68" s="122"/>
      <c r="G68" s="122"/>
      <c r="H68" s="122"/>
      <c r="I68" s="122"/>
      <c r="J68" s="122"/>
      <c r="K68" s="122"/>
      <c r="L68" s="122"/>
      <c r="M68" s="122"/>
      <c r="N68" s="148"/>
      <c r="O68" s="153"/>
      <c r="P68" s="148"/>
      <c r="Q68" s="153"/>
    </row>
    <row r="69" spans="1:17" s="55" customFormat="1" ht="33" x14ac:dyDescent="0.35">
      <c r="A69" s="95" t="str">
        <f>_xlfn.XLOOKUP(B69,'Paso 3 Redacción RA '!I$3:I$12,'Paso 3 Redacción RA '!C$3:C$12,,0,1)</f>
        <v>Saberhacer</v>
      </c>
      <c r="B69" s="109" t="s">
        <v>101</v>
      </c>
      <c r="C69" s="122"/>
      <c r="D69" s="122"/>
      <c r="E69" s="148"/>
      <c r="F69" s="122"/>
      <c r="G69" s="122"/>
      <c r="H69" s="122"/>
      <c r="I69" s="122"/>
      <c r="J69" s="122"/>
      <c r="K69" s="122"/>
      <c r="L69" s="122"/>
      <c r="M69" s="122"/>
      <c r="N69" s="148"/>
      <c r="O69" s="153"/>
      <c r="P69" s="148"/>
      <c r="Q69" s="153"/>
    </row>
    <row r="70" spans="1:17" s="55" customFormat="1" ht="49.5" x14ac:dyDescent="0.35">
      <c r="A70" s="24" t="str">
        <f>_xlfn.XLOOKUP(B70,'Paso 3 Redacción RA '!I$3:I$12,'Paso 3 Redacción RA '!C$3:C$12,,0,1)</f>
        <v>Saberhacer</v>
      </c>
      <c r="B70" s="16" t="s">
        <v>89</v>
      </c>
      <c r="C70" s="145">
        <v>4</v>
      </c>
      <c r="D70" s="145" t="s">
        <v>250</v>
      </c>
      <c r="E70" s="147" t="s">
        <v>251</v>
      </c>
      <c r="F70" s="145" t="s">
        <v>183</v>
      </c>
      <c r="G70" s="145"/>
      <c r="H70" s="145" t="s">
        <v>184</v>
      </c>
      <c r="I70" s="145"/>
      <c r="J70" s="145">
        <v>3</v>
      </c>
      <c r="K70" s="145">
        <f>J70*12</f>
        <v>36</v>
      </c>
      <c r="L70" s="145">
        <f>36*J70</f>
        <v>108</v>
      </c>
      <c r="M70" s="145">
        <f>SUM(K70:L70)</f>
        <v>144</v>
      </c>
      <c r="N70" s="152" t="s">
        <v>252</v>
      </c>
      <c r="O70" s="152" t="s">
        <v>186</v>
      </c>
      <c r="P70" s="147" t="s">
        <v>207</v>
      </c>
      <c r="Q70" s="152" t="s">
        <v>188</v>
      </c>
    </row>
    <row r="71" spans="1:17" s="55" customFormat="1" ht="49.5" x14ac:dyDescent="0.35">
      <c r="A71" s="24" t="str">
        <f>_xlfn.XLOOKUP(B71,'Paso 3 Redacción RA '!I$3:I$12,'Paso 3 Redacción RA '!C$3:C$12,,0,1)</f>
        <v>Saberser</v>
      </c>
      <c r="B71" s="16" t="s">
        <v>93</v>
      </c>
      <c r="C71" s="122"/>
      <c r="D71" s="122"/>
      <c r="E71" s="148"/>
      <c r="F71" s="122"/>
      <c r="G71" s="122"/>
      <c r="H71" s="122"/>
      <c r="I71" s="122"/>
      <c r="J71" s="122"/>
      <c r="K71" s="122"/>
      <c r="L71" s="122"/>
      <c r="M71" s="122"/>
      <c r="N71" s="153"/>
      <c r="O71" s="153"/>
      <c r="P71" s="148"/>
      <c r="Q71" s="153"/>
    </row>
    <row r="72" spans="1:17" s="55" customFormat="1" ht="49.5" x14ac:dyDescent="0.35">
      <c r="A72" s="24" t="str">
        <f>_xlfn.XLOOKUP(B72,'Paso 3 Redacción RA '!I$3:I$12,'Paso 3 Redacción RA '!C$3:C$12,,0,1)</f>
        <v>Saberhacer</v>
      </c>
      <c r="B72" s="16" t="s">
        <v>94</v>
      </c>
      <c r="C72" s="122"/>
      <c r="D72" s="122"/>
      <c r="E72" s="148"/>
      <c r="F72" s="122"/>
      <c r="G72" s="122"/>
      <c r="H72" s="122"/>
      <c r="I72" s="122"/>
      <c r="J72" s="122"/>
      <c r="K72" s="122"/>
      <c r="L72" s="122"/>
      <c r="M72" s="122"/>
      <c r="N72" s="153"/>
      <c r="O72" s="153"/>
      <c r="P72" s="148"/>
      <c r="Q72" s="153"/>
    </row>
    <row r="73" spans="1:17" s="55" customFormat="1" ht="49.5" x14ac:dyDescent="0.35">
      <c r="A73" s="24" t="str">
        <f>_xlfn.XLOOKUP(B73,'Paso 3 Redacción RA '!I$3:I$12,'Paso 3 Redacción RA '!C$3:C$12,,0,1)</f>
        <v>Saber</v>
      </c>
      <c r="B73" s="16" t="s">
        <v>98</v>
      </c>
      <c r="C73" s="122"/>
      <c r="D73" s="122"/>
      <c r="E73" s="148"/>
      <c r="F73" s="122"/>
      <c r="G73" s="122"/>
      <c r="H73" s="122"/>
      <c r="I73" s="122"/>
      <c r="J73" s="122"/>
      <c r="K73" s="122"/>
      <c r="L73" s="122"/>
      <c r="M73" s="122"/>
      <c r="N73" s="153"/>
      <c r="O73" s="153"/>
      <c r="P73" s="148"/>
      <c r="Q73" s="153"/>
    </row>
    <row r="74" spans="1:17" s="55" customFormat="1" ht="33" x14ac:dyDescent="0.35">
      <c r="A74" s="95" t="str">
        <f>_xlfn.XLOOKUP(B74,'Paso 3 Redacción RA '!I$3:I$12,'Paso 3 Redacción RA '!C$3:C$12,,0,1)</f>
        <v>Saberhacer</v>
      </c>
      <c r="B74" s="26" t="s">
        <v>101</v>
      </c>
      <c r="C74" s="122"/>
      <c r="D74" s="122"/>
      <c r="E74" s="158"/>
      <c r="F74" s="159"/>
      <c r="G74" s="159"/>
      <c r="H74" s="159"/>
      <c r="I74" s="159"/>
      <c r="J74" s="159"/>
      <c r="K74" s="159"/>
      <c r="L74" s="159"/>
      <c r="M74" s="159"/>
      <c r="N74" s="160"/>
      <c r="O74" s="160"/>
      <c r="P74" s="149"/>
      <c r="Q74" s="153"/>
    </row>
    <row r="75" spans="1:17" s="55" customFormat="1" ht="346.5" x14ac:dyDescent="0.35">
      <c r="A75" s="96" t="str">
        <f>_xlfn.XLOOKUP(B75,'Paso 3 Redacción RA '!I$3:I$12,'Paso 3 Redacción RA '!C$3:C$12,,0,1)</f>
        <v>Saber</v>
      </c>
      <c r="B75" s="96" t="s">
        <v>106</v>
      </c>
      <c r="C75" s="81">
        <v>4</v>
      </c>
      <c r="D75" s="78" t="s">
        <v>253</v>
      </c>
      <c r="E75" s="101" t="s">
        <v>254</v>
      </c>
      <c r="F75" s="99" t="s">
        <v>183</v>
      </c>
      <c r="G75" s="116" t="s">
        <v>184</v>
      </c>
      <c r="H75" s="116"/>
      <c r="I75" s="116"/>
      <c r="J75" s="100">
        <v>3</v>
      </c>
      <c r="K75" s="116">
        <f>J75*12</f>
        <v>36</v>
      </c>
      <c r="L75" s="116">
        <f>36*J75</f>
        <v>108</v>
      </c>
      <c r="M75" s="116">
        <f>SUM(K75:L75)</f>
        <v>144</v>
      </c>
      <c r="N75" s="117" t="s">
        <v>255</v>
      </c>
      <c r="O75" s="118" t="s">
        <v>192</v>
      </c>
      <c r="P75" s="85" t="s">
        <v>256</v>
      </c>
      <c r="Q75" s="82" t="s">
        <v>188</v>
      </c>
    </row>
    <row r="76" spans="1:17" s="55" customFormat="1" ht="49.5" x14ac:dyDescent="0.35">
      <c r="A76" s="24" t="str">
        <f>_xlfn.XLOOKUP(B76,'Paso 3 Redacción RA '!I$3:I$12,'Paso 3 Redacción RA '!C$3:C$12,,0,1)</f>
        <v>Saberhacer</v>
      </c>
      <c r="B76" s="16" t="s">
        <v>89</v>
      </c>
      <c r="C76" s="145">
        <v>4</v>
      </c>
      <c r="D76" s="145" t="s">
        <v>257</v>
      </c>
      <c r="E76" s="152" t="s">
        <v>258</v>
      </c>
      <c r="F76" s="145" t="s">
        <v>183</v>
      </c>
      <c r="G76" s="145"/>
      <c r="H76" s="145" t="s">
        <v>184</v>
      </c>
      <c r="I76" s="145"/>
      <c r="J76" s="145">
        <v>3</v>
      </c>
      <c r="K76" s="145">
        <f>J76*12</f>
        <v>36</v>
      </c>
      <c r="L76" s="145">
        <f>36*J76</f>
        <v>108</v>
      </c>
      <c r="M76" s="145">
        <f>SUM(K76:L76)</f>
        <v>144</v>
      </c>
      <c r="N76" s="152" t="s">
        <v>259</v>
      </c>
      <c r="O76" s="152" t="s">
        <v>186</v>
      </c>
      <c r="P76" s="152" t="s">
        <v>260</v>
      </c>
      <c r="Q76" s="152" t="s">
        <v>261</v>
      </c>
    </row>
    <row r="77" spans="1:17" s="55" customFormat="1" ht="49.5" x14ac:dyDescent="0.35">
      <c r="A77" s="24" t="str">
        <f>_xlfn.XLOOKUP(B77,'Paso 3 Redacción RA '!I$3:I$12,'Paso 3 Redacción RA '!C$3:C$12,,0,1)</f>
        <v>Saberser</v>
      </c>
      <c r="B77" s="16" t="s">
        <v>93</v>
      </c>
      <c r="C77" s="122"/>
      <c r="D77" s="122"/>
      <c r="E77" s="153"/>
      <c r="F77" s="122"/>
      <c r="G77" s="122"/>
      <c r="H77" s="122"/>
      <c r="I77" s="122"/>
      <c r="J77" s="122"/>
      <c r="K77" s="122"/>
      <c r="L77" s="122"/>
      <c r="M77" s="122"/>
      <c r="N77" s="153"/>
      <c r="O77" s="153"/>
      <c r="P77" s="153"/>
      <c r="Q77" s="153"/>
    </row>
    <row r="78" spans="1:17" s="55" customFormat="1" ht="49.5" x14ac:dyDescent="0.35">
      <c r="A78" s="24" t="str">
        <f>_xlfn.XLOOKUP(B78,'Paso 3 Redacción RA '!I$3:I$12,'Paso 3 Redacción RA '!C$3:C$12,,0,1)</f>
        <v>Saberhacer</v>
      </c>
      <c r="B78" s="16" t="s">
        <v>94</v>
      </c>
      <c r="C78" s="122"/>
      <c r="D78" s="122"/>
      <c r="E78" s="153"/>
      <c r="F78" s="122"/>
      <c r="G78" s="122"/>
      <c r="H78" s="122"/>
      <c r="I78" s="122"/>
      <c r="J78" s="122"/>
      <c r="K78" s="122"/>
      <c r="L78" s="122"/>
      <c r="M78" s="122"/>
      <c r="N78" s="153"/>
      <c r="O78" s="153"/>
      <c r="P78" s="153"/>
      <c r="Q78" s="153"/>
    </row>
    <row r="79" spans="1:17" s="55" customFormat="1" ht="49.5" x14ac:dyDescent="0.35">
      <c r="A79" s="24" t="str">
        <f>_xlfn.XLOOKUP(B79,'Paso 3 Redacción RA '!I$3:I$12,'Paso 3 Redacción RA '!C$3:C$12,,0,1)</f>
        <v>Saber</v>
      </c>
      <c r="B79" s="16" t="s">
        <v>98</v>
      </c>
      <c r="C79" s="122"/>
      <c r="D79" s="122"/>
      <c r="E79" s="153"/>
      <c r="F79" s="122"/>
      <c r="G79" s="122"/>
      <c r="H79" s="122"/>
      <c r="I79" s="122"/>
      <c r="J79" s="122"/>
      <c r="K79" s="122"/>
      <c r="L79" s="122"/>
      <c r="M79" s="122"/>
      <c r="N79" s="153"/>
      <c r="O79" s="153"/>
      <c r="P79" s="153"/>
      <c r="Q79" s="153"/>
    </row>
    <row r="80" spans="1:17" s="55" customFormat="1" ht="33.5" thickBot="1" x14ac:dyDescent="0.4">
      <c r="A80" s="95" t="str">
        <f>_xlfn.XLOOKUP(B80,'Paso 3 Redacción RA '!I$3:I$12,'Paso 3 Redacción RA '!C$3:C$12,,0,1)</f>
        <v>Saberhacer</v>
      </c>
      <c r="B80" s="26" t="s">
        <v>101</v>
      </c>
      <c r="C80" s="122"/>
      <c r="D80" s="122"/>
      <c r="E80" s="153"/>
      <c r="F80" s="122"/>
      <c r="G80" s="122"/>
      <c r="H80" s="122"/>
      <c r="I80" s="122"/>
      <c r="J80" s="122"/>
      <c r="K80" s="122"/>
      <c r="L80" s="122"/>
      <c r="M80" s="122"/>
      <c r="N80" s="153"/>
      <c r="O80" s="153"/>
      <c r="P80" s="153"/>
      <c r="Q80" s="153"/>
    </row>
    <row r="81" spans="1:17" s="55" customFormat="1" ht="49.5" x14ac:dyDescent="0.35">
      <c r="A81" s="24" t="str">
        <f>_xlfn.XLOOKUP(B81,'Paso 3 Redacción RA '!I$3:I$12,'Paso 3 Redacción RA '!C$3:C$12,,0,1)</f>
        <v>Saber</v>
      </c>
      <c r="B81" s="107" t="s">
        <v>86</v>
      </c>
      <c r="C81" s="145">
        <v>4</v>
      </c>
      <c r="D81" s="145" t="s">
        <v>262</v>
      </c>
      <c r="E81" s="152" t="s">
        <v>263</v>
      </c>
      <c r="F81" s="145" t="s">
        <v>183</v>
      </c>
      <c r="G81" s="145"/>
      <c r="H81" s="145" t="s">
        <v>184</v>
      </c>
      <c r="I81" s="145"/>
      <c r="J81" s="145">
        <v>3</v>
      </c>
      <c r="K81" s="145">
        <f>J81*12</f>
        <v>36</v>
      </c>
      <c r="L81" s="145">
        <f>36*J81</f>
        <v>108</v>
      </c>
      <c r="M81" s="145">
        <f>SUM(K81:L81)</f>
        <v>144</v>
      </c>
      <c r="N81" s="152" t="s">
        <v>264</v>
      </c>
      <c r="O81" s="152" t="s">
        <v>186</v>
      </c>
      <c r="P81" s="152" t="s">
        <v>207</v>
      </c>
      <c r="Q81" s="152" t="s">
        <v>188</v>
      </c>
    </row>
    <row r="82" spans="1:17" s="55" customFormat="1" ht="49.5" x14ac:dyDescent="0.35">
      <c r="A82" s="24" t="str">
        <f>_xlfn.XLOOKUP(B82,'Paso 3 Redacción RA '!I$3:I$12,'Paso 3 Redacción RA '!C$3:C$12,,0,1)</f>
        <v>Saberhacer</v>
      </c>
      <c r="B82" s="107" t="s">
        <v>89</v>
      </c>
      <c r="C82" s="122"/>
      <c r="D82" s="122"/>
      <c r="E82" s="153"/>
      <c r="F82" s="122"/>
      <c r="G82" s="122"/>
      <c r="H82" s="122"/>
      <c r="I82" s="122"/>
      <c r="J82" s="122"/>
      <c r="K82" s="122"/>
      <c r="L82" s="122"/>
      <c r="M82" s="122"/>
      <c r="N82" s="153"/>
      <c r="O82" s="153"/>
      <c r="P82" s="153"/>
      <c r="Q82" s="153"/>
    </row>
    <row r="83" spans="1:17" s="55" customFormat="1" ht="49.5" x14ac:dyDescent="0.35">
      <c r="A83" s="24" t="str">
        <f>_xlfn.XLOOKUP(B83,'Paso 3 Redacción RA '!I$3:I$12,'Paso 3 Redacción RA '!C$3:C$12,,0,1)</f>
        <v>Saberser</v>
      </c>
      <c r="B83" s="107" t="s">
        <v>93</v>
      </c>
      <c r="C83" s="122"/>
      <c r="D83" s="122"/>
      <c r="E83" s="153"/>
      <c r="F83" s="122"/>
      <c r="G83" s="122"/>
      <c r="H83" s="122"/>
      <c r="I83" s="122"/>
      <c r="J83" s="122"/>
      <c r="K83" s="122"/>
      <c r="L83" s="122"/>
      <c r="M83" s="122"/>
      <c r="N83" s="153"/>
      <c r="O83" s="153"/>
      <c r="P83" s="153"/>
      <c r="Q83" s="153"/>
    </row>
    <row r="84" spans="1:17" s="55" customFormat="1" ht="33.5" thickBot="1" x14ac:dyDescent="0.4">
      <c r="A84" s="95" t="str">
        <f>_xlfn.XLOOKUP(B84,'Paso 3 Redacción RA '!I$3:I$12,'Paso 3 Redacción RA '!C$3:C$12,,0,1)</f>
        <v>Saberhacer</v>
      </c>
      <c r="B84" s="26" t="s">
        <v>101</v>
      </c>
      <c r="C84" s="122"/>
      <c r="D84" s="122"/>
      <c r="E84" s="153"/>
      <c r="F84" s="122"/>
      <c r="G84" s="122"/>
      <c r="H84" s="122"/>
      <c r="I84" s="122"/>
      <c r="J84" s="122"/>
      <c r="K84" s="122"/>
      <c r="L84" s="122"/>
      <c r="M84" s="122"/>
      <c r="N84" s="153"/>
      <c r="O84" s="153"/>
      <c r="P84" s="153"/>
      <c r="Q84" s="153"/>
    </row>
    <row r="85" spans="1:17" s="55" customFormat="1" ht="49.5" x14ac:dyDescent="0.35">
      <c r="A85" s="24" t="str">
        <f>_xlfn.XLOOKUP(B85,'Paso 3 Redacción RA '!I$3:I$12,'Paso 3 Redacción RA '!C$3:C$12,,0,1)</f>
        <v>Saberhacer</v>
      </c>
      <c r="B85" s="16" t="s">
        <v>89</v>
      </c>
      <c r="C85" s="145">
        <v>5</v>
      </c>
      <c r="D85" s="145" t="s">
        <v>265</v>
      </c>
      <c r="E85" s="152" t="s">
        <v>266</v>
      </c>
      <c r="F85" s="145" t="s">
        <v>183</v>
      </c>
      <c r="G85" s="145"/>
      <c r="H85" s="145" t="s">
        <v>184</v>
      </c>
      <c r="I85" s="145"/>
      <c r="J85" s="145">
        <v>3</v>
      </c>
      <c r="K85" s="145">
        <f>J85*12</f>
        <v>36</v>
      </c>
      <c r="L85" s="145">
        <f>36*J85</f>
        <v>108</v>
      </c>
      <c r="M85" s="145">
        <f>SUM(K85:L85)</f>
        <v>144</v>
      </c>
      <c r="N85" s="152" t="s">
        <v>267</v>
      </c>
      <c r="O85" s="152" t="s">
        <v>186</v>
      </c>
      <c r="P85" s="152" t="s">
        <v>207</v>
      </c>
      <c r="Q85" s="152" t="s">
        <v>188</v>
      </c>
    </row>
    <row r="86" spans="1:17" s="55" customFormat="1" ht="49.5" x14ac:dyDescent="0.35">
      <c r="A86" s="24" t="str">
        <f>_xlfn.XLOOKUP(B86,'Paso 3 Redacción RA '!I$3:I$12,'Paso 3 Redacción RA '!C$3:C$12,,0,1)</f>
        <v>Saberser</v>
      </c>
      <c r="B86" s="16" t="s">
        <v>93</v>
      </c>
      <c r="C86" s="122"/>
      <c r="D86" s="122"/>
      <c r="E86" s="153"/>
      <c r="F86" s="122"/>
      <c r="G86" s="122"/>
      <c r="H86" s="122"/>
      <c r="I86" s="122"/>
      <c r="J86" s="122"/>
      <c r="K86" s="122"/>
      <c r="L86" s="122"/>
      <c r="M86" s="122"/>
      <c r="N86" s="153"/>
      <c r="O86" s="153"/>
      <c r="P86" s="153"/>
      <c r="Q86" s="153"/>
    </row>
    <row r="87" spans="1:17" s="55" customFormat="1" ht="49.5" x14ac:dyDescent="0.35">
      <c r="A87" s="24" t="str">
        <f>_xlfn.XLOOKUP(B87,'Paso 3 Redacción RA '!I$3:I$12,'Paso 3 Redacción RA '!C$3:C$12,,0,1)</f>
        <v>Saberhacer</v>
      </c>
      <c r="B87" s="16" t="s">
        <v>94</v>
      </c>
      <c r="C87" s="122"/>
      <c r="D87" s="122"/>
      <c r="E87" s="153"/>
      <c r="F87" s="122"/>
      <c r="G87" s="122"/>
      <c r="H87" s="122"/>
      <c r="I87" s="122"/>
      <c r="J87" s="122"/>
      <c r="K87" s="122"/>
      <c r="L87" s="122"/>
      <c r="M87" s="122"/>
      <c r="N87" s="153"/>
      <c r="O87" s="153"/>
      <c r="P87" s="153"/>
      <c r="Q87" s="153"/>
    </row>
    <row r="88" spans="1:17" s="55" customFormat="1" ht="49.5" x14ac:dyDescent="0.35">
      <c r="A88" s="24" t="str">
        <f>_xlfn.XLOOKUP(B88,'Paso 3 Redacción RA '!I$3:I$12,'Paso 3 Redacción RA '!C$3:C$12,,0,1)</f>
        <v>Saber</v>
      </c>
      <c r="B88" s="16" t="s">
        <v>98</v>
      </c>
      <c r="C88" s="122"/>
      <c r="D88" s="122"/>
      <c r="E88" s="153"/>
      <c r="F88" s="122"/>
      <c r="G88" s="122"/>
      <c r="H88" s="122"/>
      <c r="I88" s="122"/>
      <c r="J88" s="122"/>
      <c r="K88" s="122"/>
      <c r="L88" s="122"/>
      <c r="M88" s="122"/>
      <c r="N88" s="153"/>
      <c r="O88" s="153"/>
      <c r="P88" s="153"/>
      <c r="Q88" s="153"/>
    </row>
    <row r="89" spans="1:17" s="55" customFormat="1" ht="33.5" thickBot="1" x14ac:dyDescent="0.4">
      <c r="A89" s="95" t="str">
        <f>_xlfn.XLOOKUP(B89,'Paso 3 Redacción RA '!I$3:I$12,'Paso 3 Redacción RA '!C$3:C$12,,0,1)</f>
        <v>Saberhacer</v>
      </c>
      <c r="B89" s="26" t="s">
        <v>101</v>
      </c>
      <c r="C89" s="122"/>
      <c r="D89" s="122"/>
      <c r="E89" s="153"/>
      <c r="F89" s="122"/>
      <c r="G89" s="122"/>
      <c r="H89" s="122"/>
      <c r="I89" s="122"/>
      <c r="J89" s="122"/>
      <c r="K89" s="122"/>
      <c r="L89" s="122"/>
      <c r="M89" s="122"/>
      <c r="N89" s="153"/>
      <c r="O89" s="153"/>
      <c r="P89" s="153"/>
      <c r="Q89" s="153"/>
    </row>
    <row r="90" spans="1:17" s="55" customFormat="1" ht="49.5" x14ac:dyDescent="0.35">
      <c r="A90" s="24" t="str">
        <f>_xlfn.XLOOKUP(B90,'Paso 3 Redacción RA '!I$3:I$12,'Paso 3 Redacción RA '!C$3:C$12,,0,1)</f>
        <v>Saber</v>
      </c>
      <c r="B90" s="107" t="s">
        <v>86</v>
      </c>
      <c r="C90" s="145">
        <v>5</v>
      </c>
      <c r="D90" s="145" t="s">
        <v>268</v>
      </c>
      <c r="E90" s="152" t="s">
        <v>269</v>
      </c>
      <c r="F90" s="145" t="s">
        <v>183</v>
      </c>
      <c r="G90" s="145"/>
      <c r="H90" s="145" t="s">
        <v>184</v>
      </c>
      <c r="I90" s="145"/>
      <c r="J90" s="145">
        <v>3</v>
      </c>
      <c r="K90" s="145">
        <f>J90*12</f>
        <v>36</v>
      </c>
      <c r="L90" s="145">
        <f>36*J90</f>
        <v>108</v>
      </c>
      <c r="M90" s="145">
        <f>SUM(K90:L90)</f>
        <v>144</v>
      </c>
      <c r="N90" s="152" t="s">
        <v>270</v>
      </c>
      <c r="O90" s="152" t="s">
        <v>186</v>
      </c>
      <c r="P90" s="152" t="s">
        <v>207</v>
      </c>
      <c r="Q90" s="152" t="s">
        <v>188</v>
      </c>
    </row>
    <row r="91" spans="1:17" s="55" customFormat="1" ht="49.5" x14ac:dyDescent="0.35">
      <c r="A91" s="24" t="str">
        <f>_xlfn.XLOOKUP(B91,'Paso 3 Redacción RA '!I$3:I$12,'Paso 3 Redacción RA '!C$3:C$12,,0,1)</f>
        <v>Saberhacer</v>
      </c>
      <c r="B91" s="107" t="s">
        <v>89</v>
      </c>
      <c r="C91" s="122"/>
      <c r="D91" s="122"/>
      <c r="E91" s="153"/>
      <c r="F91" s="122"/>
      <c r="G91" s="122"/>
      <c r="H91" s="122"/>
      <c r="I91" s="122"/>
      <c r="J91" s="122"/>
      <c r="K91" s="122"/>
      <c r="L91" s="122"/>
      <c r="M91" s="122"/>
      <c r="N91" s="153"/>
      <c r="O91" s="153"/>
      <c r="P91" s="153"/>
      <c r="Q91" s="153"/>
    </row>
    <row r="92" spans="1:17" s="55" customFormat="1" ht="49.5" x14ac:dyDescent="0.35">
      <c r="A92" s="24" t="str">
        <f>_xlfn.XLOOKUP(B92,'Paso 3 Redacción RA '!I$3:I$12,'Paso 3 Redacción RA '!C$3:C$12,,0,1)</f>
        <v>Saberser</v>
      </c>
      <c r="B92" s="107" t="s">
        <v>93</v>
      </c>
      <c r="C92" s="122"/>
      <c r="D92" s="122"/>
      <c r="E92" s="153"/>
      <c r="F92" s="122"/>
      <c r="G92" s="122"/>
      <c r="H92" s="122"/>
      <c r="I92" s="122"/>
      <c r="J92" s="122"/>
      <c r="K92" s="122"/>
      <c r="L92" s="122"/>
      <c r="M92" s="122"/>
      <c r="N92" s="153"/>
      <c r="O92" s="153"/>
      <c r="P92" s="153"/>
      <c r="Q92" s="153"/>
    </row>
    <row r="93" spans="1:17" s="55" customFormat="1" ht="49.5" x14ac:dyDescent="0.35">
      <c r="A93" s="24" t="str">
        <f>_xlfn.XLOOKUP(B93,'Paso 3 Redacción RA '!I$3:I$12,'Paso 3 Redacción RA '!C$3:C$12,,0,1)</f>
        <v>Saberhacer</v>
      </c>
      <c r="B93" s="107" t="s">
        <v>94</v>
      </c>
      <c r="C93" s="122"/>
      <c r="D93" s="122"/>
      <c r="E93" s="153"/>
      <c r="F93" s="122"/>
      <c r="G93" s="122"/>
      <c r="H93" s="122"/>
      <c r="I93" s="122"/>
      <c r="J93" s="122"/>
      <c r="K93" s="122"/>
      <c r="L93" s="122"/>
      <c r="M93" s="122"/>
      <c r="N93" s="153"/>
      <c r="O93" s="153"/>
      <c r="P93" s="153"/>
      <c r="Q93" s="153"/>
    </row>
    <row r="94" spans="1:17" s="55" customFormat="1" ht="33.5" thickBot="1" x14ac:dyDescent="0.4">
      <c r="A94" s="95" t="str">
        <f>_xlfn.XLOOKUP(B94,'Paso 3 Redacción RA '!I$3:I$12,'Paso 3 Redacción RA '!C$3:C$12,,0,1)</f>
        <v>Saberhacer</v>
      </c>
      <c r="B94" s="109" t="s">
        <v>101</v>
      </c>
      <c r="C94" s="122"/>
      <c r="D94" s="122"/>
      <c r="E94" s="153"/>
      <c r="F94" s="122"/>
      <c r="G94" s="122"/>
      <c r="H94" s="122"/>
      <c r="I94" s="122"/>
      <c r="J94" s="122"/>
      <c r="K94" s="122"/>
      <c r="L94" s="122"/>
      <c r="M94" s="122"/>
      <c r="N94" s="153"/>
      <c r="O94" s="153"/>
      <c r="P94" s="153"/>
      <c r="Q94" s="153"/>
    </row>
    <row r="95" spans="1:17" s="55" customFormat="1" ht="49.5" x14ac:dyDescent="0.35">
      <c r="A95" s="24" t="str">
        <f>_xlfn.XLOOKUP(B95,'Paso 3 Redacción RA '!I$3:I$12,'Paso 3 Redacción RA '!C$3:C$12,,0,1)</f>
        <v>Saberhacer</v>
      </c>
      <c r="B95" s="16" t="s">
        <v>89</v>
      </c>
      <c r="C95" s="145">
        <v>5</v>
      </c>
      <c r="D95" s="145" t="s">
        <v>271</v>
      </c>
      <c r="E95" s="152" t="s">
        <v>272</v>
      </c>
      <c r="F95" s="145" t="s">
        <v>183</v>
      </c>
      <c r="G95" s="145"/>
      <c r="H95" s="145" t="s">
        <v>184</v>
      </c>
      <c r="I95" s="145"/>
      <c r="J95" s="145">
        <v>3</v>
      </c>
      <c r="K95" s="145">
        <f>J95*12</f>
        <v>36</v>
      </c>
      <c r="L95" s="145">
        <f>36*J95</f>
        <v>108</v>
      </c>
      <c r="M95" s="145">
        <f>SUM(K95:L95)</f>
        <v>144</v>
      </c>
      <c r="N95" s="152" t="s">
        <v>273</v>
      </c>
      <c r="O95" s="152" t="s">
        <v>186</v>
      </c>
      <c r="P95" s="152" t="s">
        <v>207</v>
      </c>
      <c r="Q95" s="152" t="s">
        <v>188</v>
      </c>
    </row>
    <row r="96" spans="1:17" s="55" customFormat="1" ht="49.5" x14ac:dyDescent="0.35">
      <c r="A96" s="24" t="str">
        <f>_xlfn.XLOOKUP(B96,'Paso 3 Redacción RA '!I$3:I$12,'Paso 3 Redacción RA '!C$3:C$12,,0,1)</f>
        <v>Saberser</v>
      </c>
      <c r="B96" s="16" t="s">
        <v>93</v>
      </c>
      <c r="C96" s="122"/>
      <c r="D96" s="122"/>
      <c r="E96" s="153"/>
      <c r="F96" s="122"/>
      <c r="G96" s="122"/>
      <c r="H96" s="122"/>
      <c r="I96" s="122"/>
      <c r="J96" s="122"/>
      <c r="K96" s="122"/>
      <c r="L96" s="122"/>
      <c r="M96" s="122"/>
      <c r="N96" s="153"/>
      <c r="O96" s="153"/>
      <c r="P96" s="153"/>
      <c r="Q96" s="153"/>
    </row>
    <row r="97" spans="1:17" s="55" customFormat="1" ht="49.5" x14ac:dyDescent="0.35">
      <c r="A97" s="24" t="str">
        <f>_xlfn.XLOOKUP(B97,'Paso 3 Redacción RA '!I$3:I$12,'Paso 3 Redacción RA '!C$3:C$12,,0,1)</f>
        <v>Saberhacer</v>
      </c>
      <c r="B97" s="16" t="s">
        <v>94</v>
      </c>
      <c r="C97" s="122"/>
      <c r="D97" s="122"/>
      <c r="E97" s="153"/>
      <c r="F97" s="122"/>
      <c r="G97" s="122"/>
      <c r="H97" s="122"/>
      <c r="I97" s="122"/>
      <c r="J97" s="122"/>
      <c r="K97" s="122"/>
      <c r="L97" s="122"/>
      <c r="M97" s="122"/>
      <c r="N97" s="153"/>
      <c r="O97" s="153"/>
      <c r="P97" s="153"/>
      <c r="Q97" s="153"/>
    </row>
    <row r="98" spans="1:17" s="55" customFormat="1" ht="49.5" x14ac:dyDescent="0.35">
      <c r="A98" s="24" t="str">
        <f>_xlfn.XLOOKUP(B98,'Paso 3 Redacción RA '!I$3:I$12,'Paso 3 Redacción RA '!C$3:C$12,,0,1)</f>
        <v>Saber</v>
      </c>
      <c r="B98" s="16" t="s">
        <v>98</v>
      </c>
      <c r="C98" s="122"/>
      <c r="D98" s="122"/>
      <c r="E98" s="153"/>
      <c r="F98" s="122"/>
      <c r="G98" s="122"/>
      <c r="H98" s="122"/>
      <c r="I98" s="122"/>
      <c r="J98" s="122"/>
      <c r="K98" s="122"/>
      <c r="L98" s="122"/>
      <c r="M98" s="122"/>
      <c r="N98" s="153"/>
      <c r="O98" s="153"/>
      <c r="P98" s="153"/>
      <c r="Q98" s="153"/>
    </row>
    <row r="99" spans="1:17" s="55" customFormat="1" ht="33.5" thickBot="1" x14ac:dyDescent="0.4">
      <c r="A99" s="95" t="str">
        <f>_xlfn.XLOOKUP(B99,'Paso 3 Redacción RA '!I$3:I$12,'Paso 3 Redacción RA '!C$3:C$12,,0,1)</f>
        <v>Saberhacer</v>
      </c>
      <c r="B99" s="26" t="s">
        <v>101</v>
      </c>
      <c r="C99" s="122"/>
      <c r="D99" s="122"/>
      <c r="E99" s="153"/>
      <c r="F99" s="122"/>
      <c r="G99" s="122"/>
      <c r="H99" s="122"/>
      <c r="I99" s="122"/>
      <c r="J99" s="122"/>
      <c r="K99" s="122"/>
      <c r="L99" s="122"/>
      <c r="M99" s="122"/>
      <c r="N99" s="153"/>
      <c r="O99" s="153"/>
      <c r="P99" s="153"/>
      <c r="Q99" s="153"/>
    </row>
    <row r="100" spans="1:17" s="55" customFormat="1" ht="49.5" x14ac:dyDescent="0.35">
      <c r="A100" s="24" t="str">
        <f>_xlfn.XLOOKUP(B100,'Paso 3 Redacción RA '!I$3:I$12,'Paso 3 Redacción RA '!C$3:C$12,,0,1)</f>
        <v>Saberhacer</v>
      </c>
      <c r="B100" s="16" t="s">
        <v>89</v>
      </c>
      <c r="C100" s="145">
        <v>5</v>
      </c>
      <c r="D100" s="145" t="s">
        <v>274</v>
      </c>
      <c r="E100" s="152" t="s">
        <v>275</v>
      </c>
      <c r="F100" s="145" t="s">
        <v>183</v>
      </c>
      <c r="G100" s="145"/>
      <c r="H100" s="145" t="s">
        <v>184</v>
      </c>
      <c r="I100" s="145"/>
      <c r="J100" s="145">
        <v>3</v>
      </c>
      <c r="K100" s="145">
        <f>J100*12</f>
        <v>36</v>
      </c>
      <c r="L100" s="145">
        <f>36*J100</f>
        <v>108</v>
      </c>
      <c r="M100" s="145">
        <f>SUM(K100:L100)</f>
        <v>144</v>
      </c>
      <c r="N100" s="152" t="s">
        <v>276</v>
      </c>
      <c r="O100" s="152" t="s">
        <v>186</v>
      </c>
      <c r="P100" s="152" t="s">
        <v>277</v>
      </c>
      <c r="Q100" s="152" t="s">
        <v>188</v>
      </c>
    </row>
    <row r="101" spans="1:17" s="55" customFormat="1" ht="49.5" x14ac:dyDescent="0.35">
      <c r="A101" s="24" t="str">
        <f>_xlfn.XLOOKUP(B101,'Paso 3 Redacción RA '!I$3:I$12,'Paso 3 Redacción RA '!C$3:C$12,,0,1)</f>
        <v>Saberhacer</v>
      </c>
      <c r="B101" s="16" t="s">
        <v>94</v>
      </c>
      <c r="C101" s="122"/>
      <c r="D101" s="122"/>
      <c r="E101" s="153"/>
      <c r="F101" s="122"/>
      <c r="G101" s="122"/>
      <c r="H101" s="122"/>
      <c r="I101" s="122"/>
      <c r="J101" s="122"/>
      <c r="K101" s="122"/>
      <c r="L101" s="122"/>
      <c r="M101" s="122"/>
      <c r="N101" s="153"/>
      <c r="O101" s="153"/>
      <c r="P101" s="153"/>
      <c r="Q101" s="153"/>
    </row>
    <row r="102" spans="1:17" s="55" customFormat="1" ht="49.5" x14ac:dyDescent="0.35">
      <c r="A102" s="24" t="str">
        <f>_xlfn.XLOOKUP(B102,'Paso 3 Redacción RA '!I$3:I$12,'Paso 3 Redacción RA '!C$3:C$12,,0,1)</f>
        <v>Saber</v>
      </c>
      <c r="B102" s="16" t="s">
        <v>98</v>
      </c>
      <c r="C102" s="122"/>
      <c r="D102" s="122"/>
      <c r="E102" s="153"/>
      <c r="F102" s="122"/>
      <c r="G102" s="122"/>
      <c r="H102" s="122"/>
      <c r="I102" s="122"/>
      <c r="J102" s="122"/>
      <c r="K102" s="122"/>
      <c r="L102" s="122"/>
      <c r="M102" s="122"/>
      <c r="N102" s="153"/>
      <c r="O102" s="153"/>
      <c r="P102" s="153"/>
      <c r="Q102" s="153"/>
    </row>
    <row r="103" spans="1:17" s="55" customFormat="1" ht="33.5" thickBot="1" x14ac:dyDescent="0.4">
      <c r="A103" s="95" t="str">
        <f>_xlfn.XLOOKUP(B103,'Paso 3 Redacción RA '!I$3:I$12,'Paso 3 Redacción RA '!C$3:C$12,,0,1)</f>
        <v>Saberhacer</v>
      </c>
      <c r="B103" s="26" t="s">
        <v>101</v>
      </c>
      <c r="C103" s="122"/>
      <c r="D103" s="122"/>
      <c r="E103" s="154"/>
      <c r="F103" s="122"/>
      <c r="G103" s="122"/>
      <c r="H103" s="122"/>
      <c r="I103" s="122"/>
      <c r="J103" s="122"/>
      <c r="K103" s="122"/>
      <c r="L103" s="122"/>
      <c r="M103" s="122"/>
      <c r="N103" s="153"/>
      <c r="O103" s="153"/>
      <c r="P103" s="153"/>
      <c r="Q103" s="153"/>
    </row>
    <row r="104" spans="1:17" s="55" customFormat="1" ht="49.5" x14ac:dyDescent="0.35">
      <c r="A104" s="24" t="str">
        <f>_xlfn.XLOOKUP(B104,'Paso 3 Redacción RA '!I$3:I$12,'Paso 3 Redacción RA '!C$3:C$12,,0,1)</f>
        <v>Saberhacer</v>
      </c>
      <c r="B104" s="16" t="s">
        <v>89</v>
      </c>
      <c r="C104" s="145">
        <v>5</v>
      </c>
      <c r="D104" s="145" t="s">
        <v>278</v>
      </c>
      <c r="E104" s="148" t="s">
        <v>279</v>
      </c>
      <c r="F104" s="145" t="s">
        <v>183</v>
      </c>
      <c r="G104" s="145"/>
      <c r="H104" s="145" t="s">
        <v>184</v>
      </c>
      <c r="I104" s="145"/>
      <c r="J104" s="145">
        <v>3</v>
      </c>
      <c r="K104" s="145">
        <f>J104*12</f>
        <v>36</v>
      </c>
      <c r="L104" s="145">
        <f>36*J104</f>
        <v>108</v>
      </c>
      <c r="M104" s="145">
        <f>SUM(K104:L104)</f>
        <v>144</v>
      </c>
      <c r="N104" s="152" t="s">
        <v>280</v>
      </c>
      <c r="O104" s="152" t="s">
        <v>186</v>
      </c>
      <c r="P104" s="152" t="s">
        <v>277</v>
      </c>
      <c r="Q104" s="152" t="s">
        <v>188</v>
      </c>
    </row>
    <row r="105" spans="1:17" s="55" customFormat="1" ht="49.5" x14ac:dyDescent="0.35">
      <c r="A105" s="24" t="str">
        <f>_xlfn.XLOOKUP(B105,'Paso 3 Redacción RA '!I$3:I$12,'Paso 3 Redacción RA '!C$3:C$12,,0,1)</f>
        <v>Saberser</v>
      </c>
      <c r="B105" s="16" t="s">
        <v>93</v>
      </c>
      <c r="C105" s="122"/>
      <c r="D105" s="122"/>
      <c r="E105" s="148"/>
      <c r="F105" s="122"/>
      <c r="G105" s="122"/>
      <c r="H105" s="122"/>
      <c r="I105" s="122"/>
      <c r="J105" s="122"/>
      <c r="K105" s="122"/>
      <c r="L105" s="122"/>
      <c r="M105" s="122"/>
      <c r="N105" s="153"/>
      <c r="O105" s="153"/>
      <c r="P105" s="153"/>
      <c r="Q105" s="153"/>
    </row>
    <row r="106" spans="1:17" s="55" customFormat="1" ht="49.5" x14ac:dyDescent="0.35">
      <c r="A106" s="24" t="str">
        <f>_xlfn.XLOOKUP(B106,'Paso 3 Redacción RA '!I$3:I$12,'Paso 3 Redacción RA '!C$3:C$12,,0,1)</f>
        <v>Saberhacer</v>
      </c>
      <c r="B106" s="16" t="s">
        <v>94</v>
      </c>
      <c r="C106" s="122"/>
      <c r="D106" s="122"/>
      <c r="E106" s="148"/>
      <c r="F106" s="122"/>
      <c r="G106" s="122"/>
      <c r="H106" s="122"/>
      <c r="I106" s="122"/>
      <c r="J106" s="122"/>
      <c r="K106" s="122"/>
      <c r="L106" s="122"/>
      <c r="M106" s="122"/>
      <c r="N106" s="153"/>
      <c r="O106" s="153"/>
      <c r="P106" s="153"/>
      <c r="Q106" s="153"/>
    </row>
    <row r="107" spans="1:17" s="55" customFormat="1" ht="49.5" x14ac:dyDescent="0.35">
      <c r="A107" s="24" t="str">
        <f>_xlfn.XLOOKUP(B107,'Paso 3 Redacción RA '!I$3:I$12,'Paso 3 Redacción RA '!C$3:C$12,,0,1)</f>
        <v>Saber</v>
      </c>
      <c r="B107" s="16" t="s">
        <v>98</v>
      </c>
      <c r="C107" s="122"/>
      <c r="D107" s="122"/>
      <c r="E107" s="148"/>
      <c r="F107" s="122"/>
      <c r="G107" s="122"/>
      <c r="H107" s="122"/>
      <c r="I107" s="122"/>
      <c r="J107" s="122"/>
      <c r="K107" s="122"/>
      <c r="L107" s="122"/>
      <c r="M107" s="122"/>
      <c r="N107" s="153"/>
      <c r="O107" s="153"/>
      <c r="P107" s="153"/>
      <c r="Q107" s="153"/>
    </row>
    <row r="108" spans="1:17" s="55" customFormat="1" ht="33.5" thickBot="1" x14ac:dyDescent="0.4">
      <c r="A108" s="95" t="str">
        <f>_xlfn.XLOOKUP(B108,'Paso 3 Redacción RA '!I$3:I$12,'Paso 3 Redacción RA '!C$3:C$12,,0,1)</f>
        <v>Saberhacer</v>
      </c>
      <c r="B108" s="26" t="s">
        <v>101</v>
      </c>
      <c r="C108" s="122"/>
      <c r="D108" s="122"/>
      <c r="E108" s="149"/>
      <c r="F108" s="146"/>
      <c r="G108" s="146"/>
      <c r="H108" s="146"/>
      <c r="I108" s="146"/>
      <c r="J108" s="146"/>
      <c r="K108" s="146"/>
      <c r="L108" s="146"/>
      <c r="M108" s="146"/>
      <c r="N108" s="154"/>
      <c r="O108" s="153"/>
      <c r="P108" s="153"/>
      <c r="Q108" s="153"/>
    </row>
    <row r="109" spans="1:17" s="55" customFormat="1" ht="49.5" x14ac:dyDescent="0.35">
      <c r="A109" s="24" t="str">
        <f>_xlfn.XLOOKUP(B109,'Paso 3 Redacción RA '!I$3:I$12,'Paso 3 Redacción RA '!C$3:C$12,,0,1)</f>
        <v>Saber</v>
      </c>
      <c r="B109" s="107" t="s">
        <v>86</v>
      </c>
      <c r="C109" s="145">
        <v>6</v>
      </c>
      <c r="D109" s="145" t="s">
        <v>281</v>
      </c>
      <c r="E109" s="153" t="s">
        <v>282</v>
      </c>
      <c r="F109" s="122" t="s">
        <v>183</v>
      </c>
      <c r="G109" s="122"/>
      <c r="H109" s="122" t="s">
        <v>184</v>
      </c>
      <c r="I109" s="122"/>
      <c r="J109" s="122">
        <v>3</v>
      </c>
      <c r="K109" s="122">
        <f>J109*12</f>
        <v>36</v>
      </c>
      <c r="L109" s="122">
        <f>36*J109</f>
        <v>108</v>
      </c>
      <c r="M109" s="122">
        <f>SUM(K109:L109)</f>
        <v>144</v>
      </c>
      <c r="N109" s="153" t="s">
        <v>283</v>
      </c>
      <c r="O109" s="152" t="s">
        <v>186</v>
      </c>
      <c r="P109" s="152" t="s">
        <v>207</v>
      </c>
      <c r="Q109" s="152" t="s">
        <v>188</v>
      </c>
    </row>
    <row r="110" spans="1:17" s="55" customFormat="1" ht="49.5" x14ac:dyDescent="0.35">
      <c r="A110" s="24" t="str">
        <f>_xlfn.XLOOKUP(B110,'Paso 3 Redacción RA '!I$3:I$12,'Paso 3 Redacción RA '!C$3:C$12,,0,1)</f>
        <v>Saberhacer</v>
      </c>
      <c r="B110" s="107" t="s">
        <v>89</v>
      </c>
      <c r="C110" s="122"/>
      <c r="D110" s="122"/>
      <c r="E110" s="153"/>
      <c r="F110" s="122"/>
      <c r="G110" s="122"/>
      <c r="H110" s="122"/>
      <c r="I110" s="122"/>
      <c r="J110" s="122"/>
      <c r="K110" s="122"/>
      <c r="L110" s="122"/>
      <c r="M110" s="122"/>
      <c r="N110" s="153"/>
      <c r="O110" s="153"/>
      <c r="P110" s="153"/>
      <c r="Q110" s="153"/>
    </row>
    <row r="111" spans="1:17" s="55" customFormat="1" ht="49.5" x14ac:dyDescent="0.35">
      <c r="A111" s="24" t="str">
        <f>_xlfn.XLOOKUP(B111,'Paso 3 Redacción RA '!I$3:I$12,'Paso 3 Redacción RA '!C$3:C$12,,0,1)</f>
        <v>Saberser</v>
      </c>
      <c r="B111" s="107" t="s">
        <v>93</v>
      </c>
      <c r="C111" s="122"/>
      <c r="D111" s="122"/>
      <c r="E111" s="153"/>
      <c r="F111" s="122"/>
      <c r="G111" s="122"/>
      <c r="H111" s="122"/>
      <c r="I111" s="122"/>
      <c r="J111" s="122"/>
      <c r="K111" s="122"/>
      <c r="L111" s="122"/>
      <c r="M111" s="122"/>
      <c r="N111" s="153"/>
      <c r="O111" s="153"/>
      <c r="P111" s="153"/>
      <c r="Q111" s="153"/>
    </row>
    <row r="112" spans="1:17" s="55" customFormat="1" ht="49.5" x14ac:dyDescent="0.35">
      <c r="A112" s="24" t="str">
        <f>_xlfn.XLOOKUP(B112,'Paso 3 Redacción RA '!I$3:I$12,'Paso 3 Redacción RA '!C$3:C$12,,0,1)</f>
        <v>Saberhacer</v>
      </c>
      <c r="B112" s="16" t="s">
        <v>94</v>
      </c>
      <c r="C112" s="122"/>
      <c r="D112" s="122"/>
      <c r="E112" s="153"/>
      <c r="F112" s="122"/>
      <c r="G112" s="122"/>
      <c r="H112" s="122"/>
      <c r="I112" s="122"/>
      <c r="J112" s="122"/>
      <c r="K112" s="122"/>
      <c r="L112" s="122"/>
      <c r="M112" s="122"/>
      <c r="N112" s="153"/>
      <c r="O112" s="153"/>
      <c r="P112" s="153"/>
      <c r="Q112" s="153"/>
    </row>
    <row r="113" spans="1:17" s="55" customFormat="1" ht="49.5" x14ac:dyDescent="0.35">
      <c r="A113" s="24" t="str">
        <f>_xlfn.XLOOKUP(B113,'Paso 3 Redacción RA '!I$3:I$12,'Paso 3 Redacción RA '!C$3:C$12,,0,1)</f>
        <v>Saber</v>
      </c>
      <c r="B113" s="16" t="s">
        <v>98</v>
      </c>
      <c r="C113" s="122"/>
      <c r="D113" s="122"/>
      <c r="E113" s="153"/>
      <c r="F113" s="122"/>
      <c r="G113" s="122"/>
      <c r="H113" s="122"/>
      <c r="I113" s="122"/>
      <c r="J113" s="122"/>
      <c r="K113" s="122"/>
      <c r="L113" s="122"/>
      <c r="M113" s="122"/>
      <c r="N113" s="153"/>
      <c r="O113" s="153"/>
      <c r="P113" s="153"/>
      <c r="Q113" s="153"/>
    </row>
    <row r="114" spans="1:17" s="55" customFormat="1" ht="33" x14ac:dyDescent="0.35">
      <c r="A114" s="95" t="str">
        <f>_xlfn.XLOOKUP(B114,'Paso 3 Redacción RA '!I$3:I$12,'Paso 3 Redacción RA '!C$3:C$12,,0,1)</f>
        <v>Saberhacer</v>
      </c>
      <c r="B114" s="26" t="s">
        <v>101</v>
      </c>
      <c r="C114" s="122"/>
      <c r="D114" s="122"/>
      <c r="E114" s="153"/>
      <c r="F114" s="122"/>
      <c r="G114" s="122"/>
      <c r="H114" s="122"/>
      <c r="I114" s="122"/>
      <c r="J114" s="122"/>
      <c r="K114" s="122"/>
      <c r="L114" s="122"/>
      <c r="M114" s="122"/>
      <c r="N114" s="153"/>
      <c r="O114" s="153"/>
      <c r="P114" s="153"/>
      <c r="Q114" s="153"/>
    </row>
    <row r="115" spans="1:17" s="55" customFormat="1" ht="49.5" x14ac:dyDescent="0.35">
      <c r="A115" s="24" t="str">
        <f>_xlfn.XLOOKUP(B115,'Paso 3 Redacción RA '!I$3:I$12,'Paso 3 Redacción RA '!C$3:C$12,,0,1)</f>
        <v>Saber</v>
      </c>
      <c r="B115" s="107" t="s">
        <v>86</v>
      </c>
      <c r="C115" s="145">
        <v>6</v>
      </c>
      <c r="D115" s="145" t="s">
        <v>284</v>
      </c>
      <c r="E115" s="156" t="s">
        <v>285</v>
      </c>
      <c r="F115" s="145" t="s">
        <v>183</v>
      </c>
      <c r="G115" s="145"/>
      <c r="H115" s="145" t="s">
        <v>184</v>
      </c>
      <c r="I115" s="145"/>
      <c r="J115" s="145">
        <v>3</v>
      </c>
      <c r="K115" s="145">
        <f>J115*12</f>
        <v>36</v>
      </c>
      <c r="L115" s="145">
        <f>36*J115</f>
        <v>108</v>
      </c>
      <c r="M115" s="145">
        <f>SUM(K115:L115)</f>
        <v>144</v>
      </c>
      <c r="N115" s="152" t="s">
        <v>286</v>
      </c>
      <c r="O115" s="152" t="s">
        <v>186</v>
      </c>
      <c r="P115" s="152" t="s">
        <v>260</v>
      </c>
      <c r="Q115" s="152" t="s">
        <v>188</v>
      </c>
    </row>
    <row r="116" spans="1:17" s="55" customFormat="1" ht="49.5" x14ac:dyDescent="0.35">
      <c r="A116" s="24" t="str">
        <f>_xlfn.XLOOKUP(B116,'Paso 3 Redacción RA '!I$3:I$12,'Paso 3 Redacción RA '!C$3:C$12,,0,1)</f>
        <v>Saberhacer</v>
      </c>
      <c r="B116" s="107" t="s">
        <v>89</v>
      </c>
      <c r="C116" s="122"/>
      <c r="D116" s="122"/>
      <c r="E116" s="157"/>
      <c r="F116" s="122"/>
      <c r="G116" s="122"/>
      <c r="H116" s="122"/>
      <c r="I116" s="122"/>
      <c r="J116" s="122"/>
      <c r="K116" s="122"/>
      <c r="L116" s="122"/>
      <c r="M116" s="122"/>
      <c r="N116" s="153"/>
      <c r="O116" s="153"/>
      <c r="P116" s="153"/>
      <c r="Q116" s="153"/>
    </row>
    <row r="117" spans="1:17" s="55" customFormat="1" ht="49.5" x14ac:dyDescent="0.35">
      <c r="A117" s="24" t="str">
        <f>_xlfn.XLOOKUP(B117,'Paso 3 Redacción RA '!I$3:I$12,'Paso 3 Redacción RA '!C$3:C$12,,0,1)</f>
        <v>Saberser</v>
      </c>
      <c r="B117" s="107" t="s">
        <v>93</v>
      </c>
      <c r="C117" s="122"/>
      <c r="D117" s="122"/>
      <c r="E117" s="157"/>
      <c r="F117" s="122"/>
      <c r="G117" s="122"/>
      <c r="H117" s="122"/>
      <c r="I117" s="122"/>
      <c r="J117" s="122"/>
      <c r="K117" s="122"/>
      <c r="L117" s="122"/>
      <c r="M117" s="122"/>
      <c r="N117" s="153"/>
      <c r="O117" s="153"/>
      <c r="P117" s="153"/>
      <c r="Q117" s="153"/>
    </row>
    <row r="118" spans="1:17" s="55" customFormat="1" ht="49.5" x14ac:dyDescent="0.35">
      <c r="A118" s="24" t="str">
        <f>_xlfn.XLOOKUP(B118,'Paso 3 Redacción RA '!I$3:I$12,'Paso 3 Redacción RA '!C$3:C$12,,0,1)</f>
        <v>Saberhacer</v>
      </c>
      <c r="B118" s="16" t="s">
        <v>94</v>
      </c>
      <c r="C118" s="122"/>
      <c r="D118" s="122"/>
      <c r="E118" s="157"/>
      <c r="F118" s="122"/>
      <c r="G118" s="122"/>
      <c r="H118" s="122"/>
      <c r="I118" s="122"/>
      <c r="J118" s="122"/>
      <c r="K118" s="122"/>
      <c r="L118" s="122"/>
      <c r="M118" s="122"/>
      <c r="N118" s="153"/>
      <c r="O118" s="153"/>
      <c r="P118" s="153"/>
      <c r="Q118" s="153"/>
    </row>
    <row r="119" spans="1:17" s="55" customFormat="1" ht="49.5" x14ac:dyDescent="0.35">
      <c r="A119" s="24" t="str">
        <f>_xlfn.XLOOKUP(B119,'Paso 3 Redacción RA '!I$3:I$12,'Paso 3 Redacción RA '!C$3:C$12,,0,1)</f>
        <v>Saber</v>
      </c>
      <c r="B119" s="16" t="s">
        <v>98</v>
      </c>
      <c r="C119" s="122"/>
      <c r="D119" s="122"/>
      <c r="E119" s="157"/>
      <c r="F119" s="122"/>
      <c r="G119" s="122"/>
      <c r="H119" s="122"/>
      <c r="I119" s="122"/>
      <c r="J119" s="122"/>
      <c r="K119" s="122"/>
      <c r="L119" s="122"/>
      <c r="M119" s="122"/>
      <c r="N119" s="153"/>
      <c r="O119" s="153"/>
      <c r="P119" s="153"/>
      <c r="Q119" s="153"/>
    </row>
    <row r="120" spans="1:17" s="55" customFormat="1" ht="33" x14ac:dyDescent="0.35">
      <c r="A120" s="95" t="str">
        <f>_xlfn.XLOOKUP(B120,'Paso 3 Redacción RA '!I$3:I$12,'Paso 3 Redacción RA '!C$3:C$12,,0,1)</f>
        <v>Saberhacer</v>
      </c>
      <c r="B120" s="26" t="s">
        <v>101</v>
      </c>
      <c r="C120" s="122"/>
      <c r="D120" s="122"/>
      <c r="E120" s="157"/>
      <c r="F120" s="122"/>
      <c r="G120" s="122"/>
      <c r="H120" s="122"/>
      <c r="I120" s="122"/>
      <c r="J120" s="122"/>
      <c r="K120" s="122"/>
      <c r="L120" s="122"/>
      <c r="M120" s="122"/>
      <c r="N120" s="154"/>
      <c r="O120" s="153"/>
      <c r="P120" s="153"/>
      <c r="Q120" s="153"/>
    </row>
    <row r="121" spans="1:17" s="55" customFormat="1" ht="49.5" x14ac:dyDescent="0.35">
      <c r="A121" s="24" t="str">
        <f>_xlfn.XLOOKUP(B121,'Paso 3 Redacción RA '!I$3:I$12,'Paso 3 Redacción RA '!C$3:C$12,,0,1)</f>
        <v>Saber</v>
      </c>
      <c r="B121" s="107" t="s">
        <v>86</v>
      </c>
      <c r="C121" s="145">
        <v>6</v>
      </c>
      <c r="D121" s="145" t="s">
        <v>287</v>
      </c>
      <c r="E121" s="152" t="s">
        <v>288</v>
      </c>
      <c r="F121" s="145" t="s">
        <v>289</v>
      </c>
      <c r="G121" s="145"/>
      <c r="H121" s="145" t="s">
        <v>184</v>
      </c>
      <c r="I121" s="145"/>
      <c r="J121" s="145">
        <v>3</v>
      </c>
      <c r="K121" s="145">
        <f>J121*12</f>
        <v>36</v>
      </c>
      <c r="L121" s="145">
        <f>36*J121</f>
        <v>108</v>
      </c>
      <c r="M121" s="145">
        <f>SUM(K121:L121)</f>
        <v>144</v>
      </c>
      <c r="N121" s="152" t="s">
        <v>290</v>
      </c>
      <c r="O121" s="152" t="s">
        <v>186</v>
      </c>
      <c r="P121" s="147" t="s">
        <v>291</v>
      </c>
      <c r="Q121" s="152" t="s">
        <v>188</v>
      </c>
    </row>
    <row r="122" spans="1:17" s="55" customFormat="1" ht="49.5" x14ac:dyDescent="0.35">
      <c r="A122" s="24" t="str">
        <f>_xlfn.XLOOKUP(B122,'Paso 3 Redacción RA '!I$3:I$12,'Paso 3 Redacción RA '!C$3:C$12,,0,1)</f>
        <v>Saberhacer</v>
      </c>
      <c r="B122" s="107" t="s">
        <v>89</v>
      </c>
      <c r="C122" s="122"/>
      <c r="D122" s="122"/>
      <c r="E122" s="153"/>
      <c r="F122" s="122"/>
      <c r="G122" s="122"/>
      <c r="H122" s="122"/>
      <c r="I122" s="122"/>
      <c r="J122" s="122"/>
      <c r="K122" s="122"/>
      <c r="L122" s="122"/>
      <c r="M122" s="122"/>
      <c r="N122" s="153"/>
      <c r="O122" s="153"/>
      <c r="P122" s="161"/>
      <c r="Q122" s="153"/>
    </row>
    <row r="123" spans="1:17" s="55" customFormat="1" ht="49.5" x14ac:dyDescent="0.35">
      <c r="A123" s="24" t="str">
        <f>_xlfn.XLOOKUP(B123,'Paso 3 Redacción RA '!I$3:I$12,'Paso 3 Redacción RA '!C$3:C$12,,0,1)</f>
        <v>Saberser</v>
      </c>
      <c r="B123" s="107" t="s">
        <v>93</v>
      </c>
      <c r="C123" s="122"/>
      <c r="D123" s="122"/>
      <c r="E123" s="153"/>
      <c r="F123" s="122"/>
      <c r="G123" s="122"/>
      <c r="H123" s="122"/>
      <c r="I123" s="122"/>
      <c r="J123" s="122"/>
      <c r="K123" s="122"/>
      <c r="L123" s="122"/>
      <c r="M123" s="122"/>
      <c r="N123" s="153"/>
      <c r="O123" s="153"/>
      <c r="P123" s="161"/>
      <c r="Q123" s="153"/>
    </row>
    <row r="124" spans="1:17" s="55" customFormat="1" ht="49.5" x14ac:dyDescent="0.35">
      <c r="A124" s="24" t="str">
        <f>_xlfn.XLOOKUP(B124,'Paso 3 Redacción RA '!I$3:I$12,'Paso 3 Redacción RA '!C$3:C$12,,0,1)</f>
        <v>Saberhacer</v>
      </c>
      <c r="B124" s="16" t="s">
        <v>94</v>
      </c>
      <c r="C124" s="122"/>
      <c r="D124" s="122"/>
      <c r="E124" s="153"/>
      <c r="F124" s="122"/>
      <c r="G124" s="122"/>
      <c r="H124" s="122"/>
      <c r="I124" s="122"/>
      <c r="J124" s="122"/>
      <c r="K124" s="122"/>
      <c r="L124" s="122"/>
      <c r="M124" s="122"/>
      <c r="N124" s="153"/>
      <c r="O124" s="153"/>
      <c r="P124" s="161"/>
      <c r="Q124" s="153"/>
    </row>
    <row r="125" spans="1:17" s="55" customFormat="1" ht="49.5" x14ac:dyDescent="0.35">
      <c r="A125" s="24" t="str">
        <f>_xlfn.XLOOKUP(B125,'Paso 3 Redacción RA '!I$3:I$12,'Paso 3 Redacción RA '!C$3:C$12,,0,1)</f>
        <v>Saber</v>
      </c>
      <c r="B125" s="16" t="s">
        <v>98</v>
      </c>
      <c r="C125" s="122"/>
      <c r="D125" s="122"/>
      <c r="E125" s="153"/>
      <c r="F125" s="122"/>
      <c r="G125" s="122"/>
      <c r="H125" s="122"/>
      <c r="I125" s="122"/>
      <c r="J125" s="122"/>
      <c r="K125" s="122"/>
      <c r="L125" s="122"/>
      <c r="M125" s="122"/>
      <c r="N125" s="153"/>
      <c r="O125" s="153"/>
      <c r="P125" s="161"/>
      <c r="Q125" s="153"/>
    </row>
    <row r="126" spans="1:17" s="55" customFormat="1" ht="33.5" thickBot="1" x14ac:dyDescent="0.4">
      <c r="A126" s="95" t="str">
        <f>_xlfn.XLOOKUP(B126,'Paso 3 Redacción RA '!I$3:I$12,'Paso 3 Redacción RA '!C$3:C$12,,0,1)</f>
        <v>Saberhacer</v>
      </c>
      <c r="B126" s="26" t="s">
        <v>101</v>
      </c>
      <c r="C126" s="122"/>
      <c r="D126" s="122"/>
      <c r="E126" s="153"/>
      <c r="F126" s="122"/>
      <c r="G126" s="122"/>
      <c r="H126" s="122"/>
      <c r="I126" s="122"/>
      <c r="J126" s="122"/>
      <c r="K126" s="122"/>
      <c r="L126" s="122"/>
      <c r="M126" s="122"/>
      <c r="N126" s="153"/>
      <c r="O126" s="153"/>
      <c r="P126" s="161"/>
      <c r="Q126" s="153"/>
    </row>
    <row r="127" spans="1:17" s="55" customFormat="1" ht="49.5" x14ac:dyDescent="0.35">
      <c r="A127" s="24" t="str">
        <f>_xlfn.XLOOKUP(B127,'Paso 3 Redacción RA '!I$3:I$12,'Paso 3 Redacción RA '!C$3:C$12,,0,1)</f>
        <v>Saber</v>
      </c>
      <c r="B127" s="107" t="s">
        <v>86</v>
      </c>
      <c r="C127" s="145">
        <v>6</v>
      </c>
      <c r="D127" s="145" t="s">
        <v>292</v>
      </c>
      <c r="E127" s="152" t="s">
        <v>293</v>
      </c>
      <c r="F127" s="145" t="s">
        <v>183</v>
      </c>
      <c r="G127" s="145"/>
      <c r="H127" s="145" t="s">
        <v>184</v>
      </c>
      <c r="I127" s="145"/>
      <c r="J127" s="145">
        <v>3</v>
      </c>
      <c r="K127" s="145">
        <f>J127*12</f>
        <v>36</v>
      </c>
      <c r="L127" s="145">
        <f>36*J127</f>
        <v>108</v>
      </c>
      <c r="M127" s="145">
        <f>SUM(K127:L127)</f>
        <v>144</v>
      </c>
      <c r="N127" s="152" t="s">
        <v>294</v>
      </c>
      <c r="O127" s="152" t="s">
        <v>186</v>
      </c>
      <c r="P127" s="152" t="s">
        <v>207</v>
      </c>
      <c r="Q127" s="152" t="s">
        <v>188</v>
      </c>
    </row>
    <row r="128" spans="1:17" s="55" customFormat="1" ht="49.5" x14ac:dyDescent="0.35">
      <c r="A128" s="24" t="str">
        <f>_xlfn.XLOOKUP(B128,'Paso 3 Redacción RA '!I$3:I$12,'Paso 3 Redacción RA '!C$3:C$12,,0,1)</f>
        <v>Saberhacer</v>
      </c>
      <c r="B128" s="107" t="s">
        <v>89</v>
      </c>
      <c r="C128" s="122"/>
      <c r="D128" s="122"/>
      <c r="E128" s="153"/>
      <c r="F128" s="122"/>
      <c r="G128" s="122"/>
      <c r="H128" s="122"/>
      <c r="I128" s="122"/>
      <c r="J128" s="122"/>
      <c r="K128" s="122"/>
      <c r="L128" s="122"/>
      <c r="M128" s="122"/>
      <c r="N128" s="153"/>
      <c r="O128" s="153"/>
      <c r="P128" s="153"/>
      <c r="Q128" s="153"/>
    </row>
    <row r="129" spans="1:17" s="55" customFormat="1" ht="49.5" x14ac:dyDescent="0.35">
      <c r="A129" s="24" t="str">
        <f>_xlfn.XLOOKUP(B129,'Paso 3 Redacción RA '!I$3:I$12,'Paso 3 Redacción RA '!C$3:C$12,,0,1)</f>
        <v>Saberser</v>
      </c>
      <c r="B129" s="107" t="s">
        <v>93</v>
      </c>
      <c r="C129" s="122"/>
      <c r="D129" s="122"/>
      <c r="E129" s="153"/>
      <c r="F129" s="122"/>
      <c r="G129" s="122"/>
      <c r="H129" s="122"/>
      <c r="I129" s="122"/>
      <c r="J129" s="122"/>
      <c r="K129" s="122"/>
      <c r="L129" s="122"/>
      <c r="M129" s="122"/>
      <c r="N129" s="153"/>
      <c r="O129" s="153"/>
      <c r="P129" s="153"/>
      <c r="Q129" s="153"/>
    </row>
    <row r="130" spans="1:17" s="55" customFormat="1" ht="49.5" x14ac:dyDescent="0.35">
      <c r="A130" s="24" t="str">
        <f>_xlfn.XLOOKUP(B130,'Paso 3 Redacción RA '!I$3:I$12,'Paso 3 Redacción RA '!C$3:C$12,,0,1)</f>
        <v>Saberhacer</v>
      </c>
      <c r="B130" s="16" t="s">
        <v>94</v>
      </c>
      <c r="C130" s="122"/>
      <c r="D130" s="122"/>
      <c r="E130" s="153"/>
      <c r="F130" s="122"/>
      <c r="G130" s="122"/>
      <c r="H130" s="122"/>
      <c r="I130" s="122"/>
      <c r="J130" s="122"/>
      <c r="K130" s="122"/>
      <c r="L130" s="122"/>
      <c r="M130" s="122"/>
      <c r="N130" s="153"/>
      <c r="O130" s="153"/>
      <c r="P130" s="153"/>
      <c r="Q130" s="153"/>
    </row>
    <row r="131" spans="1:17" s="55" customFormat="1" ht="50" thickBot="1" x14ac:dyDescent="0.4">
      <c r="A131" s="95" t="str">
        <f>_xlfn.XLOOKUP(B131,'Paso 3 Redacción RA '!I$3:I$12,'Paso 3 Redacción RA '!C$3:C$12,,0,1)</f>
        <v>Saber</v>
      </c>
      <c r="B131" s="26" t="s">
        <v>98</v>
      </c>
      <c r="C131" s="122"/>
      <c r="D131" s="122"/>
      <c r="E131" s="153"/>
      <c r="F131" s="122"/>
      <c r="G131" s="122"/>
      <c r="H131" s="122"/>
      <c r="I131" s="122"/>
      <c r="J131" s="122"/>
      <c r="K131" s="122"/>
      <c r="L131" s="122"/>
      <c r="M131" s="122"/>
      <c r="N131" s="153"/>
      <c r="O131" s="153"/>
      <c r="P131" s="153"/>
      <c r="Q131" s="153"/>
    </row>
    <row r="132" spans="1:17" s="55" customFormat="1" ht="49.5" x14ac:dyDescent="0.35">
      <c r="A132" s="24" t="str">
        <f>_xlfn.XLOOKUP(B132,'Paso 3 Redacción RA '!I$3:I$12,'Paso 3 Redacción RA '!C$3:C$12,,0,1)</f>
        <v>Saberhacer</v>
      </c>
      <c r="B132" s="16" t="s">
        <v>89</v>
      </c>
      <c r="C132" s="145">
        <v>6</v>
      </c>
      <c r="D132" s="145" t="s">
        <v>295</v>
      </c>
      <c r="E132" s="152" t="s">
        <v>296</v>
      </c>
      <c r="F132" s="145" t="s">
        <v>201</v>
      </c>
      <c r="G132" s="145"/>
      <c r="H132" s="145" t="s">
        <v>184</v>
      </c>
      <c r="I132" s="145"/>
      <c r="J132" s="145">
        <v>3</v>
      </c>
      <c r="K132" s="145">
        <f>J132*12</f>
        <v>36</v>
      </c>
      <c r="L132" s="145">
        <f>36*J132</f>
        <v>108</v>
      </c>
      <c r="M132" s="145">
        <f>SUM(K132:L132)</f>
        <v>144</v>
      </c>
      <c r="N132" s="152" t="s">
        <v>297</v>
      </c>
      <c r="O132" s="152" t="s">
        <v>186</v>
      </c>
      <c r="P132" s="152" t="s">
        <v>298</v>
      </c>
      <c r="Q132" s="152" t="s">
        <v>188</v>
      </c>
    </row>
    <row r="133" spans="1:17" s="55" customFormat="1" ht="49.5" x14ac:dyDescent="0.35">
      <c r="A133" s="24" t="str">
        <f>_xlfn.XLOOKUP(B133,'Paso 3 Redacción RA '!I$3:I$12,'Paso 3 Redacción RA '!C$3:C$12,,0,1)</f>
        <v>Saberser</v>
      </c>
      <c r="B133" s="16" t="s">
        <v>93</v>
      </c>
      <c r="C133" s="122"/>
      <c r="D133" s="122"/>
      <c r="E133" s="153"/>
      <c r="F133" s="122"/>
      <c r="G133" s="122"/>
      <c r="H133" s="122"/>
      <c r="I133" s="122"/>
      <c r="J133" s="122"/>
      <c r="K133" s="122"/>
      <c r="L133" s="122"/>
      <c r="M133" s="122"/>
      <c r="N133" s="153"/>
      <c r="O133" s="153"/>
      <c r="P133" s="153"/>
      <c r="Q133" s="153"/>
    </row>
    <row r="134" spans="1:17" s="55" customFormat="1" ht="49.5" x14ac:dyDescent="0.35">
      <c r="A134" s="24" t="str">
        <f>_xlfn.XLOOKUP(B134,'Paso 3 Redacción RA '!I$3:I$12,'Paso 3 Redacción RA '!C$3:C$12,,0,1)</f>
        <v>Saberhacer</v>
      </c>
      <c r="B134" s="16" t="s">
        <v>94</v>
      </c>
      <c r="C134" s="122"/>
      <c r="D134" s="122"/>
      <c r="E134" s="153"/>
      <c r="F134" s="122"/>
      <c r="G134" s="122"/>
      <c r="H134" s="122"/>
      <c r="I134" s="122"/>
      <c r="J134" s="122"/>
      <c r="K134" s="122"/>
      <c r="L134" s="122"/>
      <c r="M134" s="122"/>
      <c r="N134" s="153"/>
      <c r="O134" s="153"/>
      <c r="P134" s="153"/>
      <c r="Q134" s="153"/>
    </row>
    <row r="135" spans="1:17" s="55" customFormat="1" ht="49.5" x14ac:dyDescent="0.35">
      <c r="A135" s="24" t="str">
        <f>_xlfn.XLOOKUP(B135,'Paso 3 Redacción RA '!I$3:I$12,'Paso 3 Redacción RA '!C$3:C$12,,0,1)</f>
        <v>Saber</v>
      </c>
      <c r="B135" s="16" t="s">
        <v>98</v>
      </c>
      <c r="C135" s="122"/>
      <c r="D135" s="122"/>
      <c r="E135" s="153"/>
      <c r="F135" s="122"/>
      <c r="G135" s="122"/>
      <c r="H135" s="122"/>
      <c r="I135" s="122"/>
      <c r="J135" s="122"/>
      <c r="K135" s="122"/>
      <c r="L135" s="122"/>
      <c r="M135" s="122"/>
      <c r="N135" s="153"/>
      <c r="O135" s="153"/>
      <c r="P135" s="153"/>
      <c r="Q135" s="153"/>
    </row>
    <row r="136" spans="1:17" s="55" customFormat="1" ht="33.5" thickBot="1" x14ac:dyDescent="0.4">
      <c r="A136" s="95" t="str">
        <f>_xlfn.XLOOKUP(B136,'Paso 3 Redacción RA '!I$3:I$12,'Paso 3 Redacción RA '!C$3:C$12,,0,1)</f>
        <v>Saberhacer</v>
      </c>
      <c r="B136" s="26" t="s">
        <v>101</v>
      </c>
      <c r="C136" s="146"/>
      <c r="D136" s="146"/>
      <c r="E136" s="154"/>
      <c r="F136" s="146"/>
      <c r="G136" s="146"/>
      <c r="H136" s="146"/>
      <c r="I136" s="146"/>
      <c r="J136" s="146"/>
      <c r="K136" s="146"/>
      <c r="L136" s="146"/>
      <c r="M136" s="146"/>
      <c r="N136" s="154"/>
      <c r="O136" s="154"/>
      <c r="P136" s="154"/>
      <c r="Q136" s="154"/>
    </row>
    <row r="137" spans="1:17" s="55" customFormat="1" ht="32" x14ac:dyDescent="0.35">
      <c r="A137" s="24"/>
      <c r="B137" s="16"/>
      <c r="C137" s="86" t="s">
        <v>299</v>
      </c>
      <c r="D137" s="56">
        <f>COUNTA(D8:D136)</f>
        <v>31</v>
      </c>
      <c r="E137" s="16"/>
      <c r="F137" s="19"/>
      <c r="G137" s="19"/>
      <c r="H137" s="19"/>
      <c r="I137" s="87" t="s">
        <v>300</v>
      </c>
      <c r="J137" s="60">
        <f>SUM(J8:J136)</f>
        <v>93</v>
      </c>
      <c r="K137" s="88"/>
      <c r="L137" s="31"/>
      <c r="M137" s="19"/>
      <c r="N137" s="16"/>
      <c r="O137" s="16"/>
      <c r="P137" s="16"/>
      <c r="Q137" s="16"/>
    </row>
    <row r="138" spans="1:17" s="55" customFormat="1" ht="32" x14ac:dyDescent="0.35">
      <c r="A138" s="24"/>
      <c r="B138" s="16"/>
      <c r="D138" s="19"/>
      <c r="E138" s="16"/>
      <c r="F138" s="19"/>
      <c r="G138" s="19"/>
      <c r="H138" s="19"/>
      <c r="I138" s="89" t="s">
        <v>301</v>
      </c>
      <c r="J138" s="60">
        <f>SUM(J8:J9,J38,J53:J59,J75)</f>
        <v>21</v>
      </c>
      <c r="K138" s="88"/>
      <c r="L138" s="57"/>
      <c r="M138" s="19"/>
      <c r="N138" s="16"/>
      <c r="O138" s="16"/>
      <c r="P138" s="16"/>
      <c r="Q138" s="16"/>
    </row>
    <row r="139" spans="1:17" s="55" customFormat="1" ht="32" x14ac:dyDescent="0.35">
      <c r="A139" s="24"/>
      <c r="B139" s="16"/>
      <c r="D139" s="35"/>
      <c r="E139" s="73"/>
      <c r="F139" s="35"/>
      <c r="G139" s="74"/>
      <c r="H139" s="74"/>
      <c r="I139" s="89" t="s">
        <v>302</v>
      </c>
      <c r="J139" s="60">
        <f>SUM(J3:J24,J25:J47,J48:J64,J65:J136)</f>
        <v>96</v>
      </c>
      <c r="K139" s="88"/>
      <c r="L139" s="57"/>
      <c r="M139" s="74"/>
      <c r="N139" s="22"/>
      <c r="O139" s="75"/>
      <c r="P139" s="75"/>
      <c r="Q139" s="75"/>
    </row>
    <row r="140" spans="1:17" s="55" customFormat="1" ht="16.5" x14ac:dyDescent="0.35">
      <c r="A140" s="24"/>
      <c r="B140" s="16"/>
      <c r="D140" s="35"/>
      <c r="E140" s="73"/>
      <c r="F140" s="35"/>
      <c r="G140" s="74"/>
      <c r="H140" s="74"/>
      <c r="I140" s="74"/>
      <c r="J140" s="74"/>
      <c r="K140" s="74"/>
      <c r="L140" s="74"/>
      <c r="M140" s="74"/>
      <c r="N140" s="22"/>
      <c r="O140" s="75"/>
      <c r="P140" s="75"/>
      <c r="Q140" s="75"/>
    </row>
    <row r="141" spans="1:17" s="55" customFormat="1" ht="16.5" x14ac:dyDescent="0.35">
      <c r="A141" s="24"/>
      <c r="B141" s="16"/>
      <c r="D141" s="35"/>
      <c r="E141" s="73"/>
      <c r="F141" s="35"/>
      <c r="G141" s="74"/>
      <c r="H141" s="74"/>
      <c r="I141" s="74"/>
      <c r="J141" s="74"/>
      <c r="K141" s="74"/>
      <c r="L141" s="74"/>
      <c r="M141" s="74"/>
      <c r="N141" s="22"/>
      <c r="O141" s="75"/>
      <c r="P141" s="75"/>
      <c r="Q141" s="75"/>
    </row>
    <row r="142" spans="1:17" s="55" customFormat="1" ht="16.5" x14ac:dyDescent="0.35">
      <c r="A142" s="24"/>
      <c r="B142" s="16"/>
      <c r="D142" s="19"/>
      <c r="E142" s="16"/>
      <c r="F142" s="19"/>
      <c r="G142" s="19"/>
      <c r="H142" s="19"/>
      <c r="I142" s="19"/>
      <c r="J142" s="19"/>
      <c r="K142" s="19"/>
      <c r="L142" s="19"/>
      <c r="M142" s="19"/>
      <c r="N142" s="16"/>
      <c r="O142" s="16"/>
      <c r="P142" s="16"/>
      <c r="Q142" s="16"/>
    </row>
    <row r="143" spans="1:17" s="55" customFormat="1" ht="16.5" x14ac:dyDescent="0.35">
      <c r="A143" s="24"/>
      <c r="B143" s="16"/>
      <c r="D143" s="19"/>
      <c r="E143" s="16"/>
      <c r="F143" s="19"/>
      <c r="G143" s="19"/>
      <c r="H143" s="19"/>
      <c r="I143" s="19"/>
      <c r="J143" s="19"/>
      <c r="K143" s="19"/>
      <c r="L143" s="19"/>
      <c r="M143" s="19"/>
      <c r="N143" s="16"/>
      <c r="O143" s="16"/>
      <c r="P143" s="16"/>
      <c r="Q143" s="16"/>
    </row>
    <row r="144" spans="1:17" s="55" customFormat="1" ht="16.5" x14ac:dyDescent="0.35">
      <c r="A144" s="24"/>
      <c r="B144" s="16"/>
      <c r="D144" s="19"/>
      <c r="E144" s="16"/>
      <c r="F144" s="19"/>
      <c r="G144" s="19"/>
      <c r="H144" s="19"/>
      <c r="I144" s="19"/>
      <c r="J144" s="19"/>
      <c r="K144" s="19"/>
      <c r="L144" s="19"/>
      <c r="M144" s="19"/>
      <c r="N144" s="16"/>
      <c r="O144" s="16"/>
      <c r="P144" s="16"/>
      <c r="Q144" s="16"/>
    </row>
    <row r="145" spans="1:17" s="55" customFormat="1" ht="16.5" x14ac:dyDescent="0.35">
      <c r="A145" s="24"/>
      <c r="B145" s="16"/>
      <c r="D145" s="19"/>
      <c r="E145" s="16"/>
      <c r="F145" s="19"/>
      <c r="G145" s="74"/>
      <c r="H145" s="74"/>
      <c r="I145" s="74"/>
      <c r="J145" s="74"/>
      <c r="K145" s="74"/>
      <c r="L145" s="74"/>
      <c r="M145" s="74"/>
      <c r="N145" s="16"/>
      <c r="O145" s="16"/>
      <c r="P145" s="16"/>
      <c r="Q145" s="16"/>
    </row>
    <row r="146" spans="1:17" s="55" customFormat="1" ht="16.5" x14ac:dyDescent="0.35">
      <c r="A146" s="24"/>
      <c r="B146" s="16"/>
      <c r="D146" s="19"/>
      <c r="E146" s="16"/>
      <c r="F146" s="19"/>
      <c r="G146" s="74"/>
      <c r="H146" s="74"/>
      <c r="I146" s="74"/>
      <c r="J146" s="74"/>
      <c r="K146" s="74"/>
      <c r="L146" s="74"/>
      <c r="M146" s="74"/>
      <c r="N146" s="16"/>
      <c r="O146" s="16"/>
      <c r="P146" s="16"/>
      <c r="Q146" s="16"/>
    </row>
    <row r="147" spans="1:17" s="55" customFormat="1" ht="16.5" x14ac:dyDescent="0.35">
      <c r="A147" s="24"/>
      <c r="B147" s="16"/>
      <c r="D147" s="19"/>
      <c r="E147" s="16"/>
      <c r="F147" s="19"/>
      <c r="G147" s="74"/>
      <c r="H147" s="74"/>
      <c r="I147" s="74"/>
      <c r="J147" s="74"/>
      <c r="K147" s="74"/>
      <c r="L147" s="74"/>
      <c r="M147" s="74"/>
      <c r="N147" s="16"/>
      <c r="O147" s="16"/>
      <c r="P147" s="16"/>
      <c r="Q147" s="16"/>
    </row>
    <row r="148" spans="1:17" s="55" customFormat="1" ht="16.5" x14ac:dyDescent="0.35">
      <c r="A148" s="24"/>
      <c r="B148" s="16"/>
      <c r="D148" s="19"/>
      <c r="E148" s="16"/>
      <c r="F148" s="19"/>
      <c r="G148" s="19"/>
      <c r="H148" s="19"/>
      <c r="I148" s="19"/>
      <c r="J148" s="19"/>
      <c r="K148" s="19"/>
      <c r="L148" s="19"/>
      <c r="M148" s="19"/>
      <c r="N148" s="16"/>
      <c r="O148" s="16"/>
      <c r="P148" s="16"/>
      <c r="Q148" s="16"/>
    </row>
    <row r="149" spans="1:17" s="55" customFormat="1" ht="16.5" x14ac:dyDescent="0.35">
      <c r="A149" s="24"/>
      <c r="B149" s="16"/>
      <c r="D149" s="19"/>
      <c r="E149" s="16"/>
      <c r="F149" s="19"/>
      <c r="G149" s="19"/>
      <c r="H149" s="19"/>
      <c r="I149" s="19"/>
      <c r="J149" s="19"/>
      <c r="K149" s="19"/>
      <c r="L149" s="19"/>
      <c r="M149" s="19"/>
      <c r="N149" s="16"/>
      <c r="O149" s="16"/>
      <c r="P149" s="16"/>
      <c r="Q149" s="16"/>
    </row>
    <row r="150" spans="1:17" s="55" customFormat="1" ht="16.5" x14ac:dyDescent="0.35">
      <c r="A150" s="24"/>
      <c r="B150" s="16"/>
      <c r="D150" s="19"/>
      <c r="E150" s="16"/>
      <c r="F150" s="19"/>
      <c r="G150" s="19"/>
      <c r="H150" s="19"/>
      <c r="I150" s="19"/>
      <c r="J150" s="19"/>
      <c r="K150" s="19"/>
      <c r="L150" s="19"/>
      <c r="M150" s="19"/>
      <c r="N150" s="16"/>
      <c r="O150" s="16"/>
      <c r="P150" s="16"/>
      <c r="Q150" s="16"/>
    </row>
    <row r="151" spans="1:17" s="55" customFormat="1" ht="16.5" x14ac:dyDescent="0.35">
      <c r="A151" s="24"/>
      <c r="B151" s="16"/>
      <c r="D151" s="19"/>
      <c r="E151" s="16"/>
      <c r="F151" s="19"/>
      <c r="G151" s="19"/>
      <c r="H151" s="19"/>
      <c r="I151" s="19"/>
      <c r="J151" s="19"/>
      <c r="K151" s="19"/>
      <c r="L151" s="19"/>
      <c r="M151" s="19"/>
      <c r="N151" s="16"/>
      <c r="O151" s="16"/>
      <c r="P151" s="16"/>
      <c r="Q151" s="16"/>
    </row>
    <row r="152" spans="1:17" s="55" customFormat="1" ht="16.5" x14ac:dyDescent="0.35">
      <c r="A152" s="24"/>
      <c r="B152" s="22"/>
      <c r="D152" s="19"/>
      <c r="E152" s="22"/>
      <c r="F152" s="19"/>
      <c r="G152" s="45"/>
      <c r="H152" s="45"/>
      <c r="I152" s="45"/>
      <c r="J152" s="45"/>
      <c r="K152" s="45"/>
      <c r="L152" s="45"/>
      <c r="M152" s="45"/>
      <c r="N152" s="22"/>
      <c r="O152" s="22"/>
      <c r="P152" s="22"/>
      <c r="Q152" s="22"/>
    </row>
    <row r="153" spans="1:17" s="55" customFormat="1" ht="16.5" x14ac:dyDescent="0.35">
      <c r="A153" s="24"/>
      <c r="B153" s="22"/>
      <c r="D153" s="19"/>
      <c r="E153" s="22"/>
      <c r="F153" s="19"/>
      <c r="G153" s="45"/>
      <c r="H153" s="45"/>
      <c r="I153" s="45"/>
      <c r="J153" s="45"/>
      <c r="K153" s="45"/>
      <c r="L153" s="45"/>
      <c r="M153" s="45"/>
      <c r="N153" s="22"/>
      <c r="O153" s="22"/>
      <c r="P153" s="22"/>
      <c r="Q153" s="22"/>
    </row>
    <row r="154" spans="1:17" s="55" customFormat="1" ht="16.5" x14ac:dyDescent="0.35">
      <c r="A154" s="24"/>
      <c r="B154" s="22"/>
      <c r="D154" s="19"/>
      <c r="E154" s="22"/>
      <c r="F154" s="19"/>
      <c r="G154" s="45"/>
      <c r="H154" s="45"/>
      <c r="I154" s="45"/>
      <c r="J154" s="45"/>
      <c r="K154" s="45"/>
      <c r="L154" s="45"/>
      <c r="M154" s="45"/>
      <c r="N154" s="22"/>
      <c r="O154" s="22"/>
      <c r="P154" s="22"/>
      <c r="Q154" s="22"/>
    </row>
    <row r="155" spans="1:17" s="55" customFormat="1" ht="16.5" x14ac:dyDescent="0.35">
      <c r="A155" s="24"/>
      <c r="B155" s="22"/>
      <c r="D155" s="19"/>
      <c r="E155" s="22"/>
      <c r="F155" s="19"/>
      <c r="G155" s="45"/>
      <c r="H155" s="45"/>
      <c r="I155" s="45"/>
      <c r="J155" s="45"/>
      <c r="K155" s="45"/>
      <c r="L155" s="45"/>
      <c r="M155" s="45"/>
      <c r="N155" s="22"/>
      <c r="O155" s="22"/>
      <c r="P155" s="22"/>
      <c r="Q155" s="22"/>
    </row>
    <row r="156" spans="1:17" s="55" customFormat="1" ht="16.5" x14ac:dyDescent="0.35">
      <c r="A156" s="24"/>
      <c r="B156" s="16"/>
      <c r="D156" s="35"/>
      <c r="E156" s="73"/>
      <c r="F156" s="35"/>
      <c r="G156" s="74"/>
      <c r="H156" s="74"/>
      <c r="I156" s="74"/>
      <c r="J156" s="74"/>
      <c r="K156" s="74"/>
      <c r="L156" s="74"/>
      <c r="M156" s="74"/>
      <c r="N156" s="75"/>
      <c r="O156" s="75"/>
      <c r="P156" s="75"/>
      <c r="Q156" s="75"/>
    </row>
    <row r="157" spans="1:17" s="55" customFormat="1" ht="16.5" x14ac:dyDescent="0.35">
      <c r="A157" s="24"/>
      <c r="B157" s="16"/>
      <c r="D157" s="35"/>
      <c r="E157" s="73"/>
      <c r="F157" s="35"/>
      <c r="G157" s="74"/>
      <c r="H157" s="74"/>
      <c r="I157" s="74"/>
      <c r="J157" s="74"/>
      <c r="K157" s="74"/>
      <c r="L157" s="74"/>
      <c r="M157" s="74"/>
      <c r="N157" s="75"/>
      <c r="O157" s="75"/>
      <c r="P157" s="75"/>
      <c r="Q157" s="75"/>
    </row>
    <row r="158" spans="1:17" s="55" customFormat="1" ht="16.5" x14ac:dyDescent="0.35">
      <c r="A158" s="24"/>
      <c r="B158" s="16"/>
      <c r="D158" s="35"/>
      <c r="E158" s="73"/>
      <c r="F158" s="35"/>
      <c r="G158" s="74"/>
      <c r="H158" s="74"/>
      <c r="I158" s="74"/>
      <c r="J158" s="74"/>
      <c r="K158" s="74"/>
      <c r="L158" s="74"/>
      <c r="M158" s="74"/>
      <c r="N158" s="75"/>
      <c r="O158" s="75"/>
      <c r="P158" s="75"/>
      <c r="Q158" s="75"/>
    </row>
    <row r="159" spans="1:17" s="55" customFormat="1" ht="16.5" x14ac:dyDescent="0.35">
      <c r="A159" s="24"/>
      <c r="B159" s="16"/>
      <c r="D159" s="35"/>
      <c r="E159" s="73"/>
      <c r="F159" s="35"/>
      <c r="G159" s="74"/>
      <c r="H159" s="74"/>
      <c r="I159" s="74"/>
      <c r="J159" s="74"/>
      <c r="K159" s="74"/>
      <c r="L159" s="74"/>
      <c r="M159" s="74"/>
      <c r="N159" s="75"/>
      <c r="O159" s="75"/>
      <c r="P159" s="75"/>
      <c r="Q159" s="75"/>
    </row>
    <row r="160" spans="1:17" s="55" customFormat="1" ht="16.5" x14ac:dyDescent="0.35">
      <c r="A160" s="24"/>
      <c r="B160" s="16"/>
      <c r="D160" s="19"/>
      <c r="E160" s="16"/>
      <c r="F160" s="19"/>
      <c r="L160" s="13"/>
      <c r="M160" s="13"/>
      <c r="N160" s="16"/>
      <c r="O160" s="16"/>
      <c r="P160" s="16"/>
      <c r="Q160" s="16"/>
    </row>
    <row r="161" spans="1:17" s="55" customFormat="1" ht="16.5" x14ac:dyDescent="0.35">
      <c r="A161" s="24"/>
      <c r="B161" s="16"/>
      <c r="D161" s="19"/>
      <c r="E161" s="16"/>
      <c r="F161" s="19"/>
      <c r="L161" s="13"/>
      <c r="M161" s="13"/>
      <c r="N161" s="16"/>
      <c r="O161" s="16"/>
      <c r="P161" s="16"/>
      <c r="Q161" s="16"/>
    </row>
    <row r="162" spans="1:17" s="55" customFormat="1" ht="16.5" x14ac:dyDescent="0.35">
      <c r="A162" s="24"/>
      <c r="B162" s="16"/>
      <c r="D162" s="19"/>
      <c r="E162" s="16"/>
      <c r="F162" s="19"/>
      <c r="L162" s="13"/>
      <c r="M162" s="13"/>
      <c r="N162" s="16"/>
      <c r="O162" s="16"/>
      <c r="P162" s="16"/>
      <c r="Q162" s="16"/>
    </row>
    <row r="163" spans="1:17" s="55" customFormat="1" ht="16.5" x14ac:dyDescent="0.35">
      <c r="A163" s="24"/>
      <c r="B163" s="16"/>
      <c r="D163" s="19"/>
      <c r="E163" s="16"/>
      <c r="F163" s="19"/>
      <c r="L163" s="13"/>
      <c r="M163" s="13"/>
      <c r="N163" s="16"/>
      <c r="O163" s="16"/>
      <c r="P163" s="16"/>
      <c r="Q163" s="16"/>
    </row>
    <row r="164" spans="1:17" s="55" customFormat="1" ht="16.5" x14ac:dyDescent="0.35">
      <c r="A164" s="24"/>
      <c r="B164" s="16"/>
      <c r="D164" s="19"/>
      <c r="E164" s="76"/>
      <c r="F164" s="19"/>
      <c r="G164" s="74"/>
      <c r="H164" s="74"/>
      <c r="I164" s="74"/>
      <c r="J164" s="74"/>
      <c r="K164" s="74"/>
      <c r="L164" s="74"/>
      <c r="M164" s="74"/>
      <c r="N164" s="76"/>
      <c r="O164" s="76"/>
      <c r="P164" s="76"/>
      <c r="Q164" s="76"/>
    </row>
    <row r="165" spans="1:17" s="55" customFormat="1" ht="16.5" x14ac:dyDescent="0.35">
      <c r="A165" s="24"/>
      <c r="B165" s="16"/>
      <c r="D165" s="35"/>
      <c r="E165" s="73"/>
      <c r="F165" s="35"/>
      <c r="G165" s="74"/>
      <c r="H165" s="74"/>
      <c r="I165" s="74"/>
      <c r="J165" s="74"/>
      <c r="K165" s="74"/>
      <c r="L165" s="74"/>
      <c r="M165" s="74"/>
      <c r="N165" s="75"/>
      <c r="O165" s="75"/>
      <c r="P165" s="75"/>
      <c r="Q165" s="75"/>
    </row>
    <row r="166" spans="1:17" s="55" customFormat="1" ht="16.5" x14ac:dyDescent="0.35">
      <c r="A166" s="24"/>
      <c r="B166" s="16"/>
      <c r="D166" s="35"/>
      <c r="E166" s="73"/>
      <c r="F166" s="35"/>
      <c r="G166" s="74"/>
      <c r="H166" s="74"/>
      <c r="I166" s="74"/>
      <c r="J166" s="74"/>
      <c r="K166" s="74"/>
      <c r="L166" s="74"/>
      <c r="M166" s="74"/>
      <c r="N166" s="75"/>
      <c r="O166" s="75"/>
      <c r="P166" s="75"/>
      <c r="Q166" s="75"/>
    </row>
    <row r="167" spans="1:17" s="55" customFormat="1" ht="16.5" x14ac:dyDescent="0.35">
      <c r="A167" s="24"/>
      <c r="B167" s="16"/>
      <c r="D167" s="35"/>
      <c r="E167" s="73"/>
      <c r="F167" s="35"/>
      <c r="G167" s="74"/>
      <c r="H167" s="74"/>
      <c r="I167" s="74"/>
      <c r="J167" s="74"/>
      <c r="K167" s="74"/>
      <c r="L167" s="74"/>
      <c r="M167" s="74"/>
      <c r="N167" s="75"/>
      <c r="O167" s="75"/>
      <c r="P167" s="75"/>
      <c r="Q167" s="75"/>
    </row>
    <row r="168" spans="1:17" s="55" customFormat="1" ht="16.5" x14ac:dyDescent="0.35">
      <c r="A168" s="24"/>
      <c r="B168" s="16"/>
      <c r="D168" s="35"/>
      <c r="E168" s="73"/>
      <c r="F168" s="35"/>
      <c r="G168" s="74"/>
      <c r="H168" s="74"/>
      <c r="I168" s="74"/>
      <c r="J168" s="74"/>
      <c r="K168" s="74"/>
      <c r="L168" s="74"/>
      <c r="M168" s="74"/>
      <c r="N168" s="75"/>
      <c r="O168" s="75"/>
      <c r="P168" s="75"/>
      <c r="Q168" s="75"/>
    </row>
    <row r="169" spans="1:17" s="55" customFormat="1" ht="16.5" x14ac:dyDescent="0.35">
      <c r="A169" s="24"/>
      <c r="B169" s="16"/>
      <c r="D169" s="19"/>
      <c r="E169" s="73"/>
      <c r="F169" s="19"/>
      <c r="G169" s="74"/>
      <c r="H169" s="74"/>
      <c r="I169" s="74"/>
      <c r="J169" s="74"/>
      <c r="K169" s="74"/>
      <c r="L169" s="74"/>
      <c r="M169" s="74"/>
      <c r="N169" s="75"/>
      <c r="O169" s="75"/>
      <c r="P169" s="75"/>
      <c r="Q169" s="75"/>
    </row>
    <row r="170" spans="1:17" s="55" customFormat="1" ht="16.5" x14ac:dyDescent="0.35">
      <c r="A170" s="24"/>
      <c r="B170" s="16"/>
      <c r="D170" s="19"/>
      <c r="E170" s="73"/>
      <c r="F170" s="19"/>
      <c r="G170" s="74"/>
      <c r="H170" s="74"/>
      <c r="I170" s="74"/>
      <c r="J170" s="74"/>
      <c r="K170" s="74"/>
      <c r="L170" s="74"/>
      <c r="M170" s="74"/>
      <c r="N170" s="75"/>
      <c r="O170" s="75"/>
      <c r="P170" s="75"/>
      <c r="Q170" s="75"/>
    </row>
    <row r="171" spans="1:17" s="55" customFormat="1" ht="16.5" x14ac:dyDescent="0.35">
      <c r="A171" s="24"/>
      <c r="B171" s="16"/>
      <c r="D171" s="19"/>
      <c r="E171" s="73"/>
      <c r="F171" s="19"/>
      <c r="G171" s="74"/>
      <c r="H171" s="74"/>
      <c r="I171" s="74"/>
      <c r="J171" s="74"/>
      <c r="K171" s="74"/>
      <c r="L171" s="74"/>
      <c r="M171" s="74"/>
      <c r="N171" s="75"/>
      <c r="O171" s="75"/>
      <c r="P171" s="75"/>
      <c r="Q171" s="75"/>
    </row>
    <row r="172" spans="1:17" s="55" customFormat="1" ht="16.5" x14ac:dyDescent="0.35">
      <c r="A172" s="24"/>
      <c r="B172" s="16"/>
      <c r="D172" s="19"/>
      <c r="E172" s="73"/>
      <c r="F172" s="19"/>
      <c r="G172" s="74"/>
      <c r="H172" s="74"/>
      <c r="I172" s="74"/>
      <c r="J172" s="74"/>
      <c r="K172" s="74"/>
      <c r="L172" s="74"/>
      <c r="M172" s="74"/>
      <c r="N172" s="75"/>
      <c r="O172" s="75"/>
      <c r="P172" s="75"/>
      <c r="Q172" s="75"/>
    </row>
    <row r="173" spans="1:17" s="55" customFormat="1" ht="16.5" x14ac:dyDescent="0.35">
      <c r="A173" s="24"/>
      <c r="B173" s="16"/>
      <c r="D173" s="19"/>
      <c r="E173" s="16"/>
      <c r="F173" s="19"/>
      <c r="L173" s="13"/>
      <c r="M173" s="13"/>
      <c r="N173" s="16"/>
      <c r="O173" s="16"/>
      <c r="P173" s="16"/>
      <c r="Q173" s="16"/>
    </row>
    <row r="174" spans="1:17" x14ac:dyDescent="0.35">
      <c r="E174" s="62"/>
      <c r="F174" s="57"/>
      <c r="L174" s="63"/>
      <c r="M174" s="63"/>
      <c r="N174" s="62"/>
      <c r="O174" s="62"/>
      <c r="P174" s="62"/>
      <c r="Q174" s="62"/>
    </row>
    <row r="175" spans="1:17" x14ac:dyDescent="0.35">
      <c r="E175" s="62"/>
      <c r="F175" s="57"/>
      <c r="L175" s="63"/>
      <c r="M175" s="63"/>
      <c r="N175" s="62"/>
      <c r="O175" s="62"/>
      <c r="P175" s="62"/>
      <c r="Q175" s="62"/>
    </row>
    <row r="176" spans="1:17" x14ac:dyDescent="0.35">
      <c r="E176" s="62"/>
      <c r="F176" s="57"/>
      <c r="L176" s="63"/>
      <c r="M176" s="63"/>
      <c r="N176" s="62"/>
      <c r="O176" s="62"/>
      <c r="P176" s="62"/>
      <c r="Q176" s="62"/>
    </row>
    <row r="177" spans="5:17" x14ac:dyDescent="0.35">
      <c r="E177" s="66"/>
      <c r="F177" s="57"/>
      <c r="G177" s="59"/>
      <c r="H177" s="59"/>
      <c r="I177" s="59"/>
      <c r="J177" s="59"/>
      <c r="K177" s="59"/>
      <c r="L177" s="59"/>
      <c r="M177" s="59"/>
      <c r="N177" s="66"/>
      <c r="O177" s="66"/>
      <c r="P177" s="66"/>
      <c r="Q177" s="66"/>
    </row>
    <row r="178" spans="5:17" x14ac:dyDescent="0.35">
      <c r="E178" s="67"/>
      <c r="F178" s="57"/>
      <c r="G178" s="68"/>
      <c r="H178" s="68"/>
      <c r="I178" s="68"/>
      <c r="J178" s="65"/>
      <c r="K178" s="65"/>
      <c r="L178" s="65"/>
      <c r="M178" s="65"/>
      <c r="N178" s="67"/>
      <c r="O178" s="67"/>
      <c r="P178" s="67"/>
      <c r="Q178" s="67"/>
    </row>
    <row r="179" spans="5:17" x14ac:dyDescent="0.35">
      <c r="E179" s="58"/>
      <c r="F179" s="57"/>
      <c r="G179" s="59"/>
      <c r="H179" s="59"/>
      <c r="I179" s="59"/>
      <c r="J179" s="59"/>
      <c r="K179" s="59"/>
      <c r="L179" s="59"/>
      <c r="M179" s="59"/>
      <c r="N179" s="71"/>
      <c r="O179" s="71"/>
      <c r="P179" s="71"/>
      <c r="Q179" s="71"/>
    </row>
    <row r="180" spans="5:17" x14ac:dyDescent="0.35">
      <c r="E180" s="58"/>
      <c r="F180" s="57"/>
      <c r="G180" s="59"/>
      <c r="H180" s="59"/>
      <c r="I180" s="59"/>
      <c r="J180" s="59"/>
      <c r="K180" s="59"/>
      <c r="L180" s="59"/>
      <c r="M180" s="59"/>
      <c r="N180" s="71"/>
      <c r="O180" s="71"/>
      <c r="P180" s="71"/>
      <c r="Q180" s="71"/>
    </row>
    <row r="181" spans="5:17" x14ac:dyDescent="0.35">
      <c r="E181" s="58"/>
      <c r="F181" s="57"/>
      <c r="G181" s="59"/>
      <c r="H181" s="59"/>
      <c r="I181" s="59"/>
      <c r="J181" s="59"/>
      <c r="K181" s="59"/>
      <c r="L181" s="59"/>
      <c r="M181" s="59"/>
      <c r="N181" s="71"/>
      <c r="O181" s="71"/>
      <c r="P181" s="71"/>
      <c r="Q181" s="71"/>
    </row>
    <row r="182" spans="5:17" x14ac:dyDescent="0.35">
      <c r="E182" s="58"/>
      <c r="F182" s="57"/>
      <c r="G182" s="59"/>
      <c r="H182" s="59"/>
      <c r="I182" s="59"/>
      <c r="J182" s="59"/>
      <c r="K182" s="59"/>
      <c r="L182" s="59"/>
      <c r="M182" s="59"/>
      <c r="N182" s="71"/>
      <c r="O182" s="71"/>
      <c r="P182" s="71"/>
      <c r="Q182" s="71"/>
    </row>
    <row r="183" spans="5:17" x14ac:dyDescent="0.35">
      <c r="E183" s="62"/>
      <c r="F183" s="57"/>
      <c r="G183" s="63"/>
      <c r="H183" s="63"/>
      <c r="I183" s="63"/>
      <c r="J183" s="63"/>
      <c r="K183" s="63"/>
      <c r="L183" s="63"/>
      <c r="M183" s="63"/>
      <c r="N183" s="61"/>
      <c r="O183" s="62"/>
      <c r="P183" s="62"/>
      <c r="Q183" s="62"/>
    </row>
    <row r="184" spans="5:17" x14ac:dyDescent="0.35">
      <c r="E184" s="62"/>
      <c r="F184" s="57"/>
      <c r="G184" s="63"/>
      <c r="H184" s="63"/>
      <c r="I184" s="63"/>
      <c r="J184" s="63"/>
      <c r="K184" s="63"/>
      <c r="L184" s="63"/>
      <c r="M184" s="63"/>
      <c r="N184" s="61"/>
      <c r="O184" s="62"/>
      <c r="P184" s="62"/>
      <c r="Q184" s="62"/>
    </row>
    <row r="185" spans="5:17" x14ac:dyDescent="0.35">
      <c r="E185" s="62"/>
      <c r="F185" s="57"/>
      <c r="G185" s="63"/>
      <c r="H185" s="63"/>
      <c r="I185" s="63"/>
      <c r="J185" s="63"/>
      <c r="K185" s="63"/>
      <c r="L185" s="63"/>
      <c r="M185" s="63"/>
      <c r="N185" s="61"/>
      <c r="O185" s="62"/>
      <c r="P185" s="62"/>
      <c r="Q185" s="62"/>
    </row>
    <row r="186" spans="5:17" x14ac:dyDescent="0.35">
      <c r="E186" s="62"/>
      <c r="F186" s="57"/>
      <c r="G186" s="63"/>
      <c r="H186" s="63"/>
      <c r="I186" s="63"/>
      <c r="J186" s="63"/>
      <c r="K186" s="63"/>
      <c r="L186" s="63"/>
      <c r="M186" s="63"/>
      <c r="N186" s="61"/>
      <c r="O186" s="62"/>
      <c r="P186" s="62"/>
      <c r="Q186" s="62"/>
    </row>
    <row r="187" spans="5:17" x14ac:dyDescent="0.35">
      <c r="E187" s="62"/>
      <c r="F187" s="57"/>
      <c r="I187" s="57"/>
      <c r="N187" s="62"/>
      <c r="O187" s="62"/>
      <c r="P187" s="62"/>
      <c r="Q187" s="62"/>
    </row>
    <row r="188" spans="5:17" x14ac:dyDescent="0.35">
      <c r="E188" s="62"/>
      <c r="F188" s="57"/>
      <c r="I188" s="57"/>
      <c r="N188" s="62"/>
      <c r="O188" s="62"/>
      <c r="P188" s="62"/>
      <c r="Q188" s="62"/>
    </row>
    <row r="189" spans="5:17" x14ac:dyDescent="0.35">
      <c r="E189" s="62"/>
      <c r="F189" s="57"/>
      <c r="I189" s="57"/>
      <c r="N189" s="62"/>
      <c r="O189" s="62"/>
      <c r="P189" s="62"/>
      <c r="Q189" s="62"/>
    </row>
    <row r="190" spans="5:17" x14ac:dyDescent="0.35">
      <c r="E190" s="62"/>
      <c r="F190" s="57"/>
      <c r="I190" s="57"/>
      <c r="N190" s="62"/>
      <c r="O190" s="62"/>
      <c r="P190" s="62"/>
      <c r="Q190" s="62"/>
    </row>
    <row r="191" spans="5:17" x14ac:dyDescent="0.35">
      <c r="E191" s="69"/>
      <c r="F191" s="57"/>
      <c r="G191" s="59"/>
      <c r="H191" s="59"/>
      <c r="I191" s="59"/>
      <c r="J191" s="59"/>
      <c r="K191" s="59"/>
      <c r="L191" s="59"/>
      <c r="M191" s="59"/>
      <c r="N191" s="61"/>
      <c r="O191" s="61"/>
      <c r="P191" s="61"/>
      <c r="Q191" s="61"/>
    </row>
    <row r="192" spans="5:17" x14ac:dyDescent="0.35">
      <c r="E192" s="69"/>
      <c r="F192" s="57"/>
      <c r="G192" s="59"/>
      <c r="H192" s="59"/>
      <c r="I192" s="59"/>
      <c r="J192" s="59"/>
      <c r="K192" s="59"/>
      <c r="L192" s="59"/>
      <c r="M192" s="59"/>
      <c r="N192" s="61"/>
      <c r="O192" s="61"/>
      <c r="P192" s="61"/>
      <c r="Q192" s="61"/>
    </row>
    <row r="193" spans="5:17" x14ac:dyDescent="0.35">
      <c r="E193" s="69"/>
      <c r="F193" s="57"/>
      <c r="G193" s="59"/>
      <c r="H193" s="59"/>
      <c r="I193" s="59"/>
      <c r="J193" s="59"/>
      <c r="K193" s="59"/>
      <c r="L193" s="59"/>
      <c r="M193" s="59"/>
      <c r="N193" s="61"/>
      <c r="O193" s="61"/>
      <c r="P193" s="61"/>
      <c r="Q193" s="61"/>
    </row>
    <row r="194" spans="5:17" x14ac:dyDescent="0.35">
      <c r="E194" s="58"/>
      <c r="F194" s="57"/>
      <c r="G194" s="59"/>
      <c r="H194" s="59"/>
      <c r="I194" s="59"/>
      <c r="J194" s="59"/>
      <c r="K194" s="59"/>
      <c r="L194" s="59"/>
      <c r="M194" s="59"/>
      <c r="N194" s="71"/>
      <c r="O194" s="71"/>
      <c r="P194" s="71"/>
      <c r="Q194" s="71"/>
    </row>
    <row r="195" spans="5:17" x14ac:dyDescent="0.35">
      <c r="E195" s="58"/>
      <c r="F195" s="57"/>
      <c r="G195" s="59"/>
      <c r="H195" s="59"/>
      <c r="I195" s="59"/>
      <c r="J195" s="59"/>
      <c r="K195" s="59"/>
      <c r="L195" s="59"/>
      <c r="M195" s="59"/>
      <c r="N195" s="71"/>
      <c r="O195" s="71"/>
      <c r="P195" s="71"/>
      <c r="Q195" s="71"/>
    </row>
    <row r="196" spans="5:17" x14ac:dyDescent="0.35">
      <c r="E196" s="58"/>
      <c r="F196" s="57"/>
      <c r="G196" s="59"/>
      <c r="H196" s="59"/>
      <c r="I196" s="59"/>
      <c r="J196" s="59"/>
      <c r="K196" s="59"/>
      <c r="L196" s="59"/>
      <c r="M196" s="59"/>
      <c r="N196" s="71"/>
      <c r="O196" s="71"/>
      <c r="P196" s="71"/>
      <c r="Q196" s="71"/>
    </row>
    <row r="197" spans="5:17" x14ac:dyDescent="0.35">
      <c r="E197" s="58"/>
      <c r="F197" s="57"/>
      <c r="G197" s="59"/>
      <c r="H197" s="59"/>
      <c r="I197" s="59"/>
      <c r="J197" s="59"/>
      <c r="K197" s="59"/>
      <c r="L197" s="59"/>
      <c r="M197" s="59"/>
      <c r="N197" s="71"/>
      <c r="O197" s="71"/>
      <c r="P197" s="71"/>
      <c r="Q197" s="71"/>
    </row>
    <row r="198" spans="5:17" x14ac:dyDescent="0.35">
      <c r="E198" s="58"/>
      <c r="F198" s="57"/>
      <c r="G198" s="59"/>
      <c r="H198" s="59"/>
      <c r="I198" s="59"/>
      <c r="J198" s="59"/>
      <c r="K198" s="59"/>
      <c r="L198" s="59"/>
      <c r="M198" s="59"/>
      <c r="N198" s="71"/>
      <c r="O198" s="71"/>
      <c r="P198" s="71"/>
      <c r="Q198" s="71"/>
    </row>
    <row r="199" spans="5:17" x14ac:dyDescent="0.35">
      <c r="E199" s="58"/>
      <c r="F199" s="57"/>
      <c r="G199" s="59"/>
      <c r="H199" s="59"/>
      <c r="I199" s="59"/>
      <c r="J199" s="59"/>
      <c r="K199" s="59"/>
      <c r="L199" s="59"/>
      <c r="M199" s="59"/>
      <c r="N199" s="71"/>
      <c r="O199" s="71"/>
      <c r="P199" s="71"/>
      <c r="Q199" s="71"/>
    </row>
    <row r="200" spans="5:17" x14ac:dyDescent="0.35">
      <c r="E200" s="58"/>
      <c r="F200" s="57"/>
      <c r="G200" s="59"/>
      <c r="H200" s="59"/>
      <c r="I200" s="59"/>
      <c r="J200" s="59"/>
      <c r="K200" s="59"/>
      <c r="L200" s="59"/>
      <c r="M200" s="59"/>
      <c r="N200" s="71"/>
      <c r="O200" s="71"/>
      <c r="P200" s="71"/>
      <c r="Q200" s="71"/>
    </row>
    <row r="201" spans="5:17" x14ac:dyDescent="0.35">
      <c r="E201" s="58"/>
      <c r="F201" s="57"/>
      <c r="G201" s="59"/>
      <c r="H201" s="59"/>
      <c r="I201" s="59"/>
      <c r="J201" s="59"/>
      <c r="K201" s="59"/>
      <c r="L201" s="59"/>
      <c r="M201" s="59"/>
      <c r="N201" s="71"/>
      <c r="O201" s="71"/>
      <c r="P201" s="71"/>
      <c r="Q201" s="71"/>
    </row>
    <row r="202" spans="5:17" x14ac:dyDescent="0.35">
      <c r="E202" s="58"/>
      <c r="F202" s="57"/>
      <c r="G202" s="59"/>
      <c r="H202" s="59"/>
      <c r="I202" s="59"/>
      <c r="J202" s="59"/>
      <c r="K202" s="59"/>
      <c r="L202" s="59"/>
      <c r="M202" s="59"/>
      <c r="N202" s="71"/>
      <c r="O202" s="71"/>
      <c r="P202" s="71"/>
      <c r="Q202" s="71"/>
    </row>
    <row r="203" spans="5:17" x14ac:dyDescent="0.35">
      <c r="E203" s="58"/>
      <c r="F203" s="57"/>
      <c r="G203" s="59"/>
      <c r="H203" s="59"/>
      <c r="I203" s="59"/>
      <c r="J203" s="59"/>
      <c r="K203" s="59"/>
      <c r="L203" s="59"/>
      <c r="M203" s="59"/>
      <c r="N203" s="71"/>
      <c r="O203" s="71"/>
      <c r="P203" s="71"/>
      <c r="Q203" s="71"/>
    </row>
    <row r="204" spans="5:17" x14ac:dyDescent="0.35">
      <c r="E204" s="58"/>
      <c r="F204" s="57"/>
      <c r="G204" s="59"/>
      <c r="H204" s="59"/>
      <c r="I204" s="59"/>
      <c r="J204" s="59"/>
      <c r="K204" s="59"/>
      <c r="L204" s="59"/>
      <c r="M204" s="59"/>
      <c r="N204" s="71"/>
      <c r="O204" s="71"/>
      <c r="P204" s="71"/>
      <c r="Q204" s="71"/>
    </row>
    <row r="205" spans="5:17" x14ac:dyDescent="0.35">
      <c r="E205" s="58"/>
      <c r="F205" s="57"/>
      <c r="G205" s="59"/>
      <c r="H205" s="59"/>
      <c r="I205" s="59"/>
      <c r="J205" s="59"/>
      <c r="K205" s="59"/>
      <c r="L205" s="59"/>
      <c r="M205" s="59"/>
      <c r="N205" s="71"/>
      <c r="O205" s="71"/>
      <c r="P205" s="71"/>
      <c r="Q205" s="71"/>
    </row>
    <row r="206" spans="5:17" x14ac:dyDescent="0.35">
      <c r="E206" s="58"/>
      <c r="F206" s="57"/>
      <c r="G206" s="59"/>
      <c r="H206" s="59"/>
      <c r="I206" s="59"/>
      <c r="J206" s="59"/>
      <c r="K206" s="59"/>
      <c r="L206" s="59"/>
      <c r="M206" s="59"/>
      <c r="N206" s="71"/>
      <c r="O206" s="71"/>
      <c r="P206" s="71"/>
      <c r="Q206" s="71"/>
    </row>
    <row r="207" spans="5:17" x14ac:dyDescent="0.35">
      <c r="E207" s="58"/>
      <c r="F207" s="57"/>
      <c r="G207" s="59"/>
      <c r="H207" s="59"/>
      <c r="I207" s="59"/>
      <c r="J207" s="59"/>
      <c r="K207" s="59"/>
      <c r="L207" s="59"/>
      <c r="M207" s="59"/>
      <c r="N207" s="71"/>
      <c r="O207" s="71"/>
      <c r="P207" s="71"/>
      <c r="Q207" s="71"/>
    </row>
    <row r="208" spans="5:17" x14ac:dyDescent="0.35">
      <c r="E208" s="58"/>
      <c r="F208" s="57"/>
      <c r="G208" s="59"/>
      <c r="H208" s="59"/>
      <c r="I208" s="59"/>
      <c r="J208" s="59"/>
      <c r="K208" s="59"/>
      <c r="L208" s="59"/>
      <c r="M208" s="59"/>
      <c r="N208" s="71"/>
      <c r="O208" s="71"/>
      <c r="P208" s="71"/>
      <c r="Q208" s="71"/>
    </row>
    <row r="209" spans="4:17" x14ac:dyDescent="0.35">
      <c r="E209" s="58"/>
      <c r="F209" s="57"/>
      <c r="G209" s="59"/>
      <c r="H209" s="59"/>
      <c r="I209" s="59"/>
      <c r="J209" s="59"/>
      <c r="K209" s="59"/>
      <c r="L209" s="59"/>
      <c r="M209" s="59"/>
      <c r="N209" s="71"/>
      <c r="O209" s="71"/>
      <c r="P209" s="71"/>
      <c r="Q209" s="71"/>
    </row>
    <row r="210" spans="4:17" x14ac:dyDescent="0.35">
      <c r="D210" s="64"/>
      <c r="E210" s="58"/>
      <c r="F210" s="64"/>
      <c r="G210" s="59"/>
      <c r="H210" s="59"/>
      <c r="I210" s="59"/>
      <c r="J210" s="59"/>
      <c r="K210" s="59"/>
      <c r="L210" s="59"/>
      <c r="M210" s="59"/>
      <c r="N210" s="71"/>
      <c r="O210" s="71"/>
      <c r="P210" s="71"/>
      <c r="Q210" s="71"/>
    </row>
    <row r="211" spans="4:17" x14ac:dyDescent="0.35">
      <c r="D211" s="64"/>
      <c r="E211" s="58"/>
      <c r="F211" s="64"/>
      <c r="G211" s="59"/>
      <c r="H211" s="59"/>
      <c r="I211" s="59"/>
      <c r="J211" s="59"/>
      <c r="K211" s="59"/>
      <c r="L211" s="59"/>
      <c r="M211" s="59"/>
      <c r="N211" s="71"/>
      <c r="O211" s="71"/>
      <c r="P211" s="71"/>
      <c r="Q211" s="71"/>
    </row>
    <row r="212" spans="4:17" x14ac:dyDescent="0.35">
      <c r="D212" s="64"/>
      <c r="E212" s="58"/>
      <c r="F212" s="64"/>
      <c r="G212" s="59"/>
      <c r="H212" s="59"/>
      <c r="I212" s="59"/>
      <c r="J212" s="59"/>
      <c r="K212" s="59"/>
      <c r="L212" s="59"/>
      <c r="M212" s="59"/>
      <c r="N212" s="71"/>
      <c r="O212" s="71"/>
      <c r="P212" s="71"/>
      <c r="Q212" s="71"/>
    </row>
    <row r="213" spans="4:17" x14ac:dyDescent="0.35">
      <c r="D213" s="64"/>
      <c r="E213" s="58"/>
      <c r="F213" s="64"/>
      <c r="G213" s="59"/>
      <c r="H213" s="59"/>
      <c r="I213" s="59"/>
      <c r="J213" s="59"/>
      <c r="K213" s="59"/>
      <c r="L213" s="59"/>
      <c r="M213" s="59"/>
      <c r="N213" s="71"/>
      <c r="O213" s="71"/>
      <c r="P213" s="71"/>
      <c r="Q213" s="71"/>
    </row>
  </sheetData>
  <autoFilter ref="A1:Q139" xr:uid="{06CB1331-AF3E-489A-B433-09E21B4DF482}">
    <filterColumn colId="6" showButton="0"/>
    <filterColumn colId="7" showButton="0"/>
  </autoFilter>
  <mergeCells count="391">
    <mergeCell ref="H132:H136"/>
    <mergeCell ref="I132:I136"/>
    <mergeCell ref="J132:J136"/>
    <mergeCell ref="K132:K136"/>
    <mergeCell ref="L132:L136"/>
    <mergeCell ref="C132:C136"/>
    <mergeCell ref="D132:D136"/>
    <mergeCell ref="E132:E136"/>
    <mergeCell ref="F132:F136"/>
    <mergeCell ref="G132:G136"/>
    <mergeCell ref="M127:M131"/>
    <mergeCell ref="N127:N131"/>
    <mergeCell ref="O127:O131"/>
    <mergeCell ref="P127:P131"/>
    <mergeCell ref="M132:M136"/>
    <mergeCell ref="N132:N136"/>
    <mergeCell ref="O132:O136"/>
    <mergeCell ref="P132:P136"/>
    <mergeCell ref="Q127:Q131"/>
    <mergeCell ref="Q132:Q136"/>
    <mergeCell ref="H127:H131"/>
    <mergeCell ref="I127:I131"/>
    <mergeCell ref="J127:J131"/>
    <mergeCell ref="K127:K131"/>
    <mergeCell ref="L127:L131"/>
    <mergeCell ref="C127:C131"/>
    <mergeCell ref="D127:D131"/>
    <mergeCell ref="E127:E131"/>
    <mergeCell ref="F127:F131"/>
    <mergeCell ref="G127:G131"/>
    <mergeCell ref="M121:M126"/>
    <mergeCell ref="N121:N126"/>
    <mergeCell ref="O121:O126"/>
    <mergeCell ref="P121:P126"/>
    <mergeCell ref="Q121:Q126"/>
    <mergeCell ref="H121:H126"/>
    <mergeCell ref="I121:I126"/>
    <mergeCell ref="J121:J126"/>
    <mergeCell ref="K121:K126"/>
    <mergeCell ref="L121:L126"/>
    <mergeCell ref="C115:C120"/>
    <mergeCell ref="D115:D120"/>
    <mergeCell ref="E115:E120"/>
    <mergeCell ref="F115:F120"/>
    <mergeCell ref="G115:G120"/>
    <mergeCell ref="C121:C126"/>
    <mergeCell ref="D121:D126"/>
    <mergeCell ref="E121:E126"/>
    <mergeCell ref="F121:F126"/>
    <mergeCell ref="G121:G126"/>
    <mergeCell ref="Q109:Q114"/>
    <mergeCell ref="H109:H114"/>
    <mergeCell ref="I109:I114"/>
    <mergeCell ref="J109:J114"/>
    <mergeCell ref="K109:K114"/>
    <mergeCell ref="L109:L114"/>
    <mergeCell ref="Q115:Q120"/>
    <mergeCell ref="H115:H120"/>
    <mergeCell ref="I115:I120"/>
    <mergeCell ref="J115:J120"/>
    <mergeCell ref="K115:K120"/>
    <mergeCell ref="L115:L120"/>
    <mergeCell ref="M115:M120"/>
    <mergeCell ref="N115:N120"/>
    <mergeCell ref="O115:O120"/>
    <mergeCell ref="P115:P120"/>
    <mergeCell ref="C109:C114"/>
    <mergeCell ref="D109:D114"/>
    <mergeCell ref="E109:E114"/>
    <mergeCell ref="F109:F114"/>
    <mergeCell ref="G109:G114"/>
    <mergeCell ref="M104:M108"/>
    <mergeCell ref="N104:N108"/>
    <mergeCell ref="O104:O108"/>
    <mergeCell ref="P104:P108"/>
    <mergeCell ref="M109:M114"/>
    <mergeCell ref="N109:N114"/>
    <mergeCell ref="O109:O114"/>
    <mergeCell ref="P109:P114"/>
    <mergeCell ref="Q104:Q108"/>
    <mergeCell ref="H104:H108"/>
    <mergeCell ref="I104:I108"/>
    <mergeCell ref="J104:J108"/>
    <mergeCell ref="K104:K108"/>
    <mergeCell ref="L104:L108"/>
    <mergeCell ref="C104:C108"/>
    <mergeCell ref="D104:D108"/>
    <mergeCell ref="E104:E108"/>
    <mergeCell ref="F104:F108"/>
    <mergeCell ref="G104:G108"/>
    <mergeCell ref="M100:M103"/>
    <mergeCell ref="N100:N103"/>
    <mergeCell ref="O100:O103"/>
    <mergeCell ref="P100:P103"/>
    <mergeCell ref="Q100:Q103"/>
    <mergeCell ref="H100:H103"/>
    <mergeCell ref="I100:I103"/>
    <mergeCell ref="J100:J103"/>
    <mergeCell ref="K100:K103"/>
    <mergeCell ref="L100:L103"/>
    <mergeCell ref="C95:C99"/>
    <mergeCell ref="D95:D99"/>
    <mergeCell ref="E95:E99"/>
    <mergeCell ref="F95:F99"/>
    <mergeCell ref="G95:G99"/>
    <mergeCell ref="C100:C103"/>
    <mergeCell ref="D100:D103"/>
    <mergeCell ref="E100:E103"/>
    <mergeCell ref="F100:F103"/>
    <mergeCell ref="G100:G103"/>
    <mergeCell ref="Q90:Q94"/>
    <mergeCell ref="H90:H94"/>
    <mergeCell ref="I90:I94"/>
    <mergeCell ref="J90:J94"/>
    <mergeCell ref="K90:K94"/>
    <mergeCell ref="L90:L94"/>
    <mergeCell ref="Q95:Q99"/>
    <mergeCell ref="H95:H99"/>
    <mergeCell ref="I95:I99"/>
    <mergeCell ref="J95:J99"/>
    <mergeCell ref="K95:K99"/>
    <mergeCell ref="L95:L99"/>
    <mergeCell ref="M95:M99"/>
    <mergeCell ref="N95:N99"/>
    <mergeCell ref="O95:O99"/>
    <mergeCell ref="P95:P99"/>
    <mergeCell ref="C90:C94"/>
    <mergeCell ref="D90:D94"/>
    <mergeCell ref="E90:E94"/>
    <mergeCell ref="F90:F94"/>
    <mergeCell ref="G90:G94"/>
    <mergeCell ref="M85:M89"/>
    <mergeCell ref="N85:N89"/>
    <mergeCell ref="O85:O89"/>
    <mergeCell ref="P85:P89"/>
    <mergeCell ref="M90:M94"/>
    <mergeCell ref="N90:N94"/>
    <mergeCell ref="O90:O94"/>
    <mergeCell ref="P90:P94"/>
    <mergeCell ref="Q85:Q89"/>
    <mergeCell ref="H85:H89"/>
    <mergeCell ref="I85:I89"/>
    <mergeCell ref="J85:J89"/>
    <mergeCell ref="K85:K89"/>
    <mergeCell ref="L85:L89"/>
    <mergeCell ref="C85:C89"/>
    <mergeCell ref="D85:D89"/>
    <mergeCell ref="E85:E89"/>
    <mergeCell ref="F85:F89"/>
    <mergeCell ref="G85:G89"/>
    <mergeCell ref="M81:M84"/>
    <mergeCell ref="N81:N84"/>
    <mergeCell ref="O81:O84"/>
    <mergeCell ref="P81:P84"/>
    <mergeCell ref="Q81:Q84"/>
    <mergeCell ref="H81:H84"/>
    <mergeCell ref="I81:I84"/>
    <mergeCell ref="J81:J84"/>
    <mergeCell ref="K81:K84"/>
    <mergeCell ref="L81:L84"/>
    <mergeCell ref="C76:C80"/>
    <mergeCell ref="D76:D80"/>
    <mergeCell ref="E76:E80"/>
    <mergeCell ref="F76:F80"/>
    <mergeCell ref="G76:G80"/>
    <mergeCell ref="C81:C84"/>
    <mergeCell ref="D81:D84"/>
    <mergeCell ref="E81:E84"/>
    <mergeCell ref="F81:F84"/>
    <mergeCell ref="G81:G84"/>
    <mergeCell ref="Q70:Q74"/>
    <mergeCell ref="H70:H74"/>
    <mergeCell ref="I70:I74"/>
    <mergeCell ref="J70:J74"/>
    <mergeCell ref="K70:K74"/>
    <mergeCell ref="L70:L74"/>
    <mergeCell ref="Q76:Q80"/>
    <mergeCell ref="H76:H80"/>
    <mergeCell ref="I76:I80"/>
    <mergeCell ref="J76:J80"/>
    <mergeCell ref="K76:K80"/>
    <mergeCell ref="L76:L80"/>
    <mergeCell ref="M76:M80"/>
    <mergeCell ref="N76:N80"/>
    <mergeCell ref="O76:O80"/>
    <mergeCell ref="P76:P80"/>
    <mergeCell ref="I65:I69"/>
    <mergeCell ref="J65:J69"/>
    <mergeCell ref="K65:K69"/>
    <mergeCell ref="L65:L69"/>
    <mergeCell ref="M65:M69"/>
    <mergeCell ref="N65:N69"/>
    <mergeCell ref="O65:O69"/>
    <mergeCell ref="P65:P69"/>
    <mergeCell ref="Q65:Q69"/>
    <mergeCell ref="C60:C64"/>
    <mergeCell ref="N60:N64"/>
    <mergeCell ref="O60:O64"/>
    <mergeCell ref="P60:P64"/>
    <mergeCell ref="C70:C74"/>
    <mergeCell ref="D70:D74"/>
    <mergeCell ref="E70:E74"/>
    <mergeCell ref="F70:F74"/>
    <mergeCell ref="G70:G74"/>
    <mergeCell ref="M70:M74"/>
    <mergeCell ref="N70:N74"/>
    <mergeCell ref="O70:O74"/>
    <mergeCell ref="P70:P74"/>
    <mergeCell ref="D60:D64"/>
    <mergeCell ref="E60:E64"/>
    <mergeCell ref="F60:F64"/>
    <mergeCell ref="G60:G64"/>
    <mergeCell ref="H60:H64"/>
    <mergeCell ref="C65:C69"/>
    <mergeCell ref="D65:D69"/>
    <mergeCell ref="E65:E69"/>
    <mergeCell ref="F65:F69"/>
    <mergeCell ref="G65:G69"/>
    <mergeCell ref="H65:H69"/>
    <mergeCell ref="Q54:Q58"/>
    <mergeCell ref="H54:H58"/>
    <mergeCell ref="I54:I58"/>
    <mergeCell ref="J54:J58"/>
    <mergeCell ref="K54:K58"/>
    <mergeCell ref="L54:L58"/>
    <mergeCell ref="Q60:Q64"/>
    <mergeCell ref="I60:I64"/>
    <mergeCell ref="J60:J64"/>
    <mergeCell ref="K60:K64"/>
    <mergeCell ref="L60:L64"/>
    <mergeCell ref="M60:M64"/>
    <mergeCell ref="C54:C58"/>
    <mergeCell ref="D54:D58"/>
    <mergeCell ref="E54:E58"/>
    <mergeCell ref="F54:F58"/>
    <mergeCell ref="G54:G58"/>
    <mergeCell ref="M48:M52"/>
    <mergeCell ref="N48:N52"/>
    <mergeCell ref="O48:O52"/>
    <mergeCell ref="P48:P52"/>
    <mergeCell ref="M54:M58"/>
    <mergeCell ref="N54:N58"/>
    <mergeCell ref="O54:O58"/>
    <mergeCell ref="P54:P58"/>
    <mergeCell ref="Q48:Q52"/>
    <mergeCell ref="H48:H52"/>
    <mergeCell ref="I48:I52"/>
    <mergeCell ref="J48:J52"/>
    <mergeCell ref="K48:K52"/>
    <mergeCell ref="L48:L52"/>
    <mergeCell ref="C48:C52"/>
    <mergeCell ref="D48:D52"/>
    <mergeCell ref="E48:E52"/>
    <mergeCell ref="F48:F52"/>
    <mergeCell ref="G48:G52"/>
    <mergeCell ref="M44:M47"/>
    <mergeCell ref="N44:N47"/>
    <mergeCell ref="O44:O47"/>
    <mergeCell ref="P44:P47"/>
    <mergeCell ref="Q44:Q47"/>
    <mergeCell ref="H44:H47"/>
    <mergeCell ref="I44:I47"/>
    <mergeCell ref="J44:J47"/>
    <mergeCell ref="K44:K47"/>
    <mergeCell ref="L44:L47"/>
    <mergeCell ref="C39:C43"/>
    <mergeCell ref="D39:D43"/>
    <mergeCell ref="E39:E43"/>
    <mergeCell ref="F39:F43"/>
    <mergeCell ref="G39:G43"/>
    <mergeCell ref="C44:C47"/>
    <mergeCell ref="D44:D47"/>
    <mergeCell ref="E44:E47"/>
    <mergeCell ref="F44:F47"/>
    <mergeCell ref="G44:G47"/>
    <mergeCell ref="Q39:Q43"/>
    <mergeCell ref="H39:H43"/>
    <mergeCell ref="I39:I43"/>
    <mergeCell ref="J39:J43"/>
    <mergeCell ref="K39:K43"/>
    <mergeCell ref="L39:L43"/>
    <mergeCell ref="M39:M43"/>
    <mergeCell ref="N39:N43"/>
    <mergeCell ref="O39:O43"/>
    <mergeCell ref="P39:P43"/>
    <mergeCell ref="M33:M37"/>
    <mergeCell ref="N33:N37"/>
    <mergeCell ref="O33:O37"/>
    <mergeCell ref="P33:P37"/>
    <mergeCell ref="Q33:Q37"/>
    <mergeCell ref="H33:H37"/>
    <mergeCell ref="I33:I37"/>
    <mergeCell ref="J33:J37"/>
    <mergeCell ref="K33:K37"/>
    <mergeCell ref="L33:L37"/>
    <mergeCell ref="C29:C32"/>
    <mergeCell ref="D29:D32"/>
    <mergeCell ref="E29:E32"/>
    <mergeCell ref="F29:F32"/>
    <mergeCell ref="G29:G32"/>
    <mergeCell ref="C33:C37"/>
    <mergeCell ref="D33:D37"/>
    <mergeCell ref="E33:E37"/>
    <mergeCell ref="F33:F37"/>
    <mergeCell ref="G33:G37"/>
    <mergeCell ref="Q25:Q28"/>
    <mergeCell ref="H25:H28"/>
    <mergeCell ref="I25:I28"/>
    <mergeCell ref="J25:J28"/>
    <mergeCell ref="K25:K28"/>
    <mergeCell ref="L25:L28"/>
    <mergeCell ref="Q29:Q32"/>
    <mergeCell ref="H29:H32"/>
    <mergeCell ref="I29:I32"/>
    <mergeCell ref="J29:J32"/>
    <mergeCell ref="K29:K32"/>
    <mergeCell ref="L29:L32"/>
    <mergeCell ref="M29:M32"/>
    <mergeCell ref="N29:N32"/>
    <mergeCell ref="O29:O32"/>
    <mergeCell ref="P29:P32"/>
    <mergeCell ref="C25:C28"/>
    <mergeCell ref="D25:D28"/>
    <mergeCell ref="E25:E28"/>
    <mergeCell ref="F25:F28"/>
    <mergeCell ref="G25:G28"/>
    <mergeCell ref="M25:M28"/>
    <mergeCell ref="N25:N28"/>
    <mergeCell ref="O25:O28"/>
    <mergeCell ref="P25:P28"/>
    <mergeCell ref="P15:P20"/>
    <mergeCell ref="Q15:Q20"/>
    <mergeCell ref="E21:E24"/>
    <mergeCell ref="N21:N24"/>
    <mergeCell ref="O21:O24"/>
    <mergeCell ref="P21:P24"/>
    <mergeCell ref="Q21:Q24"/>
    <mergeCell ref="I21:I24"/>
    <mergeCell ref="J21:J24"/>
    <mergeCell ref="K21:K24"/>
    <mergeCell ref="L21:L24"/>
    <mergeCell ref="M21:M24"/>
    <mergeCell ref="G21:G24"/>
    <mergeCell ref="F21:F24"/>
    <mergeCell ref="G1:I1"/>
    <mergeCell ref="Q3:Q7"/>
    <mergeCell ref="E3:E7"/>
    <mergeCell ref="C10:C14"/>
    <mergeCell ref="D10:D14"/>
    <mergeCell ref="E10:E14"/>
    <mergeCell ref="F10:F14"/>
    <mergeCell ref="G10:G14"/>
    <mergeCell ref="H10:H14"/>
    <mergeCell ref="I10:I14"/>
    <mergeCell ref="J10:J14"/>
    <mergeCell ref="K10:K14"/>
    <mergeCell ref="L10:L14"/>
    <mergeCell ref="M10:M14"/>
    <mergeCell ref="N10:N14"/>
    <mergeCell ref="J3:J7"/>
    <mergeCell ref="K3:K7"/>
    <mergeCell ref="L3:L7"/>
    <mergeCell ref="M3:M7"/>
    <mergeCell ref="N3:N7"/>
    <mergeCell ref="O10:O14"/>
    <mergeCell ref="P10:P14"/>
    <mergeCell ref="Q10:Q14"/>
    <mergeCell ref="D21:D24"/>
    <mergeCell ref="C21:C24"/>
    <mergeCell ref="P3:P7"/>
    <mergeCell ref="O3:O7"/>
    <mergeCell ref="I3:I7"/>
    <mergeCell ref="H3:H7"/>
    <mergeCell ref="G3:G7"/>
    <mergeCell ref="F3:F7"/>
    <mergeCell ref="D3:D7"/>
    <mergeCell ref="C3:C7"/>
    <mergeCell ref="C15:C20"/>
    <mergeCell ref="D15:D20"/>
    <mergeCell ref="F15:F20"/>
    <mergeCell ref="G15:G20"/>
    <mergeCell ref="H15:H20"/>
    <mergeCell ref="I15:I20"/>
    <mergeCell ref="J15:J20"/>
    <mergeCell ref="K15:K20"/>
    <mergeCell ref="L15:L20"/>
    <mergeCell ref="M15:M20"/>
    <mergeCell ref="E15:E20"/>
    <mergeCell ref="N15:N20"/>
    <mergeCell ref="O15:O20"/>
    <mergeCell ref="H21:H24"/>
  </mergeCells>
  <pageMargins left="0.7" right="0.7" top="0.75" bottom="0.75" header="0.3" footer="0.3"/>
  <pageSetup paperSize="9" orientation="portrait"/>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xr:uid="{8C0580E8-D6E7-41A7-8CE2-E1E3F20BED11}">
          <x14:formula1>
            <xm:f>'Paso 3 Redacción RA '!$I$3:$I$11</xm:f>
          </x14:formula1>
          <xm:sqref>B179:B213 B53:B59 B38 B8 B20 B137:B177</xm:sqref>
        </x14:dataValidation>
        <x14:dataValidation type="list" allowBlank="1" showInputMessage="1" showErrorMessage="1" xr:uid="{C9DFEA4C-E456-40FA-A0B8-26962CF02348}">
          <x14:formula1>
            <xm:f>'Paso 3 Redacción RA '!$I$3:$I$12</xm:f>
          </x14:formula1>
          <xm:sqref>B3:B7 B9:B19 B21:B37 B39:B52 B54:B58 B60:B75 B76:B136</xm:sqref>
        </x14:dataValidation>
        <x14:dataValidation type="list" allowBlank="1" showInputMessage="1" showErrorMessage="1" xr:uid="{30DD22C5-FBF6-44B0-BCFD-32788D298910}">
          <x14:formula1>
            <xm:f>'Paso 3 Redacción RA '!$I$1:$I$12</xm:f>
          </x14:formula1>
          <xm:sqref>B75</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B1907-1808-45DB-89DB-D7AD15506F3A}">
  <dimension ref="B1:B38"/>
  <sheetViews>
    <sheetView topLeftCell="B1" workbookViewId="0">
      <selection activeCell="G12" sqref="G12:G13"/>
    </sheetView>
  </sheetViews>
  <sheetFormatPr baseColWidth="10" defaultColWidth="11.453125" defaultRowHeight="14.5" x14ac:dyDescent="0.35"/>
  <cols>
    <col min="2" max="2" width="27.1796875" customWidth="1"/>
  </cols>
  <sheetData>
    <row r="1" spans="2:2" ht="16.5" x14ac:dyDescent="0.5">
      <c r="B1" s="1" t="s">
        <v>303</v>
      </c>
    </row>
    <row r="2" spans="2:2" ht="16.5" x14ac:dyDescent="0.5">
      <c r="B2" s="1" t="s">
        <v>304</v>
      </c>
    </row>
    <row r="3" spans="2:2" ht="16.5" x14ac:dyDescent="0.5">
      <c r="B3" s="1" t="s">
        <v>305</v>
      </c>
    </row>
    <row r="4" spans="2:2" ht="16.5" x14ac:dyDescent="0.5">
      <c r="B4" s="1" t="s">
        <v>60</v>
      </c>
    </row>
    <row r="5" spans="2:2" ht="16.5" x14ac:dyDescent="0.5">
      <c r="B5" s="1" t="s">
        <v>56</v>
      </c>
    </row>
    <row r="6" spans="2:2" ht="16.5" x14ac:dyDescent="0.5">
      <c r="B6" s="1" t="s">
        <v>306</v>
      </c>
    </row>
    <row r="7" spans="2:2" ht="16.5" x14ac:dyDescent="0.5">
      <c r="B7" s="1" t="s">
        <v>307</v>
      </c>
    </row>
    <row r="8" spans="2:2" ht="16.5" x14ac:dyDescent="0.5">
      <c r="B8" s="1" t="s">
        <v>308</v>
      </c>
    </row>
    <row r="9" spans="2:2" ht="16.5" x14ac:dyDescent="0.5">
      <c r="B9" s="1" t="s">
        <v>309</v>
      </c>
    </row>
    <row r="10" spans="2:2" ht="16.5" x14ac:dyDescent="0.5">
      <c r="B10" s="1" t="s">
        <v>310</v>
      </c>
    </row>
    <row r="11" spans="2:2" ht="16.5" x14ac:dyDescent="0.5">
      <c r="B11" s="1" t="s">
        <v>311</v>
      </c>
    </row>
    <row r="12" spans="2:2" ht="16.5" x14ac:dyDescent="0.5">
      <c r="B12" s="1" t="s">
        <v>312</v>
      </c>
    </row>
    <row r="13" spans="2:2" ht="16.5" x14ac:dyDescent="0.5">
      <c r="B13" s="1" t="s">
        <v>313</v>
      </c>
    </row>
    <row r="14" spans="2:2" ht="16.5" x14ac:dyDescent="0.5">
      <c r="B14" s="1" t="s">
        <v>314</v>
      </c>
    </row>
    <row r="15" spans="2:2" ht="16.5" x14ac:dyDescent="0.5">
      <c r="B15" s="1" t="s">
        <v>315</v>
      </c>
    </row>
    <row r="16" spans="2:2" ht="16.5" x14ac:dyDescent="0.5">
      <c r="B16" s="1" t="s">
        <v>316</v>
      </c>
    </row>
    <row r="17" spans="2:2" ht="16.5" x14ac:dyDescent="0.5">
      <c r="B17" s="1" t="s">
        <v>317</v>
      </c>
    </row>
    <row r="18" spans="2:2" ht="16.5" x14ac:dyDescent="0.5">
      <c r="B18" s="1" t="s">
        <v>318</v>
      </c>
    </row>
    <row r="19" spans="2:2" ht="16.5" x14ac:dyDescent="0.5">
      <c r="B19" s="1" t="s">
        <v>319</v>
      </c>
    </row>
    <row r="20" spans="2:2" ht="16.5" x14ac:dyDescent="0.5">
      <c r="B20" s="1" t="s">
        <v>320</v>
      </c>
    </row>
    <row r="21" spans="2:2" ht="16.5" x14ac:dyDescent="0.5">
      <c r="B21" s="1" t="s">
        <v>321</v>
      </c>
    </row>
    <row r="22" spans="2:2" ht="16.5" x14ac:dyDescent="0.5">
      <c r="B22" s="1" t="s">
        <v>322</v>
      </c>
    </row>
    <row r="23" spans="2:2" ht="16.5" x14ac:dyDescent="0.5">
      <c r="B23" s="1" t="s">
        <v>53</v>
      </c>
    </row>
    <row r="24" spans="2:2" ht="16.5" x14ac:dyDescent="0.5">
      <c r="B24" s="1" t="s">
        <v>323</v>
      </c>
    </row>
    <row r="25" spans="2:2" ht="16.5" x14ac:dyDescent="0.5">
      <c r="B25" s="1" t="s">
        <v>58</v>
      </c>
    </row>
    <row r="26" spans="2:2" ht="16.5" x14ac:dyDescent="0.5">
      <c r="B26" s="1" t="s">
        <v>324</v>
      </c>
    </row>
    <row r="27" spans="2:2" ht="16.5" x14ac:dyDescent="0.5">
      <c r="B27" s="1" t="s">
        <v>325</v>
      </c>
    </row>
    <row r="28" spans="2:2" ht="16.5" x14ac:dyDescent="0.5">
      <c r="B28" s="1" t="s">
        <v>326</v>
      </c>
    </row>
    <row r="29" spans="2:2" ht="16.5" x14ac:dyDescent="0.5">
      <c r="B29" s="1" t="s">
        <v>327</v>
      </c>
    </row>
    <row r="30" spans="2:2" ht="16.5" x14ac:dyDescent="0.5">
      <c r="B30" s="1" t="s">
        <v>328</v>
      </c>
    </row>
    <row r="31" spans="2:2" ht="16.5" x14ac:dyDescent="0.5">
      <c r="B31" s="1" t="s">
        <v>329</v>
      </c>
    </row>
    <row r="32" spans="2:2" ht="16.5" x14ac:dyDescent="0.5">
      <c r="B32" s="1" t="s">
        <v>330</v>
      </c>
    </row>
    <row r="33" spans="2:2" ht="16.5" x14ac:dyDescent="0.5">
      <c r="B33" s="1" t="s">
        <v>331</v>
      </c>
    </row>
    <row r="34" spans="2:2" ht="16.5" x14ac:dyDescent="0.5">
      <c r="B34" s="1" t="s">
        <v>332</v>
      </c>
    </row>
    <row r="35" spans="2:2" ht="16.5" x14ac:dyDescent="0.5">
      <c r="B35" s="1" t="s">
        <v>333</v>
      </c>
    </row>
    <row r="36" spans="2:2" ht="16.5" x14ac:dyDescent="0.5">
      <c r="B36" s="1" t="s">
        <v>334</v>
      </c>
    </row>
    <row r="37" spans="2:2" ht="16.5" x14ac:dyDescent="0.5">
      <c r="B37" s="1" t="s">
        <v>335</v>
      </c>
    </row>
    <row r="38" spans="2:2" ht="16.5" x14ac:dyDescent="0.5">
      <c r="B38" s="1" t="s">
        <v>336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97597-49CE-4804-805A-84A20592BE98}">
  <dimension ref="A1:BC108"/>
  <sheetViews>
    <sheetView topLeftCell="T1" zoomScale="114" workbookViewId="0">
      <selection activeCell="AG3" sqref="AG3"/>
    </sheetView>
  </sheetViews>
  <sheetFormatPr baseColWidth="10" defaultColWidth="11.453125" defaultRowHeight="16.5" x14ac:dyDescent="0.5"/>
  <cols>
    <col min="1" max="1" width="20.453125" style="1" customWidth="1"/>
    <col min="2" max="2" width="14.26953125" style="1" customWidth="1"/>
    <col min="3" max="3" width="22.1796875" style="1" customWidth="1"/>
    <col min="4" max="4" width="21.54296875" style="1" customWidth="1"/>
    <col min="5" max="5" width="20.7265625" style="1" customWidth="1"/>
    <col min="6" max="6" width="16.81640625" style="1" customWidth="1"/>
    <col min="7" max="7" width="21.81640625" style="1" customWidth="1"/>
    <col min="8" max="8" width="26.1796875" style="1" customWidth="1"/>
    <col min="9" max="9" width="25.26953125" style="1" customWidth="1"/>
    <col min="10" max="10" width="24.453125" style="1" customWidth="1"/>
    <col min="11" max="11" width="15.26953125" style="1" customWidth="1"/>
    <col min="12" max="17" width="17.7265625" style="1" customWidth="1"/>
    <col min="18" max="18" width="22.54296875" style="1" customWidth="1"/>
    <col min="19" max="19" width="15.54296875" style="1" customWidth="1"/>
    <col min="20" max="20" width="15" style="1" customWidth="1"/>
    <col min="21" max="25" width="13.1796875" style="1" customWidth="1"/>
    <col min="26" max="26" width="16.54296875" style="1" customWidth="1"/>
    <col min="27" max="28" width="13.1796875" style="1" customWidth="1"/>
    <col min="29" max="29" width="19.453125" style="1" customWidth="1"/>
    <col min="30" max="30" width="13.81640625" style="1" customWidth="1"/>
    <col min="31" max="31" width="13.1796875" style="1" customWidth="1"/>
    <col min="32" max="32" width="13.453125" style="1" customWidth="1"/>
    <col min="33" max="33" width="30.7265625" style="1" customWidth="1"/>
    <col min="34" max="36" width="13.1796875" style="1" customWidth="1"/>
    <col min="37" max="37" width="14.54296875" style="1" customWidth="1"/>
    <col min="38" max="43" width="16.7265625" style="1" customWidth="1"/>
    <col min="44" max="45" width="13.26953125" style="1" customWidth="1"/>
    <col min="46" max="46" width="23.81640625" style="1" customWidth="1"/>
    <col min="47" max="47" width="22.54296875" style="1" customWidth="1"/>
    <col min="48" max="48" width="24.1796875" style="1" customWidth="1"/>
    <col min="49" max="49" width="27.81640625" style="1" customWidth="1"/>
    <col min="50" max="50" width="24.7265625" style="1" customWidth="1"/>
    <col min="51" max="51" width="22.7265625" style="1" customWidth="1"/>
    <col min="52" max="55" width="13.26953125" style="1" customWidth="1"/>
    <col min="56" max="16384" width="11.453125" style="1"/>
  </cols>
  <sheetData>
    <row r="1" spans="1:55" x14ac:dyDescent="0.5">
      <c r="S1" s="162" t="s">
        <v>337</v>
      </c>
      <c r="T1" s="162"/>
      <c r="U1" s="162"/>
      <c r="V1" s="162"/>
      <c r="W1" s="162"/>
      <c r="X1" s="162"/>
      <c r="Y1" s="162"/>
      <c r="Z1" s="162"/>
      <c r="AA1" s="162"/>
      <c r="AB1" s="162"/>
      <c r="AC1" s="162"/>
      <c r="AD1" s="162"/>
      <c r="AE1" s="162"/>
      <c r="AF1" s="162"/>
      <c r="AG1" s="162"/>
      <c r="AH1" s="14"/>
      <c r="AI1" s="14"/>
      <c r="AJ1" s="14"/>
      <c r="AL1" s="162" t="s">
        <v>338</v>
      </c>
      <c r="AM1" s="162"/>
      <c r="AN1" s="162"/>
      <c r="AO1" s="162"/>
      <c r="AP1" s="162"/>
      <c r="AQ1" s="162"/>
      <c r="AR1" s="14"/>
      <c r="AS1" s="14"/>
      <c r="AT1" s="162" t="s">
        <v>339</v>
      </c>
      <c r="AU1" s="162"/>
      <c r="AV1" s="162"/>
      <c r="AW1" s="162"/>
      <c r="AX1" s="162"/>
      <c r="AY1" s="162"/>
      <c r="AZ1" s="14"/>
      <c r="BC1" s="14"/>
    </row>
    <row r="2" spans="1:55" x14ac:dyDescent="0.5">
      <c r="L2" s="162" t="s">
        <v>340</v>
      </c>
      <c r="M2" s="162"/>
      <c r="N2" s="162"/>
      <c r="O2" s="162"/>
      <c r="P2" s="162"/>
      <c r="Q2" s="162"/>
      <c r="S2" s="163" t="s">
        <v>341</v>
      </c>
      <c r="T2" s="163"/>
      <c r="U2" s="163"/>
      <c r="V2" s="163"/>
      <c r="W2" s="163"/>
      <c r="X2" s="163"/>
      <c r="Y2" s="163" t="s">
        <v>342</v>
      </c>
      <c r="Z2" s="163"/>
      <c r="AA2" s="163"/>
      <c r="AB2" s="163"/>
      <c r="AC2" s="163" t="s">
        <v>343</v>
      </c>
      <c r="AD2" s="163"/>
      <c r="AE2" s="163"/>
      <c r="AF2" s="163"/>
      <c r="AG2" s="163"/>
      <c r="AH2" s="14"/>
      <c r="AI2" s="14"/>
      <c r="AJ2" s="14"/>
      <c r="AL2" s="162"/>
      <c r="AM2" s="162"/>
      <c r="AN2" s="162"/>
      <c r="AO2" s="162"/>
      <c r="AP2" s="162"/>
      <c r="AQ2" s="162"/>
      <c r="AR2" s="14"/>
      <c r="AS2" s="14"/>
      <c r="AT2" s="14"/>
      <c r="AU2" s="14"/>
      <c r="AV2" s="14"/>
      <c r="AW2" s="14"/>
      <c r="AX2" s="14"/>
      <c r="AY2" s="14"/>
      <c r="AZ2" s="14"/>
      <c r="BC2" s="14"/>
    </row>
    <row r="3" spans="1:55" x14ac:dyDescent="0.5">
      <c r="A3" s="1" t="s">
        <v>344</v>
      </c>
      <c r="C3" s="1" t="s">
        <v>83</v>
      </c>
      <c r="D3" s="1" t="s">
        <v>345</v>
      </c>
      <c r="E3" s="1" t="s">
        <v>346</v>
      </c>
      <c r="G3" s="1" t="s">
        <v>103</v>
      </c>
      <c r="H3" s="1" t="s">
        <v>347</v>
      </c>
      <c r="I3" s="1" t="s">
        <v>348</v>
      </c>
      <c r="L3" s="1" t="s">
        <v>349</v>
      </c>
      <c r="M3" s="1" t="s">
        <v>104</v>
      </c>
      <c r="N3" s="1" t="s">
        <v>350</v>
      </c>
      <c r="O3" s="1" t="s">
        <v>351</v>
      </c>
      <c r="P3" s="1" t="s">
        <v>352</v>
      </c>
      <c r="Q3" s="1" t="s">
        <v>353</v>
      </c>
      <c r="S3" s="1" t="s">
        <v>354</v>
      </c>
      <c r="T3" s="1" t="s">
        <v>96</v>
      </c>
      <c r="U3" s="1" t="s">
        <v>355</v>
      </c>
      <c r="V3" s="1" t="s">
        <v>85</v>
      </c>
      <c r="W3" s="1" t="s">
        <v>356</v>
      </c>
      <c r="X3" s="1" t="s">
        <v>357</v>
      </c>
      <c r="Y3" s="1" t="s">
        <v>88</v>
      </c>
      <c r="Z3" s="1" t="s">
        <v>99</v>
      </c>
      <c r="AA3" s="1" t="s">
        <v>358</v>
      </c>
      <c r="AB3" s="1" t="s">
        <v>359</v>
      </c>
      <c r="AC3" s="1" t="s">
        <v>360</v>
      </c>
      <c r="AD3" s="1" t="s">
        <v>361</v>
      </c>
      <c r="AE3" s="1" t="s">
        <v>91</v>
      </c>
      <c r="AF3" s="1" t="s">
        <v>362</v>
      </c>
      <c r="AG3" s="1" t="s">
        <v>363</v>
      </c>
      <c r="AL3" s="164" t="s">
        <v>364</v>
      </c>
      <c r="AM3" s="164"/>
      <c r="AN3" s="164"/>
      <c r="AO3" s="164" t="s">
        <v>365</v>
      </c>
      <c r="AP3" s="164"/>
      <c r="AQ3" s="164"/>
      <c r="AR3" s="13"/>
      <c r="AS3" s="13"/>
      <c r="AT3" s="13"/>
      <c r="AU3" s="13"/>
      <c r="AV3" s="13"/>
      <c r="AW3" s="13"/>
      <c r="AX3" s="13"/>
      <c r="AY3" s="13"/>
      <c r="AZ3" s="13"/>
      <c r="BC3" s="13"/>
    </row>
    <row r="4" spans="1:55" x14ac:dyDescent="0.5">
      <c r="A4" s="1" t="s">
        <v>102</v>
      </c>
      <c r="C4" s="1" t="s">
        <v>84</v>
      </c>
      <c r="D4" s="1" t="s">
        <v>366</v>
      </c>
      <c r="E4" s="1" t="s">
        <v>367</v>
      </c>
      <c r="G4" s="1" t="s">
        <v>349</v>
      </c>
      <c r="H4" s="1" t="s">
        <v>349</v>
      </c>
      <c r="I4" s="1" t="s">
        <v>349</v>
      </c>
      <c r="L4" s="1" t="s">
        <v>368</v>
      </c>
      <c r="M4" s="1" t="s">
        <v>308</v>
      </c>
      <c r="N4" s="1" t="s">
        <v>56</v>
      </c>
      <c r="O4" s="1" t="s">
        <v>369</v>
      </c>
      <c r="P4" s="1" t="s">
        <v>370</v>
      </c>
      <c r="Q4" s="1" t="s">
        <v>371</v>
      </c>
      <c r="S4" s="1" t="s">
        <v>368</v>
      </c>
      <c r="T4" s="1" t="s">
        <v>308</v>
      </c>
      <c r="U4" s="1" t="s">
        <v>56</v>
      </c>
      <c r="V4" s="1" t="s">
        <v>369</v>
      </c>
      <c r="W4" s="1" t="s">
        <v>370</v>
      </c>
      <c r="X4" s="1" t="s">
        <v>371</v>
      </c>
      <c r="Y4" s="1" t="s">
        <v>372</v>
      </c>
      <c r="Z4" s="1" t="s">
        <v>373</v>
      </c>
      <c r="AA4" s="1" t="s">
        <v>374</v>
      </c>
      <c r="AB4" s="1" t="s">
        <v>375</v>
      </c>
      <c r="AC4" s="1" t="s">
        <v>323</v>
      </c>
      <c r="AD4" s="1" t="s">
        <v>376</v>
      </c>
      <c r="AE4" s="1" t="s">
        <v>377</v>
      </c>
      <c r="AF4" s="1" t="s">
        <v>378</v>
      </c>
      <c r="AG4" s="1" t="s">
        <v>379</v>
      </c>
      <c r="AL4" s="3" t="s">
        <v>380</v>
      </c>
      <c r="AM4" s="3" t="s">
        <v>381</v>
      </c>
      <c r="AN4" s="3" t="s">
        <v>382</v>
      </c>
      <c r="AO4" s="3" t="s">
        <v>383</v>
      </c>
      <c r="AP4" s="4" t="s">
        <v>384</v>
      </c>
      <c r="AQ4" s="3" t="s">
        <v>385</v>
      </c>
      <c r="AR4" s="13"/>
      <c r="AS4" s="13"/>
      <c r="AT4" s="1" t="s">
        <v>386</v>
      </c>
      <c r="AU4" s="1" t="s">
        <v>387</v>
      </c>
      <c r="AV4" s="1" t="s">
        <v>388</v>
      </c>
      <c r="AW4" s="1" t="s">
        <v>389</v>
      </c>
      <c r="AX4" s="1" t="s">
        <v>390</v>
      </c>
      <c r="AY4" s="1" t="s">
        <v>391</v>
      </c>
      <c r="AZ4" s="13"/>
      <c r="BC4" s="13"/>
    </row>
    <row r="5" spans="1:55" x14ac:dyDescent="0.5">
      <c r="A5" s="1" t="s">
        <v>83</v>
      </c>
      <c r="C5" s="1" t="s">
        <v>87</v>
      </c>
      <c r="D5" s="1" t="s">
        <v>392</v>
      </c>
      <c r="E5" s="1" t="s">
        <v>393</v>
      </c>
      <c r="G5" s="1" t="s">
        <v>104</v>
      </c>
      <c r="H5" s="1" t="s">
        <v>104</v>
      </c>
      <c r="I5" s="1" t="s">
        <v>104</v>
      </c>
      <c r="L5" s="1" t="s">
        <v>394</v>
      </c>
      <c r="M5" s="1" t="s">
        <v>395</v>
      </c>
      <c r="N5" s="1" t="s">
        <v>396</v>
      </c>
      <c r="O5" s="1" t="s">
        <v>60</v>
      </c>
      <c r="P5" s="1" t="s">
        <v>305</v>
      </c>
      <c r="Q5" s="1" t="s">
        <v>397</v>
      </c>
      <c r="S5" s="1" t="s">
        <v>394</v>
      </c>
      <c r="T5" s="1" t="s">
        <v>395</v>
      </c>
      <c r="U5" s="1" t="s">
        <v>398</v>
      </c>
      <c r="V5" s="1" t="s">
        <v>60</v>
      </c>
      <c r="W5" s="1" t="s">
        <v>305</v>
      </c>
      <c r="X5" s="1" t="s">
        <v>397</v>
      </c>
      <c r="Y5" s="1" t="s">
        <v>370</v>
      </c>
      <c r="Z5" s="1" t="s">
        <v>399</v>
      </c>
      <c r="AA5" s="1" t="s">
        <v>327</v>
      </c>
      <c r="AB5" s="1" t="s">
        <v>400</v>
      </c>
      <c r="AC5" s="1" t="s">
        <v>310</v>
      </c>
      <c r="AD5" s="1" t="s">
        <v>401</v>
      </c>
      <c r="AE5" s="1" t="s">
        <v>376</v>
      </c>
      <c r="AF5" s="1" t="s">
        <v>402</v>
      </c>
      <c r="AG5" s="1" t="s">
        <v>403</v>
      </c>
      <c r="AL5" s="2" t="s">
        <v>404</v>
      </c>
      <c r="AM5" s="2" t="s">
        <v>396</v>
      </c>
      <c r="AN5" s="2" t="s">
        <v>405</v>
      </c>
      <c r="AO5" s="2" t="s">
        <v>406</v>
      </c>
      <c r="AP5" s="2" t="s">
        <v>370</v>
      </c>
      <c r="AQ5" s="2" t="s">
        <v>314</v>
      </c>
      <c r="AR5" s="2"/>
      <c r="AS5" s="2"/>
      <c r="AT5" s="5" t="s">
        <v>404</v>
      </c>
      <c r="AU5" s="7" t="s">
        <v>308</v>
      </c>
      <c r="AV5" s="5" t="s">
        <v>406</v>
      </c>
      <c r="AW5" s="5" t="s">
        <v>405</v>
      </c>
      <c r="AX5" s="7" t="s">
        <v>407</v>
      </c>
      <c r="AY5" s="7" t="s">
        <v>407</v>
      </c>
      <c r="AZ5" s="2"/>
      <c r="BC5" s="2"/>
    </row>
    <row r="6" spans="1:55" x14ac:dyDescent="0.5">
      <c r="A6" s="1" t="s">
        <v>345</v>
      </c>
      <c r="C6" s="1" t="s">
        <v>90</v>
      </c>
      <c r="D6" s="1" t="s">
        <v>408</v>
      </c>
      <c r="E6" s="1" t="s">
        <v>409</v>
      </c>
      <c r="G6" s="1" t="s">
        <v>350</v>
      </c>
      <c r="H6" s="1" t="s">
        <v>350</v>
      </c>
      <c r="I6" s="1" t="s">
        <v>350</v>
      </c>
      <c r="L6" s="1" t="s">
        <v>410</v>
      </c>
      <c r="M6" s="1" t="s">
        <v>411</v>
      </c>
      <c r="N6" s="1" t="s">
        <v>412</v>
      </c>
      <c r="O6" s="1" t="s">
        <v>413</v>
      </c>
      <c r="P6" s="1" t="s">
        <v>414</v>
      </c>
      <c r="Q6" s="1" t="s">
        <v>415</v>
      </c>
      <c r="S6" s="1" t="s">
        <v>410</v>
      </c>
      <c r="T6" s="1" t="s">
        <v>411</v>
      </c>
      <c r="U6" s="1" t="s">
        <v>412</v>
      </c>
      <c r="V6" s="1" t="s">
        <v>413</v>
      </c>
      <c r="W6" s="1" t="s">
        <v>414</v>
      </c>
      <c r="X6" s="1" t="s">
        <v>415</v>
      </c>
      <c r="Y6" s="1" t="s">
        <v>416</v>
      </c>
      <c r="Z6" s="1" t="s">
        <v>417</v>
      </c>
      <c r="AA6" s="1" t="s">
        <v>418</v>
      </c>
      <c r="AB6" s="1" t="s">
        <v>419</v>
      </c>
      <c r="AC6" s="1" t="s">
        <v>315</v>
      </c>
      <c r="AD6" s="1" t="s">
        <v>420</v>
      </c>
      <c r="AE6" s="1" t="s">
        <v>407</v>
      </c>
      <c r="AF6" s="1" t="s">
        <v>421</v>
      </c>
      <c r="AG6" s="1" t="s">
        <v>310</v>
      </c>
      <c r="AL6" s="2" t="s">
        <v>410</v>
      </c>
      <c r="AM6" s="2" t="s">
        <v>422</v>
      </c>
      <c r="AN6" s="2" t="s">
        <v>406</v>
      </c>
      <c r="AO6" s="2" t="s">
        <v>369</v>
      </c>
      <c r="AP6" s="2" t="s">
        <v>423</v>
      </c>
      <c r="AQ6" s="2" t="s">
        <v>424</v>
      </c>
      <c r="AR6" s="2"/>
      <c r="AS6" s="2"/>
      <c r="AT6" s="6" t="s">
        <v>410</v>
      </c>
      <c r="AU6" s="8" t="s">
        <v>395</v>
      </c>
      <c r="AV6" s="7" t="s">
        <v>369</v>
      </c>
      <c r="AW6" s="6" t="s">
        <v>406</v>
      </c>
      <c r="AX6" s="8" t="s">
        <v>425</v>
      </c>
      <c r="AY6" s="7" t="s">
        <v>377</v>
      </c>
      <c r="AZ6" s="2"/>
      <c r="BC6" s="2"/>
    </row>
    <row r="7" spans="1:55" x14ac:dyDescent="0.5">
      <c r="A7" s="1" t="s">
        <v>346</v>
      </c>
      <c r="D7" s="1" t="s">
        <v>426</v>
      </c>
      <c r="G7" s="1" t="s">
        <v>351</v>
      </c>
      <c r="H7" s="1" t="s">
        <v>351</v>
      </c>
      <c r="I7" s="1" t="s">
        <v>351</v>
      </c>
      <c r="L7" s="1" t="s">
        <v>427</v>
      </c>
      <c r="M7" s="1" t="s">
        <v>309</v>
      </c>
      <c r="N7" s="1" t="s">
        <v>428</v>
      </c>
      <c r="O7" s="1" t="s">
        <v>429</v>
      </c>
      <c r="P7" s="1" t="s">
        <v>414</v>
      </c>
      <c r="Q7" s="1" t="s">
        <v>430</v>
      </c>
      <c r="S7" s="1" t="s">
        <v>427</v>
      </c>
      <c r="T7" s="1" t="s">
        <v>309</v>
      </c>
      <c r="U7" s="1" t="s">
        <v>428</v>
      </c>
      <c r="V7" s="1" t="s">
        <v>429</v>
      </c>
      <c r="W7" s="1" t="s">
        <v>414</v>
      </c>
      <c r="X7" s="1" t="s">
        <v>430</v>
      </c>
      <c r="Y7" s="1" t="s">
        <v>431</v>
      </c>
      <c r="Z7" s="1" t="s">
        <v>432</v>
      </c>
      <c r="AA7" s="1" t="s">
        <v>433</v>
      </c>
      <c r="AB7" s="1" t="s">
        <v>434</v>
      </c>
      <c r="AC7" s="1" t="s">
        <v>373</v>
      </c>
      <c r="AD7" s="1" t="s">
        <v>404</v>
      </c>
      <c r="AE7" s="1" t="s">
        <v>404</v>
      </c>
      <c r="AF7" s="1" t="s">
        <v>425</v>
      </c>
      <c r="AG7" s="1" t="s">
        <v>435</v>
      </c>
      <c r="AL7" s="2" t="s">
        <v>436</v>
      </c>
      <c r="AM7" s="2" t="s">
        <v>437</v>
      </c>
      <c r="AN7" s="2" t="s">
        <v>413</v>
      </c>
      <c r="AO7" s="2" t="s">
        <v>438</v>
      </c>
      <c r="AP7" s="2" t="s">
        <v>439</v>
      </c>
      <c r="AQ7" s="2" t="s">
        <v>440</v>
      </c>
      <c r="AR7" s="2"/>
      <c r="AS7" s="2"/>
      <c r="AT7" s="5" t="s">
        <v>436</v>
      </c>
      <c r="AU7" s="1" t="s">
        <v>396</v>
      </c>
      <c r="AV7" s="8" t="s">
        <v>60</v>
      </c>
      <c r="AW7" s="7" t="s">
        <v>56</v>
      </c>
      <c r="AX7" s="7" t="s">
        <v>377</v>
      </c>
      <c r="AY7" s="7" t="s">
        <v>441</v>
      </c>
      <c r="AZ7" s="2"/>
      <c r="BC7" s="2"/>
    </row>
    <row r="8" spans="1:55" x14ac:dyDescent="0.5">
      <c r="G8" s="1" t="s">
        <v>352</v>
      </c>
      <c r="H8" s="1" t="s">
        <v>352</v>
      </c>
      <c r="I8" s="1" t="s">
        <v>352</v>
      </c>
      <c r="L8" s="1" t="s">
        <v>442</v>
      </c>
      <c r="M8" s="1" t="s">
        <v>443</v>
      </c>
      <c r="N8" s="1" t="s">
        <v>310</v>
      </c>
      <c r="O8" s="1" t="s">
        <v>422</v>
      </c>
      <c r="P8" s="1" t="s">
        <v>444</v>
      </c>
      <c r="Q8" s="1" t="s">
        <v>445</v>
      </c>
      <c r="S8" s="1" t="s">
        <v>442</v>
      </c>
      <c r="T8" s="1" t="s">
        <v>443</v>
      </c>
      <c r="U8" s="1" t="s">
        <v>310</v>
      </c>
      <c r="V8" s="1" t="s">
        <v>422</v>
      </c>
      <c r="W8" s="1" t="s">
        <v>444</v>
      </c>
      <c r="X8" s="1" t="s">
        <v>445</v>
      </c>
      <c r="Y8" s="1" t="s">
        <v>306</v>
      </c>
      <c r="Z8" s="1" t="s">
        <v>446</v>
      </c>
      <c r="AA8" s="1" t="s">
        <v>447</v>
      </c>
      <c r="AB8" s="1" t="s">
        <v>448</v>
      </c>
      <c r="AC8" s="1" t="s">
        <v>56</v>
      </c>
      <c r="AD8" s="1" t="s">
        <v>306</v>
      </c>
      <c r="AE8" s="1" t="s">
        <v>449</v>
      </c>
      <c r="AF8" s="1" t="s">
        <v>450</v>
      </c>
      <c r="AG8" s="1" t="s">
        <v>451</v>
      </c>
      <c r="AL8" s="2" t="s">
        <v>442</v>
      </c>
      <c r="AM8" s="2" t="s">
        <v>420</v>
      </c>
      <c r="AN8" s="2" t="s">
        <v>429</v>
      </c>
      <c r="AO8" s="2" t="s">
        <v>452</v>
      </c>
      <c r="AP8" s="2" t="s">
        <v>453</v>
      </c>
      <c r="AQ8" s="2" t="s">
        <v>454</v>
      </c>
      <c r="AR8" s="2"/>
      <c r="AS8" s="2"/>
      <c r="AT8" s="6" t="s">
        <v>442</v>
      </c>
      <c r="AU8" s="7" t="s">
        <v>411</v>
      </c>
      <c r="AV8" s="7" t="s">
        <v>56</v>
      </c>
      <c r="AW8" s="5" t="s">
        <v>413</v>
      </c>
      <c r="AX8" s="8" t="s">
        <v>441</v>
      </c>
      <c r="AY8" s="7" t="s">
        <v>455</v>
      </c>
      <c r="AZ8" s="2"/>
      <c r="BC8" s="2"/>
    </row>
    <row r="9" spans="1:55" x14ac:dyDescent="0.5">
      <c r="G9" s="1" t="s">
        <v>353</v>
      </c>
      <c r="H9" s="1" t="s">
        <v>353</v>
      </c>
      <c r="I9" s="1" t="s">
        <v>353</v>
      </c>
      <c r="L9" s="1" t="s">
        <v>313</v>
      </c>
      <c r="M9" s="1" t="s">
        <v>456</v>
      </c>
      <c r="N9" s="1" t="s">
        <v>457</v>
      </c>
      <c r="O9" s="1" t="s">
        <v>458</v>
      </c>
      <c r="P9" s="1" t="s">
        <v>459</v>
      </c>
      <c r="Q9" s="1" t="s">
        <v>306</v>
      </c>
      <c r="S9" s="1" t="s">
        <v>313</v>
      </c>
      <c r="T9" s="1" t="s">
        <v>456</v>
      </c>
      <c r="U9" s="1" t="s">
        <v>457</v>
      </c>
      <c r="V9" s="1" t="s">
        <v>458</v>
      </c>
      <c r="W9" s="1" t="s">
        <v>459</v>
      </c>
      <c r="X9" s="1" t="s">
        <v>306</v>
      </c>
      <c r="Y9" s="1" t="s">
        <v>430</v>
      </c>
      <c r="Z9" s="1" t="s">
        <v>460</v>
      </c>
      <c r="AA9" s="1" t="s">
        <v>461</v>
      </c>
      <c r="AB9" s="1" t="s">
        <v>462</v>
      </c>
      <c r="AC9" s="1" t="s">
        <v>463</v>
      </c>
      <c r="AD9" s="1" t="s">
        <v>323</v>
      </c>
      <c r="AE9" s="1" t="s">
        <v>464</v>
      </c>
      <c r="AF9" s="1" t="s">
        <v>465</v>
      </c>
      <c r="AG9" s="1" t="s">
        <v>441</v>
      </c>
      <c r="AL9" s="2" t="s">
        <v>313</v>
      </c>
      <c r="AM9" s="2" t="s">
        <v>466</v>
      </c>
      <c r="AN9" s="2" t="s">
        <v>467</v>
      </c>
      <c r="AO9" s="2" t="s">
        <v>429</v>
      </c>
      <c r="AP9" s="2" t="s">
        <v>468</v>
      </c>
      <c r="AQ9" s="2" t="s">
        <v>469</v>
      </c>
      <c r="AR9" s="2"/>
      <c r="AS9" s="2"/>
      <c r="AT9" s="5" t="s">
        <v>313</v>
      </c>
      <c r="AU9" s="6" t="s">
        <v>422</v>
      </c>
      <c r="AV9" s="7" t="s">
        <v>438</v>
      </c>
      <c r="AW9" s="8" t="s">
        <v>398</v>
      </c>
      <c r="AX9" s="8" t="s">
        <v>404</v>
      </c>
      <c r="AY9" s="8" t="s">
        <v>470</v>
      </c>
      <c r="AZ9" s="2"/>
      <c r="BC9" s="2"/>
    </row>
    <row r="10" spans="1:55" x14ac:dyDescent="0.5">
      <c r="L10" s="1" t="s">
        <v>471</v>
      </c>
      <c r="M10" s="1" t="s">
        <v>472</v>
      </c>
      <c r="N10" s="1" t="s">
        <v>420</v>
      </c>
      <c r="O10" s="1" t="s">
        <v>437</v>
      </c>
      <c r="P10" s="1" t="s">
        <v>413</v>
      </c>
      <c r="Q10" s="1" t="s">
        <v>307</v>
      </c>
      <c r="S10" s="1" t="s">
        <v>471</v>
      </c>
      <c r="T10" s="1" t="s">
        <v>472</v>
      </c>
      <c r="U10" s="1" t="s">
        <v>420</v>
      </c>
      <c r="V10" s="1" t="s">
        <v>437</v>
      </c>
      <c r="W10" s="1" t="s">
        <v>413</v>
      </c>
      <c r="X10" s="1" t="s">
        <v>307</v>
      </c>
      <c r="Y10" s="1" t="s">
        <v>60</v>
      </c>
      <c r="Z10" s="1" t="s">
        <v>323</v>
      </c>
      <c r="AA10" s="1" t="s">
        <v>473</v>
      </c>
      <c r="AB10" s="1" t="s">
        <v>474</v>
      </c>
      <c r="AC10" s="1" t="s">
        <v>475</v>
      </c>
      <c r="AD10" s="1" t="s">
        <v>309</v>
      </c>
      <c r="AE10" s="1" t="s">
        <v>476</v>
      </c>
      <c r="AF10" s="1" t="s">
        <v>477</v>
      </c>
      <c r="AG10" s="1" t="s">
        <v>478</v>
      </c>
      <c r="AL10" s="2" t="s">
        <v>471</v>
      </c>
      <c r="AM10" s="2" t="s">
        <v>479</v>
      </c>
      <c r="AN10" s="2" t="s">
        <v>480</v>
      </c>
      <c r="AO10" s="2" t="s">
        <v>481</v>
      </c>
      <c r="AP10" s="2" t="s">
        <v>412</v>
      </c>
      <c r="AQ10" s="2" t="s">
        <v>325</v>
      </c>
      <c r="AR10" s="2"/>
      <c r="AS10" s="2"/>
      <c r="AT10" s="6" t="s">
        <v>471</v>
      </c>
      <c r="AU10" s="8" t="s">
        <v>309</v>
      </c>
      <c r="AV10" s="8" t="s">
        <v>452</v>
      </c>
      <c r="AW10" s="6" t="s">
        <v>429</v>
      </c>
      <c r="AX10" s="8" t="s">
        <v>455</v>
      </c>
      <c r="AY10" s="7" t="s">
        <v>482</v>
      </c>
      <c r="AZ10" s="2"/>
      <c r="BC10" s="2"/>
    </row>
    <row r="11" spans="1:55" x14ac:dyDescent="0.5">
      <c r="G11" s="1" t="s">
        <v>366</v>
      </c>
      <c r="H11" s="1" t="s">
        <v>392</v>
      </c>
      <c r="I11" s="1" t="s">
        <v>483</v>
      </c>
      <c r="J11" s="1" t="s">
        <v>426</v>
      </c>
      <c r="L11" s="1" t="s">
        <v>420</v>
      </c>
      <c r="M11" s="1" t="s">
        <v>484</v>
      </c>
      <c r="N11" s="1" t="s">
        <v>485</v>
      </c>
      <c r="O11" s="1" t="s">
        <v>456</v>
      </c>
      <c r="P11" s="1" t="s">
        <v>428</v>
      </c>
      <c r="Q11" s="1" t="s">
        <v>486</v>
      </c>
      <c r="S11" s="1" t="s">
        <v>420</v>
      </c>
      <c r="T11" s="1" t="s">
        <v>484</v>
      </c>
      <c r="U11" s="1" t="s">
        <v>485</v>
      </c>
      <c r="V11" s="1" t="s">
        <v>456</v>
      </c>
      <c r="W11" s="1" t="s">
        <v>428</v>
      </c>
      <c r="X11" s="1" t="s">
        <v>486</v>
      </c>
      <c r="Y11" s="1" t="s">
        <v>56</v>
      </c>
      <c r="Z11" s="1" t="s">
        <v>378</v>
      </c>
      <c r="AA11" s="1" t="s">
        <v>487</v>
      </c>
      <c r="AB11" s="1" t="s">
        <v>323</v>
      </c>
      <c r="AC11" s="1" t="s">
        <v>488</v>
      </c>
      <c r="AD11" s="1" t="s">
        <v>489</v>
      </c>
      <c r="AE11" s="1" t="s">
        <v>455</v>
      </c>
      <c r="AF11" s="1" t="s">
        <v>490</v>
      </c>
      <c r="AG11" s="1" t="s">
        <v>491</v>
      </c>
      <c r="AL11" s="2" t="s">
        <v>492</v>
      </c>
      <c r="AM11" s="2" t="s">
        <v>493</v>
      </c>
      <c r="AN11" s="2" t="s">
        <v>420</v>
      </c>
      <c r="AO11" s="2" t="s">
        <v>422</v>
      </c>
      <c r="AP11" s="2" t="s">
        <v>422</v>
      </c>
      <c r="AQ11" s="2" t="s">
        <v>494</v>
      </c>
      <c r="AR11" s="2"/>
      <c r="AS11" s="2"/>
      <c r="AT11" s="5" t="s">
        <v>492</v>
      </c>
      <c r="AU11" s="5" t="s">
        <v>437</v>
      </c>
      <c r="AV11" s="7" t="s">
        <v>413</v>
      </c>
      <c r="AW11" s="7" t="s">
        <v>412</v>
      </c>
      <c r="AX11" s="8" t="s">
        <v>470</v>
      </c>
      <c r="AY11" s="7" t="s">
        <v>465</v>
      </c>
      <c r="AZ11" s="2"/>
      <c r="BC11" s="2"/>
    </row>
    <row r="12" spans="1:55" x14ac:dyDescent="0.5">
      <c r="G12" s="1" t="s">
        <v>380</v>
      </c>
      <c r="H12" s="1" t="s">
        <v>380</v>
      </c>
      <c r="I12" s="1" t="s">
        <v>380</v>
      </c>
      <c r="J12" s="1" t="s">
        <v>380</v>
      </c>
      <c r="L12" s="1" t="s">
        <v>495</v>
      </c>
      <c r="M12" s="1" t="s">
        <v>495</v>
      </c>
      <c r="N12" s="1" t="s">
        <v>446</v>
      </c>
      <c r="O12" s="1" t="s">
        <v>496</v>
      </c>
      <c r="P12" s="1" t="s">
        <v>497</v>
      </c>
      <c r="Q12" s="1" t="s">
        <v>413</v>
      </c>
      <c r="S12" s="1" t="s">
        <v>495</v>
      </c>
      <c r="T12" s="1" t="s">
        <v>495</v>
      </c>
      <c r="U12" s="1" t="s">
        <v>446</v>
      </c>
      <c r="V12" s="1" t="s">
        <v>496</v>
      </c>
      <c r="W12" s="1" t="s">
        <v>497</v>
      </c>
      <c r="X12" s="1" t="s">
        <v>413</v>
      </c>
      <c r="Y12" s="1" t="s">
        <v>414</v>
      </c>
      <c r="Z12" s="1" t="s">
        <v>498</v>
      </c>
      <c r="AA12" s="1" t="s">
        <v>499</v>
      </c>
      <c r="AB12" s="1" t="s">
        <v>500</v>
      </c>
      <c r="AC12" s="1" t="s">
        <v>501</v>
      </c>
      <c r="AD12" s="1" t="s">
        <v>466</v>
      </c>
      <c r="AE12" s="1" t="s">
        <v>502</v>
      </c>
      <c r="AF12" s="1" t="s">
        <v>503</v>
      </c>
      <c r="AG12" s="1" t="s">
        <v>504</v>
      </c>
      <c r="AL12" s="2" t="s">
        <v>505</v>
      </c>
      <c r="AM12" s="2" t="s">
        <v>506</v>
      </c>
      <c r="AN12" s="2" t="s">
        <v>314</v>
      </c>
      <c r="AO12" s="2" t="s">
        <v>507</v>
      </c>
      <c r="AP12" s="2" t="s">
        <v>508</v>
      </c>
      <c r="AQ12" s="2" t="s">
        <v>509</v>
      </c>
      <c r="AR12" s="2"/>
      <c r="AS12" s="2"/>
      <c r="AT12" s="6" t="s">
        <v>505</v>
      </c>
      <c r="AU12" s="7" t="s">
        <v>443</v>
      </c>
      <c r="AV12" s="8" t="s">
        <v>398</v>
      </c>
      <c r="AW12" s="8" t="s">
        <v>428</v>
      </c>
      <c r="AX12" s="7" t="s">
        <v>482</v>
      </c>
      <c r="AY12" s="8" t="s">
        <v>464</v>
      </c>
      <c r="AZ12" s="2"/>
      <c r="BC12" s="2"/>
    </row>
    <row r="13" spans="1:55" x14ac:dyDescent="0.5">
      <c r="G13" s="1" t="s">
        <v>381</v>
      </c>
      <c r="H13" s="1" t="s">
        <v>381</v>
      </c>
      <c r="I13" s="1" t="s">
        <v>381</v>
      </c>
      <c r="J13" s="1" t="s">
        <v>381</v>
      </c>
      <c r="L13" s="1" t="s">
        <v>505</v>
      </c>
      <c r="M13" s="1" t="s">
        <v>510</v>
      </c>
      <c r="N13" s="1" t="s">
        <v>511</v>
      </c>
      <c r="O13" s="1" t="s">
        <v>484</v>
      </c>
      <c r="P13" s="1" t="s">
        <v>512</v>
      </c>
      <c r="Q13" s="1" t="s">
        <v>513</v>
      </c>
      <c r="S13" s="1" t="s">
        <v>505</v>
      </c>
      <c r="T13" s="1" t="s">
        <v>510</v>
      </c>
      <c r="U13" s="1" t="s">
        <v>511</v>
      </c>
      <c r="V13" s="1" t="s">
        <v>484</v>
      </c>
      <c r="W13" s="1" t="s">
        <v>512</v>
      </c>
      <c r="X13" s="1" t="s">
        <v>513</v>
      </c>
      <c r="Y13" s="1" t="s">
        <v>514</v>
      </c>
      <c r="Z13" s="1" t="s">
        <v>515</v>
      </c>
      <c r="AA13" s="1" t="s">
        <v>318</v>
      </c>
      <c r="AB13" s="1" t="s">
        <v>516</v>
      </c>
      <c r="AC13" s="1" t="s">
        <v>407</v>
      </c>
      <c r="AD13" s="1" t="s">
        <v>517</v>
      </c>
      <c r="AE13" s="1" t="s">
        <v>518</v>
      </c>
      <c r="AF13" s="1" t="s">
        <v>313</v>
      </c>
      <c r="AG13" s="1" t="s">
        <v>517</v>
      </c>
      <c r="AL13" s="2" t="s">
        <v>519</v>
      </c>
      <c r="AM13" s="2" t="s">
        <v>520</v>
      </c>
      <c r="AN13" s="2" t="s">
        <v>417</v>
      </c>
      <c r="AO13" s="2" t="s">
        <v>521</v>
      </c>
      <c r="AP13" s="2" t="s">
        <v>428</v>
      </c>
      <c r="AQ13" s="2" t="s">
        <v>477</v>
      </c>
      <c r="AR13" s="2"/>
      <c r="AS13" s="2"/>
      <c r="AT13" s="5" t="s">
        <v>519</v>
      </c>
      <c r="AU13" s="8" t="s">
        <v>456</v>
      </c>
      <c r="AV13" s="8" t="s">
        <v>429</v>
      </c>
      <c r="AW13" s="7" t="s">
        <v>310</v>
      </c>
      <c r="AX13" s="8" t="s">
        <v>465</v>
      </c>
      <c r="AY13" s="7" t="s">
        <v>376</v>
      </c>
      <c r="AZ13" s="2"/>
      <c r="BC13" s="2"/>
    </row>
    <row r="14" spans="1:55" x14ac:dyDescent="0.5">
      <c r="G14" s="1" t="s">
        <v>382</v>
      </c>
      <c r="H14" s="1" t="s">
        <v>382</v>
      </c>
      <c r="I14" s="1" t="s">
        <v>382</v>
      </c>
      <c r="J14" s="1" t="s">
        <v>382</v>
      </c>
      <c r="L14" s="1" t="s">
        <v>522</v>
      </c>
      <c r="M14" s="1" t="s">
        <v>446</v>
      </c>
      <c r="N14" s="1" t="s">
        <v>316</v>
      </c>
      <c r="O14" s="1" t="s">
        <v>523</v>
      </c>
      <c r="P14" s="1" t="s">
        <v>467</v>
      </c>
      <c r="Q14" s="1" t="s">
        <v>524</v>
      </c>
      <c r="S14" s="1" t="s">
        <v>522</v>
      </c>
      <c r="T14" s="1" t="s">
        <v>446</v>
      </c>
      <c r="U14" s="1" t="s">
        <v>316</v>
      </c>
      <c r="V14" s="1" t="s">
        <v>523</v>
      </c>
      <c r="W14" s="1" t="s">
        <v>467</v>
      </c>
      <c r="X14" s="1" t="s">
        <v>524</v>
      </c>
      <c r="Y14" s="1" t="s">
        <v>525</v>
      </c>
      <c r="Z14" s="1" t="s">
        <v>522</v>
      </c>
      <c r="AA14" s="1" t="s">
        <v>526</v>
      </c>
      <c r="AB14" s="1" t="s">
        <v>527</v>
      </c>
      <c r="AC14" s="1" t="s">
        <v>528</v>
      </c>
      <c r="AD14" s="1" t="s">
        <v>529</v>
      </c>
      <c r="AE14" s="1" t="s">
        <v>530</v>
      </c>
      <c r="AF14" s="1" t="s">
        <v>485</v>
      </c>
      <c r="AG14" s="1" t="s">
        <v>529</v>
      </c>
      <c r="AL14" s="2" t="s">
        <v>531</v>
      </c>
      <c r="AM14" s="2" t="s">
        <v>532</v>
      </c>
      <c r="AN14" s="2" t="s">
        <v>505</v>
      </c>
      <c r="AO14" s="2" t="s">
        <v>533</v>
      </c>
      <c r="AP14" s="2" t="s">
        <v>457</v>
      </c>
      <c r="AQ14" s="2" t="s">
        <v>534</v>
      </c>
      <c r="AR14" s="2"/>
      <c r="AS14" s="2"/>
      <c r="AT14" s="6" t="s">
        <v>531</v>
      </c>
      <c r="AU14" s="7" t="s">
        <v>472</v>
      </c>
      <c r="AV14" s="6" t="s">
        <v>481</v>
      </c>
      <c r="AW14" s="5" t="s">
        <v>467</v>
      </c>
      <c r="AX14" s="8" t="s">
        <v>439</v>
      </c>
      <c r="AY14" s="7" t="s">
        <v>535</v>
      </c>
      <c r="AZ14" s="2"/>
      <c r="BC14" s="2"/>
    </row>
    <row r="15" spans="1:55" x14ac:dyDescent="0.5">
      <c r="G15" s="1" t="s">
        <v>383</v>
      </c>
      <c r="H15" s="1" t="s">
        <v>383</v>
      </c>
      <c r="I15" s="1" t="s">
        <v>383</v>
      </c>
      <c r="J15" s="1" t="s">
        <v>383</v>
      </c>
      <c r="L15" s="1" t="s">
        <v>519</v>
      </c>
      <c r="M15" s="1" t="s">
        <v>466</v>
      </c>
      <c r="N15" s="1" t="s">
        <v>417</v>
      </c>
      <c r="O15" s="1" t="s">
        <v>314</v>
      </c>
      <c r="P15" s="1" t="s">
        <v>457</v>
      </c>
      <c r="Q15" s="1" t="s">
        <v>396</v>
      </c>
      <c r="S15" s="1" t="s">
        <v>519</v>
      </c>
      <c r="T15" s="1" t="s">
        <v>466</v>
      </c>
      <c r="U15" s="1" t="s">
        <v>417</v>
      </c>
      <c r="V15" s="1" t="s">
        <v>314</v>
      </c>
      <c r="W15" s="1" t="s">
        <v>457</v>
      </c>
      <c r="X15" s="1" t="s">
        <v>396</v>
      </c>
      <c r="Y15" s="1" t="s">
        <v>374</v>
      </c>
      <c r="Z15" s="1" t="s">
        <v>310</v>
      </c>
      <c r="AA15" s="1" t="s">
        <v>536</v>
      </c>
      <c r="AB15" s="1" t="s">
        <v>310</v>
      </c>
      <c r="AC15" s="1" t="s">
        <v>319</v>
      </c>
      <c r="AD15" s="1" t="s">
        <v>537</v>
      </c>
      <c r="AE15" s="1" t="s">
        <v>470</v>
      </c>
      <c r="AF15" s="1" t="s">
        <v>458</v>
      </c>
      <c r="AG15" s="1" t="s">
        <v>511</v>
      </c>
      <c r="AL15" s="2" t="s">
        <v>538</v>
      </c>
      <c r="AM15" s="2" t="s">
        <v>539</v>
      </c>
      <c r="AN15" s="2" t="s">
        <v>501</v>
      </c>
      <c r="AO15" s="2" t="s">
        <v>540</v>
      </c>
      <c r="AP15" s="2" t="s">
        <v>541</v>
      </c>
      <c r="AQ15" s="2" t="s">
        <v>542</v>
      </c>
      <c r="AR15" s="2"/>
      <c r="AS15" s="2"/>
      <c r="AT15" s="5" t="s">
        <v>538</v>
      </c>
      <c r="AU15" s="8" t="s">
        <v>484</v>
      </c>
      <c r="AV15" s="7" t="s">
        <v>412</v>
      </c>
      <c r="AW15" s="8" t="s">
        <v>457</v>
      </c>
      <c r="AX15" s="8" t="s">
        <v>464</v>
      </c>
      <c r="AY15" s="7" t="s">
        <v>530</v>
      </c>
      <c r="AZ15" s="2"/>
      <c r="BC15" s="2"/>
    </row>
    <row r="16" spans="1:55" x14ac:dyDescent="0.5">
      <c r="G16" s="1" t="s">
        <v>384</v>
      </c>
      <c r="H16" s="1" t="s">
        <v>384</v>
      </c>
      <c r="I16" s="1" t="s">
        <v>384</v>
      </c>
      <c r="J16" s="1" t="s">
        <v>384</v>
      </c>
      <c r="L16" s="1" t="s">
        <v>318</v>
      </c>
      <c r="M16" s="1" t="s">
        <v>316</v>
      </c>
      <c r="N16" s="1" t="s">
        <v>543</v>
      </c>
      <c r="O16" s="1" t="s">
        <v>544</v>
      </c>
      <c r="P16" s="1" t="s">
        <v>545</v>
      </c>
      <c r="Q16" s="1" t="s">
        <v>497</v>
      </c>
      <c r="S16" s="1" t="s">
        <v>318</v>
      </c>
      <c r="T16" s="1" t="s">
        <v>316</v>
      </c>
      <c r="U16" s="1" t="s">
        <v>543</v>
      </c>
      <c r="V16" s="1" t="s">
        <v>544</v>
      </c>
      <c r="W16" s="1" t="s">
        <v>545</v>
      </c>
      <c r="X16" s="1" t="s">
        <v>497</v>
      </c>
      <c r="Y16" s="1" t="s">
        <v>546</v>
      </c>
      <c r="Z16" s="1" t="s">
        <v>315</v>
      </c>
      <c r="AA16" s="1" t="s">
        <v>547</v>
      </c>
      <c r="AB16" s="1" t="s">
        <v>373</v>
      </c>
      <c r="AC16" s="1" t="s">
        <v>548</v>
      </c>
      <c r="AD16" s="1" t="s">
        <v>549</v>
      </c>
      <c r="AE16" s="1" t="s">
        <v>482</v>
      </c>
      <c r="AF16" s="1" t="s">
        <v>550</v>
      </c>
      <c r="AG16" s="1" t="s">
        <v>540</v>
      </c>
      <c r="AL16" s="2" t="s">
        <v>461</v>
      </c>
      <c r="AM16" s="2" t="s">
        <v>551</v>
      </c>
      <c r="AN16" s="2" t="s">
        <v>522</v>
      </c>
      <c r="AO16" s="2" t="s">
        <v>552</v>
      </c>
      <c r="AP16" s="2" t="s">
        <v>545</v>
      </c>
      <c r="AQ16" s="2" t="s">
        <v>553</v>
      </c>
      <c r="AR16" s="2"/>
      <c r="AS16" s="2"/>
      <c r="AT16" s="6" t="s">
        <v>461</v>
      </c>
      <c r="AU16" s="6" t="s">
        <v>420</v>
      </c>
      <c r="AV16" s="7" t="s">
        <v>422</v>
      </c>
      <c r="AW16" s="5" t="s">
        <v>420</v>
      </c>
      <c r="AX16" s="8" t="s">
        <v>376</v>
      </c>
      <c r="AY16" s="7" t="s">
        <v>554</v>
      </c>
      <c r="AZ16" s="2"/>
      <c r="BC16" s="2"/>
    </row>
    <row r="17" spans="7:55" x14ac:dyDescent="0.5">
      <c r="G17" s="1" t="s">
        <v>385</v>
      </c>
      <c r="H17" s="1" t="s">
        <v>385</v>
      </c>
      <c r="I17" s="1" t="s">
        <v>385</v>
      </c>
      <c r="J17" s="1" t="s">
        <v>385</v>
      </c>
      <c r="L17" s="1" t="s">
        <v>555</v>
      </c>
      <c r="M17" s="1" t="s">
        <v>318</v>
      </c>
      <c r="N17" s="1" t="s">
        <v>505</v>
      </c>
      <c r="O17" s="1" t="s">
        <v>556</v>
      </c>
      <c r="P17" s="1" t="s">
        <v>557</v>
      </c>
      <c r="Q17" s="1" t="s">
        <v>512</v>
      </c>
      <c r="S17" s="1" t="s">
        <v>555</v>
      </c>
      <c r="T17" s="1" t="s">
        <v>318</v>
      </c>
      <c r="U17" s="1" t="s">
        <v>505</v>
      </c>
      <c r="V17" s="1" t="s">
        <v>556</v>
      </c>
      <c r="W17" s="1" t="s">
        <v>557</v>
      </c>
      <c r="X17" s="1" t="s">
        <v>512</v>
      </c>
      <c r="Y17" s="1" t="s">
        <v>53</v>
      </c>
      <c r="Z17" s="1" t="s">
        <v>463</v>
      </c>
      <c r="AA17" s="1" t="s">
        <v>558</v>
      </c>
      <c r="AB17" s="1" t="s">
        <v>559</v>
      </c>
      <c r="AC17" s="1" t="s">
        <v>464</v>
      </c>
      <c r="AD17" s="1" t="s">
        <v>560</v>
      </c>
      <c r="AE17" s="1" t="s">
        <v>561</v>
      </c>
      <c r="AF17" s="1" t="s">
        <v>562</v>
      </c>
      <c r="AG17" s="1" t="s">
        <v>429</v>
      </c>
      <c r="AL17" s="2" t="s">
        <v>563</v>
      </c>
      <c r="AM17" s="2" t="s">
        <v>564</v>
      </c>
      <c r="AN17" s="2" t="s">
        <v>565</v>
      </c>
      <c r="AO17" s="2" t="s">
        <v>505</v>
      </c>
      <c r="AP17" s="2" t="s">
        <v>456</v>
      </c>
      <c r="AQ17" s="2" t="s">
        <v>566</v>
      </c>
      <c r="AR17" s="2"/>
      <c r="AS17" s="2"/>
      <c r="AT17" s="5" t="s">
        <v>563</v>
      </c>
      <c r="AU17" s="7" t="s">
        <v>495</v>
      </c>
      <c r="AV17" s="8" t="s">
        <v>428</v>
      </c>
      <c r="AW17" s="6" t="s">
        <v>314</v>
      </c>
      <c r="AX17" s="8" t="s">
        <v>414</v>
      </c>
      <c r="AY17" s="7" t="s">
        <v>429</v>
      </c>
      <c r="AZ17" s="2"/>
      <c r="BC17" s="2"/>
    </row>
    <row r="18" spans="7:55" x14ac:dyDescent="0.5">
      <c r="L18" s="1" t="s">
        <v>567</v>
      </c>
      <c r="M18" s="1" t="s">
        <v>567</v>
      </c>
      <c r="N18" s="1" t="s">
        <v>568</v>
      </c>
      <c r="O18" s="1" t="s">
        <v>533</v>
      </c>
      <c r="P18" s="1" t="s">
        <v>523</v>
      </c>
      <c r="Q18" s="1" t="s">
        <v>569</v>
      </c>
      <c r="S18" s="1" t="s">
        <v>567</v>
      </c>
      <c r="T18" s="1" t="s">
        <v>567</v>
      </c>
      <c r="U18" s="1" t="s">
        <v>568</v>
      </c>
      <c r="V18" s="1" t="s">
        <v>533</v>
      </c>
      <c r="W18" s="1" t="s">
        <v>523</v>
      </c>
      <c r="X18" s="1" t="s">
        <v>569</v>
      </c>
      <c r="Y18" s="1" t="s">
        <v>570</v>
      </c>
      <c r="Z18" s="1" t="s">
        <v>475</v>
      </c>
      <c r="AA18" s="1" t="s">
        <v>463</v>
      </c>
      <c r="AB18" s="1" t="s">
        <v>428</v>
      </c>
      <c r="AC18" s="1" t="s">
        <v>518</v>
      </c>
      <c r="AD18" s="1" t="s">
        <v>442</v>
      </c>
      <c r="AE18" s="1" t="s">
        <v>571</v>
      </c>
      <c r="AF18" s="1" t="s">
        <v>105</v>
      </c>
      <c r="AG18" s="1" t="s">
        <v>572</v>
      </c>
      <c r="AL18" s="2" t="s">
        <v>573</v>
      </c>
      <c r="AM18" s="2" t="s">
        <v>97</v>
      </c>
      <c r="AN18" s="2" t="s">
        <v>574</v>
      </c>
      <c r="AO18" s="2" t="s">
        <v>487</v>
      </c>
      <c r="AP18" s="2" t="s">
        <v>484</v>
      </c>
      <c r="AQ18" s="2" t="s">
        <v>575</v>
      </c>
      <c r="AR18" s="2"/>
      <c r="AS18" s="2"/>
      <c r="AT18" s="6" t="s">
        <v>573</v>
      </c>
      <c r="AU18" s="8" t="s">
        <v>510</v>
      </c>
      <c r="AV18" s="7" t="s">
        <v>310</v>
      </c>
      <c r="AW18" s="5" t="s">
        <v>485</v>
      </c>
      <c r="AX18" s="8" t="s">
        <v>535</v>
      </c>
      <c r="AY18" s="7" t="s">
        <v>396</v>
      </c>
      <c r="AZ18" s="2"/>
      <c r="BC18" s="2"/>
    </row>
    <row r="19" spans="7:55" x14ac:dyDescent="0.5">
      <c r="G19" s="1" t="s">
        <v>367</v>
      </c>
      <c r="H19" s="1" t="s">
        <v>576</v>
      </c>
      <c r="I19" s="1" t="s">
        <v>409</v>
      </c>
      <c r="L19" s="1" t="s">
        <v>567</v>
      </c>
      <c r="M19" s="1" t="s">
        <v>506</v>
      </c>
      <c r="N19" s="1" t="s">
        <v>501</v>
      </c>
      <c r="O19" s="1" t="s">
        <v>550</v>
      </c>
      <c r="P19" s="1" t="s">
        <v>577</v>
      </c>
      <c r="Q19" s="1" t="s">
        <v>578</v>
      </c>
      <c r="S19" s="1" t="s">
        <v>567</v>
      </c>
      <c r="T19" s="1" t="s">
        <v>506</v>
      </c>
      <c r="U19" s="1" t="s">
        <v>501</v>
      </c>
      <c r="V19" s="1" t="s">
        <v>550</v>
      </c>
      <c r="W19" s="1" t="s">
        <v>577</v>
      </c>
      <c r="X19" s="1" t="s">
        <v>578</v>
      </c>
      <c r="Y19" s="1" t="s">
        <v>579</v>
      </c>
      <c r="Z19" s="1" t="s">
        <v>567</v>
      </c>
      <c r="AA19" s="1" t="s">
        <v>580</v>
      </c>
      <c r="AB19" s="1" t="s">
        <v>581</v>
      </c>
      <c r="AC19" s="1" t="s">
        <v>502</v>
      </c>
      <c r="AD19" s="1" t="s">
        <v>582</v>
      </c>
      <c r="AE19" s="1" t="s">
        <v>583</v>
      </c>
      <c r="AF19" s="1" t="s">
        <v>584</v>
      </c>
      <c r="AG19" s="1" t="s">
        <v>326</v>
      </c>
      <c r="AL19" s="2" t="s">
        <v>585</v>
      </c>
      <c r="AM19" s="2" t="s">
        <v>573</v>
      </c>
      <c r="AN19" s="2" t="s">
        <v>105</v>
      </c>
      <c r="AO19" s="2" t="s">
        <v>586</v>
      </c>
      <c r="AP19" s="2" t="s">
        <v>557</v>
      </c>
      <c r="AQ19" s="2" t="s">
        <v>587</v>
      </c>
      <c r="AR19" s="2"/>
      <c r="AS19" s="2"/>
      <c r="AT19" s="5" t="s">
        <v>585</v>
      </c>
      <c r="AU19" s="7" t="s">
        <v>446</v>
      </c>
      <c r="AV19" s="8" t="s">
        <v>458</v>
      </c>
      <c r="AW19" s="5" t="s">
        <v>446</v>
      </c>
      <c r="AX19" s="7" t="s">
        <v>530</v>
      </c>
      <c r="AY19" s="7" t="s">
        <v>451</v>
      </c>
      <c r="AZ19" s="2"/>
      <c r="BC19" s="2"/>
    </row>
    <row r="20" spans="7:55" x14ac:dyDescent="0.5">
      <c r="G20" s="1" t="s">
        <v>386</v>
      </c>
      <c r="H20" s="1" t="s">
        <v>386</v>
      </c>
      <c r="I20" s="1" t="s">
        <v>386</v>
      </c>
      <c r="L20" s="1" t="s">
        <v>588</v>
      </c>
      <c r="M20" s="1" t="s">
        <v>589</v>
      </c>
      <c r="N20" s="1" t="s">
        <v>493</v>
      </c>
      <c r="O20" s="1" t="s">
        <v>511</v>
      </c>
      <c r="P20" s="1" t="s">
        <v>314</v>
      </c>
      <c r="Q20" s="1" t="s">
        <v>590</v>
      </c>
      <c r="S20" s="1" t="s">
        <v>588</v>
      </c>
      <c r="T20" s="1" t="s">
        <v>589</v>
      </c>
      <c r="U20" s="1" t="s">
        <v>493</v>
      </c>
      <c r="V20" s="1" t="s">
        <v>511</v>
      </c>
      <c r="W20" s="1" t="s">
        <v>314</v>
      </c>
      <c r="X20" s="1" t="s">
        <v>590</v>
      </c>
      <c r="Y20" s="1" t="s">
        <v>591</v>
      </c>
      <c r="Z20" s="1" t="s">
        <v>592</v>
      </c>
      <c r="AA20" s="1" t="s">
        <v>593</v>
      </c>
      <c r="AB20" s="1" t="s">
        <v>566</v>
      </c>
      <c r="AC20" s="1" t="s">
        <v>594</v>
      </c>
      <c r="AD20" s="1" t="s">
        <v>595</v>
      </c>
      <c r="AE20" s="1" t="s">
        <v>554</v>
      </c>
      <c r="AF20" s="1" t="s">
        <v>321</v>
      </c>
      <c r="AG20" s="1" t="s">
        <v>554</v>
      </c>
      <c r="AL20" s="2" t="s">
        <v>596</v>
      </c>
      <c r="AM20" s="2" t="s">
        <v>596</v>
      </c>
      <c r="AN20" s="2" t="s">
        <v>97</v>
      </c>
      <c r="AO20" s="2" t="s">
        <v>318</v>
      </c>
      <c r="AP20" s="2" t="s">
        <v>523</v>
      </c>
      <c r="AQ20" s="2" t="s">
        <v>333</v>
      </c>
      <c r="AR20" s="2"/>
      <c r="AS20" s="2"/>
      <c r="AT20" s="6" t="s">
        <v>596</v>
      </c>
      <c r="AU20" s="5" t="s">
        <v>466</v>
      </c>
      <c r="AV20" s="8" t="s">
        <v>457</v>
      </c>
      <c r="AW20" s="5" t="s">
        <v>511</v>
      </c>
      <c r="AX20" s="7" t="s">
        <v>554</v>
      </c>
      <c r="AY20" s="7" t="s">
        <v>476</v>
      </c>
      <c r="AZ20" s="2"/>
      <c r="BC20" s="2"/>
    </row>
    <row r="21" spans="7:55" x14ac:dyDescent="0.5">
      <c r="G21" s="1" t="s">
        <v>387</v>
      </c>
      <c r="H21" s="1" t="s">
        <v>387</v>
      </c>
      <c r="I21" s="1" t="s">
        <v>387</v>
      </c>
      <c r="L21" s="1" t="s">
        <v>323</v>
      </c>
      <c r="M21" s="1" t="s">
        <v>520</v>
      </c>
      <c r="N21" s="1" t="s">
        <v>502</v>
      </c>
      <c r="O21" s="1" t="s">
        <v>540</v>
      </c>
      <c r="P21" s="1" t="s">
        <v>495</v>
      </c>
      <c r="Q21" s="1" t="s">
        <v>597</v>
      </c>
      <c r="S21" s="1" t="s">
        <v>323</v>
      </c>
      <c r="T21" s="1" t="s">
        <v>520</v>
      </c>
      <c r="U21" s="1" t="s">
        <v>502</v>
      </c>
      <c r="V21" s="1" t="s">
        <v>540</v>
      </c>
      <c r="W21" s="1" t="s">
        <v>495</v>
      </c>
      <c r="X21" s="1" t="s">
        <v>597</v>
      </c>
      <c r="Y21" s="1" t="s">
        <v>457</v>
      </c>
      <c r="Z21" s="1" t="s">
        <v>598</v>
      </c>
      <c r="AA21" s="1" t="s">
        <v>599</v>
      </c>
      <c r="AB21" s="1" t="s">
        <v>600</v>
      </c>
      <c r="AC21" s="1" t="s">
        <v>601</v>
      </c>
      <c r="AD21" s="1" t="s">
        <v>602</v>
      </c>
      <c r="AE21" s="1" t="s">
        <v>535</v>
      </c>
      <c r="AF21" s="1" t="s">
        <v>414</v>
      </c>
      <c r="AG21" s="1" t="s">
        <v>603</v>
      </c>
      <c r="AL21" s="2" t="s">
        <v>604</v>
      </c>
      <c r="AM21" s="2" t="s">
        <v>605</v>
      </c>
      <c r="AN21" s="2" t="s">
        <v>558</v>
      </c>
      <c r="AO21" s="2" t="s">
        <v>567</v>
      </c>
      <c r="AP21" s="2" t="s">
        <v>490</v>
      </c>
      <c r="AQ21" s="2" t="s">
        <v>606</v>
      </c>
      <c r="AR21" s="2"/>
      <c r="AS21" s="2"/>
      <c r="AT21" s="5" t="s">
        <v>604</v>
      </c>
      <c r="AU21" s="7" t="s">
        <v>316</v>
      </c>
      <c r="AV21" s="7" t="s">
        <v>437</v>
      </c>
      <c r="AW21" s="5" t="s">
        <v>316</v>
      </c>
      <c r="AX21" s="8" t="s">
        <v>607</v>
      </c>
      <c r="AY21" s="7" t="s">
        <v>310</v>
      </c>
      <c r="AZ21" s="2"/>
      <c r="BC21" s="2"/>
    </row>
    <row r="22" spans="7:55" x14ac:dyDescent="0.5">
      <c r="G22" s="1" t="s">
        <v>388</v>
      </c>
      <c r="H22" s="1" t="s">
        <v>388</v>
      </c>
      <c r="I22" s="1" t="s">
        <v>388</v>
      </c>
      <c r="L22" s="1" t="s">
        <v>105</v>
      </c>
      <c r="M22" s="1" t="s">
        <v>378</v>
      </c>
      <c r="N22" s="1" t="s">
        <v>608</v>
      </c>
      <c r="O22" s="1" t="s">
        <v>608</v>
      </c>
      <c r="P22" s="1" t="s">
        <v>609</v>
      </c>
      <c r="Q22" s="1" t="s">
        <v>610</v>
      </c>
      <c r="S22" s="1" t="s">
        <v>105</v>
      </c>
      <c r="T22" s="1" t="s">
        <v>378</v>
      </c>
      <c r="U22" s="1" t="s">
        <v>608</v>
      </c>
      <c r="V22" s="1" t="s">
        <v>608</v>
      </c>
      <c r="W22" s="1" t="s">
        <v>609</v>
      </c>
      <c r="X22" s="1" t="s">
        <v>610</v>
      </c>
      <c r="Y22" s="1" t="s">
        <v>611</v>
      </c>
      <c r="Z22" s="1" t="s">
        <v>520</v>
      </c>
      <c r="AA22" s="1" t="s">
        <v>552</v>
      </c>
      <c r="AB22" s="1" t="s">
        <v>499</v>
      </c>
      <c r="AC22" s="1" t="s">
        <v>612</v>
      </c>
      <c r="AD22" s="1" t="s">
        <v>330</v>
      </c>
      <c r="AE22" s="1" t="s">
        <v>613</v>
      </c>
      <c r="AF22" s="1" t="s">
        <v>594</v>
      </c>
      <c r="AG22" s="1" t="s">
        <v>614</v>
      </c>
      <c r="AL22" s="2" t="s">
        <v>615</v>
      </c>
      <c r="AM22" s="2" t="s">
        <v>616</v>
      </c>
      <c r="AN22" s="2" t="s">
        <v>514</v>
      </c>
      <c r="AO22" s="2" t="s">
        <v>551</v>
      </c>
      <c r="AP22" s="2" t="s">
        <v>420</v>
      </c>
      <c r="AT22" s="5" t="s">
        <v>605</v>
      </c>
      <c r="AU22" s="7" t="s">
        <v>479</v>
      </c>
      <c r="AV22" s="8" t="s">
        <v>507</v>
      </c>
      <c r="AW22" s="5" t="s">
        <v>417</v>
      </c>
      <c r="AX22" s="8" t="s">
        <v>429</v>
      </c>
      <c r="AY22" s="7" t="s">
        <v>467</v>
      </c>
    </row>
    <row r="23" spans="7:55" x14ac:dyDescent="0.5">
      <c r="G23" s="1" t="s">
        <v>389</v>
      </c>
      <c r="H23" s="1" t="s">
        <v>389</v>
      </c>
      <c r="I23" s="1" t="s">
        <v>389</v>
      </c>
      <c r="L23" s="1" t="s">
        <v>539</v>
      </c>
      <c r="M23" s="1" t="s">
        <v>532</v>
      </c>
      <c r="N23" s="1" t="s">
        <v>608</v>
      </c>
      <c r="O23" s="1" t="s">
        <v>567</v>
      </c>
      <c r="P23" s="1" t="s">
        <v>315</v>
      </c>
      <c r="Q23" s="1" t="s">
        <v>456</v>
      </c>
      <c r="S23" s="1" t="s">
        <v>539</v>
      </c>
      <c r="T23" s="1" t="s">
        <v>532</v>
      </c>
      <c r="U23" s="1" t="s">
        <v>608</v>
      </c>
      <c r="V23" s="1" t="s">
        <v>567</v>
      </c>
      <c r="W23" s="1" t="s">
        <v>315</v>
      </c>
      <c r="X23" s="1" t="s">
        <v>456</v>
      </c>
      <c r="Y23" s="1" t="s">
        <v>323</v>
      </c>
      <c r="Z23" s="1" t="s">
        <v>617</v>
      </c>
      <c r="AA23" s="1" t="s">
        <v>618</v>
      </c>
      <c r="AB23" s="1" t="s">
        <v>473</v>
      </c>
      <c r="AC23" s="1" t="s">
        <v>619</v>
      </c>
      <c r="AD23" s="1" t="s">
        <v>546</v>
      </c>
      <c r="AE23" s="1" t="s">
        <v>505</v>
      </c>
      <c r="AF23" s="1" t="s">
        <v>496</v>
      </c>
      <c r="AG23" s="1" t="s">
        <v>620</v>
      </c>
      <c r="AL23" s="2" t="s">
        <v>560</v>
      </c>
      <c r="AM23" s="2" t="s">
        <v>594</v>
      </c>
      <c r="AN23" s="2" t="s">
        <v>327</v>
      </c>
      <c r="AO23" s="2" t="s">
        <v>621</v>
      </c>
      <c r="AP23" s="2" t="s">
        <v>622</v>
      </c>
      <c r="AT23" s="6" t="s">
        <v>615</v>
      </c>
      <c r="AU23" s="7" t="s">
        <v>493</v>
      </c>
      <c r="AV23" s="8" t="s">
        <v>456</v>
      </c>
      <c r="AW23" s="7" t="s">
        <v>543</v>
      </c>
      <c r="AX23" s="7" t="s">
        <v>396</v>
      </c>
      <c r="AY23" s="7" t="s">
        <v>458</v>
      </c>
    </row>
    <row r="24" spans="7:55" x14ac:dyDescent="0.5">
      <c r="G24" s="1" t="s">
        <v>390</v>
      </c>
      <c r="H24" s="1" t="s">
        <v>390</v>
      </c>
      <c r="I24" s="1" t="s">
        <v>390</v>
      </c>
      <c r="L24" s="1" t="s">
        <v>538</v>
      </c>
      <c r="M24" s="1" t="s">
        <v>323</v>
      </c>
      <c r="N24" s="1" t="s">
        <v>319</v>
      </c>
      <c r="O24" s="1" t="s">
        <v>623</v>
      </c>
      <c r="P24" s="1" t="s">
        <v>316</v>
      </c>
      <c r="Q24" s="1" t="s">
        <v>496</v>
      </c>
      <c r="S24" s="1" t="s">
        <v>538</v>
      </c>
      <c r="T24" s="1" t="s">
        <v>323</v>
      </c>
      <c r="U24" s="1" t="s">
        <v>319</v>
      </c>
      <c r="V24" s="1" t="s">
        <v>623</v>
      </c>
      <c r="W24" s="1" t="s">
        <v>316</v>
      </c>
      <c r="X24" s="1" t="s">
        <v>496</v>
      </c>
      <c r="Y24" s="1" t="s">
        <v>460</v>
      </c>
      <c r="Z24" s="1" t="s">
        <v>372</v>
      </c>
      <c r="AA24" s="1" t="s">
        <v>624</v>
      </c>
      <c r="AB24" s="1" t="s">
        <v>592</v>
      </c>
      <c r="AC24" s="1" t="s">
        <v>554</v>
      </c>
      <c r="AD24" s="1" t="s">
        <v>625</v>
      </c>
      <c r="AE24" s="1" t="s">
        <v>625</v>
      </c>
      <c r="AF24" s="1" t="s">
        <v>626</v>
      </c>
      <c r="AG24" s="1" t="s">
        <v>527</v>
      </c>
      <c r="AL24" s="2" t="s">
        <v>584</v>
      </c>
      <c r="AM24" s="2" t="s">
        <v>626</v>
      </c>
      <c r="AN24" s="2" t="s">
        <v>627</v>
      </c>
      <c r="AO24" s="2" t="s">
        <v>628</v>
      </c>
      <c r="AP24" s="2" t="s">
        <v>316</v>
      </c>
      <c r="AT24" s="5" t="s">
        <v>560</v>
      </c>
      <c r="AU24" s="7" t="s">
        <v>318</v>
      </c>
      <c r="AV24" s="7" t="s">
        <v>496</v>
      </c>
      <c r="AW24" s="6" t="s">
        <v>505</v>
      </c>
      <c r="AX24" s="7" t="s">
        <v>529</v>
      </c>
      <c r="AY24" s="7" t="s">
        <v>629</v>
      </c>
    </row>
    <row r="25" spans="7:55" x14ac:dyDescent="0.5">
      <c r="G25" s="1" t="s">
        <v>630</v>
      </c>
      <c r="H25" s="1" t="s">
        <v>630</v>
      </c>
      <c r="I25" s="1" t="s">
        <v>630</v>
      </c>
      <c r="L25" s="1" t="s">
        <v>631</v>
      </c>
      <c r="M25" s="1" t="s">
        <v>105</v>
      </c>
      <c r="N25" s="1" t="s">
        <v>623</v>
      </c>
      <c r="O25" s="1" t="s">
        <v>621</v>
      </c>
      <c r="P25" s="1" t="s">
        <v>620</v>
      </c>
      <c r="Q25" s="1" t="s">
        <v>632</v>
      </c>
      <c r="S25" s="1" t="s">
        <v>631</v>
      </c>
      <c r="T25" s="1" t="s">
        <v>105</v>
      </c>
      <c r="U25" s="1" t="s">
        <v>623</v>
      </c>
      <c r="V25" s="1" t="s">
        <v>621</v>
      </c>
      <c r="W25" s="1" t="s">
        <v>620</v>
      </c>
      <c r="X25" s="1" t="s">
        <v>632</v>
      </c>
      <c r="Y25" s="1" t="s">
        <v>633</v>
      </c>
      <c r="Z25" s="1" t="s">
        <v>634</v>
      </c>
      <c r="AA25" s="1" t="s">
        <v>635</v>
      </c>
      <c r="AB25" s="1" t="s">
        <v>636</v>
      </c>
      <c r="AC25" s="1" t="s">
        <v>603</v>
      </c>
      <c r="AD25" s="1" t="s">
        <v>505</v>
      </c>
      <c r="AE25" s="1" t="s">
        <v>637</v>
      </c>
      <c r="AF25" s="1" t="s">
        <v>467</v>
      </c>
      <c r="AG25" s="1" t="s">
        <v>439</v>
      </c>
      <c r="AL25" s="2" t="s">
        <v>626</v>
      </c>
      <c r="AM25" s="2" t="s">
        <v>402</v>
      </c>
      <c r="AN25" s="2" t="s">
        <v>330</v>
      </c>
      <c r="AO25" s="2" t="s">
        <v>638</v>
      </c>
      <c r="AP25" s="2" t="s">
        <v>502</v>
      </c>
      <c r="AT25" s="6" t="s">
        <v>584</v>
      </c>
      <c r="AU25" s="7" t="s">
        <v>567</v>
      </c>
      <c r="AV25" s="8" t="s">
        <v>484</v>
      </c>
      <c r="AW25" s="7" t="s">
        <v>568</v>
      </c>
      <c r="AX25" s="7" t="s">
        <v>639</v>
      </c>
      <c r="AY25" s="7" t="s">
        <v>504</v>
      </c>
    </row>
    <row r="26" spans="7:55" x14ac:dyDescent="0.5">
      <c r="L26" s="1" t="s">
        <v>585</v>
      </c>
      <c r="M26" s="1" t="s">
        <v>640</v>
      </c>
      <c r="N26" s="1" t="s">
        <v>539</v>
      </c>
      <c r="O26" s="1" t="s">
        <v>641</v>
      </c>
      <c r="P26" s="1" t="s">
        <v>579</v>
      </c>
      <c r="Q26" s="1" t="s">
        <v>484</v>
      </c>
      <c r="S26" s="1" t="s">
        <v>585</v>
      </c>
      <c r="T26" s="1" t="s">
        <v>640</v>
      </c>
      <c r="U26" s="1" t="s">
        <v>539</v>
      </c>
      <c r="V26" s="1" t="s">
        <v>641</v>
      </c>
      <c r="W26" s="1" t="s">
        <v>579</v>
      </c>
      <c r="X26" s="1" t="s">
        <v>484</v>
      </c>
      <c r="Y26" s="1" t="s">
        <v>468</v>
      </c>
      <c r="Z26" s="1" t="s">
        <v>414</v>
      </c>
      <c r="AA26" s="1" t="s">
        <v>416</v>
      </c>
      <c r="AB26" s="1" t="s">
        <v>642</v>
      </c>
      <c r="AC26" s="1" t="s">
        <v>643</v>
      </c>
      <c r="AD26" s="1" t="s">
        <v>637</v>
      </c>
      <c r="AE26" s="1" t="s">
        <v>396</v>
      </c>
      <c r="AF26" s="1" t="s">
        <v>644</v>
      </c>
      <c r="AG26" s="1" t="s">
        <v>645</v>
      </c>
      <c r="AL26" s="2" t="s">
        <v>626</v>
      </c>
      <c r="AM26" s="2" t="s">
        <v>646</v>
      </c>
      <c r="AN26" s="2" t="s">
        <v>402</v>
      </c>
      <c r="AO26" s="2" t="s">
        <v>596</v>
      </c>
      <c r="AP26" s="2" t="s">
        <v>319</v>
      </c>
      <c r="AT26" s="5" t="s">
        <v>626</v>
      </c>
      <c r="AU26" s="7" t="s">
        <v>506</v>
      </c>
      <c r="AV26" s="7" t="s">
        <v>523</v>
      </c>
      <c r="AW26" s="8" t="s">
        <v>501</v>
      </c>
      <c r="AX26" s="7" t="s">
        <v>451</v>
      </c>
      <c r="AY26" s="7" t="s">
        <v>496</v>
      </c>
    </row>
    <row r="27" spans="7:55" x14ac:dyDescent="0.5">
      <c r="L27" s="1" t="s">
        <v>647</v>
      </c>
      <c r="M27" s="1" t="s">
        <v>551</v>
      </c>
      <c r="N27" s="1" t="s">
        <v>640</v>
      </c>
      <c r="O27" s="1" t="s">
        <v>628</v>
      </c>
      <c r="P27" s="1" t="s">
        <v>519</v>
      </c>
      <c r="Q27" s="1" t="s">
        <v>557</v>
      </c>
      <c r="S27" s="1" t="s">
        <v>647</v>
      </c>
      <c r="T27" s="1" t="s">
        <v>551</v>
      </c>
      <c r="U27" s="1" t="s">
        <v>640</v>
      </c>
      <c r="V27" s="1" t="s">
        <v>628</v>
      </c>
      <c r="W27" s="1" t="s">
        <v>519</v>
      </c>
      <c r="X27" s="1" t="s">
        <v>557</v>
      </c>
      <c r="Y27" s="1" t="s">
        <v>416</v>
      </c>
      <c r="Z27" s="1" t="s">
        <v>454</v>
      </c>
      <c r="AA27" s="1" t="s">
        <v>372</v>
      </c>
      <c r="AB27" s="1" t="s">
        <v>463</v>
      </c>
      <c r="AC27" s="1" t="s">
        <v>505</v>
      </c>
      <c r="AD27" s="1" t="s">
        <v>396</v>
      </c>
      <c r="AE27" s="1" t="s">
        <v>648</v>
      </c>
      <c r="AF27" s="1" t="s">
        <v>649</v>
      </c>
      <c r="AG27" s="1" t="s">
        <v>336</v>
      </c>
      <c r="AL27" s="2" t="s">
        <v>650</v>
      </c>
      <c r="AM27" s="2" t="s">
        <v>516</v>
      </c>
      <c r="AN27" s="2" t="s">
        <v>625</v>
      </c>
      <c r="AO27" s="2" t="s">
        <v>525</v>
      </c>
      <c r="AP27" s="2" t="s">
        <v>623</v>
      </c>
      <c r="AT27" s="10" t="s">
        <v>650</v>
      </c>
      <c r="AU27" s="7" t="s">
        <v>589</v>
      </c>
      <c r="AV27" s="7" t="s">
        <v>420</v>
      </c>
      <c r="AW27" s="6" t="s">
        <v>522</v>
      </c>
      <c r="AX27" s="8" t="s">
        <v>435</v>
      </c>
      <c r="AY27" s="7" t="s">
        <v>583</v>
      </c>
    </row>
    <row r="28" spans="7:55" x14ac:dyDescent="0.5">
      <c r="L28" s="1" t="s">
        <v>596</v>
      </c>
      <c r="M28" s="1" t="s">
        <v>97</v>
      </c>
      <c r="N28" s="1" t="s">
        <v>97</v>
      </c>
      <c r="O28" s="1" t="s">
        <v>538</v>
      </c>
      <c r="P28" s="1" t="s">
        <v>318</v>
      </c>
      <c r="Q28" s="1" t="s">
        <v>523</v>
      </c>
      <c r="S28" s="1" t="s">
        <v>596</v>
      </c>
      <c r="T28" s="1" t="s">
        <v>97</v>
      </c>
      <c r="U28" s="1" t="s">
        <v>97</v>
      </c>
      <c r="V28" s="1" t="s">
        <v>538</v>
      </c>
      <c r="W28" s="1" t="s">
        <v>318</v>
      </c>
      <c r="X28" s="1" t="s">
        <v>523</v>
      </c>
      <c r="Y28" s="1" t="s">
        <v>333</v>
      </c>
      <c r="Z28" s="1" t="s">
        <v>558</v>
      </c>
      <c r="AA28" s="1" t="s">
        <v>651</v>
      </c>
      <c r="AB28" s="1" t="s">
        <v>652</v>
      </c>
      <c r="AC28" s="1" t="s">
        <v>637</v>
      </c>
      <c r="AD28" s="1" t="s">
        <v>653</v>
      </c>
      <c r="AE28" s="1" t="s">
        <v>654</v>
      </c>
      <c r="AF28" s="1" t="s">
        <v>655</v>
      </c>
      <c r="AG28" s="1" t="s">
        <v>629</v>
      </c>
      <c r="AL28" s="2"/>
      <c r="AM28" s="2"/>
      <c r="AN28" s="2" t="s">
        <v>656</v>
      </c>
      <c r="AO28" s="2" t="s">
        <v>594</v>
      </c>
      <c r="AP28" s="2" t="s">
        <v>506</v>
      </c>
      <c r="AT28" s="10"/>
      <c r="AU28" s="7" t="s">
        <v>520</v>
      </c>
      <c r="AV28" s="8" t="s">
        <v>314</v>
      </c>
      <c r="AW28" s="5" t="s">
        <v>565</v>
      </c>
      <c r="AX28" s="7" t="s">
        <v>476</v>
      </c>
      <c r="AY28" s="7" t="s">
        <v>614</v>
      </c>
    </row>
    <row r="29" spans="7:55" x14ac:dyDescent="0.5">
      <c r="L29" s="1" t="s">
        <v>657</v>
      </c>
      <c r="M29" s="1" t="s">
        <v>641</v>
      </c>
      <c r="N29" s="1" t="s">
        <v>628</v>
      </c>
      <c r="O29" s="1" t="s">
        <v>580</v>
      </c>
      <c r="P29" s="1" t="s">
        <v>658</v>
      </c>
      <c r="Q29" s="1" t="s">
        <v>490</v>
      </c>
      <c r="S29" s="1" t="s">
        <v>657</v>
      </c>
      <c r="T29" s="1" t="s">
        <v>641</v>
      </c>
      <c r="U29" s="1" t="s">
        <v>628</v>
      </c>
      <c r="V29" s="1" t="s">
        <v>580</v>
      </c>
      <c r="W29" s="1" t="s">
        <v>658</v>
      </c>
      <c r="X29" s="1" t="s">
        <v>490</v>
      </c>
      <c r="Y29" s="1" t="s">
        <v>659</v>
      </c>
      <c r="Z29" s="1" t="s">
        <v>660</v>
      </c>
      <c r="AA29" s="1" t="s">
        <v>660</v>
      </c>
      <c r="AB29" s="1" t="s">
        <v>661</v>
      </c>
      <c r="AC29" s="1" t="s">
        <v>625</v>
      </c>
      <c r="AD29" s="1" t="s">
        <v>662</v>
      </c>
      <c r="AE29" s="1" t="s">
        <v>579</v>
      </c>
      <c r="AF29" s="1" t="s">
        <v>510</v>
      </c>
      <c r="AG29" s="1" t="s">
        <v>597</v>
      </c>
      <c r="AL29" s="2"/>
      <c r="AN29" s="2" t="s">
        <v>663</v>
      </c>
      <c r="AO29" s="2" t="s">
        <v>664</v>
      </c>
      <c r="AP29" s="2" t="s">
        <v>665</v>
      </c>
      <c r="AU29" s="7" t="s">
        <v>378</v>
      </c>
      <c r="AV29" s="7" t="s">
        <v>521</v>
      </c>
      <c r="AW29" s="7" t="s">
        <v>493</v>
      </c>
      <c r="AX29" s="7" t="s">
        <v>310</v>
      </c>
      <c r="AY29" s="7" t="s">
        <v>490</v>
      </c>
    </row>
    <row r="30" spans="7:55" x14ac:dyDescent="0.5">
      <c r="L30" s="1" t="s">
        <v>525</v>
      </c>
      <c r="M30" s="1" t="s">
        <v>461</v>
      </c>
      <c r="N30" s="1" t="s">
        <v>538</v>
      </c>
      <c r="O30" s="1" t="s">
        <v>327</v>
      </c>
      <c r="P30" s="1" t="s">
        <v>666</v>
      </c>
      <c r="Q30" s="1" t="s">
        <v>490</v>
      </c>
      <c r="S30" s="1" t="s">
        <v>525</v>
      </c>
      <c r="T30" s="1" t="s">
        <v>461</v>
      </c>
      <c r="U30" s="1" t="s">
        <v>538</v>
      </c>
      <c r="V30" s="1" t="s">
        <v>327</v>
      </c>
      <c r="W30" s="1" t="s">
        <v>666</v>
      </c>
      <c r="X30" s="1" t="s">
        <v>490</v>
      </c>
      <c r="Y30" s="1" t="s">
        <v>336</v>
      </c>
      <c r="Z30" s="1" t="s">
        <v>105</v>
      </c>
      <c r="AA30" s="1" t="s">
        <v>53</v>
      </c>
      <c r="AB30" s="1" t="s">
        <v>58</v>
      </c>
      <c r="AC30" s="1" t="s">
        <v>667</v>
      </c>
      <c r="AD30" s="1" t="s">
        <v>640</v>
      </c>
      <c r="AE30" s="1" t="s">
        <v>326</v>
      </c>
      <c r="AL30" s="2"/>
      <c r="AN30" s="2" t="s">
        <v>654</v>
      </c>
      <c r="AO30" s="2" t="s">
        <v>668</v>
      </c>
      <c r="AP30" s="2" t="s">
        <v>321</v>
      </c>
      <c r="AU30" s="7" t="s">
        <v>532</v>
      </c>
      <c r="AV30" s="7" t="s">
        <v>544</v>
      </c>
      <c r="AW30" s="8" t="s">
        <v>502</v>
      </c>
      <c r="AX30" s="8" t="s">
        <v>467</v>
      </c>
      <c r="AY30" s="7" t="s">
        <v>485</v>
      </c>
    </row>
    <row r="31" spans="7:55" x14ac:dyDescent="0.5">
      <c r="L31" s="1" t="s">
        <v>514</v>
      </c>
      <c r="M31" s="1" t="s">
        <v>595</v>
      </c>
      <c r="N31" s="1" t="s">
        <v>558</v>
      </c>
      <c r="O31" s="1" t="s">
        <v>594</v>
      </c>
      <c r="P31" s="1" t="s">
        <v>321</v>
      </c>
      <c r="Q31" s="1" t="s">
        <v>485</v>
      </c>
      <c r="S31" s="1" t="s">
        <v>514</v>
      </c>
      <c r="T31" s="1" t="s">
        <v>595</v>
      </c>
      <c r="U31" s="1" t="s">
        <v>558</v>
      </c>
      <c r="V31" s="1" t="s">
        <v>594</v>
      </c>
      <c r="W31" s="1" t="s">
        <v>321</v>
      </c>
      <c r="X31" s="1" t="s">
        <v>485</v>
      </c>
      <c r="Y31" s="1" t="s">
        <v>597</v>
      </c>
      <c r="Z31" s="1" t="s">
        <v>621</v>
      </c>
      <c r="AA31" s="1" t="s">
        <v>379</v>
      </c>
      <c r="AB31" s="1" t="s">
        <v>669</v>
      </c>
      <c r="AC31" s="1" t="s">
        <v>670</v>
      </c>
      <c r="AD31" s="1" t="s">
        <v>540</v>
      </c>
      <c r="AE31" s="1" t="s">
        <v>607</v>
      </c>
      <c r="AL31" s="2"/>
      <c r="AN31" s="2" t="s">
        <v>334</v>
      </c>
      <c r="AO31" s="2" t="s">
        <v>671</v>
      </c>
      <c r="AP31" s="2" t="s">
        <v>672</v>
      </c>
      <c r="AU31" s="7" t="s">
        <v>323</v>
      </c>
      <c r="AV31" s="8" t="s">
        <v>485</v>
      </c>
      <c r="AW31" s="7" t="s">
        <v>608</v>
      </c>
      <c r="AX31" s="8" t="s">
        <v>458</v>
      </c>
      <c r="AY31" s="7" t="s">
        <v>550</v>
      </c>
    </row>
    <row r="32" spans="7:55" x14ac:dyDescent="0.5">
      <c r="L32" s="1" t="s">
        <v>594</v>
      </c>
      <c r="M32" s="1" t="s">
        <v>605</v>
      </c>
      <c r="N32" s="1" t="s">
        <v>325</v>
      </c>
      <c r="O32" s="1" t="s">
        <v>668</v>
      </c>
      <c r="P32" s="1" t="s">
        <v>322</v>
      </c>
      <c r="Q32" s="1" t="s">
        <v>466</v>
      </c>
      <c r="S32" s="1" t="s">
        <v>594</v>
      </c>
      <c r="T32" s="1" t="s">
        <v>605</v>
      </c>
      <c r="U32" s="1" t="s">
        <v>325</v>
      </c>
      <c r="V32" s="1" t="s">
        <v>668</v>
      </c>
      <c r="W32" s="1" t="s">
        <v>322</v>
      </c>
      <c r="X32" s="1" t="s">
        <v>466</v>
      </c>
      <c r="Y32" s="1" t="s">
        <v>437</v>
      </c>
      <c r="Z32" s="1" t="s">
        <v>646</v>
      </c>
      <c r="AA32" s="1" t="s">
        <v>673</v>
      </c>
      <c r="AB32" s="1" t="s">
        <v>674</v>
      </c>
      <c r="AC32" s="1" t="s">
        <v>596</v>
      </c>
      <c r="AD32" s="1" t="s">
        <v>644</v>
      </c>
      <c r="AE32" s="1" t="s">
        <v>675</v>
      </c>
      <c r="AL32" s="2"/>
      <c r="AO32" s="2" t="s">
        <v>676</v>
      </c>
      <c r="AP32" s="2" t="s">
        <v>677</v>
      </c>
      <c r="AU32" s="7" t="s">
        <v>105</v>
      </c>
      <c r="AV32" s="8" t="s">
        <v>556</v>
      </c>
      <c r="AW32" s="7" t="s">
        <v>319</v>
      </c>
      <c r="AX32" s="7" t="s">
        <v>629</v>
      </c>
      <c r="AY32" s="7" t="s">
        <v>511</v>
      </c>
    </row>
    <row r="33" spans="12:51" x14ac:dyDescent="0.5">
      <c r="L33" s="1" t="s">
        <v>678</v>
      </c>
      <c r="M33" s="1" t="s">
        <v>678</v>
      </c>
      <c r="N33" s="1" t="s">
        <v>679</v>
      </c>
      <c r="O33" s="1" t="s">
        <v>584</v>
      </c>
      <c r="P33" s="1" t="s">
        <v>53</v>
      </c>
      <c r="Q33" s="1" t="s">
        <v>505</v>
      </c>
      <c r="S33" s="1" t="s">
        <v>678</v>
      </c>
      <c r="T33" s="1" t="s">
        <v>678</v>
      </c>
      <c r="U33" s="1" t="s">
        <v>679</v>
      </c>
      <c r="V33" s="1" t="s">
        <v>584</v>
      </c>
      <c r="W33" s="1" t="s">
        <v>53</v>
      </c>
      <c r="X33" s="1" t="s">
        <v>505</v>
      </c>
      <c r="Y33" s="1" t="s">
        <v>653</v>
      </c>
      <c r="Z33" s="1" t="s">
        <v>680</v>
      </c>
      <c r="AA33" s="1" t="s">
        <v>681</v>
      </c>
      <c r="AB33" s="1" t="s">
        <v>603</v>
      </c>
      <c r="AC33" s="1" t="s">
        <v>614</v>
      </c>
      <c r="AD33" s="1" t="s">
        <v>311</v>
      </c>
      <c r="AE33" s="1" t="s">
        <v>447</v>
      </c>
      <c r="AO33" s="2" t="s">
        <v>682</v>
      </c>
      <c r="AP33" s="2" t="s">
        <v>683</v>
      </c>
      <c r="AU33" s="7" t="s">
        <v>539</v>
      </c>
      <c r="AV33" s="7" t="s">
        <v>446</v>
      </c>
      <c r="AW33" s="8" t="s">
        <v>623</v>
      </c>
      <c r="AX33" s="7" t="s">
        <v>504</v>
      </c>
      <c r="AY33" s="7" t="s">
        <v>540</v>
      </c>
    </row>
    <row r="34" spans="12:51" x14ac:dyDescent="0.5">
      <c r="L34" s="1" t="s">
        <v>668</v>
      </c>
      <c r="M34" s="1" t="s">
        <v>644</v>
      </c>
      <c r="N34" s="1" t="s">
        <v>514</v>
      </c>
      <c r="O34" s="1" t="s">
        <v>626</v>
      </c>
      <c r="P34" s="1" t="s">
        <v>323</v>
      </c>
      <c r="Q34" s="1" t="s">
        <v>579</v>
      </c>
      <c r="S34" s="1" t="s">
        <v>668</v>
      </c>
      <c r="T34" s="1" t="s">
        <v>644</v>
      </c>
      <c r="U34" s="1" t="s">
        <v>514</v>
      </c>
      <c r="V34" s="1" t="s">
        <v>626</v>
      </c>
      <c r="W34" s="1" t="s">
        <v>323</v>
      </c>
      <c r="X34" s="1" t="s">
        <v>579</v>
      </c>
      <c r="Y34" s="1" t="s">
        <v>684</v>
      </c>
      <c r="Z34" s="1" t="s">
        <v>584</v>
      </c>
      <c r="AA34" s="1" t="s">
        <v>685</v>
      </c>
      <c r="AB34" s="1" t="s">
        <v>686</v>
      </c>
      <c r="AC34" s="1" t="s">
        <v>567</v>
      </c>
      <c r="AD34" s="1" t="s">
        <v>56</v>
      </c>
      <c r="AE34" s="1" t="s">
        <v>687</v>
      </c>
      <c r="AO34" s="2" t="s">
        <v>688</v>
      </c>
      <c r="AP34" s="2" t="s">
        <v>689</v>
      </c>
      <c r="AU34" s="7" t="s">
        <v>640</v>
      </c>
      <c r="AV34" s="7" t="s">
        <v>533</v>
      </c>
      <c r="AW34" s="6" t="s">
        <v>574</v>
      </c>
      <c r="AX34" s="7" t="s">
        <v>687</v>
      </c>
      <c r="AY34" s="7" t="s">
        <v>620</v>
      </c>
    </row>
    <row r="35" spans="12:51" x14ac:dyDescent="0.5">
      <c r="L35" s="1" t="s">
        <v>488</v>
      </c>
      <c r="M35" s="1" t="s">
        <v>690</v>
      </c>
      <c r="N35" s="1" t="s">
        <v>691</v>
      </c>
      <c r="O35" s="1" t="s">
        <v>688</v>
      </c>
      <c r="P35" s="1" t="s">
        <v>551</v>
      </c>
      <c r="Q35" s="1" t="s">
        <v>637</v>
      </c>
      <c r="S35" s="1" t="s">
        <v>488</v>
      </c>
      <c r="T35" s="1" t="s">
        <v>690</v>
      </c>
      <c r="U35" s="1" t="s">
        <v>691</v>
      </c>
      <c r="V35" s="1" t="s">
        <v>688</v>
      </c>
      <c r="W35" s="1" t="s">
        <v>551</v>
      </c>
      <c r="X35" s="1" t="s">
        <v>637</v>
      </c>
      <c r="Y35" s="1" t="s">
        <v>692</v>
      </c>
      <c r="Z35" s="1" t="s">
        <v>693</v>
      </c>
      <c r="AA35" s="1" t="s">
        <v>694</v>
      </c>
      <c r="AB35" s="1" t="s">
        <v>695</v>
      </c>
      <c r="AC35" s="1" t="s">
        <v>334</v>
      </c>
      <c r="AE35" s="1" t="s">
        <v>696</v>
      </c>
      <c r="AO35" s="2" t="s">
        <v>542</v>
      </c>
      <c r="AP35" s="2" t="s">
        <v>572</v>
      </c>
      <c r="AU35" s="7" t="s">
        <v>551</v>
      </c>
      <c r="AV35" s="8" t="s">
        <v>550</v>
      </c>
      <c r="AW35" s="5" t="s">
        <v>105</v>
      </c>
      <c r="AX35" s="8" t="s">
        <v>597</v>
      </c>
      <c r="AY35" s="7" t="s">
        <v>505</v>
      </c>
    </row>
    <row r="36" spans="12:51" x14ac:dyDescent="0.5">
      <c r="L36" s="1" t="s">
        <v>584</v>
      </c>
      <c r="M36" s="1" t="s">
        <v>402</v>
      </c>
      <c r="N36" s="1" t="s">
        <v>627</v>
      </c>
      <c r="O36" s="1" t="s">
        <v>697</v>
      </c>
      <c r="P36" s="1" t="s">
        <v>693</v>
      </c>
      <c r="Q36" s="1" t="s">
        <v>318</v>
      </c>
      <c r="S36" s="1" t="s">
        <v>584</v>
      </c>
      <c r="T36" s="1" t="s">
        <v>402</v>
      </c>
      <c r="U36" s="1" t="s">
        <v>627</v>
      </c>
      <c r="V36" s="1" t="s">
        <v>697</v>
      </c>
      <c r="W36" s="1" t="s">
        <v>693</v>
      </c>
      <c r="X36" s="1" t="s">
        <v>318</v>
      </c>
      <c r="Y36" s="1" t="s">
        <v>637</v>
      </c>
      <c r="Z36" s="1" t="s">
        <v>698</v>
      </c>
      <c r="AA36" s="1" t="s">
        <v>679</v>
      </c>
      <c r="AB36" s="1" t="s">
        <v>396</v>
      </c>
      <c r="AC36" s="1" t="s">
        <v>442</v>
      </c>
      <c r="AE36" s="1" t="s">
        <v>639</v>
      </c>
      <c r="AP36" s="2" t="s">
        <v>580</v>
      </c>
      <c r="AU36" s="7" t="s">
        <v>564</v>
      </c>
      <c r="AV36" s="7" t="s">
        <v>511</v>
      </c>
      <c r="AW36" s="7" t="s">
        <v>539</v>
      </c>
      <c r="AX36" s="8" t="s">
        <v>648</v>
      </c>
      <c r="AY36" s="7" t="s">
        <v>637</v>
      </c>
    </row>
    <row r="37" spans="12:51" x14ac:dyDescent="0.5">
      <c r="L37" s="1" t="s">
        <v>699</v>
      </c>
      <c r="M37" s="1" t="s">
        <v>646</v>
      </c>
      <c r="N37" s="1" t="s">
        <v>700</v>
      </c>
      <c r="P37" s="1" t="s">
        <v>97</v>
      </c>
      <c r="Q37" s="1" t="s">
        <v>502</v>
      </c>
      <c r="S37" s="1" t="s">
        <v>699</v>
      </c>
      <c r="T37" s="1" t="s">
        <v>646</v>
      </c>
      <c r="U37" s="1" t="s">
        <v>700</v>
      </c>
      <c r="W37" s="1" t="s">
        <v>97</v>
      </c>
      <c r="X37" s="1" t="s">
        <v>502</v>
      </c>
      <c r="Y37" s="1" t="s">
        <v>700</v>
      </c>
      <c r="Z37" s="1" t="s">
        <v>499</v>
      </c>
      <c r="AA37" s="1" t="s">
        <v>315</v>
      </c>
      <c r="AB37" s="1" t="s">
        <v>525</v>
      </c>
      <c r="AC37" s="1" t="s">
        <v>464</v>
      </c>
      <c r="AE37" s="1" t="s">
        <v>439</v>
      </c>
      <c r="AP37" s="2" t="s">
        <v>701</v>
      </c>
      <c r="AU37" s="7" t="s">
        <v>97</v>
      </c>
      <c r="AV37" s="7" t="s">
        <v>316</v>
      </c>
      <c r="AW37" s="8" t="s">
        <v>640</v>
      </c>
      <c r="AX37" s="8" t="s">
        <v>517</v>
      </c>
      <c r="AY37" s="7" t="s">
        <v>502</v>
      </c>
    </row>
    <row r="38" spans="12:51" x14ac:dyDescent="0.5">
      <c r="L38" s="1" t="s">
        <v>680</v>
      </c>
      <c r="M38" s="1" t="s">
        <v>625</v>
      </c>
      <c r="N38" s="1" t="s">
        <v>626</v>
      </c>
      <c r="P38" s="1" t="s">
        <v>702</v>
      </c>
      <c r="Q38" s="1" t="s">
        <v>319</v>
      </c>
      <c r="S38" s="1" t="s">
        <v>680</v>
      </c>
      <c r="T38" s="1" t="s">
        <v>625</v>
      </c>
      <c r="U38" s="1" t="s">
        <v>626</v>
      </c>
      <c r="W38" s="1" t="s">
        <v>702</v>
      </c>
      <c r="X38" s="1" t="s">
        <v>319</v>
      </c>
      <c r="Y38" s="1" t="s">
        <v>703</v>
      </c>
      <c r="Z38" s="1" t="s">
        <v>641</v>
      </c>
      <c r="AA38" s="1" t="s">
        <v>704</v>
      </c>
      <c r="AB38" s="1" t="s">
        <v>414</v>
      </c>
      <c r="AC38" s="1" t="s">
        <v>540</v>
      </c>
      <c r="AE38" s="1" t="s">
        <v>645</v>
      </c>
      <c r="AP38" s="2" t="s">
        <v>705</v>
      </c>
      <c r="AU38" s="7" t="s">
        <v>641</v>
      </c>
      <c r="AV38" s="5" t="s">
        <v>540</v>
      </c>
      <c r="AW38" s="5" t="s">
        <v>97</v>
      </c>
      <c r="AX38" s="8" t="s">
        <v>561</v>
      </c>
      <c r="AY38" s="7" t="s">
        <v>447</v>
      </c>
    </row>
    <row r="39" spans="12:51" x14ac:dyDescent="0.5">
      <c r="L39" s="1" t="s">
        <v>626</v>
      </c>
      <c r="M39" s="1" t="s">
        <v>688</v>
      </c>
      <c r="N39" s="1" t="s">
        <v>690</v>
      </c>
      <c r="P39" s="1" t="s">
        <v>706</v>
      </c>
      <c r="Q39" s="1" t="s">
        <v>319</v>
      </c>
      <c r="S39" s="1" t="s">
        <v>626</v>
      </c>
      <c r="T39" s="1" t="s">
        <v>688</v>
      </c>
      <c r="U39" s="1" t="s">
        <v>690</v>
      </c>
      <c r="W39" s="1" t="s">
        <v>706</v>
      </c>
      <c r="X39" s="1" t="s">
        <v>319</v>
      </c>
      <c r="Y39" s="1" t="s">
        <v>707</v>
      </c>
      <c r="Z39" s="1" t="s">
        <v>369</v>
      </c>
      <c r="AA39" s="1" t="s">
        <v>514</v>
      </c>
      <c r="AB39" s="1" t="s">
        <v>665</v>
      </c>
      <c r="AC39" s="1" t="s">
        <v>544</v>
      </c>
      <c r="AE39" s="1" t="s">
        <v>92</v>
      </c>
      <c r="AP39" s="2" t="s">
        <v>562</v>
      </c>
      <c r="AU39" s="7" t="s">
        <v>461</v>
      </c>
      <c r="AV39" s="6" t="s">
        <v>552</v>
      </c>
      <c r="AW39" s="8" t="s">
        <v>628</v>
      </c>
      <c r="AX39" s="8" t="s">
        <v>496</v>
      </c>
      <c r="AY39" s="7" t="s">
        <v>655</v>
      </c>
    </row>
    <row r="40" spans="12:51" x14ac:dyDescent="0.5">
      <c r="L40" s="1" t="s">
        <v>644</v>
      </c>
      <c r="M40" s="1" t="s">
        <v>516</v>
      </c>
      <c r="N40" s="1" t="s">
        <v>330</v>
      </c>
      <c r="P40" s="1" t="s">
        <v>707</v>
      </c>
      <c r="Q40" s="1" t="s">
        <v>708</v>
      </c>
      <c r="S40" s="1" t="s">
        <v>644</v>
      </c>
      <c r="T40" s="1" t="s">
        <v>516</v>
      </c>
      <c r="U40" s="1" t="s">
        <v>330</v>
      </c>
      <c r="W40" s="1" t="s">
        <v>707</v>
      </c>
      <c r="X40" s="1" t="s">
        <v>708</v>
      </c>
      <c r="Y40" s="1" t="s">
        <v>422</v>
      </c>
      <c r="Z40" s="1" t="s">
        <v>709</v>
      </c>
      <c r="AA40" s="1" t="s">
        <v>525</v>
      </c>
      <c r="AB40" s="1" t="s">
        <v>710</v>
      </c>
      <c r="AC40" s="1" t="s">
        <v>396</v>
      </c>
      <c r="AP40" s="2" t="s">
        <v>711</v>
      </c>
      <c r="AU40" s="7" t="s">
        <v>573</v>
      </c>
      <c r="AV40" s="8" t="s">
        <v>417</v>
      </c>
      <c r="AW40" s="7" t="s">
        <v>538</v>
      </c>
      <c r="AX40" s="8" t="s">
        <v>583</v>
      </c>
      <c r="AY40" s="7" t="s">
        <v>378</v>
      </c>
    </row>
    <row r="41" spans="12:51" x14ac:dyDescent="0.5">
      <c r="L41" s="1" t="s">
        <v>500</v>
      </c>
      <c r="M41" s="1" t="s">
        <v>333</v>
      </c>
      <c r="N41" s="1" t="s">
        <v>663</v>
      </c>
      <c r="P41" s="1" t="s">
        <v>558</v>
      </c>
      <c r="Q41" s="1" t="s">
        <v>712</v>
      </c>
      <c r="S41" s="1" t="s">
        <v>500</v>
      </c>
      <c r="T41" s="1" t="s">
        <v>333</v>
      </c>
      <c r="U41" s="1" t="s">
        <v>663</v>
      </c>
      <c r="W41" s="1" t="s">
        <v>558</v>
      </c>
      <c r="X41" s="1" t="s">
        <v>712</v>
      </c>
      <c r="Y41" s="1" t="s">
        <v>713</v>
      </c>
      <c r="Z41" s="1" t="s">
        <v>314</v>
      </c>
      <c r="AA41" s="1" t="s">
        <v>646</v>
      </c>
      <c r="AB41" s="1" t="s">
        <v>594</v>
      </c>
      <c r="AP41" s="2" t="s">
        <v>714</v>
      </c>
      <c r="AU41" s="7" t="s">
        <v>595</v>
      </c>
      <c r="AV41" s="7" t="s">
        <v>543</v>
      </c>
      <c r="AW41" s="8" t="s">
        <v>558</v>
      </c>
      <c r="AX41" s="7" t="s">
        <v>614</v>
      </c>
      <c r="AY41" s="7" t="s">
        <v>321</v>
      </c>
    </row>
    <row r="42" spans="12:51" x14ac:dyDescent="0.5">
      <c r="L42" s="1" t="s">
        <v>646</v>
      </c>
      <c r="M42" s="1" t="s">
        <v>473</v>
      </c>
      <c r="N42" s="1" t="s">
        <v>334</v>
      </c>
      <c r="P42" s="1" t="s">
        <v>454</v>
      </c>
      <c r="Q42" s="1" t="s">
        <v>689</v>
      </c>
      <c r="S42" s="1" t="s">
        <v>646</v>
      </c>
      <c r="T42" s="1" t="s">
        <v>473</v>
      </c>
      <c r="U42" s="1" t="s">
        <v>334</v>
      </c>
      <c r="W42" s="1" t="s">
        <v>454</v>
      </c>
      <c r="X42" s="1" t="s">
        <v>689</v>
      </c>
      <c r="Y42" s="1" t="s">
        <v>310</v>
      </c>
      <c r="Z42" s="1" t="s">
        <v>100</v>
      </c>
      <c r="AA42" s="1" t="s">
        <v>715</v>
      </c>
      <c r="AB42" s="1" t="s">
        <v>651</v>
      </c>
      <c r="AP42" s="2" t="s">
        <v>668</v>
      </c>
      <c r="AU42" s="7" t="s">
        <v>596</v>
      </c>
      <c r="AV42" s="5" t="s">
        <v>505</v>
      </c>
      <c r="AW42" s="7" t="s">
        <v>325</v>
      </c>
      <c r="AX42" s="8" t="s">
        <v>490</v>
      </c>
      <c r="AY42" s="7" t="s">
        <v>105</v>
      </c>
    </row>
    <row r="43" spans="12:51" x14ac:dyDescent="0.5">
      <c r="L43" s="1" t="s">
        <v>716</v>
      </c>
      <c r="N43" s="1" t="s">
        <v>548</v>
      </c>
      <c r="P43" s="1" t="s">
        <v>416</v>
      </c>
      <c r="Q43" s="1" t="s">
        <v>572</v>
      </c>
      <c r="S43" s="1" t="s">
        <v>716</v>
      </c>
      <c r="T43" s="1" t="s">
        <v>60</v>
      </c>
      <c r="U43" s="1" t="s">
        <v>548</v>
      </c>
      <c r="W43" s="1" t="s">
        <v>416</v>
      </c>
      <c r="X43" s="1" t="s">
        <v>572</v>
      </c>
      <c r="Y43" s="1" t="s">
        <v>373</v>
      </c>
      <c r="AA43" s="1" t="s">
        <v>717</v>
      </c>
      <c r="AB43" s="1" t="s">
        <v>718</v>
      </c>
      <c r="AP43" s="2" t="s">
        <v>719</v>
      </c>
      <c r="AU43" s="7" t="s">
        <v>616</v>
      </c>
      <c r="AV43" s="7" t="s">
        <v>568</v>
      </c>
      <c r="AW43" s="8" t="s">
        <v>679</v>
      </c>
      <c r="AX43" s="8" t="s">
        <v>313</v>
      </c>
      <c r="AY43" s="7" t="s">
        <v>572</v>
      </c>
    </row>
    <row r="44" spans="12:51" x14ac:dyDescent="0.5">
      <c r="L44" s="1" t="s">
        <v>625</v>
      </c>
      <c r="P44" s="1" t="s">
        <v>647</v>
      </c>
      <c r="Q44" s="1" t="s">
        <v>720</v>
      </c>
      <c r="S44" s="1" t="s">
        <v>625</v>
      </c>
      <c r="W44" s="1" t="s">
        <v>647</v>
      </c>
      <c r="X44" s="1" t="s">
        <v>720</v>
      </c>
      <c r="Y44" s="1" t="s">
        <v>621</v>
      </c>
      <c r="AA44" s="1" t="s">
        <v>721</v>
      </c>
      <c r="AB44" s="1" t="s">
        <v>584</v>
      </c>
      <c r="AP44" s="2" t="s">
        <v>625</v>
      </c>
      <c r="AU44" s="7" t="s">
        <v>594</v>
      </c>
      <c r="AV44" s="8" t="s">
        <v>501</v>
      </c>
      <c r="AW44" s="7" t="s">
        <v>514</v>
      </c>
      <c r="AX44" s="8" t="s">
        <v>510</v>
      </c>
      <c r="AY44" s="7" t="s">
        <v>379</v>
      </c>
    </row>
    <row r="45" spans="12:51" x14ac:dyDescent="0.5">
      <c r="L45" s="1" t="s">
        <v>722</v>
      </c>
      <c r="P45" s="1" t="s">
        <v>657</v>
      </c>
      <c r="Q45" s="1" t="s">
        <v>720</v>
      </c>
      <c r="S45" s="1" t="s">
        <v>722</v>
      </c>
      <c r="W45" s="1" t="s">
        <v>657</v>
      </c>
      <c r="X45" s="1" t="s">
        <v>720</v>
      </c>
      <c r="Y45" s="1" t="s">
        <v>312</v>
      </c>
      <c r="AA45" s="1" t="s">
        <v>723</v>
      </c>
      <c r="AB45" s="1" t="s">
        <v>621</v>
      </c>
      <c r="AP45" s="2" t="s">
        <v>587</v>
      </c>
      <c r="AU45" s="7" t="s">
        <v>678</v>
      </c>
      <c r="AV45" s="6" t="s">
        <v>487</v>
      </c>
      <c r="AW45" s="8" t="s">
        <v>691</v>
      </c>
      <c r="AX45" s="7" t="s">
        <v>485</v>
      </c>
      <c r="AY45" s="7" t="s">
        <v>403</v>
      </c>
    </row>
    <row r="46" spans="12:51" x14ac:dyDescent="0.5">
      <c r="P46" s="1" t="s">
        <v>525</v>
      </c>
      <c r="Q46" s="1" t="s">
        <v>580</v>
      </c>
      <c r="W46" s="1" t="s">
        <v>525</v>
      </c>
      <c r="X46" s="1" t="s">
        <v>580</v>
      </c>
      <c r="Y46" s="1" t="s">
        <v>724</v>
      </c>
      <c r="AA46" s="1" t="s">
        <v>488</v>
      </c>
      <c r="AB46" s="1" t="s">
        <v>316</v>
      </c>
      <c r="AP46" s="2" t="s">
        <v>548</v>
      </c>
      <c r="AU46" s="7" t="s">
        <v>626</v>
      </c>
      <c r="AV46" s="5" t="s">
        <v>586</v>
      </c>
      <c r="AW46" s="5" t="s">
        <v>327</v>
      </c>
      <c r="AX46" s="7" t="s">
        <v>550</v>
      </c>
      <c r="AY46" s="7" t="s">
        <v>326</v>
      </c>
    </row>
    <row r="47" spans="12:51" x14ac:dyDescent="0.5">
      <c r="P47" s="1" t="s">
        <v>514</v>
      </c>
      <c r="Q47" s="1" t="s">
        <v>416</v>
      </c>
      <c r="W47" s="1" t="s">
        <v>514</v>
      </c>
      <c r="X47" s="1" t="s">
        <v>416</v>
      </c>
      <c r="Y47" s="1" t="s">
        <v>725</v>
      </c>
      <c r="AA47" s="1" t="s">
        <v>323</v>
      </c>
      <c r="AB47" s="1" t="s">
        <v>726</v>
      </c>
      <c r="AP47" s="2"/>
      <c r="AU47" s="7" t="s">
        <v>644</v>
      </c>
      <c r="AV47" s="7" t="s">
        <v>493</v>
      </c>
      <c r="AW47" s="7" t="s">
        <v>627</v>
      </c>
      <c r="AX47" s="8" t="s">
        <v>511</v>
      </c>
      <c r="AY47" s="7" t="s">
        <v>562</v>
      </c>
    </row>
    <row r="48" spans="12:51" x14ac:dyDescent="0.5">
      <c r="P48" s="1" t="s">
        <v>514</v>
      </c>
      <c r="Q48" s="1" t="s">
        <v>647</v>
      </c>
      <c r="W48" s="1" t="s">
        <v>514</v>
      </c>
      <c r="X48" s="1" t="s">
        <v>647</v>
      </c>
      <c r="Y48" s="1" t="s">
        <v>727</v>
      </c>
      <c r="AA48" s="1" t="s">
        <v>592</v>
      </c>
      <c r="AB48" s="1" t="s">
        <v>336</v>
      </c>
      <c r="AU48" s="7" t="s">
        <v>690</v>
      </c>
      <c r="AV48" s="6" t="s">
        <v>318</v>
      </c>
      <c r="AW48" s="8" t="s">
        <v>700</v>
      </c>
      <c r="AX48" s="7" t="s">
        <v>540</v>
      </c>
      <c r="AY48" s="7" t="s">
        <v>594</v>
      </c>
    </row>
    <row r="49" spans="16:51" x14ac:dyDescent="0.5">
      <c r="P49" s="1" t="s">
        <v>728</v>
      </c>
      <c r="Q49" s="1" t="s">
        <v>729</v>
      </c>
      <c r="W49" s="1" t="s">
        <v>728</v>
      </c>
      <c r="X49" s="1" t="s">
        <v>729</v>
      </c>
      <c r="Y49" s="1" t="s">
        <v>420</v>
      </c>
      <c r="AA49" s="1" t="s">
        <v>614</v>
      </c>
      <c r="AB49" s="1" t="s">
        <v>335</v>
      </c>
      <c r="AU49" s="7" t="s">
        <v>402</v>
      </c>
      <c r="AV49" s="8" t="s">
        <v>502</v>
      </c>
      <c r="AW49" s="7" t="s">
        <v>626</v>
      </c>
      <c r="AX49" s="8" t="s">
        <v>620</v>
      </c>
      <c r="AY49" s="7" t="s">
        <v>421</v>
      </c>
    </row>
    <row r="50" spans="16:51" x14ac:dyDescent="0.5">
      <c r="P50" s="1" t="s">
        <v>327</v>
      </c>
      <c r="Q50" s="1" t="s">
        <v>616</v>
      </c>
      <c r="W50" s="1" t="s">
        <v>327</v>
      </c>
      <c r="X50" s="1" t="s">
        <v>616</v>
      </c>
      <c r="Y50" s="1" t="s">
        <v>544</v>
      </c>
      <c r="AA50" s="1" t="s">
        <v>405</v>
      </c>
      <c r="AB50" s="1" t="s">
        <v>646</v>
      </c>
      <c r="AU50" s="7" t="s">
        <v>646</v>
      </c>
      <c r="AV50" s="7" t="s">
        <v>608</v>
      </c>
      <c r="AW50" s="8" t="s">
        <v>690</v>
      </c>
      <c r="AX50" s="8" t="s">
        <v>505</v>
      </c>
      <c r="AY50" s="7" t="s">
        <v>477</v>
      </c>
    </row>
    <row r="51" spans="16:51" x14ac:dyDescent="0.5">
      <c r="P51" s="1" t="s">
        <v>730</v>
      </c>
      <c r="Q51" s="1" t="s">
        <v>731</v>
      </c>
      <c r="W51" s="1" t="s">
        <v>730</v>
      </c>
      <c r="X51" s="1" t="s">
        <v>731</v>
      </c>
      <c r="Y51" s="1" t="s">
        <v>732</v>
      </c>
      <c r="AA51" s="1" t="s">
        <v>620</v>
      </c>
      <c r="AB51" s="1" t="s">
        <v>668</v>
      </c>
      <c r="AU51" s="7" t="s">
        <v>625</v>
      </c>
      <c r="AV51" s="7" t="s">
        <v>319</v>
      </c>
      <c r="AW51" s="7" t="s">
        <v>330</v>
      </c>
      <c r="AX51" s="8" t="s">
        <v>579</v>
      </c>
      <c r="AY51" s="7" t="s">
        <v>675</v>
      </c>
    </row>
    <row r="52" spans="16:51" x14ac:dyDescent="0.5">
      <c r="P52" s="1" t="s">
        <v>698</v>
      </c>
      <c r="Q52" s="1" t="s">
        <v>719</v>
      </c>
      <c r="W52" s="1" t="s">
        <v>698</v>
      </c>
      <c r="X52" s="1" t="s">
        <v>719</v>
      </c>
      <c r="Y52" s="1" t="s">
        <v>668</v>
      </c>
      <c r="AA52" s="1" t="s">
        <v>97</v>
      </c>
      <c r="AB52" s="1" t="s">
        <v>733</v>
      </c>
      <c r="AU52" s="7" t="s">
        <v>688</v>
      </c>
      <c r="AV52" s="5" t="s">
        <v>567</v>
      </c>
      <c r="AW52" s="6" t="s">
        <v>402</v>
      </c>
      <c r="AX52" s="7" t="s">
        <v>527</v>
      </c>
      <c r="AY52" s="7" t="s">
        <v>696</v>
      </c>
    </row>
    <row r="53" spans="16:51" x14ac:dyDescent="0.5">
      <c r="P53" s="1" t="s">
        <v>616</v>
      </c>
      <c r="Q53" s="1" t="s">
        <v>618</v>
      </c>
      <c r="W53" s="1" t="s">
        <v>616</v>
      </c>
      <c r="X53" s="1" t="s">
        <v>618</v>
      </c>
      <c r="AA53" s="1" t="s">
        <v>734</v>
      </c>
      <c r="AB53" s="1" t="s">
        <v>735</v>
      </c>
      <c r="AU53" s="7" t="s">
        <v>516</v>
      </c>
      <c r="AV53" s="7" t="s">
        <v>623</v>
      </c>
      <c r="AW53" s="5" t="s">
        <v>625</v>
      </c>
      <c r="AX53" s="8" t="s">
        <v>637</v>
      </c>
      <c r="AY53" s="7" t="s">
        <v>584</v>
      </c>
    </row>
    <row r="54" spans="16:51" x14ac:dyDescent="0.5">
      <c r="P54" s="1" t="s">
        <v>633</v>
      </c>
      <c r="Q54" s="1" t="s">
        <v>330</v>
      </c>
      <c r="W54" s="1" t="s">
        <v>633</v>
      </c>
      <c r="X54" s="1" t="s">
        <v>330</v>
      </c>
      <c r="AA54" s="1" t="s">
        <v>736</v>
      </c>
      <c r="AB54" s="1" t="s">
        <v>330</v>
      </c>
      <c r="AU54" s="7" t="s">
        <v>333</v>
      </c>
      <c r="AV54" s="7" t="s">
        <v>539</v>
      </c>
      <c r="AW54" s="6" t="s">
        <v>656</v>
      </c>
      <c r="AX54" s="7" t="s">
        <v>502</v>
      </c>
      <c r="AY54" s="7" t="s">
        <v>626</v>
      </c>
    </row>
    <row r="55" spans="16:51" x14ac:dyDescent="0.5">
      <c r="P55" s="1" t="s">
        <v>329</v>
      </c>
      <c r="Q55" s="1" t="s">
        <v>591</v>
      </c>
      <c r="W55" s="1" t="s">
        <v>329</v>
      </c>
      <c r="X55" s="1" t="s">
        <v>591</v>
      </c>
      <c r="AA55" s="1" t="s">
        <v>627</v>
      </c>
      <c r="AB55" s="1" t="s">
        <v>737</v>
      </c>
      <c r="AU55" s="7" t="s">
        <v>473</v>
      </c>
      <c r="AV55" s="8" t="s">
        <v>640</v>
      </c>
      <c r="AW55" s="8" t="s">
        <v>663</v>
      </c>
      <c r="AX55" s="8" t="s">
        <v>447</v>
      </c>
      <c r="AY55" s="7" t="s">
        <v>402</v>
      </c>
    </row>
    <row r="56" spans="16:51" x14ac:dyDescent="0.5">
      <c r="P56" s="1" t="s">
        <v>477</v>
      </c>
      <c r="Q56" s="1" t="s">
        <v>646</v>
      </c>
      <c r="W56" s="1" t="s">
        <v>477</v>
      </c>
      <c r="X56" s="1" t="s">
        <v>646</v>
      </c>
      <c r="AA56" s="1" t="s">
        <v>738</v>
      </c>
      <c r="AB56" s="1" t="s">
        <v>334</v>
      </c>
      <c r="AU56" s="9"/>
      <c r="AV56" s="6" t="s">
        <v>551</v>
      </c>
      <c r="AW56" s="6" t="s">
        <v>654</v>
      </c>
      <c r="AX56" s="7" t="s">
        <v>655</v>
      </c>
      <c r="AY56" s="7" t="s">
        <v>625</v>
      </c>
    </row>
    <row r="57" spans="16:51" x14ac:dyDescent="0.5">
      <c r="P57" s="1" t="s">
        <v>739</v>
      </c>
      <c r="Q57" s="1" t="s">
        <v>625</v>
      </c>
      <c r="W57" s="1" t="s">
        <v>739</v>
      </c>
      <c r="X57" s="1" t="s">
        <v>625</v>
      </c>
      <c r="AA57" s="1" t="s">
        <v>588</v>
      </c>
      <c r="AB57" s="1" t="s">
        <v>501</v>
      </c>
      <c r="AV57" s="8" t="s">
        <v>621</v>
      </c>
      <c r="AW57" s="7" t="s">
        <v>334</v>
      </c>
      <c r="AX57" s="7" t="s">
        <v>378</v>
      </c>
      <c r="AY57" s="7" t="s">
        <v>571</v>
      </c>
    </row>
    <row r="58" spans="16:51" x14ac:dyDescent="0.5">
      <c r="P58" s="1" t="s">
        <v>330</v>
      </c>
      <c r="Q58" s="1" t="s">
        <v>331</v>
      </c>
      <c r="W58" s="1" t="s">
        <v>330</v>
      </c>
      <c r="X58" s="1" t="s">
        <v>331</v>
      </c>
      <c r="AA58" s="1" t="s">
        <v>740</v>
      </c>
      <c r="AB58" s="1" t="s">
        <v>741</v>
      </c>
      <c r="AV58" s="7" t="s">
        <v>97</v>
      </c>
      <c r="AW58" s="5"/>
      <c r="AX58" s="7" t="s">
        <v>450</v>
      </c>
      <c r="AY58" s="7" t="s">
        <v>654</v>
      </c>
    </row>
    <row r="59" spans="16:51" x14ac:dyDescent="0.5">
      <c r="P59" s="1" t="s">
        <v>591</v>
      </c>
      <c r="Q59" s="1" t="s">
        <v>742</v>
      </c>
      <c r="W59" s="1" t="s">
        <v>591</v>
      </c>
      <c r="X59" s="1" t="s">
        <v>742</v>
      </c>
      <c r="AA59" s="1" t="s">
        <v>743</v>
      </c>
      <c r="AB59" s="1" t="s">
        <v>744</v>
      </c>
      <c r="AU59" s="2"/>
      <c r="AV59" s="7" t="s">
        <v>641</v>
      </c>
      <c r="AW59" s="5"/>
      <c r="AX59" s="7" t="s">
        <v>321</v>
      </c>
      <c r="AY59" s="7" t="s">
        <v>548</v>
      </c>
    </row>
    <row r="60" spans="16:51" x14ac:dyDescent="0.5">
      <c r="P60" s="1" t="s">
        <v>732</v>
      </c>
      <c r="Q60" s="1" t="s">
        <v>518</v>
      </c>
      <c r="W60" s="1" t="s">
        <v>732</v>
      </c>
      <c r="X60" s="1" t="s">
        <v>518</v>
      </c>
      <c r="AA60" s="1" t="s">
        <v>745</v>
      </c>
      <c r="AB60" s="1" t="s">
        <v>746</v>
      </c>
      <c r="AV60" s="8" t="s">
        <v>628</v>
      </c>
      <c r="AW60" s="5"/>
      <c r="AX60" s="7" t="s">
        <v>105</v>
      </c>
      <c r="AY60" s="7"/>
    </row>
    <row r="61" spans="16:51" x14ac:dyDescent="0.5">
      <c r="P61" s="1" t="s">
        <v>542</v>
      </c>
      <c r="Q61" s="1" t="s">
        <v>491</v>
      </c>
      <c r="W61" s="1" t="s">
        <v>542</v>
      </c>
      <c r="X61" s="1" t="s">
        <v>491</v>
      </c>
      <c r="AA61" s="1" t="s">
        <v>378</v>
      </c>
      <c r="AB61" s="1" t="s">
        <v>747</v>
      </c>
      <c r="AV61" s="7" t="s">
        <v>538</v>
      </c>
      <c r="AW61" s="5"/>
      <c r="AX61" s="7" t="s">
        <v>572</v>
      </c>
      <c r="AY61" s="7"/>
    </row>
    <row r="62" spans="16:51" x14ac:dyDescent="0.5">
      <c r="P62" s="1" t="s">
        <v>697</v>
      </c>
      <c r="Q62" s="1" t="s">
        <v>654</v>
      </c>
      <c r="W62" s="1" t="s">
        <v>697</v>
      </c>
      <c r="X62" s="1" t="s">
        <v>654</v>
      </c>
      <c r="AA62" s="1" t="s">
        <v>329</v>
      </c>
      <c r="AB62" s="1" t="s">
        <v>748</v>
      </c>
      <c r="AV62" s="8" t="s">
        <v>558</v>
      </c>
      <c r="AW62" s="5"/>
      <c r="AX62" s="7" t="s">
        <v>379</v>
      </c>
      <c r="AY62" s="7"/>
    </row>
    <row r="63" spans="16:51" x14ac:dyDescent="0.5">
      <c r="P63" s="1" t="s">
        <v>553</v>
      </c>
      <c r="Q63" s="1" t="s">
        <v>335</v>
      </c>
      <c r="W63" s="1" t="s">
        <v>553</v>
      </c>
      <c r="X63" s="1" t="s">
        <v>335</v>
      </c>
      <c r="AA63" s="1" t="s">
        <v>749</v>
      </c>
      <c r="AU63" s="2"/>
      <c r="AV63" s="8" t="s">
        <v>580</v>
      </c>
      <c r="AW63" s="5"/>
      <c r="AX63" s="8" t="s">
        <v>403</v>
      </c>
      <c r="AY63" s="7"/>
    </row>
    <row r="64" spans="16:51" x14ac:dyDescent="0.5">
      <c r="Q64" s="1" t="s">
        <v>548</v>
      </c>
      <c r="X64" s="1" t="s">
        <v>548</v>
      </c>
      <c r="AA64" s="1" t="s">
        <v>678</v>
      </c>
      <c r="AV64" s="7" t="s">
        <v>325</v>
      </c>
      <c r="AW64" s="5"/>
      <c r="AX64" s="7" t="s">
        <v>326</v>
      </c>
      <c r="AY64" s="7"/>
    </row>
    <row r="65" spans="17:51" x14ac:dyDescent="0.5">
      <c r="Q65" s="1" t="s">
        <v>336</v>
      </c>
      <c r="X65" s="1" t="s">
        <v>336</v>
      </c>
      <c r="AA65" s="1" t="s">
        <v>724</v>
      </c>
      <c r="AV65" s="5" t="s">
        <v>638</v>
      </c>
      <c r="AW65" s="5"/>
      <c r="AX65" s="8" t="s">
        <v>562</v>
      </c>
      <c r="AY65" s="7"/>
    </row>
    <row r="66" spans="17:51" x14ac:dyDescent="0.5">
      <c r="Q66" s="1" t="s">
        <v>750</v>
      </c>
      <c r="X66" s="1" t="s">
        <v>750</v>
      </c>
      <c r="AA66" s="1" t="s">
        <v>751</v>
      </c>
      <c r="AV66" s="6" t="s">
        <v>596</v>
      </c>
      <c r="AW66" s="5"/>
      <c r="AX66" s="7" t="s">
        <v>594</v>
      </c>
      <c r="AY66" s="7"/>
    </row>
    <row r="67" spans="17:51" x14ac:dyDescent="0.5">
      <c r="AA67" s="1" t="s">
        <v>752</v>
      </c>
      <c r="AV67" s="8" t="s">
        <v>679</v>
      </c>
      <c r="AW67" s="5"/>
      <c r="AX67" s="7" t="s">
        <v>613</v>
      </c>
      <c r="AY67" s="7"/>
    </row>
    <row r="68" spans="17:51" x14ac:dyDescent="0.5">
      <c r="AA68" s="1" t="s">
        <v>673</v>
      </c>
      <c r="AV68" s="5" t="s">
        <v>525</v>
      </c>
      <c r="AW68" s="5"/>
      <c r="AX68" s="7" t="s">
        <v>421</v>
      </c>
      <c r="AY68" s="7"/>
    </row>
    <row r="69" spans="17:51" x14ac:dyDescent="0.5">
      <c r="AA69" s="1" t="s">
        <v>477</v>
      </c>
      <c r="AV69" s="7" t="s">
        <v>514</v>
      </c>
      <c r="AW69" s="5"/>
      <c r="AX69" s="7" t="s">
        <v>477</v>
      </c>
      <c r="AY69" s="7"/>
    </row>
    <row r="70" spans="17:51" x14ac:dyDescent="0.5">
      <c r="AA70" s="1" t="s">
        <v>319</v>
      </c>
      <c r="AV70" s="8" t="s">
        <v>691</v>
      </c>
      <c r="AW70" s="10"/>
      <c r="AX70" s="7" t="s">
        <v>675</v>
      </c>
      <c r="AY70" s="7"/>
    </row>
    <row r="71" spans="17:51" x14ac:dyDescent="0.5">
      <c r="AV71" s="7" t="s">
        <v>327</v>
      </c>
      <c r="AX71" s="7" t="s">
        <v>503</v>
      </c>
      <c r="AY71" s="7"/>
    </row>
    <row r="72" spans="17:51" x14ac:dyDescent="0.5">
      <c r="AV72" s="7" t="s">
        <v>627</v>
      </c>
      <c r="AX72" s="8" t="s">
        <v>696</v>
      </c>
      <c r="AY72" s="7"/>
    </row>
    <row r="73" spans="17:51" x14ac:dyDescent="0.5">
      <c r="AV73" s="8" t="s">
        <v>594</v>
      </c>
      <c r="AX73" s="7" t="s">
        <v>449</v>
      </c>
      <c r="AY73" s="7"/>
    </row>
    <row r="74" spans="17:51" x14ac:dyDescent="0.5">
      <c r="AV74" s="5" t="s">
        <v>664</v>
      </c>
      <c r="AX74" s="8" t="s">
        <v>584</v>
      </c>
      <c r="AY74" s="7"/>
    </row>
    <row r="75" spans="17:51" x14ac:dyDescent="0.5">
      <c r="AV75" s="6" t="s">
        <v>668</v>
      </c>
      <c r="AX75" s="7" t="s">
        <v>626</v>
      </c>
      <c r="AY75" s="7"/>
    </row>
    <row r="76" spans="17:51" x14ac:dyDescent="0.5">
      <c r="AV76" s="5" t="s">
        <v>671</v>
      </c>
      <c r="AX76" s="7" t="s">
        <v>644</v>
      </c>
      <c r="AY76" s="7"/>
    </row>
    <row r="77" spans="17:51" x14ac:dyDescent="0.5">
      <c r="AV77" s="8" t="s">
        <v>700</v>
      </c>
      <c r="AX77" s="8" t="s">
        <v>402</v>
      </c>
      <c r="AY77" s="7"/>
    </row>
    <row r="78" spans="17:51" x14ac:dyDescent="0.5">
      <c r="AV78" s="8" t="s">
        <v>584</v>
      </c>
      <c r="AX78" s="8" t="s">
        <v>649</v>
      </c>
      <c r="AY78" s="7"/>
    </row>
    <row r="79" spans="17:51" x14ac:dyDescent="0.5">
      <c r="AV79" s="7" t="s">
        <v>626</v>
      </c>
      <c r="AX79" s="7" t="s">
        <v>625</v>
      </c>
      <c r="AY79" s="7"/>
    </row>
    <row r="80" spans="17:51" x14ac:dyDescent="0.5">
      <c r="AV80" s="6" t="s">
        <v>676</v>
      </c>
      <c r="AX80" s="7" t="s">
        <v>571</v>
      </c>
      <c r="AY80" s="7"/>
    </row>
    <row r="81" spans="48:51" x14ac:dyDescent="0.5">
      <c r="AV81" s="8" t="s">
        <v>690</v>
      </c>
      <c r="AX81" s="8" t="s">
        <v>603</v>
      </c>
      <c r="AY81" s="8"/>
    </row>
    <row r="82" spans="48:51" x14ac:dyDescent="0.5">
      <c r="AV82" s="5" t="s">
        <v>682</v>
      </c>
      <c r="AX82" s="7" t="s">
        <v>645</v>
      </c>
      <c r="AY82" s="7"/>
    </row>
    <row r="83" spans="48:51" x14ac:dyDescent="0.5">
      <c r="AV83" s="7" t="s">
        <v>330</v>
      </c>
      <c r="AX83" s="8" t="s">
        <v>518</v>
      </c>
      <c r="AY83" s="8"/>
    </row>
    <row r="84" spans="48:51" x14ac:dyDescent="0.5">
      <c r="AV84" s="8" t="s">
        <v>688</v>
      </c>
      <c r="AX84" s="8" t="s">
        <v>491</v>
      </c>
      <c r="AY84" s="7"/>
    </row>
    <row r="85" spans="48:51" x14ac:dyDescent="0.5">
      <c r="AV85" s="5" t="s">
        <v>542</v>
      </c>
      <c r="AX85" s="7" t="s">
        <v>654</v>
      </c>
      <c r="AY85" s="7"/>
    </row>
    <row r="86" spans="48:51" x14ac:dyDescent="0.5">
      <c r="AV86" s="7" t="s">
        <v>697</v>
      </c>
      <c r="AX86" s="11" t="s">
        <v>548</v>
      </c>
      <c r="AY86" s="7"/>
    </row>
    <row r="87" spans="48:51" x14ac:dyDescent="0.5">
      <c r="AV87" s="8" t="s">
        <v>663</v>
      </c>
      <c r="AX87" s="8" t="s">
        <v>336</v>
      </c>
      <c r="AY87" s="11"/>
    </row>
    <row r="88" spans="48:51" x14ac:dyDescent="0.5">
      <c r="AV88" s="7" t="s">
        <v>334</v>
      </c>
      <c r="AX88" s="8"/>
    </row>
    <row r="89" spans="48:51" x14ac:dyDescent="0.5">
      <c r="AV89" s="8"/>
      <c r="AX89" s="8"/>
    </row>
    <row r="90" spans="48:51" x14ac:dyDescent="0.5">
      <c r="AV90" s="8"/>
      <c r="AX90" s="8"/>
    </row>
    <row r="91" spans="48:51" x14ac:dyDescent="0.5">
      <c r="AV91" s="7"/>
      <c r="AX91" s="8"/>
    </row>
    <row r="92" spans="48:51" x14ac:dyDescent="0.5">
      <c r="AV92" s="8"/>
      <c r="AX92" s="11"/>
    </row>
    <row r="93" spans="48:51" x14ac:dyDescent="0.5">
      <c r="AV93" s="8"/>
    </row>
    <row r="94" spans="48:51" x14ac:dyDescent="0.5">
      <c r="AV94" s="8"/>
    </row>
    <row r="95" spans="48:51" x14ac:dyDescent="0.5">
      <c r="AV95" s="8"/>
    </row>
    <row r="96" spans="48:51" x14ac:dyDescent="0.5">
      <c r="AV96" s="8"/>
    </row>
    <row r="97" spans="48:48" x14ac:dyDescent="0.5">
      <c r="AV97" s="7"/>
    </row>
    <row r="98" spans="48:48" x14ac:dyDescent="0.5">
      <c r="AV98" s="8"/>
    </row>
    <row r="99" spans="48:48" x14ac:dyDescent="0.5">
      <c r="AV99" s="8"/>
    </row>
    <row r="100" spans="48:48" x14ac:dyDescent="0.5">
      <c r="AV100" s="8"/>
    </row>
    <row r="101" spans="48:48" x14ac:dyDescent="0.5">
      <c r="AV101" s="8"/>
    </row>
    <row r="102" spans="48:48" x14ac:dyDescent="0.5">
      <c r="AV102" s="8"/>
    </row>
    <row r="103" spans="48:48" x14ac:dyDescent="0.5">
      <c r="AV103" s="6"/>
    </row>
    <row r="104" spans="48:48" x14ac:dyDescent="0.5">
      <c r="AV104" s="8"/>
    </row>
    <row r="105" spans="48:48" x14ac:dyDescent="0.5">
      <c r="AV105" s="8"/>
    </row>
    <row r="106" spans="48:48" x14ac:dyDescent="0.5">
      <c r="AV106" s="8"/>
    </row>
    <row r="107" spans="48:48" x14ac:dyDescent="0.5">
      <c r="AV107" s="8"/>
    </row>
    <row r="108" spans="48:48" x14ac:dyDescent="0.5">
      <c r="AV108" s="11"/>
    </row>
  </sheetData>
  <sortState xmlns:xlrd2="http://schemas.microsoft.com/office/spreadsheetml/2017/richdata2" ref="AU6:AU66">
    <sortCondition ref="AU5:AU66"/>
  </sortState>
  <mergeCells count="10">
    <mergeCell ref="AL3:AN3"/>
    <mergeCell ref="AO3:AQ3"/>
    <mergeCell ref="AT1:AY1"/>
    <mergeCell ref="S1:AG1"/>
    <mergeCell ref="AL1:AQ1"/>
    <mergeCell ref="L2:Q2"/>
    <mergeCell ref="S2:X2"/>
    <mergeCell ref="Y2:AB2"/>
    <mergeCell ref="AC2:AG2"/>
    <mergeCell ref="AL2:AQ2"/>
  </mergeCells>
  <pageMargins left="0.7" right="0.7" top="0.75" bottom="0.75" header="0.3" footer="0.3"/>
  <legacyDrawing r:id="rId1"/>
  <tableParts count="4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9AC520CAB569B54B8400FCA196E34CBB" ma:contentTypeVersion="4" ma:contentTypeDescription="Crear nuevo documento." ma:contentTypeScope="" ma:versionID="928a0b24f7f0432e7883c4bfb1ed035d">
  <xsd:schema xmlns:xsd="http://www.w3.org/2001/XMLSchema" xmlns:xs="http://www.w3.org/2001/XMLSchema" xmlns:p="http://schemas.microsoft.com/office/2006/metadata/properties" xmlns:ns2="5fb26c54-8ae7-4c35-a8dd-e5095fbe886d" targetNamespace="http://schemas.microsoft.com/office/2006/metadata/properties" ma:root="true" ma:fieldsID="54c3d757b4723c869c316db9996d807d" ns2:_="">
    <xsd:import namespace="5fb26c54-8ae7-4c35-a8dd-e5095fbe886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b26c54-8ae7-4c35-a8dd-e5095fbe886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1DB2B19-DC36-444C-A048-3E1CA129AB6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85901429-75D0-4AC6-828C-2813964A0F69}">
  <ds:schemaRefs>
    <ds:schemaRef ds:uri="http://schemas.microsoft.com/sharepoint/v3/contenttype/forms"/>
  </ds:schemaRefs>
</ds:datastoreItem>
</file>

<file path=customXml/itemProps3.xml><?xml version="1.0" encoding="utf-8"?>
<ds:datastoreItem xmlns:ds="http://schemas.openxmlformats.org/officeDocument/2006/customXml" ds:itemID="{00940B1D-0570-4DD1-9B1B-B7CB18B0E11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b26c54-8ae7-4c35-a8dd-e5095fbe886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120</vt:i4>
      </vt:variant>
    </vt:vector>
  </HeadingPairs>
  <TitlesOfParts>
    <vt:vector size="127" baseType="lpstr">
      <vt:lpstr>Paso1 Analisis perfil egreso</vt:lpstr>
      <vt:lpstr>Paso 2 Redacción competen</vt:lpstr>
      <vt:lpstr>Paso 3 Redacción RA </vt:lpstr>
      <vt:lpstr>Paso 4 Estrategias mesocurricu</vt:lpstr>
      <vt:lpstr>Paso 5 Estrategias micro</vt:lpstr>
      <vt:lpstr>Taxonomia para Competencias</vt:lpstr>
      <vt:lpstr>Taxonomias para RA</vt:lpstr>
      <vt:lpstr>'Paso 5 Estrategias micro'!actitudinalB</vt:lpstr>
      <vt:lpstr>actitudinalB</vt:lpstr>
      <vt:lpstr>ActitudinalBAK</vt:lpstr>
      <vt:lpstr>'Paso 5 Estrategias micro'!AK</vt:lpstr>
      <vt:lpstr>AK</vt:lpstr>
      <vt:lpstr>'Paso 5 Estrategias micro'!AnálisisAK</vt:lpstr>
      <vt:lpstr>AnálisisAK</vt:lpstr>
      <vt:lpstr>'Paso 5 Estrategias micro'!AnálisisB</vt:lpstr>
      <vt:lpstr>AnálisisB</vt:lpstr>
      <vt:lpstr>'Paso 5 Estrategias micro'!AnálisisBAK</vt:lpstr>
      <vt:lpstr>AnálisisBAK</vt:lpstr>
      <vt:lpstr>'Paso 5 Estrategias micro'!AnalizarLK</vt:lpstr>
      <vt:lpstr>AnalizarLK</vt:lpstr>
      <vt:lpstr>'Paso 5 Estrategias micro'!AplicaciónB</vt:lpstr>
      <vt:lpstr>AplicaciónB</vt:lpstr>
      <vt:lpstr>'Paso 5 Estrategias micro'!AplicaciónBAK</vt:lpstr>
      <vt:lpstr>AplicaciónBAK</vt:lpstr>
      <vt:lpstr>'Paso 5 Estrategias micro'!AplicarLK</vt:lpstr>
      <vt:lpstr>AplicarLK</vt:lpstr>
      <vt:lpstr>'Paso 5 Estrategias micro'!áreasprofesionales</vt:lpstr>
      <vt:lpstr>áreasprofesionales</vt:lpstr>
      <vt:lpstr>'Paso 5 Estrategias micro'!BAK</vt:lpstr>
      <vt:lpstr>BAK</vt:lpstr>
      <vt:lpstr>Bloom</vt:lpstr>
      <vt:lpstr>'Paso 5 Estrategias micro'!CaracterizarBAK</vt:lpstr>
      <vt:lpstr>CaracterizarBAK</vt:lpstr>
      <vt:lpstr>'Paso 5 Estrategias micro'!Cognitivo</vt:lpstr>
      <vt:lpstr>Cognitivo</vt:lpstr>
      <vt:lpstr>'Paso 5 Estrategias micro'!cognitivoB</vt:lpstr>
      <vt:lpstr>cognitivoB</vt:lpstr>
      <vt:lpstr>CognitivoBAK</vt:lpstr>
      <vt:lpstr>competencias</vt:lpstr>
      <vt:lpstr>ComprenderLK</vt:lpstr>
      <vt:lpstr>'Paso 5 Estrategias micro'!ComprensiónAK</vt:lpstr>
      <vt:lpstr>ComprensiónAK</vt:lpstr>
      <vt:lpstr>'Paso 5 Estrategias micro'!ComprensionB</vt:lpstr>
      <vt:lpstr>ComprensionB</vt:lpstr>
      <vt:lpstr>'Paso 5 Estrategias micro'!ComprensiónBAK</vt:lpstr>
      <vt:lpstr>ComprensiónBAK</vt:lpstr>
      <vt:lpstr>'Paso 5 Estrategias micro'!ConceptosLK</vt:lpstr>
      <vt:lpstr>ConceptosLK</vt:lpstr>
      <vt:lpstr>'Paso 5 Estrategias micro'!ConocimientoB</vt:lpstr>
      <vt:lpstr>ConocimientoB</vt:lpstr>
      <vt:lpstr>'Paso 5 Estrategias micro'!ConocimientoBAK</vt:lpstr>
      <vt:lpstr>ConocimientoBAK</vt:lpstr>
      <vt:lpstr>'Paso 5 Estrategias micro'!Conocimientos</vt:lpstr>
      <vt:lpstr>Conocimientos</vt:lpstr>
      <vt:lpstr>'Paso 5 Estrategias micro'!ControlBAK</vt:lpstr>
      <vt:lpstr>ControlBAK</vt:lpstr>
      <vt:lpstr>'Paso 5 Estrategias micro'!CrearLK</vt:lpstr>
      <vt:lpstr>CrearLK</vt:lpstr>
      <vt:lpstr>dominios</vt:lpstr>
      <vt:lpstr>'Paso 5 Estrategias micro'!EvaluaciónB</vt:lpstr>
      <vt:lpstr>EvaluaciónB</vt:lpstr>
      <vt:lpstr>'Paso 5 Estrategias micro'!EvaluaciónBAK</vt:lpstr>
      <vt:lpstr>EvaluaciónBAK</vt:lpstr>
      <vt:lpstr>EvaluarLK</vt:lpstr>
      <vt:lpstr>'Paso 5 Estrategias micro'!HechosLK</vt:lpstr>
      <vt:lpstr>HechosLK</vt:lpstr>
      <vt:lpstr>'Paso 5 Estrategias micro'!ImitaciónBAK</vt:lpstr>
      <vt:lpstr>ImitaciónBAK</vt:lpstr>
      <vt:lpstr>'Paso 5 Estrategias micro'!InformaciónAK</vt:lpstr>
      <vt:lpstr>InformaciónAK</vt:lpstr>
      <vt:lpstr>'Paso 5 Estrategias micro'!LK</vt:lpstr>
      <vt:lpstr>LK</vt:lpstr>
      <vt:lpstr>'Paso 5 Estrategias micro'!ManipulaciónBAK</vt:lpstr>
      <vt:lpstr>ManipulaciónBAK</vt:lpstr>
      <vt:lpstr>'Paso 5 Estrategias micro'!MetacogniciónAK</vt:lpstr>
      <vt:lpstr>MetacogniciónAK</vt:lpstr>
      <vt:lpstr>'Paso 5 Estrategias micro'!MetacogniciónLK</vt:lpstr>
      <vt:lpstr>MetacogniciónLK</vt:lpstr>
      <vt:lpstr>'Paso 5 Estrategias micro'!MetocogniciónAK</vt:lpstr>
      <vt:lpstr>MetocogniciónAK</vt:lpstr>
      <vt:lpstr>ocupacional</vt:lpstr>
      <vt:lpstr>'Paso 5 Estrategias micro'!OrganizarBAK</vt:lpstr>
      <vt:lpstr>OrganizarBAK</vt:lpstr>
      <vt:lpstr>PercepciónBAK</vt:lpstr>
      <vt:lpstr>'Paso 5 Estrategias micro'!poblacionactuacion</vt:lpstr>
      <vt:lpstr>poblacionactuacion</vt:lpstr>
      <vt:lpstr>'Paso 5 Estrategias micro'!poblaciones</vt:lpstr>
      <vt:lpstr>poblaciones</vt:lpstr>
      <vt:lpstr>'Paso 5 Estrategias micro'!poblacionesactuación</vt:lpstr>
      <vt:lpstr>poblacionesactuación</vt:lpstr>
      <vt:lpstr>'Paso 5 Estrategias micro'!PrecisiónBAK</vt:lpstr>
      <vt:lpstr>PrecisiónBAK</vt:lpstr>
      <vt:lpstr>'Paso 5 Estrategias micro'!procedimentalB</vt:lpstr>
      <vt:lpstr>procedimentalB</vt:lpstr>
      <vt:lpstr>ProcedimentalBAK</vt:lpstr>
      <vt:lpstr>'Paso 5 Estrategias micro'!ProcedimientosLK</vt:lpstr>
      <vt:lpstr>ProcedimientosLK</vt:lpstr>
      <vt:lpstr>'Paso 5 Estrategias micro'!ProcesosAK</vt:lpstr>
      <vt:lpstr>ProcesosAK</vt:lpstr>
      <vt:lpstr>'Paso 5 Estrategias micro'!PsicomotorAK</vt:lpstr>
      <vt:lpstr>PsicomotorAK</vt:lpstr>
      <vt:lpstr>RecordarLK</vt:lpstr>
      <vt:lpstr>RecuperaciónAK</vt:lpstr>
      <vt:lpstr>'Paso 5 Estrategias micro'!ResponderBAK</vt:lpstr>
      <vt:lpstr>ResponderBAK</vt:lpstr>
      <vt:lpstr>resultadoaprendizaje</vt:lpstr>
      <vt:lpstr>Saber</vt:lpstr>
      <vt:lpstr>'Paso 5 Estrategias micro'!Saberhacer</vt:lpstr>
      <vt:lpstr>Saberhacer</vt:lpstr>
      <vt:lpstr>'Paso 5 Estrategias micro'!saberser</vt:lpstr>
      <vt:lpstr>saberser</vt:lpstr>
      <vt:lpstr>'Paso 5 Estrategias micro'!SíntesisB</vt:lpstr>
      <vt:lpstr>SíntesisB</vt:lpstr>
      <vt:lpstr>'Paso 5 Estrategias micro'!SíntesisBAK</vt:lpstr>
      <vt:lpstr>SíntesisBAK</vt:lpstr>
      <vt:lpstr>'Paso 5 Estrategias micro'!tareas</vt:lpstr>
      <vt:lpstr>tareas</vt:lpstr>
      <vt:lpstr>'Paso 5 Estrategias micro'!tareasprofesionales</vt:lpstr>
      <vt:lpstr>tareasprofesionales</vt:lpstr>
      <vt:lpstr>'Paso 5 Estrategias micro'!taxonomiasra</vt:lpstr>
      <vt:lpstr>taxonomiasra</vt:lpstr>
      <vt:lpstr>UsoConocimientoAK</vt:lpstr>
      <vt:lpstr>'Paso 5 Estrategias micro'!Valoragregado</vt:lpstr>
      <vt:lpstr>Valoragregado</vt:lpstr>
      <vt:lpstr>'Paso 5 Estrategias micro'!ValorarBAK</vt:lpstr>
      <vt:lpstr>ValorarBAK</vt:lpstr>
      <vt:lpstr>VerbosCompetencias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Diana Shirley Velasquez Rojas</dc:creator>
  <cp:keywords/>
  <dc:description/>
  <cp:lastModifiedBy>Maria Isabel Cortes Cortes</cp:lastModifiedBy>
  <cp:revision/>
  <dcterms:created xsi:type="dcterms:W3CDTF">2021-03-03T13:22:18Z</dcterms:created>
  <dcterms:modified xsi:type="dcterms:W3CDTF">2026-05-12T21:47:38Z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0x0101009AC520CAB569B54B8400FCA196E34CBB</vt:lpwstr>
  </property>
</Properties>
</file>