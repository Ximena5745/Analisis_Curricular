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d.docs.live.net/5f15395a9ed9a48f/Proyectos_DS/Analisis_Curricular/data/raw/FORMATOS RA CICLO UNO RC/"/>
    </mc:Choice>
  </mc:AlternateContent>
  <xr:revisionPtr revIDLastSave="67" documentId="13_ncr:1_{7AB4FC89-6664-4300-9002-D944842110CA}" xr6:coauthVersionLast="47" xr6:coauthVersionMax="47" xr10:uidLastSave="{647E2313-0816-4EF3-8A26-0FC0C2D861DD}"/>
  <bookViews>
    <workbookView xWindow="-108" yWindow="-108" windowWidth="23256" windowHeight="12456" tabRatio="673" firstSheet="5" activeTab="5" xr2:uid="{BD68381A-4EB3-42BA-ADD5-D7B5B6C7E498}"/>
  </bookViews>
  <sheets>
    <sheet name="Paso1 Analisis perfil egreso" sheetId="1" r:id="rId1"/>
    <sheet name="Paso 2 Redacción competen" sheetId="6" r:id="rId2"/>
    <sheet name="Paso 3 Redacción RA" sheetId="15" r:id="rId3"/>
    <sheet name="Paso 3 Redacción RA - Backup " sheetId="5" state="hidden" r:id="rId4"/>
    <sheet name="Paso 4 Estrategias mesocurricu" sheetId="8" r:id="rId5"/>
    <sheet name="Paso 5 Estrategias micro" sheetId="14" r:id="rId6"/>
    <sheet name="Taxonomía para competencias" sheetId="10" r:id="rId7"/>
    <sheet name="Taxonomias para RA" sheetId="7" r:id="rId8"/>
  </sheets>
  <externalReferences>
    <externalReference r:id="rId9"/>
  </externalReferences>
  <definedNames>
    <definedName name="_xlnm._FilterDatabase" localSheetId="2" hidden="1">'Paso 3 Redacción RA'!$A$2:$K$15</definedName>
    <definedName name="_xlnm._FilterDatabase" localSheetId="3" hidden="1">'Paso 3 Redacción RA - Backup '!$A$2:$K$12</definedName>
    <definedName name="_xlnm._FilterDatabase" localSheetId="4" hidden="1">'Paso 4 Estrategias mesocurricu'!$A$1:$F$17</definedName>
    <definedName name="_xlnm._FilterDatabase" localSheetId="5" hidden="1">'Paso 5 Estrategias micro'!$A$2:$R$162</definedName>
    <definedName name="ActitudinalBAK">'Taxonomias para RA'!$AC$3:$AG$3</definedName>
    <definedName name="Bloom">'Taxonomias para RA'!$G$3:$I$3</definedName>
    <definedName name="Celda_Creditos_por_materia">'[1]Malla con formulas'!$E$19,'[1]Malla con formulas'!$L$19,'[1]Malla con formulas'!$R$23,'[1]Malla con formulas'!$X$23,'[1]Malla con formulas'!$AD$23,'[1]Malla con formulas'!$AK$23,'[1]Malla con formulas'!$G$31,'[1]Malla con formulas'!$M$31,'[1]Malla con formulas'!$R$31,'[1]Malla con formulas'!$X$31,'[1]Malla con formulas'!$AD$31,'[1]Malla con formulas'!$AK$31,'[1]Malla con formulas'!$G$38,'[1]Malla con formulas'!$N$38,'[1]Malla con formulas'!$R$38,'[1]Malla con formulas'!$X$38,'[1]Malla con formulas'!$AD$38,'[1]Malla con formulas'!$G$45,'[1]Malla con formulas'!$M$45,'[1]Malla con formulas'!$R$45,'[1]Malla con formulas'!$X$45,'[1]Malla con formulas'!$AD$45,'[1]Malla con formulas'!$AK$45,'[1]Malla con formulas'!$G$52,'[1]Malla con formulas'!$M$52,'[1]Malla con formulas'!$R$52,'[1]Malla con formulas'!$X$52,'[1]Malla con formulas'!$AD$52,'[1]Malla con formulas'!$G$59,'[1]Malla con formulas'!$M$59,'[1]Malla con formulas'!$R$59,'[1]Malla con formulas'!$X$59,'[1]Malla con formulas'!$AD$59,'[1]Malla con formulas'!$G$66,'[1]Malla con formulas'!$M$66,'[1]Malla con formulas'!$R$66,'[1]Malla con formulas'!$X$66,'[1]Malla con formulas'!$AD$66,'[1]Malla con formulas'!$G$73</definedName>
    <definedName name="Circutos">'Paso 2 Redacción competen'!$F$4</definedName>
    <definedName name="Codigo_de_materia">'[1]Malla con formulas'!$D$23,'[1]Malla con formulas'!$K$23,'[1]Malla con formulas'!$Q$23,'[1]Malla con formulas'!$W$23,'[1]Malla con formulas'!$AC$23,'[1]Malla con formulas'!$AI$23,'[1]Malla con formulas'!$D$31,'[1]Malla con formulas'!$K$31,'[1]Malla con formulas'!$Q$31,'[1]Malla con formulas'!$W$31,'[1]Malla con formulas'!$AC$31,'[1]Malla con formulas'!$AI$31,'[1]Malla con formulas'!$D$38,'[1]Malla con formulas'!$K$38,'[1]Malla con formulas'!$Q$38,'[1]Malla con formulas'!$W$38,'[1]Malla con formulas'!$AC$38,'[1]Malla con formulas'!$D$45,'[1]Malla con formulas'!$K$45,'[1]Malla con formulas'!$Q$45,'[1]Malla con formulas'!$W$45,'[1]Malla con formulas'!$AC$45,'[1]Malla con formulas'!$AI$45,'[1]Malla con formulas'!$D$52,'[1]Malla con formulas'!$K$52,'[1]Malla con formulas'!$Q$52,'[1]Malla con formulas'!$W$52,'[1]Malla con formulas'!$AC$52,'[1]Malla con formulas'!$D$59,'[1]Malla con formulas'!$K$59,'[1]Malla con formulas'!$Q$59,'[1]Malla con formulas'!$W$59,'[1]Malla con formulas'!$AC$59,'[1]Malla con formulas'!$D$66,'[1]Malla con formulas'!$K$66,'[1]Malla con formulas'!$Q$66,'[1]Malla con formulas'!$W$66,'[1]Malla con formulas'!$AC$66,'[1]Malla con formulas'!$D$73</definedName>
    <definedName name="CognitivoBAK">'Taxonomias para RA'!$S$3:$X$3</definedName>
    <definedName name="CompetenciaEspecifica1">'Paso 2 Redacción competen'!$F$4</definedName>
    <definedName name="ComponentesCompetencias">'Paso1 Analisis perfil egreso'!$E$2:$G$2</definedName>
    <definedName name="Creditos">'[1]Malla con formulas'!$AN$90,'[1]Malla con formulas'!#REF!,'[1]Malla con formulas'!$AN$66,'[1]Malla con formulas'!$AN$59,'[1]Malla con formulas'!$AG$52,'[1]Malla con formulas'!$AN$38,'[1]Malla con formulas'!$AN$31,'[1]Malla con formulas'!$AN$23,'[1]Malla con formulas'!$AN$45</definedName>
    <definedName name="FACULTADES">#REF!</definedName>
    <definedName name="Nombre">'[1]Malla con formulas'!$D$22:$G$22,'[1]Malla con formulas'!$K$22:$M$22,'[1]Malla con formulas'!$P$22:$R$22,'[1]Malla con formulas'!$V$22:$X$22,'[1]Malla con formulas'!$AB$22:$AD$22,'[1]Malla con formulas'!$AG$22:$AK$22,'[1]Malla con formulas'!$C$30:$G$30,'[1]Malla con formulas'!$J$30:$M$30,'[1]Malla con formulas'!$P$30:$R$30,'[1]Malla con formulas'!$V$30:$X$30,'[1]Malla con formulas'!$AB$30:$AD$30,'[1]Malla con formulas'!$AG$30:$AK$30,'[1]Malla con formulas'!$C$37:$G$37,'[1]Malla con formulas'!$J$37:$M$37,'[1]Malla con formulas'!$P$37:$R$37,'[1]Malla con formulas'!$V$37:$X$37,'[1]Malla con formulas'!$AB$37:$AD$37,'[1]Malla con formulas'!$C$44:$G$44,'[1]Malla con formulas'!$J$44:$M$44,'[1]Malla con formulas'!$P$44:$R$44,'[1]Malla con formulas'!$V$44:$X$44,'[1]Malla con formulas'!$AB$44:$AD$44,'[1]Malla con formulas'!$AG$44:$AK$44,'[1]Malla con formulas'!$C$51:$G$51,'[1]Malla con formulas'!$J$51:$M$51,'[1]Malla con formulas'!$P$51:$R$51,'[1]Malla con formulas'!$V$51:$X$51,'[1]Malla con formulas'!$AB$51:$AD$51,'[1]Malla con formulas'!$C$58:$G$58,'[1]Malla con formulas'!$J$58:$M$58,'[1]Malla con formulas'!$P$58:$R$58,'[1]Malla con formulas'!$V$58:$X$58,'[1]Malla con formulas'!$AB$58:$AD$58,'[1]Malla con formulas'!$C$65:$G$65,'[1]Malla con formulas'!$J$65:$M$65,'[1]Malla con formulas'!$P$65:$R$65,'[1]Malla con formulas'!$V$65:$X$65,'[1]Malla con formulas'!$AB$65:$AD$65,'[1]Malla con formulas'!$C$72:$G$72,'[1]Malla con formulas'!$J$72:$M$72,'[1]Malla con formulas'!$P$72:$R$72,'[1]Malla con formulas'!$V$72:$X$72,'[1]Malla con formulas'!$AB$72:$AD$72,'[1]Malla con formulas'!#REF!,'[1]Malla con formulas'!#REF!,'[1]Malla con formulas'!$V$89:$V$89,'[1]Malla con formulas'!#REF!,'[1]Malla con formulas'!$L$88:$L$88</definedName>
    <definedName name="ProcedimentalBAK">'Taxonomias para RA'!$Y$3:$AB$3</definedName>
    <definedName name="RA">'Paso 5 Estrategias micro'!$B$9</definedName>
    <definedName name="resultadoaprendizaje">#REF!</definedName>
    <definedName name="Saber">'Paso1 Analisis perfil egreso'!$E$3:$E$7</definedName>
    <definedName name="SaberHacer">'Paso1 Analisis perfil egreso'!$F$3:$F$7</definedName>
    <definedName name="SaberSer">'Paso1 Analisis perfil egreso'!$G$3:$G$7</definedName>
    <definedName name="TIC">'Paso 2 Redacción competen'!$F$7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59" i="14" l="1"/>
  <c r="S158" i="14"/>
  <c r="S144" i="14"/>
  <c r="S126" i="14"/>
  <c r="S97" i="14"/>
  <c r="S73" i="14"/>
  <c r="S48" i="14"/>
  <c r="S37" i="14"/>
  <c r="R37" i="14"/>
  <c r="S20" i="14"/>
  <c r="R20" i="14"/>
  <c r="J159" i="14"/>
  <c r="D159" i="14"/>
  <c r="K73" i="14"/>
  <c r="K81" i="14"/>
  <c r="L107" i="14"/>
  <c r="K107" i="14"/>
  <c r="K136" i="14"/>
  <c r="L123" i="14"/>
  <c r="K123" i="14"/>
  <c r="L119" i="14"/>
  <c r="K119" i="14"/>
  <c r="L4" i="14"/>
  <c r="L3" i="14"/>
  <c r="K4" i="14"/>
  <c r="K3" i="14"/>
  <c r="L5" i="14"/>
  <c r="K5" i="14"/>
  <c r="L21" i="14"/>
  <c r="K21" i="14"/>
  <c r="K153" i="14"/>
  <c r="K145" i="14"/>
  <c r="K131" i="14"/>
  <c r="L127" i="14"/>
  <c r="K127" i="14"/>
  <c r="L115" i="14"/>
  <c r="K115" i="14"/>
  <c r="K85" i="14"/>
  <c r="L77" i="14"/>
  <c r="K77" i="14"/>
  <c r="L61" i="14"/>
  <c r="K61" i="14"/>
  <c r="L57" i="14"/>
  <c r="K57" i="14"/>
  <c r="L56" i="14"/>
  <c r="K56" i="14"/>
  <c r="K39" i="14"/>
  <c r="L39" i="14"/>
  <c r="K17" i="14"/>
  <c r="L17" i="14"/>
  <c r="L38" i="14"/>
  <c r="L34" i="14"/>
  <c r="K38" i="14"/>
  <c r="K34" i="14"/>
  <c r="A41" i="14"/>
  <c r="A6" i="14"/>
  <c r="A10" i="14"/>
  <c r="A14" i="14"/>
  <c r="A15" i="14"/>
  <c r="A18" i="14"/>
  <c r="R73" i="14" l="1"/>
  <c r="R126" i="14"/>
  <c r="R144" i="14"/>
  <c r="A123" i="14"/>
  <c r="A124" i="14"/>
  <c r="A120" i="14"/>
  <c r="A121" i="14"/>
  <c r="A116" i="14"/>
  <c r="A108" i="14"/>
  <c r="A109" i="14"/>
  <c r="A110" i="14"/>
  <c r="A111" i="14"/>
  <c r="A112" i="14"/>
  <c r="A82" i="14"/>
  <c r="A74" i="14"/>
  <c r="A58" i="14"/>
  <c r="A59" i="14"/>
  <c r="A49" i="14"/>
  <c r="A50" i="14"/>
  <c r="A51" i="14"/>
  <c r="A52" i="14"/>
  <c r="A53" i="14"/>
  <c r="A54" i="14"/>
  <c r="A45" i="14"/>
  <c r="A35" i="14"/>
  <c r="A36" i="14"/>
  <c r="A31" i="14"/>
  <c r="A27" i="14"/>
  <c r="A23" i="14"/>
  <c r="A154" i="14"/>
  <c r="A146" i="14"/>
  <c r="A147" i="14"/>
  <c r="A148" i="14"/>
  <c r="A149" i="14"/>
  <c r="A150" i="14"/>
  <c r="A128" i="14"/>
  <c r="A132" i="14"/>
  <c r="A133" i="14"/>
  <c r="A137" i="14"/>
  <c r="A138" i="14"/>
  <c r="A139" i="14"/>
  <c r="A140" i="14"/>
  <c r="A104" i="14"/>
  <c r="A103" i="14"/>
  <c r="A94" i="14"/>
  <c r="A95" i="14"/>
  <c r="A86" i="14"/>
  <c r="A87" i="14"/>
  <c r="A88" i="14"/>
  <c r="A89" i="14"/>
  <c r="A90" i="14"/>
  <c r="A98" i="14"/>
  <c r="A99" i="14"/>
  <c r="A78" i="14"/>
  <c r="A70" i="14"/>
  <c r="A62" i="14"/>
  <c r="A63" i="14"/>
  <c r="A64" i="14"/>
  <c r="A65" i="14"/>
  <c r="A66" i="14"/>
  <c r="K9" i="14"/>
  <c r="L9" i="14" l="1"/>
  <c r="J161" i="14"/>
  <c r="J160" i="14"/>
  <c r="J162" i="14"/>
  <c r="R48" i="14"/>
  <c r="R97" i="14"/>
  <c r="A8" i="14" l="1"/>
  <c r="A32" i="14"/>
  <c r="A72" i="14"/>
  <c r="A71" i="14"/>
  <c r="A69" i="14"/>
  <c r="A101" i="14"/>
  <c r="A100" i="14"/>
  <c r="A97" i="14"/>
  <c r="A55" i="14"/>
  <c r="A48" i="14"/>
  <c r="A47" i="14"/>
  <c r="A46" i="14"/>
  <c r="A44" i="14"/>
  <c r="A21" i="14"/>
  <c r="A37" i="14"/>
  <c r="A34" i="14"/>
  <c r="A33" i="14"/>
  <c r="A30" i="14"/>
  <c r="A29" i="14"/>
  <c r="A28" i="14"/>
  <c r="A26" i="14"/>
  <c r="A20" i="14"/>
  <c r="A19" i="14"/>
  <c r="A17" i="14"/>
  <c r="A16" i="14"/>
  <c r="A13" i="14"/>
  <c r="R158" i="14"/>
  <c r="R159" i="14" s="1"/>
  <c r="A22" i="14"/>
  <c r="K22" i="14"/>
  <c r="L22" i="14"/>
  <c r="M22" i="14" l="1"/>
  <c r="L97" i="14" l="1"/>
  <c r="K97" i="14"/>
  <c r="L30" i="14"/>
  <c r="K30" i="14"/>
  <c r="L44" i="14"/>
  <c r="K44" i="14"/>
  <c r="L48" i="14"/>
  <c r="K48" i="14"/>
  <c r="L145" i="14"/>
  <c r="L153" i="14"/>
  <c r="L158" i="14"/>
  <c r="K158" i="14"/>
  <c r="L144" i="14"/>
  <c r="K144" i="14"/>
  <c r="L136" i="14"/>
  <c r="L131" i="14"/>
  <c r="L157" i="14"/>
  <c r="K157" i="14"/>
  <c r="L143" i="14"/>
  <c r="K143" i="14"/>
  <c r="L102" i="14"/>
  <c r="K102" i="14"/>
  <c r="L69" i="14"/>
  <c r="K69" i="14"/>
  <c r="L85" i="14"/>
  <c r="L93" i="14"/>
  <c r="K93" i="14"/>
  <c r="L81" i="14"/>
  <c r="L73" i="14"/>
  <c r="L40" i="14"/>
  <c r="K40" i="14"/>
  <c r="L26" i="14"/>
  <c r="K26" i="14"/>
  <c r="L13" i="14"/>
  <c r="K13" i="14"/>
  <c r="A3" i="14"/>
  <c r="A9" i="14"/>
  <c r="A11" i="14"/>
  <c r="A12" i="14"/>
  <c r="A5" i="14"/>
  <c r="A7" i="14"/>
  <c r="A24" i="14"/>
  <c r="A25" i="14"/>
  <c r="A4" i="14"/>
  <c r="A40" i="14"/>
  <c r="A42" i="14"/>
  <c r="A43" i="14"/>
  <c r="A61" i="14"/>
  <c r="A67" i="14"/>
  <c r="A68" i="14"/>
  <c r="A39" i="14"/>
  <c r="A57" i="14"/>
  <c r="A60" i="14"/>
  <c r="A56" i="14"/>
  <c r="A38" i="14"/>
  <c r="A73" i="14"/>
  <c r="A75" i="14"/>
  <c r="A76" i="14"/>
  <c r="A127" i="14"/>
  <c r="A129" i="14"/>
  <c r="A130" i="14"/>
  <c r="A115" i="14"/>
  <c r="A117" i="14"/>
  <c r="A118" i="14"/>
  <c r="A81" i="14"/>
  <c r="A83" i="14"/>
  <c r="A84" i="14"/>
  <c r="A93" i="14"/>
  <c r="A96" i="14"/>
  <c r="A77" i="14"/>
  <c r="A79" i="14"/>
  <c r="A80" i="14"/>
  <c r="A85" i="14"/>
  <c r="A91" i="14"/>
  <c r="A92" i="14"/>
  <c r="A107" i="14"/>
  <c r="A113" i="14"/>
  <c r="A114" i="14"/>
  <c r="A102" i="14"/>
  <c r="A105" i="14"/>
  <c r="A106" i="14"/>
  <c r="A131" i="14"/>
  <c r="A134" i="14"/>
  <c r="A135" i="14"/>
  <c r="A125" i="14"/>
  <c r="A126" i="14"/>
  <c r="A119" i="14"/>
  <c r="A122" i="14"/>
  <c r="A136" i="14"/>
  <c r="A141" i="14"/>
  <c r="A142" i="14"/>
  <c r="A153" i="14"/>
  <c r="A155" i="14"/>
  <c r="A156" i="14"/>
  <c r="A145" i="14"/>
  <c r="A151" i="14"/>
  <c r="A152" i="14"/>
  <c r="M34" i="14" l="1"/>
  <c r="M30" i="14"/>
  <c r="M3" i="14"/>
  <c r="M17" i="14"/>
  <c r="M26" i="14"/>
  <c r="M127" i="14"/>
  <c r="M77" i="14"/>
  <c r="M102" i="14"/>
  <c r="M131" i="14"/>
  <c r="M136" i="14"/>
  <c r="M56" i="14"/>
  <c r="M97" i="14"/>
  <c r="M9" i="14"/>
  <c r="M115" i="14"/>
  <c r="M144" i="14"/>
  <c r="M38" i="14"/>
  <c r="M158" i="14"/>
  <c r="M4" i="14"/>
  <c r="M57" i="14"/>
  <c r="M40" i="14"/>
  <c r="M85" i="14"/>
  <c r="M123" i="14"/>
  <c r="M153" i="14"/>
  <c r="M143" i="14"/>
  <c r="M39" i="14"/>
  <c r="M73" i="14"/>
  <c r="M5" i="14"/>
  <c r="M61" i="14"/>
  <c r="M81" i="14"/>
  <c r="M13" i="14"/>
  <c r="M93" i="14"/>
  <c r="M107" i="14"/>
  <c r="M157" i="14"/>
  <c r="M145" i="14"/>
  <c r="M21" i="14"/>
  <c r="M119" i="14"/>
  <c r="M69"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8BD88B-F04D-48BC-8E64-039B164B6A20}">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C2" authorId="0" shapeId="0" xr:uid="{1E9ADF6B-E7FE-46F9-A416-83B5EEE1C33F}">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E2" authorId="0" shapeId="0" xr:uid="{8DF8FF82-47F7-4410-B4E7-CB5780418179}">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066C8682-E9AB-4C94-83D5-BDABD3C9751A}">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607FF329-B1BA-4E60-897A-6011F6BE0B48}">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4C8FD7BF-69F3-4EE3-BF00-86DAE4C95B59}">
      <text>
        <r>
          <rPr>
            <b/>
            <sz val="9"/>
            <color indexed="81"/>
            <rFont val="Tahoma"/>
            <family val="2"/>
          </rPr>
          <t>Dir. Currículo:</t>
        </r>
        <r>
          <rPr>
            <sz val="9"/>
            <color indexed="81"/>
            <rFont val="Tahoma"/>
            <family val="2"/>
          </rPr>
          <t xml:space="preserve">
Áreas en las que podrá laborar el profesional.</t>
        </r>
      </text>
    </comment>
    <comment ref="I2" authorId="0" shapeId="0" xr:uid="{D80561B2-9238-40B1-BCAC-A2900C16BB2A}">
      <text>
        <r>
          <rPr>
            <b/>
            <sz val="9"/>
            <color indexed="81"/>
            <rFont val="Tahoma"/>
            <family val="2"/>
          </rPr>
          <t>Dir. Currículo:</t>
        </r>
        <r>
          <rPr>
            <sz val="9"/>
            <color indexed="81"/>
            <rFont val="Tahoma"/>
            <family val="2"/>
          </rPr>
          <t xml:space="preserve">
Tareas potenciales que hará el profesional.</t>
        </r>
      </text>
    </comment>
    <comment ref="J2" authorId="0" shapeId="0" xr:uid="{910BAA13-07A6-4EFE-A19E-F083161C96F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BABE39E6-C0DA-47B6-A10D-ECA03B3BA910}">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F4110995-1467-4D20-B839-29023BFAEBFF}">
      <text>
        <r>
          <rPr>
            <b/>
            <sz val="9"/>
            <color indexed="81"/>
            <rFont val="Tahoma"/>
            <family val="2"/>
          </rPr>
          <t>Dir. Currículo:</t>
        </r>
        <r>
          <rPr>
            <sz val="9"/>
            <color indexed="81"/>
            <rFont val="Tahoma"/>
            <family val="2"/>
          </rPr>
          <t xml:space="preserve">
Recuerde que el objeto conceptual hace referecia a qué debe saber (conocimientos, hechos, teorías) el egresado cuando termine su formación profesional.</t>
        </r>
      </text>
    </comment>
    <comment ref="D2"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elmentos del componente ocupacional pueden ayudar a declarar la finalidad. Se listaron en la hoja Paso 1.</t>
        </r>
      </text>
    </comment>
    <comment ref="E2"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establecieo en el perfil, en el contexto donde se desenvolverá el egresado? </t>
        </r>
      </text>
    </comment>
    <comment ref="F2"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9438B058-DB6C-4283-8905-4056D954190F}">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14FB4C41-FF3C-44C5-95C1-8A4EE311743B}">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EFD61953-6209-4CEE-9F36-7150401928E6}">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F6FF8774-B45E-4C88-9403-3210A2925AA7}">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7E689BBA-8C09-4929-8692-0ADD44D3FE5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5F8F8C73-2ED9-43ED-BD56-F53184EE0D4B}">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38295FED-0624-4265-A5C1-6FA511157A6F}">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64D8F347-8090-4B7B-A6D7-1CF5339305BE}">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37B46A44-2897-4E74-8832-74035C2B809F}">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5311C46-2FC3-42D4-A3B5-88FB3744D009}">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sabr hacer y sabe ser en un contexto determinado.</t>
        </r>
      </text>
    </comment>
    <comment ref="B2" authorId="0" shapeId="0" xr:uid="{7140CF9E-D100-4E5C-90C3-42313D04E6B1}">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71C91D79-1C70-4973-8345-EC0D06B65442}">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4EA1BD48-9072-4F8B-8C17-7A54409F3A6B}">
      <text>
        <r>
          <rPr>
            <b/>
            <sz val="9"/>
            <color indexed="81"/>
            <rFont val="Tahoma"/>
            <family val="2"/>
          </rPr>
          <t>Dir. Currículo:</t>
        </r>
        <r>
          <rPr>
            <sz val="9"/>
            <color indexed="81"/>
            <rFont val="Tahoma"/>
            <family val="2"/>
          </rPr>
          <t xml:space="preserve">
El llistado despliega, según el saber elegido en la columna C, lo que se escribió en el paso 1 para ese tipo de saber.</t>
        </r>
      </text>
    </comment>
    <comment ref="E2" authorId="0" shapeId="0" xr:uid="{189C3EC2-1514-4019-89E2-899E92CD0DB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3C6787FC-5463-4833-8BE4-AF8F90510697}">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reerencia al dominio procedimental y el saber ser al dominio actitudinal.</t>
        </r>
      </text>
    </comment>
    <comment ref="G2" authorId="0" shapeId="0" xr:uid="{9224DA72-3F2C-4C5C-BF71-F42A4DB09567}">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AC4EFDC9-F052-42E3-B096-C8C6DA737167}">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6C037D87-33E8-4C70-A592-AA6328FE8FC5}">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37C83751-6000-4757-A6C7-3A73119E4A5B}">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B9C7F80E-8B23-4629-8207-1D899FEE9EE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DE96D98-6AD3-44BE-9DD5-AB5F84B66625}">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F9EA092C-8F61-4197-8E6C-64F779A26A75}">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mponentesCompetencias" description="Conexión a la consulta 'ComponentesCompetencias' en el libro." type="5" refreshedVersion="0" background="1" saveData="1">
    <dbPr connection="Provider=Microsoft.Mashup.OleDb.1;Data Source=$Workbook$;Location=ComponentesCompetencias;Extended Properties=&quot;&quot;" command="SELECT * FROM [ComponentesCompetencias]"/>
  </connection>
</connections>
</file>

<file path=xl/sharedStrings.xml><?xml version="1.0" encoding="utf-8"?>
<sst xmlns="http://schemas.openxmlformats.org/spreadsheetml/2006/main" count="2505" uniqueCount="785">
  <si>
    <t>[Escribir el nombre del programa]</t>
  </si>
  <si>
    <t>[Escribir la modalidad: presencial o virtual]</t>
  </si>
  <si>
    <t>[Escribir el perfil profesional del egresado.]</t>
  </si>
  <si>
    <t>[Escribir el perfil ocupacional del egresado.]</t>
  </si>
  <si>
    <r>
      <rPr>
        <b/>
        <sz val="8"/>
        <color theme="0"/>
        <rFont val="Gill Sans MT"/>
        <family val="2"/>
      </rPr>
      <t>Componentes fundamentales aplicables a la solución de problemas en la vida profesional</t>
    </r>
    <r>
      <rPr>
        <sz val="8"/>
        <color theme="0"/>
        <rFont val="Gill Sans MT"/>
        <family val="2"/>
      </rPr>
      <t xml:space="preserve">
[Listar, según lo escrito en el perfil profesional, qué debe saber el egresado en las categorías de Saber -conocimientos, hechos, teorías-, Saber hacer -técnicas, procedimientos, metodologías-, y Saber ser -valores, condiciones, etc.]</t>
    </r>
  </si>
  <si>
    <r>
      <rPr>
        <b/>
        <sz val="8"/>
        <color theme="0"/>
        <rFont val="Gill Sans MT"/>
        <family val="2"/>
      </rPr>
      <t>Componentes fundamentales de la ocupación laboral del profesional</t>
    </r>
    <r>
      <rPr>
        <sz val="8"/>
        <color theme="0"/>
        <rFont val="Gill Sans MT"/>
        <family val="2"/>
      </rPr>
      <t xml:space="preserve">
[Listar, según lo escrito en el perfil ocupacional, en qué áreas, qué tareas potenciales y en qué poblaciones o contextos podrá laborar el profesional.]</t>
    </r>
  </si>
  <si>
    <r>
      <rPr>
        <b/>
        <sz val="8"/>
        <color theme="0"/>
        <rFont val="Gill Sans MT"/>
        <family val="2"/>
      </rPr>
      <t>Diferencial (valor agregado) del profesional</t>
    </r>
    <r>
      <rPr>
        <sz val="8"/>
        <color theme="0"/>
        <rFont val="Gill Sans MT"/>
        <family val="2"/>
      </rPr>
      <t xml:space="preserve">
[Listar, según lo escrito en los perfiles, los elementos que son diferenciales y generan un valor agregado al egresado.]</t>
    </r>
  </si>
  <si>
    <t>Programa</t>
  </si>
  <si>
    <t>Modalidad</t>
  </si>
  <si>
    <t>Perfil profesional</t>
  </si>
  <si>
    <t>Perfil ocupacional</t>
  </si>
  <si>
    <t>Saber</t>
  </si>
  <si>
    <t>SaberHacer</t>
  </si>
  <si>
    <t>SaberSer</t>
  </si>
  <si>
    <t>Áreas profesionales</t>
  </si>
  <si>
    <t>Tareas profesionales</t>
  </si>
  <si>
    <t>Poblaciones actuación</t>
  </si>
  <si>
    <t>Valor agregado</t>
  </si>
  <si>
    <t>Diseño de Modas</t>
  </si>
  <si>
    <t>Presencial</t>
  </si>
  <si>
    <t>El egresado de Diseño de Modas del Politécnico Grancolombiano diseña y gestiona productos y servicios en el marco de la moda, a través de la creación de colecciones, vestuario y accesorios, y de la administración de procesos de comunicación y producción, por medio de propuestas creativas, innovadoras y sostenibles, basados en el estudio del usuario, de las tendencias, de los materiales y de la industria en la moda nacional e internacional.</t>
  </si>
  <si>
    <t>El egresado del programa podrá desarrollar actividades propias del diseño de moda como la creación de indumentaria, representación visual, manejo y manipulación de materiales; así como liderar procesos de producción donde se involucra el patronaje manual y digital, escalado, desarrollo de fichas técnicas y control de calidad. Además, tendrá la posibilidad de vincularse en actividades de gestión como director creativo, administrador de insumos y proveeduría, asesor de imagen y/o editor para moda.</t>
  </si>
  <si>
    <t>Teoría de la moda y tendencias culturales</t>
  </si>
  <si>
    <t>desarrollar prendas y accesorios</t>
  </si>
  <si>
    <t>a través de colecciones innovadoras.</t>
  </si>
  <si>
    <t xml:space="preserve">Diseño de moda.
Patronaje y confección.
Producción de moda.
Comunicación en moda.
</t>
  </si>
  <si>
    <r>
      <t>Desarrollar conceptos creativos para colecciones de moda alineadas con la identidad de marca.
Elaborar ilustraciones técnicas y artísticas de figurines que represente propuestas de diseño.
Coordinar y supervisar los procesos de producción de indumentaria o colecciones de moda.
Realizar eventos enfocados en lanzamientos de productos de moda e indumentaria.
Conceptualizar y crear imágenes (</t>
    </r>
    <r>
      <rPr>
        <i/>
        <sz val="11"/>
        <color theme="1"/>
        <rFont val="Gill Sans MT"/>
        <family val="2"/>
      </rPr>
      <t>moodboards</t>
    </r>
    <r>
      <rPr>
        <sz val="11"/>
        <color theme="1"/>
        <rFont val="Gill Sans MT"/>
        <family val="2"/>
      </rPr>
      <t xml:space="preserve">)
Redactar revistas, publicaciones y </t>
    </r>
    <r>
      <rPr>
        <i/>
        <sz val="11"/>
        <color theme="1"/>
        <rFont val="Gill Sans MT"/>
        <family val="2"/>
      </rPr>
      <t>magazines</t>
    </r>
    <r>
      <rPr>
        <sz val="11"/>
        <color theme="1"/>
        <rFont val="Gill Sans MT"/>
        <family val="2"/>
      </rPr>
      <t xml:space="preserve"> con contenido de moda y de indumentaria.</t>
    </r>
  </si>
  <si>
    <r>
      <t xml:space="preserve">Empresas de diseño de moda.
Empresas de confección.
Talleres especializados, diseñadores y emprendimientos de moda.
Marca propia.
Empresas de lujo y StartUP.
Empresas de consultoría de moda.
Industria del entretenimiento.
Industria de </t>
    </r>
    <r>
      <rPr>
        <i/>
        <sz val="11"/>
        <color theme="1"/>
        <rFont val="Gill Sans MT"/>
        <family val="2"/>
      </rPr>
      <t xml:space="preserve">retail.
</t>
    </r>
    <r>
      <rPr>
        <sz val="11"/>
        <color theme="1"/>
        <rFont val="Gill Sans MT"/>
        <family val="2"/>
      </rPr>
      <t xml:space="preserve">Tiendas multimarca.
</t>
    </r>
  </si>
  <si>
    <t>El programa de Diseño de Modas del Politécnico Grancolombiano se distingue por su enfoque en el que se integran el pensamiento crítico, la creatividad, la sostenibilidad, la gestión estratégica y los recursos técnicos y tecnológicos en el desarrollo de indumentaria y colecciones, formando diseñadores con visión creativa, técnica y contextual del mercado, capaces de responder a los retos actuales del sistema moda.</t>
  </si>
  <si>
    <t>Conceptualización de la indumentaria de manera creativa</t>
  </si>
  <si>
    <t>gestionar productos y servicios</t>
  </si>
  <si>
    <t>de acuerdo con los requerimientos del usuario y la industria en la moda nacional e internacional.</t>
  </si>
  <si>
    <t>Comunicación de la moda con base en la representación visual</t>
  </si>
  <si>
    <t>generar contenidos</t>
  </si>
  <si>
    <t>acorde a una identidad de marca y a las necesidades del consumidor final.</t>
  </si>
  <si>
    <t>Procesos de producción</t>
  </si>
  <si>
    <t>controlar la selección de materiales y las etapas de patronaje, confección y acabados</t>
  </si>
  <si>
    <t>asegurando su calidad y sostenibilidad.</t>
  </si>
  <si>
    <t>Fenómenos contemporáneos</t>
  </si>
  <si>
    <t>reconocer sus afectaciones o contribuciones en el marco de las ciudadanías globales y de una sociedad responsable y sostenible.</t>
  </si>
  <si>
    <t>desde una perspectiva global, soportada en datos, con una mirada ética y crítica.</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</si>
  <si>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</si>
  <si>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</si>
  <si>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</si>
  <si>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</si>
  <si>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</si>
  <si>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</si>
  <si>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</si>
  <si>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</si>
  <si>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</si>
  <si>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</si>
  <si>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</si>
  <si>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</si>
  <si>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</si>
  <si>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</si>
  <si>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de competencia</t>
  </si>
  <si>
    <t>Dominar</t>
  </si>
  <si>
    <t>Dominar la teoría de la moda y las tendencias culturales para desarrollar prendas y accesorios a través de colecciones innovadoras.</t>
  </si>
  <si>
    <t>Específica</t>
  </si>
  <si>
    <t>Diseñar</t>
  </si>
  <si>
    <t>Diseñar la conceptualización de la indumentaria de manera creativa para gestionar productos y servicios de acuerdo con los requerimientos del usuario y de la industria en la moda nacional e internacional.</t>
  </si>
  <si>
    <t>Gestionar</t>
  </si>
  <si>
    <t>Gestionar la comunicación de la moda con base en la representación visual, para generar contenidos acordes a una identidad de marca y a las necesidades del consumidor final.</t>
  </si>
  <si>
    <t>Coordinar</t>
  </si>
  <si>
    <t xml:space="preserve">Coordinar los procesos de producción para controlar la selección de materiales, patronaje, confección y acabado, asegurando su calidad y sostenibilidad. </t>
  </si>
  <si>
    <t>Analizar</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</si>
  <si>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</si>
  <si>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</si>
  <si>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</si>
  <si>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</si>
  <si>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</si>
  <si>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</si>
  <si>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</si>
  <si>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</si>
  <si>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</si>
  <si>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</si>
  <si>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</si>
  <si>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</si>
  <si>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</si>
  <si>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</si>
  <si>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</si>
  <si>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</si>
  <si>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</si>
  <si>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</si>
  <si>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</si>
  <si>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</si>
  <si>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BAK</t>
  </si>
  <si>
    <t>CognitivoBAK</t>
  </si>
  <si>
    <t>AnálisisBAK</t>
  </si>
  <si>
    <t>Reconocer</t>
  </si>
  <si>
    <t>Reconoce las teorías de la moda y las tendencias, para desarrollar un pensamiento creativo y crítico enfocado al diseño sostenible de la moda.</t>
  </si>
  <si>
    <t>ProcedimentalBAK</t>
  </si>
  <si>
    <t>ManipulaciónBAK</t>
  </si>
  <si>
    <t>Ejecutar</t>
  </si>
  <si>
    <t>Ejecuta procesos para crear colecciones e indumentaria con estándares de calidad acordes con la categoría del producto.</t>
  </si>
  <si>
    <t>ActitudinalBAK</t>
  </si>
  <si>
    <t>PercepciónBAK</t>
  </si>
  <si>
    <t>Direccionar</t>
  </si>
  <si>
    <r>
      <t>Direcciona los procesos creativos y de producción, para elaborar productos innovadores</t>
    </r>
    <r>
      <rPr>
        <sz val="11"/>
        <rFont val="Gill Sans MT"/>
        <family val="2"/>
      </rPr>
      <t>, sostenibles y de calidad</t>
    </r>
    <r>
      <rPr>
        <sz val="11"/>
        <color rgb="FF000000"/>
        <rFont val="Gill Sans MT"/>
        <family val="2"/>
      </rPr>
      <t>.</t>
    </r>
  </si>
  <si>
    <t>AplicaciónBAK</t>
  </si>
  <si>
    <t>Diseña la conceptualización de indumentaria fundamentada en las teorías de la moda y las tendencias culturales, para estructurar propuestas de colecciones.</t>
  </si>
  <si>
    <t>ControlBAK</t>
  </si>
  <si>
    <t>Manejar</t>
  </si>
  <si>
    <t xml:space="preserve">Maneja los procesos para la gestión de productos y servicios acordes al sistema de la industria de la moda, para emplear adecuadamente materiales, patronaje, confección y acabados de prendas y accesorios de moda en el desarrollo de indumentaria o de colecciones. </t>
  </si>
  <si>
    <t>Valorar</t>
  </si>
  <si>
    <t>Valora los requerimientos del usuario y la industria de la moda nacional e internacional, para responder de manera pertinente a las necesidades de la marca y del consumidor final.</t>
  </si>
  <si>
    <t>ComprensiónBAK</t>
  </si>
  <si>
    <t>Identificar</t>
  </si>
  <si>
    <t>Interpreta la información que hace parte del lenguaje de la moda para diseñar estrategias de comunicación visual en contextos de lanzamiento y promoción de colecciones.</t>
  </si>
  <si>
    <t>ImitaciónBAK</t>
  </si>
  <si>
    <t>Aplicar</t>
  </si>
  <si>
    <t>Aplica herramientas de la comunicación visual para estructurar contenidos que expresen la identidad, propósito y estilo de un proyecto de moda.</t>
  </si>
  <si>
    <t xml:space="preserve">Analiza los procesos de producción de indumentaria en la industria de la moda para elaborar propuestas que integren el diseño y las capacidades productivas. </t>
  </si>
  <si>
    <t>gestionar el manejo de materiales, patronaje, confección y acabado</t>
  </si>
  <si>
    <t xml:space="preserve">Maneja los procesos para la gestión de productos y servicios acordes al sistema de la industria de la moda, para emplear adecuadamente materiales, patronaje, confección y acabados de prendas y accesorios de moda en el desarrollo de indumentaria o de colecciones.  </t>
  </si>
  <si>
    <t>Direcciona los procesos creativos y de producción, para elaborar productos innovadores, sostenibles y de calidad.</t>
  </si>
  <si>
    <t>Bloom</t>
  </si>
  <si>
    <t>CognitivoB</t>
  </si>
  <si>
    <t>ComprensiónB</t>
  </si>
  <si>
    <t>Identifica fenómenos contemporáneos y su relación con la profesión, para determinar sus impactos e influencia en la sociedad, de forma responsable y crítica.</t>
  </si>
  <si>
    <t>Dominar los elementos de teoría de circuitos y transmisión de información para diseñar, implementar o administrar la infraestructura eléctrica y los dispositivos electrónicos que dan soporte a los sistemas de telecomunicaciones alineado con prácticas basadas en estándares del sector y la normatividad vigente, teniendo en cuenta las condiciones, restricciones y requerimientos técnicos del entorno.</t>
  </si>
  <si>
    <t xml:space="preserve"> los elementos de teoría de circuitos y transmisión de información</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</si>
  <si>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 xml:space="preserve">para explicar </t>
    </r>
    <r>
      <rPr>
        <sz val="11"/>
        <color rgb="FF000000"/>
        <rFont val="Gill Sans MT"/>
        <family val="2"/>
      </rPr>
      <t>soluciones de diseño, administración o implementación a problemáticas del sector, desde un abordaje teórico-práctico, a través de herramientas de simulación, análisis de casos prácticos y uso de equipos de laboratorio.</t>
    </r>
  </si>
  <si>
    <t xml:space="preserve"> para diseñar, implementar o administrar la infraestructura eléctrica y los dispositivos electrónicos que dan soporte a los sistemas de telecomunicaciones</t>
  </si>
  <si>
    <r>
      <rPr>
        <b/>
        <sz val="11"/>
        <color rgb="FF000000"/>
        <rFont val="Gill Sans MT"/>
        <family val="2"/>
      </rPr>
      <t>Aplica</t>
    </r>
    <r>
      <rPr>
        <sz val="11"/>
        <color rgb="FF000000"/>
        <rFont val="Gill Sans MT"/>
        <family val="2"/>
      </rPr>
      <t xml:space="preserve"> los elementos de teoría de circuitos, de transmisión de información, de seguridad de la información, de redes de comunicaciones, de sistemas de cómputo, de estandares tecnológicos y marcos de referencia que hacen parte de la gestión de proyectos como del desarrollo de actividades relacionadas a las infraestructuras de TIC, </t>
    </r>
    <r>
      <rPr>
        <b/>
        <sz val="11"/>
        <color rgb="FF000000"/>
        <rFont val="Gill Sans MT"/>
        <family val="2"/>
      </rPr>
      <t xml:space="preserve">para construir </t>
    </r>
    <r>
      <rPr>
        <sz val="11"/>
        <color rgb="FF000000"/>
        <rFont val="Gill Sans MT"/>
        <family val="2"/>
      </rPr>
      <t>propuestas de diseño, implementación o administración de infraestructura eléctrica, dispositivos electrónicos, servicios de comunicaciones en nube o en sitio, sistemas de telecomunicaciones, a través de herramientas de simulación, análisis de casos prácticos y uso de equipos de laboratorio.</t>
    </r>
  </si>
  <si>
    <t xml:space="preserve"> alineado con prácticas basadas en estándares del sector y la normatividad vigente, teniendo en cuenta las condiciones, restricciones y requerimientos técnicos del entorno.</t>
  </si>
  <si>
    <t>ValorarBAK</t>
  </si>
  <si>
    <t>Emplear</t>
  </si>
  <si>
    <r>
      <rPr>
        <b/>
        <sz val="11"/>
        <color rgb="FF000000"/>
        <rFont val="Gill Sans MT"/>
        <family val="2"/>
      </rPr>
      <t>Emplea</t>
    </r>
    <r>
      <rPr>
        <sz val="11"/>
        <color rgb="FF000000"/>
        <rFont val="Gill Sans MT"/>
        <family val="2"/>
      </rPr>
      <t xml:space="preserve"> las buenas prácticas de teoría de circuitos y transmisión, y de seguridad de la información, redes y sistemas de cómputo basadas en estándares del sector y la normatividad vigente, teniendo en cuenta las condiciones, restricciones y requerimientos técnicos de un proyecto, </t>
    </r>
    <r>
      <rPr>
        <b/>
        <sz val="11"/>
        <color rgb="FF000000"/>
        <rFont val="Gill Sans MT"/>
        <family val="2"/>
      </rPr>
      <t xml:space="preserve">para formular </t>
    </r>
    <r>
      <rPr>
        <sz val="11"/>
        <color rgb="FF000000"/>
        <rFont val="Gill Sans MT"/>
        <family val="2"/>
      </rPr>
      <t>soluciones en infraestructuras TIC o del área de las telecomunicaciones.</t>
    </r>
  </si>
  <si>
    <t>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t>
  </si>
  <si>
    <t xml:space="preserve"> los elementos de seguridad de la información, redes de comunicaciones y sistemas de cómputo que hacen parte de infraestructuras TIC</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</si>
  <si>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para evaluar</t>
    </r>
    <r>
      <rPr>
        <sz val="11"/>
        <color rgb="FF000000"/>
        <rFont val="Gill Sans MT"/>
        <family val="2"/>
      </rPr>
      <t xml:space="preserve"> soluciones a problemáticas del sector, desde un abordaje teórico-práctico, a través de herramientas de simulación, análisis de casos prácticos y uso de equipos de laboratorio.</t>
    </r>
  </si>
  <si>
    <t xml:space="preserve"> para diseñar, implementar o administrar infraestructuras y servicios de comunicaciones en sitio o en nube</t>
  </si>
  <si>
    <t>Conocer los estándares y marcos de referencia asociados tanto a la gestión de proyectos como al desarrollo de actividades relacionadas a las tecnologías de la información para diseñar, implementar o administrar soluciones del área de las telecomunicaciones, la seguridad de la información y la infraestructura TIC manteniendo una postura socialmente responsable, autónoma, teniendo en cuenta las condiciones, restricciones y requerimientos técnicos del entorno.</t>
  </si>
  <si>
    <t xml:space="preserve"> los estándares y marcos de referencia asociados tanto a la gestión de proyectos como al desarrollo de actividades relacionadas a las tecnologías de la información</t>
  </si>
  <si>
    <t xml:space="preserve"> para diseñar, implementar o administrar soluciones del área de las telecomunicaciones, la seguridad de la información y la infraestructura TIC</t>
  </si>
  <si>
    <t xml:space="preserve"> manteniendo una postura socialmente responsable, autónoma, teniendo en cuenta las condiciones, restricciones y requerimientos técnicos del entorno.</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</si>
  <si>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</si>
  <si>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</si>
  <si>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</si>
  <si>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</si>
  <si>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</si>
  <si>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</si>
  <si>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</si>
  <si>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</si>
  <si>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</si>
  <si>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</si>
  <si>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</si>
  <si>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</si>
  <si>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 xml:space="preserve"> Integración de Proyectos Colaborativos Multisectoriales</t>
  </si>
  <si>
    <t>Desarrollo de proyectos de aula donde los estudiantes trabajen en equipos interdisciplinarios con estudiantes de otras áreas (por ejemplo, mercadeo, ingeniería, comunicación), simulando retos reales de la industria de la moda.</t>
  </si>
  <si>
    <t>Número de veces que se realiza la estrategia por periodo académico.</t>
  </si>
  <si>
    <t>Formar en talleres de cocreación a través de retos de diseño sostenible y circularidad en contextos empresariales y organizacionales.</t>
  </si>
  <si>
    <t>Informe o Reporte.</t>
  </si>
  <si>
    <t>Número de estudiantes que participan en la estrategia por periodo académico.</t>
  </si>
  <si>
    <t>Listados de participación.</t>
  </si>
  <si>
    <t>Valoración del nivel de aporte de la estrategia a los resultados de aprendizaje del programa.</t>
  </si>
  <si>
    <t>Encuesta de valoración.</t>
  </si>
  <si>
    <t>Seminario Internacional</t>
  </si>
  <si>
    <t>Seminario como opción de grado que se enfoca en poder tener el contacto con la industria internacional, el cual permite al estudiante conocer el desarrollo del sistema moda en los diferentes ámbitos en el mundo.</t>
  </si>
  <si>
    <t>Informar y formar sobre temas internacionales acerca de las propuestas y tendencias del diseño de moda.</t>
  </si>
  <si>
    <t>Clases Espejo</t>
  </si>
  <si>
    <t>Actividad desarrollada para intercambiar un diálogo de saberes con otras instituciones.</t>
  </si>
  <si>
    <t>Número de estudiantes que participan en la estrategia.</t>
  </si>
  <si>
    <t xml:space="preserve">Informar y formar sobre los puntos de vista nacionales e internacionales  de los desarrollos de propuestas y la interpretación de las tendencias de moda. </t>
  </si>
  <si>
    <t>Número de oportunidades de consultoría, auditoría e interventoría desarrolladas con medición semestral.</t>
  </si>
  <si>
    <t xml:space="preserve">Semillero de Investigación Moda, Comunicación y Sostenibilidad. </t>
  </si>
  <si>
    <t>Semillero que busca desarrollar talleres prácticos, proyectos de investigación, proyectos de proyección social y asistir a eventos académicos.</t>
  </si>
  <si>
    <t>Formar en procesos de apropiación social del conocimiento y divulgación pública de la ciencia.</t>
  </si>
  <si>
    <t>Número de proyectos o productos presentados a través de la estrategia.</t>
  </si>
  <si>
    <t>Revista Likan</t>
  </si>
  <si>
    <t>Se escoge una temática general para que los estudiantes realicen las entrevistas y creen contenido para la revista.</t>
  </si>
  <si>
    <t>Formar en la elaboración de elementos visuales y periodísticos para construir y comunicar información veráz de moda.
Informar observaciones y recomendaciones de mejora a través de una heteroevaluación realizada por el docente, desde una mirada formativa.</t>
  </si>
  <si>
    <t>Derechos de Autor</t>
  </si>
  <si>
    <t>Capacitación para los estudiantes en temas jurídicos que competen a la industria de la moda.</t>
  </si>
  <si>
    <t>Número de estudiantes que participan en la estrategia en el periodo de su realización.</t>
  </si>
  <si>
    <t>Informar y formar a los estudiantes en temas jurídicos que competen a la industria de la moda</t>
  </si>
  <si>
    <t>Listas de participación.</t>
  </si>
  <si>
    <t xml:space="preserve"> Vinculación con Eventos y Ferias del Sector</t>
  </si>
  <si>
    <t>Estrategia que busca potenciar la participación activa en eventos como Colombiamoda, ferias locales y concursos de diseño, integrando estas experiencias como parte de la evaluación formativa.</t>
  </si>
  <si>
    <t>Informar y formar a la comunidad académica sobre las tendencias de la industria.</t>
  </si>
  <si>
    <t xml:space="preserve"> Vinculación con Programas de Innovación Social </t>
  </si>
  <si>
    <t>Integración de proyectos de diseño de modas con impacto social, trabajando con comunidades vulnerables, mujeres emprendedoras y colectivos barriales para fortalecer capacidades y generar inclusión.</t>
  </si>
  <si>
    <t>Formar en talleres de co-creación con comunidades locales y organizaciones sociales, a través de retos de diseño de innovación social con comunidades.</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</si>
  <si>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</si>
  <si>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</si>
  <si>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</si>
  <si>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</si>
  <si>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</si>
  <si>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</si>
  <si>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</si>
  <si>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</si>
  <si>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</si>
  <si>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</si>
  <si>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</si>
  <si>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</si>
  <si>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</si>
  <si>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</si>
  <si>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</si>
  <si>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</si>
  <si>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</si>
  <si>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</si>
  <si>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</si>
  <si>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</si>
  <si>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B.Institucional</t>
  </si>
  <si>
    <t>B.Disciplinar</t>
  </si>
  <si>
    <t>B.Electivo</t>
  </si>
  <si>
    <t>Créditos</t>
  </si>
  <si>
    <t>Número de horas trabajo directo</t>
  </si>
  <si>
    <t>Número de horas trabajo independiente</t>
  </si>
  <si>
    <t>Total de horas</t>
  </si>
  <si>
    <t>Núcleos temáticos</t>
  </si>
  <si>
    <t>Actividades de aprendizaje</t>
  </si>
  <si>
    <t>Actividades de evaluación</t>
  </si>
  <si>
    <t>Acciones de retroalimentación</t>
  </si>
  <si>
    <t>Razonamiento Cuantitativo</t>
  </si>
  <si>
    <t>Analiza datos numéricos presentados en tablas, gráficos o textos para proponer soluciones informadas a situaciones problema del contexto.</t>
  </si>
  <si>
    <t>TP</t>
  </si>
  <si>
    <t>X</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</si>
  <si>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</si>
  <si>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Las estrategias pueden variar entre estas u otras:
Trabajo directo
Clase magistral activa/Análisis o Estudio de casos/Resolución de problemas/Talleres prácticos
Trabajo independiente
Lecturas relacionadas o de materiales complementarios/Resolución de problemas/Ejercicios aplicados/Desarrollo de proyectos/Talleres grupales o individuales/Análisis o Estudio de casos/Elaboración de informes o documentos técnicos</t>
  </si>
  <si>
    <t>Las actividades pueden variar entre estas u otras:
Formativas
Resolución de problemas/Talleres/Representaciones gráficas o visuales (mapas conceptuales, infografías, presentaciones, entre otros)
Sumativas
Pruebas escritas/Proyectos aplicados/Estudios de caso/Simulaciones y modelado de procesos/Informes técnicos/Presentaciones orales o defensa de propuestas</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</si>
  <si>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</si>
  <si>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Cultura, Política y Sociedad</t>
  </si>
  <si>
    <t>Reconoce las problemáticas, escenarios y mecanismos de participación ciudadana en el marco de sociedades de información y digitales para abordarlas desde iniciativas investigativas. 
Identifica los objetivos de desarrollo sostenible para la comprensión de problemáticas sociales, ambientales y culturales. 
Reflexiona los impactos de avances tecnológicos en su contexto profesional y ciudadano para el análisis de contextos situados.</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</si>
  <si>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</si>
  <si>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Teoría del Diseño</t>
  </si>
  <si>
    <t>Analiza los fundamentos disciplinares, teóricos y metodológicos del diseño para formular proyectos que respondan a problemáticas vinculadas con usuarios y contextos específicos.</t>
  </si>
  <si>
    <t xml:space="preserve">1. Qué es el diseño 
2. Diseño y otras disciplinas 
3. El diseño y sus metodologías
4. Otros diseños </t>
  </si>
  <si>
    <t>I</t>
  </si>
  <si>
    <t>Pensamiento Creativo</t>
  </si>
  <si>
    <t xml:space="preserve">Analiza las necesidades del contexto y del usuario para resolver problemas de diseño en prototipos funcionales acordes a la toma de decisiones.
Aplica metodologías de pensamiento en diseño y estrategias creativas para diseñar artefactos visuales que resuelvan necesidades de contextos y/o usuarios. </t>
  </si>
  <si>
    <t>1. Diseño centrado en el usuario: Empatía, definición e ideación de soluciones
2. Diseñar pensando en las necesidades: Investigación e ideación
3. Co-creación: Diseño prototipo de mínimo Producto viable, testeo como prueba de usabilidad y evaluación de la experiencia de usuario
4. Evaluar el producto: Rediseñar y consolidar propuestas de valor</t>
  </si>
  <si>
    <t>Fundamentos de Diseño</t>
  </si>
  <si>
    <t>Reconoce los elementos fundamentales que constituyen una composición visual desde el color, la función y la tipografía y para resolver problemas aplicados a piezas de diseño.
Emplea herramientas análogas y digitales para construir piezas visuales identificando el contexto en el cual se requiere, favoreciendo los objetivos de comunicación propuestos.</t>
  </si>
  <si>
    <t>1. Elementos básicos de composición
2. El espacio formato
3. Modulación y tipografía
4. Color y texturas</t>
  </si>
  <si>
    <t xml:space="preserve">Dibujo y Perspectiva </t>
  </si>
  <si>
    <t>Identifica los elementos y técnicas del dibujo bidimensional para desarrollar representaciones bidimensionales analógicas y artefactos de diseño con capacidad expresiva.</t>
  </si>
  <si>
    <t>1. Perspectivas axonométricas 
2. Perspectiva cónica 
3. Volumen 
4. Dibujo de Expresión</t>
  </si>
  <si>
    <t>Analisís y Visualización de Datos</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</si>
  <si>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</si>
  <si>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 xml:space="preserve">1. Contextualización 
2. Análisis de Datos y Visualización 
3. Usos de la Inteligencia Artificial 
4. Casos de Estudio </t>
  </si>
  <si>
    <t xml:space="preserve">Las actividades pueden variar entre estas u otras:
Formativas
Resolución de problemas/Talleres/Representaciones gráficas o visuales (mapas conceptuales, infografías, presentaciones, entre otros)
Sumativas
Pruebas escritas/Proyectos aplicados/Estudios de caso/Simulaciones y modelado de procesos/Informes técnicos/Presentaciones orales o defensa de propuestas </t>
  </si>
  <si>
    <t>Historia de la Moda e Indumentaria</t>
  </si>
  <si>
    <r>
      <t xml:space="preserve">Interpreta la indumentaria y las propuestas estéticas de diseñadores en distintos periodos históricos de la moda, para elaborar un book creativo que integre </t>
    </r>
    <r>
      <rPr>
        <i/>
        <sz val="11"/>
        <color rgb="FF000000"/>
        <rFont val="Gill Sans MT"/>
        <family val="2"/>
      </rPr>
      <t>moodboards</t>
    </r>
    <r>
      <rPr>
        <sz val="11"/>
        <color rgb="FF000000"/>
        <rFont val="Gill Sans MT"/>
        <family val="2"/>
      </rPr>
      <t>, ilustraciones y análisis de pasarelas.</t>
    </r>
  </si>
  <si>
    <t>1. El origen del vestir y las civilizaciones 
2. Desarrollo del traje dentro de la sociedad
3. Moda y transformaciones socioculturales: primeras décadas del siglo XX, revolución femenina, posguerra y años 50–60
4. Nacimiento de las tendencias y expresiones culturales: de los años 70 al siglo XXI</t>
  </si>
  <si>
    <t>Las actividades pueden varias entre estas u otras:
Formativas
Resolución de problemas/Talleres/Representaciones gráficas o visuales (mapas conceptuales, infografías, presentaciones, entre otros)
Sumativas
Pruebas escritas/Proyectos aplicados/Estudios de caso/Simulaciones y modelado de procesos/Informes técnicos/Presentaciones orales o defensa de propuestas</t>
  </si>
  <si>
    <t>Dibujo de Figura Humana</t>
  </si>
  <si>
    <t>Identifica las características de los canónes de proporción y anatomía humana para representar figuras expresivas que integren criterios de ergonomía y funcionalidad en proyectos de diseño.</t>
  </si>
  <si>
    <t>1. Cánones de proporción y anatomía humana 
2. La construcción de la figura humana 
3. Anatomía y movimientos 
4. Modelos estáticos y en movimiento</t>
  </si>
  <si>
    <t>Estructura y Composición Textil</t>
  </si>
  <si>
    <t>Analiza las propiedades y aplicaciones de diferentes fibras y materiales textiles, para proponer soluciones creativas y funcionales en el desarrollo de productos textiles contemporáneos.</t>
  </si>
  <si>
    <t>1.	Contexto histórico y antecedentes de las fibras textiles
2.	Clasificación de las fibras textiles y sus propiedades 
3.	Características del material textil 
4.	Avances textiles y sus aplicaciones en la industria de la moda.</t>
  </si>
  <si>
    <t>Las estrategias pueden variar entre estas u otras:
Trabajo directo
Clase magistral activa/Análisis o Estudio de casos/Resolución de problemas/Talleres prácticos
Trabajo independiente
Lecturas relacionadas o de materiales complementarios/Resolución de problemas/Ejercicios aplicados/Desarrollo de proyectos/Talleres grupales o individuales/Análisis o Estudio de casos/Simuladores/Elaboración de informes o documentos técnicos</t>
  </si>
  <si>
    <t>Geometría y Modulación</t>
  </si>
  <si>
    <t>Aplica los recursos técnicos, tecnológicos, expresivos y conceptuales, para representar abstracciones visuales desde el plano bidimensional y tridimensional.</t>
  </si>
  <si>
    <t>1. Fundamentos del lenguaje geométrico en la creación gráfica
2. Sistemas de representación y proyección del espacio
3. Fundamentos del espacio en tres dimensiones
4. Construcción de objetos basada en planos</t>
  </si>
  <si>
    <t>Oportunidades para Emprender</t>
  </si>
  <si>
    <t>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t>
  </si>
  <si>
    <t>1. Empatía y Comprensión del Usuario   
2. Co-creación con los Usuarios   
3. Enfoque en la Experiencia del Usuario   
4. Diseño del modelo de negocio</t>
  </si>
  <si>
    <t>Pensamiento Crítico y Ciudadanías Activas</t>
  </si>
  <si>
    <t xml:space="preserve">Identifica los Derechos y Deberes consignados en la Constitución 1991 en relación con la ciudadanía de manera local y global para la comprensión de inmersiones sociales éticas. 
Reflexiona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 </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</si>
  <si>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</si>
  <si>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Patronaje Femenino y Masculino</t>
  </si>
  <si>
    <t>Aplica principios y procesos de patronaje femenino y masculino, para diseñar prendas que respondan a requerimientos técnicos y productivos del sector industrial del vestuario o a las necesidades del usuario.</t>
  </si>
  <si>
    <t>1.	Antropometría
2.	Desarrollo de patronaje de prendas Femeninas
3.	Desarrollo de patronaje de prendas Masculinas
4.	Interpretación de prendas</t>
  </si>
  <si>
    <t>Estampación Textil y Técnicas de Reserva</t>
  </si>
  <si>
    <t>Reconoce el lenguaje textil, los principios de diseño responsable y los procesos industriales, para elaborar propuestas gráficas de estampación acordes con criterios sostenibles.</t>
  </si>
  <si>
    <t>1.	Conceptos básicos 
2.	El lenguaje de las telas y sus aplicaciones en diseño
3.	Diseño sostenible y responsable 
4.	Procesos industriales</t>
  </si>
  <si>
    <t xml:space="preserve">Creación de Colección </t>
  </si>
  <si>
    <r>
      <t xml:space="preserve">
Interpreta teorías de la moda y tendencias culturales, para desarrollar una colección de moda con una propuesta visual y prototipos innovadores sustentados en </t>
    </r>
    <r>
      <rPr>
        <i/>
        <sz val="11"/>
        <color rgb="FF000000"/>
        <rFont val="Gill Sans MT"/>
        <family val="2"/>
      </rPr>
      <t>moodboards</t>
    </r>
    <r>
      <rPr>
        <sz val="11"/>
        <color rgb="FF000000"/>
        <rFont val="Gill Sans MT"/>
        <family val="2"/>
      </rPr>
      <t xml:space="preserve">, mapas mentales o </t>
    </r>
    <r>
      <rPr>
        <i/>
        <sz val="11"/>
        <color rgb="FF000000"/>
        <rFont val="Gill Sans MT"/>
        <family val="2"/>
      </rPr>
      <t>collages</t>
    </r>
    <r>
      <rPr>
        <sz val="11"/>
        <color rgb="FF000000"/>
        <rFont val="Gill Sans MT"/>
        <family val="2"/>
      </rPr>
      <t>.</t>
    </r>
  </si>
  <si>
    <r>
      <t xml:space="preserve">1.	Creación de </t>
    </r>
    <r>
      <rPr>
        <i/>
        <sz val="11"/>
        <color theme="1"/>
        <rFont val="Gill Sans MT"/>
        <family val="2"/>
      </rPr>
      <t>moodboard</t>
    </r>
    <r>
      <rPr>
        <sz val="11"/>
        <color theme="1"/>
        <rFont val="Gill Sans MT"/>
        <family val="2"/>
      </rPr>
      <t xml:space="preserve"> y concepto visual
2.	Elementos estéticos
3.	Desarrollo de colección
4.	Prototipado de colección</t>
    </r>
  </si>
  <si>
    <t>Desarrollo Sostenible</t>
  </si>
  <si>
    <t>Identifica ejemplos de problemas ambientales, sociales y económicos en la sociedad contemporánea para analizar sus causas y efectos desde el enfoque del desarrollo sostenible a escala local y global. 
Compara enfoques y aproximaciones tanto privados como público/colectivos desde la sostenibilidad y otras visiones alternativas para proponer ideas de solución que respondan a los desafíos contemporáneos.</t>
  </si>
  <si>
    <t> </t>
  </si>
  <si>
    <t xml:space="preserve">1. Análisis de la Era del Antropoceno 
2. Otras Alternativas al Desarrollo Sostenible 
3. Ciudadanía y Políticas Públicas para el Desarrollo Sostenible 
4. El aporte de Negocios para la Búsqueda del Desarrollo Sostenible </t>
  </si>
  <si>
    <t>Trabajo directo:
Encuentros sincrónicos
Mensajería interna
Anuncios
Trabajo independiente:
Lecturas fundamentales y complementarias
Material de trabajo
Participación en foros</t>
  </si>
  <si>
    <t>Imagen Digital</t>
  </si>
  <si>
    <t>Aplica técnicas de representación bi y tridimensional en medios digitales, para proponer soluciones de diseño que respondan a necesidades de usuario y contexto.</t>
  </si>
  <si>
    <t>1. Introducción a la imagen digital
2. Dibujo vectorial
3. Color y pinceles
4. Texto, calco y finalización</t>
  </si>
  <si>
    <t>Colección Sostenible</t>
  </si>
  <si>
    <t>Produce artefactos de moda, integrando teorías de la moda y tendencias culturales con principios de sostenibilidad y economía circular, para proponer colecciones ecoamigables.</t>
  </si>
  <si>
    <t xml:space="preserve">1.	Introducción a la sostenibilidad y concepto de colección 1
2.	Concepto de colección 2
3.	Diseño empático y  moda circular 
4.	Desarrollo de colección y consumidor sostenible </t>
  </si>
  <si>
    <t>Confección Femenina y Masculina</t>
  </si>
  <si>
    <t>Aplica procesos y principios de confección de prendas femeninas y masculinas, para elaborar vestuario empleando maquinaria y recursos apropiados al tipo de prenda y sus requerimientos técnicos.</t>
  </si>
  <si>
    <t>1.	Conocimiento de la maquinaria
2.	Confección de prendas Femeninas
3.	Confección de prendas Masculinas
4.	Confección de diseños de interpretación</t>
  </si>
  <si>
    <t>Ilustración para la Moda</t>
  </si>
  <si>
    <t>Aplica herramientas digitales y recursos propios del diseño de moda, para representar gráficamente una colección que exprese un concepto y estilo alineado con la identidad de marca.</t>
  </si>
  <si>
    <t>1.	Introducción a la Ilustración 
2.	Digitalización de Imágenes 
3.	Creación del figurín de moda digital
4.	Desarrollo de portafolio y/o editorial de moda</t>
  </si>
  <si>
    <t>Fundamentos de Fotografía</t>
  </si>
  <si>
    <t>Reconoce los fundamentos técnicos y conceptuales de la fotografía, para aplicar criterios básicos en la valoración de imágenes según su intención comunicativa y tipología visual.</t>
  </si>
  <si>
    <t>1. Contexto y antecedentes de la fotografía
2. Fundamentos técnicos de la fotografía
3. Producción de la imagen fotográfica
4. Tipologías de la imagen fotográfica</t>
  </si>
  <si>
    <t>Editorial de Moda</t>
  </si>
  <si>
    <t>Construye productos editoriales de moda que integre estética, historia y propuesta de estilo, para comunicar una visión de marca mediante la dirección de arte, estilismo, fotografía y edición.</t>
  </si>
  <si>
    <t>1.	Conceptualización y Narrativa Visual
2.	Dirección de Arte y Estilismo
3.	Producción y Fotografía Editorial
4.	Postproducción y Diseño Editorial</t>
  </si>
  <si>
    <t>Colección de Accesorios</t>
  </si>
  <si>
    <t>Diseña una colección de accesorios considerando proporciones, materiales y técnicas artesanales, para desarrollar prototipos que respondan a criterios estéticos y funcionales definidos en la conceptualización.</t>
  </si>
  <si>
    <t>1.	Conceptualización del montaje de una colección de accesorios
2.	Formas, proporciones, materiales y procesos 
3.	Técnicas artesanales
4.	Prototipado de accesorios</t>
  </si>
  <si>
    <t>Patronaje y Confección Lencería y Gala</t>
  </si>
  <si>
    <t>Estructura procesos de patronaje y confección, para elaborar prendas íntimas, vestidos de baño y de alta moda acordes con los requerimientos técnicos, funcionales y estéticos del tipo de prenda.</t>
  </si>
  <si>
    <t>1.	Antropometría
2.	Patronaje de prendas de vestir íntimas
3.	Patronaje de vestidos de gala
4.	Confección de lencería y gala</t>
  </si>
  <si>
    <t>Innovación Textil</t>
  </si>
  <si>
    <t>Selecciona materiales y tecnologías textiles, para proponer mejoras funcionales o estéticas en productos de moda, considerando tendencias actuales y necesidades del sector.</t>
  </si>
  <si>
    <t>1. Transformación de superficies
2. Anatomía textil
3. Vestuario como signo
4. Diseño dinámico</t>
  </si>
  <si>
    <t>Patronaje Digital</t>
  </si>
  <si>
    <t>Utiliza herramientas digitales para crear patrones, dibujos planos y fichas técnicas que respondan a las necesidades técnicas y de escala del contexto industrial.</t>
  </si>
  <si>
    <t>1.	Dibujo Plano 
2.	Fichas Técnicas
3.	Patronaje Digital
4.	Tendido Industrial</t>
  </si>
  <si>
    <t>Colección de Gran Formato</t>
  </si>
  <si>
    <t>Interpreta teorías de la moda y tendencias culturales, para desarrollar una colección de moda de gran formato con una propuesta visual y prototipos innovadores sustentados en moodboards, mapas mentales o collages.</t>
  </si>
  <si>
    <t>1.	Conceptualización del montaje de una colección
2.	Consumidor final 
3.	Desarrollo de colección a gran formato
4.	Prototipo de colección a gran formato</t>
  </si>
  <si>
    <t>Comunicación y Estética</t>
  </si>
  <si>
    <t>Analiza discursos visuales y mediáticos desde los conceptos de estética y comunicación, para crear una producción visual, audiovisual o textual que exprese cómo se configuran significados y representaciones sociales en la cultura contemporánea.</t>
  </si>
  <si>
    <t>1. Las formas de la imagen. Relación de la estética con la construcción de relatos.
2. Del espectador al usuario-consumidor. Mecanismos socioculturales de la construcción de sentido.
3. Del prosumidor al co-creador algorítmico. Estéticas de la interacción y la personalización en la era de la IA.
4. Más allá de la representación. La imagen sintética, la post-fotografía y las estéticas generativas</t>
  </si>
  <si>
    <t>Fundamentos de Mercadeo y Publicidad</t>
  </si>
  <si>
    <t>Relaciona los conceptos y procesos fundamentales del mercadeo y la comunicación publicitaria para describir propuestas de valor que integren el análisis del mercado, la identificación de necesidades del consumidor y los elementos centrales de la mezcla de mercadeo y del proceso publicitario.</t>
  </si>
  <si>
    <t>1. Conceptualización del Mercadeo y proceso de mercadeo
2. Conocimiento del mercado y los consumidores
3. Diseño de la estrategia y mezcla de Mercadeo orientadas al cliente
4. Conceptualización de la Publicidad y el proceso creativo</t>
  </si>
  <si>
    <t>Investigación Creación</t>
  </si>
  <si>
    <t>Relaciona tipologías de investigación a través de la concreción de ideas para formular proyectos de investigación-creación.
Vincula el diseño con métodos y técnicas de investigación para generar propuestas de solución a problemas de diseño.
Incorpora en los procesos creativos los conceptos teóricos y las habilidades investigativas para construir propuestas de investigación-creación.</t>
  </si>
  <si>
    <t xml:space="preserve">1. ¿Qué es la investigación-creación?
2. Concepción de ideas y planeación
3. Definición y desarrollo
4. Escenarios de divulgación </t>
  </si>
  <si>
    <t>Taller de Diseño Estratégico</t>
  </si>
  <si>
    <t>Establece el nivel de inserción del diseño de una organización o comunidad, para diseñar un proyecto factible y viable. 
Interpreta metodologías de investigación cualitativa y de diseño para aplicarlas en la generación de propuestas de diseño.</t>
  </si>
  <si>
    <t>1. Inserción estratégica del diseño: metodologías de análisis social y organizacional
2. Campos de acción desde el diseño: metodologías de diseño
3. Gestión de proyectos de diseño
4. Emprendimiento a través del diseño</t>
  </si>
  <si>
    <t>Las estrategias pueden variar entre estas u otras:
Trabajo directo
Clase magistral activa/Análisis o Estudio de casos/Resolución de problemas/Talleres prácticos
Trabajo independiente
Lecturas relacionadas o de materiales complementarios/Resolución de problemas/Ejercicios aplicados/Desarrollo de proyectos/Talleres grupales o individuales/Análisis o Estudio de casos/Interlocución con organizaciones/Trabajo de campo/Elaboración de informes o documentos técnicos</t>
  </si>
  <si>
    <t>Ensamblaje y Producción</t>
  </si>
  <si>
    <t>Ejecuta procesos de producción industrial del campo de la moda, para crear productos viables que respondan a los requerimientos técnicos, operativos y de factibilidad.</t>
  </si>
  <si>
    <t>1.	Escalado 
2.	Plantas de Producción
3.	Análisis de Costos
4.	Sistemas de Producción</t>
  </si>
  <si>
    <t>Vitrinismo</t>
  </si>
  <si>
    <t>Realiza montajes de vitrinas aplicando técnicas adecuadas, seleccionando materiales pertinentes para comunicar efectivamente la identidad de marca, considerando criterios de composición, color, iluminación y tendencias visuales.</t>
  </si>
  <si>
    <t>1.	Fundamentos del Vitrinismo y Comunicación Visual
2.	Diseño Conceptual y Creatividad Aplicada
3.	Técnicas de Montaje y Producción
4.	Evaluación y Gestión de Proyectos de Vitrinismo</t>
  </si>
  <si>
    <t>Electiva 1</t>
  </si>
  <si>
    <t>Electiva 2</t>
  </si>
  <si>
    <t>Vestuario Escénico</t>
  </si>
  <si>
    <t xml:space="preserve">
Identifica la estética y las funciones asociadas con la creación de indumentaria destinada a personajes, para diseñar propuestas coherentes con la narrativa escénica y performativa.</t>
  </si>
  <si>
    <t>1.	Introducción al vestuario escénico.
2.	La investigación del vestuario escénico.
3.	El diseño de vestuario escénico y desarrollo del proyecto final.
4.	Proyecto final de vestuario.</t>
  </si>
  <si>
    <t>Proyecto Aplicado</t>
  </si>
  <si>
    <t>Aplica conocimientos teóricos y técnicos del diseño, así como éticos y de responsabilidad social, para resolver problemas según el contexto de aplicación.
Propone soluciones innovadoras a problemas reales derivados del análisis de información y el estudio del entorno social, para generar propuestas de diseño gráfico que solucionen problemas o atiendan a satisfacer necesidades del contexto.</t>
  </si>
  <si>
    <t>1. Identificación, diagnóstico y rastreo
2. Planteamiento de la ruta proyectual
3. Desarrollo de la propuesta de diseño
4. Implementación y evaluación</t>
  </si>
  <si>
    <t>Electiva 3</t>
  </si>
  <si>
    <t>Electiva 4</t>
  </si>
  <si>
    <t>Total asignaturas del programa</t>
  </si>
  <si>
    <t>Total créditos programa</t>
  </si>
  <si>
    <t>Total créditos bloque institucional</t>
  </si>
  <si>
    <t>Total créditos bloque disciplinar</t>
  </si>
  <si>
    <t>Total créditos bloque electivo</t>
  </si>
  <si>
    <t>Verbos Competencias</t>
  </si>
  <si>
    <t>Actualizar</t>
  </si>
  <si>
    <t>Administrar</t>
  </si>
  <si>
    <t>Asegurar</t>
  </si>
  <si>
    <t>Asesorar</t>
  </si>
  <si>
    <t>Auditar</t>
  </si>
  <si>
    <t>Comunicar</t>
  </si>
  <si>
    <t>Conducir</t>
  </si>
  <si>
    <t>Conocer</t>
  </si>
  <si>
    <t>Definir</t>
  </si>
  <si>
    <t>Desarrollar</t>
  </si>
  <si>
    <t>Dirigir</t>
  </si>
  <si>
    <t>Establecer</t>
  </si>
  <si>
    <t>Evaluar</t>
  </si>
  <si>
    <t>Fiscalizar</t>
  </si>
  <si>
    <t>Formular</t>
  </si>
  <si>
    <t>Generar</t>
  </si>
  <si>
    <t>Hacer</t>
  </si>
  <si>
    <t>Implementar</t>
  </si>
  <si>
    <t>Liderar</t>
  </si>
  <si>
    <t>Modelar</t>
  </si>
  <si>
    <t>Participar</t>
  </si>
  <si>
    <t>Planear</t>
  </si>
  <si>
    <t>Presidir</t>
  </si>
  <si>
    <t>Producir</t>
  </si>
  <si>
    <t>Resolver</t>
  </si>
  <si>
    <t>Sistematizar</t>
  </si>
  <si>
    <t>Supervisar</t>
  </si>
  <si>
    <t>Transformar</t>
  </si>
  <si>
    <t>Validar</t>
  </si>
  <si>
    <t>Verificar</t>
  </si>
  <si>
    <t>Garantizar</t>
  </si>
  <si>
    <t>Interpretar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</si>
  <si>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</si>
  <si>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</si>
  <si>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</si>
  <si>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</si>
  <si>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</si>
  <si>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</si>
  <si>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</si>
  <si>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</si>
  <si>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LK</t>
  </si>
  <si>
    <t>AK</t>
  </si>
  <si>
    <t>ProcedimentalB</t>
  </si>
  <si>
    <t>ActitudinalB</t>
  </si>
  <si>
    <t>ConocimientoB</t>
  </si>
  <si>
    <t>AplicaciónB</t>
  </si>
  <si>
    <t>AnálisisB</t>
  </si>
  <si>
    <t>SíntesisB</t>
  </si>
  <si>
    <t>EvaluaciónB</t>
  </si>
  <si>
    <t>ConocimientoBAK</t>
  </si>
  <si>
    <t>SíntesisBAK</t>
  </si>
  <si>
    <t>EvaluaciónBAK</t>
  </si>
  <si>
    <t>PrecisiónBAK</t>
  </si>
  <si>
    <t>ResponderBAK</t>
  </si>
  <si>
    <t>OrganizarBAK</t>
  </si>
  <si>
    <t>CaracterizarBAK</t>
  </si>
  <si>
    <t>Procesos cognitivos de orden inferior</t>
  </si>
  <si>
    <t>Procesos cognitivos de orden superior</t>
  </si>
  <si>
    <t>HechosLK</t>
  </si>
  <si>
    <t>InformaciónAK</t>
  </si>
  <si>
    <t>Adquirir</t>
  </si>
  <si>
    <t>Aislar</t>
  </si>
  <si>
    <t>Adaptar</t>
  </si>
  <si>
    <t>Aconsejar</t>
  </si>
  <si>
    <t>Acordar</t>
  </si>
  <si>
    <t>Acceder</t>
  </si>
  <si>
    <t>Abrir</t>
  </si>
  <si>
    <t>Arreglar</t>
  </si>
  <si>
    <t>Aceptar</t>
  </si>
  <si>
    <t>Adelantar</t>
  </si>
  <si>
    <t>Acabar</t>
  </si>
  <si>
    <t>RecordarLK</t>
  </si>
  <si>
    <t>ComprenderLK</t>
  </si>
  <si>
    <t>AplicarLK</t>
  </si>
  <si>
    <t>AnalizarLK</t>
  </si>
  <si>
    <t>EvaluarLK</t>
  </si>
  <si>
    <t>CrearLK</t>
  </si>
  <si>
    <t>RecuperaciónAK</t>
  </si>
  <si>
    <t>ComprensiónAK</t>
  </si>
  <si>
    <t>AnálisisAK</t>
  </si>
  <si>
    <t>UsoConocimientoAK</t>
  </si>
  <si>
    <t>MetacogniciónAK</t>
  </si>
  <si>
    <t>SistemadelYoAK</t>
  </si>
  <si>
    <t>ConceptosLK</t>
  </si>
  <si>
    <t>ProcesosMentalesAK</t>
  </si>
  <si>
    <t>Buscar</t>
  </si>
  <si>
    <t>Bosquejar</t>
  </si>
  <si>
    <t>Calisificar</t>
  </si>
  <si>
    <t>Adjuntar</t>
  </si>
  <si>
    <t>Actuar</t>
  </si>
  <si>
    <t>Balancear</t>
  </si>
  <si>
    <t>Admitir</t>
  </si>
  <si>
    <t>Actuar recíprocamente</t>
  </si>
  <si>
    <t>Adoptar</t>
  </si>
  <si>
    <t>Anticipar</t>
  </si>
  <si>
    <t>Afinar</t>
  </si>
  <si>
    <t>Afirmar</t>
  </si>
  <si>
    <t>Clasificar</t>
  </si>
  <si>
    <t>Agrupar</t>
  </si>
  <si>
    <t>ProcedimientoslLK</t>
  </si>
  <si>
    <t>PsicomotorAK</t>
  </si>
  <si>
    <t>Citar</t>
  </si>
  <si>
    <t>Comentar</t>
  </si>
  <si>
    <t>Combinar</t>
  </si>
  <si>
    <t>Calcular</t>
  </si>
  <si>
    <t>Agregar</t>
  </si>
  <si>
    <t>Ajustar</t>
  </si>
  <si>
    <t>Anotar</t>
  </si>
  <si>
    <t>Apoyar</t>
  </si>
  <si>
    <t>Comparar</t>
  </si>
  <si>
    <t>Añadir</t>
  </si>
  <si>
    <t>Elaborar</t>
  </si>
  <si>
    <t>MetacogniciónLK</t>
  </si>
  <si>
    <t>Consignar</t>
  </si>
  <si>
    <t>Componer</t>
  </si>
  <si>
    <t>Categorizar</t>
  </si>
  <si>
    <t>Alinear</t>
  </si>
  <si>
    <t>Ampliar</t>
  </si>
  <si>
    <t>Codificar</t>
  </si>
  <si>
    <t>Aprobar</t>
  </si>
  <si>
    <t>Agradecer</t>
  </si>
  <si>
    <t>Conectar</t>
  </si>
  <si>
    <t>Atender</t>
  </si>
  <si>
    <t>Copiar</t>
  </si>
  <si>
    <t>Contrastar</t>
  </si>
  <si>
    <t>Asumir</t>
  </si>
  <si>
    <t>Maximizar</t>
  </si>
  <si>
    <t>Decir</t>
  </si>
  <si>
    <t>Convertir</t>
  </si>
  <si>
    <t>Articular</t>
  </si>
  <si>
    <t>Arbitrar</t>
  </si>
  <si>
    <t>Apalancar</t>
  </si>
  <si>
    <t>Colocar</t>
  </si>
  <si>
    <t>Apreciar</t>
  </si>
  <si>
    <t>Ambicionar</t>
  </si>
  <si>
    <t>Considerar</t>
  </si>
  <si>
    <t>Demostrar</t>
  </si>
  <si>
    <t>Buscar similitudes</t>
  </si>
  <si>
    <t>Argumentar</t>
  </si>
  <si>
    <t>Mejorar</t>
  </si>
  <si>
    <t>Criticar</t>
  </si>
  <si>
    <t>Construir</t>
  </si>
  <si>
    <t>Aumentar</t>
  </si>
  <si>
    <t>Bajar</t>
  </si>
  <si>
    <t>Autorizar</t>
  </si>
  <si>
    <t>Anhelar</t>
  </si>
  <si>
    <t>Cuestionar</t>
  </si>
  <si>
    <t>Colaborar</t>
  </si>
  <si>
    <t>Discutir</t>
  </si>
  <si>
    <t>Cambiar</t>
  </si>
  <si>
    <t>Minimizar</t>
  </si>
  <si>
    <t>Deletrear</t>
  </si>
  <si>
    <t>Dar ejemplos</t>
  </si>
  <si>
    <t>Armar</t>
  </si>
  <si>
    <t>Asisitir</t>
  </si>
  <si>
    <t>Defender</t>
  </si>
  <si>
    <t>Completar</t>
  </si>
  <si>
    <t>Ejemplificar</t>
  </si>
  <si>
    <t xml:space="preserve">Construir </t>
  </si>
  <si>
    <t>Centrarse</t>
  </si>
  <si>
    <t>ProcedimientosLK</t>
  </si>
  <si>
    <t>Debatir</t>
  </si>
  <si>
    <t>Determinar</t>
  </si>
  <si>
    <t>Atar</t>
  </si>
  <si>
    <t>Comenzar</t>
  </si>
  <si>
    <t>Correr</t>
  </si>
  <si>
    <t>Comportarse bajo condiciones</t>
  </si>
  <si>
    <t xml:space="preserve">Duplicar </t>
  </si>
  <si>
    <t>Esquematizar</t>
  </si>
  <si>
    <t>Pensar</t>
  </si>
  <si>
    <t>Describir</t>
  </si>
  <si>
    <t>Dibujar</t>
  </si>
  <si>
    <t>Computar</t>
  </si>
  <si>
    <t>Desmontar</t>
  </si>
  <si>
    <t>Cortar</t>
  </si>
  <si>
    <t>Coser</t>
  </si>
  <si>
    <t>Desplegar</t>
  </si>
  <si>
    <t>Elegir</t>
  </si>
  <si>
    <t>Explicar</t>
  </si>
  <si>
    <t>Correlacionar</t>
  </si>
  <si>
    <t>Compilar</t>
  </si>
  <si>
    <t xml:space="preserve">Planear </t>
  </si>
  <si>
    <t>Discriminar</t>
  </si>
  <si>
    <t>Concluir</t>
  </si>
  <si>
    <t>Calificar</t>
  </si>
  <si>
    <t>Bailar</t>
  </si>
  <si>
    <t>Cumplir</t>
  </si>
  <si>
    <t>Difundir</t>
  </si>
  <si>
    <t>Asistir</t>
  </si>
  <si>
    <t>Constatar</t>
  </si>
  <si>
    <t>Escribir</t>
  </si>
  <si>
    <t>Expresar</t>
  </si>
  <si>
    <t>Dramatizar</t>
  </si>
  <si>
    <t>Descomponer</t>
  </si>
  <si>
    <t>Proponer</t>
  </si>
  <si>
    <t>Enseñar</t>
  </si>
  <si>
    <t>Deducir</t>
  </si>
  <si>
    <t>Censurar</t>
  </si>
  <si>
    <t>Destapar</t>
  </si>
  <si>
    <t>Contar</t>
  </si>
  <si>
    <t>Aspirar</t>
  </si>
  <si>
    <t>Discernir</t>
  </si>
  <si>
    <t>Contextualizar</t>
  </si>
  <si>
    <t>Leer</t>
  </si>
  <si>
    <t>Generalizar</t>
  </si>
  <si>
    <t>Diferenciar</t>
  </si>
  <si>
    <t>Reescribir</t>
  </si>
  <si>
    <t>Cooperar</t>
  </si>
  <si>
    <t>Exteriorizar</t>
  </si>
  <si>
    <t>Controlar</t>
  </si>
  <si>
    <t>Listar</t>
  </si>
  <si>
    <t>Ilustrar</t>
  </si>
  <si>
    <t>Distinguir</t>
  </si>
  <si>
    <t>Convencer</t>
  </si>
  <si>
    <t>Simplificar</t>
  </si>
  <si>
    <t>Duplicar</t>
  </si>
  <si>
    <t>Detectar</t>
  </si>
  <si>
    <t>Crear</t>
  </si>
  <si>
    <t>Comprobar</t>
  </si>
  <si>
    <t>Docificar</t>
  </si>
  <si>
    <t>Disponer</t>
  </si>
  <si>
    <t>Disipar</t>
  </si>
  <si>
    <t>Aunar</t>
  </si>
  <si>
    <t>Extraer</t>
  </si>
  <si>
    <t>Localizar</t>
  </si>
  <si>
    <t>Inferir</t>
  </si>
  <si>
    <t>Dividir</t>
  </si>
  <si>
    <t>Suponer</t>
  </si>
  <si>
    <t>Etiquetar</t>
  </si>
  <si>
    <t>Diagramar</t>
  </si>
  <si>
    <t>Decidir</t>
  </si>
  <si>
    <t>Concretar</t>
  </si>
  <si>
    <t>Fomentar</t>
  </si>
  <si>
    <t>Memorizar</t>
  </si>
  <si>
    <t xml:space="preserve">Informar </t>
  </si>
  <si>
    <t>Entrevistar</t>
  </si>
  <si>
    <t>Sustituir</t>
  </si>
  <si>
    <t>Examinar</t>
  </si>
  <si>
    <t>Emparejar</t>
  </si>
  <si>
    <t>Conformar</t>
  </si>
  <si>
    <t>Eliminar</t>
  </si>
  <si>
    <t>Compartir</t>
  </si>
  <si>
    <t>Mostrar</t>
  </si>
  <si>
    <t>Hacer uso</t>
  </si>
  <si>
    <t>Encontrar</t>
  </si>
  <si>
    <t>Teorizar</t>
  </si>
  <si>
    <t>ProcesosAK</t>
  </si>
  <si>
    <t>Derivar</t>
  </si>
  <si>
    <t>Constrastar</t>
  </si>
  <si>
    <t>Ejercitar</t>
  </si>
  <si>
    <t>Ejercer</t>
  </si>
  <si>
    <t>Comprender</t>
  </si>
  <si>
    <t>Nombrar</t>
  </si>
  <si>
    <t>Encuestar</t>
  </si>
  <si>
    <t>Testar</t>
  </si>
  <si>
    <t>Grabar</t>
  </si>
  <si>
    <t>Exponer</t>
  </si>
  <si>
    <t>Contabilizar</t>
  </si>
  <si>
    <t>Encajar</t>
  </si>
  <si>
    <t>Emitir</t>
  </si>
  <si>
    <t>Ensanchar</t>
  </si>
  <si>
    <t>Contribuir</t>
  </si>
  <si>
    <t>Percibir</t>
  </si>
  <si>
    <t>Observar</t>
  </si>
  <si>
    <t>Estimar</t>
  </si>
  <si>
    <t>Entallar</t>
  </si>
  <si>
    <t>Enumerar</t>
  </si>
  <si>
    <t>Convocar</t>
  </si>
  <si>
    <t>Preguntar</t>
  </si>
  <si>
    <t>Entregar</t>
  </si>
  <si>
    <t>Omitir</t>
  </si>
  <si>
    <t>Parafrasear</t>
  </si>
  <si>
    <t>Manipular</t>
  </si>
  <si>
    <t>Visualizar</t>
  </si>
  <si>
    <t>Estructurar</t>
  </si>
  <si>
    <t>Desempeñar</t>
  </si>
  <si>
    <t>Corregir</t>
  </si>
  <si>
    <t>Empaquetar</t>
  </si>
  <si>
    <t>Escoger</t>
  </si>
  <si>
    <t>Creer</t>
  </si>
  <si>
    <t>Promover</t>
  </si>
  <si>
    <t>Juzgar</t>
  </si>
  <si>
    <t>Rastrear</t>
  </si>
  <si>
    <t>Predecir</t>
  </si>
  <si>
    <t>Organizar</t>
  </si>
  <si>
    <t>Explorar</t>
  </si>
  <si>
    <t>Esculpir</t>
  </si>
  <si>
    <t>Escuchar</t>
  </si>
  <si>
    <t>Hablar</t>
  </si>
  <si>
    <t>Cuidar</t>
  </si>
  <si>
    <t>Negociar</t>
  </si>
  <si>
    <t>Recitar</t>
  </si>
  <si>
    <t>Inspeccionar</t>
  </si>
  <si>
    <t>Descubrir</t>
  </si>
  <si>
    <t>Experimentar</t>
  </si>
  <si>
    <t>Entrenar</t>
  </si>
  <si>
    <t>Extender</t>
  </si>
  <si>
    <t>Proteger</t>
  </si>
  <si>
    <t>Ofrecer</t>
  </si>
  <si>
    <t>Relacionar</t>
  </si>
  <si>
    <t>Practicar</t>
  </si>
  <si>
    <t>Investigar</t>
  </si>
  <si>
    <t>AutoSistemaAK</t>
  </si>
  <si>
    <t>Mostar</t>
  </si>
  <si>
    <t>Culminar</t>
  </si>
  <si>
    <t>Cotejar</t>
  </si>
  <si>
    <t>Envasar</t>
  </si>
  <si>
    <t>Extirpar</t>
  </si>
  <si>
    <t>Indicar</t>
  </si>
  <si>
    <t>Resumir</t>
  </si>
  <si>
    <t>Motivar</t>
  </si>
  <si>
    <t>Inventariar</t>
  </si>
  <si>
    <t>Ensamblar</t>
  </si>
  <si>
    <t>Guiar</t>
  </si>
  <si>
    <t>Informar</t>
  </si>
  <si>
    <t>Servir</t>
  </si>
  <si>
    <t>Revisar</t>
  </si>
  <si>
    <t>Numerar</t>
  </si>
  <si>
    <t>Estampar</t>
  </si>
  <si>
    <t>Narrar</t>
  </si>
  <si>
    <t>Relatar</t>
  </si>
  <si>
    <t>Soportar</t>
  </si>
  <si>
    <t>Repetir</t>
  </si>
  <si>
    <t>Traducir</t>
  </si>
  <si>
    <t>Seleccionar</t>
  </si>
  <si>
    <t>Ordenar</t>
  </si>
  <si>
    <t>Estimular</t>
  </si>
  <si>
    <t>Industrializar</t>
  </si>
  <si>
    <t>Obrar recíprocamente</t>
  </si>
  <si>
    <t>Terminar</t>
  </si>
  <si>
    <t>Simular</t>
  </si>
  <si>
    <t>Obtener</t>
  </si>
  <si>
    <t>Medir</t>
  </si>
  <si>
    <t>Estudiar</t>
  </si>
  <si>
    <t>Interrogar</t>
  </si>
  <si>
    <t>Revelar</t>
  </si>
  <si>
    <t>Transferir</t>
  </si>
  <si>
    <t>Priorizar</t>
  </si>
  <si>
    <t>Figurar</t>
  </si>
  <si>
    <t>Edificar</t>
  </si>
  <si>
    <t>Instalar</t>
  </si>
  <si>
    <t>Fabricar</t>
  </si>
  <si>
    <t>Llevar</t>
  </si>
  <si>
    <t>Referir</t>
  </si>
  <si>
    <t>Unir</t>
  </si>
  <si>
    <t>Probar</t>
  </si>
  <si>
    <t>Preocuparse de o por</t>
  </si>
  <si>
    <t>Usar</t>
  </si>
  <si>
    <t>Razonar</t>
  </si>
  <si>
    <t>Hipotetizar</t>
  </si>
  <si>
    <t>Mecanizar</t>
  </si>
  <si>
    <t>Ocupar</t>
  </si>
  <si>
    <t>Proporcionar</t>
  </si>
  <si>
    <t>Reorganizar</t>
  </si>
  <si>
    <t>Influir</t>
  </si>
  <si>
    <t>Presentar</t>
  </si>
  <si>
    <t>Operar</t>
  </si>
  <si>
    <t>Filtrar</t>
  </si>
  <si>
    <t>Maniobrar</t>
  </si>
  <si>
    <t>Mover</t>
  </si>
  <si>
    <t>Provocar</t>
  </si>
  <si>
    <t>Resaltar</t>
  </si>
  <si>
    <t>Innovar</t>
  </si>
  <si>
    <t>Hallar</t>
  </si>
  <si>
    <t>Publicar</t>
  </si>
  <si>
    <t>Ratificar</t>
  </si>
  <si>
    <t>Separar</t>
  </si>
  <si>
    <t>Justificar</t>
  </si>
  <si>
    <t>Realizar</t>
  </si>
  <si>
    <t>Reportar</t>
  </si>
  <si>
    <t>Patronar</t>
  </si>
  <si>
    <t>Imprimir</t>
  </si>
  <si>
    <t>Ponderar</t>
  </si>
  <si>
    <t>Subdividir</t>
  </si>
  <si>
    <t>Perforar</t>
  </si>
  <si>
    <t>Impulsar</t>
  </si>
  <si>
    <t>Ser partidario de</t>
  </si>
  <si>
    <t>Recordar</t>
  </si>
  <si>
    <t>Recoger</t>
  </si>
  <si>
    <t>Juntar</t>
  </si>
  <si>
    <t>Poner</t>
  </si>
  <si>
    <t>Opinar</t>
  </si>
  <si>
    <t>Registrar</t>
  </si>
  <si>
    <t>Introducir</t>
  </si>
  <si>
    <t>Limpiar</t>
  </si>
  <si>
    <t>Levantar</t>
  </si>
  <si>
    <t>Quitar</t>
  </si>
  <si>
    <t>Tasar</t>
  </si>
  <si>
    <t>Originar</t>
  </si>
  <si>
    <t>Inventar</t>
  </si>
  <si>
    <t>Modificar</t>
  </si>
  <si>
    <t>Finalizar</t>
  </si>
  <si>
    <t>Reemplazar</t>
  </si>
  <si>
    <t>Persuadir</t>
  </si>
  <si>
    <t>Reproducir</t>
  </si>
  <si>
    <t>Formar</t>
  </si>
  <si>
    <t>Trazar</t>
  </si>
  <si>
    <t>Remover</t>
  </si>
  <si>
    <t>Premiar</t>
  </si>
  <si>
    <t>Ubicar</t>
  </si>
  <si>
    <t>Reparar</t>
  </si>
  <si>
    <t>Rotular</t>
  </si>
  <si>
    <t>Preparar</t>
  </si>
  <si>
    <t>Reponer</t>
  </si>
  <si>
    <t>Recomendar</t>
  </si>
  <si>
    <t>Marcar</t>
  </si>
  <si>
    <t>Mezclar</t>
  </si>
  <si>
    <t>Subrayar</t>
  </si>
  <si>
    <t>Recaudar</t>
  </si>
  <si>
    <t>Mitigar</t>
  </si>
  <si>
    <t>Retirar</t>
  </si>
  <si>
    <t>Recortar</t>
  </si>
  <si>
    <t>Reunir</t>
  </si>
  <si>
    <t>Seguir</t>
  </si>
  <si>
    <t>Perfeccionar</t>
  </si>
  <si>
    <t>Peritar</t>
  </si>
  <si>
    <t>Señalar</t>
  </si>
  <si>
    <t>Sincronizar</t>
  </si>
  <si>
    <t>Planificar</t>
  </si>
  <si>
    <t>Pronosticar</t>
  </si>
  <si>
    <t>Soldar</t>
  </si>
  <si>
    <t>Pintar</t>
  </si>
  <si>
    <t>Suprimir</t>
  </si>
  <si>
    <t>Repartir</t>
  </si>
  <si>
    <t>Porcionar</t>
  </si>
  <si>
    <t>Tapizar</t>
  </si>
  <si>
    <t>Transmitir</t>
  </si>
  <si>
    <t>Proyectar</t>
  </si>
  <si>
    <t>Trasladar</t>
  </si>
  <si>
    <t>Racionar</t>
  </si>
  <si>
    <t>Sugerir</t>
  </si>
  <si>
    <t>Reducir</t>
  </si>
  <si>
    <t>Utilizar</t>
  </si>
  <si>
    <t>Repasar</t>
  </si>
  <si>
    <t>Representar</t>
  </si>
  <si>
    <t>Sacar</t>
  </si>
  <si>
    <t>Vincular</t>
  </si>
  <si>
    <t>Separer</t>
  </si>
  <si>
    <t>Situar</t>
  </si>
  <si>
    <t>Tocar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</si>
</sst>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4"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sz val="12"/>
      <color rgb="FF000000"/>
      <name val="Tahoma"/>
      <family val="2"/>
    </font>
    <font>
      <sz val="14"/>
      <color theme="1"/>
      <name val="Gill Sans MT"/>
      <family val="2"/>
    </font>
    <font>
      <sz val="11"/>
      <color theme="1"/>
      <name val="Gill Sans MT"/>
      <family val="2"/>
    </font>
    <font>
      <sz val="11"/>
      <color rgb="FF000000"/>
      <name val="Gill Sans MT"/>
      <family val="2"/>
    </font>
    <font>
      <sz val="11"/>
      <name val="Calibri"/>
      <family val="2"/>
      <scheme val="minor"/>
    </font>
    <font>
      <sz val="11"/>
      <name val="Gill Sans MT"/>
      <family val="2"/>
    </font>
    <font>
      <sz val="8"/>
      <color theme="0"/>
      <name val="Gill Sans MT"/>
      <family val="2"/>
    </font>
    <font>
      <sz val="11"/>
      <color rgb="FF444444"/>
      <name val="Calibri"/>
      <family val="2"/>
      <charset val="1"/>
    </font>
    <font>
      <sz val="12"/>
      <color rgb="FF000000"/>
      <name val="Arial"/>
      <family val="2"/>
    </font>
    <font>
      <u/>
      <sz val="11"/>
      <color theme="10"/>
      <name val="Calibri"/>
      <family val="2"/>
      <scheme val="minor"/>
    </font>
    <font>
      <b/>
      <sz val="11"/>
      <color rgb="FF000000"/>
      <name val="Gill Sans MT"/>
      <family val="2"/>
    </font>
    <font>
      <sz val="8"/>
      <color rgb="FFFFFFFF"/>
      <name val="Gill Sans MT"/>
      <family val="2"/>
    </font>
    <font>
      <b/>
      <sz val="8"/>
      <color theme="0"/>
      <name val="Gill Sans MT"/>
      <family val="2"/>
    </font>
    <font>
      <b/>
      <sz val="11"/>
      <color rgb="FFFFFFFF"/>
      <name val="Gill Sans MT"/>
      <family val="2"/>
    </font>
    <font>
      <sz val="8"/>
      <color rgb="FF000000"/>
      <name val="Gill Sans MT"/>
      <family val="2"/>
    </font>
    <font>
      <sz val="8"/>
      <color theme="1"/>
      <name val="Gill Sans MT"/>
      <family val="2"/>
    </font>
    <font>
      <sz val="8"/>
      <name val="Gill Sans MT"/>
      <family val="2"/>
    </font>
    <font>
      <b/>
      <sz val="11"/>
      <color rgb="FFFF0000"/>
      <name val="Gill Sans MT"/>
      <family val="2"/>
    </font>
    <font>
      <sz val="10"/>
      <color theme="1"/>
      <name val="Gill Sans MT"/>
      <family val="2"/>
    </font>
    <font>
      <sz val="10"/>
      <color rgb="FF000000"/>
      <name val="Gill Sans MT"/>
      <family val="2"/>
    </font>
    <font>
      <b/>
      <sz val="10"/>
      <color rgb="FFFFFFFF"/>
      <name val="Gill Sans MT"/>
      <family val="2"/>
    </font>
    <font>
      <i/>
      <sz val="11"/>
      <color theme="1"/>
      <name val="Gill Sans MT"/>
      <family val="2"/>
    </font>
    <font>
      <i/>
      <sz val="11"/>
      <color rgb="FF000000"/>
      <name val="Gill Sans MT"/>
      <family val="2"/>
    </font>
    <font>
      <sz val="11"/>
      <color rgb="FFFF0000"/>
      <name val="Gill Sans MT"/>
      <family val="2"/>
    </font>
    <font>
      <b/>
      <sz val="10"/>
      <color theme="1"/>
      <name val="Gill Sans MT"/>
      <family val="2"/>
    </font>
    <font>
      <b/>
      <sz val="10"/>
      <color rgb="FF000000"/>
      <name val="Gill Sans MT"/>
      <family val="2"/>
    </font>
  </fonts>
  <fills count="14">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theme="7" tint="-0.249977111117893"/>
        <bgColor indexed="64"/>
      </patternFill>
    </fill>
    <fill>
      <patternFill patternType="solid">
        <fgColor theme="7" tint="0.79998168889431442"/>
        <bgColor indexed="64"/>
      </patternFill>
    </fill>
    <fill>
      <patternFill patternType="solid">
        <fgColor rgb="FFFFFF00"/>
        <bgColor indexed="64"/>
      </patternFill>
    </fill>
    <fill>
      <patternFill patternType="solid">
        <fgColor rgb="FF0F385A"/>
        <bgColor rgb="FF000000"/>
      </patternFill>
    </fill>
    <fill>
      <patternFill patternType="solid">
        <fgColor rgb="FFDDEBF7"/>
        <bgColor rgb="FF000000"/>
      </patternFill>
    </fill>
    <fill>
      <patternFill patternType="solid">
        <fgColor rgb="FF1FB2DE"/>
        <bgColor rgb="FF000000"/>
      </patternFill>
    </fill>
    <fill>
      <patternFill patternType="solid">
        <fgColor theme="4" tint="0.79998168889431442"/>
        <bgColor indexed="64"/>
      </patternFill>
    </fill>
    <fill>
      <patternFill patternType="solid">
        <fgColor theme="0"/>
        <bgColor indexed="64"/>
      </patternFill>
    </fill>
  </fills>
  <borders count="24">
    <border>
      <left/>
      <right/>
      <top/>
      <bottom/>
      <diagonal/>
    </border>
    <border>
      <left style="thin">
        <color rgb="FF1FB2DE"/>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style="medium">
        <color rgb="FF000000"/>
      </top>
      <bottom/>
      <diagonal/>
    </border>
    <border>
      <left/>
      <right/>
      <top/>
      <bottom style="medium">
        <color rgb="FF000000"/>
      </bottom>
      <diagonal/>
    </border>
    <border>
      <left style="thin">
        <color indexed="64"/>
      </left>
      <right style="thin">
        <color indexed="64"/>
      </right>
      <top style="thin">
        <color indexed="64"/>
      </top>
      <bottom/>
      <diagonal/>
    </border>
    <border>
      <left/>
      <right/>
      <top/>
      <bottom style="medium">
        <color indexed="64"/>
      </bottom>
      <diagonal/>
    </border>
    <border>
      <left/>
      <right/>
      <top style="thin">
        <color auto="1"/>
      </top>
      <bottom/>
      <diagonal/>
    </border>
    <border>
      <left style="thin">
        <color rgb="FF1FB2DE"/>
      </left>
      <right/>
      <top style="thin">
        <color auto="1"/>
      </top>
      <bottom/>
      <diagonal/>
    </border>
    <border>
      <left style="medium">
        <color rgb="FF505050"/>
      </left>
      <right style="thin">
        <color auto="1"/>
      </right>
      <top style="medium">
        <color rgb="FF505050"/>
      </top>
      <bottom style="thin">
        <color auto="1"/>
      </bottom>
      <diagonal/>
    </border>
    <border>
      <left style="thin">
        <color auto="1"/>
      </left>
      <right style="thin">
        <color auto="1"/>
      </right>
      <top style="medium">
        <color rgb="FF505050"/>
      </top>
      <bottom style="thin">
        <color auto="1"/>
      </bottom>
      <diagonal/>
    </border>
    <border>
      <left style="thin">
        <color auto="1"/>
      </left>
      <right style="medium">
        <color rgb="FF505050"/>
      </right>
      <top style="medium">
        <color rgb="FF505050"/>
      </top>
      <bottom style="thin">
        <color auto="1"/>
      </bottom>
      <diagonal/>
    </border>
    <border>
      <left style="medium">
        <color rgb="FF505050"/>
      </left>
      <right/>
      <top/>
      <bottom/>
      <diagonal/>
    </border>
    <border>
      <left/>
      <right style="medium">
        <color rgb="FF505050"/>
      </right>
      <top/>
      <bottom/>
      <diagonal/>
    </border>
    <border>
      <left style="medium">
        <color rgb="FF505050"/>
      </left>
      <right/>
      <top/>
      <bottom style="medium">
        <color rgb="FF505050"/>
      </bottom>
      <diagonal/>
    </border>
    <border>
      <left/>
      <right/>
      <top/>
      <bottom style="medium">
        <color rgb="FF505050"/>
      </bottom>
      <diagonal/>
    </border>
    <border>
      <left/>
      <right style="medium">
        <color rgb="FF505050"/>
      </right>
      <top/>
      <bottom style="medium">
        <color rgb="FF505050"/>
      </bottom>
      <diagonal/>
    </border>
    <border>
      <left style="thin">
        <color auto="1"/>
      </left>
      <right/>
      <top style="medium">
        <color rgb="FF505050"/>
      </top>
      <bottom style="thin">
        <color auto="1"/>
      </bottom>
      <diagonal/>
    </border>
    <border>
      <left/>
      <right/>
      <top style="medium">
        <color indexed="64"/>
      </top>
      <bottom/>
      <diagonal/>
    </border>
    <border>
      <left/>
      <right/>
      <top style="medium">
        <color indexed="64"/>
      </top>
      <bottom style="medium">
        <color indexed="64"/>
      </bottom>
      <diagonal/>
    </border>
    <border>
      <left style="thin">
        <color rgb="FF1FB2DE"/>
      </left>
      <right style="thin">
        <color rgb="FF1FB2DE"/>
      </right>
      <top/>
      <bottom style="thin">
        <color rgb="FF1FB2DE"/>
      </bottom>
      <diagonal/>
    </border>
    <border>
      <left style="thin">
        <color auto="1"/>
      </left>
      <right style="thin">
        <color auto="1"/>
      </right>
      <top/>
      <bottom style="thin">
        <color auto="1"/>
      </bottom>
      <diagonal/>
    </border>
  </borders>
  <cellStyleXfs count="2">
    <xf numFmtId="0" fontId="0" fillId="0" borderId="0"/>
    <xf numFmtId="0" fontId="17" fillId="0" borderId="0" applyNumberFormat="0" applyFill="0" applyBorder="0" applyAlignment="0" applyProtection="0"/>
  </cellStyleXfs>
  <cellXfs count="187">
    <xf numFmtId="0" fontId="0" fillId="0" borderId="0" xfId="0"/>
    <xf numFmtId="0" fontId="3" fillId="0" borderId="0" xfId="0" applyFont="1"/>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8" fillId="0" borderId="0" xfId="0" applyFont="1" applyAlignment="1">
      <alignment horizontal="justify" vertical="center"/>
    </xf>
    <xf numFmtId="0" fontId="0" fillId="0" borderId="0" xfId="0" applyAlignment="1">
      <alignment vertical="center"/>
    </xf>
    <xf numFmtId="0" fontId="8" fillId="0" borderId="0" xfId="0" applyFont="1" applyAlignment="1">
      <alignment horizontal="justify" vertical="center" wrapText="1"/>
    </xf>
    <xf numFmtId="0" fontId="12" fillId="0" borderId="0" xfId="0" applyFont="1" applyAlignment="1">
      <alignment wrapText="1"/>
    </xf>
    <xf numFmtId="0" fontId="10" fillId="0" borderId="0" xfId="0" applyFont="1"/>
    <xf numFmtId="0" fontId="0" fillId="0" borderId="0" xfId="0" applyAlignment="1">
      <alignment horizontal="center" vertical="center"/>
    </xf>
    <xf numFmtId="0" fontId="3" fillId="0" borderId="0" xfId="0" applyFont="1" applyAlignment="1">
      <alignment horizontal="center"/>
    </xf>
    <xf numFmtId="0" fontId="11" fillId="0" borderId="0" xfId="0" applyFont="1" applyAlignment="1">
      <alignment horizontal="center" vertical="center"/>
    </xf>
    <xf numFmtId="0" fontId="5" fillId="0" borderId="0" xfId="0" applyFont="1" applyAlignment="1">
      <alignment horizontal="center" vertical="center"/>
    </xf>
    <xf numFmtId="0" fontId="5" fillId="0" borderId="0" xfId="0" applyFont="1" applyAlignment="1">
      <alignment vertical="center"/>
    </xf>
    <xf numFmtId="0" fontId="11" fillId="0" borderId="0" xfId="0" applyFont="1" applyAlignment="1">
      <alignment vertical="center"/>
    </xf>
    <xf numFmtId="0" fontId="11" fillId="5" borderId="3" xfId="0" applyFont="1" applyFill="1" applyBorder="1" applyAlignment="1">
      <alignment vertical="center"/>
    </xf>
    <xf numFmtId="0" fontId="3" fillId="5" borderId="3" xfId="0" applyFont="1" applyFill="1" applyBorder="1"/>
    <xf numFmtId="0" fontId="11" fillId="0" borderId="3" xfId="0" applyFont="1" applyBorder="1" applyAlignment="1">
      <alignment vertical="center"/>
    </xf>
    <xf numFmtId="0" fontId="3" fillId="0" borderId="3" xfId="0" applyFont="1" applyBorder="1"/>
    <xf numFmtId="0" fontId="11" fillId="5" borderId="4" xfId="0" applyFont="1" applyFill="1" applyBorder="1" applyAlignment="1">
      <alignment vertical="center"/>
    </xf>
    <xf numFmtId="0" fontId="3" fillId="5" borderId="4" xfId="0" applyFont="1" applyFill="1" applyBorder="1"/>
    <xf numFmtId="0" fontId="3" fillId="0" borderId="4" xfId="0" applyFont="1" applyBorder="1"/>
    <xf numFmtId="0" fontId="0" fillId="0" borderId="0" xfId="0" applyAlignment="1">
      <alignment horizontal="left" vertical="center"/>
    </xf>
    <xf numFmtId="0" fontId="0" fillId="0" borderId="0" xfId="0" applyAlignment="1">
      <alignment horizontal="left" vertical="center" wrapText="1"/>
    </xf>
    <xf numFmtId="0" fontId="9" fillId="0" borderId="0" xfId="0" applyFont="1" applyAlignment="1">
      <alignment vertical="center" wrapText="1"/>
    </xf>
    <xf numFmtId="0" fontId="3" fillId="0" borderId="0" xfId="0" applyFont="1" applyAlignment="1">
      <alignment horizontal="center" wrapText="1"/>
    </xf>
    <xf numFmtId="0" fontId="16" fillId="0" borderId="0" xfId="0" applyFont="1" applyAlignment="1">
      <alignment horizontal="center" vertical="center" wrapText="1"/>
    </xf>
    <xf numFmtId="0" fontId="11" fillId="0" borderId="0" xfId="0" applyFont="1" applyAlignment="1">
      <alignment horizontal="center" vertical="center" wrapText="1"/>
    </xf>
    <xf numFmtId="0" fontId="15" fillId="0" borderId="0" xfId="0" applyFont="1" applyAlignment="1">
      <alignment horizontal="left" vertical="center" wrapText="1"/>
    </xf>
    <xf numFmtId="0" fontId="11" fillId="0" borderId="0" xfId="0" applyFont="1" applyAlignment="1">
      <alignment horizontal="left" vertical="center"/>
    </xf>
    <xf numFmtId="0" fontId="11" fillId="0" borderId="0" xfId="0" applyFont="1" applyAlignment="1">
      <alignment vertical="center" wrapText="1"/>
    </xf>
    <xf numFmtId="0" fontId="14" fillId="0" borderId="0" xfId="0" applyFont="1" applyAlignment="1">
      <alignment horizontal="center" vertical="center" wrapText="1"/>
    </xf>
    <xf numFmtId="0" fontId="22" fillId="10" borderId="2" xfId="0" applyFont="1" applyFill="1" applyBorder="1" applyAlignment="1">
      <alignment horizontal="center" vertical="center" wrapText="1"/>
    </xf>
    <xf numFmtId="0" fontId="22" fillId="11" borderId="2" xfId="0" applyFont="1" applyFill="1" applyBorder="1" applyAlignment="1">
      <alignment horizontal="center" vertical="center" wrapText="1"/>
    </xf>
    <xf numFmtId="0" fontId="14" fillId="2" borderId="2" xfId="0" applyFont="1" applyFill="1" applyBorder="1" applyAlignment="1">
      <alignment horizontal="center" vertical="center" wrapText="1"/>
    </xf>
    <xf numFmtId="0" fontId="23" fillId="0" borderId="0" xfId="0" applyFont="1" applyAlignment="1">
      <alignment horizontal="center" vertical="center" wrapText="1"/>
    </xf>
    <xf numFmtId="0" fontId="4" fillId="2" borderId="2" xfId="0" applyFont="1" applyFill="1" applyBorder="1" applyAlignment="1">
      <alignment horizontal="center" vertical="center" wrapText="1"/>
    </xf>
    <xf numFmtId="0" fontId="7" fillId="0" borderId="0" xfId="0" applyFont="1" applyAlignment="1">
      <alignment wrapText="1"/>
    </xf>
    <xf numFmtId="0" fontId="3" fillId="0" borderId="6" xfId="0" applyFont="1" applyBorder="1" applyAlignment="1">
      <alignment horizontal="center" vertical="center" wrapText="1"/>
    </xf>
    <xf numFmtId="0" fontId="3" fillId="0" borderId="6" xfId="0" applyFont="1" applyBorder="1" applyAlignment="1">
      <alignment horizontal="left" vertical="center" wrapText="1"/>
    </xf>
    <xf numFmtId="0" fontId="19" fillId="9" borderId="0" xfId="0" applyFont="1" applyFill="1" applyAlignment="1">
      <alignment horizontal="center" vertical="center" wrapText="1"/>
    </xf>
    <xf numFmtId="0" fontId="22" fillId="0" borderId="0" xfId="0" applyFont="1" applyAlignment="1">
      <alignment horizontal="left" vertical="center" wrapText="1"/>
    </xf>
    <xf numFmtId="0" fontId="21" fillId="2" borderId="2"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11" fillId="0" borderId="0" xfId="0" applyFont="1"/>
    <xf numFmtId="0" fontId="4" fillId="2" borderId="7" xfId="0" applyFont="1" applyFill="1" applyBorder="1" applyAlignment="1">
      <alignment horizontal="center" vertical="center" wrapText="1"/>
    </xf>
    <xf numFmtId="0" fontId="22" fillId="11" borderId="0" xfId="0" applyFont="1" applyFill="1" applyAlignment="1">
      <alignment horizontal="center" vertical="center" wrapText="1"/>
    </xf>
    <xf numFmtId="0" fontId="24" fillId="11" borderId="0" xfId="0" applyFont="1" applyFill="1" applyAlignment="1">
      <alignment horizontal="center" vertical="center" wrapText="1"/>
    </xf>
    <xf numFmtId="0" fontId="6" fillId="11" borderId="0" xfId="0" applyFont="1" applyFill="1" applyAlignment="1">
      <alignment horizontal="center" vertical="center" wrapText="1"/>
    </xf>
    <xf numFmtId="0" fontId="11" fillId="0" borderId="0" xfId="0" applyFont="1" applyAlignment="1">
      <alignment wrapText="1"/>
    </xf>
    <xf numFmtId="0" fontId="3" fillId="0" borderId="6" xfId="0" applyFont="1" applyBorder="1" applyAlignment="1">
      <alignment vertical="center" wrapText="1"/>
    </xf>
    <xf numFmtId="0" fontId="0" fillId="0" borderId="6" xfId="0" applyBorder="1" applyAlignment="1">
      <alignment vertical="center"/>
    </xf>
    <xf numFmtId="0" fontId="13" fillId="0" borderId="0" xfId="0" applyFont="1" applyAlignment="1">
      <alignment horizontal="left" vertical="center" wrapText="1"/>
    </xf>
    <xf numFmtId="0" fontId="21" fillId="9" borderId="0" xfId="0" applyFont="1" applyFill="1" applyAlignment="1">
      <alignment horizontal="center" vertical="center" wrapText="1"/>
    </xf>
    <xf numFmtId="0" fontId="18" fillId="10" borderId="2" xfId="0" applyFont="1" applyFill="1" applyBorder="1" applyAlignment="1">
      <alignment horizontal="center" vertical="center" wrapText="1"/>
    </xf>
    <xf numFmtId="0" fontId="18" fillId="11" borderId="2" xfId="0" applyFont="1" applyFill="1" applyBorder="1" applyAlignment="1">
      <alignment horizontal="center" vertical="center" wrapText="1"/>
    </xf>
    <xf numFmtId="0" fontId="21" fillId="9" borderId="10" xfId="0" applyFont="1" applyFill="1" applyBorder="1" applyAlignment="1">
      <alignment horizontal="center" vertical="center" wrapText="1"/>
    </xf>
    <xf numFmtId="0" fontId="18" fillId="11" borderId="0" xfId="0" applyFont="1" applyFill="1" applyAlignment="1">
      <alignment horizontal="center" vertical="center" wrapText="1"/>
    </xf>
    <xf numFmtId="0" fontId="18" fillId="0" borderId="0" xfId="0" applyFont="1" applyAlignment="1">
      <alignment horizontal="left" vertical="center" wrapText="1"/>
    </xf>
    <xf numFmtId="0" fontId="3" fillId="0" borderId="14" xfId="0" applyFont="1" applyBorder="1"/>
    <xf numFmtId="0" fontId="3" fillId="0" borderId="15" xfId="0" applyFont="1" applyBorder="1"/>
    <xf numFmtId="0" fontId="7" fillId="0" borderId="0" xfId="0" applyFont="1"/>
    <xf numFmtId="0" fontId="7" fillId="8" borderId="0" xfId="0" applyFont="1" applyFill="1"/>
    <xf numFmtId="0" fontId="7" fillId="0" borderId="14" xfId="0" applyFont="1" applyBorder="1"/>
    <xf numFmtId="0" fontId="7" fillId="0" borderId="15" xfId="0" applyFont="1" applyBorder="1"/>
    <xf numFmtId="0" fontId="3" fillId="0" borderId="16" xfId="0" applyFont="1" applyBorder="1"/>
    <xf numFmtId="0" fontId="3" fillId="0" borderId="17" xfId="0" applyFont="1" applyBorder="1"/>
    <xf numFmtId="0" fontId="3" fillId="0" borderId="18" xfId="0" applyFont="1" applyBorder="1"/>
    <xf numFmtId="0" fontId="3" fillId="6" borderId="0" xfId="0" applyFont="1" applyFill="1"/>
    <xf numFmtId="0" fontId="7" fillId="8" borderId="14" xfId="0" applyFont="1" applyFill="1" applyBorder="1"/>
    <xf numFmtId="0" fontId="3" fillId="7" borderId="0" xfId="0" applyFont="1" applyFill="1"/>
    <xf numFmtId="0" fontId="7" fillId="6" borderId="0" xfId="0" applyFont="1" applyFill="1"/>
    <xf numFmtId="0" fontId="25" fillId="8" borderId="0" xfId="0" applyFont="1" applyFill="1"/>
    <xf numFmtId="0" fontId="7" fillId="8" borderId="15" xfId="0" applyFont="1" applyFill="1" applyBorder="1"/>
    <xf numFmtId="0" fontId="11" fillId="0" borderId="0" xfId="0" applyFont="1" applyAlignment="1">
      <alignment horizontal="left" vertical="center" wrapText="1"/>
    </xf>
    <xf numFmtId="0" fontId="19" fillId="9" borderId="2" xfId="0" applyFont="1" applyFill="1" applyBorder="1" applyAlignment="1">
      <alignment horizontal="center" vertical="center" wrapText="1"/>
    </xf>
    <xf numFmtId="0" fontId="24" fillId="11" borderId="2" xfId="0" applyFont="1" applyFill="1" applyBorder="1" applyAlignment="1">
      <alignment horizontal="center" vertical="center" wrapText="1"/>
    </xf>
    <xf numFmtId="0" fontId="23" fillId="0" borderId="0" xfId="0" applyFont="1" applyAlignment="1">
      <alignment horizontal="left" vertical="center" wrapText="1"/>
    </xf>
    <xf numFmtId="0" fontId="21" fillId="9" borderId="2" xfId="0" applyFont="1" applyFill="1" applyBorder="1" applyAlignment="1">
      <alignment horizontal="center" vertical="center" wrapText="1"/>
    </xf>
    <xf numFmtId="0" fontId="6" fillId="11" borderId="2" xfId="0" applyFont="1" applyFill="1" applyBorder="1" applyAlignment="1">
      <alignment horizontal="center" vertical="center" wrapText="1"/>
    </xf>
    <xf numFmtId="0" fontId="7" fillId="0" borderId="0" xfId="0" applyFont="1" applyAlignment="1">
      <alignment horizontal="left" vertical="center" wrapText="1"/>
    </xf>
    <xf numFmtId="0" fontId="3" fillId="0" borderId="8" xfId="0" applyFont="1" applyBorder="1" applyAlignment="1">
      <alignment horizontal="left" vertical="center" wrapText="1"/>
    </xf>
    <xf numFmtId="0" fontId="3" fillId="0" borderId="8" xfId="0" applyFont="1" applyBorder="1" applyAlignment="1">
      <alignment horizontal="center" vertical="center" wrapText="1"/>
    </xf>
    <xf numFmtId="0" fontId="0" fillId="0" borderId="8" xfId="0" applyBorder="1" applyAlignment="1">
      <alignment vertical="center"/>
    </xf>
    <xf numFmtId="0" fontId="12" fillId="0" borderId="0" xfId="0" applyFont="1" applyAlignment="1">
      <alignment vertical="center" wrapText="1"/>
    </xf>
    <xf numFmtId="0" fontId="3" fillId="0" borderId="0" xfId="0" applyFont="1" applyAlignment="1">
      <alignment vertical="center"/>
    </xf>
    <xf numFmtId="0" fontId="13" fillId="0" borderId="9" xfId="0" applyFont="1" applyBorder="1" applyAlignment="1">
      <alignment horizontal="left" vertical="center" wrapText="1"/>
    </xf>
    <xf numFmtId="0" fontId="11" fillId="0" borderId="9" xfId="0" applyFont="1" applyBorder="1" applyAlignment="1">
      <alignment vertical="center" wrapText="1"/>
    </xf>
    <xf numFmtId="0" fontId="11" fillId="0" borderId="8" xfId="0" applyFont="1" applyBorder="1" applyAlignment="1">
      <alignment vertical="center" wrapText="1"/>
    </xf>
    <xf numFmtId="0" fontId="13" fillId="0" borderId="8" xfId="0" applyFont="1" applyBorder="1" applyAlignment="1">
      <alignment horizontal="left" vertical="center" wrapText="1"/>
    </xf>
    <xf numFmtId="0" fontId="11" fillId="0" borderId="8" xfId="0" applyFont="1" applyBorder="1" applyAlignment="1">
      <alignment horizontal="left" vertical="center" wrapText="1"/>
    </xf>
    <xf numFmtId="0" fontId="13" fillId="0" borderId="20" xfId="0" applyFont="1" applyBorder="1" applyAlignment="1">
      <alignment horizontal="left" vertical="center" wrapText="1"/>
    </xf>
    <xf numFmtId="0" fontId="11" fillId="0" borderId="20" xfId="0" applyFont="1" applyBorder="1" applyAlignment="1">
      <alignment vertical="center" wrapText="1"/>
    </xf>
    <xf numFmtId="0" fontId="3" fillId="0" borderId="0" xfId="0" applyFont="1" applyAlignment="1">
      <alignment horizontal="left" vertical="center"/>
    </xf>
    <xf numFmtId="0" fontId="3" fillId="0" borderId="8" xfId="0" applyFont="1" applyBorder="1" applyAlignment="1">
      <alignment horizontal="left" vertical="center"/>
    </xf>
    <xf numFmtId="0" fontId="11" fillId="0" borderId="20" xfId="0" applyFont="1" applyBorder="1" applyAlignment="1">
      <alignment horizontal="left" vertical="center" wrapText="1"/>
    </xf>
    <xf numFmtId="0" fontId="11" fillId="0" borderId="6" xfId="0" applyFont="1" applyBorder="1" applyAlignment="1">
      <alignment vertical="center" wrapText="1"/>
    </xf>
    <xf numFmtId="0" fontId="13" fillId="0" borderId="6" xfId="0" applyFont="1" applyBorder="1" applyAlignment="1">
      <alignment horizontal="left" vertical="center" wrapText="1"/>
    </xf>
    <xf numFmtId="0" fontId="3" fillId="7" borderId="21" xfId="0" applyFont="1" applyFill="1" applyBorder="1" applyAlignment="1">
      <alignment horizontal="left" vertical="center" wrapText="1"/>
    </xf>
    <xf numFmtId="0" fontId="3" fillId="7" borderId="21" xfId="0" applyFont="1" applyFill="1" applyBorder="1" applyAlignment="1">
      <alignment horizontal="center" vertical="center" wrapText="1"/>
    </xf>
    <xf numFmtId="0" fontId="11" fillId="7" borderId="21" xfId="0" applyFont="1" applyFill="1" applyBorder="1" applyAlignment="1">
      <alignment horizontal="center" vertical="center" wrapText="1"/>
    </xf>
    <xf numFmtId="0" fontId="11" fillId="7" borderId="21" xfId="0" applyFont="1" applyFill="1" applyBorder="1" applyAlignment="1">
      <alignment horizontal="left" vertical="center" wrapText="1"/>
    </xf>
    <xf numFmtId="0" fontId="3" fillId="7" borderId="21" xfId="0" applyFont="1" applyFill="1" applyBorder="1" applyAlignment="1">
      <alignment horizontal="center" vertical="center"/>
    </xf>
    <xf numFmtId="49" fontId="3" fillId="7" borderId="21" xfId="0" applyNumberFormat="1" applyFont="1" applyFill="1" applyBorder="1" applyAlignment="1">
      <alignment horizontal="left" vertical="center" wrapText="1"/>
    </xf>
    <xf numFmtId="0" fontId="11" fillId="12" borderId="21" xfId="0" applyFont="1" applyFill="1" applyBorder="1" applyAlignment="1">
      <alignment horizontal="left" vertical="center" wrapText="1"/>
    </xf>
    <xf numFmtId="0" fontId="19" fillId="0" borderId="0" xfId="0" applyFont="1" applyAlignment="1">
      <alignment horizontal="center" vertical="center" wrapText="1"/>
    </xf>
    <xf numFmtId="0" fontId="21" fillId="0" borderId="0" xfId="0" applyFont="1" applyAlignment="1">
      <alignment horizontal="center" vertical="center" wrapText="1"/>
    </xf>
    <xf numFmtId="0" fontId="3" fillId="0" borderId="20" xfId="0" applyFont="1" applyBorder="1" applyAlignment="1">
      <alignment horizontal="left" vertical="center"/>
    </xf>
    <xf numFmtId="0" fontId="3" fillId="0" borderId="0" xfId="0" applyFont="1" applyAlignment="1">
      <alignment horizontal="left"/>
    </xf>
    <xf numFmtId="0" fontId="3" fillId="12" borderId="21" xfId="0" applyFont="1" applyFill="1" applyBorder="1" applyAlignment="1">
      <alignment horizontal="left" vertical="center"/>
    </xf>
    <xf numFmtId="0" fontId="3" fillId="12" borderId="21" xfId="0" applyFont="1" applyFill="1" applyBorder="1" applyAlignment="1">
      <alignment horizontal="center" vertical="center"/>
    </xf>
    <xf numFmtId="0" fontId="3" fillId="12" borderId="21" xfId="0" applyFont="1" applyFill="1" applyBorder="1" applyAlignment="1">
      <alignment horizontal="center" vertical="center" wrapText="1"/>
    </xf>
    <xf numFmtId="0" fontId="3" fillId="12" borderId="21" xfId="0" applyFont="1" applyFill="1" applyBorder="1" applyAlignment="1">
      <alignment horizontal="left" vertical="center" wrapText="1"/>
    </xf>
    <xf numFmtId="0" fontId="11" fillId="12" borderId="21" xfId="0" applyFont="1" applyFill="1" applyBorder="1" applyAlignment="1">
      <alignment horizontal="center" vertical="center"/>
    </xf>
    <xf numFmtId="0" fontId="26" fillId="0" borderId="0" xfId="0" applyFont="1" applyAlignment="1">
      <alignment horizontal="left" vertical="center"/>
    </xf>
    <xf numFmtId="0" fontId="27" fillId="0" borderId="0" xfId="0" applyFont="1" applyAlignment="1">
      <alignment horizontal="left" vertical="center" wrapText="1"/>
    </xf>
    <xf numFmtId="0" fontId="28" fillId="9" borderId="22" xfId="0" applyFont="1" applyFill="1" applyBorder="1" applyAlignment="1">
      <alignment horizontal="center" vertical="center" wrapText="1"/>
    </xf>
    <xf numFmtId="0" fontId="26" fillId="0" borderId="0" xfId="0" applyFont="1" applyAlignment="1">
      <alignment horizontal="center" vertical="center"/>
    </xf>
    <xf numFmtId="0" fontId="26" fillId="0" borderId="0" xfId="0" applyFont="1" applyAlignment="1">
      <alignment horizontal="left" vertical="center" wrapText="1"/>
    </xf>
    <xf numFmtId="0" fontId="26" fillId="0" borderId="0" xfId="0" applyFont="1" applyAlignment="1">
      <alignment horizontal="center" vertical="center" wrapText="1"/>
    </xf>
    <xf numFmtId="0" fontId="28" fillId="9" borderId="23" xfId="0" applyFont="1" applyFill="1" applyBorder="1" applyAlignment="1">
      <alignment horizontal="center" vertical="center" wrapText="1"/>
    </xf>
    <xf numFmtId="0" fontId="27" fillId="0" borderId="0" xfId="0" applyFont="1" applyAlignment="1">
      <alignment horizontal="center" vertical="center" wrapText="1"/>
    </xf>
    <xf numFmtId="0" fontId="26" fillId="0" borderId="0" xfId="0" applyFont="1" applyAlignment="1">
      <alignment horizontal="center"/>
    </xf>
    <xf numFmtId="0" fontId="28" fillId="9" borderId="2" xfId="0" applyFont="1" applyFill="1" applyBorder="1" applyAlignment="1">
      <alignment horizontal="center" vertical="center" wrapText="1"/>
    </xf>
    <xf numFmtId="0" fontId="26" fillId="0" borderId="0" xfId="0" applyFont="1"/>
    <xf numFmtId="0" fontId="24" fillId="0" borderId="0" xfId="0" applyFont="1" applyAlignment="1">
      <alignment horizontal="center" vertical="center" wrapText="1"/>
    </xf>
    <xf numFmtId="0" fontId="22" fillId="0" borderId="0" xfId="0" applyFont="1" applyAlignment="1">
      <alignment horizontal="center" vertical="center" wrapText="1"/>
    </xf>
    <xf numFmtId="0" fontId="13" fillId="0" borderId="0" xfId="0" applyFont="1" applyAlignment="1">
      <alignment vertical="center" wrapText="1"/>
    </xf>
    <xf numFmtId="0" fontId="6" fillId="3" borderId="7" xfId="0" applyFont="1" applyFill="1" applyBorder="1" applyAlignment="1">
      <alignment horizontal="center" vertical="center" wrapText="1"/>
    </xf>
    <xf numFmtId="0" fontId="3" fillId="0" borderId="9" xfId="0" applyFont="1" applyBorder="1" applyAlignment="1">
      <alignment vertical="center" wrapText="1"/>
    </xf>
    <xf numFmtId="0" fontId="3" fillId="0" borderId="9" xfId="0" applyFont="1" applyBorder="1" applyAlignment="1">
      <alignment horizontal="left" vertical="center" wrapText="1"/>
    </xf>
    <xf numFmtId="0" fontId="11" fillId="13" borderId="8" xfId="0" applyFont="1" applyFill="1" applyBorder="1" applyAlignment="1">
      <alignment vertical="center" wrapText="1"/>
    </xf>
    <xf numFmtId="0" fontId="13" fillId="0" borderId="8" xfId="0" applyFont="1" applyBorder="1" applyAlignment="1">
      <alignment vertical="center" wrapText="1"/>
    </xf>
    <xf numFmtId="0" fontId="32" fillId="0" borderId="0" xfId="0" applyFont="1" applyAlignment="1">
      <alignment horizontal="center" vertical="center"/>
    </xf>
    <xf numFmtId="0" fontId="33" fillId="0" borderId="0" xfId="0" applyFont="1" applyAlignment="1">
      <alignment horizontal="center" vertical="center" wrapText="1"/>
    </xf>
    <xf numFmtId="0" fontId="3" fillId="0" borderId="20" xfId="0" applyFont="1" applyBorder="1" applyAlignment="1">
      <alignment horizontal="left" vertical="center" wrapText="1"/>
    </xf>
    <xf numFmtId="0" fontId="3" fillId="0" borderId="0" xfId="0" applyFont="1" applyAlignment="1">
      <alignment horizontal="left" vertical="center" wrapText="1"/>
    </xf>
    <xf numFmtId="0" fontId="3" fillId="0" borderId="8" xfId="0" applyFont="1" applyBorder="1" applyAlignment="1">
      <alignment horizontal="left" vertical="center" wrapText="1"/>
    </xf>
    <xf numFmtId="0" fontId="3" fillId="0" borderId="0" xfId="0" applyFont="1" applyAlignment="1">
      <alignment horizontal="left" vertical="center"/>
    </xf>
    <xf numFmtId="0" fontId="3" fillId="0" borderId="8" xfId="0" applyFont="1" applyBorder="1" applyAlignment="1">
      <alignment horizontal="left" vertical="center"/>
    </xf>
    <xf numFmtId="0" fontId="19" fillId="9" borderId="2" xfId="0" applyFont="1" applyFill="1" applyBorder="1" applyAlignment="1">
      <alignment horizontal="center" vertical="center" wrapText="1"/>
    </xf>
    <xf numFmtId="0" fontId="3" fillId="0" borderId="20" xfId="0" applyFont="1" applyBorder="1" applyAlignment="1">
      <alignment horizontal="center" vertical="center" wrapText="1"/>
    </xf>
    <xf numFmtId="0" fontId="3" fillId="0" borderId="0" xfId="0" applyFont="1" applyAlignment="1">
      <alignment horizontal="center" vertical="center" wrapText="1"/>
    </xf>
    <xf numFmtId="0" fontId="3" fillId="0" borderId="8" xfId="0" applyFont="1" applyBorder="1" applyAlignment="1">
      <alignment horizontal="center" vertical="center" wrapText="1"/>
    </xf>
    <xf numFmtId="0" fontId="11" fillId="0" borderId="20" xfId="0" applyFont="1" applyBorder="1" applyAlignment="1">
      <alignment horizontal="center" vertical="center" wrapText="1"/>
    </xf>
    <xf numFmtId="0" fontId="11" fillId="0" borderId="0" xfId="0" applyFont="1" applyAlignment="1">
      <alignment horizontal="center" vertical="center" wrapText="1"/>
    </xf>
    <xf numFmtId="0" fontId="11" fillId="0" borderId="20" xfId="0" applyFont="1" applyBorder="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center" vertical="center"/>
    </xf>
    <xf numFmtId="0" fontId="11" fillId="0" borderId="8" xfId="0" applyFont="1" applyBorder="1" applyAlignment="1">
      <alignment horizontal="center" vertical="center"/>
    </xf>
    <xf numFmtId="0" fontId="11" fillId="0" borderId="8" xfId="0" applyFont="1" applyBorder="1" applyAlignment="1">
      <alignment horizontal="left" vertical="center" wrapText="1"/>
    </xf>
    <xf numFmtId="0" fontId="11" fillId="0" borderId="8" xfId="0" applyFont="1" applyBorder="1" applyAlignment="1">
      <alignment horizontal="center" vertical="center" wrapText="1"/>
    </xf>
    <xf numFmtId="0" fontId="11" fillId="0" borderId="20" xfId="0" applyFont="1" applyBorder="1" applyAlignment="1">
      <alignment horizontal="center" vertical="center"/>
    </xf>
    <xf numFmtId="0" fontId="13" fillId="0" borderId="20" xfId="0" applyFont="1" applyBorder="1" applyAlignment="1">
      <alignment horizontal="center" vertical="center" wrapText="1"/>
    </xf>
    <xf numFmtId="0" fontId="13" fillId="0" borderId="0" xfId="0" applyFont="1" applyAlignment="1">
      <alignment horizontal="center" vertical="center" wrapText="1"/>
    </xf>
    <xf numFmtId="0" fontId="13" fillId="0" borderId="8" xfId="0" applyFont="1" applyBorder="1" applyAlignment="1">
      <alignment horizontal="center" vertical="center" wrapText="1"/>
    </xf>
    <xf numFmtId="0" fontId="13" fillId="0" borderId="20" xfId="0" applyFont="1" applyBorder="1" applyAlignment="1">
      <alignment horizontal="left" vertical="center" wrapText="1"/>
    </xf>
    <xf numFmtId="0" fontId="13" fillId="0" borderId="0" xfId="0" applyFont="1" applyAlignment="1">
      <alignment horizontal="left" vertical="center" wrapText="1"/>
    </xf>
    <xf numFmtId="0" fontId="13" fillId="0" borderId="8" xfId="0" applyFont="1" applyBorder="1" applyAlignment="1">
      <alignment horizontal="left" vertical="center" wrapText="1"/>
    </xf>
    <xf numFmtId="0" fontId="31" fillId="0" borderId="0" xfId="0" applyFont="1" applyAlignment="1">
      <alignment horizontal="left" vertical="center" wrapText="1"/>
    </xf>
    <xf numFmtId="0" fontId="31" fillId="0" borderId="8" xfId="0" applyFont="1" applyBorder="1" applyAlignment="1">
      <alignment horizontal="left" vertical="center" wrapText="1"/>
    </xf>
    <xf numFmtId="0" fontId="3" fillId="0" borderId="9" xfId="0" applyFont="1" applyBorder="1" applyAlignment="1">
      <alignment horizontal="left" vertical="center" wrapText="1"/>
    </xf>
    <xf numFmtId="0" fontId="14" fillId="2" borderId="2" xfId="0" applyFont="1" applyFill="1" applyBorder="1" applyAlignment="1">
      <alignment horizontal="center" vertical="center" wrapText="1"/>
    </xf>
    <xf numFmtId="0" fontId="3" fillId="0" borderId="9" xfId="0" applyFont="1" applyBorder="1" applyAlignment="1">
      <alignment horizontal="center" vertical="center" wrapText="1"/>
    </xf>
    <xf numFmtId="0" fontId="3" fillId="0" borderId="9" xfId="0" applyFont="1" applyBorder="1" applyAlignment="1">
      <alignment vertical="center" wrapText="1"/>
    </xf>
    <xf numFmtId="0" fontId="3" fillId="0" borderId="0" xfId="0" applyFont="1" applyAlignment="1">
      <alignment vertical="center" wrapText="1"/>
    </xf>
    <xf numFmtId="0" fontId="21" fillId="9" borderId="1" xfId="0" applyFont="1" applyFill="1" applyBorder="1" applyAlignment="1">
      <alignment horizontal="center" vertical="center" wrapText="1"/>
    </xf>
    <xf numFmtId="0" fontId="21" fillId="9" borderId="0" xfId="0" applyFont="1" applyFill="1" applyAlignment="1">
      <alignment horizontal="center" vertical="center" wrapText="1"/>
    </xf>
    <xf numFmtId="0" fontId="11" fillId="0" borderId="6" xfId="0" applyFont="1" applyBorder="1" applyAlignment="1">
      <alignment horizontal="center" vertical="center" wrapText="1"/>
    </xf>
    <xf numFmtId="0" fontId="13" fillId="0" borderId="9" xfId="0" applyFont="1" applyBorder="1" applyAlignment="1">
      <alignment horizontal="left" vertical="center" wrapText="1"/>
    </xf>
    <xf numFmtId="0" fontId="11" fillId="0" borderId="6" xfId="0" applyFont="1" applyBorder="1" applyAlignment="1">
      <alignment horizontal="left" vertical="center" wrapText="1"/>
    </xf>
    <xf numFmtId="0" fontId="11" fillId="0" borderId="5" xfId="0" applyFont="1" applyBorder="1" applyAlignment="1">
      <alignment horizontal="left" vertical="center" wrapText="1"/>
    </xf>
    <xf numFmtId="0" fontId="11" fillId="0" borderId="5" xfId="0" applyFont="1" applyBorder="1" applyAlignment="1">
      <alignment horizontal="center" vertical="center" wrapText="1"/>
    </xf>
    <xf numFmtId="0" fontId="11" fillId="0" borderId="9" xfId="0" applyFont="1" applyBorder="1" applyAlignment="1">
      <alignment horizontal="center" vertical="center" wrapText="1"/>
    </xf>
    <xf numFmtId="0" fontId="3" fillId="0" borderId="0" xfId="0" applyFont="1" applyAlignment="1">
      <alignment horizontal="center"/>
    </xf>
    <xf numFmtId="0" fontId="5" fillId="4" borderId="11" xfId="0" applyFont="1" applyFill="1" applyBorder="1" applyAlignment="1">
      <alignment horizontal="center"/>
    </xf>
    <xf numFmtId="0" fontId="5" fillId="4" borderId="12" xfId="0" applyFont="1" applyFill="1" applyBorder="1" applyAlignment="1">
      <alignment horizontal="center"/>
    </xf>
    <xf numFmtId="0" fontId="5" fillId="4" borderId="19" xfId="0" applyFont="1" applyFill="1" applyBorder="1" applyAlignment="1">
      <alignment horizontal="center"/>
    </xf>
    <xf numFmtId="0" fontId="4" fillId="4" borderId="11" xfId="0" applyFont="1" applyFill="1" applyBorder="1" applyAlignment="1">
      <alignment horizontal="center"/>
    </xf>
    <xf numFmtId="0" fontId="4" fillId="4" borderId="12" xfId="0" applyFont="1" applyFill="1" applyBorder="1" applyAlignment="1">
      <alignment horizontal="center"/>
    </xf>
    <xf numFmtId="0" fontId="4" fillId="4" borderId="19" xfId="0" applyFont="1" applyFill="1" applyBorder="1" applyAlignment="1">
      <alignment horizontal="center"/>
    </xf>
    <xf numFmtId="0" fontId="4" fillId="4" borderId="13" xfId="0" applyFont="1" applyFill="1" applyBorder="1" applyAlignment="1">
      <alignment horizontal="center"/>
    </xf>
  </cellXfs>
  <cellStyles count="2">
    <cellStyle name="Hyperlink" xfId="1" xr:uid="{00000000-000B-0000-0000-000008000000}"/>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4"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 name="Invisible" pivot="0" table="0" count="0" xr9:uid="{FDE9E98A-DCC2-4F0A-A3A3-25200F4593AD}"/>
  </tableStyles>
  <colors>
    <mruColors>
      <color rgb="FFEECDFF"/>
      <color rgb="FFCC66FF"/>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ersonal/rgomezva_poligran_edu_co/Documents/2023-2/Reforzamiento%202023/05.Formato%20programas%20reforzamiento%20-%20Pregrado%20Ing%20Telecomunicaciones.xlsx" TargetMode="External"/><Relationship Id="rId2" Type="http://schemas.openxmlformats.org/officeDocument/2006/relationships/externalLinkPath" Target="https://poligran-my.sharepoint.com/personal/rgomezva_poligran_edu_co/Documents/2023-2/Reforzamiento%202023/05.Formato%20programas%20reforzamiento%20-%20Pregrado%20Ing%20Telecomunicaciones.xlsx" TargetMode="External"/><Relationship Id="rId1" Type="http://schemas.openxmlformats.org/officeDocument/2006/relationships/externalLinkPath" Target="/personal/rgomezva_poligran_edu_co/Documents/2023-2/Reforzamiento%202023/05.Formato%20programas%20reforzamiento%20-%20Pregrado%20Ing%20Telecomunicacion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lla - Listado"/>
      <sheetName val="Malla - Gráfica"/>
      <sheetName val="Hoja1"/>
      <sheetName val="Malla con formulas"/>
      <sheetName val="Malla Definitiva "/>
    </sheetNames>
    <sheetDataSet>
      <sheetData sheetId="0"/>
      <sheetData sheetId="1"/>
      <sheetData sheetId="2"/>
      <sheetData sheetId="3"/>
      <sheetData sheetId="4"/>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62A7F4C-394D-4A63-8C31-6F5A9FA00CF6}" name="VerbCompetencias" displayName="VerbCompetencias" ref="B1:B38" totalsRowShown="0" headerRowDxfId="148" dataDxfId="147">
  <autoFilter ref="B1:B38" xr:uid="{362A7F4C-394D-4A63-8C31-6F5A9FA00CF6}"/>
  <sortState xmlns:xlrd2="http://schemas.microsoft.com/office/spreadsheetml/2017/richdata2" ref="B2:B35">
    <sortCondition ref="B2:B36"/>
  </sortState>
  <tableColumns count="1">
    <tableColumn id="1" xr3:uid="{C53878DF-DD9D-4BBB-AA09-333631D819CF}"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3FC897C-51A8-40FA-8A6D-16607E1D9337}" name="Taxonomías" displayName="Taxonomías" ref="A3:A7" totalsRowShown="0" headerRowDxfId="145" dataDxfId="144">
  <autoFilter ref="A3:A7" xr:uid="{A3FC897C-51A8-40FA-8A6D-16607E1D9337}"/>
  <tableColumns count="1">
    <tableColumn id="1" xr3:uid="{9C710A73-5A6C-4D74-8D35-0922144756C8}"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86ADC35-7E11-47CD-8C4E-82C0161878CB}" name="RecordarLK" displayName="RecordarLK" ref="AL4:AL32" totalsRowShown="0" headerRowDxfId="142" dataDxfId="141">
  <autoFilter ref="AL4:AL32" xr:uid="{A86ADC35-7E11-47CD-8C4E-82C0161878CB}"/>
  <sortState xmlns:xlrd2="http://schemas.microsoft.com/office/spreadsheetml/2017/richdata2" ref="AL5:AL32">
    <sortCondition ref="AL5:AL32"/>
  </sortState>
  <tableColumns count="1">
    <tableColumn id="1" xr3:uid="{F7B2547F-39DF-4AD1-9376-DD71A4B15A3A}"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C141AD-DB0A-405B-97B0-CD0559E3B18F}" name="ComprenderLK" displayName="ComprenderLK" ref="AM4:AM28" totalsRowShown="0" headerRowDxfId="139" dataDxfId="138">
  <autoFilter ref="AM4:AM28" xr:uid="{E7C141AD-DB0A-405B-97B0-CD0559E3B18F}"/>
  <sortState xmlns:xlrd2="http://schemas.microsoft.com/office/spreadsheetml/2017/richdata2" ref="AM5:AM28">
    <sortCondition ref="AM5:AM28"/>
  </sortState>
  <tableColumns count="1">
    <tableColumn id="1" xr3:uid="{E2F2B0BD-0E45-4150-BBD9-45A498927A6E}"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111ABA6-04F8-4D19-92A4-BCB2EC5874FA}" name="AplicarLK" displayName="AplicarLK" ref="AN4:AN31" totalsRowShown="0" headerRowDxfId="136" dataDxfId="135">
  <autoFilter ref="AN4:AN31" xr:uid="{2111ABA6-04F8-4D19-92A4-BCB2EC5874FA}"/>
  <sortState xmlns:xlrd2="http://schemas.microsoft.com/office/spreadsheetml/2017/richdata2" ref="AN5:AN31">
    <sortCondition ref="AN5:AN31"/>
  </sortState>
  <tableColumns count="1">
    <tableColumn id="1" xr3:uid="{9C17BB53-94FB-40C6-97C9-CFE593630CE7}"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D6D0D10-1ACF-4417-AA9F-28C39B98EEDD}" name="AnalizarLK" displayName="AnalizarLK" ref="AO4:AO35" totalsRowShown="0" headerRowDxfId="133" dataDxfId="132">
  <autoFilter ref="AO4:AO35" xr:uid="{ED6D0D10-1ACF-4417-AA9F-28C39B98EEDD}"/>
  <sortState xmlns:xlrd2="http://schemas.microsoft.com/office/spreadsheetml/2017/richdata2" ref="AO5:AO35">
    <sortCondition ref="AO5:AO35"/>
  </sortState>
  <tableColumns count="1">
    <tableColumn id="1" xr3:uid="{94CE16FD-AAEE-43D4-8FDC-0CD1A9802B14}"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B2C1126-FD42-4594-A570-542F3A42FFD5}" name="EvaluarLK" displayName="EvaluarLK" ref="AP4:AP47" totalsRowShown="0" headerRowDxfId="130" dataDxfId="129">
  <autoFilter ref="AP4:AP47" xr:uid="{5B2C1126-FD42-4594-A570-542F3A42FFD5}"/>
  <sortState xmlns:xlrd2="http://schemas.microsoft.com/office/spreadsheetml/2017/richdata2" ref="AP5:AP47">
    <sortCondition ref="AP5:AP47"/>
  </sortState>
  <tableColumns count="1">
    <tableColumn id="1" xr3:uid="{5A7D999A-3B24-4D10-8776-8F637A11BBBF}"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73356E8-0DA4-4537-A605-40B50EECA942}" name="CrearLK" displayName="CrearLK" ref="AQ4:AQ21" totalsRowShown="0" headerRowDxfId="127" dataDxfId="126">
  <autoFilter ref="AQ4:AQ21" xr:uid="{F73356E8-0DA4-4537-A605-40B50EECA942}"/>
  <sortState xmlns:xlrd2="http://schemas.microsoft.com/office/spreadsheetml/2017/richdata2" ref="AQ5:AQ21">
    <sortCondition ref="AQ5:AQ21"/>
  </sortState>
  <tableColumns count="1">
    <tableColumn id="1" xr3:uid="{0D6225FB-BB47-4165-A4D8-001C96460B99}"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4D19CD0-B599-49C2-A5DC-A5B35B366BB9}" name="ConocimientoBAK" displayName="ConocimientoBAK" ref="S3:S45" totalsRowShown="0" headerRowDxfId="124" dataDxfId="123">
  <autoFilter ref="S3:S45" xr:uid="{94D19CD0-B599-49C2-A5DC-A5B35B366BB9}"/>
  <sortState xmlns:xlrd2="http://schemas.microsoft.com/office/spreadsheetml/2017/richdata2" ref="S4:S45">
    <sortCondition ref="S4:S45"/>
  </sortState>
  <tableColumns count="1">
    <tableColumn id="1" xr3:uid="{131C3550-9554-4706-A797-0E23C5069E07}"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CF8B977-19BC-44A6-930F-A6E27DBBDC2F}" name="ComprensiónBAK" displayName="ComprensiónBAK" ref="T3:T42" totalsRowShown="0" headerRowDxfId="121" dataDxfId="120">
  <autoFilter ref="T3:T42" xr:uid="{1CF8B977-19BC-44A6-930F-A6E27DBBDC2F}"/>
  <sortState xmlns:xlrd2="http://schemas.microsoft.com/office/spreadsheetml/2017/richdata2" ref="T4:T42">
    <sortCondition ref="T4:T42"/>
  </sortState>
  <tableColumns count="1">
    <tableColumn id="1" xr3:uid="{7E430ABA-F727-4AFC-88F2-73710AC2929A}"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EF83ADD-CD41-4B24-825B-649C1D09C25F}" name="AplicaciónBAK" displayName="AplicaciónBAK" ref="U3:U43" totalsRowShown="0" headerRowDxfId="118" dataDxfId="117">
  <autoFilter ref="U3:U43" xr:uid="{BEF83ADD-CD41-4B24-825B-649C1D09C25F}"/>
  <sortState xmlns:xlrd2="http://schemas.microsoft.com/office/spreadsheetml/2017/richdata2" ref="U4:U43">
    <sortCondition ref="U4:U43"/>
  </sortState>
  <tableColumns count="1">
    <tableColumn id="1" xr3:uid="{5649DA10-9D37-4451-99F0-CD424DCBDB33}"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F4B4DA5-2E6A-4AE6-935A-CC2B94779B96}" name="AnálisisBAK" displayName="AnálisisBAK" ref="V3:V36" totalsRowShown="0" headerRowDxfId="115" dataDxfId="114">
  <autoFilter ref="V3:V36" xr:uid="{8F4B4DA5-2E6A-4AE6-935A-CC2B94779B96}"/>
  <sortState xmlns:xlrd2="http://schemas.microsoft.com/office/spreadsheetml/2017/richdata2" ref="V4:V36">
    <sortCondition ref="V4:V36"/>
  </sortState>
  <tableColumns count="1">
    <tableColumn id="1" xr3:uid="{CCC11A10-1947-4C0A-9C7D-D3B6BF7B42D9}"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4D7CAFB-C9DC-44C7-82F9-0E1668B4F0C6}" name="SínstesisBAK" displayName="SínstesisBAK" ref="W3:W63" totalsRowShown="0" headerRowDxfId="112" dataDxfId="111">
  <autoFilter ref="W3:W63" xr:uid="{74D7CAFB-C9DC-44C7-82F9-0E1668B4F0C6}"/>
  <sortState xmlns:xlrd2="http://schemas.microsoft.com/office/spreadsheetml/2017/richdata2" ref="W4:W63">
    <sortCondition ref="W4:W63"/>
  </sortState>
  <tableColumns count="1">
    <tableColumn id="1" xr3:uid="{1DB7FA75-F99E-4305-BD04-E226B0A55E29}"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4AB64C5-4D59-4C9B-AF8C-AD1D4E5D7E22}" name="EvaluaciónBAK" displayName="EvaluaciónBAK" ref="X3:X66" totalsRowShown="0" headerRowDxfId="109" dataDxfId="108">
  <autoFilter ref="X3:X66" xr:uid="{24AB64C5-4D59-4C9B-AF8C-AD1D4E5D7E22}"/>
  <sortState xmlns:xlrd2="http://schemas.microsoft.com/office/spreadsheetml/2017/richdata2" ref="X4:X66">
    <sortCondition ref="X4:X66"/>
  </sortState>
  <tableColumns count="1">
    <tableColumn id="1" xr3:uid="{ED282AAC-9004-4897-896F-CA9DCE0CC881}"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DAA654B-9F18-418A-B316-13C4C29B9840}" name="ImitaciónBAK" displayName="ImitaciónBAK" ref="Y3:Y52" totalsRowShown="0" headerRowDxfId="106" dataDxfId="105">
  <autoFilter ref="Y3:Y52" xr:uid="{4DAA654B-9F18-418A-B316-13C4C29B9840}"/>
  <sortState xmlns:xlrd2="http://schemas.microsoft.com/office/spreadsheetml/2017/richdata2" ref="Y4:Y52">
    <sortCondition ref="Y3:Y52"/>
  </sortState>
  <tableColumns count="1">
    <tableColumn id="1" xr3:uid="{57E849C6-3555-48E7-9FEC-3992A09995E2}"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CC53E0E-533C-40E8-9B1D-08F34978407F}" name="ManipulaciónBAK" displayName="ManipulaciónBAK" ref="Z3:Z41" totalsRowShown="0" headerRowDxfId="103" dataDxfId="102">
  <autoFilter ref="Z3:Z41" xr:uid="{8CC53E0E-533C-40E8-9B1D-08F34978407F}"/>
  <sortState xmlns:xlrd2="http://schemas.microsoft.com/office/spreadsheetml/2017/richdata2" ref="Z4:Z41">
    <sortCondition ref="Z3:Z41"/>
  </sortState>
  <tableColumns count="1">
    <tableColumn id="1" xr3:uid="{1A118719-2487-4815-89D9-51C305E7853F}"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45E75E9-31C0-47B7-9849-772A7E35082A}" name="PrecisiónBAK" displayName="PrecisiónBAK" ref="AA3:AA69" totalsRowShown="0" headerRowDxfId="100" dataDxfId="99">
  <autoFilter ref="AA3:AA69" xr:uid="{A45E75E9-31C0-47B7-9849-772A7E35082A}"/>
  <sortState xmlns:xlrd2="http://schemas.microsoft.com/office/spreadsheetml/2017/richdata2" ref="AA4:AA69">
    <sortCondition ref="AA3:AA69"/>
  </sortState>
  <tableColumns count="1">
    <tableColumn id="1" xr3:uid="{D7343BF8-7739-4634-B69A-0FF2146C9C6B}"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575D95E-8398-49F7-A64E-BAED96B75C10}" name="ControlBAK" displayName="ControlBAK" ref="AB3:AB62" totalsRowShown="0" headerRowDxfId="97" dataDxfId="96">
  <autoFilter ref="AB3:AB62" xr:uid="{2575D95E-8398-49F7-A64E-BAED96B75C10}"/>
  <sortState xmlns:xlrd2="http://schemas.microsoft.com/office/spreadsheetml/2017/richdata2" ref="AB4:AB62">
    <sortCondition ref="AB3:AB62"/>
  </sortState>
  <tableColumns count="1">
    <tableColumn id="1" xr3:uid="{390682D2-CC9B-447C-9FE3-EF387B9B0F97}"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459AF7E-D61B-47EF-A78A-788A77BBFA5E}" name="PercepciónBAK" displayName="PercepciónBAK" ref="AC3:AC43" totalsRowShown="0" headerRowDxfId="94" dataDxfId="93">
  <autoFilter ref="AC3:AC43" xr:uid="{F459AF7E-D61B-47EF-A78A-788A77BBFA5E}"/>
  <sortState xmlns:xlrd2="http://schemas.microsoft.com/office/spreadsheetml/2017/richdata2" ref="AC4:AC43">
    <sortCondition ref="AC3:AC43"/>
  </sortState>
  <tableColumns count="1">
    <tableColumn id="1" xr3:uid="{E597DFB6-3416-47A7-B153-FC1DA0E36AB7}"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EC35434-BE6C-411F-8AAE-73E3CFC3CA78}" name="ResponderBAK" displayName="ResponderBAK" ref="AD3:AD33" totalsRowShown="0" headerRowDxfId="91" dataDxfId="90">
  <autoFilter ref="AD3:AD33" xr:uid="{3EC35434-BE6C-411F-8AAE-73E3CFC3CA78}"/>
  <sortState xmlns:xlrd2="http://schemas.microsoft.com/office/spreadsheetml/2017/richdata2" ref="AD4:AD33">
    <sortCondition ref="AD3:AD33"/>
  </sortState>
  <tableColumns count="1">
    <tableColumn id="1" xr3:uid="{0EE8E37C-6F50-46FC-B79B-C7B27BAD3C2B}"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9344631-8A85-4D95-9EA7-1E2C9FA2E476}" name="ValorarBAK" displayName="ValorarBAK" ref="AE3:AE39" totalsRowShown="0" headerRowDxfId="88" dataDxfId="87">
  <autoFilter ref="AE3:AE39" xr:uid="{19344631-8A85-4D95-9EA7-1E2C9FA2E476}"/>
  <sortState xmlns:xlrd2="http://schemas.microsoft.com/office/spreadsheetml/2017/richdata2" ref="AE4:AE39">
    <sortCondition ref="AE3:AE39"/>
  </sortState>
  <tableColumns count="1">
    <tableColumn id="1" xr3:uid="{0A087805-6D7E-496C-A05E-DA355F0095CB}"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B714438-F124-4D81-8C72-575D6C7ACE44}" name="OrganizarBAK" displayName="OrganizarBAK" ref="AF3:AF29" totalsRowShown="0" headerRowDxfId="85" dataDxfId="84">
  <autoFilter ref="AF3:AF29" xr:uid="{6B714438-F124-4D81-8C72-575D6C7ACE44}"/>
  <sortState xmlns:xlrd2="http://schemas.microsoft.com/office/spreadsheetml/2017/richdata2" ref="AF4:AF29">
    <sortCondition ref="AF3:AF29"/>
  </sortState>
  <tableColumns count="1">
    <tableColumn id="1" xr3:uid="{C5529011-A2C8-433F-8569-8D1E7E575682}"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21CDAF3-C514-4DAF-8AF4-F1594B99BB24}" name="CaracterizarBAK" displayName="CaracterizarBAK" ref="AG3:AG30" totalsRowShown="0" headerRowDxfId="82" dataDxfId="81">
  <autoFilter ref="AG3:AG30" xr:uid="{621CDAF3-C514-4DAF-8AF4-F1594B99BB24}"/>
  <sortState xmlns:xlrd2="http://schemas.microsoft.com/office/spreadsheetml/2017/richdata2" ref="AG4:AG29">
    <sortCondition ref="AG3:AG29"/>
  </sortState>
  <tableColumns count="1">
    <tableColumn id="1" xr3:uid="{706DA6CE-EB91-496D-BFFE-56AF4683EC52}"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C8904B1-8D3B-4FF1-8646-69A8D3170D84}" name="ConocimientoB" displayName="ConocimientoB" ref="L3:L45" totalsRowShown="0" headerRowDxfId="79" dataDxfId="78">
  <autoFilter ref="L3:L45" xr:uid="{7C8904B1-8D3B-4FF1-8646-69A8D3170D84}"/>
  <sortState xmlns:xlrd2="http://schemas.microsoft.com/office/spreadsheetml/2017/richdata2" ref="L4:L45">
    <sortCondition ref="L4:L45"/>
  </sortState>
  <tableColumns count="1">
    <tableColumn id="1" xr3:uid="{2D5405CD-0CB8-4C58-A15B-F109C33FC9E6}"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0005291-B463-4A9B-8C09-DE8AC9A3EC79}" name="ComprensiónB" displayName="ComprensiónB" ref="M3:M42" totalsRowShown="0" headerRowDxfId="76" dataDxfId="75">
  <autoFilter ref="M3:M42" xr:uid="{F0005291-B463-4A9B-8C09-DE8AC9A3EC79}"/>
  <sortState xmlns:xlrd2="http://schemas.microsoft.com/office/spreadsheetml/2017/richdata2" ref="M4:M42">
    <sortCondition ref="M4:M42"/>
  </sortState>
  <tableColumns count="1">
    <tableColumn id="1" xr3:uid="{E6E77B1E-8AE8-436C-87A4-5FB485834702}"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A30BCC7-420C-4D45-B6B6-70195C3538DA}" name="AplicaciónB" displayName="AplicaciónB" ref="N3:N43" totalsRowShown="0" headerRowDxfId="73" dataDxfId="72">
  <autoFilter ref="N3:N43" xr:uid="{6A30BCC7-420C-4D45-B6B6-70195C3538DA}"/>
  <sortState xmlns:xlrd2="http://schemas.microsoft.com/office/spreadsheetml/2017/richdata2" ref="N4:N43">
    <sortCondition ref="N4:N43"/>
  </sortState>
  <tableColumns count="1">
    <tableColumn id="1" xr3:uid="{E0EA56E0-F032-4CC9-AB57-4DE6D1598D57}"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224BB24-5619-49C4-94FB-96AB72EE5650}" name="AnálisisB" displayName="AnálisisB" ref="O3:O36" totalsRowShown="0" headerRowDxfId="70" dataDxfId="69">
  <autoFilter ref="O3:O36" xr:uid="{2224BB24-5619-49C4-94FB-96AB72EE5650}"/>
  <sortState xmlns:xlrd2="http://schemas.microsoft.com/office/spreadsheetml/2017/richdata2" ref="O4:O36">
    <sortCondition ref="O4:O36"/>
  </sortState>
  <tableColumns count="1">
    <tableColumn id="1" xr3:uid="{3FBB4F1F-ACA5-49B6-A37D-E5FDFD13ECCD}"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53E3557D-51F5-4386-93E4-FD0D818D053F}" name="SíntesisB" displayName="SíntesisB" ref="P3:P63" totalsRowShown="0" headerRowDxfId="67" dataDxfId="66">
  <autoFilter ref="P3:P63" xr:uid="{53E3557D-51F5-4386-93E4-FD0D818D053F}"/>
  <sortState xmlns:xlrd2="http://schemas.microsoft.com/office/spreadsheetml/2017/richdata2" ref="P4:P63">
    <sortCondition ref="P4:P63"/>
  </sortState>
  <tableColumns count="1">
    <tableColumn id="1" xr3:uid="{9FB3624B-E64E-47DA-9EAA-88AF038A2D7F}"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7124FB3-BDFD-4B6E-BBAF-C6598A6D53D7}" name="EvaluaciónB" displayName="EvaluaciónB" ref="Q3:Q66" totalsRowShown="0" headerRowDxfId="64" dataDxfId="63">
  <autoFilter ref="Q3:Q66" xr:uid="{C7124FB3-BDFD-4B6E-BBAF-C6598A6D53D7}"/>
  <sortState xmlns:xlrd2="http://schemas.microsoft.com/office/spreadsheetml/2017/richdata2" ref="Q4:Q66">
    <sortCondition ref="Q4:Q66"/>
  </sortState>
  <tableColumns count="1">
    <tableColumn id="1" xr3:uid="{1FA17810-5C9D-44CF-93A5-72EEB62A99C9}"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7EE39A7-1440-4041-A08A-18F25F4968FB}" name="AK" displayName="AK" ref="E3:E6" totalsRowShown="0" headerRowDxfId="61" dataDxfId="60">
  <autoFilter ref="E3:E6" xr:uid="{57EE39A7-1440-4041-A08A-18F25F4968FB}"/>
  <tableColumns count="1">
    <tableColumn id="1" xr3:uid="{2F23B31E-C779-49F9-A954-245BE4177AC0}"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5438B67-D634-41E1-84F1-39AE403A058D}" name="LK" displayName="LK" ref="D3:D7" totalsRowShown="0" headerRowDxfId="58" dataDxfId="57">
  <autoFilter ref="D3:D7" xr:uid="{35438B67-D634-41E1-84F1-39AE403A058D}"/>
  <tableColumns count="1">
    <tableColumn id="1" xr3:uid="{C1C9568F-A125-4329-B453-A058FD8FF63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8DBD34B-11EF-4749-B2BB-FB22AA7E5F89}" name="BAK" displayName="BAK" ref="C3:C6" totalsRowShown="0" headerRowDxfId="55" dataDxfId="54">
  <autoFilter ref="C3:C6" xr:uid="{28DBD34B-11EF-4749-B2BB-FB22AA7E5F89}"/>
  <tableColumns count="1">
    <tableColumn id="1" xr3:uid="{ACA65BC2-3FD7-48E3-B265-633D5CD395F6}"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F4526F-E70A-4B01-8F8D-33369EFB479E}" name="ActitudinalB" displayName="ActitudinalB" ref="I3:I9" totalsRowShown="0" headerRowDxfId="52" dataDxfId="51">
  <autoFilter ref="I3:I9" xr:uid="{85F4526F-E70A-4B01-8F8D-33369EFB479E}"/>
  <tableColumns count="1">
    <tableColumn id="1" xr3:uid="{7511FDFB-CBBA-4DB3-8C4D-FF68B9279AD7}"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DFAA4E58-0E3D-4C38-B134-AE73F0FC0197}" name="ProcedimentalB" displayName="ProcedimentalB" ref="H3:H9" totalsRowShown="0" headerRowDxfId="49" dataDxfId="48">
  <autoFilter ref="H3:H9" xr:uid="{DFAA4E58-0E3D-4C38-B134-AE73F0FC0197}"/>
  <tableColumns count="1">
    <tableColumn id="1" xr3:uid="{4ED00E54-4F14-49B9-B701-FF2F463188CD}"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C8B3717-DAFD-4E37-8005-349E9A602EC5}" name="CognitivoB" displayName="CognitivoB" ref="G3:G9" totalsRowShown="0" headerRowDxfId="46" dataDxfId="45">
  <autoFilter ref="G3:G9" xr:uid="{0C8B3717-DAFD-4E37-8005-349E9A602EC5}"/>
  <tableColumns count="1">
    <tableColumn id="1" xr3:uid="{E2C7916C-66F2-431E-9B93-D7BAED80FC3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A1C521C-B4CD-4DF4-8C25-A075B7B48FD5}" name="HechosLK" displayName="HechosLK" ref="G11:G17" totalsRowShown="0" headerRowDxfId="43" dataDxfId="42">
  <autoFilter ref="G11:G17" xr:uid="{8A1C521C-B4CD-4DF4-8C25-A075B7B48FD5}"/>
  <tableColumns count="1">
    <tableColumn id="1" xr3:uid="{F205DD3F-58DC-49F6-8DF7-A9FDFA78E901}"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EAE1057-104B-4F9B-AE6B-F5F60D430995}" name="ConceptosLK" displayName="ConceptosLK" ref="H11:H17" totalsRowShown="0" headerRowDxfId="40" dataDxfId="39">
  <autoFilter ref="H11:H17" xr:uid="{0EAE1057-104B-4F9B-AE6B-F5F60D430995}"/>
  <tableColumns count="1">
    <tableColumn id="1" xr3:uid="{ED8EB327-17D6-4CBD-BF96-91954DB19DA4}"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C5704CC1-8D1D-4541-8B3E-782D4827E87D}" name="ProcedimientosLK" displayName="ProcedimientosLK" ref="I11:I17" totalsRowShown="0" headerRowDxfId="37" dataDxfId="36">
  <autoFilter ref="I11:I17" xr:uid="{C5704CC1-8D1D-4541-8B3E-782D4827E87D}"/>
  <tableColumns count="1">
    <tableColumn id="1" xr3:uid="{75915474-E335-4868-8B24-B84F8C9C1C63}"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F9CFB80-8732-4087-B330-0AFF949ED28A}" name="MetacogniciónLK" displayName="MetacogniciónLK" ref="J11:J17" totalsRowShown="0" headerRowDxfId="34" dataDxfId="33">
  <autoFilter ref="J11:J17" xr:uid="{3F9CFB80-8732-4087-B330-0AFF949ED28A}"/>
  <tableColumns count="1">
    <tableColumn id="1" xr3:uid="{18FBF9DB-382A-4F40-9D18-10877C008AF3}"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7470927-1E85-4463-AA7C-1D450FA03673}" name="InformaciónAK" displayName="InformaciónAK" ref="G19:G25" totalsRowShown="0" headerRowDxfId="31" dataDxfId="30">
  <autoFilter ref="G19:G25" xr:uid="{87470927-1E85-4463-AA7C-1D450FA03673}"/>
  <tableColumns count="1">
    <tableColumn id="1" xr3:uid="{4C03EFC8-95AD-4135-A064-59ED0A2972A4}"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FAB6C65-145F-49A1-9056-95330E603DB4}" name="ProcesosAK" displayName="ProcesosAK" ref="H19:H25" totalsRowShown="0" headerRowDxfId="28" dataDxfId="27">
  <autoFilter ref="H19:H25" xr:uid="{3FAB6C65-145F-49A1-9056-95330E603DB4}"/>
  <tableColumns count="1">
    <tableColumn id="1" xr3:uid="{67C2A4B2-C2BB-4461-9673-21341948DA03}"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E2DB0D1-A63C-4278-BB90-797F375B1009}" name="PsicomotorAK" displayName="PsicomotorAK" ref="I19:I25" totalsRowShown="0" headerRowDxfId="25" dataDxfId="24">
  <autoFilter ref="I19:I25" xr:uid="{7E2DB0D1-A63C-4278-BB90-797F375B1009}"/>
  <tableColumns count="1">
    <tableColumn id="1" xr3:uid="{C11CE8E5-4283-43E3-97B8-F84DDC504C64}"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6ECA4D98-E956-4A04-B3B0-0A93F4884397}" name="RecuperaciónAK" displayName="RecuperaciónAK" ref="AT4:AT28" totalsRowShown="0" headerRowDxfId="22" dataDxfId="21" tableBorderDxfId="20">
  <autoFilter ref="AT4:AT28" xr:uid="{6ECA4D98-E956-4A04-B3B0-0A93F4884397}"/>
  <sortState xmlns:xlrd2="http://schemas.microsoft.com/office/spreadsheetml/2017/richdata2" ref="AT5:AT28">
    <sortCondition ref="AT5:AT28"/>
  </sortState>
  <tableColumns count="1">
    <tableColumn id="1" xr3:uid="{6B19F25F-6B18-4C47-BB8D-501A8EEAECC7}"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4EE26191-22A3-4D10-AA50-5279EAFE5FF4}" name="ComprensiónAK" displayName="ComprensiónAK" ref="AU4:AU56" totalsRowShown="0" headerRowDxfId="18" dataDxfId="17">
  <autoFilter ref="AU4:AU56" xr:uid="{4EE26191-22A3-4D10-AA50-5279EAFE5FF4}"/>
  <sortState xmlns:xlrd2="http://schemas.microsoft.com/office/spreadsheetml/2017/richdata2" ref="AU5:AU56">
    <sortCondition ref="AU5:AU56"/>
  </sortState>
  <tableColumns count="1">
    <tableColumn id="1" xr3:uid="{20C03E72-5945-4010-ACE3-EE6E3F8AF3C1}"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ECF6306-D599-4224-81C8-4E19CA353A6C}" name="AnálisisAK" displayName="AnálisisAK" ref="AV4:AV108" totalsRowShown="0" headerRowDxfId="15" dataDxfId="14" tableBorderDxfId="13">
  <autoFilter ref="AV4:AV108" xr:uid="{7ECF6306-D599-4224-81C8-4E19CA353A6C}"/>
  <sortState xmlns:xlrd2="http://schemas.microsoft.com/office/spreadsheetml/2017/richdata2" ref="AV5:AV108">
    <sortCondition ref="AV5:AV108"/>
  </sortState>
  <tableColumns count="1">
    <tableColumn id="1" xr3:uid="{7A61C7F0-05AD-4DBC-BE6E-D8DBB2716C7D}"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48A9992D-187E-4D64-B1EE-2F797AE41033}" name="UsoConocimientoAK" displayName="UsoConocimientoAK" ref="AW4:AW70" totalsRowShown="0" headerRowDxfId="11" dataDxfId="10" tableBorderDxfId="9">
  <autoFilter ref="AW4:AW70" xr:uid="{48A9992D-187E-4D64-B1EE-2F797AE41033}"/>
  <sortState xmlns:xlrd2="http://schemas.microsoft.com/office/spreadsheetml/2017/richdata2" ref="AW5:AW70">
    <sortCondition ref="AW5:AW70"/>
  </sortState>
  <tableColumns count="1">
    <tableColumn id="1" xr3:uid="{3D5ABE44-0593-435A-B322-A7E32ABD45A0}"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11DED42-A500-4180-8D74-D70BFEB5AA24}" name="MetacogniciónAK" displayName="MetacogniciónAK" ref="AX4:AX92" totalsRowShown="0" headerRowDxfId="7" dataDxfId="6" tableBorderDxfId="5">
  <autoFilter ref="AX4:AX92" xr:uid="{C11DED42-A500-4180-8D74-D70BFEB5AA24}"/>
  <sortState xmlns:xlrd2="http://schemas.microsoft.com/office/spreadsheetml/2017/richdata2" ref="AX5:AX92">
    <sortCondition ref="AX5:AX92"/>
  </sortState>
  <tableColumns count="1">
    <tableColumn id="1" xr3:uid="{4D90B4AA-1252-483D-B411-7F96C5754ECE}"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7DEA9F2E-0ED7-409B-99EE-B0425CBC1A14}" name="SistemadelYoAK" displayName="SistemadelYoAK" ref="AY4:AY87" totalsRowShown="0" headerRowDxfId="3" dataDxfId="2" tableBorderDxfId="1">
  <autoFilter ref="AY4:AY87" xr:uid="{7DEA9F2E-0ED7-409B-99EE-B0425CBC1A14}"/>
  <tableColumns count="1">
    <tableColumn id="1" xr3:uid="{4D5E8ACA-4170-445D-BE28-EA8C4DAEEBDB}"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7.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7.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2"/>
  <sheetViews>
    <sheetView topLeftCell="B5" zoomScaleNormal="100" workbookViewId="0"/>
  </sheetViews>
  <sheetFormatPr baseColWidth="10" defaultColWidth="76.21875" defaultRowHeight="18" x14ac:dyDescent="0.5"/>
  <cols>
    <col min="1" max="1" width="21.21875" style="2" customWidth="1"/>
    <col min="2" max="2" width="16.77734375" style="2" customWidth="1"/>
    <col min="3" max="3" width="52.21875" style="2" customWidth="1"/>
    <col min="4" max="4" width="63.21875" style="2" customWidth="1"/>
    <col min="5" max="5" width="44.44140625" style="2" customWidth="1"/>
    <col min="6" max="6" width="50.21875" customWidth="1"/>
    <col min="7" max="7" width="51.21875" customWidth="1"/>
    <col min="8" max="8" width="30.21875" style="2" customWidth="1"/>
    <col min="9" max="9" width="41.21875" style="2" customWidth="1"/>
    <col min="10" max="10" width="33.44140625" style="2" customWidth="1"/>
    <col min="11" max="11" width="57.77734375" style="2" customWidth="1"/>
    <col min="12" max="16384" width="76.21875" style="2"/>
  </cols>
  <sheetData>
    <row r="1" spans="1:11" s="35" customFormat="1" ht="36" x14ac:dyDescent="0.3">
      <c r="A1" s="38" t="s">
        <v>0</v>
      </c>
      <c r="B1" s="38" t="s">
        <v>1</v>
      </c>
      <c r="C1" s="38" t="s">
        <v>2</v>
      </c>
      <c r="D1" s="38" t="s">
        <v>3</v>
      </c>
      <c r="E1" s="167" t="s">
        <v>4</v>
      </c>
      <c r="F1" s="167"/>
      <c r="G1" s="167"/>
      <c r="H1" s="167" t="s">
        <v>5</v>
      </c>
      <c r="I1" s="167"/>
      <c r="J1" s="167"/>
      <c r="K1" s="38" t="s">
        <v>6</v>
      </c>
    </row>
    <row r="2" spans="1:11" s="29" customFormat="1" x14ac:dyDescent="0.5">
      <c r="A2" s="40" t="s">
        <v>7</v>
      </c>
      <c r="B2" s="40" t="s">
        <v>8</v>
      </c>
      <c r="C2" s="40" t="s">
        <v>9</v>
      </c>
      <c r="D2" s="46" t="s">
        <v>10</v>
      </c>
      <c r="E2" s="133" t="s">
        <v>11</v>
      </c>
      <c r="F2" s="133" t="s">
        <v>12</v>
      </c>
      <c r="G2" s="133" t="s">
        <v>13</v>
      </c>
      <c r="H2" s="48" t="s">
        <v>14</v>
      </c>
      <c r="I2" s="48" t="s">
        <v>15</v>
      </c>
      <c r="J2" s="48" t="s">
        <v>16</v>
      </c>
      <c r="K2" s="47" t="s">
        <v>17</v>
      </c>
    </row>
    <row r="3" spans="1:11" s="4" customFormat="1" ht="51.75" customHeight="1" x14ac:dyDescent="0.3">
      <c r="A3" s="168" t="s">
        <v>18</v>
      </c>
      <c r="B3" s="168" t="s">
        <v>19</v>
      </c>
      <c r="C3" s="166" t="s">
        <v>20</v>
      </c>
      <c r="D3" s="166" t="s">
        <v>21</v>
      </c>
      <c r="E3" s="134" t="s">
        <v>22</v>
      </c>
      <c r="F3" s="134" t="s">
        <v>23</v>
      </c>
      <c r="G3" s="134" t="s">
        <v>24</v>
      </c>
      <c r="H3" s="166" t="s">
        <v>25</v>
      </c>
      <c r="I3" s="166" t="s">
        <v>26</v>
      </c>
      <c r="J3" s="169" t="s">
        <v>27</v>
      </c>
      <c r="K3" s="166" t="s">
        <v>28</v>
      </c>
    </row>
    <row r="4" spans="1:11" s="4" customFormat="1" ht="36" x14ac:dyDescent="0.3">
      <c r="A4" s="147"/>
      <c r="B4" s="147"/>
      <c r="C4" s="141"/>
      <c r="D4" s="141"/>
      <c r="E4" s="4" t="s">
        <v>29</v>
      </c>
      <c r="F4" s="4" t="s">
        <v>30</v>
      </c>
      <c r="G4" s="4" t="s">
        <v>31</v>
      </c>
      <c r="H4" s="141"/>
      <c r="I4" s="141"/>
      <c r="J4" s="170"/>
      <c r="K4" s="141"/>
    </row>
    <row r="5" spans="1:11" s="4" customFormat="1" ht="36" x14ac:dyDescent="0.3">
      <c r="A5" s="147"/>
      <c r="B5" s="147"/>
      <c r="C5" s="141"/>
      <c r="D5" s="141"/>
      <c r="E5" s="4" t="s">
        <v>32</v>
      </c>
      <c r="F5" s="4" t="s">
        <v>33</v>
      </c>
      <c r="G5" s="4" t="s">
        <v>34</v>
      </c>
      <c r="H5" s="141"/>
      <c r="I5" s="141"/>
      <c r="J5" s="170"/>
      <c r="K5" s="141"/>
    </row>
    <row r="6" spans="1:11" s="4" customFormat="1" ht="66" customHeight="1" thickBot="1" x14ac:dyDescent="0.35">
      <c r="A6" s="147"/>
      <c r="B6" s="147"/>
      <c r="C6" s="141"/>
      <c r="D6" s="141"/>
      <c r="E6" s="34" t="s">
        <v>35</v>
      </c>
      <c r="F6" s="34" t="s">
        <v>36</v>
      </c>
      <c r="G6" s="4" t="s">
        <v>37</v>
      </c>
      <c r="H6" s="141"/>
      <c r="I6" s="141"/>
      <c r="J6" s="170"/>
      <c r="K6" s="141"/>
    </row>
    <row r="7" spans="1:11" s="4" customFormat="1" ht="121.5" customHeight="1" x14ac:dyDescent="0.3">
      <c r="A7" s="147"/>
      <c r="B7" s="147"/>
      <c r="C7" s="141"/>
      <c r="D7" s="141"/>
      <c r="E7" s="97" t="s">
        <v>38</v>
      </c>
      <c r="F7" s="97" t="s">
        <v>39</v>
      </c>
      <c r="G7" s="97" t="s">
        <v>40</v>
      </c>
      <c r="H7" s="141"/>
      <c r="I7" s="141"/>
      <c r="J7" s="170"/>
      <c r="K7" s="141"/>
    </row>
    <row r="8" spans="1:11" s="4" customFormat="1" x14ac:dyDescent="0.3">
      <c r="C8" s="34"/>
      <c r="D8" s="132"/>
      <c r="E8" s="34"/>
      <c r="F8" s="34"/>
      <c r="G8" s="34"/>
      <c r="H8" s="5"/>
    </row>
    <row r="9" spans="1:11" ht="21.6" x14ac:dyDescent="0.5">
      <c r="D9" s="28"/>
      <c r="E9" s="8"/>
      <c r="F9" s="8"/>
      <c r="H9" s="3"/>
    </row>
    <row r="10" spans="1:11" ht="21.6" x14ac:dyDescent="0.5">
      <c r="D10" s="28"/>
      <c r="E10" s="8"/>
      <c r="F10" s="8"/>
      <c r="H10" s="3"/>
    </row>
    <row r="11" spans="1:11" ht="21.6" x14ac:dyDescent="0.5">
      <c r="C11" s="30"/>
      <c r="D11" s="28"/>
      <c r="E11" s="30"/>
      <c r="F11" s="30"/>
      <c r="H11" s="3"/>
    </row>
    <row r="12" spans="1:11" ht="21.6" x14ac:dyDescent="0.5">
      <c r="D12" s="28"/>
      <c r="E12" s="8"/>
      <c r="F12" s="8"/>
      <c r="H12" s="3"/>
    </row>
    <row r="13" spans="1:11" ht="21.6" x14ac:dyDescent="0.5">
      <c r="C13" s="4"/>
      <c r="D13" s="28"/>
      <c r="E13" s="10"/>
      <c r="F13" s="2"/>
      <c r="H13" s="3"/>
    </row>
    <row r="14" spans="1:11" ht="21.6" x14ac:dyDescent="0.5">
      <c r="D14" s="28"/>
      <c r="E14" s="8"/>
    </row>
    <row r="15" spans="1:11" ht="21.6" x14ac:dyDescent="0.5">
      <c r="D15" s="28"/>
    </row>
    <row r="16" spans="1:11" ht="21.6" x14ac:dyDescent="0.5">
      <c r="D16" s="28"/>
    </row>
    <row r="17" spans="4:4" ht="21.6" x14ac:dyDescent="0.5">
      <c r="D17" s="28"/>
    </row>
    <row r="18" spans="4:4" ht="21.6" x14ac:dyDescent="0.5">
      <c r="D18" s="28"/>
    </row>
    <row r="19" spans="4:4" ht="21.6" x14ac:dyDescent="0.5">
      <c r="D19" s="28"/>
    </row>
    <row r="20" spans="4:4" ht="21.6" x14ac:dyDescent="0.5">
      <c r="D20" s="28"/>
    </row>
    <row r="21" spans="4:4" ht="21.6" x14ac:dyDescent="0.5">
      <c r="D21" s="28"/>
    </row>
    <row r="22" spans="4:4" ht="21.6" x14ac:dyDescent="0.5">
      <c r="D22" s="28"/>
    </row>
  </sheetData>
  <mergeCells count="10">
    <mergeCell ref="K3:K7"/>
    <mergeCell ref="E1:G1"/>
    <mergeCell ref="H1:J1"/>
    <mergeCell ref="A3:A7"/>
    <mergeCell ref="B3:B7"/>
    <mergeCell ref="C3:C7"/>
    <mergeCell ref="D3:D7"/>
    <mergeCell ref="H3:H7"/>
    <mergeCell ref="I3:I7"/>
    <mergeCell ref="J3:J7"/>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6"/>
  <sheetViews>
    <sheetView zoomScaleNormal="100" workbookViewId="0">
      <selection sqref="A1:G1"/>
    </sheetView>
  </sheetViews>
  <sheetFormatPr baseColWidth="10" defaultColWidth="11.44140625" defaultRowHeight="18" x14ac:dyDescent="0.3"/>
  <cols>
    <col min="1" max="1" width="19" style="6" customWidth="1"/>
    <col min="2" max="2" width="23" style="6" customWidth="1"/>
    <col min="3" max="3" width="27" style="6" customWidth="1"/>
    <col min="4" max="4" width="29.21875" style="6" customWidth="1"/>
    <col min="5" max="5" width="41.77734375" style="6" customWidth="1"/>
    <col min="6" max="6" width="78.5546875" style="6" customWidth="1"/>
    <col min="7" max="7" width="24" style="6" customWidth="1"/>
    <col min="8" max="16384" width="11.44140625" style="6"/>
  </cols>
  <sheetData>
    <row r="1" spans="1:7" s="2" customFormat="1" x14ac:dyDescent="0.5">
      <c r="A1" s="171" t="s">
        <v>41</v>
      </c>
      <c r="B1" s="172"/>
      <c r="C1" s="172"/>
      <c r="D1" s="172"/>
      <c r="E1" s="172"/>
      <c r="F1" s="172"/>
      <c r="G1" s="172"/>
    </row>
    <row r="2" spans="1:7" s="39" customFormat="1" ht="72" x14ac:dyDescent="0.3">
      <c r="A2" s="36" t="s">
        <v>42</v>
      </c>
      <c r="B2" s="37" t="s">
        <v>43</v>
      </c>
      <c r="C2" s="37" t="s">
        <v>44</v>
      </c>
      <c r="D2" s="37" t="s">
        <v>45</v>
      </c>
      <c r="E2" s="37" t="s">
        <v>46</v>
      </c>
      <c r="F2" s="38" t="s">
        <v>47</v>
      </c>
      <c r="G2" s="38" t="s">
        <v>48</v>
      </c>
    </row>
    <row r="3" spans="1:7" s="41" customFormat="1" x14ac:dyDescent="0.5">
      <c r="A3" s="59" t="s">
        <v>49</v>
      </c>
      <c r="B3" s="60" t="s">
        <v>50</v>
      </c>
      <c r="C3" s="60" t="s">
        <v>51</v>
      </c>
      <c r="D3" s="60" t="s">
        <v>52</v>
      </c>
      <c r="E3" s="60" t="s">
        <v>53</v>
      </c>
      <c r="F3" s="50" t="s">
        <v>54</v>
      </c>
      <c r="G3" s="50" t="s">
        <v>55</v>
      </c>
    </row>
    <row r="4" spans="1:7" ht="36" x14ac:dyDescent="0.3">
      <c r="A4" s="6">
        <v>1</v>
      </c>
      <c r="B4" s="5" t="s">
        <v>56</v>
      </c>
      <c r="C4" s="5" t="s">
        <v>22</v>
      </c>
      <c r="D4" s="5" t="s">
        <v>23</v>
      </c>
      <c r="E4" s="5" t="s">
        <v>24</v>
      </c>
      <c r="F4" s="135" t="s">
        <v>57</v>
      </c>
      <c r="G4" s="6" t="s">
        <v>58</v>
      </c>
    </row>
    <row r="5" spans="1:7" ht="54" x14ac:dyDescent="0.3">
      <c r="A5" s="6">
        <v>2</v>
      </c>
      <c r="B5" s="5" t="s">
        <v>59</v>
      </c>
      <c r="C5" s="5" t="s">
        <v>29</v>
      </c>
      <c r="D5" s="5" t="s">
        <v>30</v>
      </c>
      <c r="E5" s="5" t="s">
        <v>31</v>
      </c>
      <c r="F5" s="5" t="s">
        <v>60</v>
      </c>
      <c r="G5" s="6" t="s">
        <v>58</v>
      </c>
    </row>
    <row r="6" spans="1:7" ht="54" x14ac:dyDescent="0.3">
      <c r="A6" s="6">
        <v>3</v>
      </c>
      <c r="B6" s="5" t="s">
        <v>61</v>
      </c>
      <c r="C6" s="5" t="s">
        <v>32</v>
      </c>
      <c r="D6" s="5" t="s">
        <v>33</v>
      </c>
      <c r="E6" s="5" t="s">
        <v>34</v>
      </c>
      <c r="F6" s="5" t="s">
        <v>62</v>
      </c>
      <c r="G6" s="6" t="s">
        <v>58</v>
      </c>
    </row>
    <row r="7" spans="1:7" ht="54.6" thickBot="1" x14ac:dyDescent="0.35">
      <c r="A7" s="87">
        <v>4</v>
      </c>
      <c r="B7" s="86" t="s">
        <v>63</v>
      </c>
      <c r="C7" s="86" t="s">
        <v>35</v>
      </c>
      <c r="D7" s="86" t="s">
        <v>36</v>
      </c>
      <c r="E7" s="86" t="s">
        <v>37</v>
      </c>
      <c r="F7" s="86" t="s">
        <v>64</v>
      </c>
      <c r="G7" s="87" t="s">
        <v>58</v>
      </c>
    </row>
    <row r="8" spans="1:7" ht="90" x14ac:dyDescent="0.3">
      <c r="A8" s="6">
        <v>5</v>
      </c>
      <c r="B8" s="34" t="s">
        <v>65</v>
      </c>
      <c r="C8" s="5" t="s">
        <v>38</v>
      </c>
      <c r="D8" s="5" t="s">
        <v>39</v>
      </c>
      <c r="E8" s="5" t="s">
        <v>40</v>
      </c>
      <c r="F8" s="34" t="s">
        <v>66</v>
      </c>
      <c r="G8" s="6" t="s">
        <v>67</v>
      </c>
    </row>
    <row r="9" spans="1:7" x14ac:dyDescent="0.3">
      <c r="B9" s="5"/>
      <c r="C9" s="32"/>
      <c r="D9" s="33"/>
      <c r="E9" s="33"/>
      <c r="F9" s="5"/>
    </row>
    <row r="10" spans="1:7" x14ac:dyDescent="0.3">
      <c r="C10" s="31"/>
      <c r="D10" s="31"/>
      <c r="E10" s="31"/>
    </row>
    <row r="14" spans="1:7" x14ac:dyDescent="0.3">
      <c r="C14" s="31"/>
      <c r="D14" s="15"/>
      <c r="E14" s="15"/>
    </row>
    <row r="15" spans="1:7" x14ac:dyDescent="0.3">
      <c r="C15" s="31"/>
      <c r="D15" s="15"/>
      <c r="E15" s="15"/>
    </row>
    <row r="16" spans="1:7" x14ac:dyDescent="0.3">
      <c r="C16" s="31"/>
      <c r="D16" s="15"/>
      <c r="E16" s="15"/>
    </row>
  </sheetData>
  <mergeCells count="1">
    <mergeCell ref="A1:G1"/>
  </mergeCells>
  <dataValidations count="1">
    <dataValidation type="list" allowBlank="1" showInputMessage="1" showErrorMessage="1" sqref="B8:B12"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67CCD9FD-C355-4093-9DBF-5B728297BE25}">
          <x14:formula1>
            <xm:f>'Taxonomía para competencias'!$B$2:$B$58</xm:f>
          </x14:formula1>
          <xm:sqref>B13</xm:sqref>
        </x14:dataValidation>
        <x14:dataValidation type="list" allowBlank="1" showInputMessage="1" showErrorMessage="1" xr:uid="{5EADCC8E-A021-41D2-A781-82D42FE181E0}">
          <x14:formula1>
            <xm:f>'Paso1 Analisis perfil egreso'!$E$3:$E$8</xm:f>
          </x14:formula1>
          <xm:sqref>C8</xm:sqref>
        </x14:dataValidation>
        <x14:dataValidation type="list" allowBlank="1" showInputMessage="1" showErrorMessage="1" xr:uid="{27BB9EA1-A522-436A-B320-3844B1FF49FC}">
          <x14:formula1>
            <xm:f>'Taxonomía para competencias'!$B$2:$B$49</xm:f>
          </x14:formula1>
          <xm:sqref>B4:B7</xm:sqref>
        </x14:dataValidation>
        <x14:dataValidation type="list" allowBlank="1" showInputMessage="1" showErrorMessage="1" xr:uid="{33DE93D0-28B9-435A-9EE1-5F80FDE293A1}">
          <x14:formula1>
            <xm:f>'Paso1 Analisis perfil egreso'!$E$3:$E$6</xm:f>
          </x14:formula1>
          <xm:sqref>C4:C7</xm:sqref>
        </x14:dataValidation>
        <x14:dataValidation type="list" allowBlank="1" showInputMessage="1" showErrorMessage="1" xr:uid="{274A57D3-5823-4C40-A545-F0B2F91D936A}">
          <x14:formula1>
            <xm:f>'Paso1 Analisis perfil egreso'!$F$3:$F$7</xm:f>
          </x14:formula1>
          <xm:sqref>D4:D8</xm:sqref>
        </x14:dataValidation>
        <x14:dataValidation type="list" allowBlank="1" showInputMessage="1" showErrorMessage="1" xr:uid="{15BD820B-F717-48AE-9889-C1BE044A93B9}">
          <x14:formula1>
            <xm:f>'Paso1 Analisis perfil egreso'!$G$3:$G$7</xm:f>
          </x14:formula1>
          <xm:sqref>E4:E8</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7B830-823B-DB48-96CD-EBD5F6A2AA93}">
  <dimension ref="A1:J28"/>
  <sheetViews>
    <sheetView zoomScaleNormal="100" workbookViewId="0"/>
  </sheetViews>
  <sheetFormatPr baseColWidth="10" defaultColWidth="11.44140625" defaultRowHeight="18" x14ac:dyDescent="0.3"/>
  <cols>
    <col min="1" max="1" width="93.21875" style="5" customWidth="1"/>
    <col min="2" max="2" width="23.21875" style="6" customWidth="1"/>
    <col min="3" max="3" width="25" style="5" customWidth="1"/>
    <col min="4" max="4" width="29.21875" style="5" customWidth="1"/>
    <col min="5" max="5" width="26.44140625" style="5" customWidth="1"/>
    <col min="6" max="6" width="21.21875" style="5" customWidth="1"/>
    <col min="7" max="7" width="21.21875" style="7" customWidth="1"/>
    <col min="8" max="8" width="21.21875" style="90" customWidth="1"/>
    <col min="9" max="9" width="80" style="9" customWidth="1"/>
    <col min="10" max="10" width="97.21875" style="5" customWidth="1"/>
    <col min="11" max="16384" width="11.44140625" style="5"/>
  </cols>
  <sheetData>
    <row r="1" spans="1:10" s="82" customFormat="1" ht="48" x14ac:dyDescent="0.3">
      <c r="A1" s="80" t="s">
        <v>68</v>
      </c>
      <c r="B1" s="80" t="s">
        <v>69</v>
      </c>
      <c r="C1" s="37" t="s">
        <v>70</v>
      </c>
      <c r="D1" s="81" t="s">
        <v>71</v>
      </c>
      <c r="E1" s="81" t="s">
        <v>72</v>
      </c>
      <c r="F1" s="37" t="s">
        <v>73</v>
      </c>
      <c r="G1" s="37" t="s">
        <v>74</v>
      </c>
      <c r="H1" s="37" t="s">
        <v>75</v>
      </c>
      <c r="I1" s="80" t="s">
        <v>76</v>
      </c>
    </row>
    <row r="2" spans="1:10" s="85" customFormat="1" x14ac:dyDescent="0.3">
      <c r="A2" s="83" t="s">
        <v>77</v>
      </c>
      <c r="B2" s="83" t="s">
        <v>78</v>
      </c>
      <c r="C2" s="60" t="s">
        <v>79</v>
      </c>
      <c r="D2" s="84" t="s">
        <v>80</v>
      </c>
      <c r="E2" s="84" t="s">
        <v>81</v>
      </c>
      <c r="F2" s="60" t="s">
        <v>82</v>
      </c>
      <c r="G2" s="60" t="s">
        <v>83</v>
      </c>
      <c r="H2" s="60" t="s">
        <v>84</v>
      </c>
      <c r="I2" s="83" t="s">
        <v>85</v>
      </c>
    </row>
    <row r="3" spans="1:10" ht="36" x14ac:dyDescent="0.3">
      <c r="A3" s="5" t="s">
        <v>57</v>
      </c>
      <c r="B3" s="6">
        <v>1</v>
      </c>
      <c r="C3" s="5" t="s">
        <v>11</v>
      </c>
      <c r="D3" s="5" t="s">
        <v>22</v>
      </c>
      <c r="E3" s="5" t="s">
        <v>86</v>
      </c>
      <c r="F3" s="9" t="s">
        <v>87</v>
      </c>
      <c r="G3" s="9" t="s">
        <v>88</v>
      </c>
      <c r="H3" s="5" t="s">
        <v>89</v>
      </c>
      <c r="I3" s="34" t="s">
        <v>90</v>
      </c>
      <c r="J3" s="27"/>
    </row>
    <row r="4" spans="1:10" ht="36" x14ac:dyDescent="0.3">
      <c r="A4" s="5" t="s">
        <v>57</v>
      </c>
      <c r="B4" s="6">
        <v>3</v>
      </c>
      <c r="C4" s="5" t="s">
        <v>12</v>
      </c>
      <c r="D4" s="5" t="s">
        <v>23</v>
      </c>
      <c r="E4" s="5" t="s">
        <v>86</v>
      </c>
      <c r="F4" s="9" t="s">
        <v>91</v>
      </c>
      <c r="G4" s="9" t="s">
        <v>92</v>
      </c>
      <c r="H4" s="5" t="s">
        <v>93</v>
      </c>
      <c r="I4" s="34" t="s">
        <v>94</v>
      </c>
    </row>
    <row r="5" spans="1:10" ht="36.6" thickBot="1" x14ac:dyDescent="0.35">
      <c r="A5" s="86" t="s">
        <v>57</v>
      </c>
      <c r="B5" s="87">
        <v>4</v>
      </c>
      <c r="C5" s="86" t="s">
        <v>13</v>
      </c>
      <c r="D5" s="86" t="s">
        <v>24</v>
      </c>
      <c r="E5" s="86" t="s">
        <v>86</v>
      </c>
      <c r="F5" s="88" t="s">
        <v>95</v>
      </c>
      <c r="G5" s="88" t="s">
        <v>96</v>
      </c>
      <c r="H5" s="86" t="s">
        <v>97</v>
      </c>
      <c r="I5" s="136" t="s">
        <v>98</v>
      </c>
    </row>
    <row r="6" spans="1:10" ht="36" x14ac:dyDescent="0.3">
      <c r="A6" s="5" t="s">
        <v>60</v>
      </c>
      <c r="B6" s="6">
        <v>5</v>
      </c>
      <c r="C6" s="5" t="s">
        <v>11</v>
      </c>
      <c r="D6" s="5" t="s">
        <v>29</v>
      </c>
      <c r="E6" s="5" t="s">
        <v>86</v>
      </c>
      <c r="F6" s="9" t="s">
        <v>87</v>
      </c>
      <c r="G6" s="9" t="s">
        <v>99</v>
      </c>
      <c r="H6" s="5" t="s">
        <v>59</v>
      </c>
      <c r="I6" s="34" t="s">
        <v>100</v>
      </c>
    </row>
    <row r="7" spans="1:10" ht="54" x14ac:dyDescent="0.3">
      <c r="A7" s="5" t="s">
        <v>60</v>
      </c>
      <c r="B7" s="6">
        <v>6</v>
      </c>
      <c r="C7" s="5" t="s">
        <v>12</v>
      </c>
      <c r="D7" s="5" t="s">
        <v>30</v>
      </c>
      <c r="E7" s="5" t="s">
        <v>86</v>
      </c>
      <c r="F7" s="9" t="s">
        <v>91</v>
      </c>
      <c r="G7" s="9" t="s">
        <v>101</v>
      </c>
      <c r="H7" s="5" t="s">
        <v>102</v>
      </c>
      <c r="I7" s="34" t="s">
        <v>103</v>
      </c>
    </row>
    <row r="8" spans="1:10" ht="72.599999999999994" thickBot="1" x14ac:dyDescent="0.35">
      <c r="A8" s="86" t="s">
        <v>60</v>
      </c>
      <c r="B8" s="87">
        <v>7</v>
      </c>
      <c r="C8" s="86" t="s">
        <v>13</v>
      </c>
      <c r="D8" s="86" t="s">
        <v>31</v>
      </c>
      <c r="E8" s="86" t="s">
        <v>86</v>
      </c>
      <c r="F8" s="88" t="s">
        <v>95</v>
      </c>
      <c r="G8" s="88" t="s">
        <v>96</v>
      </c>
      <c r="H8" s="86" t="s">
        <v>104</v>
      </c>
      <c r="I8" s="137" t="s">
        <v>105</v>
      </c>
      <c r="J8" s="89"/>
    </row>
    <row r="9" spans="1:10" ht="36" x14ac:dyDescent="0.3">
      <c r="A9" s="5" t="s">
        <v>62</v>
      </c>
      <c r="B9" s="6">
        <v>8</v>
      </c>
      <c r="C9" s="5" t="s">
        <v>11</v>
      </c>
      <c r="D9" s="5" t="s">
        <v>32</v>
      </c>
      <c r="E9" s="5" t="s">
        <v>86</v>
      </c>
      <c r="F9" s="9" t="s">
        <v>87</v>
      </c>
      <c r="G9" s="9" t="s">
        <v>106</v>
      </c>
      <c r="H9" s="5" t="s">
        <v>107</v>
      </c>
      <c r="I9" s="34" t="s">
        <v>108</v>
      </c>
    </row>
    <row r="10" spans="1:10" ht="36" x14ac:dyDescent="0.3">
      <c r="A10" s="5" t="s">
        <v>62</v>
      </c>
      <c r="B10" s="6">
        <v>9</v>
      </c>
      <c r="C10" s="5" t="s">
        <v>12</v>
      </c>
      <c r="D10" s="5" t="s">
        <v>33</v>
      </c>
      <c r="E10" s="5" t="s">
        <v>86</v>
      </c>
      <c r="F10" s="9" t="s">
        <v>91</v>
      </c>
      <c r="G10" s="9" t="s">
        <v>109</v>
      </c>
      <c r="H10" s="5" t="s">
        <v>110</v>
      </c>
      <c r="I10" s="34" t="s">
        <v>111</v>
      </c>
    </row>
    <row r="11" spans="1:10" ht="54.6" thickBot="1" x14ac:dyDescent="0.35">
      <c r="A11" s="86" t="s">
        <v>62</v>
      </c>
      <c r="B11" s="87">
        <v>7</v>
      </c>
      <c r="C11" s="86" t="s">
        <v>13</v>
      </c>
      <c r="D11" s="86" t="s">
        <v>34</v>
      </c>
      <c r="E11" s="86" t="s">
        <v>86</v>
      </c>
      <c r="F11" s="88" t="s">
        <v>95</v>
      </c>
      <c r="G11" s="88" t="s">
        <v>96</v>
      </c>
      <c r="H11" s="86" t="s">
        <v>104</v>
      </c>
      <c r="I11" s="137" t="s">
        <v>105</v>
      </c>
      <c r="J11" s="89"/>
    </row>
    <row r="12" spans="1:10" ht="36" x14ac:dyDescent="0.3">
      <c r="A12" s="5" t="s">
        <v>64</v>
      </c>
      <c r="B12" s="6">
        <v>10</v>
      </c>
      <c r="C12" s="5" t="s">
        <v>11</v>
      </c>
      <c r="D12" s="5" t="s">
        <v>35</v>
      </c>
      <c r="E12" s="5" t="s">
        <v>86</v>
      </c>
      <c r="F12" s="9" t="s">
        <v>87</v>
      </c>
      <c r="G12" s="9" t="s">
        <v>88</v>
      </c>
      <c r="H12" s="5" t="s">
        <v>65</v>
      </c>
      <c r="I12" s="34" t="s">
        <v>112</v>
      </c>
    </row>
    <row r="13" spans="1:10" ht="54" x14ac:dyDescent="0.3">
      <c r="A13" s="5" t="s">
        <v>64</v>
      </c>
      <c r="B13" s="6">
        <v>6</v>
      </c>
      <c r="C13" s="5" t="s">
        <v>12</v>
      </c>
      <c r="D13" s="5" t="s">
        <v>113</v>
      </c>
      <c r="E13" s="5" t="s">
        <v>86</v>
      </c>
      <c r="F13" s="9" t="s">
        <v>91</v>
      </c>
      <c r="G13" s="9" t="s">
        <v>101</v>
      </c>
      <c r="H13" s="5" t="s">
        <v>102</v>
      </c>
      <c r="I13" s="34" t="s">
        <v>114</v>
      </c>
    </row>
    <row r="14" spans="1:10" ht="36.6" thickBot="1" x14ac:dyDescent="0.35">
      <c r="A14" s="86" t="s">
        <v>64</v>
      </c>
      <c r="B14" s="87">
        <v>4</v>
      </c>
      <c r="C14" s="86" t="s">
        <v>13</v>
      </c>
      <c r="D14" s="86" t="s">
        <v>37</v>
      </c>
      <c r="E14" s="86" t="s">
        <v>86</v>
      </c>
      <c r="F14" s="88" t="s">
        <v>95</v>
      </c>
      <c r="G14" s="88" t="s">
        <v>96</v>
      </c>
      <c r="H14" s="86" t="s">
        <v>97</v>
      </c>
      <c r="I14" s="137" t="s">
        <v>115</v>
      </c>
      <c r="J14" s="89"/>
    </row>
    <row r="15" spans="1:10" ht="54" x14ac:dyDescent="0.3">
      <c r="A15" s="5" t="s">
        <v>66</v>
      </c>
      <c r="B15" s="6">
        <v>2</v>
      </c>
      <c r="C15" s="5" t="s">
        <v>11</v>
      </c>
      <c r="D15" s="5" t="s">
        <v>38</v>
      </c>
      <c r="E15" s="5" t="s">
        <v>116</v>
      </c>
      <c r="F15" s="9" t="s">
        <v>117</v>
      </c>
      <c r="G15" s="9" t="s">
        <v>118</v>
      </c>
      <c r="H15" s="5" t="s">
        <v>107</v>
      </c>
      <c r="I15" s="34" t="s">
        <v>119</v>
      </c>
      <c r="J15" s="89"/>
    </row>
    <row r="16" spans="1:10" x14ac:dyDescent="0.3">
      <c r="A16" s="4"/>
      <c r="F16" s="9"/>
      <c r="G16" s="9"/>
      <c r="H16" s="5"/>
      <c r="I16" s="4"/>
      <c r="J16" s="89"/>
    </row>
    <row r="17" spans="1:9" x14ac:dyDescent="0.3">
      <c r="A17" s="4"/>
      <c r="F17" s="9"/>
      <c r="G17" s="9"/>
      <c r="H17" s="5"/>
      <c r="I17" s="4"/>
    </row>
    <row r="18" spans="1:9" x14ac:dyDescent="0.3">
      <c r="A18" s="4"/>
      <c r="F18" s="9"/>
      <c r="G18" s="9"/>
      <c r="H18" s="5"/>
      <c r="I18" s="4"/>
    </row>
    <row r="19" spans="1:9" x14ac:dyDescent="0.3">
      <c r="A19" s="4"/>
      <c r="F19" s="9"/>
      <c r="G19" s="9"/>
      <c r="H19" s="5"/>
      <c r="I19" s="4"/>
    </row>
    <row r="20" spans="1:9" x14ac:dyDescent="0.3">
      <c r="A20" s="4"/>
      <c r="F20" s="9"/>
      <c r="G20" s="9"/>
      <c r="H20" s="5"/>
      <c r="I20" s="4"/>
    </row>
    <row r="21" spans="1:9" x14ac:dyDescent="0.3">
      <c r="A21" s="4"/>
      <c r="F21" s="9"/>
      <c r="G21" s="9"/>
      <c r="H21" s="5"/>
      <c r="I21" s="4"/>
    </row>
    <row r="22" spans="1:9" x14ac:dyDescent="0.3">
      <c r="A22" s="4"/>
      <c r="H22" s="5"/>
      <c r="I22" s="4"/>
    </row>
    <row r="23" spans="1:9" x14ac:dyDescent="0.3">
      <c r="A23" s="4"/>
      <c r="I23" s="4"/>
    </row>
    <row r="24" spans="1:9" x14ac:dyDescent="0.3">
      <c r="A24" s="4"/>
      <c r="I24" s="4"/>
    </row>
    <row r="25" spans="1:9" x14ac:dyDescent="0.3">
      <c r="A25" s="4"/>
    </row>
    <row r="26" spans="1:9" x14ac:dyDescent="0.3">
      <c r="A26" s="4"/>
    </row>
    <row r="27" spans="1:9" x14ac:dyDescent="0.3">
      <c r="A27" s="4"/>
    </row>
    <row r="28" spans="1:9" x14ac:dyDescent="0.3">
      <c r="A28" s="4"/>
    </row>
  </sheetData>
  <autoFilter ref="A2:K15" xr:uid="{94AAF649-42F4-466A-BE11-44357078F961}"/>
  <dataValidations count="5">
    <dataValidation type="list" allowBlank="1" showInputMessage="1" showErrorMessage="1" sqref="H3:H15" xr:uid="{EF7E0087-1A07-4340-9A8A-E18F2705EAA5}">
      <formula1>INDIRECT($G3)</formula1>
    </dataValidation>
    <dataValidation type="list" allowBlank="1" showInputMessage="1" showErrorMessage="1" sqref="G3:G15" xr:uid="{C824F632-68FF-A845-8310-1160831D753F}">
      <formula1>INDIRECT($F3)</formula1>
    </dataValidation>
    <dataValidation type="list" allowBlank="1" showInputMessage="1" showErrorMessage="1" sqref="F3:F15" xr:uid="{A432778F-7D53-8543-B7B7-9CEB372333AB}">
      <formula1>INDIRECT($E3)</formula1>
    </dataValidation>
    <dataValidation type="list" allowBlank="1" showInputMessage="1" showErrorMessage="1" sqref="D3:D15" xr:uid="{7E1D182A-6AF9-A04C-9AFE-674494F658A5}">
      <formula1>INDIRECT($C3)</formula1>
    </dataValidation>
    <dataValidation type="list" allowBlank="1" showInputMessage="1" showErrorMessage="1" sqref="C3:C15" xr:uid="{75684620-131C-F04B-80D8-C75EA8359587}">
      <formula1>ComponentesCompetencias</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345BD5CC-7544-FC43-BCE7-641772B9359A}">
          <x14:formula1>
            <xm:f>'Taxonomias para RA'!$A$4:$A$7</xm:f>
          </x14:formula1>
          <xm:sqref>E3:E15</xm:sqref>
        </x14:dataValidation>
        <x14:dataValidation type="list" allowBlank="1" showInputMessage="1" showErrorMessage="1" xr:uid="{98578F6C-C527-A048-93A4-A8514981207B}">
          <x14:formula1>
            <xm:f>'Paso 2 Redacción competen'!$F$4:$F$8</xm:f>
          </x14:formula1>
          <xm:sqref>A3:A15</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sheetPr filterMode="1"/>
  <dimension ref="A1:K31"/>
  <sheetViews>
    <sheetView zoomScale="130" zoomScaleNormal="130" workbookViewId="0">
      <selection activeCell="A6" sqref="A6"/>
    </sheetView>
  </sheetViews>
  <sheetFormatPr baseColWidth="10" defaultColWidth="11.44140625" defaultRowHeight="70.95" customHeight="1" x14ac:dyDescent="0.5"/>
  <cols>
    <col min="1" max="1" width="93.21875" style="5" customWidth="1"/>
    <col min="2" max="2" width="23.21875" style="6" customWidth="1"/>
    <col min="3" max="3" width="25" style="5" customWidth="1"/>
    <col min="4" max="4" width="36.77734375" style="5" customWidth="1"/>
    <col min="5" max="5" width="30.77734375" style="5" customWidth="1"/>
    <col min="6" max="6" width="21.77734375" style="5" customWidth="1"/>
    <col min="7" max="7" width="27.44140625" style="7" customWidth="1"/>
    <col min="8" max="8" width="22.5546875" style="1" customWidth="1"/>
    <col min="9" max="9" width="80" customWidth="1"/>
    <col min="10" max="10" width="97.21875" style="5" customWidth="1"/>
    <col min="11" max="16384" width="11.44140625" style="5"/>
  </cols>
  <sheetData>
    <row r="1" spans="1:11" ht="48" x14ac:dyDescent="0.3">
      <c r="A1" s="44" t="s">
        <v>68</v>
      </c>
      <c r="B1" s="44" t="s">
        <v>69</v>
      </c>
      <c r="C1" s="51" t="s">
        <v>70</v>
      </c>
      <c r="D1" s="52" t="s">
        <v>71</v>
      </c>
      <c r="E1" s="52" t="s">
        <v>72</v>
      </c>
      <c r="F1" s="51" t="s">
        <v>73</v>
      </c>
      <c r="G1" s="51" t="s">
        <v>74</v>
      </c>
      <c r="H1" s="51" t="s">
        <v>75</v>
      </c>
      <c r="I1" s="44" t="s">
        <v>76</v>
      </c>
      <c r="J1" s="45"/>
    </row>
    <row r="2" spans="1:11" ht="18" x14ac:dyDescent="0.3">
      <c r="A2" s="61" t="s">
        <v>77</v>
      </c>
      <c r="B2" s="58" t="s">
        <v>78</v>
      </c>
      <c r="C2" s="62" t="s">
        <v>79</v>
      </c>
      <c r="D2" s="53" t="s">
        <v>80</v>
      </c>
      <c r="E2" s="53" t="s">
        <v>81</v>
      </c>
      <c r="F2" s="62" t="s">
        <v>82</v>
      </c>
      <c r="G2" s="62" t="s">
        <v>83</v>
      </c>
      <c r="H2" s="62" t="s">
        <v>84</v>
      </c>
      <c r="I2" s="58" t="s">
        <v>85</v>
      </c>
      <c r="J2" s="63"/>
    </row>
    <row r="3" spans="1:11" ht="136.5" hidden="1" customHeight="1" x14ac:dyDescent="0.3">
      <c r="A3" s="4" t="s">
        <v>120</v>
      </c>
      <c r="B3" s="6">
        <v>1</v>
      </c>
      <c r="C3" s="5" t="s">
        <v>11</v>
      </c>
      <c r="D3" s="5" t="s">
        <v>121</v>
      </c>
      <c r="E3" s="5" t="s">
        <v>86</v>
      </c>
      <c r="F3" s="9" t="s">
        <v>87</v>
      </c>
      <c r="G3" s="9" t="s">
        <v>106</v>
      </c>
      <c r="H3" s="5" t="s">
        <v>107</v>
      </c>
      <c r="I3" s="34" t="s">
        <v>122</v>
      </c>
      <c r="J3" s="27"/>
    </row>
    <row r="4" spans="1:11" ht="142.5" hidden="1" customHeight="1" x14ac:dyDescent="0.3">
      <c r="A4" s="4" t="s">
        <v>120</v>
      </c>
      <c r="B4" s="6">
        <v>4</v>
      </c>
      <c r="C4" s="5" t="s">
        <v>12</v>
      </c>
      <c r="D4" s="5" t="s">
        <v>123</v>
      </c>
      <c r="E4" s="5" t="s">
        <v>86</v>
      </c>
      <c r="F4" s="9" t="s">
        <v>91</v>
      </c>
      <c r="G4" s="9" t="s">
        <v>92</v>
      </c>
      <c r="H4" s="5" t="s">
        <v>110</v>
      </c>
      <c r="I4" s="34" t="s">
        <v>124</v>
      </c>
    </row>
    <row r="5" spans="1:11" ht="126" hidden="1" customHeight="1" x14ac:dyDescent="0.3">
      <c r="A5" s="4" t="s">
        <v>120</v>
      </c>
      <c r="B5" s="6">
        <v>7</v>
      </c>
      <c r="C5" s="5" t="s">
        <v>13</v>
      </c>
      <c r="D5" s="5" t="s">
        <v>125</v>
      </c>
      <c r="E5" s="5" t="s">
        <v>86</v>
      </c>
      <c r="F5" s="9" t="s">
        <v>95</v>
      </c>
      <c r="G5" s="9" t="s">
        <v>126</v>
      </c>
      <c r="H5" s="5" t="s">
        <v>127</v>
      </c>
      <c r="I5" s="34" t="s">
        <v>128</v>
      </c>
    </row>
    <row r="6" spans="1:11" ht="108" x14ac:dyDescent="0.3">
      <c r="A6" s="4" t="s">
        <v>129</v>
      </c>
      <c r="B6" s="6">
        <v>1</v>
      </c>
      <c r="C6" s="5" t="s">
        <v>11</v>
      </c>
      <c r="D6" s="5" t="s">
        <v>130</v>
      </c>
      <c r="E6" s="5" t="s">
        <v>86</v>
      </c>
      <c r="F6" s="9" t="s">
        <v>87</v>
      </c>
      <c r="G6" s="9" t="s">
        <v>106</v>
      </c>
      <c r="H6" s="5" t="s">
        <v>107</v>
      </c>
      <c r="I6" s="34" t="s">
        <v>131</v>
      </c>
    </row>
    <row r="7" spans="1:11" ht="144" x14ac:dyDescent="0.3">
      <c r="A7" s="4" t="s">
        <v>129</v>
      </c>
      <c r="B7" s="6">
        <v>5</v>
      </c>
      <c r="C7" s="5" t="s">
        <v>12</v>
      </c>
      <c r="D7" s="5" t="s">
        <v>132</v>
      </c>
      <c r="E7" s="5" t="s">
        <v>86</v>
      </c>
      <c r="F7" s="9" t="s">
        <v>91</v>
      </c>
      <c r="G7" s="9" t="s">
        <v>92</v>
      </c>
      <c r="H7" s="5" t="s">
        <v>110</v>
      </c>
      <c r="I7" s="34" t="s">
        <v>124</v>
      </c>
    </row>
    <row r="8" spans="1:11" ht="90" x14ac:dyDescent="0.3">
      <c r="A8" s="4" t="s">
        <v>129</v>
      </c>
      <c r="B8" s="6">
        <v>7</v>
      </c>
      <c r="C8" s="5" t="s">
        <v>13</v>
      </c>
      <c r="D8" s="5" t="s">
        <v>125</v>
      </c>
      <c r="E8" s="5" t="s">
        <v>86</v>
      </c>
      <c r="F8" s="9" t="s">
        <v>95</v>
      </c>
      <c r="G8" s="9" t="s">
        <v>126</v>
      </c>
      <c r="H8" s="5" t="s">
        <v>127</v>
      </c>
      <c r="I8" s="34" t="s">
        <v>128</v>
      </c>
      <c r="J8" s="11"/>
    </row>
    <row r="9" spans="1:11" ht="108" hidden="1" x14ac:dyDescent="0.3">
      <c r="A9" s="4" t="s">
        <v>133</v>
      </c>
      <c r="B9" s="6">
        <v>2</v>
      </c>
      <c r="C9" s="5" t="s">
        <v>11</v>
      </c>
      <c r="D9" s="5" t="s">
        <v>134</v>
      </c>
      <c r="E9" s="5" t="s">
        <v>86</v>
      </c>
      <c r="F9" s="9" t="s">
        <v>87</v>
      </c>
      <c r="G9" s="9" t="s">
        <v>106</v>
      </c>
      <c r="H9" s="5" t="s">
        <v>107</v>
      </c>
      <c r="I9" s="34" t="s">
        <v>131</v>
      </c>
      <c r="J9" s="11"/>
    </row>
    <row r="10" spans="1:11" ht="144" hidden="1" x14ac:dyDescent="0.3">
      <c r="A10" s="4" t="s">
        <v>133</v>
      </c>
      <c r="B10" s="6">
        <v>6</v>
      </c>
      <c r="C10" s="5" t="s">
        <v>12</v>
      </c>
      <c r="D10" s="5" t="s">
        <v>135</v>
      </c>
      <c r="E10" s="5" t="s">
        <v>86</v>
      </c>
      <c r="F10" s="9" t="s">
        <v>91</v>
      </c>
      <c r="G10" s="9" t="s">
        <v>92</v>
      </c>
      <c r="H10" s="5" t="s">
        <v>110</v>
      </c>
      <c r="I10" s="34" t="s">
        <v>124</v>
      </c>
    </row>
    <row r="11" spans="1:11" ht="90" hidden="1" x14ac:dyDescent="0.5">
      <c r="A11" s="55" t="s">
        <v>133</v>
      </c>
      <c r="B11" s="42">
        <v>7</v>
      </c>
      <c r="C11" s="43" t="s">
        <v>13</v>
      </c>
      <c r="D11" s="5" t="s">
        <v>136</v>
      </c>
      <c r="E11" s="43" t="s">
        <v>86</v>
      </c>
      <c r="F11" s="56" t="s">
        <v>95</v>
      </c>
      <c r="G11" s="56" t="s">
        <v>126</v>
      </c>
      <c r="H11" s="43" t="s">
        <v>127</v>
      </c>
      <c r="I11" s="34" t="s">
        <v>128</v>
      </c>
      <c r="J11" s="55"/>
      <c r="K11" s="49"/>
    </row>
    <row r="12" spans="1:11" ht="54" hidden="1" x14ac:dyDescent="0.5">
      <c r="A12" s="4" t="s">
        <v>66</v>
      </c>
      <c r="B12" s="6">
        <v>3</v>
      </c>
      <c r="C12" s="5" t="s">
        <v>11</v>
      </c>
      <c r="D12" s="5" t="s">
        <v>38</v>
      </c>
      <c r="E12" s="5" t="s">
        <v>116</v>
      </c>
      <c r="F12" s="9" t="s">
        <v>117</v>
      </c>
      <c r="G12" s="9" t="s">
        <v>118</v>
      </c>
      <c r="H12" s="5" t="s">
        <v>107</v>
      </c>
      <c r="I12" s="54" t="s">
        <v>119</v>
      </c>
      <c r="J12" s="11"/>
    </row>
    <row r="13" spans="1:11" ht="18" x14ac:dyDescent="0.3">
      <c r="A13" s="4"/>
      <c r="F13"/>
      <c r="G13"/>
      <c r="H13" s="5"/>
      <c r="I13" s="4"/>
      <c r="J13" s="11"/>
    </row>
    <row r="14" spans="1:11" ht="18" x14ac:dyDescent="0.3">
      <c r="A14" s="4"/>
      <c r="F14"/>
      <c r="G14"/>
      <c r="H14" s="5"/>
      <c r="I14" s="4"/>
    </row>
    <row r="15" spans="1:11" ht="18" x14ac:dyDescent="0.3">
      <c r="A15" s="4"/>
      <c r="F15"/>
      <c r="G15"/>
      <c r="H15" s="5"/>
      <c r="I15" s="4"/>
    </row>
    <row r="16" spans="1:11" ht="18" x14ac:dyDescent="0.3">
      <c r="A16" s="4"/>
      <c r="F16"/>
      <c r="G16"/>
      <c r="H16" s="5"/>
      <c r="I16" s="4"/>
    </row>
    <row r="17" spans="1:9" ht="18" x14ac:dyDescent="0.3">
      <c r="A17" s="4"/>
      <c r="F17"/>
      <c r="G17"/>
      <c r="H17" s="5"/>
      <c r="I17" s="4"/>
    </row>
    <row r="18" spans="1:9" ht="18" x14ac:dyDescent="0.3">
      <c r="A18" s="4"/>
      <c r="F18"/>
      <c r="G18"/>
      <c r="H18" s="5"/>
      <c r="I18" s="4"/>
    </row>
    <row r="19" spans="1:9" ht="18" x14ac:dyDescent="0.3">
      <c r="A19" s="4"/>
      <c r="H19" s="5"/>
      <c r="I19" s="4"/>
    </row>
    <row r="20" spans="1:9" ht="18" x14ac:dyDescent="0.5">
      <c r="A20" s="4"/>
      <c r="I20" s="4"/>
    </row>
    <row r="21" spans="1:9" ht="18" x14ac:dyDescent="0.5">
      <c r="A21" s="4"/>
      <c r="I21" s="4"/>
    </row>
    <row r="22" spans="1:9" ht="18" x14ac:dyDescent="0.5">
      <c r="A22" s="4"/>
    </row>
    <row r="23" spans="1:9" ht="18" x14ac:dyDescent="0.5">
      <c r="A23" s="4"/>
    </row>
    <row r="24" spans="1:9" ht="18" x14ac:dyDescent="0.5">
      <c r="A24" s="4"/>
    </row>
    <row r="25" spans="1:9" ht="18" x14ac:dyDescent="0.5">
      <c r="A25" s="4"/>
    </row>
    <row r="26" spans="1:9" ht="18" x14ac:dyDescent="0.5"/>
    <row r="27" spans="1:9" ht="18" x14ac:dyDescent="0.5"/>
    <row r="28" spans="1:9" ht="18" x14ac:dyDescent="0.5"/>
    <row r="29" spans="1:9" ht="18" x14ac:dyDescent="0.5"/>
    <row r="30" spans="1:9" ht="18" x14ac:dyDescent="0.5"/>
    <row r="31" spans="1:9" ht="18" x14ac:dyDescent="0.5"/>
  </sheetData>
  <autoFilter xmlns:x14="http://schemas.microsoft.com/office/spreadsheetml/2009/9/main" ref="A2:K12" xr:uid="{94AAF649-42F4-466A-BE11-44357078F961}">
    <filterColumn colId="0">
      <mc:AlternateContent xmlns:mc="http://schemas.openxmlformats.org/markup-compatibility/2006">
        <mc:Choice Requires="x14">
          <filters>
            <x14:filter val="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
          </filters>
        </mc:Choice>
        <mc:Fallback>
          <customFilters>
            <customFilter val=""/>
            <customFilter operator="notEqual" val=" "/>
          </customFilters>
        </mc:Fallback>
      </mc:AlternateContent>
    </filterColumn>
  </autoFilter>
  <dataValidations count="5">
    <dataValidation type="list" allowBlank="1" showInputMessage="1" showErrorMessage="1" sqref="C3:C12" xr:uid="{FFA6D22D-3D22-422C-9E4B-9DF41FFB0D1A}">
      <formula1>ComponentesCompetencias</formula1>
    </dataValidation>
    <dataValidation type="list" allowBlank="1" showInputMessage="1" showErrorMessage="1" sqref="D3:D12" xr:uid="{9AA6F2BA-0C3A-40DD-AD22-0938F849E8C8}">
      <formula1>INDIRECT($C3)</formula1>
    </dataValidation>
    <dataValidation type="list" allowBlank="1" showInputMessage="1" showErrorMessage="1" sqref="F3:F12" xr:uid="{ADE492A9-9311-4C66-8809-49C51DCA3157}">
      <formula1>INDIRECT($E3)</formula1>
    </dataValidation>
    <dataValidation type="list" allowBlank="1" showInputMessage="1" showErrorMessage="1" sqref="G3:G12" xr:uid="{B5B6CC5B-EEB4-499F-8DFB-1C865BA84EBE}">
      <formula1>INDIRECT($F3)</formula1>
    </dataValidation>
    <dataValidation type="list" allowBlank="1" showInputMessage="1" showErrorMessage="1" sqref="H3:H12" xr:uid="{7387A2BF-425F-402D-8212-A970461E8629}">
      <formula1>INDIRECT($G3)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1E0EDF5A-A1A8-49EE-80CA-8A45EBE16B4F}">
          <x14:formula1>
            <xm:f>'Taxonomias para RA'!$A$4:$A$7</xm:f>
          </x14:formula1>
          <xm:sqref>E3:E12</xm:sqref>
        </x14:dataValidation>
        <x14:dataValidation type="list" allowBlank="1" showInputMessage="1" showErrorMessage="1" xr:uid="{21CB2337-8D31-4329-A03E-63CC0DEF8C59}">
          <x14:formula1>
            <xm:f>'Paso 2 Redacción competen'!$F$4:$F$8</xm:f>
          </x14:formula1>
          <xm:sqref>A3:A12</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D2FE2-9619-401A-8888-2C861DBCAC9F}">
  <dimension ref="A1:F41"/>
  <sheetViews>
    <sheetView zoomScale="95" zoomScaleNormal="95" workbookViewId="0"/>
  </sheetViews>
  <sheetFormatPr baseColWidth="10" defaultColWidth="10.77734375" defaultRowHeight="14.4" x14ac:dyDescent="0.3"/>
  <cols>
    <col min="1" max="1" width="71.77734375" style="13" customWidth="1"/>
    <col min="2" max="2" width="60" style="13" customWidth="1"/>
    <col min="3" max="3" width="54.77734375" style="26" customWidth="1"/>
    <col min="4" max="5" width="46.44140625" style="26" customWidth="1"/>
    <col min="6" max="6" width="38.21875" style="26" customWidth="1"/>
    <col min="7" max="16384" width="10.77734375" style="13"/>
  </cols>
  <sheetData>
    <row r="1" spans="1:6" s="90" customFormat="1" ht="48" x14ac:dyDescent="0.3">
      <c r="A1" s="80" t="s">
        <v>137</v>
      </c>
      <c r="B1" s="80" t="s">
        <v>138</v>
      </c>
      <c r="C1" s="80" t="s">
        <v>139</v>
      </c>
      <c r="D1" s="80" t="s">
        <v>140</v>
      </c>
      <c r="E1" s="80" t="s">
        <v>141</v>
      </c>
      <c r="F1" s="80" t="s">
        <v>142</v>
      </c>
    </row>
    <row r="2" spans="1:6" s="90" customFormat="1" ht="36" x14ac:dyDescent="0.3">
      <c r="A2" s="83" t="s">
        <v>143</v>
      </c>
      <c r="B2" s="83" t="s">
        <v>144</v>
      </c>
      <c r="C2" s="83" t="s">
        <v>145</v>
      </c>
      <c r="D2" s="83" t="s">
        <v>146</v>
      </c>
      <c r="E2" s="83" t="s">
        <v>147</v>
      </c>
      <c r="F2" s="83" t="s">
        <v>148</v>
      </c>
    </row>
    <row r="3" spans="1:6" ht="36" x14ac:dyDescent="0.3">
      <c r="A3" s="34" t="s">
        <v>90</v>
      </c>
      <c r="B3" s="149" t="s">
        <v>149</v>
      </c>
      <c r="C3" s="174" t="s">
        <v>150</v>
      </c>
      <c r="D3" s="91" t="s">
        <v>151</v>
      </c>
      <c r="E3" s="178" t="s">
        <v>152</v>
      </c>
      <c r="F3" s="92" t="s">
        <v>153</v>
      </c>
    </row>
    <row r="4" spans="1:6" ht="72" x14ac:dyDescent="0.3">
      <c r="A4" s="34" t="s">
        <v>103</v>
      </c>
      <c r="B4" s="150"/>
      <c r="C4" s="162"/>
      <c r="D4" s="57" t="s">
        <v>154</v>
      </c>
      <c r="E4" s="150"/>
      <c r="F4" s="4" t="s">
        <v>155</v>
      </c>
    </row>
    <row r="5" spans="1:6" ht="36" x14ac:dyDescent="0.3">
      <c r="A5" s="93" t="s">
        <v>115</v>
      </c>
      <c r="B5" s="156"/>
      <c r="C5" s="163"/>
      <c r="D5" s="57" t="s">
        <v>156</v>
      </c>
      <c r="E5" s="156"/>
      <c r="F5" s="34" t="s">
        <v>157</v>
      </c>
    </row>
    <row r="6" spans="1:6" ht="36" x14ac:dyDescent="0.3">
      <c r="A6" s="34" t="s">
        <v>90</v>
      </c>
      <c r="B6" s="158" t="s">
        <v>158</v>
      </c>
      <c r="C6" s="161" t="s">
        <v>159</v>
      </c>
      <c r="D6" s="96" t="s">
        <v>154</v>
      </c>
      <c r="E6" s="146" t="s">
        <v>160</v>
      </c>
      <c r="F6" s="97" t="s">
        <v>155</v>
      </c>
    </row>
    <row r="7" spans="1:6" ht="36" x14ac:dyDescent="0.3">
      <c r="A7" s="34" t="s">
        <v>100</v>
      </c>
      <c r="B7" s="159"/>
      <c r="C7" s="162"/>
      <c r="D7" s="57" t="s">
        <v>154</v>
      </c>
      <c r="E7" s="147"/>
      <c r="F7" s="4" t="s">
        <v>153</v>
      </c>
    </row>
    <row r="8" spans="1:6" ht="54" x14ac:dyDescent="0.3">
      <c r="A8" s="93" t="s">
        <v>105</v>
      </c>
      <c r="B8" s="160"/>
      <c r="C8" s="163"/>
      <c r="D8" s="94" t="s">
        <v>156</v>
      </c>
      <c r="E8" s="148"/>
      <c r="F8" s="93" t="s">
        <v>157</v>
      </c>
    </row>
    <row r="9" spans="1:6" ht="36" x14ac:dyDescent="0.3">
      <c r="A9" s="34" t="s">
        <v>90</v>
      </c>
      <c r="B9" s="150" t="s">
        <v>161</v>
      </c>
      <c r="C9" s="161" t="s">
        <v>162</v>
      </c>
      <c r="D9" s="57" t="s">
        <v>163</v>
      </c>
      <c r="E9" s="146" t="s">
        <v>164</v>
      </c>
      <c r="F9" s="79" t="s">
        <v>155</v>
      </c>
    </row>
    <row r="10" spans="1:6" ht="36" x14ac:dyDescent="0.3">
      <c r="A10" s="34" t="s">
        <v>100</v>
      </c>
      <c r="B10" s="150"/>
      <c r="C10" s="162"/>
      <c r="D10" s="57" t="s">
        <v>165</v>
      </c>
      <c r="E10" s="147"/>
      <c r="F10" s="79" t="s">
        <v>153</v>
      </c>
    </row>
    <row r="11" spans="1:6" ht="54" x14ac:dyDescent="0.3">
      <c r="A11" s="93" t="s">
        <v>105</v>
      </c>
      <c r="B11" s="150"/>
      <c r="C11" s="163"/>
      <c r="D11" s="57" t="s">
        <v>156</v>
      </c>
      <c r="E11" s="148"/>
      <c r="F11" s="79" t="s">
        <v>157</v>
      </c>
    </row>
    <row r="12" spans="1:6" ht="36" x14ac:dyDescent="0.3">
      <c r="A12" s="34" t="s">
        <v>90</v>
      </c>
      <c r="B12" s="149" t="s">
        <v>166</v>
      </c>
      <c r="C12" s="161" t="s">
        <v>167</v>
      </c>
      <c r="D12" s="96" t="s">
        <v>154</v>
      </c>
      <c r="E12" s="146" t="s">
        <v>168</v>
      </c>
      <c r="F12" s="97" t="s">
        <v>155</v>
      </c>
    </row>
    <row r="13" spans="1:6" ht="36" x14ac:dyDescent="0.3">
      <c r="A13" s="34" t="s">
        <v>100</v>
      </c>
      <c r="B13" s="150"/>
      <c r="C13" s="162"/>
      <c r="D13" s="79" t="s">
        <v>169</v>
      </c>
      <c r="E13" s="147"/>
      <c r="F13" s="34" t="s">
        <v>153</v>
      </c>
    </row>
    <row r="14" spans="1:6" ht="54" x14ac:dyDescent="0.3">
      <c r="A14" s="93" t="s">
        <v>105</v>
      </c>
      <c r="B14" s="156"/>
      <c r="C14" s="162"/>
      <c r="D14" s="57" t="s">
        <v>156</v>
      </c>
      <c r="E14" s="148"/>
      <c r="F14" s="79" t="s">
        <v>157</v>
      </c>
    </row>
    <row r="15" spans="1:6" ht="36" x14ac:dyDescent="0.3">
      <c r="A15" s="34" t="s">
        <v>100</v>
      </c>
      <c r="B15" s="157" t="s">
        <v>170</v>
      </c>
      <c r="C15" s="151" t="s">
        <v>171</v>
      </c>
      <c r="D15" s="96" t="s">
        <v>154</v>
      </c>
      <c r="E15" s="146" t="s">
        <v>172</v>
      </c>
      <c r="F15" s="97" t="s">
        <v>155</v>
      </c>
    </row>
    <row r="16" spans="1:6" ht="36" x14ac:dyDescent="0.3">
      <c r="A16" s="34" t="s">
        <v>111</v>
      </c>
      <c r="B16" s="153"/>
      <c r="C16" s="152"/>
      <c r="D16" s="79" t="s">
        <v>169</v>
      </c>
      <c r="E16" s="147"/>
      <c r="F16" s="34" t="s">
        <v>153</v>
      </c>
    </row>
    <row r="17" spans="1:6" ht="54" x14ac:dyDescent="0.3">
      <c r="A17" s="93" t="s">
        <v>108</v>
      </c>
      <c r="B17" s="154"/>
      <c r="C17" s="155"/>
      <c r="D17" s="94" t="s">
        <v>156</v>
      </c>
      <c r="E17" s="148"/>
      <c r="F17" s="93" t="s">
        <v>157</v>
      </c>
    </row>
    <row r="18" spans="1:6" ht="36" x14ac:dyDescent="0.3">
      <c r="A18" s="34" t="s">
        <v>115</v>
      </c>
      <c r="B18" s="157" t="s">
        <v>173</v>
      </c>
      <c r="C18" s="151" t="s">
        <v>174</v>
      </c>
      <c r="D18" s="57" t="s">
        <v>175</v>
      </c>
      <c r="E18" s="149" t="s">
        <v>176</v>
      </c>
      <c r="F18" s="34" t="s">
        <v>177</v>
      </c>
    </row>
    <row r="19" spans="1:6" ht="72" x14ac:dyDescent="0.3">
      <c r="A19" s="34" t="s">
        <v>103</v>
      </c>
      <c r="B19" s="153"/>
      <c r="C19" s="152"/>
      <c r="D19" s="79" t="s">
        <v>151</v>
      </c>
      <c r="E19" s="150"/>
      <c r="F19" s="79" t="s">
        <v>153</v>
      </c>
    </row>
    <row r="20" spans="1:6" ht="36" x14ac:dyDescent="0.3">
      <c r="A20" s="93" t="s">
        <v>100</v>
      </c>
      <c r="B20" s="154"/>
      <c r="C20" s="155"/>
      <c r="D20" s="102" t="s">
        <v>156</v>
      </c>
      <c r="E20" s="173"/>
      <c r="F20" s="101" t="s">
        <v>157</v>
      </c>
    </row>
    <row r="21" spans="1:6" ht="36" x14ac:dyDescent="0.3">
      <c r="A21" s="34" t="s">
        <v>115</v>
      </c>
      <c r="B21" s="149" t="s">
        <v>178</v>
      </c>
      <c r="C21" s="152" t="s">
        <v>179</v>
      </c>
      <c r="D21" s="79" t="s">
        <v>154</v>
      </c>
      <c r="E21" s="177" t="s">
        <v>180</v>
      </c>
      <c r="F21" s="34" t="s">
        <v>177</v>
      </c>
    </row>
    <row r="22" spans="1:6" ht="72" x14ac:dyDescent="0.3">
      <c r="A22" s="34" t="s">
        <v>103</v>
      </c>
      <c r="B22" s="150"/>
      <c r="C22" s="152"/>
      <c r="D22" s="79" t="s">
        <v>151</v>
      </c>
      <c r="E22" s="150"/>
      <c r="F22" s="34" t="s">
        <v>153</v>
      </c>
    </row>
    <row r="23" spans="1:6" ht="54" x14ac:dyDescent="0.3">
      <c r="A23" s="93" t="s">
        <v>105</v>
      </c>
      <c r="B23" s="173"/>
      <c r="C23" s="175"/>
      <c r="D23" s="102" t="s">
        <v>156</v>
      </c>
      <c r="E23" s="173"/>
      <c r="F23" s="101" t="s">
        <v>157</v>
      </c>
    </row>
    <row r="24" spans="1:6" ht="36" x14ac:dyDescent="0.3">
      <c r="A24" s="34" t="s">
        <v>94</v>
      </c>
      <c r="B24" s="150" t="s">
        <v>181</v>
      </c>
      <c r="C24" s="176" t="s">
        <v>182</v>
      </c>
      <c r="D24" s="79" t="s">
        <v>154</v>
      </c>
      <c r="E24" s="177" t="s">
        <v>183</v>
      </c>
      <c r="F24" s="34" t="s">
        <v>177</v>
      </c>
    </row>
    <row r="25" spans="1:6" ht="72" x14ac:dyDescent="0.3">
      <c r="A25" s="34" t="s">
        <v>103</v>
      </c>
      <c r="B25" s="150"/>
      <c r="C25" s="152"/>
      <c r="D25" s="79" t="s">
        <v>151</v>
      </c>
      <c r="E25" s="150"/>
      <c r="F25" s="34" t="s">
        <v>153</v>
      </c>
    </row>
    <row r="26" spans="1:6" ht="36" x14ac:dyDescent="0.3">
      <c r="A26" s="93" t="s">
        <v>112</v>
      </c>
      <c r="B26" s="156"/>
      <c r="C26" s="155"/>
      <c r="D26" s="94" t="s">
        <v>156</v>
      </c>
      <c r="E26" s="156"/>
      <c r="F26" s="93" t="s">
        <v>157</v>
      </c>
    </row>
    <row r="27" spans="1:6" ht="18" x14ac:dyDescent="0.3">
      <c r="A27" s="34"/>
    </row>
    <row r="29" spans="1:6" ht="18" x14ac:dyDescent="0.3">
      <c r="A29" s="34"/>
    </row>
    <row r="30" spans="1:6" ht="18" x14ac:dyDescent="0.3">
      <c r="A30" s="34"/>
    </row>
    <row r="31" spans="1:6" ht="18" x14ac:dyDescent="0.3">
      <c r="A31" s="34"/>
    </row>
    <row r="32" spans="1:6" ht="18" x14ac:dyDescent="0.3">
      <c r="A32" s="34"/>
    </row>
    <row r="33" spans="1:1" ht="18" x14ac:dyDescent="0.3">
      <c r="A33" s="34"/>
    </row>
    <row r="34" spans="1:1" ht="18" x14ac:dyDescent="0.3">
      <c r="A34" s="34"/>
    </row>
    <row r="35" spans="1:1" ht="18" x14ac:dyDescent="0.3">
      <c r="A35" s="34"/>
    </row>
    <row r="36" spans="1:1" ht="18" x14ac:dyDescent="0.3">
      <c r="A36" s="34"/>
    </row>
    <row r="37" spans="1:1" ht="18" x14ac:dyDescent="0.3">
      <c r="A37" s="34"/>
    </row>
    <row r="38" spans="1:1" ht="18" x14ac:dyDescent="0.3">
      <c r="A38" s="34"/>
    </row>
    <row r="39" spans="1:1" ht="18" x14ac:dyDescent="0.3">
      <c r="A39" s="34"/>
    </row>
    <row r="40" spans="1:1" ht="18" x14ac:dyDescent="0.3">
      <c r="A40" s="34"/>
    </row>
    <row r="41" spans="1:1" ht="18" x14ac:dyDescent="0.3">
      <c r="A41" s="34"/>
    </row>
  </sheetData>
  <mergeCells count="24">
    <mergeCell ref="E3:E5"/>
    <mergeCell ref="E6:E8"/>
    <mergeCell ref="E9:E11"/>
    <mergeCell ref="E12:E14"/>
    <mergeCell ref="C9:C11"/>
    <mergeCell ref="E15:E17"/>
    <mergeCell ref="E18:E20"/>
    <mergeCell ref="C18:C20"/>
    <mergeCell ref="C21:C23"/>
    <mergeCell ref="C24:C26"/>
    <mergeCell ref="E21:E23"/>
    <mergeCell ref="E24:E26"/>
    <mergeCell ref="B15:B17"/>
    <mergeCell ref="B18:B20"/>
    <mergeCell ref="B21:B23"/>
    <mergeCell ref="B24:B26"/>
    <mergeCell ref="C3:C5"/>
    <mergeCell ref="B3:B5"/>
    <mergeCell ref="C15:C17"/>
    <mergeCell ref="B6:B8"/>
    <mergeCell ref="C6:C8"/>
    <mergeCell ref="B9:B11"/>
    <mergeCell ref="C12:C14"/>
    <mergeCell ref="B12:B14"/>
  </mergeCell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76D4CE67-AD66-4854-B38B-39F44C18D0BA}">
          <x14:formula1>
            <xm:f>'Paso 3 Redacción RA'!$I$3:$I$15</xm:f>
          </x14:formula1>
          <xm:sqref>A29:A41 A3:A27</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E195A-FBC9-4847-94C9-3ADDAD335674}">
  <dimension ref="A1:T171"/>
  <sheetViews>
    <sheetView tabSelected="1" topLeftCell="A123" zoomScale="60" zoomScaleNormal="60" workbookViewId="0">
      <selection activeCell="B127" sqref="B127"/>
    </sheetView>
  </sheetViews>
  <sheetFormatPr baseColWidth="10" defaultColWidth="14.77734375" defaultRowHeight="18" x14ac:dyDescent="0.5"/>
  <cols>
    <col min="1" max="1" width="14.77734375" style="1"/>
    <col min="2" max="2" width="94.77734375" style="5" customWidth="1"/>
    <col min="3" max="3" width="18.44140625" style="7" customWidth="1"/>
    <col min="4" max="4" width="61.21875" style="6" customWidth="1"/>
    <col min="5" max="5" width="63.44140625" style="5" customWidth="1"/>
    <col min="6" max="6" width="28.77734375" style="7" customWidth="1"/>
    <col min="7" max="7" width="27.5546875" style="7" customWidth="1"/>
    <col min="8" max="8" width="27.77734375" style="7" customWidth="1"/>
    <col min="9" max="9" width="27.5546875" style="7" customWidth="1"/>
    <col min="10" max="10" width="23.21875" style="7" customWidth="1"/>
    <col min="11" max="11" width="25.77734375" style="7" customWidth="1"/>
    <col min="12" max="12" width="26.77734375" style="7" customWidth="1"/>
    <col min="13" max="13" width="31.77734375" style="7" customWidth="1"/>
    <col min="14" max="14" width="48.44140625" style="5" customWidth="1"/>
    <col min="15" max="15" width="63.77734375" style="5" customWidth="1"/>
    <col min="16" max="16" width="112.21875" style="5" customWidth="1"/>
    <col min="17" max="17" width="79.21875" style="5" customWidth="1"/>
    <col min="18" max="18" width="4.21875" style="5" bestFit="1" customWidth="1"/>
    <col min="19" max="19" width="4.21875" style="5" customWidth="1"/>
    <col min="20" max="20" width="14.77734375" style="14" customWidth="1"/>
    <col min="21" max="16384" width="14.77734375" style="7"/>
  </cols>
  <sheetData>
    <row r="1" spans="1:20" s="90" customFormat="1" ht="48" x14ac:dyDescent="0.3">
      <c r="A1" s="80" t="s">
        <v>184</v>
      </c>
      <c r="B1" s="80" t="s">
        <v>185</v>
      </c>
      <c r="C1" s="80" t="s">
        <v>186</v>
      </c>
      <c r="D1" s="80" t="s">
        <v>187</v>
      </c>
      <c r="E1" s="80" t="s">
        <v>188</v>
      </c>
      <c r="F1" s="80" t="s">
        <v>189</v>
      </c>
      <c r="G1" s="145" t="s">
        <v>190</v>
      </c>
      <c r="H1" s="145"/>
      <c r="I1" s="145"/>
      <c r="J1" s="80" t="s">
        <v>191</v>
      </c>
      <c r="K1" s="80" t="s">
        <v>192</v>
      </c>
      <c r="L1" s="80" t="s">
        <v>193</v>
      </c>
      <c r="M1" s="80" t="s">
        <v>194</v>
      </c>
      <c r="N1" s="80" t="s">
        <v>195</v>
      </c>
      <c r="O1" s="80" t="s">
        <v>196</v>
      </c>
      <c r="P1" s="80" t="s">
        <v>197</v>
      </c>
      <c r="Q1" s="80" t="s">
        <v>198</v>
      </c>
      <c r="R1" s="110"/>
      <c r="S1" s="110"/>
    </row>
    <row r="2" spans="1:20" s="90" customFormat="1" ht="58.5" customHeight="1" thickBot="1" x14ac:dyDescent="0.35">
      <c r="A2" s="83" t="s">
        <v>199</v>
      </c>
      <c r="B2" s="83" t="s">
        <v>143</v>
      </c>
      <c r="C2" s="83" t="s">
        <v>200</v>
      </c>
      <c r="D2" s="83" t="s">
        <v>201</v>
      </c>
      <c r="E2" s="83" t="s">
        <v>202</v>
      </c>
      <c r="F2" s="83" t="s">
        <v>203</v>
      </c>
      <c r="G2" s="83" t="s">
        <v>204</v>
      </c>
      <c r="H2" s="83" t="s">
        <v>205</v>
      </c>
      <c r="I2" s="83" t="s">
        <v>206</v>
      </c>
      <c r="J2" s="83" t="s">
        <v>207</v>
      </c>
      <c r="K2" s="83" t="s">
        <v>208</v>
      </c>
      <c r="L2" s="83" t="s">
        <v>209</v>
      </c>
      <c r="M2" s="83" t="s">
        <v>210</v>
      </c>
      <c r="N2" s="83" t="s">
        <v>211</v>
      </c>
      <c r="O2" s="83" t="s">
        <v>212</v>
      </c>
      <c r="P2" s="83" t="s">
        <v>213</v>
      </c>
      <c r="Q2" s="83" t="s">
        <v>214</v>
      </c>
      <c r="R2" s="111"/>
      <c r="S2" s="111"/>
    </row>
    <row r="3" spans="1:20" s="90" customFormat="1" ht="386.25" customHeight="1" thickBot="1" x14ac:dyDescent="0.35">
      <c r="A3" s="103" t="str">
        <f>_xlfn.XLOOKUP(B3,'Paso 3 Redacción RA'!I$3:I$15,'Paso 3 Redacción RA'!C$3:C$15,,0,1)</f>
        <v>Saber</v>
      </c>
      <c r="B3" s="103" t="s">
        <v>119</v>
      </c>
      <c r="C3" s="104">
        <v>1</v>
      </c>
      <c r="D3" s="105" t="s">
        <v>215</v>
      </c>
      <c r="E3" s="106" t="s">
        <v>216</v>
      </c>
      <c r="F3" s="105" t="s">
        <v>217</v>
      </c>
      <c r="G3" s="104" t="s">
        <v>218</v>
      </c>
      <c r="H3" s="104"/>
      <c r="I3" s="104"/>
      <c r="J3" s="104">
        <v>3</v>
      </c>
      <c r="K3" s="104">
        <f>16*J3</f>
        <v>48</v>
      </c>
      <c r="L3" s="104">
        <f>32*J3</f>
        <v>96</v>
      </c>
      <c r="M3" s="104">
        <f>SUM(K3:L3)</f>
        <v>144</v>
      </c>
      <c r="N3" s="108" t="s">
        <v>219</v>
      </c>
      <c r="O3" s="103" t="s">
        <v>220</v>
      </c>
      <c r="P3" s="106" t="s">
        <v>221</v>
      </c>
      <c r="Q3" s="103" t="s">
        <v>222</v>
      </c>
      <c r="R3" s="5"/>
      <c r="S3" s="5"/>
      <c r="T3" s="7"/>
    </row>
    <row r="4" spans="1:20" s="98" customFormat="1" ht="397.5" customHeight="1" thickBot="1" x14ac:dyDescent="0.55000000000000004">
      <c r="A4" s="106" t="str">
        <f>_xlfn.XLOOKUP(B4,'Paso 3 Redacción RA'!I$3:I$15,'Paso 3 Redacción RA'!C$3:C$15,,0,1)</f>
        <v>Saber</v>
      </c>
      <c r="B4" s="106" t="s">
        <v>119</v>
      </c>
      <c r="C4" s="105">
        <v>1</v>
      </c>
      <c r="D4" s="105" t="s">
        <v>223</v>
      </c>
      <c r="E4" s="106" t="s">
        <v>224</v>
      </c>
      <c r="F4" s="105" t="s">
        <v>217</v>
      </c>
      <c r="G4" s="104" t="s">
        <v>218</v>
      </c>
      <c r="H4" s="104"/>
      <c r="I4" s="104"/>
      <c r="J4" s="104">
        <v>3</v>
      </c>
      <c r="K4" s="104">
        <f>16*J4</f>
        <v>48</v>
      </c>
      <c r="L4" s="104">
        <f>32*J4</f>
        <v>96</v>
      </c>
      <c r="M4" s="104">
        <f>SUM(K4:L4)</f>
        <v>144</v>
      </c>
      <c r="N4" s="103" t="s">
        <v>225</v>
      </c>
      <c r="O4" s="103" t="s">
        <v>220</v>
      </c>
      <c r="P4" s="103" t="s">
        <v>221</v>
      </c>
      <c r="Q4" s="103" t="s">
        <v>222</v>
      </c>
      <c r="R4" s="5"/>
      <c r="S4" s="5"/>
      <c r="T4" s="113"/>
    </row>
    <row r="5" spans="1:20" s="98" customFormat="1" ht="57" customHeight="1" x14ac:dyDescent="0.5">
      <c r="A5" s="98" t="str">
        <f>_xlfn.XLOOKUP(B5,'Paso 3 Redacción RA'!I$3:I$15,'Paso 3 Redacción RA'!C$3:C$15,,0,1)</f>
        <v>Saber</v>
      </c>
      <c r="B5" s="79" t="s">
        <v>90</v>
      </c>
      <c r="C5" s="153">
        <v>1</v>
      </c>
      <c r="D5" s="147" t="s">
        <v>226</v>
      </c>
      <c r="E5" s="152" t="s">
        <v>227</v>
      </c>
      <c r="F5" s="146" t="s">
        <v>217</v>
      </c>
      <c r="G5" s="147"/>
      <c r="H5" s="146" t="s">
        <v>218</v>
      </c>
      <c r="I5" s="147"/>
      <c r="J5" s="147">
        <v>3</v>
      </c>
      <c r="K5" s="146">
        <f>16*J5</f>
        <v>48</v>
      </c>
      <c r="L5" s="146">
        <f>32*J5</f>
        <v>96</v>
      </c>
      <c r="M5" s="147">
        <f>SUM(K5:L5)</f>
        <v>144</v>
      </c>
      <c r="N5" s="141" t="s">
        <v>228</v>
      </c>
      <c r="O5" s="141" t="s">
        <v>220</v>
      </c>
      <c r="P5" s="140" t="s">
        <v>221</v>
      </c>
      <c r="Q5" s="141" t="s">
        <v>222</v>
      </c>
      <c r="R5" s="5"/>
      <c r="S5" s="5"/>
      <c r="T5" s="113"/>
    </row>
    <row r="6" spans="1:20" s="98" customFormat="1" ht="36" x14ac:dyDescent="0.5">
      <c r="A6" s="98" t="str">
        <f>_xlfn.XLOOKUP(B6,'Paso 3 Redacción RA'!I$3:I$15,'Paso 3 Redacción RA'!C$3:C$15,,0,1)</f>
        <v>SaberSer</v>
      </c>
      <c r="B6" s="79" t="s">
        <v>105</v>
      </c>
      <c r="C6" s="153"/>
      <c r="D6" s="147"/>
      <c r="E6" s="152"/>
      <c r="F6" s="147"/>
      <c r="G6" s="147"/>
      <c r="H6" s="147"/>
      <c r="I6" s="147"/>
      <c r="J6" s="147"/>
      <c r="K6" s="147"/>
      <c r="L6" s="147"/>
      <c r="M6" s="147"/>
      <c r="N6" s="141"/>
      <c r="O6" s="141"/>
      <c r="P6" s="143"/>
      <c r="Q6" s="141"/>
      <c r="R6" s="5"/>
      <c r="S6" s="5"/>
      <c r="T6" s="113"/>
    </row>
    <row r="7" spans="1:20" s="98" customFormat="1" ht="51" customHeight="1" x14ac:dyDescent="0.5">
      <c r="A7" s="98" t="str">
        <f>_xlfn.XLOOKUP(B7,'Paso 3 Redacción RA'!I$3:I$15,'Paso 3 Redacción RA'!C$3:C$15,,0,1)</f>
        <v>Saber</v>
      </c>
      <c r="B7" s="79" t="s">
        <v>108</v>
      </c>
      <c r="C7" s="153"/>
      <c r="D7" s="147"/>
      <c r="E7" s="152"/>
      <c r="F7" s="147"/>
      <c r="G7" s="147"/>
      <c r="H7" s="147"/>
      <c r="I7" s="147"/>
      <c r="J7" s="147"/>
      <c r="K7" s="147"/>
      <c r="L7" s="147"/>
      <c r="M7" s="147"/>
      <c r="N7" s="141"/>
      <c r="O7" s="141"/>
      <c r="P7" s="143"/>
      <c r="Q7" s="141"/>
      <c r="R7" s="5"/>
      <c r="S7" s="5"/>
      <c r="T7" s="113"/>
    </row>
    <row r="8" spans="1:20" s="98" customFormat="1" ht="46.5" customHeight="1" thickBot="1" x14ac:dyDescent="0.55000000000000004">
      <c r="A8" s="99" t="str">
        <f>_xlfn.XLOOKUP(B8,'Paso 3 Redacción RA'!I$3:I$15,'Paso 3 Redacción RA'!C$3:C$15,,0,1)</f>
        <v>SaberSer</v>
      </c>
      <c r="B8" s="95" t="s">
        <v>115</v>
      </c>
      <c r="C8" s="154"/>
      <c r="D8" s="148"/>
      <c r="E8" s="155"/>
      <c r="F8" s="148"/>
      <c r="G8" s="148"/>
      <c r="H8" s="148"/>
      <c r="I8" s="148"/>
      <c r="J8" s="148"/>
      <c r="K8" s="148"/>
      <c r="L8" s="148"/>
      <c r="M8" s="148"/>
      <c r="N8" s="142"/>
      <c r="O8" s="142"/>
      <c r="P8" s="144"/>
      <c r="Q8" s="142"/>
      <c r="R8" s="5"/>
      <c r="S8" s="5"/>
      <c r="T8" s="113"/>
    </row>
    <row r="9" spans="1:20" s="98" customFormat="1" ht="88.5" customHeight="1" x14ac:dyDescent="0.5">
      <c r="A9" s="112" t="str">
        <f>_xlfn.XLOOKUP(B9,'Paso 3 Redacción RA'!I$3:I$15,'Paso 3 Redacción RA'!C$3:C$15,,0,1)</f>
        <v>Saber</v>
      </c>
      <c r="B9" s="100" t="s">
        <v>90</v>
      </c>
      <c r="C9" s="157" t="s">
        <v>229</v>
      </c>
      <c r="D9" s="146" t="s">
        <v>230</v>
      </c>
      <c r="E9" s="151" t="s">
        <v>231</v>
      </c>
      <c r="F9" s="146" t="s">
        <v>217</v>
      </c>
      <c r="G9" s="146"/>
      <c r="H9" s="146" t="s">
        <v>218</v>
      </c>
      <c r="I9" s="146"/>
      <c r="J9" s="146">
        <v>3</v>
      </c>
      <c r="K9" s="146">
        <f>16*J9</f>
        <v>48</v>
      </c>
      <c r="L9" s="146">
        <f>32*J9</f>
        <v>96</v>
      </c>
      <c r="M9" s="146">
        <f>SUM(K9:L9)</f>
        <v>144</v>
      </c>
      <c r="N9" s="140" t="s">
        <v>232</v>
      </c>
      <c r="O9" s="141" t="s">
        <v>220</v>
      </c>
      <c r="P9" s="140" t="s">
        <v>221</v>
      </c>
      <c r="Q9" s="140" t="s">
        <v>222</v>
      </c>
      <c r="R9" s="5"/>
      <c r="S9" s="5"/>
      <c r="T9" s="113"/>
    </row>
    <row r="10" spans="1:20" s="98" customFormat="1" ht="52.5" customHeight="1" x14ac:dyDescent="0.5">
      <c r="A10" s="98" t="str">
        <f>_xlfn.XLOOKUP(B10,'Paso 3 Redacción RA'!I$3:I$15,'Paso 3 Redacción RA'!C$3:C$15,,0,1)</f>
        <v>SaberSer</v>
      </c>
      <c r="B10" s="79" t="s">
        <v>115</v>
      </c>
      <c r="C10" s="153"/>
      <c r="D10" s="147"/>
      <c r="E10" s="152"/>
      <c r="F10" s="147"/>
      <c r="G10" s="147"/>
      <c r="H10" s="147"/>
      <c r="I10" s="147"/>
      <c r="J10" s="147"/>
      <c r="K10" s="147"/>
      <c r="L10" s="147"/>
      <c r="M10" s="147"/>
      <c r="N10" s="141"/>
      <c r="O10" s="141"/>
      <c r="P10" s="143"/>
      <c r="Q10" s="141"/>
      <c r="R10" s="5"/>
      <c r="S10" s="5"/>
      <c r="T10" s="113"/>
    </row>
    <row r="11" spans="1:20" s="98" customFormat="1" ht="78" customHeight="1" x14ac:dyDescent="0.5">
      <c r="A11" s="98" t="str">
        <f>_xlfn.XLOOKUP(B11,'Paso 3 Redacción RA'!I$3:I$15,'Paso 3 Redacción RA'!C$3:C$15,,0,1)</f>
        <v>SaberSer</v>
      </c>
      <c r="B11" s="79" t="s">
        <v>105</v>
      </c>
      <c r="C11" s="153"/>
      <c r="D11" s="147"/>
      <c r="E11" s="152"/>
      <c r="F11" s="147"/>
      <c r="G11" s="147"/>
      <c r="H11" s="147"/>
      <c r="I11" s="147"/>
      <c r="J11" s="147"/>
      <c r="K11" s="147"/>
      <c r="L11" s="147"/>
      <c r="M11" s="147"/>
      <c r="N11" s="141"/>
      <c r="O11" s="141"/>
      <c r="P11" s="143"/>
      <c r="Q11" s="141"/>
      <c r="R11" s="5"/>
      <c r="S11" s="5"/>
      <c r="T11" s="113"/>
    </row>
    <row r="12" spans="1:20" s="98" customFormat="1" ht="59.25" customHeight="1" thickBot="1" x14ac:dyDescent="0.55000000000000004">
      <c r="A12" s="99" t="str">
        <f>_xlfn.XLOOKUP(B12,'Paso 3 Redacción RA'!I$3:I$15,'Paso 3 Redacción RA'!C$3:C$15,,0,1)</f>
        <v>Saber</v>
      </c>
      <c r="B12" s="95" t="s">
        <v>108</v>
      </c>
      <c r="C12" s="154"/>
      <c r="D12" s="148"/>
      <c r="E12" s="155"/>
      <c r="F12" s="148"/>
      <c r="G12" s="148"/>
      <c r="H12" s="148"/>
      <c r="I12" s="148"/>
      <c r="J12" s="148"/>
      <c r="K12" s="148"/>
      <c r="L12" s="148"/>
      <c r="M12" s="148"/>
      <c r="N12" s="142"/>
      <c r="O12" s="142"/>
      <c r="P12" s="144"/>
      <c r="Q12" s="142"/>
      <c r="R12" s="5"/>
      <c r="S12" s="5"/>
      <c r="T12" s="113"/>
    </row>
    <row r="13" spans="1:20" s="5" customFormat="1" ht="63.75" customHeight="1" x14ac:dyDescent="0.5">
      <c r="A13" s="112" t="str">
        <f>_xlfn.XLOOKUP(B13,'Paso 3 Redacción RA'!I$3:I$15,'Paso 3 Redacción RA'!C$3:C$15,,0,1)</f>
        <v>Saber</v>
      </c>
      <c r="B13" s="100" t="s">
        <v>90</v>
      </c>
      <c r="C13" s="149" t="s">
        <v>229</v>
      </c>
      <c r="D13" s="149" t="s">
        <v>233</v>
      </c>
      <c r="E13" s="152" t="s">
        <v>234</v>
      </c>
      <c r="F13" s="150" t="s">
        <v>217</v>
      </c>
      <c r="G13" s="150"/>
      <c r="H13" s="149" t="s">
        <v>218</v>
      </c>
      <c r="I13" s="150"/>
      <c r="J13" s="150">
        <v>3</v>
      </c>
      <c r="K13" s="150">
        <f>16*J13</f>
        <v>48</v>
      </c>
      <c r="L13" s="150">
        <f>32*J13</f>
        <v>96</v>
      </c>
      <c r="M13" s="150">
        <f>SUM(K13:L13)</f>
        <v>144</v>
      </c>
      <c r="N13" s="152" t="s">
        <v>235</v>
      </c>
      <c r="O13" s="141" t="s">
        <v>220</v>
      </c>
      <c r="P13" s="140" t="s">
        <v>221</v>
      </c>
      <c r="Q13" s="152" t="s">
        <v>222</v>
      </c>
      <c r="R13" s="79"/>
      <c r="S13" s="79"/>
      <c r="T13" s="3"/>
    </row>
    <row r="14" spans="1:20" s="5" customFormat="1" ht="39.75" customHeight="1" x14ac:dyDescent="0.5">
      <c r="A14" s="98" t="str">
        <f>_xlfn.XLOOKUP(B14,'Paso 3 Redacción RA'!I$3:I$15,'Paso 3 Redacción RA'!C$3:C$15,,0,1)</f>
        <v>SaberSer</v>
      </c>
      <c r="B14" s="79" t="s">
        <v>115</v>
      </c>
      <c r="C14" s="150"/>
      <c r="D14" s="150"/>
      <c r="E14" s="152"/>
      <c r="F14" s="150"/>
      <c r="G14" s="150"/>
      <c r="H14" s="150"/>
      <c r="I14" s="150"/>
      <c r="J14" s="150"/>
      <c r="K14" s="150"/>
      <c r="L14" s="150"/>
      <c r="M14" s="150"/>
      <c r="N14" s="152"/>
      <c r="O14" s="141"/>
      <c r="P14" s="143"/>
      <c r="Q14" s="152"/>
      <c r="R14" s="79"/>
      <c r="S14" s="79"/>
      <c r="T14" s="3"/>
    </row>
    <row r="15" spans="1:20" s="5" customFormat="1" ht="48" customHeight="1" x14ac:dyDescent="0.5">
      <c r="A15" s="98" t="str">
        <f>_xlfn.XLOOKUP(B15,'Paso 3 Redacción RA'!I$3:I$15,'Paso 3 Redacción RA'!C$3:C$15,,0,1)</f>
        <v>Saber</v>
      </c>
      <c r="B15" s="79" t="s">
        <v>108</v>
      </c>
      <c r="C15" s="150"/>
      <c r="D15" s="150"/>
      <c r="E15" s="152"/>
      <c r="F15" s="150"/>
      <c r="G15" s="150"/>
      <c r="H15" s="150"/>
      <c r="I15" s="150"/>
      <c r="J15" s="150"/>
      <c r="K15" s="150"/>
      <c r="L15" s="150"/>
      <c r="M15" s="150"/>
      <c r="N15" s="152"/>
      <c r="O15" s="141"/>
      <c r="P15" s="143"/>
      <c r="Q15" s="152"/>
      <c r="R15" s="79"/>
      <c r="S15" s="79"/>
      <c r="T15" s="3"/>
    </row>
    <row r="16" spans="1:20" s="5" customFormat="1" ht="47.25" customHeight="1" thickBot="1" x14ac:dyDescent="0.55000000000000004">
      <c r="A16" s="99" t="str">
        <f>_xlfn.XLOOKUP(B16,'Paso 3 Redacción RA'!I$3:I$15,'Paso 3 Redacción RA'!C$3:C$15,,0,1)</f>
        <v>SaberHacer</v>
      </c>
      <c r="B16" s="95" t="s">
        <v>111</v>
      </c>
      <c r="C16" s="156"/>
      <c r="D16" s="156"/>
      <c r="E16" s="152"/>
      <c r="F16" s="150"/>
      <c r="G16" s="150"/>
      <c r="H16" s="156"/>
      <c r="I16" s="150"/>
      <c r="J16" s="150"/>
      <c r="K16" s="150"/>
      <c r="L16" s="150"/>
      <c r="M16" s="150"/>
      <c r="N16" s="152"/>
      <c r="O16" s="142"/>
      <c r="P16" s="144"/>
      <c r="Q16" s="152"/>
      <c r="R16" s="79"/>
      <c r="S16" s="79"/>
      <c r="T16" s="3"/>
    </row>
    <row r="17" spans="1:20" s="5" customFormat="1" ht="72.75" customHeight="1" x14ac:dyDescent="0.5">
      <c r="A17" s="112" t="str">
        <f>_xlfn.XLOOKUP(B17,'Paso 3 Redacción RA'!I$3:I$15,'Paso 3 Redacción RA'!C$3:C$15,,0,1)</f>
        <v>SaberHacer</v>
      </c>
      <c r="B17" s="100" t="s">
        <v>94</v>
      </c>
      <c r="C17" s="149" t="s">
        <v>229</v>
      </c>
      <c r="D17" s="149" t="s">
        <v>236</v>
      </c>
      <c r="E17" s="151" t="s">
        <v>237</v>
      </c>
      <c r="F17" s="149" t="s">
        <v>217</v>
      </c>
      <c r="G17" s="149"/>
      <c r="H17" s="149" t="s">
        <v>218</v>
      </c>
      <c r="I17" s="149"/>
      <c r="J17" s="149">
        <v>3</v>
      </c>
      <c r="K17" s="149">
        <f>16*J17</f>
        <v>48</v>
      </c>
      <c r="L17" s="149">
        <f>32*J17</f>
        <v>96</v>
      </c>
      <c r="M17" s="149">
        <f>SUM(K17:L17)</f>
        <v>144</v>
      </c>
      <c r="N17" s="151" t="s">
        <v>238</v>
      </c>
      <c r="O17" s="141" t="s">
        <v>220</v>
      </c>
      <c r="P17" s="140" t="s">
        <v>221</v>
      </c>
      <c r="Q17" s="151" t="s">
        <v>222</v>
      </c>
      <c r="R17" s="79"/>
      <c r="S17" s="79"/>
      <c r="T17" s="3"/>
    </row>
    <row r="18" spans="1:20" s="5" customFormat="1" ht="61.5" customHeight="1" x14ac:dyDescent="0.5">
      <c r="A18" s="98" t="str">
        <f>_xlfn.XLOOKUP(B18,'Paso 3 Redacción RA'!I$3:I$15,'Paso 3 Redacción RA'!C$3:C$15,,0,1)</f>
        <v>Saber</v>
      </c>
      <c r="B18" s="79" t="s">
        <v>100</v>
      </c>
      <c r="C18" s="150"/>
      <c r="D18" s="150"/>
      <c r="E18" s="152"/>
      <c r="F18" s="150"/>
      <c r="G18" s="150"/>
      <c r="H18" s="150"/>
      <c r="I18" s="150"/>
      <c r="J18" s="150"/>
      <c r="K18" s="150"/>
      <c r="L18" s="150"/>
      <c r="M18" s="150"/>
      <c r="N18" s="152"/>
      <c r="O18" s="141"/>
      <c r="P18" s="143"/>
      <c r="Q18" s="152"/>
      <c r="R18" s="79"/>
      <c r="S18" s="79"/>
      <c r="T18" s="3"/>
    </row>
    <row r="19" spans="1:20" s="5" customFormat="1" ht="68.25" customHeight="1" x14ac:dyDescent="0.5">
      <c r="A19" s="98" t="str">
        <f>_xlfn.XLOOKUP(B19,'Paso 3 Redacción RA'!I$3:I$15,'Paso 3 Redacción RA'!C$3:C$15,,0,1)</f>
        <v>Saber</v>
      </c>
      <c r="B19" s="79" t="s">
        <v>108</v>
      </c>
      <c r="C19" s="150"/>
      <c r="D19" s="150"/>
      <c r="E19" s="152"/>
      <c r="F19" s="150"/>
      <c r="G19" s="150"/>
      <c r="H19" s="150"/>
      <c r="I19" s="150"/>
      <c r="J19" s="150"/>
      <c r="K19" s="150"/>
      <c r="L19" s="150"/>
      <c r="M19" s="150"/>
      <c r="N19" s="152"/>
      <c r="O19" s="141"/>
      <c r="P19" s="143"/>
      <c r="Q19" s="152"/>
      <c r="R19" s="79"/>
      <c r="S19" s="79"/>
      <c r="T19" s="3"/>
    </row>
    <row r="20" spans="1:20" s="5" customFormat="1" ht="52.5" customHeight="1" thickBot="1" x14ac:dyDescent="0.55000000000000004">
      <c r="A20" s="99" t="str">
        <f>_xlfn.XLOOKUP(B20,'Paso 3 Redacción RA'!I$3:I$15,'Paso 3 Redacción RA'!C$3:C$15,,0,1)</f>
        <v>SaberHacer</v>
      </c>
      <c r="B20" s="95" t="s">
        <v>111</v>
      </c>
      <c r="C20" s="156"/>
      <c r="D20" s="156"/>
      <c r="E20" s="152"/>
      <c r="F20" s="150"/>
      <c r="G20" s="150"/>
      <c r="H20" s="156"/>
      <c r="I20" s="150"/>
      <c r="J20" s="150"/>
      <c r="K20" s="150"/>
      <c r="L20" s="150"/>
      <c r="M20" s="150"/>
      <c r="N20" s="152"/>
      <c r="O20" s="142"/>
      <c r="P20" s="144"/>
      <c r="Q20" s="152"/>
      <c r="R20" s="79">
        <f>SUM(J3:J20)</f>
        <v>18</v>
      </c>
      <c r="S20" s="79">
        <f>COUNTA(D3:D20)</f>
        <v>6</v>
      </c>
      <c r="T20" s="3"/>
    </row>
    <row r="21" spans="1:20" s="98" customFormat="1" ht="270.60000000000002" thickBot="1" x14ac:dyDescent="0.55000000000000004">
      <c r="A21" s="106" t="str">
        <f>_xlfn.XLOOKUP(B21,'Paso 3 Redacción RA'!I$3:I$15,'Paso 3 Redacción RA'!C$3:C$15,,0,1)</f>
        <v>Saber</v>
      </c>
      <c r="B21" s="106" t="s">
        <v>119</v>
      </c>
      <c r="C21" s="105">
        <v>2</v>
      </c>
      <c r="D21" s="105" t="s">
        <v>239</v>
      </c>
      <c r="E21" s="106" t="s">
        <v>240</v>
      </c>
      <c r="F21" s="105" t="s">
        <v>217</v>
      </c>
      <c r="G21" s="105" t="s">
        <v>218</v>
      </c>
      <c r="H21" s="105"/>
      <c r="I21" s="105"/>
      <c r="J21" s="104">
        <v>3</v>
      </c>
      <c r="K21" s="104">
        <f>16*J21</f>
        <v>48</v>
      </c>
      <c r="L21" s="104">
        <f>32*J21</f>
        <v>96</v>
      </c>
      <c r="M21" s="104">
        <f>SUM(K21:L21)</f>
        <v>144</v>
      </c>
      <c r="N21" s="106" t="s">
        <v>241</v>
      </c>
      <c r="O21" s="106" t="s">
        <v>220</v>
      </c>
      <c r="P21" s="106" t="s">
        <v>242</v>
      </c>
      <c r="Q21" s="103" t="s">
        <v>222</v>
      </c>
      <c r="R21" s="5"/>
      <c r="S21" s="5"/>
      <c r="T21" s="113"/>
    </row>
    <row r="22" spans="1:20" ht="36" x14ac:dyDescent="0.5">
      <c r="A22" s="112" t="str">
        <f>_xlfn.XLOOKUP(B22,'Paso 3 Redacción RA'!I$3:I$15,'Paso 3 Redacción RA'!C$3:C$15,,0,1)</f>
        <v>Saber</v>
      </c>
      <c r="B22" s="100" t="s">
        <v>90</v>
      </c>
      <c r="C22" s="146">
        <v>2</v>
      </c>
      <c r="D22" s="146" t="s">
        <v>243</v>
      </c>
      <c r="E22" s="151" t="s">
        <v>244</v>
      </c>
      <c r="F22" s="146" t="s">
        <v>217</v>
      </c>
      <c r="G22" s="146"/>
      <c r="H22" s="146" t="s">
        <v>218</v>
      </c>
      <c r="I22" s="146"/>
      <c r="J22" s="146">
        <v>4</v>
      </c>
      <c r="K22" s="146">
        <f>16*J22</f>
        <v>64</v>
      </c>
      <c r="L22" s="146">
        <f>32*J22</f>
        <v>128</v>
      </c>
      <c r="M22" s="146">
        <f>SUM(K22:L22)</f>
        <v>192</v>
      </c>
      <c r="N22" s="140" t="s">
        <v>245</v>
      </c>
      <c r="O22" s="140" t="s">
        <v>220</v>
      </c>
      <c r="P22" s="140" t="s">
        <v>246</v>
      </c>
      <c r="Q22" s="140" t="s">
        <v>222</v>
      </c>
      <c r="T22" s="113"/>
    </row>
    <row r="23" spans="1:20" ht="36" x14ac:dyDescent="0.5">
      <c r="A23" s="98" t="str">
        <f>_xlfn.XLOOKUP(B23,'Paso 3 Redacción RA'!I$3:I$15,'Paso 3 Redacción RA'!C$3:C$15,,0,1)</f>
        <v>Saber</v>
      </c>
      <c r="B23" s="79" t="s">
        <v>100</v>
      </c>
      <c r="C23" s="147"/>
      <c r="D23" s="147"/>
      <c r="E23" s="152"/>
      <c r="F23" s="147"/>
      <c r="G23" s="147"/>
      <c r="H23" s="147"/>
      <c r="I23" s="147"/>
      <c r="J23" s="147"/>
      <c r="K23" s="147"/>
      <c r="L23" s="147"/>
      <c r="M23" s="147"/>
      <c r="N23" s="141"/>
      <c r="O23" s="141"/>
      <c r="P23" s="141"/>
      <c r="Q23" s="141"/>
      <c r="T23" s="113"/>
    </row>
    <row r="24" spans="1:20" ht="36" x14ac:dyDescent="0.5">
      <c r="A24" s="98" t="str">
        <f>_xlfn.XLOOKUP(B24,'Paso 3 Redacción RA'!I$3:I$15,'Paso 3 Redacción RA'!C$3:C$15,,0,1)</f>
        <v>SaberSer</v>
      </c>
      <c r="B24" s="79" t="s">
        <v>105</v>
      </c>
      <c r="C24" s="147"/>
      <c r="D24" s="147"/>
      <c r="E24" s="152"/>
      <c r="F24" s="147"/>
      <c r="G24" s="147"/>
      <c r="H24" s="147"/>
      <c r="I24" s="147"/>
      <c r="J24" s="147"/>
      <c r="K24" s="147"/>
      <c r="L24" s="147"/>
      <c r="M24" s="147"/>
      <c r="N24" s="143"/>
      <c r="O24" s="141"/>
      <c r="P24" s="141"/>
      <c r="Q24" s="141"/>
      <c r="T24" s="113"/>
    </row>
    <row r="25" spans="1:20" ht="115.5" customHeight="1" thickBot="1" x14ac:dyDescent="0.55000000000000004">
      <c r="A25" s="99" t="str">
        <f>_xlfn.XLOOKUP(B25,'Paso 3 Redacción RA'!I$3:I$15,'Paso 3 Redacción RA'!C$3:C$15,,0,1)</f>
        <v>Saber</v>
      </c>
      <c r="B25" s="95" t="s">
        <v>108</v>
      </c>
      <c r="C25" s="148"/>
      <c r="D25" s="148"/>
      <c r="E25" s="155"/>
      <c r="F25" s="148"/>
      <c r="G25" s="148"/>
      <c r="H25" s="148"/>
      <c r="I25" s="148"/>
      <c r="J25" s="148"/>
      <c r="K25" s="148"/>
      <c r="L25" s="148"/>
      <c r="M25" s="148"/>
      <c r="N25" s="144"/>
      <c r="O25" s="142"/>
      <c r="P25" s="142"/>
      <c r="Q25" s="142"/>
      <c r="T25" s="113"/>
    </row>
    <row r="26" spans="1:20" s="98" customFormat="1" ht="36" x14ac:dyDescent="0.5">
      <c r="A26" s="112" t="str">
        <f>_xlfn.XLOOKUP(B26,'Paso 3 Redacción RA'!I$3:I$15,'Paso 3 Redacción RA'!C$3:C$15,,0,1)</f>
        <v>SaberHacer</v>
      </c>
      <c r="B26" s="100" t="s">
        <v>94</v>
      </c>
      <c r="C26" s="146">
        <v>2</v>
      </c>
      <c r="D26" s="146" t="s">
        <v>247</v>
      </c>
      <c r="E26" s="151" t="s">
        <v>248</v>
      </c>
      <c r="F26" s="158" t="s">
        <v>217</v>
      </c>
      <c r="G26" s="146"/>
      <c r="H26" s="146" t="s">
        <v>218</v>
      </c>
      <c r="I26" s="146"/>
      <c r="J26" s="146">
        <v>3</v>
      </c>
      <c r="K26" s="146">
        <f>16*J26</f>
        <v>48</v>
      </c>
      <c r="L26" s="146">
        <f>32*J26</f>
        <v>96</v>
      </c>
      <c r="M26" s="146">
        <f>SUM(K26:L26)</f>
        <v>144</v>
      </c>
      <c r="N26" s="140" t="s">
        <v>249</v>
      </c>
      <c r="O26" s="140" t="s">
        <v>220</v>
      </c>
      <c r="P26" s="140" t="s">
        <v>221</v>
      </c>
      <c r="Q26" s="140" t="s">
        <v>222</v>
      </c>
      <c r="R26" s="5"/>
      <c r="S26" s="5"/>
      <c r="T26" s="113"/>
    </row>
    <row r="27" spans="1:20" s="98" customFormat="1" ht="36" x14ac:dyDescent="0.5">
      <c r="A27" s="98" t="str">
        <f>_xlfn.XLOOKUP(B27,'Paso 3 Redacción RA'!I$3:I$15,'Paso 3 Redacción RA'!C$3:C$15,,0,1)</f>
        <v>Saber</v>
      </c>
      <c r="B27" s="79" t="s">
        <v>100</v>
      </c>
      <c r="C27" s="147"/>
      <c r="D27" s="147"/>
      <c r="E27" s="152"/>
      <c r="F27" s="159"/>
      <c r="G27" s="147"/>
      <c r="H27" s="147"/>
      <c r="I27" s="147"/>
      <c r="J27" s="147"/>
      <c r="K27" s="147"/>
      <c r="L27" s="147"/>
      <c r="M27" s="147"/>
      <c r="N27" s="141"/>
      <c r="O27" s="141"/>
      <c r="P27" s="141"/>
      <c r="Q27" s="141"/>
      <c r="R27" s="5"/>
      <c r="S27" s="5"/>
      <c r="T27" s="113"/>
    </row>
    <row r="28" spans="1:20" s="98" customFormat="1" ht="48" customHeight="1" x14ac:dyDescent="0.5">
      <c r="A28" s="98" t="str">
        <f>_xlfn.XLOOKUP(B28,'Paso 3 Redacción RA'!I$3:I$15,'Paso 3 Redacción RA'!C$3:C$15,,0,1)</f>
        <v>Saber</v>
      </c>
      <c r="B28" s="79" t="s">
        <v>108</v>
      </c>
      <c r="C28" s="147"/>
      <c r="D28" s="147"/>
      <c r="E28" s="152"/>
      <c r="F28" s="159"/>
      <c r="G28" s="147"/>
      <c r="H28" s="147"/>
      <c r="I28" s="147"/>
      <c r="J28" s="147"/>
      <c r="K28" s="147"/>
      <c r="L28" s="147"/>
      <c r="M28" s="147"/>
      <c r="N28" s="141"/>
      <c r="O28" s="141"/>
      <c r="P28" s="141"/>
      <c r="Q28" s="141"/>
      <c r="R28" s="5"/>
      <c r="S28" s="5"/>
      <c r="T28" s="113"/>
    </row>
    <row r="29" spans="1:20" s="98" customFormat="1" ht="46.5" customHeight="1" thickBot="1" x14ac:dyDescent="0.55000000000000004">
      <c r="A29" s="99" t="str">
        <f>_xlfn.XLOOKUP(B29,'Paso 3 Redacción RA'!I$3:I$15,'Paso 3 Redacción RA'!C$3:C$15,,0,1)</f>
        <v>SaberHacer</v>
      </c>
      <c r="B29" s="95" t="s">
        <v>111</v>
      </c>
      <c r="C29" s="148"/>
      <c r="D29" s="148"/>
      <c r="E29" s="155"/>
      <c r="F29" s="160"/>
      <c r="G29" s="148"/>
      <c r="H29" s="148"/>
      <c r="I29" s="148"/>
      <c r="J29" s="148"/>
      <c r="K29" s="148"/>
      <c r="L29" s="148"/>
      <c r="M29" s="148"/>
      <c r="N29" s="142"/>
      <c r="O29" s="142"/>
      <c r="P29" s="142"/>
      <c r="Q29" s="142"/>
      <c r="R29" s="5"/>
      <c r="S29" s="5"/>
      <c r="T29" s="113"/>
    </row>
    <row r="30" spans="1:20" s="98" customFormat="1" ht="36" x14ac:dyDescent="0.5">
      <c r="A30" s="112" t="str">
        <f>_xlfn.XLOOKUP(B32,'Paso 3 Redacción RA'!I$3:I$15,'Paso 3 Redacción RA'!C$3:C$15,,0,1)</f>
        <v>SaberHacer</v>
      </c>
      <c r="B30" s="100" t="s">
        <v>94</v>
      </c>
      <c r="C30" s="146">
        <v>2</v>
      </c>
      <c r="D30" s="146" t="s">
        <v>250</v>
      </c>
      <c r="E30" s="151" t="s">
        <v>251</v>
      </c>
      <c r="F30" s="146" t="s">
        <v>217</v>
      </c>
      <c r="G30" s="146"/>
      <c r="H30" s="146" t="s">
        <v>218</v>
      </c>
      <c r="I30" s="146"/>
      <c r="J30" s="146">
        <v>4</v>
      </c>
      <c r="K30" s="146">
        <f>16*J30</f>
        <v>64</v>
      </c>
      <c r="L30" s="146">
        <f>32*J30</f>
        <v>128</v>
      </c>
      <c r="M30" s="146">
        <f>SUM(K30:L30)</f>
        <v>192</v>
      </c>
      <c r="N30" s="140" t="s">
        <v>252</v>
      </c>
      <c r="O30" s="140" t="s">
        <v>253</v>
      </c>
      <c r="P30" s="140" t="s">
        <v>221</v>
      </c>
      <c r="Q30" s="140" t="s">
        <v>222</v>
      </c>
      <c r="R30" s="5"/>
      <c r="S30" s="5"/>
      <c r="T30" s="113"/>
    </row>
    <row r="31" spans="1:20" s="98" customFormat="1" ht="36" x14ac:dyDescent="0.5">
      <c r="A31" s="98" t="str">
        <f>_xlfn.XLOOKUP(B31,'Paso 3 Redacción RA'!I$3:I$15,'Paso 3 Redacción RA'!C$3:C$15,,0,1)</f>
        <v>SaberSer</v>
      </c>
      <c r="B31" s="79" t="s">
        <v>115</v>
      </c>
      <c r="C31" s="147"/>
      <c r="D31" s="147"/>
      <c r="E31" s="152"/>
      <c r="F31" s="147"/>
      <c r="G31" s="147"/>
      <c r="H31" s="147"/>
      <c r="I31" s="147"/>
      <c r="J31" s="147"/>
      <c r="K31" s="147"/>
      <c r="L31" s="147"/>
      <c r="M31" s="147"/>
      <c r="N31" s="141"/>
      <c r="O31" s="141"/>
      <c r="P31" s="141"/>
      <c r="Q31" s="141"/>
      <c r="R31" s="5"/>
      <c r="S31" s="5"/>
      <c r="T31" s="113"/>
    </row>
    <row r="32" spans="1:20" s="98" customFormat="1" ht="54" x14ac:dyDescent="0.5">
      <c r="A32" s="98" t="str">
        <f>_xlfn.XLOOKUP(B32,'Paso 3 Redacción RA'!I$3:I$15,'Paso 3 Redacción RA'!C$3:C$15,,0,1)</f>
        <v>SaberHacer</v>
      </c>
      <c r="B32" s="79" t="s">
        <v>103</v>
      </c>
      <c r="C32" s="147"/>
      <c r="D32" s="147"/>
      <c r="E32" s="152"/>
      <c r="F32" s="147"/>
      <c r="G32" s="147"/>
      <c r="H32" s="147"/>
      <c r="I32" s="147"/>
      <c r="J32" s="147"/>
      <c r="K32" s="147"/>
      <c r="L32" s="147"/>
      <c r="M32" s="147"/>
      <c r="N32" s="141"/>
      <c r="O32" s="141"/>
      <c r="P32" s="141"/>
      <c r="Q32" s="141"/>
      <c r="R32" s="5"/>
      <c r="S32" s="5"/>
      <c r="T32" s="113"/>
    </row>
    <row r="33" spans="1:20" s="98" customFormat="1" ht="36.6" thickBot="1" x14ac:dyDescent="0.55000000000000004">
      <c r="A33" s="99" t="str">
        <f>_xlfn.XLOOKUP(B33,'Paso 3 Redacción RA'!I$3:I$15,'Paso 3 Redacción RA'!C$3:C$15,,0,1)</f>
        <v>Saber</v>
      </c>
      <c r="B33" s="95" t="s">
        <v>112</v>
      </c>
      <c r="C33" s="148"/>
      <c r="D33" s="148"/>
      <c r="E33" s="152"/>
      <c r="F33" s="147"/>
      <c r="G33" s="147"/>
      <c r="H33" s="148"/>
      <c r="I33" s="147"/>
      <c r="J33" s="147"/>
      <c r="K33" s="147"/>
      <c r="L33" s="147"/>
      <c r="M33" s="148"/>
      <c r="N33" s="141"/>
      <c r="O33" s="142"/>
      <c r="P33" s="141"/>
      <c r="Q33" s="141"/>
      <c r="R33" s="5"/>
      <c r="S33" s="5"/>
      <c r="T33" s="113"/>
    </row>
    <row r="34" spans="1:20" s="98" customFormat="1" ht="36" x14ac:dyDescent="0.5">
      <c r="A34" s="112" t="str">
        <f>_xlfn.XLOOKUP(B34,'Paso 3 Redacción RA'!I$3:I$15,'Paso 3 Redacción RA'!C$3:C$15,,0,1)</f>
        <v>SaberHacer</v>
      </c>
      <c r="B34" s="79" t="s">
        <v>94</v>
      </c>
      <c r="C34" s="146">
        <v>2</v>
      </c>
      <c r="D34" s="146" t="s">
        <v>254</v>
      </c>
      <c r="E34" s="151" t="s">
        <v>255</v>
      </c>
      <c r="F34" s="146" t="s">
        <v>217</v>
      </c>
      <c r="G34" s="146"/>
      <c r="H34" s="146" t="s">
        <v>218</v>
      </c>
      <c r="I34" s="146"/>
      <c r="J34" s="146">
        <v>3</v>
      </c>
      <c r="K34" s="146">
        <f>16*J34</f>
        <v>48</v>
      </c>
      <c r="L34" s="146">
        <f>32*J34</f>
        <v>96</v>
      </c>
      <c r="M34" s="146">
        <f>SUM(K34:L34)</f>
        <v>144</v>
      </c>
      <c r="N34" s="140" t="s">
        <v>256</v>
      </c>
      <c r="O34" s="140" t="s">
        <v>220</v>
      </c>
      <c r="P34" s="140" t="s">
        <v>221</v>
      </c>
      <c r="Q34" s="140" t="s">
        <v>222</v>
      </c>
      <c r="R34" s="5"/>
      <c r="S34" s="5"/>
      <c r="T34" s="113"/>
    </row>
    <row r="35" spans="1:20" s="98" customFormat="1" ht="36" x14ac:dyDescent="0.5">
      <c r="A35" s="98" t="str">
        <f>_xlfn.XLOOKUP(B35,'Paso 3 Redacción RA'!I$3:I$15,'Paso 3 Redacción RA'!C$3:C$15,,0,1)</f>
        <v>Saber</v>
      </c>
      <c r="B35" s="79" t="s">
        <v>100</v>
      </c>
      <c r="C35" s="147"/>
      <c r="D35" s="147"/>
      <c r="E35" s="152"/>
      <c r="F35" s="147"/>
      <c r="G35" s="147"/>
      <c r="H35" s="147"/>
      <c r="I35" s="147"/>
      <c r="J35" s="147"/>
      <c r="K35" s="147"/>
      <c r="L35" s="147"/>
      <c r="M35" s="147"/>
      <c r="N35" s="141"/>
      <c r="O35" s="141"/>
      <c r="P35" s="141"/>
      <c r="Q35" s="141"/>
      <c r="R35" s="5"/>
      <c r="S35" s="5"/>
      <c r="T35" s="113"/>
    </row>
    <row r="36" spans="1:20" s="98" customFormat="1" ht="36" x14ac:dyDescent="0.5">
      <c r="A36" s="98" t="str">
        <f>_xlfn.XLOOKUP(B36,'Paso 3 Redacción RA'!I$3:I$15,'Paso 3 Redacción RA'!C$3:C$15,,0,1)</f>
        <v>Saber</v>
      </c>
      <c r="B36" s="79" t="s">
        <v>108</v>
      </c>
      <c r="C36" s="147"/>
      <c r="D36" s="147"/>
      <c r="E36" s="152"/>
      <c r="F36" s="147"/>
      <c r="G36" s="147"/>
      <c r="H36" s="147"/>
      <c r="I36" s="147"/>
      <c r="J36" s="147"/>
      <c r="K36" s="147"/>
      <c r="L36" s="147"/>
      <c r="M36" s="147"/>
      <c r="N36" s="141"/>
      <c r="O36" s="141"/>
      <c r="P36" s="141"/>
      <c r="Q36" s="141"/>
      <c r="R36" s="5"/>
      <c r="S36" s="5"/>
      <c r="T36" s="113"/>
    </row>
    <row r="37" spans="1:20" s="98" customFormat="1" ht="36.6" thickBot="1" x14ac:dyDescent="0.55000000000000004">
      <c r="A37" s="99" t="str">
        <f>_xlfn.XLOOKUP(B37,'Paso 3 Redacción RA'!I$3:I$15,'Paso 3 Redacción RA'!C$3:C$15,,0,1)</f>
        <v>SaberHacer</v>
      </c>
      <c r="B37" s="95" t="s">
        <v>111</v>
      </c>
      <c r="C37" s="148"/>
      <c r="D37" s="148"/>
      <c r="E37" s="152"/>
      <c r="F37" s="147"/>
      <c r="G37" s="147"/>
      <c r="H37" s="148"/>
      <c r="I37" s="147"/>
      <c r="J37" s="147"/>
      <c r="K37" s="147"/>
      <c r="L37" s="147"/>
      <c r="M37" s="148"/>
      <c r="N37" s="141"/>
      <c r="O37" s="141"/>
      <c r="P37" s="141"/>
      <c r="Q37" s="141"/>
      <c r="R37" s="5">
        <f>SUM(J21:J37)</f>
        <v>17</v>
      </c>
      <c r="S37" s="5">
        <f>COUNTA(D21:D37)</f>
        <v>5</v>
      </c>
      <c r="T37" s="113"/>
    </row>
    <row r="38" spans="1:20" s="98" customFormat="1" ht="316.5" customHeight="1" thickBot="1" x14ac:dyDescent="0.55000000000000004">
      <c r="A38" s="106" t="str">
        <f>_xlfn.XLOOKUP(B38,'Paso 3 Redacción RA'!I$3:I$15,'Paso 3 Redacción RA'!C$3:C$15,,0,1)</f>
        <v>Saber</v>
      </c>
      <c r="B38" s="106" t="s">
        <v>119</v>
      </c>
      <c r="C38" s="105">
        <v>3</v>
      </c>
      <c r="D38" s="105" t="s">
        <v>257</v>
      </c>
      <c r="E38" s="106" t="s">
        <v>258</v>
      </c>
      <c r="F38" s="105" t="s">
        <v>217</v>
      </c>
      <c r="G38" s="105" t="s">
        <v>218</v>
      </c>
      <c r="H38" s="105"/>
      <c r="I38" s="105"/>
      <c r="J38" s="104">
        <v>3</v>
      </c>
      <c r="K38" s="104">
        <f>16*J38</f>
        <v>48</v>
      </c>
      <c r="L38" s="104">
        <f>32*J38</f>
        <v>96</v>
      </c>
      <c r="M38" s="104">
        <f>SUM(K38:L38)</f>
        <v>144</v>
      </c>
      <c r="N38" s="103" t="s">
        <v>259</v>
      </c>
      <c r="O38" s="106" t="s">
        <v>220</v>
      </c>
      <c r="P38" s="106" t="s">
        <v>242</v>
      </c>
      <c r="Q38" s="103" t="s">
        <v>222</v>
      </c>
      <c r="R38" s="5"/>
      <c r="S38" s="5"/>
      <c r="T38" s="113"/>
    </row>
    <row r="39" spans="1:20" s="98" customFormat="1" ht="317.25" customHeight="1" thickBot="1" x14ac:dyDescent="0.55000000000000004">
      <c r="A39" s="106" t="str">
        <f>_xlfn.XLOOKUP(B39,'Paso 3 Redacción RA'!I$3:I$15,'Paso 3 Redacción RA'!C$3:C$15,,0,1)</f>
        <v>Saber</v>
      </c>
      <c r="B39" s="106" t="s">
        <v>119</v>
      </c>
      <c r="C39" s="105">
        <v>3</v>
      </c>
      <c r="D39" s="105" t="s">
        <v>260</v>
      </c>
      <c r="E39" s="106" t="s">
        <v>261</v>
      </c>
      <c r="F39" s="105" t="s">
        <v>217</v>
      </c>
      <c r="G39" s="104" t="s">
        <v>218</v>
      </c>
      <c r="H39" s="104"/>
      <c r="I39" s="104"/>
      <c r="J39" s="107">
        <v>3</v>
      </c>
      <c r="K39" s="104">
        <f>16*J39</f>
        <v>48</v>
      </c>
      <c r="L39" s="104">
        <f>32*J39</f>
        <v>96</v>
      </c>
      <c r="M39" s="104">
        <f>SUM(K39:L39)</f>
        <v>144</v>
      </c>
      <c r="N39" s="103" t="s">
        <v>262</v>
      </c>
      <c r="O39" s="103" t="s">
        <v>220</v>
      </c>
      <c r="P39" s="106" t="s">
        <v>242</v>
      </c>
      <c r="Q39" s="103" t="s">
        <v>222</v>
      </c>
      <c r="R39" s="5"/>
      <c r="S39" s="5"/>
      <c r="T39" s="113"/>
    </row>
    <row r="40" spans="1:20" s="98" customFormat="1" ht="36" x14ac:dyDescent="0.5">
      <c r="A40" s="112" t="str">
        <f>_xlfn.XLOOKUP(B40,'Paso 3 Redacción RA'!I$3:I$15,'Paso 3 Redacción RA'!C$3:C$15,,0,1)</f>
        <v>SaberHacer</v>
      </c>
      <c r="B40" s="100" t="s">
        <v>94</v>
      </c>
      <c r="C40" s="146">
        <v>3</v>
      </c>
      <c r="D40" s="146" t="s">
        <v>263</v>
      </c>
      <c r="E40" s="151" t="s">
        <v>264</v>
      </c>
      <c r="F40" s="146" t="s">
        <v>217</v>
      </c>
      <c r="G40" s="146"/>
      <c r="H40" s="146" t="s">
        <v>218</v>
      </c>
      <c r="I40" s="146"/>
      <c r="J40" s="146">
        <v>4</v>
      </c>
      <c r="K40" s="146">
        <f>16*J40</f>
        <v>64</v>
      </c>
      <c r="L40" s="146">
        <f>32*J40</f>
        <v>128</v>
      </c>
      <c r="M40" s="146">
        <f>SUM(K40:L40)</f>
        <v>192</v>
      </c>
      <c r="N40" s="140" t="s">
        <v>265</v>
      </c>
      <c r="O40" s="140" t="s">
        <v>220</v>
      </c>
      <c r="P40" s="140" t="s">
        <v>221</v>
      </c>
      <c r="Q40" s="140" t="s">
        <v>222</v>
      </c>
      <c r="R40" s="5"/>
      <c r="S40" s="5"/>
      <c r="T40" s="113"/>
    </row>
    <row r="41" spans="1:20" s="98" customFormat="1" ht="59.25" customHeight="1" x14ac:dyDescent="0.5">
      <c r="A41" s="98" t="str">
        <f>_xlfn.XLOOKUP(B41,'Paso 3 Redacción RA'!I$3:I$15,'Paso 3 Redacción RA'!C$3:C$15,,0,1)</f>
        <v>SaberSer</v>
      </c>
      <c r="B41" s="79" t="s">
        <v>115</v>
      </c>
      <c r="C41" s="147"/>
      <c r="D41" s="147"/>
      <c r="E41" s="152"/>
      <c r="F41" s="147"/>
      <c r="G41" s="147"/>
      <c r="H41" s="147"/>
      <c r="I41" s="147"/>
      <c r="J41" s="147"/>
      <c r="K41" s="147"/>
      <c r="L41" s="147"/>
      <c r="M41" s="147"/>
      <c r="N41" s="141"/>
      <c r="O41" s="141"/>
      <c r="P41" s="141"/>
      <c r="Q41" s="141"/>
      <c r="R41" s="5"/>
      <c r="S41" s="5"/>
      <c r="T41" s="113"/>
    </row>
    <row r="42" spans="1:20" s="98" customFormat="1" ht="54" x14ac:dyDescent="0.5">
      <c r="A42" s="98" t="str">
        <f>_xlfn.XLOOKUP(B42,'Paso 3 Redacción RA'!I$3:I$15,'Paso 3 Redacción RA'!C$3:C$15,,0,1)</f>
        <v>SaberHacer</v>
      </c>
      <c r="B42" s="79" t="s">
        <v>103</v>
      </c>
      <c r="C42" s="147"/>
      <c r="D42" s="147"/>
      <c r="E42" s="152"/>
      <c r="F42" s="147"/>
      <c r="G42" s="147"/>
      <c r="H42" s="147"/>
      <c r="I42" s="147"/>
      <c r="J42" s="147"/>
      <c r="K42" s="147"/>
      <c r="L42" s="147"/>
      <c r="M42" s="147"/>
      <c r="N42" s="141"/>
      <c r="O42" s="141"/>
      <c r="P42" s="141"/>
      <c r="Q42" s="141"/>
      <c r="R42" s="5"/>
      <c r="S42" s="5"/>
      <c r="T42" s="113"/>
    </row>
    <row r="43" spans="1:20" s="98" customFormat="1" ht="47.25" customHeight="1" thickBot="1" x14ac:dyDescent="0.55000000000000004">
      <c r="A43" s="99" t="str">
        <f>_xlfn.XLOOKUP(B43,'Paso 3 Redacción RA'!I$3:I$15,'Paso 3 Redacción RA'!C$3:C$15,,0,1)</f>
        <v>Saber</v>
      </c>
      <c r="B43" s="95" t="s">
        <v>112</v>
      </c>
      <c r="C43" s="148"/>
      <c r="D43" s="148"/>
      <c r="E43" s="155"/>
      <c r="F43" s="148"/>
      <c r="G43" s="148"/>
      <c r="H43" s="148"/>
      <c r="I43" s="148"/>
      <c r="J43" s="148"/>
      <c r="K43" s="148"/>
      <c r="L43" s="148"/>
      <c r="M43" s="148"/>
      <c r="N43" s="142"/>
      <c r="O43" s="142"/>
      <c r="P43" s="142"/>
      <c r="Q43" s="142"/>
      <c r="R43" s="5"/>
      <c r="S43" s="5"/>
      <c r="T43" s="113"/>
    </row>
    <row r="44" spans="1:20" s="98" customFormat="1" ht="36" x14ac:dyDescent="0.5">
      <c r="A44" s="112" t="str">
        <f>_xlfn.XLOOKUP(B44,'Paso 3 Redacción RA'!I$3:I$15,'Paso 3 Redacción RA'!C$3:C$15,,0,1)</f>
        <v>Saber</v>
      </c>
      <c r="B44" s="100" t="s">
        <v>90</v>
      </c>
      <c r="C44" s="146">
        <v>3</v>
      </c>
      <c r="D44" s="146" t="s">
        <v>266</v>
      </c>
      <c r="E44" s="151" t="s">
        <v>267</v>
      </c>
      <c r="F44" s="146" t="s">
        <v>217</v>
      </c>
      <c r="G44" s="146"/>
      <c r="H44" s="146" t="s">
        <v>218</v>
      </c>
      <c r="I44" s="146"/>
      <c r="J44" s="146">
        <v>3</v>
      </c>
      <c r="K44" s="146">
        <f>16*J44</f>
        <v>48</v>
      </c>
      <c r="L44" s="146">
        <f>32*J44</f>
        <v>96</v>
      </c>
      <c r="M44" s="146">
        <v>192</v>
      </c>
      <c r="N44" s="140" t="s">
        <v>268</v>
      </c>
      <c r="O44" s="140" t="s">
        <v>253</v>
      </c>
      <c r="P44" s="140" t="s">
        <v>221</v>
      </c>
      <c r="Q44" s="140" t="s">
        <v>222</v>
      </c>
      <c r="R44" s="5"/>
      <c r="S44" s="5"/>
      <c r="T44" s="113"/>
    </row>
    <row r="45" spans="1:20" s="98" customFormat="1" ht="42.75" customHeight="1" x14ac:dyDescent="0.5">
      <c r="A45" s="98" t="str">
        <f>_xlfn.XLOOKUP(B45,'Paso 3 Redacción RA'!I$3:I$15,'Paso 3 Redacción RA'!C$3:C$15,,0,1)</f>
        <v>SaberHacer</v>
      </c>
      <c r="B45" s="79" t="s">
        <v>94</v>
      </c>
      <c r="C45" s="147"/>
      <c r="D45" s="147"/>
      <c r="E45" s="152"/>
      <c r="F45" s="147"/>
      <c r="G45" s="147"/>
      <c r="H45" s="147"/>
      <c r="I45" s="147"/>
      <c r="J45" s="147"/>
      <c r="K45" s="147"/>
      <c r="L45" s="147"/>
      <c r="M45" s="147"/>
      <c r="N45" s="141"/>
      <c r="O45" s="141"/>
      <c r="P45" s="141"/>
      <c r="Q45" s="141"/>
      <c r="R45" s="5"/>
      <c r="S45" s="5"/>
      <c r="T45" s="113"/>
    </row>
    <row r="46" spans="1:20" s="98" customFormat="1" ht="40.5" customHeight="1" x14ac:dyDescent="0.5">
      <c r="A46" s="98" t="str">
        <f>_xlfn.XLOOKUP(B46,'Paso 3 Redacción RA'!I$3:I$15,'Paso 3 Redacción RA'!C$3:C$15,,0,1)</f>
        <v>Saber</v>
      </c>
      <c r="B46" s="79" t="s">
        <v>100</v>
      </c>
      <c r="C46" s="147"/>
      <c r="D46" s="147"/>
      <c r="E46" s="152"/>
      <c r="F46" s="147"/>
      <c r="G46" s="147"/>
      <c r="H46" s="147"/>
      <c r="I46" s="147"/>
      <c r="J46" s="147"/>
      <c r="K46" s="147"/>
      <c r="L46" s="147"/>
      <c r="M46" s="147"/>
      <c r="N46" s="141"/>
      <c r="O46" s="141"/>
      <c r="P46" s="141"/>
      <c r="Q46" s="141"/>
      <c r="R46" s="5"/>
      <c r="S46" s="5"/>
      <c r="T46" s="113"/>
    </row>
    <row r="47" spans="1:20" s="98" customFormat="1" ht="63" customHeight="1" thickBot="1" x14ac:dyDescent="0.55000000000000004">
      <c r="A47" s="99" t="str">
        <f>_xlfn.XLOOKUP(B47,'Paso 3 Redacción RA'!I$3:I$15,'Paso 3 Redacción RA'!C$3:C$15,,0,1)</f>
        <v>SaberHacer</v>
      </c>
      <c r="B47" s="95" t="s">
        <v>103</v>
      </c>
      <c r="C47" s="148"/>
      <c r="D47" s="148"/>
      <c r="E47" s="152"/>
      <c r="F47" s="147"/>
      <c r="G47" s="147"/>
      <c r="H47" s="148"/>
      <c r="I47" s="147"/>
      <c r="J47" s="147"/>
      <c r="K47" s="147"/>
      <c r="L47" s="147"/>
      <c r="M47" s="147"/>
      <c r="N47" s="142"/>
      <c r="O47" s="141"/>
      <c r="P47" s="141"/>
      <c r="Q47" s="141"/>
      <c r="R47" s="5"/>
      <c r="S47" s="5"/>
      <c r="T47" s="113"/>
    </row>
    <row r="48" spans="1:20" s="98" customFormat="1" ht="36" x14ac:dyDescent="0.5">
      <c r="A48" s="112" t="str">
        <f>_xlfn.XLOOKUP(B48,'Paso 3 Redacción RA'!I$3:I$15,'Paso 3 Redacción RA'!C$3:C$15,,0,1)</f>
        <v>Saber</v>
      </c>
      <c r="B48" s="100" t="s">
        <v>90</v>
      </c>
      <c r="C48" s="146">
        <v>3</v>
      </c>
      <c r="D48" s="146" t="s">
        <v>269</v>
      </c>
      <c r="E48" s="151" t="s">
        <v>270</v>
      </c>
      <c r="F48" s="146" t="s">
        <v>217</v>
      </c>
      <c r="G48" s="146"/>
      <c r="H48" s="146" t="s">
        <v>218</v>
      </c>
      <c r="I48" s="146"/>
      <c r="J48" s="146">
        <v>4</v>
      </c>
      <c r="K48" s="146">
        <f>16*J48</f>
        <v>64</v>
      </c>
      <c r="L48" s="146">
        <f>32*J48</f>
        <v>128</v>
      </c>
      <c r="M48" s="146">
        <v>192</v>
      </c>
      <c r="N48" s="140" t="s">
        <v>271</v>
      </c>
      <c r="O48" s="140" t="s">
        <v>253</v>
      </c>
      <c r="P48" s="140" t="s">
        <v>221</v>
      </c>
      <c r="Q48" s="140" t="s">
        <v>222</v>
      </c>
      <c r="R48" s="5">
        <f>SUM(J38:J48)</f>
        <v>17</v>
      </c>
      <c r="S48" s="5">
        <f>COUNTA(D38:D55)</f>
        <v>5</v>
      </c>
      <c r="T48" s="113"/>
    </row>
    <row r="49" spans="1:20" s="98" customFormat="1" ht="36" x14ac:dyDescent="0.5">
      <c r="A49" s="98" t="str">
        <f>_xlfn.XLOOKUP(B49,'Paso 3 Redacción RA'!I$3:I$15,'Paso 3 Redacción RA'!C$3:C$15,,0,1)</f>
        <v>SaberHacer</v>
      </c>
      <c r="B49" s="79" t="s">
        <v>94</v>
      </c>
      <c r="C49" s="147"/>
      <c r="D49" s="147"/>
      <c r="E49" s="152"/>
      <c r="F49" s="147"/>
      <c r="G49" s="147"/>
      <c r="H49" s="147"/>
      <c r="I49" s="147"/>
      <c r="J49" s="147"/>
      <c r="K49" s="147"/>
      <c r="L49" s="147"/>
      <c r="M49" s="147"/>
      <c r="N49" s="141"/>
      <c r="O49" s="141"/>
      <c r="P49" s="141"/>
      <c r="Q49" s="141"/>
      <c r="R49" s="5"/>
      <c r="S49" s="5"/>
      <c r="T49" s="113"/>
    </row>
    <row r="50" spans="1:20" s="98" customFormat="1" ht="36" x14ac:dyDescent="0.5">
      <c r="A50" s="98" t="str">
        <f>_xlfn.XLOOKUP(B50,'Paso 3 Redacción RA'!I$3:I$15,'Paso 3 Redacción RA'!C$3:C$15,,0,1)</f>
        <v>SaberSer</v>
      </c>
      <c r="B50" s="79" t="s">
        <v>115</v>
      </c>
      <c r="C50" s="147"/>
      <c r="D50" s="147"/>
      <c r="E50" s="152"/>
      <c r="F50" s="147"/>
      <c r="G50" s="147"/>
      <c r="H50" s="147"/>
      <c r="I50" s="147"/>
      <c r="J50" s="147"/>
      <c r="K50" s="147"/>
      <c r="L50" s="147"/>
      <c r="M50" s="147"/>
      <c r="N50" s="141"/>
      <c r="O50" s="141"/>
      <c r="P50" s="141"/>
      <c r="Q50" s="141"/>
      <c r="R50" s="5"/>
      <c r="S50" s="5"/>
      <c r="T50" s="113"/>
    </row>
    <row r="51" spans="1:20" s="98" customFormat="1" ht="36" x14ac:dyDescent="0.5">
      <c r="A51" s="98" t="str">
        <f>_xlfn.XLOOKUP(B51,'Paso 3 Redacción RA'!I$3:I$15,'Paso 3 Redacción RA'!C$3:C$15,,0,1)</f>
        <v>Saber</v>
      </c>
      <c r="B51" s="79" t="s">
        <v>100</v>
      </c>
      <c r="C51" s="147"/>
      <c r="D51" s="147"/>
      <c r="E51" s="152"/>
      <c r="F51" s="147"/>
      <c r="G51" s="147"/>
      <c r="H51" s="147"/>
      <c r="I51" s="147"/>
      <c r="J51" s="147"/>
      <c r="K51" s="147"/>
      <c r="L51" s="147"/>
      <c r="M51" s="147"/>
      <c r="N51" s="141"/>
      <c r="O51" s="141"/>
      <c r="P51" s="141"/>
      <c r="Q51" s="141"/>
      <c r="R51" s="5"/>
      <c r="S51" s="5"/>
      <c r="T51" s="113"/>
    </row>
    <row r="52" spans="1:20" s="98" customFormat="1" ht="54" x14ac:dyDescent="0.5">
      <c r="A52" s="98" t="str">
        <f>_xlfn.XLOOKUP(B52,'Paso 3 Redacción RA'!I$3:I$15,'Paso 3 Redacción RA'!C$3:C$15,,0,1)</f>
        <v>SaberHacer</v>
      </c>
      <c r="B52" s="79" t="s">
        <v>103</v>
      </c>
      <c r="C52" s="147"/>
      <c r="D52" s="147"/>
      <c r="E52" s="152"/>
      <c r="F52" s="147"/>
      <c r="G52" s="147"/>
      <c r="H52" s="147"/>
      <c r="I52" s="147"/>
      <c r="J52" s="147"/>
      <c r="K52" s="147"/>
      <c r="L52" s="147"/>
      <c r="M52" s="147"/>
      <c r="N52" s="141"/>
      <c r="O52" s="141"/>
      <c r="P52" s="141"/>
      <c r="Q52" s="141"/>
      <c r="R52" s="5"/>
      <c r="S52" s="5"/>
      <c r="T52" s="113"/>
    </row>
    <row r="53" spans="1:20" s="98" customFormat="1" ht="36" x14ac:dyDescent="0.5">
      <c r="A53" s="98" t="str">
        <f>_xlfn.XLOOKUP(B53,'Paso 3 Redacción RA'!I$3:I$15,'Paso 3 Redacción RA'!C$3:C$15,,0,1)</f>
        <v>SaberSer</v>
      </c>
      <c r="B53" s="79" t="s">
        <v>105</v>
      </c>
      <c r="C53" s="147"/>
      <c r="D53" s="147"/>
      <c r="E53" s="152"/>
      <c r="F53" s="147"/>
      <c r="G53" s="147"/>
      <c r="H53" s="147"/>
      <c r="I53" s="147"/>
      <c r="J53" s="147"/>
      <c r="K53" s="147"/>
      <c r="L53" s="147"/>
      <c r="M53" s="147"/>
      <c r="N53" s="141"/>
      <c r="O53" s="141"/>
      <c r="P53" s="141"/>
      <c r="Q53" s="141"/>
      <c r="R53" s="5"/>
      <c r="S53" s="5"/>
      <c r="T53" s="113"/>
    </row>
    <row r="54" spans="1:20" s="98" customFormat="1" ht="36" x14ac:dyDescent="0.5">
      <c r="A54" s="98" t="str">
        <f>_xlfn.XLOOKUP(B54,'Paso 3 Redacción RA'!I$3:I$15,'Paso 3 Redacción RA'!C$3:C$15,,0,1)</f>
        <v>SaberHacer</v>
      </c>
      <c r="B54" s="79" t="s">
        <v>111</v>
      </c>
      <c r="C54" s="147"/>
      <c r="D54" s="147"/>
      <c r="E54" s="152"/>
      <c r="F54" s="147"/>
      <c r="G54" s="147"/>
      <c r="H54" s="147"/>
      <c r="I54" s="147"/>
      <c r="J54" s="147"/>
      <c r="K54" s="147"/>
      <c r="L54" s="147"/>
      <c r="M54" s="147"/>
      <c r="N54" s="141"/>
      <c r="O54" s="141"/>
      <c r="P54" s="141"/>
      <c r="Q54" s="141"/>
      <c r="R54" s="5"/>
      <c r="S54" s="5"/>
      <c r="T54" s="113"/>
    </row>
    <row r="55" spans="1:20" s="98" customFormat="1" ht="36.6" thickBot="1" x14ac:dyDescent="0.55000000000000004">
      <c r="A55" s="99" t="str">
        <f>_xlfn.XLOOKUP(B55,'Paso 3 Redacción RA'!I$3:I$15,'Paso 3 Redacción RA'!C$3:C$15,,0,1)</f>
        <v>Saber</v>
      </c>
      <c r="B55" s="95" t="s">
        <v>112</v>
      </c>
      <c r="C55" s="148"/>
      <c r="D55" s="148"/>
      <c r="E55" s="152"/>
      <c r="F55" s="147"/>
      <c r="G55" s="147"/>
      <c r="H55" s="148"/>
      <c r="I55" s="147"/>
      <c r="J55" s="147"/>
      <c r="K55" s="147"/>
      <c r="L55" s="147"/>
      <c r="M55" s="147"/>
      <c r="N55" s="141"/>
      <c r="O55" s="141"/>
      <c r="P55" s="141"/>
      <c r="Q55" s="141"/>
      <c r="R55" s="5"/>
      <c r="S55" s="5"/>
      <c r="T55" s="113"/>
    </row>
    <row r="56" spans="1:20" s="98" customFormat="1" ht="270.60000000000002" thickBot="1" x14ac:dyDescent="0.55000000000000004">
      <c r="A56" s="106" t="str">
        <f>_xlfn.XLOOKUP(B56,'Paso 3 Redacción RA'!I$3:I$15,'Paso 3 Redacción RA'!C$3:C$15,,0,1)</f>
        <v>Saber</v>
      </c>
      <c r="B56" s="106" t="s">
        <v>119</v>
      </c>
      <c r="C56" s="105">
        <v>4</v>
      </c>
      <c r="D56" s="105" t="s">
        <v>272</v>
      </c>
      <c r="E56" s="106" t="s">
        <v>273</v>
      </c>
      <c r="F56" s="105" t="s">
        <v>217</v>
      </c>
      <c r="G56" s="105" t="s">
        <v>218</v>
      </c>
      <c r="H56" s="105" t="s">
        <v>274</v>
      </c>
      <c r="I56" s="105"/>
      <c r="J56" s="105">
        <v>3</v>
      </c>
      <c r="K56" s="104">
        <f>16*J56</f>
        <v>48</v>
      </c>
      <c r="L56" s="104">
        <f>32*J56</f>
        <v>96</v>
      </c>
      <c r="M56" s="104">
        <f>SUM(K56:L56)</f>
        <v>144</v>
      </c>
      <c r="N56" s="106" t="s">
        <v>275</v>
      </c>
      <c r="O56" s="106" t="s">
        <v>276</v>
      </c>
      <c r="P56" s="106" t="s">
        <v>221</v>
      </c>
      <c r="Q56" s="103" t="s">
        <v>222</v>
      </c>
      <c r="R56" s="5"/>
      <c r="S56" s="5"/>
      <c r="T56" s="113"/>
    </row>
    <row r="57" spans="1:20" s="98" customFormat="1" ht="36" x14ac:dyDescent="0.5">
      <c r="A57" s="112" t="str">
        <f>_xlfn.XLOOKUP(B57,'Paso 3 Redacción RA'!I$3:I$15,'Paso 3 Redacción RA'!C$3:C$15,,0,1)</f>
        <v>SaberHacer</v>
      </c>
      <c r="B57" s="100" t="s">
        <v>94</v>
      </c>
      <c r="C57" s="146">
        <v>4</v>
      </c>
      <c r="D57" s="146" t="s">
        <v>277</v>
      </c>
      <c r="E57" s="151" t="s">
        <v>278</v>
      </c>
      <c r="F57" s="146" t="s">
        <v>217</v>
      </c>
      <c r="G57" s="146"/>
      <c r="H57" s="146" t="s">
        <v>218</v>
      </c>
      <c r="I57" s="146"/>
      <c r="J57" s="146">
        <v>3</v>
      </c>
      <c r="K57" s="146">
        <f>16*J57</f>
        <v>48</v>
      </c>
      <c r="L57" s="146">
        <f>32*J57</f>
        <v>96</v>
      </c>
      <c r="M57" s="146">
        <f>SUM(K57:L57)</f>
        <v>144</v>
      </c>
      <c r="N57" s="140" t="s">
        <v>279</v>
      </c>
      <c r="O57" s="140" t="s">
        <v>220</v>
      </c>
      <c r="P57" s="140" t="s">
        <v>221</v>
      </c>
      <c r="Q57" s="140" t="s">
        <v>222</v>
      </c>
      <c r="R57" s="5"/>
      <c r="S57" s="5"/>
      <c r="T57" s="113"/>
    </row>
    <row r="58" spans="1:20" s="98" customFormat="1" ht="36" x14ac:dyDescent="0.5">
      <c r="A58" s="98" t="str">
        <f>_xlfn.XLOOKUP(B58,'Paso 3 Redacción RA'!I$3:I$15,'Paso 3 Redacción RA'!C$3:C$15,,0,1)</f>
        <v>Saber</v>
      </c>
      <c r="B58" s="79" t="s">
        <v>100</v>
      </c>
      <c r="C58" s="147"/>
      <c r="D58" s="147"/>
      <c r="E58" s="152"/>
      <c r="F58" s="147"/>
      <c r="G58" s="147"/>
      <c r="H58" s="147"/>
      <c r="I58" s="147"/>
      <c r="J58" s="147"/>
      <c r="K58" s="147"/>
      <c r="L58" s="147"/>
      <c r="M58" s="147"/>
      <c r="N58" s="141"/>
      <c r="O58" s="141"/>
      <c r="P58" s="141"/>
      <c r="Q58" s="141"/>
      <c r="R58" s="5"/>
      <c r="S58" s="5"/>
      <c r="T58" s="113"/>
    </row>
    <row r="59" spans="1:20" s="98" customFormat="1" ht="36" x14ac:dyDescent="0.5">
      <c r="A59" s="98" t="str">
        <f>_xlfn.XLOOKUP(B59,'Paso 3 Redacción RA'!I$3:I$15,'Paso 3 Redacción RA'!C$3:C$15,,0,1)</f>
        <v>SaberHacer</v>
      </c>
      <c r="B59" s="79" t="s">
        <v>111</v>
      </c>
      <c r="C59" s="147"/>
      <c r="D59" s="147"/>
      <c r="E59" s="152"/>
      <c r="F59" s="147"/>
      <c r="G59" s="147"/>
      <c r="H59" s="147"/>
      <c r="I59" s="147"/>
      <c r="J59" s="147"/>
      <c r="K59" s="147"/>
      <c r="L59" s="147"/>
      <c r="M59" s="147"/>
      <c r="N59" s="141"/>
      <c r="O59" s="141"/>
      <c r="P59" s="141"/>
      <c r="Q59" s="141"/>
      <c r="R59" s="5"/>
      <c r="S59" s="5"/>
      <c r="T59" s="113"/>
    </row>
    <row r="60" spans="1:20" s="98" customFormat="1" ht="60" customHeight="1" thickBot="1" x14ac:dyDescent="0.55000000000000004">
      <c r="A60" s="99" t="str">
        <f>_xlfn.XLOOKUP(B60,'Paso 3 Redacción RA'!I$3:I$15,'Paso 3 Redacción RA'!C$3:C$15,,0,1)</f>
        <v>Saber</v>
      </c>
      <c r="B60" s="95" t="s">
        <v>108</v>
      </c>
      <c r="C60" s="148"/>
      <c r="D60" s="148"/>
      <c r="E60" s="155"/>
      <c r="F60" s="148"/>
      <c r="G60" s="148"/>
      <c r="H60" s="148"/>
      <c r="I60" s="148"/>
      <c r="J60" s="148"/>
      <c r="K60" s="148"/>
      <c r="L60" s="148"/>
      <c r="M60" s="148"/>
      <c r="N60" s="142"/>
      <c r="O60" s="142"/>
      <c r="P60" s="142"/>
      <c r="Q60" s="142"/>
      <c r="R60" s="5"/>
      <c r="S60" s="5"/>
      <c r="T60" s="113"/>
    </row>
    <row r="61" spans="1:20" s="98" customFormat="1" ht="34.5" customHeight="1" x14ac:dyDescent="0.5">
      <c r="A61" s="112" t="str">
        <f>_xlfn.XLOOKUP(B61,'Paso 3 Redacción RA'!I$3:I$15,'Paso 3 Redacción RA'!C$3:C$15,,0,1)</f>
        <v>Saber</v>
      </c>
      <c r="B61" s="100" t="s">
        <v>90</v>
      </c>
      <c r="C61" s="146">
        <v>4</v>
      </c>
      <c r="D61" s="146" t="s">
        <v>280</v>
      </c>
      <c r="E61" s="151" t="s">
        <v>281</v>
      </c>
      <c r="F61" s="146" t="s">
        <v>217</v>
      </c>
      <c r="G61" s="146"/>
      <c r="H61" s="146" t="s">
        <v>218</v>
      </c>
      <c r="I61" s="146"/>
      <c r="J61" s="146">
        <v>4</v>
      </c>
      <c r="K61" s="146">
        <f>16*J61</f>
        <v>64</v>
      </c>
      <c r="L61" s="146">
        <f>32*J61</f>
        <v>128</v>
      </c>
      <c r="M61" s="146">
        <f>SUM(K61:L61)</f>
        <v>192</v>
      </c>
      <c r="N61" s="140" t="s">
        <v>282</v>
      </c>
      <c r="O61" s="140" t="s">
        <v>253</v>
      </c>
      <c r="P61" s="140" t="s">
        <v>221</v>
      </c>
      <c r="Q61" s="140" t="s">
        <v>222</v>
      </c>
      <c r="R61" s="5"/>
      <c r="S61" s="5"/>
      <c r="T61" s="113"/>
    </row>
    <row r="62" spans="1:20" s="98" customFormat="1" ht="36" x14ac:dyDescent="0.5">
      <c r="A62" s="98" t="str">
        <f>_xlfn.XLOOKUP(B62,'Paso 3 Redacción RA'!I$3:I$15,'Paso 3 Redacción RA'!C$3:C$15,,0,1)</f>
        <v>SaberHacer</v>
      </c>
      <c r="B62" s="79" t="s">
        <v>94</v>
      </c>
      <c r="C62" s="147"/>
      <c r="D62" s="147"/>
      <c r="E62" s="152"/>
      <c r="F62" s="147"/>
      <c r="G62" s="147"/>
      <c r="H62" s="147"/>
      <c r="I62" s="147"/>
      <c r="J62" s="147"/>
      <c r="K62" s="147"/>
      <c r="L62" s="147"/>
      <c r="M62" s="147"/>
      <c r="N62" s="141"/>
      <c r="O62" s="143"/>
      <c r="P62" s="141"/>
      <c r="Q62" s="141"/>
      <c r="R62" s="5"/>
      <c r="S62" s="5"/>
      <c r="T62" s="113"/>
    </row>
    <row r="63" spans="1:20" s="98" customFormat="1" ht="36" x14ac:dyDescent="0.5">
      <c r="A63" s="98" t="str">
        <f>_xlfn.XLOOKUP(B63,'Paso 3 Redacción RA'!I$3:I$15,'Paso 3 Redacción RA'!C$3:C$15,,0,1)</f>
        <v>SaberSer</v>
      </c>
      <c r="B63" s="79" t="s">
        <v>115</v>
      </c>
      <c r="C63" s="147"/>
      <c r="D63" s="147"/>
      <c r="E63" s="152"/>
      <c r="F63" s="147"/>
      <c r="G63" s="147"/>
      <c r="H63" s="147"/>
      <c r="I63" s="147"/>
      <c r="J63" s="147"/>
      <c r="K63" s="147"/>
      <c r="L63" s="147"/>
      <c r="M63" s="147"/>
      <c r="N63" s="141"/>
      <c r="O63" s="143"/>
      <c r="P63" s="141"/>
      <c r="Q63" s="141"/>
      <c r="R63" s="5"/>
      <c r="S63" s="5"/>
      <c r="T63" s="113"/>
    </row>
    <row r="64" spans="1:20" s="98" customFormat="1" ht="36" x14ac:dyDescent="0.5">
      <c r="A64" s="98" t="str">
        <f>_xlfn.XLOOKUP(B64,'Paso 3 Redacción RA'!I$3:I$15,'Paso 3 Redacción RA'!C$3:C$15,,0,1)</f>
        <v>Saber</v>
      </c>
      <c r="B64" s="79" t="s">
        <v>100</v>
      </c>
      <c r="C64" s="147"/>
      <c r="D64" s="147"/>
      <c r="E64" s="152"/>
      <c r="F64" s="147"/>
      <c r="G64" s="147"/>
      <c r="H64" s="147"/>
      <c r="I64" s="147"/>
      <c r="J64" s="147"/>
      <c r="K64" s="147"/>
      <c r="L64" s="147"/>
      <c r="M64" s="147"/>
      <c r="N64" s="141"/>
      <c r="O64" s="143"/>
      <c r="P64" s="141"/>
      <c r="Q64" s="141"/>
      <c r="R64" s="5"/>
      <c r="S64" s="5"/>
      <c r="T64" s="113"/>
    </row>
    <row r="65" spans="1:20" s="98" customFormat="1" ht="54" x14ac:dyDescent="0.5">
      <c r="A65" s="98" t="str">
        <f>_xlfn.XLOOKUP(B65,'Paso 3 Redacción RA'!I$3:I$15,'Paso 3 Redacción RA'!C$3:C$15,,0,1)</f>
        <v>SaberHacer</v>
      </c>
      <c r="B65" s="79" t="s">
        <v>103</v>
      </c>
      <c r="C65" s="147"/>
      <c r="D65" s="147"/>
      <c r="E65" s="152"/>
      <c r="F65" s="147"/>
      <c r="G65" s="147"/>
      <c r="H65" s="147"/>
      <c r="I65" s="147"/>
      <c r="J65" s="147"/>
      <c r="K65" s="147"/>
      <c r="L65" s="147"/>
      <c r="M65" s="147"/>
      <c r="N65" s="141"/>
      <c r="O65" s="143"/>
      <c r="P65" s="141"/>
      <c r="Q65" s="141"/>
      <c r="R65" s="5"/>
      <c r="S65" s="5"/>
      <c r="T65" s="113"/>
    </row>
    <row r="66" spans="1:20" s="98" customFormat="1" ht="36" x14ac:dyDescent="0.5">
      <c r="A66" s="98" t="str">
        <f>_xlfn.XLOOKUP(B66,'Paso 3 Redacción RA'!I$3:I$15,'Paso 3 Redacción RA'!C$3:C$15,,0,1)</f>
        <v>SaberSer</v>
      </c>
      <c r="B66" s="79" t="s">
        <v>105</v>
      </c>
      <c r="C66" s="147"/>
      <c r="D66" s="147"/>
      <c r="E66" s="152"/>
      <c r="F66" s="147"/>
      <c r="G66" s="147"/>
      <c r="H66" s="147"/>
      <c r="I66" s="147"/>
      <c r="J66" s="147"/>
      <c r="K66" s="147"/>
      <c r="L66" s="147"/>
      <c r="M66" s="147"/>
      <c r="N66" s="141"/>
      <c r="O66" s="143"/>
      <c r="P66" s="141"/>
      <c r="Q66" s="141"/>
      <c r="R66" s="5"/>
      <c r="S66" s="5"/>
      <c r="T66" s="113"/>
    </row>
    <row r="67" spans="1:20" s="98" customFormat="1" ht="36" x14ac:dyDescent="0.5">
      <c r="A67" s="98" t="str">
        <f>_xlfn.XLOOKUP(B67,'Paso 3 Redacción RA'!I$3:I$15,'Paso 3 Redacción RA'!C$3:C$15,,0,1)</f>
        <v>SaberHacer</v>
      </c>
      <c r="B67" s="79" t="s">
        <v>111</v>
      </c>
      <c r="C67" s="147"/>
      <c r="D67" s="147"/>
      <c r="E67" s="152"/>
      <c r="F67" s="147"/>
      <c r="G67" s="147"/>
      <c r="H67" s="147"/>
      <c r="I67" s="147"/>
      <c r="J67" s="147"/>
      <c r="K67" s="147"/>
      <c r="L67" s="147"/>
      <c r="M67" s="147"/>
      <c r="N67" s="141"/>
      <c r="O67" s="143"/>
      <c r="P67" s="141"/>
      <c r="Q67" s="141"/>
      <c r="R67" s="5"/>
      <c r="S67" s="5"/>
      <c r="T67" s="113"/>
    </row>
    <row r="68" spans="1:20" s="98" customFormat="1" ht="36.6" thickBot="1" x14ac:dyDescent="0.55000000000000004">
      <c r="A68" s="99" t="str">
        <f>_xlfn.XLOOKUP(B68,'Paso 3 Redacción RA'!I$3:I$15,'Paso 3 Redacción RA'!C$3:C$15,,0,1)</f>
        <v>Saber</v>
      </c>
      <c r="B68" s="95" t="s">
        <v>112</v>
      </c>
      <c r="C68" s="148"/>
      <c r="D68" s="148"/>
      <c r="E68" s="155"/>
      <c r="F68" s="148"/>
      <c r="G68" s="148"/>
      <c r="H68" s="148"/>
      <c r="I68" s="148"/>
      <c r="J68" s="148"/>
      <c r="K68" s="148"/>
      <c r="L68" s="148"/>
      <c r="M68" s="148"/>
      <c r="N68" s="142"/>
      <c r="O68" s="144"/>
      <c r="P68" s="142"/>
      <c r="Q68" s="142"/>
      <c r="R68" s="5"/>
      <c r="S68" s="5"/>
      <c r="T68" s="113"/>
    </row>
    <row r="69" spans="1:20" s="98" customFormat="1" ht="34.5" customHeight="1" x14ac:dyDescent="0.5">
      <c r="A69" s="112" t="str">
        <f>_xlfn.XLOOKUP(B69,'Paso 3 Redacción RA'!I$3:I$15,'Paso 3 Redacción RA'!C$3:C$15,,0,1)</f>
        <v>SaberSer</v>
      </c>
      <c r="B69" s="100" t="s">
        <v>115</v>
      </c>
      <c r="C69" s="146">
        <v>4</v>
      </c>
      <c r="D69" s="146" t="s">
        <v>283</v>
      </c>
      <c r="E69" s="151" t="s">
        <v>284</v>
      </c>
      <c r="F69" s="146" t="s">
        <v>217</v>
      </c>
      <c r="G69" s="146"/>
      <c r="H69" s="146" t="s">
        <v>218</v>
      </c>
      <c r="I69" s="146"/>
      <c r="J69" s="146">
        <v>4</v>
      </c>
      <c r="K69" s="146">
        <f>16*J69</f>
        <v>64</v>
      </c>
      <c r="L69" s="146">
        <f>32*J69</f>
        <v>128</v>
      </c>
      <c r="M69" s="146">
        <f>SUM(K69:L69)</f>
        <v>192</v>
      </c>
      <c r="N69" s="140" t="s">
        <v>285</v>
      </c>
      <c r="O69" s="140" t="s">
        <v>220</v>
      </c>
      <c r="P69" s="140" t="s">
        <v>221</v>
      </c>
      <c r="Q69" s="140" t="s">
        <v>222</v>
      </c>
      <c r="R69" s="5"/>
      <c r="S69" s="5"/>
      <c r="T69" s="113"/>
    </row>
    <row r="70" spans="1:20" s="98" customFormat="1" ht="36" x14ac:dyDescent="0.5">
      <c r="A70" s="98" t="str">
        <f>_xlfn.XLOOKUP(B70,'Paso 3 Redacción RA'!I$3:I$15,'Paso 3 Redacción RA'!C$3:C$15,,0,1)</f>
        <v>Saber</v>
      </c>
      <c r="B70" s="79" t="s">
        <v>100</v>
      </c>
      <c r="C70" s="147"/>
      <c r="D70" s="147"/>
      <c r="E70" s="152"/>
      <c r="F70" s="147"/>
      <c r="G70" s="147"/>
      <c r="H70" s="147"/>
      <c r="I70" s="147"/>
      <c r="J70" s="147"/>
      <c r="K70" s="147"/>
      <c r="L70" s="147"/>
      <c r="M70" s="147"/>
      <c r="N70" s="141"/>
      <c r="O70" s="141"/>
      <c r="P70" s="141"/>
      <c r="Q70" s="141"/>
      <c r="R70" s="5"/>
      <c r="S70" s="5"/>
      <c r="T70" s="113"/>
    </row>
    <row r="71" spans="1:20" s="98" customFormat="1" ht="66" customHeight="1" x14ac:dyDescent="0.5">
      <c r="A71" s="98" t="str">
        <f>_xlfn.XLOOKUP(B71,'Paso 3 Redacción RA'!I$3:I$15,'Paso 3 Redacción RA'!C$3:C$15,,0,1)</f>
        <v>SaberHacer</v>
      </c>
      <c r="B71" s="79" t="s">
        <v>103</v>
      </c>
      <c r="C71" s="147"/>
      <c r="D71" s="147"/>
      <c r="E71" s="152"/>
      <c r="F71" s="147"/>
      <c r="G71" s="147"/>
      <c r="H71" s="147"/>
      <c r="I71" s="147"/>
      <c r="J71" s="147"/>
      <c r="K71" s="147"/>
      <c r="L71" s="147"/>
      <c r="M71" s="147"/>
      <c r="N71" s="141"/>
      <c r="O71" s="141"/>
      <c r="P71" s="141"/>
      <c r="Q71" s="141"/>
      <c r="R71" s="5"/>
      <c r="S71" s="5"/>
      <c r="T71" s="113"/>
    </row>
    <row r="72" spans="1:20" s="98" customFormat="1" ht="52.5" customHeight="1" thickBot="1" x14ac:dyDescent="0.55000000000000004">
      <c r="A72" s="99" t="str">
        <f>_xlfn.XLOOKUP(B72,'Paso 3 Redacción RA'!I$3:I$15,'Paso 3 Redacción RA'!C$3:C$15,,0,1)</f>
        <v>Saber</v>
      </c>
      <c r="B72" s="95" t="s">
        <v>112</v>
      </c>
      <c r="C72" s="148"/>
      <c r="D72" s="148"/>
      <c r="E72" s="155"/>
      <c r="F72" s="148"/>
      <c r="G72" s="148"/>
      <c r="H72" s="148"/>
      <c r="I72" s="148"/>
      <c r="J72" s="148"/>
      <c r="K72" s="148"/>
      <c r="L72" s="148"/>
      <c r="M72" s="148"/>
      <c r="N72" s="142"/>
      <c r="O72" s="142"/>
      <c r="P72" s="142"/>
      <c r="Q72" s="142"/>
      <c r="R72" s="5"/>
      <c r="S72" s="5"/>
      <c r="T72" s="113"/>
    </row>
    <row r="73" spans="1:20" s="98" customFormat="1" ht="45.75" customHeight="1" x14ac:dyDescent="0.5">
      <c r="A73" s="112" t="str">
        <f>_xlfn.XLOOKUP(B73,'Paso 3 Redacción RA'!I$3:I$15,'Paso 3 Redacción RA'!C$3:C$15,,0,1)</f>
        <v>Saber</v>
      </c>
      <c r="B73" s="100" t="s">
        <v>90</v>
      </c>
      <c r="C73" s="146">
        <v>4</v>
      </c>
      <c r="D73" s="146" t="s">
        <v>286</v>
      </c>
      <c r="E73" s="151" t="s">
        <v>287</v>
      </c>
      <c r="F73" s="146" t="s">
        <v>217</v>
      </c>
      <c r="G73" s="146"/>
      <c r="H73" s="146" t="s">
        <v>218</v>
      </c>
      <c r="I73" s="146"/>
      <c r="J73" s="146">
        <v>3</v>
      </c>
      <c r="K73" s="146">
        <f>16*J73</f>
        <v>48</v>
      </c>
      <c r="L73" s="146">
        <f>32*J73</f>
        <v>96</v>
      </c>
      <c r="M73" s="146">
        <f>SUM(K73:L73)</f>
        <v>144</v>
      </c>
      <c r="N73" s="140" t="s">
        <v>288</v>
      </c>
      <c r="O73" s="140" t="s">
        <v>220</v>
      </c>
      <c r="P73" s="140" t="s">
        <v>221</v>
      </c>
      <c r="Q73" s="140" t="s">
        <v>222</v>
      </c>
      <c r="R73" s="5">
        <f>SUM(J56:J73)</f>
        <v>17</v>
      </c>
      <c r="S73" s="5">
        <f>COUNTA(D56:D76)</f>
        <v>5</v>
      </c>
      <c r="T73" s="113"/>
    </row>
    <row r="74" spans="1:20" s="98" customFormat="1" ht="47.25" customHeight="1" x14ac:dyDescent="0.5">
      <c r="A74" s="98" t="str">
        <f>_xlfn.XLOOKUP(B74,'Paso 3 Redacción RA'!I$3:I$15,'Paso 3 Redacción RA'!C$3:C$15,,0,1)</f>
        <v>SaberSer</v>
      </c>
      <c r="B74" s="79" t="s">
        <v>105</v>
      </c>
      <c r="C74" s="147"/>
      <c r="D74" s="147"/>
      <c r="E74" s="152"/>
      <c r="F74" s="147"/>
      <c r="G74" s="147"/>
      <c r="H74" s="147"/>
      <c r="I74" s="147"/>
      <c r="J74" s="147"/>
      <c r="K74" s="147"/>
      <c r="L74" s="147"/>
      <c r="M74" s="147"/>
      <c r="N74" s="141"/>
      <c r="O74" s="141"/>
      <c r="P74" s="141"/>
      <c r="Q74" s="141"/>
      <c r="R74" s="5"/>
      <c r="S74" s="5"/>
      <c r="T74" s="113"/>
    </row>
    <row r="75" spans="1:20" s="98" customFormat="1" ht="45" customHeight="1" x14ac:dyDescent="0.5">
      <c r="A75" s="98" t="str">
        <f>_xlfn.XLOOKUP(B75,'Paso 3 Redacción RA'!I$3:I$15,'Paso 3 Redacción RA'!C$3:C$15,,0,1)</f>
        <v>Saber</v>
      </c>
      <c r="B75" s="79" t="s">
        <v>108</v>
      </c>
      <c r="C75" s="147"/>
      <c r="D75" s="147"/>
      <c r="E75" s="152"/>
      <c r="F75" s="147"/>
      <c r="G75" s="147"/>
      <c r="H75" s="147"/>
      <c r="I75" s="147"/>
      <c r="J75" s="147"/>
      <c r="K75" s="147"/>
      <c r="L75" s="147"/>
      <c r="M75" s="147"/>
      <c r="N75" s="141"/>
      <c r="O75" s="141"/>
      <c r="P75" s="141"/>
      <c r="Q75" s="141"/>
      <c r="R75" s="5"/>
      <c r="S75" s="5"/>
      <c r="T75" s="113"/>
    </row>
    <row r="76" spans="1:20" s="98" customFormat="1" ht="51.75" customHeight="1" thickBot="1" x14ac:dyDescent="0.55000000000000004">
      <c r="A76" s="99" t="str">
        <f>_xlfn.XLOOKUP(B76,'Paso 3 Redacción RA'!I$3:I$15,'Paso 3 Redacción RA'!C$3:C$15,,0,1)</f>
        <v>SaberHacer</v>
      </c>
      <c r="B76" s="95" t="s">
        <v>111</v>
      </c>
      <c r="C76" s="148"/>
      <c r="D76" s="148"/>
      <c r="E76" s="155"/>
      <c r="F76" s="148"/>
      <c r="G76" s="148"/>
      <c r="H76" s="148"/>
      <c r="I76" s="148"/>
      <c r="J76" s="148"/>
      <c r="K76" s="148"/>
      <c r="L76" s="148"/>
      <c r="M76" s="148"/>
      <c r="N76" s="142"/>
      <c r="O76" s="142"/>
      <c r="P76" s="142"/>
      <c r="Q76" s="142"/>
      <c r="R76" s="5"/>
      <c r="S76" s="5"/>
      <c r="T76" s="113"/>
    </row>
    <row r="77" spans="1:20" s="98" customFormat="1" ht="101.25" customHeight="1" x14ac:dyDescent="0.5">
      <c r="A77" s="112" t="str">
        <f>_xlfn.XLOOKUP(B77,'Paso 3 Redacción RA'!I$3:I$15,'Paso 3 Redacción RA'!C$3:C$15,,0,1)</f>
        <v>Saber</v>
      </c>
      <c r="B77" s="100" t="s">
        <v>90</v>
      </c>
      <c r="C77" s="146">
        <v>5</v>
      </c>
      <c r="D77" s="146" t="s">
        <v>289</v>
      </c>
      <c r="E77" s="151" t="s">
        <v>290</v>
      </c>
      <c r="F77" s="146" t="s">
        <v>217</v>
      </c>
      <c r="G77" s="146"/>
      <c r="H77" s="146" t="s">
        <v>218</v>
      </c>
      <c r="I77" s="146"/>
      <c r="J77" s="146">
        <v>3</v>
      </c>
      <c r="K77" s="146">
        <f>16*J77</f>
        <v>48</v>
      </c>
      <c r="L77" s="146">
        <f>32*J77</f>
        <v>96</v>
      </c>
      <c r="M77" s="146">
        <f>SUM(K77:L77)</f>
        <v>144</v>
      </c>
      <c r="N77" s="140" t="s">
        <v>291</v>
      </c>
      <c r="O77" s="140" t="s">
        <v>220</v>
      </c>
      <c r="P77" s="140" t="s">
        <v>221</v>
      </c>
      <c r="Q77" s="140" t="s">
        <v>222</v>
      </c>
      <c r="R77" s="5"/>
      <c r="S77" s="5"/>
      <c r="T77" s="113"/>
    </row>
    <row r="78" spans="1:20" s="98" customFormat="1" ht="92.25" customHeight="1" x14ac:dyDescent="0.5">
      <c r="A78" s="98" t="str">
        <f>_xlfn.XLOOKUP(B78,'Paso 3 Redacción RA'!I$3:I$15,'Paso 3 Redacción RA'!C$3:C$15,,0,1)</f>
        <v>SaberSer</v>
      </c>
      <c r="B78" s="79" t="s">
        <v>105</v>
      </c>
      <c r="C78" s="147"/>
      <c r="D78" s="147"/>
      <c r="E78" s="152"/>
      <c r="F78" s="147"/>
      <c r="G78" s="147"/>
      <c r="H78" s="147"/>
      <c r="I78" s="147"/>
      <c r="J78" s="147"/>
      <c r="K78" s="147"/>
      <c r="L78" s="147"/>
      <c r="M78" s="147"/>
      <c r="N78" s="141"/>
      <c r="O78" s="141"/>
      <c r="P78" s="141"/>
      <c r="Q78" s="141"/>
      <c r="R78" s="5"/>
      <c r="S78" s="5"/>
      <c r="T78" s="113"/>
    </row>
    <row r="79" spans="1:20" s="98" customFormat="1" ht="61.5" customHeight="1" x14ac:dyDescent="0.5">
      <c r="A79" s="98" t="str">
        <f>_xlfn.XLOOKUP(B79,'Paso 3 Redacción RA'!I$3:I$15,'Paso 3 Redacción RA'!C$3:C$15,,0,1)</f>
        <v>Saber</v>
      </c>
      <c r="B79" s="79" t="s">
        <v>108</v>
      </c>
      <c r="C79" s="147"/>
      <c r="D79" s="147"/>
      <c r="E79" s="152"/>
      <c r="F79" s="147"/>
      <c r="G79" s="147"/>
      <c r="H79" s="147"/>
      <c r="I79" s="147"/>
      <c r="J79" s="147"/>
      <c r="K79" s="147"/>
      <c r="L79" s="147"/>
      <c r="M79" s="147"/>
      <c r="N79" s="141"/>
      <c r="O79" s="141"/>
      <c r="P79" s="141"/>
      <c r="Q79" s="141"/>
      <c r="R79" s="5"/>
      <c r="S79" s="5"/>
      <c r="T79" s="113"/>
    </row>
    <row r="80" spans="1:20" s="98" customFormat="1" ht="75.75" customHeight="1" thickBot="1" x14ac:dyDescent="0.55000000000000004">
      <c r="A80" s="99" t="str">
        <f>_xlfn.XLOOKUP(B80,'Paso 3 Redacción RA'!I$3:I$15,'Paso 3 Redacción RA'!C$3:C$15,,0,1)</f>
        <v>SaberHacer</v>
      </c>
      <c r="B80" s="95" t="s">
        <v>111</v>
      </c>
      <c r="C80" s="148"/>
      <c r="D80" s="148"/>
      <c r="E80" s="155"/>
      <c r="F80" s="148"/>
      <c r="G80" s="148"/>
      <c r="H80" s="148"/>
      <c r="I80" s="148"/>
      <c r="J80" s="148"/>
      <c r="K80" s="148"/>
      <c r="L80" s="148"/>
      <c r="M80" s="148"/>
      <c r="N80" s="141"/>
      <c r="O80" s="142"/>
      <c r="P80" s="142"/>
      <c r="Q80" s="142"/>
      <c r="R80" s="5"/>
      <c r="S80" s="5"/>
      <c r="T80" s="113"/>
    </row>
    <row r="81" spans="1:20" s="98" customFormat="1" ht="34.5" customHeight="1" x14ac:dyDescent="0.5">
      <c r="A81" s="112" t="str">
        <f>_xlfn.XLOOKUP(B81,'Paso 3 Redacción RA'!I$3:I$15,'Paso 3 Redacción RA'!C$3:C$15,,0,1)</f>
        <v>Saber</v>
      </c>
      <c r="B81" s="100" t="s">
        <v>90</v>
      </c>
      <c r="C81" s="146">
        <v>5</v>
      </c>
      <c r="D81" s="146" t="s">
        <v>292</v>
      </c>
      <c r="E81" s="151" t="s">
        <v>293</v>
      </c>
      <c r="F81" s="146" t="s">
        <v>217</v>
      </c>
      <c r="G81" s="146"/>
      <c r="H81" s="146" t="s">
        <v>218</v>
      </c>
      <c r="I81" s="146"/>
      <c r="J81" s="146">
        <v>3</v>
      </c>
      <c r="K81" s="146">
        <f>16*J81</f>
        <v>48</v>
      </c>
      <c r="L81" s="146">
        <f>32*J81</f>
        <v>96</v>
      </c>
      <c r="M81" s="146">
        <f>SUM(K81:L81)</f>
        <v>144</v>
      </c>
      <c r="N81" s="140" t="s">
        <v>294</v>
      </c>
      <c r="O81" s="140" t="s">
        <v>220</v>
      </c>
      <c r="P81" s="140" t="s">
        <v>221</v>
      </c>
      <c r="Q81" s="140" t="s">
        <v>222</v>
      </c>
      <c r="R81" s="5"/>
      <c r="S81" s="5"/>
      <c r="T81" s="113"/>
    </row>
    <row r="82" spans="1:20" s="98" customFormat="1" ht="55.5" customHeight="1" x14ac:dyDescent="0.5">
      <c r="A82" s="98" t="str">
        <f>_xlfn.XLOOKUP(B82,'Paso 3 Redacción RA'!I$3:I$15,'Paso 3 Redacción RA'!C$3:C$15,,0,1)</f>
        <v>SaberSer</v>
      </c>
      <c r="B82" s="79" t="s">
        <v>105</v>
      </c>
      <c r="C82" s="147"/>
      <c r="D82" s="147"/>
      <c r="E82" s="152"/>
      <c r="F82" s="147"/>
      <c r="G82" s="147"/>
      <c r="H82" s="147"/>
      <c r="I82" s="147"/>
      <c r="J82" s="147"/>
      <c r="K82" s="147"/>
      <c r="L82" s="147"/>
      <c r="M82" s="147"/>
      <c r="N82" s="141"/>
      <c r="O82" s="141"/>
      <c r="P82" s="141"/>
      <c r="Q82" s="141"/>
      <c r="R82" s="5"/>
      <c r="S82" s="5"/>
      <c r="T82" s="113"/>
    </row>
    <row r="83" spans="1:20" s="98" customFormat="1" ht="56.25" customHeight="1" x14ac:dyDescent="0.5">
      <c r="A83" s="98" t="str">
        <f>_xlfn.XLOOKUP(B83,'Paso 3 Redacción RA'!I$3:I$15,'Paso 3 Redacción RA'!C$3:C$15,,0,1)</f>
        <v>Saber</v>
      </c>
      <c r="B83" s="79" t="s">
        <v>108</v>
      </c>
      <c r="C83" s="147"/>
      <c r="D83" s="147"/>
      <c r="E83" s="152"/>
      <c r="F83" s="147"/>
      <c r="G83" s="147"/>
      <c r="H83" s="147"/>
      <c r="I83" s="147"/>
      <c r="J83" s="147"/>
      <c r="K83" s="147"/>
      <c r="L83" s="147"/>
      <c r="M83" s="147"/>
      <c r="N83" s="141"/>
      <c r="O83" s="141"/>
      <c r="P83" s="141"/>
      <c r="Q83" s="141"/>
      <c r="R83" s="5"/>
      <c r="S83" s="5"/>
      <c r="T83" s="113"/>
    </row>
    <row r="84" spans="1:20" s="98" customFormat="1" ht="53.25" customHeight="1" thickBot="1" x14ac:dyDescent="0.55000000000000004">
      <c r="A84" s="99" t="str">
        <f>_xlfn.XLOOKUP(B84,'Paso 3 Redacción RA'!I$3:I$15,'Paso 3 Redacción RA'!C$3:C$15,,0,1)</f>
        <v>SaberHacer</v>
      </c>
      <c r="B84" s="95" t="s">
        <v>111</v>
      </c>
      <c r="C84" s="148"/>
      <c r="D84" s="148"/>
      <c r="E84" s="155"/>
      <c r="F84" s="148"/>
      <c r="G84" s="148"/>
      <c r="H84" s="148"/>
      <c r="I84" s="148"/>
      <c r="J84" s="148"/>
      <c r="K84" s="148"/>
      <c r="L84" s="148"/>
      <c r="M84" s="148"/>
      <c r="N84" s="142"/>
      <c r="O84" s="142"/>
      <c r="P84" s="142"/>
      <c r="Q84" s="142"/>
      <c r="R84" s="5"/>
      <c r="S84" s="5"/>
      <c r="T84" s="113"/>
    </row>
    <row r="85" spans="1:20" s="98" customFormat="1" ht="36" x14ac:dyDescent="0.5">
      <c r="A85" s="112" t="str">
        <f>_xlfn.XLOOKUP(B85,'Paso 3 Redacción RA'!I$3:I$15,'Paso 3 Redacción RA'!C$3:C$15,,0,1)</f>
        <v>Saber</v>
      </c>
      <c r="B85" s="100" t="s">
        <v>90</v>
      </c>
      <c r="C85" s="146">
        <v>5</v>
      </c>
      <c r="D85" s="146" t="s">
        <v>295</v>
      </c>
      <c r="E85" s="151" t="s">
        <v>296</v>
      </c>
      <c r="F85" s="146" t="s">
        <v>217</v>
      </c>
      <c r="G85" s="146"/>
      <c r="H85" s="146" t="s">
        <v>218</v>
      </c>
      <c r="I85" s="146"/>
      <c r="J85" s="146">
        <v>4</v>
      </c>
      <c r="K85" s="146">
        <f>16*J85</f>
        <v>64</v>
      </c>
      <c r="L85" s="146">
        <f>32*J85</f>
        <v>128</v>
      </c>
      <c r="M85" s="146">
        <f>SUM(K85:L85)</f>
        <v>192</v>
      </c>
      <c r="N85" s="140" t="s">
        <v>297</v>
      </c>
      <c r="O85" s="140" t="s">
        <v>253</v>
      </c>
      <c r="P85" s="140" t="s">
        <v>221</v>
      </c>
      <c r="Q85" s="140" t="s">
        <v>222</v>
      </c>
      <c r="R85" s="5"/>
      <c r="S85" s="5"/>
      <c r="T85" s="113"/>
    </row>
    <row r="86" spans="1:20" s="98" customFormat="1" ht="36" x14ac:dyDescent="0.5">
      <c r="A86" s="98" t="str">
        <f>_xlfn.XLOOKUP(B86,'Paso 3 Redacción RA'!I$3:I$15,'Paso 3 Redacción RA'!C$3:C$15,,0,1)</f>
        <v>SaberHacer</v>
      </c>
      <c r="B86" s="79" t="s">
        <v>94</v>
      </c>
      <c r="C86" s="147"/>
      <c r="D86" s="147"/>
      <c r="E86" s="152"/>
      <c r="F86" s="147"/>
      <c r="G86" s="147"/>
      <c r="H86" s="147"/>
      <c r="I86" s="147"/>
      <c r="J86" s="147"/>
      <c r="K86" s="147"/>
      <c r="L86" s="147"/>
      <c r="M86" s="147"/>
      <c r="N86" s="141"/>
      <c r="O86" s="141"/>
      <c r="P86" s="141"/>
      <c r="Q86" s="141"/>
      <c r="R86" s="5"/>
      <c r="S86" s="5"/>
      <c r="T86" s="113"/>
    </row>
    <row r="87" spans="1:20" s="98" customFormat="1" ht="36" x14ac:dyDescent="0.5">
      <c r="A87" s="98" t="str">
        <f>_xlfn.XLOOKUP(B87,'Paso 3 Redacción RA'!I$3:I$15,'Paso 3 Redacción RA'!C$3:C$15,,0,1)</f>
        <v>SaberSer</v>
      </c>
      <c r="B87" s="79" t="s">
        <v>115</v>
      </c>
      <c r="C87" s="147"/>
      <c r="D87" s="147"/>
      <c r="E87" s="152"/>
      <c r="F87" s="147"/>
      <c r="G87" s="147"/>
      <c r="H87" s="147"/>
      <c r="I87" s="147"/>
      <c r="J87" s="147"/>
      <c r="K87" s="147"/>
      <c r="L87" s="147"/>
      <c r="M87" s="147"/>
      <c r="N87" s="141"/>
      <c r="O87" s="141"/>
      <c r="P87" s="141"/>
      <c r="Q87" s="141"/>
      <c r="R87" s="5"/>
      <c r="S87" s="5"/>
      <c r="T87" s="113"/>
    </row>
    <row r="88" spans="1:20" s="98" customFormat="1" ht="36" x14ac:dyDescent="0.5">
      <c r="A88" s="98" t="str">
        <f>_xlfn.XLOOKUP(B88,'Paso 3 Redacción RA'!I$3:I$15,'Paso 3 Redacción RA'!C$3:C$15,,0,1)</f>
        <v>Saber</v>
      </c>
      <c r="B88" s="79" t="s">
        <v>100</v>
      </c>
      <c r="C88" s="147"/>
      <c r="D88" s="147"/>
      <c r="E88" s="152"/>
      <c r="F88" s="147"/>
      <c r="G88" s="147"/>
      <c r="H88" s="147"/>
      <c r="I88" s="147"/>
      <c r="J88" s="147"/>
      <c r="K88" s="147"/>
      <c r="L88" s="147"/>
      <c r="M88" s="147"/>
      <c r="N88" s="141"/>
      <c r="O88" s="141"/>
      <c r="P88" s="141"/>
      <c r="Q88" s="141"/>
      <c r="R88" s="5"/>
      <c r="S88" s="5"/>
      <c r="T88" s="113"/>
    </row>
    <row r="89" spans="1:20" s="98" customFormat="1" ht="54" x14ac:dyDescent="0.5">
      <c r="A89" s="98" t="str">
        <f>_xlfn.XLOOKUP(B89,'Paso 3 Redacción RA'!I$3:I$15,'Paso 3 Redacción RA'!C$3:C$15,,0,1)</f>
        <v>SaberHacer</v>
      </c>
      <c r="B89" s="79" t="s">
        <v>103</v>
      </c>
      <c r="C89" s="147"/>
      <c r="D89" s="147"/>
      <c r="E89" s="152"/>
      <c r="F89" s="147"/>
      <c r="G89" s="147"/>
      <c r="H89" s="147"/>
      <c r="I89" s="147"/>
      <c r="J89" s="147"/>
      <c r="K89" s="147"/>
      <c r="L89" s="147"/>
      <c r="M89" s="147"/>
      <c r="N89" s="141"/>
      <c r="O89" s="141"/>
      <c r="P89" s="141"/>
      <c r="Q89" s="141"/>
      <c r="R89" s="5"/>
      <c r="S89" s="5"/>
      <c r="T89" s="113"/>
    </row>
    <row r="90" spans="1:20" s="98" customFormat="1" ht="36" x14ac:dyDescent="0.5">
      <c r="A90" s="98" t="str">
        <f>_xlfn.XLOOKUP(B90,'Paso 3 Redacción RA'!I$3:I$15,'Paso 3 Redacción RA'!C$3:C$15,,0,1)</f>
        <v>SaberSer</v>
      </c>
      <c r="B90" s="79" t="s">
        <v>105</v>
      </c>
      <c r="C90" s="147"/>
      <c r="D90" s="147"/>
      <c r="E90" s="152"/>
      <c r="F90" s="147"/>
      <c r="G90" s="147"/>
      <c r="H90" s="147"/>
      <c r="I90" s="147"/>
      <c r="J90" s="147"/>
      <c r="K90" s="147"/>
      <c r="L90" s="147"/>
      <c r="M90" s="147"/>
      <c r="N90" s="141"/>
      <c r="O90" s="141"/>
      <c r="P90" s="141"/>
      <c r="Q90" s="141"/>
      <c r="R90" s="5"/>
      <c r="S90" s="5"/>
      <c r="T90" s="113"/>
    </row>
    <row r="91" spans="1:20" s="98" customFormat="1" ht="36" x14ac:dyDescent="0.5">
      <c r="A91" s="98" t="str">
        <f>_xlfn.XLOOKUP(B91,'Paso 3 Redacción RA'!I$3:I$15,'Paso 3 Redacción RA'!C$3:C$15,,0,1)</f>
        <v>SaberHacer</v>
      </c>
      <c r="B91" s="79" t="s">
        <v>111</v>
      </c>
      <c r="C91" s="147"/>
      <c r="D91" s="147"/>
      <c r="E91" s="152"/>
      <c r="F91" s="147"/>
      <c r="G91" s="147"/>
      <c r="H91" s="147"/>
      <c r="I91" s="147"/>
      <c r="J91" s="147"/>
      <c r="K91" s="147"/>
      <c r="L91" s="147"/>
      <c r="M91" s="147"/>
      <c r="N91" s="141"/>
      <c r="O91" s="141"/>
      <c r="P91" s="141"/>
      <c r="Q91" s="141"/>
      <c r="R91" s="5"/>
      <c r="S91" s="5"/>
      <c r="T91" s="113"/>
    </row>
    <row r="92" spans="1:20" s="98" customFormat="1" ht="36.6" thickBot="1" x14ac:dyDescent="0.55000000000000004">
      <c r="A92" s="99" t="str">
        <f>_xlfn.XLOOKUP(B92,'Paso 3 Redacción RA'!I$3:I$15,'Paso 3 Redacción RA'!C$3:C$15,,0,1)</f>
        <v>Saber</v>
      </c>
      <c r="B92" s="95" t="s">
        <v>112</v>
      </c>
      <c r="C92" s="148"/>
      <c r="D92" s="148"/>
      <c r="E92" s="155"/>
      <c r="F92" s="148"/>
      <c r="G92" s="148"/>
      <c r="H92" s="148"/>
      <c r="I92" s="148"/>
      <c r="J92" s="148"/>
      <c r="K92" s="148"/>
      <c r="L92" s="148"/>
      <c r="M92" s="148"/>
      <c r="N92" s="142"/>
      <c r="O92" s="142"/>
      <c r="P92" s="142"/>
      <c r="Q92" s="142"/>
      <c r="S92" s="5"/>
      <c r="T92" s="113"/>
    </row>
    <row r="93" spans="1:20" s="98" customFormat="1" ht="36" x14ac:dyDescent="0.5">
      <c r="A93" s="112" t="str">
        <f>_xlfn.XLOOKUP(B93,'Paso 3 Redacción RA'!I$3:I$15,'Paso 3 Redacción RA'!C$3:C$15,,0,1)</f>
        <v>SaberHacer</v>
      </c>
      <c r="B93" s="100" t="s">
        <v>94</v>
      </c>
      <c r="C93" s="146">
        <v>5</v>
      </c>
      <c r="D93" s="146" t="s">
        <v>298</v>
      </c>
      <c r="E93" s="151" t="s">
        <v>299</v>
      </c>
      <c r="F93" s="146" t="s">
        <v>217</v>
      </c>
      <c r="G93" s="146"/>
      <c r="H93" s="146" t="s">
        <v>218</v>
      </c>
      <c r="I93" s="146"/>
      <c r="J93" s="146">
        <v>4</v>
      </c>
      <c r="K93" s="146">
        <f>16*J93</f>
        <v>64</v>
      </c>
      <c r="L93" s="146">
        <f>32*J93</f>
        <v>128</v>
      </c>
      <c r="M93" s="146">
        <f>SUM(K93:L93)</f>
        <v>192</v>
      </c>
      <c r="N93" s="140" t="s">
        <v>300</v>
      </c>
      <c r="O93" s="140" t="s">
        <v>220</v>
      </c>
      <c r="P93" s="140" t="s">
        <v>221</v>
      </c>
      <c r="Q93" s="140" t="s">
        <v>222</v>
      </c>
      <c r="R93" s="5"/>
      <c r="S93" s="5"/>
      <c r="T93" s="113"/>
    </row>
    <row r="94" spans="1:20" s="98" customFormat="1" ht="72" customHeight="1" x14ac:dyDescent="0.5">
      <c r="A94" s="98" t="str">
        <f>_xlfn.XLOOKUP(B94,'Paso 3 Redacción RA'!I$3:I$15,'Paso 3 Redacción RA'!C$3:C$15,,0,1)</f>
        <v>SaberSer</v>
      </c>
      <c r="B94" s="79" t="s">
        <v>115</v>
      </c>
      <c r="C94" s="147"/>
      <c r="D94" s="147"/>
      <c r="E94" s="152"/>
      <c r="F94" s="147"/>
      <c r="G94" s="147"/>
      <c r="H94" s="147"/>
      <c r="I94" s="147"/>
      <c r="J94" s="147"/>
      <c r="K94" s="147"/>
      <c r="L94" s="147"/>
      <c r="M94" s="147"/>
      <c r="N94" s="141"/>
      <c r="O94" s="141"/>
      <c r="P94" s="141"/>
      <c r="Q94" s="141"/>
      <c r="R94" s="5"/>
      <c r="S94" s="5"/>
      <c r="T94" s="113"/>
    </row>
    <row r="95" spans="1:20" s="98" customFormat="1" ht="73.5" customHeight="1" x14ac:dyDescent="0.5">
      <c r="A95" s="98" t="str">
        <f>_xlfn.XLOOKUP(B95,'Paso 3 Redacción RA'!I$3:I$15,'Paso 3 Redacción RA'!C$3:C$15,,0,1)</f>
        <v>SaberHacer</v>
      </c>
      <c r="B95" s="79" t="s">
        <v>103</v>
      </c>
      <c r="C95" s="147"/>
      <c r="D95" s="147"/>
      <c r="E95" s="152"/>
      <c r="F95" s="147"/>
      <c r="G95" s="147"/>
      <c r="H95" s="147"/>
      <c r="I95" s="147"/>
      <c r="J95" s="147"/>
      <c r="K95" s="147"/>
      <c r="L95" s="147"/>
      <c r="M95" s="147"/>
      <c r="N95" s="141"/>
      <c r="O95" s="141"/>
      <c r="P95" s="141"/>
      <c r="Q95" s="141"/>
      <c r="R95" s="5"/>
      <c r="S95" s="5"/>
      <c r="T95" s="113"/>
    </row>
    <row r="96" spans="1:20" s="98" customFormat="1" ht="36.6" thickBot="1" x14ac:dyDescent="0.55000000000000004">
      <c r="A96" s="99" t="str">
        <f>_xlfn.XLOOKUP(B96,'Paso 3 Redacción RA'!I$3:I$15,'Paso 3 Redacción RA'!C$3:C$15,,0,1)</f>
        <v>Saber</v>
      </c>
      <c r="B96" s="95" t="s">
        <v>112</v>
      </c>
      <c r="C96" s="148"/>
      <c r="D96" s="148"/>
      <c r="E96" s="155"/>
      <c r="F96" s="148"/>
      <c r="G96" s="148"/>
      <c r="H96" s="148"/>
      <c r="I96" s="148"/>
      <c r="J96" s="148"/>
      <c r="K96" s="148"/>
      <c r="L96" s="148"/>
      <c r="M96" s="148"/>
      <c r="N96" s="142"/>
      <c r="O96" s="142"/>
      <c r="P96" s="142"/>
      <c r="Q96" s="142"/>
      <c r="R96" s="5"/>
      <c r="S96" s="5"/>
      <c r="T96" s="113"/>
    </row>
    <row r="97" spans="1:20" s="98" customFormat="1" ht="36" x14ac:dyDescent="0.5">
      <c r="A97" s="112" t="str">
        <f>_xlfn.XLOOKUP(B97,'Paso 3 Redacción RA'!I$3:I$15,'Paso 3 Redacción RA'!C$3:C$15,,0,1)</f>
        <v>Saber</v>
      </c>
      <c r="B97" s="100" t="s">
        <v>90</v>
      </c>
      <c r="C97" s="146">
        <v>5</v>
      </c>
      <c r="D97" s="146" t="s">
        <v>301</v>
      </c>
      <c r="E97" s="151" t="s">
        <v>302</v>
      </c>
      <c r="F97" s="146" t="s">
        <v>217</v>
      </c>
      <c r="G97" s="146"/>
      <c r="H97" s="146" t="s">
        <v>218</v>
      </c>
      <c r="I97" s="146"/>
      <c r="J97" s="146">
        <v>3</v>
      </c>
      <c r="K97" s="146">
        <f>16*J97</f>
        <v>48</v>
      </c>
      <c r="L97" s="146">
        <f>32*J97</f>
        <v>96</v>
      </c>
      <c r="M97" s="146">
        <f>SUM(K97:L97)</f>
        <v>144</v>
      </c>
      <c r="N97" s="140" t="s">
        <v>303</v>
      </c>
      <c r="O97" s="140" t="s">
        <v>253</v>
      </c>
      <c r="P97" s="140" t="s">
        <v>221</v>
      </c>
      <c r="Q97" s="140" t="s">
        <v>222</v>
      </c>
      <c r="R97" s="5">
        <f>SUM(J77:J101)</f>
        <v>17</v>
      </c>
      <c r="S97" s="5">
        <f>COUNTA(D77:D101)</f>
        <v>5</v>
      </c>
      <c r="T97" s="113"/>
    </row>
    <row r="98" spans="1:20" s="98" customFormat="1" ht="36" x14ac:dyDescent="0.5">
      <c r="A98" s="98" t="str">
        <f>_xlfn.XLOOKUP(B98,'Paso 3 Redacción RA'!I$3:I$15,'Paso 3 Redacción RA'!C$3:C$15,,0,1)</f>
        <v>SaberHacer</v>
      </c>
      <c r="B98" s="79" t="s">
        <v>94</v>
      </c>
      <c r="C98" s="147"/>
      <c r="D98" s="147"/>
      <c r="E98" s="152"/>
      <c r="F98" s="147"/>
      <c r="G98" s="147"/>
      <c r="H98" s="147"/>
      <c r="I98" s="147"/>
      <c r="J98" s="147"/>
      <c r="K98" s="147"/>
      <c r="L98" s="147"/>
      <c r="M98" s="147"/>
      <c r="N98" s="141"/>
      <c r="O98" s="141"/>
      <c r="P98" s="141"/>
      <c r="Q98" s="141"/>
      <c r="R98" s="5"/>
      <c r="S98" s="5"/>
      <c r="T98" s="113"/>
    </row>
    <row r="99" spans="1:20" s="98" customFormat="1" ht="36" x14ac:dyDescent="0.5">
      <c r="A99" s="98" t="str">
        <f>_xlfn.XLOOKUP(B99,'Paso 3 Redacción RA'!I$3:I$15,'Paso 3 Redacción RA'!C$3:C$15,,0,1)</f>
        <v>SaberSer</v>
      </c>
      <c r="B99" s="79" t="s">
        <v>115</v>
      </c>
      <c r="C99" s="147"/>
      <c r="D99" s="147"/>
      <c r="E99" s="152"/>
      <c r="F99" s="147"/>
      <c r="G99" s="147"/>
      <c r="H99" s="147"/>
      <c r="I99" s="147"/>
      <c r="J99" s="147"/>
      <c r="K99" s="147"/>
      <c r="L99" s="147"/>
      <c r="M99" s="147"/>
      <c r="N99" s="141"/>
      <c r="O99" s="141"/>
      <c r="P99" s="141"/>
      <c r="Q99" s="141"/>
      <c r="R99" s="5"/>
      <c r="S99" s="5"/>
      <c r="T99" s="113"/>
    </row>
    <row r="100" spans="1:20" s="98" customFormat="1" ht="36" x14ac:dyDescent="0.5">
      <c r="A100" s="98" t="str">
        <f>_xlfn.XLOOKUP(B100,'Paso 3 Redacción RA'!I$3:I$15,'Paso 3 Redacción RA'!C$3:C$15,,0,1)</f>
        <v>Saber</v>
      </c>
      <c r="B100" s="79" t="s">
        <v>100</v>
      </c>
      <c r="C100" s="147"/>
      <c r="D100" s="147"/>
      <c r="E100" s="152"/>
      <c r="F100" s="147"/>
      <c r="G100" s="147"/>
      <c r="H100" s="147"/>
      <c r="I100" s="147"/>
      <c r="J100" s="147"/>
      <c r="K100" s="147"/>
      <c r="L100" s="147"/>
      <c r="M100" s="147"/>
      <c r="N100" s="141"/>
      <c r="O100" s="141"/>
      <c r="P100" s="141"/>
      <c r="Q100" s="141"/>
      <c r="R100" s="5"/>
      <c r="S100" s="5"/>
      <c r="T100" s="113"/>
    </row>
    <row r="101" spans="1:20" s="98" customFormat="1" ht="67.5" customHeight="1" thickBot="1" x14ac:dyDescent="0.55000000000000004">
      <c r="A101" s="99" t="str">
        <f>_xlfn.XLOOKUP(B101,'Paso 3 Redacción RA'!I$3:I$15,'Paso 3 Redacción RA'!C$3:C$15,,0,1)</f>
        <v>SaberHacer</v>
      </c>
      <c r="B101" s="95" t="s">
        <v>103</v>
      </c>
      <c r="C101" s="148"/>
      <c r="D101" s="148"/>
      <c r="E101" s="155"/>
      <c r="F101" s="148"/>
      <c r="G101" s="147"/>
      <c r="H101" s="148"/>
      <c r="I101" s="147"/>
      <c r="J101" s="147"/>
      <c r="K101" s="147"/>
      <c r="L101" s="147"/>
      <c r="M101" s="147"/>
      <c r="N101" s="141"/>
      <c r="O101" s="142"/>
      <c r="P101" s="141"/>
      <c r="Q101" s="141"/>
      <c r="R101" s="5"/>
      <c r="S101" s="5"/>
      <c r="T101" s="113"/>
    </row>
    <row r="102" spans="1:20" s="98" customFormat="1" ht="36" x14ac:dyDescent="0.5">
      <c r="A102" s="112" t="str">
        <f>_xlfn.XLOOKUP(B102,'Paso 3 Redacción RA'!I$3:I$15,'Paso 3 Redacción RA'!C$3:C$15,,0,1)</f>
        <v>SaberHacer</v>
      </c>
      <c r="B102" s="100" t="s">
        <v>94</v>
      </c>
      <c r="C102" s="146">
        <v>6</v>
      </c>
      <c r="D102" s="146" t="s">
        <v>304</v>
      </c>
      <c r="E102" s="151" t="s">
        <v>305</v>
      </c>
      <c r="F102" s="146" t="s">
        <v>217</v>
      </c>
      <c r="G102" s="146"/>
      <c r="H102" s="146" t="s">
        <v>218</v>
      </c>
      <c r="I102" s="146"/>
      <c r="J102" s="146">
        <v>3</v>
      </c>
      <c r="K102" s="146">
        <f>16*J102</f>
        <v>48</v>
      </c>
      <c r="L102" s="146">
        <f>32*J102</f>
        <v>96</v>
      </c>
      <c r="M102" s="146">
        <f>SUM(K102:L102)</f>
        <v>144</v>
      </c>
      <c r="N102" s="140" t="s">
        <v>306</v>
      </c>
      <c r="O102" s="140" t="s">
        <v>253</v>
      </c>
      <c r="P102" s="140" t="s">
        <v>221</v>
      </c>
      <c r="Q102" s="140" t="s">
        <v>222</v>
      </c>
      <c r="R102" s="5"/>
      <c r="S102" s="5"/>
      <c r="T102" s="113"/>
    </row>
    <row r="103" spans="1:20" s="98" customFormat="1" ht="36" x14ac:dyDescent="0.5">
      <c r="A103" s="98" t="str">
        <f>_xlfn.XLOOKUP(B103,'Paso 3 Redacción RA'!I$3:I$15,'Paso 3 Redacción RA'!C$3:C$15,,0,1)</f>
        <v>SaberSer</v>
      </c>
      <c r="B103" s="79" t="s">
        <v>115</v>
      </c>
      <c r="C103" s="147"/>
      <c r="D103" s="147"/>
      <c r="E103" s="152"/>
      <c r="F103" s="147"/>
      <c r="G103" s="147"/>
      <c r="H103" s="147"/>
      <c r="I103" s="147"/>
      <c r="J103" s="147"/>
      <c r="K103" s="147"/>
      <c r="L103" s="147"/>
      <c r="M103" s="147"/>
      <c r="N103" s="141"/>
      <c r="O103" s="141"/>
      <c r="P103" s="141"/>
      <c r="Q103" s="141"/>
      <c r="R103" s="5"/>
      <c r="S103" s="5"/>
      <c r="T103" s="113"/>
    </row>
    <row r="104" spans="1:20" s="98" customFormat="1" ht="54" x14ac:dyDescent="0.5">
      <c r="A104" s="98" t="str">
        <f>_xlfn.XLOOKUP(B104,'Paso 3 Redacción RA'!I$3:I$15,'Paso 3 Redacción RA'!C$3:C$15,,0,1)</f>
        <v>SaberHacer</v>
      </c>
      <c r="B104" s="79" t="s">
        <v>103</v>
      </c>
      <c r="C104" s="147"/>
      <c r="D104" s="147"/>
      <c r="E104" s="152"/>
      <c r="F104" s="147"/>
      <c r="G104" s="147"/>
      <c r="H104" s="147"/>
      <c r="I104" s="147"/>
      <c r="J104" s="147"/>
      <c r="K104" s="147"/>
      <c r="L104" s="147"/>
      <c r="M104" s="147"/>
      <c r="N104" s="141"/>
      <c r="O104" s="141"/>
      <c r="P104" s="141"/>
      <c r="Q104" s="141"/>
      <c r="R104" s="5"/>
      <c r="S104" s="5"/>
      <c r="T104" s="113"/>
    </row>
    <row r="105" spans="1:20" s="98" customFormat="1" ht="36" x14ac:dyDescent="0.5">
      <c r="A105" s="98" t="str">
        <f>_xlfn.XLOOKUP(B105,'Paso 3 Redacción RA'!I$3:I$15,'Paso 3 Redacción RA'!C$3:C$15,,0,1)</f>
        <v>SaberSer</v>
      </c>
      <c r="B105" s="79" t="s">
        <v>105</v>
      </c>
      <c r="C105" s="147"/>
      <c r="D105" s="147"/>
      <c r="E105" s="152"/>
      <c r="F105" s="147"/>
      <c r="G105" s="147"/>
      <c r="H105" s="147"/>
      <c r="I105" s="147"/>
      <c r="J105" s="147"/>
      <c r="K105" s="147"/>
      <c r="L105" s="147"/>
      <c r="M105" s="147"/>
      <c r="N105" s="141"/>
      <c r="O105" s="141"/>
      <c r="P105" s="141"/>
      <c r="Q105" s="141"/>
      <c r="R105" s="5"/>
      <c r="S105" s="5"/>
      <c r="T105" s="113"/>
    </row>
    <row r="106" spans="1:20" s="98" customFormat="1" ht="36.6" thickBot="1" x14ac:dyDescent="0.55000000000000004">
      <c r="A106" s="99" t="str">
        <f>_xlfn.XLOOKUP(B106,'Paso 3 Redacción RA'!I$3:I$15,'Paso 3 Redacción RA'!C$3:C$15,,0,1)</f>
        <v>Saber</v>
      </c>
      <c r="B106" s="95" t="s">
        <v>112</v>
      </c>
      <c r="C106" s="148"/>
      <c r="D106" s="148"/>
      <c r="E106" s="155"/>
      <c r="F106" s="148"/>
      <c r="G106" s="148"/>
      <c r="H106" s="148"/>
      <c r="I106" s="148"/>
      <c r="J106" s="148"/>
      <c r="K106" s="148"/>
      <c r="L106" s="148"/>
      <c r="M106" s="148"/>
      <c r="N106" s="142"/>
      <c r="O106" s="142"/>
      <c r="P106" s="142"/>
      <c r="Q106" s="142"/>
      <c r="R106" s="5"/>
      <c r="S106" s="5"/>
      <c r="T106" s="113"/>
    </row>
    <row r="107" spans="1:20" s="98" customFormat="1" ht="36" x14ac:dyDescent="0.5">
      <c r="A107" s="112" t="str">
        <f>_xlfn.XLOOKUP(B107,'Paso 3 Redacción RA'!I$3:I$15,'Paso 3 Redacción RA'!C$3:C$15,,0,1)</f>
        <v>Saber</v>
      </c>
      <c r="B107" s="100" t="s">
        <v>90</v>
      </c>
      <c r="C107" s="146">
        <v>6</v>
      </c>
      <c r="D107" s="146" t="s">
        <v>307</v>
      </c>
      <c r="E107" s="151" t="s">
        <v>308</v>
      </c>
      <c r="F107" s="146" t="s">
        <v>217</v>
      </c>
      <c r="G107" s="146"/>
      <c r="H107" s="146" t="s">
        <v>218</v>
      </c>
      <c r="I107" s="146"/>
      <c r="J107" s="146">
        <v>4</v>
      </c>
      <c r="K107" s="146">
        <f>16*J107</f>
        <v>64</v>
      </c>
      <c r="L107" s="146">
        <f>32*J107</f>
        <v>128</v>
      </c>
      <c r="M107" s="146">
        <f>SUM(K107:L107)</f>
        <v>192</v>
      </c>
      <c r="N107" s="140" t="s">
        <v>309</v>
      </c>
      <c r="O107" s="140" t="s">
        <v>253</v>
      </c>
      <c r="P107" s="140" t="s">
        <v>221</v>
      </c>
      <c r="Q107" s="140" t="s">
        <v>222</v>
      </c>
      <c r="R107" s="5"/>
      <c r="S107" s="5"/>
      <c r="T107" s="113"/>
    </row>
    <row r="108" spans="1:20" s="98" customFormat="1" ht="36" x14ac:dyDescent="0.5">
      <c r="A108" s="98" t="str">
        <f>_xlfn.XLOOKUP(B108,'Paso 3 Redacción RA'!I$3:I$15,'Paso 3 Redacción RA'!C$3:C$15,,0,1)</f>
        <v>SaberHacer</v>
      </c>
      <c r="B108" s="79" t="s">
        <v>94</v>
      </c>
      <c r="C108" s="147"/>
      <c r="D108" s="147"/>
      <c r="E108" s="152"/>
      <c r="F108" s="147"/>
      <c r="G108" s="147"/>
      <c r="H108" s="147"/>
      <c r="I108" s="147"/>
      <c r="J108" s="147"/>
      <c r="K108" s="147"/>
      <c r="L108" s="147"/>
      <c r="M108" s="147"/>
      <c r="N108" s="141"/>
      <c r="O108" s="141"/>
      <c r="P108" s="141"/>
      <c r="Q108" s="141"/>
      <c r="R108" s="5"/>
      <c r="S108" s="5"/>
      <c r="T108" s="113"/>
    </row>
    <row r="109" spans="1:20" s="98" customFormat="1" ht="36" x14ac:dyDescent="0.5">
      <c r="A109" s="98" t="str">
        <f>_xlfn.XLOOKUP(B109,'Paso 3 Redacción RA'!I$3:I$15,'Paso 3 Redacción RA'!C$3:C$15,,0,1)</f>
        <v>SaberSer</v>
      </c>
      <c r="B109" s="79" t="s">
        <v>115</v>
      </c>
      <c r="C109" s="147"/>
      <c r="D109" s="147"/>
      <c r="E109" s="152"/>
      <c r="F109" s="147"/>
      <c r="G109" s="147"/>
      <c r="H109" s="147"/>
      <c r="I109" s="147"/>
      <c r="J109" s="147"/>
      <c r="K109" s="147"/>
      <c r="L109" s="147"/>
      <c r="M109" s="147"/>
      <c r="N109" s="141"/>
      <c r="O109" s="141"/>
      <c r="P109" s="141"/>
      <c r="Q109" s="141"/>
      <c r="R109" s="5"/>
      <c r="S109" s="5"/>
      <c r="T109" s="113"/>
    </row>
    <row r="110" spans="1:20" s="98" customFormat="1" ht="36" x14ac:dyDescent="0.5">
      <c r="A110" s="98" t="str">
        <f>_xlfn.XLOOKUP(B110,'Paso 3 Redacción RA'!I$3:I$15,'Paso 3 Redacción RA'!C$3:C$15,,0,1)</f>
        <v>Saber</v>
      </c>
      <c r="B110" s="79" t="s">
        <v>100</v>
      </c>
      <c r="C110" s="147"/>
      <c r="D110" s="147"/>
      <c r="E110" s="152"/>
      <c r="F110" s="147"/>
      <c r="G110" s="147"/>
      <c r="H110" s="147"/>
      <c r="I110" s="147"/>
      <c r="J110" s="147"/>
      <c r="K110" s="147"/>
      <c r="L110" s="147"/>
      <c r="M110" s="147"/>
      <c r="N110" s="141"/>
      <c r="O110" s="141"/>
      <c r="P110" s="141"/>
      <c r="Q110" s="141"/>
      <c r="R110" s="5"/>
      <c r="S110" s="5"/>
      <c r="T110" s="113"/>
    </row>
    <row r="111" spans="1:20" s="98" customFormat="1" ht="54" x14ac:dyDescent="0.5">
      <c r="A111" s="98" t="str">
        <f>_xlfn.XLOOKUP(B111,'Paso 3 Redacción RA'!I$3:I$15,'Paso 3 Redacción RA'!C$3:C$15,,0,1)</f>
        <v>SaberHacer</v>
      </c>
      <c r="B111" s="79" t="s">
        <v>103</v>
      </c>
      <c r="C111" s="147"/>
      <c r="D111" s="147"/>
      <c r="E111" s="152"/>
      <c r="F111" s="147"/>
      <c r="G111" s="147"/>
      <c r="H111" s="147"/>
      <c r="I111" s="147"/>
      <c r="J111" s="147"/>
      <c r="K111" s="147"/>
      <c r="L111" s="147"/>
      <c r="M111" s="147"/>
      <c r="N111" s="141"/>
      <c r="O111" s="141"/>
      <c r="P111" s="141"/>
      <c r="Q111" s="141"/>
      <c r="R111" s="5"/>
      <c r="S111" s="5"/>
      <c r="T111" s="113"/>
    </row>
    <row r="112" spans="1:20" s="98" customFormat="1" ht="36" x14ac:dyDescent="0.5">
      <c r="A112" s="98" t="str">
        <f>_xlfn.XLOOKUP(B112,'Paso 3 Redacción RA'!I$3:I$15,'Paso 3 Redacción RA'!C$3:C$15,,0,1)</f>
        <v>SaberSer</v>
      </c>
      <c r="B112" s="79" t="s">
        <v>105</v>
      </c>
      <c r="C112" s="147"/>
      <c r="D112" s="147"/>
      <c r="E112" s="152"/>
      <c r="F112" s="147"/>
      <c r="G112" s="147"/>
      <c r="H112" s="147"/>
      <c r="I112" s="147"/>
      <c r="J112" s="147"/>
      <c r="K112" s="147"/>
      <c r="L112" s="147"/>
      <c r="M112" s="147"/>
      <c r="N112" s="141"/>
      <c r="O112" s="141"/>
      <c r="P112" s="141"/>
      <c r="Q112" s="141"/>
      <c r="R112" s="5"/>
      <c r="S112" s="5"/>
      <c r="T112" s="113"/>
    </row>
    <row r="113" spans="1:20" s="98" customFormat="1" ht="36" x14ac:dyDescent="0.5">
      <c r="A113" s="98" t="str">
        <f>_xlfn.XLOOKUP(B113,'Paso 3 Redacción RA'!I$3:I$15,'Paso 3 Redacción RA'!C$3:C$15,,0,1)</f>
        <v>SaberHacer</v>
      </c>
      <c r="B113" s="79" t="s">
        <v>111</v>
      </c>
      <c r="C113" s="147"/>
      <c r="D113" s="147"/>
      <c r="E113" s="152"/>
      <c r="F113" s="147"/>
      <c r="G113" s="147"/>
      <c r="H113" s="147"/>
      <c r="I113" s="147"/>
      <c r="J113" s="147"/>
      <c r="K113" s="147"/>
      <c r="L113" s="147"/>
      <c r="M113" s="147"/>
      <c r="N113" s="141"/>
      <c r="O113" s="141"/>
      <c r="P113" s="141"/>
      <c r="Q113" s="141"/>
      <c r="R113" s="5"/>
      <c r="S113" s="5"/>
      <c r="T113" s="113"/>
    </row>
    <row r="114" spans="1:20" s="98" customFormat="1" ht="36.6" thickBot="1" x14ac:dyDescent="0.55000000000000004">
      <c r="A114" s="99" t="str">
        <f>_xlfn.XLOOKUP(B114,'Paso 3 Redacción RA'!I$3:I$15,'Paso 3 Redacción RA'!C$3:C$15,,0,1)</f>
        <v>Saber</v>
      </c>
      <c r="B114" s="95" t="s">
        <v>112</v>
      </c>
      <c r="C114" s="148"/>
      <c r="D114" s="148"/>
      <c r="E114" s="155"/>
      <c r="F114" s="148"/>
      <c r="G114" s="148"/>
      <c r="H114" s="148"/>
      <c r="I114" s="148"/>
      <c r="J114" s="148"/>
      <c r="K114" s="148"/>
      <c r="L114" s="148"/>
      <c r="M114" s="148"/>
      <c r="N114" s="142"/>
      <c r="O114" s="142"/>
      <c r="P114" s="142"/>
      <c r="Q114" s="142"/>
      <c r="R114" s="5"/>
      <c r="S114" s="5"/>
      <c r="T114" s="113"/>
    </row>
    <row r="115" spans="1:20" s="98" customFormat="1" ht="52.5" customHeight="1" x14ac:dyDescent="0.5">
      <c r="A115" s="112" t="str">
        <f>_xlfn.XLOOKUP(B115,'Paso 3 Redacción RA'!I$3:I$15,'Paso 3 Redacción RA'!C$3:C$15,,0,1)</f>
        <v>SaberSer</v>
      </c>
      <c r="B115" s="100" t="s">
        <v>115</v>
      </c>
      <c r="C115" s="146">
        <v>6</v>
      </c>
      <c r="D115" s="146" t="s">
        <v>310</v>
      </c>
      <c r="E115" s="151" t="s">
        <v>311</v>
      </c>
      <c r="F115" s="146" t="s">
        <v>217</v>
      </c>
      <c r="G115" s="146"/>
      <c r="H115" s="146" t="s">
        <v>218</v>
      </c>
      <c r="I115" s="146"/>
      <c r="J115" s="146">
        <v>3</v>
      </c>
      <c r="K115" s="146">
        <f>16*J115</f>
        <v>48</v>
      </c>
      <c r="L115" s="146">
        <f>32*J115</f>
        <v>96</v>
      </c>
      <c r="M115" s="146">
        <f>SUM(K115:L115)</f>
        <v>144</v>
      </c>
      <c r="N115" s="140" t="s">
        <v>312</v>
      </c>
      <c r="O115" s="140" t="s">
        <v>253</v>
      </c>
      <c r="P115" s="140" t="s">
        <v>221</v>
      </c>
      <c r="Q115" s="140" t="s">
        <v>222</v>
      </c>
      <c r="R115" s="5"/>
      <c r="S115" s="5"/>
      <c r="T115" s="113"/>
    </row>
    <row r="116" spans="1:20" s="98" customFormat="1" ht="55.5" customHeight="1" x14ac:dyDescent="0.5">
      <c r="A116" s="98" t="str">
        <f>_xlfn.XLOOKUP(B116,'Paso 3 Redacción RA'!I$3:I$15,'Paso 3 Redacción RA'!C$3:C$15,,0,1)</f>
        <v>SaberSer</v>
      </c>
      <c r="B116" s="79" t="s">
        <v>105</v>
      </c>
      <c r="C116" s="147"/>
      <c r="D116" s="147"/>
      <c r="E116" s="152"/>
      <c r="F116" s="147"/>
      <c r="G116" s="147"/>
      <c r="H116" s="147"/>
      <c r="I116" s="147"/>
      <c r="J116" s="147"/>
      <c r="K116" s="147"/>
      <c r="L116" s="147"/>
      <c r="M116" s="147"/>
      <c r="N116" s="141"/>
      <c r="O116" s="141"/>
      <c r="P116" s="141"/>
      <c r="Q116" s="141"/>
      <c r="R116" s="5"/>
      <c r="S116" s="5"/>
      <c r="T116" s="113"/>
    </row>
    <row r="117" spans="1:20" s="98" customFormat="1" ht="65.25" customHeight="1" x14ac:dyDescent="0.5">
      <c r="A117" s="98" t="str">
        <f>_xlfn.XLOOKUP(B117,'Paso 3 Redacción RA'!I$3:I$15,'Paso 3 Redacción RA'!C$3:C$15,,0,1)</f>
        <v>Saber</v>
      </c>
      <c r="B117" s="79" t="s">
        <v>108</v>
      </c>
      <c r="C117" s="147"/>
      <c r="D117" s="147"/>
      <c r="E117" s="152"/>
      <c r="F117" s="147"/>
      <c r="G117" s="147"/>
      <c r="H117" s="147"/>
      <c r="I117" s="147"/>
      <c r="J117" s="147"/>
      <c r="K117" s="147"/>
      <c r="L117" s="147"/>
      <c r="M117" s="147"/>
      <c r="N117" s="141"/>
      <c r="O117" s="141"/>
      <c r="P117" s="141"/>
      <c r="Q117" s="141"/>
      <c r="R117" s="5"/>
      <c r="S117" s="5"/>
      <c r="T117" s="113"/>
    </row>
    <row r="118" spans="1:20" s="98" customFormat="1" ht="62.25" customHeight="1" thickBot="1" x14ac:dyDescent="0.55000000000000004">
      <c r="A118" s="99" t="str">
        <f>_xlfn.XLOOKUP(B118,'Paso 3 Redacción RA'!I$3:I$15,'Paso 3 Redacción RA'!C$3:C$15,,0,1)</f>
        <v>SaberHacer</v>
      </c>
      <c r="B118" s="95" t="s">
        <v>111</v>
      </c>
      <c r="C118" s="148"/>
      <c r="D118" s="148"/>
      <c r="E118" s="155"/>
      <c r="F118" s="148"/>
      <c r="G118" s="148"/>
      <c r="H118" s="148"/>
      <c r="I118" s="148"/>
      <c r="J118" s="148"/>
      <c r="K118" s="148"/>
      <c r="L118" s="148"/>
      <c r="M118" s="148"/>
      <c r="N118" s="142"/>
      <c r="O118" s="142"/>
      <c r="P118" s="142"/>
      <c r="Q118" s="142"/>
      <c r="R118" s="5"/>
      <c r="S118" s="5"/>
      <c r="T118" s="113"/>
    </row>
    <row r="119" spans="1:20" s="98" customFormat="1" ht="75" customHeight="1" x14ac:dyDescent="0.5">
      <c r="A119" s="112" t="str">
        <f>_xlfn.XLOOKUP(B119,'Paso 3 Redacción RA'!I$3:I$15,'Paso 3 Redacción RA'!C$3:C$15,,0,1)</f>
        <v>SaberSer</v>
      </c>
      <c r="B119" s="100" t="s">
        <v>115</v>
      </c>
      <c r="C119" s="146">
        <v>6</v>
      </c>
      <c r="D119" s="146" t="s">
        <v>313</v>
      </c>
      <c r="E119" s="151" t="s">
        <v>314</v>
      </c>
      <c r="F119" s="146" t="s">
        <v>217</v>
      </c>
      <c r="G119" s="146"/>
      <c r="H119" s="146" t="s">
        <v>218</v>
      </c>
      <c r="I119" s="146"/>
      <c r="J119" s="146">
        <v>2</v>
      </c>
      <c r="K119" s="146">
        <f>16*J119</f>
        <v>32</v>
      </c>
      <c r="L119" s="146">
        <f>32*J119</f>
        <v>64</v>
      </c>
      <c r="M119" s="146">
        <f>SUM(K119:L119)</f>
        <v>96</v>
      </c>
      <c r="N119" s="140" t="s">
        <v>315</v>
      </c>
      <c r="O119" s="140" t="s">
        <v>253</v>
      </c>
      <c r="P119" s="140" t="s">
        <v>221</v>
      </c>
      <c r="Q119" s="140" t="s">
        <v>222</v>
      </c>
      <c r="R119" s="5"/>
      <c r="S119" s="5"/>
      <c r="T119" s="113"/>
    </row>
    <row r="120" spans="1:20" s="98" customFormat="1" ht="48.75" customHeight="1" x14ac:dyDescent="0.5">
      <c r="A120" s="98" t="str">
        <f>_xlfn.XLOOKUP(B120,'Paso 3 Redacción RA'!I$3:I$15,'Paso 3 Redacción RA'!C$3:C$15,,0,1)</f>
        <v>SaberHacer</v>
      </c>
      <c r="B120" s="79" t="s">
        <v>103</v>
      </c>
      <c r="C120" s="147"/>
      <c r="D120" s="147"/>
      <c r="E120" s="152"/>
      <c r="F120" s="147"/>
      <c r="G120" s="147"/>
      <c r="H120" s="147"/>
      <c r="I120" s="147"/>
      <c r="J120" s="147"/>
      <c r="K120" s="147"/>
      <c r="L120" s="147"/>
      <c r="M120" s="147"/>
      <c r="N120" s="141"/>
      <c r="O120" s="141"/>
      <c r="P120" s="141"/>
      <c r="Q120" s="141"/>
      <c r="R120" s="5"/>
      <c r="S120" s="5"/>
      <c r="T120" s="113"/>
    </row>
    <row r="121" spans="1:20" s="98" customFormat="1" ht="65.25" customHeight="1" x14ac:dyDescent="0.5">
      <c r="A121" s="98" t="str">
        <f>_xlfn.XLOOKUP(B121,'Paso 3 Redacción RA'!I$3:I$15,'Paso 3 Redacción RA'!C$3:C$15,,0,1)</f>
        <v>SaberSer</v>
      </c>
      <c r="B121" s="79" t="s">
        <v>105</v>
      </c>
      <c r="C121" s="147"/>
      <c r="D121" s="147"/>
      <c r="E121" s="152"/>
      <c r="F121" s="147"/>
      <c r="G121" s="147"/>
      <c r="H121" s="147"/>
      <c r="I121" s="147"/>
      <c r="J121" s="147"/>
      <c r="K121" s="147"/>
      <c r="L121" s="147"/>
      <c r="M121" s="147"/>
      <c r="N121" s="141"/>
      <c r="O121" s="141"/>
      <c r="P121" s="141"/>
      <c r="Q121" s="141"/>
      <c r="R121" s="5"/>
      <c r="S121" s="5"/>
      <c r="T121" s="113"/>
    </row>
    <row r="122" spans="1:20" s="98" customFormat="1" ht="69" customHeight="1" thickBot="1" x14ac:dyDescent="0.55000000000000004">
      <c r="A122" s="99" t="str">
        <f>_xlfn.XLOOKUP(B122,'Paso 3 Redacción RA'!I$3:I$15,'Paso 3 Redacción RA'!C$3:C$15,,0,1)</f>
        <v>Saber</v>
      </c>
      <c r="B122" s="95" t="s">
        <v>108</v>
      </c>
      <c r="C122" s="148"/>
      <c r="D122" s="148"/>
      <c r="E122" s="155"/>
      <c r="F122" s="148"/>
      <c r="G122" s="148"/>
      <c r="H122" s="148"/>
      <c r="I122" s="148"/>
      <c r="J122" s="148"/>
      <c r="K122" s="148"/>
      <c r="L122" s="148"/>
      <c r="M122" s="148"/>
      <c r="N122" s="142"/>
      <c r="O122" s="142"/>
      <c r="P122" s="142"/>
      <c r="Q122" s="142"/>
      <c r="R122" s="5"/>
      <c r="S122" s="5"/>
      <c r="T122" s="113"/>
    </row>
    <row r="123" spans="1:20" s="98" customFormat="1" ht="71.25" customHeight="1" x14ac:dyDescent="0.5">
      <c r="A123" s="98" t="str">
        <f>_xlfn.XLOOKUP(B123,'Paso 3 Redacción RA'!I$3:I$15,'Paso 3 Redacción RA'!C$3:C$15,,0,1)</f>
        <v>Saber</v>
      </c>
      <c r="B123" s="79" t="s">
        <v>90</v>
      </c>
      <c r="C123" s="146">
        <v>6</v>
      </c>
      <c r="D123" s="146" t="s">
        <v>316</v>
      </c>
      <c r="E123" s="151" t="s">
        <v>317</v>
      </c>
      <c r="F123" s="146" t="s">
        <v>217</v>
      </c>
      <c r="G123" s="146"/>
      <c r="H123" s="146" t="s">
        <v>218</v>
      </c>
      <c r="I123" s="146"/>
      <c r="J123" s="146">
        <v>3</v>
      </c>
      <c r="K123" s="146">
        <f>16*J123</f>
        <v>48</v>
      </c>
      <c r="L123" s="146">
        <f>32*J123</f>
        <v>96</v>
      </c>
      <c r="M123" s="146">
        <f>SUM(K123:L123)</f>
        <v>144</v>
      </c>
      <c r="N123" s="140" t="s">
        <v>318</v>
      </c>
      <c r="O123" s="140" t="s">
        <v>253</v>
      </c>
      <c r="P123" s="140" t="s">
        <v>221</v>
      </c>
      <c r="Q123" s="140" t="s">
        <v>222</v>
      </c>
      <c r="R123" s="5"/>
      <c r="S123" s="5"/>
      <c r="T123" s="113"/>
    </row>
    <row r="124" spans="1:20" s="98" customFormat="1" ht="69" customHeight="1" x14ac:dyDescent="0.5">
      <c r="A124" s="98" t="str">
        <f>_xlfn.XLOOKUP(B124,'Paso 3 Redacción RA'!I$3:I$15,'Paso 3 Redacción RA'!C$3:C$15,,0,1)</f>
        <v>SaberSer</v>
      </c>
      <c r="B124" s="79" t="s">
        <v>115</v>
      </c>
      <c r="C124" s="147"/>
      <c r="D124" s="147"/>
      <c r="E124" s="152"/>
      <c r="F124" s="147"/>
      <c r="G124" s="147"/>
      <c r="H124" s="147"/>
      <c r="I124" s="147"/>
      <c r="J124" s="147"/>
      <c r="K124" s="147"/>
      <c r="L124" s="147"/>
      <c r="M124" s="147"/>
      <c r="N124" s="141"/>
      <c r="O124" s="141"/>
      <c r="P124" s="141"/>
      <c r="Q124" s="141"/>
      <c r="R124" s="5"/>
      <c r="S124" s="5"/>
      <c r="T124" s="113"/>
    </row>
    <row r="125" spans="1:20" s="98" customFormat="1" ht="70.5" customHeight="1" x14ac:dyDescent="0.5">
      <c r="A125" s="98" t="str">
        <f>_xlfn.XLOOKUP(B125,'Paso 3 Redacción RA'!I$3:I$15,'Paso 3 Redacción RA'!C$3:C$15,,0,1)</f>
        <v>Saber</v>
      </c>
      <c r="B125" s="79" t="s">
        <v>100</v>
      </c>
      <c r="C125" s="147"/>
      <c r="D125" s="147"/>
      <c r="E125" s="152"/>
      <c r="F125" s="147"/>
      <c r="G125" s="147"/>
      <c r="H125" s="147"/>
      <c r="I125" s="147"/>
      <c r="J125" s="147"/>
      <c r="K125" s="147"/>
      <c r="L125" s="147"/>
      <c r="M125" s="147"/>
      <c r="N125" s="141"/>
      <c r="O125" s="141"/>
      <c r="P125" s="141"/>
      <c r="Q125" s="141"/>
      <c r="R125" s="5"/>
      <c r="S125" s="5"/>
      <c r="T125" s="113"/>
    </row>
    <row r="126" spans="1:20" s="98" customFormat="1" ht="71.25" customHeight="1" thickBot="1" x14ac:dyDescent="0.55000000000000004">
      <c r="A126" s="99" t="str">
        <f>_xlfn.XLOOKUP(B126,'Paso 3 Redacción RA'!I$3:I$15,'Paso 3 Redacción RA'!C$3:C$15,,0,1)</f>
        <v>Saber</v>
      </c>
      <c r="B126" s="95" t="s">
        <v>108</v>
      </c>
      <c r="C126" s="148"/>
      <c r="D126" s="148"/>
      <c r="E126" s="155"/>
      <c r="F126" s="148"/>
      <c r="G126" s="148"/>
      <c r="H126" s="148"/>
      <c r="I126" s="148"/>
      <c r="J126" s="148"/>
      <c r="K126" s="148"/>
      <c r="L126" s="148"/>
      <c r="M126" s="148"/>
      <c r="N126" s="142"/>
      <c r="O126" s="142"/>
      <c r="P126" s="142"/>
      <c r="Q126" s="142"/>
      <c r="R126" s="5">
        <f>SUM(J102:J123)</f>
        <v>15</v>
      </c>
      <c r="S126" s="5">
        <f>COUNTA(D102:D126)</f>
        <v>5</v>
      </c>
      <c r="T126" s="113"/>
    </row>
    <row r="127" spans="1:20" s="98" customFormat="1" ht="57" customHeight="1" x14ac:dyDescent="0.5">
      <c r="A127" s="112" t="str">
        <f>_xlfn.XLOOKUP(B127,'Paso 3 Redacción RA'!I$3:I$15,'Paso 3 Redacción RA'!C$3:C$15,,0,1)</f>
        <v>Saber</v>
      </c>
      <c r="B127" s="100" t="s">
        <v>90</v>
      </c>
      <c r="C127" s="146">
        <v>7</v>
      </c>
      <c r="D127" s="146" t="s">
        <v>319</v>
      </c>
      <c r="E127" s="151" t="s">
        <v>320</v>
      </c>
      <c r="F127" s="146" t="s">
        <v>217</v>
      </c>
      <c r="G127" s="146"/>
      <c r="H127" s="146" t="s">
        <v>218</v>
      </c>
      <c r="I127" s="146"/>
      <c r="J127" s="146">
        <v>6</v>
      </c>
      <c r="K127" s="146">
        <f>16*J127</f>
        <v>96</v>
      </c>
      <c r="L127" s="146">
        <f>32*J127</f>
        <v>192</v>
      </c>
      <c r="M127" s="146">
        <f>SUM(K127:L127)</f>
        <v>288</v>
      </c>
      <c r="N127" s="140" t="s">
        <v>321</v>
      </c>
      <c r="O127" s="161" t="s">
        <v>322</v>
      </c>
      <c r="P127" s="161" t="s">
        <v>221</v>
      </c>
      <c r="Q127" s="140" t="s">
        <v>222</v>
      </c>
      <c r="R127" s="5"/>
      <c r="S127" s="5"/>
      <c r="T127" s="113"/>
    </row>
    <row r="128" spans="1:20" s="98" customFormat="1" ht="70.5" customHeight="1" x14ac:dyDescent="0.5">
      <c r="A128" s="98" t="str">
        <f>_xlfn.XLOOKUP(B128,'Paso 3 Redacción RA'!I$3:I$15,'Paso 3 Redacción RA'!C$3:C$15,,0,1)</f>
        <v>SaberHacer</v>
      </c>
      <c r="B128" s="79" t="s">
        <v>94</v>
      </c>
      <c r="C128" s="147"/>
      <c r="D128" s="147"/>
      <c r="E128" s="152"/>
      <c r="F128" s="147"/>
      <c r="G128" s="147"/>
      <c r="H128" s="147"/>
      <c r="I128" s="147"/>
      <c r="J128" s="147"/>
      <c r="K128" s="147"/>
      <c r="L128" s="147"/>
      <c r="M128" s="147"/>
      <c r="N128" s="141"/>
      <c r="O128" s="162"/>
      <c r="P128" s="164"/>
      <c r="Q128" s="141"/>
      <c r="R128" s="5"/>
      <c r="S128" s="5"/>
      <c r="T128" s="113"/>
    </row>
    <row r="129" spans="1:20" s="98" customFormat="1" ht="69.75" customHeight="1" x14ac:dyDescent="0.5">
      <c r="A129" s="98" t="str">
        <f>_xlfn.XLOOKUP(B129,'Paso 3 Redacción RA'!I$3:I$15,'Paso 3 Redacción RA'!C$3:C$15,,0,1)</f>
        <v>SaberHacer</v>
      </c>
      <c r="B129" s="79" t="s">
        <v>103</v>
      </c>
      <c r="C129" s="147"/>
      <c r="D129" s="147"/>
      <c r="E129" s="152"/>
      <c r="F129" s="147"/>
      <c r="G129" s="147"/>
      <c r="H129" s="147"/>
      <c r="I129" s="147"/>
      <c r="J129" s="147"/>
      <c r="K129" s="147"/>
      <c r="L129" s="147"/>
      <c r="M129" s="147"/>
      <c r="N129" s="141"/>
      <c r="O129" s="162"/>
      <c r="P129" s="164"/>
      <c r="Q129" s="141"/>
      <c r="R129" s="5"/>
      <c r="S129" s="5"/>
      <c r="T129" s="113"/>
    </row>
    <row r="130" spans="1:20" s="98" customFormat="1" ht="53.25" customHeight="1" thickBot="1" x14ac:dyDescent="0.55000000000000004">
      <c r="A130" s="99" t="str">
        <f>_xlfn.XLOOKUP(B130,'Paso 3 Redacción RA'!I$3:I$15,'Paso 3 Redacción RA'!C$3:C$15,,0,1)</f>
        <v>Saber</v>
      </c>
      <c r="B130" s="95" t="s">
        <v>112</v>
      </c>
      <c r="C130" s="148"/>
      <c r="D130" s="148"/>
      <c r="E130" s="155"/>
      <c r="F130" s="148"/>
      <c r="G130" s="148"/>
      <c r="H130" s="148"/>
      <c r="I130" s="148"/>
      <c r="J130" s="148"/>
      <c r="K130" s="148"/>
      <c r="L130" s="148"/>
      <c r="M130" s="148"/>
      <c r="N130" s="142"/>
      <c r="O130" s="163"/>
      <c r="P130" s="165"/>
      <c r="Q130" s="142"/>
      <c r="S130" s="5"/>
      <c r="T130" s="113"/>
    </row>
    <row r="131" spans="1:20" s="98" customFormat="1" ht="36" x14ac:dyDescent="0.5">
      <c r="A131" s="112" t="str">
        <f>_xlfn.XLOOKUP(B131,'Paso 3 Redacción RA'!I$3:I$15,'Paso 3 Redacción RA'!C$3:C$15,,0,1)</f>
        <v>SaberHacer</v>
      </c>
      <c r="B131" s="100" t="s">
        <v>94</v>
      </c>
      <c r="C131" s="146">
        <v>7</v>
      </c>
      <c r="D131" s="146" t="s">
        <v>323</v>
      </c>
      <c r="E131" s="151" t="s">
        <v>324</v>
      </c>
      <c r="F131" s="146" t="s">
        <v>217</v>
      </c>
      <c r="G131" s="146"/>
      <c r="H131" s="146" t="s">
        <v>218</v>
      </c>
      <c r="I131" s="146"/>
      <c r="J131" s="146">
        <v>3</v>
      </c>
      <c r="K131" s="146">
        <f>16*J131</f>
        <v>48</v>
      </c>
      <c r="L131" s="146">
        <f>32*J131</f>
        <v>96</v>
      </c>
      <c r="M131" s="146">
        <f>SUM(K131:L131)</f>
        <v>144</v>
      </c>
      <c r="N131" s="140" t="s">
        <v>325</v>
      </c>
      <c r="O131" s="140" t="s">
        <v>253</v>
      </c>
      <c r="P131" s="140" t="s">
        <v>221</v>
      </c>
      <c r="Q131" s="140" t="s">
        <v>222</v>
      </c>
      <c r="R131" s="5"/>
      <c r="S131" s="5"/>
      <c r="T131" s="113"/>
    </row>
    <row r="132" spans="1:20" s="98" customFormat="1" ht="36" x14ac:dyDescent="0.5">
      <c r="A132" s="98" t="str">
        <f>_xlfn.XLOOKUP(B132,'Paso 3 Redacción RA'!I$3:I$15,'Paso 3 Redacción RA'!C$3:C$15,,0,1)</f>
        <v>SaberSer</v>
      </c>
      <c r="B132" s="79" t="s">
        <v>115</v>
      </c>
      <c r="C132" s="147"/>
      <c r="D132" s="147"/>
      <c r="E132" s="152"/>
      <c r="F132" s="147"/>
      <c r="G132" s="147"/>
      <c r="H132" s="147"/>
      <c r="I132" s="147"/>
      <c r="J132" s="147"/>
      <c r="K132" s="147"/>
      <c r="L132" s="147"/>
      <c r="M132" s="147"/>
      <c r="N132" s="141"/>
      <c r="O132" s="141"/>
      <c r="P132" s="141"/>
      <c r="Q132" s="141"/>
      <c r="R132" s="5"/>
      <c r="S132" s="5"/>
      <c r="T132" s="113"/>
    </row>
    <row r="133" spans="1:20" s="98" customFormat="1" ht="54" x14ac:dyDescent="0.5">
      <c r="A133" s="98" t="str">
        <f>_xlfn.XLOOKUP(B133,'Paso 3 Redacción RA'!I$3:I$15,'Paso 3 Redacción RA'!C$3:C$15,,0,1)</f>
        <v>SaberHacer</v>
      </c>
      <c r="B133" s="79" t="s">
        <v>103</v>
      </c>
      <c r="C133" s="147"/>
      <c r="D133" s="147"/>
      <c r="E133" s="152"/>
      <c r="F133" s="147"/>
      <c r="G133" s="147"/>
      <c r="H133" s="147"/>
      <c r="I133" s="147"/>
      <c r="J133" s="147"/>
      <c r="K133" s="147"/>
      <c r="L133" s="147"/>
      <c r="M133" s="147"/>
      <c r="N133" s="141"/>
      <c r="O133" s="141"/>
      <c r="P133" s="141"/>
      <c r="Q133" s="141"/>
      <c r="R133" s="5"/>
      <c r="S133" s="5"/>
      <c r="T133" s="113"/>
    </row>
    <row r="134" spans="1:20" s="98" customFormat="1" ht="36" x14ac:dyDescent="0.5">
      <c r="A134" s="98" t="str">
        <f>_xlfn.XLOOKUP(B134,'Paso 3 Redacción RA'!I$3:I$15,'Paso 3 Redacción RA'!C$3:C$15,,0,1)</f>
        <v>SaberSer</v>
      </c>
      <c r="B134" s="79" t="s">
        <v>105</v>
      </c>
      <c r="C134" s="147"/>
      <c r="D134" s="147"/>
      <c r="E134" s="152"/>
      <c r="F134" s="147"/>
      <c r="G134" s="147"/>
      <c r="H134" s="147"/>
      <c r="I134" s="147"/>
      <c r="J134" s="147"/>
      <c r="K134" s="147"/>
      <c r="L134" s="147"/>
      <c r="M134" s="147"/>
      <c r="N134" s="141"/>
      <c r="O134" s="141"/>
      <c r="P134" s="141"/>
      <c r="Q134" s="141"/>
      <c r="R134" s="5"/>
      <c r="S134" s="5"/>
      <c r="T134" s="113"/>
    </row>
    <row r="135" spans="1:20" s="98" customFormat="1" ht="36.6" thickBot="1" x14ac:dyDescent="0.55000000000000004">
      <c r="A135" s="99" t="str">
        <f>_xlfn.XLOOKUP(B135,'Paso 3 Redacción RA'!I$3:I$15,'Paso 3 Redacción RA'!C$3:C$15,,0,1)</f>
        <v>Saber</v>
      </c>
      <c r="B135" s="95" t="s">
        <v>112</v>
      </c>
      <c r="C135" s="148"/>
      <c r="D135" s="148"/>
      <c r="E135" s="155"/>
      <c r="F135" s="148"/>
      <c r="G135" s="148"/>
      <c r="H135" s="148"/>
      <c r="I135" s="148"/>
      <c r="J135" s="148"/>
      <c r="K135" s="148"/>
      <c r="L135" s="148"/>
      <c r="M135" s="148"/>
      <c r="N135" s="142"/>
      <c r="O135" s="142"/>
      <c r="P135" s="142"/>
      <c r="Q135" s="142"/>
      <c r="R135" s="5"/>
      <c r="S135" s="5"/>
      <c r="T135" s="113"/>
    </row>
    <row r="136" spans="1:20" s="98" customFormat="1" ht="34.5" customHeight="1" x14ac:dyDescent="0.5">
      <c r="A136" s="112" t="str">
        <f>_xlfn.XLOOKUP(B136,'Paso 3 Redacción RA'!I$3:I$15,'Paso 3 Redacción RA'!C$3:C$15,,0,1)</f>
        <v>Saber</v>
      </c>
      <c r="B136" s="100" t="s">
        <v>90</v>
      </c>
      <c r="C136" s="146">
        <v>7</v>
      </c>
      <c r="D136" s="146" t="s">
        <v>326</v>
      </c>
      <c r="E136" s="151" t="s">
        <v>327</v>
      </c>
      <c r="F136" s="147" t="s">
        <v>217</v>
      </c>
      <c r="G136" s="146"/>
      <c r="H136" s="146" t="s">
        <v>218</v>
      </c>
      <c r="I136" s="146"/>
      <c r="J136" s="146">
        <v>3</v>
      </c>
      <c r="K136" s="146">
        <f>16*J136</f>
        <v>48</v>
      </c>
      <c r="L136" s="146">
        <f>32*J136</f>
        <v>96</v>
      </c>
      <c r="M136" s="146">
        <f>SUM(K136:L136)</f>
        <v>144</v>
      </c>
      <c r="N136" s="141" t="s">
        <v>328</v>
      </c>
      <c r="O136" s="140" t="s">
        <v>253</v>
      </c>
      <c r="P136" s="140" t="s">
        <v>221</v>
      </c>
      <c r="Q136" s="140" t="s">
        <v>222</v>
      </c>
      <c r="R136" s="5"/>
      <c r="S136" s="5"/>
      <c r="T136" s="113"/>
    </row>
    <row r="137" spans="1:20" s="98" customFormat="1" ht="36" x14ac:dyDescent="0.5">
      <c r="A137" s="98" t="str">
        <f>_xlfn.XLOOKUP(B137,'Paso 3 Redacción RA'!I$3:I$15,'Paso 3 Redacción RA'!C$3:C$15,,0,1)</f>
        <v>SaberSer</v>
      </c>
      <c r="B137" s="79" t="s">
        <v>115</v>
      </c>
      <c r="C137" s="147"/>
      <c r="D137" s="147"/>
      <c r="E137" s="152"/>
      <c r="F137" s="147"/>
      <c r="G137" s="147"/>
      <c r="H137" s="147"/>
      <c r="I137" s="147"/>
      <c r="J137" s="147"/>
      <c r="K137" s="147"/>
      <c r="L137" s="147"/>
      <c r="M137" s="147"/>
      <c r="N137" s="141"/>
      <c r="O137" s="141"/>
      <c r="P137" s="141"/>
      <c r="Q137" s="141"/>
      <c r="R137" s="5"/>
      <c r="S137" s="5"/>
      <c r="T137" s="113"/>
    </row>
    <row r="138" spans="1:20" s="98" customFormat="1" ht="54" x14ac:dyDescent="0.5">
      <c r="A138" s="98" t="str">
        <f>_xlfn.XLOOKUP(B138,'Paso 3 Redacción RA'!I$3:I$15,'Paso 3 Redacción RA'!C$3:C$15,,0,1)</f>
        <v>SaberHacer</v>
      </c>
      <c r="B138" s="79" t="s">
        <v>103</v>
      </c>
      <c r="C138" s="147"/>
      <c r="D138" s="147"/>
      <c r="E138" s="152"/>
      <c r="F138" s="147"/>
      <c r="G138" s="147"/>
      <c r="H138" s="147"/>
      <c r="I138" s="147"/>
      <c r="J138" s="147"/>
      <c r="K138" s="147"/>
      <c r="L138" s="147"/>
      <c r="M138" s="147"/>
      <c r="N138" s="141"/>
      <c r="O138" s="141"/>
      <c r="P138" s="141"/>
      <c r="Q138" s="141"/>
      <c r="R138" s="5"/>
      <c r="S138" s="5"/>
      <c r="T138" s="113"/>
    </row>
    <row r="139" spans="1:20" s="98" customFormat="1" ht="36" x14ac:dyDescent="0.5">
      <c r="A139" s="98" t="str">
        <f>_xlfn.XLOOKUP(B139,'Paso 3 Redacción RA'!I$3:I$15,'Paso 3 Redacción RA'!C$3:C$15,,0,1)</f>
        <v>SaberSer</v>
      </c>
      <c r="B139" s="79" t="s">
        <v>105</v>
      </c>
      <c r="C139" s="147"/>
      <c r="D139" s="147"/>
      <c r="E139" s="152"/>
      <c r="F139" s="147"/>
      <c r="G139" s="147"/>
      <c r="H139" s="147"/>
      <c r="I139" s="147"/>
      <c r="J139" s="147"/>
      <c r="K139" s="147"/>
      <c r="L139" s="147"/>
      <c r="M139" s="147"/>
      <c r="N139" s="141"/>
      <c r="O139" s="141"/>
      <c r="P139" s="141"/>
      <c r="Q139" s="141"/>
      <c r="R139" s="5"/>
      <c r="S139" s="5"/>
      <c r="T139" s="113"/>
    </row>
    <row r="140" spans="1:20" s="98" customFormat="1" ht="36" x14ac:dyDescent="0.5">
      <c r="A140" s="98" t="str">
        <f>_xlfn.XLOOKUP(B140,'Paso 3 Redacción RA'!I$3:I$15,'Paso 3 Redacción RA'!C$3:C$15,,0,1)</f>
        <v>Saber</v>
      </c>
      <c r="B140" s="79" t="s">
        <v>108</v>
      </c>
      <c r="C140" s="147"/>
      <c r="D140" s="147"/>
      <c r="E140" s="152"/>
      <c r="F140" s="147"/>
      <c r="G140" s="147"/>
      <c r="H140" s="147"/>
      <c r="I140" s="147"/>
      <c r="J140" s="147"/>
      <c r="K140" s="147"/>
      <c r="L140" s="147"/>
      <c r="M140" s="147"/>
      <c r="N140" s="141"/>
      <c r="O140" s="141"/>
      <c r="P140" s="141"/>
      <c r="Q140" s="141"/>
      <c r="R140" s="5"/>
      <c r="S140" s="5"/>
      <c r="T140" s="113"/>
    </row>
    <row r="141" spans="1:20" s="98" customFormat="1" ht="36" x14ac:dyDescent="0.5">
      <c r="A141" s="98" t="str">
        <f>_xlfn.XLOOKUP(B141,'Paso 3 Redacción RA'!I$3:I$15,'Paso 3 Redacción RA'!C$3:C$15,,0,1)</f>
        <v>SaberHacer</v>
      </c>
      <c r="B141" s="79" t="s">
        <v>111</v>
      </c>
      <c r="C141" s="147"/>
      <c r="D141" s="147"/>
      <c r="E141" s="152"/>
      <c r="F141" s="147"/>
      <c r="G141" s="147"/>
      <c r="H141" s="147"/>
      <c r="I141" s="147"/>
      <c r="J141" s="147"/>
      <c r="K141" s="147"/>
      <c r="L141" s="147"/>
      <c r="M141" s="147"/>
      <c r="N141" s="141"/>
      <c r="O141" s="141"/>
      <c r="P141" s="141"/>
      <c r="Q141" s="141"/>
      <c r="R141" s="5"/>
      <c r="S141" s="5"/>
      <c r="T141" s="113"/>
    </row>
    <row r="142" spans="1:20" s="98" customFormat="1" ht="36.6" thickBot="1" x14ac:dyDescent="0.55000000000000004">
      <c r="A142" s="99" t="str">
        <f>_xlfn.XLOOKUP(B142,'Paso 3 Redacción RA'!I$3:I$15,'Paso 3 Redacción RA'!C$3:C$15,,0,1)</f>
        <v>Saber</v>
      </c>
      <c r="B142" s="95" t="s">
        <v>112</v>
      </c>
      <c r="C142" s="148"/>
      <c r="D142" s="148"/>
      <c r="E142" s="155"/>
      <c r="F142" s="148"/>
      <c r="G142" s="148"/>
      <c r="H142" s="148"/>
      <c r="I142" s="148"/>
      <c r="J142" s="148"/>
      <c r="K142" s="148"/>
      <c r="L142" s="148"/>
      <c r="M142" s="148"/>
      <c r="N142" s="142"/>
      <c r="O142" s="142"/>
      <c r="P142" s="142"/>
      <c r="Q142" s="142"/>
      <c r="R142" s="5"/>
      <c r="S142" s="5"/>
      <c r="T142" s="113"/>
    </row>
    <row r="143" spans="1:20" s="98" customFormat="1" ht="18.600000000000001" thickBot="1" x14ac:dyDescent="0.55000000000000004">
      <c r="A143" s="114"/>
      <c r="B143" s="109"/>
      <c r="C143" s="115">
        <v>7</v>
      </c>
      <c r="D143" s="116" t="s">
        <v>329</v>
      </c>
      <c r="E143" s="109"/>
      <c r="F143" s="114"/>
      <c r="G143" s="118"/>
      <c r="H143" s="118"/>
      <c r="I143" s="118" t="s">
        <v>218</v>
      </c>
      <c r="J143" s="115">
        <v>3</v>
      </c>
      <c r="K143" s="115">
        <f>16*J143</f>
        <v>48</v>
      </c>
      <c r="L143" s="115">
        <f>32*J143</f>
        <v>96</v>
      </c>
      <c r="M143" s="115">
        <f>SUM(K143:L143)</f>
        <v>144</v>
      </c>
      <c r="N143" s="117"/>
      <c r="O143" s="117"/>
      <c r="P143" s="117"/>
      <c r="Q143" s="117"/>
      <c r="R143" s="5"/>
      <c r="S143" s="5"/>
      <c r="T143" s="113"/>
    </row>
    <row r="144" spans="1:20" s="98" customFormat="1" ht="18.600000000000001" thickBot="1" x14ac:dyDescent="0.55000000000000004">
      <c r="A144" s="114"/>
      <c r="B144" s="109"/>
      <c r="C144" s="115">
        <v>7</v>
      </c>
      <c r="D144" s="116" t="s">
        <v>330</v>
      </c>
      <c r="E144" s="109"/>
      <c r="F144" s="114"/>
      <c r="G144" s="118"/>
      <c r="H144" s="118"/>
      <c r="I144" s="118" t="s">
        <v>218</v>
      </c>
      <c r="J144" s="115">
        <v>3</v>
      </c>
      <c r="K144" s="115">
        <f>16*J144</f>
        <v>48</v>
      </c>
      <c r="L144" s="115">
        <f>32*J144</f>
        <v>96</v>
      </c>
      <c r="M144" s="115">
        <f>SUM(K144:L144)</f>
        <v>144</v>
      </c>
      <c r="N144" s="117"/>
      <c r="O144" s="117"/>
      <c r="P144" s="117"/>
      <c r="Q144" s="117"/>
      <c r="R144" s="5">
        <f>SUM(J127:J144)</f>
        <v>18</v>
      </c>
      <c r="S144" s="5">
        <f>COUNTA(D127:D144)</f>
        <v>5</v>
      </c>
      <c r="T144" s="113"/>
    </row>
    <row r="145" spans="1:20" s="98" customFormat="1" ht="36" x14ac:dyDescent="0.5">
      <c r="A145" s="112" t="str">
        <f>_xlfn.XLOOKUP(B145,'Paso 3 Redacción RA'!I$3:I$15,'Paso 3 Redacción RA'!C$3:C$15,,0,1)</f>
        <v>Saber</v>
      </c>
      <c r="B145" s="100" t="s">
        <v>90</v>
      </c>
      <c r="C145" s="146">
        <v>8</v>
      </c>
      <c r="D145" s="146" t="s">
        <v>331</v>
      </c>
      <c r="E145" s="151" t="s">
        <v>332</v>
      </c>
      <c r="F145" s="147" t="s">
        <v>217</v>
      </c>
      <c r="G145" s="146"/>
      <c r="H145" s="146" t="s">
        <v>218</v>
      </c>
      <c r="I145" s="146"/>
      <c r="J145" s="146">
        <v>4</v>
      </c>
      <c r="K145" s="146">
        <f>16*J145</f>
        <v>64</v>
      </c>
      <c r="L145" s="146">
        <f>32*J145</f>
        <v>128</v>
      </c>
      <c r="M145" s="146">
        <f>SUM(K145:L145)</f>
        <v>192</v>
      </c>
      <c r="N145" s="141" t="s">
        <v>333</v>
      </c>
      <c r="O145" s="140" t="s">
        <v>253</v>
      </c>
      <c r="P145" s="140" t="s">
        <v>221</v>
      </c>
      <c r="Q145" s="140" t="s">
        <v>222</v>
      </c>
      <c r="R145" s="5"/>
      <c r="S145" s="5"/>
      <c r="T145" s="113"/>
    </row>
    <row r="146" spans="1:20" s="98" customFormat="1" ht="36" x14ac:dyDescent="0.5">
      <c r="A146" s="98" t="str">
        <f>_xlfn.XLOOKUP(B146,'Paso 3 Redacción RA'!I$3:I$15,'Paso 3 Redacción RA'!C$3:C$15,,0,1)</f>
        <v>SaberHacer</v>
      </c>
      <c r="B146" s="79" t="s">
        <v>94</v>
      </c>
      <c r="C146" s="147"/>
      <c r="D146" s="147"/>
      <c r="E146" s="152"/>
      <c r="F146" s="147"/>
      <c r="G146" s="147"/>
      <c r="H146" s="147"/>
      <c r="I146" s="147"/>
      <c r="J146" s="147"/>
      <c r="K146" s="147"/>
      <c r="L146" s="147"/>
      <c r="M146" s="147"/>
      <c r="N146" s="141"/>
      <c r="O146" s="141"/>
      <c r="P146" s="141"/>
      <c r="Q146" s="141"/>
      <c r="R146" s="5"/>
      <c r="S146" s="5"/>
      <c r="T146" s="113"/>
    </row>
    <row r="147" spans="1:20" s="98" customFormat="1" ht="36" x14ac:dyDescent="0.5">
      <c r="A147" s="98" t="str">
        <f>_xlfn.XLOOKUP(B147,'Paso 3 Redacción RA'!I$3:I$15,'Paso 3 Redacción RA'!C$3:C$15,,0,1)</f>
        <v>SaberSer</v>
      </c>
      <c r="B147" s="79" t="s">
        <v>115</v>
      </c>
      <c r="C147" s="147"/>
      <c r="D147" s="147"/>
      <c r="E147" s="152"/>
      <c r="F147" s="147"/>
      <c r="G147" s="147"/>
      <c r="H147" s="147"/>
      <c r="I147" s="147"/>
      <c r="J147" s="147"/>
      <c r="K147" s="147"/>
      <c r="L147" s="147"/>
      <c r="M147" s="147"/>
      <c r="N147" s="141"/>
      <c r="O147" s="141"/>
      <c r="P147" s="141"/>
      <c r="Q147" s="141"/>
      <c r="R147" s="5"/>
      <c r="S147" s="5"/>
      <c r="T147" s="113"/>
    </row>
    <row r="148" spans="1:20" s="98" customFormat="1" ht="36" x14ac:dyDescent="0.5">
      <c r="A148" s="98" t="str">
        <f>_xlfn.XLOOKUP(B148,'Paso 3 Redacción RA'!I$3:I$15,'Paso 3 Redacción RA'!C$3:C$15,,0,1)</f>
        <v>Saber</v>
      </c>
      <c r="B148" s="79" t="s">
        <v>100</v>
      </c>
      <c r="C148" s="147"/>
      <c r="D148" s="147"/>
      <c r="E148" s="152"/>
      <c r="F148" s="147"/>
      <c r="G148" s="147"/>
      <c r="H148" s="147"/>
      <c r="I148" s="147"/>
      <c r="J148" s="147"/>
      <c r="K148" s="147"/>
      <c r="L148" s="147"/>
      <c r="M148" s="147"/>
      <c r="N148" s="141"/>
      <c r="O148" s="141"/>
      <c r="P148" s="141"/>
      <c r="Q148" s="141"/>
      <c r="R148" s="5"/>
      <c r="S148" s="5"/>
      <c r="T148" s="113"/>
    </row>
    <row r="149" spans="1:20" s="98" customFormat="1" ht="54" x14ac:dyDescent="0.5">
      <c r="A149" s="98" t="str">
        <f>_xlfn.XLOOKUP(B149,'Paso 3 Redacción RA'!I$3:I$15,'Paso 3 Redacción RA'!C$3:C$15,,0,1)</f>
        <v>SaberHacer</v>
      </c>
      <c r="B149" s="79" t="s">
        <v>103</v>
      </c>
      <c r="C149" s="147"/>
      <c r="D149" s="147"/>
      <c r="E149" s="152"/>
      <c r="F149" s="147"/>
      <c r="G149" s="147"/>
      <c r="H149" s="147"/>
      <c r="I149" s="147"/>
      <c r="J149" s="147"/>
      <c r="K149" s="147"/>
      <c r="L149" s="147"/>
      <c r="M149" s="147"/>
      <c r="N149" s="141"/>
      <c r="O149" s="141"/>
      <c r="P149" s="141"/>
      <c r="Q149" s="141"/>
      <c r="R149" s="5"/>
      <c r="S149" s="5"/>
      <c r="T149" s="113"/>
    </row>
    <row r="150" spans="1:20" s="98" customFormat="1" ht="36" x14ac:dyDescent="0.5">
      <c r="A150" s="98" t="str">
        <f>_xlfn.XLOOKUP(B150,'Paso 3 Redacción RA'!I$3:I$15,'Paso 3 Redacción RA'!C$3:C$15,,0,1)</f>
        <v>SaberSer</v>
      </c>
      <c r="B150" s="79" t="s">
        <v>105</v>
      </c>
      <c r="C150" s="147"/>
      <c r="D150" s="147"/>
      <c r="E150" s="152"/>
      <c r="F150" s="147"/>
      <c r="G150" s="147"/>
      <c r="H150" s="147"/>
      <c r="I150" s="147"/>
      <c r="J150" s="147"/>
      <c r="K150" s="147"/>
      <c r="L150" s="147"/>
      <c r="M150" s="147"/>
      <c r="N150" s="141"/>
      <c r="O150" s="141"/>
      <c r="P150" s="141"/>
      <c r="Q150" s="141"/>
      <c r="R150" s="5"/>
      <c r="S150" s="5"/>
      <c r="T150" s="113"/>
    </row>
    <row r="151" spans="1:20" s="98" customFormat="1" ht="36" x14ac:dyDescent="0.5">
      <c r="A151" s="98" t="str">
        <f>_xlfn.XLOOKUP(B151,'Paso 3 Redacción RA'!I$3:I$15,'Paso 3 Redacción RA'!C$3:C$15,,0,1)</f>
        <v>SaberHacer</v>
      </c>
      <c r="B151" s="79" t="s">
        <v>111</v>
      </c>
      <c r="C151" s="147"/>
      <c r="D151" s="147"/>
      <c r="E151" s="152"/>
      <c r="F151" s="147"/>
      <c r="G151" s="147"/>
      <c r="H151" s="147"/>
      <c r="I151" s="147"/>
      <c r="J151" s="147"/>
      <c r="K151" s="147"/>
      <c r="L151" s="147"/>
      <c r="M151" s="147"/>
      <c r="N151" s="141"/>
      <c r="O151" s="141"/>
      <c r="P151" s="141"/>
      <c r="Q151" s="141"/>
      <c r="R151" s="5"/>
      <c r="S151" s="5"/>
      <c r="T151" s="113"/>
    </row>
    <row r="152" spans="1:20" s="98" customFormat="1" ht="36.6" thickBot="1" x14ac:dyDescent="0.55000000000000004">
      <c r="A152" s="99" t="str">
        <f>_xlfn.XLOOKUP(B152,'Paso 3 Redacción RA'!I$3:I$15,'Paso 3 Redacción RA'!C$3:C$15,,0,1)</f>
        <v>Saber</v>
      </c>
      <c r="B152" s="95" t="s">
        <v>112</v>
      </c>
      <c r="C152" s="148"/>
      <c r="D152" s="148"/>
      <c r="E152" s="155"/>
      <c r="F152" s="148"/>
      <c r="G152" s="148"/>
      <c r="H152" s="148"/>
      <c r="I152" s="148"/>
      <c r="J152" s="148"/>
      <c r="K152" s="148"/>
      <c r="L152" s="148"/>
      <c r="M152" s="148"/>
      <c r="N152" s="142"/>
      <c r="O152" s="142"/>
      <c r="P152" s="142"/>
      <c r="Q152" s="142"/>
      <c r="S152" s="5"/>
      <c r="T152" s="113"/>
    </row>
    <row r="153" spans="1:20" s="98" customFormat="1" ht="36" x14ac:dyDescent="0.5">
      <c r="A153" s="112" t="str">
        <f>_xlfn.XLOOKUP(B153,'Paso 3 Redacción RA'!I$3:I$15,'Paso 3 Redacción RA'!C$3:C$15,,0,1)</f>
        <v>SaberHacer</v>
      </c>
      <c r="B153" s="100" t="s">
        <v>94</v>
      </c>
      <c r="C153" s="146">
        <v>8</v>
      </c>
      <c r="D153" s="146" t="s">
        <v>334</v>
      </c>
      <c r="E153" s="151" t="s">
        <v>335</v>
      </c>
      <c r="F153" s="146" t="s">
        <v>217</v>
      </c>
      <c r="G153" s="146"/>
      <c r="H153" s="146" t="s">
        <v>218</v>
      </c>
      <c r="I153" s="146"/>
      <c r="J153" s="146">
        <v>6</v>
      </c>
      <c r="K153" s="146">
        <f>16*J153</f>
        <v>96</v>
      </c>
      <c r="L153" s="146">
        <f>32*J153</f>
        <v>192</v>
      </c>
      <c r="M153" s="146">
        <f>SUM(K153:L153)</f>
        <v>288</v>
      </c>
      <c r="N153" s="140" t="s">
        <v>336</v>
      </c>
      <c r="O153" s="161" t="s">
        <v>322</v>
      </c>
      <c r="P153" s="140" t="s">
        <v>221</v>
      </c>
      <c r="Q153" s="140" t="s">
        <v>222</v>
      </c>
      <c r="R153" s="5"/>
      <c r="S153" s="5"/>
      <c r="T153" s="113"/>
    </row>
    <row r="154" spans="1:20" s="98" customFormat="1" ht="36" x14ac:dyDescent="0.5">
      <c r="A154" s="98" t="str">
        <f>_xlfn.XLOOKUP(B154,'Paso 3 Redacción RA'!I$3:I$15,'Paso 3 Redacción RA'!C$3:C$15,,0,1)</f>
        <v>SaberSer</v>
      </c>
      <c r="B154" s="79" t="s">
        <v>115</v>
      </c>
      <c r="C154" s="147"/>
      <c r="D154" s="147"/>
      <c r="E154" s="152"/>
      <c r="F154" s="147"/>
      <c r="G154" s="147"/>
      <c r="H154" s="147"/>
      <c r="I154" s="147"/>
      <c r="J154" s="147"/>
      <c r="K154" s="147"/>
      <c r="L154" s="147"/>
      <c r="M154" s="147"/>
      <c r="N154" s="141"/>
      <c r="O154" s="164"/>
      <c r="P154" s="141"/>
      <c r="Q154" s="141"/>
      <c r="R154" s="5"/>
      <c r="S154" s="5"/>
      <c r="T154" s="113"/>
    </row>
    <row r="155" spans="1:20" s="98" customFormat="1" ht="66" customHeight="1" x14ac:dyDescent="0.5">
      <c r="A155" s="98" t="str">
        <f>_xlfn.XLOOKUP(B155,'Paso 3 Redacción RA'!I$3:I$15,'Paso 3 Redacción RA'!C$3:C$15,,0,1)</f>
        <v>SaberHacer</v>
      </c>
      <c r="B155" s="79" t="s">
        <v>103</v>
      </c>
      <c r="C155" s="147"/>
      <c r="D155" s="147"/>
      <c r="E155" s="152"/>
      <c r="F155" s="147"/>
      <c r="G155" s="147"/>
      <c r="H155" s="147"/>
      <c r="I155" s="147"/>
      <c r="J155" s="147"/>
      <c r="K155" s="147"/>
      <c r="L155" s="147"/>
      <c r="M155" s="147"/>
      <c r="N155" s="141"/>
      <c r="O155" s="164"/>
      <c r="P155" s="141"/>
      <c r="Q155" s="141"/>
      <c r="R155" s="5"/>
      <c r="S155" s="5"/>
      <c r="T155" s="113"/>
    </row>
    <row r="156" spans="1:20" s="98" customFormat="1" ht="77.25" customHeight="1" thickBot="1" x14ac:dyDescent="0.55000000000000004">
      <c r="A156" s="99" t="str">
        <f>_xlfn.XLOOKUP(B156,'Paso 3 Redacción RA'!I$3:I$15,'Paso 3 Redacción RA'!C$3:C$15,,0,1)</f>
        <v>Saber</v>
      </c>
      <c r="B156" s="95" t="s">
        <v>112</v>
      </c>
      <c r="C156" s="148"/>
      <c r="D156" s="148"/>
      <c r="E156" s="155"/>
      <c r="F156" s="148"/>
      <c r="G156" s="148"/>
      <c r="H156" s="148"/>
      <c r="I156" s="148"/>
      <c r="J156" s="148"/>
      <c r="K156" s="148"/>
      <c r="L156" s="148"/>
      <c r="M156" s="148"/>
      <c r="N156" s="142"/>
      <c r="O156" s="165"/>
      <c r="P156" s="142"/>
      <c r="Q156" s="142"/>
      <c r="R156" s="5"/>
      <c r="S156" s="5"/>
      <c r="T156" s="113"/>
    </row>
    <row r="157" spans="1:20" s="98" customFormat="1" ht="18.600000000000001" thickBot="1" x14ac:dyDescent="0.55000000000000004">
      <c r="A157" s="114"/>
      <c r="B157" s="109"/>
      <c r="C157" s="115">
        <v>8</v>
      </c>
      <c r="D157" s="116" t="s">
        <v>337</v>
      </c>
      <c r="E157" s="109"/>
      <c r="F157" s="114"/>
      <c r="G157" s="118"/>
      <c r="H157" s="118"/>
      <c r="I157" s="118" t="s">
        <v>218</v>
      </c>
      <c r="J157" s="115">
        <v>3</v>
      </c>
      <c r="K157" s="115">
        <f>16*J157</f>
        <v>48</v>
      </c>
      <c r="L157" s="115">
        <f>32*J157</f>
        <v>96</v>
      </c>
      <c r="M157" s="115">
        <f>SUM(K157:L157)</f>
        <v>144</v>
      </c>
      <c r="N157" s="117"/>
      <c r="O157" s="117"/>
      <c r="P157" s="117"/>
      <c r="Q157" s="117"/>
      <c r="R157" s="5"/>
      <c r="S157" s="5"/>
      <c r="T157" s="113"/>
    </row>
    <row r="158" spans="1:20" s="98" customFormat="1" ht="18.600000000000001" thickBot="1" x14ac:dyDescent="0.55000000000000004">
      <c r="A158" s="114"/>
      <c r="B158" s="109"/>
      <c r="C158" s="115">
        <v>8</v>
      </c>
      <c r="D158" s="116" t="s">
        <v>338</v>
      </c>
      <c r="E158" s="117"/>
      <c r="F158" s="114"/>
      <c r="G158" s="118"/>
      <c r="H158" s="118"/>
      <c r="I158" s="118" t="s">
        <v>218</v>
      </c>
      <c r="J158" s="115">
        <v>3</v>
      </c>
      <c r="K158" s="115">
        <f>16*J158</f>
        <v>48</v>
      </c>
      <c r="L158" s="115">
        <f>32*J158</f>
        <v>96</v>
      </c>
      <c r="M158" s="115">
        <f>SUM(K158:L158)</f>
        <v>144</v>
      </c>
      <c r="N158" s="117"/>
      <c r="O158" s="117"/>
      <c r="P158" s="117"/>
      <c r="Q158" s="117"/>
      <c r="R158" s="5">
        <f>SUM(J145:J158)</f>
        <v>16</v>
      </c>
      <c r="S158" s="5">
        <f>COUNTA(D145:D158)</f>
        <v>4</v>
      </c>
      <c r="T158" s="113"/>
    </row>
    <row r="159" spans="1:20" s="122" customFormat="1" ht="61.5" customHeight="1" x14ac:dyDescent="0.45">
      <c r="A159" s="119"/>
      <c r="B159" s="120"/>
      <c r="C159" s="121" t="s">
        <v>339</v>
      </c>
      <c r="D159" s="138">
        <f>COUNTA(D3:D158)</f>
        <v>40</v>
      </c>
      <c r="E159" s="123"/>
      <c r="F159" s="124"/>
      <c r="G159" s="124"/>
      <c r="H159" s="124"/>
      <c r="I159" s="125" t="s">
        <v>340</v>
      </c>
      <c r="J159" s="139">
        <f>SUM(J3:J158)</f>
        <v>135</v>
      </c>
      <c r="K159" s="130"/>
      <c r="L159" s="39"/>
      <c r="M159" s="124"/>
      <c r="N159" s="123"/>
      <c r="O159" s="123"/>
      <c r="P159" s="123"/>
      <c r="Q159" s="123"/>
      <c r="R159" s="123">
        <f>SUM(R3:R158)</f>
        <v>135</v>
      </c>
      <c r="S159" s="123">
        <f>SUM(S3:S158)</f>
        <v>40</v>
      </c>
      <c r="T159" s="127"/>
    </row>
    <row r="160" spans="1:20" s="122" customFormat="1" ht="33.6" x14ac:dyDescent="0.45">
      <c r="A160" s="119"/>
      <c r="B160" s="120"/>
      <c r="C160" s="124"/>
      <c r="D160" s="124"/>
      <c r="E160" s="123"/>
      <c r="F160" s="124"/>
      <c r="G160" s="124"/>
      <c r="H160" s="124"/>
      <c r="I160" s="128" t="s">
        <v>341</v>
      </c>
      <c r="J160" s="126">
        <f>SUM(J21,J3,J4,J38,J39,J56)</f>
        <v>18</v>
      </c>
      <c r="K160" s="130"/>
      <c r="L160" s="124"/>
      <c r="M160" s="124"/>
      <c r="N160" s="123"/>
      <c r="O160" s="123"/>
      <c r="P160" s="123"/>
      <c r="Q160" s="123"/>
      <c r="R160" s="123"/>
      <c r="S160" s="123"/>
      <c r="T160" s="127"/>
    </row>
    <row r="161" spans="1:20" s="122" customFormat="1" ht="33.6" x14ac:dyDescent="0.45">
      <c r="A161" s="129"/>
      <c r="B161" s="120"/>
      <c r="C161" s="124"/>
      <c r="D161" s="124"/>
      <c r="E161" s="123"/>
      <c r="F161" s="124"/>
      <c r="G161" s="124"/>
      <c r="H161" s="124"/>
      <c r="I161" s="128" t="s">
        <v>342</v>
      </c>
      <c r="J161" s="126">
        <f>SUM(J145:J156,J57:J142,J5:J20,J22:J37,J40:J55)</f>
        <v>105</v>
      </c>
      <c r="K161" s="130"/>
      <c r="L161" s="124"/>
      <c r="M161" s="124"/>
      <c r="N161" s="123"/>
      <c r="O161" s="123"/>
      <c r="P161" s="123"/>
      <c r="Q161" s="123"/>
      <c r="R161" s="123"/>
      <c r="S161" s="123"/>
      <c r="T161" s="127"/>
    </row>
    <row r="162" spans="1:20" s="122" customFormat="1" ht="33.6" x14ac:dyDescent="0.45">
      <c r="A162" s="129"/>
      <c r="B162" s="120"/>
      <c r="C162" s="124"/>
      <c r="D162" s="124"/>
      <c r="F162" s="124"/>
      <c r="G162" s="124"/>
      <c r="H162" s="124"/>
      <c r="I162" s="128" t="s">
        <v>343</v>
      </c>
      <c r="J162" s="124">
        <f>SUM(J157:J158,J143:J144)</f>
        <v>12</v>
      </c>
      <c r="K162" s="131"/>
      <c r="L162" s="124"/>
      <c r="M162" s="124"/>
      <c r="N162" s="123"/>
      <c r="O162" s="123"/>
      <c r="P162" s="123"/>
      <c r="Q162" s="123"/>
      <c r="R162" s="123"/>
      <c r="S162" s="123"/>
      <c r="T162" s="127"/>
    </row>
    <row r="163" spans="1:20" x14ac:dyDescent="0.5">
      <c r="C163" s="6"/>
      <c r="F163" s="6"/>
      <c r="G163" s="6"/>
      <c r="H163" s="6"/>
      <c r="I163" s="6"/>
      <c r="J163" s="6"/>
      <c r="K163" s="6"/>
      <c r="L163" s="6"/>
      <c r="M163" s="6"/>
    </row>
    <row r="164" spans="1:20" x14ac:dyDescent="0.5">
      <c r="C164" s="6"/>
      <c r="F164" s="6"/>
      <c r="G164" s="6"/>
      <c r="H164" s="6"/>
      <c r="I164" s="6"/>
      <c r="J164" s="6"/>
      <c r="K164" s="6"/>
      <c r="L164" s="6"/>
      <c r="M164" s="6"/>
    </row>
    <row r="165" spans="1:20" x14ac:dyDescent="0.5">
      <c r="C165" s="6"/>
      <c r="F165" s="6"/>
      <c r="G165" s="6"/>
      <c r="H165" s="6"/>
      <c r="I165" s="6"/>
      <c r="J165" s="6"/>
      <c r="K165" s="6"/>
      <c r="L165" s="6"/>
      <c r="M165" s="6"/>
    </row>
    <row r="166" spans="1:20" x14ac:dyDescent="0.5">
      <c r="C166" s="6"/>
      <c r="F166" s="6"/>
      <c r="G166" s="6"/>
      <c r="H166" s="6"/>
      <c r="I166" s="6"/>
      <c r="J166" s="6"/>
      <c r="K166" s="6"/>
      <c r="L166" s="6"/>
      <c r="M166" s="6"/>
    </row>
    <row r="167" spans="1:20" x14ac:dyDescent="0.5">
      <c r="C167" s="6"/>
      <c r="F167" s="6"/>
      <c r="G167" s="6"/>
      <c r="H167" s="6"/>
      <c r="I167" s="6"/>
      <c r="J167" s="6"/>
      <c r="K167" s="6"/>
      <c r="L167" s="6"/>
      <c r="M167" s="6"/>
    </row>
    <row r="168" spans="1:20" x14ac:dyDescent="0.5">
      <c r="C168" s="6"/>
      <c r="F168" s="6"/>
      <c r="G168" s="6"/>
      <c r="H168" s="6"/>
      <c r="I168" s="6"/>
      <c r="J168" s="6"/>
      <c r="K168" s="6"/>
      <c r="L168" s="6"/>
      <c r="M168" s="6"/>
    </row>
    <row r="169" spans="1:20" x14ac:dyDescent="0.5">
      <c r="C169" s="6"/>
      <c r="F169" s="6"/>
      <c r="G169" s="6"/>
      <c r="H169" s="6"/>
      <c r="I169" s="6"/>
      <c r="J169" s="6"/>
      <c r="K169" s="6"/>
      <c r="L169" s="6"/>
      <c r="M169" s="6"/>
    </row>
    <row r="171" spans="1:20" x14ac:dyDescent="0.5">
      <c r="E171" s="123"/>
    </row>
  </sheetData>
  <autoFilter ref="A2:R162" xr:uid="{F0EE195A-FBC9-4847-94C9-3ADDAD335674}"/>
  <mergeCells count="451">
    <mergeCell ref="Q17:Q20"/>
    <mergeCell ref="H17:H20"/>
    <mergeCell ref="I17:I20"/>
    <mergeCell ref="J17:J20"/>
    <mergeCell ref="Q13:Q16"/>
    <mergeCell ref="H13:H16"/>
    <mergeCell ref="I13:I16"/>
    <mergeCell ref="J13:J16"/>
    <mergeCell ref="K13:K16"/>
    <mergeCell ref="L13:L16"/>
    <mergeCell ref="M22:M25"/>
    <mergeCell ref="L22:L25"/>
    <mergeCell ref="K22:K25"/>
    <mergeCell ref="C13:C16"/>
    <mergeCell ref="D13:D16"/>
    <mergeCell ref="C22:C25"/>
    <mergeCell ref="D22:D25"/>
    <mergeCell ref="E22:E25"/>
    <mergeCell ref="F22:F25"/>
    <mergeCell ref="G22:G25"/>
    <mergeCell ref="I22:I25"/>
    <mergeCell ref="H22:H25"/>
    <mergeCell ref="H136:H142"/>
    <mergeCell ref="I136:I142"/>
    <mergeCell ref="J136:J142"/>
    <mergeCell ref="K136:K142"/>
    <mergeCell ref="L136:L142"/>
    <mergeCell ref="C136:C142"/>
    <mergeCell ref="D136:D142"/>
    <mergeCell ref="E136:E142"/>
    <mergeCell ref="F136:F142"/>
    <mergeCell ref="G136:G142"/>
    <mergeCell ref="H145:H152"/>
    <mergeCell ref="I145:I152"/>
    <mergeCell ref="J145:J152"/>
    <mergeCell ref="K145:K152"/>
    <mergeCell ref="L145:L152"/>
    <mergeCell ref="C145:C152"/>
    <mergeCell ref="D145:D152"/>
    <mergeCell ref="E145:E152"/>
    <mergeCell ref="F145:F152"/>
    <mergeCell ref="G145:G152"/>
    <mergeCell ref="H153:H156"/>
    <mergeCell ref="I153:I156"/>
    <mergeCell ref="J153:J156"/>
    <mergeCell ref="K153:K156"/>
    <mergeCell ref="L153:L156"/>
    <mergeCell ref="C153:C156"/>
    <mergeCell ref="D153:D156"/>
    <mergeCell ref="E153:E156"/>
    <mergeCell ref="F153:F156"/>
    <mergeCell ref="G153:G156"/>
    <mergeCell ref="Q136:Q142"/>
    <mergeCell ref="M153:M156"/>
    <mergeCell ref="N153:N156"/>
    <mergeCell ref="O153:O156"/>
    <mergeCell ref="P153:P156"/>
    <mergeCell ref="Q153:Q156"/>
    <mergeCell ref="M145:M152"/>
    <mergeCell ref="N145:N152"/>
    <mergeCell ref="O145:O152"/>
    <mergeCell ref="P145:P152"/>
    <mergeCell ref="Q145:Q152"/>
    <mergeCell ref="M136:M142"/>
    <mergeCell ref="N136:N142"/>
    <mergeCell ref="O136:O142"/>
    <mergeCell ref="P136:P142"/>
    <mergeCell ref="E123:E126"/>
    <mergeCell ref="F123:F126"/>
    <mergeCell ref="G123:G126"/>
    <mergeCell ref="M119:M122"/>
    <mergeCell ref="N119:N122"/>
    <mergeCell ref="O119:O122"/>
    <mergeCell ref="P119:P122"/>
    <mergeCell ref="Q119:Q122"/>
    <mergeCell ref="H119:H122"/>
    <mergeCell ref="I119:I122"/>
    <mergeCell ref="J119:J122"/>
    <mergeCell ref="K119:K122"/>
    <mergeCell ref="L119:L122"/>
    <mergeCell ref="O123:O126"/>
    <mergeCell ref="P123:P126"/>
    <mergeCell ref="Q131:Q135"/>
    <mergeCell ref="Q127:Q130"/>
    <mergeCell ref="Q123:Q126"/>
    <mergeCell ref="H123:H126"/>
    <mergeCell ref="I123:I126"/>
    <mergeCell ref="J123:J126"/>
    <mergeCell ref="K123:K126"/>
    <mergeCell ref="L123:L126"/>
    <mergeCell ref="C131:C135"/>
    <mergeCell ref="D131:D135"/>
    <mergeCell ref="E131:E135"/>
    <mergeCell ref="F131:F135"/>
    <mergeCell ref="G131:G135"/>
    <mergeCell ref="M131:M135"/>
    <mergeCell ref="N131:N135"/>
    <mergeCell ref="O131:O135"/>
    <mergeCell ref="P131:P135"/>
    <mergeCell ref="H131:H135"/>
    <mergeCell ref="I131:I135"/>
    <mergeCell ref="J131:J135"/>
    <mergeCell ref="K131:K135"/>
    <mergeCell ref="L131:L135"/>
    <mergeCell ref="M123:M126"/>
    <mergeCell ref="N123:N126"/>
    <mergeCell ref="Q107:Q114"/>
    <mergeCell ref="H107:H114"/>
    <mergeCell ref="I107:I114"/>
    <mergeCell ref="J107:J114"/>
    <mergeCell ref="K107:K114"/>
    <mergeCell ref="L107:L114"/>
    <mergeCell ref="Q102:Q106"/>
    <mergeCell ref="H102:H106"/>
    <mergeCell ref="I102:I106"/>
    <mergeCell ref="J102:J106"/>
    <mergeCell ref="K102:K106"/>
    <mergeCell ref="L102:L106"/>
    <mergeCell ref="M102:M106"/>
    <mergeCell ref="N102:N106"/>
    <mergeCell ref="O102:O106"/>
    <mergeCell ref="P102:P106"/>
    <mergeCell ref="M107:M114"/>
    <mergeCell ref="N107:N114"/>
    <mergeCell ref="O107:O114"/>
    <mergeCell ref="P107:P114"/>
    <mergeCell ref="C93:C96"/>
    <mergeCell ref="D93:D96"/>
    <mergeCell ref="E93:E96"/>
    <mergeCell ref="F93:F96"/>
    <mergeCell ref="G93:G96"/>
    <mergeCell ref="O97:O101"/>
    <mergeCell ref="P97:P101"/>
    <mergeCell ref="C97:C101"/>
    <mergeCell ref="D97:D101"/>
    <mergeCell ref="H93:H96"/>
    <mergeCell ref="I93:I96"/>
    <mergeCell ref="J93:J96"/>
    <mergeCell ref="K93:K96"/>
    <mergeCell ref="L93:L96"/>
    <mergeCell ref="M93:M96"/>
    <mergeCell ref="N93:N96"/>
    <mergeCell ref="O93:O96"/>
    <mergeCell ref="P93:P96"/>
    <mergeCell ref="N97:N101"/>
    <mergeCell ref="C77:C80"/>
    <mergeCell ref="M85:M92"/>
    <mergeCell ref="N85:N92"/>
    <mergeCell ref="O85:O92"/>
    <mergeCell ref="P85:P92"/>
    <mergeCell ref="D77:D80"/>
    <mergeCell ref="E77:E80"/>
    <mergeCell ref="F77:F80"/>
    <mergeCell ref="G77:G80"/>
    <mergeCell ref="C85:C92"/>
    <mergeCell ref="D85:D92"/>
    <mergeCell ref="E85:E92"/>
    <mergeCell ref="F85:F92"/>
    <mergeCell ref="G85:G92"/>
    <mergeCell ref="G81:G84"/>
    <mergeCell ref="J81:J84"/>
    <mergeCell ref="K81:K84"/>
    <mergeCell ref="L81:L84"/>
    <mergeCell ref="C81:C84"/>
    <mergeCell ref="D81:D84"/>
    <mergeCell ref="M81:M84"/>
    <mergeCell ref="N81:N84"/>
    <mergeCell ref="O81:O84"/>
    <mergeCell ref="P81:P84"/>
    <mergeCell ref="Q69:Q72"/>
    <mergeCell ref="H69:H72"/>
    <mergeCell ref="I69:I72"/>
    <mergeCell ref="J69:J72"/>
    <mergeCell ref="K69:K72"/>
    <mergeCell ref="L69:L72"/>
    <mergeCell ref="C69:C72"/>
    <mergeCell ref="D69:D72"/>
    <mergeCell ref="E69:E72"/>
    <mergeCell ref="F69:F72"/>
    <mergeCell ref="G69:G72"/>
    <mergeCell ref="M69:M72"/>
    <mergeCell ref="N69:N72"/>
    <mergeCell ref="O69:O72"/>
    <mergeCell ref="P69:P72"/>
    <mergeCell ref="E81:E84"/>
    <mergeCell ref="F81:F84"/>
    <mergeCell ref="Q85:Q92"/>
    <mergeCell ref="H85:H92"/>
    <mergeCell ref="I85:I92"/>
    <mergeCell ref="Q77:Q80"/>
    <mergeCell ref="H77:H80"/>
    <mergeCell ref="I77:I80"/>
    <mergeCell ref="J77:J80"/>
    <mergeCell ref="K77:K80"/>
    <mergeCell ref="L77:L80"/>
    <mergeCell ref="M77:M80"/>
    <mergeCell ref="N77:N80"/>
    <mergeCell ref="O77:O80"/>
    <mergeCell ref="P77:P80"/>
    <mergeCell ref="Q81:Q84"/>
    <mergeCell ref="H81:H84"/>
    <mergeCell ref="I81:I84"/>
    <mergeCell ref="J85:J92"/>
    <mergeCell ref="K85:K92"/>
    <mergeCell ref="L85:L92"/>
    <mergeCell ref="Q93:Q96"/>
    <mergeCell ref="Q97:Q101"/>
    <mergeCell ref="H97:H101"/>
    <mergeCell ref="I97:I101"/>
    <mergeCell ref="J97:J101"/>
    <mergeCell ref="K97:K101"/>
    <mergeCell ref="L97:L101"/>
    <mergeCell ref="E115:E118"/>
    <mergeCell ref="F115:F118"/>
    <mergeCell ref="G115:G118"/>
    <mergeCell ref="F97:F101"/>
    <mergeCell ref="G97:G101"/>
    <mergeCell ref="E97:E101"/>
    <mergeCell ref="Q115:Q118"/>
    <mergeCell ref="H115:H118"/>
    <mergeCell ref="I115:I118"/>
    <mergeCell ref="J115:J118"/>
    <mergeCell ref="K115:K118"/>
    <mergeCell ref="L115:L118"/>
    <mergeCell ref="M115:M118"/>
    <mergeCell ref="N115:N118"/>
    <mergeCell ref="O115:O118"/>
    <mergeCell ref="P115:P118"/>
    <mergeCell ref="M97:M101"/>
    <mergeCell ref="C102:C106"/>
    <mergeCell ref="D102:D106"/>
    <mergeCell ref="E102:E106"/>
    <mergeCell ref="F102:F106"/>
    <mergeCell ref="G102:G106"/>
    <mergeCell ref="C127:C130"/>
    <mergeCell ref="D127:D130"/>
    <mergeCell ref="E127:E130"/>
    <mergeCell ref="F127:F130"/>
    <mergeCell ref="G127:G130"/>
    <mergeCell ref="C115:C118"/>
    <mergeCell ref="D115:D118"/>
    <mergeCell ref="C107:C114"/>
    <mergeCell ref="D107:D114"/>
    <mergeCell ref="E107:E114"/>
    <mergeCell ref="C119:C122"/>
    <mergeCell ref="D119:D122"/>
    <mergeCell ref="E119:E122"/>
    <mergeCell ref="F119:F122"/>
    <mergeCell ref="G119:G122"/>
    <mergeCell ref="C123:C126"/>
    <mergeCell ref="F107:F114"/>
    <mergeCell ref="G107:G114"/>
    <mergeCell ref="D123:D126"/>
    <mergeCell ref="M127:M130"/>
    <mergeCell ref="N127:N130"/>
    <mergeCell ref="O127:O130"/>
    <mergeCell ref="P127:P130"/>
    <mergeCell ref="H127:H130"/>
    <mergeCell ref="I127:I130"/>
    <mergeCell ref="J127:J130"/>
    <mergeCell ref="K127:K130"/>
    <mergeCell ref="L127:L130"/>
    <mergeCell ref="Q73:Q76"/>
    <mergeCell ref="H73:H76"/>
    <mergeCell ref="I73:I76"/>
    <mergeCell ref="J73:J76"/>
    <mergeCell ref="K73:K76"/>
    <mergeCell ref="L73:L76"/>
    <mergeCell ref="C73:C76"/>
    <mergeCell ref="D73:D76"/>
    <mergeCell ref="E73:E76"/>
    <mergeCell ref="F73:F76"/>
    <mergeCell ref="G73:G76"/>
    <mergeCell ref="M73:M76"/>
    <mergeCell ref="N73:N76"/>
    <mergeCell ref="O73:O76"/>
    <mergeCell ref="P73:P76"/>
    <mergeCell ref="E57:E60"/>
    <mergeCell ref="F57:F60"/>
    <mergeCell ref="G57:G60"/>
    <mergeCell ref="N61:N68"/>
    <mergeCell ref="C61:C68"/>
    <mergeCell ref="D61:D68"/>
    <mergeCell ref="E61:E68"/>
    <mergeCell ref="F61:F68"/>
    <mergeCell ref="G61:G68"/>
    <mergeCell ref="H61:H68"/>
    <mergeCell ref="P44:P47"/>
    <mergeCell ref="H40:H43"/>
    <mergeCell ref="I40:I43"/>
    <mergeCell ref="J40:J43"/>
    <mergeCell ref="K40:K43"/>
    <mergeCell ref="L40:L43"/>
    <mergeCell ref="Q44:Q47"/>
    <mergeCell ref="Q57:Q60"/>
    <mergeCell ref="H57:H60"/>
    <mergeCell ref="I57:I60"/>
    <mergeCell ref="J57:J60"/>
    <mergeCell ref="K57:K60"/>
    <mergeCell ref="L57:L60"/>
    <mergeCell ref="M57:M60"/>
    <mergeCell ref="N57:N60"/>
    <mergeCell ref="O57:O60"/>
    <mergeCell ref="P57:P60"/>
    <mergeCell ref="L44:L47"/>
    <mergeCell ref="M44:M47"/>
    <mergeCell ref="N44:N47"/>
    <mergeCell ref="O44:O47"/>
    <mergeCell ref="Q40:Q43"/>
    <mergeCell ref="M40:M43"/>
    <mergeCell ref="N40:N43"/>
    <mergeCell ref="C44:C47"/>
    <mergeCell ref="D44:D47"/>
    <mergeCell ref="E44:E47"/>
    <mergeCell ref="F44:F47"/>
    <mergeCell ref="G44:G47"/>
    <mergeCell ref="H44:H47"/>
    <mergeCell ref="I44:I47"/>
    <mergeCell ref="J44:J47"/>
    <mergeCell ref="K44:K47"/>
    <mergeCell ref="Q61:Q68"/>
    <mergeCell ref="C48:C55"/>
    <mergeCell ref="D48:D55"/>
    <mergeCell ref="E48:E55"/>
    <mergeCell ref="F48:F55"/>
    <mergeCell ref="G48:G55"/>
    <mergeCell ref="H48:H55"/>
    <mergeCell ref="I48:I55"/>
    <mergeCell ref="J48:J55"/>
    <mergeCell ref="K48:K55"/>
    <mergeCell ref="L48:L55"/>
    <mergeCell ref="M48:M55"/>
    <mergeCell ref="N48:N55"/>
    <mergeCell ref="O48:O55"/>
    <mergeCell ref="P48:P55"/>
    <mergeCell ref="Q48:Q55"/>
    <mergeCell ref="L61:L68"/>
    <mergeCell ref="M61:M68"/>
    <mergeCell ref="I61:I68"/>
    <mergeCell ref="J61:J68"/>
    <mergeCell ref="K61:K68"/>
    <mergeCell ref="P61:P68"/>
    <mergeCell ref="C57:C60"/>
    <mergeCell ref="D57:D60"/>
    <mergeCell ref="O40:O43"/>
    <mergeCell ref="P40:P43"/>
    <mergeCell ref="F40:F43"/>
    <mergeCell ref="G40:G43"/>
    <mergeCell ref="C40:C43"/>
    <mergeCell ref="D40:D43"/>
    <mergeCell ref="E40:E43"/>
    <mergeCell ref="M30:M33"/>
    <mergeCell ref="N30:N33"/>
    <mergeCell ref="O30:O33"/>
    <mergeCell ref="D34:D37"/>
    <mergeCell ref="E34:E37"/>
    <mergeCell ref="F34:F37"/>
    <mergeCell ref="G34:G37"/>
    <mergeCell ref="C34:C37"/>
    <mergeCell ref="G30:G33"/>
    <mergeCell ref="C30:C33"/>
    <mergeCell ref="D30:D33"/>
    <mergeCell ref="E30:E33"/>
    <mergeCell ref="F30:F33"/>
    <mergeCell ref="N34:N37"/>
    <mergeCell ref="O34:O37"/>
    <mergeCell ref="P34:P37"/>
    <mergeCell ref="Q34:Q37"/>
    <mergeCell ref="H26:H29"/>
    <mergeCell ref="I26:I29"/>
    <mergeCell ref="J26:J29"/>
    <mergeCell ref="K26:K29"/>
    <mergeCell ref="L26:L29"/>
    <mergeCell ref="I34:I37"/>
    <mergeCell ref="J34:J37"/>
    <mergeCell ref="K34:K37"/>
    <mergeCell ref="L34:L37"/>
    <mergeCell ref="Q30:Q33"/>
    <mergeCell ref="H30:H33"/>
    <mergeCell ref="J30:J33"/>
    <mergeCell ref="K30:K33"/>
    <mergeCell ref="L30:L33"/>
    <mergeCell ref="I30:I33"/>
    <mergeCell ref="Q26:Q29"/>
    <mergeCell ref="C5:C8"/>
    <mergeCell ref="E5:E8"/>
    <mergeCell ref="F5:F8"/>
    <mergeCell ref="G5:G8"/>
    <mergeCell ref="C17:C20"/>
    <mergeCell ref="C9:C12"/>
    <mergeCell ref="G9:G12"/>
    <mergeCell ref="F26:F29"/>
    <mergeCell ref="G26:G29"/>
    <mergeCell ref="D9:D12"/>
    <mergeCell ref="D5:D8"/>
    <mergeCell ref="E9:E12"/>
    <mergeCell ref="F9:F12"/>
    <mergeCell ref="C26:C29"/>
    <mergeCell ref="D26:D29"/>
    <mergeCell ref="E26:E29"/>
    <mergeCell ref="D17:D20"/>
    <mergeCell ref="E17:E20"/>
    <mergeCell ref="F17:F20"/>
    <mergeCell ref="G17:G20"/>
    <mergeCell ref="E13:E16"/>
    <mergeCell ref="F13:F16"/>
    <mergeCell ref="G13:G16"/>
    <mergeCell ref="Q5:Q8"/>
    <mergeCell ref="H5:H8"/>
    <mergeCell ref="I5:I8"/>
    <mergeCell ref="J5:J8"/>
    <mergeCell ref="K5:K8"/>
    <mergeCell ref="L5:L8"/>
    <mergeCell ref="P9:P12"/>
    <mergeCell ref="Q9:Q12"/>
    <mergeCell ref="M13:M16"/>
    <mergeCell ref="M5:M8"/>
    <mergeCell ref="N5:N8"/>
    <mergeCell ref="H9:H12"/>
    <mergeCell ref="I9:I12"/>
    <mergeCell ref="J9:J12"/>
    <mergeCell ref="K9:K12"/>
    <mergeCell ref="L9:L12"/>
    <mergeCell ref="O9:O12"/>
    <mergeCell ref="P5:P8"/>
    <mergeCell ref="M9:M12"/>
    <mergeCell ref="N9:N12"/>
    <mergeCell ref="Q22:Q25"/>
    <mergeCell ref="P22:P25"/>
    <mergeCell ref="O22:O25"/>
    <mergeCell ref="N22:N25"/>
    <mergeCell ref="O61:O68"/>
    <mergeCell ref="G1:I1"/>
    <mergeCell ref="P13:P16"/>
    <mergeCell ref="O5:O8"/>
    <mergeCell ref="M34:M37"/>
    <mergeCell ref="H34:H37"/>
    <mergeCell ref="M26:M29"/>
    <mergeCell ref="N26:N29"/>
    <mergeCell ref="O26:O29"/>
    <mergeCell ref="P26:P29"/>
    <mergeCell ref="P30:P33"/>
    <mergeCell ref="K17:K20"/>
    <mergeCell ref="L17:L20"/>
    <mergeCell ref="M17:M20"/>
    <mergeCell ref="N17:N20"/>
    <mergeCell ref="O17:O20"/>
    <mergeCell ref="P17:P20"/>
    <mergeCell ref="N13:N16"/>
    <mergeCell ref="O13:O16"/>
    <mergeCell ref="J22:J25"/>
  </mergeCell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FB58D49-D1C0-4270-ACFB-03A7341BCCED}">
          <x14:formula1>
            <xm:f>'Paso 3 Redacción RA'!$I$3:$I$15</xm:f>
          </x14:formula1>
          <xm:sqref>B3:B162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F0260-EDC1-4342-B86F-EF528A8E771B}">
  <dimension ref="B1:B38"/>
  <sheetViews>
    <sheetView workbookViewId="0">
      <selection activeCell="B15" sqref="B15"/>
    </sheetView>
  </sheetViews>
  <sheetFormatPr baseColWidth="10" defaultColWidth="9.21875" defaultRowHeight="14.4" x14ac:dyDescent="0.3"/>
  <cols>
    <col min="2" max="2" width="29.21875" customWidth="1"/>
  </cols>
  <sheetData>
    <row r="1" spans="2:2" ht="18" x14ac:dyDescent="0.5">
      <c r="B1" s="1" t="s">
        <v>344</v>
      </c>
    </row>
    <row r="2" spans="2:2" ht="18" x14ac:dyDescent="0.5">
      <c r="B2" s="1" t="s">
        <v>345</v>
      </c>
    </row>
    <row r="3" spans="2:2" ht="18" x14ac:dyDescent="0.5">
      <c r="B3" s="1" t="s">
        <v>346</v>
      </c>
    </row>
    <row r="4" spans="2:2" ht="18" x14ac:dyDescent="0.5">
      <c r="B4" s="1" t="s">
        <v>347</v>
      </c>
    </row>
    <row r="5" spans="2:2" ht="18" x14ac:dyDescent="0.5">
      <c r="B5" s="1" t="s">
        <v>348</v>
      </c>
    </row>
    <row r="6" spans="2:2" ht="18" x14ac:dyDescent="0.5">
      <c r="B6" s="1" t="s">
        <v>349</v>
      </c>
    </row>
    <row r="7" spans="2:2" ht="18" x14ac:dyDescent="0.5">
      <c r="B7" s="1" t="s">
        <v>350</v>
      </c>
    </row>
    <row r="8" spans="2:2" ht="18" x14ac:dyDescent="0.5">
      <c r="B8" s="1" t="s">
        <v>351</v>
      </c>
    </row>
    <row r="9" spans="2:2" ht="18" x14ac:dyDescent="0.5">
      <c r="B9" s="1" t="s">
        <v>352</v>
      </c>
    </row>
    <row r="10" spans="2:2" ht="18" x14ac:dyDescent="0.5">
      <c r="B10" s="1" t="s">
        <v>63</v>
      </c>
    </row>
    <row r="11" spans="2:2" ht="18" x14ac:dyDescent="0.5">
      <c r="B11" s="1" t="s">
        <v>353</v>
      </c>
    </row>
    <row r="12" spans="2:2" ht="18" x14ac:dyDescent="0.5">
      <c r="B12" s="1" t="s">
        <v>354</v>
      </c>
    </row>
    <row r="13" spans="2:2" ht="18" x14ac:dyDescent="0.5">
      <c r="B13" s="1" t="s">
        <v>355</v>
      </c>
    </row>
    <row r="14" spans="2:2" ht="18" x14ac:dyDescent="0.5">
      <c r="B14" s="1" t="s">
        <v>59</v>
      </c>
    </row>
    <row r="15" spans="2:2" ht="18" x14ac:dyDescent="0.5">
      <c r="B15" s="1" t="s">
        <v>56</v>
      </c>
    </row>
    <row r="16" spans="2:2" ht="18" x14ac:dyDescent="0.5">
      <c r="B16" s="1" t="s">
        <v>356</v>
      </c>
    </row>
    <row r="17" spans="2:2" ht="18" x14ac:dyDescent="0.5">
      <c r="B17" s="1" t="s">
        <v>357</v>
      </c>
    </row>
    <row r="18" spans="2:2" ht="18" x14ac:dyDescent="0.5">
      <c r="B18" s="1" t="s">
        <v>358</v>
      </c>
    </row>
    <row r="19" spans="2:2" ht="18" x14ac:dyDescent="0.5">
      <c r="B19" s="1" t="s">
        <v>359</v>
      </c>
    </row>
    <row r="20" spans="2:2" ht="18" x14ac:dyDescent="0.5">
      <c r="B20" s="1" t="s">
        <v>360</v>
      </c>
    </row>
    <row r="21" spans="2:2" ht="18" x14ac:dyDescent="0.5">
      <c r="B21" s="1" t="s">
        <v>61</v>
      </c>
    </row>
    <row r="22" spans="2:2" ht="18" x14ac:dyDescent="0.5">
      <c r="B22" s="1" t="s">
        <v>361</v>
      </c>
    </row>
    <row r="23" spans="2:2" ht="18" x14ac:dyDescent="0.5">
      <c r="B23" s="1" t="s">
        <v>362</v>
      </c>
    </row>
    <row r="24" spans="2:2" ht="18" x14ac:dyDescent="0.5">
      <c r="B24" s="1" t="s">
        <v>363</v>
      </c>
    </row>
    <row r="25" spans="2:2" ht="18" x14ac:dyDescent="0.5">
      <c r="B25" s="1" t="s">
        <v>364</v>
      </c>
    </row>
    <row r="26" spans="2:2" ht="18" x14ac:dyDescent="0.5">
      <c r="B26" s="1" t="s">
        <v>365</v>
      </c>
    </row>
    <row r="27" spans="2:2" ht="18" x14ac:dyDescent="0.5">
      <c r="B27" s="1" t="s">
        <v>366</v>
      </c>
    </row>
    <row r="28" spans="2:2" ht="18" x14ac:dyDescent="0.5">
      <c r="B28" s="1" t="s">
        <v>367</v>
      </c>
    </row>
    <row r="29" spans="2:2" ht="18" x14ac:dyDescent="0.5">
      <c r="B29" s="1" t="s">
        <v>368</v>
      </c>
    </row>
    <row r="30" spans="2:2" ht="18" x14ac:dyDescent="0.5">
      <c r="B30" s="1" t="s">
        <v>369</v>
      </c>
    </row>
    <row r="31" spans="2:2" ht="18" x14ac:dyDescent="0.5">
      <c r="B31" s="1" t="s">
        <v>370</v>
      </c>
    </row>
    <row r="32" spans="2:2" ht="18" x14ac:dyDescent="0.5">
      <c r="B32" s="1" t="s">
        <v>371</v>
      </c>
    </row>
    <row r="33" spans="2:2" ht="18" x14ac:dyDescent="0.5">
      <c r="B33" s="1" t="s">
        <v>372</v>
      </c>
    </row>
    <row r="34" spans="2:2" ht="18" x14ac:dyDescent="0.5">
      <c r="B34" s="1" t="s">
        <v>373</v>
      </c>
    </row>
    <row r="35" spans="2:2" ht="18" x14ac:dyDescent="0.5">
      <c r="B35" s="1" t="s">
        <v>374</v>
      </c>
    </row>
    <row r="36" spans="2:2" ht="18" x14ac:dyDescent="0.5">
      <c r="B36" s="1" t="s">
        <v>375</v>
      </c>
    </row>
    <row r="37" spans="2:2" ht="18" x14ac:dyDescent="0.5">
      <c r="B37" s="1" t="s">
        <v>376</v>
      </c>
    </row>
    <row r="38" spans="2:2" ht="18" x14ac:dyDescent="0.5">
      <c r="B38" s="1" t="s">
        <v>89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95D89-8C61-400E-A937-B3D914084581}">
  <dimension ref="A1:BC108"/>
  <sheetViews>
    <sheetView topLeftCell="W1" zoomScaleNormal="100" workbookViewId="0">
      <selection activeCell="S1" sqref="S1:AG1"/>
    </sheetView>
  </sheetViews>
  <sheetFormatPr baseColWidth="10" defaultColWidth="9.21875" defaultRowHeight="18" x14ac:dyDescent="0.5"/>
  <cols>
    <col min="1" max="1" width="20.44140625" style="12" customWidth="1"/>
    <col min="2" max="2" width="14.44140625" style="12" customWidth="1"/>
    <col min="3" max="3" width="22.21875" style="12" customWidth="1"/>
    <col min="4" max="4" width="21.5546875" style="12" customWidth="1"/>
    <col min="5" max="5" width="20.77734375" style="12" customWidth="1"/>
    <col min="6" max="6" width="16.77734375" style="12" customWidth="1"/>
    <col min="7" max="7" width="21.77734375" style="12" customWidth="1"/>
    <col min="8" max="8" width="26.21875" style="12" customWidth="1"/>
    <col min="9" max="9" width="25.21875" style="12" customWidth="1"/>
    <col min="10" max="10" width="24.44140625" style="12" customWidth="1"/>
    <col min="11" max="11" width="15.21875" style="12" customWidth="1"/>
    <col min="12" max="17" width="17.77734375" style="12" customWidth="1"/>
    <col min="18" max="18" width="22.5546875" style="12" customWidth="1"/>
    <col min="19" max="19" width="15.5546875" style="12" customWidth="1"/>
    <col min="20" max="20" width="14.77734375" style="12" customWidth="1"/>
    <col min="21" max="25" width="13.21875" style="12" customWidth="1"/>
    <col min="26" max="26" width="16.5546875" style="12" customWidth="1"/>
    <col min="27" max="27" width="13.21875" style="12" customWidth="1"/>
    <col min="28" max="28" width="16" style="12" customWidth="1"/>
    <col min="29" max="29" width="19.5546875" style="12" customWidth="1"/>
    <col min="30" max="30" width="21.77734375" style="12" bestFit="1" customWidth="1"/>
    <col min="31" max="31" width="13.21875" style="12" customWidth="1"/>
    <col min="32" max="32" width="13.77734375" style="12" customWidth="1"/>
    <col min="33" max="33" width="30.77734375" style="12" customWidth="1"/>
    <col min="34" max="36" width="13.21875" style="12" customWidth="1"/>
    <col min="37" max="37" width="14.5546875" style="12" customWidth="1"/>
    <col min="38" max="43" width="16.77734375" style="12" customWidth="1"/>
    <col min="44" max="45" width="13.21875" style="12" customWidth="1"/>
    <col min="46" max="46" width="23.77734375" style="12" customWidth="1"/>
    <col min="47" max="47" width="22.5546875" style="12" customWidth="1"/>
    <col min="48" max="48" width="24.21875" style="12" customWidth="1"/>
    <col min="49" max="49" width="27.77734375" style="12" customWidth="1"/>
    <col min="50" max="50" width="24.77734375" style="12" customWidth="1"/>
    <col min="51" max="51" width="22.5546875" style="12" customWidth="1"/>
    <col min="52" max="55" width="13.21875" style="12" customWidth="1"/>
    <col min="56" max="16384" width="9.21875" style="12"/>
  </cols>
  <sheetData>
    <row r="1" spans="1:55" ht="18.600000000000001" thickBot="1" x14ac:dyDescent="0.55000000000000004">
      <c r="A1" s="1"/>
      <c r="B1" s="1"/>
      <c r="C1" s="1"/>
      <c r="D1" s="1"/>
      <c r="E1" s="1"/>
      <c r="F1" s="1"/>
      <c r="G1" s="1"/>
      <c r="H1" s="1"/>
      <c r="I1" s="1"/>
      <c r="J1" s="1"/>
      <c r="K1" s="1"/>
      <c r="L1" s="1"/>
      <c r="M1" s="1"/>
      <c r="N1" s="1"/>
      <c r="O1" s="1"/>
      <c r="P1" s="1"/>
      <c r="Q1" s="1"/>
      <c r="R1" s="1"/>
      <c r="S1" s="179" t="s">
        <v>377</v>
      </c>
      <c r="T1" s="179"/>
      <c r="U1" s="179"/>
      <c r="V1" s="179"/>
      <c r="W1" s="179"/>
      <c r="X1" s="179"/>
      <c r="Y1" s="179"/>
      <c r="Z1" s="179"/>
      <c r="AA1" s="179"/>
      <c r="AB1" s="179"/>
      <c r="AC1" s="179"/>
      <c r="AD1" s="179"/>
      <c r="AE1" s="179"/>
      <c r="AF1" s="179"/>
      <c r="AG1" s="179"/>
      <c r="AH1" s="14"/>
      <c r="AI1" s="14"/>
      <c r="AJ1" s="14"/>
      <c r="AK1" s="1"/>
      <c r="AL1" s="179" t="s">
        <v>378</v>
      </c>
      <c r="AM1" s="179"/>
      <c r="AN1" s="179"/>
      <c r="AO1" s="179"/>
      <c r="AP1" s="179"/>
      <c r="AQ1" s="179"/>
      <c r="AR1" s="14"/>
      <c r="AS1" s="14"/>
      <c r="AT1" s="179" t="s">
        <v>379</v>
      </c>
      <c r="AU1" s="179"/>
      <c r="AV1" s="179"/>
      <c r="AW1" s="179"/>
      <c r="AX1" s="179"/>
      <c r="AY1" s="179"/>
      <c r="AZ1" s="14"/>
      <c r="BA1" s="1"/>
      <c r="BB1" s="1"/>
      <c r="BC1" s="14"/>
    </row>
    <row r="2" spans="1:55" x14ac:dyDescent="0.5">
      <c r="A2" s="1"/>
      <c r="B2" s="1"/>
      <c r="C2" s="1"/>
      <c r="D2" s="1"/>
      <c r="E2" s="1"/>
      <c r="F2" s="1"/>
      <c r="G2" s="1"/>
      <c r="H2" s="1"/>
      <c r="I2" s="1"/>
      <c r="J2" s="1"/>
      <c r="K2" s="1"/>
      <c r="L2" s="179" t="s">
        <v>380</v>
      </c>
      <c r="M2" s="179"/>
      <c r="N2" s="179"/>
      <c r="O2" s="179"/>
      <c r="P2" s="179"/>
      <c r="Q2" s="179"/>
      <c r="R2" s="1"/>
      <c r="S2" s="180" t="s">
        <v>381</v>
      </c>
      <c r="T2" s="181"/>
      <c r="U2" s="181"/>
      <c r="V2" s="181"/>
      <c r="W2" s="181"/>
      <c r="X2" s="182"/>
      <c r="Y2" s="183" t="s">
        <v>382</v>
      </c>
      <c r="Z2" s="184"/>
      <c r="AA2" s="184"/>
      <c r="AB2" s="185"/>
      <c r="AC2" s="183" t="s">
        <v>383</v>
      </c>
      <c r="AD2" s="184"/>
      <c r="AE2" s="184"/>
      <c r="AF2" s="184"/>
      <c r="AG2" s="186"/>
      <c r="AH2" s="14"/>
      <c r="AI2" s="14"/>
      <c r="AJ2" s="14"/>
      <c r="AK2" s="1"/>
      <c r="AL2" s="179"/>
      <c r="AM2" s="179"/>
      <c r="AN2" s="179"/>
      <c r="AO2" s="179"/>
      <c r="AP2" s="179"/>
      <c r="AQ2" s="179"/>
      <c r="AR2" s="14"/>
      <c r="AS2" s="14"/>
      <c r="AT2" s="14"/>
      <c r="AU2" s="14"/>
      <c r="AV2" s="14"/>
      <c r="AW2" s="14"/>
      <c r="AX2" s="14"/>
      <c r="AY2" s="14"/>
      <c r="AZ2" s="14"/>
      <c r="BA2" s="1"/>
      <c r="BB2" s="1"/>
      <c r="BC2" s="14"/>
    </row>
    <row r="3" spans="1:55" x14ac:dyDescent="0.5">
      <c r="A3" s="1" t="s">
        <v>384</v>
      </c>
      <c r="B3" s="1"/>
      <c r="C3" s="1" t="s">
        <v>86</v>
      </c>
      <c r="D3" s="1" t="s">
        <v>385</v>
      </c>
      <c r="E3" s="1" t="s">
        <v>386</v>
      </c>
      <c r="F3" s="1"/>
      <c r="G3" s="1" t="s">
        <v>117</v>
      </c>
      <c r="H3" s="1" t="s">
        <v>387</v>
      </c>
      <c r="I3" s="1" t="s">
        <v>388</v>
      </c>
      <c r="J3" s="1"/>
      <c r="K3" s="1"/>
      <c r="L3" s="1" t="s">
        <v>389</v>
      </c>
      <c r="M3" s="1" t="s">
        <v>118</v>
      </c>
      <c r="N3" s="1" t="s">
        <v>390</v>
      </c>
      <c r="O3" s="1" t="s">
        <v>391</v>
      </c>
      <c r="P3" s="1" t="s">
        <v>392</v>
      </c>
      <c r="Q3" s="1" t="s">
        <v>393</v>
      </c>
      <c r="R3" s="1"/>
      <c r="S3" s="64" t="s">
        <v>394</v>
      </c>
      <c r="T3" s="1" t="s">
        <v>106</v>
      </c>
      <c r="U3" s="1" t="s">
        <v>99</v>
      </c>
      <c r="V3" s="1" t="s">
        <v>88</v>
      </c>
      <c r="W3" s="1" t="s">
        <v>395</v>
      </c>
      <c r="X3" s="1" t="s">
        <v>396</v>
      </c>
      <c r="Y3" s="64" t="s">
        <v>109</v>
      </c>
      <c r="Z3" s="1" t="s">
        <v>92</v>
      </c>
      <c r="AA3" s="1" t="s">
        <v>397</v>
      </c>
      <c r="AB3" s="1" t="s">
        <v>101</v>
      </c>
      <c r="AC3" s="64" t="s">
        <v>96</v>
      </c>
      <c r="AD3" s="1" t="s">
        <v>398</v>
      </c>
      <c r="AE3" s="1" t="s">
        <v>126</v>
      </c>
      <c r="AF3" s="1" t="s">
        <v>399</v>
      </c>
      <c r="AG3" s="65" t="s">
        <v>400</v>
      </c>
      <c r="AH3" s="1"/>
      <c r="AI3" s="1"/>
      <c r="AJ3" s="1"/>
      <c r="AK3" s="1"/>
      <c r="AL3" s="153" t="s">
        <v>401</v>
      </c>
      <c r="AM3" s="153"/>
      <c r="AN3" s="153"/>
      <c r="AO3" s="153" t="s">
        <v>402</v>
      </c>
      <c r="AP3" s="153"/>
      <c r="AQ3" s="153"/>
      <c r="AR3" s="15"/>
      <c r="AS3" s="15"/>
      <c r="AT3" s="15"/>
      <c r="AU3" s="15"/>
      <c r="AV3" s="15"/>
      <c r="AW3" s="15"/>
      <c r="AX3" s="15"/>
      <c r="AY3" s="15"/>
      <c r="AZ3" s="15"/>
      <c r="BA3" s="1"/>
      <c r="BB3" s="1"/>
      <c r="BC3" s="15"/>
    </row>
    <row r="4" spans="1:55" x14ac:dyDescent="0.5">
      <c r="A4" s="1" t="s">
        <v>116</v>
      </c>
      <c r="B4" s="1"/>
      <c r="C4" s="1" t="s">
        <v>87</v>
      </c>
      <c r="D4" s="1" t="s">
        <v>403</v>
      </c>
      <c r="E4" s="1" t="s">
        <v>404</v>
      </c>
      <c r="F4" s="1"/>
      <c r="G4" s="1" t="s">
        <v>389</v>
      </c>
      <c r="H4" s="1" t="s">
        <v>389</v>
      </c>
      <c r="I4" s="1" t="s">
        <v>389</v>
      </c>
      <c r="J4" s="1"/>
      <c r="K4" s="1"/>
      <c r="L4" s="1" t="s">
        <v>405</v>
      </c>
      <c r="M4" s="1" t="s">
        <v>349</v>
      </c>
      <c r="N4" s="1" t="s">
        <v>110</v>
      </c>
      <c r="O4" s="1" t="s">
        <v>406</v>
      </c>
      <c r="P4" s="1" t="s">
        <v>407</v>
      </c>
      <c r="Q4" s="1" t="s">
        <v>408</v>
      </c>
      <c r="R4" s="1"/>
      <c r="S4" s="64" t="s">
        <v>405</v>
      </c>
      <c r="T4" s="1" t="s">
        <v>349</v>
      </c>
      <c r="U4" s="1" t="s">
        <v>110</v>
      </c>
      <c r="V4" s="1" t="s">
        <v>406</v>
      </c>
      <c r="W4" s="1" t="s">
        <v>407</v>
      </c>
      <c r="X4" s="1" t="s">
        <v>408</v>
      </c>
      <c r="Y4" s="64" t="s">
        <v>409</v>
      </c>
      <c r="Z4" s="1" t="s">
        <v>410</v>
      </c>
      <c r="AA4" s="1" t="s">
        <v>411</v>
      </c>
      <c r="AB4" s="1" t="s">
        <v>412</v>
      </c>
      <c r="AC4" s="64" t="s">
        <v>413</v>
      </c>
      <c r="AD4" s="1" t="s">
        <v>409</v>
      </c>
      <c r="AE4" s="1" t="s">
        <v>413</v>
      </c>
      <c r="AF4" s="1" t="s">
        <v>414</v>
      </c>
      <c r="AG4" s="65" t="s">
        <v>415</v>
      </c>
      <c r="AH4" s="1"/>
      <c r="AI4" s="1"/>
      <c r="AJ4" s="1"/>
      <c r="AK4" s="1"/>
      <c r="AL4" s="16" t="s">
        <v>416</v>
      </c>
      <c r="AM4" s="16" t="s">
        <v>417</v>
      </c>
      <c r="AN4" s="16" t="s">
        <v>418</v>
      </c>
      <c r="AO4" s="16" t="s">
        <v>419</v>
      </c>
      <c r="AP4" s="17" t="s">
        <v>420</v>
      </c>
      <c r="AQ4" s="16" t="s">
        <v>421</v>
      </c>
      <c r="AR4" s="15"/>
      <c r="AS4" s="15"/>
      <c r="AT4" s="1" t="s">
        <v>422</v>
      </c>
      <c r="AU4" s="1" t="s">
        <v>423</v>
      </c>
      <c r="AV4" s="1" t="s">
        <v>424</v>
      </c>
      <c r="AW4" s="1" t="s">
        <v>425</v>
      </c>
      <c r="AX4" s="1" t="s">
        <v>426</v>
      </c>
      <c r="AY4" s="1" t="s">
        <v>427</v>
      </c>
      <c r="AZ4" s="15"/>
      <c r="BA4" s="1"/>
      <c r="BB4" s="1"/>
      <c r="BC4" s="15"/>
    </row>
    <row r="5" spans="1:55" x14ac:dyDescent="0.5">
      <c r="A5" s="1" t="s">
        <v>86</v>
      </c>
      <c r="B5" s="1"/>
      <c r="C5" s="1" t="s">
        <v>91</v>
      </c>
      <c r="D5" s="1" t="s">
        <v>428</v>
      </c>
      <c r="E5" s="1" t="s">
        <v>429</v>
      </c>
      <c r="F5" s="1"/>
      <c r="G5" s="1" t="s">
        <v>118</v>
      </c>
      <c r="H5" s="1" t="s">
        <v>118</v>
      </c>
      <c r="I5" s="1" t="s">
        <v>118</v>
      </c>
      <c r="J5" s="1"/>
      <c r="K5" s="1"/>
      <c r="L5" s="1" t="s">
        <v>430</v>
      </c>
      <c r="M5" s="1" t="s">
        <v>431</v>
      </c>
      <c r="N5" s="1" t="s">
        <v>432</v>
      </c>
      <c r="O5" s="1" t="s">
        <v>65</v>
      </c>
      <c r="P5" s="1" t="s">
        <v>346</v>
      </c>
      <c r="Q5" s="1" t="s">
        <v>433</v>
      </c>
      <c r="R5" s="1"/>
      <c r="S5" s="64" t="s">
        <v>430</v>
      </c>
      <c r="T5" s="1" t="s">
        <v>431</v>
      </c>
      <c r="U5" s="1" t="s">
        <v>432</v>
      </c>
      <c r="V5" s="1" t="s">
        <v>65</v>
      </c>
      <c r="W5" s="1" t="s">
        <v>346</v>
      </c>
      <c r="X5" s="1" t="s">
        <v>433</v>
      </c>
      <c r="Y5" s="64" t="s">
        <v>407</v>
      </c>
      <c r="Z5" s="1" t="s">
        <v>406</v>
      </c>
      <c r="AA5" s="1" t="s">
        <v>434</v>
      </c>
      <c r="AB5" s="1" t="s">
        <v>435</v>
      </c>
      <c r="AC5" s="64" t="s">
        <v>436</v>
      </c>
      <c r="AD5" s="1" t="s">
        <v>437</v>
      </c>
      <c r="AE5" s="66" t="s">
        <v>438</v>
      </c>
      <c r="AF5" s="1" t="s">
        <v>439</v>
      </c>
      <c r="AG5" s="65" t="s">
        <v>440</v>
      </c>
      <c r="AH5" s="1"/>
      <c r="AI5" s="1"/>
      <c r="AJ5" s="1"/>
      <c r="AK5" s="1"/>
      <c r="AL5" s="18" t="s">
        <v>441</v>
      </c>
      <c r="AM5" s="18" t="s">
        <v>442</v>
      </c>
      <c r="AN5" s="18" t="s">
        <v>434</v>
      </c>
      <c r="AO5" s="18" t="s">
        <v>443</v>
      </c>
      <c r="AP5" s="18" t="s">
        <v>407</v>
      </c>
      <c r="AQ5" s="18" t="s">
        <v>354</v>
      </c>
      <c r="AR5" s="18"/>
      <c r="AS5" s="18"/>
      <c r="AT5" s="19" t="s">
        <v>441</v>
      </c>
      <c r="AU5" s="20" t="s">
        <v>349</v>
      </c>
      <c r="AV5" s="19" t="s">
        <v>443</v>
      </c>
      <c r="AW5" s="19" t="s">
        <v>434</v>
      </c>
      <c r="AX5" s="20" t="s">
        <v>413</v>
      </c>
      <c r="AY5" s="20" t="s">
        <v>413</v>
      </c>
      <c r="AZ5" s="18"/>
      <c r="BA5" s="1"/>
      <c r="BB5" s="1"/>
      <c r="BC5" s="18"/>
    </row>
    <row r="6" spans="1:55" x14ac:dyDescent="0.5">
      <c r="A6" s="1" t="s">
        <v>385</v>
      </c>
      <c r="B6" s="1"/>
      <c r="C6" s="1" t="s">
        <v>95</v>
      </c>
      <c r="D6" s="1" t="s">
        <v>444</v>
      </c>
      <c r="E6" s="1" t="s">
        <v>445</v>
      </c>
      <c r="F6" s="1"/>
      <c r="G6" s="1" t="s">
        <v>390</v>
      </c>
      <c r="H6" s="1" t="s">
        <v>390</v>
      </c>
      <c r="I6" s="1" t="s">
        <v>390</v>
      </c>
      <c r="J6" s="1"/>
      <c r="K6" s="1"/>
      <c r="L6" s="1" t="s">
        <v>446</v>
      </c>
      <c r="M6" s="1" t="s">
        <v>447</v>
      </c>
      <c r="N6" s="1" t="s">
        <v>448</v>
      </c>
      <c r="O6" s="1" t="s">
        <v>449</v>
      </c>
      <c r="P6" s="1" t="s">
        <v>412</v>
      </c>
      <c r="Q6" s="1" t="s">
        <v>450</v>
      </c>
      <c r="R6" s="1"/>
      <c r="S6" s="64" t="s">
        <v>446</v>
      </c>
      <c r="T6" s="1" t="s">
        <v>447</v>
      </c>
      <c r="U6" s="1" t="s">
        <v>448</v>
      </c>
      <c r="V6" s="1" t="s">
        <v>449</v>
      </c>
      <c r="W6" s="1" t="s">
        <v>412</v>
      </c>
      <c r="X6" s="1" t="s">
        <v>450</v>
      </c>
      <c r="Y6" s="64" t="s">
        <v>451</v>
      </c>
      <c r="Z6" s="1" t="s">
        <v>451</v>
      </c>
      <c r="AA6" s="1" t="s">
        <v>407</v>
      </c>
      <c r="AB6" s="1" t="s">
        <v>442</v>
      </c>
      <c r="AC6" s="64" t="s">
        <v>452</v>
      </c>
      <c r="AD6" s="1" t="s">
        <v>441</v>
      </c>
      <c r="AE6" s="1" t="s">
        <v>441</v>
      </c>
      <c r="AF6" s="1" t="s">
        <v>412</v>
      </c>
      <c r="AG6" s="65" t="s">
        <v>453</v>
      </c>
      <c r="AH6" s="1"/>
      <c r="AI6" s="1"/>
      <c r="AJ6" s="1"/>
      <c r="AK6" s="1"/>
      <c r="AL6" s="18" t="s">
        <v>446</v>
      </c>
      <c r="AM6" s="18" t="s">
        <v>454</v>
      </c>
      <c r="AN6" s="18" t="s">
        <v>443</v>
      </c>
      <c r="AO6" s="18" t="s">
        <v>406</v>
      </c>
      <c r="AP6" s="18" t="s">
        <v>455</v>
      </c>
      <c r="AQ6" s="18" t="s">
        <v>456</v>
      </c>
      <c r="AR6" s="18"/>
      <c r="AS6" s="18"/>
      <c r="AT6" s="21" t="s">
        <v>446</v>
      </c>
      <c r="AU6" s="22" t="s">
        <v>431</v>
      </c>
      <c r="AV6" s="20" t="s">
        <v>406</v>
      </c>
      <c r="AW6" s="21" t="s">
        <v>443</v>
      </c>
      <c r="AX6" s="22" t="s">
        <v>414</v>
      </c>
      <c r="AY6" s="20" t="s">
        <v>438</v>
      </c>
      <c r="AZ6" s="18"/>
      <c r="BA6" s="1"/>
      <c r="BB6" s="1"/>
      <c r="BC6" s="18"/>
    </row>
    <row r="7" spans="1:55" x14ac:dyDescent="0.5">
      <c r="A7" s="1" t="s">
        <v>386</v>
      </c>
      <c r="B7" s="1"/>
      <c r="C7" s="1"/>
      <c r="D7" s="1" t="s">
        <v>457</v>
      </c>
      <c r="E7" s="1"/>
      <c r="F7" s="1"/>
      <c r="G7" s="1" t="s">
        <v>391</v>
      </c>
      <c r="H7" s="1" t="s">
        <v>391</v>
      </c>
      <c r="I7" s="1" t="s">
        <v>391</v>
      </c>
      <c r="J7" s="1"/>
      <c r="K7" s="1"/>
      <c r="L7" s="1" t="s">
        <v>458</v>
      </c>
      <c r="M7" s="1" t="s">
        <v>350</v>
      </c>
      <c r="N7" s="1" t="s">
        <v>459</v>
      </c>
      <c r="O7" s="1" t="s">
        <v>460</v>
      </c>
      <c r="P7" s="1" t="s">
        <v>412</v>
      </c>
      <c r="Q7" s="1" t="s">
        <v>461</v>
      </c>
      <c r="R7" s="1"/>
      <c r="S7" s="64" t="s">
        <v>458</v>
      </c>
      <c r="T7" s="1" t="s">
        <v>350</v>
      </c>
      <c r="U7" s="1" t="s">
        <v>459</v>
      </c>
      <c r="V7" s="1" t="s">
        <v>460</v>
      </c>
      <c r="W7" s="1" t="s">
        <v>412</v>
      </c>
      <c r="X7" s="1" t="s">
        <v>461</v>
      </c>
      <c r="Y7" s="64" t="s">
        <v>461</v>
      </c>
      <c r="Z7" s="1" t="s">
        <v>462</v>
      </c>
      <c r="AA7" s="1" t="s">
        <v>451</v>
      </c>
      <c r="AB7" s="1" t="s">
        <v>463</v>
      </c>
      <c r="AC7" s="64" t="s">
        <v>110</v>
      </c>
      <c r="AD7" s="1" t="s">
        <v>464</v>
      </c>
      <c r="AE7" s="1" t="s">
        <v>465</v>
      </c>
      <c r="AF7" s="1" t="s">
        <v>466</v>
      </c>
      <c r="AG7" s="65" t="s">
        <v>467</v>
      </c>
      <c r="AH7" s="1"/>
      <c r="AI7" s="1"/>
      <c r="AJ7" s="1"/>
      <c r="AK7" s="1"/>
      <c r="AL7" s="18" t="s">
        <v>468</v>
      </c>
      <c r="AM7" s="18" t="s">
        <v>469</v>
      </c>
      <c r="AN7" s="18" t="s">
        <v>449</v>
      </c>
      <c r="AO7" s="18" t="s">
        <v>470</v>
      </c>
      <c r="AP7" s="18" t="s">
        <v>453</v>
      </c>
      <c r="AQ7" s="18" t="s">
        <v>471</v>
      </c>
      <c r="AR7" s="18"/>
      <c r="AS7" s="18"/>
      <c r="AT7" s="19" t="s">
        <v>468</v>
      </c>
      <c r="AU7" s="1" t="s">
        <v>442</v>
      </c>
      <c r="AV7" s="22" t="s">
        <v>65</v>
      </c>
      <c r="AW7" s="20" t="s">
        <v>110</v>
      </c>
      <c r="AX7" s="20" t="s">
        <v>438</v>
      </c>
      <c r="AY7" s="20" t="s">
        <v>440</v>
      </c>
      <c r="AZ7" s="18"/>
      <c r="BA7" s="1"/>
      <c r="BB7" s="1"/>
      <c r="BC7" s="18"/>
    </row>
    <row r="8" spans="1:55" x14ac:dyDescent="0.5">
      <c r="A8" s="1"/>
      <c r="B8" s="1"/>
      <c r="C8" s="1"/>
      <c r="D8" s="1"/>
      <c r="E8" s="1"/>
      <c r="F8" s="1"/>
      <c r="G8" s="1" t="s">
        <v>392</v>
      </c>
      <c r="H8" s="1" t="s">
        <v>392</v>
      </c>
      <c r="I8" s="1" t="s">
        <v>392</v>
      </c>
      <c r="J8" s="1"/>
      <c r="K8" s="1"/>
      <c r="L8" s="1" t="s">
        <v>472</v>
      </c>
      <c r="M8" s="1" t="s">
        <v>473</v>
      </c>
      <c r="N8" s="1" t="s">
        <v>351</v>
      </c>
      <c r="O8" s="1" t="s">
        <v>454</v>
      </c>
      <c r="P8" s="1" t="s">
        <v>474</v>
      </c>
      <c r="Q8" s="1" t="s">
        <v>475</v>
      </c>
      <c r="R8" s="1"/>
      <c r="S8" s="64" t="s">
        <v>472</v>
      </c>
      <c r="T8" s="1" t="s">
        <v>473</v>
      </c>
      <c r="U8" s="1" t="s">
        <v>351</v>
      </c>
      <c r="V8" s="1" t="s">
        <v>454</v>
      </c>
      <c r="W8" s="1" t="s">
        <v>474</v>
      </c>
      <c r="X8" s="1" t="s">
        <v>475</v>
      </c>
      <c r="Y8" s="64" t="s">
        <v>65</v>
      </c>
      <c r="Z8" s="1" t="s">
        <v>110</v>
      </c>
      <c r="AA8" s="1" t="s">
        <v>476</v>
      </c>
      <c r="AB8" s="1" t="s">
        <v>477</v>
      </c>
      <c r="AC8" s="64" t="s">
        <v>478</v>
      </c>
      <c r="AD8" s="66" t="s">
        <v>347</v>
      </c>
      <c r="AE8" s="1" t="s">
        <v>479</v>
      </c>
      <c r="AF8" s="1" t="s">
        <v>480</v>
      </c>
      <c r="AG8" s="65" t="s">
        <v>460</v>
      </c>
      <c r="AH8" s="1"/>
      <c r="AI8" s="1"/>
      <c r="AJ8" s="1"/>
      <c r="AK8" s="1"/>
      <c r="AL8" s="18" t="s">
        <v>472</v>
      </c>
      <c r="AM8" s="18" t="s">
        <v>481</v>
      </c>
      <c r="AN8" s="18" t="s">
        <v>460</v>
      </c>
      <c r="AO8" s="18" t="s">
        <v>482</v>
      </c>
      <c r="AP8" s="18" t="s">
        <v>483</v>
      </c>
      <c r="AQ8" s="18" t="s">
        <v>484</v>
      </c>
      <c r="AR8" s="18"/>
      <c r="AS8" s="18"/>
      <c r="AT8" s="21" t="s">
        <v>472</v>
      </c>
      <c r="AU8" s="20" t="s">
        <v>447</v>
      </c>
      <c r="AV8" s="20" t="s">
        <v>110</v>
      </c>
      <c r="AW8" s="19" t="s">
        <v>449</v>
      </c>
      <c r="AX8" s="22" t="s">
        <v>440</v>
      </c>
      <c r="AY8" s="20" t="s">
        <v>465</v>
      </c>
      <c r="AZ8" s="18"/>
      <c r="BA8" s="1"/>
      <c r="BB8" s="1"/>
      <c r="BC8" s="18"/>
    </row>
    <row r="9" spans="1:55" x14ac:dyDescent="0.5">
      <c r="A9" s="1"/>
      <c r="B9" s="1"/>
      <c r="C9" s="1"/>
      <c r="D9" s="1"/>
      <c r="E9" s="1"/>
      <c r="F9" s="1"/>
      <c r="G9" s="1" t="s">
        <v>393</v>
      </c>
      <c r="H9" s="1" t="s">
        <v>393</v>
      </c>
      <c r="I9" s="1" t="s">
        <v>393</v>
      </c>
      <c r="J9" s="1"/>
      <c r="K9" s="1"/>
      <c r="L9" s="1" t="s">
        <v>353</v>
      </c>
      <c r="M9" s="1" t="s">
        <v>485</v>
      </c>
      <c r="N9" s="1" t="s">
        <v>486</v>
      </c>
      <c r="O9" s="1" t="s">
        <v>480</v>
      </c>
      <c r="P9" s="1" t="s">
        <v>487</v>
      </c>
      <c r="Q9" s="1" t="s">
        <v>347</v>
      </c>
      <c r="R9" s="1"/>
      <c r="S9" s="64" t="s">
        <v>353</v>
      </c>
      <c r="T9" s="1" t="s">
        <v>485</v>
      </c>
      <c r="U9" s="66" t="s">
        <v>486</v>
      </c>
      <c r="V9" s="1" t="s">
        <v>480</v>
      </c>
      <c r="W9" s="1" t="s">
        <v>487</v>
      </c>
      <c r="X9" s="1" t="s">
        <v>347</v>
      </c>
      <c r="Y9" s="64" t="s">
        <v>110</v>
      </c>
      <c r="Z9" s="1" t="s">
        <v>412</v>
      </c>
      <c r="AA9" s="1" t="s">
        <v>488</v>
      </c>
      <c r="AB9" s="1" t="s">
        <v>459</v>
      </c>
      <c r="AC9" s="64" t="s">
        <v>478</v>
      </c>
      <c r="AD9" s="1" t="s">
        <v>489</v>
      </c>
      <c r="AE9" s="1" t="s">
        <v>490</v>
      </c>
      <c r="AF9" s="1" t="s">
        <v>491</v>
      </c>
      <c r="AG9" s="65" t="s">
        <v>492</v>
      </c>
      <c r="AH9" s="1"/>
      <c r="AI9" s="1"/>
      <c r="AJ9" s="1"/>
      <c r="AK9" s="1"/>
      <c r="AL9" s="18" t="s">
        <v>353</v>
      </c>
      <c r="AM9" s="18" t="s">
        <v>493</v>
      </c>
      <c r="AN9" s="18" t="s">
        <v>466</v>
      </c>
      <c r="AO9" s="18" t="s">
        <v>460</v>
      </c>
      <c r="AP9" s="18" t="s">
        <v>494</v>
      </c>
      <c r="AQ9" s="18" t="s">
        <v>495</v>
      </c>
      <c r="AR9" s="18"/>
      <c r="AS9" s="18"/>
      <c r="AT9" s="19" t="s">
        <v>353</v>
      </c>
      <c r="AU9" s="21" t="s">
        <v>454</v>
      </c>
      <c r="AV9" s="20" t="s">
        <v>470</v>
      </c>
      <c r="AW9" s="22" t="s">
        <v>432</v>
      </c>
      <c r="AX9" s="22" t="s">
        <v>441</v>
      </c>
      <c r="AY9" s="22" t="s">
        <v>479</v>
      </c>
      <c r="AZ9" s="18"/>
      <c r="BA9" s="1"/>
      <c r="BB9" s="1"/>
      <c r="BC9" s="18"/>
    </row>
    <row r="10" spans="1:55" x14ac:dyDescent="0.5">
      <c r="A10" s="1"/>
      <c r="B10" s="1"/>
      <c r="C10" s="1"/>
      <c r="D10" s="1"/>
      <c r="E10" s="1"/>
      <c r="F10" s="1"/>
      <c r="G10" s="1"/>
      <c r="H10" s="1"/>
      <c r="I10" s="1"/>
      <c r="J10" s="1"/>
      <c r="K10" s="1"/>
      <c r="L10" s="1" t="s">
        <v>496</v>
      </c>
      <c r="M10" s="1" t="s">
        <v>497</v>
      </c>
      <c r="N10" s="1" t="s">
        <v>481</v>
      </c>
      <c r="O10" s="1" t="s">
        <v>469</v>
      </c>
      <c r="P10" s="1" t="s">
        <v>449</v>
      </c>
      <c r="Q10" s="1" t="s">
        <v>348</v>
      </c>
      <c r="R10" s="1"/>
      <c r="S10" s="64" t="s">
        <v>496</v>
      </c>
      <c r="T10" s="1" t="s">
        <v>497</v>
      </c>
      <c r="U10" s="1" t="s">
        <v>481</v>
      </c>
      <c r="V10" s="1" t="s">
        <v>469</v>
      </c>
      <c r="W10" s="1" t="s">
        <v>449</v>
      </c>
      <c r="X10" s="1" t="s">
        <v>348</v>
      </c>
      <c r="Y10" s="64" t="s">
        <v>498</v>
      </c>
      <c r="Z10" s="1" t="s">
        <v>477</v>
      </c>
      <c r="AA10" s="1" t="s">
        <v>477</v>
      </c>
      <c r="AB10" s="1" t="s">
        <v>351</v>
      </c>
      <c r="AC10" s="64" t="s">
        <v>499</v>
      </c>
      <c r="AD10" s="1" t="s">
        <v>442</v>
      </c>
      <c r="AE10" s="1" t="s">
        <v>453</v>
      </c>
      <c r="AF10" s="1" t="s">
        <v>500</v>
      </c>
      <c r="AG10" s="65" t="s">
        <v>501</v>
      </c>
      <c r="AH10" s="1"/>
      <c r="AI10" s="1"/>
      <c r="AJ10" s="1"/>
      <c r="AK10" s="1"/>
      <c r="AL10" s="18" t="s">
        <v>496</v>
      </c>
      <c r="AM10" s="18" t="s">
        <v>502</v>
      </c>
      <c r="AN10" s="18" t="s">
        <v>503</v>
      </c>
      <c r="AO10" s="18" t="s">
        <v>504</v>
      </c>
      <c r="AP10" s="18" t="s">
        <v>448</v>
      </c>
      <c r="AQ10" s="18" t="s">
        <v>364</v>
      </c>
      <c r="AR10" s="18"/>
      <c r="AS10" s="18"/>
      <c r="AT10" s="21" t="s">
        <v>496</v>
      </c>
      <c r="AU10" s="22" t="s">
        <v>350</v>
      </c>
      <c r="AV10" s="22" t="s">
        <v>482</v>
      </c>
      <c r="AW10" s="21" t="s">
        <v>460</v>
      </c>
      <c r="AX10" s="22" t="s">
        <v>465</v>
      </c>
      <c r="AY10" s="20" t="s">
        <v>490</v>
      </c>
      <c r="AZ10" s="18"/>
      <c r="BA10" s="1"/>
      <c r="BB10" s="1"/>
      <c r="BC10" s="18"/>
    </row>
    <row r="11" spans="1:55" x14ac:dyDescent="0.5">
      <c r="A11" s="1"/>
      <c r="B11" s="1"/>
      <c r="C11" s="1"/>
      <c r="D11" s="1"/>
      <c r="E11" s="1"/>
      <c r="F11" s="1"/>
      <c r="G11" s="1" t="s">
        <v>403</v>
      </c>
      <c r="H11" s="1" t="s">
        <v>428</v>
      </c>
      <c r="I11" s="1" t="s">
        <v>505</v>
      </c>
      <c r="J11" s="1" t="s">
        <v>457</v>
      </c>
      <c r="K11" s="1"/>
      <c r="L11" s="1" t="s">
        <v>481</v>
      </c>
      <c r="M11" s="1" t="s">
        <v>506</v>
      </c>
      <c r="N11" s="1" t="s">
        <v>507</v>
      </c>
      <c r="O11" s="1" t="s">
        <v>485</v>
      </c>
      <c r="P11" s="1" t="s">
        <v>459</v>
      </c>
      <c r="Q11" s="1" t="s">
        <v>508</v>
      </c>
      <c r="R11" s="1"/>
      <c r="S11" s="64" t="s">
        <v>481</v>
      </c>
      <c r="T11" s="1" t="s">
        <v>506</v>
      </c>
      <c r="U11" s="1" t="s">
        <v>507</v>
      </c>
      <c r="V11" s="1" t="s">
        <v>485</v>
      </c>
      <c r="W11" s="1" t="s">
        <v>459</v>
      </c>
      <c r="X11" s="1" t="s">
        <v>508</v>
      </c>
      <c r="Y11" s="64" t="s">
        <v>412</v>
      </c>
      <c r="Z11" s="1" t="s">
        <v>351</v>
      </c>
      <c r="AA11" s="1" t="s">
        <v>509</v>
      </c>
      <c r="AB11" s="1" t="s">
        <v>510</v>
      </c>
      <c r="AC11" s="74" t="s">
        <v>467</v>
      </c>
      <c r="AD11" s="1" t="s">
        <v>492</v>
      </c>
      <c r="AE11" s="1" t="s">
        <v>478</v>
      </c>
      <c r="AF11" s="67" t="s">
        <v>353</v>
      </c>
      <c r="AG11" s="65" t="s">
        <v>511</v>
      </c>
      <c r="AH11" s="1"/>
      <c r="AI11" s="1"/>
      <c r="AJ11" s="1"/>
      <c r="AK11" s="1"/>
      <c r="AL11" s="18" t="s">
        <v>512</v>
      </c>
      <c r="AM11" s="18" t="s">
        <v>513</v>
      </c>
      <c r="AN11" s="18" t="s">
        <v>481</v>
      </c>
      <c r="AO11" s="18" t="s">
        <v>454</v>
      </c>
      <c r="AP11" s="18" t="s">
        <v>454</v>
      </c>
      <c r="AQ11" s="18" t="s">
        <v>514</v>
      </c>
      <c r="AR11" s="18"/>
      <c r="AS11" s="18"/>
      <c r="AT11" s="19" t="s">
        <v>512</v>
      </c>
      <c r="AU11" s="19" t="s">
        <v>469</v>
      </c>
      <c r="AV11" s="20" t="s">
        <v>449</v>
      </c>
      <c r="AW11" s="20" t="s">
        <v>448</v>
      </c>
      <c r="AX11" s="22" t="s">
        <v>479</v>
      </c>
      <c r="AY11" s="20" t="s">
        <v>439</v>
      </c>
      <c r="AZ11" s="18"/>
      <c r="BA11" s="1"/>
      <c r="BB11" s="1"/>
      <c r="BC11" s="18"/>
    </row>
    <row r="12" spans="1:55" x14ac:dyDescent="0.5">
      <c r="A12" s="1"/>
      <c r="B12" s="1"/>
      <c r="C12" s="1"/>
      <c r="D12" s="1"/>
      <c r="E12" s="1"/>
      <c r="F12" s="1"/>
      <c r="G12" s="1" t="s">
        <v>416</v>
      </c>
      <c r="H12" s="1" t="s">
        <v>416</v>
      </c>
      <c r="I12" s="1" t="s">
        <v>416</v>
      </c>
      <c r="J12" s="1" t="s">
        <v>416</v>
      </c>
      <c r="K12" s="1"/>
      <c r="L12" s="1" t="s">
        <v>515</v>
      </c>
      <c r="M12" s="1" t="s">
        <v>515</v>
      </c>
      <c r="N12" s="1" t="s">
        <v>516</v>
      </c>
      <c r="O12" s="1" t="s">
        <v>491</v>
      </c>
      <c r="P12" s="1" t="s">
        <v>517</v>
      </c>
      <c r="Q12" s="1" t="s">
        <v>449</v>
      </c>
      <c r="R12" s="1"/>
      <c r="S12" s="64" t="s">
        <v>515</v>
      </c>
      <c r="T12" s="1" t="s">
        <v>515</v>
      </c>
      <c r="U12" s="1" t="s">
        <v>516</v>
      </c>
      <c r="V12" s="1" t="s">
        <v>491</v>
      </c>
      <c r="W12" s="1" t="s">
        <v>517</v>
      </c>
      <c r="X12" s="1" t="s">
        <v>449</v>
      </c>
      <c r="Y12" s="64" t="s">
        <v>347</v>
      </c>
      <c r="Z12" s="1" t="s">
        <v>518</v>
      </c>
      <c r="AA12" s="1" t="s">
        <v>519</v>
      </c>
      <c r="AB12" s="1" t="s">
        <v>520</v>
      </c>
      <c r="AC12" s="64" t="s">
        <v>442</v>
      </c>
      <c r="AD12" s="1" t="s">
        <v>350</v>
      </c>
      <c r="AE12" s="1" t="s">
        <v>464</v>
      </c>
      <c r="AF12" s="67" t="s">
        <v>521</v>
      </c>
      <c r="AG12" s="65" t="s">
        <v>351</v>
      </c>
      <c r="AH12" s="1"/>
      <c r="AI12" s="1"/>
      <c r="AJ12" s="1"/>
      <c r="AK12" s="1"/>
      <c r="AL12" s="18" t="s">
        <v>522</v>
      </c>
      <c r="AM12" s="18" t="s">
        <v>523</v>
      </c>
      <c r="AN12" s="18" t="s">
        <v>354</v>
      </c>
      <c r="AO12" s="18" t="s">
        <v>524</v>
      </c>
      <c r="AP12" s="18" t="s">
        <v>525</v>
      </c>
      <c r="AQ12" s="18" t="s">
        <v>526</v>
      </c>
      <c r="AR12" s="18"/>
      <c r="AS12" s="18"/>
      <c r="AT12" s="21" t="s">
        <v>522</v>
      </c>
      <c r="AU12" s="20" t="s">
        <v>473</v>
      </c>
      <c r="AV12" s="22" t="s">
        <v>432</v>
      </c>
      <c r="AW12" s="22" t="s">
        <v>459</v>
      </c>
      <c r="AX12" s="20" t="s">
        <v>490</v>
      </c>
      <c r="AY12" s="22" t="s">
        <v>478</v>
      </c>
      <c r="AZ12" s="18"/>
      <c r="BA12" s="1"/>
      <c r="BB12" s="1"/>
      <c r="BC12" s="18"/>
    </row>
    <row r="13" spans="1:55" x14ac:dyDescent="0.5">
      <c r="A13" s="1"/>
      <c r="B13" s="1"/>
      <c r="C13" s="1"/>
      <c r="D13" s="1"/>
      <c r="E13" s="1"/>
      <c r="F13" s="1"/>
      <c r="G13" s="1" t="s">
        <v>417</v>
      </c>
      <c r="H13" s="1" t="s">
        <v>417</v>
      </c>
      <c r="I13" s="1" t="s">
        <v>417</v>
      </c>
      <c r="J13" s="1" t="s">
        <v>417</v>
      </c>
      <c r="K13" s="1"/>
      <c r="L13" s="1" t="s">
        <v>522</v>
      </c>
      <c r="M13" s="1" t="s">
        <v>521</v>
      </c>
      <c r="N13" s="1" t="s">
        <v>527</v>
      </c>
      <c r="O13" s="1" t="s">
        <v>506</v>
      </c>
      <c r="P13" s="1" t="s">
        <v>528</v>
      </c>
      <c r="Q13" s="1" t="s">
        <v>529</v>
      </c>
      <c r="R13" s="1"/>
      <c r="S13" s="64" t="s">
        <v>522</v>
      </c>
      <c r="T13" s="1" t="s">
        <v>521</v>
      </c>
      <c r="U13" s="1" t="s">
        <v>527</v>
      </c>
      <c r="V13" s="1" t="s">
        <v>506</v>
      </c>
      <c r="W13" s="1" t="s">
        <v>528</v>
      </c>
      <c r="X13" s="1" t="s">
        <v>529</v>
      </c>
      <c r="Y13" s="64" t="s">
        <v>530</v>
      </c>
      <c r="Z13" s="1" t="s">
        <v>516</v>
      </c>
      <c r="AA13" s="1" t="s">
        <v>531</v>
      </c>
      <c r="AB13" s="1" t="s">
        <v>532</v>
      </c>
      <c r="AC13" s="64" t="s">
        <v>351</v>
      </c>
      <c r="AD13" s="1" t="s">
        <v>352</v>
      </c>
      <c r="AE13" s="1" t="s">
        <v>533</v>
      </c>
      <c r="AF13" s="67" t="s">
        <v>507</v>
      </c>
      <c r="AG13" s="65" t="s">
        <v>534</v>
      </c>
      <c r="AH13" s="1"/>
      <c r="AI13" s="1"/>
      <c r="AJ13" s="1"/>
      <c r="AK13" s="1"/>
      <c r="AL13" s="18" t="s">
        <v>535</v>
      </c>
      <c r="AM13" s="18" t="s">
        <v>536</v>
      </c>
      <c r="AN13" s="18" t="s">
        <v>537</v>
      </c>
      <c r="AO13" s="18" t="s">
        <v>538</v>
      </c>
      <c r="AP13" s="18" t="s">
        <v>459</v>
      </c>
      <c r="AQ13" s="18" t="s">
        <v>539</v>
      </c>
      <c r="AR13" s="18"/>
      <c r="AS13" s="18"/>
      <c r="AT13" s="19" t="s">
        <v>535</v>
      </c>
      <c r="AU13" s="22" t="s">
        <v>485</v>
      </c>
      <c r="AV13" s="22" t="s">
        <v>460</v>
      </c>
      <c r="AW13" s="20" t="s">
        <v>351</v>
      </c>
      <c r="AX13" s="22" t="s">
        <v>439</v>
      </c>
      <c r="AY13" s="20" t="s">
        <v>464</v>
      </c>
      <c r="AZ13" s="18"/>
      <c r="BA13" s="1"/>
      <c r="BB13" s="1"/>
      <c r="BC13" s="18"/>
    </row>
    <row r="14" spans="1:55" x14ac:dyDescent="0.5">
      <c r="A14" s="1"/>
      <c r="B14" s="1"/>
      <c r="C14" s="1"/>
      <c r="D14" s="1"/>
      <c r="E14" s="1"/>
      <c r="F14" s="1"/>
      <c r="G14" s="1" t="s">
        <v>418</v>
      </c>
      <c r="H14" s="1" t="s">
        <v>418</v>
      </c>
      <c r="I14" s="1" t="s">
        <v>418</v>
      </c>
      <c r="J14" s="1" t="s">
        <v>418</v>
      </c>
      <c r="K14" s="1"/>
      <c r="L14" s="1" t="s">
        <v>540</v>
      </c>
      <c r="M14" s="1" t="s">
        <v>516</v>
      </c>
      <c r="N14" s="1" t="s">
        <v>59</v>
      </c>
      <c r="O14" s="1" t="s">
        <v>541</v>
      </c>
      <c r="P14" s="1" t="s">
        <v>466</v>
      </c>
      <c r="Q14" s="1" t="s">
        <v>542</v>
      </c>
      <c r="R14" s="1"/>
      <c r="S14" s="64" t="s">
        <v>540</v>
      </c>
      <c r="T14" s="1" t="s">
        <v>516</v>
      </c>
      <c r="U14" s="77" t="s">
        <v>59</v>
      </c>
      <c r="V14" s="1" t="s">
        <v>541</v>
      </c>
      <c r="W14" s="1" t="s">
        <v>466</v>
      </c>
      <c r="X14" s="1" t="s">
        <v>542</v>
      </c>
      <c r="Y14" s="64" t="s">
        <v>494</v>
      </c>
      <c r="Z14" s="1" t="s">
        <v>97</v>
      </c>
      <c r="AA14" s="1" t="s">
        <v>543</v>
      </c>
      <c r="AB14" s="1" t="s">
        <v>97</v>
      </c>
      <c r="AC14" s="64" t="s">
        <v>531</v>
      </c>
      <c r="AD14" s="1" t="s">
        <v>544</v>
      </c>
      <c r="AE14" s="1" t="s">
        <v>545</v>
      </c>
      <c r="AF14" s="1" t="s">
        <v>546</v>
      </c>
      <c r="AG14" s="65" t="s">
        <v>547</v>
      </c>
      <c r="AH14" s="1"/>
      <c r="AI14" s="1"/>
      <c r="AJ14" s="1"/>
      <c r="AK14" s="1"/>
      <c r="AL14" s="18" t="s">
        <v>548</v>
      </c>
      <c r="AM14" s="18" t="s">
        <v>549</v>
      </c>
      <c r="AN14" s="18" t="s">
        <v>522</v>
      </c>
      <c r="AO14" s="18" t="s">
        <v>550</v>
      </c>
      <c r="AP14" s="18" t="s">
        <v>486</v>
      </c>
      <c r="AQ14" s="18" t="s">
        <v>551</v>
      </c>
      <c r="AR14" s="18"/>
      <c r="AS14" s="18"/>
      <c r="AT14" s="21" t="s">
        <v>548</v>
      </c>
      <c r="AU14" s="20" t="s">
        <v>497</v>
      </c>
      <c r="AV14" s="21" t="s">
        <v>504</v>
      </c>
      <c r="AW14" s="19" t="s">
        <v>466</v>
      </c>
      <c r="AX14" s="22" t="s">
        <v>453</v>
      </c>
      <c r="AY14" s="20" t="s">
        <v>533</v>
      </c>
      <c r="AZ14" s="18"/>
      <c r="BA14" s="1"/>
      <c r="BB14" s="1"/>
      <c r="BC14" s="18"/>
    </row>
    <row r="15" spans="1:55" x14ac:dyDescent="0.5">
      <c r="A15" s="1"/>
      <c r="B15" s="1"/>
      <c r="C15" s="1"/>
      <c r="D15" s="1"/>
      <c r="E15" s="1"/>
      <c r="F15" s="1"/>
      <c r="G15" s="1" t="s">
        <v>419</v>
      </c>
      <c r="H15" s="1" t="s">
        <v>419</v>
      </c>
      <c r="I15" s="1" t="s">
        <v>419</v>
      </c>
      <c r="J15" s="1" t="s">
        <v>419</v>
      </c>
      <c r="K15" s="1"/>
      <c r="L15" s="1" t="s">
        <v>535</v>
      </c>
      <c r="M15" s="1" t="s">
        <v>493</v>
      </c>
      <c r="N15" s="1" t="s">
        <v>537</v>
      </c>
      <c r="O15" s="1" t="s">
        <v>354</v>
      </c>
      <c r="P15" s="1" t="s">
        <v>486</v>
      </c>
      <c r="Q15" s="1" t="s">
        <v>442</v>
      </c>
      <c r="R15" s="1"/>
      <c r="S15" s="64" t="s">
        <v>535</v>
      </c>
      <c r="T15" s="1" t="s">
        <v>493</v>
      </c>
      <c r="U15" s="1" t="s">
        <v>537</v>
      </c>
      <c r="V15" s="1" t="s">
        <v>354</v>
      </c>
      <c r="W15" s="1" t="s">
        <v>486</v>
      </c>
      <c r="X15" s="1" t="s">
        <v>442</v>
      </c>
      <c r="Y15" s="64" t="s">
        <v>454</v>
      </c>
      <c r="Z15" s="73" t="s">
        <v>355</v>
      </c>
      <c r="AA15" s="1" t="s">
        <v>355</v>
      </c>
      <c r="AB15" s="67" t="s">
        <v>59</v>
      </c>
      <c r="AC15" s="64" t="s">
        <v>472</v>
      </c>
      <c r="AD15" s="1" t="s">
        <v>552</v>
      </c>
      <c r="AE15" s="1" t="s">
        <v>467</v>
      </c>
      <c r="AF15" s="1" t="s">
        <v>553</v>
      </c>
      <c r="AG15" s="78" t="s">
        <v>554</v>
      </c>
      <c r="AH15" s="1"/>
      <c r="AI15" s="1"/>
      <c r="AJ15" s="1"/>
      <c r="AK15" s="1"/>
      <c r="AL15" s="18" t="s">
        <v>555</v>
      </c>
      <c r="AM15" s="18" t="s">
        <v>556</v>
      </c>
      <c r="AN15" s="18" t="s">
        <v>127</v>
      </c>
      <c r="AO15" s="18" t="s">
        <v>557</v>
      </c>
      <c r="AP15" s="18" t="s">
        <v>558</v>
      </c>
      <c r="AQ15" s="18" t="s">
        <v>559</v>
      </c>
      <c r="AR15" s="18"/>
      <c r="AS15" s="18"/>
      <c r="AT15" s="19" t="s">
        <v>555</v>
      </c>
      <c r="AU15" s="22" t="s">
        <v>506</v>
      </c>
      <c r="AV15" s="20" t="s">
        <v>448</v>
      </c>
      <c r="AW15" s="22" t="s">
        <v>486</v>
      </c>
      <c r="AX15" s="22" t="s">
        <v>478</v>
      </c>
      <c r="AY15" s="20" t="s">
        <v>545</v>
      </c>
      <c r="AZ15" s="18"/>
      <c r="BA15" s="1"/>
      <c r="BB15" s="1"/>
      <c r="BC15" s="18"/>
    </row>
    <row r="16" spans="1:55" x14ac:dyDescent="0.5">
      <c r="A16" s="1"/>
      <c r="B16" s="1"/>
      <c r="C16" s="1"/>
      <c r="D16" s="1"/>
      <c r="E16" s="1"/>
      <c r="F16" s="1"/>
      <c r="G16" s="1" t="s">
        <v>420</v>
      </c>
      <c r="H16" s="1" t="s">
        <v>420</v>
      </c>
      <c r="I16" s="1" t="s">
        <v>420</v>
      </c>
      <c r="J16" s="1" t="s">
        <v>420</v>
      </c>
      <c r="K16" s="1"/>
      <c r="L16" s="1" t="s">
        <v>356</v>
      </c>
      <c r="M16" s="1" t="s">
        <v>59</v>
      </c>
      <c r="N16" s="1" t="s">
        <v>560</v>
      </c>
      <c r="O16" s="1" t="s">
        <v>561</v>
      </c>
      <c r="P16" s="1" t="s">
        <v>562</v>
      </c>
      <c r="Q16" s="1" t="s">
        <v>517</v>
      </c>
      <c r="R16" s="1"/>
      <c r="S16" s="64" t="s">
        <v>356</v>
      </c>
      <c r="T16" s="1" t="s">
        <v>59</v>
      </c>
      <c r="U16" s="1" t="s">
        <v>560</v>
      </c>
      <c r="V16" s="1" t="s">
        <v>561</v>
      </c>
      <c r="W16" s="66" t="s">
        <v>562</v>
      </c>
      <c r="X16" s="1" t="s">
        <v>517</v>
      </c>
      <c r="Y16" s="64" t="s">
        <v>563</v>
      </c>
      <c r="Z16" s="1" t="s">
        <v>564</v>
      </c>
      <c r="AA16" s="1" t="s">
        <v>565</v>
      </c>
      <c r="AB16" s="1" t="s">
        <v>566</v>
      </c>
      <c r="AC16" s="64" t="s">
        <v>561</v>
      </c>
      <c r="AD16" s="1" t="s">
        <v>472</v>
      </c>
      <c r="AE16" s="1" t="s">
        <v>567</v>
      </c>
      <c r="AF16" s="1" t="s">
        <v>568</v>
      </c>
      <c r="AG16" s="65" t="s">
        <v>552</v>
      </c>
      <c r="AH16" s="1"/>
      <c r="AI16" s="1"/>
      <c r="AJ16" s="1"/>
      <c r="AK16" s="1"/>
      <c r="AL16" s="18" t="s">
        <v>569</v>
      </c>
      <c r="AM16" s="18" t="s">
        <v>570</v>
      </c>
      <c r="AN16" s="18" t="s">
        <v>540</v>
      </c>
      <c r="AO16" s="18" t="s">
        <v>571</v>
      </c>
      <c r="AP16" s="18" t="s">
        <v>562</v>
      </c>
      <c r="AQ16" s="18" t="s">
        <v>572</v>
      </c>
      <c r="AR16" s="18"/>
      <c r="AS16" s="18"/>
      <c r="AT16" s="21" t="s">
        <v>569</v>
      </c>
      <c r="AU16" s="21" t="s">
        <v>481</v>
      </c>
      <c r="AV16" s="20" t="s">
        <v>454</v>
      </c>
      <c r="AW16" s="19" t="s">
        <v>481</v>
      </c>
      <c r="AX16" s="22" t="s">
        <v>464</v>
      </c>
      <c r="AY16" s="20" t="s">
        <v>467</v>
      </c>
      <c r="AZ16" s="18"/>
      <c r="BA16" s="1"/>
      <c r="BB16" s="1"/>
      <c r="BC16" s="18"/>
    </row>
    <row r="17" spans="7:55" x14ac:dyDescent="0.5">
      <c r="G17" s="1" t="s">
        <v>421</v>
      </c>
      <c r="H17" s="1" t="s">
        <v>421</v>
      </c>
      <c r="I17" s="1" t="s">
        <v>421</v>
      </c>
      <c r="J17" s="1" t="s">
        <v>421</v>
      </c>
      <c r="K17" s="1"/>
      <c r="L17" s="1" t="s">
        <v>573</v>
      </c>
      <c r="M17" s="1" t="s">
        <v>356</v>
      </c>
      <c r="N17" s="1" t="s">
        <v>522</v>
      </c>
      <c r="O17" s="1" t="s">
        <v>574</v>
      </c>
      <c r="P17" s="1" t="s">
        <v>575</v>
      </c>
      <c r="Q17" s="1" t="s">
        <v>528</v>
      </c>
      <c r="R17" s="1"/>
      <c r="S17" s="64" t="s">
        <v>573</v>
      </c>
      <c r="T17" s="66" t="s">
        <v>356</v>
      </c>
      <c r="U17" s="1" t="s">
        <v>522</v>
      </c>
      <c r="V17" s="66" t="s">
        <v>574</v>
      </c>
      <c r="W17" s="1" t="s">
        <v>575</v>
      </c>
      <c r="X17" s="1" t="s">
        <v>528</v>
      </c>
      <c r="Y17" s="64" t="s">
        <v>576</v>
      </c>
      <c r="Z17" s="1" t="s">
        <v>537</v>
      </c>
      <c r="AA17" s="1" t="s">
        <v>571</v>
      </c>
      <c r="AB17" s="1" t="s">
        <v>93</v>
      </c>
      <c r="AC17" s="64" t="s">
        <v>97</v>
      </c>
      <c r="AD17" s="1" t="s">
        <v>481</v>
      </c>
      <c r="AE17" s="1" t="s">
        <v>442</v>
      </c>
      <c r="AF17" s="1" t="s">
        <v>577</v>
      </c>
      <c r="AG17" s="65" t="s">
        <v>531</v>
      </c>
      <c r="AH17" s="1"/>
      <c r="AI17" s="1"/>
      <c r="AJ17" s="1"/>
      <c r="AK17" s="1"/>
      <c r="AL17" s="18" t="s">
        <v>578</v>
      </c>
      <c r="AM17" s="18" t="s">
        <v>579</v>
      </c>
      <c r="AN17" s="18" t="s">
        <v>580</v>
      </c>
      <c r="AO17" s="18" t="s">
        <v>522</v>
      </c>
      <c r="AP17" s="18" t="s">
        <v>485</v>
      </c>
      <c r="AQ17" s="18" t="s">
        <v>581</v>
      </c>
      <c r="AR17" s="18"/>
      <c r="AS17" s="18"/>
      <c r="AT17" s="19" t="s">
        <v>578</v>
      </c>
      <c r="AU17" s="20" t="s">
        <v>515</v>
      </c>
      <c r="AV17" s="22" t="s">
        <v>459</v>
      </c>
      <c r="AW17" s="21" t="s">
        <v>354</v>
      </c>
      <c r="AX17" s="22" t="s">
        <v>412</v>
      </c>
      <c r="AY17" s="20" t="s">
        <v>460</v>
      </c>
      <c r="AZ17" s="18"/>
      <c r="BA17" s="1"/>
      <c r="BB17" s="1"/>
      <c r="BC17" s="18"/>
    </row>
    <row r="18" spans="7:55" x14ac:dyDescent="0.5">
      <c r="G18" s="1"/>
      <c r="H18" s="1"/>
      <c r="I18" s="1"/>
      <c r="J18" s="1"/>
      <c r="K18" s="1"/>
      <c r="L18" s="1" t="s">
        <v>582</v>
      </c>
      <c r="M18" s="1" t="s">
        <v>582</v>
      </c>
      <c r="N18" s="1" t="s">
        <v>583</v>
      </c>
      <c r="O18" s="1" t="s">
        <v>550</v>
      </c>
      <c r="P18" s="1" t="s">
        <v>541</v>
      </c>
      <c r="Q18" s="1" t="s">
        <v>584</v>
      </c>
      <c r="R18" s="1"/>
      <c r="S18" s="64" t="s">
        <v>582</v>
      </c>
      <c r="T18" s="1" t="s">
        <v>582</v>
      </c>
      <c r="U18" s="1" t="s">
        <v>583</v>
      </c>
      <c r="V18" s="1" t="s">
        <v>550</v>
      </c>
      <c r="W18" s="1" t="s">
        <v>541</v>
      </c>
      <c r="X18" s="1" t="s">
        <v>584</v>
      </c>
      <c r="Y18" s="64" t="s">
        <v>351</v>
      </c>
      <c r="Z18" s="1" t="s">
        <v>93</v>
      </c>
      <c r="AA18" s="1" t="s">
        <v>93</v>
      </c>
      <c r="AB18" s="1" t="s">
        <v>585</v>
      </c>
      <c r="AC18" s="64" t="s">
        <v>355</v>
      </c>
      <c r="AD18" s="1" t="s">
        <v>493</v>
      </c>
      <c r="AE18" s="1" t="s">
        <v>586</v>
      </c>
      <c r="AF18" s="1" t="s">
        <v>359</v>
      </c>
      <c r="AG18" s="65" t="s">
        <v>527</v>
      </c>
      <c r="AH18" s="1"/>
      <c r="AI18" s="1"/>
      <c r="AJ18" s="1"/>
      <c r="AK18" s="1"/>
      <c r="AL18" s="18" t="s">
        <v>587</v>
      </c>
      <c r="AM18" s="18" t="s">
        <v>376</v>
      </c>
      <c r="AN18" s="18" t="s">
        <v>588</v>
      </c>
      <c r="AO18" s="18" t="s">
        <v>589</v>
      </c>
      <c r="AP18" s="18" t="s">
        <v>506</v>
      </c>
      <c r="AQ18" s="18" t="s">
        <v>590</v>
      </c>
      <c r="AR18" s="18"/>
      <c r="AS18" s="18"/>
      <c r="AT18" s="21" t="s">
        <v>587</v>
      </c>
      <c r="AU18" s="22" t="s">
        <v>521</v>
      </c>
      <c r="AV18" s="20" t="s">
        <v>351</v>
      </c>
      <c r="AW18" s="19" t="s">
        <v>507</v>
      </c>
      <c r="AX18" s="22" t="s">
        <v>533</v>
      </c>
      <c r="AY18" s="20" t="s">
        <v>442</v>
      </c>
      <c r="AZ18" s="18"/>
      <c r="BA18" s="1"/>
      <c r="BB18" s="1"/>
      <c r="BC18" s="18"/>
    </row>
    <row r="19" spans="7:55" x14ac:dyDescent="0.5">
      <c r="G19" s="1" t="s">
        <v>404</v>
      </c>
      <c r="H19" s="1" t="s">
        <v>591</v>
      </c>
      <c r="I19" s="1" t="s">
        <v>445</v>
      </c>
      <c r="J19" s="1"/>
      <c r="K19" s="1"/>
      <c r="L19" s="1" t="s">
        <v>582</v>
      </c>
      <c r="M19" s="1" t="s">
        <v>523</v>
      </c>
      <c r="N19" s="1" t="s">
        <v>127</v>
      </c>
      <c r="O19" s="1" t="s">
        <v>546</v>
      </c>
      <c r="P19" s="1" t="s">
        <v>592</v>
      </c>
      <c r="Q19" s="1" t="s">
        <v>593</v>
      </c>
      <c r="R19" s="1"/>
      <c r="S19" s="64" t="s">
        <v>582</v>
      </c>
      <c r="T19" s="1" t="s">
        <v>523</v>
      </c>
      <c r="U19" s="1" t="s">
        <v>127</v>
      </c>
      <c r="V19" s="1" t="s">
        <v>546</v>
      </c>
      <c r="W19" s="1" t="s">
        <v>592</v>
      </c>
      <c r="X19" s="1" t="s">
        <v>593</v>
      </c>
      <c r="Y19" s="74" t="s">
        <v>486</v>
      </c>
      <c r="Z19" s="1" t="s">
        <v>594</v>
      </c>
      <c r="AA19" s="1" t="s">
        <v>595</v>
      </c>
      <c r="AB19" s="1" t="s">
        <v>127</v>
      </c>
      <c r="AC19" s="64" t="s">
        <v>557</v>
      </c>
      <c r="AD19" s="1" t="s">
        <v>557</v>
      </c>
      <c r="AE19" s="66" t="s">
        <v>596</v>
      </c>
      <c r="AF19" s="76" t="s">
        <v>107</v>
      </c>
      <c r="AG19" s="65" t="s">
        <v>557</v>
      </c>
      <c r="AH19" s="1"/>
      <c r="AI19" s="1"/>
      <c r="AJ19" s="1"/>
      <c r="AK19" s="1"/>
      <c r="AL19" s="18" t="s">
        <v>597</v>
      </c>
      <c r="AM19" s="18" t="s">
        <v>587</v>
      </c>
      <c r="AN19" s="18" t="s">
        <v>107</v>
      </c>
      <c r="AO19" s="18" t="s">
        <v>598</v>
      </c>
      <c r="AP19" s="18" t="s">
        <v>575</v>
      </c>
      <c r="AQ19" s="18" t="s">
        <v>599</v>
      </c>
      <c r="AR19" s="18"/>
      <c r="AS19" s="18"/>
      <c r="AT19" s="19" t="s">
        <v>597</v>
      </c>
      <c r="AU19" s="20" t="s">
        <v>516</v>
      </c>
      <c r="AV19" s="22" t="s">
        <v>480</v>
      </c>
      <c r="AW19" s="19" t="s">
        <v>516</v>
      </c>
      <c r="AX19" s="20" t="s">
        <v>545</v>
      </c>
      <c r="AY19" s="20" t="s">
        <v>501</v>
      </c>
      <c r="AZ19" s="18"/>
      <c r="BA19" s="1"/>
      <c r="BB19" s="1"/>
      <c r="BC19" s="18"/>
    </row>
    <row r="20" spans="7:55" x14ac:dyDescent="0.5">
      <c r="G20" s="1" t="s">
        <v>422</v>
      </c>
      <c r="H20" s="1" t="s">
        <v>422</v>
      </c>
      <c r="I20" s="1" t="s">
        <v>422</v>
      </c>
      <c r="J20" s="1"/>
      <c r="K20" s="1"/>
      <c r="L20" s="1" t="s">
        <v>600</v>
      </c>
      <c r="M20" s="1" t="s">
        <v>601</v>
      </c>
      <c r="N20" s="1" t="s">
        <v>513</v>
      </c>
      <c r="O20" s="1" t="s">
        <v>527</v>
      </c>
      <c r="P20" s="1" t="s">
        <v>354</v>
      </c>
      <c r="Q20" s="1" t="s">
        <v>602</v>
      </c>
      <c r="R20" s="1"/>
      <c r="S20" s="64" t="s">
        <v>600</v>
      </c>
      <c r="T20" s="1" t="s">
        <v>601</v>
      </c>
      <c r="U20" s="1" t="s">
        <v>513</v>
      </c>
      <c r="V20" s="1" t="s">
        <v>527</v>
      </c>
      <c r="W20" s="1" t="s">
        <v>354</v>
      </c>
      <c r="X20" s="1" t="s">
        <v>602</v>
      </c>
      <c r="Y20" s="64" t="s">
        <v>544</v>
      </c>
      <c r="Z20" s="1" t="s">
        <v>603</v>
      </c>
      <c r="AA20" s="1" t="s">
        <v>604</v>
      </c>
      <c r="AB20" s="1" t="s">
        <v>605</v>
      </c>
      <c r="AC20" s="64" t="s">
        <v>522</v>
      </c>
      <c r="AD20" s="1" t="s">
        <v>522</v>
      </c>
      <c r="AE20" s="1" t="s">
        <v>606</v>
      </c>
      <c r="AF20" s="1" t="s">
        <v>607</v>
      </c>
      <c r="AG20" s="65" t="s">
        <v>595</v>
      </c>
      <c r="AH20" s="1"/>
      <c r="AI20" s="1"/>
      <c r="AJ20" s="1"/>
      <c r="AK20" s="1"/>
      <c r="AL20" s="18" t="s">
        <v>608</v>
      </c>
      <c r="AM20" s="18" t="s">
        <v>608</v>
      </c>
      <c r="AN20" s="18" t="s">
        <v>376</v>
      </c>
      <c r="AO20" s="18" t="s">
        <v>356</v>
      </c>
      <c r="AP20" s="18" t="s">
        <v>541</v>
      </c>
      <c r="AQ20" s="18" t="s">
        <v>372</v>
      </c>
      <c r="AR20" s="18"/>
      <c r="AS20" s="18"/>
      <c r="AT20" s="21" t="s">
        <v>608</v>
      </c>
      <c r="AU20" s="19" t="s">
        <v>493</v>
      </c>
      <c r="AV20" s="22" t="s">
        <v>486</v>
      </c>
      <c r="AW20" s="19" t="s">
        <v>527</v>
      </c>
      <c r="AX20" s="20" t="s">
        <v>467</v>
      </c>
      <c r="AY20" s="20" t="s">
        <v>596</v>
      </c>
      <c r="AZ20" s="18"/>
      <c r="BA20" s="1"/>
      <c r="BB20" s="1"/>
      <c r="BC20" s="18"/>
    </row>
    <row r="21" spans="7:55" x14ac:dyDescent="0.5">
      <c r="G21" s="1" t="s">
        <v>423</v>
      </c>
      <c r="H21" s="1" t="s">
        <v>423</v>
      </c>
      <c r="I21" s="1" t="s">
        <v>423</v>
      </c>
      <c r="J21" s="1"/>
      <c r="K21" s="1"/>
      <c r="L21" s="1" t="s">
        <v>361</v>
      </c>
      <c r="M21" s="1" t="s">
        <v>536</v>
      </c>
      <c r="N21" s="1" t="s">
        <v>609</v>
      </c>
      <c r="O21" s="1" t="s">
        <v>557</v>
      </c>
      <c r="P21" s="1" t="s">
        <v>515</v>
      </c>
      <c r="Q21" s="1" t="s">
        <v>554</v>
      </c>
      <c r="R21" s="1"/>
      <c r="S21" s="68" t="s">
        <v>361</v>
      </c>
      <c r="T21" s="1" t="s">
        <v>536</v>
      </c>
      <c r="U21" s="1" t="s">
        <v>609</v>
      </c>
      <c r="V21" s="1" t="s">
        <v>557</v>
      </c>
      <c r="W21" s="1" t="s">
        <v>515</v>
      </c>
      <c r="X21" s="1" t="s">
        <v>554</v>
      </c>
      <c r="Y21" s="64" t="s">
        <v>469</v>
      </c>
      <c r="Z21" s="1" t="s">
        <v>540</v>
      </c>
      <c r="AA21" s="1" t="s">
        <v>604</v>
      </c>
      <c r="AB21" s="1" t="s">
        <v>610</v>
      </c>
      <c r="AC21" s="68" t="s">
        <v>127</v>
      </c>
      <c r="AD21" s="1" t="s">
        <v>611</v>
      </c>
      <c r="AE21" s="1" t="s">
        <v>612</v>
      </c>
      <c r="AF21" s="1" t="s">
        <v>613</v>
      </c>
      <c r="AG21" s="65" t="s">
        <v>614</v>
      </c>
      <c r="AH21" s="1"/>
      <c r="AI21" s="1"/>
      <c r="AJ21" s="1"/>
      <c r="AK21" s="1"/>
      <c r="AL21" s="18" t="s">
        <v>615</v>
      </c>
      <c r="AM21" s="18" t="s">
        <v>616</v>
      </c>
      <c r="AN21" s="18" t="s">
        <v>617</v>
      </c>
      <c r="AO21" s="18" t="s">
        <v>582</v>
      </c>
      <c r="AP21" s="18" t="s">
        <v>500</v>
      </c>
      <c r="AQ21" s="18" t="s">
        <v>618</v>
      </c>
      <c r="AR21" s="18"/>
      <c r="AS21" s="18"/>
      <c r="AT21" s="19" t="s">
        <v>615</v>
      </c>
      <c r="AU21" s="20" t="s">
        <v>59</v>
      </c>
      <c r="AV21" s="20" t="s">
        <v>469</v>
      </c>
      <c r="AW21" s="19" t="s">
        <v>59</v>
      </c>
      <c r="AX21" s="22" t="s">
        <v>567</v>
      </c>
      <c r="AY21" s="20" t="s">
        <v>351</v>
      </c>
      <c r="AZ21" s="18"/>
      <c r="BA21" s="1"/>
      <c r="BB21" s="1"/>
      <c r="BC21" s="18"/>
    </row>
    <row r="22" spans="7:55" x14ac:dyDescent="0.5">
      <c r="G22" s="1" t="s">
        <v>424</v>
      </c>
      <c r="H22" s="1" t="s">
        <v>424</v>
      </c>
      <c r="I22" s="1" t="s">
        <v>424</v>
      </c>
      <c r="J22" s="1"/>
      <c r="K22" s="1"/>
      <c r="L22" s="1" t="s">
        <v>107</v>
      </c>
      <c r="M22" s="1" t="s">
        <v>568</v>
      </c>
      <c r="N22" s="1" t="s">
        <v>619</v>
      </c>
      <c r="O22" s="1" t="s">
        <v>619</v>
      </c>
      <c r="P22" s="1" t="s">
        <v>620</v>
      </c>
      <c r="Q22" s="1" t="s">
        <v>621</v>
      </c>
      <c r="R22" s="1"/>
      <c r="S22" s="64" t="s">
        <v>107</v>
      </c>
      <c r="T22" s="1" t="s">
        <v>568</v>
      </c>
      <c r="U22" s="1" t="s">
        <v>619</v>
      </c>
      <c r="V22" s="66" t="s">
        <v>619</v>
      </c>
      <c r="W22" s="1" t="s">
        <v>620</v>
      </c>
      <c r="X22" s="1" t="s">
        <v>621</v>
      </c>
      <c r="Y22" s="64" t="s">
        <v>554</v>
      </c>
      <c r="Z22" s="1" t="s">
        <v>582</v>
      </c>
      <c r="AA22" s="1" t="s">
        <v>622</v>
      </c>
      <c r="AB22" s="1" t="s">
        <v>614</v>
      </c>
      <c r="AC22" s="64" t="s">
        <v>623</v>
      </c>
      <c r="AD22" s="1" t="s">
        <v>623</v>
      </c>
      <c r="AE22" s="1" t="s">
        <v>624</v>
      </c>
      <c r="AF22" s="1" t="s">
        <v>625</v>
      </c>
      <c r="AG22" s="65" t="s">
        <v>626</v>
      </c>
      <c r="AH22" s="1"/>
      <c r="AI22" s="1"/>
      <c r="AJ22" s="1"/>
      <c r="AK22" s="1"/>
      <c r="AL22" s="18" t="s">
        <v>627</v>
      </c>
      <c r="AM22" s="18" t="s">
        <v>628</v>
      </c>
      <c r="AN22" s="18" t="s">
        <v>629</v>
      </c>
      <c r="AO22" s="18" t="s">
        <v>570</v>
      </c>
      <c r="AP22" s="18" t="s">
        <v>481</v>
      </c>
      <c r="AQ22" s="1"/>
      <c r="AR22" s="1"/>
      <c r="AS22" s="1"/>
      <c r="AT22" s="19" t="s">
        <v>616</v>
      </c>
      <c r="AU22" s="20" t="s">
        <v>502</v>
      </c>
      <c r="AV22" s="22" t="s">
        <v>524</v>
      </c>
      <c r="AW22" s="19" t="s">
        <v>537</v>
      </c>
      <c r="AX22" s="22" t="s">
        <v>460</v>
      </c>
      <c r="AY22" s="20" t="s">
        <v>466</v>
      </c>
      <c r="AZ22" s="1"/>
      <c r="BA22" s="1"/>
      <c r="BB22" s="1"/>
      <c r="BC22" s="1"/>
    </row>
    <row r="23" spans="7:55" x14ac:dyDescent="0.5">
      <c r="G23" s="1" t="s">
        <v>425</v>
      </c>
      <c r="H23" s="1" t="s">
        <v>425</v>
      </c>
      <c r="I23" s="1" t="s">
        <v>425</v>
      </c>
      <c r="J23" s="1"/>
      <c r="K23" s="1"/>
      <c r="L23" s="1" t="s">
        <v>556</v>
      </c>
      <c r="M23" s="1" t="s">
        <v>549</v>
      </c>
      <c r="N23" s="1" t="s">
        <v>619</v>
      </c>
      <c r="O23" s="1" t="s">
        <v>582</v>
      </c>
      <c r="P23" s="1" t="s">
        <v>355</v>
      </c>
      <c r="Q23" s="1" t="s">
        <v>485</v>
      </c>
      <c r="R23" s="1"/>
      <c r="S23" s="64" t="s">
        <v>556</v>
      </c>
      <c r="T23" s="1" t="s">
        <v>549</v>
      </c>
      <c r="U23" s="1" t="s">
        <v>619</v>
      </c>
      <c r="V23" s="1" t="s">
        <v>582</v>
      </c>
      <c r="W23" s="1" t="s">
        <v>355</v>
      </c>
      <c r="X23" s="1" t="s">
        <v>485</v>
      </c>
      <c r="Y23" s="64" t="s">
        <v>63</v>
      </c>
      <c r="Z23" s="75" t="s">
        <v>630</v>
      </c>
      <c r="AA23" s="1" t="s">
        <v>589</v>
      </c>
      <c r="AB23" s="1" t="s">
        <v>631</v>
      </c>
      <c r="AC23" s="64" t="s">
        <v>632</v>
      </c>
      <c r="AD23" s="1" t="s">
        <v>633</v>
      </c>
      <c r="AE23" s="1" t="s">
        <v>634</v>
      </c>
      <c r="AF23" s="67" t="s">
        <v>539</v>
      </c>
      <c r="AG23" s="65" t="s">
        <v>635</v>
      </c>
      <c r="AH23" s="1"/>
      <c r="AI23" s="1"/>
      <c r="AJ23" s="1"/>
      <c r="AK23" s="1"/>
      <c r="AL23" s="18" t="s">
        <v>636</v>
      </c>
      <c r="AM23" s="18" t="s">
        <v>613</v>
      </c>
      <c r="AN23" s="18" t="s">
        <v>366</v>
      </c>
      <c r="AO23" s="18" t="s">
        <v>637</v>
      </c>
      <c r="AP23" s="18" t="s">
        <v>638</v>
      </c>
      <c r="AQ23" s="1"/>
      <c r="AR23" s="1"/>
      <c r="AS23" s="1"/>
      <c r="AT23" s="21" t="s">
        <v>627</v>
      </c>
      <c r="AU23" s="20" t="s">
        <v>513</v>
      </c>
      <c r="AV23" s="22" t="s">
        <v>485</v>
      </c>
      <c r="AW23" s="20" t="s">
        <v>560</v>
      </c>
      <c r="AX23" s="20" t="s">
        <v>442</v>
      </c>
      <c r="AY23" s="20" t="s">
        <v>480</v>
      </c>
      <c r="AZ23" s="1"/>
      <c r="BA23" s="1"/>
      <c r="BB23" s="1"/>
      <c r="BC23" s="1"/>
    </row>
    <row r="24" spans="7:55" x14ac:dyDescent="0.5">
      <c r="G24" s="1" t="s">
        <v>426</v>
      </c>
      <c r="H24" s="1" t="s">
        <v>426</v>
      </c>
      <c r="I24" s="1" t="s">
        <v>426</v>
      </c>
      <c r="J24" s="1"/>
      <c r="K24" s="1"/>
      <c r="L24" s="1" t="s">
        <v>555</v>
      </c>
      <c r="M24" s="1" t="s">
        <v>361</v>
      </c>
      <c r="N24" s="1" t="s">
        <v>357</v>
      </c>
      <c r="O24" s="1" t="s">
        <v>639</v>
      </c>
      <c r="P24" s="1" t="s">
        <v>59</v>
      </c>
      <c r="Q24" s="1" t="s">
        <v>491</v>
      </c>
      <c r="R24" s="1"/>
      <c r="S24" s="64" t="s">
        <v>555</v>
      </c>
      <c r="T24" s="1" t="s">
        <v>361</v>
      </c>
      <c r="U24" s="1" t="s">
        <v>357</v>
      </c>
      <c r="V24" s="1" t="s">
        <v>639</v>
      </c>
      <c r="W24" s="66" t="s">
        <v>59</v>
      </c>
      <c r="X24" s="1" t="s">
        <v>491</v>
      </c>
      <c r="Y24" s="64" t="s">
        <v>519</v>
      </c>
      <c r="Z24" s="1" t="s">
        <v>536</v>
      </c>
      <c r="AA24" s="1" t="s">
        <v>640</v>
      </c>
      <c r="AB24" s="1" t="s">
        <v>641</v>
      </c>
      <c r="AC24" s="64" t="s">
        <v>609</v>
      </c>
      <c r="AD24" s="1" t="s">
        <v>361</v>
      </c>
      <c r="AE24" s="1" t="s">
        <v>522</v>
      </c>
      <c r="AF24" s="1" t="s">
        <v>642</v>
      </c>
      <c r="AG24" s="65" t="s">
        <v>643</v>
      </c>
      <c r="AH24" s="1"/>
      <c r="AI24" s="1"/>
      <c r="AJ24" s="1"/>
      <c r="AK24" s="1"/>
      <c r="AL24" s="18" t="s">
        <v>89</v>
      </c>
      <c r="AM24" s="18" t="s">
        <v>644</v>
      </c>
      <c r="AN24" s="18" t="s">
        <v>645</v>
      </c>
      <c r="AO24" s="18" t="s">
        <v>646</v>
      </c>
      <c r="AP24" s="18" t="s">
        <v>59</v>
      </c>
      <c r="AQ24" s="1"/>
      <c r="AR24" s="1"/>
      <c r="AS24" s="1"/>
      <c r="AT24" s="19" t="s">
        <v>636</v>
      </c>
      <c r="AU24" s="20" t="s">
        <v>356</v>
      </c>
      <c r="AV24" s="20" t="s">
        <v>491</v>
      </c>
      <c r="AW24" s="21" t="s">
        <v>522</v>
      </c>
      <c r="AX24" s="20" t="s">
        <v>492</v>
      </c>
      <c r="AY24" s="20" t="s">
        <v>534</v>
      </c>
      <c r="AZ24" s="1"/>
      <c r="BA24" s="1"/>
      <c r="BB24" s="1"/>
      <c r="BC24" s="1"/>
    </row>
    <row r="25" spans="7:55" x14ac:dyDescent="0.5">
      <c r="G25" s="1" t="s">
        <v>647</v>
      </c>
      <c r="H25" s="1" t="s">
        <v>647</v>
      </c>
      <c r="I25" s="1" t="s">
        <v>647</v>
      </c>
      <c r="J25" s="1"/>
      <c r="K25" s="1"/>
      <c r="L25" s="1" t="s">
        <v>648</v>
      </c>
      <c r="M25" s="1" t="s">
        <v>107</v>
      </c>
      <c r="N25" s="1" t="s">
        <v>639</v>
      </c>
      <c r="O25" s="1" t="s">
        <v>637</v>
      </c>
      <c r="P25" s="1" t="s">
        <v>595</v>
      </c>
      <c r="Q25" s="1" t="s">
        <v>649</v>
      </c>
      <c r="R25" s="1"/>
      <c r="S25" s="64" t="s">
        <v>648</v>
      </c>
      <c r="T25" s="1" t="s">
        <v>107</v>
      </c>
      <c r="U25" s="1" t="s">
        <v>639</v>
      </c>
      <c r="V25" s="1" t="s">
        <v>637</v>
      </c>
      <c r="W25" s="1" t="s">
        <v>595</v>
      </c>
      <c r="X25" s="1" t="s">
        <v>649</v>
      </c>
      <c r="Y25" s="64" t="s">
        <v>650</v>
      </c>
      <c r="Z25" s="1" t="s">
        <v>568</v>
      </c>
      <c r="AA25" s="1" t="s">
        <v>651</v>
      </c>
      <c r="AB25" s="1" t="s">
        <v>652</v>
      </c>
      <c r="AC25" s="64" t="s">
        <v>357</v>
      </c>
      <c r="AD25" s="1" t="s">
        <v>653</v>
      </c>
      <c r="AE25" s="1" t="s">
        <v>127</v>
      </c>
      <c r="AF25" s="1" t="s">
        <v>89</v>
      </c>
      <c r="AG25" s="65" t="s">
        <v>365</v>
      </c>
      <c r="AH25" s="1"/>
      <c r="AI25" s="1"/>
      <c r="AJ25" s="1"/>
      <c r="AK25" s="1"/>
      <c r="AL25" s="18" t="s">
        <v>644</v>
      </c>
      <c r="AM25" s="18" t="s">
        <v>654</v>
      </c>
      <c r="AN25" s="18" t="s">
        <v>369</v>
      </c>
      <c r="AO25" s="18" t="s">
        <v>655</v>
      </c>
      <c r="AP25" s="18" t="s">
        <v>609</v>
      </c>
      <c r="AQ25" s="1"/>
      <c r="AR25" s="1"/>
      <c r="AS25" s="1"/>
      <c r="AT25" s="21" t="s">
        <v>89</v>
      </c>
      <c r="AU25" s="20" t="s">
        <v>582</v>
      </c>
      <c r="AV25" s="22" t="s">
        <v>506</v>
      </c>
      <c r="AW25" s="20" t="s">
        <v>583</v>
      </c>
      <c r="AX25" s="20" t="s">
        <v>586</v>
      </c>
      <c r="AY25" s="20" t="s">
        <v>547</v>
      </c>
      <c r="AZ25" s="1"/>
      <c r="BA25" s="1"/>
      <c r="BB25" s="1"/>
      <c r="BC25" s="1"/>
    </row>
    <row r="26" spans="7:55" x14ac:dyDescent="0.5">
      <c r="G26" s="1"/>
      <c r="H26" s="1"/>
      <c r="I26" s="1"/>
      <c r="J26" s="1"/>
      <c r="K26" s="1"/>
      <c r="L26" s="1" t="s">
        <v>597</v>
      </c>
      <c r="M26" s="1" t="s">
        <v>653</v>
      </c>
      <c r="N26" s="1" t="s">
        <v>556</v>
      </c>
      <c r="O26" s="1" t="s">
        <v>656</v>
      </c>
      <c r="P26" s="1" t="s">
        <v>657</v>
      </c>
      <c r="Q26" s="1" t="s">
        <v>506</v>
      </c>
      <c r="R26" s="1"/>
      <c r="S26" s="64" t="s">
        <v>597</v>
      </c>
      <c r="T26" s="1" t="s">
        <v>653</v>
      </c>
      <c r="U26" s="1" t="s">
        <v>556</v>
      </c>
      <c r="V26" s="1" t="s">
        <v>656</v>
      </c>
      <c r="W26" s="1" t="s">
        <v>657</v>
      </c>
      <c r="X26" s="1" t="s">
        <v>506</v>
      </c>
      <c r="Y26" s="64" t="s">
        <v>481</v>
      </c>
      <c r="Z26" s="75" t="s">
        <v>658</v>
      </c>
      <c r="AA26" s="1" t="s">
        <v>356</v>
      </c>
      <c r="AB26" s="1" t="s">
        <v>361</v>
      </c>
      <c r="AC26" s="64" t="s">
        <v>582</v>
      </c>
      <c r="AD26" s="1" t="s">
        <v>659</v>
      </c>
      <c r="AE26" s="1" t="s">
        <v>657</v>
      </c>
      <c r="AF26" s="1" t="s">
        <v>644</v>
      </c>
      <c r="AG26" s="65" t="s">
        <v>660</v>
      </c>
      <c r="AH26" s="1"/>
      <c r="AI26" s="1"/>
      <c r="AJ26" s="1"/>
      <c r="AK26" s="1"/>
      <c r="AL26" s="18" t="s">
        <v>644</v>
      </c>
      <c r="AM26" s="18" t="s">
        <v>661</v>
      </c>
      <c r="AN26" s="18" t="s">
        <v>654</v>
      </c>
      <c r="AO26" s="18" t="s">
        <v>608</v>
      </c>
      <c r="AP26" s="18" t="s">
        <v>357</v>
      </c>
      <c r="AQ26" s="1"/>
      <c r="AR26" s="1"/>
      <c r="AS26" s="1"/>
      <c r="AT26" s="19" t="s">
        <v>644</v>
      </c>
      <c r="AU26" s="20" t="s">
        <v>523</v>
      </c>
      <c r="AV26" s="20" t="s">
        <v>541</v>
      </c>
      <c r="AW26" s="22" t="s">
        <v>127</v>
      </c>
      <c r="AX26" s="20" t="s">
        <v>501</v>
      </c>
      <c r="AY26" s="20" t="s">
        <v>491</v>
      </c>
      <c r="AZ26" s="1"/>
      <c r="BA26" s="1"/>
      <c r="BB26" s="1"/>
      <c r="BC26" s="1"/>
    </row>
    <row r="27" spans="7:55" x14ac:dyDescent="0.5">
      <c r="G27" s="1"/>
      <c r="H27" s="1"/>
      <c r="I27" s="1"/>
      <c r="J27" s="1"/>
      <c r="K27" s="1"/>
      <c r="L27" s="1" t="s">
        <v>662</v>
      </c>
      <c r="M27" s="1" t="s">
        <v>570</v>
      </c>
      <c r="N27" s="1" t="s">
        <v>653</v>
      </c>
      <c r="O27" s="1" t="s">
        <v>646</v>
      </c>
      <c r="P27" s="1" t="s">
        <v>535</v>
      </c>
      <c r="Q27" s="1" t="s">
        <v>575</v>
      </c>
      <c r="R27" s="1"/>
      <c r="S27" s="64" t="s">
        <v>662</v>
      </c>
      <c r="T27" s="1" t="s">
        <v>570</v>
      </c>
      <c r="U27" s="1" t="s">
        <v>653</v>
      </c>
      <c r="V27" s="1" t="s">
        <v>646</v>
      </c>
      <c r="W27" s="1" t="s">
        <v>535</v>
      </c>
      <c r="X27" s="1" t="s">
        <v>575</v>
      </c>
      <c r="Y27" s="64" t="s">
        <v>561</v>
      </c>
      <c r="Z27" s="1" t="s">
        <v>361</v>
      </c>
      <c r="AA27" s="1" t="s">
        <v>663</v>
      </c>
      <c r="AB27" s="77" t="s">
        <v>362</v>
      </c>
      <c r="AC27" s="64" t="s">
        <v>658</v>
      </c>
      <c r="AD27" s="1" t="s">
        <v>664</v>
      </c>
      <c r="AE27" s="1" t="s">
        <v>623</v>
      </c>
      <c r="AF27" s="1" t="s">
        <v>665</v>
      </c>
      <c r="AG27" s="69" t="s">
        <v>666</v>
      </c>
      <c r="AH27" s="1"/>
      <c r="AI27" s="1"/>
      <c r="AJ27" s="1"/>
      <c r="AK27" s="1"/>
      <c r="AL27" s="18" t="s">
        <v>667</v>
      </c>
      <c r="AM27" s="18" t="s">
        <v>668</v>
      </c>
      <c r="AN27" s="18" t="s">
        <v>669</v>
      </c>
      <c r="AO27" s="18" t="s">
        <v>670</v>
      </c>
      <c r="AP27" s="18" t="s">
        <v>639</v>
      </c>
      <c r="AQ27" s="1"/>
      <c r="AR27" s="1"/>
      <c r="AS27" s="1"/>
      <c r="AT27" s="23" t="s">
        <v>667</v>
      </c>
      <c r="AU27" s="20" t="s">
        <v>601</v>
      </c>
      <c r="AV27" s="20" t="s">
        <v>481</v>
      </c>
      <c r="AW27" s="21" t="s">
        <v>540</v>
      </c>
      <c r="AX27" s="22" t="s">
        <v>511</v>
      </c>
      <c r="AY27" s="20" t="s">
        <v>634</v>
      </c>
      <c r="AZ27" s="1"/>
      <c r="BA27" s="1"/>
      <c r="BB27" s="1"/>
      <c r="BC27" s="1"/>
    </row>
    <row r="28" spans="7:55" x14ac:dyDescent="0.5">
      <c r="G28" s="1"/>
      <c r="H28" s="1"/>
      <c r="I28" s="1"/>
      <c r="J28" s="1"/>
      <c r="K28" s="1"/>
      <c r="L28" s="1" t="s">
        <v>608</v>
      </c>
      <c r="M28" s="1" t="s">
        <v>376</v>
      </c>
      <c r="N28" s="1" t="s">
        <v>376</v>
      </c>
      <c r="O28" s="1" t="s">
        <v>555</v>
      </c>
      <c r="P28" s="1" t="s">
        <v>356</v>
      </c>
      <c r="Q28" s="1" t="s">
        <v>541</v>
      </c>
      <c r="R28" s="1"/>
      <c r="S28" s="64" t="s">
        <v>608</v>
      </c>
      <c r="T28" s="1" t="s">
        <v>376</v>
      </c>
      <c r="U28" s="1" t="s">
        <v>376</v>
      </c>
      <c r="V28" s="1" t="s">
        <v>555</v>
      </c>
      <c r="W28" s="1" t="s">
        <v>356</v>
      </c>
      <c r="X28" s="1" t="s">
        <v>541</v>
      </c>
      <c r="Y28" s="64" t="s">
        <v>97</v>
      </c>
      <c r="Z28" s="1" t="s">
        <v>107</v>
      </c>
      <c r="AA28" s="1" t="s">
        <v>671</v>
      </c>
      <c r="AB28" s="1" t="s">
        <v>672</v>
      </c>
      <c r="AC28" s="68" t="s">
        <v>361</v>
      </c>
      <c r="AD28" s="1" t="s">
        <v>673</v>
      </c>
      <c r="AE28" s="1" t="s">
        <v>609</v>
      </c>
      <c r="AF28" s="1" t="s">
        <v>654</v>
      </c>
      <c r="AG28" s="65" t="s">
        <v>674</v>
      </c>
      <c r="AH28" s="1"/>
      <c r="AI28" s="1"/>
      <c r="AJ28" s="1"/>
      <c r="AK28" s="1"/>
      <c r="AL28" s="18"/>
      <c r="AM28" s="18"/>
      <c r="AN28" s="18" t="s">
        <v>675</v>
      </c>
      <c r="AO28" s="18" t="s">
        <v>613</v>
      </c>
      <c r="AP28" s="18" t="s">
        <v>523</v>
      </c>
      <c r="AQ28" s="1"/>
      <c r="AR28" s="1"/>
      <c r="AS28" s="1"/>
      <c r="AT28" s="23"/>
      <c r="AU28" s="20" t="s">
        <v>536</v>
      </c>
      <c r="AV28" s="22" t="s">
        <v>354</v>
      </c>
      <c r="AW28" s="19" t="s">
        <v>580</v>
      </c>
      <c r="AX28" s="20" t="s">
        <v>596</v>
      </c>
      <c r="AY28" s="20" t="s">
        <v>531</v>
      </c>
      <c r="AZ28" s="1"/>
      <c r="BA28" s="1"/>
      <c r="BB28" s="1"/>
      <c r="BC28" s="1"/>
    </row>
    <row r="29" spans="7:55" x14ac:dyDescent="0.5">
      <c r="G29" s="1"/>
      <c r="H29" s="1"/>
      <c r="I29" s="1"/>
      <c r="J29" s="1"/>
      <c r="K29" s="1"/>
      <c r="L29" s="1" t="s">
        <v>676</v>
      </c>
      <c r="M29" s="1" t="s">
        <v>656</v>
      </c>
      <c r="N29" s="1" t="s">
        <v>646</v>
      </c>
      <c r="O29" s="1" t="s">
        <v>677</v>
      </c>
      <c r="P29" s="1" t="s">
        <v>678</v>
      </c>
      <c r="Q29" s="1" t="s">
        <v>500</v>
      </c>
      <c r="R29" s="1"/>
      <c r="S29" s="64" t="s">
        <v>676</v>
      </c>
      <c r="T29" s="1" t="s">
        <v>656</v>
      </c>
      <c r="U29" s="1" t="s">
        <v>646</v>
      </c>
      <c r="V29" s="1" t="s">
        <v>677</v>
      </c>
      <c r="W29" s="1" t="s">
        <v>678</v>
      </c>
      <c r="X29" s="1" t="s">
        <v>500</v>
      </c>
      <c r="Y29" s="64" t="s">
        <v>565</v>
      </c>
      <c r="Z29" s="1" t="s">
        <v>637</v>
      </c>
      <c r="AA29" s="1" t="s">
        <v>568</v>
      </c>
      <c r="AB29" s="1" t="s">
        <v>637</v>
      </c>
      <c r="AC29" s="64" t="s">
        <v>679</v>
      </c>
      <c r="AD29" s="1" t="s">
        <v>636</v>
      </c>
      <c r="AE29" s="1" t="s">
        <v>671</v>
      </c>
      <c r="AF29" s="1" t="s">
        <v>680</v>
      </c>
      <c r="AG29" s="69" t="s">
        <v>374</v>
      </c>
      <c r="AH29" s="1"/>
      <c r="AI29" s="1"/>
      <c r="AJ29" s="1"/>
      <c r="AK29" s="1"/>
      <c r="AL29" s="18"/>
      <c r="AM29" s="1"/>
      <c r="AN29" s="18" t="s">
        <v>681</v>
      </c>
      <c r="AO29" s="18" t="s">
        <v>682</v>
      </c>
      <c r="AP29" s="18" t="s">
        <v>641</v>
      </c>
      <c r="AQ29" s="1"/>
      <c r="AR29" s="1"/>
      <c r="AS29" s="1"/>
      <c r="AT29" s="1"/>
      <c r="AU29" s="20" t="s">
        <v>568</v>
      </c>
      <c r="AV29" s="20" t="s">
        <v>538</v>
      </c>
      <c r="AW29" s="20" t="s">
        <v>513</v>
      </c>
      <c r="AX29" s="20" t="s">
        <v>351</v>
      </c>
      <c r="AY29" s="20" t="s">
        <v>500</v>
      </c>
      <c r="AZ29" s="1"/>
      <c r="BA29" s="1"/>
      <c r="BB29" s="1"/>
      <c r="BC29" s="1"/>
    </row>
    <row r="30" spans="7:55" x14ac:dyDescent="0.5">
      <c r="G30" s="1"/>
      <c r="H30" s="1"/>
      <c r="I30" s="1"/>
      <c r="J30" s="1"/>
      <c r="K30" s="1"/>
      <c r="L30" s="1" t="s">
        <v>670</v>
      </c>
      <c r="M30" s="1" t="s">
        <v>569</v>
      </c>
      <c r="N30" s="1" t="s">
        <v>555</v>
      </c>
      <c r="O30" s="1" t="s">
        <v>366</v>
      </c>
      <c r="P30" s="1" t="s">
        <v>683</v>
      </c>
      <c r="Q30" s="1" t="s">
        <v>500</v>
      </c>
      <c r="R30" s="1"/>
      <c r="S30" s="64" t="s">
        <v>670</v>
      </c>
      <c r="T30" s="1" t="s">
        <v>569</v>
      </c>
      <c r="U30" s="1" t="s">
        <v>555</v>
      </c>
      <c r="V30" s="1" t="s">
        <v>366</v>
      </c>
      <c r="W30" s="1" t="s">
        <v>683</v>
      </c>
      <c r="X30" s="1" t="s">
        <v>500</v>
      </c>
      <c r="Y30" s="64" t="s">
        <v>684</v>
      </c>
      <c r="Z30" s="1" t="s">
        <v>685</v>
      </c>
      <c r="AA30" s="1" t="s">
        <v>686</v>
      </c>
      <c r="AB30" s="1" t="s">
        <v>687</v>
      </c>
      <c r="AC30" s="68" t="s">
        <v>102</v>
      </c>
      <c r="AD30" s="1" t="s">
        <v>688</v>
      </c>
      <c r="AE30" s="1" t="s">
        <v>365</v>
      </c>
      <c r="AF30" s="1"/>
      <c r="AG30" s="65" t="s">
        <v>582</v>
      </c>
      <c r="AH30" s="1"/>
      <c r="AI30" s="1"/>
      <c r="AJ30" s="1"/>
      <c r="AK30" s="1"/>
      <c r="AL30" s="18"/>
      <c r="AM30" s="1"/>
      <c r="AN30" s="18" t="s">
        <v>689</v>
      </c>
      <c r="AO30" s="18" t="s">
        <v>690</v>
      </c>
      <c r="AP30" s="18" t="s">
        <v>359</v>
      </c>
      <c r="AQ30" s="1"/>
      <c r="AR30" s="1"/>
      <c r="AS30" s="1"/>
      <c r="AT30" s="1"/>
      <c r="AU30" s="20" t="s">
        <v>549</v>
      </c>
      <c r="AV30" s="20" t="s">
        <v>561</v>
      </c>
      <c r="AW30" s="22" t="s">
        <v>609</v>
      </c>
      <c r="AX30" s="22" t="s">
        <v>466</v>
      </c>
      <c r="AY30" s="20" t="s">
        <v>507</v>
      </c>
      <c r="AZ30" s="1"/>
      <c r="BA30" s="1"/>
      <c r="BB30" s="1"/>
      <c r="BC30" s="1"/>
    </row>
    <row r="31" spans="7:55" x14ac:dyDescent="0.5">
      <c r="G31" s="1"/>
      <c r="H31" s="1"/>
      <c r="I31" s="1"/>
      <c r="J31" s="1"/>
      <c r="K31" s="1"/>
      <c r="L31" s="1" t="s">
        <v>629</v>
      </c>
      <c r="M31" s="1" t="s">
        <v>664</v>
      </c>
      <c r="N31" s="1" t="s">
        <v>617</v>
      </c>
      <c r="O31" s="1" t="s">
        <v>613</v>
      </c>
      <c r="P31" s="1" t="s">
        <v>359</v>
      </c>
      <c r="Q31" s="1" t="s">
        <v>507</v>
      </c>
      <c r="R31" s="1"/>
      <c r="S31" s="64" t="s">
        <v>629</v>
      </c>
      <c r="T31" s="1" t="s">
        <v>664</v>
      </c>
      <c r="U31" s="1" t="s">
        <v>617</v>
      </c>
      <c r="V31" s="1" t="s">
        <v>613</v>
      </c>
      <c r="W31" s="1" t="s">
        <v>359</v>
      </c>
      <c r="X31" s="1" t="s">
        <v>507</v>
      </c>
      <c r="Y31" s="64" t="s">
        <v>657</v>
      </c>
      <c r="Z31" s="1" t="s">
        <v>656</v>
      </c>
      <c r="AA31" s="1" t="s">
        <v>61</v>
      </c>
      <c r="AB31" s="1" t="s">
        <v>102</v>
      </c>
      <c r="AC31" s="64" t="s">
        <v>608</v>
      </c>
      <c r="AD31" s="1" t="s">
        <v>665</v>
      </c>
      <c r="AE31" s="1" t="s">
        <v>691</v>
      </c>
      <c r="AF31" s="1"/>
      <c r="AG31" s="65"/>
      <c r="AH31" s="1"/>
      <c r="AI31" s="1"/>
      <c r="AJ31" s="1"/>
      <c r="AK31" s="1"/>
      <c r="AL31" s="18"/>
      <c r="AM31" s="1"/>
      <c r="AN31" s="18" t="s">
        <v>692</v>
      </c>
      <c r="AO31" s="18" t="s">
        <v>693</v>
      </c>
      <c r="AP31" s="18" t="s">
        <v>694</v>
      </c>
      <c r="AQ31" s="1"/>
      <c r="AR31" s="1"/>
      <c r="AS31" s="1"/>
      <c r="AT31" s="1"/>
      <c r="AU31" s="20" t="s">
        <v>361</v>
      </c>
      <c r="AV31" s="22" t="s">
        <v>507</v>
      </c>
      <c r="AW31" s="20" t="s">
        <v>619</v>
      </c>
      <c r="AX31" s="22" t="s">
        <v>480</v>
      </c>
      <c r="AY31" s="20" t="s">
        <v>546</v>
      </c>
      <c r="AZ31" s="1"/>
      <c r="BA31" s="1"/>
      <c r="BB31" s="1"/>
      <c r="BC31" s="1"/>
    </row>
    <row r="32" spans="7:55" x14ac:dyDescent="0.5">
      <c r="G32" s="1"/>
      <c r="H32" s="1"/>
      <c r="I32" s="1"/>
      <c r="J32" s="1"/>
      <c r="K32" s="1"/>
      <c r="L32" s="1" t="s">
        <v>613</v>
      </c>
      <c r="M32" s="1" t="s">
        <v>616</v>
      </c>
      <c r="N32" s="1" t="s">
        <v>364</v>
      </c>
      <c r="O32" s="1" t="s">
        <v>690</v>
      </c>
      <c r="P32" s="1" t="s">
        <v>360</v>
      </c>
      <c r="Q32" s="1" t="s">
        <v>493</v>
      </c>
      <c r="R32" s="1"/>
      <c r="S32" s="64" t="s">
        <v>613</v>
      </c>
      <c r="T32" s="1" t="s">
        <v>616</v>
      </c>
      <c r="U32" s="1" t="s">
        <v>364</v>
      </c>
      <c r="V32" s="1" t="s">
        <v>690</v>
      </c>
      <c r="W32" s="1" t="s">
        <v>360</v>
      </c>
      <c r="X32" s="1" t="s">
        <v>493</v>
      </c>
      <c r="Y32" s="64" t="s">
        <v>623</v>
      </c>
      <c r="Z32" s="1" t="s">
        <v>102</v>
      </c>
      <c r="AA32" s="1" t="s">
        <v>600</v>
      </c>
      <c r="AB32" s="1" t="s">
        <v>695</v>
      </c>
      <c r="AC32" s="64" t="s">
        <v>696</v>
      </c>
      <c r="AD32" s="77" t="s">
        <v>369</v>
      </c>
      <c r="AE32" s="1" t="s">
        <v>697</v>
      </c>
      <c r="AF32" s="1"/>
      <c r="AG32" s="65"/>
      <c r="AH32" s="1"/>
      <c r="AI32" s="1"/>
      <c r="AJ32" s="1"/>
      <c r="AK32" s="1"/>
      <c r="AL32" s="18"/>
      <c r="AM32" s="1"/>
      <c r="AN32" s="1"/>
      <c r="AO32" s="18" t="s">
        <v>698</v>
      </c>
      <c r="AP32" s="18" t="s">
        <v>699</v>
      </c>
      <c r="AQ32" s="1"/>
      <c r="AR32" s="1"/>
      <c r="AS32" s="1"/>
      <c r="AT32" s="1"/>
      <c r="AU32" s="20" t="s">
        <v>107</v>
      </c>
      <c r="AV32" s="22" t="s">
        <v>574</v>
      </c>
      <c r="AW32" s="20" t="s">
        <v>357</v>
      </c>
      <c r="AX32" s="20" t="s">
        <v>534</v>
      </c>
      <c r="AY32" s="20" t="s">
        <v>527</v>
      </c>
      <c r="AZ32" s="1"/>
      <c r="BA32" s="1"/>
      <c r="BB32" s="1"/>
      <c r="BC32" s="1"/>
    </row>
    <row r="33" spans="12:51" x14ac:dyDescent="0.5">
      <c r="L33" s="1" t="s">
        <v>700</v>
      </c>
      <c r="M33" s="1" t="s">
        <v>700</v>
      </c>
      <c r="N33" s="1" t="s">
        <v>701</v>
      </c>
      <c r="O33" s="1" t="s">
        <v>89</v>
      </c>
      <c r="P33" s="1" t="s">
        <v>61</v>
      </c>
      <c r="Q33" s="1" t="s">
        <v>522</v>
      </c>
      <c r="R33" s="1"/>
      <c r="S33" s="68" t="s">
        <v>700</v>
      </c>
      <c r="T33" s="1" t="s">
        <v>700</v>
      </c>
      <c r="U33" s="1" t="s">
        <v>701</v>
      </c>
      <c r="V33" s="1" t="s">
        <v>89</v>
      </c>
      <c r="W33" s="67" t="s">
        <v>61</v>
      </c>
      <c r="X33" s="1" t="s">
        <v>522</v>
      </c>
      <c r="Y33" s="64" t="s">
        <v>702</v>
      </c>
      <c r="Z33" s="1" t="s">
        <v>703</v>
      </c>
      <c r="AA33" s="1" t="s">
        <v>361</v>
      </c>
      <c r="AB33" s="1" t="s">
        <v>704</v>
      </c>
      <c r="AC33" s="64" t="s">
        <v>613</v>
      </c>
      <c r="AD33" s="1" t="s">
        <v>669</v>
      </c>
      <c r="AE33" s="1" t="s">
        <v>705</v>
      </c>
      <c r="AF33" s="1"/>
      <c r="AG33" s="65"/>
      <c r="AH33" s="1"/>
      <c r="AI33" s="1"/>
      <c r="AJ33" s="1"/>
      <c r="AK33" s="1"/>
      <c r="AL33" s="1"/>
      <c r="AM33" s="1"/>
      <c r="AN33" s="1"/>
      <c r="AO33" s="18" t="s">
        <v>706</v>
      </c>
      <c r="AP33" s="18" t="s">
        <v>707</v>
      </c>
      <c r="AQ33" s="1"/>
      <c r="AR33" s="1"/>
      <c r="AS33" s="1"/>
      <c r="AT33" s="1"/>
      <c r="AU33" s="20" t="s">
        <v>556</v>
      </c>
      <c r="AV33" s="20" t="s">
        <v>516</v>
      </c>
      <c r="AW33" s="22" t="s">
        <v>639</v>
      </c>
      <c r="AX33" s="20" t="s">
        <v>547</v>
      </c>
      <c r="AY33" s="20" t="s">
        <v>557</v>
      </c>
    </row>
    <row r="34" spans="12:51" x14ac:dyDescent="0.5">
      <c r="L34" s="1" t="s">
        <v>690</v>
      </c>
      <c r="M34" s="1" t="s">
        <v>665</v>
      </c>
      <c r="N34" s="1" t="s">
        <v>629</v>
      </c>
      <c r="O34" s="1" t="s">
        <v>644</v>
      </c>
      <c r="P34" s="1" t="s">
        <v>361</v>
      </c>
      <c r="Q34" s="1" t="s">
        <v>657</v>
      </c>
      <c r="R34" s="1"/>
      <c r="S34" s="64" t="s">
        <v>690</v>
      </c>
      <c r="T34" s="1" t="s">
        <v>665</v>
      </c>
      <c r="U34" s="1" t="s">
        <v>629</v>
      </c>
      <c r="V34" s="1" t="s">
        <v>644</v>
      </c>
      <c r="W34" s="1" t="s">
        <v>361</v>
      </c>
      <c r="X34" s="1" t="s">
        <v>657</v>
      </c>
      <c r="Y34" s="74" t="s">
        <v>61</v>
      </c>
      <c r="Z34" s="1" t="s">
        <v>617</v>
      </c>
      <c r="AA34" s="1" t="s">
        <v>708</v>
      </c>
      <c r="AB34" s="1" t="s">
        <v>670</v>
      </c>
      <c r="AC34" s="64" t="s">
        <v>709</v>
      </c>
      <c r="AD34" s="1"/>
      <c r="AE34" s="1" t="s">
        <v>710</v>
      </c>
      <c r="AF34" s="1"/>
      <c r="AG34" s="65"/>
      <c r="AH34" s="1"/>
      <c r="AI34" s="1"/>
      <c r="AJ34" s="1"/>
      <c r="AK34" s="1"/>
      <c r="AL34" s="1"/>
      <c r="AM34" s="1"/>
      <c r="AN34" s="1"/>
      <c r="AO34" s="18" t="s">
        <v>711</v>
      </c>
      <c r="AP34" s="18" t="s">
        <v>712</v>
      </c>
      <c r="AQ34" s="1"/>
      <c r="AR34" s="1"/>
      <c r="AS34" s="1"/>
      <c r="AT34" s="1"/>
      <c r="AU34" s="20" t="s">
        <v>653</v>
      </c>
      <c r="AV34" s="20" t="s">
        <v>550</v>
      </c>
      <c r="AW34" s="21" t="s">
        <v>588</v>
      </c>
      <c r="AX34" s="20" t="s">
        <v>606</v>
      </c>
      <c r="AY34" s="20" t="s">
        <v>595</v>
      </c>
    </row>
    <row r="35" spans="12:51" x14ac:dyDescent="0.5">
      <c r="L35" s="1" t="s">
        <v>713</v>
      </c>
      <c r="M35" s="1" t="s">
        <v>714</v>
      </c>
      <c r="N35" s="1" t="s">
        <v>715</v>
      </c>
      <c r="O35" s="1" t="s">
        <v>711</v>
      </c>
      <c r="P35" s="1" t="s">
        <v>570</v>
      </c>
      <c r="Q35" s="1" t="s">
        <v>623</v>
      </c>
      <c r="R35" s="1"/>
      <c r="S35" s="64" t="s">
        <v>713</v>
      </c>
      <c r="T35" s="1" t="s">
        <v>714</v>
      </c>
      <c r="U35" s="1" t="s">
        <v>715</v>
      </c>
      <c r="V35" s="1" t="s">
        <v>711</v>
      </c>
      <c r="W35" s="1" t="s">
        <v>570</v>
      </c>
      <c r="X35" s="1" t="s">
        <v>623</v>
      </c>
      <c r="Y35" s="64" t="s">
        <v>361</v>
      </c>
      <c r="Z35" s="1" t="s">
        <v>484</v>
      </c>
      <c r="AA35" s="1" t="s">
        <v>716</v>
      </c>
      <c r="AB35" s="1" t="s">
        <v>717</v>
      </c>
      <c r="AC35" s="68" t="s">
        <v>713</v>
      </c>
      <c r="AD35" s="1"/>
      <c r="AE35" s="1" t="s">
        <v>669</v>
      </c>
      <c r="AF35" s="1"/>
      <c r="AG35" s="65"/>
      <c r="AH35" s="1"/>
      <c r="AI35" s="1"/>
      <c r="AJ35" s="1"/>
      <c r="AK35" s="1"/>
      <c r="AL35" s="1"/>
      <c r="AM35" s="1"/>
      <c r="AN35" s="1"/>
      <c r="AO35" s="18" t="s">
        <v>559</v>
      </c>
      <c r="AP35" s="18" t="s">
        <v>626</v>
      </c>
      <c r="AQ35" s="1"/>
      <c r="AR35" s="1"/>
      <c r="AS35" s="1"/>
      <c r="AT35" s="1"/>
      <c r="AU35" s="20" t="s">
        <v>570</v>
      </c>
      <c r="AV35" s="22" t="s">
        <v>546</v>
      </c>
      <c r="AW35" s="19" t="s">
        <v>107</v>
      </c>
      <c r="AX35" s="22" t="s">
        <v>554</v>
      </c>
      <c r="AY35" s="20" t="s">
        <v>522</v>
      </c>
    </row>
    <row r="36" spans="12:51" x14ac:dyDescent="0.5">
      <c r="L36" s="1" t="s">
        <v>89</v>
      </c>
      <c r="M36" s="1" t="s">
        <v>654</v>
      </c>
      <c r="N36" s="1" t="s">
        <v>645</v>
      </c>
      <c r="O36" s="1" t="s">
        <v>718</v>
      </c>
      <c r="P36" s="1" t="s">
        <v>685</v>
      </c>
      <c r="Q36" s="1" t="s">
        <v>356</v>
      </c>
      <c r="R36" s="1"/>
      <c r="S36" s="64" t="s">
        <v>89</v>
      </c>
      <c r="T36" s="1" t="s">
        <v>654</v>
      </c>
      <c r="U36" s="1" t="s">
        <v>645</v>
      </c>
      <c r="V36" s="1" t="s">
        <v>718</v>
      </c>
      <c r="W36" s="1" t="s">
        <v>685</v>
      </c>
      <c r="X36" s="66" t="s">
        <v>356</v>
      </c>
      <c r="Y36" s="64" t="s">
        <v>637</v>
      </c>
      <c r="Z36" s="1" t="s">
        <v>719</v>
      </c>
      <c r="AA36" s="1" t="s">
        <v>720</v>
      </c>
      <c r="AB36" s="1" t="s">
        <v>613</v>
      </c>
      <c r="AC36" s="64" t="s">
        <v>669</v>
      </c>
      <c r="AD36" s="1"/>
      <c r="AE36" s="1" t="s">
        <v>721</v>
      </c>
      <c r="AF36" s="1"/>
      <c r="AG36" s="65"/>
      <c r="AH36" s="1"/>
      <c r="AI36" s="1"/>
      <c r="AJ36" s="1"/>
      <c r="AK36" s="1"/>
      <c r="AL36" s="1"/>
      <c r="AM36" s="1"/>
      <c r="AN36" s="1"/>
      <c r="AO36" s="1"/>
      <c r="AP36" s="18" t="s">
        <v>677</v>
      </c>
      <c r="AQ36" s="1"/>
      <c r="AR36" s="1"/>
      <c r="AS36" s="1"/>
      <c r="AT36" s="1"/>
      <c r="AU36" s="20" t="s">
        <v>579</v>
      </c>
      <c r="AV36" s="20" t="s">
        <v>527</v>
      </c>
      <c r="AW36" s="20" t="s">
        <v>556</v>
      </c>
      <c r="AX36" s="22" t="s">
        <v>612</v>
      </c>
      <c r="AY36" s="20" t="s">
        <v>623</v>
      </c>
    </row>
    <row r="37" spans="12:51" x14ac:dyDescent="0.5">
      <c r="L37" s="1" t="s">
        <v>722</v>
      </c>
      <c r="M37" s="1" t="s">
        <v>661</v>
      </c>
      <c r="N37" s="1" t="s">
        <v>723</v>
      </c>
      <c r="O37" s="1"/>
      <c r="P37" s="1" t="s">
        <v>376</v>
      </c>
      <c r="Q37" s="1" t="s">
        <v>609</v>
      </c>
      <c r="R37" s="1"/>
      <c r="S37" s="64" t="s">
        <v>722</v>
      </c>
      <c r="T37" s="1" t="s">
        <v>661</v>
      </c>
      <c r="U37" s="1" t="s">
        <v>723</v>
      </c>
      <c r="V37" s="1"/>
      <c r="W37" s="1" t="s">
        <v>376</v>
      </c>
      <c r="X37" s="1" t="s">
        <v>609</v>
      </c>
      <c r="Y37" s="64" t="s">
        <v>724</v>
      </c>
      <c r="Z37" s="1" t="s">
        <v>725</v>
      </c>
      <c r="AA37" s="1" t="s">
        <v>376</v>
      </c>
      <c r="AB37" s="1" t="s">
        <v>690</v>
      </c>
      <c r="AC37" s="64" t="s">
        <v>660</v>
      </c>
      <c r="AD37" s="1"/>
      <c r="AE37" s="1" t="s">
        <v>666</v>
      </c>
      <c r="AF37" s="1"/>
      <c r="AG37" s="65"/>
      <c r="AH37" s="1"/>
      <c r="AI37" s="1"/>
      <c r="AJ37" s="1"/>
      <c r="AK37" s="1"/>
      <c r="AL37" s="1"/>
      <c r="AM37" s="1"/>
      <c r="AN37" s="1"/>
      <c r="AO37" s="1"/>
      <c r="AP37" s="18" t="s">
        <v>726</v>
      </c>
      <c r="AQ37" s="1"/>
      <c r="AR37" s="1"/>
      <c r="AS37" s="1"/>
      <c r="AT37" s="1"/>
      <c r="AU37" s="20" t="s">
        <v>376</v>
      </c>
      <c r="AV37" s="20" t="s">
        <v>59</v>
      </c>
      <c r="AW37" s="22" t="s">
        <v>653</v>
      </c>
      <c r="AX37" s="22" t="s">
        <v>552</v>
      </c>
      <c r="AY37" s="20" t="s">
        <v>609</v>
      </c>
    </row>
    <row r="38" spans="12:51" x14ac:dyDescent="0.5">
      <c r="L38" s="1" t="s">
        <v>727</v>
      </c>
      <c r="M38" s="1" t="s">
        <v>669</v>
      </c>
      <c r="N38" s="1" t="s">
        <v>644</v>
      </c>
      <c r="O38" s="1"/>
      <c r="P38" s="1" t="s">
        <v>728</v>
      </c>
      <c r="Q38" s="1" t="s">
        <v>357</v>
      </c>
      <c r="R38" s="1"/>
      <c r="S38" s="64" t="s">
        <v>727</v>
      </c>
      <c r="T38" s="1" t="s">
        <v>669</v>
      </c>
      <c r="U38" s="1" t="s">
        <v>644</v>
      </c>
      <c r="V38" s="1"/>
      <c r="W38" s="1" t="s">
        <v>728</v>
      </c>
      <c r="X38" s="1" t="s">
        <v>357</v>
      </c>
      <c r="Y38" s="64" t="s">
        <v>729</v>
      </c>
      <c r="Z38" s="75" t="s">
        <v>89</v>
      </c>
      <c r="AA38" s="1" t="s">
        <v>730</v>
      </c>
      <c r="AB38" s="1" t="s">
        <v>731</v>
      </c>
      <c r="AC38" s="64" t="s">
        <v>732</v>
      </c>
      <c r="AD38" s="1"/>
      <c r="AE38" s="1" t="s">
        <v>732</v>
      </c>
      <c r="AF38" s="1"/>
      <c r="AG38" s="65"/>
      <c r="AH38" s="1"/>
      <c r="AI38" s="1"/>
      <c r="AJ38" s="1"/>
      <c r="AK38" s="1"/>
      <c r="AL38" s="1"/>
      <c r="AM38" s="1"/>
      <c r="AN38" s="1"/>
      <c r="AO38" s="1"/>
      <c r="AP38" s="18" t="s">
        <v>733</v>
      </c>
      <c r="AQ38" s="1"/>
      <c r="AR38" s="1"/>
      <c r="AS38" s="1"/>
      <c r="AT38" s="1"/>
      <c r="AU38" s="20" t="s">
        <v>656</v>
      </c>
      <c r="AV38" s="19" t="s">
        <v>557</v>
      </c>
      <c r="AW38" s="19" t="s">
        <v>376</v>
      </c>
      <c r="AX38" s="22" t="s">
        <v>624</v>
      </c>
      <c r="AY38" s="20" t="s">
        <v>671</v>
      </c>
    </row>
    <row r="39" spans="12:51" x14ac:dyDescent="0.5">
      <c r="L39" s="1" t="s">
        <v>644</v>
      </c>
      <c r="M39" s="1" t="s">
        <v>711</v>
      </c>
      <c r="N39" s="1" t="s">
        <v>714</v>
      </c>
      <c r="O39" s="1"/>
      <c r="P39" s="1" t="s">
        <v>734</v>
      </c>
      <c r="Q39" s="1" t="s">
        <v>357</v>
      </c>
      <c r="R39" s="1"/>
      <c r="S39" s="64" t="s">
        <v>644</v>
      </c>
      <c r="T39" s="1" t="s">
        <v>711</v>
      </c>
      <c r="U39" s="1" t="s">
        <v>714</v>
      </c>
      <c r="V39" s="1"/>
      <c r="W39" s="1" t="s">
        <v>734</v>
      </c>
      <c r="X39" s="1" t="s">
        <v>357</v>
      </c>
      <c r="Y39" s="64" t="s">
        <v>735</v>
      </c>
      <c r="Z39" s="1" t="s">
        <v>727</v>
      </c>
      <c r="AA39" s="1" t="s">
        <v>569</v>
      </c>
      <c r="AB39" s="1" t="s">
        <v>89</v>
      </c>
      <c r="AC39" s="64" t="s">
        <v>692</v>
      </c>
      <c r="AD39" s="1"/>
      <c r="AE39" s="1" t="s">
        <v>689</v>
      </c>
      <c r="AF39" s="1"/>
      <c r="AG39" s="65"/>
      <c r="AH39" s="1"/>
      <c r="AI39" s="1"/>
      <c r="AJ39" s="1"/>
      <c r="AK39" s="1"/>
      <c r="AL39" s="1"/>
      <c r="AM39" s="1"/>
      <c r="AN39" s="1"/>
      <c r="AO39" s="1"/>
      <c r="AP39" s="18" t="s">
        <v>607</v>
      </c>
      <c r="AQ39" s="1"/>
      <c r="AR39" s="1"/>
      <c r="AS39" s="1"/>
      <c r="AT39" s="1"/>
      <c r="AU39" s="20" t="s">
        <v>569</v>
      </c>
      <c r="AV39" s="21" t="s">
        <v>571</v>
      </c>
      <c r="AW39" s="22" t="s">
        <v>646</v>
      </c>
      <c r="AX39" s="22" t="s">
        <v>491</v>
      </c>
      <c r="AY39" s="20" t="s">
        <v>553</v>
      </c>
    </row>
    <row r="40" spans="12:51" ht="18.600000000000001" thickBot="1" x14ac:dyDescent="0.55000000000000004">
      <c r="L40" s="1" t="s">
        <v>665</v>
      </c>
      <c r="M40" s="1" t="s">
        <v>668</v>
      </c>
      <c r="N40" s="1" t="s">
        <v>369</v>
      </c>
      <c r="O40" s="1"/>
      <c r="P40" s="1" t="s">
        <v>724</v>
      </c>
      <c r="Q40" s="1" t="s">
        <v>736</v>
      </c>
      <c r="R40" s="1"/>
      <c r="S40" s="64" t="s">
        <v>665</v>
      </c>
      <c r="T40" s="1" t="s">
        <v>668</v>
      </c>
      <c r="U40" s="66" t="s">
        <v>369</v>
      </c>
      <c r="V40" s="1"/>
      <c r="W40" s="1" t="s">
        <v>724</v>
      </c>
      <c r="X40" s="1" t="s">
        <v>736</v>
      </c>
      <c r="Y40" s="64" t="s">
        <v>735</v>
      </c>
      <c r="Z40" s="1" t="s">
        <v>661</v>
      </c>
      <c r="AA40" s="1" t="s">
        <v>102</v>
      </c>
      <c r="AB40" s="1" t="s">
        <v>737</v>
      </c>
      <c r="AC40" s="70" t="s">
        <v>104</v>
      </c>
      <c r="AD40" s="71"/>
      <c r="AE40" s="71"/>
      <c r="AF40" s="71"/>
      <c r="AG40" s="72"/>
      <c r="AH40" s="1"/>
      <c r="AI40" s="1"/>
      <c r="AJ40" s="1"/>
      <c r="AK40" s="1"/>
      <c r="AL40" s="1"/>
      <c r="AM40" s="1"/>
      <c r="AN40" s="1"/>
      <c r="AO40" s="1"/>
      <c r="AP40" s="18" t="s">
        <v>738</v>
      </c>
      <c r="AQ40" s="1"/>
      <c r="AR40" s="1"/>
      <c r="AS40" s="1"/>
      <c r="AT40" s="1"/>
      <c r="AU40" s="20" t="s">
        <v>587</v>
      </c>
      <c r="AV40" s="22" t="s">
        <v>537</v>
      </c>
      <c r="AW40" s="20" t="s">
        <v>555</v>
      </c>
      <c r="AX40" s="22" t="s">
        <v>634</v>
      </c>
      <c r="AY40" s="20" t="s">
        <v>568</v>
      </c>
    </row>
    <row r="41" spans="12:51" x14ac:dyDescent="0.5">
      <c r="L41" s="1" t="s">
        <v>739</v>
      </c>
      <c r="M41" s="1" t="s">
        <v>372</v>
      </c>
      <c r="N41" s="1" t="s">
        <v>681</v>
      </c>
      <c r="O41" s="1"/>
      <c r="P41" s="1" t="s">
        <v>617</v>
      </c>
      <c r="Q41" s="1" t="s">
        <v>740</v>
      </c>
      <c r="R41" s="1"/>
      <c r="S41" s="64" t="s">
        <v>739</v>
      </c>
      <c r="T41" s="1" t="s">
        <v>372</v>
      </c>
      <c r="U41" s="1" t="s">
        <v>681</v>
      </c>
      <c r="V41" s="1"/>
      <c r="W41" s="1" t="s">
        <v>617</v>
      </c>
      <c r="X41" s="1" t="s">
        <v>740</v>
      </c>
      <c r="Y41" s="64" t="s">
        <v>670</v>
      </c>
      <c r="Z41" s="1" t="s">
        <v>741</v>
      </c>
      <c r="AA41" s="1" t="s">
        <v>703</v>
      </c>
      <c r="AB41" s="65" t="s">
        <v>742</v>
      </c>
      <c r="AC41" s="1"/>
      <c r="AD41" s="1"/>
      <c r="AE41" s="1"/>
      <c r="AF41" s="1"/>
      <c r="AG41" s="1"/>
      <c r="AH41" s="1"/>
      <c r="AI41" s="1"/>
      <c r="AJ41" s="1"/>
      <c r="AK41" s="1"/>
      <c r="AL41" s="1"/>
      <c r="AM41" s="1"/>
      <c r="AN41" s="1"/>
      <c r="AO41" s="1"/>
      <c r="AP41" s="18" t="s">
        <v>743</v>
      </c>
      <c r="AQ41" s="1"/>
      <c r="AR41" s="1"/>
      <c r="AS41" s="1"/>
      <c r="AT41" s="1"/>
      <c r="AU41" s="20" t="s">
        <v>664</v>
      </c>
      <c r="AV41" s="20" t="s">
        <v>560</v>
      </c>
      <c r="AW41" s="22" t="s">
        <v>617</v>
      </c>
      <c r="AX41" s="20" t="s">
        <v>531</v>
      </c>
      <c r="AY41" s="20" t="s">
        <v>359</v>
      </c>
    </row>
    <row r="42" spans="12:51" x14ac:dyDescent="0.5">
      <c r="L42" s="1" t="s">
        <v>661</v>
      </c>
      <c r="M42" s="1" t="s">
        <v>744</v>
      </c>
      <c r="N42" s="1" t="s">
        <v>692</v>
      </c>
      <c r="O42" s="1"/>
      <c r="P42" s="1" t="s">
        <v>484</v>
      </c>
      <c r="Q42" s="1" t="s">
        <v>712</v>
      </c>
      <c r="R42" s="1"/>
      <c r="S42" s="64" t="s">
        <v>661</v>
      </c>
      <c r="T42" s="1" t="s">
        <v>744</v>
      </c>
      <c r="U42" s="1" t="s">
        <v>692</v>
      </c>
      <c r="V42" s="1"/>
      <c r="W42" s="1" t="s">
        <v>484</v>
      </c>
      <c r="X42" s="1" t="s">
        <v>712</v>
      </c>
      <c r="Y42" s="64" t="s">
        <v>629</v>
      </c>
      <c r="Z42" s="1"/>
      <c r="AA42" s="1" t="s">
        <v>617</v>
      </c>
      <c r="AB42" s="65" t="s">
        <v>745</v>
      </c>
      <c r="AC42" s="1"/>
      <c r="AD42" s="1"/>
      <c r="AE42" s="1"/>
      <c r="AF42" s="1"/>
      <c r="AG42" s="1"/>
      <c r="AH42" s="1"/>
      <c r="AI42" s="1"/>
      <c r="AJ42" s="1"/>
      <c r="AK42" s="1"/>
      <c r="AL42" s="1"/>
      <c r="AM42" s="1"/>
      <c r="AN42" s="1"/>
      <c r="AO42" s="1"/>
      <c r="AP42" s="18" t="s">
        <v>690</v>
      </c>
      <c r="AQ42" s="1"/>
      <c r="AR42" s="1"/>
      <c r="AS42" s="1"/>
      <c r="AT42" s="1"/>
      <c r="AU42" s="20" t="s">
        <v>608</v>
      </c>
      <c r="AV42" s="19" t="s">
        <v>522</v>
      </c>
      <c r="AW42" s="20" t="s">
        <v>364</v>
      </c>
      <c r="AX42" s="22" t="s">
        <v>500</v>
      </c>
      <c r="AY42" s="20" t="s">
        <v>107</v>
      </c>
    </row>
    <row r="43" spans="12:51" x14ac:dyDescent="0.5">
      <c r="L43" s="1" t="s">
        <v>746</v>
      </c>
      <c r="M43" s="1"/>
      <c r="N43" s="1" t="s">
        <v>104</v>
      </c>
      <c r="O43" s="1"/>
      <c r="P43" s="1" t="s">
        <v>735</v>
      </c>
      <c r="Q43" s="1" t="s">
        <v>626</v>
      </c>
      <c r="R43" s="1"/>
      <c r="S43" s="64" t="s">
        <v>746</v>
      </c>
      <c r="T43" s="1"/>
      <c r="U43" s="1" t="s">
        <v>104</v>
      </c>
      <c r="V43" s="1"/>
      <c r="W43" s="1" t="s">
        <v>735</v>
      </c>
      <c r="X43" s="1" t="s">
        <v>626</v>
      </c>
      <c r="Y43" s="64" t="s">
        <v>747</v>
      </c>
      <c r="Z43" s="1"/>
      <c r="AA43" s="1" t="s">
        <v>677</v>
      </c>
      <c r="AB43" s="65" t="s">
        <v>748</v>
      </c>
      <c r="AC43" s="1"/>
      <c r="AD43" s="1"/>
      <c r="AE43" s="1"/>
      <c r="AF43" s="1"/>
      <c r="AG43" s="1"/>
      <c r="AH43" s="1"/>
      <c r="AI43" s="1"/>
      <c r="AJ43" s="1"/>
      <c r="AK43" s="1"/>
      <c r="AL43" s="1"/>
      <c r="AM43" s="1"/>
      <c r="AN43" s="1"/>
      <c r="AO43" s="1"/>
      <c r="AP43" s="18" t="s">
        <v>749</v>
      </c>
      <c r="AQ43" s="1"/>
      <c r="AR43" s="1"/>
      <c r="AS43" s="1"/>
      <c r="AT43" s="1"/>
      <c r="AU43" s="20" t="s">
        <v>628</v>
      </c>
      <c r="AV43" s="20" t="s">
        <v>583</v>
      </c>
      <c r="AW43" s="22" t="s">
        <v>701</v>
      </c>
      <c r="AX43" s="22" t="s">
        <v>353</v>
      </c>
      <c r="AY43" s="20" t="s">
        <v>626</v>
      </c>
    </row>
    <row r="44" spans="12:51" x14ac:dyDescent="0.5">
      <c r="L44" s="1" t="s">
        <v>669</v>
      </c>
      <c r="M44" s="1"/>
      <c r="N44" s="1"/>
      <c r="O44" s="1"/>
      <c r="P44" s="1" t="s">
        <v>662</v>
      </c>
      <c r="Q44" s="1" t="s">
        <v>750</v>
      </c>
      <c r="R44" s="1"/>
      <c r="S44" s="68" t="s">
        <v>669</v>
      </c>
      <c r="T44" s="1"/>
      <c r="U44" s="1"/>
      <c r="V44" s="1"/>
      <c r="W44" s="1" t="s">
        <v>662</v>
      </c>
      <c r="X44" s="1" t="s">
        <v>750</v>
      </c>
      <c r="Y44" s="64" t="s">
        <v>690</v>
      </c>
      <c r="Z44" s="1"/>
      <c r="AA44" s="1" t="s">
        <v>751</v>
      </c>
      <c r="AB44" s="65" t="s">
        <v>739</v>
      </c>
      <c r="AC44" s="1"/>
      <c r="AD44" s="1"/>
      <c r="AE44" s="1"/>
      <c r="AF44" s="1"/>
      <c r="AG44" s="1"/>
      <c r="AH44" s="1"/>
      <c r="AI44" s="1"/>
      <c r="AJ44" s="1"/>
      <c r="AK44" s="1"/>
      <c r="AL44" s="1"/>
      <c r="AM44" s="1"/>
      <c r="AN44" s="1"/>
      <c r="AO44" s="1"/>
      <c r="AP44" s="18" t="s">
        <v>669</v>
      </c>
      <c r="AQ44" s="1"/>
      <c r="AR44" s="1"/>
      <c r="AS44" s="1"/>
      <c r="AT44" s="1"/>
      <c r="AU44" s="20" t="s">
        <v>613</v>
      </c>
      <c r="AV44" s="22" t="s">
        <v>127</v>
      </c>
      <c r="AW44" s="20" t="s">
        <v>629</v>
      </c>
      <c r="AX44" s="22" t="s">
        <v>521</v>
      </c>
      <c r="AY44" s="20" t="s">
        <v>635</v>
      </c>
    </row>
    <row r="45" spans="12:51" x14ac:dyDescent="0.5">
      <c r="L45" s="1" t="s">
        <v>752</v>
      </c>
      <c r="M45" s="1"/>
      <c r="N45" s="1"/>
      <c r="O45" s="1"/>
      <c r="P45" s="1" t="s">
        <v>676</v>
      </c>
      <c r="Q45" s="1" t="s">
        <v>750</v>
      </c>
      <c r="R45" s="1"/>
      <c r="S45" s="64" t="s">
        <v>752</v>
      </c>
      <c r="T45" s="1"/>
      <c r="U45" s="1"/>
      <c r="V45" s="1"/>
      <c r="W45" s="1" t="s">
        <v>676</v>
      </c>
      <c r="X45" s="1" t="s">
        <v>750</v>
      </c>
      <c r="Y45" s="64" t="s">
        <v>753</v>
      </c>
      <c r="Z45" s="1"/>
      <c r="AA45" s="1" t="s">
        <v>754</v>
      </c>
      <c r="AB45" s="65" t="s">
        <v>369</v>
      </c>
      <c r="AC45" s="1"/>
      <c r="AD45" s="1"/>
      <c r="AE45" s="1"/>
      <c r="AF45" s="1"/>
      <c r="AG45" s="1"/>
      <c r="AH45" s="1"/>
      <c r="AI45" s="1"/>
      <c r="AJ45" s="1"/>
      <c r="AK45" s="1"/>
      <c r="AL45" s="1"/>
      <c r="AM45" s="1"/>
      <c r="AN45" s="1"/>
      <c r="AO45" s="1"/>
      <c r="AP45" s="18" t="s">
        <v>599</v>
      </c>
      <c r="AQ45" s="1"/>
      <c r="AR45" s="1"/>
      <c r="AS45" s="1"/>
      <c r="AT45" s="1"/>
      <c r="AU45" s="20" t="s">
        <v>700</v>
      </c>
      <c r="AV45" s="21" t="s">
        <v>589</v>
      </c>
      <c r="AW45" s="22" t="s">
        <v>715</v>
      </c>
      <c r="AX45" s="20" t="s">
        <v>507</v>
      </c>
      <c r="AY45" s="20" t="s">
        <v>643</v>
      </c>
    </row>
    <row r="46" spans="12:51" x14ac:dyDescent="0.5">
      <c r="L46" s="1"/>
      <c r="M46" s="1"/>
      <c r="N46" s="1"/>
      <c r="O46" s="1"/>
      <c r="P46" s="1" t="s">
        <v>670</v>
      </c>
      <c r="Q46" s="1" t="s">
        <v>677</v>
      </c>
      <c r="R46" s="1"/>
      <c r="S46" s="64"/>
      <c r="T46" s="1"/>
      <c r="U46" s="1"/>
      <c r="V46" s="1"/>
      <c r="W46" s="1" t="s">
        <v>670</v>
      </c>
      <c r="X46" s="1" t="s">
        <v>677</v>
      </c>
      <c r="Y46" s="64" t="s">
        <v>723</v>
      </c>
      <c r="Z46" s="1"/>
      <c r="AA46" s="1" t="s">
        <v>735</v>
      </c>
      <c r="AB46" s="65" t="s">
        <v>755</v>
      </c>
      <c r="AC46" s="1"/>
      <c r="AD46" s="1"/>
      <c r="AE46" s="1"/>
      <c r="AF46" s="1"/>
      <c r="AG46" s="1"/>
      <c r="AH46" s="1"/>
      <c r="AI46" s="1"/>
      <c r="AJ46" s="1"/>
      <c r="AK46" s="1"/>
      <c r="AL46" s="1"/>
      <c r="AM46" s="1"/>
      <c r="AN46" s="1"/>
      <c r="AO46" s="1"/>
      <c r="AP46" s="18" t="s">
        <v>104</v>
      </c>
      <c r="AQ46" s="1"/>
      <c r="AR46" s="1"/>
      <c r="AS46" s="1"/>
      <c r="AT46" s="1"/>
      <c r="AU46" s="20" t="s">
        <v>644</v>
      </c>
      <c r="AV46" s="19" t="s">
        <v>598</v>
      </c>
      <c r="AW46" s="19" t="s">
        <v>366</v>
      </c>
      <c r="AX46" s="20" t="s">
        <v>546</v>
      </c>
      <c r="AY46" s="20" t="s">
        <v>365</v>
      </c>
    </row>
    <row r="47" spans="12:51" x14ac:dyDescent="0.5">
      <c r="L47" s="1"/>
      <c r="M47" s="1"/>
      <c r="N47" s="1"/>
      <c r="O47" s="1"/>
      <c r="P47" s="1" t="s">
        <v>629</v>
      </c>
      <c r="Q47" s="1" t="s">
        <v>735</v>
      </c>
      <c r="R47" s="1"/>
      <c r="S47" s="64"/>
      <c r="T47" s="1"/>
      <c r="U47" s="1"/>
      <c r="V47" s="1"/>
      <c r="W47" s="1" t="s">
        <v>629</v>
      </c>
      <c r="X47" s="1" t="s">
        <v>735</v>
      </c>
      <c r="Y47" s="64" t="s">
        <v>756</v>
      </c>
      <c r="Z47" s="1"/>
      <c r="AA47" s="1" t="s">
        <v>704</v>
      </c>
      <c r="AB47" s="65" t="s">
        <v>661</v>
      </c>
      <c r="AC47" s="1"/>
      <c r="AD47" s="1"/>
      <c r="AE47" s="1"/>
      <c r="AF47" s="1"/>
      <c r="AG47" s="1"/>
      <c r="AH47" s="1"/>
      <c r="AI47" s="1"/>
      <c r="AJ47" s="1"/>
      <c r="AK47" s="1"/>
      <c r="AL47" s="1"/>
      <c r="AM47" s="1"/>
      <c r="AN47" s="1"/>
      <c r="AO47" s="1"/>
      <c r="AP47" s="18"/>
      <c r="AQ47" s="1"/>
      <c r="AR47" s="1"/>
      <c r="AS47" s="1"/>
      <c r="AT47" s="1"/>
      <c r="AU47" s="20" t="s">
        <v>665</v>
      </c>
      <c r="AV47" s="20" t="s">
        <v>513</v>
      </c>
      <c r="AW47" s="20" t="s">
        <v>645</v>
      </c>
      <c r="AX47" s="22" t="s">
        <v>527</v>
      </c>
      <c r="AY47" s="20" t="s">
        <v>607</v>
      </c>
    </row>
    <row r="48" spans="12:51" x14ac:dyDescent="0.5">
      <c r="L48" s="1"/>
      <c r="M48" s="1"/>
      <c r="N48" s="1"/>
      <c r="O48" s="1"/>
      <c r="P48" s="1" t="s">
        <v>629</v>
      </c>
      <c r="Q48" s="1" t="s">
        <v>662</v>
      </c>
      <c r="R48" s="1"/>
      <c r="S48" s="64"/>
      <c r="T48" s="1"/>
      <c r="U48" s="1"/>
      <c r="V48" s="1"/>
      <c r="W48" s="1" t="s">
        <v>629</v>
      </c>
      <c r="X48" s="1" t="s">
        <v>662</v>
      </c>
      <c r="Y48" s="64" t="s">
        <v>757</v>
      </c>
      <c r="Z48" s="1"/>
      <c r="AA48" s="1" t="s">
        <v>635</v>
      </c>
      <c r="AB48" s="65" t="s">
        <v>758</v>
      </c>
      <c r="AC48" s="1"/>
      <c r="AD48" s="1"/>
      <c r="AE48" s="1"/>
      <c r="AF48" s="1"/>
      <c r="AG48" s="1"/>
      <c r="AH48" s="1"/>
      <c r="AI48" s="1"/>
      <c r="AJ48" s="1"/>
      <c r="AK48" s="1"/>
      <c r="AL48" s="1"/>
      <c r="AM48" s="1"/>
      <c r="AN48" s="1"/>
      <c r="AO48" s="1"/>
      <c r="AP48" s="1"/>
      <c r="AQ48" s="1"/>
      <c r="AR48" s="1"/>
      <c r="AS48" s="1"/>
      <c r="AT48" s="1"/>
      <c r="AU48" s="20" t="s">
        <v>714</v>
      </c>
      <c r="AV48" s="21" t="s">
        <v>356</v>
      </c>
      <c r="AW48" s="22" t="s">
        <v>723</v>
      </c>
      <c r="AX48" s="20" t="s">
        <v>557</v>
      </c>
      <c r="AY48" s="20" t="s">
        <v>613</v>
      </c>
    </row>
    <row r="49" spans="16:51" x14ac:dyDescent="0.5">
      <c r="P49" s="1" t="s">
        <v>759</v>
      </c>
      <c r="Q49" s="1" t="s">
        <v>760</v>
      </c>
      <c r="R49" s="1"/>
      <c r="S49" s="64"/>
      <c r="T49" s="1"/>
      <c r="U49" s="1"/>
      <c r="V49" s="1"/>
      <c r="W49" s="1" t="s">
        <v>759</v>
      </c>
      <c r="X49" s="1" t="s">
        <v>760</v>
      </c>
      <c r="Y49" s="64" t="s">
        <v>761</v>
      </c>
      <c r="Z49" s="1"/>
      <c r="AA49" s="1" t="s">
        <v>701</v>
      </c>
      <c r="AB49" s="65" t="s">
        <v>660</v>
      </c>
      <c r="AC49" s="1"/>
      <c r="AD49" s="1"/>
      <c r="AE49" s="1"/>
      <c r="AF49" s="1"/>
      <c r="AG49" s="1"/>
      <c r="AH49" s="1"/>
      <c r="AI49" s="1"/>
      <c r="AJ49" s="1"/>
      <c r="AK49" s="1"/>
      <c r="AL49" s="1"/>
      <c r="AM49" s="1"/>
      <c r="AN49" s="1"/>
      <c r="AO49" s="1"/>
      <c r="AP49" s="1"/>
      <c r="AQ49" s="1"/>
      <c r="AR49" s="1"/>
      <c r="AS49" s="1"/>
      <c r="AT49" s="1"/>
      <c r="AU49" s="20" t="s">
        <v>654</v>
      </c>
      <c r="AV49" s="22" t="s">
        <v>609</v>
      </c>
      <c r="AW49" s="20" t="s">
        <v>644</v>
      </c>
      <c r="AX49" s="22" t="s">
        <v>595</v>
      </c>
      <c r="AY49" s="20" t="s">
        <v>625</v>
      </c>
    </row>
    <row r="50" spans="16:51" x14ac:dyDescent="0.5">
      <c r="P50" s="1" t="s">
        <v>366</v>
      </c>
      <c r="Q50" s="1" t="s">
        <v>628</v>
      </c>
      <c r="R50" s="1"/>
      <c r="S50" s="64"/>
      <c r="T50" s="1"/>
      <c r="U50" s="1"/>
      <c r="V50" s="1"/>
      <c r="W50" s="1" t="s">
        <v>366</v>
      </c>
      <c r="X50" s="1" t="s">
        <v>628</v>
      </c>
      <c r="Y50" s="64" t="s">
        <v>372</v>
      </c>
      <c r="Z50" s="1"/>
      <c r="AA50" s="1" t="s">
        <v>670</v>
      </c>
      <c r="AB50" s="65" t="s">
        <v>762</v>
      </c>
      <c r="AC50" s="1"/>
      <c r="AD50" s="1"/>
      <c r="AE50" s="1"/>
      <c r="AF50" s="1"/>
      <c r="AG50" s="1"/>
      <c r="AH50" s="1"/>
      <c r="AI50" s="1"/>
      <c r="AJ50" s="1"/>
      <c r="AK50" s="1"/>
      <c r="AL50" s="1"/>
      <c r="AM50" s="1"/>
      <c r="AN50" s="1"/>
      <c r="AO50" s="1"/>
      <c r="AP50" s="1"/>
      <c r="AQ50" s="1"/>
      <c r="AR50" s="1"/>
      <c r="AS50" s="1"/>
      <c r="AT50" s="1"/>
      <c r="AU50" s="20" t="s">
        <v>661</v>
      </c>
      <c r="AV50" s="20" t="s">
        <v>619</v>
      </c>
      <c r="AW50" s="22" t="s">
        <v>714</v>
      </c>
      <c r="AX50" s="22" t="s">
        <v>522</v>
      </c>
      <c r="AY50" s="20" t="s">
        <v>539</v>
      </c>
    </row>
    <row r="51" spans="16:51" x14ac:dyDescent="0.5">
      <c r="P51" s="1" t="s">
        <v>763</v>
      </c>
      <c r="Q51" s="1" t="s">
        <v>764</v>
      </c>
      <c r="R51" s="1"/>
      <c r="S51" s="64"/>
      <c r="T51" s="1"/>
      <c r="U51" s="1"/>
      <c r="V51" s="1"/>
      <c r="W51" s="1" t="s">
        <v>763</v>
      </c>
      <c r="X51" s="1" t="s">
        <v>764</v>
      </c>
      <c r="Y51" s="64" t="s">
        <v>741</v>
      </c>
      <c r="Z51" s="1"/>
      <c r="AA51" s="1" t="s">
        <v>629</v>
      </c>
      <c r="AB51" s="65" t="s">
        <v>765</v>
      </c>
      <c r="AC51" s="1"/>
      <c r="AD51" s="1"/>
      <c r="AE51" s="1"/>
      <c r="AF51" s="1"/>
      <c r="AG51" s="1"/>
      <c r="AH51" s="1"/>
      <c r="AI51" s="1"/>
      <c r="AJ51" s="1"/>
      <c r="AK51" s="1"/>
      <c r="AL51" s="1"/>
      <c r="AM51" s="1"/>
      <c r="AN51" s="1"/>
      <c r="AO51" s="1"/>
      <c r="AP51" s="1"/>
      <c r="AQ51" s="1"/>
      <c r="AR51" s="1"/>
      <c r="AS51" s="1"/>
      <c r="AT51" s="1"/>
      <c r="AU51" s="20" t="s">
        <v>669</v>
      </c>
      <c r="AV51" s="20" t="s">
        <v>357</v>
      </c>
      <c r="AW51" s="20" t="s">
        <v>369</v>
      </c>
      <c r="AX51" s="22" t="s">
        <v>657</v>
      </c>
      <c r="AY51" s="20" t="s">
        <v>697</v>
      </c>
    </row>
    <row r="52" spans="16:51" x14ac:dyDescent="0.5">
      <c r="P52" s="1" t="s">
        <v>725</v>
      </c>
      <c r="Q52" s="1" t="s">
        <v>749</v>
      </c>
      <c r="R52" s="1"/>
      <c r="S52" s="64"/>
      <c r="T52" s="1"/>
      <c r="U52" s="1"/>
      <c r="V52" s="1"/>
      <c r="W52" s="1" t="s">
        <v>725</v>
      </c>
      <c r="X52" s="1" t="s">
        <v>749</v>
      </c>
      <c r="Y52" s="64" t="s">
        <v>374</v>
      </c>
      <c r="Z52" s="1"/>
      <c r="AA52" s="1" t="s">
        <v>766</v>
      </c>
      <c r="AB52" s="65" t="s">
        <v>767</v>
      </c>
      <c r="AC52" s="1"/>
      <c r="AD52" s="1"/>
      <c r="AE52" s="1"/>
      <c r="AF52" s="1"/>
      <c r="AG52" s="1"/>
      <c r="AH52" s="1"/>
      <c r="AI52" s="1"/>
      <c r="AJ52" s="1"/>
      <c r="AK52" s="1"/>
      <c r="AL52" s="1"/>
      <c r="AM52" s="1"/>
      <c r="AN52" s="1"/>
      <c r="AO52" s="1"/>
      <c r="AP52" s="1"/>
      <c r="AQ52" s="1"/>
      <c r="AR52" s="1"/>
      <c r="AS52" s="1"/>
      <c r="AT52" s="1"/>
      <c r="AU52" s="20" t="s">
        <v>711</v>
      </c>
      <c r="AV52" s="19" t="s">
        <v>582</v>
      </c>
      <c r="AW52" s="21" t="s">
        <v>654</v>
      </c>
      <c r="AX52" s="20" t="s">
        <v>614</v>
      </c>
      <c r="AY52" s="20" t="s">
        <v>705</v>
      </c>
    </row>
    <row r="53" spans="16:51" x14ac:dyDescent="0.5">
      <c r="P53" s="1" t="s">
        <v>628</v>
      </c>
      <c r="Q53" s="1" t="s">
        <v>768</v>
      </c>
      <c r="R53" s="1"/>
      <c r="S53" s="64"/>
      <c r="T53" s="1"/>
      <c r="U53" s="1"/>
      <c r="V53" s="1"/>
      <c r="W53" s="1" t="s">
        <v>628</v>
      </c>
      <c r="X53" s="1" t="s">
        <v>768</v>
      </c>
      <c r="Y53" s="64"/>
      <c r="Z53" s="1"/>
      <c r="AA53" s="1" t="s">
        <v>366</v>
      </c>
      <c r="AB53" s="65" t="s">
        <v>581</v>
      </c>
      <c r="AC53" s="1"/>
      <c r="AD53" s="1"/>
      <c r="AE53" s="1"/>
      <c r="AF53" s="1"/>
      <c r="AG53" s="1"/>
      <c r="AH53" s="1"/>
      <c r="AI53" s="1"/>
      <c r="AJ53" s="1"/>
      <c r="AK53" s="1"/>
      <c r="AL53" s="1"/>
      <c r="AM53" s="1"/>
      <c r="AN53" s="1"/>
      <c r="AO53" s="1"/>
      <c r="AP53" s="1"/>
      <c r="AQ53" s="1"/>
      <c r="AR53" s="1"/>
      <c r="AS53" s="1"/>
      <c r="AT53" s="1"/>
      <c r="AU53" s="20" t="s">
        <v>668</v>
      </c>
      <c r="AV53" s="20" t="s">
        <v>639</v>
      </c>
      <c r="AW53" s="19" t="s">
        <v>669</v>
      </c>
      <c r="AX53" s="22" t="s">
        <v>623</v>
      </c>
      <c r="AY53" s="20" t="s">
        <v>89</v>
      </c>
    </row>
    <row r="54" spans="16:51" x14ac:dyDescent="0.5">
      <c r="P54" s="1" t="s">
        <v>747</v>
      </c>
      <c r="Q54" s="1" t="s">
        <v>369</v>
      </c>
      <c r="R54" s="1"/>
      <c r="S54" s="64"/>
      <c r="T54" s="1"/>
      <c r="U54" s="1"/>
      <c r="V54" s="1"/>
      <c r="W54" s="1" t="s">
        <v>747</v>
      </c>
      <c r="X54" s="66" t="s">
        <v>369</v>
      </c>
      <c r="Y54" s="64"/>
      <c r="Z54" s="1"/>
      <c r="AA54" s="1" t="s">
        <v>769</v>
      </c>
      <c r="AB54" s="65" t="s">
        <v>770</v>
      </c>
      <c r="AC54" s="1"/>
      <c r="AD54" s="1"/>
      <c r="AE54" s="1"/>
      <c r="AF54" s="1"/>
      <c r="AG54" s="1"/>
      <c r="AH54" s="1"/>
      <c r="AI54" s="1"/>
      <c r="AJ54" s="1"/>
      <c r="AK54" s="1"/>
      <c r="AL54" s="1"/>
      <c r="AM54" s="1"/>
      <c r="AN54" s="1"/>
      <c r="AO54" s="1"/>
      <c r="AP54" s="1"/>
      <c r="AQ54" s="1"/>
      <c r="AR54" s="1"/>
      <c r="AS54" s="1"/>
      <c r="AT54" s="1"/>
      <c r="AU54" s="20" t="s">
        <v>372</v>
      </c>
      <c r="AV54" s="20" t="s">
        <v>556</v>
      </c>
      <c r="AW54" s="21" t="s">
        <v>675</v>
      </c>
      <c r="AX54" s="20" t="s">
        <v>609</v>
      </c>
      <c r="AY54" s="20" t="s">
        <v>644</v>
      </c>
    </row>
    <row r="55" spans="16:51" x14ac:dyDescent="0.5">
      <c r="P55" s="1" t="s">
        <v>368</v>
      </c>
      <c r="Q55" s="1" t="s">
        <v>757</v>
      </c>
      <c r="R55" s="1"/>
      <c r="S55" s="64"/>
      <c r="T55" s="1"/>
      <c r="U55" s="1"/>
      <c r="V55" s="1"/>
      <c r="W55" s="1" t="s">
        <v>368</v>
      </c>
      <c r="X55" s="1" t="s">
        <v>757</v>
      </c>
      <c r="Y55" s="64"/>
      <c r="Z55" s="1"/>
      <c r="AA55" s="1" t="s">
        <v>645</v>
      </c>
      <c r="AB55" s="65" t="s">
        <v>668</v>
      </c>
      <c r="AC55" s="1"/>
      <c r="AD55" s="1"/>
      <c r="AE55" s="1"/>
      <c r="AF55" s="1"/>
      <c r="AG55" s="1"/>
      <c r="AH55" s="1"/>
      <c r="AI55" s="1"/>
      <c r="AJ55" s="1"/>
      <c r="AK55" s="1"/>
      <c r="AL55" s="1"/>
      <c r="AM55" s="1"/>
      <c r="AN55" s="1"/>
      <c r="AO55" s="1"/>
      <c r="AP55" s="1"/>
      <c r="AQ55" s="1"/>
      <c r="AR55" s="1"/>
      <c r="AS55" s="1"/>
      <c r="AT55" s="1"/>
      <c r="AU55" s="20" t="s">
        <v>744</v>
      </c>
      <c r="AV55" s="22" t="s">
        <v>653</v>
      </c>
      <c r="AW55" s="22" t="s">
        <v>681</v>
      </c>
      <c r="AX55" s="22" t="s">
        <v>671</v>
      </c>
      <c r="AY55" s="20" t="s">
        <v>654</v>
      </c>
    </row>
    <row r="56" spans="16:51" x14ac:dyDescent="0.5">
      <c r="P56" s="1" t="s">
        <v>539</v>
      </c>
      <c r="Q56" s="1" t="s">
        <v>661</v>
      </c>
      <c r="R56" s="1"/>
      <c r="S56" s="64"/>
      <c r="T56" s="1"/>
      <c r="U56" s="1"/>
      <c r="V56" s="1"/>
      <c r="W56" s="1" t="s">
        <v>539</v>
      </c>
      <c r="X56" s="1" t="s">
        <v>661</v>
      </c>
      <c r="Y56" s="64"/>
      <c r="Z56" s="1"/>
      <c r="AA56" s="1" t="s">
        <v>700</v>
      </c>
      <c r="AB56" s="65" t="s">
        <v>771</v>
      </c>
      <c r="AC56" s="1"/>
      <c r="AD56" s="1"/>
      <c r="AE56" s="1"/>
      <c r="AF56" s="1"/>
      <c r="AG56" s="1"/>
      <c r="AH56" s="1"/>
      <c r="AI56" s="1"/>
      <c r="AJ56" s="1"/>
      <c r="AK56" s="1"/>
      <c r="AL56" s="1"/>
      <c r="AM56" s="1"/>
      <c r="AN56" s="1"/>
      <c r="AO56" s="1"/>
      <c r="AP56" s="1"/>
      <c r="AQ56" s="1"/>
      <c r="AR56" s="1"/>
      <c r="AS56" s="1"/>
      <c r="AT56" s="1"/>
      <c r="AU56" s="24"/>
      <c r="AV56" s="21" t="s">
        <v>570</v>
      </c>
      <c r="AW56" s="21" t="s">
        <v>689</v>
      </c>
      <c r="AX56" s="20" t="s">
        <v>553</v>
      </c>
      <c r="AY56" s="20" t="s">
        <v>669</v>
      </c>
    </row>
    <row r="57" spans="16:51" x14ac:dyDescent="0.5">
      <c r="P57" s="1" t="s">
        <v>772</v>
      </c>
      <c r="Q57" s="1" t="s">
        <v>669</v>
      </c>
      <c r="R57" s="1"/>
      <c r="S57" s="64"/>
      <c r="T57" s="1"/>
      <c r="U57" s="1"/>
      <c r="V57" s="1"/>
      <c r="W57" s="1" t="s">
        <v>772</v>
      </c>
      <c r="X57" s="1" t="s">
        <v>669</v>
      </c>
      <c r="Y57" s="64"/>
      <c r="Z57" s="1"/>
      <c r="AA57" s="1" t="s">
        <v>368</v>
      </c>
      <c r="AB57" s="65" t="s">
        <v>773</v>
      </c>
      <c r="AC57" s="1"/>
      <c r="AD57" s="1"/>
      <c r="AE57" s="1"/>
      <c r="AF57" s="1"/>
      <c r="AG57" s="1"/>
      <c r="AH57" s="1"/>
      <c r="AI57" s="1"/>
      <c r="AJ57" s="1"/>
      <c r="AK57" s="1"/>
      <c r="AL57" s="1"/>
      <c r="AM57" s="1"/>
      <c r="AN57" s="1"/>
      <c r="AO57" s="1"/>
      <c r="AP57" s="1"/>
      <c r="AQ57" s="1"/>
      <c r="AR57" s="1"/>
      <c r="AS57" s="1"/>
      <c r="AT57" s="1"/>
      <c r="AU57" s="1"/>
      <c r="AV57" s="22" t="s">
        <v>637</v>
      </c>
      <c r="AW57" s="20" t="s">
        <v>692</v>
      </c>
      <c r="AX57" s="20" t="s">
        <v>568</v>
      </c>
      <c r="AY57" s="20" t="s">
        <v>721</v>
      </c>
    </row>
    <row r="58" spans="16:51" x14ac:dyDescent="0.5">
      <c r="P58" s="1" t="s">
        <v>369</v>
      </c>
      <c r="Q58" s="1" t="s">
        <v>370</v>
      </c>
      <c r="R58" s="1"/>
      <c r="S58" s="64"/>
      <c r="T58" s="1"/>
      <c r="U58" s="1"/>
      <c r="V58" s="1"/>
      <c r="W58" s="1" t="s">
        <v>369</v>
      </c>
      <c r="X58" s="1" t="s">
        <v>370</v>
      </c>
      <c r="Y58" s="64"/>
      <c r="Z58" s="1"/>
      <c r="AA58" s="1" t="s">
        <v>774</v>
      </c>
      <c r="AB58" s="65" t="s">
        <v>744</v>
      </c>
      <c r="AC58" s="1"/>
      <c r="AD58" s="1"/>
      <c r="AE58" s="1"/>
      <c r="AF58" s="1"/>
      <c r="AG58" s="1"/>
      <c r="AH58" s="1"/>
      <c r="AI58" s="1"/>
      <c r="AJ58" s="1"/>
      <c r="AK58" s="1"/>
      <c r="AL58" s="1"/>
      <c r="AM58" s="1"/>
      <c r="AN58" s="1"/>
      <c r="AO58" s="1"/>
      <c r="AP58" s="1"/>
      <c r="AQ58" s="1"/>
      <c r="AR58" s="1"/>
      <c r="AS58" s="1"/>
      <c r="AT58" s="1"/>
      <c r="AU58" s="1"/>
      <c r="AV58" s="20" t="s">
        <v>376</v>
      </c>
      <c r="AW58" s="19"/>
      <c r="AX58" s="20" t="s">
        <v>577</v>
      </c>
      <c r="AY58" s="20" t="s">
        <v>689</v>
      </c>
    </row>
    <row r="59" spans="16:51" x14ac:dyDescent="0.5">
      <c r="P59" s="1" t="s">
        <v>757</v>
      </c>
      <c r="Q59" s="1" t="s">
        <v>775</v>
      </c>
      <c r="R59" s="1"/>
      <c r="S59" s="64"/>
      <c r="T59" s="1"/>
      <c r="U59" s="1"/>
      <c r="V59" s="1"/>
      <c r="W59" s="1" t="s">
        <v>757</v>
      </c>
      <c r="X59" s="1" t="s">
        <v>775</v>
      </c>
      <c r="Y59" s="64"/>
      <c r="Z59" s="1"/>
      <c r="AA59" s="1" t="s">
        <v>713</v>
      </c>
      <c r="AB59" s="65" t="s">
        <v>692</v>
      </c>
      <c r="AC59" s="1"/>
      <c r="AD59" s="1"/>
      <c r="AE59" s="1"/>
      <c r="AF59" s="1"/>
      <c r="AG59" s="1"/>
      <c r="AH59" s="1"/>
      <c r="AI59" s="1"/>
      <c r="AJ59" s="1"/>
      <c r="AK59" s="1"/>
      <c r="AL59" s="1"/>
      <c r="AM59" s="1"/>
      <c r="AN59" s="1"/>
      <c r="AO59" s="1"/>
      <c r="AP59" s="1"/>
      <c r="AQ59" s="1"/>
      <c r="AR59" s="1"/>
      <c r="AS59" s="1"/>
      <c r="AT59" s="1"/>
      <c r="AU59" s="18"/>
      <c r="AV59" s="20" t="s">
        <v>656</v>
      </c>
      <c r="AW59" s="19"/>
      <c r="AX59" s="20" t="s">
        <v>359</v>
      </c>
      <c r="AY59" s="20" t="s">
        <v>104</v>
      </c>
    </row>
    <row r="60" spans="16:51" x14ac:dyDescent="0.5">
      <c r="P60" s="1" t="s">
        <v>761</v>
      </c>
      <c r="Q60" s="1" t="s">
        <v>732</v>
      </c>
      <c r="R60" s="1"/>
      <c r="S60" s="64"/>
      <c r="T60" s="1"/>
      <c r="U60" s="1"/>
      <c r="V60" s="1"/>
      <c r="W60" s="1" t="s">
        <v>761</v>
      </c>
      <c r="X60" s="1" t="s">
        <v>732</v>
      </c>
      <c r="Y60" s="64"/>
      <c r="Z60" s="1"/>
      <c r="AA60" s="1" t="s">
        <v>776</v>
      </c>
      <c r="AB60" s="65" t="s">
        <v>777</v>
      </c>
      <c r="AC60" s="1"/>
      <c r="AD60" s="1"/>
      <c r="AE60" s="1"/>
      <c r="AF60" s="1"/>
      <c r="AG60" s="1"/>
      <c r="AH60" s="1"/>
      <c r="AI60" s="1"/>
      <c r="AJ60" s="1"/>
      <c r="AK60" s="1"/>
      <c r="AL60" s="1"/>
      <c r="AM60" s="1"/>
      <c r="AN60" s="1"/>
      <c r="AO60" s="1"/>
      <c r="AP60" s="1"/>
      <c r="AQ60" s="1"/>
      <c r="AR60" s="1"/>
      <c r="AS60" s="1"/>
      <c r="AT60" s="1"/>
      <c r="AU60" s="1"/>
      <c r="AV60" s="22" t="s">
        <v>646</v>
      </c>
      <c r="AW60" s="19"/>
      <c r="AX60" s="20" t="s">
        <v>107</v>
      </c>
      <c r="AY60" s="20"/>
    </row>
    <row r="61" spans="16:51" x14ac:dyDescent="0.5">
      <c r="P61" s="1" t="s">
        <v>559</v>
      </c>
      <c r="Q61" s="1" t="s">
        <v>674</v>
      </c>
      <c r="R61" s="1"/>
      <c r="S61" s="64"/>
      <c r="T61" s="1"/>
      <c r="U61" s="1"/>
      <c r="V61" s="1"/>
      <c r="W61" s="1" t="s">
        <v>559</v>
      </c>
      <c r="X61" s="1" t="s">
        <v>674</v>
      </c>
      <c r="Y61" s="64"/>
      <c r="Z61" s="1"/>
      <c r="AA61" s="1" t="s">
        <v>768</v>
      </c>
      <c r="AB61" s="65" t="s">
        <v>373</v>
      </c>
      <c r="AC61" s="1"/>
      <c r="AD61" s="1"/>
      <c r="AE61" s="1"/>
      <c r="AF61" s="1"/>
      <c r="AG61" s="1"/>
      <c r="AH61" s="1"/>
      <c r="AI61" s="1"/>
      <c r="AJ61" s="1"/>
      <c r="AK61" s="1"/>
      <c r="AL61" s="1"/>
      <c r="AM61" s="1"/>
      <c r="AN61" s="1"/>
      <c r="AO61" s="1"/>
      <c r="AP61" s="1"/>
      <c r="AQ61" s="1"/>
      <c r="AR61" s="1"/>
      <c r="AS61" s="1"/>
      <c r="AT61" s="1"/>
      <c r="AU61" s="1"/>
      <c r="AV61" s="20" t="s">
        <v>555</v>
      </c>
      <c r="AW61" s="19"/>
      <c r="AX61" s="20" t="s">
        <v>626</v>
      </c>
      <c r="AY61" s="20"/>
    </row>
    <row r="62" spans="16:51" x14ac:dyDescent="0.5">
      <c r="P62" s="1" t="s">
        <v>718</v>
      </c>
      <c r="Q62" s="1" t="s">
        <v>689</v>
      </c>
      <c r="R62" s="1"/>
      <c r="S62" s="64"/>
      <c r="T62" s="1"/>
      <c r="U62" s="1"/>
      <c r="V62" s="1"/>
      <c r="W62" s="1" t="s">
        <v>718</v>
      </c>
      <c r="X62" s="1" t="s">
        <v>689</v>
      </c>
      <c r="Y62" s="64"/>
      <c r="Z62" s="1"/>
      <c r="AA62" s="1" t="s">
        <v>778</v>
      </c>
      <c r="AB62" s="65" t="s">
        <v>374</v>
      </c>
      <c r="AC62" s="1"/>
      <c r="AD62" s="1"/>
      <c r="AE62" s="1"/>
      <c r="AF62" s="1"/>
      <c r="AG62" s="1"/>
      <c r="AH62" s="1"/>
      <c r="AI62" s="1"/>
      <c r="AJ62" s="1"/>
      <c r="AK62" s="1"/>
      <c r="AL62" s="1"/>
      <c r="AM62" s="1"/>
      <c r="AN62" s="1"/>
      <c r="AO62" s="1"/>
      <c r="AP62" s="1"/>
      <c r="AQ62" s="1"/>
      <c r="AR62" s="1"/>
      <c r="AS62" s="1"/>
      <c r="AT62" s="1"/>
      <c r="AU62" s="1"/>
      <c r="AV62" s="22" t="s">
        <v>617</v>
      </c>
      <c r="AW62" s="19"/>
      <c r="AX62" s="20" t="s">
        <v>635</v>
      </c>
      <c r="AY62" s="20"/>
    </row>
    <row r="63" spans="16:51" x14ac:dyDescent="0.5">
      <c r="P63" s="1" t="s">
        <v>572</v>
      </c>
      <c r="Q63" s="1" t="s">
        <v>373</v>
      </c>
      <c r="R63" s="1"/>
      <c r="S63" s="64"/>
      <c r="T63" s="1"/>
      <c r="U63" s="1"/>
      <c r="V63" s="1"/>
      <c r="W63" s="1" t="s">
        <v>572</v>
      </c>
      <c r="X63" s="1" t="s">
        <v>373</v>
      </c>
      <c r="Y63" s="64"/>
      <c r="Z63" s="1"/>
      <c r="AA63" s="1" t="s">
        <v>779</v>
      </c>
      <c r="AB63" s="65"/>
      <c r="AC63" s="1"/>
      <c r="AD63" s="1"/>
      <c r="AE63" s="1"/>
      <c r="AF63" s="1"/>
      <c r="AG63" s="1"/>
      <c r="AH63" s="1"/>
      <c r="AI63" s="1"/>
      <c r="AJ63" s="1"/>
      <c r="AK63" s="1"/>
      <c r="AL63" s="1"/>
      <c r="AM63" s="1"/>
      <c r="AN63" s="1"/>
      <c r="AO63" s="1"/>
      <c r="AP63" s="1"/>
      <c r="AQ63" s="1"/>
      <c r="AR63" s="1"/>
      <c r="AS63" s="1"/>
      <c r="AT63" s="1"/>
      <c r="AU63" s="18"/>
      <c r="AV63" s="22" t="s">
        <v>677</v>
      </c>
      <c r="AW63" s="19"/>
      <c r="AX63" s="22" t="s">
        <v>643</v>
      </c>
      <c r="AY63" s="20"/>
    </row>
    <row r="64" spans="16:51" x14ac:dyDescent="0.5">
      <c r="P64" s="1"/>
      <c r="Q64" s="1" t="s">
        <v>104</v>
      </c>
      <c r="R64" s="1"/>
      <c r="S64" s="64"/>
      <c r="T64" s="1"/>
      <c r="U64" s="1"/>
      <c r="V64" s="1"/>
      <c r="W64" s="1"/>
      <c r="X64" s="1" t="s">
        <v>104</v>
      </c>
      <c r="Y64" s="64"/>
      <c r="Z64" s="1"/>
      <c r="AA64" s="1" t="s">
        <v>661</v>
      </c>
      <c r="AB64" s="65"/>
      <c r="AC64" s="1"/>
      <c r="AD64" s="1"/>
      <c r="AE64" s="1"/>
      <c r="AF64" s="1"/>
      <c r="AG64" s="1"/>
      <c r="AH64" s="1"/>
      <c r="AI64" s="1"/>
      <c r="AJ64" s="1"/>
      <c r="AK64" s="1"/>
      <c r="AL64" s="1"/>
      <c r="AM64" s="1"/>
      <c r="AN64" s="1"/>
      <c r="AO64" s="1"/>
      <c r="AP64" s="1"/>
      <c r="AQ64" s="1"/>
      <c r="AR64" s="1"/>
      <c r="AS64" s="1"/>
      <c r="AT64" s="1"/>
      <c r="AU64" s="1"/>
      <c r="AV64" s="20" t="s">
        <v>364</v>
      </c>
      <c r="AW64" s="19"/>
      <c r="AX64" s="20" t="s">
        <v>365</v>
      </c>
      <c r="AY64" s="20"/>
    </row>
    <row r="65" spans="17:51" x14ac:dyDescent="0.5">
      <c r="Q65" s="1" t="s">
        <v>374</v>
      </c>
      <c r="R65" s="1"/>
      <c r="S65" s="64"/>
      <c r="T65" s="1"/>
      <c r="U65" s="1"/>
      <c r="V65" s="1"/>
      <c r="W65" s="1"/>
      <c r="X65" s="1" t="s">
        <v>374</v>
      </c>
      <c r="Y65" s="64"/>
      <c r="Z65" s="1"/>
      <c r="AA65" s="1" t="s">
        <v>780</v>
      </c>
      <c r="AB65" s="65"/>
      <c r="AC65" s="1"/>
      <c r="AD65" s="1"/>
      <c r="AE65" s="1"/>
      <c r="AF65" s="1"/>
      <c r="AG65" s="1"/>
      <c r="AH65" s="1"/>
      <c r="AI65" s="1"/>
      <c r="AJ65" s="1"/>
      <c r="AK65" s="1"/>
      <c r="AL65" s="1"/>
      <c r="AM65" s="1"/>
      <c r="AN65" s="1"/>
      <c r="AO65" s="1"/>
      <c r="AP65" s="1"/>
      <c r="AQ65" s="1"/>
      <c r="AR65" s="1"/>
      <c r="AS65" s="1"/>
      <c r="AT65" s="1"/>
      <c r="AU65" s="1"/>
      <c r="AV65" s="19" t="s">
        <v>655</v>
      </c>
      <c r="AW65" s="19"/>
      <c r="AX65" s="22" t="s">
        <v>607</v>
      </c>
      <c r="AY65" s="20"/>
    </row>
    <row r="66" spans="17:51" ht="18.600000000000001" thickBot="1" x14ac:dyDescent="0.55000000000000004">
      <c r="Q66" s="1" t="s">
        <v>781</v>
      </c>
      <c r="R66" s="1"/>
      <c r="S66" s="70"/>
      <c r="T66" s="71"/>
      <c r="U66" s="71"/>
      <c r="V66" s="71"/>
      <c r="W66" s="71"/>
      <c r="X66" s="71" t="s">
        <v>781</v>
      </c>
      <c r="Y66" s="64"/>
      <c r="Z66" s="1"/>
      <c r="AA66" s="1" t="s">
        <v>782</v>
      </c>
      <c r="AB66" s="65"/>
      <c r="AC66" s="1"/>
      <c r="AD66" s="1"/>
      <c r="AE66" s="1"/>
      <c r="AF66" s="1"/>
      <c r="AG66" s="1"/>
      <c r="AH66" s="1"/>
      <c r="AI66" s="1"/>
      <c r="AJ66" s="1"/>
      <c r="AK66" s="1"/>
      <c r="AL66" s="1"/>
      <c r="AM66" s="1"/>
      <c r="AN66" s="1"/>
      <c r="AO66" s="1"/>
      <c r="AP66" s="1"/>
      <c r="AQ66" s="1"/>
      <c r="AR66" s="1"/>
      <c r="AS66" s="1"/>
      <c r="AT66" s="1"/>
      <c r="AU66" s="1"/>
      <c r="AV66" s="21" t="s">
        <v>608</v>
      </c>
      <c r="AW66" s="19"/>
      <c r="AX66" s="20" t="s">
        <v>613</v>
      </c>
      <c r="AY66" s="20"/>
    </row>
    <row r="67" spans="17:51" x14ac:dyDescent="0.5">
      <c r="Q67" s="1"/>
      <c r="R67" s="1"/>
      <c r="S67" s="1"/>
      <c r="T67" s="1"/>
      <c r="U67" s="1"/>
      <c r="V67" s="1"/>
      <c r="W67" s="1"/>
      <c r="X67" s="1"/>
      <c r="Y67" s="64"/>
      <c r="Z67" s="1"/>
      <c r="AA67" s="1" t="s">
        <v>783</v>
      </c>
      <c r="AB67" s="65"/>
      <c r="AC67" s="1"/>
      <c r="AD67" s="1"/>
      <c r="AE67" s="1"/>
      <c r="AF67" s="1"/>
      <c r="AG67" s="1"/>
      <c r="AH67" s="1"/>
      <c r="AI67" s="1"/>
      <c r="AJ67" s="1"/>
      <c r="AK67" s="1"/>
      <c r="AL67" s="1"/>
      <c r="AM67" s="1"/>
      <c r="AN67" s="1"/>
      <c r="AO67" s="1"/>
      <c r="AP67" s="1"/>
      <c r="AQ67" s="1"/>
      <c r="AR67" s="1"/>
      <c r="AS67" s="1"/>
      <c r="AT67" s="1"/>
      <c r="AU67" s="1"/>
      <c r="AV67" s="22" t="s">
        <v>701</v>
      </c>
      <c r="AW67" s="19"/>
      <c r="AX67" s="20" t="s">
        <v>691</v>
      </c>
      <c r="AY67" s="20"/>
    </row>
    <row r="68" spans="17:51" x14ac:dyDescent="0.5">
      <c r="Q68" s="1"/>
      <c r="R68" s="1"/>
      <c r="S68" s="1"/>
      <c r="T68" s="1"/>
      <c r="U68" s="1"/>
      <c r="V68" s="1"/>
      <c r="W68" s="1"/>
      <c r="X68" s="1"/>
      <c r="Y68" s="64"/>
      <c r="Z68" s="1"/>
      <c r="AA68" s="1" t="s">
        <v>784</v>
      </c>
      <c r="AB68" s="65"/>
      <c r="AC68" s="1"/>
      <c r="AD68" s="1"/>
      <c r="AE68" s="1"/>
      <c r="AF68" s="1"/>
      <c r="AG68" s="1"/>
      <c r="AH68" s="1"/>
      <c r="AI68" s="1"/>
      <c r="AJ68" s="1"/>
      <c r="AK68" s="1"/>
      <c r="AL68" s="1"/>
      <c r="AM68" s="1"/>
      <c r="AN68" s="1"/>
      <c r="AO68" s="1"/>
      <c r="AP68" s="1"/>
      <c r="AQ68" s="1"/>
      <c r="AR68" s="1"/>
      <c r="AS68" s="1"/>
      <c r="AT68" s="1"/>
      <c r="AU68" s="1"/>
      <c r="AV68" s="19" t="s">
        <v>670</v>
      </c>
      <c r="AW68" s="19"/>
      <c r="AX68" s="20" t="s">
        <v>625</v>
      </c>
      <c r="AY68" s="20"/>
    </row>
    <row r="69" spans="17:51" ht="18.600000000000001" thickBot="1" x14ac:dyDescent="0.55000000000000004">
      <c r="Q69" s="1"/>
      <c r="R69" s="1"/>
      <c r="S69" s="1"/>
      <c r="T69" s="1"/>
      <c r="U69" s="1"/>
      <c r="V69" s="1"/>
      <c r="W69" s="1"/>
      <c r="X69" s="1"/>
      <c r="Y69" s="70"/>
      <c r="Z69" s="71"/>
      <c r="AA69" s="71" t="s">
        <v>744</v>
      </c>
      <c r="AB69" s="72"/>
      <c r="AC69" s="1"/>
      <c r="AD69" s="1"/>
      <c r="AE69" s="1"/>
      <c r="AF69" s="1"/>
      <c r="AG69" s="1"/>
      <c r="AH69" s="1"/>
      <c r="AI69" s="1"/>
      <c r="AJ69" s="1"/>
      <c r="AK69" s="1"/>
      <c r="AL69" s="1"/>
      <c r="AM69" s="1"/>
      <c r="AN69" s="1"/>
      <c r="AO69" s="1"/>
      <c r="AP69" s="1"/>
      <c r="AQ69" s="1"/>
      <c r="AR69" s="1"/>
      <c r="AS69" s="1"/>
      <c r="AT69" s="1"/>
      <c r="AU69" s="1"/>
      <c r="AV69" s="20" t="s">
        <v>629</v>
      </c>
      <c r="AW69" s="19"/>
      <c r="AX69" s="20" t="s">
        <v>539</v>
      </c>
      <c r="AY69" s="20"/>
    </row>
    <row r="70" spans="17:51" x14ac:dyDescent="0.5">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22" t="s">
        <v>715</v>
      </c>
      <c r="AW70" s="23"/>
      <c r="AX70" s="20" t="s">
        <v>697</v>
      </c>
      <c r="AY70" s="20"/>
    </row>
    <row r="71" spans="17:51" x14ac:dyDescent="0.5">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20" t="s">
        <v>366</v>
      </c>
      <c r="AW71" s="1"/>
      <c r="AX71" s="20" t="s">
        <v>642</v>
      </c>
      <c r="AY71" s="20"/>
    </row>
    <row r="72" spans="17:51" x14ac:dyDescent="0.5">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20" t="s">
        <v>645</v>
      </c>
      <c r="AW72" s="1"/>
      <c r="AX72" s="22" t="s">
        <v>705</v>
      </c>
      <c r="AY72" s="20"/>
    </row>
    <row r="73" spans="17:51" x14ac:dyDescent="0.5">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22" t="s">
        <v>613</v>
      </c>
      <c r="AW73" s="1"/>
      <c r="AX73" s="20" t="s">
        <v>710</v>
      </c>
      <c r="AY73" s="20"/>
    </row>
    <row r="74" spans="17:51" x14ac:dyDescent="0.5">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9" t="s">
        <v>682</v>
      </c>
      <c r="AW74" s="1"/>
      <c r="AX74" s="22" t="s">
        <v>89</v>
      </c>
      <c r="AY74" s="20"/>
    </row>
    <row r="75" spans="17:51" x14ac:dyDescent="0.5">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21" t="s">
        <v>690</v>
      </c>
      <c r="AW75" s="1"/>
      <c r="AX75" s="20" t="s">
        <v>644</v>
      </c>
      <c r="AY75" s="20"/>
    </row>
    <row r="76" spans="17:51" x14ac:dyDescent="0.5">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9" t="s">
        <v>693</v>
      </c>
      <c r="AW76" s="1"/>
      <c r="AX76" s="20" t="s">
        <v>665</v>
      </c>
      <c r="AY76" s="20"/>
    </row>
    <row r="77" spans="17:51" x14ac:dyDescent="0.5">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22" t="s">
        <v>723</v>
      </c>
      <c r="AW77" s="1"/>
      <c r="AX77" s="22" t="s">
        <v>654</v>
      </c>
      <c r="AY77" s="20"/>
    </row>
    <row r="78" spans="17:51" x14ac:dyDescent="0.5">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22" t="s">
        <v>89</v>
      </c>
      <c r="AW78" s="1"/>
      <c r="AX78" s="22" t="s">
        <v>680</v>
      </c>
      <c r="AY78" s="20"/>
    </row>
    <row r="79" spans="17:51" x14ac:dyDescent="0.5">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20" t="s">
        <v>644</v>
      </c>
      <c r="AW79" s="1"/>
      <c r="AX79" s="20" t="s">
        <v>669</v>
      </c>
      <c r="AY79" s="20"/>
    </row>
    <row r="80" spans="17:51" x14ac:dyDescent="0.5">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21" t="s">
        <v>698</v>
      </c>
      <c r="AW80" s="1"/>
      <c r="AX80" s="20" t="s">
        <v>721</v>
      </c>
      <c r="AY80" s="20"/>
    </row>
    <row r="81" spans="48:51" x14ac:dyDescent="0.5">
      <c r="AV81" s="22" t="s">
        <v>714</v>
      </c>
      <c r="AW81" s="1"/>
      <c r="AX81" s="22" t="s">
        <v>660</v>
      </c>
      <c r="AY81" s="22"/>
    </row>
    <row r="82" spans="48:51" x14ac:dyDescent="0.5">
      <c r="AV82" s="19" t="s">
        <v>706</v>
      </c>
      <c r="AW82" s="1"/>
      <c r="AX82" s="20" t="s">
        <v>666</v>
      </c>
      <c r="AY82" s="20"/>
    </row>
    <row r="83" spans="48:51" x14ac:dyDescent="0.5">
      <c r="AV83" s="20" t="s">
        <v>369</v>
      </c>
      <c r="AW83" s="1"/>
      <c r="AX83" s="22" t="s">
        <v>732</v>
      </c>
      <c r="AY83" s="22"/>
    </row>
    <row r="84" spans="48:51" x14ac:dyDescent="0.5">
      <c r="AV84" s="22" t="s">
        <v>711</v>
      </c>
      <c r="AW84" s="1"/>
      <c r="AX84" s="22" t="s">
        <v>674</v>
      </c>
      <c r="AY84" s="20"/>
    </row>
    <row r="85" spans="48:51" x14ac:dyDescent="0.5">
      <c r="AV85" s="19" t="s">
        <v>559</v>
      </c>
      <c r="AW85" s="1"/>
      <c r="AX85" s="20" t="s">
        <v>689</v>
      </c>
      <c r="AY85" s="20"/>
    </row>
    <row r="86" spans="48:51" x14ac:dyDescent="0.5">
      <c r="AV86" s="20" t="s">
        <v>718</v>
      </c>
      <c r="AW86" s="1"/>
      <c r="AX86" s="25" t="s">
        <v>104</v>
      </c>
      <c r="AY86" s="20"/>
    </row>
    <row r="87" spans="48:51" x14ac:dyDescent="0.5">
      <c r="AV87" s="22" t="s">
        <v>681</v>
      </c>
      <c r="AW87" s="1"/>
      <c r="AX87" s="22" t="s">
        <v>374</v>
      </c>
      <c r="AY87" s="25"/>
    </row>
    <row r="88" spans="48:51" x14ac:dyDescent="0.5">
      <c r="AV88" s="20" t="s">
        <v>692</v>
      </c>
      <c r="AW88" s="1"/>
      <c r="AX88" s="22"/>
      <c r="AY88" s="1"/>
    </row>
    <row r="89" spans="48:51" x14ac:dyDescent="0.5">
      <c r="AV89" s="22"/>
      <c r="AW89" s="1"/>
      <c r="AX89" s="22"/>
      <c r="AY89" s="1"/>
    </row>
    <row r="90" spans="48:51" x14ac:dyDescent="0.5">
      <c r="AV90" s="22"/>
      <c r="AW90" s="1"/>
      <c r="AX90" s="22"/>
      <c r="AY90" s="1"/>
    </row>
    <row r="91" spans="48:51" x14ac:dyDescent="0.5">
      <c r="AV91" s="20"/>
      <c r="AW91" s="1"/>
      <c r="AX91" s="22"/>
      <c r="AY91" s="1"/>
    </row>
    <row r="92" spans="48:51" x14ac:dyDescent="0.5">
      <c r="AV92" s="22"/>
      <c r="AW92" s="1"/>
      <c r="AX92" s="25"/>
      <c r="AY92" s="1"/>
    </row>
    <row r="93" spans="48:51" x14ac:dyDescent="0.5">
      <c r="AV93" s="22"/>
      <c r="AW93" s="1"/>
      <c r="AX93" s="1"/>
      <c r="AY93" s="1"/>
    </row>
    <row r="94" spans="48:51" x14ac:dyDescent="0.5">
      <c r="AV94" s="22"/>
      <c r="AW94" s="1"/>
      <c r="AX94" s="1"/>
      <c r="AY94" s="1"/>
    </row>
    <row r="95" spans="48:51" x14ac:dyDescent="0.5">
      <c r="AV95" s="22"/>
      <c r="AW95" s="1"/>
      <c r="AX95" s="1"/>
      <c r="AY95" s="1"/>
    </row>
    <row r="96" spans="48:51" x14ac:dyDescent="0.5">
      <c r="AV96" s="22"/>
      <c r="AW96" s="1"/>
      <c r="AX96" s="1"/>
      <c r="AY96" s="1"/>
    </row>
    <row r="97" spans="48:48" x14ac:dyDescent="0.5">
      <c r="AV97" s="20"/>
    </row>
    <row r="98" spans="48:48" x14ac:dyDescent="0.5">
      <c r="AV98" s="22"/>
    </row>
    <row r="99" spans="48:48" x14ac:dyDescent="0.5">
      <c r="AV99" s="22"/>
    </row>
    <row r="100" spans="48:48" x14ac:dyDescent="0.5">
      <c r="AV100" s="22"/>
    </row>
    <row r="101" spans="48:48" x14ac:dyDescent="0.5">
      <c r="AV101" s="22"/>
    </row>
    <row r="102" spans="48:48" x14ac:dyDescent="0.5">
      <c r="AV102" s="22"/>
    </row>
    <row r="103" spans="48:48" x14ac:dyDescent="0.5">
      <c r="AV103" s="21"/>
    </row>
    <row r="104" spans="48:48" x14ac:dyDescent="0.5">
      <c r="AV104" s="22"/>
    </row>
    <row r="105" spans="48:48" x14ac:dyDescent="0.5">
      <c r="AV105" s="22"/>
    </row>
    <row r="106" spans="48:48" x14ac:dyDescent="0.5">
      <c r="AV106" s="22"/>
    </row>
    <row r="107" spans="48:48" x14ac:dyDescent="0.5">
      <c r="AV107" s="22"/>
    </row>
    <row r="108" spans="48:48" x14ac:dyDescent="0.5">
      <c r="AV108" s="25"/>
    </row>
  </sheetData>
  <mergeCells count="10">
    <mergeCell ref="L2:Q2"/>
    <mergeCell ref="S2:X2"/>
    <mergeCell ref="Y2:AB2"/>
    <mergeCell ref="AC2:AG2"/>
    <mergeCell ref="AL2:AQ2"/>
    <mergeCell ref="AL3:AN3"/>
    <mergeCell ref="AO3:AQ3"/>
    <mergeCell ref="S1:AG1"/>
    <mergeCell ref="AL1:AQ1"/>
    <mergeCell ref="AT1:AY1"/>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CB1A98D2066F30438A381D4FE44CE3A2" ma:contentTypeVersion="4" ma:contentTypeDescription="Crear nuevo documento." ma:contentTypeScope="" ma:versionID="7432a343c9520d9089daf0409b8f723e">
  <xsd:schema xmlns:xsd="http://www.w3.org/2001/XMLSchema" xmlns:xs="http://www.w3.org/2001/XMLSchema" xmlns:p="http://schemas.microsoft.com/office/2006/metadata/properties" xmlns:ns2="a4562c49-b45c-4362-b20c-f58ba12cde2f" xmlns:ns3="ffa1b9b5-8217-4ebe-90c5-3f2196c49a4f" targetNamespace="http://schemas.microsoft.com/office/2006/metadata/properties" ma:root="true" ma:fieldsID="a9831a0ee939c9e3a94af062f92b87b9" ns2:_="" ns3:_="">
    <xsd:import namespace="a4562c49-b45c-4362-b20c-f58ba12cde2f"/>
    <xsd:import namespace="ffa1b9b5-8217-4ebe-90c5-3f2196c49a4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4562c49-b45c-4362-b20c-f58ba12cde2f"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fa1b9b5-8217-4ebe-90c5-3f2196c49a4f"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43398591-DCD4-4E84-81B6-C225C92B98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4562c49-b45c-4362-b20c-f58ba12cde2f"/>
    <ds:schemaRef ds:uri="ffa1b9b5-8217-4ebe-90c5-3f2196c49a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9A8CC42-3498-4AB9-83FD-168387E0E379}">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F86D18D9-0B6E-411F-93FD-BE55E800AD09}">
  <ds:schemaRefs>
    <ds:schemaRef ds:uri="http://schemas.microsoft.com/sharepoint/v3/contenttype/forms"/>
  </ds:schemaRefs>
</ds:datastoreItem>
</file>

<file path=customXml/itemProps4.xml><?xml version="1.0" encoding="utf-8"?>
<ds:datastoreItem xmlns:ds="http://schemas.openxmlformats.org/officeDocument/2006/customXml" ds:itemID="{493507B7-C361-46E0-AF44-6194D8191CB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12</vt:i4>
      </vt:variant>
    </vt:vector>
  </HeadingPairs>
  <TitlesOfParts>
    <vt:vector size="20" baseType="lpstr">
      <vt:lpstr>Paso1 Analisis perfil egreso</vt:lpstr>
      <vt:lpstr>Paso 2 Redacción competen</vt:lpstr>
      <vt:lpstr>Paso 3 Redacción RA</vt:lpstr>
      <vt:lpstr>Paso 3 Redacción RA - Backup </vt:lpstr>
      <vt:lpstr>Paso 4 Estrategias mesocurricu</vt:lpstr>
      <vt:lpstr>Paso 5 Estrategias micro</vt:lpstr>
      <vt:lpstr>Taxonomía para competencias</vt:lpstr>
      <vt:lpstr>Taxonomias para RA</vt:lpstr>
      <vt:lpstr>ActitudinalBAK</vt:lpstr>
      <vt:lpstr>Bloom</vt:lpstr>
      <vt:lpstr>Circutos</vt:lpstr>
      <vt:lpstr>CognitivoBAK</vt:lpstr>
      <vt:lpstr>CompetenciaEspecifica1</vt:lpstr>
      <vt:lpstr>ComponentesCompetencias</vt:lpstr>
      <vt:lpstr>ProcedimentalBAK</vt:lpstr>
      <vt:lpstr>RA</vt:lpstr>
      <vt:lpstr>Saber</vt:lpstr>
      <vt:lpstr>SaberHacer</vt:lpstr>
      <vt:lpstr>SaberSer</vt:lpstr>
      <vt:lpstr>TIC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2026-06-17T04:21:14Z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0x010100CB1A98D2066F30438A381D4FE44CE3A2</vt:lpwstr>
  </property>
</Properties>
</file>