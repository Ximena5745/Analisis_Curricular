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823" documentId="8_{5DFF1A8E-9297-4791-9443-3BA0342C1283}" xr6:coauthVersionLast="47" xr6:coauthVersionMax="47" xr10:uidLastSave="{B2C60CC6-9589-4838-A0BD-F384C52C10A8}"/>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mesocurricu'!$A$2:$E$16</definedName>
    <definedName name="_xlnm._FilterDatabase" localSheetId="4" hidden="1">'Paso 5 Estrategias micro'!$A$1:$Q$142</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ónB" localSheetId="4">Tabla365078[ComprensiónB]</definedName>
    <definedName name="Comprensió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9" i="10" l="1"/>
  <c r="R138" i="10"/>
  <c r="R124" i="10"/>
  <c r="R109" i="10"/>
  <c r="R90" i="10"/>
  <c r="R67" i="10"/>
  <c r="R52" i="10"/>
  <c r="R36" i="10"/>
  <c r="R16" i="10"/>
  <c r="A6" i="10"/>
  <c r="D139" i="10" l="1"/>
  <c r="J142" i="10"/>
  <c r="J141" i="10"/>
  <c r="J140" i="10"/>
  <c r="J139" i="10"/>
  <c r="L138" i="10"/>
  <c r="L137" i="10"/>
  <c r="K138" i="10"/>
  <c r="K137" i="10"/>
  <c r="L133" i="10"/>
  <c r="K133" i="10"/>
  <c r="L130" i="10"/>
  <c r="K130" i="10"/>
  <c r="L125" i="10"/>
  <c r="K125" i="10"/>
  <c r="L124" i="10"/>
  <c r="K124" i="10"/>
  <c r="L123" i="10"/>
  <c r="K123" i="10"/>
  <c r="L118" i="10"/>
  <c r="K118" i="10"/>
  <c r="L114" i="10"/>
  <c r="K114" i="10"/>
  <c r="L110" i="10"/>
  <c r="K110" i="10"/>
  <c r="L107" i="10"/>
  <c r="K107" i="10"/>
  <c r="L104" i="10"/>
  <c r="K104" i="10"/>
  <c r="L100" i="10"/>
  <c r="K100" i="10"/>
  <c r="L95" i="10"/>
  <c r="K95" i="10"/>
  <c r="L91" i="10"/>
  <c r="K91" i="10"/>
  <c r="L88" i="10"/>
  <c r="K88" i="10"/>
  <c r="L85" i="10"/>
  <c r="K85" i="10"/>
  <c r="L80" i="10"/>
  <c r="K80" i="10"/>
  <c r="L76" i="10"/>
  <c r="K76" i="10"/>
  <c r="L71" i="10"/>
  <c r="K71" i="10"/>
  <c r="L68" i="10"/>
  <c r="K68" i="10"/>
  <c r="L65" i="10"/>
  <c r="K65" i="10"/>
  <c r="L60" i="10"/>
  <c r="K60" i="10"/>
  <c r="L57" i="10"/>
  <c r="K57" i="10"/>
  <c r="L54" i="10"/>
  <c r="K54" i="10"/>
  <c r="L53" i="10"/>
  <c r="K53" i="10"/>
  <c r="L49" i="10"/>
  <c r="K49" i="10"/>
  <c r="L46" i="10"/>
  <c r="K46" i="10"/>
  <c r="L42" i="10"/>
  <c r="K42" i="10"/>
  <c r="L39" i="10"/>
  <c r="K39" i="10"/>
  <c r="L38" i="10"/>
  <c r="L37" i="10"/>
  <c r="K38" i="10"/>
  <c r="K37" i="10"/>
  <c r="L33" i="10"/>
  <c r="K33" i="10"/>
  <c r="L30" i="10"/>
  <c r="K30" i="10"/>
  <c r="L26" i="10"/>
  <c r="K26" i="10"/>
  <c r="L23" i="10"/>
  <c r="K23" i="10"/>
  <c r="L18" i="10"/>
  <c r="K18" i="10"/>
  <c r="L17" i="10"/>
  <c r="K17" i="10"/>
  <c r="L13" i="10"/>
  <c r="K13" i="10"/>
  <c r="L9" i="10"/>
  <c r="K9" i="10"/>
  <c r="L5" i="10"/>
  <c r="K5" i="10"/>
  <c r="L4" i="10"/>
  <c r="L3" i="10"/>
  <c r="K4" i="10"/>
  <c r="K3" i="10"/>
  <c r="A53" i="10"/>
  <c r="A38" i="10"/>
  <c r="A37" i="10"/>
  <c r="A17" i="10"/>
  <c r="A3" i="10"/>
  <c r="A4" i="10"/>
  <c r="A136" i="10"/>
  <c r="A135" i="10"/>
  <c r="A134" i="10"/>
  <c r="A133" i="10"/>
  <c r="A132" i="10"/>
  <c r="A131" i="10"/>
  <c r="A130" i="10"/>
  <c r="A129" i="10"/>
  <c r="A128" i="10"/>
  <c r="A127" i="10"/>
  <c r="A126" i="10"/>
  <c r="A125"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2" i="10"/>
  <c r="A51" i="10"/>
  <c r="A50" i="10"/>
  <c r="A49" i="10"/>
  <c r="A48" i="10"/>
  <c r="A47" i="10"/>
  <c r="A46" i="10"/>
  <c r="A45" i="10"/>
  <c r="A44" i="10"/>
  <c r="A43" i="10"/>
  <c r="A42" i="10"/>
  <c r="A41" i="10"/>
  <c r="A40" i="10"/>
  <c r="A39" i="10"/>
  <c r="A36" i="10"/>
  <c r="A35" i="10"/>
  <c r="A34" i="10"/>
  <c r="A33" i="10"/>
  <c r="A32" i="10"/>
  <c r="A31" i="10"/>
  <c r="A30" i="10"/>
  <c r="A29" i="10"/>
  <c r="A28" i="10"/>
  <c r="A27" i="10"/>
  <c r="A26" i="10"/>
  <c r="A25" i="10"/>
  <c r="A24" i="10"/>
  <c r="A23" i="10"/>
  <c r="A22" i="10"/>
  <c r="A21" i="10"/>
  <c r="A20" i="10"/>
  <c r="A19" i="10"/>
  <c r="A18" i="10"/>
  <c r="A16" i="10"/>
  <c r="A15" i="10"/>
  <c r="A14" i="10"/>
  <c r="A13" i="10"/>
  <c r="A10" i="10"/>
  <c r="A11" i="10"/>
  <c r="A12" i="10"/>
  <c r="A9" i="10"/>
  <c r="A7" i="10"/>
  <c r="A8" i="10"/>
  <c r="A5" i="10"/>
  <c r="M137" i="10" l="1"/>
  <c r="M5" i="10"/>
  <c r="M13" i="10" l="1"/>
  <c r="M26" i="10"/>
  <c r="M57" i="10"/>
  <c r="M68" i="10"/>
  <c r="M85" i="10"/>
  <c r="M95" i="10"/>
  <c r="M104" i="10"/>
  <c r="M107" i="10"/>
  <c r="M110" i="10"/>
  <c r="M30" i="10"/>
  <c r="M18" i="10"/>
  <c r="M49" i="10"/>
  <c r="M130" i="10"/>
  <c r="M123" i="10"/>
  <c r="M9" i="10"/>
  <c r="M23" i="10"/>
  <c r="M39" i="10"/>
  <c r="M54" i="10"/>
  <c r="M65" i="10"/>
  <c r="M80" i="10"/>
  <c r="M124" i="10"/>
  <c r="M60" i="10"/>
  <c r="M76" i="10"/>
  <c r="M91" i="10"/>
  <c r="M118" i="10"/>
  <c r="M125" i="10"/>
  <c r="M138" i="10"/>
  <c r="M42" i="10"/>
  <c r="M46" i="10"/>
  <c r="M100" i="10"/>
  <c r="M133" i="10"/>
  <c r="M33" i="10"/>
  <c r="M53" i="10"/>
  <c r="M71" i="10"/>
  <c r="M88" i="10"/>
  <c r="M114" i="10"/>
  <c r="M37" i="10" l="1"/>
  <c r="M38" i="10"/>
  <c r="M17"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<sst xmlns="http://schemas.openxmlformats.org/spreadsheetml/2006/main" count="2452" uniqueCount="785">
  <si>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</si>
  <si>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</si>
  <si>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</si>
  <si>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</si>
  <si>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</si>
  <si>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</si>
  <si>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</si>
  <si>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</si>
  <si>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</si>
  <si>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</si>
  <si>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</si>
  <si>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</si>
  <si>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</si>
  <si>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</si>
  <si>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</si>
  <si>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</si>
  <si>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</si>
  <si>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</si>
  <si>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Fenómenos contemporáneos</t>
  </si>
  <si>
    <t>reconocer sus afectaciones o contribuciones en el marco de las ciudadanías globales y de una sociedad responsable y sostenible.</t>
  </si>
  <si>
    <t>desde una perspectiva glocal, soportada en datos, con una mirada ética y crítica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</si>
  <si>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</si>
  <si>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</si>
  <si>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</si>
  <si>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</si>
  <si>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</si>
  <si>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</si>
  <si>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</si>
  <si>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</si>
  <si>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</si>
  <si>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</si>
  <si>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</si>
  <si>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</si>
  <si>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</si>
  <si>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</si>
  <si>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Dominar</t>
  </si>
  <si>
    <t>Específica</t>
  </si>
  <si>
    <t>Gestionar</t>
  </si>
  <si>
    <t>Desarrollar</t>
  </si>
  <si>
    <t>Dirigir</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</si>
  <si>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</si>
  <si>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</si>
  <si>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</si>
  <si>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</si>
  <si>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</si>
  <si>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</si>
  <si>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</si>
  <si>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</si>
  <si>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</si>
  <si>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</si>
  <si>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</si>
  <si>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</si>
  <si>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</si>
  <si>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</si>
  <si>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</si>
  <si>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</si>
  <si>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</si>
  <si>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</si>
  <si>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</si>
  <si>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</si>
  <si>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</si>
  <si>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</si>
  <si>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</si>
  <si>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</si>
  <si>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Reconocer</t>
  </si>
  <si>
    <t>ProcedimentalBAK</t>
  </si>
  <si>
    <t>PrecisiónBAK</t>
  </si>
  <si>
    <t>Proponer</t>
  </si>
  <si>
    <t>ActitudinalBAK</t>
  </si>
  <si>
    <t>ResponderBAK</t>
  </si>
  <si>
    <t>Aplicar</t>
  </si>
  <si>
    <t>Evaluar</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</si>
  <si>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</si>
  <si>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</si>
  <si>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</si>
  <si>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</si>
  <si>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</si>
  <si>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</si>
  <si>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</si>
  <si>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</si>
  <si>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</si>
  <si>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</si>
  <si>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</si>
  <si>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</si>
  <si>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</si>
  <si>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</si>
  <si>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</si>
  <si>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</si>
  <si>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</si>
  <si>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</si>
  <si>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</si>
  <si>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</si>
  <si>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</si>
  <si>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</si>
  <si>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</si>
  <si>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</si>
  <si>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</si>
  <si>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</si>
  <si>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</si>
  <si>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</si>
  <si>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</si>
  <si>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</si>
  <si>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</si>
  <si>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</si>
  <si>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</si>
  <si>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</si>
  <si>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</si>
  <si>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</si>
  <si>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</si>
  <si>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</si>
  <si>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</si>
  <si>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</si>
  <si>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</si>
  <si>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</si>
  <si>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</si>
  <si>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</si>
  <si>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</si>
  <si>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</si>
  <si>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</si>
  <si>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</si>
  <si>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TP</t>
  </si>
  <si>
    <t>X</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</si>
  <si>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</si>
  <si>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</si>
  <si>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</si>
  <si>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Ecuentros sincrónicos
Mensajería interna
Anuncios
Trabajo independiente:
Lecturas fundamentales y complementarias
Material de trabajo
Participación en foros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</si>
  <si>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</si>
  <si>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Razonamiento Cuantitativo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</si>
  <si>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</si>
  <si>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</si>
  <si>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</si>
  <si>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</si>
  <si>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</si>
  <si>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</si>
  <si>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</si>
  <si>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</si>
  <si>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</si>
  <si>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</si>
  <si>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</si>
  <si>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</si>
  <si>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</si>
  <si>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</si>
  <si>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</si>
  <si>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</si>
  <si>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</si>
  <si>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Electiva I</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</si>
  <si>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</si>
  <si>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</si>
  <si>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</si>
  <si>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</si>
  <si>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</si>
  <si>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</si>
  <si>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</si>
  <si>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</si>
  <si>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</si>
  <si>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</si>
  <si>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</si>
  <si>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</si>
  <si>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</si>
  <si>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</si>
  <si>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</si>
  <si>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Diseñar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</si>
  <si>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</si>
  <si>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</si>
  <si>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</si>
  <si>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</si>
  <si>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</si>
  <si>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</si>
  <si>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</si>
  <si>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</si>
  <si>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</si>
  <si>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</si>
  <si>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</si>
  <si>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</si>
  <si>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</si>
  <si>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</si>
  <si>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</si>
  <si>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</si>
  <si>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</si>
  <si>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</si>
  <si>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</si>
  <si>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</si>
  <si>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</si>
  <si>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</si>
  <si>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</si>
  <si>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</si>
  <si>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</si>
  <si>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</si>
  <si>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</si>
  <si>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</si>
  <si>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</si>
  <si>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</si>
  <si>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</si>
  <si>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</si>
  <si>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</si>
  <si>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</si>
  <si>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</si>
  <si>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</si>
  <si>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</si>
  <si>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</si>
  <si>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</si>
  <si>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SíntesisBAK</t>
  </si>
  <si>
    <t>EvaluaciónBAK</t>
  </si>
  <si>
    <t>ImitaciónBAK</t>
  </si>
  <si>
    <t>ManipulaciónBAK</t>
  </si>
  <si>
    <t>ControlBAK</t>
  </si>
  <si>
    <t>PercepciónBAK</t>
  </si>
  <si>
    <t>ValorarBAK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</si>
  <si>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</si>
  <si>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</si>
  <si>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</si>
  <si>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</si>
  <si>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</si>
  <si>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</si>
  <si>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</si>
  <si>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</si>
  <si>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</si>
  <si>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</si>
  <si>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</si>
  <si>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</si>
  <si>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</si>
  <si>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</si>
  <si>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</si>
  <si>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</si>
  <si>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</si>
  <si>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</si>
  <si>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</si>
  <si>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</si>
  <si>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</si>
  <si>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</si>
  <si>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</si>
  <si>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</si>
  <si>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</si>
  <si>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</si>
  <si>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</si>
  <si>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</si>
  <si>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</si>
  <si>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</si>
  <si>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</si>
  <si>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</si>
  <si>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</si>
  <si>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</si>
  <si>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</si>
  <si>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</si>
  <si>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</si>
  <si>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</si>
  <si>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</si>
  <si>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</si>
  <si>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</si>
  <si>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</si>
  <si>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</si>
  <si>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</si>
  <si>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</si>
  <si>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</si>
  <si>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</si>
  <si>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</si>
  <si>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</si>
  <si>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</si>
  <si>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</si>
  <si>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</si>
  <si>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</si>
  <si>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</si>
  <si>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</si>
  <si>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</si>
  <si>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</si>
  <si>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</si>
  <si>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</si>
  <si>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</si>
  <si>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</si>
  <si>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</si>
  <si>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</si>
  <si>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</si>
  <si>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</si>
  <si>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</si>
  <si>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</si>
  <si>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</si>
  <si>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</si>
  <si>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</si>
  <si>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</si>
  <si>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</si>
  <si>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</si>
  <si>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</si>
  <si>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</si>
  <si>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</si>
  <si>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</si>
  <si>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</si>
  <si>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</si>
  <si>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</si>
  <si>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</si>
  <si>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</si>
  <si>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</si>
  <si>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</si>
  <si>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</si>
  <si>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</si>
  <si>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</si>
  <si>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</si>
  <si>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</si>
  <si>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</si>
  <si>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</si>
  <si>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</si>
  <si>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</si>
  <si>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</si>
  <si>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</si>
  <si>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</si>
  <si>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</si>
  <si>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</si>
  <si>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</si>
  <si>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</si>
  <si>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</si>
  <si>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</si>
  <si>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</si>
  <si>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</si>
  <si>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</si>
  <si>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</si>
  <si>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</si>
  <si>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</si>
  <si>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</si>
  <si>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</si>
  <si>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</si>
  <si>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</si>
  <si>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</si>
  <si>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</si>
  <si>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</si>
  <si>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</si>
  <si>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</si>
  <si>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</si>
  <si>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</si>
  <si>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</si>
  <si>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</si>
  <si>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</si>
  <si>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</si>
  <si>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</si>
  <si>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</si>
  <si>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</si>
  <si>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</si>
  <si>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</si>
  <si>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</si>
  <si>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</si>
  <si>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</si>
  <si>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</si>
  <si>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</si>
  <si>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</si>
  <si>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</si>
  <si>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</si>
  <si>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</si>
  <si>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</si>
  <si>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</si>
  <si>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</si>
  <si>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</si>
  <si>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</si>
  <si>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</si>
  <si>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</si>
  <si>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</si>
  <si>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</si>
  <si>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</si>
  <si>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</si>
  <si>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</si>
  <si>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</si>
  <si>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</si>
  <si>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</si>
  <si>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</si>
  <si>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</si>
  <si>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</si>
  <si>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</si>
  <si>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</si>
  <si>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</si>
  <si>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</si>
  <si>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</si>
  <si>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</si>
  <si>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</si>
  <si>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</si>
  <si>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</si>
  <si>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</si>
  <si>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</si>
  <si>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</si>
  <si>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</si>
  <si>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</si>
  <si>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</si>
  <si>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</si>
  <si>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</si>
  <si>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</si>
  <si>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</si>
  <si>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</si>
  <si>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</si>
  <si>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</si>
  <si>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</si>
  <si>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</si>
  <si>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</si>
  <si>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</si>
  <si>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</si>
  <si>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</si>
  <si>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</si>
  <si>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</si>
  <si>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</si>
  <si>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</si>
  <si>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</si>
  <si>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</si>
  <si>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</si>
  <si>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</si>
  <si>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</si>
  <si>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</si>
  <si>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</si>
  <si>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</si>
  <si>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</si>
  <si>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</si>
  <si>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</si>
  <si>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</si>
  <si>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</si>
  <si>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</si>
  <si>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</si>
  <si>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</si>
  <si>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</si>
  <si>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</si>
  <si>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</si>
  <si>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</si>
  <si>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</si>
  <si>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</si>
  <si>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</si>
  <si>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</si>
  <si>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</si>
  <si>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</si>
  <si>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</si>
  <si>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</si>
  <si>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</si>
  <si>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</si>
  <si>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</si>
  <si>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</si>
  <si>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</si>
  <si>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</si>
  <si>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</si>
  <si>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</si>
  <si>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</si>
  <si>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</si>
  <si>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</si>
  <si>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</si>
  <si>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</si>
  <si>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</si>
  <si>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</si>
  <si>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</si>
  <si>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</si>
  <si>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</si>
  <si>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</si>
  <si>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</si>
  <si>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</si>
  <si>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</si>
  <si>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</si>
  <si>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</si>
  <si>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</si>
  <si>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</si>
  <si>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</si>
  <si>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</si>
  <si>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</si>
  <si>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</si>
  <si>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</si>
  <si>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</si>
  <si>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</si>
  <si>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</si>
  <si>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</si>
  <si>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</si>
  <si>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</si>
  <si>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</si>
  <si>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</si>
  <si>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</si>
  <si>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</si>
  <si>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</si>
  <si>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</si>
  <si>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</si>
  <si>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</si>
  <si>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</si>
  <si>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</si>
  <si>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</si>
  <si>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</si>
  <si>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</si>
  <si>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</si>
  <si>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</si>
  <si>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</si>
  <si>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</si>
  <si>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</si>
  <si>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</si>
  <si>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</si>
  <si>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</si>
  <si>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</si>
  <si>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</si>
  <si>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</si>
  <si>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</si>
  <si>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</si>
  <si>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</si>
  <si>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</si>
  <si>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</si>
  <si>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</si>
  <si>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</si>
  <si>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</si>
  <si>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</si>
  <si>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</si>
  <si>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</si>
  <si>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</si>
  <si>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</si>
  <si>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</si>
  <si>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</si>
  <si>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</si>
  <si>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</si>
  <si>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</si>
  <si>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</si>
  <si>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</si>
  <si>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</si>
  <si>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</si>
  <si>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</si>
  <si>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</si>
  <si>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</si>
  <si>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</si>
  <si>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</si>
  <si>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</si>
  <si>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</si>
  <si>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</si>
  <si>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</si>
  <si>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</si>
  <si>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</si>
  <si>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</si>
  <si>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</si>
  <si>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</si>
  <si>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</si>
  <si>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</si>
  <si>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</si>
  <si>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</si>
  <si>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</si>
  <si>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</si>
  <si>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</si>
  <si>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</si>
  <si>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</si>
  <si>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</si>
  <si>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</si>
  <si>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</si>
  <si>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</si>
  <si>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</si>
  <si>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</si>
  <si>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</si>
  <si>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</si>
  <si>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</si>
  <si>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</si>
  <si>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</si>
  <si>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</si>
  <si>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</si>
  <si>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</si>
  <si>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</si>
  <si>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</si>
  <si>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</si>
  <si>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</si>
  <si>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</si>
  <si>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</si>
  <si>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</si>
  <si>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</si>
  <si>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</si>
  <si>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</si>
  <si>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</si>
  <si>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</si>
  <si>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</si>
  <si>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</si>
  <si>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</si>
  <si>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</si>
  <si>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</si>
  <si>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</si>
  <si>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</si>
  <si>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</si>
  <si>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</si>
  <si>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</si>
  <si>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</si>
  <si>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</si>
  <si>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</si>
  <si>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</si>
  <si>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</si>
  <si>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</si>
  <si>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</si>
  <si>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</si>
  <si>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</si>
  <si>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</si>
  <si>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</si>
  <si>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</si>
  <si>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</si>
  <si>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</si>
  <si>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</si>
  <si>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</si>
  <si>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</si>
  <si>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</si>
  <si>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</si>
  <si>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</si>
  <si>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</si>
  <si>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</si>
  <si>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</si>
  <si>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</si>
  <si>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</si>
  <si>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</si>
  <si>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</si>
  <si>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</si>
  <si>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</si>
  <si>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</si>
  <si>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</si>
  <si>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</si>
  <si>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</si>
  <si>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Elementos para redactar las competencias que desarrollará el programa</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</si>
  <si>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</si>
  <si>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 xml:space="preserve">Identifica los Derechos y Deberes consignados en la Constitución 1991 en relación con la ciudadanía de manera local y global para la comprensión de inmersiones sociales éticas. 
Reflexiona sobre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</si>
  <si>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Virtual</t>
  </si>
  <si>
    <t>Evaluación diagnóstica escenario 1: Cuestionario inicial de mínimo cinco preguntas que recopila información sobre el conocimiento previo y las habilidades del estudiante.
Actividad formativa escenario 2: Foro individual o grupal, creado para que el estudiante participe activamente en la construcción de su conocimiento y desarrollo de habilidades. Varía entre una actividad entregable y la participación en un foro.
Actividad de entrega 1 escenario 4: Actividad individual o grupal, diseñada para evaluar de manera integral el nivel de conocimiento, comprensión y el desempeño de los indicadores de logro. Varía entre entregas independientes o secuenciales.
Actividad formativa escenario 5: Foro individual o grupal, creado para que el estudiante participe activamente en la construcción de su conocimiento y desarrollo de habilidades. Varía entre una actividad entregable y la participación en un foro.
Actividad evaluativa escenario 6: Cuestionario de, mínimo, cinco preguntas, que da cuenta del desarrollo total o parcial de los indicadores de logro y el desarrollo de los temas vistos hasta la unidad 3.
Actividad de entrega 2 escenario 7: Actividad individual o grupal, diseñada para evaluar de manera integral el nivel de conocimiento, comprensión y el desempeño de los indicadores de logro. Varía entre entregas independientes o secuenciales.
Autoevaluación escenario 8: Cuestionario final de mínimo cinco preguntas en el cual el estudiante reflexiona sobre su propio desempeño, habilidades y resultados en un contexto específico.</t>
  </si>
  <si>
    <t>Contaduría Pública</t>
  </si>
  <si>
    <t>El profesional en Contaduría Pública del Politécnico Grancolombiano conoce los principios contables, las normas tributarias, los estándares internacionales de información financiera, los procedimientos de auditoría y los sistemas de control interno. Con este saber, analiza la información contable, gestiona obligaciones fiscales, ejecuta auditorías y evalúa la calidad y consistencia técnica de la información financiera de personas naturales, jurídicas y organizaciones, con el propósito de garantizar el cumplimiento normativo y dar soporte a la toma de decisiones informadas. Ejerce su rol con responsabilidad frente a la fe pública y con una perspectiva contable orientada a contextos nacionales e internacionales en distintos entornos organizacionales.</t>
  </si>
  <si>
    <t>El profesional en Contaduría Pública del Politécnico Grancolombiano analiza y valida la información contable de las organizaciones, asegurando su conformidad con los principios contables nacionales e internacionales, y ejerciendo su rol como garante de la fe pública sobre la calidad y legalidad de los registros contables. Asesora a los usuarios de la información contable y financiera mediante la interpretación de datos, el análisis de riesgos y la verificación de la coherencia técnica y normativa de la información contable que sustenta los estados financieros. Gestiona las obligaciones fiscales de personas naturales, jurídicas u organizaciones en cumplimiento de la normatividad tributaria vigente, y ejecuta auditorías aplicando técnicas y procedimientos especializados para evaluar la fiabilidad de la información contable y el cumplimiento de disposiciones regulatorias. Utiliza herramientas tecnológicas y métodos cuantitativos para generar análisis que respalden procesos de aseguramiento, control y proyección financiera en diversos contextos organizacionales.</t>
  </si>
  <si>
    <t>Normas contables, financieras y procedimientos de registro</t>
  </si>
  <si>
    <t>Normativa tributaria y procedimientos fiscales</t>
  </si>
  <si>
    <t>Auditoría, aseguramiento y control de la información</t>
  </si>
  <si>
    <t>Herramientas tecnológicas, métodos cuantitativos y análisis financiero</t>
  </si>
  <si>
    <t>sustentar técnicamente los estados financieros y respaldar su conformidad legal</t>
  </si>
  <si>
    <t>gestionar el cumplimiento tributario en distintos tipos de contribuyentes</t>
  </si>
  <si>
    <t>verificar la confiabilidad técnica de la información financiera y su alineación con las disposiciones regulatorias</t>
  </si>
  <si>
    <t>preparar informes contables y estados financieros de personas naturales, jurídicas u organizaciones,</t>
  </si>
  <si>
    <t>con responsabilidad frente a la fe pública y compromiso con la transparencia.</t>
  </si>
  <si>
    <t>con rigurosidad técnica y sentido ético.</t>
  </si>
  <si>
    <t>con criterio profesional y enfoque en la consistencia normativa.</t>
  </si>
  <si>
    <t>que sirvan de base en la toma de decisiones, con visión estratégica y adaptación a entornos globales.</t>
  </si>
  <si>
    <t>Área de Contabilidad o Dirección Financiera/Gerencia de Contabilidad / Subdirección Financiera/Dirección Financiera / Planeación Financiera y Control/Dirección de Contabilidad / Finanzas Corporativas/Unidad de Registro Financiero/ Direcció u Oficina de Control Interno / Auditoría Gubernamental/ Gerencia General / Consultoría/Departamento Tributario /Consultoría Fiscal /Departamento de Cumplimiento / Riesgo Operativo/Auditoría Interna Cumplimiento y Riesgos/Oficina de Revisoría Fiscal / Junta Directiva/Firmas de Auditoría Externa / Contratista Independiente</t>
  </si>
  <si>
    <t>Preparar y analizar estados financieros (balance, estado de resultados, flujos de efectivo)/Gestionar registros contables, conciliaciones y ciclos contables/Supervisar procesos de cierre contable, presupuestación, proyecciones financieras y control de flujo de efectivo/Coordinar auditorías internas y externas/Registrar, ordenar y respaldar transacciones financieras/Gestionar requerimientos y plazos, aplicando procedimientos establecidos de control interno/Organizar y mantener actualizada la información financiera/Analizar informes financieros para evaluar el rendimiento y rentabilidad organizacional/Realizar proyecciones y evaluaciones de inversiones, identificando oportunidades de mejora/Elaborar recomendaciones estratégicas para optimizar recursos y maximizar resultados financieros/Gestionar obligaciones fiscales, preparar declaraciones de impuestos y cumplir con normativas tributarias vigentes/Optimizar cargas fiscales mediante planificación y aprovechamiento de incentivos legales/Evaluar sistemas de control interno y riesgo operativo, proponiendo mejoras sistemáticas/Aplicar análisis detallados para sustentar evidencias legales y formular recomendaciones de control/Investigar irregularidades contables, fraudes o incumplimientos mediante técnicas de auditoría forense/Verificar el cumplimiento legal y fiduciario de la información financiera/Emitir dictámenes independientes sobre la integridad y veracidad de los estados contables.</t>
  </si>
  <si>
    <t>Micro, pequeñas, medianas y grandes empresas de todos los sectores económicos (comercial, industrial, financiero, agroindustrial, servicios, etc.)/Alcaldías, gobernaciones, ministerios, superintendencias, entidades descentralizadas/Empresas especializadas en servicios contables, fiscales, financieros y de aseguramiento de la información/Empresas multinacionales y grupos empresariales/Organizaciones no gubernamentales (ONG) y fundaciones/Personas naturales y pequeños contribuyentes/Empresas del sector solidario y cooperativo/Organismos de control</t>
  </si>
  <si>
    <t>El egresado del programa de Contaduría Pública del Politécnico Grancolombiano articula la formación contable, financiera, tributaria y de aseguramiento con el uso de tecnologías y la analítica de datos para fortalecer procesos integrales en la adecuada gestión de las organizaciones. Su formación en control, auditoría forense, gestión de riesgos y cumplimiento normativo orienta su ejercicio profesional hacia la toma de decisiones basada en información confiable.</t>
  </si>
  <si>
    <t>con rigurosidad técnica, sentido ético y adaptación a entornos globales.</t>
  </si>
  <si>
    <t>que sirvan de base en la toma de decisiones, con visión estratégica .</t>
  </si>
  <si>
    <t>Validar la información contable y financiera con base en normas contables, financieras y procedimientos de registro para sustentar técnicamente los estados financieros y respaldar su conformidad legal, con responsabilidad frente a la fe pública y compromiso con la transparencia.</t>
  </si>
  <si>
    <t>Dominar la normativa tributaria y los procedimientos fiscales para gestionar el cumplimiento de las obligaciones tributarias en distintos tipos de contribuyentes, con rigurosidad técnica, sentido ético y adaptación a entornos globales.</t>
  </si>
  <si>
    <t>Desarrollar procesos de auditoría, aseguramiento y control de la información para verificar la confiabilidad técnica de la información financiera y su alineación con las disposiciones regulatorias, con criterio profesional y enfoque en la consistencia normativa.</t>
  </si>
  <si>
    <t>Aplicar herramientas tecnológicas, métodos cuantitativos y análisis financiero para preparar informes contables y estados financieros de personas naturales, jurídicas u organizaciones que sirvan de base en la toma de decisiones, con visión estratégica.</t>
  </si>
  <si>
    <t>Analiza la normativa vigentes en la preparación y revisión de información contable, financiera y tributaria para identificar criterios técnicos y legales que permitan abordar situaciones contables y fiscales, según el contexto de aplicación.</t>
  </si>
  <si>
    <t>Desarrolla procedimientos contables y tributarios para construir estados financieros conforme a la normativa aplicable, integrando el cumplimiento de obligaciones fiscales de personas naturales y jurídicas.</t>
  </si>
  <si>
    <t>Reconoce criterios éticos, legales, sociales y estratégicos del saber contable, tributario, financiero y de auditoría para aplicarlos con rigor técnico en la preparación de información de personas naturales y jurídicas, según el contexto o situación.</t>
  </si>
  <si>
    <t>Interpreta la información contable, financiera y tributaria en contextos de aseguramiento y control para establecer su pertinencia y confiabilidad en la resolución de situaciones contables organizacionales.</t>
  </si>
  <si>
    <t>Utiliza información contable, financiera, tributaria y de auditoría para elaborar reportes, y proyecciones que faciliten la toma de decisiones de distintos tipos de usuarios, considerando sus necesidades y características.</t>
  </si>
  <si>
    <t>Relaciona métodos cuantitativos y modelos de planeación financiera para explicar dinámicas contables y financieras según el contexto analizado, usando herramientas tecnológicas.</t>
  </si>
  <si>
    <t>Utiliza métodos cuantitativos y herramientas tecnológicas para elaborar reportes sobre la situación contable y financiera de personas naturales, personas jurídicas y organizaciones, a partir de datos y contextos definidos.</t>
  </si>
  <si>
    <t>Congresos, conversatorios, capacitaciones  seminarios y workshoop</t>
  </si>
  <si>
    <t>Estrategia que promueve la participación activa de la comunidad académica en eventos nacionales e internacionales que fortalecen el conocimiento disciplinar, fomentan el pensamiento crítico y permiten el intercambio de experiencias académicas y profesionales.</t>
  </si>
  <si>
    <t>Número de veces que se realiza la estrategia por periodo académico.</t>
  </si>
  <si>
    <t>Formar: para ampliar los saberes disciplinares, fortaleciendo conocimientos técnicos, habilidades comunicativas y pensamiento crítico.
Informar: para mantener a la comunidad académica actualizada sobre avances normativos, tecnológicos y tendencias del entorno profesional.
Ayudar a decidir: a través de la exposición a diversos enfoques y experiencias que permiten perfilar intereses académicos y profesionales.</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</si>
  <si>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</si>
  <si>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</si>
  <si>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</si>
  <si>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</si>
  <si>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</si>
  <si>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Semilleros de investigación</t>
  </si>
  <si>
    <t>Espacios extracurriculares orientados al aprendizaje colectivo, donde estudiantes y docentes desarrollan procesos investigativos que permiten profundizar en temas clave del saber contable, tributario, financiero y de aseguramiento.</t>
  </si>
  <si>
    <t>Formar: para fortalecer habilidades investigativas, el trabajo colaborativo y el pensamiento analítico.
Prevenir: a través de la profundización temática que permite anticipar vacíos de conocimiento o dificultades académicas.
Ayudar a decidir: para orientar la elección de líneas de investigación, temas de trabajo de grado o proyección académica.</t>
  </si>
  <si>
    <t>Consultorio tributario</t>
  </si>
  <si>
    <t>Servicio de consultoría presencial y virtual liderado por estudiantes y profesionales expertos, que brinda orientación gratuita en temas tributarios y empresariales a diferentes poblaciones, como parte de la proyección social de la Facultad de Negocios, Gestión y Sostenibilidad.</t>
  </si>
  <si>
    <t>Número de estudiantes que participan en la estrategia.</t>
  </si>
  <si>
    <t>Formar: a través de la aplicación práctica del saber contable y tributario en contextos reales.
Informar: para evidenciar la normativa vigente y su aplicación en escenarios empresariales y sociales.
Ayudar a decidir: mediante el análisis de casos reales que aportan elementos éticos y técnicos en la toma de decisiones.</t>
  </si>
  <si>
    <t>Número de oportunidades de consultoría, auditoría e interventoría desarrolladas con medición semestral.</t>
  </si>
  <si>
    <t>Proyección social y extensión (Diplomados -MOOC - Videos de reforzamiento curricular)</t>
  </si>
  <si>
    <t>Iniciativas que articulan la academia con el entorno social a través de programas de formación continua, difusión del conocimiento y actividades orientadas al bienestar de la comunidad y al fortalecimiento del aprendizaje a lo largo de la vida.</t>
  </si>
  <si>
    <t>Formar: para complementar el proceso académico formal, promoviendo el aprendizaje autónomo y continuo.
Informar: a través de la difusión de contenidos actualizados y pertinentes sobre el ejercicio profesional.
Prevenir: para reforzar áreas de bajo rendimiento y anticipar dificultades académicas.</t>
  </si>
  <si>
    <t>Relación de actividades desarrolladas en el grupo de interés con actividades del perfil ocupacional del programa.</t>
  </si>
  <si>
    <t>Clases espejo</t>
  </si>
  <si>
    <t>Estrategia de internacionalización del currículo que conecta a estudiantes y docentes con tendencias académicas globales, promoviendo el intercambio de saberes y el diálogo académico con instituciones aliadas en diferentes países.</t>
  </si>
  <si>
    <t>Formar: para fomentar la comprensión intercultural y el pensamiento global aplicado al saber contable.
Informar: a través de la exposición a metodologías y enfoques internacionales.
Ayudar a decidir: para apoyar decisiones sobre internacionalización del currículo y orientación profesional.</t>
  </si>
  <si>
    <t>Participación en Centros de Emprendimiento, Liderazgo y Empresa Simulada</t>
  </si>
  <si>
    <t>Iniciativa que vincula a los estudiantes con espacios de formación práctica en emprendimiento, liderazgo y habilidades para la gestión, fortaleciendo su rol como agentes de cambio con impacto en sus comunidades y en el entorno empresarial.</t>
  </si>
  <si>
    <t>Número de estudiantes que participan en la estrategia en el periodo de su realización.</t>
  </si>
  <si>
    <t>Formar: para desarrollar habilidades gerenciales, de liderazgo y toma de decisiones empresariales.
Prevenir: mediante la preparación para enfrentar escenarios organizacionales complejos desde la academia.
Ayudar a decidir: para orientar la creación de iniciativas propias o el fortalecimiento del perfil emprendedor.</t>
  </si>
  <si>
    <t>Listas de participación.</t>
  </si>
  <si>
    <t>Programa radial</t>
  </si>
  <si>
    <t>Estrategia de divulgación del conocimiento, a través de Poliradio, que amplía el alcance de los contenidos académicos y promueve el acceso abierto a la información de valor formativo.</t>
  </si>
  <si>
    <t>Informar: para facilitar el acceso a contenidos relevantes y actualizados del área contable y financiera.
Formar: a través del estímulo al aprendizaje autónomo y el interés por la divulgación académica.</t>
  </si>
  <si>
    <t>Redes</t>
  </si>
  <si>
    <t>Participación en redes académicas y profesionales a nivel nacional e internacional, que ofrecen acceso a cursos, conferencias, proyectos y comunidades interdisciplinares, fortaleciendo la formación continua y las competencias investigativas.</t>
  </si>
  <si>
    <t>Formar: para enriquecer la experiencia académica mediante el contacto con comunidades de práctica nacionales e internacionales.
Informar: a través del acceso a oportunidades formativas y eventos de interés académico.
Ayudar a decidir: para brindar referentes que orienten decisiones sobre especialización o vinculación profesional.</t>
  </si>
  <si>
    <t>Tutorias</t>
  </si>
  <si>
    <t>Acompañamiento académico personalizado que apoya el fortalecimiento del saber de los estudiantes, favoreciendo el logro de los resultados de aprendizaje en diferentes momentos del proceso formativo.</t>
  </si>
  <si>
    <t>Formar: para fortalecer el desarrollo de competencias específicas mediante acompañamiento académico personalizado.
Prevenir: a través de la detección y atención oportuna de dificultades académicas.
Ayudar a decidir: para orientar la elección de rutas académicas o estrategias de mejora.</t>
  </si>
  <si>
    <t>Concurso de conocimientos</t>
  </si>
  <si>
    <t>Estrategia que promueve la evaluación y reflexión sobre los saberes técnicos adquiridos, al tiempo que incentiva el uso de una segunda lengua como herramienta para la proyección profesional y el desempeño en contextos globales.</t>
  </si>
  <si>
    <t>Formar: para reforzar conocimientos técnicos en un contexto de evaluación lúdica y competitiva.
Informar: a través de la retroalimentación sobre el nivel de apropiación de saberes fundamentales.
Ayudar a decidir: para identificar fortalezas y áreas de mejora que permitan proyectar su formación.</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</si>
  <si>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</si>
  <si>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</si>
  <si>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Acercamiento al derecho comercial  
2. Costumbre mercantil 
3. Historia, principios generales y fuentes del derecho laboral 
4. Contrato de trabajo, jornada laboral, salario y prestaciones sociales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</si>
  <si>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</si>
  <si>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1. Fundamentación teórica y técnica contable
2. Elementos de los Estados Financieros y sus características
3. Transacciones comerciales y operaciones con cuentas de resultado
4. Estructura de los Estados Financieros</t>
  </si>
  <si>
    <t>Epistemología Contable</t>
  </si>
  <si>
    <t>Identifica los desarrollos epistemológicos de la contabilidad y la incidencia de estos en el pensamiento contable y las prácticas profesionales, con el fin de analizar la relación que existe entre teoría contable, el desarrollo histórico del pensamiento contable, las perspectivas contemporáneas y su problematización en el contexto global.</t>
  </si>
  <si>
    <t>Derecho Comercial y Laboral</t>
  </si>
  <si>
    <t>Caracteriza los negocios jurídicos tanto en los actos de comercio como en las relaciones laborales en atención a la legislación vigente para crear modelos de empresas o contratos civiles, comerciales y laborales.</t>
  </si>
  <si>
    <t>Contabilidad de Pasivos y Patrimonio</t>
  </si>
  <si>
    <t>Prepara reportes asociados a los pasivos y patrimonio que permitan el análisis de la información financiera y tributaria, conforme con la normatividad vigente, aplicando técnicas y procedimientos para la clasificación, medición, reconocimiento y revelación de las cuentas correspondientes, considerando las políticas contables asociadas a estas partidas.</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</si>
  <si>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</si>
  <si>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</si>
  <si>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Contabilidad de Activos</t>
  </si>
  <si>
    <t>Aplica las técnicas, procedimientos y políticas contables para la clasificación, medición, reconocimiento y revelación de las cuentas del grupo de activos, garantizando un registro adecuado de las operaciones contables y de la preparación de información financiera conforme a la normatividad vigente.</t>
  </si>
  <si>
    <t>Gestión del Talento Humano</t>
  </si>
  <si>
    <t>Identifica las características y evolución en el tiempo de la gestión del talento humano, para, a partir de casos concretos, proponer soluciones en un contexto organizacional.</t>
  </si>
  <si>
    <t>Proceso Administrativo</t>
  </si>
  <si>
    <t>Reconoce las etapas del proceso administrativo (planeación, organización, dirección y control) para aplicarlas en situaciones organizacionales.</t>
  </si>
  <si>
    <t>Análisis Descriptivo de Datos</t>
  </si>
  <si>
    <t>Estados Financieros</t>
  </si>
  <si>
    <t xml:space="preserve">Presenta los estados financieros de una empresa según el sector económico al que pertenece, para proveer información necesaria a los usuarios de la información financiera que permita orientar la toma decisiones respecto a operaciones, inversión y financiación. </t>
  </si>
  <si>
    <t>Microeconomía</t>
  </si>
  <si>
    <t xml:space="preserve">Calcula el equilibrio de mercado a partir de los cambios generados en la oferta y la demanda y su implicación en los agentes económicos individuales familias y empresas para soportar la toma de decisiones. </t>
  </si>
  <si>
    <t>Costos de Gestión</t>
  </si>
  <si>
    <t xml:space="preserve">Reconoce el sistema de costos como herramienta indispensable en el control y gestión de los recursos económicos, tecnológicos, y humanos, inmersos en los costos de producción de bienes y servicios, para construir información financiera que oriente la toma de decisiones.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</si>
  <si>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</si>
  <si>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</si>
  <si>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</si>
  <si>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</si>
  <si>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Impuesto sobre la Renta Personas Naturales</t>
  </si>
  <si>
    <t>Aplica la normatividad vigente del impuesto sobre la renta en personas naturales, para preparar declaraciones que respondan a criterios técnicos, éticos y legales en la gestión tributaria.</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</si>
  <si>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</si>
  <si>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t>
  </si>
  <si>
    <t>Macroeconomía</t>
  </si>
  <si>
    <t>Interpreta las variables macroeconómicas y su impacto en el equilibrio, para desarrollar análisis del comportamiento del mercado de bienes y servicios y de las políticas fiscal, monetaria y cambiaria.</t>
  </si>
  <si>
    <t>Contabilidades Especiales</t>
  </si>
  <si>
    <t>Analiza los principios, políticas y procedimientos de la contabilidad y el presupuesto público, para determinar la responsabilidad que tienen los servidores públicos en la gestión y el control financiero conforme al marco legal vigente.</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</si>
  <si>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</si>
  <si>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t>
  </si>
  <si>
    <t>Impuesto sobre la Renta Personas Jurídicas</t>
  </si>
  <si>
    <t>Aplica la normatividad vigente del impuesto sobre la renta en personas jurídicas, para elaborar la declaración tributaria con base en la clasificación, medición y depuración de los elementos que conforman la base gravable.</t>
  </si>
  <si>
    <t>Sistemas de Control Interno</t>
  </si>
  <si>
    <t>Analiza contextos organizacionales a partir de los conceptos, características, procesos administrativos y procedimientos, identificando las necesidades organizacionales para proponer mejoras fundamentadas en la implementación y evaluación de sistemas de control interno como herramientas clave para la sostenibilidad y eficiencia empresarial.</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</si>
  <si>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</si>
  <si>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</si>
  <si>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Auditoría y Aseguramiento de la Información Financiera</t>
  </si>
  <si>
    <t>Aplica las normas de aseguramiento de la información y los principios éticos de la profesión, para desarrollar procesos de auditoría y aseguramiento que permitan sustentar la razonabilidad de los informes financieros.</t>
  </si>
  <si>
    <t>Impuestos sobre las Ventas e Impuestos Territoriales</t>
  </si>
  <si>
    <t>Aplica la normatividad tributaria vigente sobre impuestos nacionales y territoriales de las empresas, para sustentar el cumplimiento de las obligaciones formales y sustanciales según el sector y la actividad económica desarrollada, y su relación con la retención en la fuente.</t>
  </si>
  <si>
    <t>Contabilidad Estratégica de Costos</t>
  </si>
  <si>
    <t>Analiza estrategias y técnicas de gestión de costos de acuerdo con las necesidades de las organizaciones en contextos nacional e internacional, para elaborar la estructura de costos idónea que permita orientar la toma de decisiones.</t>
  </si>
  <si>
    <t>Administración 4.0</t>
  </si>
  <si>
    <t>Aplica herramientas y tecnologías de la Administración 4.0, como el análisis de datos y la inteligencia artificial para proponer mejoras en los procesos organizacionales y contribuir a la innovación y la competitividad.</t>
  </si>
  <si>
    <t>Presupuestos</t>
  </si>
  <si>
    <t xml:space="preserve">Estima los programas presupuestales de ventas, materias primas, compras, costos indirectos de fabricación y gastos administrativos y de ventas esperados para construir información que permita la toma de decisiones y la proyección de Estados Financieros, empleando herramientas de información y comunicación. </t>
  </si>
  <si>
    <t>Finanzas Corporativas</t>
  </si>
  <si>
    <t>Aplica métodos de valoración de una empresa teniendo como base el costo de capital para el análisis financiero en la toma de decisiones corporativas.</t>
  </si>
  <si>
    <t>Control Societario y Auditoria Forense</t>
  </si>
  <si>
    <t>Aplica los fundamentos y regulaciones del control societario, las responsabilidades éticas en la revisoría fiscal, y los métodos de auditoría forense para evaluar crímenes financieros, mediante habilidades integrales que fortalecen el control empresarial, el aseguramiento, la transparencia y la rendición de cuentas, contribuyendo a la sostenibilidad y protección de los intereses organizacionales.</t>
  </si>
  <si>
    <t>Procedimiento Tributario</t>
  </si>
  <si>
    <t>Identifica la normativa procedimental tributaria frente al incumplimiento de las obligaciones formales y sustanciales del contribuyente, para aplicar el régimen sancionatorio en casos de discrepancia con la administración fiscal, incorporando elementos probatorios pertinentes según los lineamientos de la OCDE, tanto en contextos nacionales como internacionales.</t>
  </si>
  <si>
    <t>Estándares Internacionales de Contabilidad</t>
  </si>
  <si>
    <t>Aplica estándares internacionales de contabilidad en la preparación, análisis y presentación de información financiera, abordando situaciones que requieren juicio profesional, para estructurar reportes con criterios de transparencia, comparabilidad y relevancia en la toma de decisiones en entornos globalizados.</t>
  </si>
  <si>
    <t>Analítica Contable con IA</t>
  </si>
  <si>
    <t>Aplica herramientas de inteligencia artificial en procesos contables y financieros, para generar análisis históricos y predictivos que orienten la toma de decisiones en entornos digitales.</t>
  </si>
  <si>
    <t>Gerencia Financiera</t>
  </si>
  <si>
    <t>Analiza los inductores de valor, incluyendo el Valor Económico Agregado (EVA), para diseñar estrategias financieras que contribuyan a la creación de valor en la gestión financiera de la organización.</t>
  </si>
  <si>
    <t>Electiva 2</t>
  </si>
  <si>
    <t>Electiva 3</t>
  </si>
  <si>
    <t>Electiva 4</t>
  </si>
  <si>
    <t xml:space="preserve">1. Fundamentos de epistemología y el saber contable. 
2. Construcción de pensamiento y teoría contable. 
3. Contexto actual de la teoría contable. 
4. Contexto contemporáneo del campo contable.
</t>
  </si>
  <si>
    <t>1. Generalidades y pasivos financieros   
2. Proveedores, cuentas por pagar y Tributos  
3. Beneficios a empleados, pasivos estimados y otros pasivos  
4. Reconocimiento, medición y valoración de bonos y patrimonio</t>
  </si>
  <si>
    <t>1. Fundamentos del Pensamiento Variacional 
2. Análisis del Cambio y Dinámica 
3. Acumulación y Modelado Integral 
4. Aplicaciones Avanzadas y Modelización</t>
  </si>
  <si>
    <t>1. Generalidades del reconocimiento, medición y presentación de los Activos
2. Efectivo y equivalentes al efectivo; Inversiones (instrumentos financieros); Deudores comerciales y cuentas por cobrar
3. Inventarios; Propiedad planta y Equipo
4. Intangibles; Propiedades de inversión</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</si>
  <si>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</si>
  <si>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</si>
  <si>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1. Planeación
2. Organización
3. Dirección:  Integración de Personal - Motivación – liderazgo y comunicación
4. Control</t>
  </si>
  <si>
    <t>1. Estadística descriptiva
2. Teoría de la probabilidad 
3. Variables aleatorias y distribuciones de probabilidad
4. Distribuciones de probabilidad discretas y continuas</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</si>
  <si>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</si>
  <si>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1. El Sistema de Costos como Herramienta Estratégica de Gestión
2. Impacto de los costos en el resultado organizacional 
3. Estrategia Financiera y Generación de Valor Empresarial
4. Transformación Digital y Sostenibilidad en la Gestión de Costos</t>
  </si>
  <si>
    <t xml:space="preserve">1. Fundamentos y Estado de situación financiera 
2. Estado de resultados, estados de resultados integral y estado de cambios en el patrimonio. 
3. Estado de flujo de efectivo   
4. Interpretación gerencial y toma de decisiones </t>
  </si>
  <si>
    <t xml:space="preserve">1. Muestreo y distribuciones muestrales
2. Teoría de la estimación. Estimación de parámetros
3. Pruebas de hipótesis
4. Regresión lineal simple </t>
  </si>
  <si>
    <t>1. Principales Herramientas de Matemáticas Financieras 
2. Diagnóstico Financiero y análisis de la información 
3. Introducción a herramientas BI 
4. Análisis de información financiera con herramientas BI</t>
  </si>
  <si>
    <t>1. Principios del derecho tributario, obligatoriedad del impuesto de renta y complementarios en personas naturales y anticipo de retención laboral
2. Determinación del patrimonio en personas naturales e impuesto al patrimonio 
3. Sistema cedular 
4. Ganancias ocasionales y liquidación privada en personas naturales</t>
  </si>
  <si>
    <t>1. Generalidades del Riesgo y Sistema de administración de riesgo operativo
2. Medición y tratamiento del riesgo operativo
3. Continuidad de negocio y SARLAFT
4. SaRLAFT y otros sistemas de administración de riesgo de lavado de activos</t>
  </si>
  <si>
    <t>1. Generalidades de la macroeconomía, funcionamiento del sistema económico y de las cuentas nacionales
2. Mercado de bienes y servicios y estabilidad macroeconómica
3. Modelo IS-LM
4. La balanza de pagos y el equilibrio general</t>
  </si>
  <si>
    <t xml:space="preserve">1. Conceptualización sobre contabilidad y presupuesto públicos y su relación con la contabilidad privada.
2. Estructura Administrativa del Estado Colombiano.
3. Planeación y Presupuesto Público.
4. Sistema de Contabilidad Pública y Control del Estado.
</t>
  </si>
  <si>
    <t xml:space="preserve">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 </t>
  </si>
  <si>
    <t xml:space="preserve">1. Obligatoriedad del impuesto sobre la renta en personas jurídicas
2. Determinación del patrimonio 
3. Depuración de la base gravable
4. Ganancias ocasionales y liquidación privada </t>
  </si>
  <si>
    <t>1. Fundamentos de control interno
2.  Diseño y planeación del sistema de control interno
3.  Implementación del sistema de control interno
4.  Evaluación y mejora del sistema de control interno</t>
  </si>
  <si>
    <t xml:space="preserve">1. Conceptos básicos contables y financieros para la evaluación de proyectos 
2. Flujos de caja en proyectos de inversión 
3. Métodos de decisión financiera 
4. Análisis de sensibilidad en los proyectos </t>
  </si>
  <si>
    <t>1. Normas de Aseguramiento de la Información
2. Fundamentos y Planeación General de la Auditoria Financiera
3. Ejecución de la Auditoria Financiera
4. Informe y conclusión de la Auditoria Financiera</t>
  </si>
  <si>
    <t>1. Retención en la Fuente
2. Impuesto al Valor Agregado IVA
3. Impuesto Nacional al consumo
4. Impuestos territoriales</t>
  </si>
  <si>
    <t>1. Costos Estándar
2. Costos Basados en Actividades (Activity Based Cost System – ABC)
3. Costos Estratégicos y Modelos de Valor Empresarial
4. Costos ambientales</t>
  </si>
  <si>
    <t>1. Introducción generalidades de la administración 4.0
2. Método y aplicación de la analítica de DATOS  1
3. Método y aplicación de la analítica de DATOS  2
4. El machine learning</t>
  </si>
  <si>
    <t>1. Conceptos Generales 
2. Presupuestos Operacionales
3. Presupuestos de Costos Indirectos de fabricación y Gastos
4. Estados Financieros Proyectados</t>
  </si>
  <si>
    <t>1. Proyecciones financieras
2. Estructura y costo de capital
3. Métodos de valoración
4. Política de dividendos</t>
  </si>
  <si>
    <t xml:space="preserve">1. Fundamentos y regulaciones del control societario.
2. Responsabilidades, ética y aseguramiento en la revisoría fiscal.  
3. Métodos de auditoría forense y evaluación de crímenes financieros.  
4. Habilidades integrales en auditoría forense y control empresarial. </t>
  </si>
  <si>
    <t>1. Actuación tributaria y Principios del derecho tributario  
2. Declaraciones tributarias y Procedimiento Vía Gubernativa.  
3. Sanciones y Régimen Probatorio  
4. Estatuto anti – evasión</t>
  </si>
  <si>
    <t>1. Financiarización y deterioro
2. Activos Biológicos
3. Instrumentos Financieros 
4. Estados Financieros Consolidados</t>
  </si>
  <si>
    <t>1. Fundamentos de la Inteligencia Artificial en la gestión contable y financiera  
2. Herramientas de IA aplicadas a la gestión contable, financiera, auditoría y control interno 
3. Análisis predictivo y toma de decisiones basadas en datos 
4. Liderazgo contable en entornos digitales con IA</t>
  </si>
  <si>
    <t>1. Conceptos básicos de la Gerencia Financiera
2. Gerencia del valor
3. Estructura financiera y costo de capital
4. Prospección financiera</t>
  </si>
  <si>
    <t>Total módulos del programa</t>
  </si>
  <si>
    <t>Analiza datos numéricos presentados en tablas, gráficos o textos para proponer soluciones informadas a situaciones problema del contexto.</t>
  </si>
  <si>
    <t>T</t>
  </si>
  <si>
    <t>Aplica herramientas tecnológicas y modelos probabilístico, para representar procesos, aleatorios y determinar valores de probabilidad en diferentes escenarios.
Aplica conceptos de probabilidad elemental y distribuciones como la normal y la binomial, para sustentar decisiones en diversos contextos.</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</si>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</sst>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rgb="FF00000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top/>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auto="1"/>
      </bottom>
      <diagonal/>
    </border>
    <border>
      <left/>
      <right/>
      <top/>
      <bottom style="thin">
        <color auto="1"/>
      </bottom>
      <diagonal/>
    </border>
    <border>
      <left/>
      <right/>
      <top style="medium">
        <color rgb="FF000000"/>
      </top>
      <bottom/>
      <diagonal/>
    </border>
  </borders>
  <cellStyleXfs count="1">
    <xf numFmtId="0" fontId="0" fillId="0" borderId="0"/>
  </cellStyleXfs>
  <cellXfs count="178">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0" borderId="0" xfId="0" applyFont="1" applyAlignment="1">
      <alignment horizontal="center" vertical="center" wrapText="1"/>
    </xf>
    <xf numFmtId="0" fontId="22" fillId="8"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7" fillId="6" borderId="0" xfId="0" applyFont="1" applyFill="1" applyAlignment="1">
      <alignment horizontal="left" vertical="center" wrapText="1"/>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8" xfId="0" applyFont="1" applyBorder="1" applyAlignment="1">
      <alignment vertical="center" wrapText="1"/>
    </xf>
    <xf numFmtId="0" fontId="3" fillId="0" borderId="5" xfId="0" applyFont="1" applyBorder="1" applyAlignment="1">
      <alignment horizontal="left" vertical="center"/>
    </xf>
    <xf numFmtId="0" fontId="3" fillId="0" borderId="9" xfId="0" applyFont="1" applyBorder="1" applyAlignment="1">
      <alignment horizontal="left" vertical="center"/>
    </xf>
    <xf numFmtId="0" fontId="3" fillId="0" borderId="9"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10" xfId="0" applyFont="1" applyFill="1" applyBorder="1" applyAlignment="1">
      <alignment horizontal="center" vertical="center" wrapText="1"/>
    </xf>
    <xf numFmtId="0" fontId="24" fillId="6" borderId="11"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4" fillId="0" borderId="9"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4" fillId="0" borderId="7" xfId="0" applyFont="1" applyBorder="1" applyAlignment="1">
      <alignment horizontal="left" vertical="center" wrapText="1"/>
    </xf>
    <xf numFmtId="0" fontId="15" fillId="0" borderId="0" xfId="0" applyFont="1" applyAlignment="1">
      <alignment vertical="center" wrapText="1"/>
    </xf>
    <xf numFmtId="0" fontId="3" fillId="0" borderId="9" xfId="0" applyFont="1" applyBorder="1" applyAlignment="1">
      <alignment vertical="center" wrapText="1"/>
    </xf>
    <xf numFmtId="0" fontId="3" fillId="0" borderId="9"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0" borderId="5" xfId="0" applyFont="1" applyBorder="1" applyAlignment="1">
      <alignment vertical="center" wrapText="1"/>
    </xf>
    <xf numFmtId="0" fontId="3" fillId="0" borderId="9" xfId="0" applyFont="1" applyBorder="1" applyAlignment="1">
      <alignment horizontal="center" vertical="center" wrapText="1"/>
    </xf>
    <xf numFmtId="0" fontId="4" fillId="0" borderId="6" xfId="0" applyFont="1" applyBorder="1" applyAlignment="1">
      <alignment horizontal="left" vertical="center" wrapText="1"/>
    </xf>
    <xf numFmtId="0" fontId="4" fillId="0" borderId="6" xfId="0" applyFont="1" applyBorder="1" applyAlignment="1">
      <alignment vertical="center" wrapText="1"/>
    </xf>
    <xf numFmtId="0" fontId="9" fillId="0" borderId="6"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9" fillId="0" borderId="5" xfId="0" applyFont="1" applyBorder="1" applyAlignment="1">
      <alignment horizontal="left" vertical="center" wrapText="1"/>
    </xf>
    <xf numFmtId="0" fontId="9" fillId="0" borderId="9" xfId="0" applyFont="1" applyBorder="1" applyAlignment="1">
      <alignment horizontal="left" vertical="center" wrapText="1"/>
    </xf>
    <xf numFmtId="0" fontId="3" fillId="0" borderId="7" xfId="0" applyFont="1" applyBorder="1" applyAlignment="1">
      <alignment horizontal="left" vertical="center"/>
    </xf>
    <xf numFmtId="0" fontId="25" fillId="0" borderId="0" xfId="0" applyFont="1" applyAlignment="1">
      <alignment horizontal="center" vertical="center" wrapText="1"/>
    </xf>
    <xf numFmtId="0" fontId="3" fillId="10" borderId="4" xfId="0" applyFont="1" applyFill="1" applyBorder="1" applyAlignment="1">
      <alignment horizontal="left" vertical="center"/>
    </xf>
    <xf numFmtId="0" fontId="17" fillId="6" borderId="7"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0" xfId="0" applyFont="1" applyAlignment="1">
      <alignment horizontal="center" vertical="center" wrapText="1"/>
    </xf>
    <xf numFmtId="0" fontId="18" fillId="2"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3" fillId="0" borderId="5" xfId="0" applyFont="1" applyBorder="1" applyAlignment="1">
      <alignment horizontal="center" vertical="center" wrapText="1"/>
    </xf>
    <xf numFmtId="0" fontId="4" fillId="0" borderId="0" xfId="0" applyFont="1" applyAlignment="1">
      <alignment horizontal="center" vertical="center"/>
    </xf>
    <xf numFmtId="0" fontId="4" fillId="0" borderId="7" xfId="0" applyFont="1" applyBorder="1" applyAlignment="1">
      <alignment horizontal="center" vertical="center"/>
    </xf>
    <xf numFmtId="0" fontId="4" fillId="0" borderId="14" xfId="0" applyFont="1" applyBorder="1" applyAlignment="1">
      <alignment horizontal="left" vertical="center" wrapText="1"/>
    </xf>
    <xf numFmtId="0" fontId="4" fillId="0" borderId="7" xfId="0" applyFont="1" applyBorder="1" applyAlignment="1">
      <alignment horizontal="left" vertical="center" wrapText="1"/>
    </xf>
    <xf numFmtId="0" fontId="4" fillId="0" borderId="1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5" xfId="0" applyFont="1" applyBorder="1" applyAlignment="1">
      <alignment horizontal="left" vertical="center" wrapText="1"/>
    </xf>
    <xf numFmtId="0" fontId="4" fillId="0" borderId="9" xfId="0" applyFont="1" applyBorder="1" applyAlignment="1">
      <alignment horizontal="center" vertical="center"/>
    </xf>
    <xf numFmtId="0" fontId="4" fillId="0" borderId="9" xfId="0" applyFont="1" applyBorder="1" applyAlignment="1">
      <alignment horizontal="left"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3" fillId="0" borderId="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9" fillId="0" borderId="5" xfId="0" applyFont="1" applyBorder="1" applyAlignment="1">
      <alignment horizontal="left" vertical="center" wrapText="1"/>
    </xf>
    <xf numFmtId="0" fontId="4" fillId="0" borderId="5" xfId="0" applyFont="1" applyBorder="1" applyAlignment="1">
      <alignment horizontal="center" vertical="center"/>
    </xf>
    <xf numFmtId="0" fontId="16" fillId="6" borderId="0" xfId="0" applyFont="1" applyFill="1" applyAlignment="1">
      <alignment horizontal="center" vertical="center" wrapText="1"/>
    </xf>
    <xf numFmtId="0" fontId="4" fillId="0" borderId="5"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9" fillId="0" borderId="5" xfId="0" applyFont="1" applyBorder="1" applyAlignment="1">
      <alignment horizontal="center" vertical="center" wrapText="1"/>
    </xf>
    <xf numFmtId="0" fontId="3" fillId="0" borderId="9" xfId="0" applyFont="1" applyBorder="1" applyAlignment="1">
      <alignment horizontal="center" vertical="center" wrapText="1"/>
    </xf>
    <xf numFmtId="0" fontId="3" fillId="0" borderId="9" xfId="0" applyFont="1" applyBorder="1" applyAlignment="1" applyProtection="1">
      <alignment horizontal="left" vertical="center" wrapText="1"/>
      <protection locked="0"/>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3" totalsRowShown="0" headerRowDxfId="76" dataDxfId="75">
  <autoFilter ref="M3:M43"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4" totalsRowShown="0" headerRowDxfId="73" dataDxfId="72">
  <autoFilter ref="N3:N44"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1" customWidth="1"/>
    <col min="2" max="2" width="17.1796875" style="21" customWidth="1"/>
    <col min="3" max="3" width="61.54296875" style="21" customWidth="1"/>
    <col min="4" max="4" width="62.81640625" style="21" customWidth="1"/>
    <col min="5" max="5" width="32.1796875" style="21" customWidth="1"/>
    <col min="6" max="6" width="34" style="12" customWidth="1"/>
    <col min="7" max="7" width="51" style="21" customWidth="1"/>
    <col min="8" max="8" width="42.81640625" style="21" customWidth="1"/>
    <col min="9" max="9" width="75" style="21" customWidth="1"/>
    <col min="10" max="10" width="48.1796875" style="21" customWidth="1"/>
    <col min="11" max="11" width="45.08984375" style="21" customWidth="1"/>
    <col min="12" max="16384" width="76.26953125" style="21"/>
  </cols>
  <sheetData>
    <row r="1" spans="1:11" s="19" customFormat="1" ht="68.5" x14ac:dyDescent="0.35">
      <c r="A1" s="15" t="s">
        <v>0</v>
      </c>
      <c r="B1" s="15" t="s">
        <v>1</v>
      </c>
      <c r="C1" s="15" t="s">
        <v>2</v>
      </c>
      <c r="D1" s="15" t="s">
        <v>3</v>
      </c>
      <c r="E1" s="133" t="s">
        <v>4</v>
      </c>
      <c r="F1" s="133"/>
      <c r="G1" s="133"/>
      <c r="H1" s="133" t="s">
        <v>5</v>
      </c>
      <c r="I1" s="133"/>
      <c r="J1" s="133"/>
      <c r="K1" s="130" t="s">
        <v>6</v>
      </c>
    </row>
    <row r="2" spans="1:11" s="19" customFormat="1" x14ac:dyDescent="0.35">
      <c r="A2" s="35" t="s">
        <v>7</v>
      </c>
      <c r="B2" s="35" t="s">
        <v>8</v>
      </c>
      <c r="C2" s="35" t="s">
        <v>9</v>
      </c>
      <c r="D2" s="35" t="s">
        <v>10</v>
      </c>
      <c r="E2" s="131" t="s">
        <v>11</v>
      </c>
      <c r="F2" s="131" t="s">
        <v>12</v>
      </c>
      <c r="G2" s="131" t="s">
        <v>13</v>
      </c>
      <c r="H2" s="131" t="s">
        <v>14</v>
      </c>
      <c r="I2" s="131" t="s">
        <v>15</v>
      </c>
      <c r="J2" s="131" t="s">
        <v>16</v>
      </c>
      <c r="K2" s="131" t="s">
        <v>17</v>
      </c>
    </row>
    <row r="3" spans="1:11" ht="49.5" x14ac:dyDescent="0.35">
      <c r="A3" s="134" t="s">
        <v>603</v>
      </c>
      <c r="B3" s="134" t="s">
        <v>601</v>
      </c>
      <c r="C3" s="135" t="s">
        <v>604</v>
      </c>
      <c r="D3" s="135" t="s">
        <v>605</v>
      </c>
      <c r="E3" s="16" t="s">
        <v>606</v>
      </c>
      <c r="F3" s="20" t="s">
        <v>610</v>
      </c>
      <c r="G3" s="20" t="s">
        <v>614</v>
      </c>
      <c r="H3" s="136" t="s">
        <v>618</v>
      </c>
      <c r="I3" s="136" t="s">
        <v>619</v>
      </c>
      <c r="J3" s="136" t="s">
        <v>620</v>
      </c>
      <c r="K3" s="132" t="s">
        <v>621</v>
      </c>
    </row>
    <row r="4" spans="1:11" ht="33" x14ac:dyDescent="0.35">
      <c r="A4" s="134"/>
      <c r="B4" s="134"/>
      <c r="C4" s="135"/>
      <c r="D4" s="135"/>
      <c r="E4" s="22" t="s">
        <v>607</v>
      </c>
      <c r="F4" s="22" t="s">
        <v>611</v>
      </c>
      <c r="G4" s="22" t="s">
        <v>615</v>
      </c>
      <c r="H4" s="136"/>
      <c r="I4" s="136"/>
      <c r="J4" s="136"/>
      <c r="K4" s="132"/>
    </row>
    <row r="5" spans="1:11" ht="49.5" x14ac:dyDescent="0.35">
      <c r="A5" s="134"/>
      <c r="B5" s="134"/>
      <c r="C5" s="135"/>
      <c r="D5" s="135"/>
      <c r="E5" s="16" t="s">
        <v>608</v>
      </c>
      <c r="F5" s="16" t="s">
        <v>612</v>
      </c>
      <c r="G5" s="16" t="s">
        <v>616</v>
      </c>
      <c r="H5" s="136"/>
      <c r="I5" s="136"/>
      <c r="J5" s="136"/>
      <c r="K5" s="132"/>
    </row>
    <row r="6" spans="1:11" ht="50" thickBot="1" x14ac:dyDescent="0.4">
      <c r="A6" s="134"/>
      <c r="B6" s="134"/>
      <c r="C6" s="135"/>
      <c r="D6" s="135"/>
      <c r="E6" s="98" t="s">
        <v>609</v>
      </c>
      <c r="F6" s="98" t="s">
        <v>613</v>
      </c>
      <c r="G6" s="98" t="s">
        <v>617</v>
      </c>
      <c r="H6" s="136"/>
      <c r="I6" s="136"/>
      <c r="J6" s="136"/>
      <c r="K6" s="132"/>
    </row>
    <row r="7" spans="1:11" ht="66" x14ac:dyDescent="0.35">
      <c r="A7" s="134"/>
      <c r="B7" s="134"/>
      <c r="C7" s="135"/>
      <c r="D7" s="135"/>
      <c r="E7" s="21" t="s">
        <v>18</v>
      </c>
      <c r="F7" s="21" t="s">
        <v>19</v>
      </c>
      <c r="G7" s="20" t="s">
        <v>20</v>
      </c>
      <c r="H7" s="136"/>
      <c r="I7" s="136"/>
      <c r="J7" s="136"/>
      <c r="K7" s="132"/>
    </row>
    <row r="8" spans="1:11" x14ac:dyDescent="0.35">
      <c r="C8" s="20"/>
      <c r="H8" s="16"/>
      <c r="K8" s="95"/>
    </row>
    <row r="9" spans="1:11" x14ac:dyDescent="0.35">
      <c r="E9" s="22"/>
      <c r="F9" s="16"/>
      <c r="G9" s="22"/>
      <c r="H9" s="16"/>
    </row>
    <row r="10" spans="1:11" x14ac:dyDescent="0.35">
      <c r="E10" s="16"/>
      <c r="F10" s="16"/>
      <c r="G10" s="16"/>
      <c r="H10" s="16"/>
    </row>
    <row r="11" spans="1:11" x14ac:dyDescent="0.35">
      <c r="E11" s="22"/>
      <c r="F11" s="22"/>
      <c r="G11" s="22"/>
      <c r="H11" s="16"/>
    </row>
    <row r="12" spans="1:11" x14ac:dyDescent="0.35">
      <c r="E12" s="22"/>
      <c r="F12" s="22"/>
      <c r="G12" s="22"/>
      <c r="H12" s="16"/>
    </row>
    <row r="13" spans="1:11" x14ac:dyDescent="0.35">
      <c r="E13" s="16"/>
      <c r="F13" s="16"/>
      <c r="H13" s="16"/>
    </row>
    <row r="14" spans="1:11" x14ac:dyDescent="0.35">
      <c r="E14" s="16"/>
      <c r="F14" s="16"/>
      <c r="H14" s="16"/>
      <c r="I14" s="20"/>
    </row>
    <row r="15" spans="1:11" x14ac:dyDescent="0.35">
      <c r="E15" s="16"/>
      <c r="F15" s="16"/>
    </row>
  </sheetData>
  <mergeCells count="10">
    <mergeCell ref="K3:K7"/>
    <mergeCell ref="E1:G1"/>
    <mergeCell ref="H1:J1"/>
    <mergeCell ref="A3:A7"/>
    <mergeCell ref="B3:B7"/>
    <mergeCell ref="C3:C7"/>
    <mergeCell ref="D3:D7"/>
    <mergeCell ref="H3:H7"/>
    <mergeCell ref="I3:I7"/>
    <mergeCell ref="J3:J7"/>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1" width="19" style="21" customWidth="1"/>
    <col min="2" max="2" width="18" style="21" customWidth="1"/>
    <col min="3" max="3" width="30.453125" style="21" customWidth="1"/>
    <col min="4" max="4" width="34" style="21" customWidth="1"/>
    <col min="5" max="5" width="43.26953125" style="21" customWidth="1"/>
    <col min="6" max="6" width="90.453125" style="21" customWidth="1"/>
    <col min="7" max="7" width="32.453125" style="21" customWidth="1"/>
    <col min="8" max="16384" width="11.453125" style="21"/>
  </cols>
  <sheetData>
    <row r="1" spans="1:7" ht="17.25" customHeight="1" x14ac:dyDescent="0.35">
      <c r="A1" s="137" t="s">
        <v>598</v>
      </c>
      <c r="B1" s="138"/>
      <c r="C1" s="138"/>
      <c r="D1" s="138"/>
      <c r="E1" s="138"/>
      <c r="F1" s="138"/>
      <c r="G1" s="138"/>
    </row>
    <row r="2" spans="1:7" s="32" customFormat="1" ht="52" x14ac:dyDescent="0.35">
      <c r="A2" s="29" t="s">
        <v>21</v>
      </c>
      <c r="B2" s="30" t="s">
        <v>22</v>
      </c>
      <c r="C2" s="30" t="s">
        <v>23</v>
      </c>
      <c r="D2" s="30" t="s">
        <v>24</v>
      </c>
      <c r="E2" s="30" t="s">
        <v>25</v>
      </c>
      <c r="F2" s="31" t="s">
        <v>26</v>
      </c>
      <c r="G2" s="31" t="s">
        <v>27</v>
      </c>
    </row>
    <row r="3" spans="1:7" s="37" customFormat="1" ht="33" x14ac:dyDescent="0.35">
      <c r="A3" s="33" t="s">
        <v>28</v>
      </c>
      <c r="B3" s="34" t="s">
        <v>29</v>
      </c>
      <c r="C3" s="34" t="s">
        <v>30</v>
      </c>
      <c r="D3" s="34" t="s">
        <v>31</v>
      </c>
      <c r="E3" s="34" t="s">
        <v>32</v>
      </c>
      <c r="F3" s="35" t="s">
        <v>33</v>
      </c>
      <c r="G3" s="35" t="s">
        <v>34</v>
      </c>
    </row>
    <row r="4" spans="1:7" ht="49.5" x14ac:dyDescent="0.35">
      <c r="A4" s="19">
        <v>1</v>
      </c>
      <c r="B4" s="12" t="s">
        <v>179</v>
      </c>
      <c r="C4" s="21" t="s">
        <v>606</v>
      </c>
      <c r="D4" s="120" t="s">
        <v>610</v>
      </c>
      <c r="E4" s="120" t="s">
        <v>614</v>
      </c>
      <c r="F4" s="119" t="s">
        <v>624</v>
      </c>
      <c r="G4" s="42" t="s">
        <v>36</v>
      </c>
    </row>
    <row r="5" spans="1:7" s="20" customFormat="1" ht="49.5" x14ac:dyDescent="0.35">
      <c r="A5" s="42">
        <v>2</v>
      </c>
      <c r="B5" s="20" t="s">
        <v>35</v>
      </c>
      <c r="C5" s="20" t="s">
        <v>607</v>
      </c>
      <c r="D5" s="20" t="s">
        <v>611</v>
      </c>
      <c r="E5" s="20" t="s">
        <v>622</v>
      </c>
      <c r="F5" s="22" t="s">
        <v>625</v>
      </c>
      <c r="G5" s="42" t="s">
        <v>36</v>
      </c>
    </row>
    <row r="6" spans="1:7" s="110" customFormat="1" ht="49.5" x14ac:dyDescent="0.35">
      <c r="A6" s="36">
        <v>3</v>
      </c>
      <c r="B6" s="2" t="s">
        <v>38</v>
      </c>
      <c r="C6" s="20" t="s">
        <v>608</v>
      </c>
      <c r="D6" s="20" t="s">
        <v>612</v>
      </c>
      <c r="E6" s="20" t="s">
        <v>616</v>
      </c>
      <c r="F6" s="22" t="s">
        <v>626</v>
      </c>
      <c r="G6" s="42" t="s">
        <v>36</v>
      </c>
    </row>
    <row r="7" spans="1:7" ht="50" thickBot="1" x14ac:dyDescent="0.4">
      <c r="A7" s="118">
        <v>4</v>
      </c>
      <c r="B7" s="112" t="s">
        <v>70</v>
      </c>
      <c r="C7" s="111" t="s">
        <v>609</v>
      </c>
      <c r="D7" s="46" t="s">
        <v>613</v>
      </c>
      <c r="E7" s="46" t="s">
        <v>623</v>
      </c>
      <c r="F7" s="109" t="s">
        <v>627</v>
      </c>
      <c r="G7" s="47" t="s">
        <v>36</v>
      </c>
    </row>
    <row r="8" spans="1:7" ht="66" x14ac:dyDescent="0.35">
      <c r="A8" s="19">
        <v>5</v>
      </c>
      <c r="B8" s="22" t="s">
        <v>40</v>
      </c>
      <c r="C8" s="21" t="s">
        <v>18</v>
      </c>
      <c r="D8" s="21" t="s">
        <v>19</v>
      </c>
      <c r="E8" s="20" t="s">
        <v>20</v>
      </c>
      <c r="F8" s="20" t="s">
        <v>41</v>
      </c>
      <c r="G8" s="28" t="s">
        <v>42</v>
      </c>
    </row>
    <row r="9" spans="1:7" x14ac:dyDescent="0.35">
      <c r="A9" s="19"/>
      <c r="C9" s="22"/>
      <c r="D9" s="22"/>
      <c r="E9" s="22"/>
      <c r="F9" s="20"/>
    </row>
    <row r="10" spans="1:7" x14ac:dyDescent="0.35">
      <c r="A10" s="19"/>
      <c r="C10" s="22"/>
      <c r="D10" s="22"/>
      <c r="E10" s="22"/>
      <c r="F10" s="20"/>
    </row>
    <row r="11" spans="1:7" x14ac:dyDescent="0.35">
      <c r="A11" s="19"/>
      <c r="C11" s="22"/>
      <c r="D11" s="22"/>
      <c r="E11" s="22"/>
      <c r="F11" s="20"/>
    </row>
    <row r="12" spans="1:7" x14ac:dyDescent="0.35">
      <c r="A12" s="19"/>
      <c r="C12" s="22"/>
      <c r="D12" s="22"/>
      <c r="E12" s="22"/>
      <c r="F12" s="20"/>
    </row>
    <row r="13" spans="1:7" x14ac:dyDescent="0.35">
      <c r="A13" s="19"/>
      <c r="C13" s="22"/>
      <c r="D13" s="22"/>
      <c r="E13" s="22"/>
      <c r="F13" s="20"/>
    </row>
  </sheetData>
  <mergeCells count="1">
    <mergeCell ref="A1:G1"/>
  </mergeCells>
  <dataValidations count="2">
    <dataValidation type="list" allowBlank="1" showInputMessage="1" showErrorMessage="1" sqref="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9" customWidth="1"/>
    <col min="3" max="3" width="23" style="21" customWidth="1"/>
    <col min="4" max="4" width="30.7265625" style="21" customWidth="1"/>
    <col min="5" max="5" width="25.54296875" style="21" customWidth="1"/>
    <col min="6" max="6" width="21.81640625" style="21" customWidth="1"/>
    <col min="7" max="7" width="27.453125" style="12" customWidth="1"/>
    <col min="8" max="8" width="20" style="12" customWidth="1"/>
    <col min="9" max="9" width="72" style="43" customWidth="1"/>
    <col min="10" max="16384" width="11.453125" style="16"/>
  </cols>
  <sheetData>
    <row r="1" spans="1:11" s="39" customFormat="1" ht="52" x14ac:dyDescent="0.35">
      <c r="A1" s="15" t="s">
        <v>43</v>
      </c>
      <c r="B1" s="15" t="s">
        <v>44</v>
      </c>
      <c r="C1" s="30" t="s">
        <v>45</v>
      </c>
      <c r="D1" s="115" t="s">
        <v>46</v>
      </c>
      <c r="E1" s="115" t="s">
        <v>47</v>
      </c>
      <c r="F1" s="30" t="s">
        <v>48</v>
      </c>
      <c r="G1" s="30" t="s">
        <v>49</v>
      </c>
      <c r="H1" s="30" t="s">
        <v>50</v>
      </c>
      <c r="I1" s="15" t="s">
        <v>51</v>
      </c>
    </row>
    <row r="2" spans="1:11" s="41" customFormat="1" x14ac:dyDescent="0.35">
      <c r="A2" s="38" t="s">
        <v>52</v>
      </c>
      <c r="B2" s="38" t="s">
        <v>53</v>
      </c>
      <c r="C2" s="34" t="s">
        <v>54</v>
      </c>
      <c r="D2" s="116" t="s">
        <v>55</v>
      </c>
      <c r="E2" s="116" t="s">
        <v>56</v>
      </c>
      <c r="F2" s="34" t="s">
        <v>57</v>
      </c>
      <c r="G2" s="34" t="s">
        <v>58</v>
      </c>
      <c r="H2" s="34" t="s">
        <v>59</v>
      </c>
      <c r="I2" s="38" t="s">
        <v>60</v>
      </c>
    </row>
    <row r="3" spans="1:11" ht="49.5" x14ac:dyDescent="0.35">
      <c r="A3" s="21" t="s">
        <v>625</v>
      </c>
      <c r="B3" s="19">
        <v>1</v>
      </c>
      <c r="C3" s="21" t="s">
        <v>11</v>
      </c>
      <c r="D3" s="21" t="s">
        <v>607</v>
      </c>
      <c r="E3" s="21" t="s">
        <v>72</v>
      </c>
      <c r="F3" s="12" t="s">
        <v>73</v>
      </c>
      <c r="G3" s="12" t="s">
        <v>195</v>
      </c>
      <c r="H3" s="12" t="s">
        <v>40</v>
      </c>
      <c r="I3" s="16" t="s">
        <v>628</v>
      </c>
    </row>
    <row r="4" spans="1:11" ht="49.5" x14ac:dyDescent="0.5">
      <c r="A4" s="21" t="s">
        <v>625</v>
      </c>
      <c r="B4" s="19">
        <v>5</v>
      </c>
      <c r="C4" s="21" t="s">
        <v>12</v>
      </c>
      <c r="D4" s="21" t="s">
        <v>611</v>
      </c>
      <c r="E4" s="21" t="s">
        <v>72</v>
      </c>
      <c r="F4" s="12" t="s">
        <v>191</v>
      </c>
      <c r="G4" s="12" t="s">
        <v>195</v>
      </c>
      <c r="H4" s="12" t="s">
        <v>38</v>
      </c>
      <c r="I4" s="20" t="s">
        <v>629</v>
      </c>
      <c r="K4" s="68"/>
    </row>
    <row r="5" spans="1:11" ht="50" thickBot="1" x14ac:dyDescent="0.4">
      <c r="A5" s="44" t="s">
        <v>625</v>
      </c>
      <c r="B5" s="26">
        <v>8</v>
      </c>
      <c r="C5" s="44" t="s">
        <v>13</v>
      </c>
      <c r="D5" s="44" t="s">
        <v>615</v>
      </c>
      <c r="E5" s="44" t="s">
        <v>72</v>
      </c>
      <c r="F5" s="45" t="s">
        <v>192</v>
      </c>
      <c r="G5" s="45" t="s">
        <v>195</v>
      </c>
      <c r="H5" s="45" t="s">
        <v>64</v>
      </c>
      <c r="I5" s="27" t="s">
        <v>630</v>
      </c>
    </row>
    <row r="6" spans="1:11" s="22" customFormat="1" ht="66" x14ac:dyDescent="0.35">
      <c r="A6" s="20" t="s">
        <v>624</v>
      </c>
      <c r="B6" s="42">
        <v>1</v>
      </c>
      <c r="C6" s="20" t="s">
        <v>11</v>
      </c>
      <c r="D6" s="20" t="s">
        <v>606</v>
      </c>
      <c r="E6" s="20" t="s">
        <v>72</v>
      </c>
      <c r="F6" s="2" t="s">
        <v>73</v>
      </c>
      <c r="G6" s="2" t="s">
        <v>195</v>
      </c>
      <c r="H6" s="2" t="s">
        <v>40</v>
      </c>
      <c r="I6" s="22" t="s">
        <v>628</v>
      </c>
    </row>
    <row r="7" spans="1:11" s="22" customFormat="1" ht="66" x14ac:dyDescent="0.35">
      <c r="A7" s="20" t="s">
        <v>624</v>
      </c>
      <c r="B7" s="42">
        <v>5</v>
      </c>
      <c r="C7" s="20" t="s">
        <v>12</v>
      </c>
      <c r="D7" s="20" t="s">
        <v>610</v>
      </c>
      <c r="E7" s="20" t="s">
        <v>72</v>
      </c>
      <c r="F7" s="2" t="s">
        <v>191</v>
      </c>
      <c r="G7" s="2" t="s">
        <v>195</v>
      </c>
      <c r="H7" s="2" t="s">
        <v>38</v>
      </c>
      <c r="I7" s="20" t="s">
        <v>629</v>
      </c>
    </row>
    <row r="8" spans="1:11" s="22" customFormat="1" ht="66.5" thickBot="1" x14ac:dyDescent="0.4">
      <c r="A8" s="46" t="s">
        <v>624</v>
      </c>
      <c r="B8" s="47">
        <v>8</v>
      </c>
      <c r="C8" s="46" t="s">
        <v>13</v>
      </c>
      <c r="D8" s="46" t="s">
        <v>614</v>
      </c>
      <c r="E8" s="46" t="s">
        <v>72</v>
      </c>
      <c r="F8" s="108" t="s">
        <v>192</v>
      </c>
      <c r="G8" s="108" t="s">
        <v>195</v>
      </c>
      <c r="H8" s="108" t="s">
        <v>64</v>
      </c>
      <c r="I8" s="109" t="s">
        <v>630</v>
      </c>
    </row>
    <row r="9" spans="1:11" s="25" customFormat="1" ht="49.5" x14ac:dyDescent="0.35">
      <c r="A9" s="20" t="s">
        <v>626</v>
      </c>
      <c r="B9" s="42">
        <v>2</v>
      </c>
      <c r="C9" s="20" t="s">
        <v>11</v>
      </c>
      <c r="D9" s="20" t="s">
        <v>608</v>
      </c>
      <c r="E9" s="21" t="s">
        <v>72</v>
      </c>
      <c r="F9" s="12" t="s">
        <v>73</v>
      </c>
      <c r="G9" s="12" t="s">
        <v>74</v>
      </c>
      <c r="H9" s="12" t="s">
        <v>419</v>
      </c>
      <c r="I9" s="16" t="s">
        <v>631</v>
      </c>
    </row>
    <row r="10" spans="1:11" s="25" customFormat="1" ht="66" x14ac:dyDescent="0.35">
      <c r="A10" s="20" t="s">
        <v>626</v>
      </c>
      <c r="B10" s="42">
        <v>6</v>
      </c>
      <c r="C10" s="20" t="s">
        <v>12</v>
      </c>
      <c r="D10" s="20" t="s">
        <v>612</v>
      </c>
      <c r="E10" s="21" t="s">
        <v>72</v>
      </c>
      <c r="F10" s="12" t="s">
        <v>191</v>
      </c>
      <c r="G10" s="12" t="s">
        <v>194</v>
      </c>
      <c r="H10" s="12" t="s">
        <v>586</v>
      </c>
      <c r="I10" s="20" t="s">
        <v>632</v>
      </c>
    </row>
    <row r="11" spans="1:11" s="25" customFormat="1" ht="50" thickBot="1" x14ac:dyDescent="0.4">
      <c r="A11" s="46" t="s">
        <v>626</v>
      </c>
      <c r="B11" s="47">
        <v>8</v>
      </c>
      <c r="C11" s="46" t="s">
        <v>13</v>
      </c>
      <c r="D11" s="46" t="s">
        <v>616</v>
      </c>
      <c r="E11" s="44" t="s">
        <v>72</v>
      </c>
      <c r="F11" s="45" t="s">
        <v>192</v>
      </c>
      <c r="G11" s="45" t="s">
        <v>195</v>
      </c>
      <c r="H11" s="45" t="s">
        <v>64</v>
      </c>
      <c r="I11" s="27" t="s">
        <v>630</v>
      </c>
    </row>
    <row r="12" spans="1:11" ht="49.5" x14ac:dyDescent="0.35">
      <c r="A12" s="20" t="s">
        <v>627</v>
      </c>
      <c r="B12" s="42">
        <v>3</v>
      </c>
      <c r="C12" s="20" t="s">
        <v>11</v>
      </c>
      <c r="D12" s="20" t="s">
        <v>609</v>
      </c>
      <c r="E12" s="21" t="s">
        <v>72</v>
      </c>
      <c r="F12" s="12" t="s">
        <v>73</v>
      </c>
      <c r="G12" s="12" t="s">
        <v>74</v>
      </c>
      <c r="H12" s="12" t="s">
        <v>471</v>
      </c>
      <c r="I12" s="16" t="s">
        <v>633</v>
      </c>
    </row>
    <row r="13" spans="1:11" ht="49.5" x14ac:dyDescent="0.35">
      <c r="A13" s="20" t="s">
        <v>627</v>
      </c>
      <c r="B13" s="42">
        <v>7</v>
      </c>
      <c r="C13" s="20" t="s">
        <v>12</v>
      </c>
      <c r="D13" s="20" t="s">
        <v>613</v>
      </c>
      <c r="E13" s="21" t="s">
        <v>72</v>
      </c>
      <c r="F13" s="12" t="s">
        <v>191</v>
      </c>
      <c r="G13" s="12" t="s">
        <v>194</v>
      </c>
      <c r="H13" s="12" t="s">
        <v>586</v>
      </c>
      <c r="I13" s="16" t="s">
        <v>634</v>
      </c>
    </row>
    <row r="14" spans="1:11" ht="50" thickBot="1" x14ac:dyDescent="0.4">
      <c r="A14" s="46" t="s">
        <v>627</v>
      </c>
      <c r="B14" s="47">
        <v>8</v>
      </c>
      <c r="C14" s="106" t="s">
        <v>13</v>
      </c>
      <c r="D14" s="46" t="s">
        <v>617</v>
      </c>
      <c r="E14" s="44" t="s">
        <v>72</v>
      </c>
      <c r="F14" s="45" t="s">
        <v>192</v>
      </c>
      <c r="G14" s="45" t="s">
        <v>195</v>
      </c>
      <c r="H14" s="45" t="s">
        <v>64</v>
      </c>
      <c r="I14" s="27" t="s">
        <v>630</v>
      </c>
    </row>
    <row r="15" spans="1:11" ht="49.5" x14ac:dyDescent="0.35">
      <c r="A15" s="20" t="s">
        <v>41</v>
      </c>
      <c r="B15" s="49">
        <v>4</v>
      </c>
      <c r="C15" s="20" t="s">
        <v>11</v>
      </c>
      <c r="D15" s="28" t="s">
        <v>18</v>
      </c>
      <c r="E15" s="48" t="s">
        <v>72</v>
      </c>
      <c r="F15" s="96" t="s">
        <v>73</v>
      </c>
      <c r="G15" s="96" t="s">
        <v>74</v>
      </c>
      <c r="H15" s="24" t="s">
        <v>75</v>
      </c>
      <c r="I15" s="16" t="s">
        <v>76</v>
      </c>
    </row>
    <row r="16" spans="1:11" x14ac:dyDescent="0.35">
      <c r="A16" s="20"/>
      <c r="C16" s="20"/>
      <c r="D16" s="20"/>
      <c r="E16" s="20"/>
      <c r="F16" s="20"/>
      <c r="G16" s="2"/>
      <c r="H16" s="2"/>
      <c r="I16" s="16"/>
    </row>
    <row r="17" spans="1:9" x14ac:dyDescent="0.35">
      <c r="A17" s="20"/>
      <c r="C17" s="20"/>
      <c r="D17" s="20"/>
      <c r="E17" s="20"/>
      <c r="F17" s="20"/>
      <c r="G17" s="2"/>
      <c r="H17" s="2"/>
      <c r="I17" s="16"/>
    </row>
    <row r="18" spans="1:9" x14ac:dyDescent="0.35">
      <c r="A18" s="20"/>
      <c r="C18" s="20"/>
      <c r="D18" s="20"/>
      <c r="E18" s="20"/>
      <c r="F18" s="20"/>
      <c r="G18" s="2"/>
      <c r="H18" s="2"/>
      <c r="I18" s="16"/>
    </row>
    <row r="19" spans="1:9" x14ac:dyDescent="0.35">
      <c r="A19" s="20"/>
      <c r="C19" s="20"/>
      <c r="D19" s="20"/>
      <c r="E19" s="20"/>
      <c r="F19" s="20"/>
      <c r="G19" s="2"/>
      <c r="H19" s="2"/>
      <c r="I19" s="20"/>
    </row>
    <row r="20" spans="1:9" x14ac:dyDescent="0.35">
      <c r="A20" s="20"/>
      <c r="C20" s="20"/>
      <c r="D20" s="20"/>
      <c r="E20" s="20"/>
      <c r="F20" s="20"/>
      <c r="G20" s="2"/>
      <c r="H20" s="2"/>
      <c r="I20" s="16"/>
    </row>
    <row r="21" spans="1:9" x14ac:dyDescent="0.35">
      <c r="A21" s="20"/>
      <c r="C21" s="20"/>
      <c r="D21" s="20"/>
      <c r="E21" s="20"/>
      <c r="F21" s="20"/>
      <c r="G21" s="2"/>
      <c r="H21" s="2"/>
      <c r="I21" s="20"/>
    </row>
    <row r="22" spans="1:9" x14ac:dyDescent="0.35">
      <c r="A22" s="20"/>
      <c r="C22" s="20"/>
      <c r="D22" s="20"/>
      <c r="E22" s="20"/>
      <c r="F22" s="20"/>
      <c r="G22" s="2"/>
      <c r="H22" s="2"/>
      <c r="I22" s="16"/>
    </row>
    <row r="24" spans="1:9" x14ac:dyDescent="0.5">
      <c r="A24" s="23"/>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52"/>
  <sheetViews>
    <sheetView zoomScaleNormal="100" workbookViewId="0"/>
  </sheetViews>
  <sheetFormatPr baseColWidth="10" defaultColWidth="11.453125" defaultRowHeight="16.5" x14ac:dyDescent="0.35"/>
  <cols>
    <col min="1" max="1" width="98.81640625" style="12" customWidth="1"/>
    <col min="2" max="2" width="55" style="50" customWidth="1"/>
    <col min="3" max="3" width="44.54296875" style="12" customWidth="1"/>
    <col min="4" max="4" width="61.54296875" style="12" customWidth="1"/>
    <col min="5" max="5" width="39.1796875" style="12" customWidth="1"/>
    <col min="6" max="6" width="47.7265625" style="12" customWidth="1"/>
    <col min="7" max="16384" width="11.453125" style="12"/>
  </cols>
  <sheetData>
    <row r="1" spans="1:6" ht="52" x14ac:dyDescent="0.35">
      <c r="A1" s="15" t="s">
        <v>77</v>
      </c>
      <c r="B1" s="15" t="s">
        <v>78</v>
      </c>
      <c r="C1" s="15" t="s">
        <v>79</v>
      </c>
      <c r="D1" s="15" t="s">
        <v>80</v>
      </c>
      <c r="E1" s="15" t="s">
        <v>81</v>
      </c>
      <c r="F1" s="15" t="s">
        <v>82</v>
      </c>
    </row>
    <row r="2" spans="1:6" ht="33" x14ac:dyDescent="0.35">
      <c r="A2" s="38" t="s">
        <v>83</v>
      </c>
      <c r="B2" s="38" t="s">
        <v>84</v>
      </c>
      <c r="C2" s="38" t="s">
        <v>85</v>
      </c>
      <c r="D2" s="38" t="s">
        <v>86</v>
      </c>
      <c r="E2" s="38" t="s">
        <v>87</v>
      </c>
      <c r="F2" s="38" t="s">
        <v>88</v>
      </c>
    </row>
    <row r="3" spans="1:6" ht="49.5" x14ac:dyDescent="0.35">
      <c r="A3" s="17" t="s">
        <v>628</v>
      </c>
      <c r="B3" s="158" t="s">
        <v>635</v>
      </c>
      <c r="C3" s="161" t="s">
        <v>636</v>
      </c>
      <c r="D3" s="121" t="s">
        <v>637</v>
      </c>
      <c r="E3" s="156" t="s">
        <v>638</v>
      </c>
      <c r="F3" s="120" t="s">
        <v>639</v>
      </c>
    </row>
    <row r="4" spans="1:6" ht="33" x14ac:dyDescent="0.35">
      <c r="A4" s="21" t="s">
        <v>631</v>
      </c>
      <c r="B4" s="159"/>
      <c r="C4" s="162"/>
      <c r="D4" s="122" t="s">
        <v>640</v>
      </c>
      <c r="E4" s="132"/>
      <c r="F4" s="21" t="s">
        <v>641</v>
      </c>
    </row>
    <row r="5" spans="1:6" ht="33" x14ac:dyDescent="0.35">
      <c r="A5" s="21" t="s">
        <v>633</v>
      </c>
      <c r="B5" s="159"/>
      <c r="C5" s="162"/>
      <c r="D5" s="122" t="s">
        <v>642</v>
      </c>
      <c r="E5" s="132"/>
      <c r="F5" s="21" t="s">
        <v>643</v>
      </c>
    </row>
    <row r="6" spans="1:6" ht="50" thickBot="1" x14ac:dyDescent="0.4">
      <c r="A6" s="44" t="s">
        <v>630</v>
      </c>
      <c r="B6" s="160"/>
      <c r="C6" s="163"/>
      <c r="D6" s="122"/>
      <c r="E6" s="150"/>
      <c r="F6" s="20"/>
    </row>
    <row r="7" spans="1:6" ht="49.5" x14ac:dyDescent="0.35">
      <c r="A7" s="48" t="s">
        <v>628</v>
      </c>
      <c r="B7" s="155" t="s">
        <v>644</v>
      </c>
      <c r="C7" s="164" t="s">
        <v>645</v>
      </c>
      <c r="D7" s="124" t="s">
        <v>640</v>
      </c>
      <c r="E7" s="144" t="s">
        <v>646</v>
      </c>
      <c r="F7" s="117" t="s">
        <v>641</v>
      </c>
    </row>
    <row r="8" spans="1:6" ht="33" x14ac:dyDescent="0.35">
      <c r="A8" s="21" t="s">
        <v>631</v>
      </c>
      <c r="B8" s="132"/>
      <c r="C8" s="162"/>
      <c r="D8" s="122" t="s">
        <v>637</v>
      </c>
      <c r="E8" s="134"/>
      <c r="F8" s="20" t="s">
        <v>639</v>
      </c>
    </row>
    <row r="9" spans="1:6" ht="33" x14ac:dyDescent="0.35">
      <c r="A9" s="21" t="s">
        <v>633</v>
      </c>
      <c r="B9" s="132"/>
      <c r="C9" s="162"/>
      <c r="D9" s="122" t="s">
        <v>642</v>
      </c>
      <c r="E9" s="134"/>
      <c r="F9" s="20" t="s">
        <v>643</v>
      </c>
    </row>
    <row r="10" spans="1:6" ht="33" x14ac:dyDescent="0.35">
      <c r="A10" s="21" t="s">
        <v>629</v>
      </c>
      <c r="B10" s="132"/>
      <c r="C10" s="162"/>
      <c r="D10" s="122"/>
      <c r="E10" s="134"/>
      <c r="F10" s="21"/>
    </row>
    <row r="11" spans="1:6" ht="50" thickBot="1" x14ac:dyDescent="0.4">
      <c r="A11" s="44" t="s">
        <v>630</v>
      </c>
      <c r="B11" s="150"/>
      <c r="C11" s="163"/>
      <c r="D11" s="123"/>
      <c r="E11" s="157"/>
      <c r="F11" s="46"/>
    </row>
    <row r="12" spans="1:6" ht="49.5" x14ac:dyDescent="0.35">
      <c r="A12" s="48" t="s">
        <v>628</v>
      </c>
      <c r="B12" s="132" t="s">
        <v>647</v>
      </c>
      <c r="C12" s="164" t="s">
        <v>648</v>
      </c>
      <c r="D12" s="122" t="s">
        <v>649</v>
      </c>
      <c r="E12" s="144" t="s">
        <v>650</v>
      </c>
      <c r="F12" s="22" t="s">
        <v>641</v>
      </c>
    </row>
    <row r="13" spans="1:6" ht="33" x14ac:dyDescent="0.35">
      <c r="A13" s="21" t="s">
        <v>629</v>
      </c>
      <c r="B13" s="132"/>
      <c r="C13" s="162"/>
      <c r="D13" s="122" t="s">
        <v>651</v>
      </c>
      <c r="E13" s="134"/>
      <c r="F13" s="22" t="s">
        <v>639</v>
      </c>
    </row>
    <row r="14" spans="1:6" ht="49.5" x14ac:dyDescent="0.35">
      <c r="A14" s="21" t="s">
        <v>630</v>
      </c>
      <c r="B14" s="132"/>
      <c r="C14" s="162"/>
      <c r="D14" s="122" t="s">
        <v>642</v>
      </c>
      <c r="E14" s="134"/>
      <c r="F14" s="22" t="s">
        <v>643</v>
      </c>
    </row>
    <row r="15" spans="1:6" ht="33" x14ac:dyDescent="0.35">
      <c r="A15" s="21" t="s">
        <v>631</v>
      </c>
      <c r="B15" s="132"/>
      <c r="C15" s="162"/>
      <c r="D15" s="122"/>
      <c r="E15" s="134"/>
      <c r="F15" s="22"/>
    </row>
    <row r="16" spans="1:6" ht="33" x14ac:dyDescent="0.35">
      <c r="A16" s="21" t="s">
        <v>632</v>
      </c>
      <c r="B16" s="132"/>
      <c r="C16" s="162"/>
      <c r="D16" s="122"/>
      <c r="E16" s="134"/>
      <c r="F16" s="22"/>
    </row>
    <row r="17" spans="1:6" ht="33" x14ac:dyDescent="0.35">
      <c r="A17" s="21" t="s">
        <v>633</v>
      </c>
      <c r="B17" s="132"/>
      <c r="C17" s="162"/>
      <c r="D17" s="122"/>
      <c r="E17" s="134"/>
      <c r="F17" s="22"/>
    </row>
    <row r="18" spans="1:6" ht="33.5" thickBot="1" x14ac:dyDescent="0.4">
      <c r="A18" s="44" t="s">
        <v>634</v>
      </c>
      <c r="B18" s="132"/>
      <c r="C18" s="163"/>
      <c r="D18" s="122"/>
      <c r="E18" s="157"/>
      <c r="F18" s="22"/>
    </row>
    <row r="19" spans="1:6" ht="49.5" x14ac:dyDescent="0.35">
      <c r="A19" s="21" t="s">
        <v>628</v>
      </c>
      <c r="B19" s="155" t="s">
        <v>652</v>
      </c>
      <c r="C19" s="164" t="s">
        <v>653</v>
      </c>
      <c r="D19" s="124" t="s">
        <v>640</v>
      </c>
      <c r="E19" s="144" t="s">
        <v>654</v>
      </c>
      <c r="F19" s="117" t="s">
        <v>641</v>
      </c>
    </row>
    <row r="20" spans="1:6" ht="33" x14ac:dyDescent="0.35">
      <c r="A20" s="21" t="s">
        <v>629</v>
      </c>
      <c r="B20" s="132"/>
      <c r="C20" s="162"/>
      <c r="D20" s="122" t="s">
        <v>655</v>
      </c>
      <c r="E20" s="134"/>
      <c r="F20" s="20" t="s">
        <v>639</v>
      </c>
    </row>
    <row r="21" spans="1:6" ht="33" x14ac:dyDescent="0.35">
      <c r="A21" s="21" t="s">
        <v>631</v>
      </c>
      <c r="B21" s="132"/>
      <c r="C21" s="162"/>
      <c r="D21" s="22" t="s">
        <v>642</v>
      </c>
      <c r="E21" s="134"/>
      <c r="F21" s="20" t="s">
        <v>643</v>
      </c>
    </row>
    <row r="22" spans="1:6" ht="33.5" thickBot="1" x14ac:dyDescent="0.4">
      <c r="A22" s="44" t="s">
        <v>632</v>
      </c>
      <c r="B22" s="132"/>
      <c r="C22" s="162"/>
      <c r="D22" s="122"/>
      <c r="E22" s="157"/>
      <c r="F22" s="20"/>
    </row>
    <row r="23" spans="1:6" ht="49.5" x14ac:dyDescent="0.35">
      <c r="A23" s="21" t="s">
        <v>628</v>
      </c>
      <c r="B23" s="165" t="s">
        <v>656</v>
      </c>
      <c r="C23" s="151" t="s">
        <v>657</v>
      </c>
      <c r="D23" s="124" t="s">
        <v>640</v>
      </c>
      <c r="E23" s="144" t="s">
        <v>658</v>
      </c>
      <c r="F23" s="117" t="s">
        <v>641</v>
      </c>
    </row>
    <row r="24" spans="1:6" ht="33" x14ac:dyDescent="0.35">
      <c r="A24" s="21" t="s">
        <v>629</v>
      </c>
      <c r="B24" s="145"/>
      <c r="C24" s="136"/>
      <c r="D24" s="122" t="s">
        <v>637</v>
      </c>
      <c r="E24" s="140"/>
      <c r="F24" s="20" t="s">
        <v>639</v>
      </c>
    </row>
    <row r="25" spans="1:6" ht="33" x14ac:dyDescent="0.35">
      <c r="A25" s="21" t="s">
        <v>631</v>
      </c>
      <c r="B25" s="145"/>
      <c r="C25" s="136"/>
      <c r="D25" s="122" t="s">
        <v>642</v>
      </c>
      <c r="E25" s="140"/>
      <c r="F25" s="20" t="s">
        <v>643</v>
      </c>
    </row>
    <row r="26" spans="1:6" ht="33.5" thickBot="1" x14ac:dyDescent="0.4">
      <c r="A26" s="44" t="s">
        <v>632</v>
      </c>
      <c r="B26" s="146"/>
      <c r="C26" s="148"/>
      <c r="D26" s="123"/>
      <c r="E26" s="141"/>
      <c r="F26" s="46"/>
    </row>
    <row r="27" spans="1:6" ht="49.5" x14ac:dyDescent="0.35">
      <c r="A27" s="21" t="s">
        <v>628</v>
      </c>
      <c r="B27" s="155" t="s">
        <v>659</v>
      </c>
      <c r="C27" s="151" t="s">
        <v>660</v>
      </c>
      <c r="D27" s="122" t="s">
        <v>661</v>
      </c>
      <c r="E27" s="155" t="s">
        <v>662</v>
      </c>
      <c r="F27" s="20" t="s">
        <v>663</v>
      </c>
    </row>
    <row r="28" spans="1:6" ht="33" x14ac:dyDescent="0.35">
      <c r="A28" s="21" t="s">
        <v>629</v>
      </c>
      <c r="B28" s="132"/>
      <c r="C28" s="136"/>
      <c r="D28" s="122" t="s">
        <v>637</v>
      </c>
      <c r="E28" s="132"/>
      <c r="F28" s="20" t="s">
        <v>639</v>
      </c>
    </row>
    <row r="29" spans="1:6" ht="49.5" x14ac:dyDescent="0.35">
      <c r="A29" s="21" t="s">
        <v>630</v>
      </c>
      <c r="B29" s="132"/>
      <c r="C29" s="136"/>
      <c r="D29" s="122" t="s">
        <v>642</v>
      </c>
      <c r="E29" s="132"/>
      <c r="F29" s="20" t="s">
        <v>643</v>
      </c>
    </row>
    <row r="30" spans="1:6" ht="33" x14ac:dyDescent="0.35">
      <c r="A30" s="21" t="s">
        <v>631</v>
      </c>
      <c r="B30" s="132"/>
      <c r="C30" s="136"/>
      <c r="D30" s="22"/>
      <c r="E30" s="132"/>
      <c r="F30" s="22"/>
    </row>
    <row r="31" spans="1:6" ht="33.5" thickBot="1" x14ac:dyDescent="0.4">
      <c r="A31" s="44" t="s">
        <v>632</v>
      </c>
      <c r="B31" s="150"/>
      <c r="C31" s="148"/>
      <c r="D31" s="125"/>
      <c r="E31" s="154"/>
      <c r="F31" s="106"/>
    </row>
    <row r="32" spans="1:6" ht="49.5" x14ac:dyDescent="0.35">
      <c r="A32" s="21" t="s">
        <v>628</v>
      </c>
      <c r="B32" s="145" t="s">
        <v>664</v>
      </c>
      <c r="C32" s="136" t="s">
        <v>665</v>
      </c>
      <c r="D32" s="22" t="s">
        <v>640</v>
      </c>
      <c r="E32" s="149" t="s">
        <v>666</v>
      </c>
      <c r="F32" s="20" t="s">
        <v>663</v>
      </c>
    </row>
    <row r="33" spans="1:6" ht="49.5" x14ac:dyDescent="0.35">
      <c r="A33" s="21" t="s">
        <v>630</v>
      </c>
      <c r="B33" s="145"/>
      <c r="C33" s="136"/>
      <c r="D33" s="22" t="s">
        <v>637</v>
      </c>
      <c r="E33" s="132"/>
      <c r="F33" s="20" t="s">
        <v>639</v>
      </c>
    </row>
    <row r="34" spans="1:6" ht="33.5" thickBot="1" x14ac:dyDescent="0.4">
      <c r="A34" s="44" t="s">
        <v>631</v>
      </c>
      <c r="B34" s="152"/>
      <c r="C34" s="153"/>
      <c r="D34" s="125" t="s">
        <v>642</v>
      </c>
      <c r="E34" s="154"/>
      <c r="F34" s="106" t="s">
        <v>643</v>
      </c>
    </row>
    <row r="35" spans="1:6" ht="49.5" x14ac:dyDescent="0.35">
      <c r="A35" s="21" t="s">
        <v>628</v>
      </c>
      <c r="B35" s="145" t="s">
        <v>667</v>
      </c>
      <c r="C35" s="147" t="s">
        <v>668</v>
      </c>
      <c r="D35" s="22" t="s">
        <v>640</v>
      </c>
      <c r="E35" s="149" t="s">
        <v>669</v>
      </c>
      <c r="F35" s="20" t="s">
        <v>663</v>
      </c>
    </row>
    <row r="36" spans="1:6" ht="33" x14ac:dyDescent="0.35">
      <c r="A36" s="21" t="s">
        <v>629</v>
      </c>
      <c r="B36" s="145"/>
      <c r="C36" s="136"/>
      <c r="D36" s="22" t="s">
        <v>637</v>
      </c>
      <c r="E36" s="132"/>
      <c r="F36" s="20" t="s">
        <v>639</v>
      </c>
    </row>
    <row r="37" spans="1:6" ht="49.5" x14ac:dyDescent="0.35">
      <c r="A37" s="21" t="s">
        <v>630</v>
      </c>
      <c r="B37" s="145"/>
      <c r="C37" s="136"/>
      <c r="D37" s="22" t="s">
        <v>642</v>
      </c>
      <c r="E37" s="132"/>
      <c r="F37" s="20" t="s">
        <v>643</v>
      </c>
    </row>
    <row r="38" spans="1:6" ht="33" x14ac:dyDescent="0.35">
      <c r="A38" s="21" t="s">
        <v>631</v>
      </c>
      <c r="B38" s="145"/>
      <c r="C38" s="136"/>
      <c r="D38" s="22"/>
      <c r="E38" s="132"/>
      <c r="F38" s="20"/>
    </row>
    <row r="39" spans="1:6" ht="33" x14ac:dyDescent="0.35">
      <c r="A39" s="21" t="s">
        <v>632</v>
      </c>
      <c r="B39" s="145"/>
      <c r="C39" s="136"/>
      <c r="D39" s="22"/>
      <c r="E39" s="132"/>
      <c r="F39" s="20"/>
    </row>
    <row r="40" spans="1:6" ht="33" x14ac:dyDescent="0.35">
      <c r="A40" s="21" t="s">
        <v>633</v>
      </c>
      <c r="B40" s="145"/>
      <c r="C40" s="136"/>
      <c r="D40" s="22"/>
      <c r="E40" s="132"/>
      <c r="F40" s="20"/>
    </row>
    <row r="41" spans="1:6" ht="33.5" thickBot="1" x14ac:dyDescent="0.4">
      <c r="A41" s="44" t="s">
        <v>634</v>
      </c>
      <c r="B41" s="146"/>
      <c r="C41" s="148"/>
      <c r="D41" s="123"/>
      <c r="E41" s="150"/>
      <c r="F41" s="46"/>
    </row>
    <row r="42" spans="1:6" ht="49.5" x14ac:dyDescent="0.35">
      <c r="A42" s="21" t="s">
        <v>628</v>
      </c>
      <c r="B42" s="139" t="s">
        <v>670</v>
      </c>
      <c r="C42" s="142" t="s">
        <v>671</v>
      </c>
      <c r="D42" s="22" t="s">
        <v>640</v>
      </c>
      <c r="E42" s="144" t="s">
        <v>672</v>
      </c>
      <c r="F42" s="20" t="s">
        <v>663</v>
      </c>
    </row>
    <row r="43" spans="1:6" ht="33" x14ac:dyDescent="0.35">
      <c r="A43" s="21" t="s">
        <v>629</v>
      </c>
      <c r="B43" s="140"/>
      <c r="C43" s="135"/>
      <c r="D43" s="22" t="s">
        <v>637</v>
      </c>
      <c r="E43" s="140"/>
      <c r="F43" s="20" t="s">
        <v>639</v>
      </c>
    </row>
    <row r="44" spans="1:6" ht="33" x14ac:dyDescent="0.35">
      <c r="A44" s="21" t="s">
        <v>631</v>
      </c>
      <c r="B44" s="140"/>
      <c r="C44" s="135"/>
      <c r="D44" s="122" t="s">
        <v>642</v>
      </c>
      <c r="E44" s="140"/>
      <c r="F44" s="20" t="s">
        <v>643</v>
      </c>
    </row>
    <row r="45" spans="1:6" ht="33" x14ac:dyDescent="0.35">
      <c r="A45" s="21" t="s">
        <v>632</v>
      </c>
      <c r="B45" s="140"/>
      <c r="C45" s="135"/>
      <c r="D45" s="122"/>
      <c r="E45" s="140"/>
      <c r="F45" s="20"/>
    </row>
    <row r="46" spans="1:6" ht="33" x14ac:dyDescent="0.35">
      <c r="A46" s="21" t="s">
        <v>633</v>
      </c>
      <c r="B46" s="140"/>
      <c r="C46" s="135"/>
      <c r="D46" s="122"/>
      <c r="E46" s="140"/>
      <c r="F46" s="20"/>
    </row>
    <row r="47" spans="1:6" ht="33.5" thickBot="1" x14ac:dyDescent="0.4">
      <c r="A47" s="44" t="s">
        <v>634</v>
      </c>
      <c r="B47" s="141"/>
      <c r="C47" s="143"/>
      <c r="D47" s="126"/>
      <c r="E47" s="141"/>
      <c r="F47" s="126"/>
    </row>
    <row r="48" spans="1:6" ht="49.5" x14ac:dyDescent="0.35">
      <c r="A48" s="21" t="s">
        <v>628</v>
      </c>
      <c r="B48" s="139" t="s">
        <v>673</v>
      </c>
      <c r="C48" s="142" t="s">
        <v>674</v>
      </c>
      <c r="D48" s="22" t="s">
        <v>640</v>
      </c>
      <c r="E48" s="144" t="s">
        <v>675</v>
      </c>
      <c r="F48" s="20" t="s">
        <v>663</v>
      </c>
    </row>
    <row r="49" spans="1:6" ht="33" x14ac:dyDescent="0.35">
      <c r="A49" s="21" t="s">
        <v>629</v>
      </c>
      <c r="B49" s="140"/>
      <c r="C49" s="135"/>
      <c r="D49" s="22" t="s">
        <v>637</v>
      </c>
      <c r="E49" s="140"/>
      <c r="F49" s="20" t="s">
        <v>639</v>
      </c>
    </row>
    <row r="50" spans="1:6" ht="33" x14ac:dyDescent="0.35">
      <c r="A50" s="21" t="s">
        <v>631</v>
      </c>
      <c r="B50" s="140"/>
      <c r="C50" s="135"/>
      <c r="D50" s="22" t="s">
        <v>642</v>
      </c>
      <c r="E50" s="140"/>
      <c r="F50" s="20" t="s">
        <v>643</v>
      </c>
    </row>
    <row r="51" spans="1:6" ht="33" x14ac:dyDescent="0.35">
      <c r="A51" s="21" t="s">
        <v>632</v>
      </c>
      <c r="B51" s="140"/>
      <c r="C51" s="135"/>
      <c r="D51" s="22"/>
      <c r="E51" s="140"/>
      <c r="F51" s="20"/>
    </row>
    <row r="52" spans="1:6" ht="50" thickBot="1" x14ac:dyDescent="0.4">
      <c r="A52" s="44" t="s">
        <v>630</v>
      </c>
      <c r="B52" s="141"/>
      <c r="C52" s="143"/>
      <c r="D52" s="123"/>
      <c r="E52" s="141"/>
      <c r="F52" s="46"/>
    </row>
  </sheetData>
  <mergeCells count="30">
    <mergeCell ref="B12:B18"/>
    <mergeCell ref="C12:C18"/>
    <mergeCell ref="E12:E18"/>
    <mergeCell ref="B19:B22"/>
    <mergeCell ref="C19:C22"/>
    <mergeCell ref="E19:E22"/>
    <mergeCell ref="E3:E6"/>
    <mergeCell ref="E7:E11"/>
    <mergeCell ref="B3:B6"/>
    <mergeCell ref="C3:C6"/>
    <mergeCell ref="B7:B11"/>
    <mergeCell ref="C7:C11"/>
    <mergeCell ref="C23:C26"/>
    <mergeCell ref="E23:E26"/>
    <mergeCell ref="B32:B34"/>
    <mergeCell ref="C32:C34"/>
    <mergeCell ref="E32:E34"/>
    <mergeCell ref="B27:B31"/>
    <mergeCell ref="C27:C31"/>
    <mergeCell ref="E27:E31"/>
    <mergeCell ref="B23:B26"/>
    <mergeCell ref="B48:B52"/>
    <mergeCell ref="C48:C52"/>
    <mergeCell ref="E48:E52"/>
    <mergeCell ref="B35:B41"/>
    <mergeCell ref="C35:C41"/>
    <mergeCell ref="E35:E41"/>
    <mergeCell ref="B42:B47"/>
    <mergeCell ref="C42:C47"/>
    <mergeCell ref="E42:E47"/>
  </mergeCells>
  <dataValidations count="1">
    <dataValidation type="list" allowBlank="1" showInputMessage="1" showErrorMessage="1" sqref="A3:A52"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R216"/>
  <sheetViews>
    <sheetView tabSelected="1" zoomScale="60" zoomScaleNormal="60" workbookViewId="0">
      <pane ySplit="1" topLeftCell="A32" activePane="bottomLeft" state="frozen"/>
      <selection activeCell="B1" sqref="B1"/>
      <selection pane="bottomLeft" activeCell="D3" sqref="D3"/>
    </sheetView>
  </sheetViews>
  <sheetFormatPr baseColWidth="10" defaultColWidth="58.7265625" defaultRowHeight="16" x14ac:dyDescent="0.35"/>
  <cols>
    <col min="1" max="1" width="14.453125" style="65" customWidth="1"/>
    <col min="2" max="2" width="73.453125" style="57" customWidth="1"/>
    <col min="3" max="3" width="14.26953125" style="51" customWidth="1"/>
    <col min="4" max="4" width="28.36328125" style="52" customWidth="1"/>
    <col min="5" max="5" width="75.36328125" style="65" customWidth="1"/>
    <col min="6" max="6" width="18.81640625" style="51" customWidth="1"/>
    <col min="7" max="7" width="15.453125" style="51" customWidth="1"/>
    <col min="8" max="8" width="14.26953125" style="51" customWidth="1"/>
    <col min="9" max="9" width="17.1796875" style="51" customWidth="1"/>
    <col min="10" max="10" width="14.26953125" style="51" customWidth="1"/>
    <col min="11" max="13" width="16.7265625" style="51" customWidth="1"/>
    <col min="14" max="14" width="36" style="65" customWidth="1"/>
    <col min="15" max="15" width="40.453125" style="65" customWidth="1"/>
    <col min="16" max="16" width="45.81640625" style="65" customWidth="1"/>
    <col min="17" max="18" width="58.7265625" style="65"/>
    <col min="19" max="16384" width="58.7265625" style="51"/>
  </cols>
  <sheetData>
    <row r="1" spans="1:18" s="12" customFormat="1" ht="78" x14ac:dyDescent="0.35">
      <c r="A1" s="18" t="s">
        <v>89</v>
      </c>
      <c r="B1" s="18" t="s">
        <v>90</v>
      </c>
      <c r="C1" s="18" t="s">
        <v>91</v>
      </c>
      <c r="D1" s="18" t="s">
        <v>92</v>
      </c>
      <c r="E1" s="18" t="s">
        <v>93</v>
      </c>
      <c r="F1" s="18" t="s">
        <v>94</v>
      </c>
      <c r="G1" s="166" t="s">
        <v>95</v>
      </c>
      <c r="H1" s="166"/>
      <c r="I1" s="166"/>
      <c r="J1" s="18" t="s">
        <v>96</v>
      </c>
      <c r="K1" s="18" t="s">
        <v>97</v>
      </c>
      <c r="L1" s="18" t="s">
        <v>98</v>
      </c>
      <c r="M1" s="18" t="s">
        <v>99</v>
      </c>
      <c r="N1" s="18" t="s">
        <v>100</v>
      </c>
      <c r="O1" s="18" t="s">
        <v>101</v>
      </c>
      <c r="P1" s="18" t="s">
        <v>102</v>
      </c>
      <c r="Q1" s="18" t="s">
        <v>103</v>
      </c>
      <c r="R1" s="24"/>
    </row>
    <row r="2" spans="1:18" s="12" customFormat="1" ht="50" thickBot="1" x14ac:dyDescent="0.4">
      <c r="A2" s="129" t="s">
        <v>104</v>
      </c>
      <c r="B2" s="40" t="s">
        <v>83</v>
      </c>
      <c r="C2" s="40" t="s">
        <v>105</v>
      </c>
      <c r="D2" s="40" t="s">
        <v>106</v>
      </c>
      <c r="E2" s="40" t="s">
        <v>107</v>
      </c>
      <c r="F2" s="40" t="s">
        <v>108</v>
      </c>
      <c r="G2" s="40" t="s">
        <v>109</v>
      </c>
      <c r="H2" s="40" t="s">
        <v>110</v>
      </c>
      <c r="I2" s="40" t="s">
        <v>111</v>
      </c>
      <c r="J2" s="40" t="s">
        <v>112</v>
      </c>
      <c r="K2" s="40" t="s">
        <v>113</v>
      </c>
      <c r="L2" s="40" t="s">
        <v>114</v>
      </c>
      <c r="M2" s="40" t="s">
        <v>115</v>
      </c>
      <c r="N2" s="40" t="s">
        <v>116</v>
      </c>
      <c r="O2" s="40" t="s">
        <v>117</v>
      </c>
      <c r="P2" s="40" t="s">
        <v>118</v>
      </c>
      <c r="Q2" s="66" t="s">
        <v>119</v>
      </c>
      <c r="R2" s="24"/>
    </row>
    <row r="3" spans="1:18" s="50" customFormat="1" ht="409.6" thickBot="1" x14ac:dyDescent="0.4">
      <c r="A3" s="107" t="str">
        <f>_xlfn.XLOOKUP(B3,'Paso 3 Redacción RA '!I$3:I$15,'Paso 3 Redacción RA '!C$3:C$15,,0,1)</f>
        <v>Saber</v>
      </c>
      <c r="B3" s="94" t="s">
        <v>76</v>
      </c>
      <c r="C3" s="74">
        <v>1</v>
      </c>
      <c r="D3" s="75" t="s">
        <v>127</v>
      </c>
      <c r="E3" s="73" t="s">
        <v>780</v>
      </c>
      <c r="F3" s="74" t="s">
        <v>120</v>
      </c>
      <c r="G3" s="74" t="s">
        <v>121</v>
      </c>
      <c r="H3" s="74"/>
      <c r="I3" s="74"/>
      <c r="J3" s="74">
        <v>3</v>
      </c>
      <c r="K3" s="74">
        <f>12*J3</f>
        <v>36</v>
      </c>
      <c r="L3" s="74">
        <f>36*J3</f>
        <v>108</v>
      </c>
      <c r="M3" s="74">
        <f>SUM(K3:L3)</f>
        <v>144</v>
      </c>
      <c r="N3" s="77" t="s">
        <v>128</v>
      </c>
      <c r="O3" s="94" t="s">
        <v>125</v>
      </c>
      <c r="P3" s="99" t="s">
        <v>129</v>
      </c>
      <c r="Q3" s="73" t="s">
        <v>130</v>
      </c>
      <c r="R3" s="24"/>
    </row>
    <row r="4" spans="1:18" s="50" customFormat="1" ht="409.6" thickBot="1" x14ac:dyDescent="0.4">
      <c r="A4" s="107" t="str">
        <f>_xlfn.XLOOKUP(B4,'Paso 3 Redacción RA '!I$3:I$15,'Paso 3 Redacción RA '!C$3:C$15,,0,1)</f>
        <v>Saber</v>
      </c>
      <c r="B4" s="94" t="s">
        <v>76</v>
      </c>
      <c r="C4" s="113">
        <v>1</v>
      </c>
      <c r="D4" s="114" t="s">
        <v>123</v>
      </c>
      <c r="E4" s="99" t="s">
        <v>599</v>
      </c>
      <c r="F4" s="114" t="s">
        <v>120</v>
      </c>
      <c r="G4" s="113" t="s">
        <v>121</v>
      </c>
      <c r="H4" s="113"/>
      <c r="I4" s="113"/>
      <c r="J4" s="113">
        <v>3</v>
      </c>
      <c r="K4" s="113">
        <f>12*J4</f>
        <v>36</v>
      </c>
      <c r="L4" s="113">
        <f>36*J4</f>
        <v>108</v>
      </c>
      <c r="M4" s="113">
        <f>SUM(K4:L4)</f>
        <v>144</v>
      </c>
      <c r="N4" s="94" t="s">
        <v>124</v>
      </c>
      <c r="O4" s="94" t="s">
        <v>125</v>
      </c>
      <c r="P4" s="94" t="s">
        <v>602</v>
      </c>
      <c r="Q4" s="94" t="s">
        <v>122</v>
      </c>
      <c r="R4" s="24"/>
    </row>
    <row r="5" spans="1:18" s="50" customFormat="1" ht="32.5" customHeight="1" x14ac:dyDescent="0.35">
      <c r="A5" s="24" t="str">
        <f>_xlfn.XLOOKUP(B5,'Paso 3 Redacción RA '!I$3:I$15,'Paso 3 Redacción RA '!C$3:C$15,,0,1)</f>
        <v>Saber</v>
      </c>
      <c r="B5" s="16" t="s">
        <v>628</v>
      </c>
      <c r="C5" s="165">
        <v>1</v>
      </c>
      <c r="D5" s="155" t="s">
        <v>676</v>
      </c>
      <c r="E5" s="151" t="s">
        <v>677</v>
      </c>
      <c r="F5" s="155" t="s">
        <v>120</v>
      </c>
      <c r="G5" s="155"/>
      <c r="H5" s="155" t="s">
        <v>121</v>
      </c>
      <c r="I5" s="155"/>
      <c r="J5" s="155">
        <v>3</v>
      </c>
      <c r="K5" s="144">
        <f>12*J5</f>
        <v>36</v>
      </c>
      <c r="L5" s="144">
        <f>36*J5</f>
        <v>108</v>
      </c>
      <c r="M5" s="144">
        <f>SUM(K5:L5)</f>
        <v>144</v>
      </c>
      <c r="N5" s="167" t="s">
        <v>680</v>
      </c>
      <c r="O5" s="167" t="s">
        <v>679</v>
      </c>
      <c r="P5" s="167" t="s">
        <v>783</v>
      </c>
      <c r="Q5" s="168" t="s">
        <v>122</v>
      </c>
      <c r="R5" s="24"/>
    </row>
    <row r="6" spans="1:18" s="50" customFormat="1" ht="49.5" x14ac:dyDescent="0.35">
      <c r="A6" s="24" t="str">
        <f>_xlfn.XLOOKUP(B6,'Paso 3 Redacción RA '!I$3:I$15,'Paso 3 Redacción RA '!C$3:C$15,,0,1)</f>
        <v>Saberhacer</v>
      </c>
      <c r="B6" s="16" t="s">
        <v>629</v>
      </c>
      <c r="C6" s="145"/>
      <c r="D6" s="132"/>
      <c r="E6" s="136"/>
      <c r="F6" s="132"/>
      <c r="G6" s="132"/>
      <c r="H6" s="132"/>
      <c r="I6" s="132"/>
      <c r="J6" s="132"/>
      <c r="K6" s="134"/>
      <c r="L6" s="134"/>
      <c r="M6" s="134"/>
      <c r="N6" s="168"/>
      <c r="O6" s="168"/>
      <c r="P6" s="168"/>
      <c r="Q6" s="168"/>
      <c r="R6" s="24"/>
    </row>
    <row r="7" spans="1:18" s="50" customFormat="1" ht="49.5" x14ac:dyDescent="0.35">
      <c r="A7" s="24" t="str">
        <f>_xlfn.XLOOKUP(B7,'Paso 3 Redacción RA '!I$3:I$15,'Paso 3 Redacción RA '!C$3:C$15,,0,1)</f>
        <v>Saber</v>
      </c>
      <c r="B7" s="16" t="s">
        <v>631</v>
      </c>
      <c r="C7" s="145"/>
      <c r="D7" s="132"/>
      <c r="E7" s="136"/>
      <c r="F7" s="132"/>
      <c r="G7" s="132"/>
      <c r="H7" s="132"/>
      <c r="I7" s="132"/>
      <c r="J7" s="132"/>
      <c r="K7" s="134"/>
      <c r="L7" s="134"/>
      <c r="M7" s="134"/>
      <c r="N7" s="168"/>
      <c r="O7" s="168"/>
      <c r="P7" s="168"/>
      <c r="Q7" s="168"/>
      <c r="R7" s="24"/>
    </row>
    <row r="8" spans="1:18" s="50" customFormat="1" ht="50" thickBot="1" x14ac:dyDescent="0.4">
      <c r="A8" s="97" t="str">
        <f>_xlfn.XLOOKUP(B8,'Paso 3 Redacción RA '!I$3:I$15,'Paso 3 Redacción RA '!C$3:C$15,,0,1)</f>
        <v>Saberhacer</v>
      </c>
      <c r="B8" s="27" t="s">
        <v>632</v>
      </c>
      <c r="C8" s="146"/>
      <c r="D8" s="150"/>
      <c r="E8" s="148"/>
      <c r="F8" s="150"/>
      <c r="G8" s="150"/>
      <c r="H8" s="150"/>
      <c r="I8" s="150"/>
      <c r="J8" s="150"/>
      <c r="K8" s="157"/>
      <c r="L8" s="157"/>
      <c r="M8" s="157"/>
      <c r="N8" s="169"/>
      <c r="O8" s="169"/>
      <c r="P8" s="169"/>
      <c r="Q8" s="169"/>
      <c r="R8" s="24"/>
    </row>
    <row r="9" spans="1:18" s="50" customFormat="1" ht="49" customHeight="1" x14ac:dyDescent="0.35">
      <c r="A9" s="24" t="str">
        <f>_xlfn.XLOOKUP(B9,'Paso 3 Redacción RA '!I$3:I$15,'Paso 3 Redacción RA '!C$3:C$15,,0,1)</f>
        <v>Saberser</v>
      </c>
      <c r="B9" s="16" t="s">
        <v>630</v>
      </c>
      <c r="C9" s="165">
        <v>1</v>
      </c>
      <c r="D9" s="155" t="s">
        <v>681</v>
      </c>
      <c r="E9" s="151" t="s">
        <v>682</v>
      </c>
      <c r="F9" s="144" t="s">
        <v>781</v>
      </c>
      <c r="G9" s="144"/>
      <c r="H9" s="144" t="s">
        <v>121</v>
      </c>
      <c r="I9" s="144"/>
      <c r="J9" s="144">
        <v>3</v>
      </c>
      <c r="K9" s="144">
        <f>12*J9</f>
        <v>36</v>
      </c>
      <c r="L9" s="144">
        <f>36*J9</f>
        <v>108</v>
      </c>
      <c r="M9" s="144">
        <f>SUM(K9:L9)</f>
        <v>144</v>
      </c>
      <c r="N9" s="142" t="s">
        <v>747</v>
      </c>
      <c r="O9" s="142" t="s">
        <v>679</v>
      </c>
      <c r="P9" s="142" t="s">
        <v>784</v>
      </c>
      <c r="Q9" s="142" t="s">
        <v>122</v>
      </c>
      <c r="R9" s="24"/>
    </row>
    <row r="10" spans="1:18" s="50" customFormat="1" ht="49.5" x14ac:dyDescent="0.35">
      <c r="A10" s="24" t="str">
        <f>_xlfn.XLOOKUP(B10,'Paso 3 Redacción RA '!I$3:I$15,'Paso 3 Redacción RA '!C$3:C$15,,0,1)</f>
        <v>Saber</v>
      </c>
      <c r="B10" s="16" t="s">
        <v>631</v>
      </c>
      <c r="C10" s="145"/>
      <c r="D10" s="132"/>
      <c r="E10" s="136"/>
      <c r="F10" s="134"/>
      <c r="G10" s="134"/>
      <c r="H10" s="134"/>
      <c r="I10" s="134"/>
      <c r="J10" s="134"/>
      <c r="K10" s="134"/>
      <c r="L10" s="134"/>
      <c r="M10" s="134"/>
      <c r="N10" s="135"/>
      <c r="O10" s="135"/>
      <c r="P10" s="135"/>
      <c r="Q10" s="135"/>
      <c r="R10" s="24"/>
    </row>
    <row r="11" spans="1:18" s="50" customFormat="1" ht="49.5" x14ac:dyDescent="0.35">
      <c r="A11" s="24" t="str">
        <f>_xlfn.XLOOKUP(B11,'Paso 3 Redacción RA '!I$3:I$15,'Paso 3 Redacción RA '!C$3:C$15,,0,1)</f>
        <v>Saberhacer</v>
      </c>
      <c r="B11" s="16" t="s">
        <v>632</v>
      </c>
      <c r="C11" s="145"/>
      <c r="D11" s="132"/>
      <c r="E11" s="136"/>
      <c r="F11" s="134"/>
      <c r="G11" s="134"/>
      <c r="H11" s="134"/>
      <c r="I11" s="134"/>
      <c r="J11" s="134"/>
      <c r="K11" s="134"/>
      <c r="L11" s="134"/>
      <c r="M11" s="134"/>
      <c r="N11" s="135"/>
      <c r="O11" s="135"/>
      <c r="P11" s="135"/>
      <c r="Q11" s="135"/>
      <c r="R11" s="24"/>
    </row>
    <row r="12" spans="1:18" s="50" customFormat="1" ht="50" thickBot="1" x14ac:dyDescent="0.4">
      <c r="A12" s="97" t="str">
        <f>_xlfn.XLOOKUP(B12,'Paso 3 Redacción RA '!I$3:I$15,'Paso 3 Redacción RA '!C$3:C$15,,0,1)</f>
        <v>Saber</v>
      </c>
      <c r="B12" s="27" t="s">
        <v>633</v>
      </c>
      <c r="C12" s="146"/>
      <c r="D12" s="150"/>
      <c r="E12" s="148"/>
      <c r="F12" s="157"/>
      <c r="G12" s="157"/>
      <c r="H12" s="157"/>
      <c r="I12" s="157"/>
      <c r="J12" s="157"/>
      <c r="K12" s="157"/>
      <c r="L12" s="157"/>
      <c r="M12" s="157"/>
      <c r="N12" s="143"/>
      <c r="O12" s="143"/>
      <c r="P12" s="143"/>
      <c r="Q12" s="143"/>
      <c r="R12" s="24"/>
    </row>
    <row r="13" spans="1:18" s="50" customFormat="1" ht="49.5" x14ac:dyDescent="0.35">
      <c r="A13" s="24" t="str">
        <f>_xlfn.XLOOKUP(B13,'Paso 3 Redacción RA '!I$3:I$15,'Paso 3 Redacción RA '!C$3:C$15,,0,1)</f>
        <v>Saber</v>
      </c>
      <c r="B13" s="16" t="s">
        <v>628</v>
      </c>
      <c r="C13" s="155">
        <v>1</v>
      </c>
      <c r="D13" s="155" t="s">
        <v>683</v>
      </c>
      <c r="E13" s="151" t="s">
        <v>684</v>
      </c>
      <c r="F13" s="139" t="s">
        <v>120</v>
      </c>
      <c r="G13" s="139"/>
      <c r="H13" s="139" t="s">
        <v>121</v>
      </c>
      <c r="I13" s="139"/>
      <c r="J13" s="139">
        <v>3</v>
      </c>
      <c r="K13" s="139">
        <f>12*J13</f>
        <v>36</v>
      </c>
      <c r="L13" s="139">
        <f>36*J13</f>
        <v>108</v>
      </c>
      <c r="M13" s="139">
        <f>SUM(K13:L13)</f>
        <v>144</v>
      </c>
      <c r="N13" s="170" t="s">
        <v>678</v>
      </c>
      <c r="O13" s="170" t="s">
        <v>679</v>
      </c>
      <c r="P13" s="170" t="s">
        <v>783</v>
      </c>
      <c r="Q13" s="170" t="s">
        <v>122</v>
      </c>
      <c r="R13" s="24"/>
    </row>
    <row r="14" spans="1:18" s="50" customFormat="1" ht="49.5" x14ac:dyDescent="0.35">
      <c r="A14" s="24" t="str">
        <f>_xlfn.XLOOKUP(B14,'Paso 3 Redacción RA '!I$3:I$15,'Paso 3 Redacción RA '!C$3:C$15,,0,1)</f>
        <v>Saberser</v>
      </c>
      <c r="B14" s="16" t="s">
        <v>630</v>
      </c>
      <c r="C14" s="132"/>
      <c r="D14" s="132"/>
      <c r="E14" s="136"/>
      <c r="F14" s="140"/>
      <c r="G14" s="140"/>
      <c r="H14" s="140"/>
      <c r="I14" s="140"/>
      <c r="J14" s="140"/>
      <c r="K14" s="140"/>
      <c r="L14" s="140"/>
      <c r="M14" s="140"/>
      <c r="N14" s="171"/>
      <c r="O14" s="171"/>
      <c r="P14" s="171"/>
      <c r="Q14" s="171"/>
      <c r="R14" s="24"/>
    </row>
    <row r="15" spans="1:18" s="50" customFormat="1" ht="49.5" x14ac:dyDescent="0.35">
      <c r="A15" s="24" t="str">
        <f>_xlfn.XLOOKUP(B15,'Paso 3 Redacción RA '!I$3:I$15,'Paso 3 Redacción RA '!C$3:C$15,,0,1)</f>
        <v>Saber</v>
      </c>
      <c r="B15" s="16" t="s">
        <v>631</v>
      </c>
      <c r="C15" s="132"/>
      <c r="D15" s="132"/>
      <c r="E15" s="136"/>
      <c r="F15" s="140"/>
      <c r="G15" s="140"/>
      <c r="H15" s="140"/>
      <c r="I15" s="140"/>
      <c r="J15" s="140"/>
      <c r="K15" s="140"/>
      <c r="L15" s="140"/>
      <c r="M15" s="140"/>
      <c r="N15" s="171"/>
      <c r="O15" s="171"/>
      <c r="P15" s="171"/>
      <c r="Q15" s="171"/>
      <c r="R15" s="24"/>
    </row>
    <row r="16" spans="1:18" s="50" customFormat="1" ht="50" thickBot="1" x14ac:dyDescent="0.4">
      <c r="A16" s="97" t="str">
        <f>_xlfn.XLOOKUP(B16,'Paso 3 Redacción RA '!I$3:I$15,'Paso 3 Redacción RA '!C$3:C$15,,0,1)</f>
        <v>Saber</v>
      </c>
      <c r="B16" s="27" t="s">
        <v>633</v>
      </c>
      <c r="C16" s="150"/>
      <c r="D16" s="150"/>
      <c r="E16" s="148"/>
      <c r="F16" s="141"/>
      <c r="G16" s="141"/>
      <c r="H16" s="141"/>
      <c r="I16" s="141"/>
      <c r="J16" s="141"/>
      <c r="K16" s="141"/>
      <c r="L16" s="141"/>
      <c r="M16" s="141"/>
      <c r="N16" s="172"/>
      <c r="O16" s="172"/>
      <c r="P16" s="172"/>
      <c r="Q16" s="172"/>
      <c r="R16" s="24">
        <f>SUM(J3:J16)</f>
        <v>15</v>
      </c>
    </row>
    <row r="17" spans="1:18" s="50" customFormat="1" ht="409.6" thickBot="1" x14ac:dyDescent="0.4">
      <c r="A17" s="107" t="str">
        <f>_xlfn.XLOOKUP(B17,'Paso 3 Redacción RA '!I$3:I$15,'Paso 3 Redacción RA '!C$3:C$15,,0,1)</f>
        <v>Saber</v>
      </c>
      <c r="B17" s="94" t="s">
        <v>76</v>
      </c>
      <c r="C17" s="74">
        <v>2</v>
      </c>
      <c r="D17" s="75" t="s">
        <v>131</v>
      </c>
      <c r="E17" s="73" t="s">
        <v>132</v>
      </c>
      <c r="F17" s="74" t="s">
        <v>120</v>
      </c>
      <c r="G17" s="75" t="s">
        <v>121</v>
      </c>
      <c r="H17" s="75"/>
      <c r="I17" s="75"/>
      <c r="J17" s="74">
        <v>3</v>
      </c>
      <c r="K17" s="74">
        <f>12*J17</f>
        <v>36</v>
      </c>
      <c r="L17" s="74">
        <f>36*J17</f>
        <v>108</v>
      </c>
      <c r="M17" s="74">
        <f>SUM(K17:L17)</f>
        <v>144</v>
      </c>
      <c r="N17" s="76" t="s">
        <v>133</v>
      </c>
      <c r="O17" s="99" t="s">
        <v>125</v>
      </c>
      <c r="P17" s="99" t="s">
        <v>126</v>
      </c>
      <c r="Q17" s="73" t="s">
        <v>122</v>
      </c>
      <c r="R17" s="24"/>
    </row>
    <row r="18" spans="1:18" s="50" customFormat="1" ht="32.5" customHeight="1" x14ac:dyDescent="0.35">
      <c r="A18" s="24" t="str">
        <f>_xlfn.XLOOKUP(B18,'Paso 3 Redacción RA '!I$3:I$15,'Paso 3 Redacción RA '!C$3:C$15,,0,1)</f>
        <v>Saber</v>
      </c>
      <c r="B18" s="16" t="s">
        <v>628</v>
      </c>
      <c r="C18" s="155">
        <v>2</v>
      </c>
      <c r="D18" s="155" t="s">
        <v>685</v>
      </c>
      <c r="E18" s="151" t="s">
        <v>686</v>
      </c>
      <c r="F18" s="144" t="s">
        <v>120</v>
      </c>
      <c r="G18" s="144"/>
      <c r="H18" s="144" t="s">
        <v>121</v>
      </c>
      <c r="I18" s="144"/>
      <c r="J18" s="144">
        <v>3</v>
      </c>
      <c r="K18" s="144">
        <f>12*J18</f>
        <v>36</v>
      </c>
      <c r="L18" s="144">
        <f>36*J18</f>
        <v>108</v>
      </c>
      <c r="M18" s="144">
        <f>SUM(K18:L18)</f>
        <v>144</v>
      </c>
      <c r="N18" s="170" t="s">
        <v>748</v>
      </c>
      <c r="O18" s="170" t="s">
        <v>125</v>
      </c>
      <c r="P18" s="170" t="s">
        <v>783</v>
      </c>
      <c r="Q18" s="170" t="s">
        <v>122</v>
      </c>
      <c r="R18" s="24"/>
    </row>
    <row r="19" spans="1:18" s="50" customFormat="1" ht="49.5" x14ac:dyDescent="0.35">
      <c r="A19" s="24" t="str">
        <f>_xlfn.XLOOKUP(B19,'Paso 3 Redacción RA '!I$3:I$15,'Paso 3 Redacción RA '!C$3:C$15,,0,1)</f>
        <v>Saberhacer</v>
      </c>
      <c r="B19" s="16" t="s">
        <v>629</v>
      </c>
      <c r="C19" s="132"/>
      <c r="D19" s="132"/>
      <c r="E19" s="136"/>
      <c r="F19" s="134"/>
      <c r="G19" s="134"/>
      <c r="H19" s="134"/>
      <c r="I19" s="134"/>
      <c r="J19" s="134"/>
      <c r="K19" s="134"/>
      <c r="L19" s="134"/>
      <c r="M19" s="134"/>
      <c r="N19" s="171"/>
      <c r="O19" s="171"/>
      <c r="P19" s="171"/>
      <c r="Q19" s="171"/>
      <c r="R19" s="24"/>
    </row>
    <row r="20" spans="1:18" s="50" customFormat="1" ht="49.5" x14ac:dyDescent="0.35">
      <c r="A20" s="24" t="str">
        <f>_xlfn.XLOOKUP(B20,'Paso 3 Redacción RA '!I$3:I$15,'Paso 3 Redacción RA '!C$3:C$15,,0,1)</f>
        <v>Saber</v>
      </c>
      <c r="B20" s="16" t="s">
        <v>631</v>
      </c>
      <c r="C20" s="132"/>
      <c r="D20" s="132"/>
      <c r="E20" s="136"/>
      <c r="F20" s="134"/>
      <c r="G20" s="134"/>
      <c r="H20" s="134"/>
      <c r="I20" s="134"/>
      <c r="J20" s="134"/>
      <c r="K20" s="134"/>
      <c r="L20" s="134"/>
      <c r="M20" s="134"/>
      <c r="N20" s="171"/>
      <c r="O20" s="171"/>
      <c r="P20" s="171"/>
      <c r="Q20" s="171"/>
      <c r="R20" s="24"/>
    </row>
    <row r="21" spans="1:18" s="50" customFormat="1" ht="49.5" x14ac:dyDescent="0.35">
      <c r="A21" s="24" t="str">
        <f>_xlfn.XLOOKUP(B21,'Paso 3 Redacción RA '!I$3:I$15,'Paso 3 Redacción RA '!C$3:C$15,,0,1)</f>
        <v>Saber</v>
      </c>
      <c r="B21" s="16" t="s">
        <v>633</v>
      </c>
      <c r="C21" s="132"/>
      <c r="D21" s="132"/>
      <c r="E21" s="136"/>
      <c r="F21" s="134"/>
      <c r="G21" s="134"/>
      <c r="H21" s="134"/>
      <c r="I21" s="134"/>
      <c r="J21" s="134"/>
      <c r="K21" s="134"/>
      <c r="L21" s="134"/>
      <c r="M21" s="134"/>
      <c r="N21" s="171"/>
      <c r="O21" s="171"/>
      <c r="P21" s="171"/>
      <c r="Q21" s="171"/>
      <c r="R21" s="24"/>
    </row>
    <row r="22" spans="1:18" s="50" customFormat="1" ht="50" thickBot="1" x14ac:dyDescent="0.4">
      <c r="A22" s="97" t="str">
        <f>_xlfn.XLOOKUP(B22,'Paso 3 Redacción RA '!I$3:I$15,'Paso 3 Redacción RA '!C$3:C$15,,0,1)</f>
        <v>Saberhacer</v>
      </c>
      <c r="B22" s="27" t="s">
        <v>634</v>
      </c>
      <c r="C22" s="150"/>
      <c r="D22" s="150"/>
      <c r="E22" s="148"/>
      <c r="F22" s="157"/>
      <c r="G22" s="157"/>
      <c r="H22" s="157"/>
      <c r="I22" s="157"/>
      <c r="J22" s="157"/>
      <c r="K22" s="157"/>
      <c r="L22" s="157"/>
      <c r="M22" s="157"/>
      <c r="N22" s="172"/>
      <c r="O22" s="172"/>
      <c r="P22" s="172"/>
      <c r="Q22" s="172"/>
      <c r="R22" s="24"/>
    </row>
    <row r="23" spans="1:18" s="50" customFormat="1" ht="32.5" customHeight="1" x14ac:dyDescent="0.35">
      <c r="A23" s="24" t="str">
        <f>_xlfn.XLOOKUP(B23,'Paso 3 Redacción RA '!I$3:I$15,'Paso 3 Redacción RA '!C$3:C$15,,0,1)</f>
        <v>Saber</v>
      </c>
      <c r="B23" s="16" t="s">
        <v>631</v>
      </c>
      <c r="C23" s="155">
        <v>2</v>
      </c>
      <c r="D23" s="155" t="s">
        <v>687</v>
      </c>
      <c r="E23" s="151" t="s">
        <v>688</v>
      </c>
      <c r="F23" s="144" t="s">
        <v>120</v>
      </c>
      <c r="G23" s="144"/>
      <c r="H23" s="144" t="s">
        <v>121</v>
      </c>
      <c r="I23" s="144"/>
      <c r="J23" s="144">
        <v>3</v>
      </c>
      <c r="K23" s="144">
        <f>12*J23</f>
        <v>36</v>
      </c>
      <c r="L23" s="144">
        <f>36*J23</f>
        <v>108</v>
      </c>
      <c r="M23" s="144">
        <f>SUM(K23:L23)</f>
        <v>144</v>
      </c>
      <c r="N23" s="170" t="s">
        <v>749</v>
      </c>
      <c r="O23" s="170" t="s">
        <v>125</v>
      </c>
      <c r="P23" s="170" t="s">
        <v>783</v>
      </c>
      <c r="Q23" s="170" t="s">
        <v>122</v>
      </c>
      <c r="R23" s="24"/>
    </row>
    <row r="24" spans="1:18" s="50" customFormat="1" ht="49.5" x14ac:dyDescent="0.35">
      <c r="A24" s="24" t="str">
        <f>_xlfn.XLOOKUP(B24,'Paso 3 Redacción RA '!I$3:I$15,'Paso 3 Redacción RA '!C$3:C$15,,0,1)</f>
        <v>Saber</v>
      </c>
      <c r="B24" s="16" t="s">
        <v>633</v>
      </c>
      <c r="C24" s="132"/>
      <c r="D24" s="132"/>
      <c r="E24" s="136"/>
      <c r="F24" s="134"/>
      <c r="G24" s="134"/>
      <c r="H24" s="134"/>
      <c r="I24" s="134"/>
      <c r="J24" s="134"/>
      <c r="K24" s="134"/>
      <c r="L24" s="134"/>
      <c r="M24" s="134"/>
      <c r="N24" s="171"/>
      <c r="O24" s="171"/>
      <c r="P24" s="171"/>
      <c r="Q24" s="171"/>
      <c r="R24" s="24"/>
    </row>
    <row r="25" spans="1:18" s="50" customFormat="1" ht="50" thickBot="1" x14ac:dyDescent="0.4">
      <c r="A25" s="97" t="str">
        <f>_xlfn.XLOOKUP(B25,'Paso 3 Redacción RA '!I$3:I$15,'Paso 3 Redacción RA '!C$3:C$15,,0,1)</f>
        <v>Saberhacer</v>
      </c>
      <c r="B25" s="27" t="s">
        <v>634</v>
      </c>
      <c r="C25" s="150"/>
      <c r="D25" s="150"/>
      <c r="E25" s="148"/>
      <c r="F25" s="157"/>
      <c r="G25" s="157"/>
      <c r="H25" s="157"/>
      <c r="I25" s="157"/>
      <c r="J25" s="157"/>
      <c r="K25" s="157"/>
      <c r="L25" s="157"/>
      <c r="M25" s="157"/>
      <c r="N25" s="172"/>
      <c r="O25" s="172"/>
      <c r="P25" s="172"/>
      <c r="Q25" s="172"/>
      <c r="R25" s="24"/>
    </row>
    <row r="26" spans="1:18" s="50" customFormat="1" ht="32.5" customHeight="1" x14ac:dyDescent="0.35">
      <c r="A26" s="24" t="str">
        <f>_xlfn.XLOOKUP(B26,'Paso 3 Redacción RA '!I$3:I$15,'Paso 3 Redacción RA '!C$3:C$15,,0,1)</f>
        <v>Saber</v>
      </c>
      <c r="B26" s="16" t="s">
        <v>628</v>
      </c>
      <c r="C26" s="155">
        <v>2</v>
      </c>
      <c r="D26" s="155" t="s">
        <v>689</v>
      </c>
      <c r="E26" s="151" t="s">
        <v>690</v>
      </c>
      <c r="F26" s="144" t="s">
        <v>120</v>
      </c>
      <c r="G26" s="144"/>
      <c r="H26" s="144" t="s">
        <v>121</v>
      </c>
      <c r="I26" s="144"/>
      <c r="J26" s="144">
        <v>3</v>
      </c>
      <c r="K26" s="144">
        <f>12*J26</f>
        <v>36</v>
      </c>
      <c r="L26" s="144">
        <f>36*J26</f>
        <v>108</v>
      </c>
      <c r="M26" s="144">
        <f>SUM(K26:L26)</f>
        <v>144</v>
      </c>
      <c r="N26" s="170" t="s">
        <v>750</v>
      </c>
      <c r="O26" s="170" t="s">
        <v>125</v>
      </c>
      <c r="P26" s="170" t="s">
        <v>783</v>
      </c>
      <c r="Q26" s="170" t="s">
        <v>122</v>
      </c>
      <c r="R26" s="24"/>
    </row>
    <row r="27" spans="1:18" s="50" customFormat="1" ht="49.5" x14ac:dyDescent="0.35">
      <c r="A27" s="24" t="str">
        <f>_xlfn.XLOOKUP(B27,'Paso 3 Redacción RA '!I$3:I$15,'Paso 3 Redacción RA '!C$3:C$15,,0,1)</f>
        <v>Saberhacer</v>
      </c>
      <c r="B27" s="16" t="s">
        <v>629</v>
      </c>
      <c r="C27" s="132"/>
      <c r="D27" s="132"/>
      <c r="E27" s="136"/>
      <c r="F27" s="134"/>
      <c r="G27" s="134"/>
      <c r="H27" s="134"/>
      <c r="I27" s="134"/>
      <c r="J27" s="134"/>
      <c r="K27" s="134"/>
      <c r="L27" s="134"/>
      <c r="M27" s="134"/>
      <c r="N27" s="171"/>
      <c r="O27" s="171"/>
      <c r="P27" s="171"/>
      <c r="Q27" s="171"/>
      <c r="R27" s="24"/>
    </row>
    <row r="28" spans="1:18" s="50" customFormat="1" ht="49.5" x14ac:dyDescent="0.35">
      <c r="A28" s="24" t="str">
        <f>_xlfn.XLOOKUP(B28,'Paso 3 Redacción RA '!I$3:I$15,'Paso 3 Redacción RA '!C$3:C$15,,0,1)</f>
        <v>Saber</v>
      </c>
      <c r="B28" s="16" t="s">
        <v>628</v>
      </c>
      <c r="C28" s="132"/>
      <c r="D28" s="132"/>
      <c r="E28" s="136"/>
      <c r="F28" s="134"/>
      <c r="G28" s="134"/>
      <c r="H28" s="134"/>
      <c r="I28" s="134"/>
      <c r="J28" s="134"/>
      <c r="K28" s="134"/>
      <c r="L28" s="134"/>
      <c r="M28" s="134"/>
      <c r="N28" s="171"/>
      <c r="O28" s="171"/>
      <c r="P28" s="171"/>
      <c r="Q28" s="171"/>
      <c r="R28" s="24"/>
    </row>
    <row r="29" spans="1:18" s="50" customFormat="1" ht="50" thickBot="1" x14ac:dyDescent="0.4">
      <c r="A29" s="97" t="str">
        <f>_xlfn.XLOOKUP(B29,'Paso 3 Redacción RA '!I$3:I$15,'Paso 3 Redacción RA '!C$3:C$15,,0,1)</f>
        <v>Saberhacer</v>
      </c>
      <c r="B29" s="27" t="s">
        <v>632</v>
      </c>
      <c r="C29" s="150"/>
      <c r="D29" s="150"/>
      <c r="E29" s="148"/>
      <c r="F29" s="157"/>
      <c r="G29" s="157"/>
      <c r="H29" s="157"/>
      <c r="I29" s="157"/>
      <c r="J29" s="157"/>
      <c r="K29" s="157"/>
      <c r="L29" s="157"/>
      <c r="M29" s="157"/>
      <c r="N29" s="172"/>
      <c r="O29" s="172"/>
      <c r="P29" s="172"/>
      <c r="Q29" s="172"/>
      <c r="R29" s="24"/>
    </row>
    <row r="30" spans="1:18" s="50" customFormat="1" ht="49.5" x14ac:dyDescent="0.35">
      <c r="A30" s="24" t="str">
        <f>_xlfn.XLOOKUP(B30,'Paso 3 Redacción RA '!I$3:I$15,'Paso 3 Redacción RA '!C$3:C$15,,0,1)</f>
        <v>Saberser</v>
      </c>
      <c r="B30" s="16" t="s">
        <v>630</v>
      </c>
      <c r="C30" s="155">
        <v>2</v>
      </c>
      <c r="D30" s="155" t="s">
        <v>691</v>
      </c>
      <c r="E30" s="151" t="s">
        <v>692</v>
      </c>
      <c r="F30" s="144" t="s">
        <v>120</v>
      </c>
      <c r="G30" s="144"/>
      <c r="H30" s="144" t="s">
        <v>121</v>
      </c>
      <c r="I30" s="144"/>
      <c r="J30" s="144">
        <v>3</v>
      </c>
      <c r="K30" s="144">
        <f>12*J30</f>
        <v>36</v>
      </c>
      <c r="L30" s="144">
        <f>36*J30</f>
        <v>108</v>
      </c>
      <c r="M30" s="144">
        <f>SUM(K30:L30)</f>
        <v>144</v>
      </c>
      <c r="N30" s="170" t="s">
        <v>751</v>
      </c>
      <c r="O30" s="170" t="s">
        <v>125</v>
      </c>
      <c r="P30" s="170" t="s">
        <v>752</v>
      </c>
      <c r="Q30" s="170" t="s">
        <v>122</v>
      </c>
      <c r="R30" s="24"/>
    </row>
    <row r="31" spans="1:18" s="50" customFormat="1" ht="49.5" x14ac:dyDescent="0.35">
      <c r="A31" s="24" t="str">
        <f>_xlfn.XLOOKUP(B31,'Paso 3 Redacción RA '!I$3:I$15,'Paso 3 Redacción RA '!C$3:C$15,,0,1)</f>
        <v>Saberhacer</v>
      </c>
      <c r="B31" s="16" t="s">
        <v>632</v>
      </c>
      <c r="C31" s="132"/>
      <c r="D31" s="132"/>
      <c r="E31" s="136"/>
      <c r="F31" s="134"/>
      <c r="G31" s="134"/>
      <c r="H31" s="134"/>
      <c r="I31" s="134"/>
      <c r="J31" s="134"/>
      <c r="K31" s="134"/>
      <c r="L31" s="134"/>
      <c r="M31" s="134"/>
      <c r="N31" s="171"/>
      <c r="O31" s="171"/>
      <c r="P31" s="171"/>
      <c r="Q31" s="171"/>
      <c r="R31" s="24"/>
    </row>
    <row r="32" spans="1:18" s="50" customFormat="1" ht="50" thickBot="1" x14ac:dyDescent="0.4">
      <c r="A32" s="97" t="str">
        <f>_xlfn.XLOOKUP(B32,'Paso 3 Redacción RA '!I$3:I$15,'Paso 3 Redacción RA '!C$3:C$15,,0,1)</f>
        <v>Saber</v>
      </c>
      <c r="B32" s="27" t="s">
        <v>633</v>
      </c>
      <c r="C32" s="150"/>
      <c r="D32" s="150"/>
      <c r="E32" s="148"/>
      <c r="F32" s="157"/>
      <c r="G32" s="157"/>
      <c r="H32" s="157"/>
      <c r="I32" s="157"/>
      <c r="J32" s="157"/>
      <c r="K32" s="157"/>
      <c r="L32" s="157"/>
      <c r="M32" s="157"/>
      <c r="N32" s="172"/>
      <c r="O32" s="172"/>
      <c r="P32" s="172"/>
      <c r="Q32" s="172"/>
      <c r="R32" s="24"/>
    </row>
    <row r="33" spans="1:18" s="50" customFormat="1" ht="49.5" x14ac:dyDescent="0.35">
      <c r="A33" s="24" t="str">
        <f>_xlfn.XLOOKUP(B33,'Paso 3 Redacción RA '!I$3:I$15,'Paso 3 Redacción RA '!C$3:C$15,,0,1)</f>
        <v>Saberser</v>
      </c>
      <c r="B33" s="16" t="s">
        <v>630</v>
      </c>
      <c r="C33" s="155">
        <v>2</v>
      </c>
      <c r="D33" s="155" t="s">
        <v>693</v>
      </c>
      <c r="E33" s="151" t="s">
        <v>694</v>
      </c>
      <c r="F33" s="144" t="s">
        <v>120</v>
      </c>
      <c r="G33" s="144"/>
      <c r="H33" s="144" t="s">
        <v>121</v>
      </c>
      <c r="I33" s="144"/>
      <c r="J33" s="144">
        <v>3</v>
      </c>
      <c r="K33" s="144">
        <f>12*J33</f>
        <v>36</v>
      </c>
      <c r="L33" s="144">
        <f>36*J33</f>
        <v>108</v>
      </c>
      <c r="M33" s="144">
        <f>SUM(K33:L33)</f>
        <v>144</v>
      </c>
      <c r="N33" s="170" t="s">
        <v>753</v>
      </c>
      <c r="O33" s="170" t="s">
        <v>125</v>
      </c>
      <c r="P33" s="170" t="s">
        <v>752</v>
      </c>
      <c r="Q33" s="170" t="s">
        <v>122</v>
      </c>
      <c r="R33" s="24"/>
    </row>
    <row r="34" spans="1:18" s="50" customFormat="1" ht="49.5" x14ac:dyDescent="0.35">
      <c r="A34" s="24" t="str">
        <f>_xlfn.XLOOKUP(B34,'Paso 3 Redacción RA '!I$3:I$15,'Paso 3 Redacción RA '!C$3:C$15,,0,1)</f>
        <v>Saberhacer</v>
      </c>
      <c r="B34" s="16" t="s">
        <v>632</v>
      </c>
      <c r="C34" s="132"/>
      <c r="D34" s="132"/>
      <c r="E34" s="136"/>
      <c r="F34" s="134"/>
      <c r="G34" s="134"/>
      <c r="H34" s="134"/>
      <c r="I34" s="134"/>
      <c r="J34" s="134"/>
      <c r="K34" s="134"/>
      <c r="L34" s="134"/>
      <c r="M34" s="134"/>
      <c r="N34" s="171"/>
      <c r="O34" s="171"/>
      <c r="P34" s="171"/>
      <c r="Q34" s="171"/>
      <c r="R34" s="24"/>
    </row>
    <row r="35" spans="1:18" s="50" customFormat="1" ht="49.5" x14ac:dyDescent="0.35">
      <c r="A35" s="24" t="str">
        <f>_xlfn.XLOOKUP(B35,'Paso 3 Redacción RA '!I$3:I$15,'Paso 3 Redacción RA '!C$3:C$15,,0,1)</f>
        <v>Saber</v>
      </c>
      <c r="B35" s="16" t="s">
        <v>633</v>
      </c>
      <c r="C35" s="132"/>
      <c r="D35" s="132"/>
      <c r="E35" s="136"/>
      <c r="F35" s="134"/>
      <c r="G35" s="134"/>
      <c r="H35" s="134"/>
      <c r="I35" s="134"/>
      <c r="J35" s="134"/>
      <c r="K35" s="134"/>
      <c r="L35" s="134"/>
      <c r="M35" s="134"/>
      <c r="N35" s="171"/>
      <c r="O35" s="171"/>
      <c r="P35" s="171"/>
      <c r="Q35" s="171"/>
      <c r="R35" s="24"/>
    </row>
    <row r="36" spans="1:18" s="50" customFormat="1" ht="50" thickBot="1" x14ac:dyDescent="0.4">
      <c r="A36" s="97" t="str">
        <f>_xlfn.XLOOKUP(B36,'Paso 3 Redacción RA '!I$3:I$15,'Paso 3 Redacción RA '!C$3:C$15,,0,1)</f>
        <v>Saberhacer</v>
      </c>
      <c r="B36" s="98" t="s">
        <v>634</v>
      </c>
      <c r="C36" s="150"/>
      <c r="D36" s="150"/>
      <c r="E36" s="148"/>
      <c r="F36" s="157"/>
      <c r="G36" s="157"/>
      <c r="H36" s="157"/>
      <c r="I36" s="157"/>
      <c r="J36" s="157"/>
      <c r="K36" s="157"/>
      <c r="L36" s="157"/>
      <c r="M36" s="157"/>
      <c r="N36" s="172"/>
      <c r="O36" s="172"/>
      <c r="P36" s="172"/>
      <c r="Q36" s="172"/>
      <c r="R36" s="24">
        <f>SUM(J17:J36)</f>
        <v>18</v>
      </c>
    </row>
    <row r="37" spans="1:18" s="50" customFormat="1" ht="363.5" thickBot="1" x14ac:dyDescent="0.4">
      <c r="A37" s="107" t="str">
        <f>_xlfn.XLOOKUP(B37,'Paso 3 Redacción RA '!I$3:I$15,'Paso 3 Redacción RA '!C$3:C$15,,0,1)</f>
        <v>Saber</v>
      </c>
      <c r="B37" s="94" t="s">
        <v>76</v>
      </c>
      <c r="C37" s="74">
        <v>3</v>
      </c>
      <c r="D37" s="75" t="s">
        <v>134</v>
      </c>
      <c r="E37" s="73" t="s">
        <v>135</v>
      </c>
      <c r="F37" s="74" t="s">
        <v>120</v>
      </c>
      <c r="G37" s="75" t="s">
        <v>121</v>
      </c>
      <c r="H37" s="75"/>
      <c r="I37" s="75"/>
      <c r="J37" s="74">
        <v>3</v>
      </c>
      <c r="K37" s="74">
        <f>12*J37</f>
        <v>36</v>
      </c>
      <c r="L37" s="74">
        <f>36*J37</f>
        <v>108</v>
      </c>
      <c r="M37" s="74">
        <f>SUM(K37:L37)</f>
        <v>144</v>
      </c>
      <c r="N37" s="73" t="s">
        <v>136</v>
      </c>
      <c r="O37" s="99" t="s">
        <v>125</v>
      </c>
      <c r="P37" s="99" t="s">
        <v>137</v>
      </c>
      <c r="Q37" s="73" t="s">
        <v>122</v>
      </c>
      <c r="R37" s="24"/>
    </row>
    <row r="38" spans="1:18" s="12" customFormat="1" ht="297.5" thickBot="1" x14ac:dyDescent="0.4">
      <c r="A38" s="107" t="str">
        <f>_xlfn.XLOOKUP(B38,'Paso 3 Redacción RA '!I$3:I$15,'Paso 3 Redacción RA '!C$3:C$15,,0,1)</f>
        <v>Saber</v>
      </c>
      <c r="B38" s="94" t="s">
        <v>76</v>
      </c>
      <c r="C38" s="78">
        <v>3</v>
      </c>
      <c r="D38" s="75" t="s">
        <v>138</v>
      </c>
      <c r="E38" s="73" t="s">
        <v>600</v>
      </c>
      <c r="F38" s="74" t="s">
        <v>120</v>
      </c>
      <c r="G38" s="74" t="s">
        <v>121</v>
      </c>
      <c r="H38" s="74"/>
      <c r="I38" s="74"/>
      <c r="J38" s="78">
        <v>3</v>
      </c>
      <c r="K38" s="74">
        <f>12*J38</f>
        <v>36</v>
      </c>
      <c r="L38" s="74">
        <f>36*J38</f>
        <v>108</v>
      </c>
      <c r="M38" s="74">
        <f>SUM(K38:L38)</f>
        <v>144</v>
      </c>
      <c r="N38" s="73" t="s">
        <v>139</v>
      </c>
      <c r="O38" s="94" t="s">
        <v>125</v>
      </c>
      <c r="P38" s="94" t="s">
        <v>140</v>
      </c>
      <c r="Q38" s="73" t="s">
        <v>122</v>
      </c>
      <c r="R38" s="24"/>
    </row>
    <row r="39" spans="1:18" s="50" customFormat="1" ht="33" customHeight="1" x14ac:dyDescent="0.35">
      <c r="A39" s="24" t="str">
        <f>_xlfn.XLOOKUP(B39,'Paso 3 Redacción RA '!I$3:I$15,'Paso 3 Redacción RA '!C$3:C$15,,0,1)</f>
        <v>Saber</v>
      </c>
      <c r="B39" s="16" t="s">
        <v>631</v>
      </c>
      <c r="C39" s="155">
        <v>3</v>
      </c>
      <c r="D39" s="155" t="s">
        <v>695</v>
      </c>
      <c r="E39" s="151" t="s">
        <v>782</v>
      </c>
      <c r="F39" s="144" t="s">
        <v>120</v>
      </c>
      <c r="G39" s="144"/>
      <c r="H39" s="144" t="s">
        <v>121</v>
      </c>
      <c r="I39" s="144"/>
      <c r="J39" s="144">
        <v>3</v>
      </c>
      <c r="K39" s="144">
        <f>12*J39</f>
        <v>36</v>
      </c>
      <c r="L39" s="144">
        <f>36*J39</f>
        <v>108</v>
      </c>
      <c r="M39" s="144">
        <f>SUM(K39:L39)</f>
        <v>144</v>
      </c>
      <c r="N39" s="170" t="s">
        <v>754</v>
      </c>
      <c r="O39" s="170" t="s">
        <v>125</v>
      </c>
      <c r="P39" s="170" t="s">
        <v>783</v>
      </c>
      <c r="Q39" s="170" t="s">
        <v>122</v>
      </c>
      <c r="R39" s="24"/>
    </row>
    <row r="40" spans="1:18" s="50" customFormat="1" ht="49.5" x14ac:dyDescent="0.35">
      <c r="A40" s="24" t="str">
        <f>_xlfn.XLOOKUP(B40,'Paso 3 Redacción RA '!I$3:I$15,'Paso 3 Redacción RA '!C$3:C$15,,0,1)</f>
        <v>Saber</v>
      </c>
      <c r="B40" s="16" t="s">
        <v>633</v>
      </c>
      <c r="C40" s="132"/>
      <c r="D40" s="132"/>
      <c r="E40" s="136"/>
      <c r="F40" s="134"/>
      <c r="G40" s="134"/>
      <c r="H40" s="134"/>
      <c r="I40" s="134"/>
      <c r="J40" s="134"/>
      <c r="K40" s="134"/>
      <c r="L40" s="134"/>
      <c r="M40" s="134"/>
      <c r="N40" s="171"/>
      <c r="O40" s="171"/>
      <c r="P40" s="171"/>
      <c r="Q40" s="171"/>
      <c r="R40" s="24"/>
    </row>
    <row r="41" spans="1:18" s="50" customFormat="1" ht="33.5" customHeight="1" thickBot="1" x14ac:dyDescent="0.4">
      <c r="A41" s="97" t="str">
        <f>_xlfn.XLOOKUP(B41,'Paso 3 Redacción RA '!I$3:I$15,'Paso 3 Redacción RA '!C$3:C$15,,0,1)</f>
        <v>Saberhacer</v>
      </c>
      <c r="B41" s="27" t="s">
        <v>632</v>
      </c>
      <c r="C41" s="150"/>
      <c r="D41" s="150"/>
      <c r="E41" s="148"/>
      <c r="F41" s="157"/>
      <c r="G41" s="157"/>
      <c r="H41" s="157"/>
      <c r="I41" s="157"/>
      <c r="J41" s="157"/>
      <c r="K41" s="157"/>
      <c r="L41" s="157"/>
      <c r="M41" s="157"/>
      <c r="N41" s="172"/>
      <c r="O41" s="172"/>
      <c r="P41" s="172"/>
      <c r="Q41" s="172"/>
      <c r="R41" s="24"/>
    </row>
    <row r="42" spans="1:18" s="50" customFormat="1" ht="49.5" x14ac:dyDescent="0.35">
      <c r="A42" s="24" t="str">
        <f>_xlfn.XLOOKUP(B42,'Paso 3 Redacción RA '!I$3:I$15,'Paso 3 Redacción RA '!C$3:C$15,,0,1)</f>
        <v>Saberhacer</v>
      </c>
      <c r="B42" s="16" t="s">
        <v>629</v>
      </c>
      <c r="C42" s="155">
        <v>3</v>
      </c>
      <c r="D42" s="173" t="s">
        <v>696</v>
      </c>
      <c r="E42" s="151" t="s">
        <v>697</v>
      </c>
      <c r="F42" s="144" t="s">
        <v>120</v>
      </c>
      <c r="G42" s="144"/>
      <c r="H42" s="144" t="s">
        <v>121</v>
      </c>
      <c r="I42" s="144"/>
      <c r="J42" s="144">
        <v>3</v>
      </c>
      <c r="K42" s="144">
        <f>12*J42</f>
        <v>36</v>
      </c>
      <c r="L42" s="144">
        <f>36*J42</f>
        <v>108</v>
      </c>
      <c r="M42" s="144">
        <f>SUM(K42:L42)</f>
        <v>144</v>
      </c>
      <c r="N42" s="170" t="s">
        <v>757</v>
      </c>
      <c r="O42" s="170" t="s">
        <v>125</v>
      </c>
      <c r="P42" s="170" t="s">
        <v>783</v>
      </c>
      <c r="Q42" s="170" t="s">
        <v>122</v>
      </c>
      <c r="R42" s="24"/>
    </row>
    <row r="43" spans="1:18" s="50" customFormat="1" ht="49.5" x14ac:dyDescent="0.35">
      <c r="A43" s="24" t="str">
        <f>_xlfn.XLOOKUP(B43,'Paso 3 Redacción RA '!I$3:I$15,'Paso 3 Redacción RA '!C$3:C$15,,0,1)</f>
        <v>Saber</v>
      </c>
      <c r="B43" s="16" t="s">
        <v>631</v>
      </c>
      <c r="C43" s="132"/>
      <c r="D43" s="159"/>
      <c r="E43" s="136"/>
      <c r="F43" s="134"/>
      <c r="G43" s="134"/>
      <c r="H43" s="134"/>
      <c r="I43" s="134"/>
      <c r="J43" s="134"/>
      <c r="K43" s="134"/>
      <c r="L43" s="134"/>
      <c r="M43" s="134"/>
      <c r="N43" s="171"/>
      <c r="O43" s="171"/>
      <c r="P43" s="171"/>
      <c r="Q43" s="171"/>
      <c r="R43" s="24"/>
    </row>
    <row r="44" spans="1:18" s="50" customFormat="1" ht="49.5" x14ac:dyDescent="0.35">
      <c r="A44" s="24" t="str">
        <f>_xlfn.XLOOKUP(B44,'Paso 3 Redacción RA '!I$3:I$15,'Paso 3 Redacción RA '!C$3:C$15,,0,1)</f>
        <v>Saberhacer</v>
      </c>
      <c r="B44" s="16" t="s">
        <v>632</v>
      </c>
      <c r="C44" s="132"/>
      <c r="D44" s="159"/>
      <c r="E44" s="136"/>
      <c r="F44" s="134"/>
      <c r="G44" s="134"/>
      <c r="H44" s="134"/>
      <c r="I44" s="134"/>
      <c r="J44" s="134"/>
      <c r="K44" s="134"/>
      <c r="L44" s="134"/>
      <c r="M44" s="134"/>
      <c r="N44" s="171"/>
      <c r="O44" s="171"/>
      <c r="P44" s="171"/>
      <c r="Q44" s="171"/>
      <c r="R44" s="24"/>
    </row>
    <row r="45" spans="1:18" s="50" customFormat="1" ht="50" thickBot="1" x14ac:dyDescent="0.4">
      <c r="A45" s="97" t="str">
        <f>_xlfn.XLOOKUP(B45,'Paso 3 Redacción RA '!I$3:I$15,'Paso 3 Redacción RA '!C$3:C$15,,0,1)</f>
        <v>Saber</v>
      </c>
      <c r="B45" s="27" t="s">
        <v>633</v>
      </c>
      <c r="C45" s="150"/>
      <c r="D45" s="160"/>
      <c r="E45" s="148"/>
      <c r="F45" s="157"/>
      <c r="G45" s="157"/>
      <c r="H45" s="157"/>
      <c r="I45" s="157"/>
      <c r="J45" s="157"/>
      <c r="K45" s="157"/>
      <c r="L45" s="157"/>
      <c r="M45" s="157"/>
      <c r="N45" s="172"/>
      <c r="O45" s="172"/>
      <c r="P45" s="172"/>
      <c r="Q45" s="172"/>
      <c r="R45" s="24"/>
    </row>
    <row r="46" spans="1:18" s="50" customFormat="1" ht="49.5" x14ac:dyDescent="0.35">
      <c r="A46" s="24" t="str">
        <f>_xlfn.XLOOKUP(B46,'Paso 3 Redacción RA '!I$3:I$15,'Paso 3 Redacción RA '!C$3:C$15,,0,1)</f>
        <v>Saber</v>
      </c>
      <c r="B46" s="16" t="s">
        <v>631</v>
      </c>
      <c r="C46" s="155">
        <v>3</v>
      </c>
      <c r="D46" s="155" t="s">
        <v>698</v>
      </c>
      <c r="E46" s="151" t="s">
        <v>699</v>
      </c>
      <c r="F46" s="144" t="s">
        <v>120</v>
      </c>
      <c r="G46" s="144"/>
      <c r="H46" s="144" t="s">
        <v>121</v>
      </c>
      <c r="I46" s="144"/>
      <c r="J46" s="144">
        <v>3</v>
      </c>
      <c r="K46" s="144">
        <f>12*J46</f>
        <v>36</v>
      </c>
      <c r="L46" s="144">
        <f>36*J46</f>
        <v>108</v>
      </c>
      <c r="M46" s="144">
        <f>SUM(K46:L46)</f>
        <v>144</v>
      </c>
      <c r="N46" s="170" t="s">
        <v>755</v>
      </c>
      <c r="O46" s="170" t="s">
        <v>125</v>
      </c>
      <c r="P46" s="170" t="s">
        <v>783</v>
      </c>
      <c r="Q46" s="170" t="s">
        <v>122</v>
      </c>
      <c r="R46" s="24"/>
    </row>
    <row r="47" spans="1:18" s="50" customFormat="1" ht="49.5" x14ac:dyDescent="0.35">
      <c r="A47" s="24" t="str">
        <f>_xlfn.XLOOKUP(B47,'Paso 3 Redacción RA '!I$3:I$15,'Paso 3 Redacción RA '!C$3:C$15,,0,1)</f>
        <v>Saberhacer</v>
      </c>
      <c r="B47" s="16" t="s">
        <v>632</v>
      </c>
      <c r="C47" s="132"/>
      <c r="D47" s="132"/>
      <c r="E47" s="136"/>
      <c r="F47" s="134"/>
      <c r="G47" s="134"/>
      <c r="H47" s="134"/>
      <c r="I47" s="134"/>
      <c r="J47" s="134"/>
      <c r="K47" s="134"/>
      <c r="L47" s="134"/>
      <c r="M47" s="134"/>
      <c r="N47" s="171"/>
      <c r="O47" s="171"/>
      <c r="P47" s="171"/>
      <c r="Q47" s="171"/>
      <c r="R47" s="24"/>
    </row>
    <row r="48" spans="1:18" s="50" customFormat="1" ht="50" thickBot="1" x14ac:dyDescent="0.4">
      <c r="A48" s="97" t="str">
        <f>_xlfn.XLOOKUP(B48,'Paso 3 Redacción RA '!I$3:I$15,'Paso 3 Redacción RA '!C$3:C$15,,0,1)</f>
        <v>Saber</v>
      </c>
      <c r="B48" s="27" t="s">
        <v>633</v>
      </c>
      <c r="C48" s="150"/>
      <c r="D48" s="150"/>
      <c r="E48" s="148"/>
      <c r="F48" s="157"/>
      <c r="G48" s="157"/>
      <c r="H48" s="157"/>
      <c r="I48" s="157"/>
      <c r="J48" s="157"/>
      <c r="K48" s="157"/>
      <c r="L48" s="157"/>
      <c r="M48" s="157"/>
      <c r="N48" s="172"/>
      <c r="O48" s="172"/>
      <c r="P48" s="172"/>
      <c r="Q48" s="172"/>
      <c r="R48" s="24"/>
    </row>
    <row r="49" spans="1:18" s="50" customFormat="1" ht="32.5" customHeight="1" x14ac:dyDescent="0.35">
      <c r="A49" s="24" t="str">
        <f>_xlfn.XLOOKUP(B49,'Paso 3 Redacción RA '!I$3:I$15,'Paso 3 Redacción RA '!C$3:C$15,,0,1)</f>
        <v>Saberhacer</v>
      </c>
      <c r="B49" s="16" t="s">
        <v>629</v>
      </c>
      <c r="C49" s="155">
        <v>3</v>
      </c>
      <c r="D49" s="155" t="s">
        <v>700</v>
      </c>
      <c r="E49" s="151" t="s">
        <v>701</v>
      </c>
      <c r="F49" s="144" t="s">
        <v>120</v>
      </c>
      <c r="G49" s="144"/>
      <c r="H49" s="144" t="s">
        <v>121</v>
      </c>
      <c r="I49" s="144"/>
      <c r="J49" s="144">
        <v>3</v>
      </c>
      <c r="K49" s="144">
        <f>12*J49</f>
        <v>36</v>
      </c>
      <c r="L49" s="144">
        <f>36*J49</f>
        <v>108</v>
      </c>
      <c r="M49" s="144">
        <f>SUM(K49:L49)</f>
        <v>144</v>
      </c>
      <c r="N49" s="170" t="s">
        <v>756</v>
      </c>
      <c r="O49" s="170" t="s">
        <v>125</v>
      </c>
      <c r="P49" s="170" t="s">
        <v>783</v>
      </c>
      <c r="Q49" s="170" t="s">
        <v>122</v>
      </c>
      <c r="R49" s="24"/>
    </row>
    <row r="50" spans="1:18" s="50" customFormat="1" ht="49.5" x14ac:dyDescent="0.35">
      <c r="A50" s="24" t="str">
        <f>_xlfn.XLOOKUP(B50,'Paso 3 Redacción RA '!I$3:I$15,'Paso 3 Redacción RA '!C$3:C$15,,0,1)</f>
        <v>Saber</v>
      </c>
      <c r="B50" s="16" t="s">
        <v>631</v>
      </c>
      <c r="C50" s="132"/>
      <c r="D50" s="132"/>
      <c r="E50" s="136"/>
      <c r="F50" s="134"/>
      <c r="G50" s="134"/>
      <c r="H50" s="134"/>
      <c r="I50" s="134"/>
      <c r="J50" s="134"/>
      <c r="K50" s="134"/>
      <c r="L50" s="134"/>
      <c r="M50" s="134"/>
      <c r="N50" s="171"/>
      <c r="O50" s="171"/>
      <c r="P50" s="171"/>
      <c r="Q50" s="171"/>
      <c r="R50" s="24"/>
    </row>
    <row r="51" spans="1:18" s="50" customFormat="1" ht="49.5" x14ac:dyDescent="0.35">
      <c r="A51" s="24" t="str">
        <f>_xlfn.XLOOKUP(B51,'Paso 3 Redacción RA '!I$3:I$15,'Paso 3 Redacción RA '!C$3:C$15,,0,1)</f>
        <v>Saberhacer</v>
      </c>
      <c r="B51" s="16" t="s">
        <v>632</v>
      </c>
      <c r="C51" s="132"/>
      <c r="D51" s="132"/>
      <c r="E51" s="136"/>
      <c r="F51" s="134"/>
      <c r="G51" s="134"/>
      <c r="H51" s="134"/>
      <c r="I51" s="134"/>
      <c r="J51" s="134"/>
      <c r="K51" s="134"/>
      <c r="L51" s="134"/>
      <c r="M51" s="134"/>
      <c r="N51" s="171"/>
      <c r="O51" s="171"/>
      <c r="P51" s="171"/>
      <c r="Q51" s="171"/>
      <c r="R51" s="24"/>
    </row>
    <row r="52" spans="1:18" s="50" customFormat="1" ht="50" thickBot="1" x14ac:dyDescent="0.4">
      <c r="A52" s="97" t="str">
        <f>_xlfn.XLOOKUP(B52,'Paso 3 Redacción RA '!I$3:I$15,'Paso 3 Redacción RA '!C$3:C$15,,0,1)</f>
        <v>Saber</v>
      </c>
      <c r="B52" s="27" t="s">
        <v>633</v>
      </c>
      <c r="C52" s="150"/>
      <c r="D52" s="150"/>
      <c r="E52" s="148"/>
      <c r="F52" s="157"/>
      <c r="G52" s="157"/>
      <c r="H52" s="157"/>
      <c r="I52" s="157"/>
      <c r="J52" s="157"/>
      <c r="K52" s="157"/>
      <c r="L52" s="157"/>
      <c r="M52" s="157"/>
      <c r="N52" s="172"/>
      <c r="O52" s="172"/>
      <c r="P52" s="172"/>
      <c r="Q52" s="172"/>
      <c r="R52" s="24">
        <f>SUM(J37:J52)</f>
        <v>18</v>
      </c>
    </row>
    <row r="53" spans="1:18" s="50" customFormat="1" ht="347" thickBot="1" x14ac:dyDescent="0.4">
      <c r="A53" s="107" t="str">
        <f>_xlfn.XLOOKUP(B53,'Paso 3 Redacción RA '!I$3:I$15,'Paso 3 Redacción RA '!C$3:C$15,,0,1)</f>
        <v>Saber</v>
      </c>
      <c r="B53" s="94" t="s">
        <v>76</v>
      </c>
      <c r="C53" s="78">
        <v>4</v>
      </c>
      <c r="D53" s="74" t="s">
        <v>141</v>
      </c>
      <c r="E53" s="73" t="s">
        <v>142</v>
      </c>
      <c r="F53" s="74" t="s">
        <v>120</v>
      </c>
      <c r="G53" s="79" t="s">
        <v>121</v>
      </c>
      <c r="H53" s="79"/>
      <c r="I53" s="79"/>
      <c r="J53" s="75">
        <v>3</v>
      </c>
      <c r="K53" s="79">
        <f>12*J53</f>
        <v>36</v>
      </c>
      <c r="L53" s="79">
        <f>36*J53</f>
        <v>108</v>
      </c>
      <c r="M53" s="79">
        <f>SUM(K53:L53)</f>
        <v>144</v>
      </c>
      <c r="N53" s="80" t="s">
        <v>143</v>
      </c>
      <c r="O53" s="100" t="s">
        <v>125</v>
      </c>
      <c r="P53" s="100" t="s">
        <v>144</v>
      </c>
      <c r="Q53" s="81" t="s">
        <v>122</v>
      </c>
      <c r="R53" s="24"/>
    </row>
    <row r="54" spans="1:18" s="50" customFormat="1" ht="32.5" customHeight="1" x14ac:dyDescent="0.35">
      <c r="A54" s="24" t="str">
        <f>_xlfn.XLOOKUP(B54,'Paso 3 Redacción RA '!I$3:I$15,'Paso 3 Redacción RA '!C$3:C$15,,0,1)</f>
        <v>Saber</v>
      </c>
      <c r="B54" s="16" t="s">
        <v>631</v>
      </c>
      <c r="C54" s="155">
        <v>4</v>
      </c>
      <c r="D54" s="155" t="s">
        <v>702</v>
      </c>
      <c r="E54" s="151" t="s">
        <v>703</v>
      </c>
      <c r="F54" s="144" t="s">
        <v>120</v>
      </c>
      <c r="G54" s="144"/>
      <c r="H54" s="144" t="s">
        <v>121</v>
      </c>
      <c r="I54" s="144"/>
      <c r="J54" s="144">
        <v>3</v>
      </c>
      <c r="K54" s="144">
        <f>12*J54</f>
        <v>36</v>
      </c>
      <c r="L54" s="144">
        <f>36*J54</f>
        <v>108</v>
      </c>
      <c r="M54" s="144">
        <f>SUM(K54:L54)</f>
        <v>144</v>
      </c>
      <c r="N54" s="170" t="s">
        <v>758</v>
      </c>
      <c r="O54" s="170" t="s">
        <v>125</v>
      </c>
      <c r="P54" s="170" t="s">
        <v>783</v>
      </c>
      <c r="Q54" s="170" t="s">
        <v>122</v>
      </c>
      <c r="R54" s="24"/>
    </row>
    <row r="55" spans="1:18" s="50" customFormat="1" ht="49.5" x14ac:dyDescent="0.35">
      <c r="A55" s="24" t="str">
        <f>_xlfn.XLOOKUP(B55,'Paso 3 Redacción RA '!I$3:I$15,'Paso 3 Redacción RA '!C$3:C$15,,0,1)</f>
        <v>Saber</v>
      </c>
      <c r="B55" s="16" t="s">
        <v>633</v>
      </c>
      <c r="C55" s="132"/>
      <c r="D55" s="132"/>
      <c r="E55" s="136"/>
      <c r="F55" s="134"/>
      <c r="G55" s="134"/>
      <c r="H55" s="134"/>
      <c r="I55" s="134"/>
      <c r="J55" s="134"/>
      <c r="K55" s="134"/>
      <c r="L55" s="134"/>
      <c r="M55" s="134"/>
      <c r="N55" s="171"/>
      <c r="O55" s="171"/>
      <c r="P55" s="171"/>
      <c r="Q55" s="171"/>
      <c r="R55" s="24"/>
    </row>
    <row r="56" spans="1:18" s="50" customFormat="1" ht="50" thickBot="1" x14ac:dyDescent="0.4">
      <c r="A56" s="97" t="str">
        <f>_xlfn.XLOOKUP(B56,'Paso 3 Redacción RA '!I$3:I$15,'Paso 3 Redacción RA '!C$3:C$15,,0,1)</f>
        <v>Saberhacer</v>
      </c>
      <c r="B56" s="27" t="s">
        <v>634</v>
      </c>
      <c r="C56" s="150"/>
      <c r="D56" s="150"/>
      <c r="E56" s="148"/>
      <c r="F56" s="157"/>
      <c r="G56" s="157"/>
      <c r="H56" s="157"/>
      <c r="I56" s="157"/>
      <c r="J56" s="157"/>
      <c r="K56" s="157"/>
      <c r="L56" s="157"/>
      <c r="M56" s="157"/>
      <c r="N56" s="172"/>
      <c r="O56" s="172"/>
      <c r="P56" s="172"/>
      <c r="Q56" s="172"/>
      <c r="R56" s="24"/>
    </row>
    <row r="57" spans="1:18" s="50" customFormat="1" ht="32.5" customHeight="1" x14ac:dyDescent="0.35">
      <c r="A57" s="24" t="str">
        <f>_xlfn.XLOOKUP(B57,'Paso 3 Redacción RA '!I$3:I$15,'Paso 3 Redacción RA '!C$3:C$15,,0,1)</f>
        <v>Saberhacer</v>
      </c>
      <c r="B57" s="16" t="s">
        <v>632</v>
      </c>
      <c r="C57" s="155">
        <v>4</v>
      </c>
      <c r="D57" s="155" t="s">
        <v>704</v>
      </c>
      <c r="E57" s="151" t="s">
        <v>705</v>
      </c>
      <c r="F57" s="144" t="s">
        <v>120</v>
      </c>
      <c r="G57" s="144"/>
      <c r="H57" s="144" t="s">
        <v>121</v>
      </c>
      <c r="I57" s="144"/>
      <c r="J57" s="144">
        <v>4</v>
      </c>
      <c r="K57" s="144">
        <f>12*J57</f>
        <v>48</v>
      </c>
      <c r="L57" s="144">
        <f>36*J57</f>
        <v>144</v>
      </c>
      <c r="M57" s="144">
        <f>SUM(K57:L57)</f>
        <v>192</v>
      </c>
      <c r="N57" s="170" t="s">
        <v>759</v>
      </c>
      <c r="O57" s="170" t="s">
        <v>125</v>
      </c>
      <c r="P57" s="170" t="s">
        <v>783</v>
      </c>
      <c r="Q57" s="170" t="s">
        <v>122</v>
      </c>
      <c r="R57" s="24"/>
    </row>
    <row r="58" spans="1:18" s="50" customFormat="1" ht="49.5" x14ac:dyDescent="0.35">
      <c r="A58" s="24" t="str">
        <f>_xlfn.XLOOKUP(B58,'Paso 3 Redacción RA '!I$3:I$15,'Paso 3 Redacción RA '!C$3:C$15,,0,1)</f>
        <v>Saber</v>
      </c>
      <c r="B58" s="16" t="s">
        <v>633</v>
      </c>
      <c r="C58" s="132"/>
      <c r="D58" s="132"/>
      <c r="E58" s="136"/>
      <c r="F58" s="134"/>
      <c r="G58" s="134"/>
      <c r="H58" s="134"/>
      <c r="I58" s="134"/>
      <c r="J58" s="134"/>
      <c r="K58" s="134"/>
      <c r="L58" s="134"/>
      <c r="M58" s="134"/>
      <c r="N58" s="171"/>
      <c r="O58" s="171"/>
      <c r="P58" s="171"/>
      <c r="Q58" s="171"/>
      <c r="R58" s="24"/>
    </row>
    <row r="59" spans="1:18" s="50" customFormat="1" ht="50" thickBot="1" x14ac:dyDescent="0.4">
      <c r="A59" s="97" t="str">
        <f>_xlfn.XLOOKUP(B59,'Paso 3 Redacción RA '!I$3:I$15,'Paso 3 Redacción RA '!C$3:C$15,,0,1)</f>
        <v>Saberhacer</v>
      </c>
      <c r="B59" s="27" t="s">
        <v>634</v>
      </c>
      <c r="C59" s="150"/>
      <c r="D59" s="150"/>
      <c r="E59" s="148"/>
      <c r="F59" s="157"/>
      <c r="G59" s="157"/>
      <c r="H59" s="157"/>
      <c r="I59" s="157"/>
      <c r="J59" s="157"/>
      <c r="K59" s="157"/>
      <c r="L59" s="157"/>
      <c r="M59" s="157"/>
      <c r="N59" s="172"/>
      <c r="O59" s="172"/>
      <c r="P59" s="172"/>
      <c r="Q59" s="172"/>
      <c r="R59" s="24"/>
    </row>
    <row r="60" spans="1:18" s="50" customFormat="1" ht="49.5" x14ac:dyDescent="0.35">
      <c r="A60" s="24" t="str">
        <f>_xlfn.XLOOKUP(B60,'Paso 3 Redacción RA '!I$3:I$15,'Paso 3 Redacción RA '!C$3:C$15,,0,1)</f>
        <v>Saber</v>
      </c>
      <c r="B60" s="16" t="s">
        <v>628</v>
      </c>
      <c r="C60" s="155">
        <v>4</v>
      </c>
      <c r="D60" s="155" t="s">
        <v>706</v>
      </c>
      <c r="E60" s="164" t="s">
        <v>707</v>
      </c>
      <c r="F60" s="144" t="s">
        <v>120</v>
      </c>
      <c r="G60" s="144"/>
      <c r="H60" s="144" t="s">
        <v>121</v>
      </c>
      <c r="I60" s="144"/>
      <c r="J60" s="144">
        <v>3</v>
      </c>
      <c r="K60" s="144">
        <f>12*J60</f>
        <v>36</v>
      </c>
      <c r="L60" s="144">
        <f>36*J60</f>
        <v>108</v>
      </c>
      <c r="M60" s="144">
        <f>SUM(K60:L60)</f>
        <v>144</v>
      </c>
      <c r="N60" s="170" t="s">
        <v>760</v>
      </c>
      <c r="O60" s="170" t="s">
        <v>125</v>
      </c>
      <c r="P60" s="170" t="s">
        <v>783</v>
      </c>
      <c r="Q60" s="170" t="s">
        <v>122</v>
      </c>
      <c r="R60" s="24"/>
    </row>
    <row r="61" spans="1:18" s="50" customFormat="1" ht="49.5" x14ac:dyDescent="0.35">
      <c r="A61" s="24" t="str">
        <f>_xlfn.XLOOKUP(B61,'Paso 3 Redacción RA '!I$3:I$15,'Paso 3 Redacción RA '!C$3:C$15,,0,1)</f>
        <v>Saberhacer</v>
      </c>
      <c r="B61" s="16" t="s">
        <v>629</v>
      </c>
      <c r="C61" s="132"/>
      <c r="D61" s="132"/>
      <c r="E61" s="162"/>
      <c r="F61" s="134"/>
      <c r="G61" s="134"/>
      <c r="H61" s="134"/>
      <c r="I61" s="134"/>
      <c r="J61" s="134"/>
      <c r="K61" s="134"/>
      <c r="L61" s="134"/>
      <c r="M61" s="134"/>
      <c r="N61" s="171"/>
      <c r="O61" s="171"/>
      <c r="P61" s="171"/>
      <c r="Q61" s="171"/>
      <c r="R61" s="24"/>
    </row>
    <row r="62" spans="1:18" s="50" customFormat="1" ht="49.5" x14ac:dyDescent="0.35">
      <c r="A62" s="24" t="str">
        <f>_xlfn.XLOOKUP(B62,'Paso 3 Redacción RA '!I$3:I$15,'Paso 3 Redacción RA '!C$3:C$15,,0,1)</f>
        <v>Saberser</v>
      </c>
      <c r="B62" s="16" t="s">
        <v>630</v>
      </c>
      <c r="C62" s="132"/>
      <c r="D62" s="132"/>
      <c r="E62" s="162"/>
      <c r="F62" s="134"/>
      <c r="G62" s="134"/>
      <c r="H62" s="134"/>
      <c r="I62" s="134"/>
      <c r="J62" s="134"/>
      <c r="K62" s="134"/>
      <c r="L62" s="134"/>
      <c r="M62" s="134"/>
      <c r="N62" s="171"/>
      <c r="O62" s="171"/>
      <c r="P62" s="171"/>
      <c r="Q62" s="171"/>
      <c r="R62" s="24"/>
    </row>
    <row r="63" spans="1:18" s="50" customFormat="1" ht="49.5" x14ac:dyDescent="0.35">
      <c r="A63" s="24" t="str">
        <f>_xlfn.XLOOKUP(B63,'Paso 3 Redacción RA '!I$3:I$15,'Paso 3 Redacción RA '!C$3:C$15,,0,1)</f>
        <v>Saberhacer</v>
      </c>
      <c r="B63" s="16" t="s">
        <v>632</v>
      </c>
      <c r="C63" s="132"/>
      <c r="D63" s="132"/>
      <c r="E63" s="162"/>
      <c r="F63" s="134"/>
      <c r="G63" s="134"/>
      <c r="H63" s="134"/>
      <c r="I63" s="134"/>
      <c r="J63" s="134"/>
      <c r="K63" s="134"/>
      <c r="L63" s="134"/>
      <c r="M63" s="134"/>
      <c r="N63" s="171"/>
      <c r="O63" s="171"/>
      <c r="P63" s="171"/>
      <c r="Q63" s="171"/>
      <c r="R63" s="24"/>
    </row>
    <row r="64" spans="1:18" s="50" customFormat="1" ht="50" thickBot="1" x14ac:dyDescent="0.4">
      <c r="A64" s="97" t="str">
        <f>_xlfn.XLOOKUP(B64,'Paso 3 Redacción RA '!I$3:I$15,'Paso 3 Redacción RA '!C$3:C$15,,0,1)</f>
        <v>Saber</v>
      </c>
      <c r="B64" s="27" t="s">
        <v>633</v>
      </c>
      <c r="C64" s="150"/>
      <c r="D64" s="150"/>
      <c r="E64" s="163"/>
      <c r="F64" s="157"/>
      <c r="G64" s="157"/>
      <c r="H64" s="157"/>
      <c r="I64" s="157"/>
      <c r="J64" s="157"/>
      <c r="K64" s="157"/>
      <c r="L64" s="157"/>
      <c r="M64" s="157"/>
      <c r="N64" s="172"/>
      <c r="O64" s="172"/>
      <c r="P64" s="172"/>
      <c r="Q64" s="172"/>
      <c r="R64" s="24"/>
    </row>
    <row r="65" spans="1:18" s="50" customFormat="1" ht="32.5" customHeight="1" x14ac:dyDescent="0.35">
      <c r="A65" s="24" t="str">
        <f>_xlfn.XLOOKUP(B65,'Paso 3 Redacción RA '!I$3:I$15,'Paso 3 Redacción RA '!C$3:C$15,,0,1)</f>
        <v>Saberser</v>
      </c>
      <c r="B65" s="16" t="s">
        <v>630</v>
      </c>
      <c r="C65" s="155">
        <v>4</v>
      </c>
      <c r="D65" s="155" t="s">
        <v>708</v>
      </c>
      <c r="E65" s="151" t="s">
        <v>709</v>
      </c>
      <c r="F65" s="144" t="s">
        <v>781</v>
      </c>
      <c r="G65" s="144"/>
      <c r="H65" s="144" t="s">
        <v>121</v>
      </c>
      <c r="I65" s="144"/>
      <c r="J65" s="144">
        <v>4</v>
      </c>
      <c r="K65" s="144">
        <f>12*J65</f>
        <v>48</v>
      </c>
      <c r="L65" s="144">
        <f>36*J65</f>
        <v>144</v>
      </c>
      <c r="M65" s="144">
        <f>SUM(K65:L65)</f>
        <v>192</v>
      </c>
      <c r="N65" s="170" t="s">
        <v>761</v>
      </c>
      <c r="O65" s="170" t="s">
        <v>125</v>
      </c>
      <c r="P65" s="170" t="s">
        <v>784</v>
      </c>
      <c r="Q65" s="170" t="s">
        <v>122</v>
      </c>
      <c r="R65" s="24"/>
    </row>
    <row r="66" spans="1:18" s="50" customFormat="1" ht="49.5" x14ac:dyDescent="0.35">
      <c r="A66" s="24" t="str">
        <f>_xlfn.XLOOKUP(B66,'Paso 3 Redacción RA '!I$3:I$15,'Paso 3 Redacción RA '!C$3:C$15,,0,1)</f>
        <v>Saber</v>
      </c>
      <c r="B66" s="16" t="s">
        <v>631</v>
      </c>
      <c r="C66" s="132"/>
      <c r="D66" s="132"/>
      <c r="E66" s="136"/>
      <c r="F66" s="134"/>
      <c r="G66" s="134"/>
      <c r="H66" s="134"/>
      <c r="I66" s="134"/>
      <c r="J66" s="134"/>
      <c r="K66" s="134"/>
      <c r="L66" s="134"/>
      <c r="M66" s="134"/>
      <c r="N66" s="171"/>
      <c r="O66" s="171"/>
      <c r="P66" s="171"/>
      <c r="Q66" s="171"/>
      <c r="R66" s="24"/>
    </row>
    <row r="67" spans="1:18" s="50" customFormat="1" ht="50" thickBot="1" x14ac:dyDescent="0.4">
      <c r="A67" s="97" t="str">
        <f>_xlfn.XLOOKUP(B67,'Paso 3 Redacción RA '!I$3:I$15,'Paso 3 Redacción RA '!C$3:C$15,,0,1)</f>
        <v>Saberhacer</v>
      </c>
      <c r="B67" s="27" t="s">
        <v>632</v>
      </c>
      <c r="C67" s="150"/>
      <c r="D67" s="150"/>
      <c r="E67" s="148"/>
      <c r="F67" s="157"/>
      <c r="G67" s="157"/>
      <c r="H67" s="157"/>
      <c r="I67" s="157"/>
      <c r="J67" s="157"/>
      <c r="K67" s="157"/>
      <c r="L67" s="157"/>
      <c r="M67" s="157"/>
      <c r="N67" s="172"/>
      <c r="O67" s="172"/>
      <c r="P67" s="172"/>
      <c r="Q67" s="172"/>
      <c r="R67" s="24">
        <f>SUM(J53:J67)</f>
        <v>17</v>
      </c>
    </row>
    <row r="68" spans="1:18" s="50" customFormat="1" ht="49.5" x14ac:dyDescent="0.35">
      <c r="A68" s="24" t="str">
        <f>_xlfn.XLOOKUP(B68,'Paso 3 Redacción RA '!I$3:I$15,'Paso 3 Redacción RA '!C$3:C$15,,0,1)</f>
        <v>Saber</v>
      </c>
      <c r="B68" s="16" t="s">
        <v>631</v>
      </c>
      <c r="C68" s="155">
        <v>5</v>
      </c>
      <c r="D68" s="155" t="s">
        <v>710</v>
      </c>
      <c r="E68" s="151" t="s">
        <v>711</v>
      </c>
      <c r="F68" s="144" t="s">
        <v>120</v>
      </c>
      <c r="G68" s="144"/>
      <c r="H68" s="144" t="s">
        <v>121</v>
      </c>
      <c r="I68" s="144"/>
      <c r="J68" s="144">
        <v>3</v>
      </c>
      <c r="K68" s="144">
        <f>12*J68</f>
        <v>36</v>
      </c>
      <c r="L68" s="144">
        <f>36*J68</f>
        <v>108</v>
      </c>
      <c r="M68" s="144">
        <f>SUM(K68:L68)</f>
        <v>144</v>
      </c>
      <c r="N68" s="170" t="s">
        <v>762</v>
      </c>
      <c r="O68" s="170" t="s">
        <v>125</v>
      </c>
      <c r="P68" s="170" t="s">
        <v>783</v>
      </c>
      <c r="Q68" s="170" t="s">
        <v>122</v>
      </c>
      <c r="R68" s="24"/>
    </row>
    <row r="69" spans="1:18" s="50" customFormat="1" ht="49.5" x14ac:dyDescent="0.35">
      <c r="A69" s="24" t="str">
        <f>_xlfn.XLOOKUP(B69,'Paso 3 Redacción RA '!I$3:I$15,'Paso 3 Redacción RA '!C$3:C$15,,0,1)</f>
        <v>Saberhacer</v>
      </c>
      <c r="B69" s="16" t="s">
        <v>632</v>
      </c>
      <c r="C69" s="132"/>
      <c r="D69" s="132"/>
      <c r="E69" s="136"/>
      <c r="F69" s="134"/>
      <c r="G69" s="134"/>
      <c r="H69" s="134"/>
      <c r="I69" s="134"/>
      <c r="J69" s="134"/>
      <c r="K69" s="134"/>
      <c r="L69" s="134"/>
      <c r="M69" s="134"/>
      <c r="N69" s="171"/>
      <c r="O69" s="171"/>
      <c r="P69" s="171"/>
      <c r="Q69" s="171"/>
      <c r="R69" s="24"/>
    </row>
    <row r="70" spans="1:18" s="50" customFormat="1" ht="50" thickBot="1" x14ac:dyDescent="0.4">
      <c r="A70" s="97" t="str">
        <f>_xlfn.XLOOKUP(B70,'Paso 3 Redacción RA '!I$3:I$15,'Paso 3 Redacción RA '!C$3:C$15,,0,1)</f>
        <v>Saber</v>
      </c>
      <c r="B70" s="27" t="s">
        <v>633</v>
      </c>
      <c r="C70" s="150"/>
      <c r="D70" s="150"/>
      <c r="E70" s="148"/>
      <c r="F70" s="157"/>
      <c r="G70" s="157"/>
      <c r="H70" s="157"/>
      <c r="I70" s="157"/>
      <c r="J70" s="157"/>
      <c r="K70" s="157"/>
      <c r="L70" s="157"/>
      <c r="M70" s="157"/>
      <c r="N70" s="172"/>
      <c r="O70" s="172"/>
      <c r="P70" s="172"/>
      <c r="Q70" s="172"/>
      <c r="R70" s="24"/>
    </row>
    <row r="71" spans="1:18" s="50" customFormat="1" ht="49.5" x14ac:dyDescent="0.35">
      <c r="A71" s="24" t="str">
        <f>_xlfn.XLOOKUP(B71,'Paso 3 Redacción RA '!I$3:I$15,'Paso 3 Redacción RA '!C$3:C$15,,0,1)</f>
        <v>Saber</v>
      </c>
      <c r="B71" s="16" t="s">
        <v>628</v>
      </c>
      <c r="C71" s="155">
        <v>5</v>
      </c>
      <c r="D71" s="155" t="s">
        <v>712</v>
      </c>
      <c r="E71" s="164" t="s">
        <v>713</v>
      </c>
      <c r="F71" s="144" t="s">
        <v>781</v>
      </c>
      <c r="G71" s="144"/>
      <c r="H71" s="144" t="s">
        <v>121</v>
      </c>
      <c r="I71" s="144"/>
      <c r="J71" s="144">
        <v>3</v>
      </c>
      <c r="K71" s="144">
        <f>12*J71</f>
        <v>36</v>
      </c>
      <c r="L71" s="144">
        <f>36*J71</f>
        <v>108</v>
      </c>
      <c r="M71" s="144">
        <f>SUM(K71:L71)</f>
        <v>144</v>
      </c>
      <c r="N71" s="170" t="s">
        <v>763</v>
      </c>
      <c r="O71" s="170" t="s">
        <v>125</v>
      </c>
      <c r="P71" s="170" t="s">
        <v>784</v>
      </c>
      <c r="Q71" s="170" t="s">
        <v>122</v>
      </c>
      <c r="R71" s="24"/>
    </row>
    <row r="72" spans="1:18" s="50" customFormat="1" ht="49.5" x14ac:dyDescent="0.35">
      <c r="A72" s="24" t="str">
        <f>_xlfn.XLOOKUP(B72,'Paso 3 Redacción RA '!I$3:I$15,'Paso 3 Redacción RA '!C$3:C$15,,0,1)</f>
        <v>Saberhacer</v>
      </c>
      <c r="B72" s="16" t="s">
        <v>629</v>
      </c>
      <c r="C72" s="132"/>
      <c r="D72" s="132"/>
      <c r="E72" s="162"/>
      <c r="F72" s="134"/>
      <c r="G72" s="134"/>
      <c r="H72" s="134"/>
      <c r="I72" s="134"/>
      <c r="J72" s="134"/>
      <c r="K72" s="134"/>
      <c r="L72" s="134"/>
      <c r="M72" s="134"/>
      <c r="N72" s="171"/>
      <c r="O72" s="171"/>
      <c r="P72" s="171"/>
      <c r="Q72" s="171"/>
      <c r="R72" s="24"/>
    </row>
    <row r="73" spans="1:18" s="50" customFormat="1" ht="49.5" x14ac:dyDescent="0.35">
      <c r="A73" s="24" t="str">
        <f>_xlfn.XLOOKUP(B73,'Paso 3 Redacción RA '!I$3:I$15,'Paso 3 Redacción RA '!C$3:C$15,,0,1)</f>
        <v>Saberser</v>
      </c>
      <c r="B73" s="16" t="s">
        <v>630</v>
      </c>
      <c r="C73" s="132"/>
      <c r="D73" s="132"/>
      <c r="E73" s="162"/>
      <c r="F73" s="134"/>
      <c r="G73" s="134"/>
      <c r="H73" s="134"/>
      <c r="I73" s="134"/>
      <c r="J73" s="134"/>
      <c r="K73" s="134"/>
      <c r="L73" s="134"/>
      <c r="M73" s="134"/>
      <c r="N73" s="171"/>
      <c r="O73" s="171"/>
      <c r="P73" s="171"/>
      <c r="Q73" s="171"/>
      <c r="R73" s="24"/>
    </row>
    <row r="74" spans="1:18" s="50" customFormat="1" ht="49.5" x14ac:dyDescent="0.35">
      <c r="A74" s="24" t="str">
        <f>_xlfn.XLOOKUP(B74,'Paso 3 Redacción RA '!I$3:I$15,'Paso 3 Redacción RA '!C$3:C$15,,0,1)</f>
        <v>Saber</v>
      </c>
      <c r="B74" s="16" t="s">
        <v>631</v>
      </c>
      <c r="C74" s="132"/>
      <c r="D74" s="132"/>
      <c r="E74" s="162"/>
      <c r="F74" s="134"/>
      <c r="G74" s="134"/>
      <c r="H74" s="134"/>
      <c r="I74" s="134"/>
      <c r="J74" s="134"/>
      <c r="K74" s="134"/>
      <c r="L74" s="134"/>
      <c r="M74" s="134"/>
      <c r="N74" s="171"/>
      <c r="O74" s="171"/>
      <c r="P74" s="171"/>
      <c r="Q74" s="171"/>
      <c r="R74" s="24"/>
    </row>
    <row r="75" spans="1:18" s="50" customFormat="1" ht="50" thickBot="1" x14ac:dyDescent="0.4">
      <c r="A75" s="97" t="str">
        <f>_xlfn.XLOOKUP(B75,'Paso 3 Redacción RA '!I$3:I$15,'Paso 3 Redacción RA '!C$3:C$15,,0,1)</f>
        <v>Saberhacer</v>
      </c>
      <c r="B75" s="27" t="s">
        <v>632</v>
      </c>
      <c r="C75" s="150"/>
      <c r="D75" s="150"/>
      <c r="E75" s="163"/>
      <c r="F75" s="157"/>
      <c r="G75" s="157"/>
      <c r="H75" s="157"/>
      <c r="I75" s="157"/>
      <c r="J75" s="157"/>
      <c r="K75" s="157"/>
      <c r="L75" s="157"/>
      <c r="M75" s="157"/>
      <c r="N75" s="172"/>
      <c r="O75" s="172"/>
      <c r="P75" s="172"/>
      <c r="Q75" s="172"/>
      <c r="R75" s="24"/>
    </row>
    <row r="76" spans="1:18" s="50" customFormat="1" ht="98.5" customHeight="1" x14ac:dyDescent="0.35">
      <c r="A76" s="24" t="str">
        <f>_xlfn.XLOOKUP(B76,'Paso 3 Redacción RA '!I$3:I$15,'Paso 3 Redacción RA '!C$3:C$15,,0,1)</f>
        <v>Saberser</v>
      </c>
      <c r="B76" s="16" t="s">
        <v>630</v>
      </c>
      <c r="C76" s="155">
        <v>5</v>
      </c>
      <c r="D76" s="155" t="s">
        <v>714</v>
      </c>
      <c r="E76" s="151" t="s">
        <v>715</v>
      </c>
      <c r="F76" s="144" t="s">
        <v>781</v>
      </c>
      <c r="G76" s="144"/>
      <c r="H76" s="144" t="s">
        <v>121</v>
      </c>
      <c r="I76" s="144"/>
      <c r="J76" s="144">
        <v>3</v>
      </c>
      <c r="K76" s="144">
        <f>12*J76</f>
        <v>36</v>
      </c>
      <c r="L76" s="144">
        <f>36*J76</f>
        <v>108</v>
      </c>
      <c r="M76" s="144">
        <f>SUM(K76:L76)</f>
        <v>144</v>
      </c>
      <c r="N76" s="170" t="s">
        <v>764</v>
      </c>
      <c r="O76" s="170" t="s">
        <v>125</v>
      </c>
      <c r="P76" s="170" t="s">
        <v>784</v>
      </c>
      <c r="Q76" s="170" t="s">
        <v>122</v>
      </c>
      <c r="R76" s="24"/>
    </row>
    <row r="77" spans="1:18" s="50" customFormat="1" ht="49.5" x14ac:dyDescent="0.35">
      <c r="A77" s="24" t="str">
        <f>_xlfn.XLOOKUP(B77,'Paso 3 Redacción RA '!I$3:I$15,'Paso 3 Redacción RA '!C$3:C$15,,0,1)</f>
        <v>Saber</v>
      </c>
      <c r="B77" s="16" t="s">
        <v>631</v>
      </c>
      <c r="C77" s="132"/>
      <c r="D77" s="132"/>
      <c r="E77" s="136"/>
      <c r="F77" s="134"/>
      <c r="G77" s="134"/>
      <c r="H77" s="134"/>
      <c r="I77" s="134"/>
      <c r="J77" s="134"/>
      <c r="K77" s="134"/>
      <c r="L77" s="134"/>
      <c r="M77" s="134"/>
      <c r="N77" s="171"/>
      <c r="O77" s="171"/>
      <c r="P77" s="171"/>
      <c r="Q77" s="171"/>
      <c r="R77" s="24"/>
    </row>
    <row r="78" spans="1:18" s="50" customFormat="1" ht="49.5" x14ac:dyDescent="0.35">
      <c r="A78" s="24" t="str">
        <f>_xlfn.XLOOKUP(B78,'Paso 3 Redacción RA '!I$3:I$15,'Paso 3 Redacción RA '!C$3:C$15,,0,1)</f>
        <v>Saberhacer</v>
      </c>
      <c r="B78" s="16" t="s">
        <v>632</v>
      </c>
      <c r="C78" s="132"/>
      <c r="D78" s="132"/>
      <c r="E78" s="136"/>
      <c r="F78" s="134"/>
      <c r="G78" s="134"/>
      <c r="H78" s="134"/>
      <c r="I78" s="134"/>
      <c r="J78" s="134"/>
      <c r="K78" s="134"/>
      <c r="L78" s="134"/>
      <c r="M78" s="134"/>
      <c r="N78" s="171"/>
      <c r="O78" s="171"/>
      <c r="P78" s="171"/>
      <c r="Q78" s="171"/>
      <c r="R78" s="24"/>
    </row>
    <row r="79" spans="1:18" s="50" customFormat="1" ht="50" thickBot="1" x14ac:dyDescent="0.4">
      <c r="A79" s="97" t="str">
        <f>_xlfn.XLOOKUP(B79,'Paso 3 Redacción RA '!I$3:I$15,'Paso 3 Redacción RA '!C$3:C$15,,0,1)</f>
        <v>Saber</v>
      </c>
      <c r="B79" s="27" t="s">
        <v>633</v>
      </c>
      <c r="C79" s="150"/>
      <c r="D79" s="150"/>
      <c r="E79" s="148"/>
      <c r="F79" s="157"/>
      <c r="G79" s="157"/>
      <c r="H79" s="157"/>
      <c r="I79" s="157"/>
      <c r="J79" s="157"/>
      <c r="K79" s="157"/>
      <c r="L79" s="157"/>
      <c r="M79" s="157"/>
      <c r="N79" s="172"/>
      <c r="O79" s="172"/>
      <c r="P79" s="172"/>
      <c r="Q79" s="172"/>
      <c r="R79" s="24"/>
    </row>
    <row r="80" spans="1:18" s="50" customFormat="1" ht="49.5" x14ac:dyDescent="0.35">
      <c r="A80" s="24" t="str">
        <f>_xlfn.XLOOKUP(B80,'Paso 3 Redacción RA '!I$3:I$15,'Paso 3 Redacción RA '!C$3:C$15,,0,1)</f>
        <v>Saber</v>
      </c>
      <c r="B80" s="16" t="s">
        <v>628</v>
      </c>
      <c r="C80" s="155">
        <v>5</v>
      </c>
      <c r="D80" s="155" t="s">
        <v>716</v>
      </c>
      <c r="E80" s="164" t="s">
        <v>717</v>
      </c>
      <c r="F80" s="144" t="s">
        <v>120</v>
      </c>
      <c r="G80" s="144"/>
      <c r="H80" s="144" t="s">
        <v>121</v>
      </c>
      <c r="I80" s="144"/>
      <c r="J80" s="144">
        <v>3</v>
      </c>
      <c r="K80" s="144">
        <f>12*J80</f>
        <v>36</v>
      </c>
      <c r="L80" s="144">
        <f>36*J80</f>
        <v>108</v>
      </c>
      <c r="M80" s="144">
        <f>SUM(K80:L80)</f>
        <v>144</v>
      </c>
      <c r="N80" s="170" t="s">
        <v>765</v>
      </c>
      <c r="O80" s="170" t="s">
        <v>125</v>
      </c>
      <c r="P80" s="170" t="s">
        <v>783</v>
      </c>
      <c r="Q80" s="170" t="s">
        <v>122</v>
      </c>
      <c r="R80" s="24"/>
    </row>
    <row r="81" spans="1:18" s="50" customFormat="1" ht="49.5" x14ac:dyDescent="0.35">
      <c r="A81" s="24" t="str">
        <f>_xlfn.XLOOKUP(B81,'Paso 3 Redacción RA '!I$3:I$15,'Paso 3 Redacción RA '!C$3:C$15,,0,1)</f>
        <v>Saberhacer</v>
      </c>
      <c r="B81" s="16" t="s">
        <v>629</v>
      </c>
      <c r="C81" s="132"/>
      <c r="D81" s="132"/>
      <c r="E81" s="162"/>
      <c r="F81" s="134"/>
      <c r="G81" s="134"/>
      <c r="H81" s="134"/>
      <c r="I81" s="134"/>
      <c r="J81" s="134"/>
      <c r="K81" s="134"/>
      <c r="L81" s="134"/>
      <c r="M81" s="134"/>
      <c r="N81" s="171"/>
      <c r="O81" s="171"/>
      <c r="P81" s="171"/>
      <c r="Q81" s="171"/>
      <c r="R81" s="24"/>
    </row>
    <row r="82" spans="1:18" s="50" customFormat="1" ht="49.5" x14ac:dyDescent="0.35">
      <c r="A82" s="24" t="str">
        <f>_xlfn.XLOOKUP(B82,'Paso 3 Redacción RA '!I$3:I$15,'Paso 3 Redacción RA '!C$3:C$15,,0,1)</f>
        <v>Saberser</v>
      </c>
      <c r="B82" s="16" t="s">
        <v>630</v>
      </c>
      <c r="C82" s="132"/>
      <c r="D82" s="132"/>
      <c r="E82" s="162"/>
      <c r="F82" s="134"/>
      <c r="G82" s="134"/>
      <c r="H82" s="134"/>
      <c r="I82" s="134"/>
      <c r="J82" s="134"/>
      <c r="K82" s="134"/>
      <c r="L82" s="134"/>
      <c r="M82" s="134"/>
      <c r="N82" s="171"/>
      <c r="O82" s="171"/>
      <c r="P82" s="171"/>
      <c r="Q82" s="171"/>
      <c r="R82" s="24"/>
    </row>
    <row r="83" spans="1:18" s="50" customFormat="1" ht="49.5" x14ac:dyDescent="0.35">
      <c r="A83" s="24" t="str">
        <f>_xlfn.XLOOKUP(B83,'Paso 3 Redacción RA '!I$3:I$15,'Paso 3 Redacción RA '!C$3:C$15,,0,1)</f>
        <v>Saber</v>
      </c>
      <c r="B83" s="16" t="s">
        <v>631</v>
      </c>
      <c r="C83" s="132"/>
      <c r="D83" s="132"/>
      <c r="E83" s="162"/>
      <c r="F83" s="134"/>
      <c r="G83" s="134"/>
      <c r="H83" s="134"/>
      <c r="I83" s="134"/>
      <c r="J83" s="134"/>
      <c r="K83" s="134"/>
      <c r="L83" s="134"/>
      <c r="M83" s="134"/>
      <c r="N83" s="171"/>
      <c r="O83" s="171"/>
      <c r="P83" s="171"/>
      <c r="Q83" s="171"/>
      <c r="R83" s="24"/>
    </row>
    <row r="84" spans="1:18" s="50" customFormat="1" ht="50" thickBot="1" x14ac:dyDescent="0.4">
      <c r="A84" s="97" t="str">
        <f>_xlfn.XLOOKUP(B84,'Paso 3 Redacción RA '!I$3:I$15,'Paso 3 Redacción RA '!C$3:C$15,,0,1)</f>
        <v>Saber</v>
      </c>
      <c r="B84" s="27" t="s">
        <v>633</v>
      </c>
      <c r="C84" s="150"/>
      <c r="D84" s="150"/>
      <c r="E84" s="162"/>
      <c r="F84" s="157"/>
      <c r="G84" s="157"/>
      <c r="H84" s="157"/>
      <c r="I84" s="157"/>
      <c r="J84" s="157"/>
      <c r="K84" s="157"/>
      <c r="L84" s="157"/>
      <c r="M84" s="157"/>
      <c r="N84" s="172"/>
      <c r="O84" s="172"/>
      <c r="P84" s="172"/>
      <c r="Q84" s="172"/>
      <c r="R84" s="24"/>
    </row>
    <row r="85" spans="1:18" s="50" customFormat="1" ht="65.5" customHeight="1" x14ac:dyDescent="0.35">
      <c r="A85" s="24" t="str">
        <f>_xlfn.XLOOKUP(B85,'Paso 3 Redacción RA '!I$3:I$15,'Paso 3 Redacción RA '!C$3:C$15,,0,1)</f>
        <v>Saberser</v>
      </c>
      <c r="B85" s="16" t="s">
        <v>630</v>
      </c>
      <c r="C85" s="155">
        <v>5</v>
      </c>
      <c r="D85" s="155" t="s">
        <v>718</v>
      </c>
      <c r="E85" s="151" t="s">
        <v>719</v>
      </c>
      <c r="F85" s="144" t="s">
        <v>120</v>
      </c>
      <c r="G85" s="144"/>
      <c r="H85" s="144" t="s">
        <v>121</v>
      </c>
      <c r="I85" s="144"/>
      <c r="J85" s="144">
        <v>3</v>
      </c>
      <c r="K85" s="144">
        <f>12*J85</f>
        <v>36</v>
      </c>
      <c r="L85" s="144">
        <f>36*J85</f>
        <v>108</v>
      </c>
      <c r="M85" s="144">
        <f>SUM(K85:L85)</f>
        <v>144</v>
      </c>
      <c r="N85" s="170" t="s">
        <v>766</v>
      </c>
      <c r="O85" s="170" t="s">
        <v>125</v>
      </c>
      <c r="P85" s="170" t="s">
        <v>783</v>
      </c>
      <c r="Q85" s="170" t="s">
        <v>122</v>
      </c>
      <c r="R85" s="24"/>
    </row>
    <row r="86" spans="1:18" s="50" customFormat="1" ht="49.5" x14ac:dyDescent="0.35">
      <c r="A86" s="24" t="str">
        <f>_xlfn.XLOOKUP(B86,'Paso 3 Redacción RA '!I$3:I$15,'Paso 3 Redacción RA '!C$3:C$15,,0,1)</f>
        <v>Saber</v>
      </c>
      <c r="B86" s="16" t="s">
        <v>631</v>
      </c>
      <c r="C86" s="132"/>
      <c r="D86" s="132"/>
      <c r="E86" s="136"/>
      <c r="F86" s="134"/>
      <c r="G86" s="134"/>
      <c r="H86" s="134"/>
      <c r="I86" s="134"/>
      <c r="J86" s="134"/>
      <c r="K86" s="134"/>
      <c r="L86" s="134"/>
      <c r="M86" s="134"/>
      <c r="N86" s="171"/>
      <c r="O86" s="171"/>
      <c r="P86" s="171"/>
      <c r="Q86" s="171"/>
      <c r="R86" s="24"/>
    </row>
    <row r="87" spans="1:18" s="50" customFormat="1" ht="50" thickBot="1" x14ac:dyDescent="0.4">
      <c r="A87" s="97" t="str">
        <f>_xlfn.XLOOKUP(B87,'Paso 3 Redacción RA '!I$3:I$15,'Paso 3 Redacción RA '!C$3:C$15,,0,1)</f>
        <v>Saberhacer</v>
      </c>
      <c r="B87" s="27" t="s">
        <v>632</v>
      </c>
      <c r="C87" s="150"/>
      <c r="D87" s="150"/>
      <c r="E87" s="136"/>
      <c r="F87" s="174"/>
      <c r="G87" s="174"/>
      <c r="H87" s="174"/>
      <c r="I87" s="174"/>
      <c r="J87" s="174"/>
      <c r="K87" s="174"/>
      <c r="L87" s="174"/>
      <c r="M87" s="174"/>
      <c r="N87" s="175"/>
      <c r="O87" s="172"/>
      <c r="P87" s="172"/>
      <c r="Q87" s="172"/>
      <c r="R87" s="24"/>
    </row>
    <row r="88" spans="1:18" s="50" customFormat="1" ht="32.5" customHeight="1" x14ac:dyDescent="0.35">
      <c r="A88" s="24" t="str">
        <f>_xlfn.XLOOKUP(B88,'Paso 3 Redacción RA '!I$3:I$15,'Paso 3 Redacción RA '!C$3:C$15,,0,1)</f>
        <v>Saberhacer</v>
      </c>
      <c r="B88" s="16" t="s">
        <v>632</v>
      </c>
      <c r="C88" s="155">
        <v>5</v>
      </c>
      <c r="D88" s="173" t="s">
        <v>720</v>
      </c>
      <c r="E88" s="151" t="s">
        <v>721</v>
      </c>
      <c r="F88" s="134" t="s">
        <v>120</v>
      </c>
      <c r="G88" s="134"/>
      <c r="H88" s="134" t="s">
        <v>121</v>
      </c>
      <c r="I88" s="134"/>
      <c r="J88" s="134">
        <v>3</v>
      </c>
      <c r="K88" s="134">
        <f>12*J88</f>
        <v>36</v>
      </c>
      <c r="L88" s="134">
        <f>36*J88</f>
        <v>108</v>
      </c>
      <c r="M88" s="134">
        <f>SUM(K88:L88)</f>
        <v>144</v>
      </c>
      <c r="N88" s="171" t="s">
        <v>767</v>
      </c>
      <c r="O88" s="170" t="s">
        <v>125</v>
      </c>
      <c r="P88" s="170" t="s">
        <v>783</v>
      </c>
      <c r="Q88" s="170" t="s">
        <v>122</v>
      </c>
      <c r="R88" s="24"/>
    </row>
    <row r="89" spans="1:18" s="50" customFormat="1" ht="49.5" x14ac:dyDescent="0.35">
      <c r="A89" s="24" t="str">
        <f>_xlfn.XLOOKUP(B89,'Paso 3 Redacción RA '!I$3:I$15,'Paso 3 Redacción RA '!C$3:C$15,,0,1)</f>
        <v>Saber</v>
      </c>
      <c r="B89" s="16" t="s">
        <v>633</v>
      </c>
      <c r="C89" s="132"/>
      <c r="D89" s="159"/>
      <c r="E89" s="136"/>
      <c r="F89" s="134"/>
      <c r="G89" s="134"/>
      <c r="H89" s="134"/>
      <c r="I89" s="134"/>
      <c r="J89" s="134"/>
      <c r="K89" s="134"/>
      <c r="L89" s="134"/>
      <c r="M89" s="134"/>
      <c r="N89" s="171"/>
      <c r="O89" s="171"/>
      <c r="P89" s="171"/>
      <c r="Q89" s="171"/>
      <c r="R89" s="24"/>
    </row>
    <row r="90" spans="1:18" s="50" customFormat="1" ht="50" thickBot="1" x14ac:dyDescent="0.4">
      <c r="A90" s="97" t="str">
        <f>_xlfn.XLOOKUP(B90,'Paso 3 Redacción RA '!I$3:I$15,'Paso 3 Redacción RA '!C$3:C$15,,0,1)</f>
        <v>Saberhacer</v>
      </c>
      <c r="B90" s="27" t="s">
        <v>634</v>
      </c>
      <c r="C90" s="150"/>
      <c r="D90" s="160"/>
      <c r="E90" s="148"/>
      <c r="F90" s="157"/>
      <c r="G90" s="157"/>
      <c r="H90" s="157"/>
      <c r="I90" s="157"/>
      <c r="J90" s="157"/>
      <c r="K90" s="157"/>
      <c r="L90" s="157"/>
      <c r="M90" s="157"/>
      <c r="N90" s="172"/>
      <c r="O90" s="172"/>
      <c r="P90" s="172"/>
      <c r="Q90" s="172"/>
      <c r="R90" s="24">
        <f>SUM(J68:J90)</f>
        <v>18</v>
      </c>
    </row>
    <row r="91" spans="1:18" s="50" customFormat="1" ht="49.5" x14ac:dyDescent="0.35">
      <c r="A91" s="24" t="str">
        <f>_xlfn.XLOOKUP(B91,'Paso 3 Redacción RA '!I$3:I$15,'Paso 3 Redacción RA '!C$3:C$15,,0,1)</f>
        <v>Saber</v>
      </c>
      <c r="B91" s="16" t="s">
        <v>628</v>
      </c>
      <c r="C91" s="155">
        <v>6</v>
      </c>
      <c r="D91" s="155" t="s">
        <v>722</v>
      </c>
      <c r="E91" s="164" t="s">
        <v>723</v>
      </c>
      <c r="F91" s="144" t="s">
        <v>120</v>
      </c>
      <c r="G91" s="144"/>
      <c r="H91" s="144" t="s">
        <v>121</v>
      </c>
      <c r="I91" s="144"/>
      <c r="J91" s="144">
        <v>4</v>
      </c>
      <c r="K91" s="144">
        <f>12*J91</f>
        <v>48</v>
      </c>
      <c r="L91" s="144">
        <f>36*J91</f>
        <v>144</v>
      </c>
      <c r="M91" s="144">
        <f>SUM(K91:L91)</f>
        <v>192</v>
      </c>
      <c r="N91" s="170" t="s">
        <v>768</v>
      </c>
      <c r="O91" s="170" t="s">
        <v>125</v>
      </c>
      <c r="P91" s="170" t="s">
        <v>783</v>
      </c>
      <c r="Q91" s="170" t="s">
        <v>122</v>
      </c>
      <c r="R91" s="24"/>
    </row>
    <row r="92" spans="1:18" s="50" customFormat="1" ht="49.5" x14ac:dyDescent="0.35">
      <c r="A92" s="24" t="str">
        <f>_xlfn.XLOOKUP(B92,'Paso 3 Redacción RA '!I$3:I$15,'Paso 3 Redacción RA '!C$3:C$15,,0,1)</f>
        <v>Saberser</v>
      </c>
      <c r="B92" s="16" t="s">
        <v>630</v>
      </c>
      <c r="C92" s="132"/>
      <c r="D92" s="132"/>
      <c r="E92" s="162"/>
      <c r="F92" s="134"/>
      <c r="G92" s="134"/>
      <c r="H92" s="134"/>
      <c r="I92" s="134"/>
      <c r="J92" s="134"/>
      <c r="K92" s="134"/>
      <c r="L92" s="134"/>
      <c r="M92" s="134"/>
      <c r="N92" s="171"/>
      <c r="O92" s="171"/>
      <c r="P92" s="171"/>
      <c r="Q92" s="171"/>
      <c r="R92" s="24"/>
    </row>
    <row r="93" spans="1:18" s="50" customFormat="1" ht="49.5" x14ac:dyDescent="0.35">
      <c r="A93" s="24" t="str">
        <f>_xlfn.XLOOKUP(B93,'Paso 3 Redacción RA '!I$3:I$15,'Paso 3 Redacción RA '!C$3:C$15,,0,1)</f>
        <v>Saber</v>
      </c>
      <c r="B93" s="16" t="s">
        <v>631</v>
      </c>
      <c r="C93" s="132"/>
      <c r="D93" s="132"/>
      <c r="E93" s="162"/>
      <c r="F93" s="134"/>
      <c r="G93" s="134"/>
      <c r="H93" s="134"/>
      <c r="I93" s="134"/>
      <c r="J93" s="134"/>
      <c r="K93" s="134"/>
      <c r="L93" s="134"/>
      <c r="M93" s="134"/>
      <c r="N93" s="171"/>
      <c r="O93" s="171"/>
      <c r="P93" s="171"/>
      <c r="Q93" s="171"/>
      <c r="R93" s="24"/>
    </row>
    <row r="94" spans="1:18" s="50" customFormat="1" ht="50" thickBot="1" x14ac:dyDescent="0.4">
      <c r="A94" s="97" t="str">
        <f>_xlfn.XLOOKUP(B94,'Paso 3 Redacción RA '!I$3:I$15,'Paso 3 Redacción RA '!C$3:C$15,,0,1)</f>
        <v>Saberhacer</v>
      </c>
      <c r="B94" s="27" t="s">
        <v>632</v>
      </c>
      <c r="C94" s="150"/>
      <c r="D94" s="150"/>
      <c r="E94" s="163"/>
      <c r="F94" s="157"/>
      <c r="G94" s="157"/>
      <c r="H94" s="157"/>
      <c r="I94" s="157"/>
      <c r="J94" s="157"/>
      <c r="K94" s="157"/>
      <c r="L94" s="157"/>
      <c r="M94" s="157"/>
      <c r="N94" s="172"/>
      <c r="O94" s="172"/>
      <c r="P94" s="172"/>
      <c r="Q94" s="172"/>
      <c r="R94" s="24"/>
    </row>
    <row r="95" spans="1:18" s="50" customFormat="1" ht="49.5" x14ac:dyDescent="0.35">
      <c r="A95" s="24" t="str">
        <f>_xlfn.XLOOKUP(B95,'Paso 3 Redacción RA '!I$3:I$15,'Paso 3 Redacción RA '!C$3:C$15,,0,1)</f>
        <v>Saber</v>
      </c>
      <c r="B95" s="16" t="s">
        <v>628</v>
      </c>
      <c r="C95" s="155">
        <v>6</v>
      </c>
      <c r="D95" s="155" t="s">
        <v>724</v>
      </c>
      <c r="E95" s="164" t="s">
        <v>725</v>
      </c>
      <c r="F95" s="144" t="s">
        <v>120</v>
      </c>
      <c r="G95" s="144"/>
      <c r="H95" s="144" t="s">
        <v>121</v>
      </c>
      <c r="I95" s="144"/>
      <c r="J95" s="144">
        <v>3</v>
      </c>
      <c r="K95" s="144">
        <f>12*J95</f>
        <v>36</v>
      </c>
      <c r="L95" s="144">
        <f>36*J95</f>
        <v>108</v>
      </c>
      <c r="M95" s="144">
        <f>SUM(K95:L95)</f>
        <v>144</v>
      </c>
      <c r="N95" s="170" t="s">
        <v>769</v>
      </c>
      <c r="O95" s="170" t="s">
        <v>125</v>
      </c>
      <c r="P95" s="170" t="s">
        <v>783</v>
      </c>
      <c r="Q95" s="170" t="s">
        <v>122</v>
      </c>
      <c r="R95" s="24"/>
    </row>
    <row r="96" spans="1:18" s="50" customFormat="1" ht="49.5" x14ac:dyDescent="0.35">
      <c r="A96" s="24" t="str">
        <f>_xlfn.XLOOKUP(B96,'Paso 3 Redacción RA '!I$3:I$15,'Paso 3 Redacción RA '!C$3:C$15,,0,1)</f>
        <v>Saberhacer</v>
      </c>
      <c r="B96" s="16" t="s">
        <v>629</v>
      </c>
      <c r="C96" s="132"/>
      <c r="D96" s="132"/>
      <c r="E96" s="162"/>
      <c r="F96" s="134"/>
      <c r="G96" s="134"/>
      <c r="H96" s="134"/>
      <c r="I96" s="134"/>
      <c r="J96" s="134"/>
      <c r="K96" s="134"/>
      <c r="L96" s="134"/>
      <c r="M96" s="134"/>
      <c r="N96" s="171"/>
      <c r="O96" s="171"/>
      <c r="P96" s="171"/>
      <c r="Q96" s="171"/>
      <c r="R96" s="24"/>
    </row>
    <row r="97" spans="1:18" s="50" customFormat="1" ht="49.5" x14ac:dyDescent="0.35">
      <c r="A97" s="24" t="str">
        <f>_xlfn.XLOOKUP(B97,'Paso 3 Redacción RA '!I$3:I$15,'Paso 3 Redacción RA '!C$3:C$15,,0,1)</f>
        <v>Saberser</v>
      </c>
      <c r="B97" s="16" t="s">
        <v>630</v>
      </c>
      <c r="C97" s="132"/>
      <c r="D97" s="132"/>
      <c r="E97" s="162"/>
      <c r="F97" s="134"/>
      <c r="G97" s="134"/>
      <c r="H97" s="134"/>
      <c r="I97" s="134"/>
      <c r="J97" s="134"/>
      <c r="K97" s="134"/>
      <c r="L97" s="134"/>
      <c r="M97" s="134"/>
      <c r="N97" s="171"/>
      <c r="O97" s="171"/>
      <c r="P97" s="171"/>
      <c r="Q97" s="171"/>
      <c r="R97" s="24"/>
    </row>
    <row r="98" spans="1:18" s="50" customFormat="1" ht="49.5" x14ac:dyDescent="0.35">
      <c r="A98" s="24" t="str">
        <f>_xlfn.XLOOKUP(B98,'Paso 3 Redacción RA '!I$3:I$15,'Paso 3 Redacción RA '!C$3:C$15,,0,1)</f>
        <v>Saber</v>
      </c>
      <c r="B98" s="16" t="s">
        <v>631</v>
      </c>
      <c r="C98" s="132"/>
      <c r="D98" s="132"/>
      <c r="E98" s="162"/>
      <c r="F98" s="134"/>
      <c r="G98" s="134"/>
      <c r="H98" s="134"/>
      <c r="I98" s="134"/>
      <c r="J98" s="134"/>
      <c r="K98" s="134"/>
      <c r="L98" s="134"/>
      <c r="M98" s="134"/>
      <c r="N98" s="171"/>
      <c r="O98" s="171"/>
      <c r="P98" s="171"/>
      <c r="Q98" s="171"/>
      <c r="R98" s="24"/>
    </row>
    <row r="99" spans="1:18" s="50" customFormat="1" ht="50" thickBot="1" x14ac:dyDescent="0.4">
      <c r="A99" s="97" t="str">
        <f>_xlfn.XLOOKUP(B99,'Paso 3 Redacción RA '!I$3:I$15,'Paso 3 Redacción RA '!C$3:C$15,,0,1)</f>
        <v>Saberhacer</v>
      </c>
      <c r="B99" s="27" t="s">
        <v>632</v>
      </c>
      <c r="C99" s="150"/>
      <c r="D99" s="150"/>
      <c r="E99" s="163"/>
      <c r="F99" s="157"/>
      <c r="G99" s="157"/>
      <c r="H99" s="157"/>
      <c r="I99" s="157"/>
      <c r="J99" s="157"/>
      <c r="K99" s="157"/>
      <c r="L99" s="157"/>
      <c r="M99" s="157"/>
      <c r="N99" s="172"/>
      <c r="O99" s="172"/>
      <c r="P99" s="172"/>
      <c r="Q99" s="172"/>
      <c r="R99" s="24"/>
    </row>
    <row r="100" spans="1:18" s="50" customFormat="1" ht="49.5" x14ac:dyDescent="0.35">
      <c r="A100" s="24" t="str">
        <f>_xlfn.XLOOKUP(B100,'Paso 3 Redacción RA '!I$3:I$15,'Paso 3 Redacción RA '!C$3:C$15,,0,1)</f>
        <v>Saberhacer</v>
      </c>
      <c r="B100" s="16" t="s">
        <v>629</v>
      </c>
      <c r="C100" s="155">
        <v>6</v>
      </c>
      <c r="D100" s="155" t="s">
        <v>726</v>
      </c>
      <c r="E100" s="164" t="s">
        <v>727</v>
      </c>
      <c r="F100" s="144" t="s">
        <v>120</v>
      </c>
      <c r="G100" s="144"/>
      <c r="H100" s="144" t="s">
        <v>121</v>
      </c>
      <c r="I100" s="144"/>
      <c r="J100" s="144">
        <v>3</v>
      </c>
      <c r="K100" s="144">
        <f>12*J100</f>
        <v>36</v>
      </c>
      <c r="L100" s="144">
        <f>36*J100</f>
        <v>108</v>
      </c>
      <c r="M100" s="144">
        <f>SUM(K100:L100)</f>
        <v>144</v>
      </c>
      <c r="N100" s="170" t="s">
        <v>770</v>
      </c>
      <c r="O100" s="170" t="s">
        <v>125</v>
      </c>
      <c r="P100" s="170" t="s">
        <v>783</v>
      </c>
      <c r="Q100" s="170" t="s">
        <v>122</v>
      </c>
      <c r="R100" s="24"/>
    </row>
    <row r="101" spans="1:18" s="50" customFormat="1" ht="49.5" x14ac:dyDescent="0.35">
      <c r="A101" s="24" t="str">
        <f>_xlfn.XLOOKUP(B101,'Paso 3 Redacción RA '!I$3:I$15,'Paso 3 Redacción RA '!C$3:C$15,,0,1)</f>
        <v>Saber</v>
      </c>
      <c r="B101" s="16" t="s">
        <v>631</v>
      </c>
      <c r="C101" s="132"/>
      <c r="D101" s="132"/>
      <c r="E101" s="162"/>
      <c r="F101" s="134"/>
      <c r="G101" s="134"/>
      <c r="H101" s="134"/>
      <c r="I101" s="134"/>
      <c r="J101" s="134"/>
      <c r="K101" s="134"/>
      <c r="L101" s="134"/>
      <c r="M101" s="134"/>
      <c r="N101" s="171"/>
      <c r="O101" s="171"/>
      <c r="P101" s="171"/>
      <c r="Q101" s="171"/>
      <c r="R101" s="24"/>
    </row>
    <row r="102" spans="1:18" s="50" customFormat="1" ht="49.5" x14ac:dyDescent="0.35">
      <c r="A102" s="24" t="str">
        <f>_xlfn.XLOOKUP(B102,'Paso 3 Redacción RA '!I$3:I$15,'Paso 3 Redacción RA '!C$3:C$15,,0,1)</f>
        <v>Saberhacer</v>
      </c>
      <c r="B102" s="16" t="s">
        <v>632</v>
      </c>
      <c r="C102" s="132"/>
      <c r="D102" s="132"/>
      <c r="E102" s="162"/>
      <c r="F102" s="134"/>
      <c r="G102" s="134"/>
      <c r="H102" s="134"/>
      <c r="I102" s="134"/>
      <c r="J102" s="134"/>
      <c r="K102" s="134"/>
      <c r="L102" s="134"/>
      <c r="M102" s="134"/>
      <c r="N102" s="171"/>
      <c r="O102" s="171"/>
      <c r="P102" s="171"/>
      <c r="Q102" s="171"/>
      <c r="R102" s="24"/>
    </row>
    <row r="103" spans="1:18" s="50" customFormat="1" ht="50" thickBot="1" x14ac:dyDescent="0.4">
      <c r="A103" s="97" t="str">
        <f>_xlfn.XLOOKUP(B103,'Paso 3 Redacción RA '!I$3:I$15,'Paso 3 Redacción RA '!C$3:C$15,,0,1)</f>
        <v>Saber</v>
      </c>
      <c r="B103" s="27" t="s">
        <v>633</v>
      </c>
      <c r="C103" s="150"/>
      <c r="D103" s="150"/>
      <c r="E103" s="163"/>
      <c r="F103" s="157"/>
      <c r="G103" s="157"/>
      <c r="H103" s="157"/>
      <c r="I103" s="157"/>
      <c r="J103" s="157"/>
      <c r="K103" s="157"/>
      <c r="L103" s="157"/>
      <c r="M103" s="157"/>
      <c r="N103" s="172"/>
      <c r="O103" s="172"/>
      <c r="P103" s="172"/>
      <c r="Q103" s="172"/>
      <c r="R103" s="24"/>
    </row>
    <row r="104" spans="1:18" s="50" customFormat="1" ht="32.5" customHeight="1" x14ac:dyDescent="0.35">
      <c r="A104" s="24" t="str">
        <f>_xlfn.XLOOKUP(B104,'Paso 3 Redacción RA '!I$3:I$15,'Paso 3 Redacción RA '!C$3:C$15,,0,1)</f>
        <v>Saberhacer</v>
      </c>
      <c r="B104" s="16" t="s">
        <v>632</v>
      </c>
      <c r="C104" s="155">
        <v>6</v>
      </c>
      <c r="D104" s="155" t="s">
        <v>728</v>
      </c>
      <c r="E104" s="151" t="s">
        <v>729</v>
      </c>
      <c r="F104" s="144" t="s">
        <v>120</v>
      </c>
      <c r="G104" s="144"/>
      <c r="H104" s="144" t="s">
        <v>121</v>
      </c>
      <c r="I104" s="144"/>
      <c r="J104" s="144">
        <v>4</v>
      </c>
      <c r="K104" s="144">
        <f>12*J104</f>
        <v>48</v>
      </c>
      <c r="L104" s="144">
        <f>36*J104</f>
        <v>144</v>
      </c>
      <c r="M104" s="144">
        <f>SUM(K104:L104)</f>
        <v>192</v>
      </c>
      <c r="N104" s="170" t="s">
        <v>771</v>
      </c>
      <c r="O104" s="170" t="s">
        <v>125</v>
      </c>
      <c r="P104" s="170" t="s">
        <v>783</v>
      </c>
      <c r="Q104" s="170" t="s">
        <v>122</v>
      </c>
      <c r="R104" s="24"/>
    </row>
    <row r="105" spans="1:18" s="50" customFormat="1" ht="49.5" x14ac:dyDescent="0.35">
      <c r="A105" s="24" t="str">
        <f>_xlfn.XLOOKUP(B105,'Paso 3 Redacción RA '!I$3:I$15,'Paso 3 Redacción RA '!C$3:C$15,,0,1)</f>
        <v>Saber</v>
      </c>
      <c r="B105" s="16" t="s">
        <v>633</v>
      </c>
      <c r="C105" s="132"/>
      <c r="D105" s="132"/>
      <c r="E105" s="136"/>
      <c r="F105" s="134"/>
      <c r="G105" s="134"/>
      <c r="H105" s="134"/>
      <c r="I105" s="134"/>
      <c r="J105" s="134"/>
      <c r="K105" s="134"/>
      <c r="L105" s="134"/>
      <c r="M105" s="134"/>
      <c r="N105" s="171"/>
      <c r="O105" s="171"/>
      <c r="P105" s="171"/>
      <c r="Q105" s="171"/>
      <c r="R105" s="24"/>
    </row>
    <row r="106" spans="1:18" s="50" customFormat="1" ht="50" thickBot="1" x14ac:dyDescent="0.4">
      <c r="A106" s="97" t="str">
        <f>_xlfn.XLOOKUP(B106,'Paso 3 Redacción RA '!I$3:I$15,'Paso 3 Redacción RA '!C$3:C$15,,0,1)</f>
        <v>Saberhacer</v>
      </c>
      <c r="B106" s="27" t="s">
        <v>634</v>
      </c>
      <c r="C106" s="150"/>
      <c r="D106" s="150"/>
      <c r="E106" s="148"/>
      <c r="F106" s="157"/>
      <c r="G106" s="157"/>
      <c r="H106" s="157"/>
      <c r="I106" s="157"/>
      <c r="J106" s="157"/>
      <c r="K106" s="157"/>
      <c r="L106" s="157"/>
      <c r="M106" s="157"/>
      <c r="N106" s="172"/>
      <c r="O106" s="172"/>
      <c r="P106" s="172"/>
      <c r="Q106" s="172"/>
      <c r="R106" s="24"/>
    </row>
    <row r="107" spans="1:18" s="50" customFormat="1" ht="49" customHeight="1" x14ac:dyDescent="0.35">
      <c r="A107" s="24" t="str">
        <f>_xlfn.XLOOKUP(B107,'Paso 3 Redacción RA '!I$3:I$15,'Paso 3 Redacción RA '!C$3:C$15,,0,1)</f>
        <v>Saberhacer</v>
      </c>
      <c r="B107" s="16" t="s">
        <v>632</v>
      </c>
      <c r="C107" s="155">
        <v>6</v>
      </c>
      <c r="D107" s="155" t="s">
        <v>730</v>
      </c>
      <c r="E107" s="151" t="s">
        <v>731</v>
      </c>
      <c r="F107" s="144" t="s">
        <v>120</v>
      </c>
      <c r="G107" s="144"/>
      <c r="H107" s="144" t="s">
        <v>121</v>
      </c>
      <c r="I107" s="144"/>
      <c r="J107" s="144">
        <v>3</v>
      </c>
      <c r="K107" s="144">
        <f>12*J107</f>
        <v>36</v>
      </c>
      <c r="L107" s="144">
        <f>36*J107</f>
        <v>108</v>
      </c>
      <c r="M107" s="144">
        <f>SUM(K107:L107)</f>
        <v>144</v>
      </c>
      <c r="N107" s="170" t="s">
        <v>772</v>
      </c>
      <c r="O107" s="170" t="s">
        <v>125</v>
      </c>
      <c r="P107" s="170" t="s">
        <v>783</v>
      </c>
      <c r="Q107" s="170" t="s">
        <v>122</v>
      </c>
      <c r="R107" s="24"/>
    </row>
    <row r="108" spans="1:18" s="50" customFormat="1" ht="49.5" x14ac:dyDescent="0.35">
      <c r="A108" s="24" t="str">
        <f>_xlfn.XLOOKUP(B108,'Paso 3 Redacción RA '!I$3:I$15,'Paso 3 Redacción RA '!C$3:C$15,,0,1)</f>
        <v>Saber</v>
      </c>
      <c r="B108" s="16" t="s">
        <v>633</v>
      </c>
      <c r="C108" s="132"/>
      <c r="D108" s="132"/>
      <c r="E108" s="136"/>
      <c r="F108" s="134"/>
      <c r="G108" s="134"/>
      <c r="H108" s="134"/>
      <c r="I108" s="134"/>
      <c r="J108" s="134"/>
      <c r="K108" s="134"/>
      <c r="L108" s="134"/>
      <c r="M108" s="134"/>
      <c r="N108" s="171"/>
      <c r="O108" s="171"/>
      <c r="P108" s="171"/>
      <c r="Q108" s="171"/>
      <c r="R108" s="24"/>
    </row>
    <row r="109" spans="1:18" s="50" customFormat="1" ht="50" thickBot="1" x14ac:dyDescent="0.4">
      <c r="A109" s="97" t="str">
        <f>_xlfn.XLOOKUP(B109,'Paso 3 Redacción RA '!I$3:I$15,'Paso 3 Redacción RA '!C$3:C$15,,0,1)</f>
        <v>Saberhacer</v>
      </c>
      <c r="B109" s="27" t="s">
        <v>634</v>
      </c>
      <c r="C109" s="150"/>
      <c r="D109" s="150"/>
      <c r="E109" s="148"/>
      <c r="F109" s="157"/>
      <c r="G109" s="157"/>
      <c r="H109" s="157"/>
      <c r="I109" s="157"/>
      <c r="J109" s="157"/>
      <c r="K109" s="157"/>
      <c r="L109" s="157"/>
      <c r="M109" s="157"/>
      <c r="N109" s="172"/>
      <c r="O109" s="172"/>
      <c r="P109" s="172"/>
      <c r="Q109" s="172"/>
      <c r="R109" s="24">
        <f>SUM(J91:J109)</f>
        <v>17</v>
      </c>
    </row>
    <row r="110" spans="1:18" s="50" customFormat="1" ht="49.5" x14ac:dyDescent="0.35">
      <c r="A110" s="24" t="str">
        <f>_xlfn.XLOOKUP(B110,'Paso 3 Redacción RA '!I$3:I$15,'Paso 3 Redacción RA '!C$3:C$15,,0,1)</f>
        <v>Saber</v>
      </c>
      <c r="B110" s="16" t="s">
        <v>631</v>
      </c>
      <c r="C110" s="155">
        <v>7</v>
      </c>
      <c r="D110" s="155" t="s">
        <v>732</v>
      </c>
      <c r="E110" s="151" t="s">
        <v>733</v>
      </c>
      <c r="F110" s="144" t="s">
        <v>120</v>
      </c>
      <c r="G110" s="144"/>
      <c r="H110" s="144" t="s">
        <v>121</v>
      </c>
      <c r="I110" s="144"/>
      <c r="J110" s="144">
        <v>3</v>
      </c>
      <c r="K110" s="144">
        <f>12*J110</f>
        <v>36</v>
      </c>
      <c r="L110" s="144">
        <f>36*J110</f>
        <v>108</v>
      </c>
      <c r="M110" s="144">
        <f>SUM(K110:L110)</f>
        <v>144</v>
      </c>
      <c r="N110" s="170" t="s">
        <v>773</v>
      </c>
      <c r="O110" s="170" t="s">
        <v>125</v>
      </c>
      <c r="P110" s="170" t="s">
        <v>783</v>
      </c>
      <c r="Q110" s="170" t="s">
        <v>122</v>
      </c>
      <c r="R110" s="24"/>
    </row>
    <row r="111" spans="1:18" s="50" customFormat="1" ht="49.5" x14ac:dyDescent="0.35">
      <c r="A111" s="24" t="str">
        <f>_xlfn.XLOOKUP(B111,'Paso 3 Redacción RA '!I$3:I$15,'Paso 3 Redacción RA '!C$3:C$15,,0,1)</f>
        <v>Saberhacer</v>
      </c>
      <c r="B111" s="16" t="s">
        <v>632</v>
      </c>
      <c r="C111" s="132"/>
      <c r="D111" s="132"/>
      <c r="E111" s="136"/>
      <c r="F111" s="134"/>
      <c r="G111" s="134"/>
      <c r="H111" s="134"/>
      <c r="I111" s="134"/>
      <c r="J111" s="134"/>
      <c r="K111" s="134"/>
      <c r="L111" s="134"/>
      <c r="M111" s="134"/>
      <c r="N111" s="171"/>
      <c r="O111" s="171"/>
      <c r="P111" s="171"/>
      <c r="Q111" s="171"/>
      <c r="R111" s="24"/>
    </row>
    <row r="112" spans="1:18" s="50" customFormat="1" ht="49.5" x14ac:dyDescent="0.35">
      <c r="A112" s="24" t="str">
        <f>_xlfn.XLOOKUP(B112,'Paso 3 Redacción RA '!I$3:I$15,'Paso 3 Redacción RA '!C$3:C$15,,0,1)</f>
        <v>Saber</v>
      </c>
      <c r="B112" s="16" t="s">
        <v>633</v>
      </c>
      <c r="C112" s="132"/>
      <c r="D112" s="132"/>
      <c r="E112" s="136"/>
      <c r="F112" s="134"/>
      <c r="G112" s="134"/>
      <c r="H112" s="134"/>
      <c r="I112" s="134"/>
      <c r="J112" s="134"/>
      <c r="K112" s="134"/>
      <c r="L112" s="134"/>
      <c r="M112" s="134"/>
      <c r="N112" s="171"/>
      <c r="O112" s="171"/>
      <c r="P112" s="171"/>
      <c r="Q112" s="171"/>
      <c r="R112" s="24"/>
    </row>
    <row r="113" spans="1:18" s="50" customFormat="1" ht="50" thickBot="1" x14ac:dyDescent="0.4">
      <c r="A113" s="97" t="str">
        <f>_xlfn.XLOOKUP(B113,'Paso 3 Redacción RA '!I$3:I$15,'Paso 3 Redacción RA '!C$3:C$15,,0,1)</f>
        <v>Saberhacer</v>
      </c>
      <c r="B113" s="27" t="s">
        <v>634</v>
      </c>
      <c r="C113" s="150"/>
      <c r="D113" s="150"/>
      <c r="E113" s="148"/>
      <c r="F113" s="157"/>
      <c r="G113" s="157"/>
      <c r="H113" s="157"/>
      <c r="I113" s="157"/>
      <c r="J113" s="157"/>
      <c r="K113" s="157"/>
      <c r="L113" s="157"/>
      <c r="M113" s="157"/>
      <c r="N113" s="172"/>
      <c r="O113" s="172"/>
      <c r="P113" s="172"/>
      <c r="Q113" s="172"/>
      <c r="R113" s="24"/>
    </row>
    <row r="114" spans="1:18" s="50" customFormat="1" ht="65.5" customHeight="1" x14ac:dyDescent="0.35">
      <c r="A114" s="24" t="str">
        <f>_xlfn.XLOOKUP(B114,'Paso 3 Redacción RA '!I$3:I$15,'Paso 3 Redacción RA '!C$3:C$15,,0,1)</f>
        <v>Saber</v>
      </c>
      <c r="B114" s="16" t="s">
        <v>628</v>
      </c>
      <c r="C114" s="155">
        <v>7</v>
      </c>
      <c r="D114" s="155" t="s">
        <v>734</v>
      </c>
      <c r="E114" s="164" t="s">
        <v>735</v>
      </c>
      <c r="F114" s="144" t="s">
        <v>120</v>
      </c>
      <c r="G114" s="144"/>
      <c r="H114" s="144" t="s">
        <v>121</v>
      </c>
      <c r="I114" s="144"/>
      <c r="J114" s="144">
        <v>3</v>
      </c>
      <c r="K114" s="144">
        <f>12*J114</f>
        <v>36</v>
      </c>
      <c r="L114" s="144">
        <f>36*J114</f>
        <v>108</v>
      </c>
      <c r="M114" s="144">
        <f>SUM(K114:L114)</f>
        <v>144</v>
      </c>
      <c r="N114" s="170" t="s">
        <v>774</v>
      </c>
      <c r="O114" s="170" t="s">
        <v>125</v>
      </c>
      <c r="P114" s="170" t="s">
        <v>783</v>
      </c>
      <c r="Q114" s="170" t="s">
        <v>122</v>
      </c>
      <c r="R114" s="24"/>
    </row>
    <row r="115" spans="1:18" s="50" customFormat="1" ht="49.5" x14ac:dyDescent="0.35">
      <c r="A115" s="24" t="str">
        <f>_xlfn.XLOOKUP(B115,'Paso 3 Redacción RA '!I$3:I$15,'Paso 3 Redacción RA '!C$3:C$15,,0,1)</f>
        <v>Saberser</v>
      </c>
      <c r="B115" s="16" t="s">
        <v>630</v>
      </c>
      <c r="C115" s="132"/>
      <c r="D115" s="132"/>
      <c r="E115" s="162"/>
      <c r="F115" s="134"/>
      <c r="G115" s="134"/>
      <c r="H115" s="134"/>
      <c r="I115" s="134"/>
      <c r="J115" s="134"/>
      <c r="K115" s="134"/>
      <c r="L115" s="134"/>
      <c r="M115" s="134"/>
      <c r="N115" s="171"/>
      <c r="O115" s="171"/>
      <c r="P115" s="171"/>
      <c r="Q115" s="171"/>
      <c r="R115" s="24"/>
    </row>
    <row r="116" spans="1:18" s="50" customFormat="1" ht="49.5" x14ac:dyDescent="0.35">
      <c r="A116" s="24" t="str">
        <f>_xlfn.XLOOKUP(B116,'Paso 3 Redacción RA '!I$3:I$15,'Paso 3 Redacción RA '!C$3:C$15,,0,1)</f>
        <v>Saber</v>
      </c>
      <c r="B116" s="16" t="s">
        <v>631</v>
      </c>
      <c r="C116" s="132"/>
      <c r="D116" s="132"/>
      <c r="E116" s="162"/>
      <c r="F116" s="134"/>
      <c r="G116" s="134"/>
      <c r="H116" s="134"/>
      <c r="I116" s="134"/>
      <c r="J116" s="134"/>
      <c r="K116" s="134"/>
      <c r="L116" s="134"/>
      <c r="M116" s="134"/>
      <c r="N116" s="171"/>
      <c r="O116" s="171"/>
      <c r="P116" s="171"/>
      <c r="Q116" s="171"/>
      <c r="R116" s="24"/>
    </row>
    <row r="117" spans="1:18" s="50" customFormat="1" ht="50" thickBot="1" x14ac:dyDescent="0.4">
      <c r="A117" s="97" t="str">
        <f>_xlfn.XLOOKUP(B117,'Paso 3 Redacción RA '!I$3:I$15,'Paso 3 Redacción RA '!C$3:C$15,,0,1)</f>
        <v>Saberhacer</v>
      </c>
      <c r="B117" s="27" t="s">
        <v>632</v>
      </c>
      <c r="C117" s="150"/>
      <c r="D117" s="150"/>
      <c r="E117" s="163"/>
      <c r="F117" s="157"/>
      <c r="G117" s="157"/>
      <c r="H117" s="157"/>
      <c r="I117" s="157"/>
      <c r="J117" s="157"/>
      <c r="K117" s="157"/>
      <c r="L117" s="157"/>
      <c r="M117" s="157"/>
      <c r="N117" s="172"/>
      <c r="O117" s="172"/>
      <c r="P117" s="172"/>
      <c r="Q117" s="172"/>
      <c r="R117" s="24"/>
    </row>
    <row r="118" spans="1:18" s="50" customFormat="1" ht="32.5" customHeight="1" x14ac:dyDescent="0.35">
      <c r="A118" s="24" t="str">
        <f>_xlfn.XLOOKUP(B118,'Paso 3 Redacción RA '!I$3:I$15,'Paso 3 Redacción RA '!C$3:C$15,,0,1)</f>
        <v>Saber</v>
      </c>
      <c r="B118" s="16" t="s">
        <v>628</v>
      </c>
      <c r="C118" s="155">
        <v>7</v>
      </c>
      <c r="D118" s="155" t="s">
        <v>736</v>
      </c>
      <c r="E118" s="164" t="s">
        <v>737</v>
      </c>
      <c r="F118" s="144" t="s">
        <v>120</v>
      </c>
      <c r="G118" s="144"/>
      <c r="H118" s="144" t="s">
        <v>121</v>
      </c>
      <c r="I118" s="144"/>
      <c r="J118" s="144">
        <v>3</v>
      </c>
      <c r="K118" s="144">
        <f>12*J118</f>
        <v>36</v>
      </c>
      <c r="L118" s="144">
        <f>36*J118</f>
        <v>108</v>
      </c>
      <c r="M118" s="144">
        <f>SUM(K118:L118)</f>
        <v>144</v>
      </c>
      <c r="N118" s="170" t="s">
        <v>775</v>
      </c>
      <c r="O118" s="170" t="s">
        <v>125</v>
      </c>
      <c r="P118" s="170" t="s">
        <v>783</v>
      </c>
      <c r="Q118" s="170" t="s">
        <v>122</v>
      </c>
      <c r="R118" s="24"/>
    </row>
    <row r="119" spans="1:18" s="50" customFormat="1" ht="49.5" x14ac:dyDescent="0.35">
      <c r="A119" s="24" t="str">
        <f>_xlfn.XLOOKUP(B119,'Paso 3 Redacción RA '!I$3:I$15,'Paso 3 Redacción RA '!C$3:C$15,,0,1)</f>
        <v>Saberhacer</v>
      </c>
      <c r="B119" s="16" t="s">
        <v>629</v>
      </c>
      <c r="C119" s="132"/>
      <c r="D119" s="132"/>
      <c r="E119" s="162"/>
      <c r="F119" s="134"/>
      <c r="G119" s="134"/>
      <c r="H119" s="134"/>
      <c r="I119" s="134"/>
      <c r="J119" s="134"/>
      <c r="K119" s="134"/>
      <c r="L119" s="134"/>
      <c r="M119" s="134"/>
      <c r="N119" s="171"/>
      <c r="O119" s="171"/>
      <c r="P119" s="171"/>
      <c r="Q119" s="171"/>
      <c r="R119" s="24"/>
    </row>
    <row r="120" spans="1:18" s="50" customFormat="1" ht="49.5" x14ac:dyDescent="0.35">
      <c r="A120" s="24" t="str">
        <f>_xlfn.XLOOKUP(B120,'Paso 3 Redacción RA '!I$3:I$15,'Paso 3 Redacción RA '!C$3:C$15,,0,1)</f>
        <v>Saberser</v>
      </c>
      <c r="B120" s="16" t="s">
        <v>630</v>
      </c>
      <c r="C120" s="132"/>
      <c r="D120" s="132"/>
      <c r="E120" s="162"/>
      <c r="F120" s="134"/>
      <c r="G120" s="134"/>
      <c r="H120" s="134"/>
      <c r="I120" s="134"/>
      <c r="J120" s="134"/>
      <c r="K120" s="134"/>
      <c r="L120" s="134"/>
      <c r="M120" s="134"/>
      <c r="N120" s="171"/>
      <c r="O120" s="171"/>
      <c r="P120" s="171"/>
      <c r="Q120" s="171"/>
      <c r="R120" s="24"/>
    </row>
    <row r="121" spans="1:18" s="50" customFormat="1" ht="49.5" x14ac:dyDescent="0.35">
      <c r="A121" s="24" t="str">
        <f>_xlfn.XLOOKUP(B121,'Paso 3 Redacción RA '!I$3:I$15,'Paso 3 Redacción RA '!C$3:C$15,,0,1)</f>
        <v>Saber</v>
      </c>
      <c r="B121" s="16" t="s">
        <v>631</v>
      </c>
      <c r="C121" s="132"/>
      <c r="D121" s="132"/>
      <c r="E121" s="162"/>
      <c r="F121" s="134"/>
      <c r="G121" s="134"/>
      <c r="H121" s="134"/>
      <c r="I121" s="134"/>
      <c r="J121" s="134"/>
      <c r="K121" s="134"/>
      <c r="L121" s="134"/>
      <c r="M121" s="134"/>
      <c r="N121" s="171"/>
      <c r="O121" s="171"/>
      <c r="P121" s="171"/>
      <c r="Q121" s="171"/>
      <c r="R121" s="24"/>
    </row>
    <row r="122" spans="1:18" s="50" customFormat="1" ht="50" thickBot="1" x14ac:dyDescent="0.4">
      <c r="A122" s="97" t="str">
        <f>_xlfn.XLOOKUP(B122,'Paso 3 Redacción RA '!I$3:I$15,'Paso 3 Redacción RA '!C$3:C$15,,0,1)</f>
        <v>Saberhacer</v>
      </c>
      <c r="B122" s="27" t="s">
        <v>632</v>
      </c>
      <c r="C122" s="150"/>
      <c r="D122" s="150"/>
      <c r="E122" s="163"/>
      <c r="F122" s="157"/>
      <c r="G122" s="157"/>
      <c r="H122" s="157"/>
      <c r="I122" s="157"/>
      <c r="J122" s="157"/>
      <c r="K122" s="157"/>
      <c r="L122" s="157"/>
      <c r="M122" s="157"/>
      <c r="N122" s="172"/>
      <c r="O122" s="172"/>
      <c r="P122" s="172"/>
      <c r="Q122" s="172"/>
      <c r="R122" s="24"/>
    </row>
    <row r="123" spans="1:18" s="50" customFormat="1" ht="17" thickBot="1" x14ac:dyDescent="0.4">
      <c r="A123" s="128"/>
      <c r="B123" s="82"/>
      <c r="C123" s="83">
        <v>7</v>
      </c>
      <c r="D123" s="84" t="s">
        <v>145</v>
      </c>
      <c r="E123" s="85"/>
      <c r="F123" s="84"/>
      <c r="G123" s="86"/>
      <c r="H123" s="86"/>
      <c r="I123" s="86" t="s">
        <v>121</v>
      </c>
      <c r="J123" s="86">
        <v>3</v>
      </c>
      <c r="K123" s="86">
        <f>12*J123</f>
        <v>36</v>
      </c>
      <c r="L123" s="86">
        <f>36*J123</f>
        <v>108</v>
      </c>
      <c r="M123" s="86">
        <f>SUM(K123:L123)</f>
        <v>144</v>
      </c>
      <c r="N123" s="87"/>
      <c r="O123" s="87"/>
      <c r="P123" s="87"/>
      <c r="Q123" s="88"/>
      <c r="R123" s="24"/>
    </row>
    <row r="124" spans="1:18" s="50" customFormat="1" ht="17" thickBot="1" x14ac:dyDescent="0.4">
      <c r="A124" s="128"/>
      <c r="B124" s="82"/>
      <c r="C124" s="83">
        <v>7</v>
      </c>
      <c r="D124" s="84" t="s">
        <v>744</v>
      </c>
      <c r="E124" s="82"/>
      <c r="F124" s="84"/>
      <c r="G124" s="84"/>
      <c r="H124" s="84"/>
      <c r="I124" s="84" t="s">
        <v>121</v>
      </c>
      <c r="J124" s="84">
        <v>3</v>
      </c>
      <c r="K124" s="86">
        <f>12*J124</f>
        <v>36</v>
      </c>
      <c r="L124" s="86">
        <f>36*J124</f>
        <v>108</v>
      </c>
      <c r="M124" s="86">
        <f>SUM(K124:L124)</f>
        <v>144</v>
      </c>
      <c r="N124" s="82"/>
      <c r="O124" s="82"/>
      <c r="P124" s="82"/>
      <c r="Q124" s="88"/>
      <c r="R124" s="24">
        <f>SUM(J110:J124)</f>
        <v>15</v>
      </c>
    </row>
    <row r="125" spans="1:18" s="50" customFormat="1" ht="49.5" x14ac:dyDescent="0.35">
      <c r="A125" s="24" t="str">
        <f>_xlfn.XLOOKUP(B125,'Paso 3 Redacción RA '!I$3:I$15,'Paso 3 Redacción RA '!C$3:C$15,,0,1)</f>
        <v>Saber</v>
      </c>
      <c r="B125" s="16" t="s">
        <v>628</v>
      </c>
      <c r="C125" s="155">
        <v>8</v>
      </c>
      <c r="D125" s="155" t="s">
        <v>738</v>
      </c>
      <c r="E125" s="164" t="s">
        <v>739</v>
      </c>
      <c r="F125" s="144" t="s">
        <v>120</v>
      </c>
      <c r="G125" s="144"/>
      <c r="H125" s="144" t="s">
        <v>121</v>
      </c>
      <c r="I125" s="144"/>
      <c r="J125" s="144">
        <v>4</v>
      </c>
      <c r="K125" s="144">
        <f>12*J125</f>
        <v>48</v>
      </c>
      <c r="L125" s="144">
        <f>36*J125</f>
        <v>144</v>
      </c>
      <c r="M125" s="144">
        <f>SUM(K125:L125)</f>
        <v>192</v>
      </c>
      <c r="N125" s="170" t="s">
        <v>776</v>
      </c>
      <c r="O125" s="170" t="s">
        <v>125</v>
      </c>
      <c r="P125" s="170" t="s">
        <v>783</v>
      </c>
      <c r="Q125" s="170" t="s">
        <v>122</v>
      </c>
      <c r="R125" s="24"/>
    </row>
    <row r="126" spans="1:18" s="50" customFormat="1" ht="49.5" x14ac:dyDescent="0.35">
      <c r="A126" s="24" t="str">
        <f>_xlfn.XLOOKUP(B126,'Paso 3 Redacción RA '!I$3:I$15,'Paso 3 Redacción RA '!C$3:C$15,,0,1)</f>
        <v>Saberhacer</v>
      </c>
      <c r="B126" s="16" t="s">
        <v>629</v>
      </c>
      <c r="C126" s="132"/>
      <c r="D126" s="132"/>
      <c r="E126" s="162"/>
      <c r="F126" s="134"/>
      <c r="G126" s="134"/>
      <c r="H126" s="134"/>
      <c r="I126" s="134"/>
      <c r="J126" s="134"/>
      <c r="K126" s="134"/>
      <c r="L126" s="134"/>
      <c r="M126" s="134"/>
      <c r="N126" s="171"/>
      <c r="O126" s="171"/>
      <c r="P126" s="171"/>
      <c r="Q126" s="171"/>
      <c r="R126" s="24"/>
    </row>
    <row r="127" spans="1:18" s="50" customFormat="1" ht="49.5" x14ac:dyDescent="0.35">
      <c r="A127" s="24" t="str">
        <f>_xlfn.XLOOKUP(B127,'Paso 3 Redacción RA '!I$3:I$15,'Paso 3 Redacción RA '!C$3:C$15,,0,1)</f>
        <v>Saberser</v>
      </c>
      <c r="B127" s="16" t="s">
        <v>630</v>
      </c>
      <c r="C127" s="132"/>
      <c r="D127" s="132"/>
      <c r="E127" s="162"/>
      <c r="F127" s="134"/>
      <c r="G127" s="134"/>
      <c r="H127" s="134"/>
      <c r="I127" s="134"/>
      <c r="J127" s="134"/>
      <c r="K127" s="134"/>
      <c r="L127" s="134"/>
      <c r="M127" s="134"/>
      <c r="N127" s="171"/>
      <c r="O127" s="171"/>
      <c r="P127" s="171"/>
      <c r="Q127" s="171"/>
      <c r="R127" s="24"/>
    </row>
    <row r="128" spans="1:18" s="50" customFormat="1" ht="49.5" x14ac:dyDescent="0.35">
      <c r="A128" s="24" t="str">
        <f>_xlfn.XLOOKUP(B128,'Paso 3 Redacción RA '!I$3:I$15,'Paso 3 Redacción RA '!C$3:C$15,,0,1)</f>
        <v>Saber</v>
      </c>
      <c r="B128" s="16" t="s">
        <v>631</v>
      </c>
      <c r="C128" s="132"/>
      <c r="D128" s="132"/>
      <c r="E128" s="162"/>
      <c r="F128" s="134"/>
      <c r="G128" s="134"/>
      <c r="H128" s="134"/>
      <c r="I128" s="134"/>
      <c r="J128" s="134"/>
      <c r="K128" s="134"/>
      <c r="L128" s="134"/>
      <c r="M128" s="134"/>
      <c r="N128" s="171"/>
      <c r="O128" s="171"/>
      <c r="P128" s="171"/>
      <c r="Q128" s="171"/>
      <c r="R128" s="24"/>
    </row>
    <row r="129" spans="1:18" s="50" customFormat="1" ht="50" thickBot="1" x14ac:dyDescent="0.4">
      <c r="A129" s="97" t="str">
        <f>_xlfn.XLOOKUP(B129,'Paso 3 Redacción RA '!I$3:I$15,'Paso 3 Redacción RA '!C$3:C$15,,0,1)</f>
        <v>Saberhacer</v>
      </c>
      <c r="B129" s="27" t="s">
        <v>632</v>
      </c>
      <c r="C129" s="150"/>
      <c r="D129" s="150"/>
      <c r="E129" s="163"/>
      <c r="F129" s="157"/>
      <c r="G129" s="157"/>
      <c r="H129" s="157"/>
      <c r="I129" s="157"/>
      <c r="J129" s="157"/>
      <c r="K129" s="157"/>
      <c r="L129" s="157"/>
      <c r="M129" s="157"/>
      <c r="N129" s="172"/>
      <c r="O129" s="172"/>
      <c r="P129" s="172"/>
      <c r="Q129" s="172"/>
      <c r="R129" s="24"/>
    </row>
    <row r="130" spans="1:18" s="50" customFormat="1" ht="49.5" x14ac:dyDescent="0.35">
      <c r="A130" s="24" t="str">
        <f>_xlfn.XLOOKUP(B130,'Paso 3 Redacción RA '!I$3:I$15,'Paso 3 Redacción RA '!C$3:C$15,,0,1)</f>
        <v>Saberhacer</v>
      </c>
      <c r="B130" s="16" t="s">
        <v>632</v>
      </c>
      <c r="C130" s="155">
        <v>8</v>
      </c>
      <c r="D130" s="155" t="s">
        <v>740</v>
      </c>
      <c r="E130" s="164" t="s">
        <v>741</v>
      </c>
      <c r="F130" s="144" t="s">
        <v>120</v>
      </c>
      <c r="G130" s="144"/>
      <c r="H130" s="144" t="s">
        <v>121</v>
      </c>
      <c r="I130" s="144"/>
      <c r="J130" s="144">
        <v>4</v>
      </c>
      <c r="K130" s="144">
        <f>12*J130</f>
        <v>48</v>
      </c>
      <c r="L130" s="144">
        <f>36*J130</f>
        <v>144</v>
      </c>
      <c r="M130" s="144">
        <f>SUM(K130:L130)</f>
        <v>192</v>
      </c>
      <c r="N130" s="170" t="s">
        <v>777</v>
      </c>
      <c r="O130" s="170" t="s">
        <v>125</v>
      </c>
      <c r="P130" s="170" t="s">
        <v>783</v>
      </c>
      <c r="Q130" s="170" t="s">
        <v>122</v>
      </c>
      <c r="R130" s="24"/>
    </row>
    <row r="131" spans="1:18" s="50" customFormat="1" ht="49.5" x14ac:dyDescent="0.35">
      <c r="A131" s="24" t="str">
        <f>_xlfn.XLOOKUP(B131,'Paso 3 Redacción RA '!I$3:I$15,'Paso 3 Redacción RA '!C$3:C$15,,0,1)</f>
        <v>Saber</v>
      </c>
      <c r="B131" s="16" t="s">
        <v>633</v>
      </c>
      <c r="C131" s="132"/>
      <c r="D131" s="132"/>
      <c r="E131" s="162"/>
      <c r="F131" s="134"/>
      <c r="G131" s="134"/>
      <c r="H131" s="134"/>
      <c r="I131" s="134"/>
      <c r="J131" s="134"/>
      <c r="K131" s="134"/>
      <c r="L131" s="134"/>
      <c r="M131" s="134"/>
      <c r="N131" s="171"/>
      <c r="O131" s="171"/>
      <c r="P131" s="171"/>
      <c r="Q131" s="171"/>
      <c r="R131" s="24"/>
    </row>
    <row r="132" spans="1:18" s="50" customFormat="1" ht="50" thickBot="1" x14ac:dyDescent="0.4">
      <c r="A132" s="97" t="str">
        <f>_xlfn.XLOOKUP(B132,'Paso 3 Redacción RA '!I$3:I$15,'Paso 3 Redacción RA '!C$3:C$15,,0,1)</f>
        <v>Saberhacer</v>
      </c>
      <c r="B132" s="27" t="s">
        <v>634</v>
      </c>
      <c r="C132" s="150"/>
      <c r="D132" s="132"/>
      <c r="E132" s="162"/>
      <c r="F132" s="157"/>
      <c r="G132" s="157"/>
      <c r="H132" s="157"/>
      <c r="I132" s="157"/>
      <c r="J132" s="157"/>
      <c r="K132" s="157"/>
      <c r="L132" s="157"/>
      <c r="M132" s="157"/>
      <c r="N132" s="172"/>
      <c r="O132" s="172"/>
      <c r="P132" s="172"/>
      <c r="Q132" s="172"/>
      <c r="R132" s="24"/>
    </row>
    <row r="133" spans="1:18" s="50" customFormat="1" ht="49.5" x14ac:dyDescent="0.35">
      <c r="A133" s="24" t="str">
        <f>_xlfn.XLOOKUP(B133,'Paso 3 Redacción RA '!I$3:I$15,'Paso 3 Redacción RA '!C$3:C$15,,0,1)</f>
        <v>Saber</v>
      </c>
      <c r="B133" s="16" t="s">
        <v>631</v>
      </c>
      <c r="C133" s="155">
        <v>8</v>
      </c>
      <c r="D133" s="155" t="s">
        <v>742</v>
      </c>
      <c r="E133" s="151" t="s">
        <v>743</v>
      </c>
      <c r="F133" s="144" t="s">
        <v>120</v>
      </c>
      <c r="G133" s="144"/>
      <c r="H133" s="144" t="s">
        <v>121</v>
      </c>
      <c r="I133" s="144"/>
      <c r="J133" s="144">
        <v>3</v>
      </c>
      <c r="K133" s="144">
        <f>12*J133</f>
        <v>36</v>
      </c>
      <c r="L133" s="144">
        <f>36*J133</f>
        <v>108</v>
      </c>
      <c r="M133" s="144">
        <f>SUM(K133:L133)</f>
        <v>144</v>
      </c>
      <c r="N133" s="170" t="s">
        <v>778</v>
      </c>
      <c r="O133" s="170" t="s">
        <v>125</v>
      </c>
      <c r="P133" s="170" t="s">
        <v>783</v>
      </c>
      <c r="Q133" s="170" t="s">
        <v>122</v>
      </c>
      <c r="R133" s="24"/>
    </row>
    <row r="134" spans="1:18" s="50" customFormat="1" ht="49.5" x14ac:dyDescent="0.35">
      <c r="A134" s="24" t="str">
        <f>_xlfn.XLOOKUP(B134,'Paso 3 Redacción RA '!I$3:I$15,'Paso 3 Redacción RA '!C$3:C$15,,0,1)</f>
        <v>Saberhacer</v>
      </c>
      <c r="B134" s="16" t="s">
        <v>632</v>
      </c>
      <c r="C134" s="132"/>
      <c r="D134" s="132"/>
      <c r="E134" s="136"/>
      <c r="F134" s="134"/>
      <c r="G134" s="134"/>
      <c r="H134" s="134"/>
      <c r="I134" s="134"/>
      <c r="J134" s="134"/>
      <c r="K134" s="134"/>
      <c r="L134" s="134"/>
      <c r="M134" s="134"/>
      <c r="N134" s="171"/>
      <c r="O134" s="171"/>
      <c r="P134" s="171"/>
      <c r="Q134" s="171"/>
      <c r="R134" s="24"/>
    </row>
    <row r="135" spans="1:18" s="50" customFormat="1" ht="49.5" x14ac:dyDescent="0.35">
      <c r="A135" s="24" t="str">
        <f>_xlfn.XLOOKUP(B135,'Paso 3 Redacción RA '!I$3:I$15,'Paso 3 Redacción RA '!C$3:C$15,,0,1)</f>
        <v>Saber</v>
      </c>
      <c r="B135" s="16" t="s">
        <v>633</v>
      </c>
      <c r="C135" s="132"/>
      <c r="D135" s="132"/>
      <c r="E135" s="136"/>
      <c r="F135" s="134"/>
      <c r="G135" s="134"/>
      <c r="H135" s="134"/>
      <c r="I135" s="134"/>
      <c r="J135" s="134"/>
      <c r="K135" s="134"/>
      <c r="L135" s="134"/>
      <c r="M135" s="134"/>
      <c r="N135" s="171"/>
      <c r="O135" s="171"/>
      <c r="P135" s="171"/>
      <c r="Q135" s="171"/>
      <c r="R135" s="24"/>
    </row>
    <row r="136" spans="1:18" s="50" customFormat="1" ht="50" thickBot="1" x14ac:dyDescent="0.4">
      <c r="A136" s="97" t="str">
        <f>_xlfn.XLOOKUP(B136,'Paso 3 Redacción RA '!I$3:I$15,'Paso 3 Redacción RA '!C$3:C$15,,0,1)</f>
        <v>Saberhacer</v>
      </c>
      <c r="B136" s="16" t="s">
        <v>634</v>
      </c>
      <c r="C136" s="150"/>
      <c r="D136" s="150"/>
      <c r="E136" s="148"/>
      <c r="F136" s="157"/>
      <c r="G136" s="157"/>
      <c r="H136" s="157"/>
      <c r="I136" s="157"/>
      <c r="J136" s="157"/>
      <c r="K136" s="157"/>
      <c r="L136" s="157"/>
      <c r="M136" s="157"/>
      <c r="N136" s="172"/>
      <c r="O136" s="172"/>
      <c r="P136" s="172"/>
      <c r="Q136" s="172"/>
      <c r="R136" s="24"/>
    </row>
    <row r="137" spans="1:18" s="50" customFormat="1" ht="17" thickBot="1" x14ac:dyDescent="0.4">
      <c r="A137" s="128"/>
      <c r="B137" s="89"/>
      <c r="C137" s="90">
        <v>8</v>
      </c>
      <c r="D137" s="91" t="s">
        <v>745</v>
      </c>
      <c r="E137" s="89"/>
      <c r="F137" s="91"/>
      <c r="G137" s="91"/>
      <c r="H137" s="91"/>
      <c r="I137" s="91" t="s">
        <v>121</v>
      </c>
      <c r="J137" s="91">
        <v>3</v>
      </c>
      <c r="K137" s="92">
        <f>12*J137</f>
        <v>36</v>
      </c>
      <c r="L137" s="92">
        <f>36*J137</f>
        <v>108</v>
      </c>
      <c r="M137" s="92">
        <f>SUM(K137:L137)</f>
        <v>144</v>
      </c>
      <c r="N137" s="89"/>
      <c r="O137" s="89"/>
      <c r="P137" s="89"/>
      <c r="Q137" s="93"/>
      <c r="R137" s="24"/>
    </row>
    <row r="138" spans="1:18" s="50" customFormat="1" ht="17" thickBot="1" x14ac:dyDescent="0.4">
      <c r="A138" s="128"/>
      <c r="B138" s="82"/>
      <c r="C138" s="83">
        <v>8</v>
      </c>
      <c r="D138" s="84" t="s">
        <v>746</v>
      </c>
      <c r="E138" s="82"/>
      <c r="F138" s="84"/>
      <c r="G138" s="84"/>
      <c r="H138" s="84"/>
      <c r="I138" s="84" t="s">
        <v>121</v>
      </c>
      <c r="J138" s="84">
        <v>3</v>
      </c>
      <c r="K138" s="86">
        <f>12*J138</f>
        <v>36</v>
      </c>
      <c r="L138" s="86">
        <f>36*J138</f>
        <v>108</v>
      </c>
      <c r="M138" s="86">
        <f>SUM(K138:L138)</f>
        <v>144</v>
      </c>
      <c r="N138" s="82"/>
      <c r="O138" s="82"/>
      <c r="P138" s="82"/>
      <c r="Q138" s="82"/>
      <c r="R138" s="24">
        <f>SUM(J125:J138)</f>
        <v>17</v>
      </c>
    </row>
    <row r="139" spans="1:18" s="50" customFormat="1" ht="32" x14ac:dyDescent="0.35">
      <c r="A139" s="24"/>
      <c r="B139" s="16"/>
      <c r="C139" s="101" t="s">
        <v>779</v>
      </c>
      <c r="D139" s="51">
        <f>COUNTA(D3:D138)</f>
        <v>43</v>
      </c>
      <c r="E139" s="16"/>
      <c r="F139" s="19"/>
      <c r="G139" s="19"/>
      <c r="H139" s="19"/>
      <c r="I139" s="102" t="s">
        <v>146</v>
      </c>
      <c r="J139" s="127">
        <f>SUM(J3:J138)</f>
        <v>135</v>
      </c>
      <c r="K139" s="103"/>
      <c r="L139" s="32"/>
      <c r="M139" s="19"/>
      <c r="N139" s="16"/>
      <c r="O139" s="16"/>
      <c r="P139" s="16"/>
      <c r="Q139" s="16"/>
      <c r="R139" s="24">
        <f>SUM(R3:R138)</f>
        <v>135</v>
      </c>
    </row>
    <row r="140" spans="1:18" s="50" customFormat="1" ht="48" x14ac:dyDescent="0.35">
      <c r="A140" s="24"/>
      <c r="B140" s="16"/>
      <c r="D140" s="19"/>
      <c r="E140" s="16"/>
      <c r="F140" s="19"/>
      <c r="G140" s="19"/>
      <c r="H140" s="19"/>
      <c r="I140" s="104" t="s">
        <v>147</v>
      </c>
      <c r="J140" s="55">
        <f>SUM(J3:J4,J17,J37:J38,J53)</f>
        <v>18</v>
      </c>
      <c r="K140" s="103"/>
      <c r="L140" s="52"/>
      <c r="M140" s="19"/>
      <c r="N140" s="16"/>
      <c r="O140" s="16"/>
      <c r="P140" s="16"/>
      <c r="Q140" s="16"/>
      <c r="R140" s="24"/>
    </row>
    <row r="141" spans="1:18" s="50" customFormat="1" ht="32" x14ac:dyDescent="0.35">
      <c r="A141" s="24"/>
      <c r="B141" s="16"/>
      <c r="D141" s="36"/>
      <c r="E141" s="69"/>
      <c r="F141" s="36"/>
      <c r="G141" s="70"/>
      <c r="H141" s="70"/>
      <c r="I141" s="104" t="s">
        <v>148</v>
      </c>
      <c r="J141" s="55">
        <f>SUM(J5:J16,J18:J36,J39:J52,J54:J122,J125:J136)</f>
        <v>105</v>
      </c>
      <c r="K141" s="103"/>
      <c r="L141" s="52"/>
      <c r="M141" s="70"/>
      <c r="N141" s="22"/>
      <c r="O141" s="71"/>
      <c r="P141" s="71"/>
      <c r="Q141" s="71"/>
      <c r="R141" s="24"/>
    </row>
    <row r="142" spans="1:18" s="50" customFormat="1" ht="32" x14ac:dyDescent="0.35">
      <c r="A142" s="24"/>
      <c r="B142" s="16"/>
      <c r="D142" s="36"/>
      <c r="E142" s="69"/>
      <c r="F142" s="36"/>
      <c r="G142" s="70"/>
      <c r="H142" s="70"/>
      <c r="I142" s="104" t="s">
        <v>149</v>
      </c>
      <c r="J142" s="52">
        <f>SUM(J123:J124,J137:J138)</f>
        <v>12</v>
      </c>
      <c r="K142" s="105"/>
      <c r="L142" s="52"/>
      <c r="M142" s="70"/>
      <c r="N142" s="22"/>
      <c r="O142" s="71"/>
      <c r="P142" s="71"/>
      <c r="Q142" s="71"/>
      <c r="R142" s="24"/>
    </row>
    <row r="143" spans="1:18" s="50" customFormat="1" ht="16.5" x14ac:dyDescent="0.35">
      <c r="A143" s="24"/>
      <c r="B143" s="16"/>
      <c r="D143" s="36"/>
      <c r="E143" s="69"/>
      <c r="F143" s="36"/>
      <c r="G143" s="70"/>
      <c r="H143" s="70"/>
      <c r="I143" s="70"/>
      <c r="J143" s="70"/>
      <c r="K143" s="70"/>
      <c r="L143" s="70"/>
      <c r="M143" s="70"/>
      <c r="N143" s="22"/>
      <c r="O143" s="71"/>
      <c r="P143" s="71"/>
      <c r="Q143" s="71"/>
      <c r="R143" s="24"/>
    </row>
    <row r="144" spans="1:18" s="50" customFormat="1" ht="16.5" x14ac:dyDescent="0.35">
      <c r="A144" s="24"/>
      <c r="B144" s="16"/>
      <c r="D144" s="36"/>
      <c r="E144" s="69"/>
      <c r="F144" s="36"/>
      <c r="G144" s="70"/>
      <c r="H144" s="70"/>
      <c r="I144" s="70"/>
      <c r="J144" s="70"/>
      <c r="K144" s="70"/>
      <c r="L144" s="70"/>
      <c r="M144" s="70"/>
      <c r="N144" s="22"/>
      <c r="O144" s="71"/>
      <c r="P144" s="71"/>
      <c r="Q144" s="71"/>
      <c r="R144" s="24"/>
    </row>
    <row r="145" spans="1:18" s="50" customFormat="1" ht="16.5" x14ac:dyDescent="0.35">
      <c r="A145" s="24"/>
      <c r="B145" s="16"/>
      <c r="D145" s="19"/>
      <c r="E145" s="16"/>
      <c r="F145" s="19"/>
      <c r="G145" s="19"/>
      <c r="H145" s="19"/>
      <c r="I145" s="19"/>
      <c r="J145" s="19"/>
      <c r="K145" s="19"/>
      <c r="L145" s="19"/>
      <c r="M145" s="19"/>
      <c r="N145" s="16"/>
      <c r="O145" s="16"/>
      <c r="P145" s="16"/>
      <c r="Q145" s="16"/>
      <c r="R145" s="24"/>
    </row>
    <row r="146" spans="1:18" s="50" customFormat="1" ht="16.5" x14ac:dyDescent="0.35">
      <c r="A146" s="24"/>
      <c r="B146" s="16"/>
      <c r="D146" s="19"/>
      <c r="E146" s="16"/>
      <c r="F146" s="19"/>
      <c r="G146" s="19"/>
      <c r="H146" s="19"/>
      <c r="I146" s="19"/>
      <c r="J146" s="19"/>
      <c r="K146" s="19"/>
      <c r="L146" s="19"/>
      <c r="M146" s="19"/>
      <c r="N146" s="16"/>
      <c r="O146" s="16"/>
      <c r="P146" s="16"/>
      <c r="Q146" s="16"/>
      <c r="R146" s="24"/>
    </row>
    <row r="147" spans="1:18" s="50" customFormat="1" ht="16.5" x14ac:dyDescent="0.35">
      <c r="A147" s="24"/>
      <c r="B147" s="16"/>
      <c r="D147" s="19"/>
      <c r="E147" s="16"/>
      <c r="F147" s="19"/>
      <c r="G147" s="19"/>
      <c r="H147" s="19"/>
      <c r="I147" s="19"/>
      <c r="J147" s="19"/>
      <c r="K147" s="19"/>
      <c r="L147" s="19"/>
      <c r="M147" s="19"/>
      <c r="N147" s="16"/>
      <c r="O147" s="16"/>
      <c r="P147" s="16"/>
      <c r="Q147" s="16"/>
      <c r="R147" s="24"/>
    </row>
    <row r="148" spans="1:18" s="50" customFormat="1" ht="16.5" x14ac:dyDescent="0.35">
      <c r="A148" s="24"/>
      <c r="B148" s="16"/>
      <c r="D148" s="19"/>
      <c r="E148" s="16"/>
      <c r="F148" s="19"/>
      <c r="G148" s="70"/>
      <c r="H148" s="70"/>
      <c r="I148" s="70"/>
      <c r="J148" s="70"/>
      <c r="K148" s="70"/>
      <c r="L148" s="70"/>
      <c r="M148" s="70"/>
      <c r="N148" s="16"/>
      <c r="O148" s="16"/>
      <c r="P148" s="16"/>
      <c r="Q148" s="16"/>
      <c r="R148" s="24"/>
    </row>
    <row r="149" spans="1:18" s="50" customFormat="1" ht="16.5" x14ac:dyDescent="0.35">
      <c r="A149" s="24"/>
      <c r="B149" s="16"/>
      <c r="D149" s="19"/>
      <c r="E149" s="16"/>
      <c r="F149" s="19"/>
      <c r="G149" s="70"/>
      <c r="H149" s="70"/>
      <c r="I149" s="70"/>
      <c r="J149" s="70"/>
      <c r="K149" s="70"/>
      <c r="L149" s="70"/>
      <c r="M149" s="70"/>
      <c r="N149" s="16"/>
      <c r="O149" s="16"/>
      <c r="P149" s="16"/>
      <c r="Q149" s="16"/>
      <c r="R149" s="24"/>
    </row>
    <row r="150" spans="1:18" s="50" customFormat="1" ht="16.5" x14ac:dyDescent="0.35">
      <c r="A150" s="24"/>
      <c r="B150" s="16"/>
      <c r="D150" s="19"/>
      <c r="E150" s="16"/>
      <c r="F150" s="19"/>
      <c r="G150" s="70"/>
      <c r="H150" s="70"/>
      <c r="I150" s="70"/>
      <c r="J150" s="70"/>
      <c r="K150" s="70"/>
      <c r="L150" s="70"/>
      <c r="M150" s="70"/>
      <c r="N150" s="16"/>
      <c r="O150" s="16"/>
      <c r="P150" s="16"/>
      <c r="Q150" s="16"/>
      <c r="R150" s="24"/>
    </row>
    <row r="151" spans="1:18" s="50" customFormat="1" ht="16.5" x14ac:dyDescent="0.35">
      <c r="A151" s="24"/>
      <c r="B151" s="16"/>
      <c r="D151" s="19"/>
      <c r="E151" s="16"/>
      <c r="F151" s="19"/>
      <c r="G151" s="19"/>
      <c r="H151" s="19"/>
      <c r="I151" s="19"/>
      <c r="J151" s="19"/>
      <c r="K151" s="19"/>
      <c r="L151" s="19"/>
      <c r="M151" s="19"/>
      <c r="N151" s="16"/>
      <c r="O151" s="16"/>
      <c r="P151" s="16"/>
      <c r="Q151" s="16"/>
      <c r="R151" s="24"/>
    </row>
    <row r="152" spans="1:18" s="50" customFormat="1" ht="16.5" x14ac:dyDescent="0.35">
      <c r="A152" s="24"/>
      <c r="B152" s="16"/>
      <c r="D152" s="19"/>
      <c r="E152" s="16"/>
      <c r="F152" s="19"/>
      <c r="G152" s="19"/>
      <c r="H152" s="19"/>
      <c r="I152" s="19"/>
      <c r="J152" s="19"/>
      <c r="K152" s="19"/>
      <c r="L152" s="19"/>
      <c r="M152" s="19"/>
      <c r="N152" s="16"/>
      <c r="O152" s="16"/>
      <c r="P152" s="16"/>
      <c r="Q152" s="16"/>
      <c r="R152" s="24"/>
    </row>
    <row r="153" spans="1:18" s="50" customFormat="1" ht="16.5" x14ac:dyDescent="0.35">
      <c r="A153" s="24"/>
      <c r="B153" s="16"/>
      <c r="D153" s="19"/>
      <c r="E153" s="16"/>
      <c r="F153" s="19"/>
      <c r="G153" s="19"/>
      <c r="H153" s="19"/>
      <c r="I153" s="19"/>
      <c r="J153" s="19"/>
      <c r="K153" s="19"/>
      <c r="L153" s="19"/>
      <c r="M153" s="19"/>
      <c r="N153" s="16"/>
      <c r="O153" s="16"/>
      <c r="P153" s="16"/>
      <c r="Q153" s="16"/>
      <c r="R153" s="24"/>
    </row>
    <row r="154" spans="1:18" s="50" customFormat="1" ht="16.5" x14ac:dyDescent="0.35">
      <c r="A154" s="24"/>
      <c r="B154" s="16"/>
      <c r="D154" s="19"/>
      <c r="E154" s="16"/>
      <c r="F154" s="19"/>
      <c r="G154" s="19"/>
      <c r="H154" s="19"/>
      <c r="I154" s="19"/>
      <c r="J154" s="19"/>
      <c r="K154" s="19"/>
      <c r="L154" s="19"/>
      <c r="M154" s="19"/>
      <c r="N154" s="16"/>
      <c r="O154" s="16"/>
      <c r="P154" s="16"/>
      <c r="Q154" s="16"/>
      <c r="R154" s="24"/>
    </row>
    <row r="155" spans="1:18" s="50" customFormat="1" ht="16.5" x14ac:dyDescent="0.35">
      <c r="A155" s="24"/>
      <c r="B155" s="22"/>
      <c r="D155" s="19"/>
      <c r="E155" s="22"/>
      <c r="F155" s="19"/>
      <c r="G155" s="42"/>
      <c r="H155" s="42"/>
      <c r="I155" s="42"/>
      <c r="J155" s="42"/>
      <c r="K155" s="42"/>
      <c r="L155" s="42"/>
      <c r="M155" s="42"/>
      <c r="N155" s="22"/>
      <c r="O155" s="22"/>
      <c r="P155" s="22"/>
      <c r="Q155" s="22"/>
      <c r="R155" s="24"/>
    </row>
    <row r="156" spans="1:18" s="50" customFormat="1" ht="16.5" x14ac:dyDescent="0.35">
      <c r="A156" s="24"/>
      <c r="B156" s="22"/>
      <c r="D156" s="19"/>
      <c r="E156" s="22"/>
      <c r="F156" s="19"/>
      <c r="G156" s="42"/>
      <c r="H156" s="42"/>
      <c r="I156" s="42"/>
      <c r="J156" s="42"/>
      <c r="K156" s="42"/>
      <c r="L156" s="42"/>
      <c r="M156" s="42"/>
      <c r="N156" s="22"/>
      <c r="O156" s="22"/>
      <c r="P156" s="22"/>
      <c r="Q156" s="22"/>
      <c r="R156" s="24"/>
    </row>
    <row r="157" spans="1:18" s="50" customFormat="1" ht="16.5" x14ac:dyDescent="0.35">
      <c r="A157" s="24"/>
      <c r="B157" s="22"/>
      <c r="D157" s="19"/>
      <c r="E157" s="22"/>
      <c r="F157" s="19"/>
      <c r="G157" s="42"/>
      <c r="H157" s="42"/>
      <c r="I157" s="42"/>
      <c r="J157" s="42"/>
      <c r="K157" s="42"/>
      <c r="L157" s="42"/>
      <c r="M157" s="42"/>
      <c r="N157" s="22"/>
      <c r="O157" s="22"/>
      <c r="P157" s="22"/>
      <c r="Q157" s="22"/>
      <c r="R157" s="24"/>
    </row>
    <row r="158" spans="1:18" s="50" customFormat="1" ht="16.5" x14ac:dyDescent="0.35">
      <c r="A158" s="24"/>
      <c r="B158" s="22"/>
      <c r="D158" s="19"/>
      <c r="E158" s="22"/>
      <c r="F158" s="19"/>
      <c r="G158" s="42"/>
      <c r="H158" s="42"/>
      <c r="I158" s="42"/>
      <c r="J158" s="42"/>
      <c r="K158" s="42"/>
      <c r="L158" s="42"/>
      <c r="M158" s="42"/>
      <c r="N158" s="22"/>
      <c r="O158" s="22"/>
      <c r="P158" s="22"/>
      <c r="Q158" s="22"/>
      <c r="R158" s="24"/>
    </row>
    <row r="159" spans="1:18" s="50" customFormat="1" ht="16.5" x14ac:dyDescent="0.35">
      <c r="A159" s="24"/>
      <c r="B159" s="16"/>
      <c r="D159" s="36"/>
      <c r="E159" s="69"/>
      <c r="F159" s="36"/>
      <c r="G159" s="70"/>
      <c r="H159" s="70"/>
      <c r="I159" s="70"/>
      <c r="J159" s="70"/>
      <c r="K159" s="70"/>
      <c r="L159" s="70"/>
      <c r="M159" s="70"/>
      <c r="N159" s="71"/>
      <c r="O159" s="71"/>
      <c r="P159" s="71"/>
      <c r="Q159" s="71"/>
      <c r="R159" s="24"/>
    </row>
    <row r="160" spans="1:18" s="50" customFormat="1" ht="16.5" x14ac:dyDescent="0.35">
      <c r="A160" s="24"/>
      <c r="B160" s="16"/>
      <c r="D160" s="36"/>
      <c r="E160" s="69"/>
      <c r="F160" s="36"/>
      <c r="G160" s="70"/>
      <c r="H160" s="70"/>
      <c r="I160" s="70"/>
      <c r="J160" s="70"/>
      <c r="K160" s="70"/>
      <c r="L160" s="70"/>
      <c r="M160" s="70"/>
      <c r="N160" s="71"/>
      <c r="O160" s="71"/>
      <c r="P160" s="71"/>
      <c r="Q160" s="71"/>
      <c r="R160" s="24"/>
    </row>
    <row r="161" spans="1:18" s="50" customFormat="1" ht="16.5" x14ac:dyDescent="0.35">
      <c r="A161" s="24"/>
      <c r="B161" s="16"/>
      <c r="D161" s="36"/>
      <c r="E161" s="69"/>
      <c r="F161" s="36"/>
      <c r="G161" s="70"/>
      <c r="H161" s="70"/>
      <c r="I161" s="70"/>
      <c r="J161" s="70"/>
      <c r="K161" s="70"/>
      <c r="L161" s="70"/>
      <c r="M161" s="70"/>
      <c r="N161" s="71"/>
      <c r="O161" s="71"/>
      <c r="P161" s="71"/>
      <c r="Q161" s="71"/>
      <c r="R161" s="24"/>
    </row>
    <row r="162" spans="1:18" s="50" customFormat="1" ht="16.5" x14ac:dyDescent="0.35">
      <c r="A162" s="24"/>
      <c r="B162" s="16"/>
      <c r="D162" s="36"/>
      <c r="E162" s="69"/>
      <c r="F162" s="36"/>
      <c r="G162" s="70"/>
      <c r="H162" s="70"/>
      <c r="I162" s="70"/>
      <c r="J162" s="70"/>
      <c r="K162" s="70"/>
      <c r="L162" s="70"/>
      <c r="M162" s="70"/>
      <c r="N162" s="71"/>
      <c r="O162" s="71"/>
      <c r="P162" s="71"/>
      <c r="Q162" s="71"/>
      <c r="R162" s="24"/>
    </row>
    <row r="163" spans="1:18" s="50" customFormat="1" ht="16.5" x14ac:dyDescent="0.35">
      <c r="A163" s="24"/>
      <c r="B163" s="16"/>
      <c r="D163" s="19"/>
      <c r="E163" s="16"/>
      <c r="F163" s="19"/>
      <c r="L163" s="13"/>
      <c r="M163" s="13"/>
      <c r="N163" s="16"/>
      <c r="O163" s="16"/>
      <c r="P163" s="16"/>
      <c r="Q163" s="16"/>
      <c r="R163" s="24"/>
    </row>
    <row r="164" spans="1:18" s="50" customFormat="1" ht="16.5" x14ac:dyDescent="0.35">
      <c r="A164" s="24"/>
      <c r="B164" s="16"/>
      <c r="D164" s="19"/>
      <c r="E164" s="16"/>
      <c r="F164" s="19"/>
      <c r="L164" s="13"/>
      <c r="M164" s="13"/>
      <c r="N164" s="16"/>
      <c r="O164" s="16"/>
      <c r="P164" s="16"/>
      <c r="Q164" s="16"/>
      <c r="R164" s="24"/>
    </row>
    <row r="165" spans="1:18" s="50" customFormat="1" ht="16.5" x14ac:dyDescent="0.35">
      <c r="A165" s="24"/>
      <c r="B165" s="16"/>
      <c r="D165" s="19"/>
      <c r="E165" s="16"/>
      <c r="F165" s="19"/>
      <c r="L165" s="13"/>
      <c r="M165" s="13"/>
      <c r="N165" s="16"/>
      <c r="O165" s="16"/>
      <c r="P165" s="16"/>
      <c r="Q165" s="16"/>
      <c r="R165" s="24"/>
    </row>
    <row r="166" spans="1:18" s="50" customFormat="1" ht="16.5" x14ac:dyDescent="0.35">
      <c r="A166" s="24"/>
      <c r="B166" s="16"/>
      <c r="D166" s="19"/>
      <c r="E166" s="16"/>
      <c r="F166" s="19"/>
      <c r="L166" s="13"/>
      <c r="M166" s="13"/>
      <c r="N166" s="16"/>
      <c r="O166" s="16"/>
      <c r="P166" s="16"/>
      <c r="Q166" s="16"/>
      <c r="R166" s="24"/>
    </row>
    <row r="167" spans="1:18" s="50" customFormat="1" ht="16.5" x14ac:dyDescent="0.35">
      <c r="A167" s="24"/>
      <c r="B167" s="16"/>
      <c r="D167" s="19"/>
      <c r="E167" s="72"/>
      <c r="F167" s="19"/>
      <c r="G167" s="70"/>
      <c r="H167" s="70"/>
      <c r="I167" s="70"/>
      <c r="J167" s="70"/>
      <c r="K167" s="70"/>
      <c r="L167" s="70"/>
      <c r="M167" s="70"/>
      <c r="N167" s="72"/>
      <c r="O167" s="72"/>
      <c r="P167" s="72"/>
      <c r="Q167" s="72"/>
      <c r="R167" s="24"/>
    </row>
    <row r="168" spans="1:18" s="50" customFormat="1" ht="16.5" x14ac:dyDescent="0.35">
      <c r="A168" s="24"/>
      <c r="B168" s="16"/>
      <c r="D168" s="36"/>
      <c r="E168" s="69"/>
      <c r="F168" s="36"/>
      <c r="G168" s="70"/>
      <c r="H168" s="70"/>
      <c r="I168" s="70"/>
      <c r="J168" s="70"/>
      <c r="K168" s="70"/>
      <c r="L168" s="70"/>
      <c r="M168" s="70"/>
      <c r="N168" s="71"/>
      <c r="O168" s="71"/>
      <c r="P168" s="71"/>
      <c r="Q168" s="71"/>
      <c r="R168" s="24"/>
    </row>
    <row r="169" spans="1:18" s="50" customFormat="1" ht="16.5" x14ac:dyDescent="0.35">
      <c r="A169" s="24"/>
      <c r="B169" s="16"/>
      <c r="D169" s="36"/>
      <c r="E169" s="69"/>
      <c r="F169" s="36"/>
      <c r="G169" s="70"/>
      <c r="H169" s="70"/>
      <c r="I169" s="70"/>
      <c r="J169" s="70"/>
      <c r="K169" s="70"/>
      <c r="L169" s="70"/>
      <c r="M169" s="70"/>
      <c r="N169" s="71"/>
      <c r="O169" s="71"/>
      <c r="P169" s="71"/>
      <c r="Q169" s="71"/>
      <c r="R169" s="24"/>
    </row>
    <row r="170" spans="1:18" s="50" customFormat="1" ht="16.5" x14ac:dyDescent="0.35">
      <c r="A170" s="24"/>
      <c r="B170" s="16"/>
      <c r="D170" s="36"/>
      <c r="E170" s="69"/>
      <c r="F170" s="36"/>
      <c r="G170" s="70"/>
      <c r="H170" s="70"/>
      <c r="I170" s="70"/>
      <c r="J170" s="70"/>
      <c r="K170" s="70"/>
      <c r="L170" s="70"/>
      <c r="M170" s="70"/>
      <c r="N170" s="71"/>
      <c r="O170" s="71"/>
      <c r="P170" s="71"/>
      <c r="Q170" s="71"/>
      <c r="R170" s="24"/>
    </row>
    <row r="171" spans="1:18" s="50" customFormat="1" ht="16.5" x14ac:dyDescent="0.35">
      <c r="A171" s="24"/>
      <c r="B171" s="16"/>
      <c r="D171" s="36"/>
      <c r="E171" s="69"/>
      <c r="F171" s="36"/>
      <c r="G171" s="70"/>
      <c r="H171" s="70"/>
      <c r="I171" s="70"/>
      <c r="J171" s="70"/>
      <c r="K171" s="70"/>
      <c r="L171" s="70"/>
      <c r="M171" s="70"/>
      <c r="N171" s="71"/>
      <c r="O171" s="71"/>
      <c r="P171" s="71"/>
      <c r="Q171" s="71"/>
      <c r="R171" s="24"/>
    </row>
    <row r="172" spans="1:18" s="50" customFormat="1" ht="16.5" x14ac:dyDescent="0.35">
      <c r="A172" s="24"/>
      <c r="B172" s="16"/>
      <c r="D172" s="19"/>
      <c r="E172" s="69"/>
      <c r="F172" s="19"/>
      <c r="G172" s="70"/>
      <c r="H172" s="70"/>
      <c r="I172" s="70"/>
      <c r="J172" s="70"/>
      <c r="K172" s="70"/>
      <c r="L172" s="70"/>
      <c r="M172" s="70"/>
      <c r="N172" s="71"/>
      <c r="O172" s="71"/>
      <c r="P172" s="71"/>
      <c r="Q172" s="71"/>
      <c r="R172" s="24"/>
    </row>
    <row r="173" spans="1:18" s="50" customFormat="1" ht="16.5" x14ac:dyDescent="0.35">
      <c r="A173" s="24"/>
      <c r="B173" s="16"/>
      <c r="D173" s="19"/>
      <c r="E173" s="69"/>
      <c r="F173" s="19"/>
      <c r="G173" s="70"/>
      <c r="H173" s="70"/>
      <c r="I173" s="70"/>
      <c r="J173" s="70"/>
      <c r="K173" s="70"/>
      <c r="L173" s="70"/>
      <c r="M173" s="70"/>
      <c r="N173" s="71"/>
      <c r="O173" s="71"/>
      <c r="P173" s="71"/>
      <c r="Q173" s="71"/>
      <c r="R173" s="24"/>
    </row>
    <row r="174" spans="1:18" s="50" customFormat="1" ht="16.5" x14ac:dyDescent="0.35">
      <c r="A174" s="24"/>
      <c r="B174" s="16"/>
      <c r="D174" s="19"/>
      <c r="E174" s="69"/>
      <c r="F174" s="19"/>
      <c r="G174" s="70"/>
      <c r="H174" s="70"/>
      <c r="I174" s="70"/>
      <c r="J174" s="70"/>
      <c r="K174" s="70"/>
      <c r="L174" s="70"/>
      <c r="M174" s="70"/>
      <c r="N174" s="71"/>
      <c r="O174" s="71"/>
      <c r="P174" s="71"/>
      <c r="Q174" s="71"/>
      <c r="R174" s="24"/>
    </row>
    <row r="175" spans="1:18" s="50" customFormat="1" ht="16.5" x14ac:dyDescent="0.35">
      <c r="A175" s="24"/>
      <c r="B175" s="16"/>
      <c r="D175" s="19"/>
      <c r="E175" s="69"/>
      <c r="F175" s="19"/>
      <c r="G175" s="70"/>
      <c r="H175" s="70"/>
      <c r="I175" s="70"/>
      <c r="J175" s="70"/>
      <c r="K175" s="70"/>
      <c r="L175" s="70"/>
      <c r="M175" s="70"/>
      <c r="N175" s="71"/>
      <c r="O175" s="71"/>
      <c r="P175" s="71"/>
      <c r="Q175" s="71"/>
      <c r="R175" s="24"/>
    </row>
    <row r="176" spans="1:18" s="50" customFormat="1" ht="16.5" x14ac:dyDescent="0.35">
      <c r="A176" s="24"/>
      <c r="B176" s="16"/>
      <c r="D176" s="19"/>
      <c r="E176" s="16"/>
      <c r="F176" s="19"/>
      <c r="L176" s="13"/>
      <c r="M176" s="13"/>
      <c r="N176" s="16"/>
      <c r="O176" s="16"/>
      <c r="P176" s="16"/>
      <c r="Q176" s="16"/>
      <c r="R176" s="24"/>
    </row>
    <row r="177" spans="5:17" x14ac:dyDescent="0.35">
      <c r="E177" s="57"/>
      <c r="F177" s="52"/>
      <c r="L177" s="58"/>
      <c r="M177" s="58"/>
      <c r="N177" s="57"/>
      <c r="O177" s="57"/>
      <c r="P177" s="57"/>
      <c r="Q177" s="57"/>
    </row>
    <row r="178" spans="5:17" x14ac:dyDescent="0.35">
      <c r="E178" s="57"/>
      <c r="F178" s="52"/>
      <c r="L178" s="58"/>
      <c r="M178" s="58"/>
      <c r="N178" s="57"/>
      <c r="O178" s="57"/>
      <c r="P178" s="57"/>
      <c r="Q178" s="57"/>
    </row>
    <row r="179" spans="5:17" x14ac:dyDescent="0.35">
      <c r="E179" s="57"/>
      <c r="F179" s="52"/>
      <c r="L179" s="58"/>
      <c r="M179" s="58"/>
      <c r="N179" s="57"/>
      <c r="O179" s="57"/>
      <c r="P179" s="57"/>
      <c r="Q179" s="57"/>
    </row>
    <row r="180" spans="5:17" x14ac:dyDescent="0.35">
      <c r="E180" s="61"/>
      <c r="F180" s="52"/>
      <c r="G180" s="54"/>
      <c r="H180" s="54"/>
      <c r="I180" s="54"/>
      <c r="J180" s="54"/>
      <c r="K180" s="54"/>
      <c r="L180" s="54"/>
      <c r="M180" s="54"/>
      <c r="N180" s="61"/>
      <c r="O180" s="61"/>
      <c r="P180" s="61"/>
      <c r="Q180" s="61"/>
    </row>
    <row r="181" spans="5:17" x14ac:dyDescent="0.35">
      <c r="E181" s="62"/>
      <c r="F181" s="52"/>
      <c r="G181" s="63"/>
      <c r="H181" s="63"/>
      <c r="I181" s="63"/>
      <c r="J181" s="60"/>
      <c r="K181" s="60"/>
      <c r="L181" s="60"/>
      <c r="M181" s="60"/>
      <c r="N181" s="62"/>
      <c r="O181" s="62"/>
      <c r="P181" s="62"/>
      <c r="Q181" s="62"/>
    </row>
    <row r="182" spans="5:17" x14ac:dyDescent="0.35">
      <c r="E182" s="53"/>
      <c r="F182" s="52"/>
      <c r="G182" s="54"/>
      <c r="H182" s="54"/>
      <c r="I182" s="54"/>
      <c r="J182" s="54"/>
      <c r="K182" s="54"/>
      <c r="L182" s="54"/>
      <c r="M182" s="54"/>
      <c r="N182" s="67"/>
      <c r="O182" s="67"/>
      <c r="P182" s="67"/>
      <c r="Q182" s="67"/>
    </row>
    <row r="183" spans="5:17" x14ac:dyDescent="0.35">
      <c r="E183" s="53"/>
      <c r="F183" s="52"/>
      <c r="G183" s="54"/>
      <c r="H183" s="54"/>
      <c r="I183" s="54"/>
      <c r="J183" s="54"/>
      <c r="K183" s="54"/>
      <c r="L183" s="54"/>
      <c r="M183" s="54"/>
      <c r="N183" s="67"/>
      <c r="O183" s="67"/>
      <c r="P183" s="67"/>
      <c r="Q183" s="67"/>
    </row>
    <row r="184" spans="5:17" x14ac:dyDescent="0.35">
      <c r="E184" s="53"/>
      <c r="F184" s="52"/>
      <c r="G184" s="54"/>
      <c r="H184" s="54"/>
      <c r="I184" s="54"/>
      <c r="J184" s="54"/>
      <c r="K184" s="54"/>
      <c r="L184" s="54"/>
      <c r="M184" s="54"/>
      <c r="N184" s="67"/>
      <c r="O184" s="67"/>
      <c r="P184" s="67"/>
      <c r="Q184" s="67"/>
    </row>
    <row r="185" spans="5:17" x14ac:dyDescent="0.35">
      <c r="E185" s="53"/>
      <c r="F185" s="52"/>
      <c r="G185" s="54"/>
      <c r="H185" s="54"/>
      <c r="I185" s="54"/>
      <c r="J185" s="54"/>
      <c r="K185" s="54"/>
      <c r="L185" s="54"/>
      <c r="M185" s="54"/>
      <c r="N185" s="67"/>
      <c r="O185" s="67"/>
      <c r="P185" s="67"/>
      <c r="Q185" s="67"/>
    </row>
    <row r="186" spans="5:17" x14ac:dyDescent="0.35">
      <c r="E186" s="57"/>
      <c r="F186" s="52"/>
      <c r="G186" s="58"/>
      <c r="H186" s="58"/>
      <c r="I186" s="58"/>
      <c r="J186" s="58"/>
      <c r="K186" s="58"/>
      <c r="L186" s="58"/>
      <c r="M186" s="58"/>
      <c r="N186" s="56"/>
      <c r="O186" s="57"/>
      <c r="P186" s="57"/>
      <c r="Q186" s="57"/>
    </row>
    <row r="187" spans="5:17" x14ac:dyDescent="0.35">
      <c r="E187" s="57"/>
      <c r="F187" s="52"/>
      <c r="G187" s="58"/>
      <c r="H187" s="58"/>
      <c r="I187" s="58"/>
      <c r="J187" s="58"/>
      <c r="K187" s="58"/>
      <c r="L187" s="58"/>
      <c r="M187" s="58"/>
      <c r="N187" s="56"/>
      <c r="O187" s="57"/>
      <c r="P187" s="57"/>
      <c r="Q187" s="57"/>
    </row>
    <row r="188" spans="5:17" x14ac:dyDescent="0.35">
      <c r="E188" s="57"/>
      <c r="F188" s="52"/>
      <c r="G188" s="58"/>
      <c r="H188" s="58"/>
      <c r="I188" s="58"/>
      <c r="J188" s="58"/>
      <c r="K188" s="58"/>
      <c r="L188" s="58"/>
      <c r="M188" s="58"/>
      <c r="N188" s="56"/>
      <c r="O188" s="57"/>
      <c r="P188" s="57"/>
      <c r="Q188" s="57"/>
    </row>
    <row r="189" spans="5:17" x14ac:dyDescent="0.35">
      <c r="E189" s="57"/>
      <c r="F189" s="52"/>
      <c r="G189" s="58"/>
      <c r="H189" s="58"/>
      <c r="I189" s="58"/>
      <c r="J189" s="58"/>
      <c r="K189" s="58"/>
      <c r="L189" s="58"/>
      <c r="M189" s="58"/>
      <c r="N189" s="56"/>
      <c r="O189" s="57"/>
      <c r="P189" s="57"/>
      <c r="Q189" s="57"/>
    </row>
    <row r="190" spans="5:17" x14ac:dyDescent="0.35">
      <c r="E190" s="57"/>
      <c r="F190" s="52"/>
      <c r="I190" s="52"/>
      <c r="N190" s="57"/>
      <c r="O190" s="57"/>
      <c r="P190" s="57"/>
      <c r="Q190" s="57"/>
    </row>
    <row r="191" spans="5:17" x14ac:dyDescent="0.35">
      <c r="E191" s="57"/>
      <c r="F191" s="52"/>
      <c r="I191" s="52"/>
      <c r="N191" s="57"/>
      <c r="O191" s="57"/>
      <c r="P191" s="57"/>
      <c r="Q191" s="57"/>
    </row>
    <row r="192" spans="5:17" x14ac:dyDescent="0.35">
      <c r="E192" s="57"/>
      <c r="F192" s="52"/>
      <c r="I192" s="52"/>
      <c r="N192" s="57"/>
      <c r="O192" s="57"/>
      <c r="P192" s="57"/>
      <c r="Q192" s="57"/>
    </row>
    <row r="193" spans="5:17" x14ac:dyDescent="0.35">
      <c r="E193" s="57"/>
      <c r="F193" s="52"/>
      <c r="I193" s="52"/>
      <c r="N193" s="57"/>
      <c r="O193" s="57"/>
      <c r="P193" s="57"/>
      <c r="Q193" s="57"/>
    </row>
    <row r="194" spans="5:17" x14ac:dyDescent="0.35">
      <c r="E194" s="64"/>
      <c r="F194" s="52"/>
      <c r="G194" s="54"/>
      <c r="H194" s="54"/>
      <c r="I194" s="54"/>
      <c r="J194" s="54"/>
      <c r="K194" s="54"/>
      <c r="L194" s="54"/>
      <c r="M194" s="54"/>
      <c r="N194" s="56"/>
      <c r="O194" s="56"/>
      <c r="P194" s="56"/>
      <c r="Q194" s="56"/>
    </row>
    <row r="195" spans="5:17" x14ac:dyDescent="0.35">
      <c r="E195" s="64"/>
      <c r="F195" s="52"/>
      <c r="G195" s="54"/>
      <c r="H195" s="54"/>
      <c r="I195" s="54"/>
      <c r="J195" s="54"/>
      <c r="K195" s="54"/>
      <c r="L195" s="54"/>
      <c r="M195" s="54"/>
      <c r="N195" s="56"/>
      <c r="O195" s="56"/>
      <c r="P195" s="56"/>
      <c r="Q195" s="56"/>
    </row>
    <row r="196" spans="5:17" x14ac:dyDescent="0.35">
      <c r="E196" s="64"/>
      <c r="F196" s="52"/>
      <c r="G196" s="54"/>
      <c r="H196" s="54"/>
      <c r="I196" s="54"/>
      <c r="J196" s="54"/>
      <c r="K196" s="54"/>
      <c r="L196" s="54"/>
      <c r="M196" s="54"/>
      <c r="N196" s="56"/>
      <c r="O196" s="56"/>
      <c r="P196" s="56"/>
      <c r="Q196" s="56"/>
    </row>
    <row r="197" spans="5:17" x14ac:dyDescent="0.35">
      <c r="E197" s="53"/>
      <c r="F197" s="52"/>
      <c r="G197" s="54"/>
      <c r="H197" s="54"/>
      <c r="I197" s="54"/>
      <c r="J197" s="54"/>
      <c r="K197" s="54"/>
      <c r="L197" s="54"/>
      <c r="M197" s="54"/>
      <c r="N197" s="67"/>
      <c r="O197" s="67"/>
      <c r="P197" s="67"/>
      <c r="Q197" s="67"/>
    </row>
    <row r="198" spans="5:17" x14ac:dyDescent="0.35">
      <c r="E198" s="53"/>
      <c r="F198" s="52"/>
      <c r="G198" s="54"/>
      <c r="H198" s="54"/>
      <c r="I198" s="54"/>
      <c r="J198" s="54"/>
      <c r="K198" s="54"/>
      <c r="L198" s="54"/>
      <c r="M198" s="54"/>
      <c r="N198" s="67"/>
      <c r="O198" s="67"/>
      <c r="P198" s="67"/>
      <c r="Q198" s="67"/>
    </row>
    <row r="199" spans="5:17" x14ac:dyDescent="0.35">
      <c r="E199" s="53"/>
      <c r="F199" s="52"/>
      <c r="G199" s="54"/>
      <c r="H199" s="54"/>
      <c r="I199" s="54"/>
      <c r="J199" s="54"/>
      <c r="K199" s="54"/>
      <c r="L199" s="54"/>
      <c r="M199" s="54"/>
      <c r="N199" s="67"/>
      <c r="O199" s="67"/>
      <c r="P199" s="67"/>
      <c r="Q199" s="67"/>
    </row>
    <row r="200" spans="5:17" x14ac:dyDescent="0.35">
      <c r="E200" s="53"/>
      <c r="F200" s="52"/>
      <c r="G200" s="54"/>
      <c r="H200" s="54"/>
      <c r="I200" s="54"/>
      <c r="J200" s="54"/>
      <c r="K200" s="54"/>
      <c r="L200" s="54"/>
      <c r="M200" s="54"/>
      <c r="N200" s="67"/>
      <c r="O200" s="67"/>
      <c r="P200" s="67"/>
      <c r="Q200" s="67"/>
    </row>
    <row r="201" spans="5:17" x14ac:dyDescent="0.35">
      <c r="E201" s="53"/>
      <c r="F201" s="52"/>
      <c r="G201" s="54"/>
      <c r="H201" s="54"/>
      <c r="I201" s="54"/>
      <c r="J201" s="54"/>
      <c r="K201" s="54"/>
      <c r="L201" s="54"/>
      <c r="M201" s="54"/>
      <c r="N201" s="67"/>
      <c r="O201" s="67"/>
      <c r="P201" s="67"/>
      <c r="Q201" s="67"/>
    </row>
    <row r="202" spans="5:17" x14ac:dyDescent="0.35">
      <c r="E202" s="53"/>
      <c r="F202" s="52"/>
      <c r="G202" s="54"/>
      <c r="H202" s="54"/>
      <c r="I202" s="54"/>
      <c r="J202" s="54"/>
      <c r="K202" s="54"/>
      <c r="L202" s="54"/>
      <c r="M202" s="54"/>
      <c r="N202" s="67"/>
      <c r="O202" s="67"/>
      <c r="P202" s="67"/>
      <c r="Q202" s="67"/>
    </row>
    <row r="203" spans="5:17" x14ac:dyDescent="0.35">
      <c r="E203" s="53"/>
      <c r="F203" s="52"/>
      <c r="G203" s="54"/>
      <c r="H203" s="54"/>
      <c r="I203" s="54"/>
      <c r="J203" s="54"/>
      <c r="K203" s="54"/>
      <c r="L203" s="54"/>
      <c r="M203" s="54"/>
      <c r="N203" s="67"/>
      <c r="O203" s="67"/>
      <c r="P203" s="67"/>
      <c r="Q203" s="67"/>
    </row>
    <row r="204" spans="5:17" x14ac:dyDescent="0.35">
      <c r="E204" s="53"/>
      <c r="F204" s="52"/>
      <c r="G204" s="54"/>
      <c r="H204" s="54"/>
      <c r="I204" s="54"/>
      <c r="J204" s="54"/>
      <c r="K204" s="54"/>
      <c r="L204" s="54"/>
      <c r="M204" s="54"/>
      <c r="N204" s="67"/>
      <c r="O204" s="67"/>
      <c r="P204" s="67"/>
      <c r="Q204" s="67"/>
    </row>
    <row r="205" spans="5:17" x14ac:dyDescent="0.35">
      <c r="E205" s="53"/>
      <c r="F205" s="52"/>
      <c r="G205" s="54"/>
      <c r="H205" s="54"/>
      <c r="I205" s="54"/>
      <c r="J205" s="54"/>
      <c r="K205" s="54"/>
      <c r="L205" s="54"/>
      <c r="M205" s="54"/>
      <c r="N205" s="67"/>
      <c r="O205" s="67"/>
      <c r="P205" s="67"/>
      <c r="Q205" s="67"/>
    </row>
    <row r="206" spans="5:17" x14ac:dyDescent="0.35">
      <c r="E206" s="53"/>
      <c r="F206" s="52"/>
      <c r="G206" s="54"/>
      <c r="H206" s="54"/>
      <c r="I206" s="54"/>
      <c r="J206" s="54"/>
      <c r="K206" s="54"/>
      <c r="L206" s="54"/>
      <c r="M206" s="54"/>
      <c r="N206" s="67"/>
      <c r="O206" s="67"/>
      <c r="P206" s="67"/>
      <c r="Q206" s="67"/>
    </row>
    <row r="207" spans="5:17" x14ac:dyDescent="0.35">
      <c r="E207" s="53"/>
      <c r="F207" s="52"/>
      <c r="G207" s="54"/>
      <c r="H207" s="54"/>
      <c r="I207" s="54"/>
      <c r="J207" s="54"/>
      <c r="K207" s="54"/>
      <c r="L207" s="54"/>
      <c r="M207" s="54"/>
      <c r="N207" s="67"/>
      <c r="O207" s="67"/>
      <c r="P207" s="67"/>
      <c r="Q207" s="67"/>
    </row>
    <row r="208" spans="5:17" x14ac:dyDescent="0.35">
      <c r="E208" s="53"/>
      <c r="F208" s="52"/>
      <c r="G208" s="54"/>
      <c r="H208" s="54"/>
      <c r="I208" s="54"/>
      <c r="J208" s="54"/>
      <c r="K208" s="54"/>
      <c r="L208" s="54"/>
      <c r="M208" s="54"/>
      <c r="N208" s="67"/>
      <c r="O208" s="67"/>
      <c r="P208" s="67"/>
      <c r="Q208" s="67"/>
    </row>
    <row r="209" spans="4:17" x14ac:dyDescent="0.35">
      <c r="E209" s="53"/>
      <c r="F209" s="52"/>
      <c r="G209" s="54"/>
      <c r="H209" s="54"/>
      <c r="I209" s="54"/>
      <c r="J209" s="54"/>
      <c r="K209" s="54"/>
      <c r="L209" s="54"/>
      <c r="M209" s="54"/>
      <c r="N209" s="67"/>
      <c r="O209" s="67"/>
      <c r="P209" s="67"/>
      <c r="Q209" s="67"/>
    </row>
    <row r="210" spans="4:17" x14ac:dyDescent="0.35">
      <c r="E210" s="53"/>
      <c r="F210" s="52"/>
      <c r="G210" s="54"/>
      <c r="H210" s="54"/>
      <c r="I210" s="54"/>
      <c r="J210" s="54"/>
      <c r="K210" s="54"/>
      <c r="L210" s="54"/>
      <c r="M210" s="54"/>
      <c r="N210" s="67"/>
      <c r="O210" s="67"/>
      <c r="P210" s="67"/>
      <c r="Q210" s="67"/>
    </row>
    <row r="211" spans="4:17" x14ac:dyDescent="0.35">
      <c r="E211" s="53"/>
      <c r="F211" s="52"/>
      <c r="G211" s="54"/>
      <c r="H211" s="54"/>
      <c r="I211" s="54"/>
      <c r="J211" s="54"/>
      <c r="K211" s="54"/>
      <c r="L211" s="54"/>
      <c r="M211" s="54"/>
      <c r="N211" s="67"/>
      <c r="O211" s="67"/>
      <c r="P211" s="67"/>
      <c r="Q211" s="67"/>
    </row>
    <row r="212" spans="4:17" x14ac:dyDescent="0.35">
      <c r="E212" s="53"/>
      <c r="F212" s="52"/>
      <c r="G212" s="54"/>
      <c r="H212" s="54"/>
      <c r="I212" s="54"/>
      <c r="J212" s="54"/>
      <c r="K212" s="54"/>
      <c r="L212" s="54"/>
      <c r="M212" s="54"/>
      <c r="N212" s="67"/>
      <c r="O212" s="67"/>
      <c r="P212" s="67"/>
      <c r="Q212" s="67"/>
    </row>
    <row r="213" spans="4:17" x14ac:dyDescent="0.35">
      <c r="D213" s="59"/>
      <c r="E213" s="53"/>
      <c r="F213" s="59"/>
      <c r="G213" s="54"/>
      <c r="H213" s="54"/>
      <c r="I213" s="54"/>
      <c r="J213" s="54"/>
      <c r="K213" s="54"/>
      <c r="L213" s="54"/>
      <c r="M213" s="54"/>
      <c r="N213" s="67"/>
      <c r="O213" s="67"/>
      <c r="P213" s="67"/>
      <c r="Q213" s="67"/>
    </row>
    <row r="214" spans="4:17" x14ac:dyDescent="0.35">
      <c r="D214" s="59"/>
      <c r="E214" s="53"/>
      <c r="F214" s="59"/>
      <c r="G214" s="54"/>
      <c r="H214" s="54"/>
      <c r="I214" s="54"/>
      <c r="J214" s="54"/>
      <c r="K214" s="54"/>
      <c r="L214" s="54"/>
      <c r="M214" s="54"/>
      <c r="N214" s="67"/>
      <c r="O214" s="67"/>
      <c r="P214" s="67"/>
      <c r="Q214" s="67"/>
    </row>
    <row r="215" spans="4:17" x14ac:dyDescent="0.35">
      <c r="D215" s="59"/>
      <c r="E215" s="53"/>
      <c r="F215" s="59"/>
      <c r="G215" s="54"/>
      <c r="H215" s="54"/>
      <c r="I215" s="54"/>
      <c r="J215" s="54"/>
      <c r="K215" s="54"/>
      <c r="L215" s="54"/>
      <c r="M215" s="54"/>
      <c r="N215" s="67"/>
      <c r="O215" s="67"/>
      <c r="P215" s="67"/>
      <c r="Q215" s="67"/>
    </row>
    <row r="216" spans="4:17" x14ac:dyDescent="0.35">
      <c r="D216" s="59"/>
      <c r="E216" s="53"/>
      <c r="F216" s="59"/>
      <c r="G216" s="54"/>
      <c r="H216" s="54"/>
      <c r="I216" s="54"/>
      <c r="J216" s="54"/>
      <c r="K216" s="54"/>
      <c r="L216" s="54"/>
      <c r="M216" s="54"/>
      <c r="N216" s="67"/>
      <c r="O216" s="67"/>
      <c r="P216" s="67"/>
      <c r="Q216" s="67"/>
    </row>
  </sheetData>
  <autoFilter ref="A1:Q142" xr:uid="{06CB1331-AF3E-489A-B433-09E21B4DF482}">
    <filterColumn colId="6" showButton="0"/>
    <filterColumn colId="7" showButton="0"/>
  </autoFilter>
  <mergeCells count="496">
    <mergeCell ref="M133:M136"/>
    <mergeCell ref="N133:N136"/>
    <mergeCell ref="O133:O136"/>
    <mergeCell ref="P133:P136"/>
    <mergeCell ref="Q133:Q136"/>
    <mergeCell ref="H133:H136"/>
    <mergeCell ref="I133:I136"/>
    <mergeCell ref="J133:J136"/>
    <mergeCell ref="K133:K136"/>
    <mergeCell ref="L133:L136"/>
    <mergeCell ref="C130:C132"/>
    <mergeCell ref="D130:D132"/>
    <mergeCell ref="E130:E132"/>
    <mergeCell ref="F130:F132"/>
    <mergeCell ref="G130:G132"/>
    <mergeCell ref="C133:C136"/>
    <mergeCell ref="D133:D136"/>
    <mergeCell ref="E133:E136"/>
    <mergeCell ref="F133:F136"/>
    <mergeCell ref="G133:G136"/>
    <mergeCell ref="Q125:Q129"/>
    <mergeCell ref="H125:H129"/>
    <mergeCell ref="I125:I129"/>
    <mergeCell ref="J125:J129"/>
    <mergeCell ref="K125:K129"/>
    <mergeCell ref="L125:L129"/>
    <mergeCell ref="Q130:Q132"/>
    <mergeCell ref="H130:H132"/>
    <mergeCell ref="I130:I132"/>
    <mergeCell ref="J130:J132"/>
    <mergeCell ref="K130:K132"/>
    <mergeCell ref="L130:L132"/>
    <mergeCell ref="M130:M132"/>
    <mergeCell ref="N130:N132"/>
    <mergeCell ref="O130:O132"/>
    <mergeCell ref="P130:P132"/>
    <mergeCell ref="C125:C129"/>
    <mergeCell ref="D125:D129"/>
    <mergeCell ref="E125:E129"/>
    <mergeCell ref="F125:F129"/>
    <mergeCell ref="G125:G129"/>
    <mergeCell ref="M125:M129"/>
    <mergeCell ref="N125:N129"/>
    <mergeCell ref="O125:O129"/>
    <mergeCell ref="P125:P129"/>
    <mergeCell ref="H118:H122"/>
    <mergeCell ref="I118:I122"/>
    <mergeCell ref="J118:J122"/>
    <mergeCell ref="K118:K122"/>
    <mergeCell ref="L118:L122"/>
    <mergeCell ref="C118:C122"/>
    <mergeCell ref="D118:D122"/>
    <mergeCell ref="E118:E122"/>
    <mergeCell ref="F118:F122"/>
    <mergeCell ref="G118:G122"/>
    <mergeCell ref="M114:M117"/>
    <mergeCell ref="N114:N117"/>
    <mergeCell ref="O114:O117"/>
    <mergeCell ref="P114:P117"/>
    <mergeCell ref="M118:M122"/>
    <mergeCell ref="N118:N122"/>
    <mergeCell ref="O118:O122"/>
    <mergeCell ref="P118:P122"/>
    <mergeCell ref="Q114:Q117"/>
    <mergeCell ref="Q118:Q122"/>
    <mergeCell ref="H114:H117"/>
    <mergeCell ref="I114:I117"/>
    <mergeCell ref="J114:J117"/>
    <mergeCell ref="K114:K117"/>
    <mergeCell ref="L114:L117"/>
    <mergeCell ref="C114:C117"/>
    <mergeCell ref="D114:D117"/>
    <mergeCell ref="E114:E117"/>
    <mergeCell ref="F114:F117"/>
    <mergeCell ref="G114:G117"/>
    <mergeCell ref="M110:M113"/>
    <mergeCell ref="N110:N113"/>
    <mergeCell ref="O110:O113"/>
    <mergeCell ref="P110:P113"/>
    <mergeCell ref="Q110:Q113"/>
    <mergeCell ref="H110:H113"/>
    <mergeCell ref="I110:I113"/>
    <mergeCell ref="J110:J113"/>
    <mergeCell ref="K110:K113"/>
    <mergeCell ref="L110:L113"/>
    <mergeCell ref="C107:C109"/>
    <mergeCell ref="D107:D109"/>
    <mergeCell ref="E107:E109"/>
    <mergeCell ref="F107:F109"/>
    <mergeCell ref="G107:G109"/>
    <mergeCell ref="C110:C113"/>
    <mergeCell ref="D110:D113"/>
    <mergeCell ref="E110:E113"/>
    <mergeCell ref="F110:F113"/>
    <mergeCell ref="G110:G113"/>
    <mergeCell ref="Q104:Q106"/>
    <mergeCell ref="H104:H106"/>
    <mergeCell ref="I104:I106"/>
    <mergeCell ref="J104:J106"/>
    <mergeCell ref="K104:K106"/>
    <mergeCell ref="L104:L106"/>
    <mergeCell ref="Q107:Q109"/>
    <mergeCell ref="H107:H109"/>
    <mergeCell ref="I107:I109"/>
    <mergeCell ref="J107:J109"/>
    <mergeCell ref="K107:K109"/>
    <mergeCell ref="L107:L109"/>
    <mergeCell ref="M107:M109"/>
    <mergeCell ref="N107:N109"/>
    <mergeCell ref="O107:O109"/>
    <mergeCell ref="P107:P109"/>
    <mergeCell ref="C104:C106"/>
    <mergeCell ref="D104:D106"/>
    <mergeCell ref="E104:E106"/>
    <mergeCell ref="F104:F106"/>
    <mergeCell ref="G104:G106"/>
    <mergeCell ref="M100:M103"/>
    <mergeCell ref="N100:N103"/>
    <mergeCell ref="O100:O103"/>
    <mergeCell ref="P100:P103"/>
    <mergeCell ref="M104:M106"/>
    <mergeCell ref="N104:N106"/>
    <mergeCell ref="O104:O106"/>
    <mergeCell ref="P104:P106"/>
    <mergeCell ref="Q100:Q103"/>
    <mergeCell ref="H100:H103"/>
    <mergeCell ref="I100:I103"/>
    <mergeCell ref="J100:J103"/>
    <mergeCell ref="K100:K103"/>
    <mergeCell ref="L100:L103"/>
    <mergeCell ref="C100:C103"/>
    <mergeCell ref="D100:D103"/>
    <mergeCell ref="E100:E103"/>
    <mergeCell ref="F100:F103"/>
    <mergeCell ref="G100:G103"/>
    <mergeCell ref="M95:M99"/>
    <mergeCell ref="N95:N99"/>
    <mergeCell ref="O95:O99"/>
    <mergeCell ref="P95:P99"/>
    <mergeCell ref="Q95:Q99"/>
    <mergeCell ref="H95:H99"/>
    <mergeCell ref="I95:I99"/>
    <mergeCell ref="J95:J99"/>
    <mergeCell ref="K95:K99"/>
    <mergeCell ref="L95:L99"/>
    <mergeCell ref="C91:C94"/>
    <mergeCell ref="D91:D94"/>
    <mergeCell ref="E91:E94"/>
    <mergeCell ref="F91:F94"/>
    <mergeCell ref="G91:G94"/>
    <mergeCell ref="C95:C99"/>
    <mergeCell ref="D95:D99"/>
    <mergeCell ref="E95:E99"/>
    <mergeCell ref="F95:F99"/>
    <mergeCell ref="G95:G99"/>
    <mergeCell ref="Q88:Q90"/>
    <mergeCell ref="H88:H90"/>
    <mergeCell ref="I88:I90"/>
    <mergeCell ref="J88:J90"/>
    <mergeCell ref="K88:K90"/>
    <mergeCell ref="L88:L90"/>
    <mergeCell ref="Q91:Q94"/>
    <mergeCell ref="H91:H94"/>
    <mergeCell ref="I91:I94"/>
    <mergeCell ref="J91:J94"/>
    <mergeCell ref="K91:K94"/>
    <mergeCell ref="L91:L94"/>
    <mergeCell ref="M91:M94"/>
    <mergeCell ref="N91:N94"/>
    <mergeCell ref="O91:O94"/>
    <mergeCell ref="P91:P94"/>
    <mergeCell ref="C88:C90"/>
    <mergeCell ref="D88:D90"/>
    <mergeCell ref="E88:E90"/>
    <mergeCell ref="F88:F90"/>
    <mergeCell ref="G88:G90"/>
    <mergeCell ref="M85:M87"/>
    <mergeCell ref="N85:N87"/>
    <mergeCell ref="O85:O87"/>
    <mergeCell ref="P85:P87"/>
    <mergeCell ref="M88:M90"/>
    <mergeCell ref="N88:N90"/>
    <mergeCell ref="O88:O90"/>
    <mergeCell ref="P88:P90"/>
    <mergeCell ref="Q85:Q87"/>
    <mergeCell ref="H85:H87"/>
    <mergeCell ref="I85:I87"/>
    <mergeCell ref="J85:J87"/>
    <mergeCell ref="K85:K87"/>
    <mergeCell ref="L85:L87"/>
    <mergeCell ref="C85:C87"/>
    <mergeCell ref="D85:D87"/>
    <mergeCell ref="E85:E87"/>
    <mergeCell ref="F85:F87"/>
    <mergeCell ref="G85:G87"/>
    <mergeCell ref="M80:M84"/>
    <mergeCell ref="N80:N84"/>
    <mergeCell ref="O80:O84"/>
    <mergeCell ref="P80:P84"/>
    <mergeCell ref="Q80:Q84"/>
    <mergeCell ref="H80:H84"/>
    <mergeCell ref="I80:I84"/>
    <mergeCell ref="J80:J84"/>
    <mergeCell ref="K80:K84"/>
    <mergeCell ref="L80:L84"/>
    <mergeCell ref="C76:C79"/>
    <mergeCell ref="D76:D79"/>
    <mergeCell ref="E76:E79"/>
    <mergeCell ref="F76:F79"/>
    <mergeCell ref="G76:G79"/>
    <mergeCell ref="C80:C84"/>
    <mergeCell ref="D80:D84"/>
    <mergeCell ref="E80:E84"/>
    <mergeCell ref="F80:F84"/>
    <mergeCell ref="G80:G84"/>
    <mergeCell ref="Q71:Q75"/>
    <mergeCell ref="H71:H75"/>
    <mergeCell ref="I71:I75"/>
    <mergeCell ref="J71:J75"/>
    <mergeCell ref="K71:K75"/>
    <mergeCell ref="L71:L75"/>
    <mergeCell ref="Q76:Q79"/>
    <mergeCell ref="H76:H79"/>
    <mergeCell ref="I76:I79"/>
    <mergeCell ref="J76:J79"/>
    <mergeCell ref="K76:K79"/>
    <mergeCell ref="L76:L79"/>
    <mergeCell ref="M76:M79"/>
    <mergeCell ref="N76:N79"/>
    <mergeCell ref="O76:O79"/>
    <mergeCell ref="P76:P79"/>
    <mergeCell ref="C71:C75"/>
    <mergeCell ref="D71:D75"/>
    <mergeCell ref="E71:E75"/>
    <mergeCell ref="F71:F75"/>
    <mergeCell ref="G71:G75"/>
    <mergeCell ref="M68:M70"/>
    <mergeCell ref="N68:N70"/>
    <mergeCell ref="O68:O70"/>
    <mergeCell ref="P68:P70"/>
    <mergeCell ref="M71:M75"/>
    <mergeCell ref="N71:N75"/>
    <mergeCell ref="O71:O75"/>
    <mergeCell ref="P71:P75"/>
    <mergeCell ref="Q68:Q70"/>
    <mergeCell ref="H68:H70"/>
    <mergeCell ref="I68:I70"/>
    <mergeCell ref="J68:J70"/>
    <mergeCell ref="K68:K70"/>
    <mergeCell ref="L68:L70"/>
    <mergeCell ref="C68:C70"/>
    <mergeCell ref="D68:D70"/>
    <mergeCell ref="E68:E70"/>
    <mergeCell ref="F68:F70"/>
    <mergeCell ref="G68:G70"/>
    <mergeCell ref="M65:M67"/>
    <mergeCell ref="N65:N67"/>
    <mergeCell ref="O65:O67"/>
    <mergeCell ref="P65:P67"/>
    <mergeCell ref="Q65:Q67"/>
    <mergeCell ref="H65:H67"/>
    <mergeCell ref="I65:I67"/>
    <mergeCell ref="J65:J67"/>
    <mergeCell ref="K65:K67"/>
    <mergeCell ref="L65:L67"/>
    <mergeCell ref="C60:C64"/>
    <mergeCell ref="D60:D64"/>
    <mergeCell ref="E60:E64"/>
    <mergeCell ref="F60:F64"/>
    <mergeCell ref="G60:G64"/>
    <mergeCell ref="C65:C67"/>
    <mergeCell ref="D65:D67"/>
    <mergeCell ref="E65:E67"/>
    <mergeCell ref="F65:F67"/>
    <mergeCell ref="G65:G67"/>
    <mergeCell ref="Q57:Q59"/>
    <mergeCell ref="H57:H59"/>
    <mergeCell ref="I57:I59"/>
    <mergeCell ref="J57:J59"/>
    <mergeCell ref="K57:K59"/>
    <mergeCell ref="L57:L59"/>
    <mergeCell ref="Q60:Q64"/>
    <mergeCell ref="H60:H64"/>
    <mergeCell ref="I60:I64"/>
    <mergeCell ref="J60:J64"/>
    <mergeCell ref="K60:K64"/>
    <mergeCell ref="L60:L64"/>
    <mergeCell ref="M60:M64"/>
    <mergeCell ref="N60:N64"/>
    <mergeCell ref="O60:O64"/>
    <mergeCell ref="P60:P64"/>
    <mergeCell ref="Q49:Q52"/>
    <mergeCell ref="C54:C56"/>
    <mergeCell ref="D54:D56"/>
    <mergeCell ref="E54:E56"/>
    <mergeCell ref="F54:F56"/>
    <mergeCell ref="G54:G56"/>
    <mergeCell ref="H54:H56"/>
    <mergeCell ref="I54:I56"/>
    <mergeCell ref="J54:J56"/>
    <mergeCell ref="K54:K56"/>
    <mergeCell ref="L54:L56"/>
    <mergeCell ref="M54:M56"/>
    <mergeCell ref="N54:N56"/>
    <mergeCell ref="O54:O56"/>
    <mergeCell ref="P54:P56"/>
    <mergeCell ref="Q54:Q56"/>
    <mergeCell ref="L49:L52"/>
    <mergeCell ref="M49:M52"/>
    <mergeCell ref="N49:N52"/>
    <mergeCell ref="G49:G52"/>
    <mergeCell ref="H49:H52"/>
    <mergeCell ref="I49:I52"/>
    <mergeCell ref="J49:J52"/>
    <mergeCell ref="K49:K52"/>
    <mergeCell ref="C46:C48"/>
    <mergeCell ref="C49:C52"/>
    <mergeCell ref="D49:D52"/>
    <mergeCell ref="E49:E52"/>
    <mergeCell ref="F49:F52"/>
    <mergeCell ref="N46:N48"/>
    <mergeCell ref="O46:O48"/>
    <mergeCell ref="P46:P48"/>
    <mergeCell ref="C57:C59"/>
    <mergeCell ref="D57:D59"/>
    <mergeCell ref="E57:E59"/>
    <mergeCell ref="F57:F59"/>
    <mergeCell ref="G57:G59"/>
    <mergeCell ref="M57:M59"/>
    <mergeCell ref="N57:N59"/>
    <mergeCell ref="O57:O59"/>
    <mergeCell ref="P57:P59"/>
    <mergeCell ref="D46:D48"/>
    <mergeCell ref="E46:E48"/>
    <mergeCell ref="F46:F48"/>
    <mergeCell ref="G46:G48"/>
    <mergeCell ref="H46:H48"/>
    <mergeCell ref="O49:O52"/>
    <mergeCell ref="P49:P52"/>
    <mergeCell ref="Q42:Q45"/>
    <mergeCell ref="H42:H45"/>
    <mergeCell ref="I42:I45"/>
    <mergeCell ref="J42:J45"/>
    <mergeCell ref="K42:K45"/>
    <mergeCell ref="L42:L45"/>
    <mergeCell ref="Q46:Q48"/>
    <mergeCell ref="I46:I48"/>
    <mergeCell ref="J46:J48"/>
    <mergeCell ref="K46:K48"/>
    <mergeCell ref="L46:L48"/>
    <mergeCell ref="M46:M48"/>
    <mergeCell ref="C42:C45"/>
    <mergeCell ref="D42:D45"/>
    <mergeCell ref="E42:E45"/>
    <mergeCell ref="F42:F45"/>
    <mergeCell ref="G42:G45"/>
    <mergeCell ref="M39:M41"/>
    <mergeCell ref="N39:N41"/>
    <mergeCell ref="O39:O41"/>
    <mergeCell ref="P39:P41"/>
    <mergeCell ref="M42:M45"/>
    <mergeCell ref="N42:N45"/>
    <mergeCell ref="O42:O45"/>
    <mergeCell ref="P42:P45"/>
    <mergeCell ref="Q39:Q41"/>
    <mergeCell ref="H39:H41"/>
    <mergeCell ref="I39:I41"/>
    <mergeCell ref="J39:J41"/>
    <mergeCell ref="K39:K41"/>
    <mergeCell ref="L39:L41"/>
    <mergeCell ref="C39:C41"/>
    <mergeCell ref="D39:D41"/>
    <mergeCell ref="F39:F41"/>
    <mergeCell ref="G39:G41"/>
    <mergeCell ref="E39:E41"/>
    <mergeCell ref="M33:M36"/>
    <mergeCell ref="N33:N36"/>
    <mergeCell ref="O33:O36"/>
    <mergeCell ref="P33:P36"/>
    <mergeCell ref="Q33:Q36"/>
    <mergeCell ref="H33:H36"/>
    <mergeCell ref="I33:I36"/>
    <mergeCell ref="J33:J36"/>
    <mergeCell ref="K33:K36"/>
    <mergeCell ref="L33:L36"/>
    <mergeCell ref="C30:C32"/>
    <mergeCell ref="D30:D32"/>
    <mergeCell ref="E30:E32"/>
    <mergeCell ref="F30:F32"/>
    <mergeCell ref="G30:G32"/>
    <mergeCell ref="C33:C36"/>
    <mergeCell ref="D33:D36"/>
    <mergeCell ref="E33:E36"/>
    <mergeCell ref="F33:F36"/>
    <mergeCell ref="G33:G36"/>
    <mergeCell ref="Q30:Q32"/>
    <mergeCell ref="H30:H32"/>
    <mergeCell ref="I30:I32"/>
    <mergeCell ref="J30:J32"/>
    <mergeCell ref="K30:K32"/>
    <mergeCell ref="L30:L32"/>
    <mergeCell ref="M30:M32"/>
    <mergeCell ref="N30:N32"/>
    <mergeCell ref="O30:O32"/>
    <mergeCell ref="P30:P32"/>
    <mergeCell ref="M26:M29"/>
    <mergeCell ref="N26:N29"/>
    <mergeCell ref="O26:O29"/>
    <mergeCell ref="P26:P29"/>
    <mergeCell ref="Q26:Q29"/>
    <mergeCell ref="H26:H29"/>
    <mergeCell ref="I26:I29"/>
    <mergeCell ref="J26:J29"/>
    <mergeCell ref="K26:K29"/>
    <mergeCell ref="L26:L29"/>
    <mergeCell ref="C23:C25"/>
    <mergeCell ref="D23:D25"/>
    <mergeCell ref="E23:E25"/>
    <mergeCell ref="F23:F25"/>
    <mergeCell ref="G23:G25"/>
    <mergeCell ref="C26:C29"/>
    <mergeCell ref="D26:D29"/>
    <mergeCell ref="E26:E29"/>
    <mergeCell ref="F26:F29"/>
    <mergeCell ref="G26:G29"/>
    <mergeCell ref="P18:P22"/>
    <mergeCell ref="Q18:Q22"/>
    <mergeCell ref="H18:H22"/>
    <mergeCell ref="I18:I22"/>
    <mergeCell ref="J18:J22"/>
    <mergeCell ref="K18:K22"/>
    <mergeCell ref="L18:L22"/>
    <mergeCell ref="Q23:Q25"/>
    <mergeCell ref="H23:H25"/>
    <mergeCell ref="I23:I25"/>
    <mergeCell ref="J23:J25"/>
    <mergeCell ref="K23:K25"/>
    <mergeCell ref="L23:L25"/>
    <mergeCell ref="M23:M25"/>
    <mergeCell ref="N23:N25"/>
    <mergeCell ref="O23:O25"/>
    <mergeCell ref="P23:P25"/>
    <mergeCell ref="C18:C22"/>
    <mergeCell ref="D18:D22"/>
    <mergeCell ref="E18:E22"/>
    <mergeCell ref="F18:F22"/>
    <mergeCell ref="G18:G22"/>
    <mergeCell ref="M13:M16"/>
    <mergeCell ref="E13:E16"/>
    <mergeCell ref="N13:N16"/>
    <mergeCell ref="O13:O16"/>
    <mergeCell ref="M18:M22"/>
    <mergeCell ref="N18:N22"/>
    <mergeCell ref="O18:O22"/>
    <mergeCell ref="P13:P16"/>
    <mergeCell ref="Q13:Q16"/>
    <mergeCell ref="C13:C16"/>
    <mergeCell ref="D13:D16"/>
    <mergeCell ref="F13:F16"/>
    <mergeCell ref="G13:G16"/>
    <mergeCell ref="H13:H16"/>
    <mergeCell ref="I13:I16"/>
    <mergeCell ref="J13:J16"/>
    <mergeCell ref="K13:K16"/>
    <mergeCell ref="L13:L16"/>
    <mergeCell ref="Q5:Q8"/>
    <mergeCell ref="E5:E8"/>
    <mergeCell ref="C9:C12"/>
    <mergeCell ref="D9:D12"/>
    <mergeCell ref="E9:E12"/>
    <mergeCell ref="F9:F12"/>
    <mergeCell ref="G9:G12"/>
    <mergeCell ref="H9:H12"/>
    <mergeCell ref="I9:I12"/>
    <mergeCell ref="J9:J12"/>
    <mergeCell ref="K9:K12"/>
    <mergeCell ref="L9:L12"/>
    <mergeCell ref="M9:M12"/>
    <mergeCell ref="N9:N12"/>
    <mergeCell ref="J5:J8"/>
    <mergeCell ref="K5:K8"/>
    <mergeCell ref="L5:L8"/>
    <mergeCell ref="M5:M8"/>
    <mergeCell ref="N5:N8"/>
    <mergeCell ref="O9:O12"/>
    <mergeCell ref="P9:P12"/>
    <mergeCell ref="Q9:Q12"/>
    <mergeCell ref="G1:I1"/>
    <mergeCell ref="C5:C8"/>
    <mergeCell ref="D5:D8"/>
    <mergeCell ref="F5:F8"/>
    <mergeCell ref="G5:G8"/>
    <mergeCell ref="H5:H8"/>
    <mergeCell ref="I5:I8"/>
    <mergeCell ref="O5:O8"/>
    <mergeCell ref="P5:P8"/>
  </mergeCells>
  <pageMargins left="0.7" right="0.7" top="0.75" bottom="0.75" header="0.3" footer="0.3"/>
  <pageSetup paperSize="9" orientation="portrait"/>
  <ignoredErrors>
    <ignoredError sqref="K53:M53 K123:M124 K137:M137 K138:M138" unlockedFormula="1"/>
  </ignoredErrors>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B182:B216 B136:B180 B22 B25 B29 B45 B56 B64 B67 B70 B75 B79 B84 B87 B90 B94 B99 B103 B106 B109 B113 B117 B129 B132 B3 B32 B41 B36:B38 B48 B53 B59 B16:B17 B122:B124</xm:sqref>
        </x14:dataValidation>
        <x14:dataValidation type="list" allowBlank="1" showInputMessage="1" showErrorMessage="1" xr:uid="{C9DFEA4C-E456-40FA-A0B8-26962CF02348}">
          <x14:formula1>
            <xm:f>'Paso 3 Redacción RA '!$I$3:$I$15</xm:f>
          </x14:formula1>
          <xm:sqref>B18:B21 B23:B24 B39:B40 B46:B47 B57:B58 B60:B63 B71:B74 B80:B83 B95:B98 B104:B105 B107:B108 B118:B121 B125:B128 B130:B131 B4:B11 B13:B15 B26:B28 B30:B31 B33:B35 B42:B44 B49:B51 B54:B55 B65:B66 B68:B69 B76:B78 B85:B86 B88:B89 B91:B93 B100:B102 B110:B112 B114:B116 B133:B135</xm:sqref>
        </x14:dataValidation>
        <x14:dataValidation type="list" allowBlank="1" showInputMessage="1" showErrorMessage="1" xr:uid="{30DD22C5-FBF6-44B0-BCFD-32788D298910}">
          <x14:formula1>
            <xm:f>'Paso 3 Redacción RA '!$I$1:$I$15</xm:f>
          </x14:formula1>
          <xm:sqref>B12 B52:B53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A4" workbookViewId="0">
      <selection activeCell="B1" sqref="B1"/>
    </sheetView>
  </sheetViews>
  <sheetFormatPr baseColWidth="10" defaultColWidth="11.453125" defaultRowHeight="14.5" x14ac:dyDescent="0.35"/>
  <cols>
    <col min="2" max="2" width="27.1796875" customWidth="1"/>
  </cols>
  <sheetData>
    <row r="1" spans="2:2" ht="16.5" x14ac:dyDescent="0.5">
      <c r="B1" s="1" t="s">
        <v>150</v>
      </c>
    </row>
    <row r="2" spans="2:2" ht="16.5" x14ac:dyDescent="0.5">
      <c r="B2" s="1" t="s">
        <v>151</v>
      </c>
    </row>
    <row r="3" spans="2:2" ht="16.5" x14ac:dyDescent="0.5">
      <c r="B3" s="1" t="s">
        <v>152</v>
      </c>
    </row>
    <row r="4" spans="2:2" ht="16.5" x14ac:dyDescent="0.5">
      <c r="B4" s="1" t="s">
        <v>40</v>
      </c>
    </row>
    <row r="5" spans="2:2" ht="16.5" x14ac:dyDescent="0.5">
      <c r="B5" s="1" t="s">
        <v>70</v>
      </c>
    </row>
    <row r="6" spans="2:2" ht="16.5" x14ac:dyDescent="0.5">
      <c r="B6" s="1" t="s">
        <v>153</v>
      </c>
    </row>
    <row r="7" spans="2:2" ht="16.5" x14ac:dyDescent="0.5">
      <c r="B7" s="1" t="s">
        <v>154</v>
      </c>
    </row>
    <row r="8" spans="2:2" ht="16.5" x14ac:dyDescent="0.5">
      <c r="B8" s="1" t="s">
        <v>155</v>
      </c>
    </row>
    <row r="9" spans="2:2" ht="16.5" x14ac:dyDescent="0.5">
      <c r="B9" s="1" t="s">
        <v>156</v>
      </c>
    </row>
    <row r="10" spans="2:2" ht="16.5" x14ac:dyDescent="0.5">
      <c r="B10" s="1" t="s">
        <v>157</v>
      </c>
    </row>
    <row r="11" spans="2:2" ht="16.5" x14ac:dyDescent="0.5">
      <c r="B11" s="1" t="s">
        <v>158</v>
      </c>
    </row>
    <row r="12" spans="2:2" ht="16.5" x14ac:dyDescent="0.5">
      <c r="B12" s="1" t="s">
        <v>159</v>
      </c>
    </row>
    <row r="13" spans="2:2" ht="16.5" x14ac:dyDescent="0.5">
      <c r="B13" s="1" t="s">
        <v>160</v>
      </c>
    </row>
    <row r="14" spans="2:2" ht="16.5" x14ac:dyDescent="0.5">
      <c r="B14" s="1" t="s">
        <v>38</v>
      </c>
    </row>
    <row r="15" spans="2:2" ht="16.5" x14ac:dyDescent="0.5">
      <c r="B15" s="1" t="s">
        <v>39</v>
      </c>
    </row>
    <row r="16" spans="2:2" ht="16.5" x14ac:dyDescent="0.5">
      <c r="B16" s="1" t="s">
        <v>161</v>
      </c>
    </row>
    <row r="17" spans="2:2" ht="16.5" x14ac:dyDescent="0.5">
      <c r="B17" s="1" t="s">
        <v>35</v>
      </c>
    </row>
    <row r="18" spans="2:2" ht="16.5" x14ac:dyDescent="0.5">
      <c r="B18" s="1" t="s">
        <v>162</v>
      </c>
    </row>
    <row r="19" spans="2:2" ht="16.5" x14ac:dyDescent="0.5">
      <c r="B19" s="1" t="s">
        <v>71</v>
      </c>
    </row>
    <row r="20" spans="2:2" ht="16.5" x14ac:dyDescent="0.5">
      <c r="B20" s="1" t="s">
        <v>163</v>
      </c>
    </row>
    <row r="21" spans="2:2" ht="16.5" x14ac:dyDescent="0.5">
      <c r="B21" s="1" t="s">
        <v>164</v>
      </c>
    </row>
    <row r="22" spans="2:2" ht="16.5" x14ac:dyDescent="0.5">
      <c r="B22" s="1" t="s">
        <v>165</v>
      </c>
    </row>
    <row r="23" spans="2:2" ht="16.5" x14ac:dyDescent="0.5">
      <c r="B23" s="1" t="s">
        <v>37</v>
      </c>
    </row>
    <row r="24" spans="2:2" ht="16.5" x14ac:dyDescent="0.5">
      <c r="B24" s="1" t="s">
        <v>166</v>
      </c>
    </row>
    <row r="25" spans="2:2" ht="16.5" x14ac:dyDescent="0.5">
      <c r="B25" s="1" t="s">
        <v>167</v>
      </c>
    </row>
    <row r="26" spans="2:2" ht="16.5" x14ac:dyDescent="0.5">
      <c r="B26" s="1" t="s">
        <v>168</v>
      </c>
    </row>
    <row r="27" spans="2:2" ht="16.5" x14ac:dyDescent="0.5">
      <c r="B27" s="1" t="s">
        <v>169</v>
      </c>
    </row>
    <row r="28" spans="2:2" ht="16.5" x14ac:dyDescent="0.5">
      <c r="B28" s="1" t="s">
        <v>170</v>
      </c>
    </row>
    <row r="29" spans="2:2" ht="16.5" x14ac:dyDescent="0.5">
      <c r="B29" s="1" t="s">
        <v>171</v>
      </c>
    </row>
    <row r="30" spans="2:2" ht="16.5" x14ac:dyDescent="0.5">
      <c r="B30" s="1" t="s">
        <v>172</v>
      </c>
    </row>
    <row r="31" spans="2:2" ht="16.5" x14ac:dyDescent="0.5">
      <c r="B31" s="1" t="s">
        <v>173</v>
      </c>
    </row>
    <row r="32" spans="2:2" ht="16.5" x14ac:dyDescent="0.5">
      <c r="B32" s="1" t="s">
        <v>174</v>
      </c>
    </row>
    <row r="33" spans="2:2" ht="16.5" x14ac:dyDescent="0.5">
      <c r="B33" s="1" t="s">
        <v>175</v>
      </c>
    </row>
    <row r="34" spans="2:2" ht="16.5" x14ac:dyDescent="0.5">
      <c r="B34" s="1" t="s">
        <v>176</v>
      </c>
    </row>
    <row r="35" spans="2:2" ht="16.5" x14ac:dyDescent="0.5">
      <c r="B35" s="1" t="s">
        <v>177</v>
      </c>
    </row>
    <row r="36" spans="2:2" ht="16.5" x14ac:dyDescent="0.5">
      <c r="B36" s="1" t="s">
        <v>178</v>
      </c>
    </row>
    <row r="37" spans="2:2" ht="16.5" x14ac:dyDescent="0.5">
      <c r="B37" s="1" t="s">
        <v>179</v>
      </c>
    </row>
    <row r="38" spans="2:2" ht="16.5" x14ac:dyDescent="0.5">
      <c r="B38" s="1" t="s">
        <v>180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J4" zoomScale="66" workbookViewId="0">
      <selection activeCell="N45" sqref="N4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6" t="s">
        <v>181</v>
      </c>
      <c r="T1" s="176"/>
      <c r="U1" s="176"/>
      <c r="V1" s="176"/>
      <c r="W1" s="176"/>
      <c r="X1" s="176"/>
      <c r="Y1" s="176"/>
      <c r="Z1" s="176"/>
      <c r="AA1" s="176"/>
      <c r="AB1" s="176"/>
      <c r="AC1" s="176"/>
      <c r="AD1" s="176"/>
      <c r="AE1" s="176"/>
      <c r="AF1" s="176"/>
      <c r="AG1" s="176"/>
      <c r="AH1" s="14"/>
      <c r="AI1" s="14"/>
      <c r="AJ1" s="14"/>
      <c r="AL1" s="176" t="s">
        <v>182</v>
      </c>
      <c r="AM1" s="176"/>
      <c r="AN1" s="176"/>
      <c r="AO1" s="176"/>
      <c r="AP1" s="176"/>
      <c r="AQ1" s="176"/>
      <c r="AR1" s="14"/>
      <c r="AS1" s="14"/>
      <c r="AT1" s="176" t="s">
        <v>183</v>
      </c>
      <c r="AU1" s="176"/>
      <c r="AV1" s="176"/>
      <c r="AW1" s="176"/>
      <c r="AX1" s="176"/>
      <c r="AY1" s="176"/>
      <c r="AZ1" s="14"/>
      <c r="BC1" s="14"/>
    </row>
    <row r="2" spans="1:55" x14ac:dyDescent="0.5">
      <c r="L2" s="176" t="s">
        <v>184</v>
      </c>
      <c r="M2" s="176"/>
      <c r="N2" s="176"/>
      <c r="O2" s="176"/>
      <c r="P2" s="176"/>
      <c r="Q2" s="176"/>
      <c r="S2" s="177" t="s">
        <v>185</v>
      </c>
      <c r="T2" s="177"/>
      <c r="U2" s="177"/>
      <c r="V2" s="177"/>
      <c r="W2" s="177"/>
      <c r="X2" s="177"/>
      <c r="Y2" s="177" t="s">
        <v>186</v>
      </c>
      <c r="Z2" s="177"/>
      <c r="AA2" s="177"/>
      <c r="AB2" s="177"/>
      <c r="AC2" s="177" t="s">
        <v>187</v>
      </c>
      <c r="AD2" s="177"/>
      <c r="AE2" s="177"/>
      <c r="AF2" s="177"/>
      <c r="AG2" s="177"/>
      <c r="AH2" s="14"/>
      <c r="AI2" s="14"/>
      <c r="AJ2" s="14"/>
      <c r="AL2" s="176"/>
      <c r="AM2" s="176"/>
      <c r="AN2" s="176"/>
      <c r="AO2" s="176"/>
      <c r="AP2" s="176"/>
      <c r="AQ2" s="176"/>
      <c r="AR2" s="14"/>
      <c r="AS2" s="14"/>
      <c r="AT2" s="14"/>
      <c r="AU2" s="14"/>
      <c r="AV2" s="14"/>
      <c r="AW2" s="14"/>
      <c r="AX2" s="14"/>
      <c r="AY2" s="14"/>
      <c r="AZ2" s="14"/>
      <c r="BC2" s="14"/>
    </row>
    <row r="3" spans="1:55" x14ac:dyDescent="0.5">
      <c r="A3" s="1" t="s">
        <v>188</v>
      </c>
      <c r="C3" s="1" t="s">
        <v>61</v>
      </c>
      <c r="D3" s="1" t="s">
        <v>189</v>
      </c>
      <c r="E3" s="1" t="s">
        <v>190</v>
      </c>
      <c r="G3" s="1" t="s">
        <v>73</v>
      </c>
      <c r="H3" s="1" t="s">
        <v>191</v>
      </c>
      <c r="I3" s="1" t="s">
        <v>192</v>
      </c>
      <c r="L3" s="1" t="s">
        <v>193</v>
      </c>
      <c r="M3" s="1" t="s">
        <v>74</v>
      </c>
      <c r="N3" s="1" t="s">
        <v>194</v>
      </c>
      <c r="O3" s="1" t="s">
        <v>195</v>
      </c>
      <c r="P3" s="1" t="s">
        <v>196</v>
      </c>
      <c r="Q3" s="1" t="s">
        <v>197</v>
      </c>
      <c r="S3" s="1" t="s">
        <v>198</v>
      </c>
      <c r="T3" s="1" t="s">
        <v>199</v>
      </c>
      <c r="U3" s="1" t="s">
        <v>200</v>
      </c>
      <c r="V3" s="1" t="s">
        <v>63</v>
      </c>
      <c r="W3" s="1" t="s">
        <v>201</v>
      </c>
      <c r="X3" s="1" t="s">
        <v>202</v>
      </c>
      <c r="Y3" s="1" t="s">
        <v>203</v>
      </c>
      <c r="Z3" s="1" t="s">
        <v>204</v>
      </c>
      <c r="AA3" s="1" t="s">
        <v>66</v>
      </c>
      <c r="AB3" s="1" t="s">
        <v>205</v>
      </c>
      <c r="AC3" s="1" t="s">
        <v>206</v>
      </c>
      <c r="AD3" s="1" t="s">
        <v>69</v>
      </c>
      <c r="AE3" s="1" t="s">
        <v>207</v>
      </c>
      <c r="AF3" s="1" t="s">
        <v>208</v>
      </c>
      <c r="AG3" s="1" t="s">
        <v>209</v>
      </c>
      <c r="AL3" s="145" t="s">
        <v>210</v>
      </c>
      <c r="AM3" s="145"/>
      <c r="AN3" s="145"/>
      <c r="AO3" s="145" t="s">
        <v>211</v>
      </c>
      <c r="AP3" s="145"/>
      <c r="AQ3" s="145"/>
      <c r="AR3" s="13"/>
      <c r="AS3" s="13"/>
      <c r="AT3" s="13"/>
      <c r="AU3" s="13"/>
      <c r="AV3" s="13"/>
      <c r="AW3" s="13"/>
      <c r="AX3" s="13"/>
      <c r="AY3" s="13"/>
      <c r="AZ3" s="13"/>
      <c r="BC3" s="13"/>
    </row>
    <row r="4" spans="1:55" x14ac:dyDescent="0.5">
      <c r="A4" s="1" t="s">
        <v>72</v>
      </c>
      <c r="C4" s="1" t="s">
        <v>62</v>
      </c>
      <c r="D4" s="1" t="s">
        <v>212</v>
      </c>
      <c r="E4" s="1" t="s">
        <v>213</v>
      </c>
      <c r="G4" s="1" t="s">
        <v>193</v>
      </c>
      <c r="H4" s="1" t="s">
        <v>193</v>
      </c>
      <c r="I4" s="1" t="s">
        <v>193</v>
      </c>
      <c r="L4" s="1" t="s">
        <v>214</v>
      </c>
      <c r="M4" s="1" t="s">
        <v>155</v>
      </c>
      <c r="N4" s="1" t="s">
        <v>70</v>
      </c>
      <c r="O4" s="1" t="s">
        <v>215</v>
      </c>
      <c r="P4" s="1" t="s">
        <v>216</v>
      </c>
      <c r="Q4" s="1" t="s">
        <v>217</v>
      </c>
      <c r="S4" s="1" t="s">
        <v>214</v>
      </c>
      <c r="T4" s="1" t="s">
        <v>155</v>
      </c>
      <c r="U4" s="1" t="s">
        <v>70</v>
      </c>
      <c r="V4" s="1" t="s">
        <v>215</v>
      </c>
      <c r="W4" s="1" t="s">
        <v>216</v>
      </c>
      <c r="X4" s="1" t="s">
        <v>217</v>
      </c>
      <c r="Y4" s="1" t="s">
        <v>218</v>
      </c>
      <c r="Z4" s="1" t="s">
        <v>219</v>
      </c>
      <c r="AA4" s="1" t="s">
        <v>220</v>
      </c>
      <c r="AB4" s="1" t="s">
        <v>221</v>
      </c>
      <c r="AC4" s="1" t="s">
        <v>166</v>
      </c>
      <c r="AD4" s="1" t="s">
        <v>222</v>
      </c>
      <c r="AE4" s="1" t="s">
        <v>223</v>
      </c>
      <c r="AF4" s="1" t="s">
        <v>224</v>
      </c>
      <c r="AG4" s="1" t="s">
        <v>225</v>
      </c>
      <c r="AL4" s="3" t="s">
        <v>226</v>
      </c>
      <c r="AM4" s="3" t="s">
        <v>227</v>
      </c>
      <c r="AN4" s="3" t="s">
        <v>228</v>
      </c>
      <c r="AO4" s="3" t="s">
        <v>229</v>
      </c>
      <c r="AP4" s="4" t="s">
        <v>230</v>
      </c>
      <c r="AQ4" s="3" t="s">
        <v>231</v>
      </c>
      <c r="AR4" s="13"/>
      <c r="AS4" s="13"/>
      <c r="AT4" s="1" t="s">
        <v>232</v>
      </c>
      <c r="AU4" s="1" t="s">
        <v>233</v>
      </c>
      <c r="AV4" s="1" t="s">
        <v>234</v>
      </c>
      <c r="AW4" s="1" t="s">
        <v>235</v>
      </c>
      <c r="AX4" s="1" t="s">
        <v>236</v>
      </c>
      <c r="AY4" s="1" t="s">
        <v>237</v>
      </c>
      <c r="AZ4" s="13"/>
      <c r="BC4" s="13"/>
    </row>
    <row r="5" spans="1:55" x14ac:dyDescent="0.5">
      <c r="A5" s="1" t="s">
        <v>61</v>
      </c>
      <c r="C5" s="1" t="s">
        <v>65</v>
      </c>
      <c r="D5" s="1" t="s">
        <v>238</v>
      </c>
      <c r="E5" s="1" t="s">
        <v>239</v>
      </c>
      <c r="G5" s="1" t="s">
        <v>74</v>
      </c>
      <c r="H5" s="1" t="s">
        <v>74</v>
      </c>
      <c r="I5" s="1" t="s">
        <v>74</v>
      </c>
      <c r="L5" s="1" t="s">
        <v>240</v>
      </c>
      <c r="M5" s="1" t="s">
        <v>241</v>
      </c>
      <c r="N5" s="1" t="s">
        <v>242</v>
      </c>
      <c r="O5" s="1" t="s">
        <v>40</v>
      </c>
      <c r="P5" s="1" t="s">
        <v>152</v>
      </c>
      <c r="Q5" s="1" t="s">
        <v>243</v>
      </c>
      <c r="S5" s="1" t="s">
        <v>240</v>
      </c>
      <c r="T5" s="1" t="s">
        <v>241</v>
      </c>
      <c r="U5" s="1" t="s">
        <v>242</v>
      </c>
      <c r="V5" s="1" t="s">
        <v>40</v>
      </c>
      <c r="W5" s="1" t="s">
        <v>152</v>
      </c>
      <c r="X5" s="1" t="s">
        <v>243</v>
      </c>
      <c r="Y5" s="1" t="s">
        <v>216</v>
      </c>
      <c r="Z5" s="1" t="s">
        <v>244</v>
      </c>
      <c r="AA5" s="1" t="s">
        <v>171</v>
      </c>
      <c r="AB5" s="1" t="s">
        <v>245</v>
      </c>
      <c r="AC5" s="1" t="s">
        <v>157</v>
      </c>
      <c r="AD5" s="1" t="s">
        <v>246</v>
      </c>
      <c r="AE5" s="1" t="s">
        <v>222</v>
      </c>
      <c r="AF5" s="1" t="s">
        <v>247</v>
      </c>
      <c r="AG5" s="1" t="s">
        <v>248</v>
      </c>
      <c r="AL5" s="2" t="s">
        <v>249</v>
      </c>
      <c r="AM5" s="2" t="s">
        <v>250</v>
      </c>
      <c r="AN5" s="2" t="s">
        <v>251</v>
      </c>
      <c r="AO5" s="2" t="s">
        <v>252</v>
      </c>
      <c r="AP5" s="2" t="s">
        <v>216</v>
      </c>
      <c r="AQ5" s="2" t="s">
        <v>38</v>
      </c>
      <c r="AR5" s="2"/>
      <c r="AS5" s="2"/>
      <c r="AT5" s="5" t="s">
        <v>249</v>
      </c>
      <c r="AU5" s="7" t="s">
        <v>155</v>
      </c>
      <c r="AV5" s="5" t="s">
        <v>252</v>
      </c>
      <c r="AW5" s="5" t="s">
        <v>251</v>
      </c>
      <c r="AX5" s="7" t="s">
        <v>253</v>
      </c>
      <c r="AY5" s="7" t="s">
        <v>253</v>
      </c>
      <c r="AZ5" s="2"/>
      <c r="BC5" s="2"/>
    </row>
    <row r="6" spans="1:55" x14ac:dyDescent="0.5">
      <c r="A6" s="1" t="s">
        <v>189</v>
      </c>
      <c r="C6" s="1" t="s">
        <v>68</v>
      </c>
      <c r="D6" s="1" t="s">
        <v>254</v>
      </c>
      <c r="E6" s="1" t="s">
        <v>255</v>
      </c>
      <c r="G6" s="1" t="s">
        <v>194</v>
      </c>
      <c r="H6" s="1" t="s">
        <v>194</v>
      </c>
      <c r="I6" s="1" t="s">
        <v>194</v>
      </c>
      <c r="L6" s="1" t="s">
        <v>256</v>
      </c>
      <c r="M6" s="1" t="s">
        <v>257</v>
      </c>
      <c r="N6" s="1" t="s">
        <v>258</v>
      </c>
      <c r="O6" s="1" t="s">
        <v>259</v>
      </c>
      <c r="P6" s="1" t="s">
        <v>260</v>
      </c>
      <c r="Q6" s="1" t="s">
        <v>261</v>
      </c>
      <c r="S6" s="1" t="s">
        <v>256</v>
      </c>
      <c r="T6" s="1" t="s">
        <v>257</v>
      </c>
      <c r="U6" s="1" t="s">
        <v>258</v>
      </c>
      <c r="V6" s="1" t="s">
        <v>259</v>
      </c>
      <c r="W6" s="1" t="s">
        <v>260</v>
      </c>
      <c r="X6" s="1" t="s">
        <v>261</v>
      </c>
      <c r="Y6" s="1" t="s">
        <v>262</v>
      </c>
      <c r="Z6" s="1" t="s">
        <v>263</v>
      </c>
      <c r="AA6" s="1" t="s">
        <v>264</v>
      </c>
      <c r="AB6" s="1" t="s">
        <v>265</v>
      </c>
      <c r="AC6" s="1" t="s">
        <v>39</v>
      </c>
      <c r="AD6" s="1" t="s">
        <v>266</v>
      </c>
      <c r="AE6" s="1" t="s">
        <v>253</v>
      </c>
      <c r="AF6" s="1" t="s">
        <v>267</v>
      </c>
      <c r="AG6" s="1" t="s">
        <v>157</v>
      </c>
      <c r="AL6" s="2" t="s">
        <v>256</v>
      </c>
      <c r="AM6" s="2" t="s">
        <v>268</v>
      </c>
      <c r="AN6" s="2" t="s">
        <v>252</v>
      </c>
      <c r="AO6" s="2" t="s">
        <v>215</v>
      </c>
      <c r="AP6" s="2" t="s">
        <v>269</v>
      </c>
      <c r="AQ6" s="2" t="s">
        <v>270</v>
      </c>
      <c r="AR6" s="2"/>
      <c r="AS6" s="2"/>
      <c r="AT6" s="6" t="s">
        <v>256</v>
      </c>
      <c r="AU6" s="8" t="s">
        <v>241</v>
      </c>
      <c r="AV6" s="7" t="s">
        <v>215</v>
      </c>
      <c r="AW6" s="6" t="s">
        <v>252</v>
      </c>
      <c r="AX6" s="8" t="s">
        <v>271</v>
      </c>
      <c r="AY6" s="7" t="s">
        <v>223</v>
      </c>
      <c r="AZ6" s="2"/>
      <c r="BC6" s="2"/>
    </row>
    <row r="7" spans="1:55" x14ac:dyDescent="0.5">
      <c r="A7" s="1" t="s">
        <v>190</v>
      </c>
      <c r="D7" s="1" t="s">
        <v>272</v>
      </c>
      <c r="G7" s="1" t="s">
        <v>195</v>
      </c>
      <c r="H7" s="1" t="s">
        <v>195</v>
      </c>
      <c r="I7" s="1" t="s">
        <v>195</v>
      </c>
      <c r="L7" s="1" t="s">
        <v>273</v>
      </c>
      <c r="M7" s="1" t="s">
        <v>156</v>
      </c>
      <c r="N7" s="1" t="s">
        <v>274</v>
      </c>
      <c r="O7" s="1" t="s">
        <v>275</v>
      </c>
      <c r="P7" s="1" t="s">
        <v>260</v>
      </c>
      <c r="Q7" s="1" t="s">
        <v>276</v>
      </c>
      <c r="S7" s="1" t="s">
        <v>273</v>
      </c>
      <c r="T7" s="1" t="s">
        <v>156</v>
      </c>
      <c r="U7" s="1" t="s">
        <v>274</v>
      </c>
      <c r="V7" s="1" t="s">
        <v>275</v>
      </c>
      <c r="W7" s="1" t="s">
        <v>260</v>
      </c>
      <c r="X7" s="1" t="s">
        <v>276</v>
      </c>
      <c r="Y7" s="1" t="s">
        <v>277</v>
      </c>
      <c r="Z7" s="1" t="s">
        <v>278</v>
      </c>
      <c r="AA7" s="1" t="s">
        <v>279</v>
      </c>
      <c r="AB7" s="1" t="s">
        <v>280</v>
      </c>
      <c r="AC7" s="1" t="s">
        <v>219</v>
      </c>
      <c r="AD7" s="1" t="s">
        <v>249</v>
      </c>
      <c r="AE7" s="1" t="s">
        <v>249</v>
      </c>
      <c r="AF7" s="1" t="s">
        <v>271</v>
      </c>
      <c r="AG7" s="1" t="s">
        <v>281</v>
      </c>
      <c r="AL7" s="2" t="s">
        <v>282</v>
      </c>
      <c r="AM7" s="2" t="s">
        <v>283</v>
      </c>
      <c r="AN7" s="2" t="s">
        <v>259</v>
      </c>
      <c r="AO7" s="2" t="s">
        <v>284</v>
      </c>
      <c r="AP7" s="2" t="s">
        <v>285</v>
      </c>
      <c r="AQ7" s="2" t="s">
        <v>286</v>
      </c>
      <c r="AR7" s="2"/>
      <c r="AS7" s="2"/>
      <c r="AT7" s="5" t="s">
        <v>282</v>
      </c>
      <c r="AU7" s="1" t="s">
        <v>250</v>
      </c>
      <c r="AV7" s="8" t="s">
        <v>40</v>
      </c>
      <c r="AW7" s="7" t="s">
        <v>70</v>
      </c>
      <c r="AX7" s="7" t="s">
        <v>223</v>
      </c>
      <c r="AY7" s="7" t="s">
        <v>287</v>
      </c>
      <c r="AZ7" s="2"/>
      <c r="BC7" s="2"/>
    </row>
    <row r="8" spans="1:55" x14ac:dyDescent="0.5">
      <c r="G8" s="1" t="s">
        <v>196</v>
      </c>
      <c r="H8" s="1" t="s">
        <v>196</v>
      </c>
      <c r="I8" s="1" t="s">
        <v>196</v>
      </c>
      <c r="L8" s="1" t="s">
        <v>288</v>
      </c>
      <c r="M8" s="1" t="s">
        <v>289</v>
      </c>
      <c r="N8" s="1" t="s">
        <v>157</v>
      </c>
      <c r="O8" s="1" t="s">
        <v>268</v>
      </c>
      <c r="P8" s="1" t="s">
        <v>290</v>
      </c>
      <c r="Q8" s="1" t="s">
        <v>291</v>
      </c>
      <c r="S8" s="1" t="s">
        <v>288</v>
      </c>
      <c r="T8" s="1" t="s">
        <v>289</v>
      </c>
      <c r="U8" s="1" t="s">
        <v>157</v>
      </c>
      <c r="V8" s="1" t="s">
        <v>268</v>
      </c>
      <c r="W8" s="1" t="s">
        <v>290</v>
      </c>
      <c r="X8" s="1" t="s">
        <v>291</v>
      </c>
      <c r="Y8" s="1" t="s">
        <v>153</v>
      </c>
      <c r="Z8" s="1" t="s">
        <v>292</v>
      </c>
      <c r="AA8" s="1" t="s">
        <v>293</v>
      </c>
      <c r="AB8" s="1" t="s">
        <v>294</v>
      </c>
      <c r="AC8" s="1" t="s">
        <v>70</v>
      </c>
      <c r="AD8" s="1" t="s">
        <v>153</v>
      </c>
      <c r="AE8" s="1" t="s">
        <v>295</v>
      </c>
      <c r="AF8" s="1" t="s">
        <v>296</v>
      </c>
      <c r="AG8" s="1" t="s">
        <v>297</v>
      </c>
      <c r="AL8" s="2" t="s">
        <v>288</v>
      </c>
      <c r="AM8" s="2" t="s">
        <v>266</v>
      </c>
      <c r="AN8" s="2" t="s">
        <v>275</v>
      </c>
      <c r="AO8" s="2" t="s">
        <v>298</v>
      </c>
      <c r="AP8" s="2" t="s">
        <v>299</v>
      </c>
      <c r="AQ8" s="2" t="s">
        <v>300</v>
      </c>
      <c r="AR8" s="2"/>
      <c r="AS8" s="2"/>
      <c r="AT8" s="6" t="s">
        <v>288</v>
      </c>
      <c r="AU8" s="7" t="s">
        <v>257</v>
      </c>
      <c r="AV8" s="7" t="s">
        <v>70</v>
      </c>
      <c r="AW8" s="5" t="s">
        <v>259</v>
      </c>
      <c r="AX8" s="8" t="s">
        <v>287</v>
      </c>
      <c r="AY8" s="7" t="s">
        <v>301</v>
      </c>
      <c r="AZ8" s="2"/>
      <c r="BC8" s="2"/>
    </row>
    <row r="9" spans="1:55" x14ac:dyDescent="0.5">
      <c r="G9" s="1" t="s">
        <v>197</v>
      </c>
      <c r="H9" s="1" t="s">
        <v>197</v>
      </c>
      <c r="I9" s="1" t="s">
        <v>197</v>
      </c>
      <c r="L9" s="1" t="s">
        <v>160</v>
      </c>
      <c r="M9" s="1" t="s">
        <v>302</v>
      </c>
      <c r="N9" s="1" t="s">
        <v>303</v>
      </c>
      <c r="O9" s="1" t="s">
        <v>304</v>
      </c>
      <c r="P9" s="1" t="s">
        <v>305</v>
      </c>
      <c r="Q9" s="1" t="s">
        <v>153</v>
      </c>
      <c r="S9" s="1" t="s">
        <v>160</v>
      </c>
      <c r="T9" s="1" t="s">
        <v>302</v>
      </c>
      <c r="U9" s="1" t="s">
        <v>303</v>
      </c>
      <c r="V9" s="1" t="s">
        <v>304</v>
      </c>
      <c r="W9" s="1" t="s">
        <v>305</v>
      </c>
      <c r="X9" s="1" t="s">
        <v>153</v>
      </c>
      <c r="Y9" s="1" t="s">
        <v>276</v>
      </c>
      <c r="Z9" s="1" t="s">
        <v>306</v>
      </c>
      <c r="AA9" s="1" t="s">
        <v>307</v>
      </c>
      <c r="AB9" s="1" t="s">
        <v>308</v>
      </c>
      <c r="AC9" s="1" t="s">
        <v>309</v>
      </c>
      <c r="AD9" s="1" t="s">
        <v>166</v>
      </c>
      <c r="AE9" s="1" t="s">
        <v>310</v>
      </c>
      <c r="AF9" s="1" t="s">
        <v>311</v>
      </c>
      <c r="AG9" s="1" t="s">
        <v>287</v>
      </c>
      <c r="AL9" s="2" t="s">
        <v>160</v>
      </c>
      <c r="AM9" s="2" t="s">
        <v>312</v>
      </c>
      <c r="AN9" s="2" t="s">
        <v>313</v>
      </c>
      <c r="AO9" s="2" t="s">
        <v>275</v>
      </c>
      <c r="AP9" s="2" t="s">
        <v>314</v>
      </c>
      <c r="AQ9" s="2" t="s">
        <v>315</v>
      </c>
      <c r="AR9" s="2"/>
      <c r="AS9" s="2"/>
      <c r="AT9" s="5" t="s">
        <v>160</v>
      </c>
      <c r="AU9" s="6" t="s">
        <v>268</v>
      </c>
      <c r="AV9" s="7" t="s">
        <v>284</v>
      </c>
      <c r="AW9" s="8" t="s">
        <v>242</v>
      </c>
      <c r="AX9" s="8" t="s">
        <v>249</v>
      </c>
      <c r="AY9" s="8" t="s">
        <v>316</v>
      </c>
      <c r="AZ9" s="2"/>
      <c r="BC9" s="2"/>
    </row>
    <row r="10" spans="1:55" x14ac:dyDescent="0.5">
      <c r="L10" s="1" t="s">
        <v>317</v>
      </c>
      <c r="M10" s="1" t="s">
        <v>318</v>
      </c>
      <c r="N10" s="1" t="s">
        <v>266</v>
      </c>
      <c r="O10" s="1" t="s">
        <v>283</v>
      </c>
      <c r="P10" s="1" t="s">
        <v>259</v>
      </c>
      <c r="Q10" s="1" t="s">
        <v>154</v>
      </c>
      <c r="S10" s="1" t="s">
        <v>317</v>
      </c>
      <c r="T10" s="1" t="s">
        <v>318</v>
      </c>
      <c r="U10" s="1" t="s">
        <v>266</v>
      </c>
      <c r="V10" s="1" t="s">
        <v>283</v>
      </c>
      <c r="W10" s="1" t="s">
        <v>259</v>
      </c>
      <c r="X10" s="1" t="s">
        <v>154</v>
      </c>
      <c r="Y10" s="1" t="s">
        <v>40</v>
      </c>
      <c r="Z10" s="1" t="s">
        <v>166</v>
      </c>
      <c r="AA10" s="1" t="s">
        <v>319</v>
      </c>
      <c r="AB10" s="1" t="s">
        <v>320</v>
      </c>
      <c r="AC10" s="1" t="s">
        <v>321</v>
      </c>
      <c r="AD10" s="1" t="s">
        <v>156</v>
      </c>
      <c r="AE10" s="1" t="s">
        <v>322</v>
      </c>
      <c r="AF10" s="1" t="s">
        <v>67</v>
      </c>
      <c r="AG10" s="1" t="s">
        <v>323</v>
      </c>
      <c r="AL10" s="2" t="s">
        <v>317</v>
      </c>
      <c r="AM10" s="2" t="s">
        <v>324</v>
      </c>
      <c r="AN10" s="2" t="s">
        <v>325</v>
      </c>
      <c r="AO10" s="2" t="s">
        <v>326</v>
      </c>
      <c r="AP10" s="2" t="s">
        <v>258</v>
      </c>
      <c r="AQ10" s="2" t="s">
        <v>169</v>
      </c>
      <c r="AR10" s="2"/>
      <c r="AS10" s="2"/>
      <c r="AT10" s="6" t="s">
        <v>317</v>
      </c>
      <c r="AU10" s="8" t="s">
        <v>156</v>
      </c>
      <c r="AV10" s="8" t="s">
        <v>298</v>
      </c>
      <c r="AW10" s="6" t="s">
        <v>275</v>
      </c>
      <c r="AX10" s="8" t="s">
        <v>301</v>
      </c>
      <c r="AY10" s="7" t="s">
        <v>327</v>
      </c>
      <c r="AZ10" s="2"/>
      <c r="BC10" s="2"/>
    </row>
    <row r="11" spans="1:55" x14ac:dyDescent="0.5">
      <c r="G11" s="1" t="s">
        <v>212</v>
      </c>
      <c r="H11" s="1" t="s">
        <v>238</v>
      </c>
      <c r="I11" s="1" t="s">
        <v>328</v>
      </c>
      <c r="J11" s="1" t="s">
        <v>272</v>
      </c>
      <c r="L11" s="1" t="s">
        <v>266</v>
      </c>
      <c r="M11" s="1" t="s">
        <v>329</v>
      </c>
      <c r="N11" s="1" t="s">
        <v>330</v>
      </c>
      <c r="O11" s="1" t="s">
        <v>302</v>
      </c>
      <c r="P11" s="1" t="s">
        <v>274</v>
      </c>
      <c r="Q11" s="1" t="s">
        <v>331</v>
      </c>
      <c r="S11" s="1" t="s">
        <v>266</v>
      </c>
      <c r="T11" s="1" t="s">
        <v>329</v>
      </c>
      <c r="U11" s="1" t="s">
        <v>330</v>
      </c>
      <c r="V11" s="1" t="s">
        <v>302</v>
      </c>
      <c r="W11" s="1" t="s">
        <v>274</v>
      </c>
      <c r="X11" s="1" t="s">
        <v>331</v>
      </c>
      <c r="Y11" s="1" t="s">
        <v>70</v>
      </c>
      <c r="Z11" s="1" t="s">
        <v>224</v>
      </c>
      <c r="AA11" s="1" t="s">
        <v>332</v>
      </c>
      <c r="AB11" s="1" t="s">
        <v>166</v>
      </c>
      <c r="AC11" s="1" t="s">
        <v>333</v>
      </c>
      <c r="AD11" s="1" t="s">
        <v>334</v>
      </c>
      <c r="AE11" s="1" t="s">
        <v>301</v>
      </c>
      <c r="AF11" s="1" t="s">
        <v>335</v>
      </c>
      <c r="AG11" s="1" t="s">
        <v>336</v>
      </c>
      <c r="AL11" s="2" t="s">
        <v>337</v>
      </c>
      <c r="AM11" s="2" t="s">
        <v>338</v>
      </c>
      <c r="AN11" s="2" t="s">
        <v>266</v>
      </c>
      <c r="AO11" s="2" t="s">
        <v>268</v>
      </c>
      <c r="AP11" s="2" t="s">
        <v>268</v>
      </c>
      <c r="AQ11" s="2" t="s">
        <v>339</v>
      </c>
      <c r="AR11" s="2"/>
      <c r="AS11" s="2"/>
      <c r="AT11" s="5" t="s">
        <v>337</v>
      </c>
      <c r="AU11" s="5" t="s">
        <v>283</v>
      </c>
      <c r="AV11" s="7" t="s">
        <v>259</v>
      </c>
      <c r="AW11" s="7" t="s">
        <v>258</v>
      </c>
      <c r="AX11" s="8" t="s">
        <v>316</v>
      </c>
      <c r="AY11" s="7" t="s">
        <v>311</v>
      </c>
      <c r="AZ11" s="2"/>
      <c r="BC11" s="2"/>
    </row>
    <row r="12" spans="1:55" x14ac:dyDescent="0.5">
      <c r="G12" s="1" t="s">
        <v>226</v>
      </c>
      <c r="H12" s="1" t="s">
        <v>226</v>
      </c>
      <c r="I12" s="1" t="s">
        <v>226</v>
      </c>
      <c r="J12" s="1" t="s">
        <v>226</v>
      </c>
      <c r="L12" s="1" t="s">
        <v>340</v>
      </c>
      <c r="M12" s="1" t="s">
        <v>340</v>
      </c>
      <c r="N12" s="1" t="s">
        <v>292</v>
      </c>
      <c r="O12" s="1" t="s">
        <v>341</v>
      </c>
      <c r="P12" s="1" t="s">
        <v>342</v>
      </c>
      <c r="Q12" s="1" t="s">
        <v>259</v>
      </c>
      <c r="S12" s="1" t="s">
        <v>340</v>
      </c>
      <c r="T12" s="1" t="s">
        <v>340</v>
      </c>
      <c r="U12" s="1" t="s">
        <v>292</v>
      </c>
      <c r="V12" s="1" t="s">
        <v>341</v>
      </c>
      <c r="W12" s="1" t="s">
        <v>342</v>
      </c>
      <c r="X12" s="1" t="s">
        <v>259</v>
      </c>
      <c r="Y12" s="1" t="s">
        <v>260</v>
      </c>
      <c r="Z12" s="1" t="s">
        <v>343</v>
      </c>
      <c r="AA12" s="1" t="s">
        <v>344</v>
      </c>
      <c r="AB12" s="1" t="s">
        <v>345</v>
      </c>
      <c r="AC12" s="1" t="s">
        <v>346</v>
      </c>
      <c r="AD12" s="1" t="s">
        <v>312</v>
      </c>
      <c r="AE12" s="1" t="s">
        <v>347</v>
      </c>
      <c r="AF12" s="1" t="s">
        <v>348</v>
      </c>
      <c r="AG12" s="1" t="s">
        <v>349</v>
      </c>
      <c r="AL12" s="2" t="s">
        <v>350</v>
      </c>
      <c r="AM12" s="2" t="s">
        <v>351</v>
      </c>
      <c r="AN12" s="2" t="s">
        <v>38</v>
      </c>
      <c r="AO12" s="2" t="s">
        <v>352</v>
      </c>
      <c r="AP12" s="2" t="s">
        <v>353</v>
      </c>
      <c r="AQ12" s="2" t="s">
        <v>354</v>
      </c>
      <c r="AR12" s="2"/>
      <c r="AS12" s="2"/>
      <c r="AT12" s="6" t="s">
        <v>350</v>
      </c>
      <c r="AU12" s="7" t="s">
        <v>289</v>
      </c>
      <c r="AV12" s="8" t="s">
        <v>242</v>
      </c>
      <c r="AW12" s="8" t="s">
        <v>274</v>
      </c>
      <c r="AX12" s="7" t="s">
        <v>327</v>
      </c>
      <c r="AY12" s="8" t="s">
        <v>310</v>
      </c>
      <c r="AZ12" s="2"/>
      <c r="BC12" s="2"/>
    </row>
    <row r="13" spans="1:55" x14ac:dyDescent="0.5">
      <c r="G13" s="1" t="s">
        <v>227</v>
      </c>
      <c r="H13" s="1" t="s">
        <v>227</v>
      </c>
      <c r="I13" s="1" t="s">
        <v>227</v>
      </c>
      <c r="J13" s="1" t="s">
        <v>227</v>
      </c>
      <c r="L13" s="1" t="s">
        <v>350</v>
      </c>
      <c r="M13" s="1" t="s">
        <v>355</v>
      </c>
      <c r="N13" s="1" t="s">
        <v>356</v>
      </c>
      <c r="O13" s="1" t="s">
        <v>329</v>
      </c>
      <c r="P13" s="1" t="s">
        <v>357</v>
      </c>
      <c r="Q13" s="1" t="s">
        <v>358</v>
      </c>
      <c r="S13" s="1" t="s">
        <v>350</v>
      </c>
      <c r="T13" s="1" t="s">
        <v>355</v>
      </c>
      <c r="U13" s="1" t="s">
        <v>356</v>
      </c>
      <c r="V13" s="1" t="s">
        <v>329</v>
      </c>
      <c r="W13" s="1" t="s">
        <v>357</v>
      </c>
      <c r="X13" s="1" t="s">
        <v>358</v>
      </c>
      <c r="Y13" s="1" t="s">
        <v>359</v>
      </c>
      <c r="Z13" s="1" t="s">
        <v>360</v>
      </c>
      <c r="AA13" s="1" t="s">
        <v>162</v>
      </c>
      <c r="AB13" s="1" t="s">
        <v>361</v>
      </c>
      <c r="AC13" s="1" t="s">
        <v>253</v>
      </c>
      <c r="AD13" s="1" t="s">
        <v>362</v>
      </c>
      <c r="AE13" s="1" t="s">
        <v>363</v>
      </c>
      <c r="AF13" s="1" t="s">
        <v>160</v>
      </c>
      <c r="AG13" s="1" t="s">
        <v>362</v>
      </c>
      <c r="AL13" s="2" t="s">
        <v>364</v>
      </c>
      <c r="AM13" s="2" t="s">
        <v>365</v>
      </c>
      <c r="AN13" s="2" t="s">
        <v>263</v>
      </c>
      <c r="AO13" s="2" t="s">
        <v>366</v>
      </c>
      <c r="AP13" s="2" t="s">
        <v>274</v>
      </c>
      <c r="AQ13" s="2" t="s">
        <v>67</v>
      </c>
      <c r="AR13" s="2"/>
      <c r="AS13" s="2"/>
      <c r="AT13" s="5" t="s">
        <v>364</v>
      </c>
      <c r="AU13" s="8" t="s">
        <v>302</v>
      </c>
      <c r="AV13" s="8" t="s">
        <v>275</v>
      </c>
      <c r="AW13" s="7" t="s">
        <v>157</v>
      </c>
      <c r="AX13" s="8" t="s">
        <v>311</v>
      </c>
      <c r="AY13" s="7" t="s">
        <v>222</v>
      </c>
      <c r="AZ13" s="2"/>
      <c r="BC13" s="2"/>
    </row>
    <row r="14" spans="1:55" x14ac:dyDescent="0.5">
      <c r="G14" s="1" t="s">
        <v>228</v>
      </c>
      <c r="H14" s="1" t="s">
        <v>228</v>
      </c>
      <c r="I14" s="1" t="s">
        <v>228</v>
      </c>
      <c r="J14" s="1" t="s">
        <v>228</v>
      </c>
      <c r="L14" s="1" t="s">
        <v>367</v>
      </c>
      <c r="M14" s="1" t="s">
        <v>292</v>
      </c>
      <c r="N14" s="1" t="s">
        <v>161</v>
      </c>
      <c r="O14" s="1" t="s">
        <v>368</v>
      </c>
      <c r="P14" s="1" t="s">
        <v>313</v>
      </c>
      <c r="Q14" s="1" t="s">
        <v>369</v>
      </c>
      <c r="S14" s="1" t="s">
        <v>367</v>
      </c>
      <c r="T14" s="1" t="s">
        <v>292</v>
      </c>
      <c r="U14" s="1" t="s">
        <v>161</v>
      </c>
      <c r="V14" s="1" t="s">
        <v>368</v>
      </c>
      <c r="W14" s="1" t="s">
        <v>313</v>
      </c>
      <c r="X14" s="1" t="s">
        <v>369</v>
      </c>
      <c r="Y14" s="1" t="s">
        <v>370</v>
      </c>
      <c r="Z14" s="1" t="s">
        <v>367</v>
      </c>
      <c r="AA14" s="1" t="s">
        <v>371</v>
      </c>
      <c r="AB14" s="1" t="s">
        <v>372</v>
      </c>
      <c r="AC14" s="1" t="s">
        <v>373</v>
      </c>
      <c r="AD14" s="1" t="s">
        <v>374</v>
      </c>
      <c r="AE14" s="1" t="s">
        <v>375</v>
      </c>
      <c r="AF14" s="1" t="s">
        <v>330</v>
      </c>
      <c r="AG14" s="1" t="s">
        <v>374</v>
      </c>
      <c r="AL14" s="2" t="s">
        <v>376</v>
      </c>
      <c r="AM14" s="2" t="s">
        <v>377</v>
      </c>
      <c r="AN14" s="2" t="s">
        <v>350</v>
      </c>
      <c r="AO14" s="2" t="s">
        <v>378</v>
      </c>
      <c r="AP14" s="2" t="s">
        <v>303</v>
      </c>
      <c r="AQ14" s="2" t="s">
        <v>379</v>
      </c>
      <c r="AR14" s="2"/>
      <c r="AS14" s="2"/>
      <c r="AT14" s="6" t="s">
        <v>376</v>
      </c>
      <c r="AU14" s="7" t="s">
        <v>318</v>
      </c>
      <c r="AV14" s="6" t="s">
        <v>326</v>
      </c>
      <c r="AW14" s="5" t="s">
        <v>313</v>
      </c>
      <c r="AX14" s="8" t="s">
        <v>285</v>
      </c>
      <c r="AY14" s="7" t="s">
        <v>380</v>
      </c>
      <c r="AZ14" s="2"/>
      <c r="BC14" s="2"/>
    </row>
    <row r="15" spans="1:55" x14ac:dyDescent="0.5">
      <c r="G15" s="1" t="s">
        <v>229</v>
      </c>
      <c r="H15" s="1" t="s">
        <v>229</v>
      </c>
      <c r="I15" s="1" t="s">
        <v>229</v>
      </c>
      <c r="J15" s="1" t="s">
        <v>229</v>
      </c>
      <c r="L15" s="1" t="s">
        <v>364</v>
      </c>
      <c r="M15" s="1" t="s">
        <v>312</v>
      </c>
      <c r="N15" s="1" t="s">
        <v>263</v>
      </c>
      <c r="O15" s="1" t="s">
        <v>38</v>
      </c>
      <c r="P15" s="1" t="s">
        <v>303</v>
      </c>
      <c r="Q15" s="1" t="s">
        <v>250</v>
      </c>
      <c r="S15" s="1" t="s">
        <v>364</v>
      </c>
      <c r="T15" s="1" t="s">
        <v>312</v>
      </c>
      <c r="U15" s="1" t="s">
        <v>263</v>
      </c>
      <c r="V15" s="1" t="s">
        <v>38</v>
      </c>
      <c r="W15" s="1" t="s">
        <v>303</v>
      </c>
      <c r="X15" s="1" t="s">
        <v>250</v>
      </c>
      <c r="Y15" s="1" t="s">
        <v>220</v>
      </c>
      <c r="Z15" s="1" t="s">
        <v>157</v>
      </c>
      <c r="AA15" s="1" t="s">
        <v>381</v>
      </c>
      <c r="AB15" s="1" t="s">
        <v>157</v>
      </c>
      <c r="AC15" s="1" t="s">
        <v>71</v>
      </c>
      <c r="AD15" s="1" t="s">
        <v>382</v>
      </c>
      <c r="AE15" s="1" t="s">
        <v>316</v>
      </c>
      <c r="AF15" s="1" t="s">
        <v>304</v>
      </c>
      <c r="AG15" s="1" t="s">
        <v>356</v>
      </c>
      <c r="AL15" s="2" t="s">
        <v>383</v>
      </c>
      <c r="AM15" s="2" t="s">
        <v>384</v>
      </c>
      <c r="AN15" s="2" t="s">
        <v>346</v>
      </c>
      <c r="AO15" s="2" t="s">
        <v>385</v>
      </c>
      <c r="AP15" s="2" t="s">
        <v>386</v>
      </c>
      <c r="AQ15" s="2" t="s">
        <v>387</v>
      </c>
      <c r="AR15" s="2"/>
      <c r="AS15" s="2"/>
      <c r="AT15" s="5" t="s">
        <v>383</v>
      </c>
      <c r="AU15" s="8" t="s">
        <v>329</v>
      </c>
      <c r="AV15" s="7" t="s">
        <v>258</v>
      </c>
      <c r="AW15" s="8" t="s">
        <v>303</v>
      </c>
      <c r="AX15" s="8" t="s">
        <v>310</v>
      </c>
      <c r="AY15" s="7" t="s">
        <v>375</v>
      </c>
      <c r="AZ15" s="2"/>
      <c r="BC15" s="2"/>
    </row>
    <row r="16" spans="1:55" x14ac:dyDescent="0.5">
      <c r="G16" s="1" t="s">
        <v>230</v>
      </c>
      <c r="H16" s="1" t="s">
        <v>230</v>
      </c>
      <c r="I16" s="1" t="s">
        <v>230</v>
      </c>
      <c r="J16" s="1" t="s">
        <v>230</v>
      </c>
      <c r="L16" s="1" t="s">
        <v>162</v>
      </c>
      <c r="M16" s="1" t="s">
        <v>161</v>
      </c>
      <c r="N16" s="1" t="s">
        <v>388</v>
      </c>
      <c r="O16" s="1" t="s">
        <v>389</v>
      </c>
      <c r="P16" s="1" t="s">
        <v>390</v>
      </c>
      <c r="Q16" s="1" t="s">
        <v>342</v>
      </c>
      <c r="S16" s="1" t="s">
        <v>162</v>
      </c>
      <c r="T16" s="1" t="s">
        <v>161</v>
      </c>
      <c r="U16" s="1" t="s">
        <v>388</v>
      </c>
      <c r="V16" s="1" t="s">
        <v>389</v>
      </c>
      <c r="W16" s="1" t="s">
        <v>390</v>
      </c>
      <c r="X16" s="1" t="s">
        <v>342</v>
      </c>
      <c r="Y16" s="1" t="s">
        <v>391</v>
      </c>
      <c r="Z16" s="1" t="s">
        <v>39</v>
      </c>
      <c r="AA16" s="1" t="s">
        <v>392</v>
      </c>
      <c r="AB16" s="1" t="s">
        <v>219</v>
      </c>
      <c r="AC16" s="1" t="s">
        <v>393</v>
      </c>
      <c r="AD16" s="1" t="s">
        <v>394</v>
      </c>
      <c r="AE16" s="1" t="s">
        <v>327</v>
      </c>
      <c r="AF16" s="1" t="s">
        <v>395</v>
      </c>
      <c r="AG16" s="1" t="s">
        <v>385</v>
      </c>
      <c r="AL16" s="2" t="s">
        <v>307</v>
      </c>
      <c r="AM16" s="2" t="s">
        <v>396</v>
      </c>
      <c r="AN16" s="2" t="s">
        <v>367</v>
      </c>
      <c r="AO16" s="2" t="s">
        <v>397</v>
      </c>
      <c r="AP16" s="2" t="s">
        <v>390</v>
      </c>
      <c r="AQ16" s="2" t="s">
        <v>398</v>
      </c>
      <c r="AR16" s="2"/>
      <c r="AS16" s="2"/>
      <c r="AT16" s="6" t="s">
        <v>307</v>
      </c>
      <c r="AU16" s="6" t="s">
        <v>266</v>
      </c>
      <c r="AV16" s="7" t="s">
        <v>268</v>
      </c>
      <c r="AW16" s="5" t="s">
        <v>266</v>
      </c>
      <c r="AX16" s="8" t="s">
        <v>222</v>
      </c>
      <c r="AY16" s="7" t="s">
        <v>399</v>
      </c>
      <c r="AZ16" s="2"/>
      <c r="BC16" s="2"/>
    </row>
    <row r="17" spans="7:55" x14ac:dyDescent="0.5">
      <c r="G17" s="1" t="s">
        <v>231</v>
      </c>
      <c r="H17" s="1" t="s">
        <v>231</v>
      </c>
      <c r="I17" s="1" t="s">
        <v>231</v>
      </c>
      <c r="J17" s="1" t="s">
        <v>231</v>
      </c>
      <c r="L17" s="1" t="s">
        <v>400</v>
      </c>
      <c r="M17" s="1" t="s">
        <v>162</v>
      </c>
      <c r="N17" s="1" t="s">
        <v>350</v>
      </c>
      <c r="O17" s="1" t="s">
        <v>401</v>
      </c>
      <c r="P17" s="1" t="s">
        <v>402</v>
      </c>
      <c r="Q17" s="1" t="s">
        <v>357</v>
      </c>
      <c r="S17" s="1" t="s">
        <v>400</v>
      </c>
      <c r="T17" s="1" t="s">
        <v>162</v>
      </c>
      <c r="U17" s="1" t="s">
        <v>350</v>
      </c>
      <c r="V17" s="1" t="s">
        <v>401</v>
      </c>
      <c r="W17" s="1" t="s">
        <v>402</v>
      </c>
      <c r="X17" s="1" t="s">
        <v>357</v>
      </c>
      <c r="Y17" s="1" t="s">
        <v>37</v>
      </c>
      <c r="Z17" s="1" t="s">
        <v>309</v>
      </c>
      <c r="AA17" s="1" t="s">
        <v>403</v>
      </c>
      <c r="AB17" s="1" t="s">
        <v>404</v>
      </c>
      <c r="AC17" s="1" t="s">
        <v>310</v>
      </c>
      <c r="AD17" s="1" t="s">
        <v>405</v>
      </c>
      <c r="AE17" s="1" t="s">
        <v>406</v>
      </c>
      <c r="AF17" s="1" t="s">
        <v>407</v>
      </c>
      <c r="AG17" s="1" t="s">
        <v>275</v>
      </c>
      <c r="AL17" s="2" t="s">
        <v>408</v>
      </c>
      <c r="AM17" s="2" t="s">
        <v>409</v>
      </c>
      <c r="AN17" s="2" t="s">
        <v>410</v>
      </c>
      <c r="AO17" s="2" t="s">
        <v>350</v>
      </c>
      <c r="AP17" s="2" t="s">
        <v>302</v>
      </c>
      <c r="AQ17" s="2" t="s">
        <v>411</v>
      </c>
      <c r="AR17" s="2"/>
      <c r="AS17" s="2"/>
      <c r="AT17" s="5" t="s">
        <v>408</v>
      </c>
      <c r="AU17" s="7" t="s">
        <v>340</v>
      </c>
      <c r="AV17" s="8" t="s">
        <v>274</v>
      </c>
      <c r="AW17" s="6" t="s">
        <v>38</v>
      </c>
      <c r="AX17" s="8" t="s">
        <v>260</v>
      </c>
      <c r="AY17" s="7" t="s">
        <v>275</v>
      </c>
      <c r="AZ17" s="2"/>
      <c r="BC17" s="2"/>
    </row>
    <row r="18" spans="7:55" x14ac:dyDescent="0.5">
      <c r="L18" s="1" t="s">
        <v>412</v>
      </c>
      <c r="M18" s="1" t="s">
        <v>412</v>
      </c>
      <c r="N18" s="1" t="s">
        <v>413</v>
      </c>
      <c r="O18" s="1" t="s">
        <v>378</v>
      </c>
      <c r="P18" s="1" t="s">
        <v>368</v>
      </c>
      <c r="Q18" s="1" t="s">
        <v>414</v>
      </c>
      <c r="S18" s="1" t="s">
        <v>412</v>
      </c>
      <c r="T18" s="1" t="s">
        <v>412</v>
      </c>
      <c r="U18" s="1" t="s">
        <v>413</v>
      </c>
      <c r="V18" s="1" t="s">
        <v>378</v>
      </c>
      <c r="W18" s="1" t="s">
        <v>368</v>
      </c>
      <c r="X18" s="1" t="s">
        <v>414</v>
      </c>
      <c r="Y18" s="1" t="s">
        <v>415</v>
      </c>
      <c r="Z18" s="1" t="s">
        <v>321</v>
      </c>
      <c r="AA18" s="1" t="s">
        <v>309</v>
      </c>
      <c r="AB18" s="1" t="s">
        <v>274</v>
      </c>
      <c r="AC18" s="1" t="s">
        <v>363</v>
      </c>
      <c r="AD18" s="1" t="s">
        <v>288</v>
      </c>
      <c r="AE18" s="1" t="s">
        <v>416</v>
      </c>
      <c r="AF18" s="1" t="s">
        <v>75</v>
      </c>
      <c r="AG18" s="1" t="s">
        <v>417</v>
      </c>
      <c r="AL18" s="2" t="s">
        <v>418</v>
      </c>
      <c r="AM18" s="2" t="s">
        <v>419</v>
      </c>
      <c r="AN18" s="2" t="s">
        <v>420</v>
      </c>
      <c r="AO18" s="2" t="s">
        <v>332</v>
      </c>
      <c r="AP18" s="2" t="s">
        <v>329</v>
      </c>
      <c r="AQ18" s="2" t="s">
        <v>421</v>
      </c>
      <c r="AR18" s="2"/>
      <c r="AS18" s="2"/>
      <c r="AT18" s="6" t="s">
        <v>418</v>
      </c>
      <c r="AU18" s="8" t="s">
        <v>355</v>
      </c>
      <c r="AV18" s="7" t="s">
        <v>157</v>
      </c>
      <c r="AW18" s="5" t="s">
        <v>330</v>
      </c>
      <c r="AX18" s="8" t="s">
        <v>380</v>
      </c>
      <c r="AY18" s="7" t="s">
        <v>250</v>
      </c>
      <c r="AZ18" s="2"/>
      <c r="BC18" s="2"/>
    </row>
    <row r="19" spans="7:55" x14ac:dyDescent="0.5">
      <c r="G19" s="1" t="s">
        <v>213</v>
      </c>
      <c r="H19" s="1" t="s">
        <v>422</v>
      </c>
      <c r="I19" s="1" t="s">
        <v>255</v>
      </c>
      <c r="L19" s="1" t="s">
        <v>412</v>
      </c>
      <c r="M19" s="1" t="s">
        <v>351</v>
      </c>
      <c r="N19" s="1" t="s">
        <v>346</v>
      </c>
      <c r="O19" s="1" t="s">
        <v>395</v>
      </c>
      <c r="P19" s="1" t="s">
        <v>423</v>
      </c>
      <c r="Q19" s="1" t="s">
        <v>424</v>
      </c>
      <c r="S19" s="1" t="s">
        <v>412</v>
      </c>
      <c r="T19" s="1" t="s">
        <v>351</v>
      </c>
      <c r="U19" s="1" t="s">
        <v>346</v>
      </c>
      <c r="V19" s="1" t="s">
        <v>395</v>
      </c>
      <c r="W19" s="1" t="s">
        <v>423</v>
      </c>
      <c r="X19" s="1" t="s">
        <v>424</v>
      </c>
      <c r="Y19" s="1" t="s">
        <v>425</v>
      </c>
      <c r="Z19" s="1" t="s">
        <v>412</v>
      </c>
      <c r="AA19" s="1" t="s">
        <v>426</v>
      </c>
      <c r="AB19" s="1" t="s">
        <v>427</v>
      </c>
      <c r="AC19" s="1" t="s">
        <v>347</v>
      </c>
      <c r="AD19" s="1" t="s">
        <v>428</v>
      </c>
      <c r="AE19" s="1" t="s">
        <v>429</v>
      </c>
      <c r="AF19" s="1" t="s">
        <v>64</v>
      </c>
      <c r="AG19" s="1" t="s">
        <v>170</v>
      </c>
      <c r="AL19" s="2" t="s">
        <v>430</v>
      </c>
      <c r="AM19" s="2" t="s">
        <v>418</v>
      </c>
      <c r="AN19" s="2" t="s">
        <v>75</v>
      </c>
      <c r="AO19" s="2" t="s">
        <v>431</v>
      </c>
      <c r="AP19" s="2" t="s">
        <v>402</v>
      </c>
      <c r="AQ19" s="2" t="s">
        <v>432</v>
      </c>
      <c r="AR19" s="2"/>
      <c r="AS19" s="2"/>
      <c r="AT19" s="5" t="s">
        <v>430</v>
      </c>
      <c r="AU19" s="7" t="s">
        <v>292</v>
      </c>
      <c r="AV19" s="8" t="s">
        <v>304</v>
      </c>
      <c r="AW19" s="5" t="s">
        <v>292</v>
      </c>
      <c r="AX19" s="7" t="s">
        <v>375</v>
      </c>
      <c r="AY19" s="7" t="s">
        <v>297</v>
      </c>
      <c r="AZ19" s="2"/>
      <c r="BC19" s="2"/>
    </row>
    <row r="20" spans="7:55" x14ac:dyDescent="0.5">
      <c r="G20" s="1" t="s">
        <v>232</v>
      </c>
      <c r="H20" s="1" t="s">
        <v>232</v>
      </c>
      <c r="I20" s="1" t="s">
        <v>232</v>
      </c>
      <c r="L20" s="1" t="s">
        <v>433</v>
      </c>
      <c r="M20" s="1" t="s">
        <v>434</v>
      </c>
      <c r="N20" s="1" t="s">
        <v>338</v>
      </c>
      <c r="O20" s="1" t="s">
        <v>356</v>
      </c>
      <c r="P20" s="1" t="s">
        <v>38</v>
      </c>
      <c r="Q20" s="1" t="s">
        <v>435</v>
      </c>
      <c r="S20" s="1" t="s">
        <v>433</v>
      </c>
      <c r="T20" s="1" t="s">
        <v>434</v>
      </c>
      <c r="U20" s="1" t="s">
        <v>338</v>
      </c>
      <c r="V20" s="1" t="s">
        <v>356</v>
      </c>
      <c r="W20" s="1" t="s">
        <v>38</v>
      </c>
      <c r="X20" s="1" t="s">
        <v>435</v>
      </c>
      <c r="Y20" s="1" t="s">
        <v>436</v>
      </c>
      <c r="Z20" s="1" t="s">
        <v>437</v>
      </c>
      <c r="AA20" s="1" t="s">
        <v>438</v>
      </c>
      <c r="AB20" s="1" t="s">
        <v>411</v>
      </c>
      <c r="AC20" s="1" t="s">
        <v>439</v>
      </c>
      <c r="AD20" s="1" t="s">
        <v>440</v>
      </c>
      <c r="AE20" s="1" t="s">
        <v>399</v>
      </c>
      <c r="AF20" s="1" t="s">
        <v>164</v>
      </c>
      <c r="AG20" s="1" t="s">
        <v>399</v>
      </c>
      <c r="AL20" s="2" t="s">
        <v>441</v>
      </c>
      <c r="AM20" s="2" t="s">
        <v>441</v>
      </c>
      <c r="AN20" s="2" t="s">
        <v>419</v>
      </c>
      <c r="AO20" s="2" t="s">
        <v>162</v>
      </c>
      <c r="AP20" s="2" t="s">
        <v>368</v>
      </c>
      <c r="AQ20" s="2" t="s">
        <v>177</v>
      </c>
      <c r="AR20" s="2"/>
      <c r="AS20" s="2"/>
      <c r="AT20" s="6" t="s">
        <v>441</v>
      </c>
      <c r="AU20" s="5" t="s">
        <v>312</v>
      </c>
      <c r="AV20" s="8" t="s">
        <v>303</v>
      </c>
      <c r="AW20" s="5" t="s">
        <v>356</v>
      </c>
      <c r="AX20" s="7" t="s">
        <v>399</v>
      </c>
      <c r="AY20" s="7" t="s">
        <v>322</v>
      </c>
      <c r="AZ20" s="2"/>
      <c r="BC20" s="2"/>
    </row>
    <row r="21" spans="7:55" x14ac:dyDescent="0.5">
      <c r="G21" s="1" t="s">
        <v>233</v>
      </c>
      <c r="H21" s="1" t="s">
        <v>233</v>
      </c>
      <c r="I21" s="1" t="s">
        <v>233</v>
      </c>
      <c r="L21" s="1" t="s">
        <v>166</v>
      </c>
      <c r="M21" s="1" t="s">
        <v>365</v>
      </c>
      <c r="N21" s="1" t="s">
        <v>347</v>
      </c>
      <c r="O21" s="1" t="s">
        <v>385</v>
      </c>
      <c r="P21" s="1" t="s">
        <v>340</v>
      </c>
      <c r="Q21" s="1" t="s">
        <v>442</v>
      </c>
      <c r="S21" s="1" t="s">
        <v>166</v>
      </c>
      <c r="T21" s="1" t="s">
        <v>365</v>
      </c>
      <c r="U21" s="1" t="s">
        <v>347</v>
      </c>
      <c r="V21" s="1" t="s">
        <v>385</v>
      </c>
      <c r="W21" s="1" t="s">
        <v>340</v>
      </c>
      <c r="X21" s="1" t="s">
        <v>442</v>
      </c>
      <c r="Y21" s="1" t="s">
        <v>303</v>
      </c>
      <c r="Z21" s="1" t="s">
        <v>443</v>
      </c>
      <c r="AA21" s="1" t="s">
        <v>444</v>
      </c>
      <c r="AB21" s="1" t="s">
        <v>445</v>
      </c>
      <c r="AC21" s="1" t="s">
        <v>446</v>
      </c>
      <c r="AD21" s="1" t="s">
        <v>447</v>
      </c>
      <c r="AE21" s="1" t="s">
        <v>380</v>
      </c>
      <c r="AF21" s="1" t="s">
        <v>260</v>
      </c>
      <c r="AG21" s="1" t="s">
        <v>448</v>
      </c>
      <c r="AL21" s="2" t="s">
        <v>449</v>
      </c>
      <c r="AM21" s="2" t="s">
        <v>450</v>
      </c>
      <c r="AN21" s="2" t="s">
        <v>403</v>
      </c>
      <c r="AO21" s="2" t="s">
        <v>412</v>
      </c>
      <c r="AP21" s="2" t="s">
        <v>335</v>
      </c>
      <c r="AQ21" s="2" t="s">
        <v>451</v>
      </c>
      <c r="AR21" s="2"/>
      <c r="AS21" s="2"/>
      <c r="AT21" s="5" t="s">
        <v>449</v>
      </c>
      <c r="AU21" s="7" t="s">
        <v>161</v>
      </c>
      <c r="AV21" s="7" t="s">
        <v>283</v>
      </c>
      <c r="AW21" s="5" t="s">
        <v>161</v>
      </c>
      <c r="AX21" s="8" t="s">
        <v>452</v>
      </c>
      <c r="AY21" s="7" t="s">
        <v>157</v>
      </c>
      <c r="AZ21" s="2"/>
      <c r="BC21" s="2"/>
    </row>
    <row r="22" spans="7:55" x14ac:dyDescent="0.5">
      <c r="G22" s="1" t="s">
        <v>234</v>
      </c>
      <c r="H22" s="1" t="s">
        <v>234</v>
      </c>
      <c r="I22" s="1" t="s">
        <v>234</v>
      </c>
      <c r="L22" s="1" t="s">
        <v>75</v>
      </c>
      <c r="M22" s="1" t="s">
        <v>224</v>
      </c>
      <c r="N22" s="1" t="s">
        <v>453</v>
      </c>
      <c r="O22" s="1" t="s">
        <v>453</v>
      </c>
      <c r="P22" s="1" t="s">
        <v>454</v>
      </c>
      <c r="Q22" s="1" t="s">
        <v>455</v>
      </c>
      <c r="S22" s="1" t="s">
        <v>75</v>
      </c>
      <c r="T22" s="1" t="s">
        <v>224</v>
      </c>
      <c r="U22" s="1" t="s">
        <v>453</v>
      </c>
      <c r="V22" s="1" t="s">
        <v>453</v>
      </c>
      <c r="W22" s="1" t="s">
        <v>454</v>
      </c>
      <c r="X22" s="1" t="s">
        <v>455</v>
      </c>
      <c r="Y22" s="1" t="s">
        <v>456</v>
      </c>
      <c r="Z22" s="1" t="s">
        <v>365</v>
      </c>
      <c r="AA22" s="1" t="s">
        <v>397</v>
      </c>
      <c r="AB22" s="1" t="s">
        <v>344</v>
      </c>
      <c r="AC22" s="1" t="s">
        <v>457</v>
      </c>
      <c r="AD22" s="1" t="s">
        <v>174</v>
      </c>
      <c r="AE22" s="1" t="s">
        <v>458</v>
      </c>
      <c r="AF22" s="1" t="s">
        <v>439</v>
      </c>
      <c r="AG22" s="1" t="s">
        <v>459</v>
      </c>
      <c r="AL22" s="2" t="s">
        <v>460</v>
      </c>
      <c r="AM22" s="2" t="s">
        <v>461</v>
      </c>
      <c r="AN22" s="2" t="s">
        <v>359</v>
      </c>
      <c r="AO22" s="2" t="s">
        <v>396</v>
      </c>
      <c r="AP22" s="2" t="s">
        <v>266</v>
      </c>
      <c r="AT22" s="5" t="s">
        <v>450</v>
      </c>
      <c r="AU22" s="7" t="s">
        <v>324</v>
      </c>
      <c r="AV22" s="8" t="s">
        <v>352</v>
      </c>
      <c r="AW22" s="5" t="s">
        <v>263</v>
      </c>
      <c r="AX22" s="8" t="s">
        <v>275</v>
      </c>
      <c r="AY22" s="7" t="s">
        <v>313</v>
      </c>
    </row>
    <row r="23" spans="7:55" x14ac:dyDescent="0.5">
      <c r="G23" s="1" t="s">
        <v>235</v>
      </c>
      <c r="H23" s="1" t="s">
        <v>235</v>
      </c>
      <c r="I23" s="1" t="s">
        <v>235</v>
      </c>
      <c r="L23" s="1" t="s">
        <v>384</v>
      </c>
      <c r="M23" s="1" t="s">
        <v>377</v>
      </c>
      <c r="N23" s="1" t="s">
        <v>453</v>
      </c>
      <c r="O23" s="1" t="s">
        <v>412</v>
      </c>
      <c r="P23" s="1" t="s">
        <v>39</v>
      </c>
      <c r="Q23" s="1" t="s">
        <v>302</v>
      </c>
      <c r="S23" s="1" t="s">
        <v>384</v>
      </c>
      <c r="T23" s="1" t="s">
        <v>377</v>
      </c>
      <c r="U23" s="1" t="s">
        <v>453</v>
      </c>
      <c r="V23" s="1" t="s">
        <v>412</v>
      </c>
      <c r="W23" s="1" t="s">
        <v>39</v>
      </c>
      <c r="X23" s="1" t="s">
        <v>302</v>
      </c>
      <c r="Y23" s="1" t="s">
        <v>166</v>
      </c>
      <c r="Z23" s="1" t="s">
        <v>462</v>
      </c>
      <c r="AA23" s="1" t="s">
        <v>463</v>
      </c>
      <c r="AB23" s="1" t="s">
        <v>319</v>
      </c>
      <c r="AC23" s="1" t="s">
        <v>464</v>
      </c>
      <c r="AD23" s="1" t="s">
        <v>391</v>
      </c>
      <c r="AE23" s="1" t="s">
        <v>350</v>
      </c>
      <c r="AF23" s="1" t="s">
        <v>341</v>
      </c>
      <c r="AG23" s="1" t="s">
        <v>465</v>
      </c>
      <c r="AL23" s="2" t="s">
        <v>405</v>
      </c>
      <c r="AM23" s="2" t="s">
        <v>439</v>
      </c>
      <c r="AN23" s="2" t="s">
        <v>171</v>
      </c>
      <c r="AO23" s="2" t="s">
        <v>466</v>
      </c>
      <c r="AP23" s="2" t="s">
        <v>467</v>
      </c>
      <c r="AT23" s="6" t="s">
        <v>460</v>
      </c>
      <c r="AU23" s="7" t="s">
        <v>338</v>
      </c>
      <c r="AV23" s="8" t="s">
        <v>302</v>
      </c>
      <c r="AW23" s="7" t="s">
        <v>388</v>
      </c>
      <c r="AX23" s="7" t="s">
        <v>250</v>
      </c>
      <c r="AY23" s="7" t="s">
        <v>304</v>
      </c>
    </row>
    <row r="24" spans="7:55" x14ac:dyDescent="0.5">
      <c r="G24" s="1" t="s">
        <v>236</v>
      </c>
      <c r="H24" s="1" t="s">
        <v>236</v>
      </c>
      <c r="I24" s="1" t="s">
        <v>236</v>
      </c>
      <c r="L24" s="1" t="s">
        <v>383</v>
      </c>
      <c r="M24" s="1" t="s">
        <v>166</v>
      </c>
      <c r="N24" s="1" t="s">
        <v>71</v>
      </c>
      <c r="O24" s="1" t="s">
        <v>468</v>
      </c>
      <c r="P24" s="1" t="s">
        <v>161</v>
      </c>
      <c r="Q24" s="1" t="s">
        <v>341</v>
      </c>
      <c r="S24" s="1" t="s">
        <v>383</v>
      </c>
      <c r="T24" s="1" t="s">
        <v>166</v>
      </c>
      <c r="U24" s="1" t="s">
        <v>71</v>
      </c>
      <c r="V24" s="1" t="s">
        <v>468</v>
      </c>
      <c r="W24" s="1" t="s">
        <v>161</v>
      </c>
      <c r="X24" s="1" t="s">
        <v>341</v>
      </c>
      <c r="Y24" s="1" t="s">
        <v>306</v>
      </c>
      <c r="Z24" s="1" t="s">
        <v>218</v>
      </c>
      <c r="AA24" s="1" t="s">
        <v>469</v>
      </c>
      <c r="AB24" s="1" t="s">
        <v>437</v>
      </c>
      <c r="AC24" s="1" t="s">
        <v>399</v>
      </c>
      <c r="AD24" s="1" t="s">
        <v>470</v>
      </c>
      <c r="AE24" s="1" t="s">
        <v>470</v>
      </c>
      <c r="AF24" s="1" t="s">
        <v>471</v>
      </c>
      <c r="AG24" s="1" t="s">
        <v>372</v>
      </c>
      <c r="AL24" s="2" t="s">
        <v>64</v>
      </c>
      <c r="AM24" s="2" t="s">
        <v>471</v>
      </c>
      <c r="AN24" s="2" t="s">
        <v>472</v>
      </c>
      <c r="AO24" s="2" t="s">
        <v>473</v>
      </c>
      <c r="AP24" s="2" t="s">
        <v>161</v>
      </c>
      <c r="AT24" s="5" t="s">
        <v>405</v>
      </c>
      <c r="AU24" s="7" t="s">
        <v>162</v>
      </c>
      <c r="AV24" s="7" t="s">
        <v>341</v>
      </c>
      <c r="AW24" s="6" t="s">
        <v>350</v>
      </c>
      <c r="AX24" s="7" t="s">
        <v>374</v>
      </c>
      <c r="AY24" s="7" t="s">
        <v>474</v>
      </c>
    </row>
    <row r="25" spans="7:55" x14ac:dyDescent="0.5">
      <c r="G25" s="1" t="s">
        <v>475</v>
      </c>
      <c r="H25" s="1" t="s">
        <v>475</v>
      </c>
      <c r="I25" s="1" t="s">
        <v>475</v>
      </c>
      <c r="L25" s="1" t="s">
        <v>476</v>
      </c>
      <c r="M25" s="1" t="s">
        <v>75</v>
      </c>
      <c r="N25" s="1" t="s">
        <v>468</v>
      </c>
      <c r="O25" s="1" t="s">
        <v>466</v>
      </c>
      <c r="P25" s="1" t="s">
        <v>465</v>
      </c>
      <c r="Q25" s="1" t="s">
        <v>477</v>
      </c>
      <c r="S25" s="1" t="s">
        <v>476</v>
      </c>
      <c r="T25" s="1" t="s">
        <v>75</v>
      </c>
      <c r="U25" s="1" t="s">
        <v>468</v>
      </c>
      <c r="V25" s="1" t="s">
        <v>466</v>
      </c>
      <c r="W25" s="1" t="s">
        <v>465</v>
      </c>
      <c r="X25" s="1" t="s">
        <v>477</v>
      </c>
      <c r="Y25" s="1" t="s">
        <v>478</v>
      </c>
      <c r="Z25" s="1" t="s">
        <v>479</v>
      </c>
      <c r="AA25" s="1" t="s">
        <v>480</v>
      </c>
      <c r="AB25" s="1" t="s">
        <v>481</v>
      </c>
      <c r="AC25" s="1" t="s">
        <v>448</v>
      </c>
      <c r="AD25" s="1" t="s">
        <v>350</v>
      </c>
      <c r="AE25" s="1" t="s">
        <v>482</v>
      </c>
      <c r="AF25" s="1" t="s">
        <v>313</v>
      </c>
      <c r="AG25" s="1" t="s">
        <v>285</v>
      </c>
      <c r="AL25" s="2" t="s">
        <v>471</v>
      </c>
      <c r="AM25" s="2" t="s">
        <v>247</v>
      </c>
      <c r="AN25" s="2" t="s">
        <v>174</v>
      </c>
      <c r="AO25" s="2" t="s">
        <v>483</v>
      </c>
      <c r="AP25" s="2" t="s">
        <v>347</v>
      </c>
      <c r="AT25" s="6" t="s">
        <v>64</v>
      </c>
      <c r="AU25" s="7" t="s">
        <v>412</v>
      </c>
      <c r="AV25" s="8" t="s">
        <v>329</v>
      </c>
      <c r="AW25" s="7" t="s">
        <v>413</v>
      </c>
      <c r="AX25" s="7" t="s">
        <v>484</v>
      </c>
      <c r="AY25" s="7" t="s">
        <v>349</v>
      </c>
    </row>
    <row r="26" spans="7:55" x14ac:dyDescent="0.5">
      <c r="L26" s="1" t="s">
        <v>430</v>
      </c>
      <c r="M26" s="1" t="s">
        <v>485</v>
      </c>
      <c r="N26" s="1" t="s">
        <v>384</v>
      </c>
      <c r="O26" s="1" t="s">
        <v>486</v>
      </c>
      <c r="P26" s="1" t="s">
        <v>425</v>
      </c>
      <c r="Q26" s="1" t="s">
        <v>329</v>
      </c>
      <c r="S26" s="1" t="s">
        <v>430</v>
      </c>
      <c r="T26" s="1" t="s">
        <v>485</v>
      </c>
      <c r="U26" s="1" t="s">
        <v>384</v>
      </c>
      <c r="V26" s="1" t="s">
        <v>486</v>
      </c>
      <c r="W26" s="1" t="s">
        <v>425</v>
      </c>
      <c r="X26" s="1" t="s">
        <v>329</v>
      </c>
      <c r="Y26" s="1" t="s">
        <v>314</v>
      </c>
      <c r="Z26" s="1" t="s">
        <v>260</v>
      </c>
      <c r="AA26" s="1" t="s">
        <v>262</v>
      </c>
      <c r="AB26" s="1" t="s">
        <v>487</v>
      </c>
      <c r="AC26" s="1" t="s">
        <v>488</v>
      </c>
      <c r="AD26" s="1" t="s">
        <v>482</v>
      </c>
      <c r="AE26" s="1" t="s">
        <v>250</v>
      </c>
      <c r="AF26" s="1" t="s">
        <v>489</v>
      </c>
      <c r="AG26" s="1" t="s">
        <v>490</v>
      </c>
      <c r="AL26" s="2" t="s">
        <v>471</v>
      </c>
      <c r="AM26" s="2" t="s">
        <v>491</v>
      </c>
      <c r="AN26" s="2" t="s">
        <v>247</v>
      </c>
      <c r="AO26" s="2" t="s">
        <v>441</v>
      </c>
      <c r="AP26" s="2" t="s">
        <v>71</v>
      </c>
      <c r="AT26" s="5" t="s">
        <v>471</v>
      </c>
      <c r="AU26" s="7" t="s">
        <v>351</v>
      </c>
      <c r="AV26" s="7" t="s">
        <v>368</v>
      </c>
      <c r="AW26" s="8" t="s">
        <v>346</v>
      </c>
      <c r="AX26" s="7" t="s">
        <v>297</v>
      </c>
      <c r="AY26" s="7" t="s">
        <v>341</v>
      </c>
    </row>
    <row r="27" spans="7:55" x14ac:dyDescent="0.5">
      <c r="L27" s="1" t="s">
        <v>492</v>
      </c>
      <c r="M27" s="1" t="s">
        <v>396</v>
      </c>
      <c r="N27" s="1" t="s">
        <v>485</v>
      </c>
      <c r="O27" s="1" t="s">
        <v>473</v>
      </c>
      <c r="P27" s="1" t="s">
        <v>364</v>
      </c>
      <c r="Q27" s="1" t="s">
        <v>402</v>
      </c>
      <c r="S27" s="1" t="s">
        <v>492</v>
      </c>
      <c r="T27" s="1" t="s">
        <v>396</v>
      </c>
      <c r="U27" s="1" t="s">
        <v>485</v>
      </c>
      <c r="V27" s="1" t="s">
        <v>473</v>
      </c>
      <c r="W27" s="1" t="s">
        <v>364</v>
      </c>
      <c r="X27" s="1" t="s">
        <v>402</v>
      </c>
      <c r="Y27" s="1" t="s">
        <v>262</v>
      </c>
      <c r="Z27" s="1" t="s">
        <v>300</v>
      </c>
      <c r="AA27" s="1" t="s">
        <v>218</v>
      </c>
      <c r="AB27" s="1" t="s">
        <v>309</v>
      </c>
      <c r="AC27" s="1" t="s">
        <v>350</v>
      </c>
      <c r="AD27" s="1" t="s">
        <v>250</v>
      </c>
      <c r="AE27" s="1" t="s">
        <v>493</v>
      </c>
      <c r="AF27" s="1" t="s">
        <v>494</v>
      </c>
      <c r="AG27" s="1" t="s">
        <v>180</v>
      </c>
      <c r="AL27" s="2" t="s">
        <v>495</v>
      </c>
      <c r="AM27" s="2" t="s">
        <v>361</v>
      </c>
      <c r="AN27" s="2" t="s">
        <v>470</v>
      </c>
      <c r="AO27" s="2" t="s">
        <v>370</v>
      </c>
      <c r="AP27" s="2" t="s">
        <v>468</v>
      </c>
      <c r="AT27" s="10" t="s">
        <v>495</v>
      </c>
      <c r="AU27" s="7" t="s">
        <v>434</v>
      </c>
      <c r="AV27" s="7" t="s">
        <v>266</v>
      </c>
      <c r="AW27" s="6" t="s">
        <v>367</v>
      </c>
      <c r="AX27" s="8" t="s">
        <v>281</v>
      </c>
      <c r="AY27" s="7" t="s">
        <v>429</v>
      </c>
    </row>
    <row r="28" spans="7:55" x14ac:dyDescent="0.5">
      <c r="L28" s="1" t="s">
        <v>441</v>
      </c>
      <c r="M28" s="1" t="s">
        <v>419</v>
      </c>
      <c r="N28" s="1" t="s">
        <v>419</v>
      </c>
      <c r="O28" s="1" t="s">
        <v>383</v>
      </c>
      <c r="P28" s="1" t="s">
        <v>162</v>
      </c>
      <c r="Q28" s="1" t="s">
        <v>368</v>
      </c>
      <c r="S28" s="1" t="s">
        <v>441</v>
      </c>
      <c r="T28" s="1" t="s">
        <v>419</v>
      </c>
      <c r="U28" s="1" t="s">
        <v>419</v>
      </c>
      <c r="V28" s="1" t="s">
        <v>383</v>
      </c>
      <c r="W28" s="1" t="s">
        <v>162</v>
      </c>
      <c r="X28" s="1" t="s">
        <v>368</v>
      </c>
      <c r="Y28" s="1" t="s">
        <v>177</v>
      </c>
      <c r="Z28" s="1" t="s">
        <v>403</v>
      </c>
      <c r="AA28" s="1" t="s">
        <v>496</v>
      </c>
      <c r="AB28" s="1" t="s">
        <v>497</v>
      </c>
      <c r="AC28" s="1" t="s">
        <v>482</v>
      </c>
      <c r="AD28" s="1" t="s">
        <v>498</v>
      </c>
      <c r="AE28" s="1" t="s">
        <v>499</v>
      </c>
      <c r="AF28" s="1" t="s">
        <v>500</v>
      </c>
      <c r="AG28" s="1" t="s">
        <v>474</v>
      </c>
      <c r="AL28" s="2"/>
      <c r="AM28" s="2"/>
      <c r="AN28" s="2" t="s">
        <v>501</v>
      </c>
      <c r="AO28" s="2" t="s">
        <v>439</v>
      </c>
      <c r="AP28" s="2" t="s">
        <v>351</v>
      </c>
      <c r="AT28" s="10"/>
      <c r="AU28" s="7" t="s">
        <v>365</v>
      </c>
      <c r="AV28" s="8" t="s">
        <v>38</v>
      </c>
      <c r="AW28" s="5" t="s">
        <v>410</v>
      </c>
      <c r="AX28" s="7" t="s">
        <v>322</v>
      </c>
      <c r="AY28" s="7" t="s">
        <v>459</v>
      </c>
    </row>
    <row r="29" spans="7:55" x14ac:dyDescent="0.5">
      <c r="L29" s="1" t="s">
        <v>502</v>
      </c>
      <c r="M29" s="1" t="s">
        <v>486</v>
      </c>
      <c r="N29" s="1" t="s">
        <v>473</v>
      </c>
      <c r="O29" s="1" t="s">
        <v>426</v>
      </c>
      <c r="P29" s="1" t="s">
        <v>503</v>
      </c>
      <c r="Q29" s="1" t="s">
        <v>335</v>
      </c>
      <c r="S29" s="1" t="s">
        <v>502</v>
      </c>
      <c r="T29" s="1" t="s">
        <v>486</v>
      </c>
      <c r="U29" s="1" t="s">
        <v>473</v>
      </c>
      <c r="V29" s="1" t="s">
        <v>426</v>
      </c>
      <c r="W29" s="1" t="s">
        <v>503</v>
      </c>
      <c r="X29" s="1" t="s">
        <v>335</v>
      </c>
      <c r="Y29" s="1" t="s">
        <v>504</v>
      </c>
      <c r="Z29" s="1" t="s">
        <v>505</v>
      </c>
      <c r="AA29" s="1" t="s">
        <v>505</v>
      </c>
      <c r="AB29" s="1" t="s">
        <v>506</v>
      </c>
      <c r="AC29" s="1" t="s">
        <v>470</v>
      </c>
      <c r="AD29" s="1" t="s">
        <v>507</v>
      </c>
      <c r="AE29" s="1" t="s">
        <v>425</v>
      </c>
      <c r="AF29" s="1" t="s">
        <v>355</v>
      </c>
      <c r="AG29" s="1" t="s">
        <v>442</v>
      </c>
      <c r="AL29" s="2"/>
      <c r="AN29" s="2" t="s">
        <v>508</v>
      </c>
      <c r="AO29" s="2" t="s">
        <v>509</v>
      </c>
      <c r="AP29" s="2" t="s">
        <v>510</v>
      </c>
      <c r="AU29" s="7" t="s">
        <v>224</v>
      </c>
      <c r="AV29" s="7" t="s">
        <v>366</v>
      </c>
      <c r="AW29" s="7" t="s">
        <v>338</v>
      </c>
      <c r="AX29" s="7" t="s">
        <v>157</v>
      </c>
      <c r="AY29" s="7" t="s">
        <v>335</v>
      </c>
    </row>
    <row r="30" spans="7:55" x14ac:dyDescent="0.5">
      <c r="L30" s="1" t="s">
        <v>370</v>
      </c>
      <c r="M30" s="1" t="s">
        <v>307</v>
      </c>
      <c r="N30" s="1" t="s">
        <v>383</v>
      </c>
      <c r="O30" s="1" t="s">
        <v>171</v>
      </c>
      <c r="P30" s="1" t="s">
        <v>511</v>
      </c>
      <c r="Q30" s="1" t="s">
        <v>335</v>
      </c>
      <c r="S30" s="1" t="s">
        <v>370</v>
      </c>
      <c r="T30" s="1" t="s">
        <v>307</v>
      </c>
      <c r="U30" s="1" t="s">
        <v>383</v>
      </c>
      <c r="V30" s="1" t="s">
        <v>171</v>
      </c>
      <c r="W30" s="1" t="s">
        <v>511</v>
      </c>
      <c r="X30" s="1" t="s">
        <v>335</v>
      </c>
      <c r="Y30" s="1" t="s">
        <v>180</v>
      </c>
      <c r="Z30" s="1" t="s">
        <v>75</v>
      </c>
      <c r="AA30" s="1" t="s">
        <v>37</v>
      </c>
      <c r="AB30" s="1" t="s">
        <v>167</v>
      </c>
      <c r="AC30" s="1" t="s">
        <v>512</v>
      </c>
      <c r="AD30" s="1" t="s">
        <v>485</v>
      </c>
      <c r="AE30" s="1" t="s">
        <v>170</v>
      </c>
      <c r="AL30" s="2"/>
      <c r="AN30" s="2" t="s">
        <v>499</v>
      </c>
      <c r="AO30" s="2" t="s">
        <v>513</v>
      </c>
      <c r="AP30" s="2" t="s">
        <v>164</v>
      </c>
      <c r="AU30" s="7" t="s">
        <v>377</v>
      </c>
      <c r="AV30" s="7" t="s">
        <v>389</v>
      </c>
      <c r="AW30" s="8" t="s">
        <v>347</v>
      </c>
      <c r="AX30" s="8" t="s">
        <v>313</v>
      </c>
      <c r="AY30" s="7" t="s">
        <v>330</v>
      </c>
    </row>
    <row r="31" spans="7:55" x14ac:dyDescent="0.5">
      <c r="L31" s="1" t="s">
        <v>359</v>
      </c>
      <c r="M31" s="1" t="s">
        <v>440</v>
      </c>
      <c r="N31" s="1" t="s">
        <v>403</v>
      </c>
      <c r="O31" s="1" t="s">
        <v>439</v>
      </c>
      <c r="P31" s="1" t="s">
        <v>164</v>
      </c>
      <c r="Q31" s="1" t="s">
        <v>330</v>
      </c>
      <c r="S31" s="1" t="s">
        <v>359</v>
      </c>
      <c r="T31" s="1" t="s">
        <v>440</v>
      </c>
      <c r="U31" s="1" t="s">
        <v>403</v>
      </c>
      <c r="V31" s="1" t="s">
        <v>439</v>
      </c>
      <c r="W31" s="1" t="s">
        <v>164</v>
      </c>
      <c r="X31" s="1" t="s">
        <v>330</v>
      </c>
      <c r="Y31" s="1" t="s">
        <v>442</v>
      </c>
      <c r="Z31" s="1" t="s">
        <v>466</v>
      </c>
      <c r="AA31" s="1" t="s">
        <v>225</v>
      </c>
      <c r="AB31" s="1" t="s">
        <v>514</v>
      </c>
      <c r="AC31" s="1" t="s">
        <v>515</v>
      </c>
      <c r="AD31" s="1" t="s">
        <v>385</v>
      </c>
      <c r="AE31" s="1" t="s">
        <v>452</v>
      </c>
      <c r="AL31" s="2"/>
      <c r="AN31" s="2" t="s">
        <v>178</v>
      </c>
      <c r="AO31" s="2" t="s">
        <v>516</v>
      </c>
      <c r="AP31" s="2" t="s">
        <v>517</v>
      </c>
      <c r="AU31" s="7" t="s">
        <v>166</v>
      </c>
      <c r="AV31" s="8" t="s">
        <v>330</v>
      </c>
      <c r="AW31" s="7" t="s">
        <v>453</v>
      </c>
      <c r="AX31" s="8" t="s">
        <v>304</v>
      </c>
      <c r="AY31" s="7" t="s">
        <v>395</v>
      </c>
    </row>
    <row r="32" spans="7:55" x14ac:dyDescent="0.5">
      <c r="L32" s="1" t="s">
        <v>439</v>
      </c>
      <c r="M32" s="1" t="s">
        <v>450</v>
      </c>
      <c r="N32" s="1" t="s">
        <v>169</v>
      </c>
      <c r="O32" s="1" t="s">
        <v>513</v>
      </c>
      <c r="P32" s="1" t="s">
        <v>165</v>
      </c>
      <c r="Q32" s="1" t="s">
        <v>312</v>
      </c>
      <c r="S32" s="1" t="s">
        <v>439</v>
      </c>
      <c r="T32" s="1" t="s">
        <v>450</v>
      </c>
      <c r="U32" s="1" t="s">
        <v>169</v>
      </c>
      <c r="V32" s="1" t="s">
        <v>513</v>
      </c>
      <c r="W32" s="1" t="s">
        <v>165</v>
      </c>
      <c r="X32" s="1" t="s">
        <v>312</v>
      </c>
      <c r="Y32" s="1" t="s">
        <v>283</v>
      </c>
      <c r="Z32" s="1" t="s">
        <v>491</v>
      </c>
      <c r="AA32" s="1" t="s">
        <v>518</v>
      </c>
      <c r="AB32" s="1" t="s">
        <v>519</v>
      </c>
      <c r="AC32" s="1" t="s">
        <v>441</v>
      </c>
      <c r="AD32" s="1" t="s">
        <v>489</v>
      </c>
      <c r="AE32" s="1" t="s">
        <v>520</v>
      </c>
      <c r="AL32" s="2"/>
      <c r="AO32" s="2" t="s">
        <v>521</v>
      </c>
      <c r="AP32" s="2" t="s">
        <v>522</v>
      </c>
      <c r="AU32" s="7" t="s">
        <v>75</v>
      </c>
      <c r="AV32" s="8" t="s">
        <v>401</v>
      </c>
      <c r="AW32" s="7" t="s">
        <v>71</v>
      </c>
      <c r="AX32" s="7" t="s">
        <v>474</v>
      </c>
      <c r="AY32" s="7" t="s">
        <v>356</v>
      </c>
    </row>
    <row r="33" spans="12:51" x14ac:dyDescent="0.5">
      <c r="L33" s="1" t="s">
        <v>523</v>
      </c>
      <c r="M33" s="1" t="s">
        <v>523</v>
      </c>
      <c r="N33" s="1" t="s">
        <v>524</v>
      </c>
      <c r="O33" s="1" t="s">
        <v>64</v>
      </c>
      <c r="P33" s="1" t="s">
        <v>37</v>
      </c>
      <c r="Q33" s="1" t="s">
        <v>350</v>
      </c>
      <c r="S33" s="1" t="s">
        <v>523</v>
      </c>
      <c r="T33" s="1" t="s">
        <v>523</v>
      </c>
      <c r="U33" s="1" t="s">
        <v>524</v>
      </c>
      <c r="V33" s="1" t="s">
        <v>64</v>
      </c>
      <c r="W33" s="1" t="s">
        <v>37</v>
      </c>
      <c r="X33" s="1" t="s">
        <v>350</v>
      </c>
      <c r="Y33" s="1" t="s">
        <v>498</v>
      </c>
      <c r="Z33" s="1" t="s">
        <v>525</v>
      </c>
      <c r="AA33" s="1" t="s">
        <v>526</v>
      </c>
      <c r="AB33" s="1" t="s">
        <v>448</v>
      </c>
      <c r="AC33" s="1" t="s">
        <v>459</v>
      </c>
      <c r="AD33" s="1" t="s">
        <v>158</v>
      </c>
      <c r="AE33" s="1" t="s">
        <v>293</v>
      </c>
      <c r="AO33" s="2" t="s">
        <v>527</v>
      </c>
      <c r="AP33" s="2" t="s">
        <v>528</v>
      </c>
      <c r="AU33" s="7" t="s">
        <v>384</v>
      </c>
      <c r="AV33" s="7" t="s">
        <v>292</v>
      </c>
      <c r="AW33" s="8" t="s">
        <v>468</v>
      </c>
      <c r="AX33" s="7" t="s">
        <v>349</v>
      </c>
      <c r="AY33" s="7" t="s">
        <v>385</v>
      </c>
    </row>
    <row r="34" spans="12:51" x14ac:dyDescent="0.5">
      <c r="L34" s="1" t="s">
        <v>513</v>
      </c>
      <c r="M34" s="1" t="s">
        <v>489</v>
      </c>
      <c r="N34" s="1" t="s">
        <v>359</v>
      </c>
      <c r="O34" s="1" t="s">
        <v>471</v>
      </c>
      <c r="P34" s="1" t="s">
        <v>166</v>
      </c>
      <c r="Q34" s="1" t="s">
        <v>425</v>
      </c>
      <c r="S34" s="1" t="s">
        <v>513</v>
      </c>
      <c r="T34" s="1" t="s">
        <v>489</v>
      </c>
      <c r="U34" s="1" t="s">
        <v>359</v>
      </c>
      <c r="V34" s="1" t="s">
        <v>471</v>
      </c>
      <c r="W34" s="1" t="s">
        <v>166</v>
      </c>
      <c r="X34" s="1" t="s">
        <v>425</v>
      </c>
      <c r="Y34" s="1" t="s">
        <v>529</v>
      </c>
      <c r="Z34" s="1" t="s">
        <v>64</v>
      </c>
      <c r="AA34" s="1" t="s">
        <v>530</v>
      </c>
      <c r="AB34" s="1" t="s">
        <v>531</v>
      </c>
      <c r="AC34" s="1" t="s">
        <v>412</v>
      </c>
      <c r="AD34" s="1" t="s">
        <v>70</v>
      </c>
      <c r="AE34" s="1" t="s">
        <v>532</v>
      </c>
      <c r="AO34" s="2" t="s">
        <v>533</v>
      </c>
      <c r="AP34" s="2" t="s">
        <v>534</v>
      </c>
      <c r="AU34" s="7" t="s">
        <v>485</v>
      </c>
      <c r="AV34" s="7" t="s">
        <v>378</v>
      </c>
      <c r="AW34" s="6" t="s">
        <v>420</v>
      </c>
      <c r="AX34" s="7" t="s">
        <v>532</v>
      </c>
      <c r="AY34" s="7" t="s">
        <v>465</v>
      </c>
    </row>
    <row r="35" spans="12:51" x14ac:dyDescent="0.5">
      <c r="L35" s="1" t="s">
        <v>333</v>
      </c>
      <c r="M35" s="1" t="s">
        <v>535</v>
      </c>
      <c r="N35" s="1" t="s">
        <v>536</v>
      </c>
      <c r="O35" s="1" t="s">
        <v>533</v>
      </c>
      <c r="P35" s="1" t="s">
        <v>396</v>
      </c>
      <c r="Q35" s="1" t="s">
        <v>482</v>
      </c>
      <c r="S35" s="1" t="s">
        <v>333</v>
      </c>
      <c r="T35" s="1" t="s">
        <v>535</v>
      </c>
      <c r="U35" s="1" t="s">
        <v>536</v>
      </c>
      <c r="V35" s="1" t="s">
        <v>533</v>
      </c>
      <c r="W35" s="1" t="s">
        <v>396</v>
      </c>
      <c r="X35" s="1" t="s">
        <v>482</v>
      </c>
      <c r="Y35" s="1" t="s">
        <v>537</v>
      </c>
      <c r="Z35" s="1" t="s">
        <v>538</v>
      </c>
      <c r="AA35" s="1" t="s">
        <v>539</v>
      </c>
      <c r="AB35" s="1" t="s">
        <v>540</v>
      </c>
      <c r="AC35" s="1" t="s">
        <v>178</v>
      </c>
      <c r="AE35" s="1" t="s">
        <v>541</v>
      </c>
      <c r="AO35" s="2" t="s">
        <v>387</v>
      </c>
      <c r="AP35" s="2" t="s">
        <v>417</v>
      </c>
      <c r="AU35" s="7" t="s">
        <v>396</v>
      </c>
      <c r="AV35" s="8" t="s">
        <v>395</v>
      </c>
      <c r="AW35" s="5" t="s">
        <v>75</v>
      </c>
      <c r="AX35" s="8" t="s">
        <v>442</v>
      </c>
      <c r="AY35" s="7" t="s">
        <v>350</v>
      </c>
    </row>
    <row r="36" spans="12:51" x14ac:dyDescent="0.5">
      <c r="L36" s="1" t="s">
        <v>64</v>
      </c>
      <c r="M36" s="1" t="s">
        <v>247</v>
      </c>
      <c r="N36" s="1" t="s">
        <v>472</v>
      </c>
      <c r="O36" s="1" t="s">
        <v>542</v>
      </c>
      <c r="P36" s="1" t="s">
        <v>538</v>
      </c>
      <c r="Q36" s="1" t="s">
        <v>162</v>
      </c>
      <c r="S36" s="1" t="s">
        <v>64</v>
      </c>
      <c r="T36" s="1" t="s">
        <v>247</v>
      </c>
      <c r="U36" s="1" t="s">
        <v>472</v>
      </c>
      <c r="V36" s="1" t="s">
        <v>542</v>
      </c>
      <c r="W36" s="1" t="s">
        <v>538</v>
      </c>
      <c r="X36" s="1" t="s">
        <v>162</v>
      </c>
      <c r="Y36" s="1" t="s">
        <v>482</v>
      </c>
      <c r="Z36" s="1" t="s">
        <v>543</v>
      </c>
      <c r="AA36" s="1" t="s">
        <v>524</v>
      </c>
      <c r="AB36" s="1" t="s">
        <v>250</v>
      </c>
      <c r="AC36" s="1" t="s">
        <v>288</v>
      </c>
      <c r="AE36" s="1" t="s">
        <v>484</v>
      </c>
      <c r="AP36" s="2" t="s">
        <v>426</v>
      </c>
      <c r="AU36" s="7" t="s">
        <v>409</v>
      </c>
      <c r="AV36" s="7" t="s">
        <v>356</v>
      </c>
      <c r="AW36" s="7" t="s">
        <v>384</v>
      </c>
      <c r="AX36" s="8" t="s">
        <v>493</v>
      </c>
      <c r="AY36" s="7" t="s">
        <v>482</v>
      </c>
    </row>
    <row r="37" spans="12:51" x14ac:dyDescent="0.5">
      <c r="L37" s="1" t="s">
        <v>544</v>
      </c>
      <c r="M37" s="1" t="s">
        <v>491</v>
      </c>
      <c r="N37" s="1" t="s">
        <v>545</v>
      </c>
      <c r="P37" s="1" t="s">
        <v>419</v>
      </c>
      <c r="Q37" s="1" t="s">
        <v>347</v>
      </c>
      <c r="S37" s="1" t="s">
        <v>544</v>
      </c>
      <c r="T37" s="1" t="s">
        <v>491</v>
      </c>
      <c r="U37" s="1" t="s">
        <v>545</v>
      </c>
      <c r="W37" s="1" t="s">
        <v>419</v>
      </c>
      <c r="X37" s="1" t="s">
        <v>347</v>
      </c>
      <c r="Y37" s="1" t="s">
        <v>545</v>
      </c>
      <c r="Z37" s="1" t="s">
        <v>344</v>
      </c>
      <c r="AA37" s="1" t="s">
        <v>39</v>
      </c>
      <c r="AB37" s="1" t="s">
        <v>370</v>
      </c>
      <c r="AC37" s="1" t="s">
        <v>310</v>
      </c>
      <c r="AE37" s="1" t="s">
        <v>285</v>
      </c>
      <c r="AP37" s="2" t="s">
        <v>546</v>
      </c>
      <c r="AU37" s="7" t="s">
        <v>419</v>
      </c>
      <c r="AV37" s="7" t="s">
        <v>161</v>
      </c>
      <c r="AW37" s="8" t="s">
        <v>485</v>
      </c>
      <c r="AX37" s="8" t="s">
        <v>362</v>
      </c>
      <c r="AY37" s="7" t="s">
        <v>347</v>
      </c>
    </row>
    <row r="38" spans="12:51" x14ac:dyDescent="0.5">
      <c r="L38" s="1" t="s">
        <v>525</v>
      </c>
      <c r="M38" s="1" t="s">
        <v>470</v>
      </c>
      <c r="N38" s="1" t="s">
        <v>471</v>
      </c>
      <c r="P38" s="1" t="s">
        <v>547</v>
      </c>
      <c r="Q38" s="1" t="s">
        <v>71</v>
      </c>
      <c r="S38" s="1" t="s">
        <v>525</v>
      </c>
      <c r="T38" s="1" t="s">
        <v>470</v>
      </c>
      <c r="U38" s="1" t="s">
        <v>471</v>
      </c>
      <c r="W38" s="1" t="s">
        <v>547</v>
      </c>
      <c r="X38" s="1" t="s">
        <v>71</v>
      </c>
      <c r="Y38" s="1" t="s">
        <v>548</v>
      </c>
      <c r="Z38" s="1" t="s">
        <v>486</v>
      </c>
      <c r="AA38" s="1" t="s">
        <v>549</v>
      </c>
      <c r="AB38" s="1" t="s">
        <v>260</v>
      </c>
      <c r="AC38" s="1" t="s">
        <v>385</v>
      </c>
      <c r="AE38" s="1" t="s">
        <v>490</v>
      </c>
      <c r="AP38" s="2" t="s">
        <v>550</v>
      </c>
      <c r="AU38" s="7" t="s">
        <v>486</v>
      </c>
      <c r="AV38" s="5" t="s">
        <v>385</v>
      </c>
      <c r="AW38" s="5" t="s">
        <v>419</v>
      </c>
      <c r="AX38" s="8" t="s">
        <v>406</v>
      </c>
      <c r="AY38" s="7" t="s">
        <v>293</v>
      </c>
    </row>
    <row r="39" spans="12:51" x14ac:dyDescent="0.5">
      <c r="L39" s="1" t="s">
        <v>471</v>
      </c>
      <c r="M39" s="1" t="s">
        <v>533</v>
      </c>
      <c r="N39" s="1" t="s">
        <v>535</v>
      </c>
      <c r="P39" s="1" t="s">
        <v>551</v>
      </c>
      <c r="Q39" s="1" t="s">
        <v>71</v>
      </c>
      <c r="S39" s="1" t="s">
        <v>471</v>
      </c>
      <c r="T39" s="1" t="s">
        <v>533</v>
      </c>
      <c r="U39" s="1" t="s">
        <v>535</v>
      </c>
      <c r="W39" s="1" t="s">
        <v>551</v>
      </c>
      <c r="X39" s="1" t="s">
        <v>71</v>
      </c>
      <c r="Y39" s="1" t="s">
        <v>552</v>
      </c>
      <c r="Z39" s="1" t="s">
        <v>215</v>
      </c>
      <c r="AA39" s="1" t="s">
        <v>359</v>
      </c>
      <c r="AB39" s="1" t="s">
        <v>510</v>
      </c>
      <c r="AC39" s="1" t="s">
        <v>389</v>
      </c>
      <c r="AP39" s="2" t="s">
        <v>407</v>
      </c>
      <c r="AU39" s="7" t="s">
        <v>307</v>
      </c>
      <c r="AV39" s="6" t="s">
        <v>397</v>
      </c>
      <c r="AW39" s="8" t="s">
        <v>473</v>
      </c>
      <c r="AX39" s="8" t="s">
        <v>341</v>
      </c>
      <c r="AY39" s="7" t="s">
        <v>500</v>
      </c>
    </row>
    <row r="40" spans="12:51" x14ac:dyDescent="0.5">
      <c r="L40" s="1" t="s">
        <v>489</v>
      </c>
      <c r="M40" s="1" t="s">
        <v>361</v>
      </c>
      <c r="N40" s="1" t="s">
        <v>174</v>
      </c>
      <c r="P40" s="1" t="s">
        <v>552</v>
      </c>
      <c r="Q40" s="1" t="s">
        <v>553</v>
      </c>
      <c r="S40" s="1" t="s">
        <v>489</v>
      </c>
      <c r="T40" s="1" t="s">
        <v>361</v>
      </c>
      <c r="U40" s="1" t="s">
        <v>174</v>
      </c>
      <c r="W40" s="1" t="s">
        <v>552</v>
      </c>
      <c r="X40" s="1" t="s">
        <v>553</v>
      </c>
      <c r="Y40" s="1" t="s">
        <v>268</v>
      </c>
      <c r="Z40" s="1" t="s">
        <v>554</v>
      </c>
      <c r="AA40" s="1" t="s">
        <v>370</v>
      </c>
      <c r="AB40" s="1" t="s">
        <v>555</v>
      </c>
      <c r="AC40" s="1" t="s">
        <v>250</v>
      </c>
      <c r="AP40" s="2" t="s">
        <v>556</v>
      </c>
      <c r="AU40" s="7" t="s">
        <v>418</v>
      </c>
      <c r="AV40" s="8" t="s">
        <v>263</v>
      </c>
      <c r="AW40" s="7" t="s">
        <v>383</v>
      </c>
      <c r="AX40" s="8" t="s">
        <v>429</v>
      </c>
      <c r="AY40" s="7" t="s">
        <v>224</v>
      </c>
    </row>
    <row r="41" spans="12:51" x14ac:dyDescent="0.5">
      <c r="L41" s="1" t="s">
        <v>345</v>
      </c>
      <c r="M41" s="1" t="s">
        <v>177</v>
      </c>
      <c r="N41" s="1" t="s">
        <v>508</v>
      </c>
      <c r="P41" s="1" t="s">
        <v>403</v>
      </c>
      <c r="Q41" s="1" t="s">
        <v>557</v>
      </c>
      <c r="S41" s="1" t="s">
        <v>345</v>
      </c>
      <c r="T41" s="1" t="s">
        <v>177</v>
      </c>
      <c r="U41" s="1" t="s">
        <v>508</v>
      </c>
      <c r="W41" s="1" t="s">
        <v>403</v>
      </c>
      <c r="X41" s="1" t="s">
        <v>557</v>
      </c>
      <c r="Y41" s="1" t="s">
        <v>558</v>
      </c>
      <c r="AA41" s="1" t="s">
        <v>491</v>
      </c>
      <c r="AB41" s="1" t="s">
        <v>439</v>
      </c>
      <c r="AP41" s="2" t="s">
        <v>559</v>
      </c>
      <c r="AU41" s="7" t="s">
        <v>440</v>
      </c>
      <c r="AV41" s="7" t="s">
        <v>388</v>
      </c>
      <c r="AW41" s="8" t="s">
        <v>403</v>
      </c>
      <c r="AX41" s="7" t="s">
        <v>459</v>
      </c>
      <c r="AY41" s="7" t="s">
        <v>164</v>
      </c>
    </row>
    <row r="42" spans="12:51" x14ac:dyDescent="0.5">
      <c r="L42" s="1" t="s">
        <v>491</v>
      </c>
      <c r="M42" s="1" t="s">
        <v>319</v>
      </c>
      <c r="N42" s="1" t="s">
        <v>178</v>
      </c>
      <c r="P42" s="1" t="s">
        <v>300</v>
      </c>
      <c r="Q42" s="1" t="s">
        <v>534</v>
      </c>
      <c r="S42" s="1" t="s">
        <v>491</v>
      </c>
      <c r="T42" s="1" t="s">
        <v>319</v>
      </c>
      <c r="U42" s="1" t="s">
        <v>178</v>
      </c>
      <c r="W42" s="1" t="s">
        <v>300</v>
      </c>
      <c r="X42" s="1" t="s">
        <v>534</v>
      </c>
      <c r="Y42" s="1" t="s">
        <v>157</v>
      </c>
      <c r="AA42" s="1" t="s">
        <v>560</v>
      </c>
      <c r="AB42" s="1" t="s">
        <v>496</v>
      </c>
      <c r="AP42" s="2" t="s">
        <v>513</v>
      </c>
      <c r="AU42" s="7" t="s">
        <v>441</v>
      </c>
      <c r="AV42" s="5" t="s">
        <v>350</v>
      </c>
      <c r="AW42" s="7" t="s">
        <v>169</v>
      </c>
      <c r="AX42" s="8" t="s">
        <v>335</v>
      </c>
      <c r="AY42" s="7" t="s">
        <v>75</v>
      </c>
    </row>
    <row r="43" spans="12:51" x14ac:dyDescent="0.5">
      <c r="L43" s="1" t="s">
        <v>561</v>
      </c>
      <c r="M43" s="1" t="s">
        <v>471</v>
      </c>
      <c r="N43" s="1" t="s">
        <v>393</v>
      </c>
      <c r="P43" s="1" t="s">
        <v>262</v>
      </c>
      <c r="Q43" s="1" t="s">
        <v>417</v>
      </c>
      <c r="S43" s="1" t="s">
        <v>561</v>
      </c>
      <c r="U43" s="1" t="s">
        <v>393</v>
      </c>
      <c r="W43" s="1" t="s">
        <v>262</v>
      </c>
      <c r="X43" s="1" t="s">
        <v>417</v>
      </c>
      <c r="Y43" s="1" t="s">
        <v>219</v>
      </c>
      <c r="AA43" s="1" t="s">
        <v>562</v>
      </c>
      <c r="AB43" s="1" t="s">
        <v>563</v>
      </c>
      <c r="AP43" s="2" t="s">
        <v>564</v>
      </c>
      <c r="AU43" s="7" t="s">
        <v>461</v>
      </c>
      <c r="AV43" s="7" t="s">
        <v>413</v>
      </c>
      <c r="AW43" s="8" t="s">
        <v>524</v>
      </c>
      <c r="AX43" s="8" t="s">
        <v>160</v>
      </c>
      <c r="AY43" s="7" t="s">
        <v>417</v>
      </c>
    </row>
    <row r="44" spans="12:51" x14ac:dyDescent="0.5">
      <c r="L44" s="1" t="s">
        <v>470</v>
      </c>
      <c r="N44" s="1" t="s">
        <v>586</v>
      </c>
      <c r="P44" s="1" t="s">
        <v>492</v>
      </c>
      <c r="Q44" s="1" t="s">
        <v>565</v>
      </c>
      <c r="S44" s="1" t="s">
        <v>470</v>
      </c>
      <c r="W44" s="1" t="s">
        <v>492</v>
      </c>
      <c r="X44" s="1" t="s">
        <v>565</v>
      </c>
      <c r="Y44" s="1" t="s">
        <v>466</v>
      </c>
      <c r="AA44" s="1" t="s">
        <v>566</v>
      </c>
      <c r="AB44" s="1" t="s">
        <v>64</v>
      </c>
      <c r="AP44" s="2" t="s">
        <v>470</v>
      </c>
      <c r="AU44" s="7" t="s">
        <v>439</v>
      </c>
      <c r="AV44" s="8" t="s">
        <v>346</v>
      </c>
      <c r="AW44" s="7" t="s">
        <v>359</v>
      </c>
      <c r="AX44" s="8" t="s">
        <v>355</v>
      </c>
      <c r="AY44" s="7" t="s">
        <v>225</v>
      </c>
    </row>
    <row r="45" spans="12:51" x14ac:dyDescent="0.5">
      <c r="L45" s="1" t="s">
        <v>567</v>
      </c>
      <c r="P45" s="1" t="s">
        <v>502</v>
      </c>
      <c r="Q45" s="1" t="s">
        <v>565</v>
      </c>
      <c r="S45" s="1" t="s">
        <v>567</v>
      </c>
      <c r="W45" s="1" t="s">
        <v>502</v>
      </c>
      <c r="X45" s="1" t="s">
        <v>565</v>
      </c>
      <c r="Y45" s="1" t="s">
        <v>159</v>
      </c>
      <c r="AA45" s="1" t="s">
        <v>568</v>
      </c>
      <c r="AB45" s="1" t="s">
        <v>466</v>
      </c>
      <c r="AP45" s="2" t="s">
        <v>432</v>
      </c>
      <c r="AU45" s="7" t="s">
        <v>523</v>
      </c>
      <c r="AV45" s="6" t="s">
        <v>332</v>
      </c>
      <c r="AW45" s="8" t="s">
        <v>536</v>
      </c>
      <c r="AX45" s="7" t="s">
        <v>330</v>
      </c>
      <c r="AY45" s="7" t="s">
        <v>248</v>
      </c>
    </row>
    <row r="46" spans="12:51" x14ac:dyDescent="0.5">
      <c r="P46" s="1" t="s">
        <v>370</v>
      </c>
      <c r="Q46" s="1" t="s">
        <v>426</v>
      </c>
      <c r="W46" s="1" t="s">
        <v>370</v>
      </c>
      <c r="X46" s="1" t="s">
        <v>426</v>
      </c>
      <c r="Y46" s="1" t="s">
        <v>569</v>
      </c>
      <c r="AA46" s="1" t="s">
        <v>333</v>
      </c>
      <c r="AB46" s="1" t="s">
        <v>161</v>
      </c>
      <c r="AP46" s="2" t="s">
        <v>393</v>
      </c>
      <c r="AU46" s="7" t="s">
        <v>471</v>
      </c>
      <c r="AV46" s="5" t="s">
        <v>431</v>
      </c>
      <c r="AW46" s="5" t="s">
        <v>171</v>
      </c>
      <c r="AX46" s="7" t="s">
        <v>395</v>
      </c>
      <c r="AY46" s="7" t="s">
        <v>170</v>
      </c>
    </row>
    <row r="47" spans="12:51" x14ac:dyDescent="0.5">
      <c r="P47" s="1" t="s">
        <v>359</v>
      </c>
      <c r="Q47" s="1" t="s">
        <v>262</v>
      </c>
      <c r="W47" s="1" t="s">
        <v>359</v>
      </c>
      <c r="X47" s="1" t="s">
        <v>262</v>
      </c>
      <c r="Y47" s="1" t="s">
        <v>570</v>
      </c>
      <c r="AA47" s="1" t="s">
        <v>166</v>
      </c>
      <c r="AB47" s="1" t="s">
        <v>571</v>
      </c>
      <c r="AP47" s="2"/>
      <c r="AU47" s="7" t="s">
        <v>489</v>
      </c>
      <c r="AV47" s="7" t="s">
        <v>338</v>
      </c>
      <c r="AW47" s="7" t="s">
        <v>472</v>
      </c>
      <c r="AX47" s="8" t="s">
        <v>356</v>
      </c>
      <c r="AY47" s="7" t="s">
        <v>407</v>
      </c>
    </row>
    <row r="48" spans="12:51" x14ac:dyDescent="0.5">
      <c r="P48" s="1" t="s">
        <v>359</v>
      </c>
      <c r="Q48" s="1" t="s">
        <v>492</v>
      </c>
      <c r="W48" s="1" t="s">
        <v>359</v>
      </c>
      <c r="X48" s="1" t="s">
        <v>492</v>
      </c>
      <c r="Y48" s="1" t="s">
        <v>572</v>
      </c>
      <c r="AA48" s="1" t="s">
        <v>437</v>
      </c>
      <c r="AB48" s="1" t="s">
        <v>180</v>
      </c>
      <c r="AU48" s="7" t="s">
        <v>535</v>
      </c>
      <c r="AV48" s="6" t="s">
        <v>162</v>
      </c>
      <c r="AW48" s="8" t="s">
        <v>545</v>
      </c>
      <c r="AX48" s="7" t="s">
        <v>385</v>
      </c>
      <c r="AY48" s="7" t="s">
        <v>439</v>
      </c>
    </row>
    <row r="49" spans="16:51" x14ac:dyDescent="0.5">
      <c r="P49" s="1" t="s">
        <v>573</v>
      </c>
      <c r="Q49" s="1" t="s">
        <v>574</v>
      </c>
      <c r="W49" s="1" t="s">
        <v>573</v>
      </c>
      <c r="X49" s="1" t="s">
        <v>574</v>
      </c>
      <c r="Y49" s="1" t="s">
        <v>266</v>
      </c>
      <c r="AA49" s="1" t="s">
        <v>459</v>
      </c>
      <c r="AB49" s="1" t="s">
        <v>179</v>
      </c>
      <c r="AU49" s="7" t="s">
        <v>247</v>
      </c>
      <c r="AV49" s="8" t="s">
        <v>347</v>
      </c>
      <c r="AW49" s="7" t="s">
        <v>471</v>
      </c>
      <c r="AX49" s="8" t="s">
        <v>465</v>
      </c>
      <c r="AY49" s="7" t="s">
        <v>267</v>
      </c>
    </row>
    <row r="50" spans="16:51" x14ac:dyDescent="0.5">
      <c r="P50" s="1" t="s">
        <v>171</v>
      </c>
      <c r="Q50" s="1" t="s">
        <v>461</v>
      </c>
      <c r="W50" s="1" t="s">
        <v>171</v>
      </c>
      <c r="X50" s="1" t="s">
        <v>461</v>
      </c>
      <c r="Y50" s="1" t="s">
        <v>389</v>
      </c>
      <c r="AA50" s="1" t="s">
        <v>251</v>
      </c>
      <c r="AB50" s="1" t="s">
        <v>491</v>
      </c>
      <c r="AU50" s="7" t="s">
        <v>491</v>
      </c>
      <c r="AV50" s="7" t="s">
        <v>453</v>
      </c>
      <c r="AW50" s="8" t="s">
        <v>535</v>
      </c>
      <c r="AX50" s="8" t="s">
        <v>350</v>
      </c>
      <c r="AY50" s="7" t="s">
        <v>67</v>
      </c>
    </row>
    <row r="51" spans="16:51" x14ac:dyDescent="0.5">
      <c r="P51" s="1" t="s">
        <v>575</v>
      </c>
      <c r="Q51" s="1" t="s">
        <v>576</v>
      </c>
      <c r="W51" s="1" t="s">
        <v>575</v>
      </c>
      <c r="X51" s="1" t="s">
        <v>576</v>
      </c>
      <c r="Y51" s="1" t="s">
        <v>577</v>
      </c>
      <c r="AA51" s="1" t="s">
        <v>465</v>
      </c>
      <c r="AB51" s="1" t="s">
        <v>513</v>
      </c>
      <c r="AU51" s="7" t="s">
        <v>470</v>
      </c>
      <c r="AV51" s="7" t="s">
        <v>71</v>
      </c>
      <c r="AW51" s="7" t="s">
        <v>174</v>
      </c>
      <c r="AX51" s="8" t="s">
        <v>425</v>
      </c>
      <c r="AY51" s="7" t="s">
        <v>520</v>
      </c>
    </row>
    <row r="52" spans="16:51" x14ac:dyDescent="0.5">
      <c r="P52" s="1" t="s">
        <v>543</v>
      </c>
      <c r="Q52" s="1" t="s">
        <v>564</v>
      </c>
      <c r="W52" s="1" t="s">
        <v>543</v>
      </c>
      <c r="X52" s="1" t="s">
        <v>564</v>
      </c>
      <c r="Y52" s="1" t="s">
        <v>513</v>
      </c>
      <c r="AA52" s="1" t="s">
        <v>419</v>
      </c>
      <c r="AB52" s="1" t="s">
        <v>578</v>
      </c>
      <c r="AU52" s="7" t="s">
        <v>533</v>
      </c>
      <c r="AV52" s="5" t="s">
        <v>412</v>
      </c>
      <c r="AW52" s="6" t="s">
        <v>247</v>
      </c>
      <c r="AX52" s="7" t="s">
        <v>372</v>
      </c>
      <c r="AY52" s="7" t="s">
        <v>541</v>
      </c>
    </row>
    <row r="53" spans="16:51" x14ac:dyDescent="0.5">
      <c r="P53" s="1" t="s">
        <v>461</v>
      </c>
      <c r="Q53" s="1" t="s">
        <v>463</v>
      </c>
      <c r="W53" s="1" t="s">
        <v>461</v>
      </c>
      <c r="X53" s="1" t="s">
        <v>463</v>
      </c>
      <c r="AA53" s="1" t="s">
        <v>579</v>
      </c>
      <c r="AB53" s="1" t="s">
        <v>580</v>
      </c>
      <c r="AU53" s="7" t="s">
        <v>361</v>
      </c>
      <c r="AV53" s="7" t="s">
        <v>468</v>
      </c>
      <c r="AW53" s="5" t="s">
        <v>470</v>
      </c>
      <c r="AX53" s="8" t="s">
        <v>482</v>
      </c>
      <c r="AY53" s="7" t="s">
        <v>64</v>
      </c>
    </row>
    <row r="54" spans="16:51" x14ac:dyDescent="0.5">
      <c r="P54" s="1" t="s">
        <v>478</v>
      </c>
      <c r="Q54" s="1" t="s">
        <v>174</v>
      </c>
      <c r="W54" s="1" t="s">
        <v>478</v>
      </c>
      <c r="X54" s="1" t="s">
        <v>174</v>
      </c>
      <c r="AA54" s="1" t="s">
        <v>581</v>
      </c>
      <c r="AB54" s="1" t="s">
        <v>174</v>
      </c>
      <c r="AU54" s="7" t="s">
        <v>177</v>
      </c>
      <c r="AV54" s="7" t="s">
        <v>384</v>
      </c>
      <c r="AW54" s="6" t="s">
        <v>501</v>
      </c>
      <c r="AX54" s="7" t="s">
        <v>347</v>
      </c>
      <c r="AY54" s="7" t="s">
        <v>471</v>
      </c>
    </row>
    <row r="55" spans="16:51" x14ac:dyDescent="0.5">
      <c r="P55" s="1" t="s">
        <v>173</v>
      </c>
      <c r="Q55" s="1" t="s">
        <v>436</v>
      </c>
      <c r="W55" s="1" t="s">
        <v>173</v>
      </c>
      <c r="X55" s="1" t="s">
        <v>436</v>
      </c>
      <c r="AA55" s="1" t="s">
        <v>472</v>
      </c>
      <c r="AB55" s="1" t="s">
        <v>582</v>
      </c>
      <c r="AU55" s="7" t="s">
        <v>319</v>
      </c>
      <c r="AV55" s="8" t="s">
        <v>485</v>
      </c>
      <c r="AW55" s="8" t="s">
        <v>508</v>
      </c>
      <c r="AX55" s="8" t="s">
        <v>293</v>
      </c>
      <c r="AY55" s="7" t="s">
        <v>247</v>
      </c>
    </row>
    <row r="56" spans="16:51" x14ac:dyDescent="0.5">
      <c r="P56" s="1" t="s">
        <v>67</v>
      </c>
      <c r="Q56" s="1" t="s">
        <v>491</v>
      </c>
      <c r="W56" s="1" t="s">
        <v>67</v>
      </c>
      <c r="X56" s="1" t="s">
        <v>491</v>
      </c>
      <c r="AA56" s="1" t="s">
        <v>583</v>
      </c>
      <c r="AB56" s="1" t="s">
        <v>178</v>
      </c>
      <c r="AU56" s="9"/>
      <c r="AV56" s="6" t="s">
        <v>396</v>
      </c>
      <c r="AW56" s="6" t="s">
        <v>499</v>
      </c>
      <c r="AX56" s="7" t="s">
        <v>500</v>
      </c>
      <c r="AY56" s="7" t="s">
        <v>470</v>
      </c>
    </row>
    <row r="57" spans="16:51" x14ac:dyDescent="0.5">
      <c r="P57" s="1" t="s">
        <v>584</v>
      </c>
      <c r="Q57" s="1" t="s">
        <v>470</v>
      </c>
      <c r="W57" s="1" t="s">
        <v>584</v>
      </c>
      <c r="X57" s="1" t="s">
        <v>470</v>
      </c>
      <c r="AA57" s="1" t="s">
        <v>433</v>
      </c>
      <c r="AB57" s="1" t="s">
        <v>346</v>
      </c>
      <c r="AV57" s="8" t="s">
        <v>466</v>
      </c>
      <c r="AW57" s="7" t="s">
        <v>178</v>
      </c>
      <c r="AX57" s="7" t="s">
        <v>224</v>
      </c>
      <c r="AY57" s="7" t="s">
        <v>416</v>
      </c>
    </row>
    <row r="58" spans="16:51" x14ac:dyDescent="0.5">
      <c r="P58" s="1" t="s">
        <v>174</v>
      </c>
      <c r="Q58" s="1" t="s">
        <v>175</v>
      </c>
      <c r="W58" s="1" t="s">
        <v>174</v>
      </c>
      <c r="X58" s="1" t="s">
        <v>175</v>
      </c>
      <c r="AA58" s="1" t="s">
        <v>585</v>
      </c>
      <c r="AB58" s="1" t="s">
        <v>586</v>
      </c>
      <c r="AV58" s="7" t="s">
        <v>419</v>
      </c>
      <c r="AW58" s="5"/>
      <c r="AX58" s="7" t="s">
        <v>296</v>
      </c>
      <c r="AY58" s="7" t="s">
        <v>499</v>
      </c>
    </row>
    <row r="59" spans="16:51" x14ac:dyDescent="0.5">
      <c r="P59" s="1" t="s">
        <v>436</v>
      </c>
      <c r="Q59" s="1" t="s">
        <v>587</v>
      </c>
      <c r="W59" s="1" t="s">
        <v>436</v>
      </c>
      <c r="X59" s="1" t="s">
        <v>587</v>
      </c>
      <c r="AA59" s="1" t="s">
        <v>588</v>
      </c>
      <c r="AB59" s="1" t="s">
        <v>589</v>
      </c>
      <c r="AU59" s="2"/>
      <c r="AV59" s="7" t="s">
        <v>486</v>
      </c>
      <c r="AW59" s="5"/>
      <c r="AX59" s="7" t="s">
        <v>164</v>
      </c>
      <c r="AY59" s="7" t="s">
        <v>393</v>
      </c>
    </row>
    <row r="60" spans="16:51" x14ac:dyDescent="0.5">
      <c r="P60" s="1" t="s">
        <v>577</v>
      </c>
      <c r="Q60" s="1" t="s">
        <v>363</v>
      </c>
      <c r="W60" s="1" t="s">
        <v>577</v>
      </c>
      <c r="X60" s="1" t="s">
        <v>363</v>
      </c>
      <c r="AA60" s="1" t="s">
        <v>590</v>
      </c>
      <c r="AB60" s="1" t="s">
        <v>591</v>
      </c>
      <c r="AV60" s="8" t="s">
        <v>473</v>
      </c>
      <c r="AW60" s="5"/>
      <c r="AX60" s="7" t="s">
        <v>75</v>
      </c>
      <c r="AY60" s="7"/>
    </row>
    <row r="61" spans="16:51" x14ac:dyDescent="0.5">
      <c r="P61" s="1" t="s">
        <v>387</v>
      </c>
      <c r="Q61" s="1" t="s">
        <v>336</v>
      </c>
      <c r="W61" s="1" t="s">
        <v>387</v>
      </c>
      <c r="X61" s="1" t="s">
        <v>336</v>
      </c>
      <c r="AA61" s="1" t="s">
        <v>224</v>
      </c>
      <c r="AB61" s="1" t="s">
        <v>592</v>
      </c>
      <c r="AV61" s="7" t="s">
        <v>383</v>
      </c>
      <c r="AW61" s="5"/>
      <c r="AX61" s="7" t="s">
        <v>417</v>
      </c>
      <c r="AY61" s="7"/>
    </row>
    <row r="62" spans="16:51" x14ac:dyDescent="0.5">
      <c r="P62" s="1" t="s">
        <v>542</v>
      </c>
      <c r="Q62" s="1" t="s">
        <v>499</v>
      </c>
      <c r="W62" s="1" t="s">
        <v>542</v>
      </c>
      <c r="X62" s="1" t="s">
        <v>499</v>
      </c>
      <c r="AA62" s="1" t="s">
        <v>173</v>
      </c>
      <c r="AB62" s="1" t="s">
        <v>593</v>
      </c>
      <c r="AV62" s="8" t="s">
        <v>403</v>
      </c>
      <c r="AW62" s="5"/>
      <c r="AX62" s="7" t="s">
        <v>225</v>
      </c>
      <c r="AY62" s="7"/>
    </row>
    <row r="63" spans="16:51" x14ac:dyDescent="0.5">
      <c r="P63" s="1" t="s">
        <v>398</v>
      </c>
      <c r="Q63" s="1" t="s">
        <v>179</v>
      </c>
      <c r="W63" s="1" t="s">
        <v>398</v>
      </c>
      <c r="X63" s="1" t="s">
        <v>179</v>
      </c>
      <c r="AA63" s="1" t="s">
        <v>594</v>
      </c>
      <c r="AU63" s="2"/>
      <c r="AV63" s="8" t="s">
        <v>426</v>
      </c>
      <c r="AW63" s="5"/>
      <c r="AX63" s="8" t="s">
        <v>248</v>
      </c>
      <c r="AY63" s="7"/>
    </row>
    <row r="64" spans="16:51" x14ac:dyDescent="0.5">
      <c r="Q64" s="1" t="s">
        <v>393</v>
      </c>
      <c r="X64" s="1" t="s">
        <v>393</v>
      </c>
      <c r="AA64" s="1" t="s">
        <v>523</v>
      </c>
      <c r="AV64" s="7" t="s">
        <v>169</v>
      </c>
      <c r="AW64" s="5"/>
      <c r="AX64" s="7" t="s">
        <v>170</v>
      </c>
      <c r="AY64" s="7"/>
    </row>
    <row r="65" spans="17:51" x14ac:dyDescent="0.5">
      <c r="Q65" s="1" t="s">
        <v>180</v>
      </c>
      <c r="X65" s="1" t="s">
        <v>180</v>
      </c>
      <c r="AA65" s="1" t="s">
        <v>569</v>
      </c>
      <c r="AV65" s="5" t="s">
        <v>483</v>
      </c>
      <c r="AW65" s="5"/>
      <c r="AX65" s="8" t="s">
        <v>407</v>
      </c>
      <c r="AY65" s="7"/>
    </row>
    <row r="66" spans="17:51" x14ac:dyDescent="0.5">
      <c r="Q66" s="1" t="s">
        <v>595</v>
      </c>
      <c r="X66" s="1" t="s">
        <v>595</v>
      </c>
      <c r="AA66" s="1" t="s">
        <v>596</v>
      </c>
      <c r="AV66" s="6" t="s">
        <v>441</v>
      </c>
      <c r="AW66" s="5"/>
      <c r="AX66" s="7" t="s">
        <v>439</v>
      </c>
      <c r="AY66" s="7"/>
    </row>
    <row r="67" spans="17:51" x14ac:dyDescent="0.5">
      <c r="AA67" s="1" t="s">
        <v>597</v>
      </c>
      <c r="AV67" s="8" t="s">
        <v>524</v>
      </c>
      <c r="AW67" s="5"/>
      <c r="AX67" s="7" t="s">
        <v>458</v>
      </c>
      <c r="AY67" s="7"/>
    </row>
    <row r="68" spans="17:51" x14ac:dyDescent="0.5">
      <c r="AA68" s="1" t="s">
        <v>518</v>
      </c>
      <c r="AV68" s="5" t="s">
        <v>370</v>
      </c>
      <c r="AW68" s="5"/>
      <c r="AX68" s="7" t="s">
        <v>267</v>
      </c>
      <c r="AY68" s="7"/>
    </row>
    <row r="69" spans="17:51" x14ac:dyDescent="0.5">
      <c r="AA69" s="1" t="s">
        <v>67</v>
      </c>
      <c r="AV69" s="7" t="s">
        <v>359</v>
      </c>
      <c r="AW69" s="5"/>
      <c r="AX69" s="7" t="s">
        <v>67</v>
      </c>
      <c r="AY69" s="7"/>
    </row>
    <row r="70" spans="17:51" x14ac:dyDescent="0.5">
      <c r="AA70" s="1" t="s">
        <v>71</v>
      </c>
      <c r="AV70" s="8" t="s">
        <v>536</v>
      </c>
      <c r="AW70" s="10"/>
      <c r="AX70" s="7" t="s">
        <v>520</v>
      </c>
      <c r="AY70" s="7"/>
    </row>
    <row r="71" spans="17:51" x14ac:dyDescent="0.5">
      <c r="AV71" s="7" t="s">
        <v>171</v>
      </c>
      <c r="AX71" s="7" t="s">
        <v>348</v>
      </c>
      <c r="AY71" s="7"/>
    </row>
    <row r="72" spans="17:51" x14ac:dyDescent="0.5">
      <c r="AV72" s="7" t="s">
        <v>472</v>
      </c>
      <c r="AX72" s="8" t="s">
        <v>541</v>
      </c>
      <c r="AY72" s="7"/>
    </row>
    <row r="73" spans="17:51" x14ac:dyDescent="0.5">
      <c r="AV73" s="8" t="s">
        <v>439</v>
      </c>
      <c r="AX73" s="7" t="s">
        <v>295</v>
      </c>
      <c r="AY73" s="7"/>
    </row>
    <row r="74" spans="17:51" x14ac:dyDescent="0.5">
      <c r="AV74" s="5" t="s">
        <v>509</v>
      </c>
      <c r="AX74" s="8" t="s">
        <v>64</v>
      </c>
      <c r="AY74" s="7"/>
    </row>
    <row r="75" spans="17:51" x14ac:dyDescent="0.5">
      <c r="AV75" s="6" t="s">
        <v>513</v>
      </c>
      <c r="AX75" s="7" t="s">
        <v>471</v>
      </c>
      <c r="AY75" s="7"/>
    </row>
    <row r="76" spans="17:51" x14ac:dyDescent="0.5">
      <c r="AV76" s="5" t="s">
        <v>516</v>
      </c>
      <c r="AX76" s="7" t="s">
        <v>489</v>
      </c>
      <c r="AY76" s="7"/>
    </row>
    <row r="77" spans="17:51" x14ac:dyDescent="0.5">
      <c r="AV77" s="8" t="s">
        <v>545</v>
      </c>
      <c r="AX77" s="8" t="s">
        <v>247</v>
      </c>
      <c r="AY77" s="7"/>
    </row>
    <row r="78" spans="17:51" x14ac:dyDescent="0.5">
      <c r="AV78" s="8" t="s">
        <v>64</v>
      </c>
      <c r="AX78" s="8" t="s">
        <v>494</v>
      </c>
      <c r="AY78" s="7"/>
    </row>
    <row r="79" spans="17:51" x14ac:dyDescent="0.5">
      <c r="AV79" s="7" t="s">
        <v>471</v>
      </c>
      <c r="AX79" s="7" t="s">
        <v>470</v>
      </c>
      <c r="AY79" s="7"/>
    </row>
    <row r="80" spans="17:51" x14ac:dyDescent="0.5">
      <c r="AV80" s="6" t="s">
        <v>521</v>
      </c>
      <c r="AX80" s="7" t="s">
        <v>416</v>
      </c>
      <c r="AY80" s="7"/>
    </row>
    <row r="81" spans="48:51" x14ac:dyDescent="0.5">
      <c r="AV81" s="8" t="s">
        <v>535</v>
      </c>
      <c r="AX81" s="8" t="s">
        <v>448</v>
      </c>
      <c r="AY81" s="8"/>
    </row>
    <row r="82" spans="48:51" x14ac:dyDescent="0.5">
      <c r="AV82" s="5" t="s">
        <v>527</v>
      </c>
      <c r="AX82" s="7" t="s">
        <v>490</v>
      </c>
      <c r="AY82" s="7"/>
    </row>
    <row r="83" spans="48:51" x14ac:dyDescent="0.5">
      <c r="AV83" s="7" t="s">
        <v>174</v>
      </c>
      <c r="AX83" s="8" t="s">
        <v>363</v>
      </c>
      <c r="AY83" s="8"/>
    </row>
    <row r="84" spans="48:51" x14ac:dyDescent="0.5">
      <c r="AV84" s="8" t="s">
        <v>533</v>
      </c>
      <c r="AX84" s="8" t="s">
        <v>336</v>
      </c>
      <c r="AY84" s="7"/>
    </row>
    <row r="85" spans="48:51" x14ac:dyDescent="0.5">
      <c r="AV85" s="5" t="s">
        <v>387</v>
      </c>
      <c r="AX85" s="7" t="s">
        <v>499</v>
      </c>
      <c r="AY85" s="7"/>
    </row>
    <row r="86" spans="48:51" x14ac:dyDescent="0.5">
      <c r="AV86" s="7" t="s">
        <v>542</v>
      </c>
      <c r="AX86" s="11" t="s">
        <v>393</v>
      </c>
      <c r="AY86" s="7"/>
    </row>
    <row r="87" spans="48:51" x14ac:dyDescent="0.5">
      <c r="AV87" s="8" t="s">
        <v>508</v>
      </c>
      <c r="AX87" s="8" t="s">
        <v>180</v>
      </c>
      <c r="AY87" s="11"/>
    </row>
    <row r="88" spans="48:51" x14ac:dyDescent="0.5">
      <c r="AV88" s="7" t="s">
        <v>178</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micro'!ComprensiónB</vt:lpstr>
      <vt:lpstr>ComprensiónB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2026-05-12T15:05:09Z</dcterms:modified>
  <cp:category/>
  <cp:contentStatus/>
</cp:coreProperties>
</file>