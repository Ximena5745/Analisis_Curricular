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7329" documentId="13_ncr:1_{D69AA465-0F16-4CD4-A28F-76D6A3A07DF5}" xr6:coauthVersionLast="47" xr6:coauthVersionMax="47" xr10:uidLastSave="{1A60E325-FED4-4C19-9B56-4BC1D3BB2E8B}"/>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'!$A$2:$I$15</definedName>
    <definedName name="_xlnm._FilterDatabase" localSheetId="3" hidden="1">'Paso 4 Estrategias mesocurricu'!$A$1:$F$72</definedName>
    <definedName name="_xlnm._FilterDatabase" localSheetId="4" hidden="1">'Paso 5 Estrategias micro'!$A$2:$Q$170</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ó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1" i="10" l="1"/>
  <c r="A156" i="10"/>
  <c r="A145" i="10"/>
  <c r="A137" i="10"/>
  <c r="A124" i="10"/>
  <c r="A120" i="10"/>
  <c r="A116" i="10"/>
  <c r="A107" i="10"/>
  <c r="A108" i="10"/>
  <c r="A103" i="10"/>
  <c r="A98" i="10"/>
  <c r="A99" i="10"/>
  <c r="A94" i="10"/>
  <c r="A90" i="10"/>
  <c r="A82" i="10"/>
  <c r="A78" i="10"/>
  <c r="A74" i="10"/>
  <c r="A70" i="10"/>
  <c r="A66" i="10"/>
  <c r="A62" i="10"/>
  <c r="A57" i="10"/>
  <c r="A53" i="10"/>
  <c r="A49" i="10"/>
  <c r="A45" i="10"/>
  <c r="A39" i="10"/>
  <c r="A35" i="10"/>
  <c r="A31" i="10"/>
  <c r="A32" i="10"/>
  <c r="A27" i="10"/>
  <c r="A23" i="10"/>
  <c r="A10" i="10"/>
  <c r="A14" i="10"/>
  <c r="A18" i="10"/>
  <c r="A6" i="10"/>
  <c r="A159" i="10" l="1"/>
  <c r="A158" i="10"/>
  <c r="A157" i="10"/>
  <c r="L155" i="10"/>
  <c r="K155" i="10"/>
  <c r="A155" i="10"/>
  <c r="M155" i="10" l="1"/>
  <c r="A154" i="10"/>
  <c r="A153" i="10"/>
  <c r="A152" i="10"/>
  <c r="L151" i="10"/>
  <c r="K151" i="10"/>
  <c r="A151" i="10"/>
  <c r="A134" i="10"/>
  <c r="A133" i="10"/>
  <c r="A132" i="10"/>
  <c r="L131" i="10"/>
  <c r="K131" i="10"/>
  <c r="A131" i="10"/>
  <c r="A139" i="10"/>
  <c r="A138" i="10"/>
  <c r="A136" i="10"/>
  <c r="L135" i="10"/>
  <c r="K135" i="10"/>
  <c r="A135" i="10"/>
  <c r="A148" i="10"/>
  <c r="A147" i="10"/>
  <c r="A146" i="10"/>
  <c r="L144" i="10"/>
  <c r="K144" i="10"/>
  <c r="A144" i="10"/>
  <c r="A122" i="10"/>
  <c r="A121" i="10"/>
  <c r="L119" i="10"/>
  <c r="K119" i="10"/>
  <c r="A119" i="10"/>
  <c r="M151" i="10" l="1"/>
  <c r="M144" i="10"/>
  <c r="M131" i="10"/>
  <c r="M135" i="10"/>
  <c r="M119" i="10"/>
  <c r="A25" i="10" l="1"/>
  <c r="A24" i="10"/>
  <c r="L22" i="10"/>
  <c r="K22" i="10"/>
  <c r="A22" i="10"/>
  <c r="A11" i="10"/>
  <c r="A15" i="10"/>
  <c r="A19" i="10"/>
  <c r="A28" i="10"/>
  <c r="A36" i="10"/>
  <c r="A40" i="10"/>
  <c r="A47" i="10"/>
  <c r="A50" i="10"/>
  <c r="A54" i="10"/>
  <c r="A59" i="10"/>
  <c r="A75" i="10"/>
  <c r="A79" i="10"/>
  <c r="A86" i="10"/>
  <c r="A87" i="10"/>
  <c r="A91" i="10"/>
  <c r="A95" i="10"/>
  <c r="A100" i="10"/>
  <c r="A113" i="10"/>
  <c r="A117" i="10"/>
  <c r="A125" i="10"/>
  <c r="A142" i="10"/>
  <c r="A143" i="10"/>
  <c r="A163" i="10"/>
  <c r="K149" i="10"/>
  <c r="J170" i="10"/>
  <c r="J169" i="10"/>
  <c r="J168" i="10"/>
  <c r="J167" i="10"/>
  <c r="D167" i="10"/>
  <c r="M22" i="10" l="1"/>
  <c r="L166" i="10"/>
  <c r="K166" i="10"/>
  <c r="L165" i="10"/>
  <c r="K165" i="10"/>
  <c r="L150" i="10"/>
  <c r="K150" i="10"/>
  <c r="L149" i="10"/>
  <c r="L160" i="10"/>
  <c r="K160" i="10"/>
  <c r="L140" i="10"/>
  <c r="K140" i="10"/>
  <c r="L127" i="10"/>
  <c r="K127" i="10"/>
  <c r="L123" i="10"/>
  <c r="K123" i="10"/>
  <c r="L115" i="10"/>
  <c r="K115" i="10"/>
  <c r="L111" i="10"/>
  <c r="K111" i="10"/>
  <c r="L106" i="10"/>
  <c r="K106" i="10"/>
  <c r="L102" i="10"/>
  <c r="K102" i="10"/>
  <c r="L97" i="10"/>
  <c r="K97" i="10"/>
  <c r="L93" i="10"/>
  <c r="K93" i="10"/>
  <c r="L89" i="10"/>
  <c r="K89" i="10"/>
  <c r="L85" i="10"/>
  <c r="K85" i="10"/>
  <c r="L81" i="10"/>
  <c r="K81" i="10"/>
  <c r="L77" i="10"/>
  <c r="K77" i="10"/>
  <c r="L73" i="10"/>
  <c r="K73" i="10"/>
  <c r="L69" i="10"/>
  <c r="K69" i="10"/>
  <c r="L65" i="10"/>
  <c r="K65" i="10"/>
  <c r="L61" i="10"/>
  <c r="K61" i="10"/>
  <c r="L56" i="10"/>
  <c r="L52" i="10"/>
  <c r="L48" i="10"/>
  <c r="L44" i="10"/>
  <c r="K44" i="10"/>
  <c r="K56" i="10"/>
  <c r="K52" i="10"/>
  <c r="K48" i="10"/>
  <c r="L38" i="10"/>
  <c r="L34" i="10"/>
  <c r="L30" i="10"/>
  <c r="L26" i="10"/>
  <c r="K38" i="10"/>
  <c r="K34" i="10"/>
  <c r="K30" i="10"/>
  <c r="K26" i="10"/>
  <c r="L17" i="10"/>
  <c r="L13" i="10"/>
  <c r="L9" i="10"/>
  <c r="L5" i="10"/>
  <c r="K17" i="10"/>
  <c r="K13" i="10"/>
  <c r="K9" i="10"/>
  <c r="K5" i="10"/>
  <c r="L60" i="10"/>
  <c r="K60" i="10"/>
  <c r="L43" i="10"/>
  <c r="K43" i="10"/>
  <c r="L42" i="10"/>
  <c r="K42" i="10"/>
  <c r="L21" i="10"/>
  <c r="K21" i="10"/>
  <c r="L4" i="10"/>
  <c r="K4" i="10"/>
  <c r="L3" i="10"/>
  <c r="K3" i="10"/>
  <c r="A60" i="10"/>
  <c r="A43" i="10"/>
  <c r="A42" i="10"/>
  <c r="A21" i="10"/>
  <c r="A3" i="10"/>
  <c r="A4" i="10"/>
  <c r="A164" i="10"/>
  <c r="A162" i="10"/>
  <c r="A160" i="10"/>
  <c r="A141" i="10"/>
  <c r="A140" i="10"/>
  <c r="A130" i="10"/>
  <c r="A129" i="10"/>
  <c r="A128" i="10"/>
  <c r="A127" i="10"/>
  <c r="A126" i="10"/>
  <c r="A123" i="10"/>
  <c r="A118" i="10"/>
  <c r="A115" i="10"/>
  <c r="A114" i="10"/>
  <c r="A111" i="10"/>
  <c r="A110" i="10"/>
  <c r="A109" i="10"/>
  <c r="A106" i="10"/>
  <c r="A105" i="10"/>
  <c r="A104" i="10"/>
  <c r="A102" i="10"/>
  <c r="A101" i="10"/>
  <c r="A97" i="10"/>
  <c r="A96" i="10"/>
  <c r="A93" i="10"/>
  <c r="A92" i="10"/>
  <c r="A89" i="10"/>
  <c r="A88" i="10"/>
  <c r="A85" i="10"/>
  <c r="A84" i="10"/>
  <c r="A83" i="10"/>
  <c r="A81" i="10"/>
  <c r="A80" i="10"/>
  <c r="A77" i="10"/>
  <c r="A76" i="10"/>
  <c r="A73" i="10"/>
  <c r="A72" i="10"/>
  <c r="A71" i="10"/>
  <c r="A69" i="10"/>
  <c r="A68" i="10"/>
  <c r="A67" i="10"/>
  <c r="A65" i="10"/>
  <c r="A64" i="10"/>
  <c r="A63" i="10"/>
  <c r="A61" i="10"/>
  <c r="A58" i="10"/>
  <c r="A56" i="10"/>
  <c r="A55" i="10"/>
  <c r="A52" i="10"/>
  <c r="A51" i="10"/>
  <c r="A48" i="10"/>
  <c r="A46" i="10"/>
  <c r="A44" i="10"/>
  <c r="A41" i="10"/>
  <c r="A38" i="10"/>
  <c r="A37" i="10"/>
  <c r="A34" i="10"/>
  <c r="A33" i="10"/>
  <c r="A30" i="10"/>
  <c r="A29" i="10"/>
  <c r="A26" i="10"/>
  <c r="A20" i="10"/>
  <c r="A17" i="10"/>
  <c r="A16" i="10"/>
  <c r="A13" i="10"/>
  <c r="A12" i="10"/>
  <c r="A9" i="10"/>
  <c r="A7" i="10"/>
  <c r="A8" i="10"/>
  <c r="A5" i="10"/>
  <c r="M5" i="10" l="1"/>
  <c r="M60" i="10"/>
  <c r="M13" i="10"/>
  <c r="M30" i="10"/>
  <c r="M65" i="10"/>
  <c r="M77" i="10"/>
  <c r="M93" i="10"/>
  <c r="M102" i="10"/>
  <c r="M111" i="10"/>
  <c r="M115" i="10"/>
  <c r="M123" i="10"/>
  <c r="M34" i="10"/>
  <c r="M26" i="10"/>
  <c r="M56" i="10"/>
  <c r="M160" i="10"/>
  <c r="M149" i="10"/>
  <c r="M9" i="10"/>
  <c r="M44" i="10"/>
  <c r="M61" i="10"/>
  <c r="M73" i="10"/>
  <c r="M89" i="10"/>
  <c r="M150" i="10"/>
  <c r="M69" i="10"/>
  <c r="M85" i="10"/>
  <c r="M127" i="10"/>
  <c r="M140" i="10"/>
  <c r="M166" i="10"/>
  <c r="M17" i="10"/>
  <c r="M48" i="10"/>
  <c r="M52" i="10"/>
  <c r="M106" i="10"/>
  <c r="M38" i="10"/>
  <c r="M81" i="10"/>
  <c r="M97" i="10"/>
  <c r="M165" i="10"/>
  <c r="M42" i="10" l="1"/>
  <c r="M43" i="10"/>
  <c r="M21"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<sst xmlns="http://schemas.openxmlformats.org/spreadsheetml/2006/main" count="2568" uniqueCount="827">
  <si>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</si>
  <si>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</si>
  <si>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</si>
  <si>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</si>
  <si>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</si>
  <si>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</si>
  <si>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</si>
  <si>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</si>
  <si>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</si>
  <si>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</si>
  <si>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</si>
  <si>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</si>
  <si>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</si>
  <si>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</si>
  <si>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</si>
  <si>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</si>
  <si>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</si>
  <si>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</si>
  <si>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Licenciatura en Educación Básica Primaria</t>
  </si>
  <si>
    <t>Virtual</t>
  </si>
  <si>
    <t>El Licenciado o Licenciada en Educación Básica Primaria del Politécnico Grancolombiano integra fundamentos pedagógicos y curriculares con saberes disciplinares en matemáticas, ciencias naturales, lengua castellana y literatura, ciencias sociales e inglés, para orientar procesos de enseñanza y aprendizaje en la escuela primaria y en escenarios educativos comunitarios. Diseña, implementa y evalúa estrategias pedagógicas contextualizadas que atienden la diversidad cultural, territorial y social, incorpora tecnologías digitales y recursos didácticos y participa en proyectos pedagógicos e iniciativas de innovación, con el fin de generar aprendizajes significativos y propiciar la participación activa de los estudiantes. Actúa con inclusión y disposición colaborativa, articula su labor con estudiantes, familias, colegas y comunidades, y contribuye al fortalecimiento de la educación básica en contextos escolares y comunitarios.</t>
  </si>
  <si>
    <t>El Licenciado o Licenciada en Educación Básica Primaria del Politécnico Grancolombiano se desempeña como docente en instituciones oficiales y privadas de la básica primaria, orientando las áreas obligatorias y fundamentales del nivel en coherencia con el currículo y las características de los grupos. Diseña, implementa y evalúa estrategias pedagógicas adaptadas a la diversidad cultural, territorial y social, integra tecnologías digitales como recurso didáctico y participa en proyectos pedagógicos e iniciativas de innovación que desarrollan procesos de enseñanza y aprendizaje. Asimismo, ejerce funciones docentes en programas de inclusión dirigidos a estudiantes con discapacidad, talentos excepcionales, en extraedad o en riesgo de deserción, y en instituciones que desarrollan modelos educativos flexibles. Su campo ocupacional también abarca la educación no formal y comunitaria, donde interviene en iniciativas orientadas al fortalecimiento de la educación básica en contextos escolares y sociales.</t>
  </si>
  <si>
    <t>discursos contemporáneos sobre infancias y enfoques pedagógicos, curriculares y evaluativos</t>
  </si>
  <si>
    <t>fundamentar la planeación de procesos de enseñanza en escenarios escolares y comunitarios</t>
  </si>
  <si>
    <t>aplicando marcos conceptuales en la organización del currículo de la educación básica primaria</t>
  </si>
  <si>
    <t>Docencia y acompañamiento pedagógico: Docente de educación básica primaria/Docente de Matemáticas, Ciencias Naturales, Lengua Castellana, Ciencias Sociales e Inglés en básica primaria / Tutor/a en programas de nivelación y modelos educativos flexibles (Escuela Nueva, Aceleración del Aprendizaje, Postprimaria, Caminar en Secundaria)/Acompañante pedagógico en procesos de permanencia y éxito escolar de niñas y niños en extraedad o en riesgo de deserción/Diseño curricular y desarrollo de contenidos educativos: Diseñador/a de planes de área, proyectos de aula y unidades didácticas para educación básica primaria/Elaborador/a de guías, materiales impresos y recursos digitales con pertinencia cultural y territorial/Productor/a de contenidos digitales y objetos virtuales de aprendizaje/Diseñador/a de materiales inclusivos y accesibles para población con discapacidad o talentos excepcionales/Generador/a de estrategias didácticas interdisciplinarias para fortalecer la formación integral/Gestión y coordinación de proyectos educativos: Coordinador/a de proyectos escolares y comunitarios en educación básica primaria/Gestor/a de programas de alfabetización y formación básica en contextos urbanos y rurales/Coordinador/a de programas de educación inclusiva y atención a la diversidad/Líder de proyectos de innovación pedagógica y mediación con tecnologías educativas/Coordinador/a de programas en contextos rurales, étnicos o de frontera/Asesoría y formación docente: Asesor/a pedagógico/a en educación básica primaria/Formador/a de docentes en estrategias didácticas y enfoques inclusivos/Capacitador/a en uso pedagógico de tecnologías digitales/Consultor/a en procesos de flexibilización y adecuación curricular/Acompañante en la reflexión y mejora de prácticas pedagógicas/Articulación escuela–familia–comunidad: Facilitador/a de procesos de escuela de familias/Gestor/a de iniciativas de participación familiar y comunitaria en la educación básica primaria/Coordinador/a de proyectos de articulación escuela–comunidad/Mediador/a en situaciones de conflicto escolar y comunitario/Educador/a en escuelas comunitarias, casas de cultura y centros culturales/Gestor/a pedagógico/a en programas de inclusión, participación y formación ciudadana/Producción y gestión de medios educativos: Diseñador/a y productor/a de materiales pedagógicos impresos, audiovisuales y digitales/Gestor/a de plataformas y entornos virtuales de aprendizaje/Evaluador/a de recursos educativos con criterios de calidad, accesibilidad y pertinencia.</t>
  </si>
  <si>
    <t>Diseña, desarrolla y evalúa experiencias de enseñanza y aprendizaje en matemáticas, ciencias naturales, lengua castellana, ciencias sociales e inglés, en coherencia con el plan de estudios/Implementa procesos de evaluación diagnóstica, formativa y de cierre para valorar avances y orientar acciones de mejora en los estudiantes/Adapta las prácticas pedagógicas a la diversidad cultural, social y emocional de los grupos, incorporando ajustes razonables y enfoques diferenciados/Participa en la formulación, ejecución y seguimiento de proyectos pedagógicos y comunitarios que articulan currículo y contexto social/Gestiona recursos básicos y coordina acciones con directivos, docentes, familias y comunidades para garantizar su pertinencia/Comparte y orienta estrategias didácticas inclusivas en el marco de proyectos institucionales de educación primaria/Colabora en procesos de actualización y formación docente en el uso pedagógico de tecnologías digitales y recursos didácticos/Apoya la elaboración y socialización de materiales pedagógicos que fortalezcan la innovación en las prácticas educativas/Organiza y dinamiza espacios de encuentro entre escuela, familias y comunidad para fortalecer vínculos en torno a la formación integral/Presenta avances académicos y de convivencia a las familias mediante medios institucionales/Coordina actividades de participación comunitaria y construcción de ciudadanía desde la escuela/Media en conflictos entre estudiantes o miembros de la comunidad educativa, promoviendo la resolución pacífica/Realiza seguimiento a las trayectorias escolares y propone rutas de acompañamiento mediante talleres, diálogos y retroalimentación con familias y estudiantes/Diseña y produce materiales pedagógicos impresos, digitales, audiovisuales e interactivos para fortalecer aprendizajes/Utiliza y evalúa recursos educativos digitales y físicos de acuerdo con su pertinencia y accesibilidad/Sistematiza experiencias pedagógicas y organiza bancos de recursos para apoyar el trabajo docente y el aprendizaje autónomo de los estudiantes/Implementa procesos de enseñanza en espacios comunitarios como escuelas, bibliotecas, casas de cultura y centros comunitarios/Desarrolla programas de alfabetización y nivelación para niñas, niños y jóvenes en extraedad o fuera del sistema escolar/Adapta propuestas pedagógicas a contextos rurales, urbanos, étnicos y de frontera, garantizando inclusión y pertinencia/Colabora en proyectos de organizaciones sociales orientados a la inclusión y al bienestar de la infancia.</t>
  </si>
  <si>
    <t>Escuelas oficiales y privadas de básica primaria en contextos rurales y urbanos/Establecimientos con programas de inclusión (discapacidad, talentos excepcionales, extraedad, riesgo de deserción)/Instituciones que implementan modelos educativos flexibles reconocidos por el MEN/Procesos de alfabetización, nivelación y acompañamiento pedagógico/Escuelas comunitarias, bibliotecas, casas de cultura y centros culturales/Proyectos sociales y comunitarios que fortalecen aprendizajes y formación ciudadana/Comunidades rurales, urbanas en vulnerabilidad y territorios afectados por conflicto armado/Pueblos y comunidades indígenas, afrocolombianas, raizales y palenqueras/Zonas multiculturales, plurilingües y de frontera/Población migrante y en situación de movilidad humana/Niñas y niños en edad de educación básica primaria, incluyendo quienes presentan trayectorias diversas (extraedad, riesgo de deserción)/Estudiantes con discapacidad y talentos excepcionales/Población en condición de pobreza y vulnerabilidad social/Población víctima del conflicto armado y desplazamiento forzado.</t>
  </si>
  <si>
    <t>El valor agregado de la Licenciatura en Educación Básica Primaria del Politécnico Grancolombiano se centra en la formación socioemocional y en diversidad cultural, territorial y lingüística, así como en el uso innovador de tecnologías y narrativas digitales como recursos para el aprendizaje. Estos elementos se ven fortalecidos por la articulación con el Centro de Investigación en Innovación Educativa (CIIE), que potencia la experiencia académica y consolida un sello distintivo orientado a la pertinencia, la inclusión y la innovación en los contextos educativos.</t>
  </si>
  <si>
    <t>estrategias pedagógicas y didácticas basadas en teorías educativas, saberes disciplinares y métodos de investigación</t>
  </si>
  <si>
    <t>estructurar procesos de enseñanza-aprendizaje en coherencia con el currículo escolar</t>
  </si>
  <si>
    <t>integrando criterios de secuenciación y evaluación según las características de los grupos de educación básica primaria</t>
  </si>
  <si>
    <t>prácticas pedagógicas inclusivas e innovadoras que atienden la diversidad cultural, territorial y social</t>
  </si>
  <si>
    <t>desarrollar aprendizajes significativos en la educación básica primaria</t>
  </si>
  <si>
    <t>aplicando estrategias ajustadas a las características y necesidades del grupo en contextos escolares y comunitarios</t>
  </si>
  <si>
    <t>entornos, recursos y procesos de aprendizaje</t>
  </si>
  <si>
    <t>implementar acciones de mejora en los procesos de enseñanza y aprendizaje</t>
  </si>
  <si>
    <t>utilizando instrumentos e indicadores establecidos en el currículo escolar</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</si>
  <si>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</si>
  <si>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</si>
  <si>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</si>
  <si>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</si>
  <si>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</si>
  <si>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</si>
  <si>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</si>
  <si>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</si>
  <si>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</si>
  <si>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</si>
  <si>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</si>
  <si>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</si>
  <si>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</si>
  <si>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</si>
  <si>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</si>
  <si>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</si>
  <si>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</si>
  <si>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</si>
  <si>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</si>
  <si>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Analizar</t>
  </si>
  <si>
    <t xml:space="preserve">Analizar discursos contemporáneos sobre infancias y enfoques pedagógicos, curriculares y evaluativos para fundamentar la planeación de procesos de enseñanza en escenarios escolares y comunitarios, aplicando marcos conceptuales en la organización del currículo de la educación básica primaria.   </t>
  </si>
  <si>
    <t>Específica</t>
  </si>
  <si>
    <t>Diseñar</t>
  </si>
  <si>
    <t xml:space="preserve">Diseñar estrategias pedagógicas y didácticas basadas en teorías educativas, saberes disciplinares y métodos de investigación para estructurar procesos de enseñanza-aprendizaje en coherencia con el currículo escolar, integrando criterios de secuenciación y evaluación según las características de los grupos de educación básica primaria.     </t>
  </si>
  <si>
    <t>Implementar</t>
  </si>
  <si>
    <t xml:space="preserve">Implementar prácticas pedagógicas inclusivas e innovadoras que atienden la diversidad cultural, territorial y social para desarrollar aprendizajes significativos en la educación básica primaria, aplicando estrategias ajustadas a las características y necesidades del grupo en contextos escolares y comunitarios.     </t>
  </si>
  <si>
    <t>Evaluar</t>
  </si>
  <si>
    <t>Evaluar entornos, recursos y procesos de aprendizaje para implementar acciones de mejora en los procesos de enseñanza y aprendizaje, utilizando instrumentos e indicadores establecidos en el currículo escolar.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</si>
  <si>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</si>
  <si>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</si>
  <si>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</si>
  <si>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</si>
  <si>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</si>
  <si>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</si>
  <si>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</si>
  <si>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</si>
  <si>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</si>
  <si>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</si>
  <si>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</si>
  <si>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</si>
  <si>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</si>
  <si>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</si>
  <si>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</si>
  <si>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</si>
  <si>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</si>
  <si>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</si>
  <si>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</si>
  <si>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</si>
  <si>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</si>
  <si>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</si>
  <si>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</si>
  <si>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discursos contemporáneos sobre infancias y prácticas pedagógicas inclusivas e innovadoras para explicar criterios de planeación curricular en la educación básica primaria considerando la diversidad cultural, territorial y social.</t>
  </si>
  <si>
    <t>ProcedimentalB</t>
  </si>
  <si>
    <t>AplicaciónB</t>
  </si>
  <si>
    <t>Aplicar</t>
  </si>
  <si>
    <t>Aplica marcos conceptuales pedagógicos y curriculares para elaborar propuestas de planeación en escenarios escolares y comunitarios.</t>
  </si>
  <si>
    <t>ActitudinalB</t>
  </si>
  <si>
    <t>EvaluaciónB</t>
  </si>
  <si>
    <t>Evalúa los referentes conceptuales y procedimentales empleados en la planeación, desarrollo y evaluación de prácticas pedagógicas en escenarios escolares y comunitarios para reconocer su pertinencia frente a las características del grupo y del contexto.</t>
  </si>
  <si>
    <t>ComprensiónB</t>
  </si>
  <si>
    <t>Explicar</t>
  </si>
  <si>
    <t>Explica teorías educativas, saberes disciplinares y métodos de investigación para fundamentar el diseño de estrategias pedagógicas en educación básica primaria.</t>
  </si>
  <si>
    <t>Diseña estrategias pedagógicas y didácticas integrando criterios de secuenciación y evaluación para estructurar procesos de enseñanza-aprendizaje coherentes con el currículo escolar.</t>
  </si>
  <si>
    <t>Aplica principios del aprendizaje significativo para diseñar estrategias pedagógicas inclusivas e innovadoras  ajustadas a las características y necesidades de los grupos escolares y comunitarios.</t>
  </si>
  <si>
    <t>Evaluar entornos, recursos y procesos de aprendizaje para implementar acciones de mejora en los procesos de enseñanza y aprendizaje, a partir del uso de instrumentos e indicadores establecidos en el currículo escolar.</t>
  </si>
  <si>
    <t>ConocimientoB</t>
  </si>
  <si>
    <t>Identificar</t>
  </si>
  <si>
    <t>Identifica los instrumentos e indicadores de evaluación definidos en el currículo escolar para seleccionar estrategias de evaluación de entornos, recursos y procesos de aprendizaje.</t>
  </si>
  <si>
    <t>Aplica instrumentos e indicadores de evaluación curricular para proponer acciones de mejora en los procesos de enseñanza y aprendizaje.</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</si>
  <si>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</si>
  <si>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</si>
  <si>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</si>
  <si>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</si>
  <si>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</si>
  <si>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</si>
  <si>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</si>
  <si>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</si>
  <si>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</si>
  <si>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</si>
  <si>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</si>
  <si>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</si>
  <si>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</si>
  <si>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Clases Espejo / COIL</t>
  </si>
  <si>
    <t>Estrategia de internacionalización del currículo que utiliza plataformas digitales compartidas entre profesores y estudiantes de dos o más universidades. Permite la participación de un docente extranjero en sesiones sincrónicas, ampliando la visión académica del estudiante y fomentando la interacción con pares y docentes de diversas instituciones en proyectos colaborativos.</t>
  </si>
  <si>
    <t>Valoración de la estrategia respecto al nivel de aporte a los resultados de aprendizaje del programa.</t>
  </si>
  <si>
    <t>Formar a los estudiantes en el análisis crítico de discursos educativos y en la aplicación de marcos pedagógicos desde una perspectiva internacional, fortaleciendo el aprendizaje colaborativo y la comprensión intercultural.</t>
  </si>
  <si>
    <t>Encuesta de valoración para los estudiantes</t>
  </si>
  <si>
    <t xml:space="preserve">Número de estudiantes que participan en la estrategia. </t>
  </si>
  <si>
    <t>Listados de participación de los estudiantes</t>
  </si>
  <si>
    <t>Número de clases espejo y COIL realizadas en el periodo de tiempo establecido por el programa.</t>
  </si>
  <si>
    <t>Informe o Reporte</t>
  </si>
  <si>
    <t>Cátedras Inaugurales</t>
  </si>
  <si>
    <t>Espacios académicos en diferentes modalidades que permiten reconocer y debatir sobre tendencias actuales en el ámbito pedagógico y educativo, enriqueciendo la formación docente desde perspectivas nacionales e internacionales.</t>
  </si>
  <si>
    <t>Informar a los estudiantes sobre tendencias actuales y discursos contemporáneos en pedagogía, ampliando su comprensión del panorama educativo desde perspectivas nacionales e internacionales.</t>
  </si>
  <si>
    <t>Número de cátedras realizadas en el periodo de tiempo establecido por el programa.</t>
  </si>
  <si>
    <t>Seminario y Diplomado Internacional</t>
  </si>
  <si>
    <t>Procesos de formación especializada con enfoque internacional que abordan temáticas relevantes para la educación contemporánea, fortaleciendo el perfil profesional del estudiante como educador global y actualizado.</t>
  </si>
  <si>
    <t>Formar a los estudiantes en la fundamentación teórica y práctica de marcos pedagógicos y curriculares con un enfoque global, promoviendo la aplicación de experiencias comparadas en sus propuestas educativas.</t>
  </si>
  <si>
    <t>Encuesta de valoración para los estudiantes y docentes</t>
  </si>
  <si>
    <t xml:space="preserve">Número de estudiantes y profesores que participan en la estrategia. </t>
  </si>
  <si>
    <t>Número de seminarios y diplomados desarrollados en el periodo de tiempo establecido por el programa.</t>
  </si>
  <si>
    <t>Conversaciones con la Escuela</t>
  </si>
  <si>
    <t>Ciclo de conferencias con actores del sistema educativo (docentes, directivos, investigadores) que propicia la reflexión sobre la práctica pedagógica y la identidad docente. Promueve el pensamiento crítico y el diálogo con las realidades escolares.</t>
  </si>
  <si>
    <t>Formar a los estudiantes en la reflexión crítica sobre la práctica pedagógica y la identidad docente mediante el diálogo con actores del sistema educativo, construyendo aprendizajes colectivos desde las realidades escolares.</t>
  </si>
  <si>
    <t>Número de conversaciones generadas en el periodo de tiempo establecido por el programa.</t>
  </si>
  <si>
    <t>Aulas Abiertas de Investigación</t>
  </si>
  <si>
    <t>Espacios de socialización de avances investigativos de los estudiantes con retroalimentación de docentes y pares. Favorecen el diálogo académico, la mejora continua y el fortalecimiento de la escritura investigativa.</t>
  </si>
  <si>
    <t>Formar a los estudiantes en competencias investigativas y de escritura académica mediante la presentación y discusión de avances de investigación con docentes y pares.</t>
  </si>
  <si>
    <t>Número de aulas abiertas de investigación desarrolladas en el periodo de tiempo establecido por el programa.</t>
  </si>
  <si>
    <t>Semilleros de Investigación</t>
  </si>
  <si>
    <t>Espacios donde los estudiantes fortalecen sus saberes, desarrollan competencias investigativas, pensamiento crítico y capacidad de sistematización de experiencias pedagógicas, participando en proyectos de investigación guiados por docentes.</t>
  </si>
  <si>
    <t>Formar a los estudiantes en la profundización de temáticas específicas, enseñándoles herramientas investigativas y guiándolos en proyectos de investigación con orientación formativa.</t>
  </si>
  <si>
    <t>Número de estudiantes del programa que participan en los semilleros de investigación.</t>
  </si>
  <si>
    <t>Número de veces que se aplicó la estrategia en los periodos que determine el programa.</t>
  </si>
  <si>
    <t>Jornadas de Investigación de Pregrado</t>
  </si>
  <si>
    <t>Espacio académico para socialización de proyectos de investigación desarrollados por estudiantes, fomentando la cultura investigativa, el pensamiento científico y la sistematización de experiencias pedagógicas.</t>
  </si>
  <si>
    <t>Formar y ayudar a decidir a los estudiantes en la divulgación académica de sus proyectos de investigación, valorando críticamente sus trabajos y orientando acciones de mejora.</t>
  </si>
  <si>
    <t>Número de estudiantes del programa que participan en las jornadas de investigación.</t>
  </si>
  <si>
    <t>Número de jornadas de investigación desarrolladas en el periodo de tiempo establecido por el programa.</t>
  </si>
  <si>
    <t>Congreso Internacional de Investigación en Innovación Educativa</t>
  </si>
  <si>
    <t>Evento académico que reúne investigadores, docentes y estudiantes para compartir avances en innovación educativa. Incluye seminarios, simposios y conferencias, fortaleciendo la vinculación con redes académicas y la capacidad propositiva de los estudiantes.</t>
  </si>
  <si>
    <t>Informar a los estudiantes sobre avances y tendencias en innovación educativa, generando espacios de diálogo con expertos y promoviendo la aplicación de enfoques innovadores.</t>
  </si>
  <si>
    <t>Número de estudiantes y docentes del programa que participan en la estrategia.</t>
  </si>
  <si>
    <t>Centro de Investigación e Innovación Educativa (CIIE)</t>
  </si>
  <si>
    <t>Instancia que articula la investigación en educación con los programas académicos, promoviendo proyectos, redes y publicaciones que vinculan a estudiantes y docentes en procesos de innovación pedagógica y producción de conocimiento.</t>
  </si>
  <si>
    <t>Formar a los estudiantes en investigación aplicada e innovación pedagógica. La retroalimentación se da en la orientación de proyectos y en la construcción de propuestas publicables.</t>
  </si>
  <si>
    <t>Número de estudiantes del programa que participan en la estrategia.</t>
  </si>
  <si>
    <t>Listados de participación del programa en redes</t>
  </si>
  <si>
    <t>Eventos de Apertura de Prácticas</t>
  </si>
  <si>
    <t>Encuentros, charlas y talleres que acompañan la inmersión en contextos escolares. Preparan al estudiante para la práctica pedagógica, fortaleciendo habilidades investigativas y comprensión del rol docente y del sistema educativo.</t>
  </si>
  <si>
    <t>Prevenir dificultades en la inmersión de los estudiantes en contextos escolares, brindándoles orientaciones claras sobre el rol docente. La retroalimentación se centra en la preparación mediante talleres y charlas previas a la práctica.</t>
  </si>
  <si>
    <t>Expediciones Pedagógicas</t>
  </si>
  <si>
    <t>Actividades de inmersión en contextos educativos diversos (rurales, urbanos, étnicos) que permiten observar, dialogar y reflexionar sobre prácticas pedagógicas. Promueven una educación situada y pertinente.</t>
  </si>
  <si>
    <t>Formar a los estudiantes en la comprensión situada de la educación a través de la observación y el análisis de contextos rurales, urbanos y étnicos. La retroalimentación se realiza en espacios de reflexión sobre la pertinencia de las prácticas pedagógicas observadas.</t>
  </si>
  <si>
    <t>Número de estudiantes del programa que participan en las expediciones pedagógicas.</t>
  </si>
  <si>
    <t>Programa “A la Pizarra” – Poli Radio</t>
  </si>
  <si>
    <t>Permite a los estudiantes producir y difundir contenidos radiales con enfoque educativo, social y cultural. Los contenidos se transmiten a través de POLI RADIO, emisora institucional y miembro de la RRUC. Fortalece competencias comunicativas y creativas, y permite compartir ideas y experiencias con la comunidad educativa y público general.</t>
  </si>
  <si>
    <t>Formar e informar a los estudiantes en competencias comunicativas y reflexivas mediante la producción radial con enfoque educativo, favoreciendo la difusión de contenidos sociales y culturales.</t>
  </si>
  <si>
    <t>Número de programas emitidos en un semestre o año académico.</t>
  </si>
  <si>
    <t>Centro de Recursos para la Escritura Académica (CREA)</t>
  </si>
  <si>
    <t>Fortalece competencias comunicativas, lectoescritoras y de producción académica. Brinda tutorías, asesorías y talleres para mejorar la calidad de los trabajos escritos e investigativos.</t>
  </si>
  <si>
    <t>Formar a los estudiantes en habilidades de escritura académica y argumentativa. La retroalimentación se da a través de tutorías y asesorías personalizadas que fortalecen la calidad de los trabajos escritos.</t>
  </si>
  <si>
    <t>Vinculación con Redes Académicas</t>
  </si>
  <si>
    <t>Estrategia orientada al fortalecimiento académico e investigativo mediante la articulación con la Asociación Colombiana de Facultades de Educación (ASCOFADE). Esta vinculación posibilita la cooperación interinstitucional, el desarrollo de proyectos colaborativos, la socialización de resultados y el acceso a escenarios de debate y reflexión académica que enriquecen la formación de estudiantes y docentes, al tiempo que amplían la proyección e impacto del programa en el campo educativo.</t>
  </si>
  <si>
    <t>Informar y formar a los estudiantes sobre políticas, debates y proyectos de alcance nacional, para fomentar su participación y actualización en el campo profesional y académico.</t>
  </si>
  <si>
    <t>Número de alianzas activas y redes de colaboración establecidas por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</si>
  <si>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</si>
  <si>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</si>
  <si>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</si>
  <si>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</si>
  <si>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</si>
  <si>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</si>
  <si>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</si>
  <si>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</si>
  <si>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</si>
  <si>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</si>
  <si>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</si>
  <si>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</si>
  <si>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</si>
  <si>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</si>
  <si>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</si>
  <si>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</si>
  <si>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</si>
  <si>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</si>
  <si>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</si>
  <si>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</si>
  <si>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</si>
  <si>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</si>
  <si>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</si>
  <si>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</si>
  <si>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</si>
  <si>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</si>
  <si>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</si>
  <si>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</si>
  <si>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</si>
  <si>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</si>
  <si>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</si>
  <si>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</si>
  <si>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</si>
  <si>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</si>
  <si>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</si>
  <si>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</si>
  <si>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Encuentros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</si>
  <si>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</si>
  <si>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</si>
  <si>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</si>
  <si>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</si>
  <si>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</si>
  <si>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</si>
  <si>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</si>
  <si>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Taller: La Experiencia Emocional y Sensible</t>
  </si>
  <si>
    <t>Analiza las orientaciones pedagógicas de la educación artística, experiencias emocionales y sensibles, para aplicar sus principios en estrategias que vinculen el desarrollo emocional de los niños y las niñas.</t>
  </si>
  <si>
    <t>1. Sensibilidad y cultivo de las emociones
2. Generalidad de las orientaciones pedagógicas desde el arte
3. Experiencias exitosas emocionales y sensibles
4. Diseño e implementación de experiencias emocionales y sensibles para básica primaria</t>
  </si>
  <si>
    <t>Trabajo directo:
Encuentros sincrónicos, chat sincrónico, mensajería interna, foros generales, anuncios.
Trabajo independiente: 
Lecturas fundamentales y complementarias
Anuncios
Foros
Actividades de refuerzo y recursos del módulo</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</si>
  <si>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</si>
  <si>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Taller: El Maestro y la Subjetividad</t>
  </si>
  <si>
    <t>Analiza las dimensiones afectivas y subjetivas que inciden en la construcción de la identidad docente, para proponer estrategias de cuidado de sí y de los otros en contextos educativos.</t>
  </si>
  <si>
    <t>1. Lo afectivo y las emociones en los procesos socializadores de las infancias.
2. Las relaciones afectivas y las expresiones emocionales.
3. Valoración cultural de las emociones.
4. Importancia de las emociones en el cuidado de sí y de los otros.</t>
  </si>
  <si>
    <t>El Desarrollo Intelectual y el Aprendizaje</t>
  </si>
  <si>
    <t>Analiza las principales teorías del desarrollo cognitivo, lingüístico, social y emocional, para explicar su relación con los procesos de desarrollo y  el aprendizaje en la infancia.</t>
  </si>
  <si>
    <t>T</t>
  </si>
  <si>
    <t xml:space="preserve">1. Concepciones del desarrollo.
2. Desarrollo cognitivo.
3. Adquisición del lenguaje y desarrollo social.
4. Desarrollo emocional y moral. </t>
  </si>
  <si>
    <t>Trabajo directo:
Encuentros sincrónicos, chat sincrónico, mensajería interna, foros generales, anuncios, taller aprendizaje virtual.
Trabajo independiente: 
Lecturas fundamentales y complementarias
Anuncios
Foros
Actividades de refuerzo y recursos del módulo</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</si>
  <si>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</si>
  <si>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 xml:space="preserve">Corrientes Pedagógicas </t>
  </si>
  <si>
    <t>Identifica las corrientes pedagógicas clásicas y críticas, para evaluar su aplicabilidad en contextos escolares y comunitarios.</t>
  </si>
  <si>
    <t>1. Acercamiento a corrientes pedagógicas y pedagogía conductista.   
2. Pedagogía cognitiva. 
3. Pedagogía constructivista. 
4. Teoría humanista y pedagogía de la liberación o crítica.</t>
  </si>
  <si>
    <t>Trabajo directo: 
Encuentros sincrónicos 
Mensajería interna 
Anuncios
Trabajo independiente: 
Lecturas fundamentales y complementarias 
Recursos de apoyo
Trabajo colaborativo   
Foros de discusión grupal</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</si>
  <si>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</si>
  <si>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</si>
  <si>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</si>
  <si>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Currículo y Evaluación</t>
  </si>
  <si>
    <t>Analiza los fundamentos del currículo y la evaluación, para diseñar una propuesta para el seguimiento formativo de los procesos de enseñanza y aprendizaje en contextos escolares.</t>
  </si>
  <si>
    <t>1. Generalidades curriculares. 
2. Diseños curriculares y tendencias emergentes. 
3. Evaluación: concepciones, teorías y abordaje histórico. 
4. Implicaciones de la evaluación en el proceso educativo.</t>
  </si>
  <si>
    <t xml:space="preserve">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</si>
  <si>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Fundamentos del Pensamiento Matemático</t>
  </si>
  <si>
    <t>Organiza actividades de enseñanza-aprendizaje basadas en los referentes curriculares de matemáticas, para aplicar los principios del pensamiento numérico, variacional y algebraico en contextos de la educación básica primaria.</t>
  </si>
  <si>
    <t>1. Reconocimiento del currículo colombiano de matemáticas y su relación con el desarrollo del pensamiento matemático.
2. El pensamiento numérico y los sistemas numéricos como campo complejo y fundamental en la enseñanza-aprendizaje de las matemáticas.
3. El pensamiento variacional y los sistemas algebraico como campo complejo y fundamental en la enseñanza-aprendizaje de las matemáticas.
4. Correspondencia del estudio de los procesos generales del pensamiento matemático con las demandas de la sociedad actual y de la ley.</t>
  </si>
  <si>
    <t>Taller: Cuerpo y Movimiento</t>
  </si>
  <si>
    <t>Estructura una propuesta de secuencia didáctica sobre cuerpo y movimiento, para aplicar principios pedagógicos que articulen la diversidad cultural y las experiencias expresivas en el aprendizaje corporal de los niños y niñas.</t>
  </si>
  <si>
    <t>1. Cuerpo y movimiento como dimensiones de la experiencia humana.
2. Diferencias culturales respecto a la experiencia corporal y el movimiento.
3. Diseño de secuencias didácticas pertinentes de acuerdo con los contextos.
4. Implementación de secuencias didácticas y resignificación de las nociones cuerpo y movimiento.</t>
  </si>
  <si>
    <t>Trabajo directo:
Encuentros sincrónicos, chat sincrónico, mensajería interna, foros generales, anuncios, taller de aprendizaje virtual.
Trabajo independiente: 
Lecturas fundamentales y complementarias
Anuncios
Foros
Actividades de refuerzo y recursos del módulo</t>
  </si>
  <si>
    <t>Aprendizaje Escolar y Formación de Habilidades Intelectuales</t>
  </si>
  <si>
    <t>Analiza las relaciones entre los contextos familiares, escolares y comunitarios, para aplicar estrategias de seguimiento al desarrollo y aprendizaje infantil en escenarios educativos.</t>
  </si>
  <si>
    <t>1. Desarrollo y aprendizaje en contextos informales.
2. Desarrollo y aprendizaje en contextos formales.
3. Desarrollo metacognitivo y aprendizaje.
4. Seguimiento al desarrollo.</t>
  </si>
  <si>
    <t>Hermenéutica de la Legislación Escolar</t>
  </si>
  <si>
    <t>Interpreta la normativa y las políticas educativas colombianas, para aplicar sus principios en el análisis de situaciones escolares y procesos de gobierno institucional.</t>
  </si>
  <si>
    <t xml:space="preserve">1. Contexto histórico, político y social del derecho a la educación.
2. Organización del Estado y constitución política colombiana.
3. Legislación educativa colombiana.
4. El gobierno escolar y la cultura política escolar.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</si>
  <si>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</si>
  <si>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</si>
  <si>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</si>
  <si>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</si>
  <si>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</si>
  <si>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</si>
  <si>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</si>
  <si>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</si>
  <si>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Procesos Básicos de las Matemáticas</t>
  </si>
  <si>
    <t>Diseña propuestas de enseñanza de las matemáticas basadas en la resolución de problemas y la modelación, para aplicar los pensamientos métrico, geométrico y aleatorio en la comprensión de fenómenos del entorno.</t>
  </si>
  <si>
    <t>1. La resolución de problemas y la modelación matemática como procesos fundamentales de la actividad matemática.
2. El pensamiento métrico y el pensamiento geométrico como fundamento para el estudio general de las diferentes ciencias.
3. El pensamiento métrico y los sistemas de medida desde su naturaleza en contraste con el tratamiento ideal y articulado con los demás pensamientos de la actividad matemática.
4. Atención a las demandas de sociedad desde una educación matemática sentada en procesos complejos, en particular el análisis y tratamiento de datos como herramienta de interpretación del mundo.</t>
  </si>
  <si>
    <t>Análisis de Problemáticas Educativas</t>
  </si>
  <si>
    <t>Formula propuestas de investigación educativa sobre problemáticas de la educación básica primaria, para aplicar fundamentos teóricos y metodológicos en la comprensión de los procesos pedagógicos.</t>
  </si>
  <si>
    <t>1. Identificación y delimitación de problemáticas educativas en contextos de educación básica primaria.
2. Diseño de propuestas investigativas con criterios de pertinencia, coherencia y viabilidad.
3. Definición de enfoques teóricos y metodológicos para la formulación de proyectos.
4. Revisión y análisis crítico del estado del arte en investigación educativa.</t>
  </si>
  <si>
    <t>Modos de Cobijo y Familiaridad</t>
  </si>
  <si>
    <t>Analiza las prácticas de cuidado y las formas de socialización en la escuela, para aplicar principios pedagógicos del cuidado y la diferencia en la comprensión de los procesos de identidad y alteridad infantil.</t>
  </si>
  <si>
    <t>1. Prácticas de cuidado primario y auto reconocimiento desde una perspectiva cultural.
2. Escuela y educación como espacio de socialización: identidad y alteridad.
3. Pedagogías del tacto, del cuidado, de la diferencia.
4. Modos de cobijo, desarrollo integral y garantía de derechos.</t>
  </si>
  <si>
    <t>Historia de la Escuela</t>
  </si>
  <si>
    <t>Interpreta los procesos históricos y pedagógicos que configuraron la escuela moderna y su desarrollo en Colombia, para formular orientaciones pedagógicas que vinculen la historia escolar con los desafíos educativos actuales.</t>
  </si>
  <si>
    <t>1. Fundamentación de la escuela moderna.
2. Expansión de la escuela hegemónica.
3. La escuela, prácticas, saberes y espacio.
4. La escuela en Colombia.</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</si>
  <si>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</si>
  <si>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</si>
  <si>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</si>
  <si>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</si>
  <si>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Didácticas de la Matemática LEBP</t>
  </si>
  <si>
    <t>Propone estrategias didácticas y evaluativas para la enseñanza de las matemáticas en Educación Básica Primaria, para aplicar los principios de la modelación y la evaluación formativa desde una perspectiva crítica, cognitiva y sociocultural.</t>
  </si>
  <si>
    <t>1. Enseñanza de las matemáticas desde una perspectiva tradicional y cognitivista del aprendiz.
2. Aspectos políticos y socioculturales de la educación matemática.
3. La modelación en la enseñanza de la matemática con una mirada crítica.
4. La evaluación formativa en la enseñanza y el aprendizaje de las matemáticas.</t>
  </si>
  <si>
    <t>Práctica I: Reconocimiento del Rol de Maestra o Maestro</t>
  </si>
  <si>
    <t>Caracteriza los procesos pedagógicos y educativos observados en instituciones de educación básica primaria, para documentar las dinámicas escolares y las formas de enseñanza y aprendizaje que configuran el rol docente y su vocación.</t>
  </si>
  <si>
    <t>P</t>
  </si>
  <si>
    <t>1. Código escolar y sociogénesis.  
2. Imaginarios y representaciones de los maestros en Básica Primaria.
3. Imaginarios y representaciones de los niños y niñas.
4. Infancias y práctica educativa.</t>
  </si>
  <si>
    <t>Formativas:                                                                                     
Informe 1 - Semana 4                                                                                              
Informe 2 - Semana 8                                                               
Autoevaluación - Semana 13                                                                   
Foro - Semana 2 a 15                                                                                      
Informe final - Semana 15                                                         
Coevaluación - Semana 16
Bitácora de práctica
Autoevaluación y coevaluación del desempeño
Aplicación de instrumentos de recolección de información 
Construcción de propuestas pedagógicas – Secuencias didácticas
Socialización de experiencias en grupo
Sumativas:
Informe de práctica
Diseño y ejecución de una estrategia pedagógica o intervención
Portafolio final de evidencias
Sustentación oral de la experiencia</t>
  </si>
  <si>
    <t>Propuestas de Transformación Educativa</t>
  </si>
  <si>
    <t>Analiza información proveniente de experiencias pedagógicas, para diseñar propuestas que articulen los resultados del análisis con acciones aplicables en escenarios escolares.</t>
  </si>
  <si>
    <t xml:space="preserve">1. Formas de registro y sistematización de la práctica.
2. Formas de procesamiento y análisis de evidencias.
3. Formas de socialización y presentación de la investigación sobre la práctica.
4. Características de la práctica reflexiva del profesor que diseña y prueba. </t>
  </si>
  <si>
    <t>Pedagogías de los Modelos Educativos Flexibles</t>
  </si>
  <si>
    <t>Diseña prácticas pedagógicas innovadoras e inclusivas, para aplicar los fundamentos de los modelos educativos flexibles en contextos de diversidad y atención a poblaciones diversas.</t>
  </si>
  <si>
    <t xml:space="preserve">1. Los modelos educativos flexibles en escenarios formativos.
2. Prácticas innovadoras inclusivas en la educación.
3. Políticas de inclusión del Ministerio de Educación Nacional en Colombia.
4. Prácticas pedagógicas y tendencias educativas actuales. </t>
  </si>
  <si>
    <t>Procesos Básicos de las Ciencias Naturales</t>
  </si>
  <si>
    <t>Aplica los procesos de observación, experimentación, clasificación y medición, para diseñar ambientes de aprendizaje que favorezcan la comprensión de los fenómenos naturales en la educación básica primaria.</t>
  </si>
  <si>
    <t xml:space="preserve">1. Observación.
2. Experimentación.
3. Clasificación.
4. Medición. </t>
  </si>
  <si>
    <t>Procesos Socioculturales y Territorio en la Escuela</t>
  </si>
  <si>
    <t>Analiza las formas emergentes de espacio y de tiempo en las sociedades contemporáneas a partir de las transformaciones del Estado, la influencia de la economía de mercado y los medios de comunicación para proponer estrategias de aprendizaje contextualizadas en la educación básica primaria.</t>
  </si>
  <si>
    <t>1. Transformaciones en las relaciones de poder en la socialización política de las infancias.
2. Espacio público y privado para las infancias. 
3. Medios de comunicación y redes en los procesos de socialización infantil.
4. Formas emergentes de tiempo y espacio.</t>
  </si>
  <si>
    <t>Didácticas de las Ciencias Naturales LEBP</t>
  </si>
  <si>
    <t>Analiza los fundamentos y estrategias de enseñanza de la biología, la química y la física, para explicar cómo la didáctica de las ciencias naturales orienta la comprensión de los fenómenos del mundo natural en la educación básica primaria.</t>
  </si>
  <si>
    <t>1. Concepto, ubicación científica, objeto y finalidad de la didáctica de las ciencias naturales.
2. Didáctica de la Biología.
3. Didáctica de la Química.
4. Didáctica de la Física.</t>
  </si>
  <si>
    <t>Práctica II: Relación Educación y Familias</t>
  </si>
  <si>
    <t>Desarrolla estrategias de observación y registro en escenarios escolares, para aplicar procesos de análisis sobre las relaciones entre escuela, familia y comunidad en la construcción de ambientes educativos y protectores.</t>
  </si>
  <si>
    <t>1. Escenarios de prácticas pedagógicas y educativas.   
2. Las familias en la Educación Primaria.  
3. Prácticas pedagógicas y educativas en la Educación Primaria.
4. Ambientes educativos y protectores.</t>
  </si>
  <si>
    <t>Procesos Básicos de la Lengua Castellana y Literatura</t>
  </si>
  <si>
    <t>Analiza  las teorías lingüísticas así como el discurso literario frente al no literario, para identificar acciones educativas y pedagógicas contextualizadas en la educación básica primaria.</t>
  </si>
  <si>
    <t>1. Teorías de adquisición del lenguaje.
2. Prácticas discursivas.
3. El discurso literario.
4. Teorías literarias y sistemas de análisis literario.</t>
  </si>
  <si>
    <t>Innovación y Experimentación Pedagógica</t>
  </si>
  <si>
    <t>Diseña propuestas didácticas innovadoras, para aplicar los principios y fundamentos de la innovación educativa en la construcción de experiencias pedagógicas contextualizadas.</t>
  </si>
  <si>
    <t>1. Evolución del concepto de innovación educativa.
2. Experiencias innovadoras en la educación.
3. La innovación educativa como objeto de investigación.
4. Innovación didáctica en la escuela situada.</t>
  </si>
  <si>
    <t>La Escuela Situada</t>
  </si>
  <si>
    <t>Diseña propuestas pedagógicas contextualizadas que integran las concepciones de infancia en la ruralidad, para aplicar los principios de la Escuela Situada en la enseñanza de la educación básica primaria.</t>
  </si>
  <si>
    <t xml:space="preserve">1. Corrientes pedagógicas de la escuela situada.
2. Escuela situada, prácticas pedagógicas en la ruralidad.
3. Procesos evaluativos de la escuela situada.
4. Diseño de propuestas pedagógicas desde la escuela situada.  </t>
  </si>
  <si>
    <t>Didácticas de las​ Ciencias Sociales LEBP</t>
  </si>
  <si>
    <t>Diseña estrategias didácticas integradoras, para aplicar los fundamentos de la enseñanza de las ciencias sociales  a partir del vínculo entre historia, geografía, sociología y antropología. en contextos escolares diversos de básica primaria.</t>
  </si>
  <si>
    <t>1. Fundamentos de la didáctica de las ciencias sociales.
2. Didáctica de espacio geográfico y sus impactos en el mundo escolar.
3. Didáctica de la historia y sus propuestas para el mundo escolar.
4. Didácticas transversales y la renovación de la enseñanza de las ciencias sociales.</t>
  </si>
  <si>
    <t>Práctica III: Educación y Transformación Social</t>
  </si>
  <si>
    <t>Analiza problemáticas educativas presentes en los contextos escolares, para diseñar acciones pedagógicas que promuevan la transformación de los procesos de enseñanza y aprendizaje con pertinencia, coherencia y viabilidad.</t>
  </si>
  <si>
    <t>1. Observación y análisis de las prácticas pedagógicas y educativas en contextos de Básica Primaria.
2. Problemáticas relacionadas con la reproducción de dinámicas sociales en el ámbito escolar.
3. Construcción del marco teórico conceptual para la comprensión de las problemáticas y la formulación de las acciones pedagógicas.
4. Diseño de las acciones pedagógicas.</t>
  </si>
  <si>
    <t>Didáctica de la Lengua la Literatura y otros Procesos de Comunicación</t>
  </si>
  <si>
    <t>Diseña estrategias didácticas integradas de lenguaje y literatura, para desarrollar procesos de oralidad, lectura y escritura inicial mediante experiencias comunicativas significativas en la educación infantil.</t>
  </si>
  <si>
    <t>1. Enfoques de la enseñanza de la lengua y la literatura. 
2. Procesos de enseñanza de la oralidad y la escritura. 
3. Enseñanza de la lectura. 
4. Enseñanza de la literatura.</t>
  </si>
  <si>
    <t>Comprensión Lectora y Producción Escrita</t>
  </si>
  <si>
    <t>Diseña actividades pedagógicas de lectura y escritura, para integrar estrategias didácticas de comprensión lectora y producción textual en la infancia.</t>
  </si>
  <si>
    <t>1. El código escrito.
2. Teorías que orientan los procesos de comprensión lectora y la producción de escritura.
3. La comprensión lectora desde un enfoque discursivo.
4. La composición del texto escrito.</t>
  </si>
  <si>
    <t>Planeación y Gestión Escolar</t>
  </si>
  <si>
    <t>Analiza las dimensiones de la gestión escolar, para explicar cómo su articulación contribuye a la planeación institucional y a la participación de la comunidad educativa.</t>
  </si>
  <si>
    <t>1. Marco referencial: cuatro dinámicas que articulan las interacciones de los diferentes actores institucionales- La Gestión Administrativa y Financiera
2. La Gestión directiva
3. La Gestión pedagógica
4. Gestión de la comunidad</t>
  </si>
  <si>
    <t>Didáctica de la Lengua Extranjera Inglés LEBP</t>
  </si>
  <si>
    <t>Diseña una propuesta pedagógica de enseñanza de la lengua extranjera inglés, para aplicar los enfoques actuales de enseñanza–aprendizaje en el desarrollo de las habilidades de la lectura, escritura y oralidad de los niños y niñas.</t>
  </si>
  <si>
    <t>1. De la didáctica general a la didáctica de la lengua extranjera en Educación Básica Primaria.
2. Teorías, enfoques metodológicos y factores que influyen en la enseñanza de la lengua extranjera.
3. Enfoques metodológicos en la didáctica de una lengua extranjera y su aplicación en Educación Básica Primaria.
4. Diseño de actividades, materiales y recursos didácticos para el aprendizaje de una lengua extranjera en Educación Básica Primaria.</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</si>
  <si>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</si>
  <si>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Seminario de Profundización LEBP</t>
  </si>
  <si>
    <t>Formula una propuesta de investigación o sistematización educativa, para explicar los componentes teóricos, contextuales y metodológicos que sustentan la reflexión sobre la práctica recurriendo a criterios de pertinencia y adecuación contextual.</t>
  </si>
  <si>
    <t>1. Investigación/sistematización educativa: la reflexión sobre la práctica.
2. Pertinencia en la investigación/sistematización de la experiencia educativa.
3. Diseño y metodología de la investigación/sistematización educativa.
4. La propuesta de investigación/sistematización educativa y su planeación final.</t>
  </si>
  <si>
    <t>Diversidad e Inclusión</t>
  </si>
  <si>
    <t>Analiza referentes conceptuales, metodológicos y normativos sobre interculturalidad, género e inclusión, para aplicar principios pedagógicos que promuevan el reconocimiento y la participación de los niños y niñas en contextos educativos diversos.</t>
  </si>
  <si>
    <t>1. Diversidad cultural en Colombia: reconocimiento desde el campo educativo.
2. Infancias en Colombia: configuraciones sociales y culturales.
3. Inclusión social: una educación para todos.
4. Infancias e inclusión educativa: una apuesta hacia el reconocimiento de la diferencia.</t>
  </si>
  <si>
    <t>Tecnologías Digitales para la Educación</t>
  </si>
  <si>
    <t>Integra herramientas digitales y enfoques pedagógicos, para diseñar contenidos educativos mediados por tecnologías digitales.</t>
  </si>
  <si>
    <t xml:space="preserve">1. Conceptualización y marcos de referencia de las tecnologías digitales en la educación. 
2. Enfoques pedagógicos y tendencias educativas mediadas por tecnologías digitales. 
3. Herramientas digitales / tecnológicas para la educación. 
4. Creación de contenidos digitales para educación. </t>
  </si>
  <si>
    <t>Práctica IV: Proyecto Integrado</t>
  </si>
  <si>
    <t>Diseña proyectos pedagógicos integrados, para resolver necesidades educativas mediante la articulación de aprendizajes significativos entre diferentes áreas del conocimiento en la educación básica primaria.</t>
  </si>
  <si>
    <t>1. Implementación del proyecto integrado.
2. Registro escrito y audiovisual del desarrollo del proyecto.
3. Análisis conceptual de las acciones pedagógicas.
4. Resultados finales y conclusiones.</t>
  </si>
  <si>
    <t>Electiva I</t>
  </si>
  <si>
    <t>Electiva 2</t>
  </si>
  <si>
    <t xml:space="preserve">Seminario de Construcción de Conocimiento LEBP </t>
  </si>
  <si>
    <t>Aplica los fundamentos teóricos y metodológicos de la investigación/sistematización educativa, para explicar cómo se genera conocimiento a partir de la experiencia formativa, las estrategias de socialización y retorno de saberes a la comunidad.</t>
  </si>
  <si>
    <t>1. La ética en los procesos de sistematización de la experiencia.
2. Sistematización y reflexión sobre la acción.
3. Reconstrucción analítica y retorno de conocimiento a las comunidades educativas.
4. Socialización de resultados de investigación y sistema de ciencia en Colombia.</t>
  </si>
  <si>
    <t>Práctica V: Violencias Escolares y Legislación Educativa</t>
  </si>
  <si>
    <t>Aplica acciones pedagógicas fundamentadas en la normativa escolar, para diseñar estrategias, protocolos y ambientes seguros de prevención y atención frente a las violencias escolares en la educación básica primaria.</t>
  </si>
  <si>
    <t>1. Manifestaciones y tipos de violencia escolar en la educación básica primaria.
2. Normativa y legislación educativa vigente sobre violencias escolares en Colombia.
3. Prevención y abordaje pedagógico de las violencias escolares.
4. Construcción de ambientes escolares seguros y respetuosos en el marco de la ley.</t>
  </si>
  <si>
    <t>Cátedra Educación Básica Primaria</t>
  </si>
  <si>
    <t>Analiza los debates y enfoques contemporáneos de la educación básica primaria, para aplicar sus fundamentos en el estudio de las prácticas pedagógicas y los procesos de aprendizaje escolar.</t>
  </si>
  <si>
    <t>1. La actualidad de la Educación Básica Primaria.
2. Debates y problemas propios del campo de enseñanza en la Educación Básica Primaria.
3. El problema del género en la educación media y la escuela.
4. Diversidad, integración e inclusión.</t>
  </si>
  <si>
    <t>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</si>
  <si>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</si>
  <si>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</si>
  <si>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</si>
  <si>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</si>
  <si>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</si>
  <si>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</si>
  <si>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</si>
  <si>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</si>
  <si>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</si>
  <si>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</si>
  <si>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</si>
  <si>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</si>
  <si>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</si>
  <si>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</si>
  <si>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</si>
  <si>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</si>
  <si>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</si>
  <si>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</si>
  <si>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</si>
  <si>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</si>
  <si>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</si>
  <si>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</si>
  <si>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</si>
  <si>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</si>
  <si>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</si>
  <si>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</si>
  <si>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</si>
  <si>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</si>
  <si>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</si>
  <si>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</si>
  <si>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</si>
  <si>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</si>
  <si>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</si>
  <si>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</si>
  <si>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</si>
  <si>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</si>
  <si>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</si>
  <si>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</si>
  <si>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</si>
  <si>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</si>
  <si>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</si>
  <si>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</si>
  <si>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</si>
  <si>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</si>
  <si>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</si>
  <si>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</si>
  <si>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</si>
  <si>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</si>
  <si>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</si>
  <si>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</si>
  <si>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</si>
  <si>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</si>
  <si>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</si>
  <si>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</si>
  <si>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</si>
  <si>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</si>
  <si>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</si>
  <si>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</si>
  <si>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</si>
  <si>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</si>
  <si>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</si>
  <si>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</si>
  <si>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</si>
  <si>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</si>
  <si>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</si>
  <si>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</si>
  <si>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</si>
  <si>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</si>
  <si>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</si>
  <si>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</si>
  <si>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</si>
  <si>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</si>
  <si>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</si>
  <si>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</si>
  <si>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</si>
  <si>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</si>
  <si>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</si>
  <si>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</si>
  <si>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</si>
  <si>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</si>
  <si>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</si>
  <si>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</si>
  <si>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</si>
  <si>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</si>
  <si>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</si>
  <si>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</si>
  <si>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</si>
  <si>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</si>
  <si>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</si>
  <si>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</si>
  <si>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</si>
  <si>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</si>
  <si>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</si>
  <si>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</si>
  <si>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</si>
  <si>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</si>
  <si>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</si>
  <si>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</si>
  <si>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</si>
  <si>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</si>
  <si>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</si>
  <si>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</si>
  <si>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</si>
  <si>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</si>
  <si>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</si>
  <si>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</si>
  <si>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</si>
  <si>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</si>
  <si>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</si>
  <si>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</si>
  <si>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</si>
  <si>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</si>
  <si>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ActitudinalBAK</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</si>
  <si>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</si>
  <si>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</si>
  <si>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</si>
  <si>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</si>
  <si>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</si>
  <si>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</si>
  <si>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</si>
  <si>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</si>
  <si>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</si>
  <si>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</si>
  <si>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</si>
  <si>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</si>
  <si>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</si>
  <si>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</si>
  <si>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</si>
  <si>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</si>
  <si>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</si>
  <si>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</si>
  <si>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</si>
  <si>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Apalancar</t>
  </si>
  <si>
    <t>Codificar</t>
  </si>
  <si>
    <t>Agradecer</t>
  </si>
  <si>
    <t>Conectar</t>
  </si>
  <si>
    <t>Atender</t>
  </si>
  <si>
    <t>Copiar</t>
  </si>
  <si>
    <t>Contrastar</t>
  </si>
  <si>
    <t>Asumir</t>
  </si>
  <si>
    <t>Maximizar</t>
  </si>
  <si>
    <t>Decir</t>
  </si>
  <si>
    <t>Convertir</t>
  </si>
  <si>
    <t>Articular</t>
  </si>
  <si>
    <t>Arbitrar</t>
  </si>
  <si>
    <t>Bajar</t>
  </si>
  <si>
    <t>Colocar</t>
  </si>
  <si>
    <t>Apreciar</t>
  </si>
  <si>
    <t>Aprobar</t>
  </si>
  <si>
    <t>Ambicionar</t>
  </si>
  <si>
    <t>Considerar</t>
  </si>
  <si>
    <t>Demostrar</t>
  </si>
  <si>
    <t>Buscar similitudes</t>
  </si>
  <si>
    <t>Argumentar</t>
  </si>
  <si>
    <t>Mejorar</t>
  </si>
  <si>
    <t>Criticar</t>
  </si>
  <si>
    <t>Construir</t>
  </si>
  <si>
    <t>Aumentar</t>
  </si>
  <si>
    <t>Anhelar</t>
  </si>
  <si>
    <t>Cuestionar</t>
  </si>
  <si>
    <t>Colaborar</t>
  </si>
  <si>
    <t>Discutir</t>
  </si>
  <si>
    <t>Cambiar</t>
  </si>
  <si>
    <t>Minimizar</t>
  </si>
  <si>
    <t>Deletrear</t>
  </si>
  <si>
    <t>Dar ejemplos</t>
  </si>
  <si>
    <t>Armar</t>
  </si>
  <si>
    <t>Comenzar</t>
  </si>
  <si>
    <t>Asisitir</t>
  </si>
  <si>
    <t>Autorizar</t>
  </si>
  <si>
    <t>Defender</t>
  </si>
  <si>
    <t>Completar</t>
  </si>
  <si>
    <t>Ejemplificar</t>
  </si>
  <si>
    <t xml:space="preserve">Construir </t>
  </si>
  <si>
    <t>Centrarse</t>
  </si>
  <si>
    <t>ProcedimientosLK</t>
  </si>
  <si>
    <t>Debatir</t>
  </si>
  <si>
    <t>Determinar</t>
  </si>
  <si>
    <t>Atar</t>
  </si>
  <si>
    <t>Desmontar</t>
  </si>
  <si>
    <t>Cortar</t>
  </si>
  <si>
    <t>Correr</t>
  </si>
  <si>
    <t>Comportarse bajo condiciones</t>
  </si>
  <si>
    <t xml:space="preserve">Duplicar </t>
  </si>
  <si>
    <t>Esquematizar</t>
  </si>
  <si>
    <t>Pensar</t>
  </si>
  <si>
    <t>Describir</t>
  </si>
  <si>
    <t>Dibujar</t>
  </si>
  <si>
    <t>Computar</t>
  </si>
  <si>
    <t>Cumplir</t>
  </si>
  <si>
    <t>Coser</t>
  </si>
  <si>
    <t>Desplegar</t>
  </si>
  <si>
    <t>Elegir</t>
  </si>
  <si>
    <t>Correlacionar</t>
  </si>
  <si>
    <t>Compilar</t>
  </si>
  <si>
    <t xml:space="preserve">Planear </t>
  </si>
  <si>
    <t>Discriminar</t>
  </si>
  <si>
    <t>Concluir</t>
  </si>
  <si>
    <t>Calificar</t>
  </si>
  <si>
    <t>Bailar</t>
  </si>
  <si>
    <t>Direccionar</t>
  </si>
  <si>
    <t>Destapar</t>
  </si>
  <si>
    <t>Difundir</t>
  </si>
  <si>
    <t>Asistir</t>
  </si>
  <si>
    <t>Constatar</t>
  </si>
  <si>
    <t>Escribir</t>
  </si>
  <si>
    <t>Expresar</t>
  </si>
  <si>
    <t>Dramatizar</t>
  </si>
  <si>
    <t>Descomponer</t>
  </si>
  <si>
    <t>Proponer</t>
  </si>
  <si>
    <t>Enseñar</t>
  </si>
  <si>
    <t>Deducir</t>
  </si>
  <si>
    <t>Censurar</t>
  </si>
  <si>
    <t>Aspirar</t>
  </si>
  <si>
    <t>Discernir</t>
  </si>
  <si>
    <t>Contextualizar</t>
  </si>
  <si>
    <t>Leer</t>
  </si>
  <si>
    <t>Generalizar</t>
  </si>
  <si>
    <t>Diferenciar</t>
  </si>
  <si>
    <t>Reescribir</t>
  </si>
  <si>
    <t>Docificar</t>
  </si>
  <si>
    <t>Disponer</t>
  </si>
  <si>
    <t>Contar</t>
  </si>
  <si>
    <t>Exteriorizar</t>
  </si>
  <si>
    <t>Controlar</t>
  </si>
  <si>
    <t>Listar</t>
  </si>
  <si>
    <t>Ilustrar</t>
  </si>
  <si>
    <t>Emplear</t>
  </si>
  <si>
    <t>Distinguir</t>
  </si>
  <si>
    <t>Convencer</t>
  </si>
  <si>
    <t>Simplificar</t>
  </si>
  <si>
    <t>Duplicar</t>
  </si>
  <si>
    <t>Detectar</t>
  </si>
  <si>
    <t>Crear</t>
  </si>
  <si>
    <t>Comprobar</t>
  </si>
  <si>
    <t>Dividir</t>
  </si>
  <si>
    <t>Disipar</t>
  </si>
  <si>
    <t>Cooperar</t>
  </si>
  <si>
    <t>Aunar</t>
  </si>
  <si>
    <t>Extraer</t>
  </si>
  <si>
    <t>Localizar</t>
  </si>
  <si>
    <t>Inferir</t>
  </si>
  <si>
    <t>Suponer</t>
  </si>
  <si>
    <t>Etiquetar</t>
  </si>
  <si>
    <t>Diagramar</t>
  </si>
  <si>
    <t>Decidir</t>
  </si>
  <si>
    <t>Concretar</t>
  </si>
  <si>
    <t>Ejecutar</t>
  </si>
  <si>
    <t>Fomentar</t>
  </si>
  <si>
    <t>Memorizar</t>
  </si>
  <si>
    <t xml:space="preserve">Informar </t>
  </si>
  <si>
    <t>Entrevistar</t>
  </si>
  <si>
    <t>Sustituir</t>
  </si>
  <si>
    <t>Examinar</t>
  </si>
  <si>
    <t>Emparejar</t>
  </si>
  <si>
    <t>Conformar</t>
  </si>
  <si>
    <t>Ejercitar</t>
  </si>
  <si>
    <t>Ejercer</t>
  </si>
  <si>
    <t>Eliminar</t>
  </si>
  <si>
    <t>Compartir</t>
  </si>
  <si>
    <t>Mostrar</t>
  </si>
  <si>
    <t>Interpretar</t>
  </si>
  <si>
    <t>Hacer uso</t>
  </si>
  <si>
    <t>Encontrar</t>
  </si>
  <si>
    <t>Teorizar</t>
  </si>
  <si>
    <t>ProcesosAK</t>
  </si>
  <si>
    <t>Derivar</t>
  </si>
  <si>
    <t>Constrastar</t>
  </si>
  <si>
    <t>Encajar</t>
  </si>
  <si>
    <t>Emitir</t>
  </si>
  <si>
    <t>Comprender</t>
  </si>
  <si>
    <t>Nombrar</t>
  </si>
  <si>
    <t>Encuestar</t>
  </si>
  <si>
    <t>Testar</t>
  </si>
  <si>
    <t>Grabar</t>
  </si>
  <si>
    <t>Exponer</t>
  </si>
  <si>
    <t>Contabilizar</t>
  </si>
  <si>
    <t>Ensanchar</t>
  </si>
  <si>
    <t>Contribuir</t>
  </si>
  <si>
    <t>Percibir</t>
  </si>
  <si>
    <t>Observar</t>
  </si>
  <si>
    <t>Estimar</t>
  </si>
  <si>
    <t>Empaquetar</t>
  </si>
  <si>
    <t>Entallar</t>
  </si>
  <si>
    <t>Convocar</t>
  </si>
  <si>
    <t>Preguntar</t>
  </si>
  <si>
    <t>Entregar</t>
  </si>
  <si>
    <t>Omitir</t>
  </si>
  <si>
    <t>Parafrasear</t>
  </si>
  <si>
    <t>Manipular</t>
  </si>
  <si>
    <t>Visualizar</t>
  </si>
  <si>
    <t>Estructurar</t>
  </si>
  <si>
    <t>Desempeñar</t>
  </si>
  <si>
    <t>Corregir</t>
  </si>
  <si>
    <t>Explorar</t>
  </si>
  <si>
    <t>Escoger</t>
  </si>
  <si>
    <t>Enumerar</t>
  </si>
  <si>
    <t>Creer</t>
  </si>
  <si>
    <t>Promover</t>
  </si>
  <si>
    <t>Juzgar</t>
  </si>
  <si>
    <t>Rastrear</t>
  </si>
  <si>
    <t>Predecir</t>
  </si>
  <si>
    <t>Organizar</t>
  </si>
  <si>
    <t>Entrenar</t>
  </si>
  <si>
    <t>Esculpir</t>
  </si>
  <si>
    <t>Escuchar</t>
  </si>
  <si>
    <t>Cuidar</t>
  </si>
  <si>
    <t>Negociar</t>
  </si>
  <si>
    <t>Recitar</t>
  </si>
  <si>
    <t>Inspeccionar</t>
  </si>
  <si>
    <t>Descubrir</t>
  </si>
  <si>
    <t>Experimentar</t>
  </si>
  <si>
    <t>Envasar</t>
  </si>
  <si>
    <t>Extender</t>
  </si>
  <si>
    <t>Hablar</t>
  </si>
  <si>
    <t>Proteger</t>
  </si>
  <si>
    <t>Ofrecer</t>
  </si>
  <si>
    <t>Reconocer</t>
  </si>
  <si>
    <t>Relacionar</t>
  </si>
  <si>
    <t>Practicar</t>
  </si>
  <si>
    <t>Investigar</t>
  </si>
  <si>
    <t>AutoSistemaAK</t>
  </si>
  <si>
    <t>Mostar</t>
  </si>
  <si>
    <t>Culminar</t>
  </si>
  <si>
    <t>Cotejar</t>
  </si>
  <si>
    <t>Guiar</t>
  </si>
  <si>
    <t>Extirpar</t>
  </si>
  <si>
    <t>Ensamblar</t>
  </si>
  <si>
    <t>Resumir</t>
  </si>
  <si>
    <t>Motivar</t>
  </si>
  <si>
    <t>Indicar</t>
  </si>
  <si>
    <t>Inventariar</t>
  </si>
  <si>
    <t>Estampar</t>
  </si>
  <si>
    <t>Servir</t>
  </si>
  <si>
    <t>Revisar</t>
  </si>
  <si>
    <t>Numerar</t>
  </si>
  <si>
    <t>Estimular</t>
  </si>
  <si>
    <t>Informar</t>
  </si>
  <si>
    <t>Relatar</t>
  </si>
  <si>
    <t>Soportar</t>
  </si>
  <si>
    <t>Repetir</t>
  </si>
  <si>
    <t>Traducir</t>
  </si>
  <si>
    <t>Seleccionar</t>
  </si>
  <si>
    <t>Ordenar</t>
  </si>
  <si>
    <t>Industrializar</t>
  </si>
  <si>
    <t>Narrar</t>
  </si>
  <si>
    <t>Terminar</t>
  </si>
  <si>
    <t>Simular</t>
  </si>
  <si>
    <t>Obtener</t>
  </si>
  <si>
    <t>Medir</t>
  </si>
  <si>
    <t>Estudiar</t>
  </si>
  <si>
    <t>Instalar</t>
  </si>
  <si>
    <t>Interrogar</t>
  </si>
  <si>
    <t>Obrar recíprocamente</t>
  </si>
  <si>
    <t>Revelar</t>
  </si>
  <si>
    <t>Transferir</t>
  </si>
  <si>
    <t>Priorizar</t>
  </si>
  <si>
    <t>Figurar</t>
  </si>
  <si>
    <t>Edificar</t>
  </si>
  <si>
    <t>Fabricar</t>
  </si>
  <si>
    <t>Llevar</t>
  </si>
  <si>
    <t>Manejar</t>
  </si>
  <si>
    <t>Preocuparse de o por</t>
  </si>
  <si>
    <t>Unir</t>
  </si>
  <si>
    <t>Probar</t>
  </si>
  <si>
    <t>Referir</t>
  </si>
  <si>
    <t>Proporcionar</t>
  </si>
  <si>
    <t>Razonar</t>
  </si>
  <si>
    <t>Hipotetizar</t>
  </si>
  <si>
    <t>Maniobrar</t>
  </si>
  <si>
    <t>Mecanizar</t>
  </si>
  <si>
    <t>Ocupar</t>
  </si>
  <si>
    <t>Provocar</t>
  </si>
  <si>
    <t>Reorganizar</t>
  </si>
  <si>
    <t>Influir</t>
  </si>
  <si>
    <t>Presentar</t>
  </si>
  <si>
    <t>Operar</t>
  </si>
  <si>
    <t>Filtrar</t>
  </si>
  <si>
    <t>Mover</t>
  </si>
  <si>
    <t>Ratificar</t>
  </si>
  <si>
    <t>Resaltar</t>
  </si>
  <si>
    <t>Innovar</t>
  </si>
  <si>
    <t>Hallar</t>
  </si>
  <si>
    <t>Publicar</t>
  </si>
  <si>
    <t>Separar</t>
  </si>
  <si>
    <t>Justificar</t>
  </si>
  <si>
    <t>Realizar</t>
  </si>
  <si>
    <t>Reportar</t>
  </si>
  <si>
    <t>Patronar</t>
  </si>
  <si>
    <t>Perforar</t>
  </si>
  <si>
    <t>Imprimir</t>
  </si>
  <si>
    <t>Ponderar</t>
  </si>
  <si>
    <t>Ser partidario de</t>
  </si>
  <si>
    <t>Subdividir</t>
  </si>
  <si>
    <t>Poner</t>
  </si>
  <si>
    <t>Impulsar</t>
  </si>
  <si>
    <t>Recordar</t>
  </si>
  <si>
    <t>Recoger</t>
  </si>
  <si>
    <t>Juntar</t>
  </si>
  <si>
    <t>Tasar</t>
  </si>
  <si>
    <t>Opinar</t>
  </si>
  <si>
    <t>Registrar</t>
  </si>
  <si>
    <t>Introducir</t>
  </si>
  <si>
    <t>Limpiar</t>
  </si>
  <si>
    <t>Levantar</t>
  </si>
  <si>
    <t>Quitar</t>
  </si>
  <si>
    <t>Originar</t>
  </si>
  <si>
    <t>Inventar</t>
  </si>
  <si>
    <t>Modificar</t>
  </si>
  <si>
    <t>Finalizar</t>
  </si>
  <si>
    <t>Trazar</t>
  </si>
  <si>
    <t>Reemplazar</t>
  </si>
  <si>
    <t>Valorar</t>
  </si>
  <si>
    <t>Persuadir</t>
  </si>
  <si>
    <t>Reproducir</t>
  </si>
  <si>
    <t>Formar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</si>
  <si>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</si>
  <si>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</si>
  <si>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</si>
  <si>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</si>
  <si>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</si>
  <si>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</si>
  <si>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</si>
  <si>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</si>
  <si>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</si>
  <si>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</si>
  <si>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</si>
  <si>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</si>
  <si>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</si>
  <si>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</si>
  <si>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</si>
  <si>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</si>
  <si>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</si>
  <si>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</si>
  <si>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</si>
  <si>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</si>
  <si>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</si>
  <si>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</si>
  <si>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</si>
  <si>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</si>
  <si>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</si>
  <si>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</si>
  <si>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</si>
  <si>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</si>
  <si>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</si>
  <si>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</si>
  <si>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</si>
  <si>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</si>
  <si>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Sugerir</t>
  </si>
  <si>
    <t>Racionar</t>
  </si>
  <si>
    <t>Utilizar</t>
  </si>
  <si>
    <t>Reducir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</si>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</sst>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rgb="FF000000"/>
      <name val="Gill Sans MT"/>
      <family val="2"/>
    </font>
    <font>
      <sz val="11"/>
      <color rgb="FF7030A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
      <patternFill patternType="solid">
        <fgColor rgb="FFFFC7CE"/>
        <bgColor indexed="64"/>
      </patternFill>
    </fill>
  </fills>
  <borders count="38">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style="thin">
        <color auto="1"/>
      </right>
      <top style="thin">
        <color auto="1"/>
      </top>
      <bottom/>
      <diagonal/>
    </border>
    <border>
      <left style="thin">
        <color auto="1"/>
      </left>
      <right style="thin">
        <color auto="1"/>
      </right>
      <top style="thin">
        <color auto="1"/>
      </top>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style="medium">
        <color rgb="FF000000"/>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hair">
        <color theme="1" tint="0.499984740745262"/>
      </left>
      <right style="hair">
        <color theme="1" tint="0.499984740745262"/>
      </right>
      <top style="thin">
        <color auto="1"/>
      </top>
      <bottom style="hair">
        <color theme="1" tint="0.499984740745262"/>
      </bottom>
      <diagonal/>
    </border>
    <border>
      <left style="hair">
        <color theme="1" tint="0.499984740745262"/>
      </left>
      <right style="hair">
        <color theme="1" tint="0.499984740745262"/>
      </right>
      <top style="medium">
        <color indexed="64"/>
      </top>
      <bottom style="hair">
        <color theme="1" tint="0.499984740745262"/>
      </bottom>
      <diagonal/>
    </border>
    <border>
      <left style="hair">
        <color theme="1" tint="0.499984740745262"/>
      </left>
      <right style="hair">
        <color theme="1" tint="0.499984740745262"/>
      </right>
      <top style="medium">
        <color indexed="64"/>
      </top>
      <bottom/>
      <diagonal/>
    </border>
    <border>
      <left style="hair">
        <color theme="1" tint="0.499984740745262"/>
      </left>
      <right style="hair">
        <color theme="1" tint="0.499984740745262"/>
      </right>
      <top style="hair">
        <color theme="1" tint="0.499984740745262"/>
      </top>
      <bottom style="medium">
        <color indexed="64"/>
      </bottom>
      <diagonal/>
    </border>
    <border>
      <left style="hair">
        <color theme="1" tint="0.499984740745262"/>
      </left>
      <right style="hair">
        <color theme="1" tint="0.499984740745262"/>
      </right>
      <top/>
      <bottom style="medium">
        <color indexed="64"/>
      </bottom>
      <diagonal/>
    </border>
    <border>
      <left style="hair">
        <color theme="1" tint="0.499984740745262"/>
      </left>
      <right style="hair">
        <color theme="1" tint="0.499984740745262"/>
      </right>
      <top style="medium">
        <color indexed="64"/>
      </top>
      <bottom style="medium">
        <color indexed="64"/>
      </bottom>
      <diagonal/>
    </border>
    <border>
      <left style="hair">
        <color theme="1" tint="0.499984740745262"/>
      </left>
      <right style="hair">
        <color theme="1" tint="0.499984740745262"/>
      </right>
      <top style="medium">
        <color indexed="64"/>
      </top>
      <bottom style="medium">
        <color rgb="FF000000"/>
      </bottom>
      <diagonal/>
    </border>
    <border>
      <left style="hair">
        <color theme="1" tint="0.499984740745262"/>
      </left>
      <right style="hair">
        <color theme="1" tint="0.499984740745262"/>
      </right>
      <top/>
      <bottom style="medium">
        <color rgb="FF000000"/>
      </bottom>
      <diagonal/>
    </border>
    <border>
      <left/>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medium">
        <color indexed="64"/>
      </top>
      <bottom style="hair">
        <color indexed="64"/>
      </bottom>
      <diagonal/>
    </border>
    <border>
      <left style="hair">
        <color theme="1" tint="0.499984740745262"/>
      </left>
      <right/>
      <top style="hair">
        <color theme="1" tint="0.499984740745262"/>
      </top>
      <bottom style="medium">
        <color indexed="64"/>
      </bottom>
      <diagonal/>
    </border>
    <border>
      <left/>
      <right/>
      <top style="hair">
        <color theme="1" tint="0.499984740745262"/>
      </top>
      <bottom style="medium">
        <color indexed="64"/>
      </bottom>
      <diagonal/>
    </border>
    <border>
      <left/>
      <right style="hair">
        <color theme="1" tint="0.499984740745262"/>
      </right>
      <top style="hair">
        <color theme="1" tint="0.499984740745262"/>
      </top>
      <bottom style="medium">
        <color indexed="64"/>
      </bottom>
      <diagonal/>
    </border>
    <border>
      <left/>
      <right style="hair">
        <color theme="1" tint="0.499984740745262"/>
      </right>
      <top style="medium">
        <color indexed="64"/>
      </top>
      <bottom style="hair">
        <color theme="1" tint="0.499984740745262"/>
      </bottom>
      <diagonal/>
    </border>
  </borders>
  <cellStyleXfs count="1">
    <xf numFmtId="0" fontId="0" fillId="0" borderId="0"/>
  </cellStyleXfs>
  <cellXfs count="234">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5" xfId="0" applyFont="1" applyBorder="1" applyAlignment="1">
      <alignment vertical="center" wrapText="1"/>
    </xf>
    <xf numFmtId="0" fontId="16" fillId="6" borderId="0" xfId="0" applyFont="1" applyFill="1" applyAlignment="1">
      <alignment horizontal="center" vertical="center" wrapText="1"/>
    </xf>
    <xf numFmtId="0" fontId="18" fillId="2" borderId="0" xfId="0" applyFont="1" applyFill="1" applyAlignment="1">
      <alignment horizontal="center" vertical="center" wrapText="1"/>
    </xf>
    <xf numFmtId="0" fontId="3" fillId="0" borderId="0" xfId="0" applyFont="1" applyAlignment="1">
      <alignment horizontal="center" vertical="center" wrapText="1"/>
    </xf>
    <xf numFmtId="0" fontId="5" fillId="2" borderId="0" xfId="0" applyFont="1" applyFill="1" applyAlignment="1">
      <alignment horizontal="center" vertical="center" wrapText="1"/>
    </xf>
    <xf numFmtId="0" fontId="7" fillId="3" borderId="0" xfId="0" applyFont="1" applyFill="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6" xfId="0" applyFont="1" applyBorder="1" applyAlignment="1">
      <alignment vertical="center" wrapText="1"/>
    </xf>
    <xf numFmtId="0" fontId="3" fillId="0" borderId="6" xfId="0" applyFont="1" applyBorder="1" applyAlignment="1">
      <alignment vertical="center"/>
    </xf>
    <xf numFmtId="0" fontId="4" fillId="0" borderId="6" xfId="0" applyFont="1" applyBorder="1" applyAlignment="1">
      <alignment vertical="center" wrapText="1"/>
    </xf>
    <xf numFmtId="0" fontId="9" fillId="0" borderId="0" xfId="0" applyFont="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9" fillId="0" borderId="4"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vertical="center" wrapText="1"/>
    </xf>
    <xf numFmtId="0" fontId="3" fillId="0" borderId="9" xfId="0" applyFont="1" applyBorder="1" applyAlignment="1">
      <alignment vertical="center" wrapText="1"/>
    </xf>
    <xf numFmtId="0" fontId="3" fillId="0" borderId="9" xfId="0" applyFont="1" applyBorder="1" applyAlignment="1">
      <alignment vertical="center"/>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0" xfId="0" applyFont="1" applyFill="1" applyBorder="1" applyAlignment="1">
      <alignment horizontal="center" vertical="center" wrapText="1"/>
    </xf>
    <xf numFmtId="0" fontId="20" fillId="9" borderId="13"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22" fillId="8" borderId="10" xfId="0" applyFont="1" applyFill="1" applyBorder="1" applyAlignment="1">
      <alignment horizontal="center" vertical="center" wrapText="1"/>
    </xf>
    <xf numFmtId="0" fontId="22" fillId="9" borderId="13"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4" fillId="0" borderId="14" xfId="0" applyFont="1" applyBorder="1" applyAlignment="1">
      <alignment vertical="center" wrapText="1"/>
    </xf>
    <xf numFmtId="0" fontId="3" fillId="0" borderId="14" xfId="0" applyFont="1" applyBorder="1" applyAlignment="1">
      <alignment vertical="center" wrapText="1"/>
    </xf>
    <xf numFmtId="0" fontId="3" fillId="0" borderId="17" xfId="0" applyFont="1" applyBorder="1" applyAlignment="1">
      <alignment horizontal="center" vertical="center" wrapText="1"/>
    </xf>
    <xf numFmtId="0" fontId="3" fillId="0" borderId="21" xfId="0" applyFont="1" applyBorder="1" applyAlignment="1">
      <alignment horizontal="left" vertical="center" wrapText="1"/>
    </xf>
    <xf numFmtId="0" fontId="4" fillId="0" borderId="22" xfId="0" applyFont="1" applyBorder="1" applyAlignment="1">
      <alignment vertical="center" wrapText="1"/>
    </xf>
    <xf numFmtId="0" fontId="4" fillId="0" borderId="21" xfId="0" applyFont="1" applyBorder="1" applyAlignment="1">
      <alignment horizontal="left" vertical="center" wrapText="1"/>
    </xf>
    <xf numFmtId="0" fontId="4" fillId="0" borderId="22" xfId="0" applyFont="1" applyBorder="1" applyAlignment="1">
      <alignment horizontal="left" vertical="center" wrapText="1"/>
    </xf>
    <xf numFmtId="0" fontId="3" fillId="0" borderId="23" xfId="0" applyFont="1" applyBorder="1" applyAlignment="1">
      <alignment vertical="center" wrapText="1"/>
    </xf>
    <xf numFmtId="0" fontId="3" fillId="0" borderId="23" xfId="0" applyFont="1" applyBorder="1" applyAlignment="1">
      <alignment vertical="center"/>
    </xf>
    <xf numFmtId="0" fontId="4" fillId="0" borderId="23" xfId="0" applyFont="1" applyBorder="1" applyAlignment="1">
      <alignment vertical="center" wrapText="1"/>
    </xf>
    <xf numFmtId="0" fontId="4" fillId="0" borderId="14" xfId="0" applyFont="1" applyBorder="1" applyAlignment="1">
      <alignment vertical="center"/>
    </xf>
    <xf numFmtId="0" fontId="3" fillId="0" borderId="14" xfId="0" applyFont="1" applyBorder="1" applyAlignment="1">
      <alignment vertical="center"/>
    </xf>
    <xf numFmtId="0" fontId="4" fillId="0" borderId="17" xfId="0" applyFont="1" applyBorder="1" applyAlignment="1">
      <alignment vertical="center" wrapText="1"/>
    </xf>
    <xf numFmtId="0" fontId="4" fillId="0" borderId="24" xfId="0" applyFont="1" applyBorder="1" applyAlignment="1">
      <alignment vertical="center" wrapText="1"/>
    </xf>
    <xf numFmtId="0" fontId="4" fillId="0" borderId="24" xfId="0" applyFont="1" applyBorder="1" applyAlignment="1">
      <alignment horizontal="center" vertical="center" wrapText="1"/>
    </xf>
    <xf numFmtId="0" fontId="3" fillId="0" borderId="24" xfId="0" applyFont="1" applyBorder="1" applyAlignment="1">
      <alignment vertical="center" wrapText="1"/>
    </xf>
    <xf numFmtId="0" fontId="3" fillId="0" borderId="24" xfId="0" applyFont="1" applyBorder="1" applyAlignment="1">
      <alignment vertical="center"/>
    </xf>
    <xf numFmtId="0" fontId="4" fillId="0" borderId="14"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applyAlignment="1">
      <alignment horizontal="left" vertical="center" wrapText="1"/>
    </xf>
    <xf numFmtId="0" fontId="3" fillId="0" borderId="14" xfId="0" applyFont="1" applyBorder="1" applyAlignment="1">
      <alignment horizontal="center" vertical="center" wrapText="1"/>
    </xf>
    <xf numFmtId="0" fontId="3" fillId="0" borderId="26" xfId="0" applyFont="1" applyBorder="1" applyAlignment="1">
      <alignment vertical="center" wrapText="1"/>
    </xf>
    <xf numFmtId="0" fontId="3" fillId="0" borderId="26" xfId="0" applyFont="1" applyBorder="1" applyAlignment="1">
      <alignment horizontal="center" vertical="center" wrapText="1"/>
    </xf>
    <xf numFmtId="0" fontId="3" fillId="0" borderId="26" xfId="0" applyFont="1" applyBorder="1" applyAlignment="1">
      <alignment vertical="center"/>
    </xf>
    <xf numFmtId="0" fontId="4" fillId="0" borderId="26" xfId="0" applyFont="1" applyBorder="1" applyAlignment="1">
      <alignment horizontal="center" vertical="center" wrapText="1"/>
    </xf>
    <xf numFmtId="0" fontId="4" fillId="0" borderId="26" xfId="0" applyFont="1" applyBorder="1" applyAlignment="1">
      <alignment vertical="center" wrapText="1"/>
    </xf>
    <xf numFmtId="0" fontId="4" fillId="0" borderId="26" xfId="0" applyFont="1" applyBorder="1" applyAlignment="1">
      <alignment vertical="center"/>
    </xf>
    <xf numFmtId="0" fontId="4" fillId="0" borderId="20" xfId="0" applyFont="1" applyBorder="1" applyAlignment="1">
      <alignment vertical="center" wrapText="1"/>
    </xf>
    <xf numFmtId="0" fontId="3" fillId="7" borderId="27" xfId="0" applyFont="1" applyFill="1" applyBorder="1" applyAlignment="1">
      <alignment horizontal="left" vertical="center"/>
    </xf>
    <xf numFmtId="0" fontId="3" fillId="7" borderId="28" xfId="0" applyFont="1" applyFill="1" applyBorder="1" applyAlignment="1">
      <alignment horizontal="left" vertical="center" wrapText="1"/>
    </xf>
    <xf numFmtId="0" fontId="3" fillId="7" borderId="25" xfId="0" applyFont="1" applyFill="1" applyBorder="1" applyAlignment="1">
      <alignment horizontal="center" vertical="center" wrapText="1"/>
    </xf>
    <xf numFmtId="0" fontId="4" fillId="7" borderId="25" xfId="0" applyFont="1" applyFill="1" applyBorder="1" applyAlignment="1">
      <alignment horizontal="center" vertical="center" wrapText="1"/>
    </xf>
    <xf numFmtId="0" fontId="3" fillId="7" borderId="25" xfId="0" applyFont="1" applyFill="1" applyBorder="1" applyAlignment="1">
      <alignment horizontal="left" vertical="center" wrapText="1"/>
    </xf>
    <xf numFmtId="49" fontId="3" fillId="7" borderId="25" xfId="0" applyNumberFormat="1" applyFont="1" applyFill="1" applyBorder="1" applyAlignment="1">
      <alignment horizontal="left" vertical="center" wrapText="1"/>
    </xf>
    <xf numFmtId="0" fontId="4" fillId="7" borderId="28" xfId="0" applyFont="1" applyFill="1" applyBorder="1" applyAlignment="1">
      <alignment horizontal="left" vertical="center" wrapText="1"/>
    </xf>
    <xf numFmtId="0" fontId="3" fillId="7"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3" fillId="7" borderId="29" xfId="0" applyFont="1" applyFill="1" applyBorder="1" applyAlignment="1">
      <alignment horizontal="center" vertical="center" wrapText="1"/>
    </xf>
    <xf numFmtId="0" fontId="3" fillId="0" borderId="16" xfId="0" applyFont="1" applyBorder="1" applyAlignment="1">
      <alignment horizontal="left" vertical="center"/>
    </xf>
    <xf numFmtId="0" fontId="3" fillId="0" borderId="16" xfId="0" applyFont="1" applyBorder="1" applyAlignment="1">
      <alignment horizontal="left" vertical="center" wrapText="1"/>
    </xf>
    <xf numFmtId="0" fontId="3" fillId="0" borderId="30" xfId="0" applyFont="1" applyBorder="1" applyAlignment="1">
      <alignment horizontal="left" vertical="center"/>
    </xf>
    <xf numFmtId="0" fontId="3" fillId="0" borderId="27" xfId="0" applyFont="1" applyBorder="1" applyAlignment="1">
      <alignment horizontal="left" vertical="center" wrapText="1"/>
    </xf>
    <xf numFmtId="0" fontId="4" fillId="7" borderId="25" xfId="0" applyFont="1" applyFill="1" applyBorder="1" applyAlignment="1">
      <alignment horizontal="left" vertical="center" wrapText="1"/>
    </xf>
    <xf numFmtId="0" fontId="3" fillId="7" borderId="25" xfId="0" applyFont="1" applyFill="1" applyBorder="1" applyAlignment="1">
      <alignment horizontal="center" vertical="center"/>
    </xf>
    <xf numFmtId="0" fontId="3" fillId="7" borderId="25" xfId="0" applyFont="1" applyFill="1" applyBorder="1" applyAlignment="1" applyProtection="1">
      <alignment horizontal="center" vertical="center" wrapText="1"/>
      <protection locked="0"/>
    </xf>
    <xf numFmtId="0" fontId="4" fillId="7" borderId="25" xfId="0" applyFont="1" applyFill="1" applyBorder="1" applyAlignment="1">
      <alignment vertical="center" wrapText="1"/>
    </xf>
    <xf numFmtId="0" fontId="4" fillId="7" borderId="28" xfId="0" applyFont="1" applyFill="1" applyBorder="1" applyAlignment="1">
      <alignment vertical="center" wrapText="1"/>
    </xf>
    <xf numFmtId="0" fontId="4" fillId="7" borderId="25" xfId="0" applyFont="1" applyFill="1" applyBorder="1" applyAlignment="1" applyProtection="1">
      <alignment horizontal="left" vertical="center" wrapText="1"/>
      <protection locked="0"/>
    </xf>
    <xf numFmtId="0" fontId="3" fillId="10" borderId="28" xfId="0" applyFont="1" applyFill="1" applyBorder="1" applyAlignment="1">
      <alignment horizontal="left" vertical="center" wrapText="1"/>
    </xf>
    <xf numFmtId="0" fontId="3" fillId="10" borderId="28" xfId="0" applyFont="1" applyFill="1" applyBorder="1" applyAlignment="1">
      <alignment horizontal="center" vertical="center"/>
    </xf>
    <xf numFmtId="0" fontId="3" fillId="10" borderId="28" xfId="0" applyFont="1" applyFill="1" applyBorder="1" applyAlignment="1">
      <alignment horizontal="center" vertical="center" wrapText="1"/>
    </xf>
    <xf numFmtId="0" fontId="3" fillId="10" borderId="28" xfId="0" applyFont="1" applyFill="1" applyBorder="1" applyAlignment="1" applyProtection="1">
      <alignment horizontal="left" vertical="center"/>
      <protection locked="0"/>
    </xf>
    <xf numFmtId="0" fontId="3" fillId="10" borderId="28" xfId="0" applyFont="1" applyFill="1" applyBorder="1" applyAlignment="1" applyProtection="1">
      <alignment horizontal="center" vertical="center" wrapText="1"/>
      <protection locked="0"/>
    </xf>
    <xf numFmtId="0" fontId="4" fillId="10" borderId="28" xfId="0" applyFont="1" applyFill="1" applyBorder="1" applyAlignment="1">
      <alignment horizontal="left" vertical="center" wrapText="1"/>
    </xf>
    <xf numFmtId="0" fontId="4" fillId="10" borderId="28" xfId="0" applyFont="1" applyFill="1" applyBorder="1" applyAlignment="1" applyProtection="1">
      <alignment horizontal="left" vertical="center" wrapText="1"/>
      <protection locked="0"/>
    </xf>
    <xf numFmtId="0" fontId="3" fillId="10" borderId="25" xfId="0" applyFont="1" applyFill="1" applyBorder="1" applyAlignment="1">
      <alignment horizontal="left" vertical="center" wrapText="1"/>
    </xf>
    <xf numFmtId="0" fontId="3" fillId="10" borderId="25" xfId="0" applyFont="1" applyFill="1" applyBorder="1" applyAlignment="1">
      <alignment horizontal="center" vertical="center"/>
    </xf>
    <xf numFmtId="0" fontId="3" fillId="10" borderId="25" xfId="0" applyFont="1" applyFill="1" applyBorder="1" applyAlignment="1">
      <alignment horizontal="center" vertical="center" wrapText="1"/>
    </xf>
    <xf numFmtId="0" fontId="4" fillId="10" borderId="25" xfId="0" applyFont="1" applyFill="1" applyBorder="1" applyAlignment="1" applyProtection="1">
      <alignment horizontal="left" vertical="center" wrapText="1"/>
      <protection locked="0"/>
    </xf>
    <xf numFmtId="0" fontId="24" fillId="6" borderId="31" xfId="0" applyFont="1" applyFill="1" applyBorder="1" applyAlignment="1">
      <alignment horizontal="center" vertical="center" wrapText="1"/>
    </xf>
    <xf numFmtId="0" fontId="24" fillId="6" borderId="22" xfId="0" applyFont="1" applyFill="1" applyBorder="1" applyAlignment="1">
      <alignment horizontal="center" vertical="center" wrapText="1"/>
    </xf>
    <xf numFmtId="0" fontId="25" fillId="11" borderId="32" xfId="0" applyFont="1" applyFill="1" applyBorder="1" applyAlignment="1">
      <alignment horizontal="center" vertical="center" wrapText="1"/>
    </xf>
    <xf numFmtId="0" fontId="25" fillId="11" borderId="21" xfId="0" applyFont="1" applyFill="1" applyBorder="1" applyAlignment="1">
      <alignment horizontal="center" vertical="center" wrapText="1"/>
    </xf>
    <xf numFmtId="0" fontId="0" fillId="0" borderId="0" xfId="0" applyAlignment="1">
      <alignment horizontal="center" vertical="center"/>
    </xf>
    <xf numFmtId="0" fontId="9" fillId="0" borderId="26" xfId="0" applyFont="1" applyBorder="1" applyAlignment="1">
      <alignment horizontal="center" vertical="center" wrapText="1"/>
    </xf>
    <xf numFmtId="0" fontId="9" fillId="0" borderId="21" xfId="0" applyFont="1" applyBorder="1" applyAlignment="1">
      <alignment horizontal="left" vertical="center" wrapText="1"/>
    </xf>
    <xf numFmtId="0" fontId="9" fillId="0" borderId="14" xfId="0" applyFont="1" applyBorder="1" applyAlignment="1">
      <alignment vertical="center" wrapText="1"/>
    </xf>
    <xf numFmtId="0" fontId="9" fillId="0" borderId="14" xfId="0" applyFont="1" applyBorder="1" applyAlignment="1">
      <alignment horizontal="left" vertical="center" wrapText="1"/>
    </xf>
    <xf numFmtId="0" fontId="9" fillId="0" borderId="24" xfId="0" applyFont="1" applyBorder="1" applyAlignment="1">
      <alignment horizontal="left" vertical="center" wrapText="1"/>
    </xf>
    <xf numFmtId="0" fontId="9" fillId="0" borderId="26" xfId="0" applyFont="1" applyBorder="1" applyAlignment="1">
      <alignment horizontal="left" vertical="center" wrapText="1"/>
    </xf>
    <xf numFmtId="0" fontId="9" fillId="7" borderId="25" xfId="0" applyFont="1" applyFill="1" applyBorder="1" applyAlignment="1">
      <alignment horizontal="left" vertical="center" wrapText="1"/>
    </xf>
    <xf numFmtId="0" fontId="26" fillId="0" borderId="6" xfId="0" applyFont="1" applyBorder="1" applyAlignment="1">
      <alignment vertical="center" wrapText="1"/>
    </xf>
    <xf numFmtId="0" fontId="3" fillId="0" borderId="27" xfId="0" applyFont="1" applyBorder="1" applyAlignment="1">
      <alignment horizontal="left" vertical="center"/>
    </xf>
    <xf numFmtId="0" fontId="3" fillId="7" borderId="27" xfId="0" applyFont="1" applyFill="1" applyBorder="1" applyAlignment="1">
      <alignment horizontal="left" vertical="center" wrapText="1"/>
    </xf>
    <xf numFmtId="0" fontId="3" fillId="10" borderId="28" xfId="0" applyFont="1" applyFill="1" applyBorder="1" applyAlignment="1">
      <alignment horizontal="left" vertical="center"/>
    </xf>
    <xf numFmtId="0" fontId="3" fillId="0" borderId="24" xfId="0" applyFont="1" applyBorder="1" applyAlignment="1">
      <alignment horizontal="left" vertical="center" wrapText="1"/>
    </xf>
    <xf numFmtId="0" fontId="3" fillId="0" borderId="17" xfId="0" applyFont="1" applyBorder="1" applyAlignment="1">
      <alignment vertical="center" wrapText="1"/>
    </xf>
    <xf numFmtId="0" fontId="3" fillId="0" borderId="34" xfId="0" applyFont="1" applyBorder="1" applyAlignment="1">
      <alignment horizontal="left" vertical="center" wrapText="1"/>
    </xf>
    <xf numFmtId="0" fontId="3" fillId="0" borderId="36" xfId="0" applyFont="1" applyBorder="1" applyAlignment="1">
      <alignment horizontal="left" vertical="center" wrapText="1"/>
    </xf>
    <xf numFmtId="0" fontId="3" fillId="10" borderId="27" xfId="0" applyFont="1" applyFill="1" applyBorder="1" applyAlignment="1">
      <alignment horizontal="center" vertical="center" wrapText="1"/>
    </xf>
    <xf numFmtId="0" fontId="9" fillId="0" borderId="35" xfId="0" applyFont="1" applyBorder="1" applyAlignment="1">
      <alignment horizontal="left" vertical="center" wrapText="1"/>
    </xf>
    <xf numFmtId="0" fontId="9" fillId="0" borderId="0" xfId="0" applyFont="1" applyAlignment="1">
      <alignment horizontal="left" vertical="center" wrapText="1"/>
    </xf>
    <xf numFmtId="0" fontId="9" fillId="0" borderId="37" xfId="0" applyFont="1" applyBorder="1" applyAlignment="1">
      <alignment horizontal="left" vertical="center" wrapText="1"/>
    </xf>
    <xf numFmtId="0" fontId="3" fillId="0" borderId="18" xfId="0" applyFont="1" applyBorder="1" applyAlignment="1">
      <alignment vertical="center"/>
    </xf>
    <xf numFmtId="0" fontId="3" fillId="0" borderId="18" xfId="0" applyFont="1" applyBorder="1" applyAlignment="1">
      <alignment vertical="center" wrapText="1"/>
    </xf>
    <xf numFmtId="0" fontId="3" fillId="0" borderId="19" xfId="0" applyFont="1" applyBorder="1" applyAlignment="1">
      <alignment vertical="center" wrapText="1"/>
    </xf>
    <xf numFmtId="0" fontId="4" fillId="0" borderId="19" xfId="0" applyFont="1" applyBorder="1" applyAlignment="1">
      <alignment vertical="center" wrapText="1"/>
    </xf>
    <xf numFmtId="0" fontId="4" fillId="0" borderId="24" xfId="0" applyFont="1" applyBorder="1" applyAlignment="1">
      <alignment horizontal="left" vertical="center" wrapText="1"/>
    </xf>
    <xf numFmtId="0" fontId="4" fillId="0" borderId="33" xfId="0" applyFont="1" applyBorder="1" applyAlignment="1">
      <alignment vertical="center" wrapText="1"/>
    </xf>
    <xf numFmtId="0" fontId="3" fillId="0" borderId="24" xfId="0" applyFont="1" applyBorder="1" applyAlignment="1">
      <alignment horizontal="center" vertical="center" wrapText="1"/>
    </xf>
    <xf numFmtId="0" fontId="3" fillId="0" borderId="24" xfId="0" applyFont="1" applyBorder="1" applyAlignment="1">
      <alignment horizontal="left" vertical="center"/>
    </xf>
    <xf numFmtId="0" fontId="3" fillId="0" borderId="17" xfId="0" applyFont="1" applyBorder="1" applyAlignment="1">
      <alignment vertical="top"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18" fillId="2" borderId="0" xfId="0" applyFont="1" applyFill="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9" fillId="0" borderId="9" xfId="0" applyFont="1" applyBorder="1" applyAlignment="1">
      <alignment horizontal="left"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4" fillId="0" borderId="6" xfId="0" applyFont="1" applyBorder="1" applyAlignment="1">
      <alignment horizontal="center" vertical="center" wrapText="1"/>
    </xf>
    <xf numFmtId="0" fontId="9" fillId="0" borderId="4" xfId="0" applyFont="1" applyBorder="1" applyAlignment="1">
      <alignment vertical="center" wrapText="1"/>
    </xf>
    <xf numFmtId="0" fontId="9" fillId="0" borderId="6" xfId="0" applyFont="1" applyBorder="1" applyAlignment="1">
      <alignment vertical="center" wrapText="1"/>
    </xf>
    <xf numFmtId="0" fontId="3" fillId="0" borderId="25" xfId="0" applyFont="1" applyBorder="1" applyAlignment="1" applyProtection="1">
      <alignment horizontal="left" vertical="center" wrapText="1"/>
      <protection locked="0"/>
    </xf>
    <xf numFmtId="0" fontId="3" fillId="0" borderId="16" xfId="0" applyFont="1" applyBorder="1" applyAlignment="1" applyProtection="1">
      <alignment horizontal="left" vertical="center" wrapText="1"/>
      <protection locked="0"/>
    </xf>
    <xf numFmtId="0" fontId="3" fillId="0" borderId="25" xfId="0" applyFont="1" applyBorder="1" applyAlignment="1">
      <alignment horizontal="center" vertical="center" wrapText="1"/>
    </xf>
    <xf numFmtId="0" fontId="16" fillId="6" borderId="0" xfId="0" applyFont="1" applyFill="1" applyAlignment="1">
      <alignment horizontal="center" vertical="center" wrapText="1"/>
    </xf>
    <xf numFmtId="0" fontId="3" fillId="0" borderId="25" xfId="0" applyFont="1" applyBorder="1" applyAlignment="1">
      <alignment horizontal="center" vertical="center"/>
    </xf>
    <xf numFmtId="0" fontId="3" fillId="0" borderId="16" xfId="0" applyFont="1" applyBorder="1" applyAlignment="1">
      <alignment horizontal="center" vertical="center"/>
    </xf>
    <xf numFmtId="0" fontId="3" fillId="0" borderId="27" xfId="0" applyFont="1" applyBorder="1" applyAlignment="1">
      <alignment horizontal="center" vertical="center"/>
    </xf>
    <xf numFmtId="0" fontId="3" fillId="0" borderId="27" xfId="0" applyFont="1" applyBorder="1" applyAlignment="1">
      <alignment horizontal="center" vertical="center" wrapText="1"/>
    </xf>
    <xf numFmtId="0" fontId="4" fillId="0" borderId="16" xfId="0" applyFont="1" applyBorder="1" applyAlignment="1" applyProtection="1">
      <alignment horizontal="left" vertical="center" wrapText="1"/>
      <protection locked="0"/>
    </xf>
    <xf numFmtId="0" fontId="4" fillId="0" borderId="27" xfId="0" applyFont="1" applyBorder="1" applyAlignment="1" applyProtection="1">
      <alignment horizontal="left" vertical="center" wrapText="1"/>
      <protection locked="0"/>
    </xf>
    <xf numFmtId="0" fontId="3" fillId="0" borderId="25" xfId="0" applyFont="1" applyBorder="1" applyAlignment="1">
      <alignment horizontal="left" vertical="center" wrapText="1"/>
    </xf>
    <xf numFmtId="0" fontId="4" fillId="0" borderId="25" xfId="0" applyFont="1" applyBorder="1" applyAlignment="1" applyProtection="1">
      <alignment horizontal="left" vertical="center" wrapText="1"/>
      <protection locked="0"/>
    </xf>
    <xf numFmtId="0" fontId="3" fillId="0" borderId="27" xfId="0" applyFont="1" applyBorder="1" applyAlignment="1" applyProtection="1">
      <alignment horizontal="left" vertical="center" wrapText="1"/>
      <protection locked="0"/>
    </xf>
    <xf numFmtId="0" fontId="9" fillId="0" borderId="25" xfId="0" applyFont="1" applyBorder="1" applyAlignment="1">
      <alignment horizontal="center" vertical="center" wrapText="1"/>
    </xf>
    <xf numFmtId="0" fontId="9" fillId="0" borderId="16" xfId="0" applyFont="1" applyBorder="1" applyAlignment="1">
      <alignment horizontal="center" vertical="center" wrapText="1"/>
    </xf>
    <xf numFmtId="0" fontId="3" fillId="12" borderId="16" xfId="0" applyFont="1" applyFill="1" applyBorder="1" applyAlignment="1" applyProtection="1">
      <alignment horizontal="left" vertical="center" wrapText="1"/>
      <protection locked="0"/>
    </xf>
    <xf numFmtId="0" fontId="3" fillId="12" borderId="27" xfId="0" applyFont="1" applyFill="1" applyBorder="1" applyAlignment="1" applyProtection="1">
      <alignment horizontal="left" vertical="center" wrapText="1"/>
      <protection locked="0"/>
    </xf>
    <xf numFmtId="0" fontId="3" fillId="0" borderId="30" xfId="0" applyFont="1" applyBorder="1" applyAlignment="1" applyProtection="1">
      <alignment horizontal="left" vertical="center" wrapText="1"/>
      <protection locked="0"/>
    </xf>
    <xf numFmtId="0" fontId="3" fillId="0" borderId="30" xfId="0" applyFont="1" applyBorder="1" applyAlignment="1">
      <alignment horizontal="center" vertical="center" wrapText="1"/>
    </xf>
    <xf numFmtId="0" fontId="4" fillId="0" borderId="30" xfId="0" applyFont="1" applyBorder="1" applyAlignment="1" applyProtection="1">
      <alignment horizontal="left" vertical="center" wrapText="1"/>
      <protection locked="0"/>
    </xf>
    <xf numFmtId="0" fontId="8" fillId="11" borderId="0" xfId="0" applyFont="1" applyFill="1" applyAlignment="1">
      <alignment horizontal="center"/>
    </xf>
    <xf numFmtId="0" fontId="5" fillId="4" borderId="1" xfId="0" applyFont="1" applyFill="1" applyBorder="1" applyAlignment="1">
      <alignment horizontal="center"/>
    </xf>
    <xf numFmtId="0" fontId="3" fillId="0" borderId="0" xfId="0" applyFont="1" applyAlignment="1">
      <alignment horizontal="center"/>
    </xf>
    <xf numFmtId="0" fontId="22" fillId="0" borderId="0" xfId="0" applyFont="1" applyAlignment="1">
      <alignment horizontal="center" vertical="center"/>
    </xf>
  </cellXfs>
  <cellStyles count="1">
    <cellStyle name="Normal" xfId="0" builtinId="0"/>
  </cellStyles>
  <dxfs count="113">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12"/>
    </tableStyle>
    <tableStyle name="Estilo de tabla 2" pivot="0" count="1" xr9:uid="{C6F8D6C6-DD7E-42E8-8328-19C722F9F97F}">
      <tableStyleElement type="wholeTable" dxfId="111"/>
    </tableStyle>
    <tableStyle name="Estilo de tabla 3" pivot="0" count="1" xr9:uid="{BD8219D8-F95E-4ADD-BD98-5883EDA7E91C}">
      <tableStyleElement type="headerRow" dxfId="110"/>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09" dataDxfId="108">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autoFilter ref="A3:A7" xr:uid="{48FC5A9A-4920-4623-A07A-3CF9371DCF4A}"/>
  <tableColumns count="1">
    <tableColumn id="1" xr3:uid="{63D540FA-82EB-4145-8DC7-B519D8CD7CC0}" name="Taxonomías"/>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06" dataDxfId="105">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03" dataDxfId="102">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00" dataDxfId="99">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9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97" dataDxfId="96">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94" dataDxfId="93">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9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91" dataDxfId="90">
  <autoFilter ref="AQ4:AQ21" xr:uid="{1D29FBDA-C4C7-4802-9945-B1136AA1A5B6}"/>
  <sortState xmlns:xlrd2="http://schemas.microsoft.com/office/spreadsheetml/2017/richdata2" ref="AQ5:AQ21">
    <sortCondition ref="AQ5:AQ21"/>
  </sortState>
  <tableColumns count="1">
    <tableColumn id="1" xr3:uid="{695E3FF0-9053-4D06-82E6-12950FD1BCA1}" name="CrearLK" dataDxfId="8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88" dataDxfId="87">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85" dataDxfId="84">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8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82" dataDxfId="81">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8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79" dataDxfId="78">
  <autoFilter ref="V3:V36" xr:uid="{2AA761F5-FCA1-4A0B-90D8-1C642DDF1D1A}"/>
  <sortState xmlns:xlrd2="http://schemas.microsoft.com/office/spreadsheetml/2017/richdata2" ref="V4:V36">
    <sortCondition ref="V4:V36"/>
  </sortState>
  <tableColumns count="1">
    <tableColumn id="1" xr3:uid="{AF14FE7A-A899-43F9-A3C0-8119863088B1}" name="AnálisisBAK" dataDxfId="7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76" dataDxfId="75">
  <autoFilter ref="W3:W63" xr:uid="{F6A45780-86A0-4428-88DB-1A555C4970E6}"/>
  <sortState xmlns:xlrd2="http://schemas.microsoft.com/office/spreadsheetml/2017/richdata2" ref="W4:W63">
    <sortCondition ref="W4:W63"/>
  </sortState>
  <tableColumns count="1">
    <tableColumn id="1" xr3:uid="{8D1F3CAA-A929-411E-B3AB-90C77CB5BC14}" name="SíntesisBAK" dataDxfId="7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73" dataDxfId="72">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7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70" dataDxfId="69">
  <autoFilter ref="Y3:Y52" xr:uid="{0C46EE9B-0911-4522-BB5D-1931406AB4AB}"/>
  <sortState xmlns:xlrd2="http://schemas.microsoft.com/office/spreadsheetml/2017/richdata2" ref="Y4:Y52">
    <sortCondition ref="Y3:Y52"/>
  </sortState>
  <tableColumns count="1">
    <tableColumn id="1" xr3:uid="{CDE7758F-9A83-44EB-B2E4-CC670F5593B8}" name="ImitaciónBAK" dataDxfId="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67" dataDxfId="66">
  <autoFilter ref="Z3:Z40" xr:uid="{300A78DD-9219-4A2F-A2DA-93669B9B6AF3}"/>
  <sortState xmlns:xlrd2="http://schemas.microsoft.com/office/spreadsheetml/2017/richdata2" ref="Z4:Z40">
    <sortCondition ref="Z3:Z40"/>
  </sortState>
  <tableColumns count="1">
    <tableColumn id="1" xr3:uid="{3C407CCE-B486-4656-BA81-116BE1090143}" name="ManipulaciónBAK" dataDxfId="6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64" dataDxfId="63">
  <autoFilter ref="AA3:AA70" xr:uid="{6877FA86-1F49-4E2D-9448-AFF0346B8BB8}"/>
  <sortState xmlns:xlrd2="http://schemas.microsoft.com/office/spreadsheetml/2017/richdata2" ref="AA4:AA70">
    <sortCondition ref="AA3:AA70"/>
  </sortState>
  <tableColumns count="1">
    <tableColumn id="1" xr3:uid="{D21AF291-1BAF-43EA-AFD3-DAFB2D955E09}" name="PrecisiónBAK" dataDxfId="6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61" dataDxfId="60">
  <autoFilter ref="AB3:AB62" xr:uid="{FD38FA61-1361-4EA5-A764-8E58B96581E9}"/>
  <sortState xmlns:xlrd2="http://schemas.microsoft.com/office/spreadsheetml/2017/richdata2" ref="AB4:AB62">
    <sortCondition ref="AB3:AB62"/>
  </sortState>
  <tableColumns count="1">
    <tableColumn id="1" xr3:uid="{982D722A-3D7A-4AAD-A2DF-5EE8DF5E4D9D}" name="ControlBAK" dataDxfId="59"/>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58" dataDxfId="57">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5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55" dataDxfId="54">
  <autoFilter ref="AD3:AD34" xr:uid="{08B46976-D2F4-4AEA-B0BA-6ECF06521BA8}"/>
  <sortState xmlns:xlrd2="http://schemas.microsoft.com/office/spreadsheetml/2017/richdata2" ref="AD4:AD34">
    <sortCondition ref="AD3:AD34"/>
  </sortState>
  <tableColumns count="1">
    <tableColumn id="1" xr3:uid="{0C49A45E-6C59-4AAB-BD6C-F53324766649}" name="ResponderBAK" dataDxfId="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52" dataDxfId="51">
  <autoFilter ref="AE3:AE39" xr:uid="{49448539-0C4F-43C9-9924-5A219B16757C}"/>
  <sortState xmlns:xlrd2="http://schemas.microsoft.com/office/spreadsheetml/2017/richdata2" ref="AE4:AE38">
    <sortCondition ref="AE3:AE38"/>
  </sortState>
  <tableColumns count="1">
    <tableColumn id="1" xr3:uid="{E2890547-6570-4474-811E-70109D5F5465}" name="ValorarBAK" dataDxfId="5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49" dataDxfId="48">
  <autoFilter ref="AF3:AF29" xr:uid="{21E76DB2-0E8B-466D-A413-2ABD524DDEEA}"/>
  <sortState xmlns:xlrd2="http://schemas.microsoft.com/office/spreadsheetml/2017/richdata2" ref="AF4:AF29">
    <sortCondition ref="AF3:AF29"/>
  </sortState>
  <tableColumns count="1">
    <tableColumn id="1" xr3:uid="{674DA899-A4D0-4618-B839-C8613BA61338}" name="OrganizarBAK" dataDxfId="47"/>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46" dataDxfId="45">
  <autoFilter ref="AG3:AG29" xr:uid="{835318B2-CEAD-4A84-8E6B-21115489F3F9}"/>
  <sortState xmlns:xlrd2="http://schemas.microsoft.com/office/spreadsheetml/2017/richdata2" ref="AG4:AG29">
    <sortCondition ref="AG3:AG29"/>
  </sortState>
  <tableColumns count="1">
    <tableColumn id="1" xr3:uid="{C98AB4FD-C9CE-4966-B509-E36C390C09C7}" name="CaracterizarBAK" dataDxfId="4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43" dataDxfId="42">
  <autoFilter ref="L3:L45" xr:uid="{9E4643CC-87B6-4485-9E83-A8ED35E11905}"/>
  <sortState xmlns:xlrd2="http://schemas.microsoft.com/office/spreadsheetml/2017/richdata2" ref="L4:L45">
    <sortCondition ref="L4:L45"/>
  </sortState>
  <tableColumns count="1">
    <tableColumn id="1" xr3:uid="{29725637-71B1-4F7E-96A8-CB90D5C646B2}" name="ConocimientoB" dataDxfId="4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40" dataDxfId="39">
  <autoFilter ref="M3:M42" xr:uid="{C726BD4C-A167-44A9-8F1B-6936952A7A59}"/>
  <sortState xmlns:xlrd2="http://schemas.microsoft.com/office/spreadsheetml/2017/richdata2" ref="M4:M42">
    <sortCondition ref="M4:M42"/>
  </sortState>
  <tableColumns count="1">
    <tableColumn id="1" xr3:uid="{302CEF3F-D9B7-44E2-B341-CAA4B0E1BEB1}" name="ComprensiónB" dataDxfId="3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37" dataDxfId="36">
  <autoFilter ref="N3:N43" xr:uid="{85965F80-D722-4217-9624-BAE055366227}"/>
  <sortState xmlns:xlrd2="http://schemas.microsoft.com/office/spreadsheetml/2017/richdata2" ref="N4:N43">
    <sortCondition ref="N4:N43"/>
  </sortState>
  <tableColumns count="1">
    <tableColumn id="1" xr3:uid="{8CDFD0B2-187A-490F-B898-52C789C626A8}" name="AplicaciónB" dataDxfId="3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34" dataDxfId="33">
  <autoFilter ref="O3:O36" xr:uid="{4F44782F-9CE2-445E-8EAA-F5D6BC4CE9FF}"/>
  <sortState xmlns:xlrd2="http://schemas.microsoft.com/office/spreadsheetml/2017/richdata2" ref="O4:O36">
    <sortCondition ref="O4:O36"/>
  </sortState>
  <tableColumns count="1">
    <tableColumn id="1" xr3:uid="{7941CE9F-DC23-4AFF-A5EC-374F0F21BBEB}" name="AnálisisB" dataDxfId="3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31" dataDxfId="30">
  <autoFilter ref="P3:P63" xr:uid="{8357A631-F2AC-40DB-8ACA-80F00DED06A3}"/>
  <sortState xmlns:xlrd2="http://schemas.microsoft.com/office/spreadsheetml/2017/richdata2" ref="P4:P63">
    <sortCondition ref="P4:P63"/>
  </sortState>
  <tableColumns count="1">
    <tableColumn id="1" xr3:uid="{E9C49887-DB96-4751-9494-F1CFAE7E02AD}" name="SíntesisB" dataDxfId="2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28" dataDxfId="27">
  <autoFilter ref="Q3:Q66" xr:uid="{141F631B-4F40-430C-9880-8A1F264F50D0}"/>
  <sortState xmlns:xlrd2="http://schemas.microsoft.com/office/spreadsheetml/2017/richdata2" ref="Q4:Q66">
    <sortCondition ref="Q4:Q66"/>
  </sortState>
  <tableColumns count="1">
    <tableColumn id="1" xr3:uid="{42FB5979-4CFB-474A-948A-4C9E2A15A2FA}" name="EvaluaciónB" dataDxfId="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25">
  <autoFilter ref="E3:E6" xr:uid="{284779C2-7F70-4C90-85C0-9E3404733D87}"/>
  <tableColumns count="1">
    <tableColumn id="1" xr3:uid="{CE47A420-A4CC-4416-8E2B-4A40C2078194}" name="AK"/>
  </tableColumns>
  <tableStyleInfo name="TableStyleMedium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24">
  <autoFilter ref="D3:D7" xr:uid="{0359C141-9677-47C3-845D-242D3C20A7BD}"/>
  <tableColumns count="1">
    <tableColumn id="1" xr3:uid="{027F3234-EBF7-434A-A95C-3D90248F7600}" name="LK"/>
  </tableColumns>
  <tableStyleInfo name="TableStyleMedium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23">
  <autoFilter ref="C3:C6" xr:uid="{60F5C8CF-3F5B-45A8-90A3-91960BC0CC3F}"/>
  <tableColumns count="1">
    <tableColumn id="1" xr3:uid="{7261A279-5B41-48E2-A232-E66D4B2C997C}" name="BAK"/>
  </tableColumns>
  <tableStyleInfo name="TableStyleMedium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autoFilter ref="I3:I9" xr:uid="{46409B6B-E133-4AC9-A20A-4A73C6DBD813}"/>
  <tableColumns count="1">
    <tableColumn id="1" xr3:uid="{12B3014A-6B1D-4C6D-9FA4-0161E9656EA6}" name="ActitudinalB"/>
  </tableColumns>
  <tableStyleInfo name="TableStyleMedium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autoFilter ref="H3:H9" xr:uid="{4FBECC47-261F-41D0-B554-ADEA02FBDD3E}"/>
  <tableColumns count="1">
    <tableColumn id="1" xr3:uid="{D263AD73-E936-424B-80A9-E791CCE4D60C}" name="ProcedimentalB"/>
  </tableColumns>
  <tableStyleInfo name="TableStyleMedium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autoFilter ref="G3:G9" xr:uid="{E7A59938-F7EA-457A-87F1-AA0873A8FDA8}"/>
  <tableColumns count="1">
    <tableColumn id="1" xr3:uid="{9BE87125-AAAE-4780-B69A-FA583B2B341A}" name="CognitivoB"/>
  </tableColumns>
  <tableStyleInfo name="TableStyleMedium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autoFilter ref="G11:G17" xr:uid="{FB5563E9-3423-496B-A7C6-740A8638246F}"/>
  <tableColumns count="1">
    <tableColumn id="1" xr3:uid="{D2F8054E-C594-43A9-96F5-5294D078E620}" name="HechosLK"/>
  </tableColumns>
  <tableStyleInfo name="TableStyleMedium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autoFilter ref="H11:H17" xr:uid="{5235961D-4B2F-4CB8-AC75-46CF8A859099}"/>
  <tableColumns count="1">
    <tableColumn id="1" xr3:uid="{DF3A0232-2B49-4FF7-B62E-7F56B2A16095}" name="ConceptosLK"/>
  </tableColumns>
  <tableStyleInfo name="TableStyleMedium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autoFilter ref="I11:I17" xr:uid="{74EFBE03-70FE-4E61-AF1A-7CAE74394FB0}"/>
  <tableColumns count="1">
    <tableColumn id="1" xr3:uid="{02D20833-4DB8-415C-A919-A0178DA3CC95}" name="ProcedimientosLK"/>
  </tableColumns>
  <tableStyleInfo name="TableStyleMedium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autoFilter ref="J11:J17" xr:uid="{01D445B2-006B-45B1-9326-AB65B144ABD8}"/>
  <tableColumns count="1">
    <tableColumn id="1" xr3:uid="{B548BB39-2B40-4E98-AE24-D564B24A0831}" name="MetacogniciónLK"/>
  </tableColumns>
  <tableStyleInfo name="TableStyleMedium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autoFilter ref="G19:G25" xr:uid="{8F99EDF7-BECB-4CB8-94CB-15DEF8DBE8E0}"/>
  <tableColumns count="1">
    <tableColumn id="1" xr3:uid="{995D4B7F-2557-48EF-AE97-D4FE09E63D59}" name="InformaciónAK"/>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autoFilter ref="H19:H25" xr:uid="{DFB0C1EA-F7F7-4443-9626-BCD7D06ACAA7}"/>
  <tableColumns count="1">
    <tableColumn id="1" xr3:uid="{977268A2-A618-4E2F-BE67-44E018AA2B3D}" name="ProcesosAK"/>
  </tableColumns>
  <tableStyleInfo name="TableStyleMedium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autoFilter ref="I19:I25" xr:uid="{AC2042AB-A078-4FDF-91CA-322668C40EBE}"/>
  <tableColumns count="1">
    <tableColumn id="1" xr3:uid="{AAE35896-9168-4715-8D56-25997B0AB9C8}" name="PsicomotorAK"/>
  </tableColumns>
  <tableStyleInfo name="TableStyleMedium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3" customWidth="1"/>
    <col min="2" max="2" width="17.1796875" style="23" customWidth="1"/>
    <col min="3" max="4" width="65" style="23" customWidth="1"/>
    <col min="5" max="5" width="49.7265625" style="23" customWidth="1"/>
    <col min="6" max="6" width="49.7265625" style="11" customWidth="1"/>
    <col min="7" max="7" width="49.7265625" style="23" customWidth="1"/>
    <col min="8" max="10" width="80.54296875" style="23" customWidth="1"/>
    <col min="11" max="16384" width="76.26953125" style="23"/>
  </cols>
  <sheetData>
    <row r="1" spans="1:11" s="19" customFormat="1" ht="42.5" x14ac:dyDescent="0.35">
      <c r="A1" s="17" t="s">
        <v>0</v>
      </c>
      <c r="B1" s="17" t="s">
        <v>1</v>
      </c>
      <c r="C1" s="17" t="s">
        <v>2</v>
      </c>
      <c r="D1" s="17" t="s">
        <v>3</v>
      </c>
      <c r="E1" s="177" t="s">
        <v>4</v>
      </c>
      <c r="F1" s="177"/>
      <c r="G1" s="177"/>
      <c r="H1" s="177" t="s">
        <v>5</v>
      </c>
      <c r="I1" s="177"/>
      <c r="J1" s="177"/>
      <c r="K1" s="18" t="s">
        <v>6</v>
      </c>
    </row>
    <row r="2" spans="1:11" s="19" customFormat="1" x14ac:dyDescent="0.35">
      <c r="A2" s="20" t="s">
        <v>7</v>
      </c>
      <c r="B2" s="20" t="s">
        <v>8</v>
      </c>
      <c r="C2" s="20" t="s">
        <v>9</v>
      </c>
      <c r="D2" s="20" t="s">
        <v>10</v>
      </c>
      <c r="E2" s="21" t="s">
        <v>11</v>
      </c>
      <c r="F2" s="21" t="s">
        <v>12</v>
      </c>
      <c r="G2" s="21" t="s">
        <v>13</v>
      </c>
      <c r="H2" s="21" t="s">
        <v>14</v>
      </c>
      <c r="I2" s="21" t="s">
        <v>15</v>
      </c>
      <c r="J2" s="69" t="s">
        <v>16</v>
      </c>
      <c r="K2" s="68" t="s">
        <v>17</v>
      </c>
    </row>
    <row r="3" spans="1:11" ht="50.5" customHeight="1" x14ac:dyDescent="0.35">
      <c r="A3" s="178" t="s">
        <v>18</v>
      </c>
      <c r="B3" s="178" t="s">
        <v>19</v>
      </c>
      <c r="C3" s="175" t="s">
        <v>20</v>
      </c>
      <c r="D3" s="175" t="s">
        <v>21</v>
      </c>
      <c r="E3" s="86" t="s">
        <v>22</v>
      </c>
      <c r="F3" s="87" t="s">
        <v>23</v>
      </c>
      <c r="G3" s="87" t="s">
        <v>24</v>
      </c>
      <c r="H3" s="182" t="s">
        <v>25</v>
      </c>
      <c r="I3" s="182" t="s">
        <v>26</v>
      </c>
      <c r="J3" s="182" t="s">
        <v>27</v>
      </c>
      <c r="K3" s="175" t="s">
        <v>28</v>
      </c>
    </row>
    <row r="4" spans="1:11" ht="50.5" customHeight="1" x14ac:dyDescent="0.35">
      <c r="A4" s="179"/>
      <c r="B4" s="179"/>
      <c r="C4" s="176"/>
      <c r="D4" s="176"/>
      <c r="E4" s="88" t="s">
        <v>29</v>
      </c>
      <c r="F4" s="89" t="s">
        <v>30</v>
      </c>
      <c r="G4" s="89" t="s">
        <v>31</v>
      </c>
      <c r="H4" s="183"/>
      <c r="I4" s="183"/>
      <c r="J4" s="183"/>
      <c r="K4" s="176"/>
    </row>
    <row r="5" spans="1:11" ht="50.5" customHeight="1" x14ac:dyDescent="0.35">
      <c r="A5" s="179"/>
      <c r="B5" s="179"/>
      <c r="C5" s="176"/>
      <c r="D5" s="176"/>
      <c r="E5" s="148" t="s">
        <v>32</v>
      </c>
      <c r="F5" s="89" t="s">
        <v>33</v>
      </c>
      <c r="G5" s="89" t="s">
        <v>34</v>
      </c>
      <c r="H5" s="183"/>
      <c r="I5" s="183"/>
      <c r="J5" s="183"/>
      <c r="K5" s="176"/>
    </row>
    <row r="6" spans="1:11" ht="50.5" customHeight="1" thickBot="1" x14ac:dyDescent="0.4">
      <c r="A6" s="179"/>
      <c r="B6" s="179"/>
      <c r="C6" s="176"/>
      <c r="D6" s="176"/>
      <c r="E6" s="160" t="s">
        <v>35</v>
      </c>
      <c r="F6" s="163" t="s">
        <v>36</v>
      </c>
      <c r="G6" s="161" t="s">
        <v>37</v>
      </c>
      <c r="H6" s="183"/>
      <c r="I6" s="183"/>
      <c r="J6" s="183"/>
      <c r="K6" s="176"/>
    </row>
    <row r="7" spans="1:11" ht="66" customHeight="1" x14ac:dyDescent="0.35">
      <c r="A7" s="180"/>
      <c r="B7" s="180"/>
      <c r="C7" s="181"/>
      <c r="D7" s="181"/>
      <c r="E7" s="167" t="s">
        <v>38</v>
      </c>
      <c r="F7" s="168" t="s">
        <v>39</v>
      </c>
      <c r="G7" s="169" t="s">
        <v>40</v>
      </c>
      <c r="H7" s="174"/>
      <c r="I7" s="159"/>
      <c r="J7" s="159"/>
      <c r="K7" s="159"/>
    </row>
    <row r="8" spans="1:11" x14ac:dyDescent="0.35">
      <c r="C8" s="22"/>
      <c r="H8" s="15"/>
    </row>
    <row r="9" spans="1:11" ht="33" x14ac:dyDescent="0.35">
      <c r="E9" s="24"/>
      <c r="F9" s="15"/>
      <c r="G9" s="24"/>
      <c r="H9" s="15"/>
      <c r="I9" s="23" t="s">
        <v>41</v>
      </c>
    </row>
    <row r="10" spans="1:11" x14ac:dyDescent="0.35">
      <c r="E10" s="15"/>
      <c r="F10" s="15"/>
      <c r="G10" s="15"/>
      <c r="H10" s="15"/>
    </row>
    <row r="11" spans="1:11" x14ac:dyDescent="0.35">
      <c r="E11" s="24"/>
      <c r="F11" s="24"/>
      <c r="G11" s="24"/>
      <c r="H11" s="15"/>
    </row>
    <row r="12" spans="1:11" x14ac:dyDescent="0.35">
      <c r="E12" s="24"/>
      <c r="F12" s="24"/>
      <c r="G12" s="24"/>
      <c r="H12" s="15"/>
    </row>
    <row r="13" spans="1:11" x14ac:dyDescent="0.35">
      <c r="E13" s="15"/>
      <c r="F13" s="15"/>
      <c r="H13" s="15"/>
    </row>
    <row r="14" spans="1:11" x14ac:dyDescent="0.35">
      <c r="E14" s="15"/>
      <c r="F14" s="15"/>
      <c r="H14" s="15"/>
      <c r="I14" s="22"/>
    </row>
    <row r="15" spans="1:11" x14ac:dyDescent="0.35">
      <c r="E15" s="15"/>
      <c r="F15" s="15"/>
    </row>
  </sheetData>
  <mergeCells count="10">
    <mergeCell ref="K3:K6"/>
    <mergeCell ref="E1:G1"/>
    <mergeCell ref="H1:J1"/>
    <mergeCell ref="A3:A7"/>
    <mergeCell ref="B3:B7"/>
    <mergeCell ref="C3:C7"/>
    <mergeCell ref="D3:D7"/>
    <mergeCell ref="I3:I6"/>
    <mergeCell ref="J3:J6"/>
    <mergeCell ref="H3:H6"/>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2" width="18" style="23" customWidth="1"/>
    <col min="3" max="5" width="47.453125" style="23" customWidth="1"/>
    <col min="6" max="6" width="90.453125" style="23" customWidth="1"/>
    <col min="7" max="7" width="32.453125" style="23" customWidth="1"/>
    <col min="8" max="16384" width="11.453125" style="23"/>
  </cols>
  <sheetData>
    <row r="1" spans="1:7" x14ac:dyDescent="0.35">
      <c r="A1" s="184" t="s">
        <v>42</v>
      </c>
      <c r="B1" s="185"/>
      <c r="C1" s="185"/>
      <c r="D1" s="185"/>
      <c r="E1" s="185"/>
      <c r="F1" s="185"/>
      <c r="G1" s="185"/>
    </row>
    <row r="2" spans="1:7" s="29" customFormat="1" ht="52" x14ac:dyDescent="0.35">
      <c r="A2" s="77" t="s">
        <v>43</v>
      </c>
      <c r="B2" s="78" t="s">
        <v>44</v>
      </c>
      <c r="C2" s="78" t="s">
        <v>45</v>
      </c>
      <c r="D2" s="78" t="s">
        <v>46</v>
      </c>
      <c r="E2" s="78" t="s">
        <v>47</v>
      </c>
      <c r="F2" s="79" t="s">
        <v>48</v>
      </c>
      <c r="G2" s="79" t="s">
        <v>49</v>
      </c>
    </row>
    <row r="3" spans="1:7" s="32" customFormat="1" ht="33" x14ac:dyDescent="0.35">
      <c r="A3" s="80" t="s">
        <v>50</v>
      </c>
      <c r="B3" s="81" t="s">
        <v>51</v>
      </c>
      <c r="C3" s="81" t="s">
        <v>52</v>
      </c>
      <c r="D3" s="81" t="s">
        <v>53</v>
      </c>
      <c r="E3" s="81" t="s">
        <v>54</v>
      </c>
      <c r="F3" s="82" t="s">
        <v>55</v>
      </c>
      <c r="G3" s="82" t="s">
        <v>56</v>
      </c>
    </row>
    <row r="4" spans="1:7" ht="49.5" x14ac:dyDescent="0.35">
      <c r="A4" s="101">
        <v>1</v>
      </c>
      <c r="B4" s="91" t="s">
        <v>57</v>
      </c>
      <c r="C4" s="90" t="s">
        <v>22</v>
      </c>
      <c r="D4" s="92" t="s">
        <v>23</v>
      </c>
      <c r="E4" s="92" t="s">
        <v>24</v>
      </c>
      <c r="F4" s="90" t="s">
        <v>58</v>
      </c>
      <c r="G4" s="90" t="s">
        <v>59</v>
      </c>
    </row>
    <row r="5" spans="1:7" s="22" customFormat="1" ht="66" x14ac:dyDescent="0.35">
      <c r="A5" s="100">
        <v>2</v>
      </c>
      <c r="B5" s="83" t="s">
        <v>60</v>
      </c>
      <c r="C5" s="83" t="s">
        <v>29</v>
      </c>
      <c r="D5" s="83" t="s">
        <v>30</v>
      </c>
      <c r="E5" s="83" t="s">
        <v>31</v>
      </c>
      <c r="F5" s="83" t="s">
        <v>61</v>
      </c>
      <c r="G5" s="83" t="s">
        <v>59</v>
      </c>
    </row>
    <row r="6" spans="1:7" s="22" customFormat="1" ht="49.5" x14ac:dyDescent="0.35">
      <c r="A6" s="100">
        <v>3</v>
      </c>
      <c r="B6" s="83" t="s">
        <v>62</v>
      </c>
      <c r="C6" s="83" t="s">
        <v>32</v>
      </c>
      <c r="D6" s="83" t="s">
        <v>33</v>
      </c>
      <c r="E6" s="83" t="s">
        <v>34</v>
      </c>
      <c r="F6" s="83" t="s">
        <v>63</v>
      </c>
      <c r="G6" s="83" t="s">
        <v>59</v>
      </c>
    </row>
    <row r="7" spans="1:7" s="72" customFormat="1" ht="48" customHeight="1" thickBot="1" x14ac:dyDescent="0.4">
      <c r="A7" s="147">
        <v>4</v>
      </c>
      <c r="B7" s="93" t="s">
        <v>64</v>
      </c>
      <c r="C7" s="83" t="s">
        <v>35</v>
      </c>
      <c r="D7" s="83" t="s">
        <v>36</v>
      </c>
      <c r="E7" s="83" t="s">
        <v>37</v>
      </c>
      <c r="F7" s="83" t="s">
        <v>65</v>
      </c>
      <c r="G7" s="83" t="s">
        <v>59</v>
      </c>
    </row>
    <row r="8" spans="1:7" ht="49.5" x14ac:dyDescent="0.35">
      <c r="A8" s="85">
        <v>5</v>
      </c>
      <c r="B8" s="170" t="s">
        <v>57</v>
      </c>
      <c r="C8" s="98" t="s">
        <v>38</v>
      </c>
      <c r="D8" s="98" t="s">
        <v>39</v>
      </c>
      <c r="E8" s="98" t="s">
        <v>40</v>
      </c>
      <c r="F8" s="96" t="s">
        <v>66</v>
      </c>
      <c r="G8" s="158" t="s">
        <v>67</v>
      </c>
    </row>
    <row r="9" spans="1:7" x14ac:dyDescent="0.35">
      <c r="A9" s="19"/>
      <c r="C9" s="24"/>
      <c r="D9" s="24"/>
      <c r="E9" s="24"/>
      <c r="F9" s="22"/>
    </row>
    <row r="10" spans="1:7" x14ac:dyDescent="0.35">
      <c r="A10" s="19"/>
      <c r="C10" s="24"/>
      <c r="D10" s="24"/>
      <c r="E10" s="24"/>
      <c r="F10" s="22"/>
    </row>
    <row r="11" spans="1:7" x14ac:dyDescent="0.35">
      <c r="A11" s="19"/>
      <c r="C11" s="24"/>
      <c r="D11" s="24"/>
      <c r="E11" s="24"/>
      <c r="F11" s="22"/>
    </row>
    <row r="12" spans="1:7" x14ac:dyDescent="0.35">
      <c r="A12" s="19"/>
      <c r="C12" s="24"/>
      <c r="D12" s="24"/>
      <c r="E12" s="24"/>
      <c r="F12" s="22"/>
    </row>
    <row r="13" spans="1:7" x14ac:dyDescent="0.35">
      <c r="A13" s="19"/>
      <c r="C13" s="24"/>
      <c r="D13" s="24"/>
      <c r="E13" s="24"/>
      <c r="F13" s="22"/>
    </row>
  </sheetData>
  <mergeCells count="1">
    <mergeCell ref="A1:G1"/>
  </mergeCells>
  <dataValidations count="5">
    <dataValidation type="list" allowBlank="1" showInputMessage="1" showErrorMessage="1" sqref="F5:F6 C5:C8" xr:uid="{296160A6-FB03-49EA-93B2-DD1CAF2E1EB2}">
      <formula1>Conocimientos</formula1>
    </dataValidation>
    <dataValidation type="list" allowBlank="1" showInputMessage="1" showErrorMessage="1" sqref="C4" xr:uid="{1A0CD901-2BFB-4260-898F-EBDEADE41CFB}">
      <formula1>Saber</formula1>
    </dataValidation>
    <dataValidation type="list" allowBlank="1" showInputMessage="1" showErrorMessage="1" sqref="D4" xr:uid="{F71A54EC-549E-4138-9174-5FF19E5A9C58}">
      <formula1>Saberhacer</formula1>
    </dataValidation>
    <dataValidation type="list" allowBlank="1" showInputMessage="1" showErrorMessage="1" sqref="B4:B8" xr:uid="{7FF6EE86-2F70-4AF5-821E-634C08680A10}">
      <formula1>VerbosCompetencias</formula1>
    </dataValidation>
    <dataValidation type="list" allowBlank="1" showInputMessage="1" showErrorMessage="1" sqref="E4:E8" xr:uid="{C8CCD15D-DFB3-44B4-A182-56CCC9302568}">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0999A9-88A0-419B-85CB-39356D079CB6}">
          <x14:formula1>
            <xm:f>'Paso1 Analisis perfil egreso'!$F$3:$F$7</xm:f>
          </x14:formula1>
          <xm:sqref>D5:D8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5" customWidth="1"/>
    <col min="2" max="2" width="23.1796875" style="19" customWidth="1"/>
    <col min="3" max="3" width="23" style="23" customWidth="1"/>
    <col min="4" max="4" width="30.7265625" style="23" customWidth="1"/>
    <col min="5" max="5" width="25.54296875" style="23" customWidth="1"/>
    <col min="6" max="6" width="21.81640625" style="23" customWidth="1"/>
    <col min="7" max="7" width="27.453125" style="11" customWidth="1"/>
    <col min="8" max="8" width="20" style="11" customWidth="1"/>
    <col min="9" max="9" width="72" style="38" customWidth="1"/>
    <col min="10" max="16384" width="11.453125" style="15"/>
  </cols>
  <sheetData>
    <row r="1" spans="1:11" s="34" customFormat="1" ht="52" x14ac:dyDescent="0.35">
      <c r="A1" s="14" t="s">
        <v>68</v>
      </c>
      <c r="B1" s="14" t="s">
        <v>69</v>
      </c>
      <c r="C1" s="28" t="s">
        <v>70</v>
      </c>
      <c r="D1" s="75" t="s">
        <v>71</v>
      </c>
      <c r="E1" s="75" t="s">
        <v>72</v>
      </c>
      <c r="F1" s="28" t="s">
        <v>73</v>
      </c>
      <c r="G1" s="28" t="s">
        <v>74</v>
      </c>
      <c r="H1" s="28" t="s">
        <v>75</v>
      </c>
      <c r="I1" s="14" t="s">
        <v>76</v>
      </c>
    </row>
    <row r="2" spans="1:11" s="36" customFormat="1" x14ac:dyDescent="0.35">
      <c r="A2" s="33" t="s">
        <v>77</v>
      </c>
      <c r="B2" s="33" t="s">
        <v>78</v>
      </c>
      <c r="C2" s="30" t="s">
        <v>79</v>
      </c>
      <c r="D2" s="76" t="s">
        <v>80</v>
      </c>
      <c r="E2" s="76" t="s">
        <v>81</v>
      </c>
      <c r="F2" s="30" t="s">
        <v>82</v>
      </c>
      <c r="G2" s="30" t="s">
        <v>83</v>
      </c>
      <c r="H2" s="30" t="s">
        <v>84</v>
      </c>
      <c r="I2" s="33" t="s">
        <v>85</v>
      </c>
    </row>
    <row r="3" spans="1:11" ht="66" x14ac:dyDescent="0.35">
      <c r="A3" s="90" t="s">
        <v>58</v>
      </c>
      <c r="B3" s="101">
        <v>1</v>
      </c>
      <c r="C3" s="90" t="s">
        <v>11</v>
      </c>
      <c r="D3" s="90" t="s">
        <v>22</v>
      </c>
      <c r="E3" s="90" t="s">
        <v>86</v>
      </c>
      <c r="F3" s="91" t="s">
        <v>87</v>
      </c>
      <c r="G3" s="91" t="s">
        <v>88</v>
      </c>
      <c r="H3" s="91" t="s">
        <v>57</v>
      </c>
      <c r="I3" s="102" t="s">
        <v>89</v>
      </c>
    </row>
    <row r="4" spans="1:11" ht="66" x14ac:dyDescent="0.5">
      <c r="A4" s="84" t="s">
        <v>58</v>
      </c>
      <c r="B4" s="103">
        <v>4</v>
      </c>
      <c r="C4" s="84" t="s">
        <v>12</v>
      </c>
      <c r="D4" s="84" t="s">
        <v>23</v>
      </c>
      <c r="E4" s="84" t="s">
        <v>86</v>
      </c>
      <c r="F4" s="94" t="s">
        <v>90</v>
      </c>
      <c r="G4" s="94" t="s">
        <v>91</v>
      </c>
      <c r="H4" s="94" t="s">
        <v>92</v>
      </c>
      <c r="I4" s="149" t="s">
        <v>93</v>
      </c>
      <c r="K4" s="63"/>
    </row>
    <row r="5" spans="1:11" ht="66.5" thickBot="1" x14ac:dyDescent="0.4">
      <c r="A5" s="104" t="s">
        <v>58</v>
      </c>
      <c r="B5" s="105">
        <v>8</v>
      </c>
      <c r="C5" s="104" t="s">
        <v>13</v>
      </c>
      <c r="D5" s="104" t="s">
        <v>24</v>
      </c>
      <c r="E5" s="104" t="s">
        <v>86</v>
      </c>
      <c r="F5" s="106" t="s">
        <v>94</v>
      </c>
      <c r="G5" s="106" t="s">
        <v>95</v>
      </c>
      <c r="H5" s="106" t="s">
        <v>64</v>
      </c>
      <c r="I5" s="152" t="s">
        <v>96</v>
      </c>
    </row>
    <row r="6" spans="1:11" s="24" customFormat="1" ht="66" x14ac:dyDescent="0.35">
      <c r="A6" s="84" t="s">
        <v>61</v>
      </c>
      <c r="B6" s="97">
        <v>2</v>
      </c>
      <c r="C6" s="96" t="s">
        <v>11</v>
      </c>
      <c r="D6" s="96" t="s">
        <v>29</v>
      </c>
      <c r="E6" s="90" t="s">
        <v>86</v>
      </c>
      <c r="F6" s="91" t="s">
        <v>87</v>
      </c>
      <c r="G6" s="99" t="s">
        <v>97</v>
      </c>
      <c r="H6" s="11" t="s">
        <v>98</v>
      </c>
      <c r="I6" s="165" t="s">
        <v>99</v>
      </c>
    </row>
    <row r="7" spans="1:11" s="24" customFormat="1" ht="66" x14ac:dyDescent="0.35">
      <c r="A7" s="95" t="s">
        <v>61</v>
      </c>
      <c r="B7" s="100">
        <v>5</v>
      </c>
      <c r="C7" s="83" t="s">
        <v>12</v>
      </c>
      <c r="D7" s="83" t="s">
        <v>30</v>
      </c>
      <c r="E7" s="83" t="s">
        <v>86</v>
      </c>
      <c r="F7" s="93" t="s">
        <v>90</v>
      </c>
      <c r="G7" s="166" t="s">
        <v>97</v>
      </c>
      <c r="H7" s="11" t="s">
        <v>60</v>
      </c>
      <c r="I7" s="150" t="s">
        <v>100</v>
      </c>
    </row>
    <row r="8" spans="1:11" s="24" customFormat="1" ht="66.5" thickBot="1" x14ac:dyDescent="0.4">
      <c r="A8" s="41" t="s">
        <v>61</v>
      </c>
      <c r="B8" s="107">
        <v>8</v>
      </c>
      <c r="C8" s="108" t="s">
        <v>13</v>
      </c>
      <c r="D8" s="108" t="s">
        <v>31</v>
      </c>
      <c r="E8" s="108" t="s">
        <v>86</v>
      </c>
      <c r="F8" s="109" t="s">
        <v>94</v>
      </c>
      <c r="G8" s="109" t="s">
        <v>95</v>
      </c>
      <c r="H8" s="109" t="s">
        <v>64</v>
      </c>
      <c r="I8" s="152" t="s">
        <v>96</v>
      </c>
    </row>
    <row r="9" spans="1:11" s="27" customFormat="1" ht="66" x14ac:dyDescent="0.35">
      <c r="A9" s="95" t="s">
        <v>63</v>
      </c>
      <c r="B9" s="97">
        <v>1</v>
      </c>
      <c r="C9" s="96" t="s">
        <v>11</v>
      </c>
      <c r="D9" s="96" t="s">
        <v>32</v>
      </c>
      <c r="E9" s="98" t="s">
        <v>86</v>
      </c>
      <c r="F9" s="99" t="s">
        <v>87</v>
      </c>
      <c r="G9" s="99" t="s">
        <v>88</v>
      </c>
      <c r="H9" s="99" t="s">
        <v>57</v>
      </c>
      <c r="I9" s="151" t="s">
        <v>89</v>
      </c>
    </row>
    <row r="10" spans="1:11" s="27" customFormat="1" ht="66" x14ac:dyDescent="0.35">
      <c r="A10" s="95" t="s">
        <v>63</v>
      </c>
      <c r="B10" s="100">
        <v>6</v>
      </c>
      <c r="C10" s="83" t="s">
        <v>12</v>
      </c>
      <c r="D10" s="83" t="s">
        <v>33</v>
      </c>
      <c r="E10" s="84" t="s">
        <v>86</v>
      </c>
      <c r="F10" s="94" t="s">
        <v>90</v>
      </c>
      <c r="G10" s="94" t="s">
        <v>91</v>
      </c>
      <c r="H10" s="94" t="s">
        <v>92</v>
      </c>
      <c r="I10" s="149" t="s">
        <v>101</v>
      </c>
    </row>
    <row r="11" spans="1:11" s="27" customFormat="1" ht="66.5" thickBot="1" x14ac:dyDescent="0.4">
      <c r="A11" s="41" t="s">
        <v>63</v>
      </c>
      <c r="B11" s="107">
        <v>8</v>
      </c>
      <c r="C11" s="108" t="s">
        <v>13</v>
      </c>
      <c r="D11" s="108" t="s">
        <v>34</v>
      </c>
      <c r="E11" s="104" t="s">
        <v>86</v>
      </c>
      <c r="F11" s="106" t="s">
        <v>94</v>
      </c>
      <c r="G11" s="106" t="s">
        <v>95</v>
      </c>
      <c r="H11" s="106" t="s">
        <v>64</v>
      </c>
      <c r="I11" s="152" t="s">
        <v>96</v>
      </c>
    </row>
    <row r="12" spans="1:11" ht="49.5" x14ac:dyDescent="0.35">
      <c r="A12" s="96" t="s">
        <v>102</v>
      </c>
      <c r="B12" s="97">
        <v>3</v>
      </c>
      <c r="C12" s="96" t="s">
        <v>11</v>
      </c>
      <c r="D12" s="96" t="s">
        <v>35</v>
      </c>
      <c r="E12" s="98" t="s">
        <v>86</v>
      </c>
      <c r="F12" s="99" t="s">
        <v>87</v>
      </c>
      <c r="G12" s="99" t="s">
        <v>103</v>
      </c>
      <c r="H12" s="99" t="s">
        <v>104</v>
      </c>
      <c r="I12" s="151" t="s">
        <v>105</v>
      </c>
    </row>
    <row r="13" spans="1:11" ht="49.5" x14ac:dyDescent="0.35">
      <c r="A13" s="83" t="s">
        <v>102</v>
      </c>
      <c r="B13" s="100">
        <v>7</v>
      </c>
      <c r="C13" s="83" t="s">
        <v>12</v>
      </c>
      <c r="D13" s="83" t="s">
        <v>36</v>
      </c>
      <c r="E13" s="84" t="s">
        <v>86</v>
      </c>
      <c r="F13" s="94" t="s">
        <v>90</v>
      </c>
      <c r="G13" s="94" t="s">
        <v>91</v>
      </c>
      <c r="H13" s="94" t="s">
        <v>92</v>
      </c>
      <c r="I13" s="150" t="s">
        <v>106</v>
      </c>
    </row>
    <row r="14" spans="1:11" ht="66.5" thickBot="1" x14ac:dyDescent="0.4">
      <c r="A14" s="41" t="s">
        <v>102</v>
      </c>
      <c r="B14" s="107">
        <v>8</v>
      </c>
      <c r="C14" s="110" t="s">
        <v>13</v>
      </c>
      <c r="D14" s="108" t="s">
        <v>37</v>
      </c>
      <c r="E14" s="104" t="s">
        <v>86</v>
      </c>
      <c r="F14" s="106" t="s">
        <v>94</v>
      </c>
      <c r="G14" s="106" t="s">
        <v>95</v>
      </c>
      <c r="H14" s="106" t="s">
        <v>64</v>
      </c>
      <c r="I14" s="152" t="s">
        <v>96</v>
      </c>
    </row>
    <row r="15" spans="1:11" ht="49.5" x14ac:dyDescent="0.35">
      <c r="A15" s="171" t="s">
        <v>66</v>
      </c>
      <c r="B15" s="172">
        <v>9</v>
      </c>
      <c r="C15" s="95" t="s">
        <v>11</v>
      </c>
      <c r="D15" s="158" t="s">
        <v>38</v>
      </c>
      <c r="E15" s="98" t="s">
        <v>86</v>
      </c>
      <c r="F15" s="173" t="s">
        <v>87</v>
      </c>
      <c r="G15" s="173" t="s">
        <v>97</v>
      </c>
      <c r="H15" s="173" t="s">
        <v>104</v>
      </c>
      <c r="I15" s="158" t="s">
        <v>107</v>
      </c>
    </row>
    <row r="16" spans="1:11" x14ac:dyDescent="0.35">
      <c r="A16" s="22"/>
      <c r="C16" s="22"/>
      <c r="D16" s="22"/>
      <c r="E16" s="22"/>
      <c r="F16" s="22"/>
      <c r="G16" s="2"/>
      <c r="H16" s="2"/>
      <c r="I16" s="15"/>
    </row>
    <row r="17" spans="1:9" x14ac:dyDescent="0.35">
      <c r="A17" s="22"/>
      <c r="C17" s="22"/>
      <c r="D17" s="22"/>
      <c r="E17" s="22"/>
      <c r="F17" s="22"/>
      <c r="G17" s="2"/>
      <c r="H17" s="2"/>
      <c r="I17" s="15"/>
    </row>
    <row r="18" spans="1:9" x14ac:dyDescent="0.35">
      <c r="A18" s="22"/>
      <c r="C18" s="22"/>
      <c r="D18" s="22"/>
      <c r="E18" s="22"/>
      <c r="F18" s="22"/>
      <c r="G18" s="2"/>
      <c r="H18" s="2"/>
      <c r="I18" s="15"/>
    </row>
    <row r="19" spans="1:9" x14ac:dyDescent="0.35">
      <c r="A19" s="22"/>
      <c r="C19" s="22"/>
      <c r="D19" s="22"/>
      <c r="E19" s="22"/>
      <c r="F19" s="22"/>
      <c r="G19" s="2"/>
      <c r="H19" s="2"/>
      <c r="I19" s="22"/>
    </row>
    <row r="20" spans="1:9" x14ac:dyDescent="0.35">
      <c r="A20" s="22"/>
      <c r="C20" s="22"/>
      <c r="D20" s="22"/>
      <c r="E20" s="22"/>
      <c r="F20" s="22"/>
      <c r="G20" s="2"/>
      <c r="H20" s="2"/>
      <c r="I20" s="15"/>
    </row>
    <row r="21" spans="1:9" x14ac:dyDescent="0.35">
      <c r="A21" s="22"/>
      <c r="C21" s="22"/>
      <c r="D21" s="22"/>
      <c r="E21" s="22"/>
      <c r="F21" s="22"/>
      <c r="G21" s="2"/>
      <c r="H21" s="2"/>
      <c r="I21" s="22"/>
    </row>
    <row r="22" spans="1:9" x14ac:dyDescent="0.35">
      <c r="A22" s="22"/>
      <c r="C22" s="22"/>
      <c r="D22" s="22"/>
      <c r="E22" s="22"/>
      <c r="F22" s="22"/>
      <c r="G22" s="2"/>
      <c r="H22" s="2"/>
      <c r="I22" s="15"/>
    </row>
    <row r="24" spans="1:9" x14ac:dyDescent="0.5">
      <c r="A24" s="25"/>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76"/>
  <sheetViews>
    <sheetView zoomScaleNormal="100" workbookViewId="0"/>
  </sheetViews>
  <sheetFormatPr baseColWidth="10" defaultColWidth="11.453125" defaultRowHeight="16.5" x14ac:dyDescent="0.35"/>
  <cols>
    <col min="1" max="1" width="77" style="11" customWidth="1"/>
    <col min="2" max="2" width="38.54296875" style="47" customWidth="1"/>
    <col min="3" max="3" width="58.81640625" style="11" customWidth="1"/>
    <col min="4" max="4" width="61.54296875" style="11" customWidth="1"/>
    <col min="5" max="5" width="48.26953125" style="11" customWidth="1"/>
    <col min="6" max="6" width="47.7265625" style="11" customWidth="1"/>
    <col min="7" max="16384" width="11.453125" style="11"/>
  </cols>
  <sheetData>
    <row r="1" spans="1:6" ht="78" x14ac:dyDescent="0.35">
      <c r="A1" s="14" t="s">
        <v>108</v>
      </c>
      <c r="B1" s="14" t="s">
        <v>109</v>
      </c>
      <c r="C1" s="14" t="s">
        <v>110</v>
      </c>
      <c r="D1" s="14" t="s">
        <v>111</v>
      </c>
      <c r="E1" s="14" t="s">
        <v>112</v>
      </c>
      <c r="F1" s="14" t="s">
        <v>113</v>
      </c>
    </row>
    <row r="2" spans="1:6" ht="33.5" thickBot="1" x14ac:dyDescent="0.4">
      <c r="A2" s="33" t="s">
        <v>114</v>
      </c>
      <c r="B2" s="33" t="s">
        <v>115</v>
      </c>
      <c r="C2" s="33" t="s">
        <v>116</v>
      </c>
      <c r="D2" s="33" t="s">
        <v>117</v>
      </c>
      <c r="E2" s="33" t="s">
        <v>118</v>
      </c>
      <c r="F2" s="33" t="s">
        <v>119</v>
      </c>
    </row>
    <row r="3" spans="1:6" ht="49.5" x14ac:dyDescent="0.35">
      <c r="A3" s="16" t="s">
        <v>89</v>
      </c>
      <c r="B3" s="204" t="s">
        <v>120</v>
      </c>
      <c r="C3" s="205" t="s">
        <v>121</v>
      </c>
      <c r="D3" s="43" t="s">
        <v>122</v>
      </c>
      <c r="E3" s="203" t="s">
        <v>123</v>
      </c>
      <c r="F3" s="46" t="s">
        <v>124</v>
      </c>
    </row>
    <row r="4" spans="1:6" ht="33" x14ac:dyDescent="0.35">
      <c r="A4" s="23" t="s">
        <v>93</v>
      </c>
      <c r="B4" s="187"/>
      <c r="C4" s="206"/>
      <c r="D4" s="42" t="s">
        <v>125</v>
      </c>
      <c r="E4" s="199"/>
      <c r="F4" s="23" t="s">
        <v>126</v>
      </c>
    </row>
    <row r="5" spans="1:6" ht="33" x14ac:dyDescent="0.35">
      <c r="A5" s="23" t="s">
        <v>99</v>
      </c>
      <c r="B5" s="187"/>
      <c r="C5" s="206"/>
      <c r="D5" s="42" t="s">
        <v>127</v>
      </c>
      <c r="E5" s="199"/>
      <c r="F5" s="23" t="s">
        <v>128</v>
      </c>
    </row>
    <row r="6" spans="1:6" ht="49.5" x14ac:dyDescent="0.35">
      <c r="A6" s="23" t="s">
        <v>101</v>
      </c>
      <c r="B6" s="187"/>
      <c r="C6" s="206"/>
      <c r="D6" s="42"/>
      <c r="E6" s="199"/>
      <c r="F6" s="23"/>
    </row>
    <row r="7" spans="1:6" ht="50" thickBot="1" x14ac:dyDescent="0.4">
      <c r="A7" s="23" t="s">
        <v>100</v>
      </c>
      <c r="B7" s="187"/>
      <c r="C7" s="206"/>
      <c r="D7" s="42"/>
      <c r="E7" s="199"/>
      <c r="F7" s="23"/>
    </row>
    <row r="8" spans="1:6" ht="49.5" x14ac:dyDescent="0.35">
      <c r="A8" s="46" t="s">
        <v>89</v>
      </c>
      <c r="B8" s="186" t="s">
        <v>129</v>
      </c>
      <c r="C8" s="208" t="s">
        <v>130</v>
      </c>
      <c r="D8" s="45" t="s">
        <v>122</v>
      </c>
      <c r="E8" s="192" t="s">
        <v>131</v>
      </c>
      <c r="F8" s="46" t="s">
        <v>124</v>
      </c>
    </row>
    <row r="9" spans="1:6" ht="33" x14ac:dyDescent="0.35">
      <c r="A9" s="23" t="s">
        <v>99</v>
      </c>
      <c r="B9" s="187"/>
      <c r="C9" s="206"/>
      <c r="D9" s="42" t="s">
        <v>125</v>
      </c>
      <c r="E9" s="193"/>
      <c r="F9" s="23" t="s">
        <v>126</v>
      </c>
    </row>
    <row r="10" spans="1:6" ht="49.5" x14ac:dyDescent="0.35">
      <c r="A10" s="23" t="s">
        <v>96</v>
      </c>
      <c r="B10" s="187"/>
      <c r="C10" s="206"/>
      <c r="D10" s="42" t="s">
        <v>132</v>
      </c>
      <c r="E10" s="193"/>
      <c r="F10" s="23" t="s">
        <v>128</v>
      </c>
    </row>
    <row r="11" spans="1:6" ht="33" x14ac:dyDescent="0.35">
      <c r="A11" s="23" t="s">
        <v>105</v>
      </c>
      <c r="B11" s="187"/>
      <c r="C11" s="206"/>
      <c r="E11" s="193"/>
    </row>
    <row r="12" spans="1:6" ht="33.5" thickBot="1" x14ac:dyDescent="0.4">
      <c r="A12" s="39" t="s">
        <v>105</v>
      </c>
      <c r="B12" s="207"/>
      <c r="C12" s="209"/>
      <c r="D12" s="154"/>
      <c r="E12" s="202"/>
      <c r="F12" s="39"/>
    </row>
    <row r="13" spans="1:6" ht="33" x14ac:dyDescent="0.35">
      <c r="A13" s="46" t="s">
        <v>93</v>
      </c>
      <c r="B13" s="192" t="s">
        <v>133</v>
      </c>
      <c r="C13" s="208" t="s">
        <v>134</v>
      </c>
      <c r="D13" s="45" t="s">
        <v>122</v>
      </c>
      <c r="E13" s="192" t="s">
        <v>135</v>
      </c>
      <c r="F13" s="46" t="s">
        <v>136</v>
      </c>
    </row>
    <row r="14" spans="1:6" ht="33" x14ac:dyDescent="0.35">
      <c r="A14" s="23" t="s">
        <v>99</v>
      </c>
      <c r="B14" s="193"/>
      <c r="C14" s="206"/>
      <c r="D14" s="42" t="s">
        <v>137</v>
      </c>
      <c r="E14" s="193"/>
      <c r="F14" s="23" t="s">
        <v>126</v>
      </c>
    </row>
    <row r="15" spans="1:6" ht="49.5" x14ac:dyDescent="0.35">
      <c r="A15" s="23" t="s">
        <v>101</v>
      </c>
      <c r="B15" s="193"/>
      <c r="C15" s="206"/>
      <c r="D15" s="42" t="s">
        <v>138</v>
      </c>
      <c r="E15" s="193"/>
      <c r="F15" s="23" t="s">
        <v>128</v>
      </c>
    </row>
    <row r="16" spans="1:6" ht="49.5" x14ac:dyDescent="0.35">
      <c r="A16" s="23" t="s">
        <v>100</v>
      </c>
      <c r="B16" s="193"/>
      <c r="C16" s="206"/>
      <c r="E16" s="193"/>
    </row>
    <row r="17" spans="1:6" ht="50" thickBot="1" x14ac:dyDescent="0.4">
      <c r="A17" s="39" t="s">
        <v>96</v>
      </c>
      <c r="B17" s="193"/>
      <c r="C17" s="206"/>
      <c r="D17" s="44"/>
      <c r="E17" s="193"/>
      <c r="F17" s="39"/>
    </row>
    <row r="18" spans="1:6" ht="49.5" x14ac:dyDescent="0.35">
      <c r="A18" s="23" t="s">
        <v>96</v>
      </c>
      <c r="B18" s="192" t="s">
        <v>139</v>
      </c>
      <c r="C18" s="189" t="s">
        <v>140</v>
      </c>
      <c r="D18" s="42" t="s">
        <v>122</v>
      </c>
      <c r="E18" s="192" t="s">
        <v>141</v>
      </c>
      <c r="F18" s="23" t="s">
        <v>124</v>
      </c>
    </row>
    <row r="19" spans="1:6" ht="49.5" x14ac:dyDescent="0.35">
      <c r="A19" s="23" t="s">
        <v>89</v>
      </c>
      <c r="B19" s="193"/>
      <c r="C19" s="190"/>
      <c r="D19" s="42" t="s">
        <v>125</v>
      </c>
      <c r="E19" s="193"/>
      <c r="F19" s="23" t="s">
        <v>126</v>
      </c>
    </row>
    <row r="20" spans="1:6" ht="33" x14ac:dyDescent="0.35">
      <c r="A20" s="23" t="s">
        <v>93</v>
      </c>
      <c r="B20" s="193"/>
      <c r="C20" s="190"/>
      <c r="D20" s="42" t="s">
        <v>142</v>
      </c>
      <c r="E20" s="193"/>
      <c r="F20" s="23" t="s">
        <v>128</v>
      </c>
    </row>
    <row r="21" spans="1:6" ht="33" x14ac:dyDescent="0.35">
      <c r="A21" s="23" t="s">
        <v>105</v>
      </c>
      <c r="B21" s="193"/>
      <c r="C21" s="190"/>
      <c r="E21" s="193"/>
    </row>
    <row r="22" spans="1:6" ht="33.5" thickBot="1" x14ac:dyDescent="0.4">
      <c r="A22" s="39" t="s">
        <v>106</v>
      </c>
      <c r="B22" s="202"/>
      <c r="C22" s="201"/>
      <c r="D22" s="40"/>
      <c r="E22" s="202"/>
      <c r="F22" s="40"/>
    </row>
    <row r="23" spans="1:6" ht="33" x14ac:dyDescent="0.35">
      <c r="A23" s="46" t="s">
        <v>99</v>
      </c>
      <c r="B23" s="198" t="s">
        <v>143</v>
      </c>
      <c r="C23" s="189" t="s">
        <v>144</v>
      </c>
      <c r="D23" s="45" t="s">
        <v>122</v>
      </c>
      <c r="E23" s="192" t="s">
        <v>145</v>
      </c>
      <c r="F23" s="46" t="s">
        <v>124</v>
      </c>
    </row>
    <row r="24" spans="1:6" ht="49.5" x14ac:dyDescent="0.35">
      <c r="A24" s="23" t="s">
        <v>96</v>
      </c>
      <c r="B24" s="199"/>
      <c r="C24" s="190"/>
      <c r="D24" s="42" t="s">
        <v>125</v>
      </c>
      <c r="E24" s="193"/>
      <c r="F24" s="23" t="s">
        <v>126</v>
      </c>
    </row>
    <row r="25" spans="1:6" ht="49.5" x14ac:dyDescent="0.35">
      <c r="A25" s="23" t="s">
        <v>100</v>
      </c>
      <c r="B25" s="199"/>
      <c r="C25" s="190"/>
      <c r="D25" s="23" t="s">
        <v>146</v>
      </c>
      <c r="E25" s="193"/>
      <c r="F25" s="23" t="s">
        <v>128</v>
      </c>
    </row>
    <row r="26" spans="1:6" ht="49.5" x14ac:dyDescent="0.35">
      <c r="A26" s="23" t="s">
        <v>101</v>
      </c>
      <c r="B26" s="199"/>
      <c r="C26" s="190"/>
      <c r="E26" s="193"/>
    </row>
    <row r="27" spans="1:6" ht="33.5" thickBot="1" x14ac:dyDescent="0.4">
      <c r="A27" s="39" t="s">
        <v>106</v>
      </c>
      <c r="B27" s="200"/>
      <c r="C27" s="201"/>
      <c r="D27" s="39"/>
      <c r="E27" s="202"/>
      <c r="F27" s="40"/>
    </row>
    <row r="28" spans="1:6" ht="33" x14ac:dyDescent="0.35">
      <c r="A28" s="23" t="s">
        <v>99</v>
      </c>
      <c r="B28" s="195" t="s">
        <v>147</v>
      </c>
      <c r="C28" s="189" t="s">
        <v>148</v>
      </c>
      <c r="D28" s="23" t="s">
        <v>122</v>
      </c>
      <c r="E28" s="192" t="s">
        <v>149</v>
      </c>
      <c r="F28" s="46" t="s">
        <v>124</v>
      </c>
    </row>
    <row r="29" spans="1:6" ht="49.5" x14ac:dyDescent="0.35">
      <c r="A29" s="23" t="s">
        <v>96</v>
      </c>
      <c r="B29" s="196"/>
      <c r="C29" s="190"/>
      <c r="D29" s="23" t="s">
        <v>150</v>
      </c>
      <c r="E29" s="193"/>
      <c r="F29" s="23" t="s">
        <v>126</v>
      </c>
    </row>
    <row r="30" spans="1:6" ht="49.5" x14ac:dyDescent="0.35">
      <c r="A30" s="23" t="s">
        <v>100</v>
      </c>
      <c r="B30" s="196"/>
      <c r="C30" s="190"/>
      <c r="D30" s="23" t="s">
        <v>151</v>
      </c>
      <c r="E30" s="193"/>
      <c r="F30" s="23" t="s">
        <v>128</v>
      </c>
    </row>
    <row r="31" spans="1:6" ht="49.5" x14ac:dyDescent="0.35">
      <c r="A31" s="23" t="s">
        <v>101</v>
      </c>
      <c r="B31" s="196"/>
      <c r="C31" s="190"/>
      <c r="E31" s="193"/>
    </row>
    <row r="32" spans="1:6" ht="33.5" thickBot="1" x14ac:dyDescent="0.4">
      <c r="A32" s="73" t="s">
        <v>105</v>
      </c>
      <c r="B32" s="197"/>
      <c r="C32" s="191"/>
      <c r="D32" s="154"/>
      <c r="E32" s="194"/>
      <c r="F32" s="23"/>
    </row>
    <row r="33" spans="1:6" ht="33" x14ac:dyDescent="0.35">
      <c r="A33" s="23" t="s">
        <v>99</v>
      </c>
      <c r="B33" s="195" t="s">
        <v>152</v>
      </c>
      <c r="C33" s="189" t="s">
        <v>153</v>
      </c>
      <c r="D33" s="23" t="s">
        <v>122</v>
      </c>
      <c r="E33" s="192" t="s">
        <v>154</v>
      </c>
      <c r="F33" s="46" t="s">
        <v>124</v>
      </c>
    </row>
    <row r="34" spans="1:6" ht="49.5" x14ac:dyDescent="0.35">
      <c r="A34" s="23" t="s">
        <v>89</v>
      </c>
      <c r="B34" s="196"/>
      <c r="C34" s="190"/>
      <c r="D34" s="23" t="s">
        <v>155</v>
      </c>
      <c r="E34" s="193"/>
      <c r="F34" s="23" t="s">
        <v>126</v>
      </c>
    </row>
    <row r="35" spans="1:6" ht="49.5" x14ac:dyDescent="0.35">
      <c r="A35" s="23" t="s">
        <v>96</v>
      </c>
      <c r="B35" s="196"/>
      <c r="C35" s="190"/>
      <c r="D35" s="23" t="s">
        <v>156</v>
      </c>
      <c r="E35" s="193"/>
      <c r="F35" s="23" t="s">
        <v>128</v>
      </c>
    </row>
    <row r="36" spans="1:6" ht="49.5" x14ac:dyDescent="0.35">
      <c r="A36" s="23" t="s">
        <v>100</v>
      </c>
      <c r="B36" s="196"/>
      <c r="C36" s="190"/>
      <c r="D36" s="23"/>
      <c r="E36" s="193"/>
    </row>
    <row r="37" spans="1:6" ht="33.5" thickBot="1" x14ac:dyDescent="0.4">
      <c r="A37" s="73" t="s">
        <v>106</v>
      </c>
      <c r="B37" s="197"/>
      <c r="C37" s="191"/>
      <c r="D37" s="44"/>
      <c r="E37" s="194"/>
      <c r="F37" s="39"/>
    </row>
    <row r="38" spans="1:6" ht="33" x14ac:dyDescent="0.35">
      <c r="A38" s="23" t="s">
        <v>99</v>
      </c>
      <c r="B38" s="186" t="s">
        <v>157</v>
      </c>
      <c r="C38" s="189" t="s">
        <v>158</v>
      </c>
      <c r="D38" s="23" t="s">
        <v>122</v>
      </c>
      <c r="E38" s="192" t="s">
        <v>159</v>
      </c>
      <c r="F38" s="46" t="s">
        <v>124</v>
      </c>
    </row>
    <row r="39" spans="1:6" ht="49.5" x14ac:dyDescent="0.35">
      <c r="A39" s="23" t="s">
        <v>89</v>
      </c>
      <c r="B39" s="187"/>
      <c r="C39" s="190"/>
      <c r="D39" s="23" t="s">
        <v>160</v>
      </c>
      <c r="E39" s="193"/>
      <c r="F39" s="23" t="s">
        <v>126</v>
      </c>
    </row>
    <row r="40" spans="1:6" ht="49.5" x14ac:dyDescent="0.35">
      <c r="A40" s="23" t="s">
        <v>100</v>
      </c>
      <c r="B40" s="187"/>
      <c r="C40" s="190"/>
      <c r="D40" s="42" t="s">
        <v>151</v>
      </c>
      <c r="E40" s="193"/>
      <c r="F40" s="23" t="s">
        <v>128</v>
      </c>
    </row>
    <row r="41" spans="1:6" ht="33" x14ac:dyDescent="0.35">
      <c r="A41" s="23" t="s">
        <v>93</v>
      </c>
      <c r="B41" s="187"/>
      <c r="C41" s="190"/>
      <c r="E41" s="193"/>
    </row>
    <row r="42" spans="1:6" ht="50" thickBot="1" x14ac:dyDescent="0.4">
      <c r="A42" s="73" t="s">
        <v>96</v>
      </c>
      <c r="B42" s="188"/>
      <c r="C42" s="191"/>
      <c r="D42" s="74"/>
      <c r="E42" s="194"/>
      <c r="F42" s="74"/>
    </row>
    <row r="43" spans="1:6" ht="33" x14ac:dyDescent="0.35">
      <c r="A43" s="23" t="s">
        <v>99</v>
      </c>
      <c r="B43" s="186" t="s">
        <v>161</v>
      </c>
      <c r="C43" s="189" t="s">
        <v>162</v>
      </c>
      <c r="D43" s="23" t="s">
        <v>122</v>
      </c>
      <c r="E43" s="192" t="s">
        <v>163</v>
      </c>
      <c r="F43" s="46" t="s">
        <v>124</v>
      </c>
    </row>
    <row r="44" spans="1:6" ht="49.5" x14ac:dyDescent="0.35">
      <c r="A44" s="23" t="s">
        <v>96</v>
      </c>
      <c r="B44" s="187"/>
      <c r="C44" s="190"/>
      <c r="D44" s="23" t="s">
        <v>164</v>
      </c>
      <c r="E44" s="193"/>
      <c r="F44" s="11" t="s">
        <v>165</v>
      </c>
    </row>
    <row r="45" spans="1:6" ht="49.5" x14ac:dyDescent="0.35">
      <c r="A45" s="23" t="s">
        <v>100</v>
      </c>
      <c r="B45" s="187"/>
      <c r="C45" s="190"/>
      <c r="D45" s="42" t="s">
        <v>151</v>
      </c>
      <c r="E45" s="193"/>
      <c r="F45" s="11" t="s">
        <v>128</v>
      </c>
    </row>
    <row r="46" spans="1:6" ht="49.5" x14ac:dyDescent="0.35">
      <c r="A46" s="23" t="s">
        <v>101</v>
      </c>
      <c r="B46" s="187"/>
      <c r="C46" s="190"/>
      <c r="D46" s="42"/>
      <c r="E46" s="193"/>
    </row>
    <row r="47" spans="1:6" ht="33.5" thickBot="1" x14ac:dyDescent="0.4">
      <c r="A47" s="73" t="s">
        <v>106</v>
      </c>
      <c r="B47" s="188"/>
      <c r="C47" s="191"/>
      <c r="D47" s="74"/>
      <c r="E47" s="194"/>
      <c r="F47" s="74"/>
    </row>
    <row r="48" spans="1:6" ht="49.5" x14ac:dyDescent="0.35">
      <c r="A48" s="23" t="s">
        <v>96</v>
      </c>
      <c r="B48" s="186" t="s">
        <v>166</v>
      </c>
      <c r="C48" s="189" t="s">
        <v>167</v>
      </c>
      <c r="D48" s="23" t="s">
        <v>122</v>
      </c>
      <c r="E48" s="192" t="s">
        <v>168</v>
      </c>
      <c r="F48" s="46" t="s">
        <v>124</v>
      </c>
    </row>
    <row r="49" spans="1:6" ht="33" x14ac:dyDescent="0.35">
      <c r="A49" s="23" t="s">
        <v>93</v>
      </c>
      <c r="B49" s="187"/>
      <c r="C49" s="190"/>
      <c r="D49" s="23" t="s">
        <v>150</v>
      </c>
      <c r="E49" s="193"/>
      <c r="F49" s="11" t="s">
        <v>165</v>
      </c>
    </row>
    <row r="50" spans="1:6" ht="49.5" x14ac:dyDescent="0.35">
      <c r="A50" s="23" t="s">
        <v>89</v>
      </c>
      <c r="B50" s="187"/>
      <c r="C50" s="190"/>
      <c r="D50" s="42" t="s">
        <v>151</v>
      </c>
      <c r="E50" s="193"/>
      <c r="F50" s="11" t="s">
        <v>128</v>
      </c>
    </row>
    <row r="51" spans="1:6" ht="49.5" x14ac:dyDescent="0.35">
      <c r="A51" s="23" t="s">
        <v>101</v>
      </c>
      <c r="B51" s="187"/>
      <c r="C51" s="190"/>
      <c r="D51" s="42"/>
      <c r="E51" s="193"/>
    </row>
    <row r="52" spans="1:6" ht="33.5" thickBot="1" x14ac:dyDescent="0.4">
      <c r="A52" s="73" t="s">
        <v>105</v>
      </c>
      <c r="B52" s="188"/>
      <c r="C52" s="191"/>
      <c r="D52" s="74"/>
      <c r="E52" s="194"/>
      <c r="F52" s="74"/>
    </row>
    <row r="53" spans="1:6" ht="49.5" x14ac:dyDescent="0.35">
      <c r="A53" s="23" t="s">
        <v>89</v>
      </c>
      <c r="B53" s="186" t="s">
        <v>169</v>
      </c>
      <c r="C53" s="189" t="s">
        <v>170</v>
      </c>
      <c r="D53" s="23" t="s">
        <v>122</v>
      </c>
      <c r="E53" s="192" t="s">
        <v>171</v>
      </c>
      <c r="F53" s="46" t="s">
        <v>124</v>
      </c>
    </row>
    <row r="54" spans="1:6" ht="33" x14ac:dyDescent="0.35">
      <c r="A54" s="23" t="s">
        <v>93</v>
      </c>
      <c r="B54" s="187"/>
      <c r="C54" s="190"/>
      <c r="D54" s="23" t="s">
        <v>172</v>
      </c>
      <c r="E54" s="193"/>
      <c r="F54" s="11" t="s">
        <v>165</v>
      </c>
    </row>
    <row r="55" spans="1:6" ht="49.5" x14ac:dyDescent="0.35">
      <c r="A55" s="23" t="s">
        <v>96</v>
      </c>
      <c r="B55" s="187"/>
      <c r="C55" s="190"/>
      <c r="D55" s="42" t="s">
        <v>151</v>
      </c>
      <c r="E55" s="193"/>
      <c r="F55" s="11" t="s">
        <v>128</v>
      </c>
    </row>
    <row r="56" spans="1:6" ht="49.5" x14ac:dyDescent="0.35">
      <c r="A56" s="23" t="s">
        <v>100</v>
      </c>
      <c r="B56" s="187"/>
      <c r="C56" s="190"/>
      <c r="D56" s="42"/>
      <c r="E56" s="193"/>
    </row>
    <row r="57" spans="1:6" ht="50" thickBot="1" x14ac:dyDescent="0.4">
      <c r="A57" s="73" t="s">
        <v>101</v>
      </c>
      <c r="B57" s="188"/>
      <c r="C57" s="191"/>
      <c r="D57" s="74"/>
      <c r="E57" s="194"/>
      <c r="F57" s="74"/>
    </row>
    <row r="58" spans="1:6" ht="49.5" x14ac:dyDescent="0.35">
      <c r="A58" s="23" t="s">
        <v>89</v>
      </c>
      <c r="B58" s="186" t="s">
        <v>173</v>
      </c>
      <c r="C58" s="189" t="s">
        <v>174</v>
      </c>
      <c r="D58" s="23" t="s">
        <v>122</v>
      </c>
      <c r="E58" s="192" t="s">
        <v>175</v>
      </c>
      <c r="F58" s="11" t="s">
        <v>124</v>
      </c>
    </row>
    <row r="59" spans="1:6" ht="33" x14ac:dyDescent="0.35">
      <c r="A59" s="23" t="s">
        <v>99</v>
      </c>
      <c r="B59" s="187"/>
      <c r="C59" s="190"/>
      <c r="D59" s="11" t="s">
        <v>125</v>
      </c>
      <c r="E59" s="193"/>
      <c r="F59" s="11" t="s">
        <v>126</v>
      </c>
    </row>
    <row r="60" spans="1:6" ht="49.5" x14ac:dyDescent="0.35">
      <c r="A60" s="23" t="s">
        <v>101</v>
      </c>
      <c r="B60" s="187"/>
      <c r="C60" s="190"/>
      <c r="D60" s="11" t="s">
        <v>176</v>
      </c>
      <c r="E60" s="193"/>
      <c r="F60" s="11" t="s">
        <v>128</v>
      </c>
    </row>
    <row r="61" spans="1:6" ht="49.5" x14ac:dyDescent="0.35">
      <c r="A61" s="23" t="s">
        <v>100</v>
      </c>
      <c r="B61" s="187"/>
      <c r="C61" s="190"/>
      <c r="D61" s="42"/>
      <c r="E61" s="193"/>
    </row>
    <row r="62" spans="1:6" ht="50" thickBot="1" x14ac:dyDescent="0.4">
      <c r="A62" s="73" t="s">
        <v>96</v>
      </c>
      <c r="B62" s="188"/>
      <c r="C62" s="191"/>
      <c r="D62" s="74"/>
      <c r="E62" s="194"/>
      <c r="F62" s="74"/>
    </row>
    <row r="63" spans="1:6" ht="33" x14ac:dyDescent="0.35">
      <c r="A63" s="23" t="s">
        <v>99</v>
      </c>
      <c r="B63" s="186" t="s">
        <v>177</v>
      </c>
      <c r="C63" s="189" t="s">
        <v>178</v>
      </c>
      <c r="D63" s="23" t="s">
        <v>122</v>
      </c>
      <c r="E63" s="192" t="s">
        <v>179</v>
      </c>
      <c r="F63" s="11" t="s">
        <v>124</v>
      </c>
    </row>
    <row r="64" spans="1:6" ht="33" x14ac:dyDescent="0.35">
      <c r="A64" s="23" t="s">
        <v>105</v>
      </c>
      <c r="B64" s="187"/>
      <c r="C64" s="190"/>
      <c r="D64" s="11" t="s">
        <v>125</v>
      </c>
      <c r="E64" s="193"/>
      <c r="F64" s="11" t="s">
        <v>126</v>
      </c>
    </row>
    <row r="65" spans="1:6" ht="33" x14ac:dyDescent="0.35">
      <c r="A65" s="23" t="s">
        <v>106</v>
      </c>
      <c r="B65" s="187"/>
      <c r="C65" s="190"/>
      <c r="D65" s="42" t="s">
        <v>151</v>
      </c>
      <c r="E65" s="193"/>
      <c r="F65" s="11" t="s">
        <v>128</v>
      </c>
    </row>
    <row r="66" spans="1:6" ht="49.5" x14ac:dyDescent="0.35">
      <c r="A66" s="23" t="s">
        <v>96</v>
      </c>
      <c r="B66" s="187"/>
      <c r="C66" s="190"/>
      <c r="E66" s="193"/>
    </row>
    <row r="67" spans="1:6" ht="50" thickBot="1" x14ac:dyDescent="0.4">
      <c r="A67" s="73" t="s">
        <v>100</v>
      </c>
      <c r="B67" s="188"/>
      <c r="C67" s="191"/>
      <c r="D67" s="74"/>
      <c r="E67" s="194"/>
      <c r="F67" s="74"/>
    </row>
    <row r="68" spans="1:6" ht="49.5" x14ac:dyDescent="0.35">
      <c r="A68" s="23" t="s">
        <v>89</v>
      </c>
      <c r="B68" s="192" t="s">
        <v>180</v>
      </c>
      <c r="C68" s="189" t="s">
        <v>181</v>
      </c>
      <c r="D68" s="23" t="s">
        <v>122</v>
      </c>
      <c r="E68" s="192" t="s">
        <v>182</v>
      </c>
      <c r="F68" s="11" t="s">
        <v>124</v>
      </c>
    </row>
    <row r="69" spans="1:6" ht="33" x14ac:dyDescent="0.35">
      <c r="A69" s="23" t="s">
        <v>99</v>
      </c>
      <c r="B69" s="193"/>
      <c r="C69" s="190"/>
      <c r="D69" s="11" t="s">
        <v>125</v>
      </c>
      <c r="E69" s="193"/>
      <c r="F69" s="11" t="s">
        <v>165</v>
      </c>
    </row>
    <row r="70" spans="1:6" ht="33" x14ac:dyDescent="0.35">
      <c r="A70" s="23" t="s">
        <v>93</v>
      </c>
      <c r="B70" s="193"/>
      <c r="C70" s="190"/>
      <c r="D70" s="42" t="s">
        <v>183</v>
      </c>
      <c r="E70" s="193"/>
      <c r="F70" s="11" t="s">
        <v>128</v>
      </c>
    </row>
    <row r="71" spans="1:6" ht="49.5" x14ac:dyDescent="0.35">
      <c r="A71" s="23" t="s">
        <v>96</v>
      </c>
      <c r="B71" s="193"/>
      <c r="C71" s="190"/>
      <c r="E71" s="193"/>
    </row>
    <row r="72" spans="1:6" ht="50" thickBot="1" x14ac:dyDescent="0.4">
      <c r="A72" s="73" t="s">
        <v>100</v>
      </c>
      <c r="B72" s="194"/>
      <c r="C72" s="191"/>
      <c r="D72" s="74"/>
      <c r="E72" s="194"/>
      <c r="F72" s="74"/>
    </row>
    <row r="73" spans="1:6" x14ac:dyDescent="0.35">
      <c r="A73" s="23"/>
      <c r="B73" s="37"/>
      <c r="C73" s="164"/>
      <c r="E73" s="164"/>
    </row>
    <row r="75" spans="1:6" x14ac:dyDescent="0.35">
      <c r="D75" s="42"/>
    </row>
    <row r="76" spans="1:6" x14ac:dyDescent="0.35">
      <c r="C76" s="23"/>
    </row>
  </sheetData>
  <autoFilter ref="A1:F72" xr:uid="{1F726B80-E6B4-4ED4-A764-E59AF4E18393}"/>
  <mergeCells count="42">
    <mergeCell ref="B68:B72"/>
    <mergeCell ref="C68:C72"/>
    <mergeCell ref="E68:E72"/>
    <mergeCell ref="B58:B62"/>
    <mergeCell ref="C58:C62"/>
    <mergeCell ref="E58:E62"/>
    <mergeCell ref="B63:B67"/>
    <mergeCell ref="C63:C67"/>
    <mergeCell ref="E63:E67"/>
    <mergeCell ref="B48:B52"/>
    <mergeCell ref="C48:C52"/>
    <mergeCell ref="E48:E52"/>
    <mergeCell ref="B53:B57"/>
    <mergeCell ref="C53:C57"/>
    <mergeCell ref="E53:E57"/>
    <mergeCell ref="E18:E22"/>
    <mergeCell ref="B18:B22"/>
    <mergeCell ref="C18:C22"/>
    <mergeCell ref="E3:E7"/>
    <mergeCell ref="E13:E17"/>
    <mergeCell ref="E8:E12"/>
    <mergeCell ref="B3:B7"/>
    <mergeCell ref="C3:C7"/>
    <mergeCell ref="B8:B12"/>
    <mergeCell ref="C8:C12"/>
    <mergeCell ref="B13:B17"/>
    <mergeCell ref="C13:C17"/>
    <mergeCell ref="B23:B27"/>
    <mergeCell ref="C23:C27"/>
    <mergeCell ref="B28:B32"/>
    <mergeCell ref="C28:C32"/>
    <mergeCell ref="E28:E32"/>
    <mergeCell ref="E23:E27"/>
    <mergeCell ref="B43:B47"/>
    <mergeCell ref="C43:C47"/>
    <mergeCell ref="E43:E47"/>
    <mergeCell ref="B33:B37"/>
    <mergeCell ref="C33:C37"/>
    <mergeCell ref="E33:E37"/>
    <mergeCell ref="B38:B42"/>
    <mergeCell ref="C38:C42"/>
    <mergeCell ref="E38:E42"/>
  </mergeCells>
  <dataValidations count="1">
    <dataValidation type="list" allowBlank="1" showInputMessage="1" showErrorMessage="1" sqref="A3:A73"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44"/>
  <sheetViews>
    <sheetView tabSelected="1" topLeftCell="B1" zoomScaleNormal="100" workbookViewId="0">
      <pane ySplit="1" topLeftCell="A4" activePane="bottomLeft" state="frozen"/>
      <selection activeCell="B1" sqref="B1"/>
      <selection pane="bottomLeft" activeCell="D4" sqref="D4"/>
    </sheetView>
  </sheetViews>
  <sheetFormatPr baseColWidth="10" defaultColWidth="58.7265625" defaultRowHeight="16" x14ac:dyDescent="0.35"/>
  <cols>
    <col min="1" max="1" width="14.453125" style="61" customWidth="1"/>
    <col min="2" max="2" width="73.453125" style="53" customWidth="1"/>
    <col min="3" max="3" width="14.26953125" style="48" customWidth="1"/>
    <col min="4" max="4" width="24.54296875" style="49" customWidth="1"/>
    <col min="5" max="5" width="61.1796875" style="61" customWidth="1"/>
    <col min="6" max="6" width="17.54296875" style="48" customWidth="1"/>
    <col min="7" max="7" width="15.453125" style="48" customWidth="1"/>
    <col min="8" max="10" width="14.26953125" style="48" customWidth="1"/>
    <col min="11" max="11" width="20.1796875" style="48" customWidth="1"/>
    <col min="12" max="12" width="23.453125" style="48" customWidth="1"/>
    <col min="13" max="13" width="16.7265625" style="48" customWidth="1"/>
    <col min="14" max="14" width="46.453125" style="61" customWidth="1"/>
    <col min="15" max="15" width="62.453125" style="61" customWidth="1"/>
    <col min="16" max="16" width="76.453125" style="61" customWidth="1"/>
    <col min="17" max="17" width="73.54296875" style="61" customWidth="1"/>
    <col min="18" max="16384" width="58.7265625" style="48"/>
  </cols>
  <sheetData>
    <row r="1" spans="1:17" s="11" customFormat="1" ht="52" x14ac:dyDescent="0.35">
      <c r="A1" s="17" t="s">
        <v>184</v>
      </c>
      <c r="B1" s="17" t="s">
        <v>185</v>
      </c>
      <c r="C1" s="17" t="s">
        <v>186</v>
      </c>
      <c r="D1" s="17" t="s">
        <v>187</v>
      </c>
      <c r="E1" s="17" t="s">
        <v>188</v>
      </c>
      <c r="F1" s="17" t="s">
        <v>189</v>
      </c>
      <c r="G1" s="213" t="s">
        <v>190</v>
      </c>
      <c r="H1" s="213"/>
      <c r="I1" s="213"/>
      <c r="J1" s="17" t="s">
        <v>191</v>
      </c>
      <c r="K1" s="17" t="s">
        <v>192</v>
      </c>
      <c r="L1" s="17" t="s">
        <v>193</v>
      </c>
      <c r="M1" s="17" t="s">
        <v>194</v>
      </c>
      <c r="N1" s="17" t="s">
        <v>195</v>
      </c>
      <c r="O1" s="17" t="s">
        <v>196</v>
      </c>
      <c r="P1" s="17" t="s">
        <v>197</v>
      </c>
      <c r="Q1" s="17" t="s">
        <v>198</v>
      </c>
    </row>
    <row r="2" spans="1:17" s="11" customFormat="1" ht="33.5" thickBot="1" x14ac:dyDescent="0.4">
      <c r="A2" s="35" t="s">
        <v>199</v>
      </c>
      <c r="B2" s="35" t="s">
        <v>114</v>
      </c>
      <c r="C2" s="35" t="s">
        <v>200</v>
      </c>
      <c r="D2" s="35" t="s">
        <v>201</v>
      </c>
      <c r="E2" s="35" t="s">
        <v>202</v>
      </c>
      <c r="F2" s="35" t="s">
        <v>203</v>
      </c>
      <c r="G2" s="35" t="s">
        <v>204</v>
      </c>
      <c r="H2" s="35" t="s">
        <v>205</v>
      </c>
      <c r="I2" s="35" t="s">
        <v>206</v>
      </c>
      <c r="J2" s="35" t="s">
        <v>207</v>
      </c>
      <c r="K2" s="35" t="s">
        <v>208</v>
      </c>
      <c r="L2" s="35" t="s">
        <v>209</v>
      </c>
      <c r="M2" s="35" t="s">
        <v>210</v>
      </c>
      <c r="N2" s="35" t="s">
        <v>211</v>
      </c>
      <c r="O2" s="35" t="s">
        <v>212</v>
      </c>
      <c r="P2" s="35" t="s">
        <v>213</v>
      </c>
      <c r="Q2" s="35" t="s">
        <v>214</v>
      </c>
    </row>
    <row r="3" spans="1:17" s="47" customFormat="1" ht="378" customHeight="1" x14ac:dyDescent="0.35">
      <c r="A3" s="111" t="str">
        <f>_xlfn.XLOOKUP(B3,'Paso 3 Redacción RA '!I$3:I$15,'Paso 3 Redacción RA '!C$3:C$15,,0,1)</f>
        <v>Saber</v>
      </c>
      <c r="B3" s="112" t="s">
        <v>107</v>
      </c>
      <c r="C3" s="113">
        <v>1</v>
      </c>
      <c r="D3" s="114" t="s">
        <v>215</v>
      </c>
      <c r="E3" s="153" t="s">
        <v>216</v>
      </c>
      <c r="F3" s="113" t="s">
        <v>217</v>
      </c>
      <c r="G3" s="113" t="s">
        <v>218</v>
      </c>
      <c r="H3" s="113"/>
      <c r="I3" s="113"/>
      <c r="J3" s="113">
        <v>3</v>
      </c>
      <c r="K3" s="113">
        <f>12*J3</f>
        <v>36</v>
      </c>
      <c r="L3" s="113">
        <f>36*J3</f>
        <v>108</v>
      </c>
      <c r="M3" s="113">
        <f>SUM(K3:L3)</f>
        <v>144</v>
      </c>
      <c r="N3" s="116" t="s">
        <v>219</v>
      </c>
      <c r="O3" s="112" t="s">
        <v>220</v>
      </c>
      <c r="P3" s="117" t="s">
        <v>221</v>
      </c>
      <c r="Q3" s="115" t="s">
        <v>222</v>
      </c>
    </row>
    <row r="4" spans="1:17" s="47" customFormat="1" ht="408.75" customHeight="1" thickBot="1" x14ac:dyDescent="0.4">
      <c r="A4" s="111" t="str">
        <f>_xlfn.XLOOKUP(B4,'Paso 3 Redacción RA '!I$3:I$15,'Paso 3 Redacción RA '!C$3:C$15,,0,1)</f>
        <v>Saber</v>
      </c>
      <c r="B4" s="112" t="s">
        <v>107</v>
      </c>
      <c r="C4" s="118">
        <v>1</v>
      </c>
      <c r="D4" s="119" t="s">
        <v>223</v>
      </c>
      <c r="E4" s="117" t="s">
        <v>224</v>
      </c>
      <c r="F4" s="119" t="s">
        <v>217</v>
      </c>
      <c r="G4" s="118" t="s">
        <v>218</v>
      </c>
      <c r="H4" s="118"/>
      <c r="I4" s="118"/>
      <c r="J4" s="118">
        <v>3</v>
      </c>
      <c r="K4" s="120">
        <f>12*J4</f>
        <v>36</v>
      </c>
      <c r="L4" s="120">
        <f>36*J4</f>
        <v>108</v>
      </c>
      <c r="M4" s="118">
        <f>SUM(K4:L4)</f>
        <v>144</v>
      </c>
      <c r="N4" s="112" t="s">
        <v>225</v>
      </c>
      <c r="O4" s="112" t="s">
        <v>220</v>
      </c>
      <c r="P4" s="112" t="s">
        <v>226</v>
      </c>
      <c r="Q4" s="112" t="s">
        <v>227</v>
      </c>
    </row>
    <row r="5" spans="1:17" s="47" customFormat="1" ht="49.5" x14ac:dyDescent="0.35">
      <c r="A5" s="121" t="str">
        <f>_xlfn.XLOOKUP(B5,'Paso 3 Redacción RA '!I$3:I$15,'Paso 3 Redacción RA '!C$3:C$15,,0,1)</f>
        <v>Saber</v>
      </c>
      <c r="B5" s="122" t="s">
        <v>89</v>
      </c>
      <c r="C5" s="214">
        <v>1</v>
      </c>
      <c r="D5" s="179" t="s">
        <v>228</v>
      </c>
      <c r="E5" s="218" t="s">
        <v>229</v>
      </c>
      <c r="F5" s="215" t="s">
        <v>217</v>
      </c>
      <c r="G5" s="215"/>
      <c r="H5" s="215" t="s">
        <v>218</v>
      </c>
      <c r="I5" s="215"/>
      <c r="J5" s="215">
        <v>3</v>
      </c>
      <c r="K5" s="215">
        <f>J5*12</f>
        <v>36</v>
      </c>
      <c r="L5" s="215">
        <f>36*J5</f>
        <v>108</v>
      </c>
      <c r="M5" s="215">
        <f>SUM(K5:L5)</f>
        <v>144</v>
      </c>
      <c r="N5" s="218" t="s">
        <v>230</v>
      </c>
      <c r="O5" s="218" t="s">
        <v>231</v>
      </c>
      <c r="P5" s="218" t="s">
        <v>232</v>
      </c>
      <c r="Q5" s="218" t="s">
        <v>227</v>
      </c>
    </row>
    <row r="6" spans="1:17" s="47" customFormat="1" ht="33" x14ac:dyDescent="0.35">
      <c r="A6" s="121" t="str">
        <f>_xlfn.XLOOKUP(B6,'Paso 3 Redacción RA '!I$3:I$15,'Paso 3 Redacción RA '!C$3:C$15,,0,1)</f>
        <v>Saberhacer</v>
      </c>
      <c r="B6" s="122" t="s">
        <v>93</v>
      </c>
      <c r="C6" s="215"/>
      <c r="D6" s="179"/>
      <c r="E6" s="218"/>
      <c r="F6" s="215"/>
      <c r="G6" s="215"/>
      <c r="H6" s="215"/>
      <c r="I6" s="215"/>
      <c r="J6" s="215"/>
      <c r="K6" s="215"/>
      <c r="L6" s="215"/>
      <c r="M6" s="215"/>
      <c r="N6" s="218"/>
      <c r="O6" s="218"/>
      <c r="P6" s="218"/>
      <c r="Q6" s="218"/>
    </row>
    <row r="7" spans="1:17" s="47" customFormat="1" ht="49.5" x14ac:dyDescent="0.35">
      <c r="A7" s="121" t="str">
        <f>_xlfn.XLOOKUP(B7,'Paso 3 Redacción RA '!I$3:I$15,'Paso 3 Redacción RA '!C$3:C$15,,0,1)</f>
        <v>Saberhacer</v>
      </c>
      <c r="B7" s="122" t="s">
        <v>100</v>
      </c>
      <c r="C7" s="215"/>
      <c r="D7" s="179"/>
      <c r="E7" s="218"/>
      <c r="F7" s="215"/>
      <c r="G7" s="215"/>
      <c r="H7" s="215"/>
      <c r="I7" s="215"/>
      <c r="J7" s="215"/>
      <c r="K7" s="215"/>
      <c r="L7" s="215"/>
      <c r="M7" s="215"/>
      <c r="N7" s="218"/>
      <c r="O7" s="218"/>
      <c r="P7" s="218"/>
      <c r="Q7" s="218"/>
    </row>
    <row r="8" spans="1:17" s="47" customFormat="1" ht="50" thickBot="1" x14ac:dyDescent="0.4">
      <c r="A8" s="123" t="str">
        <f>_xlfn.XLOOKUP(B8,'Paso 3 Redacción RA '!I$3:I$15,'Paso 3 Redacción RA '!C$3:C$15,,0,1)</f>
        <v>Saberhacer</v>
      </c>
      <c r="B8" s="124" t="s">
        <v>101</v>
      </c>
      <c r="C8" s="216"/>
      <c r="D8" s="217"/>
      <c r="E8" s="219"/>
      <c r="F8" s="216"/>
      <c r="G8" s="216"/>
      <c r="H8" s="216"/>
      <c r="I8" s="216"/>
      <c r="J8" s="216"/>
      <c r="K8" s="216"/>
      <c r="L8" s="216"/>
      <c r="M8" s="216"/>
      <c r="N8" s="219"/>
      <c r="O8" s="219"/>
      <c r="P8" s="219"/>
      <c r="Q8" s="219"/>
    </row>
    <row r="9" spans="1:17" s="47" customFormat="1" ht="49.5" x14ac:dyDescent="0.35">
      <c r="A9" s="121" t="str">
        <f>_xlfn.XLOOKUP(B9,'Paso 3 Redacción RA '!I$3:I$15,'Paso 3 Redacción RA '!C$3:C$15,,0,1)</f>
        <v>Saber</v>
      </c>
      <c r="B9" s="122" t="s">
        <v>89</v>
      </c>
      <c r="C9" s="214">
        <v>1</v>
      </c>
      <c r="D9" s="212" t="s">
        <v>233</v>
      </c>
      <c r="E9" s="220" t="s">
        <v>234</v>
      </c>
      <c r="F9" s="212" t="s">
        <v>217</v>
      </c>
      <c r="G9" s="212"/>
      <c r="H9" s="212" t="s">
        <v>218</v>
      </c>
      <c r="I9" s="212"/>
      <c r="J9" s="212">
        <v>2</v>
      </c>
      <c r="K9" s="212">
        <f>J9*12</f>
        <v>24</v>
      </c>
      <c r="L9" s="212">
        <f>36*J9</f>
        <v>72</v>
      </c>
      <c r="M9" s="212">
        <f>SUM(K9:L9)</f>
        <v>96</v>
      </c>
      <c r="N9" s="220" t="s">
        <v>235</v>
      </c>
      <c r="O9" s="220" t="s">
        <v>231</v>
      </c>
      <c r="P9" s="220" t="s">
        <v>232</v>
      </c>
      <c r="Q9" s="220" t="s">
        <v>227</v>
      </c>
    </row>
    <row r="10" spans="1:17" s="47" customFormat="1" ht="33" x14ac:dyDescent="0.35">
      <c r="A10" s="121" t="str">
        <f>_xlfn.XLOOKUP(B10,'Paso 3 Redacción RA '!I$3:I$15,'Paso 3 Redacción RA '!C$3:C$15,,0,1)</f>
        <v>Saber</v>
      </c>
      <c r="B10" s="122" t="s">
        <v>99</v>
      </c>
      <c r="C10" s="215"/>
      <c r="D10" s="179"/>
      <c r="E10" s="176"/>
      <c r="F10" s="179"/>
      <c r="G10" s="179"/>
      <c r="H10" s="179"/>
      <c r="I10" s="179"/>
      <c r="J10" s="179"/>
      <c r="K10" s="179"/>
      <c r="L10" s="179"/>
      <c r="M10" s="179"/>
      <c r="N10" s="176"/>
      <c r="O10" s="176"/>
      <c r="P10" s="176"/>
      <c r="Q10" s="176"/>
    </row>
    <row r="11" spans="1:17" s="47" customFormat="1" ht="49.5" x14ac:dyDescent="0.35">
      <c r="A11" s="121" t="str">
        <f>_xlfn.XLOOKUP(B11,'Paso 3 Redacción RA '!I$3:I$15,'Paso 3 Redacción RA '!C$3:C$15,,0,1)</f>
        <v>Saberhacer</v>
      </c>
      <c r="B11" s="122" t="s">
        <v>101</v>
      </c>
      <c r="C11" s="215"/>
      <c r="D11" s="179"/>
      <c r="E11" s="176"/>
      <c r="F11" s="179"/>
      <c r="G11" s="179"/>
      <c r="H11" s="179"/>
      <c r="I11" s="179"/>
      <c r="J11" s="179"/>
      <c r="K11" s="179"/>
      <c r="L11" s="179"/>
      <c r="M11" s="179"/>
      <c r="N11" s="176"/>
      <c r="O11" s="176"/>
      <c r="P11" s="176"/>
      <c r="Q11" s="176"/>
    </row>
    <row r="12" spans="1:17" s="47" customFormat="1" ht="50" thickBot="1" x14ac:dyDescent="0.4">
      <c r="A12" s="155" t="str">
        <f>_xlfn.XLOOKUP(B12,'Paso 3 Redacción RA '!I$3:I$15,'Paso 3 Redacción RA '!C$3:C$15,,0,1)</f>
        <v>Saberser</v>
      </c>
      <c r="B12" s="124" t="s">
        <v>96</v>
      </c>
      <c r="C12" s="215"/>
      <c r="D12" s="179"/>
      <c r="E12" s="176"/>
      <c r="F12" s="179"/>
      <c r="G12" s="179"/>
      <c r="H12" s="179"/>
      <c r="I12" s="179"/>
      <c r="J12" s="179"/>
      <c r="K12" s="179"/>
      <c r="L12" s="179"/>
      <c r="M12" s="179"/>
      <c r="N12" s="176"/>
      <c r="O12" s="176"/>
      <c r="P12" s="176"/>
      <c r="Q12" s="176"/>
    </row>
    <row r="13" spans="1:17" s="47" customFormat="1" ht="33" x14ac:dyDescent="0.35">
      <c r="A13" s="121" t="str">
        <f>_xlfn.XLOOKUP(B13,'Paso 3 Redacción RA '!I$3:I$15,'Paso 3 Redacción RA '!C$3:C$15,,0,1)</f>
        <v>Saber</v>
      </c>
      <c r="B13" s="122" t="s">
        <v>99</v>
      </c>
      <c r="C13" s="214">
        <v>1</v>
      </c>
      <c r="D13" s="212" t="s">
        <v>236</v>
      </c>
      <c r="E13" s="210" t="s">
        <v>237</v>
      </c>
      <c r="F13" s="214" t="s">
        <v>238</v>
      </c>
      <c r="G13" s="214"/>
      <c r="H13" s="214" t="s">
        <v>218</v>
      </c>
      <c r="I13" s="214"/>
      <c r="J13" s="214">
        <v>3</v>
      </c>
      <c r="K13" s="214">
        <f>J13*12</f>
        <v>36</v>
      </c>
      <c r="L13" s="214">
        <f>36*J13</f>
        <v>108</v>
      </c>
      <c r="M13" s="214">
        <f>SUM(K13:L13)</f>
        <v>144</v>
      </c>
      <c r="N13" s="210" t="s">
        <v>239</v>
      </c>
      <c r="O13" s="210" t="s">
        <v>240</v>
      </c>
      <c r="P13" s="210" t="s">
        <v>241</v>
      </c>
      <c r="Q13" s="210" t="s">
        <v>227</v>
      </c>
    </row>
    <row r="14" spans="1:17" s="47" customFormat="1" ht="33" x14ac:dyDescent="0.35">
      <c r="A14" s="121" t="str">
        <f>_xlfn.XLOOKUP(B14,'Paso 3 Redacción RA '!I$3:I$15,'Paso 3 Redacción RA '!C$3:C$15,,0,1)</f>
        <v>Saberhacer</v>
      </c>
      <c r="B14" s="122" t="s">
        <v>93</v>
      </c>
      <c r="C14" s="215"/>
      <c r="D14" s="179"/>
      <c r="E14" s="211"/>
      <c r="F14" s="215"/>
      <c r="G14" s="215"/>
      <c r="H14" s="215"/>
      <c r="I14" s="215"/>
      <c r="J14" s="215"/>
      <c r="K14" s="215"/>
      <c r="L14" s="215"/>
      <c r="M14" s="215"/>
      <c r="N14" s="211"/>
      <c r="O14" s="211"/>
      <c r="P14" s="211"/>
      <c r="Q14" s="211"/>
    </row>
    <row r="15" spans="1:17" s="47" customFormat="1" ht="49.5" x14ac:dyDescent="0.35">
      <c r="A15" s="121" t="str">
        <f>_xlfn.XLOOKUP(B15,'Paso 3 Redacción RA '!I$3:I$15,'Paso 3 Redacción RA '!C$3:C$15,,0,1)</f>
        <v>Saberhacer</v>
      </c>
      <c r="B15" s="122" t="s">
        <v>100</v>
      </c>
      <c r="C15" s="215"/>
      <c r="D15" s="179"/>
      <c r="E15" s="211"/>
      <c r="F15" s="215"/>
      <c r="G15" s="215"/>
      <c r="H15" s="215"/>
      <c r="I15" s="215"/>
      <c r="J15" s="215"/>
      <c r="K15" s="215"/>
      <c r="L15" s="215"/>
      <c r="M15" s="215"/>
      <c r="N15" s="211"/>
      <c r="O15" s="211"/>
      <c r="P15" s="211"/>
      <c r="Q15" s="211"/>
    </row>
    <row r="16" spans="1:17" s="47" customFormat="1" ht="50" thickBot="1" x14ac:dyDescent="0.4">
      <c r="A16" s="155" t="str">
        <f>_xlfn.XLOOKUP(B16,'Paso 3 Redacción RA '!I$3:I$15,'Paso 3 Redacción RA '!C$3:C$15,,0,1)</f>
        <v>Saberhacer</v>
      </c>
      <c r="B16" s="124" t="s">
        <v>101</v>
      </c>
      <c r="C16" s="215"/>
      <c r="D16" s="179"/>
      <c r="E16" s="211"/>
      <c r="F16" s="215"/>
      <c r="G16" s="215"/>
      <c r="H16" s="215"/>
      <c r="I16" s="215"/>
      <c r="J16" s="215"/>
      <c r="K16" s="215"/>
      <c r="L16" s="215"/>
      <c r="M16" s="215"/>
      <c r="N16" s="211"/>
      <c r="O16" s="211"/>
      <c r="P16" s="211"/>
      <c r="Q16" s="211"/>
    </row>
    <row r="17" spans="1:17" s="47" customFormat="1" ht="33" x14ac:dyDescent="0.35">
      <c r="A17" s="121" t="str">
        <f>_xlfn.XLOOKUP(B17,'Paso 3 Redacción RA '!I$3:I$15,'Paso 3 Redacción RA '!C$3:C$15,,0,1)</f>
        <v>Saber</v>
      </c>
      <c r="B17" s="122" t="s">
        <v>99</v>
      </c>
      <c r="C17" s="212">
        <v>1</v>
      </c>
      <c r="D17" s="212" t="s">
        <v>242</v>
      </c>
      <c r="E17" s="210" t="s">
        <v>243</v>
      </c>
      <c r="F17" s="212" t="s">
        <v>217</v>
      </c>
      <c r="G17" s="212"/>
      <c r="H17" s="212" t="s">
        <v>218</v>
      </c>
      <c r="I17" s="212"/>
      <c r="J17" s="212">
        <v>3</v>
      </c>
      <c r="K17" s="212">
        <f>J17*12</f>
        <v>36</v>
      </c>
      <c r="L17" s="212">
        <f>36*J17</f>
        <v>108</v>
      </c>
      <c r="M17" s="212">
        <f>SUM(K17:L17)</f>
        <v>144</v>
      </c>
      <c r="N17" s="210" t="s">
        <v>244</v>
      </c>
      <c r="O17" s="210" t="s">
        <v>245</v>
      </c>
      <c r="P17" s="210" t="s">
        <v>232</v>
      </c>
      <c r="Q17" s="210" t="s">
        <v>227</v>
      </c>
    </row>
    <row r="18" spans="1:17" s="47" customFormat="1" ht="33" x14ac:dyDescent="0.35">
      <c r="A18" s="121" t="str">
        <f>_xlfn.XLOOKUP(B18,'Paso 3 Redacción RA '!I$3:I$15,'Paso 3 Redacción RA '!C$3:C$15,,0,1)</f>
        <v>Saberhacer</v>
      </c>
      <c r="B18" s="122" t="s">
        <v>93</v>
      </c>
      <c r="C18" s="179"/>
      <c r="D18" s="179"/>
      <c r="E18" s="211"/>
      <c r="F18" s="179"/>
      <c r="G18" s="179"/>
      <c r="H18" s="179"/>
      <c r="I18" s="179"/>
      <c r="J18" s="179"/>
      <c r="K18" s="179"/>
      <c r="L18" s="179"/>
      <c r="M18" s="179"/>
      <c r="N18" s="211"/>
      <c r="O18" s="211"/>
      <c r="P18" s="211"/>
      <c r="Q18" s="211"/>
    </row>
    <row r="19" spans="1:17" s="47" customFormat="1" ht="49.5" x14ac:dyDescent="0.35">
      <c r="A19" s="121" t="str">
        <f>_xlfn.XLOOKUP(B19,'Paso 3 Redacción RA '!I$3:I$15,'Paso 3 Redacción RA '!C$3:C$15,,0,1)</f>
        <v>Saberhacer</v>
      </c>
      <c r="B19" s="122" t="s">
        <v>100</v>
      </c>
      <c r="C19" s="179"/>
      <c r="D19" s="179"/>
      <c r="E19" s="211"/>
      <c r="F19" s="179"/>
      <c r="G19" s="179"/>
      <c r="H19" s="179"/>
      <c r="I19" s="179"/>
      <c r="J19" s="179"/>
      <c r="K19" s="179"/>
      <c r="L19" s="179"/>
      <c r="M19" s="179"/>
      <c r="N19" s="211"/>
      <c r="O19" s="211"/>
      <c r="P19" s="211"/>
      <c r="Q19" s="211"/>
    </row>
    <row r="20" spans="1:17" s="47" customFormat="1" ht="50" thickBot="1" x14ac:dyDescent="0.4">
      <c r="A20" s="155" t="str">
        <f>_xlfn.XLOOKUP(B20,'Paso 3 Redacción RA '!I$3:I$15,'Paso 3 Redacción RA '!C$3:C$15,,0,1)</f>
        <v>Saberser</v>
      </c>
      <c r="B20" s="122" t="s">
        <v>96</v>
      </c>
      <c r="C20" s="179"/>
      <c r="D20" s="179"/>
      <c r="E20" s="211"/>
      <c r="F20" s="179"/>
      <c r="G20" s="179"/>
      <c r="H20" s="179"/>
      <c r="I20" s="179"/>
      <c r="J20" s="179"/>
      <c r="K20" s="179"/>
      <c r="L20" s="179"/>
      <c r="M20" s="179"/>
      <c r="N20" s="211"/>
      <c r="O20" s="211"/>
      <c r="P20" s="211"/>
      <c r="Q20" s="211"/>
    </row>
    <row r="21" spans="1:17" s="47" customFormat="1" ht="330.5" thickBot="1" x14ac:dyDescent="0.4">
      <c r="A21" s="111" t="str">
        <f>_xlfn.XLOOKUP(B21,'Paso 3 Redacción RA '!I$3:I$15,'Paso 3 Redacción RA '!C$3:C$15,,0,1)</f>
        <v>Saber</v>
      </c>
      <c r="B21" s="112" t="s">
        <v>107</v>
      </c>
      <c r="C21" s="113">
        <v>2</v>
      </c>
      <c r="D21" s="114" t="s">
        <v>246</v>
      </c>
      <c r="E21" s="115" t="s">
        <v>247</v>
      </c>
      <c r="F21" s="113" t="s">
        <v>217</v>
      </c>
      <c r="G21" s="114" t="s">
        <v>218</v>
      </c>
      <c r="H21" s="114"/>
      <c r="I21" s="114"/>
      <c r="J21" s="113">
        <v>3</v>
      </c>
      <c r="K21" s="113">
        <f>12*J21</f>
        <v>36</v>
      </c>
      <c r="L21" s="113">
        <f>36*J21</f>
        <v>108</v>
      </c>
      <c r="M21" s="113">
        <f>SUM(K21:L21)</f>
        <v>144</v>
      </c>
      <c r="N21" s="125" t="s">
        <v>248</v>
      </c>
      <c r="O21" s="117" t="s">
        <v>220</v>
      </c>
      <c r="P21" s="117" t="s">
        <v>226</v>
      </c>
      <c r="Q21" s="115" t="s">
        <v>227</v>
      </c>
    </row>
    <row r="22" spans="1:17" s="47" customFormat="1" ht="49.5" x14ac:dyDescent="0.35">
      <c r="A22" s="121" t="str">
        <f>_xlfn.XLOOKUP(B22,'Paso 3 Redacción RA '!I$3:I$15,'Paso 3 Redacción RA '!C$3:C$15,,0,1)</f>
        <v>Saber</v>
      </c>
      <c r="B22" s="122" t="s">
        <v>105</v>
      </c>
      <c r="C22" s="212">
        <v>2</v>
      </c>
      <c r="D22" s="212" t="s">
        <v>249</v>
      </c>
      <c r="E22" s="210" t="s">
        <v>250</v>
      </c>
      <c r="F22" s="212" t="s">
        <v>217</v>
      </c>
      <c r="G22" s="212"/>
      <c r="H22" s="212" t="s">
        <v>218</v>
      </c>
      <c r="I22" s="212"/>
      <c r="J22" s="212">
        <v>3</v>
      </c>
      <c r="K22" s="212">
        <f>J22*12</f>
        <v>36</v>
      </c>
      <c r="L22" s="212">
        <f>36*J22</f>
        <v>108</v>
      </c>
      <c r="M22" s="212">
        <f>SUM(K22:L22)</f>
        <v>144</v>
      </c>
      <c r="N22" s="210" t="s">
        <v>251</v>
      </c>
      <c r="O22" s="210" t="s">
        <v>245</v>
      </c>
      <c r="P22" s="210" t="s">
        <v>252</v>
      </c>
      <c r="Q22" s="210" t="s">
        <v>227</v>
      </c>
    </row>
    <row r="23" spans="1:17" s="47" customFormat="1" ht="33" x14ac:dyDescent="0.35">
      <c r="A23" s="121" t="str">
        <f>_xlfn.XLOOKUP(B23,'Paso 3 Redacción RA '!I$3:I$15,'Paso 3 Redacción RA '!C$3:C$15,,0,1)</f>
        <v>Saberhacer</v>
      </c>
      <c r="B23" s="122" t="s">
        <v>93</v>
      </c>
      <c r="C23" s="179"/>
      <c r="D23" s="179"/>
      <c r="E23" s="211"/>
      <c r="F23" s="179"/>
      <c r="G23" s="179"/>
      <c r="H23" s="179"/>
      <c r="I23" s="179"/>
      <c r="J23" s="179"/>
      <c r="K23" s="179"/>
      <c r="L23" s="179"/>
      <c r="M23" s="179"/>
      <c r="N23" s="211"/>
      <c r="O23" s="211"/>
      <c r="P23" s="211"/>
      <c r="Q23" s="211"/>
    </row>
    <row r="24" spans="1:17" s="47" customFormat="1" ht="49.5" x14ac:dyDescent="0.35">
      <c r="A24" s="121" t="str">
        <f>_xlfn.XLOOKUP(B24,'Paso 3 Redacción RA '!I$3:I$15,'Paso 3 Redacción RA '!C$3:C$15,,0,1)</f>
        <v>Saberhacer</v>
      </c>
      <c r="B24" s="122" t="s">
        <v>100</v>
      </c>
      <c r="C24" s="179"/>
      <c r="D24" s="179"/>
      <c r="E24" s="211"/>
      <c r="F24" s="179"/>
      <c r="G24" s="179"/>
      <c r="H24" s="179"/>
      <c r="I24" s="179"/>
      <c r="J24" s="179"/>
      <c r="K24" s="179"/>
      <c r="L24" s="179"/>
      <c r="M24" s="179"/>
      <c r="N24" s="211"/>
      <c r="O24" s="211"/>
      <c r="P24" s="211"/>
      <c r="Q24" s="211"/>
    </row>
    <row r="25" spans="1:17" s="47" customFormat="1" ht="33.5" thickBot="1" x14ac:dyDescent="0.4">
      <c r="A25" s="155" t="str">
        <f>_xlfn.XLOOKUP(B25,'Paso 3 Redacción RA '!I$3:I$15,'Paso 3 Redacción RA '!C$3:C$15,,0,1)</f>
        <v>Saberhacer</v>
      </c>
      <c r="B25" s="124" t="s">
        <v>106</v>
      </c>
      <c r="C25" s="179"/>
      <c r="D25" s="179"/>
      <c r="E25" s="211"/>
      <c r="F25" s="179"/>
      <c r="G25" s="179"/>
      <c r="H25" s="179"/>
      <c r="I25" s="179"/>
      <c r="J25" s="179"/>
      <c r="K25" s="179"/>
      <c r="L25" s="179"/>
      <c r="M25" s="179"/>
      <c r="N25" s="211"/>
      <c r="O25" s="211"/>
      <c r="P25" s="211"/>
      <c r="Q25" s="211"/>
    </row>
    <row r="26" spans="1:17" s="47" customFormat="1" ht="33" x14ac:dyDescent="0.35">
      <c r="A26" s="121" t="str">
        <f>_xlfn.XLOOKUP(B26,'Paso 3 Redacción RA '!I$3:I$15,'Paso 3 Redacción RA '!C$3:C$15,,0,1)</f>
        <v>Saber</v>
      </c>
      <c r="B26" s="122" t="s">
        <v>99</v>
      </c>
      <c r="C26" s="212">
        <v>2</v>
      </c>
      <c r="D26" s="212" t="s">
        <v>253</v>
      </c>
      <c r="E26" s="210" t="s">
        <v>254</v>
      </c>
      <c r="F26" s="212" t="s">
        <v>217</v>
      </c>
      <c r="G26" s="212"/>
      <c r="H26" s="212" t="s">
        <v>218</v>
      </c>
      <c r="I26" s="212"/>
      <c r="J26" s="212">
        <v>3</v>
      </c>
      <c r="K26" s="212">
        <f>J26*12</f>
        <v>36</v>
      </c>
      <c r="L26" s="212">
        <f>36*J26</f>
        <v>108</v>
      </c>
      <c r="M26" s="212">
        <f>SUM(K26:L26)</f>
        <v>144</v>
      </c>
      <c r="N26" s="210" t="s">
        <v>255</v>
      </c>
      <c r="O26" s="210" t="s">
        <v>231</v>
      </c>
      <c r="P26" s="210" t="s">
        <v>232</v>
      </c>
      <c r="Q26" s="210" t="s">
        <v>227</v>
      </c>
    </row>
    <row r="27" spans="1:17" s="47" customFormat="1" ht="33" x14ac:dyDescent="0.35">
      <c r="A27" s="121" t="str">
        <f>_xlfn.XLOOKUP(B27,'Paso 3 Redacción RA '!I$3:I$15,'Paso 3 Redacción RA '!C$3:C$15,,0,1)</f>
        <v>Saberhacer</v>
      </c>
      <c r="B27" s="122" t="s">
        <v>93</v>
      </c>
      <c r="C27" s="179"/>
      <c r="D27" s="179"/>
      <c r="E27" s="211"/>
      <c r="F27" s="179"/>
      <c r="G27" s="179"/>
      <c r="H27" s="179"/>
      <c r="I27" s="179"/>
      <c r="J27" s="179"/>
      <c r="K27" s="179"/>
      <c r="L27" s="179"/>
      <c r="M27" s="179"/>
      <c r="N27" s="211"/>
      <c r="O27" s="211"/>
      <c r="P27" s="211"/>
      <c r="Q27" s="211"/>
    </row>
    <row r="28" spans="1:17" s="47" customFormat="1" ht="49.5" x14ac:dyDescent="0.35">
      <c r="A28" s="121" t="str">
        <f>_xlfn.XLOOKUP(B28,'Paso 3 Redacción RA '!I$3:I$15,'Paso 3 Redacción RA '!C$3:C$15,,0,1)</f>
        <v>Saberhacer</v>
      </c>
      <c r="B28" s="122" t="s">
        <v>100</v>
      </c>
      <c r="C28" s="179"/>
      <c r="D28" s="179"/>
      <c r="E28" s="211"/>
      <c r="F28" s="179"/>
      <c r="G28" s="179"/>
      <c r="H28" s="179"/>
      <c r="I28" s="179"/>
      <c r="J28" s="179"/>
      <c r="K28" s="179"/>
      <c r="L28" s="179"/>
      <c r="M28" s="179"/>
      <c r="N28" s="211"/>
      <c r="O28" s="211"/>
      <c r="P28" s="211"/>
      <c r="Q28" s="211"/>
    </row>
    <row r="29" spans="1:17" s="47" customFormat="1" ht="50" thickBot="1" x14ac:dyDescent="0.4">
      <c r="A29" s="155" t="str">
        <f>_xlfn.XLOOKUP(B29,'Paso 3 Redacción RA '!I$3:I$15,'Paso 3 Redacción RA '!C$3:C$15,,0,1)</f>
        <v>Saberhacer</v>
      </c>
      <c r="B29" s="124" t="s">
        <v>101</v>
      </c>
      <c r="C29" s="179"/>
      <c r="D29" s="179"/>
      <c r="E29" s="211"/>
      <c r="F29" s="179"/>
      <c r="G29" s="179"/>
      <c r="H29" s="179"/>
      <c r="I29" s="179"/>
      <c r="J29" s="179"/>
      <c r="K29" s="179"/>
      <c r="L29" s="179"/>
      <c r="M29" s="179"/>
      <c r="N29" s="211"/>
      <c r="O29" s="211"/>
      <c r="P29" s="211"/>
      <c r="Q29" s="211"/>
    </row>
    <row r="30" spans="1:17" s="47" customFormat="1" ht="49.5" x14ac:dyDescent="0.35">
      <c r="A30" s="121" t="str">
        <f>_xlfn.XLOOKUP(B30,'Paso 3 Redacción RA '!I$3:I$15,'Paso 3 Redacción RA '!C$3:C$15,,0,1)</f>
        <v>Saber</v>
      </c>
      <c r="B30" s="122" t="s">
        <v>89</v>
      </c>
      <c r="C30" s="212">
        <v>2</v>
      </c>
      <c r="D30" s="212" t="s">
        <v>256</v>
      </c>
      <c r="E30" s="210" t="s">
        <v>257</v>
      </c>
      <c r="F30" s="212" t="s">
        <v>217</v>
      </c>
      <c r="G30" s="212"/>
      <c r="H30" s="212" t="s">
        <v>218</v>
      </c>
      <c r="I30" s="212"/>
      <c r="J30" s="212">
        <v>3</v>
      </c>
      <c r="K30" s="212">
        <f>J30*12</f>
        <v>36</v>
      </c>
      <c r="L30" s="212">
        <f>36*J30</f>
        <v>108</v>
      </c>
      <c r="M30" s="212">
        <f>SUM(K30:L30)</f>
        <v>144</v>
      </c>
      <c r="N30" s="210" t="s">
        <v>258</v>
      </c>
      <c r="O30" s="210" t="s">
        <v>259</v>
      </c>
      <c r="P30" s="210" t="s">
        <v>232</v>
      </c>
      <c r="Q30" s="210" t="s">
        <v>227</v>
      </c>
    </row>
    <row r="31" spans="1:17" s="47" customFormat="1" ht="33" x14ac:dyDescent="0.35">
      <c r="A31" s="121" t="str">
        <f>_xlfn.XLOOKUP(B31,'Paso 3 Redacción RA '!I$3:I$15,'Paso 3 Redacción RA '!C$3:C$15,,0,1)</f>
        <v>Saberhacer</v>
      </c>
      <c r="B31" s="122" t="s">
        <v>93</v>
      </c>
      <c r="C31" s="179"/>
      <c r="D31" s="179"/>
      <c r="E31" s="211"/>
      <c r="F31" s="179"/>
      <c r="G31" s="179"/>
      <c r="H31" s="179"/>
      <c r="I31" s="179"/>
      <c r="J31" s="179"/>
      <c r="K31" s="179"/>
      <c r="L31" s="179"/>
      <c r="M31" s="179"/>
      <c r="N31" s="211"/>
      <c r="O31" s="211"/>
      <c r="P31" s="211"/>
      <c r="Q31" s="211"/>
    </row>
    <row r="32" spans="1:17" s="47" customFormat="1" ht="49.5" x14ac:dyDescent="0.35">
      <c r="A32" s="121" t="str">
        <f>_xlfn.XLOOKUP(B32,'Paso 3 Redacción RA '!I$3:I$15,'Paso 3 Redacción RA '!C$3:C$15,,0,1)</f>
        <v>Saberhacer</v>
      </c>
      <c r="B32" s="122" t="s">
        <v>100</v>
      </c>
      <c r="C32" s="179"/>
      <c r="D32" s="179"/>
      <c r="E32" s="211"/>
      <c r="F32" s="179"/>
      <c r="G32" s="179"/>
      <c r="H32" s="179"/>
      <c r="I32" s="179"/>
      <c r="J32" s="179"/>
      <c r="K32" s="179"/>
      <c r="L32" s="179"/>
      <c r="M32" s="179"/>
      <c r="N32" s="211"/>
      <c r="O32" s="211"/>
      <c r="P32" s="211"/>
      <c r="Q32" s="211"/>
    </row>
    <row r="33" spans="1:17" s="47" customFormat="1" ht="50" thickBot="1" x14ac:dyDescent="0.4">
      <c r="A33" s="155" t="str">
        <f>_xlfn.XLOOKUP(B33,'Paso 3 Redacción RA '!I$3:I$15,'Paso 3 Redacción RA '!C$3:C$15,,0,1)</f>
        <v>Saberhacer</v>
      </c>
      <c r="B33" s="124" t="s">
        <v>101</v>
      </c>
      <c r="C33" s="179"/>
      <c r="D33" s="179"/>
      <c r="E33" s="211"/>
      <c r="F33" s="179"/>
      <c r="G33" s="179"/>
      <c r="H33" s="179"/>
      <c r="I33" s="179"/>
      <c r="J33" s="179"/>
      <c r="K33" s="179"/>
      <c r="L33" s="179"/>
      <c r="M33" s="179"/>
      <c r="N33" s="211"/>
      <c r="O33" s="211"/>
      <c r="P33" s="211"/>
      <c r="Q33" s="211"/>
    </row>
    <row r="34" spans="1:17" s="47" customFormat="1" ht="33" x14ac:dyDescent="0.35">
      <c r="A34" s="121" t="str">
        <f>_xlfn.XLOOKUP(B34,'Paso 3 Redacción RA '!I$3:I$15,'Paso 3 Redacción RA '!C$3:C$15,,0,1)</f>
        <v>Saber</v>
      </c>
      <c r="B34" s="122" t="s">
        <v>99</v>
      </c>
      <c r="C34" s="212">
        <v>2</v>
      </c>
      <c r="D34" s="212" t="s">
        <v>260</v>
      </c>
      <c r="E34" s="210" t="s">
        <v>261</v>
      </c>
      <c r="F34" s="212" t="s">
        <v>217</v>
      </c>
      <c r="G34" s="212"/>
      <c r="H34" s="212" t="s">
        <v>218</v>
      </c>
      <c r="I34" s="212"/>
      <c r="J34" s="212">
        <v>3</v>
      </c>
      <c r="K34" s="212">
        <f>J34*12</f>
        <v>36</v>
      </c>
      <c r="L34" s="212">
        <f>36*J34</f>
        <v>108</v>
      </c>
      <c r="M34" s="212">
        <f>SUM(K34:L34)</f>
        <v>144</v>
      </c>
      <c r="N34" s="210" t="s">
        <v>262</v>
      </c>
      <c r="O34" s="210" t="s">
        <v>259</v>
      </c>
      <c r="P34" s="210" t="s">
        <v>232</v>
      </c>
      <c r="Q34" s="210" t="s">
        <v>227</v>
      </c>
    </row>
    <row r="35" spans="1:17" s="47" customFormat="1" ht="33" x14ac:dyDescent="0.35">
      <c r="A35" s="121" t="str">
        <f>_xlfn.XLOOKUP(B35,'Paso 3 Redacción RA '!I$3:I$15,'Paso 3 Redacción RA '!C$3:C$15,,0,1)</f>
        <v>Saberhacer</v>
      </c>
      <c r="B35" s="122" t="s">
        <v>93</v>
      </c>
      <c r="C35" s="179"/>
      <c r="D35" s="179"/>
      <c r="E35" s="211"/>
      <c r="F35" s="179"/>
      <c r="G35" s="179"/>
      <c r="H35" s="179"/>
      <c r="I35" s="179"/>
      <c r="J35" s="179"/>
      <c r="K35" s="179"/>
      <c r="L35" s="179"/>
      <c r="M35" s="179"/>
      <c r="N35" s="211"/>
      <c r="O35" s="211"/>
      <c r="P35" s="211"/>
      <c r="Q35" s="211"/>
    </row>
    <row r="36" spans="1:17" s="47" customFormat="1" ht="49.5" x14ac:dyDescent="0.35">
      <c r="A36" s="121" t="str">
        <f>_xlfn.XLOOKUP(B36,'Paso 3 Redacción RA '!I$3:I$15,'Paso 3 Redacción RA '!C$3:C$15,,0,1)</f>
        <v>Saberhacer</v>
      </c>
      <c r="B36" s="122" t="s">
        <v>100</v>
      </c>
      <c r="C36" s="179"/>
      <c r="D36" s="179"/>
      <c r="E36" s="211"/>
      <c r="F36" s="179"/>
      <c r="G36" s="179"/>
      <c r="H36" s="179"/>
      <c r="I36" s="179"/>
      <c r="J36" s="179"/>
      <c r="K36" s="179"/>
      <c r="L36" s="179"/>
      <c r="M36" s="179"/>
      <c r="N36" s="211"/>
      <c r="O36" s="211"/>
      <c r="P36" s="211"/>
      <c r="Q36" s="211"/>
    </row>
    <row r="37" spans="1:17" s="47" customFormat="1" ht="56.5" customHeight="1" thickBot="1" x14ac:dyDescent="0.4">
      <c r="A37" s="155" t="str">
        <f>_xlfn.XLOOKUP(B37,'Paso 3 Redacción RA '!I$3:I$15,'Paso 3 Redacción RA '!C$3:C$15,,0,1)</f>
        <v>Saberhacer</v>
      </c>
      <c r="B37" s="124" t="s">
        <v>101</v>
      </c>
      <c r="C37" s="179"/>
      <c r="D37" s="179"/>
      <c r="E37" s="211"/>
      <c r="F37" s="179"/>
      <c r="G37" s="179"/>
      <c r="H37" s="179"/>
      <c r="I37" s="179"/>
      <c r="J37" s="179"/>
      <c r="K37" s="179"/>
      <c r="L37" s="179"/>
      <c r="M37" s="179"/>
      <c r="N37" s="211"/>
      <c r="O37" s="211"/>
      <c r="P37" s="211"/>
      <c r="Q37" s="211"/>
    </row>
    <row r="38" spans="1:17" s="47" customFormat="1" ht="49.5" x14ac:dyDescent="0.35">
      <c r="A38" s="121" t="str">
        <f>_xlfn.XLOOKUP(B38,'Paso 3 Redacción RA '!I$3:I$15,'Paso 3 Redacción RA '!C$3:C$15,,0,1)</f>
        <v>Saber</v>
      </c>
      <c r="B38" s="122" t="s">
        <v>89</v>
      </c>
      <c r="C38" s="212">
        <v>2</v>
      </c>
      <c r="D38" s="212" t="s">
        <v>263</v>
      </c>
      <c r="E38" s="221" t="s">
        <v>264</v>
      </c>
      <c r="F38" s="212" t="s">
        <v>217</v>
      </c>
      <c r="G38" s="212"/>
      <c r="H38" s="212" t="s">
        <v>218</v>
      </c>
      <c r="I38" s="212"/>
      <c r="J38" s="212">
        <v>3</v>
      </c>
      <c r="K38" s="212">
        <f>J38*12</f>
        <v>36</v>
      </c>
      <c r="L38" s="212">
        <f>36*J38</f>
        <v>108</v>
      </c>
      <c r="M38" s="212">
        <f>SUM(K38:L38)</f>
        <v>144</v>
      </c>
      <c r="N38" s="210" t="s">
        <v>265</v>
      </c>
      <c r="O38" s="210" t="s">
        <v>231</v>
      </c>
      <c r="P38" s="210" t="s">
        <v>232</v>
      </c>
      <c r="Q38" s="210" t="s">
        <v>227</v>
      </c>
    </row>
    <row r="39" spans="1:17" s="47" customFormat="1" ht="33" x14ac:dyDescent="0.35">
      <c r="A39" s="121" t="str">
        <f>_xlfn.XLOOKUP(B39,'Paso 3 Redacción RA '!I$3:I$15,'Paso 3 Redacción RA '!C$3:C$15,,0,1)</f>
        <v>Saber</v>
      </c>
      <c r="B39" s="122" t="s">
        <v>99</v>
      </c>
      <c r="C39" s="179"/>
      <c r="D39" s="179"/>
      <c r="E39" s="218"/>
      <c r="F39" s="179"/>
      <c r="G39" s="179"/>
      <c r="H39" s="179"/>
      <c r="I39" s="179"/>
      <c r="J39" s="179"/>
      <c r="K39" s="179"/>
      <c r="L39" s="179"/>
      <c r="M39" s="179"/>
      <c r="N39" s="211"/>
      <c r="O39" s="211"/>
      <c r="P39" s="211"/>
      <c r="Q39" s="211"/>
    </row>
    <row r="40" spans="1:17" s="47" customFormat="1" ht="33" x14ac:dyDescent="0.35">
      <c r="A40" s="121" t="str">
        <f>_xlfn.XLOOKUP(B40,'Paso 3 Redacción RA '!I$3:I$15,'Paso 3 Redacción RA '!C$3:C$15,,0,1)</f>
        <v>Saberhacer</v>
      </c>
      <c r="B40" s="122" t="s">
        <v>93</v>
      </c>
      <c r="C40" s="179"/>
      <c r="D40" s="179"/>
      <c r="E40" s="218"/>
      <c r="F40" s="179"/>
      <c r="G40" s="179"/>
      <c r="H40" s="179"/>
      <c r="I40" s="179"/>
      <c r="J40" s="179"/>
      <c r="K40" s="179"/>
      <c r="L40" s="179"/>
      <c r="M40" s="179"/>
      <c r="N40" s="211"/>
      <c r="O40" s="211"/>
      <c r="P40" s="211"/>
      <c r="Q40" s="211"/>
    </row>
    <row r="41" spans="1:17" s="47" customFormat="1" ht="52.15" customHeight="1" thickBot="1" x14ac:dyDescent="0.4">
      <c r="A41" s="155" t="str">
        <f>_xlfn.XLOOKUP(B41,'Paso 3 Redacción RA '!I$3:I$15,'Paso 3 Redacción RA '!C$3:C$15,,0,1)</f>
        <v>Saberser</v>
      </c>
      <c r="B41" s="124" t="s">
        <v>96</v>
      </c>
      <c r="C41" s="179"/>
      <c r="D41" s="179"/>
      <c r="E41" s="218"/>
      <c r="F41" s="179"/>
      <c r="G41" s="179"/>
      <c r="H41" s="179"/>
      <c r="I41" s="179"/>
      <c r="J41" s="179"/>
      <c r="K41" s="179"/>
      <c r="L41" s="179"/>
      <c r="M41" s="179"/>
      <c r="N41" s="211"/>
      <c r="O41" s="222"/>
      <c r="P41" s="211"/>
      <c r="Q41" s="211"/>
    </row>
    <row r="42" spans="1:17" s="47" customFormat="1" ht="248" thickBot="1" x14ac:dyDescent="0.4">
      <c r="A42" s="111" t="str">
        <f>_xlfn.XLOOKUP(B42,'Paso 3 Redacción RA '!I$3:I$15,'Paso 3 Redacción RA '!C$3:C$15,,0,1)</f>
        <v>Saber</v>
      </c>
      <c r="B42" s="156" t="s">
        <v>107</v>
      </c>
      <c r="C42" s="113">
        <v>3</v>
      </c>
      <c r="D42" s="114" t="s">
        <v>266</v>
      </c>
      <c r="E42" s="115" t="s">
        <v>267</v>
      </c>
      <c r="F42" s="113" t="s">
        <v>217</v>
      </c>
      <c r="G42" s="114" t="s">
        <v>218</v>
      </c>
      <c r="H42" s="114"/>
      <c r="I42" s="114"/>
      <c r="J42" s="113">
        <v>3</v>
      </c>
      <c r="K42" s="113">
        <f>12*J42</f>
        <v>36</v>
      </c>
      <c r="L42" s="113">
        <f>36*J42</f>
        <v>108</v>
      </c>
      <c r="M42" s="113">
        <f>SUM(K42:L42)</f>
        <v>144</v>
      </c>
      <c r="N42" s="115" t="s">
        <v>268</v>
      </c>
      <c r="O42" s="117" t="s">
        <v>220</v>
      </c>
      <c r="P42" s="117" t="s">
        <v>269</v>
      </c>
      <c r="Q42" s="115" t="s">
        <v>227</v>
      </c>
    </row>
    <row r="43" spans="1:17" s="11" customFormat="1" ht="247.5" x14ac:dyDescent="0.35">
      <c r="A43" s="111" t="str">
        <f>_xlfn.XLOOKUP(B43,'Paso 3 Redacción RA '!I$3:I$15,'Paso 3 Redacción RA '!C$3:C$15,,0,1)</f>
        <v>Saber</v>
      </c>
      <c r="B43" s="112" t="s">
        <v>107</v>
      </c>
      <c r="C43" s="126">
        <v>3</v>
      </c>
      <c r="D43" s="114" t="s">
        <v>270</v>
      </c>
      <c r="E43" s="115" t="s">
        <v>271</v>
      </c>
      <c r="F43" s="113" t="s">
        <v>217</v>
      </c>
      <c r="G43" s="113" t="s">
        <v>218</v>
      </c>
      <c r="H43" s="113"/>
      <c r="I43" s="113"/>
      <c r="J43" s="126">
        <v>3</v>
      </c>
      <c r="K43" s="113">
        <f>12*J43</f>
        <v>36</v>
      </c>
      <c r="L43" s="113">
        <f>36*J43</f>
        <v>108</v>
      </c>
      <c r="M43" s="113">
        <f>SUM(K43:L43)</f>
        <v>144</v>
      </c>
      <c r="N43" s="115" t="s">
        <v>272</v>
      </c>
      <c r="O43" s="112" t="s">
        <v>220</v>
      </c>
      <c r="P43" s="112" t="s">
        <v>273</v>
      </c>
      <c r="Q43" s="115" t="s">
        <v>227</v>
      </c>
    </row>
    <row r="44" spans="1:17" s="47" customFormat="1" ht="49.5" customHeight="1" x14ac:dyDescent="0.35">
      <c r="A44" s="121" t="str">
        <f>_xlfn.XLOOKUP(B44,'Paso 3 Redacción RA '!I$3:I$15,'Paso 3 Redacción RA '!C$3:C$15,,0,1)</f>
        <v>Saber</v>
      </c>
      <c r="B44" s="122" t="s">
        <v>99</v>
      </c>
      <c r="C44" s="212">
        <v>3</v>
      </c>
      <c r="D44" s="223" t="s">
        <v>274</v>
      </c>
      <c r="E44" s="210" t="s">
        <v>275</v>
      </c>
      <c r="F44" s="212" t="s">
        <v>217</v>
      </c>
      <c r="G44" s="212"/>
      <c r="H44" s="212" t="s">
        <v>218</v>
      </c>
      <c r="I44" s="212"/>
      <c r="J44" s="212">
        <v>3</v>
      </c>
      <c r="K44" s="212">
        <f>J44*12</f>
        <v>36</v>
      </c>
      <c r="L44" s="212">
        <f>36*J44</f>
        <v>108</v>
      </c>
      <c r="M44" s="212">
        <f>SUM(K44:L44)</f>
        <v>144</v>
      </c>
      <c r="N44" s="210" t="s">
        <v>276</v>
      </c>
      <c r="O44" s="210" t="s">
        <v>231</v>
      </c>
      <c r="P44" s="210" t="s">
        <v>232</v>
      </c>
      <c r="Q44" s="210" t="s">
        <v>227</v>
      </c>
    </row>
    <row r="45" spans="1:17" s="47" customFormat="1" ht="42" customHeight="1" x14ac:dyDescent="0.35">
      <c r="A45" s="121" t="str">
        <f>_xlfn.XLOOKUP(B45,'Paso 3 Redacción RA '!I$3:I$15,'Paso 3 Redacción RA '!C$3:C$15,,0,1)</f>
        <v>Saberhacer</v>
      </c>
      <c r="B45" s="122" t="s">
        <v>93</v>
      </c>
      <c r="C45" s="179"/>
      <c r="D45" s="224"/>
      <c r="E45" s="211"/>
      <c r="F45" s="179"/>
      <c r="G45" s="179"/>
      <c r="H45" s="179"/>
      <c r="I45" s="179"/>
      <c r="J45" s="179"/>
      <c r="K45" s="179"/>
      <c r="L45" s="179"/>
      <c r="M45" s="179"/>
      <c r="N45" s="211"/>
      <c r="O45" s="211"/>
      <c r="P45" s="211"/>
      <c r="Q45" s="211"/>
    </row>
    <row r="46" spans="1:17" s="47" customFormat="1" ht="55" customHeight="1" x14ac:dyDescent="0.35">
      <c r="A46" s="121" t="str">
        <f>_xlfn.XLOOKUP(B46,'Paso 3 Redacción RA '!I$3:I$15,'Paso 3 Redacción RA '!C$3:C$15,,0,1)</f>
        <v>Saberhacer</v>
      </c>
      <c r="B46" s="122" t="s">
        <v>100</v>
      </c>
      <c r="C46" s="179"/>
      <c r="D46" s="224"/>
      <c r="E46" s="211"/>
      <c r="F46" s="179"/>
      <c r="G46" s="179"/>
      <c r="H46" s="179"/>
      <c r="I46" s="179"/>
      <c r="J46" s="179"/>
      <c r="K46" s="179"/>
      <c r="L46" s="179"/>
      <c r="M46" s="179"/>
      <c r="N46" s="211"/>
      <c r="O46" s="211"/>
      <c r="P46" s="211"/>
      <c r="Q46" s="211"/>
    </row>
    <row r="47" spans="1:17" s="47" customFormat="1" ht="66.650000000000006" customHeight="1" thickBot="1" x14ac:dyDescent="0.4">
      <c r="A47" s="155" t="str">
        <f>_xlfn.XLOOKUP(B47,'Paso 3 Redacción RA '!I$3:I$15,'Paso 3 Redacción RA '!C$3:C$15,,0,1)</f>
        <v>Saberhacer</v>
      </c>
      <c r="B47" s="124" t="s">
        <v>101</v>
      </c>
      <c r="C47" s="179"/>
      <c r="D47" s="224"/>
      <c r="E47" s="211"/>
      <c r="F47" s="179"/>
      <c r="G47" s="179"/>
      <c r="H47" s="179"/>
      <c r="I47" s="179"/>
      <c r="J47" s="179"/>
      <c r="K47" s="179"/>
      <c r="L47" s="179"/>
      <c r="M47" s="179"/>
      <c r="N47" s="211"/>
      <c r="O47" s="211"/>
      <c r="P47" s="211"/>
      <c r="Q47" s="211"/>
    </row>
    <row r="48" spans="1:17" s="47" customFormat="1" ht="33" x14ac:dyDescent="0.35">
      <c r="A48" s="121" t="str">
        <f>_xlfn.XLOOKUP(B48,'Paso 3 Redacción RA '!I$3:I$15,'Paso 3 Redacción RA '!C$3:C$15,,0,1)</f>
        <v>Saber</v>
      </c>
      <c r="B48" s="122" t="s">
        <v>99</v>
      </c>
      <c r="C48" s="212">
        <v>3</v>
      </c>
      <c r="D48" s="212" t="s">
        <v>277</v>
      </c>
      <c r="E48" s="210" t="s">
        <v>278</v>
      </c>
      <c r="F48" s="212" t="s">
        <v>217</v>
      </c>
      <c r="G48" s="212"/>
      <c r="H48" s="212" t="s">
        <v>218</v>
      </c>
      <c r="I48" s="212"/>
      <c r="J48" s="212">
        <v>3</v>
      </c>
      <c r="K48" s="212">
        <f>J48*12</f>
        <v>36</v>
      </c>
      <c r="L48" s="212">
        <f>36*J48</f>
        <v>108</v>
      </c>
      <c r="M48" s="212">
        <f>SUM(K48:L48)</f>
        <v>144</v>
      </c>
      <c r="N48" s="210" t="s">
        <v>279</v>
      </c>
      <c r="O48" s="210" t="s">
        <v>231</v>
      </c>
      <c r="P48" s="210" t="s">
        <v>232</v>
      </c>
      <c r="Q48" s="210" t="s">
        <v>227</v>
      </c>
    </row>
    <row r="49" spans="1:17" s="47" customFormat="1" ht="33" x14ac:dyDescent="0.35">
      <c r="A49" s="121" t="str">
        <f>_xlfn.XLOOKUP(B49,'Paso 3 Redacción RA '!I$3:I$15,'Paso 3 Redacción RA '!C$3:C$15,,0,1)</f>
        <v>Saberhacer</v>
      </c>
      <c r="B49" s="122" t="s">
        <v>93</v>
      </c>
      <c r="C49" s="179"/>
      <c r="D49" s="179"/>
      <c r="E49" s="211"/>
      <c r="F49" s="179"/>
      <c r="G49" s="179"/>
      <c r="H49" s="179"/>
      <c r="I49" s="179"/>
      <c r="J49" s="179"/>
      <c r="K49" s="179"/>
      <c r="L49" s="179"/>
      <c r="M49" s="179"/>
      <c r="N49" s="211"/>
      <c r="O49" s="211"/>
      <c r="P49" s="211"/>
      <c r="Q49" s="211"/>
    </row>
    <row r="50" spans="1:17" s="47" customFormat="1" ht="33" x14ac:dyDescent="0.35">
      <c r="A50" s="121" t="str">
        <f>_xlfn.XLOOKUP(B50,'Paso 3 Redacción RA '!I$3:I$15,'Paso 3 Redacción RA '!C$3:C$15,,0,1)</f>
        <v>Saberhacer</v>
      </c>
      <c r="B50" s="122" t="s">
        <v>106</v>
      </c>
      <c r="C50" s="179"/>
      <c r="D50" s="179"/>
      <c r="E50" s="211"/>
      <c r="F50" s="179"/>
      <c r="G50" s="179"/>
      <c r="H50" s="179"/>
      <c r="I50" s="179"/>
      <c r="J50" s="179"/>
      <c r="K50" s="179"/>
      <c r="L50" s="179"/>
      <c r="M50" s="179"/>
      <c r="N50" s="211"/>
      <c r="O50" s="211"/>
      <c r="P50" s="211"/>
      <c r="Q50" s="211"/>
    </row>
    <row r="51" spans="1:17" s="47" customFormat="1" ht="50" thickBot="1" x14ac:dyDescent="0.4">
      <c r="A51" s="155" t="str">
        <f>_xlfn.XLOOKUP(B51,'Paso 3 Redacción RA '!I$3:I$15,'Paso 3 Redacción RA '!C$3:C$15,,0,1)</f>
        <v>Saberser</v>
      </c>
      <c r="B51" s="124" t="s">
        <v>96</v>
      </c>
      <c r="C51" s="179"/>
      <c r="D51" s="179"/>
      <c r="E51" s="211"/>
      <c r="F51" s="179"/>
      <c r="G51" s="179"/>
      <c r="H51" s="179"/>
      <c r="I51" s="179"/>
      <c r="J51" s="179"/>
      <c r="K51" s="179"/>
      <c r="L51" s="179"/>
      <c r="M51" s="179"/>
      <c r="N51" s="211"/>
      <c r="O51" s="211"/>
      <c r="P51" s="211"/>
      <c r="Q51" s="211"/>
    </row>
    <row r="52" spans="1:17" s="47" customFormat="1" ht="49.5" x14ac:dyDescent="0.35">
      <c r="A52" s="121" t="str">
        <f>_xlfn.XLOOKUP(B52,'Paso 3 Redacción RA '!I$3:I$15,'Paso 3 Redacción RA '!C$3:C$15,,0,1)</f>
        <v>Saber</v>
      </c>
      <c r="B52" s="122" t="s">
        <v>89</v>
      </c>
      <c r="C52" s="212">
        <v>3</v>
      </c>
      <c r="D52" s="212" t="s">
        <v>280</v>
      </c>
      <c r="E52" s="210" t="s">
        <v>281</v>
      </c>
      <c r="F52" s="212" t="s">
        <v>217</v>
      </c>
      <c r="G52" s="212"/>
      <c r="H52" s="212" t="s">
        <v>218</v>
      </c>
      <c r="I52" s="212"/>
      <c r="J52" s="212">
        <v>3</v>
      </c>
      <c r="K52" s="212">
        <f>J52*12</f>
        <v>36</v>
      </c>
      <c r="L52" s="212">
        <f>36*J52</f>
        <v>108</v>
      </c>
      <c r="M52" s="212">
        <f>SUM(K52:L52)</f>
        <v>144</v>
      </c>
      <c r="N52" s="210" t="s">
        <v>282</v>
      </c>
      <c r="O52" s="210" t="s">
        <v>259</v>
      </c>
      <c r="P52" s="210" t="s">
        <v>232</v>
      </c>
      <c r="Q52" s="210" t="s">
        <v>227</v>
      </c>
    </row>
    <row r="53" spans="1:17" s="47" customFormat="1" ht="33" x14ac:dyDescent="0.35">
      <c r="A53" s="121" t="str">
        <f>_xlfn.XLOOKUP(B53,'Paso 3 Redacción RA '!I$3:I$15,'Paso 3 Redacción RA '!C$3:C$15,,0,1)</f>
        <v>Saberhacer</v>
      </c>
      <c r="B53" s="122" t="s">
        <v>93</v>
      </c>
      <c r="C53" s="179"/>
      <c r="D53" s="179"/>
      <c r="E53" s="211"/>
      <c r="F53" s="179"/>
      <c r="G53" s="179"/>
      <c r="H53" s="179"/>
      <c r="I53" s="179"/>
      <c r="J53" s="179"/>
      <c r="K53" s="179"/>
      <c r="L53" s="179"/>
      <c r="M53" s="179"/>
      <c r="N53" s="211"/>
      <c r="O53" s="211"/>
      <c r="P53" s="211"/>
      <c r="Q53" s="211"/>
    </row>
    <row r="54" spans="1:17" s="47" customFormat="1" ht="49.5" x14ac:dyDescent="0.35">
      <c r="A54" s="121" t="str">
        <f>_xlfn.XLOOKUP(B54,'Paso 3 Redacción RA '!I$3:I$15,'Paso 3 Redacción RA '!C$3:C$15,,0,1)</f>
        <v>Saberhacer</v>
      </c>
      <c r="B54" s="122" t="s">
        <v>101</v>
      </c>
      <c r="C54" s="179"/>
      <c r="D54" s="179"/>
      <c r="E54" s="211"/>
      <c r="F54" s="179"/>
      <c r="G54" s="179"/>
      <c r="H54" s="179"/>
      <c r="I54" s="179"/>
      <c r="J54" s="179"/>
      <c r="K54" s="179"/>
      <c r="L54" s="179"/>
      <c r="M54" s="179"/>
      <c r="N54" s="211"/>
      <c r="O54" s="211"/>
      <c r="P54" s="211"/>
      <c r="Q54" s="211"/>
    </row>
    <row r="55" spans="1:17" s="47" customFormat="1" ht="50" thickBot="1" x14ac:dyDescent="0.4">
      <c r="A55" s="155" t="str">
        <f>_xlfn.XLOOKUP(B55,'Paso 3 Redacción RA '!I$3:I$15,'Paso 3 Redacción RA '!C$3:C$15,,0,1)</f>
        <v>Saberser</v>
      </c>
      <c r="B55" s="124" t="s">
        <v>96</v>
      </c>
      <c r="C55" s="179"/>
      <c r="D55" s="179"/>
      <c r="E55" s="211"/>
      <c r="F55" s="179"/>
      <c r="G55" s="179"/>
      <c r="H55" s="179"/>
      <c r="I55" s="179"/>
      <c r="J55" s="179"/>
      <c r="K55" s="179"/>
      <c r="L55" s="179"/>
      <c r="M55" s="179"/>
      <c r="N55" s="211"/>
      <c r="O55" s="211"/>
      <c r="P55" s="211"/>
      <c r="Q55" s="211"/>
    </row>
    <row r="56" spans="1:17" s="47" customFormat="1" ht="49.5" x14ac:dyDescent="0.35">
      <c r="A56" s="121" t="str">
        <f>_xlfn.XLOOKUP(B56,'Paso 3 Redacción RA '!I$3:I$15,'Paso 3 Redacción RA '!C$3:C$15,,0,1)</f>
        <v>Saber</v>
      </c>
      <c r="B56" s="122" t="s">
        <v>89</v>
      </c>
      <c r="C56" s="212">
        <v>3</v>
      </c>
      <c r="D56" s="212" t="s">
        <v>283</v>
      </c>
      <c r="E56" s="210" t="s">
        <v>284</v>
      </c>
      <c r="F56" s="212" t="s">
        <v>217</v>
      </c>
      <c r="G56" s="212"/>
      <c r="H56" s="212" t="s">
        <v>218</v>
      </c>
      <c r="I56" s="212"/>
      <c r="J56" s="212">
        <v>3</v>
      </c>
      <c r="K56" s="212">
        <f>J56*12</f>
        <v>36</v>
      </c>
      <c r="L56" s="212">
        <f>36*J56</f>
        <v>108</v>
      </c>
      <c r="M56" s="212">
        <f>SUM(K56:L56)</f>
        <v>144</v>
      </c>
      <c r="N56" s="210" t="s">
        <v>285</v>
      </c>
      <c r="O56" s="210" t="s">
        <v>259</v>
      </c>
      <c r="P56" s="210" t="s">
        <v>232</v>
      </c>
      <c r="Q56" s="210" t="s">
        <v>227</v>
      </c>
    </row>
    <row r="57" spans="1:17" s="47" customFormat="1" ht="33" x14ac:dyDescent="0.35">
      <c r="A57" s="121" t="str">
        <f>_xlfn.XLOOKUP(B57,'Paso 3 Redacción RA '!I$3:I$15,'Paso 3 Redacción RA '!C$3:C$15,,0,1)</f>
        <v>Saber</v>
      </c>
      <c r="B57" s="122" t="s">
        <v>99</v>
      </c>
      <c r="C57" s="179"/>
      <c r="D57" s="179"/>
      <c r="E57" s="211"/>
      <c r="F57" s="179"/>
      <c r="G57" s="179"/>
      <c r="H57" s="179"/>
      <c r="I57" s="179"/>
      <c r="J57" s="179"/>
      <c r="K57" s="179"/>
      <c r="L57" s="179"/>
      <c r="M57" s="179"/>
      <c r="N57" s="211"/>
      <c r="O57" s="211"/>
      <c r="P57" s="211"/>
      <c r="Q57" s="211"/>
    </row>
    <row r="58" spans="1:17" s="47" customFormat="1" ht="49.5" x14ac:dyDescent="0.35">
      <c r="A58" s="121" t="str">
        <f>_xlfn.XLOOKUP(B58,'Paso 3 Redacción RA '!I$3:I$15,'Paso 3 Redacción RA '!C$3:C$15,,0,1)</f>
        <v>Saberhacer</v>
      </c>
      <c r="B58" s="122" t="s">
        <v>101</v>
      </c>
      <c r="C58" s="179"/>
      <c r="D58" s="179"/>
      <c r="E58" s="211"/>
      <c r="F58" s="179"/>
      <c r="G58" s="179"/>
      <c r="H58" s="179"/>
      <c r="I58" s="179"/>
      <c r="J58" s="179"/>
      <c r="K58" s="179"/>
      <c r="L58" s="179"/>
      <c r="M58" s="179"/>
      <c r="N58" s="211"/>
      <c r="O58" s="211"/>
      <c r="P58" s="211"/>
      <c r="Q58" s="211"/>
    </row>
    <row r="59" spans="1:17" s="47" customFormat="1" ht="50" thickBot="1" x14ac:dyDescent="0.4">
      <c r="A59" s="155" t="str">
        <f>_xlfn.XLOOKUP(B59,'Paso 3 Redacción RA '!I$3:I$15,'Paso 3 Redacción RA '!C$3:C$15,,0,1)</f>
        <v>Saberser</v>
      </c>
      <c r="B59" s="122" t="s">
        <v>96</v>
      </c>
      <c r="C59" s="179"/>
      <c r="D59" s="179"/>
      <c r="E59" s="211"/>
      <c r="F59" s="179"/>
      <c r="G59" s="179"/>
      <c r="H59" s="179"/>
      <c r="I59" s="179"/>
      <c r="J59" s="179"/>
      <c r="K59" s="179"/>
      <c r="L59" s="179"/>
      <c r="M59" s="179"/>
      <c r="N59" s="211"/>
      <c r="O59" s="211"/>
      <c r="P59" s="211"/>
      <c r="Q59" s="211"/>
    </row>
    <row r="60" spans="1:17" s="47" customFormat="1" ht="248" thickBot="1" x14ac:dyDescent="0.4">
      <c r="A60" s="111" t="str">
        <f>_xlfn.XLOOKUP(B60,'Paso 3 Redacción RA '!I$3:I$15,'Paso 3 Redacción RA '!C$3:C$15,,0,1)</f>
        <v>Saber</v>
      </c>
      <c r="B60" s="112" t="s">
        <v>107</v>
      </c>
      <c r="C60" s="126">
        <v>4</v>
      </c>
      <c r="D60" s="113" t="s">
        <v>286</v>
      </c>
      <c r="E60" s="115" t="s">
        <v>287</v>
      </c>
      <c r="F60" s="113" t="s">
        <v>217</v>
      </c>
      <c r="G60" s="127" t="s">
        <v>218</v>
      </c>
      <c r="H60" s="127"/>
      <c r="I60" s="127"/>
      <c r="J60" s="114">
        <v>3</v>
      </c>
      <c r="K60" s="113">
        <f>12*J60</f>
        <v>36</v>
      </c>
      <c r="L60" s="113">
        <f>36*J60</f>
        <v>108</v>
      </c>
      <c r="M60" s="113">
        <f>SUM(K60:L60)</f>
        <v>144</v>
      </c>
      <c r="N60" s="128" t="s">
        <v>288</v>
      </c>
      <c r="O60" s="129" t="s">
        <v>220</v>
      </c>
      <c r="P60" s="129" t="s">
        <v>289</v>
      </c>
      <c r="Q60" s="130" t="s">
        <v>227</v>
      </c>
    </row>
    <row r="61" spans="1:17" s="47" customFormat="1" ht="33" x14ac:dyDescent="0.35">
      <c r="A61" s="121" t="str">
        <f>_xlfn.XLOOKUP(B61,'Paso 3 Redacción RA '!I$3:I$15,'Paso 3 Redacción RA '!C$3:C$15,,0,1)</f>
        <v>Saberhacer</v>
      </c>
      <c r="B61" s="122" t="s">
        <v>93</v>
      </c>
      <c r="C61" s="212">
        <v>4</v>
      </c>
      <c r="D61" s="212" t="s">
        <v>290</v>
      </c>
      <c r="E61" s="210" t="s">
        <v>291</v>
      </c>
      <c r="F61" s="212" t="s">
        <v>217</v>
      </c>
      <c r="G61" s="212"/>
      <c r="H61" s="212" t="s">
        <v>218</v>
      </c>
      <c r="I61" s="212"/>
      <c r="J61" s="212">
        <v>3</v>
      </c>
      <c r="K61" s="212">
        <f>J61*12</f>
        <v>36</v>
      </c>
      <c r="L61" s="212">
        <f>36*J61</f>
        <v>108</v>
      </c>
      <c r="M61" s="212">
        <f>SUM(K61:L61)</f>
        <v>144</v>
      </c>
      <c r="N61" s="210" t="s">
        <v>292</v>
      </c>
      <c r="O61" s="210" t="s">
        <v>231</v>
      </c>
      <c r="P61" s="210" t="s">
        <v>232</v>
      </c>
      <c r="Q61" s="210" t="s">
        <v>227</v>
      </c>
    </row>
    <row r="62" spans="1:17" s="47" customFormat="1" ht="49.5" x14ac:dyDescent="0.35">
      <c r="A62" s="121" t="str">
        <f>_xlfn.XLOOKUP(B62,'Paso 3 Redacción RA '!I$3:I$15,'Paso 3 Redacción RA '!C$3:C$15,,0,1)</f>
        <v>Saberhacer</v>
      </c>
      <c r="B62" s="122" t="s">
        <v>100</v>
      </c>
      <c r="C62" s="179"/>
      <c r="D62" s="179"/>
      <c r="E62" s="211"/>
      <c r="F62" s="179"/>
      <c r="G62" s="179"/>
      <c r="H62" s="179"/>
      <c r="I62" s="179"/>
      <c r="J62" s="179"/>
      <c r="K62" s="179"/>
      <c r="L62" s="179"/>
      <c r="M62" s="179"/>
      <c r="N62" s="211"/>
      <c r="O62" s="211"/>
      <c r="P62" s="211"/>
      <c r="Q62" s="211"/>
    </row>
    <row r="63" spans="1:17" s="47" customFormat="1" ht="49.5" x14ac:dyDescent="0.35">
      <c r="A63" s="121" t="str">
        <f>_xlfn.XLOOKUP(B63,'Paso 3 Redacción RA '!I$3:I$15,'Paso 3 Redacción RA '!C$3:C$15,,0,1)</f>
        <v>Saberhacer</v>
      </c>
      <c r="B63" s="122" t="s">
        <v>101</v>
      </c>
      <c r="C63" s="179"/>
      <c r="D63" s="179"/>
      <c r="E63" s="211"/>
      <c r="F63" s="179"/>
      <c r="G63" s="179"/>
      <c r="H63" s="179"/>
      <c r="I63" s="179"/>
      <c r="J63" s="179"/>
      <c r="K63" s="179"/>
      <c r="L63" s="179"/>
      <c r="M63" s="179"/>
      <c r="N63" s="211"/>
      <c r="O63" s="211"/>
      <c r="P63" s="211"/>
      <c r="Q63" s="211"/>
    </row>
    <row r="64" spans="1:17" s="47" customFormat="1" ht="33.5" thickBot="1" x14ac:dyDescent="0.4">
      <c r="A64" s="123" t="str">
        <f>_xlfn.XLOOKUP(B64,'Paso 3 Redacción RA '!I$3:I$15,'Paso 3 Redacción RA '!C$3:C$15,,0,1)</f>
        <v>Saberhacer</v>
      </c>
      <c r="B64" s="124" t="s">
        <v>106</v>
      </c>
      <c r="C64" s="217"/>
      <c r="D64" s="217"/>
      <c r="E64" s="222"/>
      <c r="F64" s="217"/>
      <c r="G64" s="217"/>
      <c r="H64" s="217"/>
      <c r="I64" s="217"/>
      <c r="J64" s="217"/>
      <c r="K64" s="217"/>
      <c r="L64" s="217"/>
      <c r="M64" s="217"/>
      <c r="N64" s="222"/>
      <c r="O64" s="222"/>
      <c r="P64" s="222"/>
      <c r="Q64" s="222"/>
    </row>
    <row r="65" spans="1:17" s="47" customFormat="1" ht="49.5" x14ac:dyDescent="0.35">
      <c r="A65" s="121" t="str">
        <f>_xlfn.XLOOKUP(B65,'Paso 3 Redacción RA '!I$3:I$15,'Paso 3 Redacción RA '!C$3:C$15,,0,1)</f>
        <v>Saber</v>
      </c>
      <c r="B65" s="122" t="s">
        <v>89</v>
      </c>
      <c r="C65" s="212">
        <v>4</v>
      </c>
      <c r="D65" s="212" t="s">
        <v>293</v>
      </c>
      <c r="E65" s="221" t="s">
        <v>294</v>
      </c>
      <c r="F65" s="212" t="s">
        <v>295</v>
      </c>
      <c r="G65" s="212"/>
      <c r="H65" s="212" t="s">
        <v>218</v>
      </c>
      <c r="I65" s="212"/>
      <c r="J65" s="212">
        <v>5</v>
      </c>
      <c r="K65" s="212">
        <f>J65*12</f>
        <v>60</v>
      </c>
      <c r="L65" s="212">
        <f>36*J65</f>
        <v>180</v>
      </c>
      <c r="M65" s="212">
        <f>SUM(K65:L65)</f>
        <v>240</v>
      </c>
      <c r="N65" s="210" t="s">
        <v>296</v>
      </c>
      <c r="O65" s="210" t="s">
        <v>259</v>
      </c>
      <c r="P65" s="210" t="s">
        <v>297</v>
      </c>
      <c r="Q65" s="210" t="s">
        <v>227</v>
      </c>
    </row>
    <row r="66" spans="1:17" s="47" customFormat="1" ht="33" x14ac:dyDescent="0.35">
      <c r="A66" s="121" t="str">
        <f>_xlfn.XLOOKUP(B66,'Paso 3 Redacción RA '!I$3:I$15,'Paso 3 Redacción RA '!C$3:C$15,,0,1)</f>
        <v>Saberhacer</v>
      </c>
      <c r="B66" s="122" t="s">
        <v>93</v>
      </c>
      <c r="C66" s="179"/>
      <c r="D66" s="179"/>
      <c r="E66" s="218"/>
      <c r="F66" s="179"/>
      <c r="G66" s="179"/>
      <c r="H66" s="179"/>
      <c r="I66" s="179"/>
      <c r="J66" s="179"/>
      <c r="K66" s="179"/>
      <c r="L66" s="179"/>
      <c r="M66" s="179"/>
      <c r="N66" s="211"/>
      <c r="O66" s="211"/>
      <c r="P66" s="211"/>
      <c r="Q66" s="211"/>
    </row>
    <row r="67" spans="1:17" s="47" customFormat="1" ht="49.5" x14ac:dyDescent="0.35">
      <c r="A67" s="121" t="str">
        <f>_xlfn.XLOOKUP(B67,'Paso 3 Redacción RA '!I$3:I$15,'Paso 3 Redacción RA '!C$3:C$15,,0,1)</f>
        <v>Saberhacer</v>
      </c>
      <c r="B67" s="122" t="s">
        <v>101</v>
      </c>
      <c r="C67" s="179"/>
      <c r="D67" s="179"/>
      <c r="E67" s="218"/>
      <c r="F67" s="179"/>
      <c r="G67" s="179"/>
      <c r="H67" s="179"/>
      <c r="I67" s="179"/>
      <c r="J67" s="179"/>
      <c r="K67" s="179"/>
      <c r="L67" s="179"/>
      <c r="M67" s="179"/>
      <c r="N67" s="211"/>
      <c r="O67" s="211"/>
      <c r="P67" s="211"/>
      <c r="Q67" s="211"/>
    </row>
    <row r="68" spans="1:17" s="47" customFormat="1" ht="50" thickBot="1" x14ac:dyDescent="0.4">
      <c r="A68" s="123" t="str">
        <f>_xlfn.XLOOKUP(B68,'Paso 3 Redacción RA '!I$3:I$15,'Paso 3 Redacción RA '!C$3:C$15,,0,1)</f>
        <v>Saberser</v>
      </c>
      <c r="B68" s="124" t="s">
        <v>96</v>
      </c>
      <c r="C68" s="217"/>
      <c r="D68" s="217"/>
      <c r="E68" s="219"/>
      <c r="F68" s="217"/>
      <c r="G68" s="217"/>
      <c r="H68" s="217"/>
      <c r="I68" s="217"/>
      <c r="J68" s="217"/>
      <c r="K68" s="217"/>
      <c r="L68" s="217"/>
      <c r="M68" s="217"/>
      <c r="N68" s="222"/>
      <c r="O68" s="222"/>
      <c r="P68" s="222"/>
      <c r="Q68" s="222"/>
    </row>
    <row r="69" spans="1:17" s="47" customFormat="1" ht="33" x14ac:dyDescent="0.35">
      <c r="A69" s="121" t="str">
        <f>_xlfn.XLOOKUP(B69,'Paso 3 Redacción RA '!I$3:I$15,'Paso 3 Redacción RA '!C$3:C$15,,0,1)</f>
        <v>Saberhacer</v>
      </c>
      <c r="B69" s="122" t="s">
        <v>93</v>
      </c>
      <c r="C69" s="212">
        <v>4</v>
      </c>
      <c r="D69" s="212" t="s">
        <v>298</v>
      </c>
      <c r="E69" s="210" t="s">
        <v>299</v>
      </c>
      <c r="F69" s="212" t="s">
        <v>217</v>
      </c>
      <c r="G69" s="212"/>
      <c r="H69" s="212" t="s">
        <v>218</v>
      </c>
      <c r="I69" s="212"/>
      <c r="J69" s="212">
        <v>3</v>
      </c>
      <c r="K69" s="212">
        <f>J69*12</f>
        <v>36</v>
      </c>
      <c r="L69" s="212">
        <f>36*J69</f>
        <v>108</v>
      </c>
      <c r="M69" s="212">
        <f>SUM(K69:L69)</f>
        <v>144</v>
      </c>
      <c r="N69" s="210" t="s">
        <v>300</v>
      </c>
      <c r="O69" s="210" t="s">
        <v>259</v>
      </c>
      <c r="P69" s="210" t="s">
        <v>232</v>
      </c>
      <c r="Q69" s="210" t="s">
        <v>227</v>
      </c>
    </row>
    <row r="70" spans="1:17" s="47" customFormat="1" ht="49.5" x14ac:dyDescent="0.35">
      <c r="A70" s="121" t="str">
        <f>_xlfn.XLOOKUP(B70,'Paso 3 Redacción RA '!I$3:I$15,'Paso 3 Redacción RA '!C$3:C$15,,0,1)</f>
        <v>Saberhacer</v>
      </c>
      <c r="B70" s="122" t="s">
        <v>101</v>
      </c>
      <c r="C70" s="179"/>
      <c r="D70" s="179"/>
      <c r="E70" s="211"/>
      <c r="F70" s="179"/>
      <c r="G70" s="179"/>
      <c r="H70" s="179"/>
      <c r="I70" s="179"/>
      <c r="J70" s="179"/>
      <c r="K70" s="179"/>
      <c r="L70" s="179"/>
      <c r="M70" s="179"/>
      <c r="N70" s="211"/>
      <c r="O70" s="211"/>
      <c r="P70" s="211"/>
      <c r="Q70" s="211"/>
    </row>
    <row r="71" spans="1:17" s="47" customFormat="1" ht="33" x14ac:dyDescent="0.35">
      <c r="A71" s="121" t="str">
        <f>_xlfn.XLOOKUP(B71,'Paso 3 Redacción RA '!I$3:I$15,'Paso 3 Redacción RA '!C$3:C$15,,0,1)</f>
        <v>Saberhacer</v>
      </c>
      <c r="B71" s="122" t="s">
        <v>106</v>
      </c>
      <c r="C71" s="179"/>
      <c r="D71" s="179"/>
      <c r="E71" s="211"/>
      <c r="F71" s="179"/>
      <c r="G71" s="179"/>
      <c r="H71" s="179"/>
      <c r="I71" s="179"/>
      <c r="J71" s="179"/>
      <c r="K71" s="179"/>
      <c r="L71" s="179"/>
      <c r="M71" s="179"/>
      <c r="N71" s="211"/>
      <c r="O71" s="211"/>
      <c r="P71" s="211"/>
      <c r="Q71" s="211"/>
    </row>
    <row r="72" spans="1:17" s="47" customFormat="1" ht="50" thickBot="1" x14ac:dyDescent="0.4">
      <c r="A72" s="123" t="str">
        <f>_xlfn.XLOOKUP(B72,'Paso 3 Redacción RA '!I$3:I$15,'Paso 3 Redacción RA '!C$3:C$15,,0,1)</f>
        <v>Saberser</v>
      </c>
      <c r="B72" s="124" t="s">
        <v>96</v>
      </c>
      <c r="C72" s="217"/>
      <c r="D72" s="217"/>
      <c r="E72" s="222"/>
      <c r="F72" s="217"/>
      <c r="G72" s="217"/>
      <c r="H72" s="217"/>
      <c r="I72" s="217"/>
      <c r="J72" s="217"/>
      <c r="K72" s="217"/>
      <c r="L72" s="217"/>
      <c r="M72" s="217"/>
      <c r="N72" s="222"/>
      <c r="O72" s="222"/>
      <c r="P72" s="222"/>
      <c r="Q72" s="222"/>
    </row>
    <row r="73" spans="1:17" s="47" customFormat="1" ht="49.5" x14ac:dyDescent="0.35">
      <c r="A73" s="121" t="str">
        <f>_xlfn.XLOOKUP(B73,'Paso 3 Redacción RA '!I$3:I$15,'Paso 3 Redacción RA '!C$3:C$15,,0,1)</f>
        <v>Saber</v>
      </c>
      <c r="B73" s="122" t="s">
        <v>89</v>
      </c>
      <c r="C73" s="212">
        <v>4</v>
      </c>
      <c r="D73" s="212" t="s">
        <v>301</v>
      </c>
      <c r="E73" s="210" t="s">
        <v>302</v>
      </c>
      <c r="F73" s="212" t="s">
        <v>217</v>
      </c>
      <c r="G73" s="212"/>
      <c r="H73" s="212" t="s">
        <v>218</v>
      </c>
      <c r="I73" s="212"/>
      <c r="J73" s="212">
        <v>2</v>
      </c>
      <c r="K73" s="212">
        <f>J73*12</f>
        <v>24</v>
      </c>
      <c r="L73" s="212">
        <f>36*J73</f>
        <v>72</v>
      </c>
      <c r="M73" s="212">
        <f>SUM(K73:L73)</f>
        <v>96</v>
      </c>
      <c r="N73" s="210" t="s">
        <v>303</v>
      </c>
      <c r="O73" s="210" t="s">
        <v>259</v>
      </c>
      <c r="P73" s="210" t="s">
        <v>232</v>
      </c>
      <c r="Q73" s="210" t="s">
        <v>227</v>
      </c>
    </row>
    <row r="74" spans="1:17" s="47" customFormat="1" ht="33" x14ac:dyDescent="0.35">
      <c r="A74" s="121" t="str">
        <f>_xlfn.XLOOKUP(B74,'Paso 3 Redacción RA '!I$3:I$15,'Paso 3 Redacción RA '!C$3:C$15,,0,1)</f>
        <v>Saberhacer</v>
      </c>
      <c r="B74" s="122" t="s">
        <v>93</v>
      </c>
      <c r="C74" s="179"/>
      <c r="D74" s="179"/>
      <c r="E74" s="211"/>
      <c r="F74" s="179"/>
      <c r="G74" s="179"/>
      <c r="H74" s="179"/>
      <c r="I74" s="179"/>
      <c r="J74" s="179"/>
      <c r="K74" s="179"/>
      <c r="L74" s="179"/>
      <c r="M74" s="179"/>
      <c r="N74" s="211"/>
      <c r="O74" s="211"/>
      <c r="P74" s="211"/>
      <c r="Q74" s="211"/>
    </row>
    <row r="75" spans="1:17" s="47" customFormat="1" ht="49.5" x14ac:dyDescent="0.35">
      <c r="A75" s="121" t="str">
        <f>_xlfn.XLOOKUP(B75,'Paso 3 Redacción RA '!I$3:I$15,'Paso 3 Redacción RA '!C$3:C$15,,0,1)</f>
        <v>Saberhacer</v>
      </c>
      <c r="B75" s="122" t="s">
        <v>100</v>
      </c>
      <c r="C75" s="179"/>
      <c r="D75" s="179"/>
      <c r="E75" s="211"/>
      <c r="F75" s="179"/>
      <c r="G75" s="179"/>
      <c r="H75" s="179"/>
      <c r="I75" s="179"/>
      <c r="J75" s="179"/>
      <c r="K75" s="179"/>
      <c r="L75" s="179"/>
      <c r="M75" s="179"/>
      <c r="N75" s="211"/>
      <c r="O75" s="211"/>
      <c r="P75" s="211"/>
      <c r="Q75" s="211"/>
    </row>
    <row r="76" spans="1:17" s="47" customFormat="1" ht="50" thickBot="1" x14ac:dyDescent="0.4">
      <c r="A76" s="123" t="str">
        <f>_xlfn.XLOOKUP(B76,'Paso 3 Redacción RA '!I$3:I$15,'Paso 3 Redacción RA '!C$3:C$15,,0,1)</f>
        <v>Saberhacer</v>
      </c>
      <c r="B76" s="124" t="s">
        <v>101</v>
      </c>
      <c r="C76" s="217"/>
      <c r="D76" s="217"/>
      <c r="E76" s="222"/>
      <c r="F76" s="217"/>
      <c r="G76" s="217"/>
      <c r="H76" s="217"/>
      <c r="I76" s="217"/>
      <c r="J76" s="217"/>
      <c r="K76" s="217"/>
      <c r="L76" s="217"/>
      <c r="M76" s="217"/>
      <c r="N76" s="222"/>
      <c r="O76" s="222"/>
      <c r="P76" s="222"/>
      <c r="Q76" s="222"/>
    </row>
    <row r="77" spans="1:17" s="47" customFormat="1" ht="33" x14ac:dyDescent="0.35">
      <c r="A77" s="121" t="str">
        <f>_xlfn.XLOOKUP(B77,'Paso 3 Redacción RA '!I$3:I$15,'Paso 3 Redacción RA '!C$3:C$15,,0,1)</f>
        <v>Saber</v>
      </c>
      <c r="B77" s="122" t="s">
        <v>99</v>
      </c>
      <c r="C77" s="212">
        <v>4</v>
      </c>
      <c r="D77" s="212" t="s">
        <v>304</v>
      </c>
      <c r="E77" s="210" t="s">
        <v>305</v>
      </c>
      <c r="F77" s="212" t="s">
        <v>217</v>
      </c>
      <c r="G77" s="212"/>
      <c r="H77" s="212" t="s">
        <v>218</v>
      </c>
      <c r="I77" s="212"/>
      <c r="J77" s="212">
        <v>2</v>
      </c>
      <c r="K77" s="212">
        <f>J77*12</f>
        <v>24</v>
      </c>
      <c r="L77" s="212">
        <f>36*J77</f>
        <v>72</v>
      </c>
      <c r="M77" s="212">
        <f>SUM(K77:L77)</f>
        <v>96</v>
      </c>
      <c r="N77" s="210" t="s">
        <v>306</v>
      </c>
      <c r="O77" s="210" t="s">
        <v>259</v>
      </c>
      <c r="P77" s="210" t="s">
        <v>232</v>
      </c>
      <c r="Q77" s="210" t="s">
        <v>227</v>
      </c>
    </row>
    <row r="78" spans="1:17" s="47" customFormat="1" ht="33" x14ac:dyDescent="0.35">
      <c r="A78" s="121" t="str">
        <f>_xlfn.XLOOKUP(B78,'Paso 3 Redacción RA '!I$3:I$15,'Paso 3 Redacción RA '!C$3:C$15,,0,1)</f>
        <v>Saberhacer</v>
      </c>
      <c r="B78" s="122" t="s">
        <v>93</v>
      </c>
      <c r="C78" s="179"/>
      <c r="D78" s="179"/>
      <c r="E78" s="211"/>
      <c r="F78" s="179"/>
      <c r="G78" s="179"/>
      <c r="H78" s="179"/>
      <c r="I78" s="179"/>
      <c r="J78" s="179"/>
      <c r="K78" s="179"/>
      <c r="L78" s="179"/>
      <c r="M78" s="179"/>
      <c r="N78" s="211"/>
      <c r="O78" s="211"/>
      <c r="P78" s="211"/>
      <c r="Q78" s="211"/>
    </row>
    <row r="79" spans="1:17" s="47" customFormat="1" ht="49.5" x14ac:dyDescent="0.35">
      <c r="A79" s="121" t="str">
        <f>_xlfn.XLOOKUP(B79,'Paso 3 Redacción RA '!I$3:I$15,'Paso 3 Redacción RA '!C$3:C$15,,0,1)</f>
        <v>Saberhacer</v>
      </c>
      <c r="B79" s="122" t="s">
        <v>100</v>
      </c>
      <c r="C79" s="179"/>
      <c r="D79" s="179"/>
      <c r="E79" s="211"/>
      <c r="F79" s="179"/>
      <c r="G79" s="179"/>
      <c r="H79" s="179"/>
      <c r="I79" s="179"/>
      <c r="J79" s="179"/>
      <c r="K79" s="179"/>
      <c r="L79" s="179"/>
      <c r="M79" s="179"/>
      <c r="N79" s="211"/>
      <c r="O79" s="211"/>
      <c r="P79" s="211"/>
      <c r="Q79" s="211"/>
    </row>
    <row r="80" spans="1:17" s="47" customFormat="1" ht="50" thickBot="1" x14ac:dyDescent="0.4">
      <c r="A80" s="123" t="str">
        <f>_xlfn.XLOOKUP(B80,'Paso 3 Redacción RA '!I$3:I$15,'Paso 3 Redacción RA '!C$3:C$15,,0,1)</f>
        <v>Saberhacer</v>
      </c>
      <c r="B80" s="124" t="s">
        <v>101</v>
      </c>
      <c r="C80" s="217"/>
      <c r="D80" s="217"/>
      <c r="E80" s="222"/>
      <c r="F80" s="217"/>
      <c r="G80" s="217"/>
      <c r="H80" s="217"/>
      <c r="I80" s="217"/>
      <c r="J80" s="217"/>
      <c r="K80" s="217"/>
      <c r="L80" s="217"/>
      <c r="M80" s="217"/>
      <c r="N80" s="222"/>
      <c r="O80" s="222"/>
      <c r="P80" s="222"/>
      <c r="Q80" s="222"/>
    </row>
    <row r="81" spans="1:17" s="47" customFormat="1" ht="49.5" x14ac:dyDescent="0.35">
      <c r="A81" s="121" t="str">
        <f>_xlfn.XLOOKUP(B81,'Paso 3 Redacción RA '!I$3:I$15,'Paso 3 Redacción RA '!C$3:C$15,,0,1)</f>
        <v>Saber</v>
      </c>
      <c r="B81" s="122" t="s">
        <v>89</v>
      </c>
      <c r="C81" s="212">
        <v>5</v>
      </c>
      <c r="D81" s="212" t="s">
        <v>307</v>
      </c>
      <c r="E81" s="210" t="s">
        <v>308</v>
      </c>
      <c r="F81" s="212" t="s">
        <v>217</v>
      </c>
      <c r="G81" s="212"/>
      <c r="H81" s="212" t="s">
        <v>218</v>
      </c>
      <c r="I81" s="212"/>
      <c r="J81" s="212">
        <v>3</v>
      </c>
      <c r="K81" s="212">
        <f>J81*12</f>
        <v>36</v>
      </c>
      <c r="L81" s="212">
        <f>36*J81</f>
        <v>108</v>
      </c>
      <c r="M81" s="212">
        <f>SUM(K81:L81)</f>
        <v>144</v>
      </c>
      <c r="N81" s="210" t="s">
        <v>309</v>
      </c>
      <c r="O81" s="210" t="s">
        <v>259</v>
      </c>
      <c r="P81" s="210" t="s">
        <v>232</v>
      </c>
      <c r="Q81" s="210" t="s">
        <v>227</v>
      </c>
    </row>
    <row r="82" spans="1:17" s="47" customFormat="1" ht="33" x14ac:dyDescent="0.35">
      <c r="A82" s="121" t="str">
        <f>_xlfn.XLOOKUP(B82,'Paso 3 Redacción RA '!I$3:I$15,'Paso 3 Redacción RA '!C$3:C$15,,0,1)</f>
        <v>Saberhacer</v>
      </c>
      <c r="B82" s="122" t="s">
        <v>93</v>
      </c>
      <c r="C82" s="179"/>
      <c r="D82" s="179"/>
      <c r="E82" s="211"/>
      <c r="F82" s="179"/>
      <c r="G82" s="179"/>
      <c r="H82" s="179"/>
      <c r="I82" s="179"/>
      <c r="J82" s="179"/>
      <c r="K82" s="179"/>
      <c r="L82" s="179"/>
      <c r="M82" s="179"/>
      <c r="N82" s="211"/>
      <c r="O82" s="211"/>
      <c r="P82" s="211"/>
      <c r="Q82" s="211"/>
    </row>
    <row r="83" spans="1:17" s="47" customFormat="1" ht="49.5" x14ac:dyDescent="0.35">
      <c r="A83" s="121" t="str">
        <f>_xlfn.XLOOKUP(B83,'Paso 3 Redacción RA '!I$3:I$15,'Paso 3 Redacción RA '!C$3:C$15,,0,1)</f>
        <v>Saberhacer</v>
      </c>
      <c r="B83" s="122" t="s">
        <v>100</v>
      </c>
      <c r="C83" s="179"/>
      <c r="D83" s="179"/>
      <c r="E83" s="211"/>
      <c r="F83" s="179"/>
      <c r="G83" s="179"/>
      <c r="H83" s="179"/>
      <c r="I83" s="179"/>
      <c r="J83" s="179"/>
      <c r="K83" s="179"/>
      <c r="L83" s="179"/>
      <c r="M83" s="179"/>
      <c r="N83" s="211"/>
      <c r="O83" s="225"/>
      <c r="P83" s="211"/>
      <c r="Q83" s="211"/>
    </row>
    <row r="84" spans="1:17" s="47" customFormat="1" ht="50" thickBot="1" x14ac:dyDescent="0.4">
      <c r="A84" s="123" t="str">
        <f>_xlfn.XLOOKUP(B84,'Paso 3 Redacción RA '!I$3:I$15,'Paso 3 Redacción RA '!C$3:C$15,,0,1)</f>
        <v>Saberhacer</v>
      </c>
      <c r="B84" s="124" t="s">
        <v>101</v>
      </c>
      <c r="C84" s="217"/>
      <c r="D84" s="217"/>
      <c r="E84" s="222"/>
      <c r="F84" s="217"/>
      <c r="G84" s="217"/>
      <c r="H84" s="217"/>
      <c r="I84" s="217"/>
      <c r="J84" s="217"/>
      <c r="K84" s="217"/>
      <c r="L84" s="217"/>
      <c r="M84" s="217"/>
      <c r="N84" s="222"/>
      <c r="O84" s="226"/>
      <c r="P84" s="222"/>
      <c r="Q84" s="222"/>
    </row>
    <row r="85" spans="1:17" s="47" customFormat="1" ht="33" x14ac:dyDescent="0.35">
      <c r="A85" s="121" t="str">
        <f>_xlfn.XLOOKUP(B85,'Paso 3 Redacción RA '!I$3:I$15,'Paso 3 Redacción RA '!C$3:C$15,,0,1)</f>
        <v>Saberhacer</v>
      </c>
      <c r="B85" s="122" t="s">
        <v>93</v>
      </c>
      <c r="C85" s="212">
        <v>5</v>
      </c>
      <c r="D85" s="212" t="s">
        <v>310</v>
      </c>
      <c r="E85" s="210" t="s">
        <v>311</v>
      </c>
      <c r="F85" s="212" t="s">
        <v>238</v>
      </c>
      <c r="G85" s="212"/>
      <c r="H85" s="212" t="s">
        <v>218</v>
      </c>
      <c r="I85" s="212"/>
      <c r="J85" s="212">
        <v>3</v>
      </c>
      <c r="K85" s="212">
        <f>J85*12</f>
        <v>36</v>
      </c>
      <c r="L85" s="212">
        <f>36*J85</f>
        <v>108</v>
      </c>
      <c r="M85" s="212">
        <f>SUM(K85:L85)</f>
        <v>144</v>
      </c>
      <c r="N85" s="210" t="s">
        <v>312</v>
      </c>
      <c r="O85" s="210" t="s">
        <v>259</v>
      </c>
      <c r="P85" s="210" t="s">
        <v>241</v>
      </c>
      <c r="Q85" s="210" t="s">
        <v>227</v>
      </c>
    </row>
    <row r="86" spans="1:17" s="47" customFormat="1" ht="49.5" x14ac:dyDescent="0.35">
      <c r="A86" s="121" t="str">
        <f>_xlfn.XLOOKUP(B86,'Paso 3 Redacción RA '!I$3:I$15,'Paso 3 Redacción RA '!C$3:C$15,,0,1)</f>
        <v>Saberhacer</v>
      </c>
      <c r="B86" s="122" t="s">
        <v>100</v>
      </c>
      <c r="C86" s="179"/>
      <c r="D86" s="179"/>
      <c r="E86" s="211"/>
      <c r="F86" s="179"/>
      <c r="G86" s="179"/>
      <c r="H86" s="179"/>
      <c r="I86" s="179"/>
      <c r="J86" s="179"/>
      <c r="K86" s="179"/>
      <c r="L86" s="179"/>
      <c r="M86" s="179"/>
      <c r="N86" s="211"/>
      <c r="O86" s="211"/>
      <c r="P86" s="211"/>
      <c r="Q86" s="211"/>
    </row>
    <row r="87" spans="1:17" s="47" customFormat="1" ht="49.5" x14ac:dyDescent="0.35">
      <c r="A87" s="121" t="str">
        <f>_xlfn.XLOOKUP(B87,'Paso 3 Redacción RA '!I$3:I$15,'Paso 3 Redacción RA '!C$3:C$15,,0,1)</f>
        <v>Saberhacer</v>
      </c>
      <c r="B87" s="122" t="s">
        <v>101</v>
      </c>
      <c r="C87" s="179"/>
      <c r="D87" s="179"/>
      <c r="E87" s="211"/>
      <c r="F87" s="179"/>
      <c r="G87" s="179"/>
      <c r="H87" s="179"/>
      <c r="I87" s="179"/>
      <c r="J87" s="179"/>
      <c r="K87" s="179"/>
      <c r="L87" s="179"/>
      <c r="M87" s="179"/>
      <c r="N87" s="211"/>
      <c r="O87" s="211"/>
      <c r="P87" s="211"/>
      <c r="Q87" s="211"/>
    </row>
    <row r="88" spans="1:17" s="47" customFormat="1" ht="33.5" thickBot="1" x14ac:dyDescent="0.4">
      <c r="A88" s="123" t="str">
        <f>_xlfn.XLOOKUP(B88,'Paso 3 Redacción RA '!I$3:I$15,'Paso 3 Redacción RA '!C$3:C$15,,0,1)</f>
        <v>Saberhacer</v>
      </c>
      <c r="B88" s="124" t="s">
        <v>106</v>
      </c>
      <c r="C88" s="217"/>
      <c r="D88" s="217"/>
      <c r="E88" s="222"/>
      <c r="F88" s="217"/>
      <c r="G88" s="217"/>
      <c r="H88" s="217"/>
      <c r="I88" s="217"/>
      <c r="J88" s="217"/>
      <c r="K88" s="217"/>
      <c r="L88" s="217"/>
      <c r="M88" s="217"/>
      <c r="N88" s="222"/>
      <c r="O88" s="222"/>
      <c r="P88" s="222"/>
      <c r="Q88" s="222"/>
    </row>
    <row r="89" spans="1:17" s="47" customFormat="1" ht="49.5" x14ac:dyDescent="0.35">
      <c r="A89" s="121" t="str">
        <f>_xlfn.XLOOKUP(B89,'Paso 3 Redacción RA '!I$3:I$15,'Paso 3 Redacción RA '!C$3:C$15,,0,1)</f>
        <v>Saber</v>
      </c>
      <c r="B89" s="122" t="s">
        <v>89</v>
      </c>
      <c r="C89" s="212">
        <v>5</v>
      </c>
      <c r="D89" s="212" t="s">
        <v>313</v>
      </c>
      <c r="E89" s="210" t="s">
        <v>314</v>
      </c>
      <c r="F89" s="212" t="s">
        <v>295</v>
      </c>
      <c r="G89" s="212"/>
      <c r="H89" s="212" t="s">
        <v>218</v>
      </c>
      <c r="I89" s="212"/>
      <c r="J89" s="212">
        <v>6</v>
      </c>
      <c r="K89" s="212">
        <f>J89*12</f>
        <v>72</v>
      </c>
      <c r="L89" s="212">
        <f>36*J89</f>
        <v>216</v>
      </c>
      <c r="M89" s="212">
        <f>SUM(K89:L89)</f>
        <v>288</v>
      </c>
      <c r="N89" s="210" t="s">
        <v>315</v>
      </c>
      <c r="O89" s="210" t="s">
        <v>259</v>
      </c>
      <c r="P89" s="210" t="s">
        <v>297</v>
      </c>
      <c r="Q89" s="210" t="s">
        <v>227</v>
      </c>
    </row>
    <row r="90" spans="1:17" s="47" customFormat="1" ht="33" x14ac:dyDescent="0.35">
      <c r="A90" s="121" t="str">
        <f>_xlfn.XLOOKUP(B90,'Paso 3 Redacción RA '!I$3:I$15,'Paso 3 Redacción RA '!C$3:C$15,,0,1)</f>
        <v>Saberhacer</v>
      </c>
      <c r="B90" s="122" t="s">
        <v>93</v>
      </c>
      <c r="C90" s="179"/>
      <c r="D90" s="179"/>
      <c r="E90" s="211"/>
      <c r="F90" s="179"/>
      <c r="G90" s="179"/>
      <c r="H90" s="179"/>
      <c r="I90" s="179"/>
      <c r="J90" s="179"/>
      <c r="K90" s="179"/>
      <c r="L90" s="179"/>
      <c r="M90" s="179"/>
      <c r="N90" s="211"/>
      <c r="O90" s="211"/>
      <c r="P90" s="211"/>
      <c r="Q90" s="211"/>
    </row>
    <row r="91" spans="1:17" s="47" customFormat="1" ht="49.5" x14ac:dyDescent="0.35">
      <c r="A91" s="121" t="str">
        <f>_xlfn.XLOOKUP(B91,'Paso 3 Redacción RA '!I$3:I$15,'Paso 3 Redacción RA '!C$3:C$15,,0,1)</f>
        <v>Saberhacer</v>
      </c>
      <c r="B91" s="122" t="s">
        <v>101</v>
      </c>
      <c r="C91" s="179"/>
      <c r="D91" s="179"/>
      <c r="E91" s="211"/>
      <c r="F91" s="179"/>
      <c r="G91" s="179"/>
      <c r="H91" s="179"/>
      <c r="I91" s="179"/>
      <c r="J91" s="179"/>
      <c r="K91" s="179"/>
      <c r="L91" s="179"/>
      <c r="M91" s="179"/>
      <c r="N91" s="211"/>
      <c r="O91" s="211"/>
      <c r="P91" s="211"/>
      <c r="Q91" s="211"/>
    </row>
    <row r="92" spans="1:17" s="47" customFormat="1" ht="50" thickBot="1" x14ac:dyDescent="0.4">
      <c r="A92" s="123" t="str">
        <f>_xlfn.XLOOKUP(B92,'Paso 3 Redacción RA '!I$3:I$15,'Paso 3 Redacción RA '!C$3:C$15,,0,1)</f>
        <v>Saberser</v>
      </c>
      <c r="B92" s="124" t="s">
        <v>96</v>
      </c>
      <c r="C92" s="217"/>
      <c r="D92" s="217"/>
      <c r="E92" s="227"/>
      <c r="F92" s="217"/>
      <c r="G92" s="217"/>
      <c r="H92" s="217"/>
      <c r="I92" s="217"/>
      <c r="J92" s="217"/>
      <c r="K92" s="217"/>
      <c r="L92" s="217"/>
      <c r="M92" s="217"/>
      <c r="N92" s="222"/>
      <c r="O92" s="222"/>
      <c r="P92" s="222"/>
      <c r="Q92" s="222"/>
    </row>
    <row r="93" spans="1:17" s="47" customFormat="1" ht="33" x14ac:dyDescent="0.35">
      <c r="A93" s="121" t="str">
        <f>_xlfn.XLOOKUP(B93,'Paso 3 Redacción RA '!I$3:I$15,'Paso 3 Redacción RA '!C$3:C$15,,0,1)</f>
        <v>Saber</v>
      </c>
      <c r="B93" s="122" t="s">
        <v>99</v>
      </c>
      <c r="C93" s="212">
        <v>5</v>
      </c>
      <c r="D93" s="212" t="s">
        <v>316</v>
      </c>
      <c r="E93" s="211" t="s">
        <v>317</v>
      </c>
      <c r="F93" s="212" t="s">
        <v>238</v>
      </c>
      <c r="G93" s="212"/>
      <c r="H93" s="212" t="s">
        <v>218</v>
      </c>
      <c r="I93" s="212"/>
      <c r="J93" s="212">
        <v>2</v>
      </c>
      <c r="K93" s="212">
        <f>J93*12</f>
        <v>24</v>
      </c>
      <c r="L93" s="212">
        <f>36*J93</f>
        <v>72</v>
      </c>
      <c r="M93" s="212">
        <f>SUM(K93:L93)</f>
        <v>96</v>
      </c>
      <c r="N93" s="210" t="s">
        <v>318</v>
      </c>
      <c r="O93" s="210" t="s">
        <v>259</v>
      </c>
      <c r="P93" s="210" t="s">
        <v>241</v>
      </c>
      <c r="Q93" s="210" t="s">
        <v>227</v>
      </c>
    </row>
    <row r="94" spans="1:17" s="47" customFormat="1" ht="33" x14ac:dyDescent="0.35">
      <c r="A94" s="121" t="str">
        <f>_xlfn.XLOOKUP(B94,'Paso 3 Redacción RA '!I$3:I$15,'Paso 3 Redacción RA '!C$3:C$15,,0,1)</f>
        <v>Saberhacer</v>
      </c>
      <c r="B94" s="122" t="s">
        <v>93</v>
      </c>
      <c r="C94" s="179"/>
      <c r="D94" s="179"/>
      <c r="E94" s="211"/>
      <c r="F94" s="179"/>
      <c r="G94" s="179"/>
      <c r="H94" s="179"/>
      <c r="I94" s="179"/>
      <c r="J94" s="179"/>
      <c r="K94" s="179"/>
      <c r="L94" s="179"/>
      <c r="M94" s="179"/>
      <c r="N94" s="211"/>
      <c r="O94" s="211"/>
      <c r="P94" s="211"/>
      <c r="Q94" s="211"/>
    </row>
    <row r="95" spans="1:17" s="47" customFormat="1" ht="49.5" x14ac:dyDescent="0.35">
      <c r="A95" s="121" t="str">
        <f>_xlfn.XLOOKUP(B95,'Paso 3 Redacción RA '!I$3:I$15,'Paso 3 Redacción RA '!C$3:C$15,,0,1)</f>
        <v>Saberhacer</v>
      </c>
      <c r="B95" s="122" t="s">
        <v>100</v>
      </c>
      <c r="C95" s="179"/>
      <c r="D95" s="179"/>
      <c r="E95" s="211"/>
      <c r="F95" s="179"/>
      <c r="G95" s="179"/>
      <c r="H95" s="179"/>
      <c r="I95" s="179"/>
      <c r="J95" s="179"/>
      <c r="K95" s="179"/>
      <c r="L95" s="179"/>
      <c r="M95" s="179"/>
      <c r="N95" s="211"/>
      <c r="O95" s="211"/>
      <c r="P95" s="211"/>
      <c r="Q95" s="211"/>
    </row>
    <row r="96" spans="1:17" s="47" customFormat="1" ht="50" thickBot="1" x14ac:dyDescent="0.4">
      <c r="A96" s="123" t="str">
        <f>_xlfn.XLOOKUP(B96,'Paso 3 Redacción RA '!I$3:I$15,'Paso 3 Redacción RA '!C$3:C$15,,0,1)</f>
        <v>Saberhacer</v>
      </c>
      <c r="B96" s="124" t="s">
        <v>101</v>
      </c>
      <c r="C96" s="217"/>
      <c r="D96" s="217"/>
      <c r="E96" s="227"/>
      <c r="F96" s="228"/>
      <c r="G96" s="228"/>
      <c r="H96" s="228"/>
      <c r="I96" s="228"/>
      <c r="J96" s="228"/>
      <c r="K96" s="217"/>
      <c r="L96" s="217"/>
      <c r="M96" s="228"/>
      <c r="N96" s="227"/>
      <c r="O96" s="222"/>
      <c r="P96" s="222"/>
      <c r="Q96" s="222"/>
    </row>
    <row r="97" spans="1:17" s="47" customFormat="1" ht="49.5" x14ac:dyDescent="0.35">
      <c r="A97" s="121" t="str">
        <f>_xlfn.XLOOKUP(B97,'Paso 3 Redacción RA '!I$3:I$15,'Paso 3 Redacción RA '!C$3:C$15,,0,1)</f>
        <v>Saber</v>
      </c>
      <c r="B97" s="122" t="s">
        <v>89</v>
      </c>
      <c r="C97" s="212">
        <v>5</v>
      </c>
      <c r="D97" s="212" t="s">
        <v>319</v>
      </c>
      <c r="E97" s="211" t="s">
        <v>320</v>
      </c>
      <c r="F97" s="179" t="s">
        <v>217</v>
      </c>
      <c r="G97" s="179"/>
      <c r="H97" s="179" t="s">
        <v>218</v>
      </c>
      <c r="I97" s="179"/>
      <c r="J97" s="179">
        <v>2</v>
      </c>
      <c r="K97" s="212">
        <f>J97*12</f>
        <v>24</v>
      </c>
      <c r="L97" s="212">
        <f>36*J97</f>
        <v>72</v>
      </c>
      <c r="M97" s="179">
        <f>SUM(K97:L97)</f>
        <v>96</v>
      </c>
      <c r="N97" s="211" t="s">
        <v>321</v>
      </c>
      <c r="O97" s="210" t="s">
        <v>259</v>
      </c>
      <c r="P97" s="210" t="s">
        <v>232</v>
      </c>
      <c r="Q97" s="210" t="s">
        <v>227</v>
      </c>
    </row>
    <row r="98" spans="1:17" s="47" customFormat="1" ht="33" x14ac:dyDescent="0.35">
      <c r="A98" s="121" t="str">
        <f>_xlfn.XLOOKUP(B98,'Paso 3 Redacción RA '!I$3:I$15,'Paso 3 Redacción RA '!C$3:C$15,,0,1)</f>
        <v>Saberhacer</v>
      </c>
      <c r="B98" s="122" t="s">
        <v>93</v>
      </c>
      <c r="C98" s="179"/>
      <c r="D98" s="179"/>
      <c r="E98" s="211"/>
      <c r="F98" s="179"/>
      <c r="G98" s="179"/>
      <c r="H98" s="179"/>
      <c r="I98" s="179"/>
      <c r="J98" s="179"/>
      <c r="K98" s="179"/>
      <c r="L98" s="179"/>
      <c r="M98" s="179"/>
      <c r="N98" s="211"/>
      <c r="O98" s="211"/>
      <c r="P98" s="211"/>
      <c r="Q98" s="211"/>
    </row>
    <row r="99" spans="1:17" s="47" customFormat="1" ht="49.5" x14ac:dyDescent="0.35">
      <c r="A99" s="121" t="str">
        <f>_xlfn.XLOOKUP(B99,'Paso 3 Redacción RA '!I$3:I$15,'Paso 3 Redacción RA '!C$3:C$15,,0,1)</f>
        <v>Saberhacer</v>
      </c>
      <c r="B99" s="122" t="s">
        <v>100</v>
      </c>
      <c r="C99" s="179"/>
      <c r="D99" s="179"/>
      <c r="E99" s="211"/>
      <c r="F99" s="179"/>
      <c r="G99" s="179"/>
      <c r="H99" s="179"/>
      <c r="I99" s="179"/>
      <c r="J99" s="179"/>
      <c r="K99" s="179"/>
      <c r="L99" s="179"/>
      <c r="M99" s="179"/>
      <c r="N99" s="211"/>
      <c r="O99" s="211"/>
      <c r="P99" s="211"/>
      <c r="Q99" s="211"/>
    </row>
    <row r="100" spans="1:17" s="47" customFormat="1" ht="49.5" x14ac:dyDescent="0.35">
      <c r="A100" s="121" t="str">
        <f>_xlfn.XLOOKUP(B100,'Paso 3 Redacción RA '!I$3:I$15,'Paso 3 Redacción RA '!C$3:C$15,,0,1)</f>
        <v>Saberhacer</v>
      </c>
      <c r="B100" s="122" t="s">
        <v>101</v>
      </c>
      <c r="C100" s="179"/>
      <c r="D100" s="179"/>
      <c r="E100" s="211"/>
      <c r="F100" s="179"/>
      <c r="G100" s="179"/>
      <c r="H100" s="179"/>
      <c r="I100" s="179"/>
      <c r="J100" s="179"/>
      <c r="K100" s="179"/>
      <c r="L100" s="179"/>
      <c r="M100" s="179"/>
      <c r="N100" s="211"/>
      <c r="O100" s="211"/>
      <c r="P100" s="211"/>
      <c r="Q100" s="211"/>
    </row>
    <row r="101" spans="1:17" s="47" customFormat="1" ht="50" thickBot="1" x14ac:dyDescent="0.4">
      <c r="A101" s="123" t="str">
        <f>_xlfn.XLOOKUP(B101,'Paso 3 Redacción RA '!I$3:I$15,'Paso 3 Redacción RA '!C$3:C$15,,0,1)</f>
        <v>Saberser</v>
      </c>
      <c r="B101" s="124" t="s">
        <v>96</v>
      </c>
      <c r="C101" s="217"/>
      <c r="D101" s="217"/>
      <c r="E101" s="222"/>
      <c r="F101" s="217"/>
      <c r="G101" s="217"/>
      <c r="H101" s="217"/>
      <c r="I101" s="217"/>
      <c r="J101" s="217"/>
      <c r="K101" s="217"/>
      <c r="L101" s="217"/>
      <c r="M101" s="217"/>
      <c r="N101" s="222"/>
      <c r="O101" s="222"/>
      <c r="P101" s="222"/>
      <c r="Q101" s="222"/>
    </row>
    <row r="102" spans="1:17" s="47" customFormat="1" ht="49.5" x14ac:dyDescent="0.35">
      <c r="A102" s="121" t="str">
        <f>_xlfn.XLOOKUP(B102,'Paso 3 Redacción RA '!I$3:I$15,'Paso 3 Redacción RA '!C$3:C$15,,0,1)</f>
        <v>Saber</v>
      </c>
      <c r="B102" s="122" t="s">
        <v>89</v>
      </c>
      <c r="C102" s="212">
        <v>5</v>
      </c>
      <c r="D102" s="212" t="s">
        <v>322</v>
      </c>
      <c r="E102" s="210" t="s">
        <v>323</v>
      </c>
      <c r="F102" s="212" t="s">
        <v>217</v>
      </c>
      <c r="G102" s="212"/>
      <c r="H102" s="212" t="s">
        <v>218</v>
      </c>
      <c r="I102" s="212"/>
      <c r="J102" s="212">
        <v>2</v>
      </c>
      <c r="K102" s="212">
        <f>J102*12</f>
        <v>24</v>
      </c>
      <c r="L102" s="212">
        <f>36*J102</f>
        <v>72</v>
      </c>
      <c r="M102" s="212">
        <f>SUM(K102:L102)</f>
        <v>96</v>
      </c>
      <c r="N102" s="210" t="s">
        <v>324</v>
      </c>
      <c r="O102" s="210" t="s">
        <v>259</v>
      </c>
      <c r="P102" s="210" t="s">
        <v>232</v>
      </c>
      <c r="Q102" s="210" t="s">
        <v>227</v>
      </c>
    </row>
    <row r="103" spans="1:17" s="47" customFormat="1" ht="33" x14ac:dyDescent="0.35">
      <c r="A103" s="121" t="str">
        <f>_xlfn.XLOOKUP(B103,'Paso 3 Redacción RA '!I$3:I$15,'Paso 3 Redacción RA '!C$3:C$15,,0,1)</f>
        <v>Saberhacer</v>
      </c>
      <c r="B103" s="122" t="s">
        <v>93</v>
      </c>
      <c r="C103" s="179"/>
      <c r="D103" s="179"/>
      <c r="E103" s="211"/>
      <c r="F103" s="179"/>
      <c r="G103" s="179"/>
      <c r="H103" s="179"/>
      <c r="I103" s="179"/>
      <c r="J103" s="179"/>
      <c r="K103" s="179"/>
      <c r="L103" s="179"/>
      <c r="M103" s="179"/>
      <c r="N103" s="211"/>
      <c r="O103" s="211"/>
      <c r="P103" s="211"/>
      <c r="Q103" s="211"/>
    </row>
    <row r="104" spans="1:17" s="47" customFormat="1" ht="49.5" x14ac:dyDescent="0.35">
      <c r="A104" s="121" t="str">
        <f>_xlfn.XLOOKUP(B104,'Paso 3 Redacción RA '!I$3:I$15,'Paso 3 Redacción RA '!C$3:C$15,,0,1)</f>
        <v>Saberhacer</v>
      </c>
      <c r="B104" s="122" t="s">
        <v>100</v>
      </c>
      <c r="C104" s="179"/>
      <c r="D104" s="179"/>
      <c r="E104" s="211"/>
      <c r="F104" s="179"/>
      <c r="G104" s="179"/>
      <c r="H104" s="179"/>
      <c r="I104" s="179"/>
      <c r="J104" s="179"/>
      <c r="K104" s="179"/>
      <c r="L104" s="179"/>
      <c r="M104" s="179"/>
      <c r="N104" s="211"/>
      <c r="O104" s="225"/>
      <c r="P104" s="211"/>
      <c r="Q104" s="211"/>
    </row>
    <row r="105" spans="1:17" s="47" customFormat="1" ht="50" thickBot="1" x14ac:dyDescent="0.4">
      <c r="A105" s="123" t="str">
        <f>_xlfn.XLOOKUP(B105,'Paso 3 Redacción RA '!I$3:I$15,'Paso 3 Redacción RA '!C$3:C$15,,0,1)</f>
        <v>Saberser</v>
      </c>
      <c r="B105" s="124" t="s">
        <v>96</v>
      </c>
      <c r="C105" s="217"/>
      <c r="D105" s="217"/>
      <c r="E105" s="222"/>
      <c r="F105" s="217"/>
      <c r="G105" s="217"/>
      <c r="H105" s="217"/>
      <c r="I105" s="217"/>
      <c r="J105" s="217"/>
      <c r="K105" s="217"/>
      <c r="L105" s="217"/>
      <c r="M105" s="217"/>
      <c r="N105" s="222"/>
      <c r="O105" s="226"/>
      <c r="P105" s="222"/>
      <c r="Q105" s="222"/>
    </row>
    <row r="106" spans="1:17" s="47" customFormat="1" ht="33" x14ac:dyDescent="0.35">
      <c r="A106" s="121" t="str">
        <f>_xlfn.XLOOKUP(B106,'Paso 3 Redacción RA '!I$3:I$15,'Paso 3 Redacción RA '!C$3:C$15,,0,1)</f>
        <v>Saber</v>
      </c>
      <c r="B106" s="122" t="s">
        <v>99</v>
      </c>
      <c r="C106" s="212">
        <v>6</v>
      </c>
      <c r="D106" s="212" t="s">
        <v>325</v>
      </c>
      <c r="E106" s="210" t="s">
        <v>326</v>
      </c>
      <c r="F106" s="212" t="s">
        <v>217</v>
      </c>
      <c r="G106" s="212"/>
      <c r="H106" s="212" t="s">
        <v>218</v>
      </c>
      <c r="I106" s="212"/>
      <c r="J106" s="212">
        <v>3</v>
      </c>
      <c r="K106" s="212">
        <f>J106*12</f>
        <v>36</v>
      </c>
      <c r="L106" s="212">
        <f>36*J106</f>
        <v>108</v>
      </c>
      <c r="M106" s="212">
        <f>SUM(K106:L106)</f>
        <v>144</v>
      </c>
      <c r="N106" s="210" t="s">
        <v>327</v>
      </c>
      <c r="O106" s="210" t="s">
        <v>231</v>
      </c>
      <c r="P106" s="210" t="s">
        <v>232</v>
      </c>
      <c r="Q106" s="210" t="s">
        <v>227</v>
      </c>
    </row>
    <row r="107" spans="1:17" s="47" customFormat="1" ht="33" x14ac:dyDescent="0.35">
      <c r="A107" s="121" t="str">
        <f>_xlfn.XLOOKUP(B107,'Paso 3 Redacción RA '!I$3:I$15,'Paso 3 Redacción RA '!C$3:C$15,,0,1)</f>
        <v>Saberhacer</v>
      </c>
      <c r="B107" s="122" t="s">
        <v>93</v>
      </c>
      <c r="C107" s="179"/>
      <c r="D107" s="179"/>
      <c r="E107" s="211"/>
      <c r="F107" s="179"/>
      <c r="G107" s="179"/>
      <c r="H107" s="179"/>
      <c r="I107" s="179"/>
      <c r="J107" s="179"/>
      <c r="K107" s="179"/>
      <c r="L107" s="179"/>
      <c r="M107" s="179"/>
      <c r="N107" s="211"/>
      <c r="O107" s="211"/>
      <c r="P107" s="211"/>
      <c r="Q107" s="211"/>
    </row>
    <row r="108" spans="1:17" s="47" customFormat="1" ht="49.5" x14ac:dyDescent="0.35">
      <c r="A108" s="121" t="str">
        <f>_xlfn.XLOOKUP(B108,'Paso 3 Redacción RA '!I$3:I$15,'Paso 3 Redacción RA '!C$3:C$15,,0,1)</f>
        <v>Saberhacer</v>
      </c>
      <c r="B108" s="122" t="s">
        <v>100</v>
      </c>
      <c r="C108" s="179"/>
      <c r="D108" s="179"/>
      <c r="E108" s="211"/>
      <c r="F108" s="179"/>
      <c r="G108" s="179"/>
      <c r="H108" s="179"/>
      <c r="I108" s="179"/>
      <c r="J108" s="179"/>
      <c r="K108" s="179"/>
      <c r="L108" s="179"/>
      <c r="M108" s="179"/>
      <c r="N108" s="211"/>
      <c r="O108" s="211"/>
      <c r="P108" s="211"/>
      <c r="Q108" s="211"/>
    </row>
    <row r="109" spans="1:17" s="47" customFormat="1" ht="49.5" x14ac:dyDescent="0.35">
      <c r="A109" s="121" t="str">
        <f>_xlfn.XLOOKUP(B109,'Paso 3 Redacción RA '!I$3:I$15,'Paso 3 Redacción RA '!C$3:C$15,,0,1)</f>
        <v>Saberhacer</v>
      </c>
      <c r="B109" s="122" t="s">
        <v>101</v>
      </c>
      <c r="C109" s="179"/>
      <c r="D109" s="179"/>
      <c r="E109" s="211"/>
      <c r="F109" s="179"/>
      <c r="G109" s="179"/>
      <c r="H109" s="179"/>
      <c r="I109" s="179"/>
      <c r="J109" s="179"/>
      <c r="K109" s="179"/>
      <c r="L109" s="179"/>
      <c r="M109" s="179"/>
      <c r="N109" s="211"/>
      <c r="O109" s="211"/>
      <c r="P109" s="211"/>
      <c r="Q109" s="211"/>
    </row>
    <row r="110" spans="1:17" s="47" customFormat="1" ht="33.5" thickBot="1" x14ac:dyDescent="0.4">
      <c r="A110" s="123" t="str">
        <f>_xlfn.XLOOKUP(B110,'Paso 3 Redacción RA '!I$3:I$15,'Paso 3 Redacción RA '!C$3:C$15,,0,1)</f>
        <v>Saberhacer</v>
      </c>
      <c r="B110" s="124" t="s">
        <v>106</v>
      </c>
      <c r="C110" s="217"/>
      <c r="D110" s="217"/>
      <c r="E110" s="222"/>
      <c r="F110" s="217"/>
      <c r="G110" s="217"/>
      <c r="H110" s="217"/>
      <c r="I110" s="217"/>
      <c r="J110" s="217"/>
      <c r="K110" s="217"/>
      <c r="L110" s="217"/>
      <c r="M110" s="217"/>
      <c r="N110" s="222"/>
      <c r="O110" s="222"/>
      <c r="P110" s="222"/>
      <c r="Q110" s="222"/>
    </row>
    <row r="111" spans="1:17" s="47" customFormat="1" ht="49.5" x14ac:dyDescent="0.35">
      <c r="A111" s="121" t="str">
        <f>_xlfn.XLOOKUP(B111,'Paso 3 Redacción RA '!I$3:I$15,'Paso 3 Redacción RA '!C$3:C$15,,0,1)</f>
        <v>Saber</v>
      </c>
      <c r="B111" s="122" t="s">
        <v>89</v>
      </c>
      <c r="C111" s="212">
        <v>6</v>
      </c>
      <c r="D111" s="212" t="s">
        <v>328</v>
      </c>
      <c r="E111" s="210" t="s">
        <v>329</v>
      </c>
      <c r="F111" s="212" t="s">
        <v>295</v>
      </c>
      <c r="G111" s="212"/>
      <c r="H111" s="212" t="s">
        <v>218</v>
      </c>
      <c r="I111" s="212"/>
      <c r="J111" s="212">
        <v>6</v>
      </c>
      <c r="K111" s="212">
        <f>J111*12</f>
        <v>72</v>
      </c>
      <c r="L111" s="212">
        <f>36*J111</f>
        <v>216</v>
      </c>
      <c r="M111" s="212">
        <f>SUM(K111:L111)</f>
        <v>288</v>
      </c>
      <c r="N111" s="210" t="s">
        <v>330</v>
      </c>
      <c r="O111" s="210" t="s">
        <v>259</v>
      </c>
      <c r="P111" s="210" t="s">
        <v>297</v>
      </c>
      <c r="Q111" s="210" t="s">
        <v>227</v>
      </c>
    </row>
    <row r="112" spans="1:17" s="47" customFormat="1" ht="33" x14ac:dyDescent="0.35">
      <c r="A112" s="121"/>
      <c r="B112" s="122" t="s">
        <v>93</v>
      </c>
      <c r="C112" s="179"/>
      <c r="D112" s="179"/>
      <c r="E112" s="211"/>
      <c r="F112" s="179"/>
      <c r="G112" s="179"/>
      <c r="H112" s="179"/>
      <c r="I112" s="179"/>
      <c r="J112" s="179"/>
      <c r="K112" s="179"/>
      <c r="L112" s="179"/>
      <c r="M112" s="179"/>
      <c r="N112" s="211"/>
      <c r="O112" s="211"/>
      <c r="P112" s="211"/>
      <c r="Q112" s="211"/>
    </row>
    <row r="113" spans="1:17" s="47" customFormat="1" ht="49.5" x14ac:dyDescent="0.35">
      <c r="A113" s="121" t="str">
        <f>_xlfn.XLOOKUP(B113,'Paso 3 Redacción RA '!I$3:I$15,'Paso 3 Redacción RA '!C$3:C$15,,0,1)</f>
        <v>Saberhacer</v>
      </c>
      <c r="B113" s="122" t="s">
        <v>101</v>
      </c>
      <c r="C113" s="179"/>
      <c r="D113" s="179"/>
      <c r="E113" s="211"/>
      <c r="F113" s="179"/>
      <c r="G113" s="179"/>
      <c r="H113" s="179"/>
      <c r="I113" s="179"/>
      <c r="J113" s="179"/>
      <c r="K113" s="179"/>
      <c r="L113" s="179"/>
      <c r="M113" s="179"/>
      <c r="N113" s="211"/>
      <c r="O113" s="211"/>
      <c r="P113" s="211"/>
      <c r="Q113" s="211"/>
    </row>
    <row r="114" spans="1:17" s="47" customFormat="1" ht="50" thickBot="1" x14ac:dyDescent="0.4">
      <c r="A114" s="123" t="str">
        <f>_xlfn.XLOOKUP(B114,'Paso 3 Redacción RA '!I$3:I$15,'Paso 3 Redacción RA '!C$3:C$15,,0,1)</f>
        <v>Saberser</v>
      </c>
      <c r="B114" s="124" t="s">
        <v>96</v>
      </c>
      <c r="C114" s="217"/>
      <c r="D114" s="217"/>
      <c r="E114" s="222"/>
      <c r="F114" s="217"/>
      <c r="G114" s="217"/>
      <c r="H114" s="217"/>
      <c r="I114" s="217"/>
      <c r="J114" s="217"/>
      <c r="K114" s="217"/>
      <c r="L114" s="217"/>
      <c r="M114" s="217"/>
      <c r="N114" s="222"/>
      <c r="O114" s="222"/>
      <c r="P114" s="222"/>
      <c r="Q114" s="222"/>
    </row>
    <row r="115" spans="1:17" s="47" customFormat="1" ht="33" x14ac:dyDescent="0.35">
      <c r="A115" s="121" t="str">
        <f>_xlfn.XLOOKUP(B115,'Paso 3 Redacción RA '!I$3:I$15,'Paso 3 Redacción RA '!C$3:C$15,,0,1)</f>
        <v>Saber</v>
      </c>
      <c r="B115" s="122" t="s">
        <v>99</v>
      </c>
      <c r="C115" s="212">
        <v>6</v>
      </c>
      <c r="D115" s="212" t="s">
        <v>331</v>
      </c>
      <c r="E115" s="210" t="s">
        <v>332</v>
      </c>
      <c r="F115" s="212" t="s">
        <v>217</v>
      </c>
      <c r="G115" s="212"/>
      <c r="H115" s="212" t="s">
        <v>218</v>
      </c>
      <c r="I115" s="212"/>
      <c r="J115" s="212">
        <v>2</v>
      </c>
      <c r="K115" s="212">
        <f>J115*12</f>
        <v>24</v>
      </c>
      <c r="L115" s="212">
        <f>36*J115</f>
        <v>72</v>
      </c>
      <c r="M115" s="212">
        <f>SUM(K115:L115)</f>
        <v>96</v>
      </c>
      <c r="N115" s="210" t="s">
        <v>333</v>
      </c>
      <c r="O115" s="210" t="s">
        <v>259</v>
      </c>
      <c r="P115" s="210" t="s">
        <v>232</v>
      </c>
      <c r="Q115" s="210" t="s">
        <v>227</v>
      </c>
    </row>
    <row r="116" spans="1:17" s="47" customFormat="1" ht="33" x14ac:dyDescent="0.35">
      <c r="A116" s="121" t="str">
        <f>_xlfn.XLOOKUP(B116,'Paso 3 Redacción RA '!I$3:I$15,'Paso 3 Redacción RA '!C$3:C$15,,0,1)</f>
        <v>Saberhacer</v>
      </c>
      <c r="B116" s="122" t="s">
        <v>93</v>
      </c>
      <c r="C116" s="179"/>
      <c r="D116" s="179"/>
      <c r="E116" s="211"/>
      <c r="F116" s="179"/>
      <c r="G116" s="179"/>
      <c r="H116" s="179"/>
      <c r="I116" s="179"/>
      <c r="J116" s="179"/>
      <c r="K116" s="179"/>
      <c r="L116" s="179"/>
      <c r="M116" s="179"/>
      <c r="N116" s="211"/>
      <c r="O116" s="211"/>
      <c r="P116" s="211"/>
      <c r="Q116" s="211"/>
    </row>
    <row r="117" spans="1:17" s="47" customFormat="1" ht="49.5" x14ac:dyDescent="0.35">
      <c r="A117" s="121" t="str">
        <f>_xlfn.XLOOKUP(B117,'Paso 3 Redacción RA '!I$3:I$15,'Paso 3 Redacción RA '!C$3:C$15,,0,1)</f>
        <v>Saberhacer</v>
      </c>
      <c r="B117" s="122" t="s">
        <v>100</v>
      </c>
      <c r="C117" s="179"/>
      <c r="D117" s="179"/>
      <c r="E117" s="211"/>
      <c r="F117" s="179"/>
      <c r="G117" s="179"/>
      <c r="H117" s="179"/>
      <c r="I117" s="179"/>
      <c r="J117" s="179"/>
      <c r="K117" s="179"/>
      <c r="L117" s="179"/>
      <c r="M117" s="179"/>
      <c r="N117" s="211"/>
      <c r="O117" s="211"/>
      <c r="P117" s="211"/>
      <c r="Q117" s="211"/>
    </row>
    <row r="118" spans="1:17" s="47" customFormat="1" ht="50" thickBot="1" x14ac:dyDescent="0.4">
      <c r="A118" s="123" t="str">
        <f>_xlfn.XLOOKUP(B118,'Paso 3 Redacción RA '!I$3:I$15,'Paso 3 Redacción RA '!C$3:C$15,,0,1)</f>
        <v>Saberhacer</v>
      </c>
      <c r="B118" s="124" t="s">
        <v>101</v>
      </c>
      <c r="C118" s="217"/>
      <c r="D118" s="217"/>
      <c r="E118" s="222"/>
      <c r="F118" s="217"/>
      <c r="G118" s="217"/>
      <c r="H118" s="217"/>
      <c r="I118" s="217"/>
      <c r="J118" s="217"/>
      <c r="K118" s="217"/>
      <c r="L118" s="217"/>
      <c r="M118" s="217"/>
      <c r="N118" s="222"/>
      <c r="O118" s="222"/>
      <c r="P118" s="222"/>
      <c r="Q118" s="222"/>
    </row>
    <row r="119" spans="1:17" s="47" customFormat="1" ht="33" x14ac:dyDescent="0.35">
      <c r="A119" s="121" t="str">
        <f>_xlfn.XLOOKUP(B119,'Paso 3 Redacción RA '!I$3:I$15,'Paso 3 Redacción RA '!C$3:C$15,,0,1)</f>
        <v>Saber</v>
      </c>
      <c r="B119" s="122" t="s">
        <v>99</v>
      </c>
      <c r="C119" s="212">
        <v>6</v>
      </c>
      <c r="D119" s="212" t="s">
        <v>334</v>
      </c>
      <c r="E119" s="210" t="s">
        <v>335</v>
      </c>
      <c r="F119" s="212" t="s">
        <v>217</v>
      </c>
      <c r="G119" s="212"/>
      <c r="H119" s="212" t="s">
        <v>218</v>
      </c>
      <c r="I119" s="212"/>
      <c r="J119" s="212">
        <v>2</v>
      </c>
      <c r="K119" s="212">
        <f>J119*12</f>
        <v>24</v>
      </c>
      <c r="L119" s="212">
        <f>36*J119</f>
        <v>72</v>
      </c>
      <c r="M119" s="212">
        <f>SUM(K119:L119)</f>
        <v>96</v>
      </c>
      <c r="N119" s="210" t="s">
        <v>336</v>
      </c>
      <c r="O119" s="210" t="s">
        <v>259</v>
      </c>
      <c r="P119" s="210" t="s">
        <v>232</v>
      </c>
      <c r="Q119" s="210" t="s">
        <v>227</v>
      </c>
    </row>
    <row r="120" spans="1:17" s="47" customFormat="1" ht="33" x14ac:dyDescent="0.35">
      <c r="A120" s="121" t="str">
        <f>_xlfn.XLOOKUP(B120,'Paso 3 Redacción RA '!I$3:I$15,'Paso 3 Redacción RA '!C$3:C$15,,0,1)</f>
        <v>Saberhacer</v>
      </c>
      <c r="B120" s="122" t="s">
        <v>93</v>
      </c>
      <c r="C120" s="179"/>
      <c r="D120" s="179"/>
      <c r="E120" s="211"/>
      <c r="F120" s="179"/>
      <c r="G120" s="179"/>
      <c r="H120" s="179"/>
      <c r="I120" s="179"/>
      <c r="J120" s="179"/>
      <c r="K120" s="179"/>
      <c r="L120" s="179"/>
      <c r="M120" s="179"/>
      <c r="N120" s="211"/>
      <c r="O120" s="211"/>
      <c r="P120" s="211"/>
      <c r="Q120" s="211"/>
    </row>
    <row r="121" spans="1:17" s="47" customFormat="1" ht="49.5" x14ac:dyDescent="0.35">
      <c r="A121" s="121" t="str">
        <f>_xlfn.XLOOKUP(B121,'Paso 3 Redacción RA '!I$3:I$15,'Paso 3 Redacción RA '!C$3:C$15,,0,1)</f>
        <v>Saberhacer</v>
      </c>
      <c r="B121" s="122" t="s">
        <v>100</v>
      </c>
      <c r="C121" s="179"/>
      <c r="D121" s="179"/>
      <c r="E121" s="211"/>
      <c r="F121" s="179"/>
      <c r="G121" s="179"/>
      <c r="H121" s="179"/>
      <c r="I121" s="179"/>
      <c r="J121" s="179"/>
      <c r="K121" s="179"/>
      <c r="L121" s="179"/>
      <c r="M121" s="179"/>
      <c r="N121" s="211"/>
      <c r="O121" s="211"/>
      <c r="P121" s="211"/>
      <c r="Q121" s="211"/>
    </row>
    <row r="122" spans="1:17" s="47" customFormat="1" ht="50" thickBot="1" x14ac:dyDescent="0.4">
      <c r="A122" s="123" t="str">
        <f>_xlfn.XLOOKUP(B122,'Paso 3 Redacción RA '!I$3:I$15,'Paso 3 Redacción RA '!C$3:C$15,,0,1)</f>
        <v>Saberhacer</v>
      </c>
      <c r="B122" s="124" t="s">
        <v>101</v>
      </c>
      <c r="C122" s="217"/>
      <c r="D122" s="217"/>
      <c r="E122" s="222"/>
      <c r="F122" s="217"/>
      <c r="G122" s="217"/>
      <c r="H122" s="217"/>
      <c r="I122" s="217"/>
      <c r="J122" s="217"/>
      <c r="K122" s="217"/>
      <c r="L122" s="217"/>
      <c r="M122" s="217"/>
      <c r="N122" s="222"/>
      <c r="O122" s="222"/>
      <c r="P122" s="222"/>
      <c r="Q122" s="222"/>
    </row>
    <row r="123" spans="1:17" s="47" customFormat="1" ht="49.5" x14ac:dyDescent="0.35">
      <c r="A123" s="121" t="str">
        <f>_xlfn.XLOOKUP(B123,'Paso 3 Redacción RA '!I$3:I$15,'Paso 3 Redacción RA '!C$3:C$15,,0,1)</f>
        <v>Saber</v>
      </c>
      <c r="B123" s="122" t="s">
        <v>105</v>
      </c>
      <c r="C123" s="212">
        <v>6</v>
      </c>
      <c r="D123" s="212" t="s">
        <v>337</v>
      </c>
      <c r="E123" s="210" t="s">
        <v>338</v>
      </c>
      <c r="F123" s="212" t="s">
        <v>238</v>
      </c>
      <c r="G123" s="212"/>
      <c r="H123" s="212" t="s">
        <v>218</v>
      </c>
      <c r="I123" s="212"/>
      <c r="J123" s="212">
        <v>2</v>
      </c>
      <c r="K123" s="212">
        <f>J123*12</f>
        <v>24</v>
      </c>
      <c r="L123" s="212">
        <f>36*J123</f>
        <v>72</v>
      </c>
      <c r="M123" s="212">
        <f>SUM(K123:L123)</f>
        <v>96</v>
      </c>
      <c r="N123" s="210" t="s">
        <v>339</v>
      </c>
      <c r="O123" s="210" t="s">
        <v>259</v>
      </c>
      <c r="P123" s="210" t="s">
        <v>241</v>
      </c>
      <c r="Q123" s="210" t="s">
        <v>227</v>
      </c>
    </row>
    <row r="124" spans="1:17" s="47" customFormat="1" ht="33" x14ac:dyDescent="0.35">
      <c r="A124" s="121" t="str">
        <f>_xlfn.XLOOKUP(B124,'Paso 3 Redacción RA '!I$3:I$15,'Paso 3 Redacción RA '!C$3:C$15,,0,1)</f>
        <v>Saberhacer</v>
      </c>
      <c r="B124" s="122" t="s">
        <v>93</v>
      </c>
      <c r="C124" s="179"/>
      <c r="D124" s="179"/>
      <c r="E124" s="211"/>
      <c r="F124" s="179"/>
      <c r="G124" s="179"/>
      <c r="H124" s="179"/>
      <c r="I124" s="179"/>
      <c r="J124" s="179"/>
      <c r="K124" s="179"/>
      <c r="L124" s="179"/>
      <c r="M124" s="179"/>
      <c r="N124" s="211"/>
      <c r="O124" s="211"/>
      <c r="P124" s="211"/>
      <c r="Q124" s="211"/>
    </row>
    <row r="125" spans="1:17" s="47" customFormat="1" ht="33" x14ac:dyDescent="0.35">
      <c r="A125" s="121" t="str">
        <f>_xlfn.XLOOKUP(B125,'Paso 3 Redacción RA '!I$3:I$15,'Paso 3 Redacción RA '!C$3:C$15,,0,1)</f>
        <v>Saberhacer</v>
      </c>
      <c r="B125" s="122" t="s">
        <v>106</v>
      </c>
      <c r="C125" s="179"/>
      <c r="D125" s="179"/>
      <c r="E125" s="211"/>
      <c r="F125" s="179"/>
      <c r="G125" s="179"/>
      <c r="H125" s="179"/>
      <c r="I125" s="179"/>
      <c r="J125" s="179"/>
      <c r="K125" s="179"/>
      <c r="L125" s="179"/>
      <c r="M125" s="179"/>
      <c r="N125" s="211"/>
      <c r="O125" s="211"/>
      <c r="P125" s="211"/>
      <c r="Q125" s="211"/>
    </row>
    <row r="126" spans="1:17" s="47" customFormat="1" ht="50" thickBot="1" x14ac:dyDescent="0.4">
      <c r="A126" s="123" t="str">
        <f>_xlfn.XLOOKUP(B126,'Paso 3 Redacción RA '!I$3:I$15,'Paso 3 Redacción RA '!C$3:C$15,,0,1)</f>
        <v>Saberser</v>
      </c>
      <c r="B126" s="124" t="s">
        <v>96</v>
      </c>
      <c r="C126" s="217"/>
      <c r="D126" s="217"/>
      <c r="E126" s="222"/>
      <c r="F126" s="217"/>
      <c r="G126" s="217"/>
      <c r="H126" s="217"/>
      <c r="I126" s="217"/>
      <c r="J126" s="217"/>
      <c r="K126" s="217"/>
      <c r="L126" s="217"/>
      <c r="M126" s="217"/>
      <c r="N126" s="222"/>
      <c r="O126" s="222"/>
      <c r="P126" s="222"/>
      <c r="Q126" s="222"/>
    </row>
    <row r="127" spans="1:17" s="47" customFormat="1" ht="33" x14ac:dyDescent="0.35">
      <c r="A127" s="121" t="str">
        <f>_xlfn.XLOOKUP(B127,'Paso 3 Redacción RA '!I$3:I$15,'Paso 3 Redacción RA '!C$3:C$15,,0,1)</f>
        <v>Saber</v>
      </c>
      <c r="B127" s="122" t="s">
        <v>99</v>
      </c>
      <c r="C127" s="212">
        <v>6</v>
      </c>
      <c r="D127" s="212" t="s">
        <v>340</v>
      </c>
      <c r="E127" s="210" t="s">
        <v>341</v>
      </c>
      <c r="F127" s="212" t="s">
        <v>217</v>
      </c>
      <c r="G127" s="212"/>
      <c r="H127" s="212" t="s">
        <v>218</v>
      </c>
      <c r="I127" s="212"/>
      <c r="J127" s="212">
        <v>3</v>
      </c>
      <c r="K127" s="212">
        <f>J127*12</f>
        <v>36</v>
      </c>
      <c r="L127" s="212">
        <f>36*J127</f>
        <v>108</v>
      </c>
      <c r="M127" s="212">
        <f>SUM(K127:L127)</f>
        <v>144</v>
      </c>
      <c r="N127" s="210" t="s">
        <v>342</v>
      </c>
      <c r="O127" s="210" t="s">
        <v>231</v>
      </c>
      <c r="P127" s="210" t="s">
        <v>343</v>
      </c>
      <c r="Q127" s="210" t="s">
        <v>227</v>
      </c>
    </row>
    <row r="128" spans="1:17" s="47" customFormat="1" ht="33" x14ac:dyDescent="0.35">
      <c r="A128" s="121" t="str">
        <f>_xlfn.XLOOKUP(B128,'Paso 3 Redacción RA '!I$3:I$15,'Paso 3 Redacción RA '!C$3:C$15,,0,1)</f>
        <v>Saberhacer</v>
      </c>
      <c r="B128" s="122" t="s">
        <v>93</v>
      </c>
      <c r="C128" s="179"/>
      <c r="D128" s="179"/>
      <c r="E128" s="211"/>
      <c r="F128" s="179"/>
      <c r="G128" s="179"/>
      <c r="H128" s="179"/>
      <c r="I128" s="179"/>
      <c r="J128" s="179"/>
      <c r="K128" s="179"/>
      <c r="L128" s="179"/>
      <c r="M128" s="179"/>
      <c r="N128" s="211"/>
      <c r="O128" s="225"/>
      <c r="P128" s="211"/>
      <c r="Q128" s="211"/>
    </row>
    <row r="129" spans="1:17" s="47" customFormat="1" ht="49.5" x14ac:dyDescent="0.35">
      <c r="A129" s="121" t="str">
        <f>_xlfn.XLOOKUP(B129,'Paso 3 Redacción RA '!I$3:I$15,'Paso 3 Redacción RA '!C$3:C$15,,0,1)</f>
        <v>Saberhacer</v>
      </c>
      <c r="B129" s="122" t="s">
        <v>100</v>
      </c>
      <c r="C129" s="179"/>
      <c r="D129" s="179"/>
      <c r="E129" s="211"/>
      <c r="F129" s="179"/>
      <c r="G129" s="179"/>
      <c r="H129" s="179"/>
      <c r="I129" s="179"/>
      <c r="J129" s="179"/>
      <c r="K129" s="179"/>
      <c r="L129" s="179"/>
      <c r="M129" s="179"/>
      <c r="N129" s="211"/>
      <c r="O129" s="225"/>
      <c r="P129" s="211"/>
      <c r="Q129" s="211"/>
    </row>
    <row r="130" spans="1:17" s="47" customFormat="1" ht="50" thickBot="1" x14ac:dyDescent="0.4">
      <c r="A130" s="123" t="str">
        <f>_xlfn.XLOOKUP(B130,'Paso 3 Redacción RA '!I$3:I$15,'Paso 3 Redacción RA '!C$3:C$15,,0,1)</f>
        <v>Saberhacer</v>
      </c>
      <c r="B130" s="124" t="s">
        <v>101</v>
      </c>
      <c r="C130" s="217"/>
      <c r="D130" s="217"/>
      <c r="E130" s="222"/>
      <c r="F130" s="217"/>
      <c r="G130" s="217"/>
      <c r="H130" s="217"/>
      <c r="I130" s="217"/>
      <c r="J130" s="217"/>
      <c r="K130" s="217"/>
      <c r="L130" s="217"/>
      <c r="M130" s="217"/>
      <c r="N130" s="222"/>
      <c r="O130" s="226"/>
      <c r="P130" s="222"/>
      <c r="Q130" s="222"/>
    </row>
    <row r="131" spans="1:17" s="47" customFormat="1" ht="33" x14ac:dyDescent="0.35">
      <c r="A131" s="121" t="str">
        <f>_xlfn.XLOOKUP(B131,'Paso 3 Redacción RA '!I$3:I$15,'Paso 3 Redacción RA '!C$3:C$15,,0,1)</f>
        <v>Saber</v>
      </c>
      <c r="B131" s="122" t="s">
        <v>99</v>
      </c>
      <c r="C131" s="212">
        <v>7</v>
      </c>
      <c r="D131" s="212" t="s">
        <v>344</v>
      </c>
      <c r="E131" s="210" t="s">
        <v>345</v>
      </c>
      <c r="F131" s="212" t="s">
        <v>217</v>
      </c>
      <c r="G131" s="212"/>
      <c r="H131" s="212" t="s">
        <v>218</v>
      </c>
      <c r="I131" s="212"/>
      <c r="J131" s="212">
        <v>2</v>
      </c>
      <c r="K131" s="212">
        <f>J131*12</f>
        <v>24</v>
      </c>
      <c r="L131" s="212">
        <f>36*J131</f>
        <v>72</v>
      </c>
      <c r="M131" s="212">
        <f>SUM(K131:L131)</f>
        <v>96</v>
      </c>
      <c r="N131" s="210" t="s">
        <v>346</v>
      </c>
      <c r="O131" s="210" t="s">
        <v>259</v>
      </c>
      <c r="P131" s="210" t="s">
        <v>232</v>
      </c>
      <c r="Q131" s="210" t="s">
        <v>227</v>
      </c>
    </row>
    <row r="132" spans="1:17" s="47" customFormat="1" ht="33" x14ac:dyDescent="0.35">
      <c r="A132" s="121" t="str">
        <f>_xlfn.XLOOKUP(B132,'Paso 3 Redacción RA '!I$3:I$15,'Paso 3 Redacción RA '!C$3:C$15,,0,1)</f>
        <v>Saberhacer</v>
      </c>
      <c r="B132" s="122" t="s">
        <v>93</v>
      </c>
      <c r="C132" s="179"/>
      <c r="D132" s="179"/>
      <c r="E132" s="211"/>
      <c r="F132" s="179"/>
      <c r="G132" s="179"/>
      <c r="H132" s="179"/>
      <c r="I132" s="179"/>
      <c r="J132" s="179"/>
      <c r="K132" s="179"/>
      <c r="L132" s="179"/>
      <c r="M132" s="179"/>
      <c r="N132" s="211"/>
      <c r="O132" s="225"/>
      <c r="P132" s="211"/>
      <c r="Q132" s="211"/>
    </row>
    <row r="133" spans="1:17" s="47" customFormat="1" ht="33" x14ac:dyDescent="0.35">
      <c r="A133" s="121" t="str">
        <f>_xlfn.XLOOKUP(B133,'Paso 3 Redacción RA '!I$3:I$15,'Paso 3 Redacción RA '!C$3:C$15,,0,1)</f>
        <v>Saberhacer</v>
      </c>
      <c r="B133" s="122" t="s">
        <v>106</v>
      </c>
      <c r="C133" s="179"/>
      <c r="D133" s="179"/>
      <c r="E133" s="211"/>
      <c r="F133" s="179"/>
      <c r="G133" s="179"/>
      <c r="H133" s="179"/>
      <c r="I133" s="179"/>
      <c r="J133" s="179"/>
      <c r="K133" s="179"/>
      <c r="L133" s="179"/>
      <c r="M133" s="179"/>
      <c r="N133" s="211"/>
      <c r="O133" s="225"/>
      <c r="P133" s="211"/>
      <c r="Q133" s="211"/>
    </row>
    <row r="134" spans="1:17" s="47" customFormat="1" ht="50" thickBot="1" x14ac:dyDescent="0.4">
      <c r="A134" s="123" t="str">
        <f>_xlfn.XLOOKUP(B134,'Paso 3 Redacción RA '!I$3:I$15,'Paso 3 Redacción RA '!C$3:C$15,,0,1)</f>
        <v>Saberser</v>
      </c>
      <c r="B134" s="124" t="s">
        <v>96</v>
      </c>
      <c r="C134" s="217"/>
      <c r="D134" s="217"/>
      <c r="E134" s="222"/>
      <c r="F134" s="217"/>
      <c r="G134" s="217"/>
      <c r="H134" s="217"/>
      <c r="I134" s="217"/>
      <c r="J134" s="217"/>
      <c r="K134" s="217"/>
      <c r="L134" s="217"/>
      <c r="M134" s="217"/>
      <c r="N134" s="222"/>
      <c r="O134" s="226"/>
      <c r="P134" s="222"/>
      <c r="Q134" s="222"/>
    </row>
    <row r="135" spans="1:17" s="47" customFormat="1" ht="49.5" x14ac:dyDescent="0.35">
      <c r="A135" s="121" t="str">
        <f>_xlfn.XLOOKUP(B135,'Paso 3 Redacción RA '!I$3:I$15,'Paso 3 Redacción RA '!C$3:C$15,,0,1)</f>
        <v>Saber</v>
      </c>
      <c r="B135" s="122" t="s">
        <v>105</v>
      </c>
      <c r="C135" s="212">
        <v>7</v>
      </c>
      <c r="D135" s="212" t="s">
        <v>347</v>
      </c>
      <c r="E135" s="210" t="s">
        <v>348</v>
      </c>
      <c r="F135" s="212" t="s">
        <v>217</v>
      </c>
      <c r="G135" s="212"/>
      <c r="H135" s="212" t="s">
        <v>218</v>
      </c>
      <c r="I135" s="212"/>
      <c r="J135" s="212">
        <v>2</v>
      </c>
      <c r="K135" s="212">
        <f>J135*12</f>
        <v>24</v>
      </c>
      <c r="L135" s="212">
        <f>36*J135</f>
        <v>72</v>
      </c>
      <c r="M135" s="212">
        <f>SUM(K135:L135)</f>
        <v>96</v>
      </c>
      <c r="N135" s="210" t="s">
        <v>349</v>
      </c>
      <c r="O135" s="210" t="s">
        <v>259</v>
      </c>
      <c r="P135" s="210" t="s">
        <v>232</v>
      </c>
      <c r="Q135" s="210" t="s">
        <v>227</v>
      </c>
    </row>
    <row r="136" spans="1:17" s="47" customFormat="1" ht="33" x14ac:dyDescent="0.35">
      <c r="A136" s="121" t="str">
        <f>_xlfn.XLOOKUP(B136,'Paso 3 Redacción RA '!I$3:I$15,'Paso 3 Redacción RA '!C$3:C$15,,0,1)</f>
        <v>Saberhacer</v>
      </c>
      <c r="B136" s="122" t="s">
        <v>93</v>
      </c>
      <c r="C136" s="179"/>
      <c r="D136" s="179"/>
      <c r="E136" s="211"/>
      <c r="F136" s="179"/>
      <c r="G136" s="179"/>
      <c r="H136" s="179"/>
      <c r="I136" s="179"/>
      <c r="J136" s="179"/>
      <c r="K136" s="179"/>
      <c r="L136" s="179"/>
      <c r="M136" s="179"/>
      <c r="N136" s="211"/>
      <c r="O136" s="225"/>
      <c r="P136" s="211"/>
      <c r="Q136" s="211"/>
    </row>
    <row r="137" spans="1:17" s="47" customFormat="1" ht="49.5" x14ac:dyDescent="0.35">
      <c r="A137" s="121" t="str">
        <f>_xlfn.XLOOKUP(B137,'Paso 3 Redacción RA '!I$3:I$15,'Paso 3 Redacción RA '!C$3:C$15,,0,1)</f>
        <v>Saberhacer</v>
      </c>
      <c r="B137" s="122" t="s">
        <v>100</v>
      </c>
      <c r="C137" s="179"/>
      <c r="D137" s="179"/>
      <c r="E137" s="211"/>
      <c r="F137" s="179"/>
      <c r="G137" s="179"/>
      <c r="H137" s="179"/>
      <c r="I137" s="179"/>
      <c r="J137" s="179"/>
      <c r="K137" s="179"/>
      <c r="L137" s="179"/>
      <c r="M137" s="179"/>
      <c r="N137" s="211"/>
      <c r="O137" s="225"/>
      <c r="P137" s="211"/>
      <c r="Q137" s="211"/>
    </row>
    <row r="138" spans="1:17" s="47" customFormat="1" ht="49.5" x14ac:dyDescent="0.35">
      <c r="A138" s="121" t="str">
        <f>_xlfn.XLOOKUP(B138,'Paso 3 Redacción RA '!I$3:I$15,'Paso 3 Redacción RA '!C$3:C$15,,0,1)</f>
        <v>Saberhacer</v>
      </c>
      <c r="B138" s="122" t="s">
        <v>101</v>
      </c>
      <c r="C138" s="179"/>
      <c r="D138" s="179"/>
      <c r="E138" s="211"/>
      <c r="F138" s="179"/>
      <c r="G138" s="179"/>
      <c r="H138" s="179"/>
      <c r="I138" s="179"/>
      <c r="J138" s="179"/>
      <c r="K138" s="179"/>
      <c r="L138" s="179"/>
      <c r="M138" s="179"/>
      <c r="N138" s="211"/>
      <c r="O138" s="225"/>
      <c r="P138" s="211"/>
      <c r="Q138" s="211"/>
    </row>
    <row r="139" spans="1:17" s="47" customFormat="1" ht="33.5" thickBot="1" x14ac:dyDescent="0.4">
      <c r="A139" s="123" t="str">
        <f>_xlfn.XLOOKUP(B139,'Paso 3 Redacción RA '!I$3:I$15,'Paso 3 Redacción RA '!C$3:C$15,,0,1)</f>
        <v>Saberhacer</v>
      </c>
      <c r="B139" s="124" t="s">
        <v>106</v>
      </c>
      <c r="C139" s="217"/>
      <c r="D139" s="217"/>
      <c r="E139" s="222"/>
      <c r="F139" s="217"/>
      <c r="G139" s="217"/>
      <c r="H139" s="217"/>
      <c r="I139" s="217"/>
      <c r="J139" s="217"/>
      <c r="K139" s="217"/>
      <c r="L139" s="217"/>
      <c r="M139" s="217"/>
      <c r="N139" s="222"/>
      <c r="O139" s="226"/>
      <c r="P139" s="222"/>
      <c r="Q139" s="222"/>
    </row>
    <row r="140" spans="1:17" s="47" customFormat="1" ht="33" x14ac:dyDescent="0.35">
      <c r="A140" s="121" t="str">
        <f>_xlfn.XLOOKUP(B140,'Paso 3 Redacción RA '!I$3:I$15,'Paso 3 Redacción RA '!C$3:C$15,,0,1)</f>
        <v>Saber</v>
      </c>
      <c r="B140" s="122" t="s">
        <v>99</v>
      </c>
      <c r="C140" s="212">
        <v>7</v>
      </c>
      <c r="D140" s="212" t="s">
        <v>350</v>
      </c>
      <c r="E140" s="210" t="s">
        <v>351</v>
      </c>
      <c r="F140" s="212" t="s">
        <v>217</v>
      </c>
      <c r="G140" s="212"/>
      <c r="H140" s="212" t="s">
        <v>218</v>
      </c>
      <c r="I140" s="212"/>
      <c r="J140" s="212">
        <v>2</v>
      </c>
      <c r="K140" s="212">
        <f>J140*12</f>
        <v>24</v>
      </c>
      <c r="L140" s="212">
        <f>36*J140</f>
        <v>72</v>
      </c>
      <c r="M140" s="212">
        <f>SUM(K140:L140)</f>
        <v>96</v>
      </c>
      <c r="N140" s="210" t="s">
        <v>352</v>
      </c>
      <c r="O140" s="210" t="s">
        <v>245</v>
      </c>
      <c r="P140" s="210" t="s">
        <v>232</v>
      </c>
      <c r="Q140" s="210" t="s">
        <v>227</v>
      </c>
    </row>
    <row r="141" spans="1:17" s="47" customFormat="1" ht="33" x14ac:dyDescent="0.35">
      <c r="A141" s="121" t="str">
        <f>_xlfn.XLOOKUP(B141,'Paso 3 Redacción RA '!I$3:I$15,'Paso 3 Redacción RA '!C$3:C$15,,0,1)</f>
        <v>Saberhacer</v>
      </c>
      <c r="B141" s="122" t="s">
        <v>93</v>
      </c>
      <c r="C141" s="179"/>
      <c r="D141" s="179"/>
      <c r="E141" s="211"/>
      <c r="F141" s="179"/>
      <c r="G141" s="179"/>
      <c r="H141" s="179"/>
      <c r="I141" s="179"/>
      <c r="J141" s="179"/>
      <c r="K141" s="179"/>
      <c r="L141" s="179"/>
      <c r="M141" s="179"/>
      <c r="N141" s="211"/>
      <c r="O141" s="225"/>
      <c r="P141" s="211"/>
      <c r="Q141" s="211"/>
    </row>
    <row r="142" spans="1:17" s="47" customFormat="1" ht="49.5" x14ac:dyDescent="0.35">
      <c r="A142" s="121" t="str">
        <f>_xlfn.XLOOKUP(B142,'Paso 3 Redacción RA '!I$3:I$15,'Paso 3 Redacción RA '!C$3:C$15,,0,1)</f>
        <v>Saberhacer</v>
      </c>
      <c r="B142" s="122" t="s">
        <v>100</v>
      </c>
      <c r="C142" s="179"/>
      <c r="D142" s="179"/>
      <c r="E142" s="211"/>
      <c r="F142" s="179"/>
      <c r="G142" s="179"/>
      <c r="H142" s="179"/>
      <c r="I142" s="179"/>
      <c r="J142" s="179"/>
      <c r="K142" s="179"/>
      <c r="L142" s="179"/>
      <c r="M142" s="179"/>
      <c r="N142" s="211"/>
      <c r="O142" s="225"/>
      <c r="P142" s="211"/>
      <c r="Q142" s="211"/>
    </row>
    <row r="143" spans="1:17" s="47" customFormat="1" ht="50" thickBot="1" x14ac:dyDescent="0.4">
      <c r="A143" s="123" t="str">
        <f>_xlfn.XLOOKUP(B143,'Paso 3 Redacción RA '!I$3:I$15,'Paso 3 Redacción RA '!C$3:C$15,,0,1)</f>
        <v>Saberhacer</v>
      </c>
      <c r="B143" s="124" t="s">
        <v>101</v>
      </c>
      <c r="C143" s="217"/>
      <c r="D143" s="217"/>
      <c r="E143" s="222"/>
      <c r="F143" s="217"/>
      <c r="G143" s="217"/>
      <c r="H143" s="217"/>
      <c r="I143" s="217"/>
      <c r="J143" s="217"/>
      <c r="K143" s="217"/>
      <c r="L143" s="217"/>
      <c r="M143" s="217"/>
      <c r="N143" s="222"/>
      <c r="O143" s="226"/>
      <c r="P143" s="222"/>
      <c r="Q143" s="222"/>
    </row>
    <row r="144" spans="1:17" s="47" customFormat="1" ht="33" x14ac:dyDescent="0.35">
      <c r="A144" s="121" t="str">
        <f>_xlfn.XLOOKUP(B144,'Paso 3 Redacción RA '!I$3:I$15,'Paso 3 Redacción RA '!C$3:C$15,,0,1)</f>
        <v>Saberhacer</v>
      </c>
      <c r="B144" s="122" t="s">
        <v>93</v>
      </c>
      <c r="C144" s="212">
        <v>7</v>
      </c>
      <c r="D144" s="212" t="s">
        <v>353</v>
      </c>
      <c r="E144" s="210" t="s">
        <v>354</v>
      </c>
      <c r="F144" s="212" t="s">
        <v>295</v>
      </c>
      <c r="G144" s="212"/>
      <c r="H144" s="212" t="s">
        <v>218</v>
      </c>
      <c r="I144" s="212"/>
      <c r="J144" s="212">
        <v>6</v>
      </c>
      <c r="K144" s="212">
        <f>J144*12</f>
        <v>72</v>
      </c>
      <c r="L144" s="212">
        <f>36*J144</f>
        <v>216</v>
      </c>
      <c r="M144" s="212">
        <f>SUM(K144:L144)</f>
        <v>288</v>
      </c>
      <c r="N144" s="210" t="s">
        <v>355</v>
      </c>
      <c r="O144" s="210" t="s">
        <v>259</v>
      </c>
      <c r="P144" s="210" t="s">
        <v>297</v>
      </c>
      <c r="Q144" s="210" t="s">
        <v>227</v>
      </c>
    </row>
    <row r="145" spans="1:17" s="47" customFormat="1" ht="49.5" x14ac:dyDescent="0.35">
      <c r="A145" s="121" t="str">
        <f>_xlfn.XLOOKUP(B145,'Paso 3 Redacción RA '!I$3:I$15,'Paso 3 Redacción RA '!C$3:C$15,,0,1)</f>
        <v>Saberhacer</v>
      </c>
      <c r="B145" s="122" t="s">
        <v>100</v>
      </c>
      <c r="C145" s="179"/>
      <c r="D145" s="179"/>
      <c r="E145" s="211"/>
      <c r="F145" s="179"/>
      <c r="G145" s="179"/>
      <c r="H145" s="179"/>
      <c r="I145" s="179"/>
      <c r="J145" s="179"/>
      <c r="K145" s="179"/>
      <c r="L145" s="179"/>
      <c r="M145" s="179"/>
      <c r="N145" s="211"/>
      <c r="O145" s="211"/>
      <c r="P145" s="211"/>
      <c r="Q145" s="211"/>
    </row>
    <row r="146" spans="1:17" s="47" customFormat="1" ht="49.5" x14ac:dyDescent="0.35">
      <c r="A146" s="121" t="str">
        <f>_xlfn.XLOOKUP(B146,'Paso 3 Redacción RA '!I$3:I$15,'Paso 3 Redacción RA '!C$3:C$15,,0,1)</f>
        <v>Saberhacer</v>
      </c>
      <c r="B146" s="122" t="s">
        <v>101</v>
      </c>
      <c r="C146" s="179"/>
      <c r="D146" s="179"/>
      <c r="E146" s="211"/>
      <c r="F146" s="179"/>
      <c r="G146" s="179"/>
      <c r="H146" s="179"/>
      <c r="I146" s="179"/>
      <c r="J146" s="179"/>
      <c r="K146" s="179"/>
      <c r="L146" s="179"/>
      <c r="M146" s="179"/>
      <c r="N146" s="211"/>
      <c r="O146" s="225"/>
      <c r="P146" s="211"/>
      <c r="Q146" s="211"/>
    </row>
    <row r="147" spans="1:17" s="47" customFormat="1" ht="33" x14ac:dyDescent="0.35">
      <c r="A147" s="121" t="str">
        <f>_xlfn.XLOOKUP(B147,'Paso 3 Redacción RA '!I$3:I$15,'Paso 3 Redacción RA '!C$3:C$15,,0,1)</f>
        <v>Saberhacer</v>
      </c>
      <c r="B147" s="122" t="s">
        <v>106</v>
      </c>
      <c r="C147" s="179"/>
      <c r="D147" s="179"/>
      <c r="E147" s="211"/>
      <c r="F147" s="179"/>
      <c r="G147" s="179"/>
      <c r="H147" s="179"/>
      <c r="I147" s="179"/>
      <c r="J147" s="179"/>
      <c r="K147" s="179"/>
      <c r="L147" s="179"/>
      <c r="M147" s="179"/>
      <c r="N147" s="211"/>
      <c r="O147" s="225"/>
      <c r="P147" s="211"/>
      <c r="Q147" s="211"/>
    </row>
    <row r="148" spans="1:17" s="47" customFormat="1" ht="50" thickBot="1" x14ac:dyDescent="0.4">
      <c r="A148" s="123" t="str">
        <f>_xlfn.XLOOKUP(B148,'Paso 3 Redacción RA '!I$3:I$15,'Paso 3 Redacción RA '!C$3:C$15,,0,1)</f>
        <v>Saberser</v>
      </c>
      <c r="B148" s="124" t="s">
        <v>96</v>
      </c>
      <c r="C148" s="217"/>
      <c r="D148" s="217"/>
      <c r="E148" s="222"/>
      <c r="F148" s="217"/>
      <c r="G148" s="217"/>
      <c r="H148" s="217"/>
      <c r="I148" s="217"/>
      <c r="J148" s="217"/>
      <c r="K148" s="217"/>
      <c r="L148" s="217"/>
      <c r="M148" s="217"/>
      <c r="N148" s="222"/>
      <c r="O148" s="226"/>
      <c r="P148" s="222"/>
      <c r="Q148" s="222"/>
    </row>
    <row r="149" spans="1:17" s="47" customFormat="1" ht="17" thickBot="1" x14ac:dyDescent="0.4">
      <c r="A149" s="157"/>
      <c r="B149" s="131"/>
      <c r="C149" s="132">
        <v>7</v>
      </c>
      <c r="D149" s="133" t="s">
        <v>356</v>
      </c>
      <c r="E149" s="134"/>
      <c r="F149" s="133"/>
      <c r="G149" s="135"/>
      <c r="H149" s="135"/>
      <c r="I149" s="135" t="s">
        <v>218</v>
      </c>
      <c r="J149" s="135">
        <v>3</v>
      </c>
      <c r="K149" s="133">
        <f>J149*12</f>
        <v>36</v>
      </c>
      <c r="L149" s="133">
        <f>36*J149</f>
        <v>108</v>
      </c>
      <c r="M149" s="162">
        <f>SUM(K149:L149)</f>
        <v>144</v>
      </c>
      <c r="N149" s="136"/>
      <c r="O149" s="136"/>
      <c r="P149" s="136"/>
      <c r="Q149" s="137"/>
    </row>
    <row r="150" spans="1:17" s="47" customFormat="1" ht="17" thickBot="1" x14ac:dyDescent="0.4">
      <c r="A150" s="157"/>
      <c r="B150" s="131"/>
      <c r="C150" s="132">
        <v>7</v>
      </c>
      <c r="D150" s="133" t="s">
        <v>357</v>
      </c>
      <c r="E150" s="131"/>
      <c r="F150" s="133"/>
      <c r="G150" s="133"/>
      <c r="H150" s="133"/>
      <c r="I150" s="133" t="s">
        <v>218</v>
      </c>
      <c r="J150" s="133">
        <v>3</v>
      </c>
      <c r="K150" s="133">
        <f>J150*12</f>
        <v>36</v>
      </c>
      <c r="L150" s="133">
        <f>36*J150</f>
        <v>108</v>
      </c>
      <c r="M150" s="133">
        <f>SUM(K150:L150)</f>
        <v>144</v>
      </c>
      <c r="N150" s="131"/>
      <c r="O150" s="131"/>
      <c r="P150" s="131"/>
      <c r="Q150" s="137"/>
    </row>
    <row r="151" spans="1:17" s="47" customFormat="1" ht="33" x14ac:dyDescent="0.35">
      <c r="A151" s="121" t="str">
        <f>_xlfn.XLOOKUP(B151,'Paso 3 Redacción RA '!I$3:I$15,'Paso 3 Redacción RA '!C$3:C$15,,0,1)</f>
        <v>Saber</v>
      </c>
      <c r="B151" s="122" t="s">
        <v>99</v>
      </c>
      <c r="C151" s="212">
        <v>8</v>
      </c>
      <c r="D151" s="212" t="s">
        <v>358</v>
      </c>
      <c r="E151" s="221" t="s">
        <v>359</v>
      </c>
      <c r="F151" s="212" t="s">
        <v>217</v>
      </c>
      <c r="G151" s="212"/>
      <c r="H151" s="212" t="s">
        <v>218</v>
      </c>
      <c r="I151" s="212"/>
      <c r="J151" s="212">
        <v>2</v>
      </c>
      <c r="K151" s="212">
        <f>J151*12</f>
        <v>24</v>
      </c>
      <c r="L151" s="212">
        <f>36*J151</f>
        <v>72</v>
      </c>
      <c r="M151" s="212">
        <f>SUM(K151:L151)</f>
        <v>96</v>
      </c>
      <c r="N151" s="210" t="s">
        <v>360</v>
      </c>
      <c r="O151" s="210" t="s">
        <v>259</v>
      </c>
      <c r="P151" s="210" t="s">
        <v>232</v>
      </c>
      <c r="Q151" s="210" t="s">
        <v>227</v>
      </c>
    </row>
    <row r="152" spans="1:17" s="47" customFormat="1" ht="33" x14ac:dyDescent="0.35">
      <c r="A152" s="121" t="str">
        <f>_xlfn.XLOOKUP(B152,'Paso 3 Redacción RA '!I$3:I$15,'Paso 3 Redacción RA '!C$3:C$15,,0,1)</f>
        <v>Saberhacer</v>
      </c>
      <c r="B152" s="122" t="s">
        <v>93</v>
      </c>
      <c r="C152" s="179"/>
      <c r="D152" s="179"/>
      <c r="E152" s="218"/>
      <c r="F152" s="179"/>
      <c r="G152" s="179"/>
      <c r="H152" s="179"/>
      <c r="I152" s="179"/>
      <c r="J152" s="179"/>
      <c r="K152" s="179"/>
      <c r="L152" s="179"/>
      <c r="M152" s="179"/>
      <c r="N152" s="211"/>
      <c r="O152" s="211"/>
      <c r="P152" s="211"/>
      <c r="Q152" s="211"/>
    </row>
    <row r="153" spans="1:17" s="47" customFormat="1" ht="33" x14ac:dyDescent="0.35">
      <c r="A153" s="121" t="str">
        <f>_xlfn.XLOOKUP(B153,'Paso 3 Redacción RA '!I$3:I$15,'Paso 3 Redacción RA '!C$3:C$15,,0,1)</f>
        <v>Saberhacer</v>
      </c>
      <c r="B153" s="122" t="s">
        <v>106</v>
      </c>
      <c r="C153" s="179"/>
      <c r="D153" s="179"/>
      <c r="E153" s="218"/>
      <c r="F153" s="179"/>
      <c r="G153" s="179"/>
      <c r="H153" s="179"/>
      <c r="I153" s="179"/>
      <c r="J153" s="179"/>
      <c r="K153" s="179"/>
      <c r="L153" s="179"/>
      <c r="M153" s="179"/>
      <c r="N153" s="211"/>
      <c r="O153" s="211"/>
      <c r="P153" s="211"/>
      <c r="Q153" s="211"/>
    </row>
    <row r="154" spans="1:17" s="47" customFormat="1" ht="50" thickBot="1" x14ac:dyDescent="0.4">
      <c r="A154" s="123" t="str">
        <f>_xlfn.XLOOKUP(B154,'Paso 3 Redacción RA '!I$3:I$15,'Paso 3 Redacción RA '!C$3:C$15,,0,1)</f>
        <v>Saberser</v>
      </c>
      <c r="B154" s="124" t="s">
        <v>96</v>
      </c>
      <c r="C154" s="217"/>
      <c r="D154" s="228"/>
      <c r="E154" s="229"/>
      <c r="F154" s="217"/>
      <c r="G154" s="217"/>
      <c r="H154" s="217"/>
      <c r="I154" s="217"/>
      <c r="J154" s="217"/>
      <c r="K154" s="217"/>
      <c r="L154" s="217"/>
      <c r="M154" s="217"/>
      <c r="N154" s="222"/>
      <c r="O154" s="222"/>
      <c r="P154" s="222"/>
      <c r="Q154" s="222"/>
    </row>
    <row r="155" spans="1:17" s="47" customFormat="1" ht="49.5" x14ac:dyDescent="0.35">
      <c r="A155" s="121" t="str">
        <f>_xlfn.XLOOKUP(B155,'Paso 3 Redacción RA '!I$3:I$15,'Paso 3 Redacción RA '!C$3:C$15,,0,1)</f>
        <v>Saber</v>
      </c>
      <c r="B155" s="122" t="s">
        <v>89</v>
      </c>
      <c r="C155" s="212">
        <v>8</v>
      </c>
      <c r="D155" s="212" t="s">
        <v>361</v>
      </c>
      <c r="E155" s="221" t="s">
        <v>362</v>
      </c>
      <c r="F155" s="212" t="s">
        <v>295</v>
      </c>
      <c r="G155" s="212"/>
      <c r="H155" s="212" t="s">
        <v>218</v>
      </c>
      <c r="I155" s="212"/>
      <c r="J155" s="212">
        <v>7</v>
      </c>
      <c r="K155" s="212">
        <f>J155*12</f>
        <v>84</v>
      </c>
      <c r="L155" s="212">
        <f>36*J155</f>
        <v>252</v>
      </c>
      <c r="M155" s="212">
        <f>SUM(K155:L155)</f>
        <v>336</v>
      </c>
      <c r="N155" s="210" t="s">
        <v>363</v>
      </c>
      <c r="O155" s="210" t="s">
        <v>259</v>
      </c>
      <c r="P155" s="210" t="s">
        <v>297</v>
      </c>
      <c r="Q155" s="210" t="s">
        <v>227</v>
      </c>
    </row>
    <row r="156" spans="1:17" s="47" customFormat="1" ht="33" x14ac:dyDescent="0.35">
      <c r="A156" s="121" t="str">
        <f>_xlfn.XLOOKUP(B156,'Paso 3 Redacción RA '!I$3:I$15,'Paso 3 Redacción RA '!C$3:C$15,,0,1)</f>
        <v>Saber</v>
      </c>
      <c r="B156" s="122" t="s">
        <v>107</v>
      </c>
      <c r="C156" s="179"/>
      <c r="D156" s="179"/>
      <c r="E156" s="218"/>
      <c r="F156" s="179"/>
      <c r="G156" s="179"/>
      <c r="H156" s="179"/>
      <c r="I156" s="179"/>
      <c r="J156" s="179"/>
      <c r="K156" s="179"/>
      <c r="L156" s="179"/>
      <c r="M156" s="179"/>
      <c r="N156" s="211"/>
      <c r="O156" s="211"/>
      <c r="P156" s="211"/>
      <c r="Q156" s="211"/>
    </row>
    <row r="157" spans="1:17" s="47" customFormat="1" ht="33" x14ac:dyDescent="0.35">
      <c r="A157" s="121" t="str">
        <f>_xlfn.XLOOKUP(B157,'Paso 3 Redacción RA '!I$3:I$15,'Paso 3 Redacción RA '!C$3:C$15,,0,1)</f>
        <v>Saberhacer</v>
      </c>
      <c r="B157" s="122" t="s">
        <v>93</v>
      </c>
      <c r="C157" s="179"/>
      <c r="D157" s="179"/>
      <c r="E157" s="218"/>
      <c r="F157" s="179"/>
      <c r="G157" s="179"/>
      <c r="H157" s="179"/>
      <c r="I157" s="179"/>
      <c r="J157" s="179"/>
      <c r="K157" s="179"/>
      <c r="L157" s="179"/>
      <c r="M157" s="179"/>
      <c r="N157" s="211"/>
      <c r="O157" s="211"/>
      <c r="P157" s="211"/>
      <c r="Q157" s="211"/>
    </row>
    <row r="158" spans="1:17" s="47" customFormat="1" ht="33" x14ac:dyDescent="0.35">
      <c r="A158" s="121" t="str">
        <f>_xlfn.XLOOKUP(B158,'Paso 3 Redacción RA '!I$3:I$15,'Paso 3 Redacción RA '!C$3:C$15,,0,1)</f>
        <v>Saberhacer</v>
      </c>
      <c r="B158" s="122" t="s">
        <v>106</v>
      </c>
      <c r="C158" s="179"/>
      <c r="D158" s="179"/>
      <c r="E158" s="218"/>
      <c r="F158" s="179"/>
      <c r="G158" s="179"/>
      <c r="H158" s="179"/>
      <c r="I158" s="179"/>
      <c r="J158" s="179"/>
      <c r="K158" s="179"/>
      <c r="L158" s="179"/>
      <c r="M158" s="179"/>
      <c r="N158" s="211"/>
      <c r="O158" s="211"/>
      <c r="P158" s="211"/>
      <c r="Q158" s="211"/>
    </row>
    <row r="159" spans="1:17" s="47" customFormat="1" ht="50" thickBot="1" x14ac:dyDescent="0.4">
      <c r="A159" s="123" t="str">
        <f>_xlfn.XLOOKUP(B159,'Paso 3 Redacción RA '!I$3:I$15,'Paso 3 Redacción RA '!C$3:C$15,,0,1)</f>
        <v>Saberser</v>
      </c>
      <c r="B159" s="124" t="s">
        <v>96</v>
      </c>
      <c r="C159" s="217"/>
      <c r="D159" s="228"/>
      <c r="E159" s="229"/>
      <c r="F159" s="217"/>
      <c r="G159" s="217"/>
      <c r="H159" s="217"/>
      <c r="I159" s="217"/>
      <c r="J159" s="217"/>
      <c r="K159" s="217"/>
      <c r="L159" s="217"/>
      <c r="M159" s="217"/>
      <c r="N159" s="222"/>
      <c r="O159" s="222"/>
      <c r="P159" s="222"/>
      <c r="Q159" s="222"/>
    </row>
    <row r="160" spans="1:17" s="47" customFormat="1" ht="49.5" x14ac:dyDescent="0.35">
      <c r="A160" s="121" t="str">
        <f>_xlfn.XLOOKUP(B160,'Paso 3 Redacción RA '!I$3:I$15,'Paso 3 Redacción RA '!C$3:C$15,,0,1)</f>
        <v>Saber</v>
      </c>
      <c r="B160" s="122" t="s">
        <v>89</v>
      </c>
      <c r="C160" s="212">
        <v>8</v>
      </c>
      <c r="D160" s="212" t="s">
        <v>364</v>
      </c>
      <c r="E160" s="221" t="s">
        <v>365</v>
      </c>
      <c r="F160" s="212" t="s">
        <v>217</v>
      </c>
      <c r="G160" s="212"/>
      <c r="H160" s="212" t="s">
        <v>218</v>
      </c>
      <c r="I160" s="212"/>
      <c r="J160" s="212">
        <v>3</v>
      </c>
      <c r="K160" s="212">
        <f>J160*12</f>
        <v>36</v>
      </c>
      <c r="L160" s="212">
        <f>36*J160</f>
        <v>108</v>
      </c>
      <c r="M160" s="212">
        <f>SUM(K160:L160)</f>
        <v>144</v>
      </c>
      <c r="N160" s="210" t="s">
        <v>366</v>
      </c>
      <c r="O160" s="210" t="s">
        <v>259</v>
      </c>
      <c r="P160" s="210" t="s">
        <v>367</v>
      </c>
      <c r="Q160" s="210" t="s">
        <v>227</v>
      </c>
    </row>
    <row r="161" spans="1:17" s="47" customFormat="1" ht="33" x14ac:dyDescent="0.35">
      <c r="A161" s="121" t="str">
        <f>_xlfn.XLOOKUP(B161,'Paso 3 Redacción RA '!I$3:I$15,'Paso 3 Redacción RA '!C$3:C$15,,0,1)</f>
        <v>Saber</v>
      </c>
      <c r="B161" s="122" t="s">
        <v>99</v>
      </c>
      <c r="C161" s="179"/>
      <c r="D161" s="179"/>
      <c r="E161" s="218"/>
      <c r="F161" s="179"/>
      <c r="G161" s="179"/>
      <c r="H161" s="179"/>
      <c r="I161" s="179"/>
      <c r="J161" s="179"/>
      <c r="K161" s="179"/>
      <c r="L161" s="179"/>
      <c r="M161" s="179"/>
      <c r="N161" s="211"/>
      <c r="O161" s="211"/>
      <c r="P161" s="211"/>
      <c r="Q161" s="211"/>
    </row>
    <row r="162" spans="1:17" s="47" customFormat="1" ht="33" x14ac:dyDescent="0.35">
      <c r="A162" s="121" t="str">
        <f>_xlfn.XLOOKUP(B162,'Paso 3 Redacción RA '!I$3:I$15,'Paso 3 Redacción RA '!C$3:C$15,,0,1)</f>
        <v>Saberhacer</v>
      </c>
      <c r="B162" s="122" t="s">
        <v>93</v>
      </c>
      <c r="C162" s="179"/>
      <c r="D162" s="179"/>
      <c r="E162" s="218"/>
      <c r="F162" s="179"/>
      <c r="G162" s="179"/>
      <c r="H162" s="179"/>
      <c r="I162" s="179"/>
      <c r="J162" s="179"/>
      <c r="K162" s="179"/>
      <c r="L162" s="179"/>
      <c r="M162" s="179"/>
      <c r="N162" s="211"/>
      <c r="O162" s="211"/>
      <c r="P162" s="211"/>
      <c r="Q162" s="211"/>
    </row>
    <row r="163" spans="1:17" s="47" customFormat="1" ht="49.5" x14ac:dyDescent="0.35">
      <c r="A163" s="121" t="str">
        <f>_xlfn.XLOOKUP(B163,'Paso 3 Redacción RA '!I$3:I$15,'Paso 3 Redacción RA '!C$3:C$15,,0,1)</f>
        <v>Saberhacer</v>
      </c>
      <c r="B163" s="122" t="s">
        <v>101</v>
      </c>
      <c r="C163" s="179"/>
      <c r="D163" s="179"/>
      <c r="E163" s="218"/>
      <c r="F163" s="179"/>
      <c r="G163" s="179"/>
      <c r="H163" s="179"/>
      <c r="I163" s="179"/>
      <c r="J163" s="179"/>
      <c r="K163" s="179"/>
      <c r="L163" s="179"/>
      <c r="M163" s="179"/>
      <c r="N163" s="211"/>
      <c r="O163" s="211"/>
      <c r="P163" s="211"/>
      <c r="Q163" s="211"/>
    </row>
    <row r="164" spans="1:17" s="47" customFormat="1" ht="50" thickBot="1" x14ac:dyDescent="0.4">
      <c r="A164" s="123" t="str">
        <f>_xlfn.XLOOKUP(B164,'Paso 3 Redacción RA '!I$3:I$15,'Paso 3 Redacción RA '!C$3:C$15,,0,1)</f>
        <v>Saberser</v>
      </c>
      <c r="B164" s="124" t="s">
        <v>96</v>
      </c>
      <c r="C164" s="217"/>
      <c r="D164" s="228"/>
      <c r="E164" s="229"/>
      <c r="F164" s="217"/>
      <c r="G164" s="217"/>
      <c r="H164" s="217"/>
      <c r="I164" s="217"/>
      <c r="J164" s="217"/>
      <c r="K164" s="217"/>
      <c r="L164" s="217"/>
      <c r="M164" s="217"/>
      <c r="N164" s="222"/>
      <c r="O164" s="222"/>
      <c r="P164" s="222"/>
      <c r="Q164" s="222"/>
    </row>
    <row r="165" spans="1:17" s="47" customFormat="1" ht="17" thickBot="1" x14ac:dyDescent="0.4">
      <c r="A165" s="157"/>
      <c r="B165" s="138"/>
      <c r="C165" s="139">
        <v>8</v>
      </c>
      <c r="D165" s="140" t="s">
        <v>368</v>
      </c>
      <c r="E165" s="138"/>
      <c r="F165" s="140"/>
      <c r="G165" s="140"/>
      <c r="H165" s="140"/>
      <c r="I165" s="140" t="s">
        <v>218</v>
      </c>
      <c r="J165" s="140">
        <v>3</v>
      </c>
      <c r="K165" s="133">
        <f>J165*12</f>
        <v>36</v>
      </c>
      <c r="L165" s="133">
        <f>36*J165</f>
        <v>108</v>
      </c>
      <c r="M165" s="140">
        <f>SUM(K165:L165)</f>
        <v>144</v>
      </c>
      <c r="N165" s="138"/>
      <c r="O165" s="138"/>
      <c r="P165" s="138"/>
      <c r="Q165" s="141"/>
    </row>
    <row r="166" spans="1:17" s="47" customFormat="1" ht="17" thickBot="1" x14ac:dyDescent="0.4">
      <c r="A166" s="157"/>
      <c r="B166" s="131"/>
      <c r="C166" s="132">
        <v>8</v>
      </c>
      <c r="D166" s="133" t="s">
        <v>369</v>
      </c>
      <c r="E166" s="131"/>
      <c r="F166" s="133"/>
      <c r="G166" s="133"/>
      <c r="H166" s="133"/>
      <c r="I166" s="133" t="s">
        <v>218</v>
      </c>
      <c r="J166" s="133">
        <v>3</v>
      </c>
      <c r="K166" s="133">
        <f>J166*12</f>
        <v>36</v>
      </c>
      <c r="L166" s="133">
        <f>36*J166</f>
        <v>108</v>
      </c>
      <c r="M166" s="133">
        <f>SUM(K166:L166)</f>
        <v>144</v>
      </c>
      <c r="N166" s="131"/>
      <c r="O166" s="131"/>
      <c r="P166" s="131"/>
      <c r="Q166" s="131"/>
    </row>
    <row r="167" spans="1:17" s="47" customFormat="1" ht="32" x14ac:dyDescent="0.35">
      <c r="A167" s="26"/>
      <c r="B167" s="15"/>
      <c r="C167" s="142" t="s">
        <v>370</v>
      </c>
      <c r="D167" s="144">
        <f>COUNTA(D3:D166)</f>
        <v>47</v>
      </c>
      <c r="E167" s="15"/>
      <c r="F167" s="19"/>
      <c r="G167" s="19"/>
      <c r="H167" s="19"/>
      <c r="I167" s="142" t="s">
        <v>371</v>
      </c>
      <c r="J167" s="144">
        <f>SUM(J3:J166)</f>
        <v>143</v>
      </c>
      <c r="K167" s="70"/>
      <c r="L167" s="29"/>
      <c r="M167" s="19"/>
      <c r="N167" s="15"/>
      <c r="O167" s="15"/>
      <c r="P167" s="15"/>
      <c r="Q167" s="15"/>
    </row>
    <row r="168" spans="1:17" s="47" customFormat="1" ht="48" x14ac:dyDescent="0.35">
      <c r="A168" s="26"/>
      <c r="B168" s="15"/>
      <c r="D168" s="19"/>
      <c r="E168" s="15"/>
      <c r="F168" s="19"/>
      <c r="G168" s="19"/>
      <c r="H168" s="19"/>
      <c r="I168" s="143" t="s">
        <v>372</v>
      </c>
      <c r="J168" s="145">
        <f>SUMIF(G3:G166,"X",J3:J166)</f>
        <v>18</v>
      </c>
      <c r="K168" s="70"/>
      <c r="L168" s="49"/>
      <c r="M168" s="19"/>
      <c r="N168" s="15"/>
      <c r="O168" s="15"/>
      <c r="P168" s="15"/>
      <c r="Q168" s="15"/>
    </row>
    <row r="169" spans="1:17" s="47" customFormat="1" ht="48" x14ac:dyDescent="0.35">
      <c r="A169" s="26"/>
      <c r="B169" s="15"/>
      <c r="D169" s="31"/>
      <c r="E169" s="64"/>
      <c r="F169" s="31"/>
      <c r="G169" s="65"/>
      <c r="H169" s="65"/>
      <c r="I169" s="143" t="s">
        <v>373</v>
      </c>
      <c r="J169" s="145">
        <f>SUMIF(H4:H167,"X",J4:J167)</f>
        <v>113</v>
      </c>
      <c r="K169" s="70"/>
      <c r="L169" s="49"/>
      <c r="M169" s="65"/>
      <c r="N169" s="24"/>
      <c r="O169" s="66"/>
      <c r="P169" s="66"/>
      <c r="Q169" s="66"/>
    </row>
    <row r="170" spans="1:17" s="47" customFormat="1" ht="32" x14ac:dyDescent="0.35">
      <c r="A170" s="26"/>
      <c r="B170" s="15"/>
      <c r="D170" s="31"/>
      <c r="E170" s="64"/>
      <c r="F170" s="31"/>
      <c r="G170" s="65"/>
      <c r="H170" s="65"/>
      <c r="I170" s="143" t="s">
        <v>374</v>
      </c>
      <c r="J170" s="145">
        <f>SUMIF(I5:I168,"X",J5:J168)</f>
        <v>12</v>
      </c>
      <c r="K170" s="71"/>
      <c r="L170" s="49"/>
      <c r="M170" s="65"/>
      <c r="N170" s="24"/>
      <c r="O170" s="66"/>
      <c r="P170" s="66"/>
      <c r="Q170" s="66"/>
    </row>
    <row r="171" spans="1:17" s="47" customFormat="1" ht="16.5" x14ac:dyDescent="0.35">
      <c r="A171" s="26"/>
      <c r="B171" s="15"/>
      <c r="D171" s="31"/>
      <c r="E171" s="64"/>
      <c r="F171" s="31"/>
      <c r="G171" s="65"/>
      <c r="H171" s="65"/>
      <c r="I171" s="65"/>
      <c r="J171" s="65"/>
      <c r="K171" s="65"/>
      <c r="L171" s="65"/>
      <c r="M171" s="65"/>
      <c r="N171" s="24"/>
      <c r="O171" s="66"/>
      <c r="P171" s="66"/>
      <c r="Q171" s="66"/>
    </row>
    <row r="172" spans="1:17" s="47" customFormat="1" ht="16.5" x14ac:dyDescent="0.35">
      <c r="A172" s="26"/>
      <c r="B172" s="15"/>
      <c r="D172" s="31"/>
      <c r="E172" s="64"/>
      <c r="F172" s="31"/>
      <c r="G172" s="65"/>
      <c r="H172" s="65"/>
      <c r="I172" s="65"/>
      <c r="J172" s="65"/>
      <c r="K172" s="65"/>
      <c r="L172" s="65"/>
      <c r="M172" s="65"/>
      <c r="N172" s="24"/>
      <c r="O172" s="66"/>
      <c r="P172" s="66"/>
      <c r="Q172" s="66"/>
    </row>
    <row r="173" spans="1:17" s="47" customFormat="1" ht="16.5" x14ac:dyDescent="0.35">
      <c r="A173" s="26"/>
      <c r="B173" s="15"/>
      <c r="D173" s="19"/>
      <c r="E173" s="15"/>
      <c r="F173" s="19"/>
      <c r="G173" s="19"/>
      <c r="H173" s="19"/>
      <c r="I173" s="19"/>
      <c r="J173" s="19"/>
      <c r="K173" s="19"/>
      <c r="L173" s="19"/>
      <c r="M173" s="19"/>
      <c r="N173" s="15"/>
      <c r="O173" s="15"/>
      <c r="P173" s="15"/>
      <c r="Q173" s="15"/>
    </row>
    <row r="174" spans="1:17" s="47" customFormat="1" ht="16.5" x14ac:dyDescent="0.35">
      <c r="A174" s="26"/>
      <c r="B174" s="15"/>
      <c r="D174" s="19"/>
      <c r="E174" s="15"/>
      <c r="F174" s="19"/>
      <c r="G174" s="19"/>
      <c r="H174" s="19"/>
      <c r="I174" s="19"/>
      <c r="J174" s="19"/>
      <c r="K174" s="19"/>
      <c r="L174" s="19"/>
      <c r="M174" s="19"/>
      <c r="N174" s="15"/>
      <c r="O174" s="15"/>
      <c r="P174" s="15"/>
      <c r="Q174" s="15"/>
    </row>
    <row r="175" spans="1:17" s="47" customFormat="1" ht="16.5" x14ac:dyDescent="0.35">
      <c r="A175" s="26"/>
      <c r="B175" s="15"/>
      <c r="D175" s="19"/>
      <c r="E175" s="15"/>
      <c r="F175" s="19"/>
      <c r="G175" s="19"/>
      <c r="H175" s="19"/>
      <c r="I175" s="19"/>
      <c r="J175" s="19"/>
      <c r="K175" s="19"/>
      <c r="L175" s="19"/>
      <c r="M175" s="19"/>
      <c r="N175" s="15"/>
      <c r="O175" s="15"/>
      <c r="P175" s="15"/>
      <c r="Q175" s="15"/>
    </row>
    <row r="176" spans="1:17" s="47" customFormat="1" ht="16.5" x14ac:dyDescent="0.35">
      <c r="A176" s="26"/>
      <c r="B176" s="15"/>
      <c r="D176" s="19"/>
      <c r="E176" s="15"/>
      <c r="F176" s="19"/>
      <c r="G176" s="65"/>
      <c r="H176" s="65"/>
      <c r="I176" s="65"/>
      <c r="J176" s="65"/>
      <c r="K176" s="65"/>
      <c r="L176" s="65"/>
      <c r="M176" s="65"/>
      <c r="N176" s="15"/>
      <c r="O176" s="15"/>
      <c r="P176" s="15"/>
      <c r="Q176" s="15"/>
    </row>
    <row r="177" spans="1:17" s="47" customFormat="1" ht="16.5" x14ac:dyDescent="0.35">
      <c r="A177" s="26"/>
      <c r="B177" s="15"/>
      <c r="D177" s="19"/>
      <c r="E177" s="15"/>
      <c r="F177" s="19"/>
      <c r="G177" s="65"/>
      <c r="H177" s="65"/>
      <c r="I177" s="65"/>
      <c r="J177" s="65"/>
      <c r="K177" s="65"/>
      <c r="L177" s="65"/>
      <c r="M177" s="65"/>
      <c r="N177" s="15"/>
      <c r="O177" s="15"/>
      <c r="P177" s="15"/>
      <c r="Q177" s="15"/>
    </row>
    <row r="178" spans="1:17" s="47" customFormat="1" ht="16.5" x14ac:dyDescent="0.35">
      <c r="A178" s="26"/>
      <c r="B178" s="15"/>
      <c r="D178" s="19"/>
      <c r="E178" s="15"/>
      <c r="F178" s="19"/>
      <c r="G178" s="65"/>
      <c r="H178" s="65"/>
      <c r="I178" s="65"/>
      <c r="J178" s="65"/>
      <c r="K178" s="65"/>
      <c r="L178" s="65"/>
      <c r="M178" s="65"/>
      <c r="N178" s="15"/>
      <c r="O178" s="15"/>
      <c r="P178" s="15"/>
      <c r="Q178" s="15"/>
    </row>
    <row r="179" spans="1:17" s="47" customFormat="1" ht="16.5" x14ac:dyDescent="0.35">
      <c r="A179" s="26"/>
      <c r="B179" s="15"/>
      <c r="D179" s="19"/>
      <c r="E179" s="15"/>
      <c r="F179" s="19"/>
      <c r="G179" s="19"/>
      <c r="H179" s="19"/>
      <c r="I179" s="19"/>
      <c r="J179" s="19"/>
      <c r="K179" s="19"/>
      <c r="L179" s="19"/>
      <c r="M179" s="19"/>
      <c r="N179" s="15"/>
      <c r="O179" s="15"/>
      <c r="P179" s="15"/>
      <c r="Q179" s="15"/>
    </row>
    <row r="180" spans="1:17" s="47" customFormat="1" ht="16.5" x14ac:dyDescent="0.35">
      <c r="A180" s="26"/>
      <c r="B180" s="15"/>
      <c r="D180" s="19"/>
      <c r="E180" s="15"/>
      <c r="F180" s="19"/>
      <c r="G180" s="19"/>
      <c r="H180" s="19"/>
      <c r="I180" s="19"/>
      <c r="J180" s="19"/>
      <c r="K180" s="19"/>
      <c r="L180" s="19"/>
      <c r="M180" s="19"/>
      <c r="N180" s="15"/>
      <c r="O180" s="15"/>
      <c r="P180" s="15"/>
      <c r="Q180" s="15"/>
    </row>
    <row r="181" spans="1:17" s="47" customFormat="1" ht="16.5" x14ac:dyDescent="0.35">
      <c r="A181" s="26"/>
      <c r="B181" s="15"/>
      <c r="D181" s="19"/>
      <c r="E181" s="15"/>
      <c r="F181" s="19"/>
      <c r="G181" s="19"/>
      <c r="H181" s="19"/>
      <c r="I181" s="19"/>
      <c r="J181" s="19"/>
      <c r="K181" s="19"/>
      <c r="L181" s="19"/>
      <c r="M181" s="19"/>
      <c r="N181" s="15"/>
      <c r="O181" s="15"/>
      <c r="P181" s="15"/>
      <c r="Q181" s="15"/>
    </row>
    <row r="182" spans="1:17" s="47" customFormat="1" ht="16.5" x14ac:dyDescent="0.35">
      <c r="A182" s="26"/>
      <c r="B182" s="15"/>
      <c r="D182" s="19"/>
      <c r="E182" s="15"/>
      <c r="F182" s="19"/>
      <c r="G182" s="19"/>
      <c r="H182" s="19"/>
      <c r="I182" s="19"/>
      <c r="J182" s="19"/>
      <c r="K182" s="19"/>
      <c r="L182" s="19"/>
      <c r="M182" s="19"/>
      <c r="N182" s="15"/>
      <c r="O182" s="15"/>
      <c r="P182" s="15"/>
      <c r="Q182" s="15"/>
    </row>
    <row r="183" spans="1:17" s="47" customFormat="1" ht="16.5" x14ac:dyDescent="0.35">
      <c r="A183" s="26"/>
      <c r="B183" s="24"/>
      <c r="D183" s="19"/>
      <c r="E183" s="24"/>
      <c r="F183" s="19"/>
      <c r="G183" s="37"/>
      <c r="H183" s="37"/>
      <c r="I183" s="37"/>
      <c r="J183" s="37"/>
      <c r="K183" s="37"/>
      <c r="L183" s="37"/>
      <c r="M183" s="37"/>
      <c r="N183" s="24"/>
      <c r="O183" s="24"/>
      <c r="P183" s="24"/>
      <c r="Q183" s="24"/>
    </row>
    <row r="184" spans="1:17" s="47" customFormat="1" ht="16.5" x14ac:dyDescent="0.35">
      <c r="A184" s="26"/>
      <c r="B184" s="24"/>
      <c r="D184" s="19"/>
      <c r="E184" s="24"/>
      <c r="F184" s="19"/>
      <c r="G184" s="37"/>
      <c r="H184" s="37"/>
      <c r="I184" s="37"/>
      <c r="J184" s="37"/>
      <c r="K184" s="37"/>
      <c r="L184" s="37"/>
      <c r="M184" s="37"/>
      <c r="N184" s="24"/>
      <c r="O184" s="24"/>
      <c r="P184" s="24"/>
      <c r="Q184" s="24"/>
    </row>
    <row r="185" spans="1:17" s="47" customFormat="1" ht="16.5" x14ac:dyDescent="0.35">
      <c r="A185" s="26"/>
      <c r="B185" s="24"/>
      <c r="D185" s="19"/>
      <c r="E185" s="24"/>
      <c r="F185" s="19"/>
      <c r="G185" s="37"/>
      <c r="H185" s="37"/>
      <c r="I185" s="37"/>
      <c r="J185" s="37"/>
      <c r="K185" s="37"/>
      <c r="L185" s="37"/>
      <c r="M185" s="37"/>
      <c r="N185" s="24"/>
      <c r="O185" s="24"/>
      <c r="P185" s="24"/>
      <c r="Q185" s="24"/>
    </row>
    <row r="186" spans="1:17" s="47" customFormat="1" ht="16.5" x14ac:dyDescent="0.35">
      <c r="A186" s="26"/>
      <c r="B186" s="24"/>
      <c r="D186" s="19"/>
      <c r="E186" s="24"/>
      <c r="F186" s="19"/>
      <c r="G186" s="37"/>
      <c r="H186" s="37"/>
      <c r="I186" s="37"/>
      <c r="J186" s="37"/>
      <c r="K186" s="37"/>
      <c r="L186" s="37"/>
      <c r="M186" s="37"/>
      <c r="N186" s="24"/>
      <c r="O186" s="24"/>
      <c r="P186" s="24"/>
      <c r="Q186" s="24"/>
    </row>
    <row r="187" spans="1:17" s="47" customFormat="1" ht="16.5" x14ac:dyDescent="0.35">
      <c r="A187" s="26"/>
      <c r="B187" s="15"/>
      <c r="D187" s="31"/>
      <c r="E187" s="64"/>
      <c r="F187" s="31"/>
      <c r="G187" s="65"/>
      <c r="H187" s="65"/>
      <c r="I187" s="65"/>
      <c r="J187" s="65"/>
      <c r="K187" s="65"/>
      <c r="L187" s="65"/>
      <c r="M187" s="65"/>
      <c r="N187" s="66"/>
      <c r="O187" s="66"/>
      <c r="P187" s="66"/>
      <c r="Q187" s="66"/>
    </row>
    <row r="188" spans="1:17" s="47" customFormat="1" ht="16.5" x14ac:dyDescent="0.35">
      <c r="A188" s="26"/>
      <c r="B188" s="15"/>
      <c r="D188" s="31"/>
      <c r="E188" s="64"/>
      <c r="F188" s="31"/>
      <c r="G188" s="65"/>
      <c r="H188" s="65"/>
      <c r="I188" s="65"/>
      <c r="J188" s="65"/>
      <c r="K188" s="65"/>
      <c r="L188" s="65"/>
      <c r="M188" s="65"/>
      <c r="N188" s="66"/>
      <c r="O188" s="66"/>
      <c r="P188" s="66"/>
      <c r="Q188" s="66"/>
    </row>
    <row r="189" spans="1:17" s="47" customFormat="1" ht="16.5" x14ac:dyDescent="0.35">
      <c r="A189" s="26"/>
      <c r="B189" s="15"/>
      <c r="D189" s="31"/>
      <c r="E189" s="64"/>
      <c r="F189" s="31"/>
      <c r="G189" s="65"/>
      <c r="H189" s="65"/>
      <c r="I189" s="65"/>
      <c r="J189" s="65"/>
      <c r="K189" s="65"/>
      <c r="L189" s="65"/>
      <c r="M189" s="65"/>
      <c r="N189" s="66"/>
      <c r="O189" s="66"/>
      <c r="P189" s="66"/>
      <c r="Q189" s="66"/>
    </row>
    <row r="190" spans="1:17" s="47" customFormat="1" ht="16.5" x14ac:dyDescent="0.35">
      <c r="A190" s="26"/>
      <c r="B190" s="15"/>
      <c r="D190" s="31"/>
      <c r="E190" s="64"/>
      <c r="F190" s="31"/>
      <c r="G190" s="65"/>
      <c r="H190" s="65"/>
      <c r="I190" s="65"/>
      <c r="J190" s="65"/>
      <c r="K190" s="65"/>
      <c r="L190" s="65"/>
      <c r="M190" s="65"/>
      <c r="N190" s="66"/>
      <c r="O190" s="66"/>
      <c r="P190" s="66"/>
      <c r="Q190" s="66"/>
    </row>
    <row r="191" spans="1:17" s="47" customFormat="1" ht="16.5" x14ac:dyDescent="0.35">
      <c r="A191" s="26"/>
      <c r="B191" s="15"/>
      <c r="D191" s="19"/>
      <c r="E191" s="15"/>
      <c r="F191" s="19"/>
      <c r="L191" s="12"/>
      <c r="M191" s="12"/>
      <c r="N191" s="15"/>
      <c r="O191" s="15"/>
      <c r="P191" s="15"/>
      <c r="Q191" s="15"/>
    </row>
    <row r="192" spans="1:17" s="47" customFormat="1" ht="16.5" x14ac:dyDescent="0.35">
      <c r="A192" s="26"/>
      <c r="B192" s="15"/>
      <c r="D192" s="19"/>
      <c r="E192" s="15"/>
      <c r="F192" s="19"/>
      <c r="L192" s="12"/>
      <c r="M192" s="12"/>
      <c r="N192" s="15"/>
      <c r="O192" s="15"/>
      <c r="P192" s="15"/>
      <c r="Q192" s="15"/>
    </row>
    <row r="193" spans="1:17" s="47" customFormat="1" ht="16.5" x14ac:dyDescent="0.35">
      <c r="A193" s="26"/>
      <c r="B193" s="15"/>
      <c r="D193" s="19"/>
      <c r="E193" s="15"/>
      <c r="F193" s="19"/>
      <c r="L193" s="12"/>
      <c r="M193" s="12"/>
      <c r="N193" s="15"/>
      <c r="O193" s="15"/>
      <c r="P193" s="15"/>
      <c r="Q193" s="15"/>
    </row>
    <row r="194" spans="1:17" s="47" customFormat="1" ht="16.5" x14ac:dyDescent="0.35">
      <c r="A194" s="26"/>
      <c r="B194" s="15"/>
      <c r="D194" s="19"/>
      <c r="E194" s="15"/>
      <c r="F194" s="19"/>
      <c r="L194" s="12"/>
      <c r="M194" s="12"/>
      <c r="N194" s="15"/>
      <c r="O194" s="15"/>
      <c r="P194" s="15"/>
      <c r="Q194" s="15"/>
    </row>
    <row r="195" spans="1:17" s="47" customFormat="1" ht="16.5" x14ac:dyDescent="0.35">
      <c r="A195" s="26"/>
      <c r="B195" s="15"/>
      <c r="D195" s="19"/>
      <c r="E195" s="67"/>
      <c r="F195" s="19"/>
      <c r="G195" s="65"/>
      <c r="H195" s="65"/>
      <c r="I195" s="65"/>
      <c r="J195" s="65"/>
      <c r="K195" s="65"/>
      <c r="L195" s="65"/>
      <c r="M195" s="65"/>
      <c r="N195" s="67"/>
      <c r="O195" s="67"/>
      <c r="P195" s="67"/>
      <c r="Q195" s="67"/>
    </row>
    <row r="196" spans="1:17" s="47" customFormat="1" ht="16.5" x14ac:dyDescent="0.35">
      <c r="A196" s="26"/>
      <c r="B196" s="15"/>
      <c r="D196" s="31"/>
      <c r="E196" s="64"/>
      <c r="F196" s="31"/>
      <c r="G196" s="65"/>
      <c r="H196" s="65"/>
      <c r="I196" s="65"/>
      <c r="J196" s="65"/>
      <c r="K196" s="65"/>
      <c r="L196" s="65"/>
      <c r="M196" s="65"/>
      <c r="N196" s="66"/>
      <c r="O196" s="66"/>
      <c r="P196" s="66"/>
      <c r="Q196" s="66"/>
    </row>
    <row r="197" spans="1:17" s="47" customFormat="1" ht="16.5" x14ac:dyDescent="0.35">
      <c r="A197" s="26"/>
      <c r="B197" s="15"/>
      <c r="D197" s="31"/>
      <c r="E197" s="64"/>
      <c r="F197" s="31"/>
      <c r="G197" s="65"/>
      <c r="H197" s="65"/>
      <c r="I197" s="65"/>
      <c r="J197" s="65"/>
      <c r="K197" s="65"/>
      <c r="L197" s="65"/>
      <c r="M197" s="65"/>
      <c r="N197" s="66"/>
      <c r="O197" s="66"/>
      <c r="P197" s="66"/>
      <c r="Q197" s="66"/>
    </row>
    <row r="198" spans="1:17" s="47" customFormat="1" ht="16.5" x14ac:dyDescent="0.35">
      <c r="A198" s="26"/>
      <c r="B198" s="15"/>
      <c r="D198" s="31"/>
      <c r="E198" s="64"/>
      <c r="F198" s="31"/>
      <c r="G198" s="65"/>
      <c r="H198" s="65"/>
      <c r="I198" s="65"/>
      <c r="J198" s="65"/>
      <c r="K198" s="65"/>
      <c r="L198" s="65"/>
      <c r="M198" s="65"/>
      <c r="N198" s="66"/>
      <c r="O198" s="66"/>
      <c r="P198" s="66"/>
      <c r="Q198" s="66"/>
    </row>
    <row r="199" spans="1:17" s="47" customFormat="1" ht="16.5" x14ac:dyDescent="0.35">
      <c r="A199" s="26"/>
      <c r="B199" s="15"/>
      <c r="D199" s="31"/>
      <c r="E199" s="64"/>
      <c r="F199" s="31"/>
      <c r="G199" s="65"/>
      <c r="H199" s="65"/>
      <c r="I199" s="65"/>
      <c r="J199" s="65"/>
      <c r="K199" s="65"/>
      <c r="L199" s="65"/>
      <c r="M199" s="65"/>
      <c r="N199" s="66"/>
      <c r="O199" s="66"/>
      <c r="P199" s="66"/>
      <c r="Q199" s="66"/>
    </row>
    <row r="200" spans="1:17" s="47" customFormat="1" ht="16.5" x14ac:dyDescent="0.35">
      <c r="A200" s="26"/>
      <c r="B200" s="15"/>
      <c r="D200" s="19"/>
      <c r="E200" s="64"/>
      <c r="F200" s="19"/>
      <c r="G200" s="65"/>
      <c r="H200" s="65"/>
      <c r="I200" s="65"/>
      <c r="J200" s="65"/>
      <c r="K200" s="65"/>
      <c r="L200" s="65"/>
      <c r="M200" s="65"/>
      <c r="N200" s="66"/>
      <c r="O200" s="66"/>
      <c r="P200" s="66"/>
      <c r="Q200" s="66"/>
    </row>
    <row r="201" spans="1:17" s="47" customFormat="1" ht="16.5" x14ac:dyDescent="0.35">
      <c r="A201" s="26"/>
      <c r="B201" s="15"/>
      <c r="D201" s="19"/>
      <c r="E201" s="64"/>
      <c r="F201" s="19"/>
      <c r="G201" s="65"/>
      <c r="H201" s="65"/>
      <c r="I201" s="65"/>
      <c r="J201" s="65"/>
      <c r="K201" s="65"/>
      <c r="L201" s="65"/>
      <c r="M201" s="65"/>
      <c r="N201" s="66"/>
      <c r="O201" s="66"/>
      <c r="P201" s="66"/>
      <c r="Q201" s="66"/>
    </row>
    <row r="202" spans="1:17" s="47" customFormat="1" ht="16.5" x14ac:dyDescent="0.35">
      <c r="A202" s="26"/>
      <c r="B202" s="15"/>
      <c r="D202" s="19"/>
      <c r="E202" s="64"/>
      <c r="F202" s="19"/>
      <c r="G202" s="65"/>
      <c r="H202" s="65"/>
      <c r="I202" s="65"/>
      <c r="J202" s="65"/>
      <c r="K202" s="65"/>
      <c r="L202" s="65"/>
      <c r="M202" s="65"/>
      <c r="N202" s="66"/>
      <c r="O202" s="66"/>
      <c r="P202" s="66"/>
      <c r="Q202" s="66"/>
    </row>
    <row r="203" spans="1:17" s="47" customFormat="1" ht="16.5" x14ac:dyDescent="0.35">
      <c r="A203" s="26"/>
      <c r="B203" s="15"/>
      <c r="D203" s="19"/>
      <c r="E203" s="64"/>
      <c r="F203" s="19"/>
      <c r="G203" s="65"/>
      <c r="H203" s="65"/>
      <c r="I203" s="65"/>
      <c r="J203" s="65"/>
      <c r="K203" s="65"/>
      <c r="L203" s="65"/>
      <c r="M203" s="65"/>
      <c r="N203" s="66"/>
      <c r="O203" s="66"/>
      <c r="P203" s="66"/>
      <c r="Q203" s="66"/>
    </row>
    <row r="204" spans="1:17" s="47" customFormat="1" ht="16.5" x14ac:dyDescent="0.35">
      <c r="A204" s="26"/>
      <c r="B204" s="15"/>
      <c r="D204" s="19"/>
      <c r="E204" s="15"/>
      <c r="F204" s="19"/>
      <c r="L204" s="12"/>
      <c r="M204" s="12"/>
      <c r="N204" s="15"/>
      <c r="O204" s="15"/>
      <c r="P204" s="15"/>
      <c r="Q204" s="15"/>
    </row>
    <row r="205" spans="1:17" x14ac:dyDescent="0.35">
      <c r="E205" s="53"/>
      <c r="F205" s="49"/>
      <c r="L205" s="54"/>
      <c r="M205" s="54"/>
      <c r="N205" s="53"/>
      <c r="O205" s="53"/>
      <c r="P205" s="53"/>
      <c r="Q205" s="53"/>
    </row>
    <row r="206" spans="1:17" x14ac:dyDescent="0.35">
      <c r="E206" s="53"/>
      <c r="F206" s="49"/>
      <c r="L206" s="54"/>
      <c r="M206" s="54"/>
      <c r="N206" s="53"/>
      <c r="O206" s="53"/>
      <c r="P206" s="53"/>
      <c r="Q206" s="53"/>
    </row>
    <row r="207" spans="1:17" x14ac:dyDescent="0.35">
      <c r="E207" s="53"/>
      <c r="F207" s="49"/>
      <c r="L207" s="54"/>
      <c r="M207" s="54"/>
      <c r="N207" s="53"/>
      <c r="O207" s="53"/>
      <c r="P207" s="53"/>
      <c r="Q207" s="53"/>
    </row>
    <row r="208" spans="1:17" x14ac:dyDescent="0.35">
      <c r="E208" s="57"/>
      <c r="F208" s="49"/>
      <c r="G208" s="51"/>
      <c r="H208" s="51"/>
      <c r="I208" s="51"/>
      <c r="J208" s="51"/>
      <c r="K208" s="51"/>
      <c r="L208" s="51"/>
      <c r="M208" s="51"/>
      <c r="N208" s="57"/>
      <c r="O208" s="57"/>
      <c r="P208" s="57"/>
      <c r="Q208" s="57"/>
    </row>
    <row r="209" spans="5:17" x14ac:dyDescent="0.35">
      <c r="E209" s="58"/>
      <c r="F209" s="49"/>
      <c r="G209" s="59"/>
      <c r="H209" s="59"/>
      <c r="I209" s="59"/>
      <c r="J209" s="56"/>
      <c r="K209" s="56"/>
      <c r="L209" s="56"/>
      <c r="M209" s="56"/>
      <c r="N209" s="58"/>
      <c r="O209" s="58"/>
      <c r="P209" s="58"/>
      <c r="Q209" s="58"/>
    </row>
    <row r="210" spans="5:17" x14ac:dyDescent="0.35">
      <c r="E210" s="50"/>
      <c r="F210" s="49"/>
      <c r="G210" s="51"/>
      <c r="H210" s="51"/>
      <c r="I210" s="51"/>
      <c r="J210" s="51"/>
      <c r="K210" s="51"/>
      <c r="L210" s="51"/>
      <c r="M210" s="51"/>
      <c r="N210" s="62"/>
      <c r="O210" s="62"/>
      <c r="P210" s="62"/>
      <c r="Q210" s="62"/>
    </row>
    <row r="211" spans="5:17" x14ac:dyDescent="0.35">
      <c r="E211" s="50"/>
      <c r="F211" s="49"/>
      <c r="G211" s="51"/>
      <c r="H211" s="51"/>
      <c r="I211" s="51"/>
      <c r="J211" s="51"/>
      <c r="K211" s="51"/>
      <c r="L211" s="51"/>
      <c r="M211" s="51"/>
      <c r="N211" s="62"/>
      <c r="O211" s="62"/>
      <c r="P211" s="62"/>
      <c r="Q211" s="62"/>
    </row>
    <row r="212" spans="5:17" x14ac:dyDescent="0.35">
      <c r="E212" s="50"/>
      <c r="F212" s="49"/>
      <c r="G212" s="51"/>
      <c r="H212" s="51"/>
      <c r="I212" s="51"/>
      <c r="J212" s="51"/>
      <c r="K212" s="51"/>
      <c r="L212" s="51"/>
      <c r="M212" s="51"/>
      <c r="N212" s="62"/>
      <c r="O212" s="62"/>
      <c r="P212" s="62"/>
      <c r="Q212" s="62"/>
    </row>
    <row r="213" spans="5:17" x14ac:dyDescent="0.35">
      <c r="E213" s="50"/>
      <c r="F213" s="49"/>
      <c r="G213" s="51"/>
      <c r="H213" s="51"/>
      <c r="I213" s="51"/>
      <c r="J213" s="51"/>
      <c r="K213" s="51"/>
      <c r="L213" s="51"/>
      <c r="M213" s="51"/>
      <c r="N213" s="62"/>
      <c r="O213" s="62"/>
      <c r="P213" s="62"/>
      <c r="Q213" s="62"/>
    </row>
    <row r="214" spans="5:17" x14ac:dyDescent="0.35">
      <c r="E214" s="53"/>
      <c r="F214" s="49"/>
      <c r="G214" s="54"/>
      <c r="H214" s="54"/>
      <c r="I214" s="54"/>
      <c r="J214" s="54"/>
      <c r="K214" s="54"/>
      <c r="L214" s="54"/>
      <c r="M214" s="54"/>
      <c r="N214" s="52"/>
      <c r="O214" s="53"/>
      <c r="P214" s="53"/>
      <c r="Q214" s="53"/>
    </row>
    <row r="215" spans="5:17" x14ac:dyDescent="0.35">
      <c r="E215" s="53"/>
      <c r="F215" s="49"/>
      <c r="G215" s="54"/>
      <c r="H215" s="54"/>
      <c r="I215" s="54"/>
      <c r="J215" s="54"/>
      <c r="K215" s="54"/>
      <c r="L215" s="54"/>
      <c r="M215" s="54"/>
      <c r="N215" s="52"/>
      <c r="O215" s="53"/>
      <c r="P215" s="53"/>
      <c r="Q215" s="53"/>
    </row>
    <row r="216" spans="5:17" x14ac:dyDescent="0.35">
      <c r="E216" s="53"/>
      <c r="F216" s="49"/>
      <c r="G216" s="54"/>
      <c r="H216" s="54"/>
      <c r="I216" s="54"/>
      <c r="J216" s="54"/>
      <c r="K216" s="54"/>
      <c r="L216" s="54"/>
      <c r="M216" s="54"/>
      <c r="N216" s="52"/>
      <c r="O216" s="53"/>
      <c r="P216" s="53"/>
      <c r="Q216" s="53"/>
    </row>
    <row r="217" spans="5:17" x14ac:dyDescent="0.35">
      <c r="E217" s="53"/>
      <c r="F217" s="49"/>
      <c r="G217" s="54"/>
      <c r="H217" s="54"/>
      <c r="I217" s="54"/>
      <c r="J217" s="54"/>
      <c r="K217" s="54"/>
      <c r="L217" s="54"/>
      <c r="M217" s="54"/>
      <c r="N217" s="52"/>
      <c r="O217" s="53"/>
      <c r="P217" s="53"/>
      <c r="Q217" s="53"/>
    </row>
    <row r="218" spans="5:17" x14ac:dyDescent="0.35">
      <c r="E218" s="53"/>
      <c r="F218" s="49"/>
      <c r="I218" s="49"/>
      <c r="N218" s="53"/>
      <c r="O218" s="53"/>
      <c r="P218" s="53"/>
      <c r="Q218" s="53"/>
    </row>
    <row r="219" spans="5:17" x14ac:dyDescent="0.35">
      <c r="E219" s="53"/>
      <c r="F219" s="49"/>
      <c r="I219" s="49"/>
      <c r="N219" s="53"/>
      <c r="O219" s="53"/>
      <c r="P219" s="53"/>
      <c r="Q219" s="53"/>
    </row>
    <row r="220" spans="5:17" x14ac:dyDescent="0.35">
      <c r="E220" s="53"/>
      <c r="F220" s="49"/>
      <c r="I220" s="49"/>
      <c r="N220" s="53"/>
      <c r="O220" s="53"/>
      <c r="P220" s="53"/>
      <c r="Q220" s="53"/>
    </row>
    <row r="221" spans="5:17" x14ac:dyDescent="0.35">
      <c r="E221" s="53"/>
      <c r="F221" s="49"/>
      <c r="I221" s="49"/>
      <c r="N221" s="53"/>
      <c r="O221" s="53"/>
      <c r="P221" s="53"/>
      <c r="Q221" s="53"/>
    </row>
    <row r="222" spans="5:17" x14ac:dyDescent="0.35">
      <c r="E222" s="60"/>
      <c r="F222" s="49"/>
      <c r="G222" s="51"/>
      <c r="H222" s="51"/>
      <c r="I222" s="51"/>
      <c r="J222" s="51"/>
      <c r="K222" s="51"/>
      <c r="L222" s="51"/>
      <c r="M222" s="51"/>
      <c r="N222" s="52"/>
      <c r="O222" s="52"/>
      <c r="P222" s="52"/>
      <c r="Q222" s="52"/>
    </row>
    <row r="223" spans="5:17" x14ac:dyDescent="0.35">
      <c r="E223" s="60"/>
      <c r="F223" s="49"/>
      <c r="G223" s="51"/>
      <c r="H223" s="51"/>
      <c r="I223" s="51"/>
      <c r="J223" s="51"/>
      <c r="K223" s="51"/>
      <c r="L223" s="51"/>
      <c r="M223" s="51"/>
      <c r="N223" s="52"/>
      <c r="O223" s="52"/>
      <c r="P223" s="52"/>
      <c r="Q223" s="52"/>
    </row>
    <row r="224" spans="5:17" x14ac:dyDescent="0.35">
      <c r="E224" s="60"/>
      <c r="F224" s="49"/>
      <c r="G224" s="51"/>
      <c r="H224" s="51"/>
      <c r="I224" s="51"/>
      <c r="J224" s="51"/>
      <c r="K224" s="51"/>
      <c r="L224" s="51"/>
      <c r="M224" s="51"/>
      <c r="N224" s="52"/>
      <c r="O224" s="52"/>
      <c r="P224" s="52"/>
      <c r="Q224" s="52"/>
    </row>
    <row r="225" spans="5:17" x14ac:dyDescent="0.35">
      <c r="E225" s="50"/>
      <c r="F225" s="49"/>
      <c r="G225" s="51"/>
      <c r="H225" s="51"/>
      <c r="I225" s="51"/>
      <c r="J225" s="51"/>
      <c r="K225" s="51"/>
      <c r="L225" s="51"/>
      <c r="M225" s="51"/>
      <c r="N225" s="62"/>
      <c r="O225" s="62"/>
      <c r="P225" s="62"/>
      <c r="Q225" s="62"/>
    </row>
    <row r="226" spans="5:17" x14ac:dyDescent="0.35">
      <c r="E226" s="50"/>
      <c r="F226" s="49"/>
      <c r="G226" s="51"/>
      <c r="H226" s="51"/>
      <c r="I226" s="51"/>
      <c r="J226" s="51"/>
      <c r="K226" s="51"/>
      <c r="L226" s="51"/>
      <c r="M226" s="51"/>
      <c r="N226" s="62"/>
      <c r="O226" s="62"/>
      <c r="P226" s="62"/>
      <c r="Q226" s="62"/>
    </row>
    <row r="227" spans="5:17" x14ac:dyDescent="0.35">
      <c r="E227" s="50"/>
      <c r="F227" s="49"/>
      <c r="G227" s="51"/>
      <c r="H227" s="51"/>
      <c r="I227" s="51"/>
      <c r="J227" s="51"/>
      <c r="K227" s="51"/>
      <c r="L227" s="51"/>
      <c r="M227" s="51"/>
      <c r="N227" s="62"/>
      <c r="O227" s="62"/>
      <c r="P227" s="62"/>
      <c r="Q227" s="62"/>
    </row>
    <row r="228" spans="5:17" x14ac:dyDescent="0.35">
      <c r="E228" s="50"/>
      <c r="F228" s="49"/>
      <c r="G228" s="51"/>
      <c r="H228" s="51"/>
      <c r="I228" s="51"/>
      <c r="J228" s="51"/>
      <c r="K228" s="51"/>
      <c r="L228" s="51"/>
      <c r="M228" s="51"/>
      <c r="N228" s="62"/>
      <c r="O228" s="62"/>
      <c r="P228" s="62"/>
      <c r="Q228" s="62"/>
    </row>
    <row r="229" spans="5:17" x14ac:dyDescent="0.35">
      <c r="E229" s="50"/>
      <c r="F229" s="49"/>
      <c r="G229" s="51"/>
      <c r="H229" s="51"/>
      <c r="I229" s="51"/>
      <c r="J229" s="51"/>
      <c r="K229" s="51"/>
      <c r="L229" s="51"/>
      <c r="M229" s="51"/>
      <c r="N229" s="62"/>
      <c r="O229" s="62"/>
      <c r="P229" s="62"/>
      <c r="Q229" s="62"/>
    </row>
    <row r="230" spans="5:17" x14ac:dyDescent="0.35">
      <c r="E230" s="50"/>
      <c r="F230" s="49"/>
      <c r="G230" s="51"/>
      <c r="H230" s="51"/>
      <c r="I230" s="51"/>
      <c r="J230" s="51"/>
      <c r="K230" s="51"/>
      <c r="L230" s="51"/>
      <c r="M230" s="51"/>
      <c r="N230" s="62"/>
      <c r="O230" s="62"/>
      <c r="P230" s="62"/>
      <c r="Q230" s="62"/>
    </row>
    <row r="231" spans="5:17" x14ac:dyDescent="0.35">
      <c r="E231" s="50"/>
      <c r="F231" s="49"/>
      <c r="G231" s="51"/>
      <c r="H231" s="51"/>
      <c r="I231" s="51"/>
      <c r="J231" s="51"/>
      <c r="K231" s="51"/>
      <c r="L231" s="51"/>
      <c r="M231" s="51"/>
      <c r="N231" s="62"/>
      <c r="O231" s="62"/>
      <c r="P231" s="62"/>
      <c r="Q231" s="62"/>
    </row>
    <row r="232" spans="5:17" x14ac:dyDescent="0.35">
      <c r="E232" s="50"/>
      <c r="F232" s="49"/>
      <c r="G232" s="51"/>
      <c r="H232" s="51"/>
      <c r="I232" s="51"/>
      <c r="J232" s="51"/>
      <c r="K232" s="51"/>
      <c r="L232" s="51"/>
      <c r="M232" s="51"/>
      <c r="N232" s="62"/>
      <c r="O232" s="62"/>
      <c r="P232" s="62"/>
      <c r="Q232" s="62"/>
    </row>
    <row r="233" spans="5:17" x14ac:dyDescent="0.35">
      <c r="E233" s="50"/>
      <c r="F233" s="49"/>
      <c r="G233" s="51"/>
      <c r="H233" s="51"/>
      <c r="I233" s="51"/>
      <c r="J233" s="51"/>
      <c r="K233" s="51"/>
      <c r="L233" s="51"/>
      <c r="M233" s="51"/>
      <c r="N233" s="62"/>
      <c r="O233" s="62"/>
      <c r="P233" s="62"/>
      <c r="Q233" s="62"/>
    </row>
    <row r="234" spans="5:17" x14ac:dyDescent="0.35">
      <c r="E234" s="50"/>
      <c r="F234" s="49"/>
      <c r="G234" s="51"/>
      <c r="H234" s="51"/>
      <c r="I234" s="51"/>
      <c r="J234" s="51"/>
      <c r="K234" s="51"/>
      <c r="L234" s="51"/>
      <c r="M234" s="51"/>
      <c r="N234" s="62"/>
      <c r="O234" s="62"/>
      <c r="P234" s="62"/>
      <c r="Q234" s="62"/>
    </row>
    <row r="235" spans="5:17" x14ac:dyDescent="0.35">
      <c r="E235" s="50"/>
      <c r="F235" s="49"/>
      <c r="G235" s="51"/>
      <c r="H235" s="51"/>
      <c r="I235" s="51"/>
      <c r="J235" s="51"/>
      <c r="K235" s="51"/>
      <c r="L235" s="51"/>
      <c r="M235" s="51"/>
      <c r="N235" s="62"/>
      <c r="O235" s="62"/>
      <c r="P235" s="62"/>
      <c r="Q235" s="62"/>
    </row>
    <row r="236" spans="5:17" x14ac:dyDescent="0.35">
      <c r="E236" s="50"/>
      <c r="F236" s="49"/>
      <c r="G236" s="51"/>
      <c r="H236" s="51"/>
      <c r="I236" s="51"/>
      <c r="J236" s="51"/>
      <c r="K236" s="51"/>
      <c r="L236" s="51"/>
      <c r="M236" s="51"/>
      <c r="N236" s="62"/>
      <c r="O236" s="62"/>
      <c r="P236" s="62"/>
      <c r="Q236" s="62"/>
    </row>
    <row r="237" spans="5:17" x14ac:dyDescent="0.35">
      <c r="E237" s="50"/>
      <c r="F237" s="49"/>
      <c r="G237" s="51"/>
      <c r="H237" s="51"/>
      <c r="I237" s="51"/>
      <c r="J237" s="51"/>
      <c r="K237" s="51"/>
      <c r="L237" s="51"/>
      <c r="M237" s="51"/>
      <c r="N237" s="62"/>
      <c r="O237" s="62"/>
      <c r="P237" s="62"/>
      <c r="Q237" s="62"/>
    </row>
    <row r="238" spans="5:17" x14ac:dyDescent="0.35">
      <c r="E238" s="50"/>
      <c r="F238" s="49"/>
      <c r="G238" s="51"/>
      <c r="H238" s="51"/>
      <c r="I238" s="51"/>
      <c r="J238" s="51"/>
      <c r="K238" s="51"/>
      <c r="L238" s="51"/>
      <c r="M238" s="51"/>
      <c r="N238" s="62"/>
      <c r="O238" s="62"/>
      <c r="P238" s="62"/>
      <c r="Q238" s="62"/>
    </row>
    <row r="239" spans="5:17" x14ac:dyDescent="0.35">
      <c r="E239" s="50"/>
      <c r="F239" s="49"/>
      <c r="G239" s="51"/>
      <c r="H239" s="51"/>
      <c r="I239" s="51"/>
      <c r="J239" s="51"/>
      <c r="K239" s="51"/>
      <c r="L239" s="51"/>
      <c r="M239" s="51"/>
      <c r="N239" s="62"/>
      <c r="O239" s="62"/>
      <c r="P239" s="62"/>
      <c r="Q239" s="62"/>
    </row>
    <row r="240" spans="5:17" x14ac:dyDescent="0.35">
      <c r="E240" s="50"/>
      <c r="F240" s="49"/>
      <c r="G240" s="51"/>
      <c r="H240" s="51"/>
      <c r="I240" s="51"/>
      <c r="J240" s="51"/>
      <c r="K240" s="51"/>
      <c r="L240" s="51"/>
      <c r="M240" s="51"/>
      <c r="N240" s="62"/>
      <c r="O240" s="62"/>
      <c r="P240" s="62"/>
      <c r="Q240" s="62"/>
    </row>
    <row r="241" spans="4:17" x14ac:dyDescent="0.35">
      <c r="D241" s="55"/>
      <c r="E241" s="50"/>
      <c r="F241" s="55"/>
      <c r="G241" s="51"/>
      <c r="H241" s="51"/>
      <c r="I241" s="51"/>
      <c r="J241" s="51"/>
      <c r="K241" s="51"/>
      <c r="L241" s="51"/>
      <c r="M241" s="51"/>
      <c r="N241" s="62"/>
      <c r="O241" s="62"/>
      <c r="P241" s="62"/>
      <c r="Q241" s="62"/>
    </row>
    <row r="242" spans="4:17" x14ac:dyDescent="0.35">
      <c r="D242" s="55"/>
      <c r="E242" s="50"/>
      <c r="F242" s="55"/>
      <c r="G242" s="51"/>
      <c r="H242" s="51"/>
      <c r="I242" s="51"/>
      <c r="J242" s="51"/>
      <c r="K242" s="51"/>
      <c r="L242" s="51"/>
      <c r="M242" s="51"/>
      <c r="N242" s="62"/>
      <c r="O242" s="62"/>
      <c r="P242" s="62"/>
      <c r="Q242" s="62"/>
    </row>
    <row r="243" spans="4:17" x14ac:dyDescent="0.35">
      <c r="D243" s="55"/>
      <c r="E243" s="50"/>
      <c r="F243" s="55"/>
      <c r="G243" s="51"/>
      <c r="H243" s="51"/>
      <c r="I243" s="51"/>
      <c r="J243" s="51"/>
      <c r="K243" s="51"/>
      <c r="L243" s="51"/>
      <c r="M243" s="51"/>
      <c r="N243" s="62"/>
      <c r="O243" s="62"/>
      <c r="P243" s="62"/>
      <c r="Q243" s="62"/>
    </row>
    <row r="244" spans="4:17" x14ac:dyDescent="0.35">
      <c r="D244" s="55"/>
      <c r="E244" s="50"/>
      <c r="F244" s="55"/>
      <c r="G244" s="51"/>
      <c r="H244" s="51"/>
      <c r="I244" s="51"/>
      <c r="J244" s="51"/>
      <c r="K244" s="51"/>
      <c r="L244" s="51"/>
      <c r="M244" s="51"/>
      <c r="N244" s="62"/>
      <c r="O244" s="62"/>
      <c r="P244" s="62"/>
      <c r="Q244" s="62"/>
    </row>
  </sheetData>
  <autoFilter ref="A2:Q170" xr:uid="{06CB1331-AF3E-489A-B433-09E21B4DF482}"/>
  <mergeCells count="556">
    <mergeCell ref="P155:P159"/>
    <mergeCell ref="Q155:Q159"/>
    <mergeCell ref="C151:C154"/>
    <mergeCell ref="D151:D154"/>
    <mergeCell ref="E151:E154"/>
    <mergeCell ref="G155:G159"/>
    <mergeCell ref="H155:H159"/>
    <mergeCell ref="I155:I159"/>
    <mergeCell ref="J155:J159"/>
    <mergeCell ref="K155:K159"/>
    <mergeCell ref="L155:L159"/>
    <mergeCell ref="M155:M159"/>
    <mergeCell ref="N155:N159"/>
    <mergeCell ref="O155:O159"/>
    <mergeCell ref="O131:O134"/>
    <mergeCell ref="P131:P134"/>
    <mergeCell ref="Q131:Q134"/>
    <mergeCell ref="H135:H139"/>
    <mergeCell ref="I135:I139"/>
    <mergeCell ref="L151:L154"/>
    <mergeCell ref="M151:M154"/>
    <mergeCell ref="N151:N154"/>
    <mergeCell ref="O151:O154"/>
    <mergeCell ref="P151:P154"/>
    <mergeCell ref="Q151:Q154"/>
    <mergeCell ref="P135:P139"/>
    <mergeCell ref="Q135:Q139"/>
    <mergeCell ref="L135:L139"/>
    <mergeCell ref="M135:M139"/>
    <mergeCell ref="N135:N139"/>
    <mergeCell ref="Q140:Q143"/>
    <mergeCell ref="H140:H143"/>
    <mergeCell ref="I140:I143"/>
    <mergeCell ref="J140:J143"/>
    <mergeCell ref="K140:K143"/>
    <mergeCell ref="L140:L143"/>
    <mergeCell ref="L144:L148"/>
    <mergeCell ref="M144:M148"/>
    <mergeCell ref="F131:F134"/>
    <mergeCell ref="G131:G134"/>
    <mergeCell ref="H131:H134"/>
    <mergeCell ref="I131:I134"/>
    <mergeCell ref="J131:J134"/>
    <mergeCell ref="K131:K134"/>
    <mergeCell ref="L131:L134"/>
    <mergeCell ref="M131:M134"/>
    <mergeCell ref="N131:N134"/>
    <mergeCell ref="N144:N148"/>
    <mergeCell ref="O144:O148"/>
    <mergeCell ref="P144:P148"/>
    <mergeCell ref="Q144:Q148"/>
    <mergeCell ref="H119:H122"/>
    <mergeCell ref="J119:J122"/>
    <mergeCell ref="L119:L122"/>
    <mergeCell ref="N119:N122"/>
    <mergeCell ref="O119:O122"/>
    <mergeCell ref="P119:P122"/>
    <mergeCell ref="P123:P126"/>
    <mergeCell ref="Q127:Q130"/>
    <mergeCell ref="H127:H130"/>
    <mergeCell ref="I127:I130"/>
    <mergeCell ref="J127:J130"/>
    <mergeCell ref="P127:P130"/>
    <mergeCell ref="Q123:Q126"/>
    <mergeCell ref="H123:H126"/>
    <mergeCell ref="I123:I126"/>
    <mergeCell ref="J123:J126"/>
    <mergeCell ref="K123:K126"/>
    <mergeCell ref="L123:L126"/>
    <mergeCell ref="I119:I122"/>
    <mergeCell ref="K119:K122"/>
    <mergeCell ref="C144:C148"/>
    <mergeCell ref="D144:D148"/>
    <mergeCell ref="E144:E148"/>
    <mergeCell ref="F144:F148"/>
    <mergeCell ref="G144:G148"/>
    <mergeCell ref="H144:H148"/>
    <mergeCell ref="I144:I148"/>
    <mergeCell ref="J144:J148"/>
    <mergeCell ref="K144:K148"/>
    <mergeCell ref="C160:C164"/>
    <mergeCell ref="D160:D164"/>
    <mergeCell ref="E160:E164"/>
    <mergeCell ref="F160:F164"/>
    <mergeCell ref="G160:G164"/>
    <mergeCell ref="M140:M143"/>
    <mergeCell ref="N140:N143"/>
    <mergeCell ref="O140:O143"/>
    <mergeCell ref="P140:P143"/>
    <mergeCell ref="C140:C143"/>
    <mergeCell ref="D140:D143"/>
    <mergeCell ref="E140:E143"/>
    <mergeCell ref="F140:F143"/>
    <mergeCell ref="G140:G143"/>
    <mergeCell ref="F151:F154"/>
    <mergeCell ref="G151:G154"/>
    <mergeCell ref="H151:H154"/>
    <mergeCell ref="I151:I154"/>
    <mergeCell ref="J151:J154"/>
    <mergeCell ref="K151:K154"/>
    <mergeCell ref="C155:C159"/>
    <mergeCell ref="D155:D159"/>
    <mergeCell ref="E155:E159"/>
    <mergeCell ref="F155:F159"/>
    <mergeCell ref="C135:C139"/>
    <mergeCell ref="D135:D139"/>
    <mergeCell ref="E135:E139"/>
    <mergeCell ref="F135:F139"/>
    <mergeCell ref="G135:G139"/>
    <mergeCell ref="M123:M126"/>
    <mergeCell ref="N123:N126"/>
    <mergeCell ref="J135:J139"/>
    <mergeCell ref="O123:O126"/>
    <mergeCell ref="K135:K139"/>
    <mergeCell ref="K127:K130"/>
    <mergeCell ref="L127:L130"/>
    <mergeCell ref="C127:C130"/>
    <mergeCell ref="D127:D130"/>
    <mergeCell ref="E127:E130"/>
    <mergeCell ref="F127:F130"/>
    <mergeCell ref="G127:G130"/>
    <mergeCell ref="M127:M130"/>
    <mergeCell ref="N127:N130"/>
    <mergeCell ref="O127:O130"/>
    <mergeCell ref="O135:O139"/>
    <mergeCell ref="C131:C134"/>
    <mergeCell ref="D131:D134"/>
    <mergeCell ref="E131:E134"/>
    <mergeCell ref="Q160:Q164"/>
    <mergeCell ref="H160:H164"/>
    <mergeCell ref="I160:I164"/>
    <mergeCell ref="J160:J164"/>
    <mergeCell ref="K160:K164"/>
    <mergeCell ref="L160:L164"/>
    <mergeCell ref="M160:M164"/>
    <mergeCell ref="N160:N164"/>
    <mergeCell ref="O160:O164"/>
    <mergeCell ref="P160:P164"/>
    <mergeCell ref="C115:C118"/>
    <mergeCell ref="D115:D118"/>
    <mergeCell ref="E115:E118"/>
    <mergeCell ref="F115:F118"/>
    <mergeCell ref="G115:G118"/>
    <mergeCell ref="C123:C126"/>
    <mergeCell ref="D123:D126"/>
    <mergeCell ref="E123:E126"/>
    <mergeCell ref="F123:F126"/>
    <mergeCell ref="G123:G126"/>
    <mergeCell ref="C119:C122"/>
    <mergeCell ref="D119:D122"/>
    <mergeCell ref="E119:E122"/>
    <mergeCell ref="F119:F122"/>
    <mergeCell ref="G119:G122"/>
    <mergeCell ref="M119:M122"/>
    <mergeCell ref="Q111:Q114"/>
    <mergeCell ref="H111:H114"/>
    <mergeCell ref="I111:I114"/>
    <mergeCell ref="J111:J114"/>
    <mergeCell ref="K111:K114"/>
    <mergeCell ref="L111:L114"/>
    <mergeCell ref="Q115:Q118"/>
    <mergeCell ref="H115:H118"/>
    <mergeCell ref="I115:I118"/>
    <mergeCell ref="J115:J118"/>
    <mergeCell ref="K115:K118"/>
    <mergeCell ref="L115:L118"/>
    <mergeCell ref="M115:M118"/>
    <mergeCell ref="N115:N118"/>
    <mergeCell ref="O115:O118"/>
    <mergeCell ref="P115:P118"/>
    <mergeCell ref="Q119:Q122"/>
    <mergeCell ref="C111:C114"/>
    <mergeCell ref="D111:D114"/>
    <mergeCell ref="E111:E114"/>
    <mergeCell ref="F111:F114"/>
    <mergeCell ref="G111:G114"/>
    <mergeCell ref="M106:M110"/>
    <mergeCell ref="N106:N110"/>
    <mergeCell ref="O106:O110"/>
    <mergeCell ref="P106:P110"/>
    <mergeCell ref="M111:M114"/>
    <mergeCell ref="N111:N114"/>
    <mergeCell ref="O111:O114"/>
    <mergeCell ref="P111:P114"/>
    <mergeCell ref="Q106:Q110"/>
    <mergeCell ref="H106:H110"/>
    <mergeCell ref="I106:I110"/>
    <mergeCell ref="J106:J110"/>
    <mergeCell ref="K106:K110"/>
    <mergeCell ref="L106:L110"/>
    <mergeCell ref="C106:C110"/>
    <mergeCell ref="D106:D110"/>
    <mergeCell ref="E106:E110"/>
    <mergeCell ref="F106:F110"/>
    <mergeCell ref="G106:G110"/>
    <mergeCell ref="Q97:Q101"/>
    <mergeCell ref="H97:H101"/>
    <mergeCell ref="I97:I101"/>
    <mergeCell ref="J97:J101"/>
    <mergeCell ref="K97:K101"/>
    <mergeCell ref="L97:L101"/>
    <mergeCell ref="C102:C105"/>
    <mergeCell ref="D102:D105"/>
    <mergeCell ref="E102:E105"/>
    <mergeCell ref="F102:F105"/>
    <mergeCell ref="G102:G105"/>
    <mergeCell ref="M102:M105"/>
    <mergeCell ref="N102:N105"/>
    <mergeCell ref="O102:O105"/>
    <mergeCell ref="P102:P105"/>
    <mergeCell ref="Q102:Q105"/>
    <mergeCell ref="H102:H105"/>
    <mergeCell ref="I102:I105"/>
    <mergeCell ref="J102:J105"/>
    <mergeCell ref="K102:K105"/>
    <mergeCell ref="L102:L105"/>
    <mergeCell ref="C97:C101"/>
    <mergeCell ref="D97:D101"/>
    <mergeCell ref="E97:E101"/>
    <mergeCell ref="F97:F101"/>
    <mergeCell ref="G97:G101"/>
    <mergeCell ref="M93:M96"/>
    <mergeCell ref="N93:N96"/>
    <mergeCell ref="O93:O96"/>
    <mergeCell ref="P93:P96"/>
    <mergeCell ref="M97:M101"/>
    <mergeCell ref="N97:N101"/>
    <mergeCell ref="O97:O101"/>
    <mergeCell ref="P97:P101"/>
    <mergeCell ref="Q93:Q96"/>
    <mergeCell ref="H93:H96"/>
    <mergeCell ref="I93:I96"/>
    <mergeCell ref="J93:J96"/>
    <mergeCell ref="K93:K96"/>
    <mergeCell ref="L93:L96"/>
    <mergeCell ref="C93:C96"/>
    <mergeCell ref="D93:D96"/>
    <mergeCell ref="E93:E96"/>
    <mergeCell ref="F93:F96"/>
    <mergeCell ref="G93:G96"/>
    <mergeCell ref="M89:M92"/>
    <mergeCell ref="N89:N92"/>
    <mergeCell ref="O89:O92"/>
    <mergeCell ref="P89:P92"/>
    <mergeCell ref="Q89:Q92"/>
    <mergeCell ref="H89:H92"/>
    <mergeCell ref="I89:I92"/>
    <mergeCell ref="J89:J92"/>
    <mergeCell ref="K89:K92"/>
    <mergeCell ref="L89:L92"/>
    <mergeCell ref="C85:C88"/>
    <mergeCell ref="D85:D88"/>
    <mergeCell ref="E85:E88"/>
    <mergeCell ref="F85:F88"/>
    <mergeCell ref="G85:G88"/>
    <mergeCell ref="C89:C92"/>
    <mergeCell ref="D89:D92"/>
    <mergeCell ref="E89:E92"/>
    <mergeCell ref="F89:F92"/>
    <mergeCell ref="G89:G92"/>
    <mergeCell ref="Q81:Q84"/>
    <mergeCell ref="H81:H84"/>
    <mergeCell ref="I81:I84"/>
    <mergeCell ref="J81:J84"/>
    <mergeCell ref="K81:K84"/>
    <mergeCell ref="L81:L84"/>
    <mergeCell ref="Q85:Q88"/>
    <mergeCell ref="H85:H88"/>
    <mergeCell ref="I85:I88"/>
    <mergeCell ref="J85:J88"/>
    <mergeCell ref="K85:K88"/>
    <mergeCell ref="L85:L88"/>
    <mergeCell ref="M85:M88"/>
    <mergeCell ref="N85:N88"/>
    <mergeCell ref="O85:O88"/>
    <mergeCell ref="P85:P88"/>
    <mergeCell ref="C81:C84"/>
    <mergeCell ref="D81:D84"/>
    <mergeCell ref="E81:E84"/>
    <mergeCell ref="F81:F84"/>
    <mergeCell ref="G81:G84"/>
    <mergeCell ref="M77:M80"/>
    <mergeCell ref="N77:N80"/>
    <mergeCell ref="O77:O80"/>
    <mergeCell ref="P77:P80"/>
    <mergeCell ref="M81:M84"/>
    <mergeCell ref="N81:N84"/>
    <mergeCell ref="O81:O84"/>
    <mergeCell ref="P81:P84"/>
    <mergeCell ref="Q77:Q80"/>
    <mergeCell ref="H77:H80"/>
    <mergeCell ref="I77:I80"/>
    <mergeCell ref="J77:J80"/>
    <mergeCell ref="K77:K80"/>
    <mergeCell ref="L77:L80"/>
    <mergeCell ref="C77:C80"/>
    <mergeCell ref="D77:D80"/>
    <mergeCell ref="E77:E80"/>
    <mergeCell ref="F77:F80"/>
    <mergeCell ref="G77:G80"/>
    <mergeCell ref="M73:M76"/>
    <mergeCell ref="N73:N76"/>
    <mergeCell ref="O73:O76"/>
    <mergeCell ref="P73:P76"/>
    <mergeCell ref="Q73:Q76"/>
    <mergeCell ref="H73:H76"/>
    <mergeCell ref="I73:I76"/>
    <mergeCell ref="J73:J76"/>
    <mergeCell ref="K73:K76"/>
    <mergeCell ref="L73:L76"/>
    <mergeCell ref="C69:C72"/>
    <mergeCell ref="D69:D72"/>
    <mergeCell ref="E69:E72"/>
    <mergeCell ref="F69:F72"/>
    <mergeCell ref="G69:G72"/>
    <mergeCell ref="C73:C76"/>
    <mergeCell ref="D73:D76"/>
    <mergeCell ref="E73:E76"/>
    <mergeCell ref="F73:F76"/>
    <mergeCell ref="G73:G76"/>
    <mergeCell ref="Q65:Q68"/>
    <mergeCell ref="H65:H68"/>
    <mergeCell ref="I65:I68"/>
    <mergeCell ref="J65:J68"/>
    <mergeCell ref="K65:K68"/>
    <mergeCell ref="L65:L68"/>
    <mergeCell ref="Q69:Q72"/>
    <mergeCell ref="H69:H72"/>
    <mergeCell ref="I69:I72"/>
    <mergeCell ref="J69:J72"/>
    <mergeCell ref="K69:K72"/>
    <mergeCell ref="L69:L72"/>
    <mergeCell ref="M69:M72"/>
    <mergeCell ref="N69:N72"/>
    <mergeCell ref="O69:O72"/>
    <mergeCell ref="P69:P72"/>
    <mergeCell ref="Q56:Q59"/>
    <mergeCell ref="C61:C64"/>
    <mergeCell ref="D61:D64"/>
    <mergeCell ref="E61:E64"/>
    <mergeCell ref="F61:F64"/>
    <mergeCell ref="G61:G64"/>
    <mergeCell ref="H61:H64"/>
    <mergeCell ref="I61:I64"/>
    <mergeCell ref="J61:J64"/>
    <mergeCell ref="K61:K64"/>
    <mergeCell ref="L61:L64"/>
    <mergeCell ref="M61:M64"/>
    <mergeCell ref="N61:N64"/>
    <mergeCell ref="O61:O64"/>
    <mergeCell ref="P61:P64"/>
    <mergeCell ref="Q61:Q64"/>
    <mergeCell ref="L56:L59"/>
    <mergeCell ref="M56:M59"/>
    <mergeCell ref="N56:N59"/>
    <mergeCell ref="G56:G59"/>
    <mergeCell ref="H56:H59"/>
    <mergeCell ref="I56:I59"/>
    <mergeCell ref="J56:J59"/>
    <mergeCell ref="K56:K59"/>
    <mergeCell ref="C52:C55"/>
    <mergeCell ref="C56:C59"/>
    <mergeCell ref="D56:D59"/>
    <mergeCell ref="E56:E59"/>
    <mergeCell ref="F56:F59"/>
    <mergeCell ref="N52:N55"/>
    <mergeCell ref="O52:O55"/>
    <mergeCell ref="P52:P55"/>
    <mergeCell ref="C65:C68"/>
    <mergeCell ref="D65:D68"/>
    <mergeCell ref="E65:E68"/>
    <mergeCell ref="F65:F68"/>
    <mergeCell ref="G65:G68"/>
    <mergeCell ref="M65:M68"/>
    <mergeCell ref="N65:N68"/>
    <mergeCell ref="O65:O68"/>
    <mergeCell ref="P65:P68"/>
    <mergeCell ref="D52:D55"/>
    <mergeCell ref="E52:E55"/>
    <mergeCell ref="F52:F55"/>
    <mergeCell ref="G52:G55"/>
    <mergeCell ref="H52:H55"/>
    <mergeCell ref="O56:O59"/>
    <mergeCell ref="P56:P59"/>
    <mergeCell ref="Q48:Q51"/>
    <mergeCell ref="H48:H51"/>
    <mergeCell ref="I48:I51"/>
    <mergeCell ref="J48:J51"/>
    <mergeCell ref="K48:K51"/>
    <mergeCell ref="L48:L51"/>
    <mergeCell ref="Q52:Q55"/>
    <mergeCell ref="I52:I55"/>
    <mergeCell ref="J52:J55"/>
    <mergeCell ref="K52:K55"/>
    <mergeCell ref="L52:L55"/>
    <mergeCell ref="M52:M55"/>
    <mergeCell ref="C48:C51"/>
    <mergeCell ref="D48:D51"/>
    <mergeCell ref="E48:E51"/>
    <mergeCell ref="F48:F51"/>
    <mergeCell ref="G48:G51"/>
    <mergeCell ref="M44:M47"/>
    <mergeCell ref="N44:N47"/>
    <mergeCell ref="O44:O47"/>
    <mergeCell ref="P44:P47"/>
    <mergeCell ref="M48:M51"/>
    <mergeCell ref="N48:N51"/>
    <mergeCell ref="O48:O51"/>
    <mergeCell ref="P48:P51"/>
    <mergeCell ref="Q44:Q47"/>
    <mergeCell ref="H44:H47"/>
    <mergeCell ref="I44:I47"/>
    <mergeCell ref="J44:J47"/>
    <mergeCell ref="K44:K47"/>
    <mergeCell ref="L44:L47"/>
    <mergeCell ref="C44:C47"/>
    <mergeCell ref="D44:D47"/>
    <mergeCell ref="E44:E47"/>
    <mergeCell ref="F44:F47"/>
    <mergeCell ref="G44:G47"/>
    <mergeCell ref="M38:M41"/>
    <mergeCell ref="N38:N41"/>
    <mergeCell ref="O38:O41"/>
    <mergeCell ref="P38:P41"/>
    <mergeCell ref="Q38:Q41"/>
    <mergeCell ref="H38:H41"/>
    <mergeCell ref="I38:I41"/>
    <mergeCell ref="J38:J41"/>
    <mergeCell ref="K38:K41"/>
    <mergeCell ref="L38:L41"/>
    <mergeCell ref="C34:C37"/>
    <mergeCell ref="D34:D37"/>
    <mergeCell ref="E34:E37"/>
    <mergeCell ref="F34:F37"/>
    <mergeCell ref="G34:G37"/>
    <mergeCell ref="C38:C41"/>
    <mergeCell ref="D38:D41"/>
    <mergeCell ref="E38:E41"/>
    <mergeCell ref="F38:F41"/>
    <mergeCell ref="G38:G41"/>
    <mergeCell ref="Q30:Q33"/>
    <mergeCell ref="H30:H33"/>
    <mergeCell ref="I30:I33"/>
    <mergeCell ref="J30:J33"/>
    <mergeCell ref="K30:K33"/>
    <mergeCell ref="L30:L33"/>
    <mergeCell ref="Q34:Q37"/>
    <mergeCell ref="H34:H37"/>
    <mergeCell ref="I34:I37"/>
    <mergeCell ref="J34:J37"/>
    <mergeCell ref="K34:K37"/>
    <mergeCell ref="L34:L37"/>
    <mergeCell ref="M34:M37"/>
    <mergeCell ref="N34:N37"/>
    <mergeCell ref="O34:O37"/>
    <mergeCell ref="P34:P37"/>
    <mergeCell ref="C30:C33"/>
    <mergeCell ref="D30:D33"/>
    <mergeCell ref="E30:E33"/>
    <mergeCell ref="F30:F33"/>
    <mergeCell ref="G30:G33"/>
    <mergeCell ref="M30:M33"/>
    <mergeCell ref="N30:N33"/>
    <mergeCell ref="O30:O33"/>
    <mergeCell ref="P30:P33"/>
    <mergeCell ref="M26:M29"/>
    <mergeCell ref="N26:N29"/>
    <mergeCell ref="O26:O29"/>
    <mergeCell ref="P26:P29"/>
    <mergeCell ref="Q26:Q29"/>
    <mergeCell ref="H26:H29"/>
    <mergeCell ref="I26:I29"/>
    <mergeCell ref="J26:J29"/>
    <mergeCell ref="K26:K29"/>
    <mergeCell ref="L26:L29"/>
    <mergeCell ref="C26:C29"/>
    <mergeCell ref="D26:D29"/>
    <mergeCell ref="E26:E29"/>
    <mergeCell ref="F26:F29"/>
    <mergeCell ref="G26:G29"/>
    <mergeCell ref="C17:C20"/>
    <mergeCell ref="D17:D20"/>
    <mergeCell ref="F17:F20"/>
    <mergeCell ref="G17:G20"/>
    <mergeCell ref="C22:C25"/>
    <mergeCell ref="D22:D25"/>
    <mergeCell ref="E22:E25"/>
    <mergeCell ref="F22:F25"/>
    <mergeCell ref="G22:G25"/>
    <mergeCell ref="M13:M16"/>
    <mergeCell ref="E13:E16"/>
    <mergeCell ref="N13:N16"/>
    <mergeCell ref="O13:O16"/>
    <mergeCell ref="H17:H20"/>
    <mergeCell ref="P13:P16"/>
    <mergeCell ref="Q13:Q16"/>
    <mergeCell ref="E17:E20"/>
    <mergeCell ref="N17:N20"/>
    <mergeCell ref="O17:O20"/>
    <mergeCell ref="P17:P20"/>
    <mergeCell ref="Q17:Q20"/>
    <mergeCell ref="I17:I20"/>
    <mergeCell ref="J17:J20"/>
    <mergeCell ref="K17:K20"/>
    <mergeCell ref="L17:L20"/>
    <mergeCell ref="M17:M20"/>
    <mergeCell ref="C13:C16"/>
    <mergeCell ref="D13:D16"/>
    <mergeCell ref="F13:F16"/>
    <mergeCell ref="G13:G16"/>
    <mergeCell ref="H13:H16"/>
    <mergeCell ref="I13:I16"/>
    <mergeCell ref="J13:J16"/>
    <mergeCell ref="K13:K16"/>
    <mergeCell ref="L13:L16"/>
    <mergeCell ref="Q5:Q8"/>
    <mergeCell ref="E5:E8"/>
    <mergeCell ref="C9:C12"/>
    <mergeCell ref="D9:D12"/>
    <mergeCell ref="E9:E12"/>
    <mergeCell ref="F9:F12"/>
    <mergeCell ref="G9:G12"/>
    <mergeCell ref="H9:H12"/>
    <mergeCell ref="I9:I12"/>
    <mergeCell ref="J9:J12"/>
    <mergeCell ref="K9:K12"/>
    <mergeCell ref="L9:L12"/>
    <mergeCell ref="M9:M12"/>
    <mergeCell ref="N9:N12"/>
    <mergeCell ref="J5:J8"/>
    <mergeCell ref="K5:K8"/>
    <mergeCell ref="L5:L8"/>
    <mergeCell ref="M5:M8"/>
    <mergeCell ref="N5:N8"/>
    <mergeCell ref="O9:O12"/>
    <mergeCell ref="P9:P12"/>
    <mergeCell ref="Q9:Q12"/>
    <mergeCell ref="G1:I1"/>
    <mergeCell ref="C5:C8"/>
    <mergeCell ref="D5:D8"/>
    <mergeCell ref="F5:F8"/>
    <mergeCell ref="G5:G8"/>
    <mergeCell ref="H5:H8"/>
    <mergeCell ref="I5:I8"/>
    <mergeCell ref="O5:O8"/>
    <mergeCell ref="P5:P8"/>
    <mergeCell ref="Q22:Q25"/>
    <mergeCell ref="H22:H25"/>
    <mergeCell ref="I22:I25"/>
    <mergeCell ref="J22:J25"/>
    <mergeCell ref="K22:K25"/>
    <mergeCell ref="L22:L25"/>
    <mergeCell ref="M22:M25"/>
    <mergeCell ref="N22:N25"/>
    <mergeCell ref="O22:O25"/>
    <mergeCell ref="P22:P25"/>
  </mergeCells>
  <dataValidations count="1">
    <dataValidation type="list" allowBlank="1" showInputMessage="1" showErrorMessage="1" sqref="F3:F166" xr:uid="{BEBC1BFA-52F5-4B9C-8907-9094C7110A5A}">
      <formula1>"T,TP,P"</formula1>
    </dataValidation>
  </dataValidations>
  <pageMargins left="0.7" right="0.7" top="0.75" bottom="0.75" header="0.3" footer="0.3"/>
  <pageSetup paperSize="9" orientation="portrait"/>
  <ignoredErrors>
    <ignoredError sqref="J169" formula="1"/>
  </ignoredErrors>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B210:B244 B64 B42:B43 B76 B80 B84 B88 B92 B96 B101 B105 B110 B114 B21 B126 B134 B3 B60 B68 B164:B208 B118 B159 B139 B130 B143:B150 B154 B122</xm:sqref>
        </x14:dataValidation>
        <x14:dataValidation type="list" allowBlank="1" showInputMessage="1" showErrorMessage="1" xr:uid="{C9DFEA4C-E456-40FA-A0B8-26962CF02348}">
          <x14:formula1>
            <xm:f>'Paso 3 Redacción RA '!$I$3:$I$15</xm:f>
          </x14:formula1>
          <xm:sqref>B44:B59 B65:B67 B61:B63 B77:B79 B81:B83 B85:B87 B89:B91 B93:B95 B97:B100 B102:B104 B106:B109 B111:B113 B115:B117 B123:B125 B127:B129 B140:B142 B160:B163 B155:B158 B69:B75 B22:B41 B4:B20 B144:B147 B135:B138 B131:B133 B151:B153 B119:B121</xm:sqref>
        </x14:dataValidation>
        <x14:dataValidation type="list" allowBlank="1" showInputMessage="1" showErrorMessage="1" xr:uid="{30DD22C5-FBF6-44B0-BCFD-32788D298910}">
          <x14:formula1>
            <xm:f>'Paso 3 Redacción RA '!$I$1:$I$15</xm:f>
          </x14:formula1>
          <xm:sqref>B60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showGridLines="0" zoomScale="90" zoomScaleNormal="90" workbookViewId="0">
      <selection activeCell="H23" sqref="H23"/>
    </sheetView>
  </sheetViews>
  <sheetFormatPr baseColWidth="10" defaultColWidth="11.453125" defaultRowHeight="14.5" x14ac:dyDescent="0.35"/>
  <cols>
    <col min="2" max="2" width="27.1796875" customWidth="1"/>
  </cols>
  <sheetData>
    <row r="1" spans="2:2" ht="16.5" x14ac:dyDescent="0.5">
      <c r="B1" s="1" t="s">
        <v>375</v>
      </c>
    </row>
    <row r="2" spans="2:2" ht="16.5" x14ac:dyDescent="0.5">
      <c r="B2" s="1" t="s">
        <v>376</v>
      </c>
    </row>
    <row r="3" spans="2:2" ht="16.5" x14ac:dyDescent="0.5">
      <c r="B3" s="1" t="s">
        <v>377</v>
      </c>
    </row>
    <row r="4" spans="2:2" ht="16.5" x14ac:dyDescent="0.5">
      <c r="B4" s="1" t="s">
        <v>57</v>
      </c>
    </row>
    <row r="5" spans="2:2" ht="16.5" x14ac:dyDescent="0.5">
      <c r="B5" s="1" t="s">
        <v>92</v>
      </c>
    </row>
    <row r="6" spans="2:2" ht="16.5" x14ac:dyDescent="0.5">
      <c r="B6" s="1" t="s">
        <v>378</v>
      </c>
    </row>
    <row r="7" spans="2:2" ht="16.5" x14ac:dyDescent="0.5">
      <c r="B7" s="1" t="s">
        <v>379</v>
      </c>
    </row>
    <row r="8" spans="2:2" ht="16.5" x14ac:dyDescent="0.5">
      <c r="B8" s="1" t="s">
        <v>380</v>
      </c>
    </row>
    <row r="9" spans="2:2" ht="16.5" x14ac:dyDescent="0.5">
      <c r="B9" s="1" t="s">
        <v>381</v>
      </c>
    </row>
    <row r="10" spans="2:2" ht="16.5" x14ac:dyDescent="0.5">
      <c r="B10" s="1" t="s">
        <v>382</v>
      </c>
    </row>
    <row r="11" spans="2:2" ht="16.5" x14ac:dyDescent="0.5">
      <c r="B11" s="1" t="s">
        <v>383</v>
      </c>
    </row>
    <row r="12" spans="2:2" ht="16.5" x14ac:dyDescent="0.5">
      <c r="B12" s="1" t="s">
        <v>384</v>
      </c>
    </row>
    <row r="13" spans="2:2" ht="16.5" x14ac:dyDescent="0.5">
      <c r="B13" s="1" t="s">
        <v>385</v>
      </c>
    </row>
    <row r="14" spans="2:2" ht="16.5" x14ac:dyDescent="0.5">
      <c r="B14" s="1" t="s">
        <v>386</v>
      </c>
    </row>
    <row r="15" spans="2:2" ht="16.5" x14ac:dyDescent="0.5">
      <c r="B15" s="1" t="s">
        <v>387</v>
      </c>
    </row>
    <row r="16" spans="2:2" ht="16.5" x14ac:dyDescent="0.5">
      <c r="B16" s="1" t="s">
        <v>60</v>
      </c>
    </row>
    <row r="17" spans="2:2" ht="16.5" x14ac:dyDescent="0.5">
      <c r="B17" s="1" t="s">
        <v>388</v>
      </c>
    </row>
    <row r="18" spans="2:2" ht="16.5" x14ac:dyDescent="0.5">
      <c r="B18" s="1" t="s">
        <v>389</v>
      </c>
    </row>
    <row r="19" spans="2:2" ht="16.5" x14ac:dyDescent="0.5">
      <c r="B19" s="1" t="s">
        <v>64</v>
      </c>
    </row>
    <row r="20" spans="2:2" ht="16.5" x14ac:dyDescent="0.5">
      <c r="B20" s="1" t="s">
        <v>390</v>
      </c>
    </row>
    <row r="21" spans="2:2" ht="16.5" x14ac:dyDescent="0.5">
      <c r="B21" s="1" t="s">
        <v>391</v>
      </c>
    </row>
    <row r="22" spans="2:2" ht="16.5" x14ac:dyDescent="0.5">
      <c r="B22" s="1" t="s">
        <v>392</v>
      </c>
    </row>
    <row r="23" spans="2:2" ht="16.5" x14ac:dyDescent="0.5">
      <c r="B23" s="1" t="s">
        <v>393</v>
      </c>
    </row>
    <row r="24" spans="2:2" ht="16.5" x14ac:dyDescent="0.5">
      <c r="B24" s="1" t="s">
        <v>394</v>
      </c>
    </row>
    <row r="25" spans="2:2" ht="16.5" x14ac:dyDescent="0.5">
      <c r="B25" s="1" t="s">
        <v>62</v>
      </c>
    </row>
    <row r="26" spans="2:2" ht="16.5" x14ac:dyDescent="0.5">
      <c r="B26" s="1" t="s">
        <v>395</v>
      </c>
    </row>
    <row r="27" spans="2:2" ht="16.5" x14ac:dyDescent="0.5">
      <c r="B27" s="1" t="s">
        <v>396</v>
      </c>
    </row>
    <row r="28" spans="2:2" ht="16.5" x14ac:dyDescent="0.5">
      <c r="B28" s="1" t="s">
        <v>397</v>
      </c>
    </row>
    <row r="29" spans="2:2" ht="16.5" x14ac:dyDescent="0.5">
      <c r="B29" s="1" t="s">
        <v>398</v>
      </c>
    </row>
    <row r="30" spans="2:2" ht="16.5" x14ac:dyDescent="0.5">
      <c r="B30" s="1" t="s">
        <v>399</v>
      </c>
    </row>
    <row r="31" spans="2:2" ht="16.5" x14ac:dyDescent="0.5">
      <c r="B31" s="1" t="s">
        <v>400</v>
      </c>
    </row>
    <row r="32" spans="2:2" ht="16.5" x14ac:dyDescent="0.5">
      <c r="B32" s="1" t="s">
        <v>401</v>
      </c>
    </row>
    <row r="33" spans="2:2" ht="16.5" x14ac:dyDescent="0.5">
      <c r="B33" s="1" t="s">
        <v>402</v>
      </c>
    </row>
    <row r="34" spans="2:2" ht="16.5" x14ac:dyDescent="0.5">
      <c r="B34" s="1" t="s">
        <v>403</v>
      </c>
    </row>
    <row r="35" spans="2:2" ht="16.5" x14ac:dyDescent="0.5">
      <c r="B35" s="1" t="s">
        <v>404</v>
      </c>
    </row>
    <row r="36" spans="2:2" ht="16.5" x14ac:dyDescent="0.5">
      <c r="B36" s="1" t="s">
        <v>405</v>
      </c>
    </row>
    <row r="37" spans="2:2" ht="16.5" x14ac:dyDescent="0.5">
      <c r="B37" s="1" t="s">
        <v>406</v>
      </c>
    </row>
    <row r="38" spans="2:2" ht="16.5" x14ac:dyDescent="0.5">
      <c r="B38" s="1" t="s">
        <v>407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showGridLines="0" topLeftCell="D1" zoomScale="70" zoomScaleNormal="70" workbookViewId="0">
      <selection activeCell="I38" sqref="I38"/>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230" t="s">
        <v>408</v>
      </c>
      <c r="T1" s="230"/>
      <c r="U1" s="230"/>
      <c r="V1" s="230"/>
      <c r="W1" s="230"/>
      <c r="X1" s="230"/>
      <c r="Y1" s="230"/>
      <c r="Z1" s="230"/>
      <c r="AA1" s="230"/>
      <c r="AB1" s="230"/>
      <c r="AC1" s="230"/>
      <c r="AD1" s="230"/>
      <c r="AE1" s="230"/>
      <c r="AF1" s="230"/>
      <c r="AG1" s="230"/>
      <c r="AH1" s="13"/>
      <c r="AI1" s="13"/>
      <c r="AJ1" s="13"/>
      <c r="AL1" s="230" t="s">
        <v>409</v>
      </c>
      <c r="AM1" s="230"/>
      <c r="AN1" s="230"/>
      <c r="AO1" s="230"/>
      <c r="AP1" s="230"/>
      <c r="AQ1" s="230"/>
      <c r="AR1" s="13"/>
      <c r="AS1" s="13"/>
      <c r="AT1" s="230" t="s">
        <v>410</v>
      </c>
      <c r="AU1" s="230"/>
      <c r="AV1" s="230"/>
      <c r="AW1" s="230"/>
      <c r="AX1" s="230"/>
      <c r="AY1" s="230"/>
      <c r="AZ1" s="13"/>
      <c r="BC1" s="13"/>
    </row>
    <row r="2" spans="1:55" x14ac:dyDescent="0.5">
      <c r="L2" s="230" t="s">
        <v>411</v>
      </c>
      <c r="M2" s="230"/>
      <c r="N2" s="230"/>
      <c r="O2" s="230"/>
      <c r="P2" s="230"/>
      <c r="Q2" s="230"/>
      <c r="S2" s="231" t="s">
        <v>412</v>
      </c>
      <c r="T2" s="231"/>
      <c r="U2" s="231"/>
      <c r="V2" s="231"/>
      <c r="W2" s="231"/>
      <c r="X2" s="231"/>
      <c r="Y2" s="231" t="s">
        <v>413</v>
      </c>
      <c r="Z2" s="231"/>
      <c r="AA2" s="231"/>
      <c r="AB2" s="231"/>
      <c r="AC2" s="231" t="s">
        <v>414</v>
      </c>
      <c r="AD2" s="231"/>
      <c r="AE2" s="231"/>
      <c r="AF2" s="231"/>
      <c r="AG2" s="231"/>
      <c r="AH2" s="13"/>
      <c r="AI2" s="13"/>
      <c r="AJ2" s="13"/>
      <c r="AL2" s="232"/>
      <c r="AM2" s="232"/>
      <c r="AN2" s="232"/>
      <c r="AO2" s="232"/>
      <c r="AP2" s="232"/>
      <c r="AQ2" s="232"/>
      <c r="AR2" s="13"/>
      <c r="AS2" s="13"/>
      <c r="AT2" s="13"/>
      <c r="AU2" s="13"/>
      <c r="AV2" s="13"/>
      <c r="AW2" s="13"/>
      <c r="AX2" s="13"/>
      <c r="AY2" s="13"/>
      <c r="AZ2" s="13"/>
      <c r="BC2" s="13"/>
    </row>
    <row r="3" spans="1:55" x14ac:dyDescent="0.5">
      <c r="A3" t="s">
        <v>415</v>
      </c>
      <c r="C3" s="146" t="s">
        <v>416</v>
      </c>
      <c r="D3" s="146" t="s">
        <v>417</v>
      </c>
      <c r="E3" s="146" t="s">
        <v>418</v>
      </c>
      <c r="G3" t="s">
        <v>87</v>
      </c>
      <c r="H3" t="s">
        <v>90</v>
      </c>
      <c r="I3" t="s">
        <v>94</v>
      </c>
      <c r="L3" s="47" t="s">
        <v>103</v>
      </c>
      <c r="M3" s="47" t="s">
        <v>97</v>
      </c>
      <c r="N3" s="47" t="s">
        <v>91</v>
      </c>
      <c r="O3" s="47" t="s">
        <v>88</v>
      </c>
      <c r="P3" s="47" t="s">
        <v>419</v>
      </c>
      <c r="Q3" s="47" t="s">
        <v>95</v>
      </c>
      <c r="S3" s="1" t="s">
        <v>420</v>
      </c>
      <c r="T3" s="1" t="s">
        <v>421</v>
      </c>
      <c r="U3" s="1" t="s">
        <v>422</v>
      </c>
      <c r="V3" s="1" t="s">
        <v>423</v>
      </c>
      <c r="W3" s="1" t="s">
        <v>424</v>
      </c>
      <c r="X3" s="1" t="s">
        <v>425</v>
      </c>
      <c r="Y3" s="1" t="s">
        <v>426</v>
      </c>
      <c r="Z3" s="1" t="s">
        <v>427</v>
      </c>
      <c r="AA3" s="1" t="s">
        <v>428</v>
      </c>
      <c r="AB3" s="1" t="s">
        <v>429</v>
      </c>
      <c r="AC3" s="1" t="s">
        <v>430</v>
      </c>
      <c r="AD3" s="1" t="s">
        <v>431</v>
      </c>
      <c r="AE3" s="1" t="s">
        <v>432</v>
      </c>
      <c r="AF3" s="1" t="s">
        <v>433</v>
      </c>
      <c r="AG3" s="1" t="s">
        <v>434</v>
      </c>
      <c r="AL3" s="233" t="s">
        <v>435</v>
      </c>
      <c r="AM3" s="233"/>
      <c r="AN3" s="233"/>
      <c r="AO3" s="233" t="s">
        <v>436</v>
      </c>
      <c r="AP3" s="233"/>
      <c r="AQ3" s="233"/>
      <c r="AR3" s="12"/>
      <c r="AS3" s="12"/>
      <c r="AT3" s="12"/>
      <c r="AU3" s="12"/>
      <c r="AV3" s="12"/>
      <c r="AW3" s="12"/>
      <c r="AX3" s="12"/>
      <c r="AY3" s="12"/>
      <c r="AZ3" s="12"/>
      <c r="BC3" s="12"/>
    </row>
    <row r="4" spans="1:55" x14ac:dyDescent="0.5">
      <c r="A4" t="s">
        <v>86</v>
      </c>
      <c r="C4" t="s">
        <v>437</v>
      </c>
      <c r="D4" t="s">
        <v>438</v>
      </c>
      <c r="E4" t="s">
        <v>439</v>
      </c>
      <c r="G4" t="s">
        <v>103</v>
      </c>
      <c r="H4" t="s">
        <v>103</v>
      </c>
      <c r="I4" t="s">
        <v>103</v>
      </c>
      <c r="L4" s="1" t="s">
        <v>440</v>
      </c>
      <c r="M4" s="1" t="s">
        <v>380</v>
      </c>
      <c r="N4" s="1" t="s">
        <v>92</v>
      </c>
      <c r="O4" s="1" t="s">
        <v>441</v>
      </c>
      <c r="P4" s="1" t="s">
        <v>442</v>
      </c>
      <c r="Q4" s="1" t="s">
        <v>443</v>
      </c>
      <c r="S4" s="1" t="s">
        <v>440</v>
      </c>
      <c r="T4" s="1" t="s">
        <v>380</v>
      </c>
      <c r="U4" s="1" t="s">
        <v>92</v>
      </c>
      <c r="V4" s="1" t="s">
        <v>441</v>
      </c>
      <c r="W4" s="1" t="s">
        <v>442</v>
      </c>
      <c r="X4" s="1" t="s">
        <v>443</v>
      </c>
      <c r="Y4" s="1" t="s">
        <v>444</v>
      </c>
      <c r="Z4" s="1" t="s">
        <v>445</v>
      </c>
      <c r="AA4" s="1" t="s">
        <v>446</v>
      </c>
      <c r="AB4" s="1" t="s">
        <v>447</v>
      </c>
      <c r="AC4" s="1" t="s">
        <v>448</v>
      </c>
      <c r="AD4" s="1" t="s">
        <v>444</v>
      </c>
      <c r="AE4" s="1" t="s">
        <v>448</v>
      </c>
      <c r="AF4" s="1" t="s">
        <v>449</v>
      </c>
      <c r="AG4" s="1" t="s">
        <v>450</v>
      </c>
      <c r="AL4" s="3" t="s">
        <v>451</v>
      </c>
      <c r="AM4" s="3" t="s">
        <v>452</v>
      </c>
      <c r="AN4" s="3" t="s">
        <v>453</v>
      </c>
      <c r="AO4" s="3" t="s">
        <v>454</v>
      </c>
      <c r="AP4" s="3" t="s">
        <v>455</v>
      </c>
      <c r="AQ4" s="3" t="s">
        <v>456</v>
      </c>
      <c r="AR4" s="12"/>
      <c r="AS4" s="12"/>
      <c r="AT4" s="47" t="s">
        <v>457</v>
      </c>
      <c r="AU4" s="47" t="s">
        <v>458</v>
      </c>
      <c r="AV4" s="47" t="s">
        <v>459</v>
      </c>
      <c r="AW4" s="47" t="s">
        <v>460</v>
      </c>
      <c r="AX4" s="47" t="s">
        <v>461</v>
      </c>
      <c r="AY4" s="47" t="s">
        <v>462</v>
      </c>
      <c r="AZ4" s="12"/>
      <c r="BC4" s="12"/>
    </row>
    <row r="5" spans="1:55" x14ac:dyDescent="0.5">
      <c r="A5" t="s">
        <v>416</v>
      </c>
      <c r="C5" t="s">
        <v>463</v>
      </c>
      <c r="D5" t="s">
        <v>464</v>
      </c>
      <c r="E5" t="s">
        <v>465</v>
      </c>
      <c r="G5" t="s">
        <v>97</v>
      </c>
      <c r="H5" t="s">
        <v>97</v>
      </c>
      <c r="I5" t="s">
        <v>97</v>
      </c>
      <c r="L5" s="1" t="s">
        <v>466</v>
      </c>
      <c r="M5" s="1" t="s">
        <v>467</v>
      </c>
      <c r="N5" s="1" t="s">
        <v>468</v>
      </c>
      <c r="O5" s="1" t="s">
        <v>57</v>
      </c>
      <c r="P5" s="1" t="s">
        <v>377</v>
      </c>
      <c r="Q5" s="1" t="s">
        <v>469</v>
      </c>
      <c r="S5" s="1" t="s">
        <v>466</v>
      </c>
      <c r="T5" s="1" t="s">
        <v>467</v>
      </c>
      <c r="U5" s="1" t="s">
        <v>468</v>
      </c>
      <c r="V5" s="1" t="s">
        <v>57</v>
      </c>
      <c r="W5" s="1" t="s">
        <v>377</v>
      </c>
      <c r="X5" s="1" t="s">
        <v>469</v>
      </c>
      <c r="Y5" s="1" t="s">
        <v>442</v>
      </c>
      <c r="Z5" s="1" t="s">
        <v>441</v>
      </c>
      <c r="AA5" s="1" t="s">
        <v>470</v>
      </c>
      <c r="AB5" s="1" t="s">
        <v>471</v>
      </c>
      <c r="AC5" s="1" t="s">
        <v>472</v>
      </c>
      <c r="AD5" s="1" t="s">
        <v>473</v>
      </c>
      <c r="AE5" s="1" t="s">
        <v>474</v>
      </c>
      <c r="AF5" s="1" t="s">
        <v>475</v>
      </c>
      <c r="AG5" s="1" t="s">
        <v>476</v>
      </c>
      <c r="AL5" s="2" t="s">
        <v>477</v>
      </c>
      <c r="AM5" s="2" t="s">
        <v>478</v>
      </c>
      <c r="AN5" s="2" t="s">
        <v>470</v>
      </c>
      <c r="AO5" s="2" t="s">
        <v>479</v>
      </c>
      <c r="AP5" s="2" t="s">
        <v>442</v>
      </c>
      <c r="AQ5" s="2" t="s">
        <v>386</v>
      </c>
      <c r="AR5" s="2"/>
      <c r="AS5" s="2"/>
      <c r="AT5" s="4" t="s">
        <v>477</v>
      </c>
      <c r="AU5" s="6" t="s">
        <v>380</v>
      </c>
      <c r="AV5" s="4" t="s">
        <v>479</v>
      </c>
      <c r="AW5" s="4" t="s">
        <v>470</v>
      </c>
      <c r="AX5" s="6" t="s">
        <v>448</v>
      </c>
      <c r="AY5" s="6" t="s">
        <v>448</v>
      </c>
      <c r="AZ5" s="2"/>
      <c r="BC5" s="2"/>
    </row>
    <row r="6" spans="1:55" x14ac:dyDescent="0.5">
      <c r="A6" t="s">
        <v>417</v>
      </c>
      <c r="C6" t="s">
        <v>480</v>
      </c>
      <c r="D6" t="s">
        <v>481</v>
      </c>
      <c r="E6" t="s">
        <v>482</v>
      </c>
      <c r="G6" t="s">
        <v>91</v>
      </c>
      <c r="H6" t="s">
        <v>91</v>
      </c>
      <c r="I6" t="s">
        <v>91</v>
      </c>
      <c r="L6" s="1" t="s">
        <v>483</v>
      </c>
      <c r="M6" s="1" t="s">
        <v>484</v>
      </c>
      <c r="N6" s="1" t="s">
        <v>485</v>
      </c>
      <c r="O6" s="1" t="s">
        <v>486</v>
      </c>
      <c r="P6" s="1" t="s">
        <v>447</v>
      </c>
      <c r="Q6" s="1" t="s">
        <v>487</v>
      </c>
      <c r="S6" s="1" t="s">
        <v>483</v>
      </c>
      <c r="T6" s="1" t="s">
        <v>484</v>
      </c>
      <c r="U6" s="1" t="s">
        <v>485</v>
      </c>
      <c r="V6" s="1" t="s">
        <v>486</v>
      </c>
      <c r="W6" s="1" t="s">
        <v>447</v>
      </c>
      <c r="X6" s="1" t="s">
        <v>487</v>
      </c>
      <c r="Y6" s="1" t="s">
        <v>488</v>
      </c>
      <c r="Z6" s="1" t="s">
        <v>488</v>
      </c>
      <c r="AA6" s="1" t="s">
        <v>488</v>
      </c>
      <c r="AB6" s="1" t="s">
        <v>478</v>
      </c>
      <c r="AC6" s="1" t="s">
        <v>489</v>
      </c>
      <c r="AD6" s="1" t="s">
        <v>477</v>
      </c>
      <c r="AE6" s="1" t="s">
        <v>477</v>
      </c>
      <c r="AF6" s="1" t="s">
        <v>447</v>
      </c>
      <c r="AG6" s="1" t="s">
        <v>490</v>
      </c>
      <c r="AL6" s="2" t="s">
        <v>483</v>
      </c>
      <c r="AM6" s="2" t="s">
        <v>491</v>
      </c>
      <c r="AN6" s="2" t="s">
        <v>479</v>
      </c>
      <c r="AO6" s="2" t="s">
        <v>441</v>
      </c>
      <c r="AP6" s="2" t="s">
        <v>492</v>
      </c>
      <c r="AQ6" s="2" t="s">
        <v>493</v>
      </c>
      <c r="AR6" s="2"/>
      <c r="AS6" s="2"/>
      <c r="AT6" s="5" t="s">
        <v>483</v>
      </c>
      <c r="AU6" s="7" t="s">
        <v>467</v>
      </c>
      <c r="AV6" s="6" t="s">
        <v>441</v>
      </c>
      <c r="AW6" s="5" t="s">
        <v>479</v>
      </c>
      <c r="AX6" s="7" t="s">
        <v>449</v>
      </c>
      <c r="AY6" s="6" t="s">
        <v>474</v>
      </c>
      <c r="AZ6" s="2"/>
      <c r="BC6" s="2"/>
    </row>
    <row r="7" spans="1:55" x14ac:dyDescent="0.5">
      <c r="A7" t="s">
        <v>418</v>
      </c>
      <c r="D7" t="s">
        <v>494</v>
      </c>
      <c r="G7" t="s">
        <v>88</v>
      </c>
      <c r="H7" t="s">
        <v>88</v>
      </c>
      <c r="I7" t="s">
        <v>88</v>
      </c>
      <c r="L7" s="1" t="s">
        <v>495</v>
      </c>
      <c r="M7" s="1" t="s">
        <v>381</v>
      </c>
      <c r="N7" s="1" t="s">
        <v>496</v>
      </c>
      <c r="O7" s="1" t="s">
        <v>497</v>
      </c>
      <c r="P7" s="1" t="s">
        <v>447</v>
      </c>
      <c r="Q7" s="1" t="s">
        <v>498</v>
      </c>
      <c r="S7" s="1" t="s">
        <v>495</v>
      </c>
      <c r="T7" s="1" t="s">
        <v>381</v>
      </c>
      <c r="U7" s="1" t="s">
        <v>496</v>
      </c>
      <c r="V7" s="1" t="s">
        <v>497</v>
      </c>
      <c r="W7" s="1" t="s">
        <v>447</v>
      </c>
      <c r="X7" s="1" t="s">
        <v>498</v>
      </c>
      <c r="Y7" s="1" t="s">
        <v>498</v>
      </c>
      <c r="Z7" s="1" t="s">
        <v>499</v>
      </c>
      <c r="AA7" s="1" t="s">
        <v>500</v>
      </c>
      <c r="AB7" s="1" t="s">
        <v>501</v>
      </c>
      <c r="AC7" s="1" t="s">
        <v>92</v>
      </c>
      <c r="AD7" s="1" t="s">
        <v>92</v>
      </c>
      <c r="AE7" s="1" t="s">
        <v>502</v>
      </c>
      <c r="AF7" s="1" t="s">
        <v>503</v>
      </c>
      <c r="AG7" s="1" t="s">
        <v>504</v>
      </c>
      <c r="AL7" s="2" t="s">
        <v>505</v>
      </c>
      <c r="AM7" s="2" t="s">
        <v>506</v>
      </c>
      <c r="AN7" s="2" t="s">
        <v>486</v>
      </c>
      <c r="AO7" s="2" t="s">
        <v>507</v>
      </c>
      <c r="AP7" s="2" t="s">
        <v>490</v>
      </c>
      <c r="AQ7" s="2" t="s">
        <v>508</v>
      </c>
      <c r="AR7" s="2"/>
      <c r="AS7" s="2"/>
      <c r="AT7" s="4" t="s">
        <v>505</v>
      </c>
      <c r="AU7" s="1" t="s">
        <v>478</v>
      </c>
      <c r="AV7" s="7" t="s">
        <v>57</v>
      </c>
      <c r="AW7" s="6" t="s">
        <v>92</v>
      </c>
      <c r="AX7" s="6" t="s">
        <v>474</v>
      </c>
      <c r="AY7" s="6" t="s">
        <v>476</v>
      </c>
      <c r="AZ7" s="2"/>
      <c r="BC7" s="2"/>
    </row>
    <row r="8" spans="1:55" x14ac:dyDescent="0.5">
      <c r="G8" t="s">
        <v>419</v>
      </c>
      <c r="H8" t="s">
        <v>419</v>
      </c>
      <c r="I8" t="s">
        <v>419</v>
      </c>
      <c r="L8" s="1" t="s">
        <v>509</v>
      </c>
      <c r="M8" s="1" t="s">
        <v>510</v>
      </c>
      <c r="N8" s="1" t="s">
        <v>382</v>
      </c>
      <c r="O8" s="1" t="s">
        <v>491</v>
      </c>
      <c r="P8" s="1" t="s">
        <v>511</v>
      </c>
      <c r="Q8" s="1" t="s">
        <v>512</v>
      </c>
      <c r="S8" s="1" t="s">
        <v>509</v>
      </c>
      <c r="T8" s="1" t="s">
        <v>510</v>
      </c>
      <c r="U8" s="1" t="s">
        <v>382</v>
      </c>
      <c r="V8" s="1" t="s">
        <v>491</v>
      </c>
      <c r="W8" s="1" t="s">
        <v>511</v>
      </c>
      <c r="X8" s="1" t="s">
        <v>512</v>
      </c>
      <c r="Y8" s="1" t="s">
        <v>57</v>
      </c>
      <c r="Z8" s="1" t="s">
        <v>447</v>
      </c>
      <c r="AA8" s="1" t="s">
        <v>513</v>
      </c>
      <c r="AB8" s="1" t="s">
        <v>514</v>
      </c>
      <c r="AC8" s="1" t="s">
        <v>515</v>
      </c>
      <c r="AD8" s="1" t="s">
        <v>516</v>
      </c>
      <c r="AE8" s="1" t="s">
        <v>517</v>
      </c>
      <c r="AF8" s="1" t="s">
        <v>518</v>
      </c>
      <c r="AG8" s="1" t="s">
        <v>497</v>
      </c>
      <c r="AL8" s="2" t="s">
        <v>509</v>
      </c>
      <c r="AM8" s="2" t="s">
        <v>519</v>
      </c>
      <c r="AN8" s="2" t="s">
        <v>497</v>
      </c>
      <c r="AO8" s="2" t="s">
        <v>520</v>
      </c>
      <c r="AP8" s="2" t="s">
        <v>521</v>
      </c>
      <c r="AQ8" s="2" t="s">
        <v>522</v>
      </c>
      <c r="AR8" s="2"/>
      <c r="AS8" s="2"/>
      <c r="AT8" s="5" t="s">
        <v>509</v>
      </c>
      <c r="AU8" s="6" t="s">
        <v>484</v>
      </c>
      <c r="AV8" s="6" t="s">
        <v>92</v>
      </c>
      <c r="AW8" s="4" t="s">
        <v>486</v>
      </c>
      <c r="AX8" s="7" t="s">
        <v>476</v>
      </c>
      <c r="AY8" s="6" t="s">
        <v>502</v>
      </c>
      <c r="AZ8" s="2"/>
      <c r="BC8" s="2"/>
    </row>
    <row r="9" spans="1:55" x14ac:dyDescent="0.5">
      <c r="G9" t="s">
        <v>95</v>
      </c>
      <c r="H9" t="s">
        <v>95</v>
      </c>
      <c r="I9" t="s">
        <v>95</v>
      </c>
      <c r="L9" s="1" t="s">
        <v>385</v>
      </c>
      <c r="M9" s="1" t="s">
        <v>523</v>
      </c>
      <c r="N9" s="1" t="s">
        <v>524</v>
      </c>
      <c r="O9" s="1" t="s">
        <v>518</v>
      </c>
      <c r="P9" s="1" t="s">
        <v>525</v>
      </c>
      <c r="Q9" s="1" t="s">
        <v>378</v>
      </c>
      <c r="S9" s="1" t="s">
        <v>385</v>
      </c>
      <c r="T9" s="1" t="s">
        <v>523</v>
      </c>
      <c r="U9" s="1" t="s">
        <v>524</v>
      </c>
      <c r="V9" s="1" t="s">
        <v>518</v>
      </c>
      <c r="W9" s="1" t="s">
        <v>525</v>
      </c>
      <c r="X9" s="1" t="s">
        <v>378</v>
      </c>
      <c r="Y9" s="1" t="s">
        <v>92</v>
      </c>
      <c r="Z9" s="1" t="s">
        <v>514</v>
      </c>
      <c r="AA9" s="1" t="s">
        <v>514</v>
      </c>
      <c r="AB9" s="1" t="s">
        <v>496</v>
      </c>
      <c r="AC9" s="1" t="s">
        <v>515</v>
      </c>
      <c r="AD9" s="1" t="s">
        <v>378</v>
      </c>
      <c r="AE9" s="1" t="s">
        <v>526</v>
      </c>
      <c r="AF9" s="1" t="s">
        <v>527</v>
      </c>
      <c r="AG9" s="1" t="s">
        <v>528</v>
      </c>
      <c r="AL9" s="2" t="s">
        <v>385</v>
      </c>
      <c r="AM9" s="2" t="s">
        <v>529</v>
      </c>
      <c r="AN9" s="2" t="s">
        <v>503</v>
      </c>
      <c r="AO9" s="2" t="s">
        <v>497</v>
      </c>
      <c r="AP9" s="2" t="s">
        <v>530</v>
      </c>
      <c r="AQ9" s="2" t="s">
        <v>531</v>
      </c>
      <c r="AR9" s="2"/>
      <c r="AS9" s="2"/>
      <c r="AT9" s="4" t="s">
        <v>385</v>
      </c>
      <c r="AU9" s="5" t="s">
        <v>491</v>
      </c>
      <c r="AV9" s="6" t="s">
        <v>507</v>
      </c>
      <c r="AW9" s="7" t="s">
        <v>468</v>
      </c>
      <c r="AX9" s="7" t="s">
        <v>477</v>
      </c>
      <c r="AY9" s="7" t="s">
        <v>517</v>
      </c>
      <c r="AZ9" s="2"/>
      <c r="BC9" s="2"/>
    </row>
    <row r="10" spans="1:55" x14ac:dyDescent="0.5">
      <c r="L10" s="1" t="s">
        <v>532</v>
      </c>
      <c r="M10" s="1" t="s">
        <v>533</v>
      </c>
      <c r="N10" s="1" t="s">
        <v>519</v>
      </c>
      <c r="O10" s="1" t="s">
        <v>506</v>
      </c>
      <c r="P10" s="1" t="s">
        <v>486</v>
      </c>
      <c r="Q10" s="1" t="s">
        <v>379</v>
      </c>
      <c r="S10" s="1" t="s">
        <v>532</v>
      </c>
      <c r="T10" s="1" t="s">
        <v>533</v>
      </c>
      <c r="U10" s="1" t="s">
        <v>519</v>
      </c>
      <c r="V10" s="1" t="s">
        <v>506</v>
      </c>
      <c r="W10" s="1" t="s">
        <v>486</v>
      </c>
      <c r="X10" s="1" t="s">
        <v>379</v>
      </c>
      <c r="Y10" s="1" t="s">
        <v>534</v>
      </c>
      <c r="Z10" s="1" t="s">
        <v>382</v>
      </c>
      <c r="AA10" s="1" t="s">
        <v>535</v>
      </c>
      <c r="AB10" s="1" t="s">
        <v>382</v>
      </c>
      <c r="AC10" s="1" t="s">
        <v>536</v>
      </c>
      <c r="AD10" s="1" t="s">
        <v>537</v>
      </c>
      <c r="AE10" s="1" t="s">
        <v>490</v>
      </c>
      <c r="AF10" s="1" t="s">
        <v>538</v>
      </c>
      <c r="AG10" s="1" t="s">
        <v>539</v>
      </c>
      <c r="AL10" s="2" t="s">
        <v>532</v>
      </c>
      <c r="AM10" s="2" t="s">
        <v>540</v>
      </c>
      <c r="AN10" s="2" t="s">
        <v>541</v>
      </c>
      <c r="AO10" s="2" t="s">
        <v>542</v>
      </c>
      <c r="AP10" s="2" t="s">
        <v>485</v>
      </c>
      <c r="AQ10" s="2" t="s">
        <v>396</v>
      </c>
      <c r="AR10" s="2"/>
      <c r="AS10" s="2"/>
      <c r="AT10" s="5" t="s">
        <v>532</v>
      </c>
      <c r="AU10" s="7" t="s">
        <v>381</v>
      </c>
      <c r="AV10" s="7" t="s">
        <v>520</v>
      </c>
      <c r="AW10" s="5" t="s">
        <v>497</v>
      </c>
      <c r="AX10" s="7" t="s">
        <v>502</v>
      </c>
      <c r="AY10" s="6" t="s">
        <v>526</v>
      </c>
      <c r="AZ10" s="2"/>
      <c r="BC10" s="2"/>
    </row>
    <row r="11" spans="1:55" x14ac:dyDescent="0.5">
      <c r="G11" t="s">
        <v>438</v>
      </c>
      <c r="H11" t="s">
        <v>464</v>
      </c>
      <c r="I11" t="s">
        <v>543</v>
      </c>
      <c r="J11" t="s">
        <v>494</v>
      </c>
      <c r="L11" s="1" t="s">
        <v>519</v>
      </c>
      <c r="M11" s="1" t="s">
        <v>544</v>
      </c>
      <c r="N11" s="1" t="s">
        <v>545</v>
      </c>
      <c r="O11" s="1" t="s">
        <v>523</v>
      </c>
      <c r="P11" s="1" t="s">
        <v>496</v>
      </c>
      <c r="Q11" s="1" t="s">
        <v>546</v>
      </c>
      <c r="S11" s="1" t="s">
        <v>519</v>
      </c>
      <c r="T11" s="1" t="s">
        <v>544</v>
      </c>
      <c r="U11" s="1" t="s">
        <v>545</v>
      </c>
      <c r="V11" s="1" t="s">
        <v>523</v>
      </c>
      <c r="W11" s="1" t="s">
        <v>496</v>
      </c>
      <c r="X11" s="1" t="s">
        <v>546</v>
      </c>
      <c r="Y11" s="1" t="s">
        <v>447</v>
      </c>
      <c r="Z11" s="1" t="s">
        <v>547</v>
      </c>
      <c r="AA11" s="1" t="s">
        <v>548</v>
      </c>
      <c r="AB11" s="1" t="s">
        <v>549</v>
      </c>
      <c r="AC11" s="1" t="s">
        <v>504</v>
      </c>
      <c r="AD11" s="1" t="s">
        <v>478</v>
      </c>
      <c r="AE11" s="1" t="s">
        <v>515</v>
      </c>
      <c r="AF11" s="1" t="s">
        <v>385</v>
      </c>
      <c r="AG11" s="1" t="s">
        <v>550</v>
      </c>
      <c r="AL11" s="2" t="s">
        <v>551</v>
      </c>
      <c r="AM11" s="2" t="s">
        <v>552</v>
      </c>
      <c r="AN11" s="2" t="s">
        <v>519</v>
      </c>
      <c r="AO11" s="2" t="s">
        <v>491</v>
      </c>
      <c r="AP11" s="2" t="s">
        <v>491</v>
      </c>
      <c r="AQ11" s="2" t="s">
        <v>553</v>
      </c>
      <c r="AR11" s="2"/>
      <c r="AS11" s="2"/>
      <c r="AT11" s="4" t="s">
        <v>551</v>
      </c>
      <c r="AU11" s="4" t="s">
        <v>506</v>
      </c>
      <c r="AV11" s="6" t="s">
        <v>486</v>
      </c>
      <c r="AW11" s="6" t="s">
        <v>485</v>
      </c>
      <c r="AX11" s="7" t="s">
        <v>517</v>
      </c>
      <c r="AY11" s="6" t="s">
        <v>475</v>
      </c>
      <c r="AZ11" s="2"/>
      <c r="BC11" s="2"/>
    </row>
    <row r="12" spans="1:55" x14ac:dyDescent="0.5">
      <c r="G12" t="s">
        <v>451</v>
      </c>
      <c r="H12" t="s">
        <v>451</v>
      </c>
      <c r="I12" t="s">
        <v>451</v>
      </c>
      <c r="J12" t="s">
        <v>451</v>
      </c>
      <c r="L12" s="1" t="s">
        <v>554</v>
      </c>
      <c r="M12" s="1" t="s">
        <v>554</v>
      </c>
      <c r="N12" s="1" t="s">
        <v>555</v>
      </c>
      <c r="O12" s="1" t="s">
        <v>527</v>
      </c>
      <c r="P12" s="1" t="s">
        <v>556</v>
      </c>
      <c r="Q12" s="1" t="s">
        <v>486</v>
      </c>
      <c r="S12" s="1" t="s">
        <v>554</v>
      </c>
      <c r="T12" s="1" t="s">
        <v>554</v>
      </c>
      <c r="U12" s="1" t="s">
        <v>555</v>
      </c>
      <c r="V12" s="1" t="s">
        <v>527</v>
      </c>
      <c r="W12" s="1" t="s">
        <v>556</v>
      </c>
      <c r="X12" s="1" t="s">
        <v>486</v>
      </c>
      <c r="Y12" s="1" t="s">
        <v>378</v>
      </c>
      <c r="Z12" s="1" t="s">
        <v>555</v>
      </c>
      <c r="AA12" s="1" t="s">
        <v>557</v>
      </c>
      <c r="AB12" s="1" t="s">
        <v>558</v>
      </c>
      <c r="AC12" s="1" t="s">
        <v>478</v>
      </c>
      <c r="AD12" s="1" t="s">
        <v>528</v>
      </c>
      <c r="AE12" s="1" t="s">
        <v>516</v>
      </c>
      <c r="AF12" s="1" t="s">
        <v>559</v>
      </c>
      <c r="AG12" s="1" t="s">
        <v>382</v>
      </c>
      <c r="AL12" s="2" t="s">
        <v>560</v>
      </c>
      <c r="AM12" s="2" t="s">
        <v>98</v>
      </c>
      <c r="AN12" s="2" t="s">
        <v>386</v>
      </c>
      <c r="AO12" s="2" t="s">
        <v>561</v>
      </c>
      <c r="AP12" s="2" t="s">
        <v>562</v>
      </c>
      <c r="AQ12" s="2" t="s">
        <v>563</v>
      </c>
      <c r="AR12" s="2"/>
      <c r="AS12" s="2"/>
      <c r="AT12" s="5" t="s">
        <v>560</v>
      </c>
      <c r="AU12" s="6" t="s">
        <v>510</v>
      </c>
      <c r="AV12" s="7" t="s">
        <v>468</v>
      </c>
      <c r="AW12" s="7" t="s">
        <v>496</v>
      </c>
      <c r="AX12" s="6" t="s">
        <v>526</v>
      </c>
      <c r="AY12" s="7" t="s">
        <v>515</v>
      </c>
      <c r="AZ12" s="2"/>
      <c r="BC12" s="2"/>
    </row>
    <row r="13" spans="1:55" x14ac:dyDescent="0.5">
      <c r="G13" t="s">
        <v>452</v>
      </c>
      <c r="H13" t="s">
        <v>452</v>
      </c>
      <c r="I13" t="s">
        <v>452</v>
      </c>
      <c r="J13" t="s">
        <v>452</v>
      </c>
      <c r="L13" s="1" t="s">
        <v>560</v>
      </c>
      <c r="M13" s="1" t="s">
        <v>559</v>
      </c>
      <c r="N13" s="1" t="s">
        <v>564</v>
      </c>
      <c r="O13" s="1" t="s">
        <v>544</v>
      </c>
      <c r="P13" s="1" t="s">
        <v>565</v>
      </c>
      <c r="Q13" s="1" t="s">
        <v>566</v>
      </c>
      <c r="S13" s="1" t="s">
        <v>560</v>
      </c>
      <c r="T13" s="1" t="s">
        <v>559</v>
      </c>
      <c r="U13" s="1" t="s">
        <v>564</v>
      </c>
      <c r="V13" s="1" t="s">
        <v>544</v>
      </c>
      <c r="W13" s="1" t="s">
        <v>565</v>
      </c>
      <c r="X13" s="1" t="s">
        <v>566</v>
      </c>
      <c r="Y13" s="1" t="s">
        <v>567</v>
      </c>
      <c r="Z13" s="1" t="s">
        <v>568</v>
      </c>
      <c r="AA13" s="1" t="s">
        <v>569</v>
      </c>
      <c r="AB13" s="1" t="s">
        <v>570</v>
      </c>
      <c r="AC13" s="1" t="s">
        <v>382</v>
      </c>
      <c r="AD13" s="1" t="s">
        <v>381</v>
      </c>
      <c r="AE13" s="1" t="s">
        <v>571</v>
      </c>
      <c r="AF13" s="1" t="s">
        <v>545</v>
      </c>
      <c r="AG13" s="1" t="s">
        <v>572</v>
      </c>
      <c r="AL13" s="2" t="s">
        <v>573</v>
      </c>
      <c r="AM13" s="2" t="s">
        <v>574</v>
      </c>
      <c r="AN13" s="2" t="s">
        <v>575</v>
      </c>
      <c r="AO13" s="2" t="s">
        <v>576</v>
      </c>
      <c r="AP13" s="2" t="s">
        <v>496</v>
      </c>
      <c r="AQ13" s="2" t="s">
        <v>577</v>
      </c>
      <c r="AR13" s="2"/>
      <c r="AS13" s="2"/>
      <c r="AT13" s="4" t="s">
        <v>573</v>
      </c>
      <c r="AU13" s="7" t="s">
        <v>523</v>
      </c>
      <c r="AV13" s="7" t="s">
        <v>497</v>
      </c>
      <c r="AW13" s="6" t="s">
        <v>382</v>
      </c>
      <c r="AX13" s="7" t="s">
        <v>475</v>
      </c>
      <c r="AY13" s="6" t="s">
        <v>516</v>
      </c>
      <c r="AZ13" s="2"/>
      <c r="BC13" s="2"/>
    </row>
    <row r="14" spans="1:55" x14ac:dyDescent="0.5">
      <c r="G14" t="s">
        <v>453</v>
      </c>
      <c r="H14" t="s">
        <v>453</v>
      </c>
      <c r="I14" t="s">
        <v>453</v>
      </c>
      <c r="J14" t="s">
        <v>453</v>
      </c>
      <c r="L14" s="1" t="s">
        <v>578</v>
      </c>
      <c r="M14" s="1" t="s">
        <v>555</v>
      </c>
      <c r="N14" s="1" t="s">
        <v>60</v>
      </c>
      <c r="O14" s="1" t="s">
        <v>579</v>
      </c>
      <c r="P14" s="1" t="s">
        <v>503</v>
      </c>
      <c r="Q14" s="1" t="s">
        <v>580</v>
      </c>
      <c r="S14" s="1" t="s">
        <v>578</v>
      </c>
      <c r="T14" s="1" t="s">
        <v>555</v>
      </c>
      <c r="U14" s="1" t="s">
        <v>60</v>
      </c>
      <c r="V14" s="1" t="s">
        <v>579</v>
      </c>
      <c r="W14" s="1" t="s">
        <v>503</v>
      </c>
      <c r="X14" s="1" t="s">
        <v>580</v>
      </c>
      <c r="Y14" s="1" t="s">
        <v>530</v>
      </c>
      <c r="Z14" s="1" t="s">
        <v>387</v>
      </c>
      <c r="AA14" s="1" t="s">
        <v>387</v>
      </c>
      <c r="AB14" s="1" t="s">
        <v>568</v>
      </c>
      <c r="AC14" s="1" t="s">
        <v>557</v>
      </c>
      <c r="AD14" s="1" t="s">
        <v>383</v>
      </c>
      <c r="AE14" s="1" t="s">
        <v>581</v>
      </c>
      <c r="AF14" s="1" t="s">
        <v>582</v>
      </c>
      <c r="AG14" s="1" t="s">
        <v>583</v>
      </c>
      <c r="AL14" s="2" t="s">
        <v>584</v>
      </c>
      <c r="AM14" s="2" t="s">
        <v>585</v>
      </c>
      <c r="AN14" s="2" t="s">
        <v>560</v>
      </c>
      <c r="AO14" s="2" t="s">
        <v>586</v>
      </c>
      <c r="AP14" s="2" t="s">
        <v>524</v>
      </c>
      <c r="AQ14" s="2" t="s">
        <v>587</v>
      </c>
      <c r="AR14" s="2"/>
      <c r="AS14" s="2"/>
      <c r="AT14" s="5" t="s">
        <v>584</v>
      </c>
      <c r="AU14" s="6" t="s">
        <v>533</v>
      </c>
      <c r="AV14" s="5" t="s">
        <v>542</v>
      </c>
      <c r="AW14" s="4" t="s">
        <v>503</v>
      </c>
      <c r="AX14" s="7" t="s">
        <v>490</v>
      </c>
      <c r="AY14" s="6" t="s">
        <v>571</v>
      </c>
      <c r="AZ14" s="2"/>
      <c r="BC14" s="2"/>
    </row>
    <row r="15" spans="1:55" x14ac:dyDescent="0.5">
      <c r="G15" t="s">
        <v>454</v>
      </c>
      <c r="H15" t="s">
        <v>454</v>
      </c>
      <c r="I15" t="s">
        <v>454</v>
      </c>
      <c r="J15" t="s">
        <v>454</v>
      </c>
      <c r="L15" s="1" t="s">
        <v>573</v>
      </c>
      <c r="M15" s="1" t="s">
        <v>529</v>
      </c>
      <c r="N15" s="1" t="s">
        <v>575</v>
      </c>
      <c r="O15" s="1" t="s">
        <v>386</v>
      </c>
      <c r="P15" s="1" t="s">
        <v>524</v>
      </c>
      <c r="Q15" s="1" t="s">
        <v>478</v>
      </c>
      <c r="S15" s="1" t="s">
        <v>573</v>
      </c>
      <c r="T15" s="1" t="s">
        <v>529</v>
      </c>
      <c r="U15" s="1" t="s">
        <v>575</v>
      </c>
      <c r="V15" s="1" t="s">
        <v>386</v>
      </c>
      <c r="W15" s="1" t="s">
        <v>524</v>
      </c>
      <c r="X15" s="1" t="s">
        <v>478</v>
      </c>
      <c r="Y15" s="1" t="s">
        <v>491</v>
      </c>
      <c r="Z15" s="1" t="s">
        <v>588</v>
      </c>
      <c r="AA15" s="1" t="s">
        <v>589</v>
      </c>
      <c r="AB15" s="1" t="s">
        <v>60</v>
      </c>
      <c r="AC15" s="1" t="s">
        <v>509</v>
      </c>
      <c r="AD15" s="1" t="s">
        <v>590</v>
      </c>
      <c r="AE15" s="1" t="s">
        <v>504</v>
      </c>
      <c r="AF15" s="1" t="s">
        <v>591</v>
      </c>
      <c r="AG15" s="1" t="s">
        <v>592</v>
      </c>
      <c r="AL15" s="2" t="s">
        <v>593</v>
      </c>
      <c r="AM15" s="2" t="s">
        <v>594</v>
      </c>
      <c r="AN15" s="2" t="s">
        <v>595</v>
      </c>
      <c r="AO15" s="2" t="s">
        <v>596</v>
      </c>
      <c r="AP15" s="2" t="s">
        <v>597</v>
      </c>
      <c r="AQ15" s="2" t="s">
        <v>598</v>
      </c>
      <c r="AR15" s="2"/>
      <c r="AS15" s="2"/>
      <c r="AT15" s="4" t="s">
        <v>593</v>
      </c>
      <c r="AU15" s="7" t="s">
        <v>544</v>
      </c>
      <c r="AV15" s="6" t="s">
        <v>485</v>
      </c>
      <c r="AW15" s="7" t="s">
        <v>524</v>
      </c>
      <c r="AX15" s="7" t="s">
        <v>515</v>
      </c>
      <c r="AY15" s="6" t="s">
        <v>581</v>
      </c>
      <c r="AZ15" s="2"/>
      <c r="BC15" s="2"/>
    </row>
    <row r="16" spans="1:55" x14ac:dyDescent="0.5">
      <c r="G16" t="s">
        <v>455</v>
      </c>
      <c r="H16" t="s">
        <v>455</v>
      </c>
      <c r="I16" t="s">
        <v>455</v>
      </c>
      <c r="J16" t="s">
        <v>455</v>
      </c>
      <c r="L16" s="1" t="s">
        <v>389</v>
      </c>
      <c r="M16" s="1" t="s">
        <v>60</v>
      </c>
      <c r="N16" s="1" t="s">
        <v>599</v>
      </c>
      <c r="O16" s="1" t="s">
        <v>600</v>
      </c>
      <c r="P16" s="1" t="s">
        <v>601</v>
      </c>
      <c r="Q16" s="1" t="s">
        <v>556</v>
      </c>
      <c r="S16" s="1" t="s">
        <v>389</v>
      </c>
      <c r="T16" s="1" t="s">
        <v>60</v>
      </c>
      <c r="U16" s="1" t="s">
        <v>599</v>
      </c>
      <c r="V16" s="1" t="s">
        <v>600</v>
      </c>
      <c r="W16" s="1" t="s">
        <v>601</v>
      </c>
      <c r="X16" s="1" t="s">
        <v>556</v>
      </c>
      <c r="Y16" s="1" t="s">
        <v>602</v>
      </c>
      <c r="Z16" s="1" t="s">
        <v>575</v>
      </c>
      <c r="AA16" s="1" t="s">
        <v>603</v>
      </c>
      <c r="AB16" s="1" t="s">
        <v>604</v>
      </c>
      <c r="AC16" s="1" t="s">
        <v>600</v>
      </c>
      <c r="AD16" s="1" t="s">
        <v>605</v>
      </c>
      <c r="AE16" s="1" t="s">
        <v>606</v>
      </c>
      <c r="AF16" s="1" t="s">
        <v>607</v>
      </c>
      <c r="AG16" s="1" t="s">
        <v>605</v>
      </c>
      <c r="AL16" s="2" t="s">
        <v>608</v>
      </c>
      <c r="AM16" s="2" t="s">
        <v>609</v>
      </c>
      <c r="AN16" s="2" t="s">
        <v>578</v>
      </c>
      <c r="AO16" s="2" t="s">
        <v>603</v>
      </c>
      <c r="AP16" s="2" t="s">
        <v>601</v>
      </c>
      <c r="AQ16" s="2" t="s">
        <v>610</v>
      </c>
      <c r="AR16" s="2"/>
      <c r="AS16" s="2"/>
      <c r="AT16" s="5" t="s">
        <v>608</v>
      </c>
      <c r="AU16" s="5" t="s">
        <v>519</v>
      </c>
      <c r="AV16" s="6" t="s">
        <v>491</v>
      </c>
      <c r="AW16" s="4" t="s">
        <v>519</v>
      </c>
      <c r="AX16" s="7" t="s">
        <v>516</v>
      </c>
      <c r="AY16" s="6" t="s">
        <v>504</v>
      </c>
      <c r="AZ16" s="2"/>
      <c r="BC16" s="2"/>
    </row>
    <row r="17" spans="7:55" x14ac:dyDescent="0.5">
      <c r="G17" t="s">
        <v>456</v>
      </c>
      <c r="H17" t="s">
        <v>456</v>
      </c>
      <c r="I17" t="s">
        <v>456</v>
      </c>
      <c r="J17" t="s">
        <v>456</v>
      </c>
      <c r="L17" s="1" t="s">
        <v>611</v>
      </c>
      <c r="M17" s="1" t="s">
        <v>389</v>
      </c>
      <c r="N17" s="1" t="s">
        <v>560</v>
      </c>
      <c r="O17" s="1" t="s">
        <v>612</v>
      </c>
      <c r="P17" s="1" t="s">
        <v>613</v>
      </c>
      <c r="Q17" s="1" t="s">
        <v>565</v>
      </c>
      <c r="S17" s="1" t="s">
        <v>611</v>
      </c>
      <c r="T17" s="1" t="s">
        <v>389</v>
      </c>
      <c r="U17" s="1" t="s">
        <v>560</v>
      </c>
      <c r="V17" s="1" t="s">
        <v>612</v>
      </c>
      <c r="W17" s="1" t="s">
        <v>613</v>
      </c>
      <c r="X17" s="1" t="s">
        <v>565</v>
      </c>
      <c r="Y17" s="1" t="s">
        <v>614</v>
      </c>
      <c r="Z17" s="1" t="s">
        <v>615</v>
      </c>
      <c r="AA17" s="1" t="s">
        <v>615</v>
      </c>
      <c r="AB17" s="1" t="s">
        <v>615</v>
      </c>
      <c r="AC17" s="1" t="s">
        <v>568</v>
      </c>
      <c r="AD17" s="1" t="s">
        <v>509</v>
      </c>
      <c r="AE17" s="1" t="s">
        <v>478</v>
      </c>
      <c r="AF17" s="1" t="s">
        <v>616</v>
      </c>
      <c r="AG17" s="1" t="s">
        <v>557</v>
      </c>
      <c r="AL17" s="2" t="s">
        <v>617</v>
      </c>
      <c r="AM17" s="2" t="s">
        <v>618</v>
      </c>
      <c r="AN17" s="2" t="s">
        <v>619</v>
      </c>
      <c r="AO17" s="2" t="s">
        <v>560</v>
      </c>
      <c r="AP17" s="2" t="s">
        <v>523</v>
      </c>
      <c r="AQ17" s="2" t="s">
        <v>620</v>
      </c>
      <c r="AR17" s="2"/>
      <c r="AS17" s="2"/>
      <c r="AT17" s="4" t="s">
        <v>617</v>
      </c>
      <c r="AU17" s="6" t="s">
        <v>554</v>
      </c>
      <c r="AV17" s="7" t="s">
        <v>496</v>
      </c>
      <c r="AW17" s="5" t="s">
        <v>386</v>
      </c>
      <c r="AX17" s="7" t="s">
        <v>447</v>
      </c>
      <c r="AY17" s="6" t="s">
        <v>497</v>
      </c>
      <c r="AZ17" s="2"/>
      <c r="BC17" s="2"/>
    </row>
    <row r="18" spans="7:55" x14ac:dyDescent="0.5">
      <c r="L18" s="1" t="s">
        <v>621</v>
      </c>
      <c r="M18" s="1" t="s">
        <v>621</v>
      </c>
      <c r="N18" s="1" t="s">
        <v>622</v>
      </c>
      <c r="O18" s="1" t="s">
        <v>586</v>
      </c>
      <c r="P18" s="1" t="s">
        <v>579</v>
      </c>
      <c r="Q18" s="1" t="s">
        <v>623</v>
      </c>
      <c r="S18" s="1" t="s">
        <v>621</v>
      </c>
      <c r="T18" s="1" t="s">
        <v>621</v>
      </c>
      <c r="U18" s="1" t="s">
        <v>622</v>
      </c>
      <c r="V18" s="1" t="s">
        <v>586</v>
      </c>
      <c r="W18" s="1" t="s">
        <v>579</v>
      </c>
      <c r="X18" s="1" t="s">
        <v>623</v>
      </c>
      <c r="Y18" s="1" t="s">
        <v>382</v>
      </c>
      <c r="Z18" s="1" t="s">
        <v>624</v>
      </c>
      <c r="AA18" s="1" t="s">
        <v>625</v>
      </c>
      <c r="AB18" s="1" t="s">
        <v>626</v>
      </c>
      <c r="AC18" s="1" t="s">
        <v>387</v>
      </c>
      <c r="AD18" s="1" t="s">
        <v>519</v>
      </c>
      <c r="AE18" s="1" t="s">
        <v>627</v>
      </c>
      <c r="AF18" s="1" t="s">
        <v>391</v>
      </c>
      <c r="AG18" s="1" t="s">
        <v>564</v>
      </c>
      <c r="AL18" s="2" t="s">
        <v>628</v>
      </c>
      <c r="AM18" s="2" t="s">
        <v>629</v>
      </c>
      <c r="AN18" s="2" t="s">
        <v>630</v>
      </c>
      <c r="AO18" s="2" t="s">
        <v>631</v>
      </c>
      <c r="AP18" s="2" t="s">
        <v>544</v>
      </c>
      <c r="AQ18" s="2" t="s">
        <v>632</v>
      </c>
      <c r="AR18" s="2"/>
      <c r="AS18" s="2"/>
      <c r="AT18" s="5" t="s">
        <v>628</v>
      </c>
      <c r="AU18" s="7" t="s">
        <v>559</v>
      </c>
      <c r="AV18" s="6" t="s">
        <v>382</v>
      </c>
      <c r="AW18" s="4" t="s">
        <v>545</v>
      </c>
      <c r="AX18" s="7" t="s">
        <v>571</v>
      </c>
      <c r="AY18" s="6" t="s">
        <v>478</v>
      </c>
      <c r="AZ18" s="2"/>
      <c r="BC18" s="2"/>
    </row>
    <row r="19" spans="7:55" x14ac:dyDescent="0.5">
      <c r="G19" t="s">
        <v>439</v>
      </c>
      <c r="H19" t="s">
        <v>633</v>
      </c>
      <c r="I19" t="s">
        <v>482</v>
      </c>
      <c r="L19" s="1" t="s">
        <v>621</v>
      </c>
      <c r="M19" s="1" t="s">
        <v>98</v>
      </c>
      <c r="N19" s="1" t="s">
        <v>595</v>
      </c>
      <c r="O19" s="1" t="s">
        <v>582</v>
      </c>
      <c r="P19" s="1" t="s">
        <v>634</v>
      </c>
      <c r="Q19" s="1" t="s">
        <v>635</v>
      </c>
      <c r="S19" s="1" t="s">
        <v>621</v>
      </c>
      <c r="T19" s="1" t="s">
        <v>98</v>
      </c>
      <c r="U19" s="1" t="s">
        <v>595</v>
      </c>
      <c r="V19" s="1" t="s">
        <v>582</v>
      </c>
      <c r="W19" s="1" t="s">
        <v>634</v>
      </c>
      <c r="X19" s="1" t="s">
        <v>635</v>
      </c>
      <c r="Y19" s="1" t="s">
        <v>524</v>
      </c>
      <c r="Z19" s="1" t="s">
        <v>636</v>
      </c>
      <c r="AA19" s="1" t="s">
        <v>637</v>
      </c>
      <c r="AB19" s="1" t="s">
        <v>595</v>
      </c>
      <c r="AC19" s="1" t="s">
        <v>596</v>
      </c>
      <c r="AD19" s="1" t="s">
        <v>529</v>
      </c>
      <c r="AE19" s="1" t="s">
        <v>638</v>
      </c>
      <c r="AF19" s="1" t="s">
        <v>104</v>
      </c>
      <c r="AG19" s="1" t="s">
        <v>596</v>
      </c>
      <c r="AL19" s="2" t="s">
        <v>639</v>
      </c>
      <c r="AM19" s="2" t="s">
        <v>628</v>
      </c>
      <c r="AN19" s="2" t="s">
        <v>104</v>
      </c>
      <c r="AO19" s="2" t="s">
        <v>640</v>
      </c>
      <c r="AP19" s="2" t="s">
        <v>613</v>
      </c>
      <c r="AQ19" s="2" t="s">
        <v>641</v>
      </c>
      <c r="AR19" s="2"/>
      <c r="AS19" s="2"/>
      <c r="AT19" s="4" t="s">
        <v>639</v>
      </c>
      <c r="AU19" s="6" t="s">
        <v>555</v>
      </c>
      <c r="AV19" s="7" t="s">
        <v>518</v>
      </c>
      <c r="AW19" s="4" t="s">
        <v>555</v>
      </c>
      <c r="AX19" s="6" t="s">
        <v>581</v>
      </c>
      <c r="AY19" s="6" t="s">
        <v>539</v>
      </c>
      <c r="AZ19" s="2"/>
      <c r="BC19" s="2"/>
    </row>
    <row r="20" spans="7:55" x14ac:dyDescent="0.5">
      <c r="G20" t="s">
        <v>457</v>
      </c>
      <c r="H20" t="s">
        <v>457</v>
      </c>
      <c r="I20" t="s">
        <v>457</v>
      </c>
      <c r="L20" s="1" t="s">
        <v>642</v>
      </c>
      <c r="M20" s="1" t="s">
        <v>643</v>
      </c>
      <c r="N20" s="1" t="s">
        <v>552</v>
      </c>
      <c r="O20" s="1" t="s">
        <v>564</v>
      </c>
      <c r="P20" s="1" t="s">
        <v>386</v>
      </c>
      <c r="Q20" s="1" t="s">
        <v>644</v>
      </c>
      <c r="S20" s="1" t="s">
        <v>642</v>
      </c>
      <c r="T20" s="1" t="s">
        <v>643</v>
      </c>
      <c r="U20" s="1" t="s">
        <v>552</v>
      </c>
      <c r="V20" s="1" t="s">
        <v>564</v>
      </c>
      <c r="W20" s="1" t="s">
        <v>386</v>
      </c>
      <c r="X20" s="1" t="s">
        <v>644</v>
      </c>
      <c r="Y20" s="1" t="s">
        <v>590</v>
      </c>
      <c r="Z20" s="1" t="s">
        <v>578</v>
      </c>
      <c r="AA20" s="1" t="s">
        <v>637</v>
      </c>
      <c r="AB20" s="1" t="s">
        <v>645</v>
      </c>
      <c r="AC20" s="1" t="s">
        <v>560</v>
      </c>
      <c r="AD20" s="1" t="s">
        <v>596</v>
      </c>
      <c r="AE20" s="1" t="s">
        <v>646</v>
      </c>
      <c r="AF20" s="1" t="s">
        <v>647</v>
      </c>
      <c r="AG20" s="1" t="s">
        <v>625</v>
      </c>
      <c r="AL20" s="2" t="s">
        <v>648</v>
      </c>
      <c r="AM20" s="2" t="s">
        <v>648</v>
      </c>
      <c r="AN20" s="2" t="s">
        <v>629</v>
      </c>
      <c r="AO20" s="2" t="s">
        <v>389</v>
      </c>
      <c r="AP20" s="2" t="s">
        <v>579</v>
      </c>
      <c r="AQ20" s="2" t="s">
        <v>404</v>
      </c>
      <c r="AR20" s="2"/>
      <c r="AS20" s="2"/>
      <c r="AT20" s="5" t="s">
        <v>648</v>
      </c>
      <c r="AU20" s="4" t="s">
        <v>529</v>
      </c>
      <c r="AV20" s="7" t="s">
        <v>524</v>
      </c>
      <c r="AW20" s="4" t="s">
        <v>564</v>
      </c>
      <c r="AX20" s="6" t="s">
        <v>504</v>
      </c>
      <c r="AY20" s="6" t="s">
        <v>638</v>
      </c>
      <c r="AZ20" s="2"/>
      <c r="BC20" s="2"/>
    </row>
    <row r="21" spans="7:55" x14ac:dyDescent="0.5">
      <c r="G21" t="s">
        <v>458</v>
      </c>
      <c r="H21" t="s">
        <v>458</v>
      </c>
      <c r="I21" t="s">
        <v>458</v>
      </c>
      <c r="L21" s="1" t="s">
        <v>394</v>
      </c>
      <c r="M21" s="1" t="s">
        <v>574</v>
      </c>
      <c r="N21" s="1" t="s">
        <v>649</v>
      </c>
      <c r="O21" s="1" t="s">
        <v>596</v>
      </c>
      <c r="P21" s="1" t="s">
        <v>554</v>
      </c>
      <c r="Q21" s="1" t="s">
        <v>592</v>
      </c>
      <c r="S21" s="1" t="s">
        <v>394</v>
      </c>
      <c r="T21" s="1" t="s">
        <v>574</v>
      </c>
      <c r="U21" s="1" t="s">
        <v>649</v>
      </c>
      <c r="V21" s="1" t="s">
        <v>596</v>
      </c>
      <c r="W21" s="1" t="s">
        <v>554</v>
      </c>
      <c r="X21" s="1" t="s">
        <v>592</v>
      </c>
      <c r="Y21" s="1" t="s">
        <v>506</v>
      </c>
      <c r="Z21" s="1" t="s">
        <v>621</v>
      </c>
      <c r="AA21" s="1" t="s">
        <v>650</v>
      </c>
      <c r="AB21" s="1" t="s">
        <v>651</v>
      </c>
      <c r="AC21" s="1" t="s">
        <v>595</v>
      </c>
      <c r="AD21" s="1" t="s">
        <v>560</v>
      </c>
      <c r="AE21" s="1" t="s">
        <v>652</v>
      </c>
      <c r="AF21" s="1" t="s">
        <v>653</v>
      </c>
      <c r="AG21" s="1" t="s">
        <v>654</v>
      </c>
      <c r="AL21" s="2" t="s">
        <v>655</v>
      </c>
      <c r="AM21" s="2" t="s">
        <v>656</v>
      </c>
      <c r="AN21" s="2" t="s">
        <v>657</v>
      </c>
      <c r="AO21" s="2" t="s">
        <v>621</v>
      </c>
      <c r="AP21" s="2" t="s">
        <v>538</v>
      </c>
      <c r="AQ21" s="2" t="s">
        <v>658</v>
      </c>
      <c r="AR21" s="2"/>
      <c r="AS21" s="2"/>
      <c r="AT21" s="4" t="s">
        <v>655</v>
      </c>
      <c r="AU21" s="6" t="s">
        <v>60</v>
      </c>
      <c r="AV21" s="6" t="s">
        <v>506</v>
      </c>
      <c r="AW21" s="4" t="s">
        <v>60</v>
      </c>
      <c r="AX21" s="7" t="s">
        <v>606</v>
      </c>
      <c r="AY21" s="6" t="s">
        <v>382</v>
      </c>
      <c r="AZ21" s="2"/>
      <c r="BC21" s="2"/>
    </row>
    <row r="22" spans="7:55" x14ac:dyDescent="0.5">
      <c r="G22" t="s">
        <v>459</v>
      </c>
      <c r="H22" t="s">
        <v>459</v>
      </c>
      <c r="I22" t="s">
        <v>459</v>
      </c>
      <c r="L22" s="1" t="s">
        <v>104</v>
      </c>
      <c r="M22" s="1" t="s">
        <v>607</v>
      </c>
      <c r="N22" s="1" t="s">
        <v>659</v>
      </c>
      <c r="O22" s="1" t="s">
        <v>659</v>
      </c>
      <c r="P22" s="1" t="s">
        <v>660</v>
      </c>
      <c r="Q22" s="1" t="s">
        <v>661</v>
      </c>
      <c r="S22" s="1" t="s">
        <v>104</v>
      </c>
      <c r="T22" s="1" t="s">
        <v>607</v>
      </c>
      <c r="U22" s="1" t="s">
        <v>659</v>
      </c>
      <c r="V22" s="1" t="s">
        <v>659</v>
      </c>
      <c r="W22" s="1" t="s">
        <v>660</v>
      </c>
      <c r="X22" s="1" t="s">
        <v>661</v>
      </c>
      <c r="Y22" s="1" t="s">
        <v>592</v>
      </c>
      <c r="Z22" s="1" t="s">
        <v>662</v>
      </c>
      <c r="AA22" s="1" t="s">
        <v>631</v>
      </c>
      <c r="AB22" s="1" t="s">
        <v>654</v>
      </c>
      <c r="AC22" s="1" t="s">
        <v>663</v>
      </c>
      <c r="AD22" s="1" t="s">
        <v>664</v>
      </c>
      <c r="AE22" s="1" t="s">
        <v>665</v>
      </c>
      <c r="AF22" s="1" t="s">
        <v>666</v>
      </c>
      <c r="AG22" s="1" t="s">
        <v>667</v>
      </c>
      <c r="AL22" s="2" t="s">
        <v>668</v>
      </c>
      <c r="AM22" s="2" t="s">
        <v>669</v>
      </c>
      <c r="AN22" s="2" t="s">
        <v>670</v>
      </c>
      <c r="AO22" s="2" t="s">
        <v>609</v>
      </c>
      <c r="AP22" s="2" t="s">
        <v>519</v>
      </c>
      <c r="AT22" s="4" t="s">
        <v>656</v>
      </c>
      <c r="AU22" s="6" t="s">
        <v>540</v>
      </c>
      <c r="AV22" s="7" t="s">
        <v>561</v>
      </c>
      <c r="AW22" s="4" t="s">
        <v>575</v>
      </c>
      <c r="AX22" s="7" t="s">
        <v>497</v>
      </c>
      <c r="AY22" s="6" t="s">
        <v>503</v>
      </c>
    </row>
    <row r="23" spans="7:55" x14ac:dyDescent="0.5">
      <c r="G23" t="s">
        <v>460</v>
      </c>
      <c r="H23" t="s">
        <v>460</v>
      </c>
      <c r="I23" t="s">
        <v>460</v>
      </c>
      <c r="L23" s="1" t="s">
        <v>594</v>
      </c>
      <c r="M23" s="1" t="s">
        <v>585</v>
      </c>
      <c r="N23" s="1" t="s">
        <v>659</v>
      </c>
      <c r="O23" s="1" t="s">
        <v>621</v>
      </c>
      <c r="P23" s="1" t="s">
        <v>387</v>
      </c>
      <c r="Q23" s="1" t="s">
        <v>523</v>
      </c>
      <c r="S23" s="1" t="s">
        <v>594</v>
      </c>
      <c r="T23" s="1" t="s">
        <v>585</v>
      </c>
      <c r="U23" s="1" t="s">
        <v>659</v>
      </c>
      <c r="V23" s="1" t="s">
        <v>621</v>
      </c>
      <c r="W23" s="1" t="s">
        <v>387</v>
      </c>
      <c r="X23" s="1" t="s">
        <v>523</v>
      </c>
      <c r="Y23" s="1" t="s">
        <v>384</v>
      </c>
      <c r="Z23" s="1" t="s">
        <v>574</v>
      </c>
      <c r="AA23" s="1" t="s">
        <v>671</v>
      </c>
      <c r="AB23" s="1" t="s">
        <v>672</v>
      </c>
      <c r="AC23" s="1" t="s">
        <v>673</v>
      </c>
      <c r="AD23" s="1" t="s">
        <v>663</v>
      </c>
      <c r="AE23" s="1" t="s">
        <v>674</v>
      </c>
      <c r="AF23" s="1" t="s">
        <v>577</v>
      </c>
      <c r="AG23" s="1" t="s">
        <v>675</v>
      </c>
      <c r="AL23" s="2" t="s">
        <v>676</v>
      </c>
      <c r="AM23" s="2" t="s">
        <v>653</v>
      </c>
      <c r="AN23" s="2" t="s">
        <v>398</v>
      </c>
      <c r="AO23" s="2" t="s">
        <v>677</v>
      </c>
      <c r="AP23" s="2" t="s">
        <v>678</v>
      </c>
      <c r="AT23" s="5" t="s">
        <v>668</v>
      </c>
      <c r="AU23" s="6" t="s">
        <v>552</v>
      </c>
      <c r="AV23" s="7" t="s">
        <v>523</v>
      </c>
      <c r="AW23" s="6" t="s">
        <v>599</v>
      </c>
      <c r="AX23" s="6" t="s">
        <v>478</v>
      </c>
      <c r="AY23" s="6" t="s">
        <v>518</v>
      </c>
    </row>
    <row r="24" spans="7:55" x14ac:dyDescent="0.5">
      <c r="G24" t="s">
        <v>461</v>
      </c>
      <c r="H24" t="s">
        <v>461</v>
      </c>
      <c r="I24" t="s">
        <v>461</v>
      </c>
      <c r="L24" s="1" t="s">
        <v>593</v>
      </c>
      <c r="M24" s="1" t="s">
        <v>394</v>
      </c>
      <c r="N24" s="1" t="s">
        <v>64</v>
      </c>
      <c r="O24" s="1" t="s">
        <v>679</v>
      </c>
      <c r="P24" s="1" t="s">
        <v>60</v>
      </c>
      <c r="Q24" s="1" t="s">
        <v>527</v>
      </c>
      <c r="S24" s="1" t="s">
        <v>593</v>
      </c>
      <c r="T24" s="1" t="s">
        <v>394</v>
      </c>
      <c r="U24" s="1" t="s">
        <v>64</v>
      </c>
      <c r="V24" s="1" t="s">
        <v>679</v>
      </c>
      <c r="W24" s="1" t="s">
        <v>60</v>
      </c>
      <c r="X24" s="1" t="s">
        <v>527</v>
      </c>
      <c r="Y24" s="1" t="s">
        <v>548</v>
      </c>
      <c r="Z24" s="1" t="s">
        <v>607</v>
      </c>
      <c r="AA24" s="1" t="s">
        <v>680</v>
      </c>
      <c r="AB24" s="1" t="s">
        <v>681</v>
      </c>
      <c r="AC24" s="1" t="s">
        <v>649</v>
      </c>
      <c r="AD24" s="1" t="s">
        <v>682</v>
      </c>
      <c r="AE24" s="1" t="s">
        <v>560</v>
      </c>
      <c r="AF24" s="1" t="s">
        <v>683</v>
      </c>
      <c r="AG24" s="1" t="s">
        <v>684</v>
      </c>
      <c r="AL24" s="2" t="s">
        <v>685</v>
      </c>
      <c r="AM24" s="2" t="s">
        <v>686</v>
      </c>
      <c r="AN24" s="2" t="s">
        <v>687</v>
      </c>
      <c r="AO24" s="2" t="s">
        <v>688</v>
      </c>
      <c r="AP24" s="2" t="s">
        <v>60</v>
      </c>
      <c r="AT24" s="4" t="s">
        <v>676</v>
      </c>
      <c r="AU24" s="6" t="s">
        <v>389</v>
      </c>
      <c r="AV24" s="6" t="s">
        <v>527</v>
      </c>
      <c r="AW24" s="5" t="s">
        <v>560</v>
      </c>
      <c r="AX24" s="6" t="s">
        <v>528</v>
      </c>
      <c r="AY24" s="6" t="s">
        <v>572</v>
      </c>
    </row>
    <row r="25" spans="7:55" x14ac:dyDescent="0.5">
      <c r="G25" t="s">
        <v>689</v>
      </c>
      <c r="H25" t="s">
        <v>689</v>
      </c>
      <c r="I25" t="s">
        <v>689</v>
      </c>
      <c r="L25" s="1" t="s">
        <v>690</v>
      </c>
      <c r="M25" s="1" t="s">
        <v>104</v>
      </c>
      <c r="N25" s="1" t="s">
        <v>679</v>
      </c>
      <c r="O25" s="1" t="s">
        <v>677</v>
      </c>
      <c r="P25" s="1" t="s">
        <v>625</v>
      </c>
      <c r="Q25" s="1" t="s">
        <v>691</v>
      </c>
      <c r="S25" s="1" t="s">
        <v>690</v>
      </c>
      <c r="T25" s="1" t="s">
        <v>104</v>
      </c>
      <c r="U25" s="1" t="s">
        <v>679</v>
      </c>
      <c r="V25" s="1" t="s">
        <v>677</v>
      </c>
      <c r="W25" s="1" t="s">
        <v>625</v>
      </c>
      <c r="X25" s="1" t="s">
        <v>691</v>
      </c>
      <c r="Y25" s="1" t="s">
        <v>692</v>
      </c>
      <c r="Z25" s="1" t="s">
        <v>693</v>
      </c>
      <c r="AA25" s="1" t="s">
        <v>389</v>
      </c>
      <c r="AB25" s="1" t="s">
        <v>694</v>
      </c>
      <c r="AC25" s="1" t="s">
        <v>64</v>
      </c>
      <c r="AD25" s="1" t="s">
        <v>394</v>
      </c>
      <c r="AE25" s="1" t="s">
        <v>695</v>
      </c>
      <c r="AF25" s="1" t="s">
        <v>685</v>
      </c>
      <c r="AG25" s="1" t="s">
        <v>397</v>
      </c>
      <c r="AL25" s="2" t="s">
        <v>686</v>
      </c>
      <c r="AM25" s="2" t="s">
        <v>696</v>
      </c>
      <c r="AN25" s="2" t="s">
        <v>401</v>
      </c>
      <c r="AO25" s="2" t="s">
        <v>697</v>
      </c>
      <c r="AP25" s="2" t="s">
        <v>649</v>
      </c>
      <c r="AT25" s="5" t="s">
        <v>685</v>
      </c>
      <c r="AU25" s="6" t="s">
        <v>621</v>
      </c>
      <c r="AV25" s="7" t="s">
        <v>544</v>
      </c>
      <c r="AW25" s="6" t="s">
        <v>622</v>
      </c>
      <c r="AX25" s="6" t="s">
        <v>627</v>
      </c>
      <c r="AY25" s="6" t="s">
        <v>583</v>
      </c>
    </row>
    <row r="26" spans="7:55" x14ac:dyDescent="0.5">
      <c r="L26" s="1" t="s">
        <v>639</v>
      </c>
      <c r="M26" s="1" t="s">
        <v>698</v>
      </c>
      <c r="N26" s="1" t="s">
        <v>594</v>
      </c>
      <c r="O26" s="1" t="s">
        <v>699</v>
      </c>
      <c r="P26" s="1" t="s">
        <v>695</v>
      </c>
      <c r="Q26" s="1" t="s">
        <v>544</v>
      </c>
      <c r="S26" s="1" t="s">
        <v>639</v>
      </c>
      <c r="T26" s="1" t="s">
        <v>698</v>
      </c>
      <c r="U26" s="1" t="s">
        <v>594</v>
      </c>
      <c r="V26" s="1" t="s">
        <v>699</v>
      </c>
      <c r="W26" s="1" t="s">
        <v>695</v>
      </c>
      <c r="X26" s="1" t="s">
        <v>544</v>
      </c>
      <c r="Y26" s="1" t="s">
        <v>519</v>
      </c>
      <c r="Z26" s="1" t="s">
        <v>394</v>
      </c>
      <c r="AA26" s="1" t="s">
        <v>700</v>
      </c>
      <c r="AB26" s="1" t="s">
        <v>394</v>
      </c>
      <c r="AC26" s="1" t="s">
        <v>621</v>
      </c>
      <c r="AD26" s="1" t="s">
        <v>698</v>
      </c>
      <c r="AE26" s="1" t="s">
        <v>663</v>
      </c>
      <c r="AF26" s="1" t="s">
        <v>686</v>
      </c>
      <c r="AG26" s="1" t="s">
        <v>701</v>
      </c>
      <c r="AL26" s="2" t="s">
        <v>686</v>
      </c>
      <c r="AM26" s="2" t="s">
        <v>702</v>
      </c>
      <c r="AN26" s="2" t="s">
        <v>696</v>
      </c>
      <c r="AO26" s="2" t="s">
        <v>648</v>
      </c>
      <c r="AP26" s="2" t="s">
        <v>64</v>
      </c>
      <c r="AT26" s="4" t="s">
        <v>686</v>
      </c>
      <c r="AU26" s="6" t="s">
        <v>98</v>
      </c>
      <c r="AV26" s="6" t="s">
        <v>579</v>
      </c>
      <c r="AW26" s="7" t="s">
        <v>595</v>
      </c>
      <c r="AX26" s="6" t="s">
        <v>539</v>
      </c>
      <c r="AY26" s="6" t="s">
        <v>527</v>
      </c>
    </row>
    <row r="27" spans="7:55" x14ac:dyDescent="0.5">
      <c r="L27" s="1" t="s">
        <v>703</v>
      </c>
      <c r="M27" s="1" t="s">
        <v>609</v>
      </c>
      <c r="N27" s="1" t="s">
        <v>698</v>
      </c>
      <c r="O27" s="1" t="s">
        <v>688</v>
      </c>
      <c r="P27" s="1" t="s">
        <v>573</v>
      </c>
      <c r="Q27" s="1" t="s">
        <v>613</v>
      </c>
      <c r="S27" s="1" t="s">
        <v>703</v>
      </c>
      <c r="T27" s="1" t="s">
        <v>609</v>
      </c>
      <c r="U27" s="1" t="s">
        <v>698</v>
      </c>
      <c r="V27" s="1" t="s">
        <v>688</v>
      </c>
      <c r="W27" s="1" t="s">
        <v>573</v>
      </c>
      <c r="X27" s="1" t="s">
        <v>613</v>
      </c>
      <c r="Y27" s="1" t="s">
        <v>600</v>
      </c>
      <c r="Z27" s="1" t="s">
        <v>104</v>
      </c>
      <c r="AA27" s="1" t="s">
        <v>704</v>
      </c>
      <c r="AB27" s="1" t="s">
        <v>62</v>
      </c>
      <c r="AC27" s="1" t="s">
        <v>693</v>
      </c>
      <c r="AD27" s="1" t="s">
        <v>705</v>
      </c>
      <c r="AE27" s="1" t="s">
        <v>649</v>
      </c>
      <c r="AF27" s="1" t="s">
        <v>706</v>
      </c>
      <c r="AG27" s="1" t="s">
        <v>707</v>
      </c>
      <c r="AL27" s="2" t="s">
        <v>708</v>
      </c>
      <c r="AM27" s="2" t="s">
        <v>709</v>
      </c>
      <c r="AN27" s="2" t="s">
        <v>710</v>
      </c>
      <c r="AO27" s="2" t="s">
        <v>711</v>
      </c>
      <c r="AP27" s="2" t="s">
        <v>679</v>
      </c>
      <c r="AT27" s="9" t="s">
        <v>708</v>
      </c>
      <c r="AU27" s="6" t="s">
        <v>643</v>
      </c>
      <c r="AV27" s="6" t="s">
        <v>519</v>
      </c>
      <c r="AW27" s="5" t="s">
        <v>578</v>
      </c>
      <c r="AX27" s="7" t="s">
        <v>550</v>
      </c>
      <c r="AY27" s="6" t="s">
        <v>674</v>
      </c>
    </row>
    <row r="28" spans="7:55" x14ac:dyDescent="0.5">
      <c r="L28" s="1" t="s">
        <v>648</v>
      </c>
      <c r="M28" s="1" t="s">
        <v>629</v>
      </c>
      <c r="N28" s="1" t="s">
        <v>629</v>
      </c>
      <c r="O28" s="1" t="s">
        <v>593</v>
      </c>
      <c r="P28" s="1" t="s">
        <v>389</v>
      </c>
      <c r="Q28" s="1" t="s">
        <v>579</v>
      </c>
      <c r="S28" s="1" t="s">
        <v>648</v>
      </c>
      <c r="T28" s="1" t="s">
        <v>629</v>
      </c>
      <c r="U28" s="1" t="s">
        <v>629</v>
      </c>
      <c r="V28" s="1" t="s">
        <v>593</v>
      </c>
      <c r="W28" s="1" t="s">
        <v>389</v>
      </c>
      <c r="X28" s="1" t="s">
        <v>579</v>
      </c>
      <c r="Y28" s="1" t="s">
        <v>568</v>
      </c>
      <c r="Z28" s="1" t="s">
        <v>677</v>
      </c>
      <c r="AA28" s="1" t="s">
        <v>64</v>
      </c>
      <c r="AB28" s="1" t="s">
        <v>712</v>
      </c>
      <c r="AC28" s="1" t="s">
        <v>394</v>
      </c>
      <c r="AD28" s="1" t="s">
        <v>713</v>
      </c>
      <c r="AE28" s="1" t="s">
        <v>704</v>
      </c>
      <c r="AF28" s="1" t="s">
        <v>696</v>
      </c>
      <c r="AG28" s="1" t="s">
        <v>714</v>
      </c>
      <c r="AL28" s="2"/>
      <c r="AM28" s="2"/>
      <c r="AN28" s="2" t="s">
        <v>715</v>
      </c>
      <c r="AO28" s="2" t="s">
        <v>653</v>
      </c>
      <c r="AP28" s="2" t="s">
        <v>98</v>
      </c>
      <c r="AT28" s="9"/>
      <c r="AU28" s="6" t="s">
        <v>574</v>
      </c>
      <c r="AV28" s="7" t="s">
        <v>386</v>
      </c>
      <c r="AW28" s="4" t="s">
        <v>619</v>
      </c>
      <c r="AX28" s="6" t="s">
        <v>638</v>
      </c>
      <c r="AY28" s="6" t="s">
        <v>557</v>
      </c>
    </row>
    <row r="29" spans="7:55" x14ac:dyDescent="0.5">
      <c r="L29" s="1" t="s">
        <v>716</v>
      </c>
      <c r="M29" s="1" t="s">
        <v>699</v>
      </c>
      <c r="N29" s="1" t="s">
        <v>688</v>
      </c>
      <c r="O29" s="1" t="s">
        <v>717</v>
      </c>
      <c r="P29" s="1" t="s">
        <v>718</v>
      </c>
      <c r="Q29" s="1" t="s">
        <v>538</v>
      </c>
      <c r="S29" s="1" t="s">
        <v>716</v>
      </c>
      <c r="T29" s="1" t="s">
        <v>699</v>
      </c>
      <c r="U29" s="1" t="s">
        <v>688</v>
      </c>
      <c r="V29" s="1" t="s">
        <v>717</v>
      </c>
      <c r="W29" s="1" t="s">
        <v>718</v>
      </c>
      <c r="X29" s="1" t="s">
        <v>538</v>
      </c>
      <c r="Y29" s="1" t="s">
        <v>589</v>
      </c>
      <c r="Z29" s="1" t="s">
        <v>719</v>
      </c>
      <c r="AA29" s="1" t="s">
        <v>607</v>
      </c>
      <c r="AB29" s="1" t="s">
        <v>677</v>
      </c>
      <c r="AC29" s="1" t="s">
        <v>720</v>
      </c>
      <c r="AD29" s="1" t="s">
        <v>721</v>
      </c>
      <c r="AE29" s="1" t="s">
        <v>397</v>
      </c>
      <c r="AF29" s="1" t="s">
        <v>722</v>
      </c>
      <c r="AG29" s="1" t="s">
        <v>407</v>
      </c>
      <c r="AL29" s="2"/>
      <c r="AN29" s="2" t="s">
        <v>723</v>
      </c>
      <c r="AO29" s="2" t="s">
        <v>724</v>
      </c>
      <c r="AP29" s="2" t="s">
        <v>681</v>
      </c>
      <c r="AU29" s="6" t="s">
        <v>607</v>
      </c>
      <c r="AV29" s="6" t="s">
        <v>576</v>
      </c>
      <c r="AW29" s="6" t="s">
        <v>552</v>
      </c>
      <c r="AX29" s="6" t="s">
        <v>382</v>
      </c>
      <c r="AY29" s="6" t="s">
        <v>538</v>
      </c>
    </row>
    <row r="30" spans="7:55" x14ac:dyDescent="0.5">
      <c r="L30" s="1" t="s">
        <v>711</v>
      </c>
      <c r="M30" s="1" t="s">
        <v>608</v>
      </c>
      <c r="N30" s="1" t="s">
        <v>593</v>
      </c>
      <c r="O30" s="1" t="s">
        <v>398</v>
      </c>
      <c r="P30" s="1" t="s">
        <v>725</v>
      </c>
      <c r="Q30" s="1" t="s">
        <v>538</v>
      </c>
      <c r="S30" s="1" t="s">
        <v>711</v>
      </c>
      <c r="T30" s="1" t="s">
        <v>608</v>
      </c>
      <c r="U30" s="1" t="s">
        <v>593</v>
      </c>
      <c r="V30" s="1" t="s">
        <v>398</v>
      </c>
      <c r="W30" s="1" t="s">
        <v>725</v>
      </c>
      <c r="X30" s="1" t="s">
        <v>538</v>
      </c>
      <c r="Y30" s="1" t="s">
        <v>726</v>
      </c>
      <c r="Z30" s="1" t="s">
        <v>699</v>
      </c>
      <c r="AA30" s="1" t="s">
        <v>727</v>
      </c>
      <c r="AB30" s="1" t="s">
        <v>728</v>
      </c>
      <c r="AC30" s="1" t="s">
        <v>729</v>
      </c>
      <c r="AD30" s="1" t="s">
        <v>676</v>
      </c>
      <c r="AE30" s="1" t="s">
        <v>730</v>
      </c>
      <c r="AL30" s="2"/>
      <c r="AN30" s="2" t="s">
        <v>731</v>
      </c>
      <c r="AO30" s="2" t="s">
        <v>732</v>
      </c>
      <c r="AP30" s="2" t="s">
        <v>391</v>
      </c>
      <c r="AU30" s="6" t="s">
        <v>585</v>
      </c>
      <c r="AV30" s="6" t="s">
        <v>600</v>
      </c>
      <c r="AW30" s="7" t="s">
        <v>649</v>
      </c>
      <c r="AX30" s="7" t="s">
        <v>503</v>
      </c>
      <c r="AY30" s="6" t="s">
        <v>545</v>
      </c>
    </row>
    <row r="31" spans="7:55" x14ac:dyDescent="0.5">
      <c r="L31" s="1" t="s">
        <v>670</v>
      </c>
      <c r="M31" s="1" t="s">
        <v>713</v>
      </c>
      <c r="N31" s="1" t="s">
        <v>657</v>
      </c>
      <c r="O31" s="1" t="s">
        <v>653</v>
      </c>
      <c r="P31" s="1" t="s">
        <v>391</v>
      </c>
      <c r="Q31" s="1" t="s">
        <v>545</v>
      </c>
      <c r="S31" s="1" t="s">
        <v>670</v>
      </c>
      <c r="T31" s="1" t="s">
        <v>713</v>
      </c>
      <c r="U31" s="1" t="s">
        <v>657</v>
      </c>
      <c r="V31" s="1" t="s">
        <v>653</v>
      </c>
      <c r="W31" s="1" t="s">
        <v>391</v>
      </c>
      <c r="X31" s="1" t="s">
        <v>545</v>
      </c>
      <c r="Y31" s="1" t="s">
        <v>695</v>
      </c>
      <c r="Z31" s="1" t="s">
        <v>729</v>
      </c>
      <c r="AA31" s="1" t="s">
        <v>393</v>
      </c>
      <c r="AB31" s="1" t="s">
        <v>729</v>
      </c>
      <c r="AC31" s="1" t="s">
        <v>648</v>
      </c>
      <c r="AD31" s="1" t="s">
        <v>733</v>
      </c>
      <c r="AE31" s="1" t="s">
        <v>734</v>
      </c>
      <c r="AL31" s="2"/>
      <c r="AN31" s="2" t="s">
        <v>405</v>
      </c>
      <c r="AO31" s="2" t="s">
        <v>735</v>
      </c>
      <c r="AP31" s="2" t="s">
        <v>736</v>
      </c>
      <c r="AU31" s="6" t="s">
        <v>394</v>
      </c>
      <c r="AV31" s="7" t="s">
        <v>545</v>
      </c>
      <c r="AW31" s="6" t="s">
        <v>659</v>
      </c>
      <c r="AX31" s="7" t="s">
        <v>518</v>
      </c>
      <c r="AY31" s="6" t="s">
        <v>582</v>
      </c>
    </row>
    <row r="32" spans="7:55" x14ac:dyDescent="0.5">
      <c r="L32" s="1" t="s">
        <v>653</v>
      </c>
      <c r="M32" s="1" t="s">
        <v>656</v>
      </c>
      <c r="N32" s="1" t="s">
        <v>396</v>
      </c>
      <c r="O32" s="1" t="s">
        <v>732</v>
      </c>
      <c r="P32" s="1" t="s">
        <v>392</v>
      </c>
      <c r="Q32" s="1" t="s">
        <v>529</v>
      </c>
      <c r="S32" s="1" t="s">
        <v>653</v>
      </c>
      <c r="T32" s="1" t="s">
        <v>656</v>
      </c>
      <c r="U32" s="1" t="s">
        <v>396</v>
      </c>
      <c r="V32" s="1" t="s">
        <v>732</v>
      </c>
      <c r="W32" s="1" t="s">
        <v>392</v>
      </c>
      <c r="X32" s="1" t="s">
        <v>529</v>
      </c>
      <c r="Y32" s="1" t="s">
        <v>663</v>
      </c>
      <c r="Z32" s="1" t="s">
        <v>737</v>
      </c>
      <c r="AA32" s="1" t="s">
        <v>642</v>
      </c>
      <c r="AB32" s="1" t="s">
        <v>738</v>
      </c>
      <c r="AC32" s="1" t="s">
        <v>739</v>
      </c>
      <c r="AD32" s="1" t="s">
        <v>706</v>
      </c>
      <c r="AE32" s="1" t="s">
        <v>740</v>
      </c>
      <c r="AL32" s="2"/>
      <c r="AO32" s="2" t="s">
        <v>741</v>
      </c>
      <c r="AP32" s="2" t="s">
        <v>742</v>
      </c>
      <c r="AU32" s="6" t="s">
        <v>104</v>
      </c>
      <c r="AV32" s="7" t="s">
        <v>612</v>
      </c>
      <c r="AW32" s="6" t="s">
        <v>64</v>
      </c>
      <c r="AX32" s="6" t="s">
        <v>572</v>
      </c>
      <c r="AY32" s="6" t="s">
        <v>564</v>
      </c>
    </row>
    <row r="33" spans="12:51" x14ac:dyDescent="0.5">
      <c r="L33" s="1" t="s">
        <v>743</v>
      </c>
      <c r="M33" s="1" t="s">
        <v>743</v>
      </c>
      <c r="N33" s="1" t="s">
        <v>744</v>
      </c>
      <c r="O33" s="1" t="s">
        <v>685</v>
      </c>
      <c r="P33" s="1" t="s">
        <v>393</v>
      </c>
      <c r="Q33" s="1" t="s">
        <v>560</v>
      </c>
      <c r="S33" s="1" t="s">
        <v>743</v>
      </c>
      <c r="T33" s="1" t="s">
        <v>743</v>
      </c>
      <c r="U33" s="1" t="s">
        <v>744</v>
      </c>
      <c r="V33" s="1" t="s">
        <v>685</v>
      </c>
      <c r="W33" s="1" t="s">
        <v>393</v>
      </c>
      <c r="X33" s="1" t="s">
        <v>560</v>
      </c>
      <c r="Y33" s="1" t="s">
        <v>745</v>
      </c>
      <c r="Z33" s="1" t="s">
        <v>657</v>
      </c>
      <c r="AA33" s="1" t="s">
        <v>394</v>
      </c>
      <c r="AB33" s="1" t="s">
        <v>746</v>
      </c>
      <c r="AC33" s="1" t="s">
        <v>653</v>
      </c>
      <c r="AD33" s="1" t="s">
        <v>401</v>
      </c>
      <c r="AE33" s="1" t="s">
        <v>747</v>
      </c>
      <c r="AO33" s="2" t="s">
        <v>748</v>
      </c>
      <c r="AP33" s="2" t="s">
        <v>749</v>
      </c>
      <c r="AU33" s="6" t="s">
        <v>594</v>
      </c>
      <c r="AV33" s="6" t="s">
        <v>555</v>
      </c>
      <c r="AW33" s="7" t="s">
        <v>679</v>
      </c>
      <c r="AX33" s="6" t="s">
        <v>583</v>
      </c>
      <c r="AY33" s="6" t="s">
        <v>596</v>
      </c>
    </row>
    <row r="34" spans="12:51" x14ac:dyDescent="0.5">
      <c r="L34" s="1" t="s">
        <v>732</v>
      </c>
      <c r="M34" s="1" t="s">
        <v>706</v>
      </c>
      <c r="N34" s="1" t="s">
        <v>670</v>
      </c>
      <c r="O34" s="1" t="s">
        <v>686</v>
      </c>
      <c r="P34" s="1" t="s">
        <v>394</v>
      </c>
      <c r="Q34" s="1" t="s">
        <v>695</v>
      </c>
      <c r="S34" s="1" t="s">
        <v>732</v>
      </c>
      <c r="T34" s="1" t="s">
        <v>706</v>
      </c>
      <c r="U34" s="1" t="s">
        <v>670</v>
      </c>
      <c r="V34" s="1" t="s">
        <v>686</v>
      </c>
      <c r="W34" s="1" t="s">
        <v>394</v>
      </c>
      <c r="X34" s="1" t="s">
        <v>695</v>
      </c>
      <c r="Y34" s="1" t="s">
        <v>393</v>
      </c>
      <c r="Z34" s="1" t="s">
        <v>522</v>
      </c>
      <c r="AA34" s="1" t="s">
        <v>750</v>
      </c>
      <c r="AB34" s="1" t="s">
        <v>711</v>
      </c>
      <c r="AC34" s="1" t="s">
        <v>751</v>
      </c>
      <c r="AD34" s="1" t="s">
        <v>710</v>
      </c>
      <c r="AE34" s="1" t="s">
        <v>710</v>
      </c>
      <c r="AO34" s="2" t="s">
        <v>752</v>
      </c>
      <c r="AP34" s="2" t="s">
        <v>753</v>
      </c>
      <c r="AU34" s="6" t="s">
        <v>698</v>
      </c>
      <c r="AV34" s="6" t="s">
        <v>586</v>
      </c>
      <c r="AW34" s="5" t="s">
        <v>630</v>
      </c>
      <c r="AX34" s="6" t="s">
        <v>646</v>
      </c>
      <c r="AY34" s="6" t="s">
        <v>625</v>
      </c>
    </row>
    <row r="35" spans="12:51" x14ac:dyDescent="0.5">
      <c r="L35" s="1" t="s">
        <v>754</v>
      </c>
      <c r="M35" s="1" t="s">
        <v>755</v>
      </c>
      <c r="N35" s="1" t="s">
        <v>756</v>
      </c>
      <c r="O35" s="1" t="s">
        <v>752</v>
      </c>
      <c r="P35" s="1" t="s">
        <v>609</v>
      </c>
      <c r="Q35" s="1" t="s">
        <v>663</v>
      </c>
      <c r="S35" s="1" t="s">
        <v>754</v>
      </c>
      <c r="T35" s="1" t="s">
        <v>755</v>
      </c>
      <c r="U35" s="1" t="s">
        <v>756</v>
      </c>
      <c r="V35" s="1" t="s">
        <v>752</v>
      </c>
      <c r="W35" s="1" t="s">
        <v>609</v>
      </c>
      <c r="X35" s="1" t="s">
        <v>663</v>
      </c>
      <c r="Y35" s="1" t="s">
        <v>394</v>
      </c>
      <c r="Z35" s="1" t="s">
        <v>757</v>
      </c>
      <c r="AA35" s="1" t="s">
        <v>758</v>
      </c>
      <c r="AB35" s="1" t="s">
        <v>759</v>
      </c>
      <c r="AC35" s="1" t="s">
        <v>754</v>
      </c>
      <c r="AE35" s="1" t="s">
        <v>760</v>
      </c>
      <c r="AO35" s="2" t="s">
        <v>598</v>
      </c>
      <c r="AP35" s="2" t="s">
        <v>667</v>
      </c>
      <c r="AU35" s="6" t="s">
        <v>609</v>
      </c>
      <c r="AV35" s="7" t="s">
        <v>582</v>
      </c>
      <c r="AW35" s="4" t="s">
        <v>104</v>
      </c>
      <c r="AX35" s="7" t="s">
        <v>592</v>
      </c>
      <c r="AY35" s="6" t="s">
        <v>560</v>
      </c>
    </row>
    <row r="36" spans="12:51" x14ac:dyDescent="0.5">
      <c r="L36" s="1" t="s">
        <v>685</v>
      </c>
      <c r="M36" s="1" t="s">
        <v>696</v>
      </c>
      <c r="N36" s="1" t="s">
        <v>687</v>
      </c>
      <c r="O36" s="1" t="s">
        <v>761</v>
      </c>
      <c r="P36" s="1" t="s">
        <v>719</v>
      </c>
      <c r="Q36" s="1" t="s">
        <v>389</v>
      </c>
      <c r="S36" s="1" t="s">
        <v>685</v>
      </c>
      <c r="T36" s="1" t="s">
        <v>696</v>
      </c>
      <c r="U36" s="1" t="s">
        <v>687</v>
      </c>
      <c r="V36" s="1" t="s">
        <v>761</v>
      </c>
      <c r="W36" s="1" t="s">
        <v>719</v>
      </c>
      <c r="X36" s="1" t="s">
        <v>389</v>
      </c>
      <c r="Y36" s="1" t="s">
        <v>677</v>
      </c>
      <c r="Z36" s="1" t="s">
        <v>762</v>
      </c>
      <c r="AA36" s="1" t="s">
        <v>763</v>
      </c>
      <c r="AB36" s="1" t="s">
        <v>653</v>
      </c>
      <c r="AC36" s="1" t="s">
        <v>710</v>
      </c>
      <c r="AE36" s="1" t="s">
        <v>707</v>
      </c>
      <c r="AP36" s="2" t="s">
        <v>717</v>
      </c>
      <c r="AU36" s="6" t="s">
        <v>618</v>
      </c>
      <c r="AV36" s="6" t="s">
        <v>564</v>
      </c>
      <c r="AW36" s="6" t="s">
        <v>594</v>
      </c>
      <c r="AX36" s="7" t="s">
        <v>652</v>
      </c>
      <c r="AY36" s="6" t="s">
        <v>663</v>
      </c>
    </row>
    <row r="37" spans="12:51" x14ac:dyDescent="0.5">
      <c r="L37" s="1" t="s">
        <v>764</v>
      </c>
      <c r="M37" s="1" t="s">
        <v>702</v>
      </c>
      <c r="N37" s="1" t="s">
        <v>765</v>
      </c>
      <c r="P37" s="1" t="s">
        <v>629</v>
      </c>
      <c r="Q37" s="1" t="s">
        <v>649</v>
      </c>
      <c r="S37" s="1" t="s">
        <v>764</v>
      </c>
      <c r="T37" s="1" t="s">
        <v>702</v>
      </c>
      <c r="U37" s="1" t="s">
        <v>765</v>
      </c>
      <c r="W37" s="1" t="s">
        <v>629</v>
      </c>
      <c r="X37" s="1" t="s">
        <v>649</v>
      </c>
      <c r="Y37" s="1" t="s">
        <v>766</v>
      </c>
      <c r="Z37" s="1" t="s">
        <v>685</v>
      </c>
      <c r="AA37" s="1" t="s">
        <v>629</v>
      </c>
      <c r="AB37" s="1" t="s">
        <v>732</v>
      </c>
      <c r="AC37" s="1" t="s">
        <v>701</v>
      </c>
      <c r="AE37" s="1" t="s">
        <v>767</v>
      </c>
      <c r="AP37" s="2" t="s">
        <v>768</v>
      </c>
      <c r="AU37" s="6" t="s">
        <v>629</v>
      </c>
      <c r="AV37" s="6" t="s">
        <v>60</v>
      </c>
      <c r="AW37" s="7" t="s">
        <v>698</v>
      </c>
      <c r="AX37" s="7" t="s">
        <v>605</v>
      </c>
      <c r="AY37" s="6" t="s">
        <v>649</v>
      </c>
    </row>
    <row r="38" spans="12:51" x14ac:dyDescent="0.5">
      <c r="L38" s="1" t="s">
        <v>769</v>
      </c>
      <c r="M38" s="1" t="s">
        <v>710</v>
      </c>
      <c r="N38" s="1" t="s">
        <v>686</v>
      </c>
      <c r="P38" s="1" t="s">
        <v>770</v>
      </c>
      <c r="Q38" s="1" t="s">
        <v>64</v>
      </c>
      <c r="S38" s="1" t="s">
        <v>769</v>
      </c>
      <c r="T38" s="1" t="s">
        <v>710</v>
      </c>
      <c r="U38" s="1" t="s">
        <v>686</v>
      </c>
      <c r="W38" s="1" t="s">
        <v>770</v>
      </c>
      <c r="X38" s="1" t="s">
        <v>64</v>
      </c>
      <c r="Y38" s="1" t="s">
        <v>771</v>
      </c>
      <c r="Z38" s="1" t="s">
        <v>769</v>
      </c>
      <c r="AA38" s="1" t="s">
        <v>772</v>
      </c>
      <c r="AB38" s="1" t="s">
        <v>773</v>
      </c>
      <c r="AC38" s="1" t="s">
        <v>767</v>
      </c>
      <c r="AE38" s="1" t="s">
        <v>731</v>
      </c>
      <c r="AP38" s="2" t="s">
        <v>774</v>
      </c>
      <c r="AU38" s="6" t="s">
        <v>699</v>
      </c>
      <c r="AV38" s="4" t="s">
        <v>596</v>
      </c>
      <c r="AW38" s="4" t="s">
        <v>629</v>
      </c>
      <c r="AX38" s="7" t="s">
        <v>665</v>
      </c>
      <c r="AY38" s="6" t="s">
        <v>704</v>
      </c>
    </row>
    <row r="39" spans="12:51" x14ac:dyDescent="0.5">
      <c r="L39" s="1" t="s">
        <v>686</v>
      </c>
      <c r="M39" s="1" t="s">
        <v>752</v>
      </c>
      <c r="N39" s="1" t="s">
        <v>755</v>
      </c>
      <c r="P39" s="1" t="s">
        <v>775</v>
      </c>
      <c r="Q39" s="1" t="s">
        <v>64</v>
      </c>
      <c r="S39" s="1" t="s">
        <v>686</v>
      </c>
      <c r="T39" s="1" t="s">
        <v>752</v>
      </c>
      <c r="U39" s="1" t="s">
        <v>755</v>
      </c>
      <c r="W39" s="1" t="s">
        <v>775</v>
      </c>
      <c r="X39" s="1" t="s">
        <v>64</v>
      </c>
      <c r="Y39" s="1" t="s">
        <v>776</v>
      </c>
      <c r="Z39" s="1" t="s">
        <v>702</v>
      </c>
      <c r="AA39" s="1" t="s">
        <v>608</v>
      </c>
      <c r="AB39" s="1" t="s">
        <v>685</v>
      </c>
      <c r="AC39" s="1" t="s">
        <v>405</v>
      </c>
      <c r="AE39" s="1" t="s">
        <v>64</v>
      </c>
      <c r="AP39" s="2" t="s">
        <v>647</v>
      </c>
      <c r="AU39" s="6" t="s">
        <v>608</v>
      </c>
      <c r="AV39" s="5" t="s">
        <v>603</v>
      </c>
      <c r="AW39" s="7" t="s">
        <v>688</v>
      </c>
      <c r="AX39" s="7" t="s">
        <v>527</v>
      </c>
      <c r="AY39" s="6" t="s">
        <v>591</v>
      </c>
    </row>
    <row r="40" spans="12:51" x14ac:dyDescent="0.5">
      <c r="L40" s="1" t="s">
        <v>706</v>
      </c>
      <c r="M40" s="1" t="s">
        <v>709</v>
      </c>
      <c r="N40" s="1" t="s">
        <v>401</v>
      </c>
      <c r="P40" s="1" t="s">
        <v>766</v>
      </c>
      <c r="Q40" s="1" t="s">
        <v>777</v>
      </c>
      <c r="S40" s="1" t="s">
        <v>706</v>
      </c>
      <c r="T40" s="1" t="s">
        <v>709</v>
      </c>
      <c r="U40" s="1" t="s">
        <v>401</v>
      </c>
      <c r="W40" s="1" t="s">
        <v>766</v>
      </c>
      <c r="X40" s="1" t="s">
        <v>777</v>
      </c>
      <c r="Y40" s="1" t="s">
        <v>776</v>
      </c>
      <c r="Z40" s="1" t="s">
        <v>778</v>
      </c>
      <c r="AA40" s="1" t="s">
        <v>729</v>
      </c>
      <c r="AB40" s="1" t="s">
        <v>779</v>
      </c>
      <c r="AC40" s="1" t="s">
        <v>780</v>
      </c>
      <c r="AP40" s="2" t="s">
        <v>781</v>
      </c>
      <c r="AU40" s="6" t="s">
        <v>628</v>
      </c>
      <c r="AV40" s="7" t="s">
        <v>575</v>
      </c>
      <c r="AW40" s="6" t="s">
        <v>593</v>
      </c>
      <c r="AX40" s="7" t="s">
        <v>674</v>
      </c>
      <c r="AY40" s="6" t="s">
        <v>607</v>
      </c>
    </row>
    <row r="41" spans="12:51" x14ac:dyDescent="0.5">
      <c r="L41" s="1" t="s">
        <v>782</v>
      </c>
      <c r="M41" s="1" t="s">
        <v>404</v>
      </c>
      <c r="N41" s="1" t="s">
        <v>723</v>
      </c>
      <c r="P41" s="1" t="s">
        <v>657</v>
      </c>
      <c r="Q41" s="1" t="s">
        <v>783</v>
      </c>
      <c r="S41" s="1" t="s">
        <v>782</v>
      </c>
      <c r="T41" s="1" t="s">
        <v>404</v>
      </c>
      <c r="U41" s="1" t="s">
        <v>723</v>
      </c>
      <c r="W41" s="1" t="s">
        <v>657</v>
      </c>
      <c r="X41" s="1" t="s">
        <v>783</v>
      </c>
      <c r="Y41" s="1" t="s">
        <v>711</v>
      </c>
      <c r="AA41" s="1" t="s">
        <v>737</v>
      </c>
      <c r="AB41" s="1" t="s">
        <v>784</v>
      </c>
      <c r="AP41" s="2" t="s">
        <v>785</v>
      </c>
      <c r="AU41" s="6" t="s">
        <v>713</v>
      </c>
      <c r="AV41" s="6" t="s">
        <v>599</v>
      </c>
      <c r="AW41" s="7" t="s">
        <v>657</v>
      </c>
      <c r="AX41" s="6" t="s">
        <v>557</v>
      </c>
      <c r="AY41" s="6" t="s">
        <v>391</v>
      </c>
    </row>
    <row r="42" spans="12:51" x14ac:dyDescent="0.5">
      <c r="L42" s="1" t="s">
        <v>702</v>
      </c>
      <c r="M42" s="1" t="s">
        <v>786</v>
      </c>
      <c r="N42" s="1" t="s">
        <v>405</v>
      </c>
      <c r="P42" s="1" t="s">
        <v>522</v>
      </c>
      <c r="Q42" s="1" t="s">
        <v>753</v>
      </c>
      <c r="S42" s="1" t="s">
        <v>702</v>
      </c>
      <c r="T42" s="1" t="s">
        <v>786</v>
      </c>
      <c r="U42" s="1" t="s">
        <v>405</v>
      </c>
      <c r="W42" s="1" t="s">
        <v>522</v>
      </c>
      <c r="X42" s="1" t="s">
        <v>753</v>
      </c>
      <c r="Y42" s="1" t="s">
        <v>670</v>
      </c>
      <c r="AA42" s="1" t="s">
        <v>657</v>
      </c>
      <c r="AB42" s="1" t="s">
        <v>787</v>
      </c>
      <c r="AP42" s="2" t="s">
        <v>732</v>
      </c>
      <c r="AU42" s="6" t="s">
        <v>648</v>
      </c>
      <c r="AV42" s="4" t="s">
        <v>560</v>
      </c>
      <c r="AW42" s="6" t="s">
        <v>396</v>
      </c>
      <c r="AX42" s="7" t="s">
        <v>538</v>
      </c>
      <c r="AY42" s="6" t="s">
        <v>104</v>
      </c>
    </row>
    <row r="43" spans="12:51" x14ac:dyDescent="0.5">
      <c r="L43" s="1" t="s">
        <v>788</v>
      </c>
      <c r="N43" s="1" t="s">
        <v>780</v>
      </c>
      <c r="P43" s="1" t="s">
        <v>776</v>
      </c>
      <c r="Q43" s="1" t="s">
        <v>667</v>
      </c>
      <c r="S43" s="1" t="s">
        <v>788</v>
      </c>
      <c r="U43" s="1" t="s">
        <v>780</v>
      </c>
      <c r="W43" s="1" t="s">
        <v>776</v>
      </c>
      <c r="X43" s="1" t="s">
        <v>667</v>
      </c>
      <c r="Y43" s="1" t="s">
        <v>789</v>
      </c>
      <c r="AA43" s="1" t="s">
        <v>717</v>
      </c>
      <c r="AB43" s="1" t="s">
        <v>790</v>
      </c>
      <c r="AP43" s="2" t="s">
        <v>791</v>
      </c>
      <c r="AU43" s="6" t="s">
        <v>669</v>
      </c>
      <c r="AV43" s="6" t="s">
        <v>622</v>
      </c>
      <c r="AW43" s="7" t="s">
        <v>744</v>
      </c>
      <c r="AX43" s="7" t="s">
        <v>385</v>
      </c>
      <c r="AY43" s="6" t="s">
        <v>667</v>
      </c>
    </row>
    <row r="44" spans="12:51" x14ac:dyDescent="0.5">
      <c r="L44" s="1" t="s">
        <v>710</v>
      </c>
      <c r="P44" s="1" t="s">
        <v>703</v>
      </c>
      <c r="Q44" s="1" t="s">
        <v>792</v>
      </c>
      <c r="S44" s="1" t="s">
        <v>710</v>
      </c>
      <c r="W44" s="1" t="s">
        <v>703</v>
      </c>
      <c r="X44" s="1" t="s">
        <v>792</v>
      </c>
      <c r="Y44" s="1" t="s">
        <v>732</v>
      </c>
      <c r="AA44" s="1" t="s">
        <v>793</v>
      </c>
      <c r="AB44" s="1" t="s">
        <v>782</v>
      </c>
      <c r="AP44" s="2" t="s">
        <v>710</v>
      </c>
      <c r="AU44" s="6" t="s">
        <v>653</v>
      </c>
      <c r="AV44" s="7" t="s">
        <v>595</v>
      </c>
      <c r="AW44" s="6" t="s">
        <v>670</v>
      </c>
      <c r="AX44" s="7" t="s">
        <v>559</v>
      </c>
      <c r="AY44" s="6" t="s">
        <v>675</v>
      </c>
    </row>
    <row r="45" spans="12:51" x14ac:dyDescent="0.5">
      <c r="L45" s="1" t="s">
        <v>794</v>
      </c>
      <c r="P45" s="1" t="s">
        <v>716</v>
      </c>
      <c r="Q45" s="1" t="s">
        <v>792</v>
      </c>
      <c r="S45" s="1" t="s">
        <v>794</v>
      </c>
      <c r="W45" s="1" t="s">
        <v>716</v>
      </c>
      <c r="X45" s="1" t="s">
        <v>792</v>
      </c>
      <c r="Y45" s="1" t="s">
        <v>795</v>
      </c>
      <c r="AA45" s="1" t="s">
        <v>796</v>
      </c>
      <c r="AB45" s="1" t="s">
        <v>401</v>
      </c>
      <c r="AP45" s="2" t="s">
        <v>641</v>
      </c>
      <c r="AU45" s="6" t="s">
        <v>743</v>
      </c>
      <c r="AV45" s="5" t="s">
        <v>631</v>
      </c>
      <c r="AW45" s="7" t="s">
        <v>756</v>
      </c>
      <c r="AX45" s="6" t="s">
        <v>545</v>
      </c>
      <c r="AY45" s="6" t="s">
        <v>684</v>
      </c>
    </row>
    <row r="46" spans="12:51" x14ac:dyDescent="0.5">
      <c r="P46" s="1" t="s">
        <v>711</v>
      </c>
      <c r="Q46" s="1" t="s">
        <v>717</v>
      </c>
      <c r="W46" s="1" t="s">
        <v>711</v>
      </c>
      <c r="X46" s="1" t="s">
        <v>717</v>
      </c>
      <c r="Y46" s="1" t="s">
        <v>765</v>
      </c>
      <c r="AA46" s="1" t="s">
        <v>776</v>
      </c>
      <c r="AB46" s="1" t="s">
        <v>797</v>
      </c>
      <c r="AP46" s="2" t="s">
        <v>780</v>
      </c>
      <c r="AU46" s="6" t="s">
        <v>686</v>
      </c>
      <c r="AV46" s="4" t="s">
        <v>640</v>
      </c>
      <c r="AW46" s="4" t="s">
        <v>398</v>
      </c>
      <c r="AX46" s="6" t="s">
        <v>582</v>
      </c>
      <c r="AY46" s="6" t="s">
        <v>397</v>
      </c>
    </row>
    <row r="47" spans="12:51" x14ac:dyDescent="0.5">
      <c r="P47" s="1" t="s">
        <v>670</v>
      </c>
      <c r="Q47" s="1" t="s">
        <v>776</v>
      </c>
      <c r="W47" s="1" t="s">
        <v>670</v>
      </c>
      <c r="X47" s="1" t="s">
        <v>776</v>
      </c>
      <c r="Y47" s="1" t="s">
        <v>798</v>
      </c>
      <c r="AA47" s="1" t="s">
        <v>746</v>
      </c>
      <c r="AB47" s="1" t="s">
        <v>702</v>
      </c>
      <c r="AP47" s="2"/>
      <c r="AU47" s="6" t="s">
        <v>706</v>
      </c>
      <c r="AV47" s="6" t="s">
        <v>552</v>
      </c>
      <c r="AW47" s="6" t="s">
        <v>687</v>
      </c>
      <c r="AX47" s="7" t="s">
        <v>564</v>
      </c>
      <c r="AY47" s="6" t="s">
        <v>647</v>
      </c>
    </row>
    <row r="48" spans="12:51" x14ac:dyDescent="0.5">
      <c r="P48" s="1" t="s">
        <v>670</v>
      </c>
      <c r="Q48" s="1" t="s">
        <v>703</v>
      </c>
      <c r="W48" s="1" t="s">
        <v>670</v>
      </c>
      <c r="X48" s="1" t="s">
        <v>703</v>
      </c>
      <c r="Y48" s="1" t="s">
        <v>799</v>
      </c>
      <c r="AA48" s="1" t="s">
        <v>675</v>
      </c>
      <c r="AB48" s="1" t="s">
        <v>800</v>
      </c>
      <c r="AU48" s="6" t="s">
        <v>755</v>
      </c>
      <c r="AV48" s="5" t="s">
        <v>389</v>
      </c>
      <c r="AW48" s="7" t="s">
        <v>765</v>
      </c>
      <c r="AX48" s="6" t="s">
        <v>596</v>
      </c>
      <c r="AY48" s="6" t="s">
        <v>653</v>
      </c>
    </row>
    <row r="49" spans="16:51" x14ac:dyDescent="0.5">
      <c r="P49" s="1" t="s">
        <v>801</v>
      </c>
      <c r="Q49" s="1" t="s">
        <v>802</v>
      </c>
      <c r="W49" s="1" t="s">
        <v>801</v>
      </c>
      <c r="X49" s="1" t="s">
        <v>802</v>
      </c>
      <c r="Y49" s="1" t="s">
        <v>803</v>
      </c>
      <c r="AA49" s="1" t="s">
        <v>744</v>
      </c>
      <c r="AB49" s="1" t="s">
        <v>701</v>
      </c>
      <c r="AU49" s="6" t="s">
        <v>696</v>
      </c>
      <c r="AV49" s="7" t="s">
        <v>649</v>
      </c>
      <c r="AW49" s="6" t="s">
        <v>686</v>
      </c>
      <c r="AX49" s="7" t="s">
        <v>625</v>
      </c>
      <c r="AY49" s="6" t="s">
        <v>666</v>
      </c>
    </row>
    <row r="50" spans="16:51" x14ac:dyDescent="0.5">
      <c r="P50" s="1" t="s">
        <v>398</v>
      </c>
      <c r="Q50" s="1" t="s">
        <v>669</v>
      </c>
      <c r="W50" s="1" t="s">
        <v>398</v>
      </c>
      <c r="X50" s="1" t="s">
        <v>669</v>
      </c>
      <c r="Y50" s="1" t="s">
        <v>404</v>
      </c>
      <c r="AA50" s="1" t="s">
        <v>711</v>
      </c>
      <c r="AB50" s="1" t="s">
        <v>804</v>
      </c>
      <c r="AU50" s="6" t="s">
        <v>702</v>
      </c>
      <c r="AV50" s="6" t="s">
        <v>659</v>
      </c>
      <c r="AW50" s="7" t="s">
        <v>755</v>
      </c>
      <c r="AX50" s="7" t="s">
        <v>560</v>
      </c>
      <c r="AY50" s="6" t="s">
        <v>577</v>
      </c>
    </row>
    <row r="51" spans="16:51" x14ac:dyDescent="0.5">
      <c r="P51" s="1" t="s">
        <v>805</v>
      </c>
      <c r="Q51" s="1" t="s">
        <v>806</v>
      </c>
      <c r="W51" s="1" t="s">
        <v>805</v>
      </c>
      <c r="X51" s="1" t="s">
        <v>806</v>
      </c>
      <c r="Y51" s="1" t="s">
        <v>778</v>
      </c>
      <c r="AA51" s="1" t="s">
        <v>670</v>
      </c>
      <c r="AB51" s="1" t="s">
        <v>807</v>
      </c>
      <c r="AU51" s="6" t="s">
        <v>710</v>
      </c>
      <c r="AV51" s="6" t="s">
        <v>64</v>
      </c>
      <c r="AW51" s="6" t="s">
        <v>401</v>
      </c>
      <c r="AX51" s="7" t="s">
        <v>695</v>
      </c>
      <c r="AY51" s="6" t="s">
        <v>734</v>
      </c>
    </row>
    <row r="52" spans="16:51" x14ac:dyDescent="0.5">
      <c r="P52" s="1" t="s">
        <v>762</v>
      </c>
      <c r="Q52" s="1" t="s">
        <v>791</v>
      </c>
      <c r="W52" s="1" t="s">
        <v>762</v>
      </c>
      <c r="X52" s="1" t="s">
        <v>791</v>
      </c>
      <c r="Y52" s="1" t="s">
        <v>407</v>
      </c>
      <c r="AA52" s="1" t="s">
        <v>808</v>
      </c>
      <c r="AB52" s="1" t="s">
        <v>809</v>
      </c>
      <c r="AU52" s="6" t="s">
        <v>752</v>
      </c>
      <c r="AV52" s="4" t="s">
        <v>621</v>
      </c>
      <c r="AW52" s="5" t="s">
        <v>696</v>
      </c>
      <c r="AX52" s="6" t="s">
        <v>654</v>
      </c>
      <c r="AY52" s="6" t="s">
        <v>740</v>
      </c>
    </row>
    <row r="53" spans="16:51" x14ac:dyDescent="0.5">
      <c r="P53" s="1" t="s">
        <v>669</v>
      </c>
      <c r="Q53" s="1" t="s">
        <v>810</v>
      </c>
      <c r="W53" s="1" t="s">
        <v>669</v>
      </c>
      <c r="X53" s="1" t="s">
        <v>810</v>
      </c>
      <c r="AA53" s="1" t="s">
        <v>398</v>
      </c>
      <c r="AB53" s="1" t="s">
        <v>620</v>
      </c>
      <c r="AU53" s="6" t="s">
        <v>709</v>
      </c>
      <c r="AV53" s="6" t="s">
        <v>679</v>
      </c>
      <c r="AW53" s="4" t="s">
        <v>710</v>
      </c>
      <c r="AX53" s="7" t="s">
        <v>663</v>
      </c>
      <c r="AY53" s="6" t="s">
        <v>685</v>
      </c>
    </row>
    <row r="54" spans="16:51" x14ac:dyDescent="0.5">
      <c r="P54" s="1" t="s">
        <v>789</v>
      </c>
      <c r="Q54" s="1" t="s">
        <v>401</v>
      </c>
      <c r="W54" s="1" t="s">
        <v>789</v>
      </c>
      <c r="X54" s="1" t="s">
        <v>401</v>
      </c>
      <c r="AA54" s="1" t="s">
        <v>811</v>
      </c>
      <c r="AB54" s="1" t="s">
        <v>812</v>
      </c>
      <c r="AU54" s="6" t="s">
        <v>404</v>
      </c>
      <c r="AV54" s="6" t="s">
        <v>594</v>
      </c>
      <c r="AW54" s="5" t="s">
        <v>715</v>
      </c>
      <c r="AX54" s="6" t="s">
        <v>649</v>
      </c>
      <c r="AY54" s="6" t="s">
        <v>686</v>
      </c>
    </row>
    <row r="55" spans="16:51" x14ac:dyDescent="0.5">
      <c r="P55" s="1" t="s">
        <v>400</v>
      </c>
      <c r="Q55" s="1" t="s">
        <v>799</v>
      </c>
      <c r="W55" s="1" t="s">
        <v>400</v>
      </c>
      <c r="X55" s="1" t="s">
        <v>799</v>
      </c>
      <c r="AA55" s="1" t="s">
        <v>687</v>
      </c>
      <c r="AB55" s="1" t="s">
        <v>709</v>
      </c>
      <c r="AU55" s="6" t="s">
        <v>786</v>
      </c>
      <c r="AV55" s="7" t="s">
        <v>698</v>
      </c>
      <c r="AW55" s="7" t="s">
        <v>723</v>
      </c>
      <c r="AX55" s="7" t="s">
        <v>704</v>
      </c>
      <c r="AY55" s="6" t="s">
        <v>696</v>
      </c>
    </row>
    <row r="56" spans="16:51" x14ac:dyDescent="0.5">
      <c r="P56" s="1" t="s">
        <v>577</v>
      </c>
      <c r="Q56" s="1" t="s">
        <v>702</v>
      </c>
      <c r="W56" s="1" t="s">
        <v>577</v>
      </c>
      <c r="X56" s="1" t="s">
        <v>702</v>
      </c>
      <c r="AA56" s="1" t="s">
        <v>743</v>
      </c>
      <c r="AB56" s="1" t="s">
        <v>813</v>
      </c>
      <c r="AU56" s="8"/>
      <c r="AV56" s="5" t="s">
        <v>609</v>
      </c>
      <c r="AW56" s="5" t="s">
        <v>731</v>
      </c>
      <c r="AX56" s="6" t="s">
        <v>591</v>
      </c>
      <c r="AY56" s="6" t="s">
        <v>710</v>
      </c>
    </row>
    <row r="57" spans="16:51" x14ac:dyDescent="0.5">
      <c r="P57" s="1" t="s">
        <v>814</v>
      </c>
      <c r="Q57" s="1" t="s">
        <v>710</v>
      </c>
      <c r="W57" s="1" t="s">
        <v>814</v>
      </c>
      <c r="X57" s="1" t="s">
        <v>710</v>
      </c>
      <c r="AA57" s="1" t="s">
        <v>400</v>
      </c>
      <c r="AB57" s="1" t="s">
        <v>815</v>
      </c>
      <c r="AV57" s="7" t="s">
        <v>677</v>
      </c>
      <c r="AW57" s="6" t="s">
        <v>405</v>
      </c>
      <c r="AX57" s="6" t="s">
        <v>607</v>
      </c>
      <c r="AY57" s="6" t="s">
        <v>760</v>
      </c>
    </row>
    <row r="58" spans="16:51" x14ac:dyDescent="0.5">
      <c r="P58" s="1" t="s">
        <v>401</v>
      </c>
      <c r="Q58" s="1" t="s">
        <v>402</v>
      </c>
      <c r="W58" s="1" t="s">
        <v>401</v>
      </c>
      <c r="X58" s="1" t="s">
        <v>402</v>
      </c>
      <c r="AA58" s="1" t="s">
        <v>577</v>
      </c>
      <c r="AB58" s="1" t="s">
        <v>786</v>
      </c>
      <c r="AV58" s="6" t="s">
        <v>629</v>
      </c>
      <c r="AW58" s="4"/>
      <c r="AX58" s="6" t="s">
        <v>616</v>
      </c>
      <c r="AY58" s="6" t="s">
        <v>731</v>
      </c>
    </row>
    <row r="59" spans="16:51" x14ac:dyDescent="0.5">
      <c r="P59" s="1" t="s">
        <v>799</v>
      </c>
      <c r="Q59" s="1" t="s">
        <v>816</v>
      </c>
      <c r="W59" s="1" t="s">
        <v>799</v>
      </c>
      <c r="X59" s="1" t="s">
        <v>816</v>
      </c>
      <c r="AA59" s="1" t="s">
        <v>817</v>
      </c>
      <c r="AB59" s="1" t="s">
        <v>405</v>
      </c>
      <c r="AU59" s="2"/>
      <c r="AV59" s="6" t="s">
        <v>699</v>
      </c>
      <c r="AW59" s="4"/>
      <c r="AX59" s="6" t="s">
        <v>391</v>
      </c>
      <c r="AY59" s="6" t="s">
        <v>780</v>
      </c>
    </row>
    <row r="60" spans="16:51" x14ac:dyDescent="0.5">
      <c r="P60" s="1" t="s">
        <v>803</v>
      </c>
      <c r="Q60" s="1" t="s">
        <v>767</v>
      </c>
      <c r="W60" s="1" t="s">
        <v>803</v>
      </c>
      <c r="X60" s="1" t="s">
        <v>767</v>
      </c>
      <c r="AA60" s="1" t="s">
        <v>754</v>
      </c>
      <c r="AB60" s="1" t="s">
        <v>818</v>
      </c>
      <c r="AV60" s="7" t="s">
        <v>688</v>
      </c>
      <c r="AW60" s="4"/>
      <c r="AX60" s="6" t="s">
        <v>104</v>
      </c>
      <c r="AY60" s="6"/>
    </row>
    <row r="61" spans="16:51" x14ac:dyDescent="0.5">
      <c r="P61" s="1" t="s">
        <v>598</v>
      </c>
      <c r="Q61" s="1" t="s">
        <v>714</v>
      </c>
      <c r="W61" s="1" t="s">
        <v>598</v>
      </c>
      <c r="X61" s="1" t="s">
        <v>714</v>
      </c>
      <c r="AA61" s="1" t="s">
        <v>819</v>
      </c>
      <c r="AB61" s="1" t="s">
        <v>406</v>
      </c>
      <c r="AV61" s="6" t="s">
        <v>593</v>
      </c>
      <c r="AW61" s="4"/>
      <c r="AX61" s="6" t="s">
        <v>667</v>
      </c>
      <c r="AY61" s="6"/>
    </row>
    <row r="62" spans="16:51" x14ac:dyDescent="0.5">
      <c r="P62" s="1" t="s">
        <v>761</v>
      </c>
      <c r="Q62" s="1" t="s">
        <v>731</v>
      </c>
      <c r="W62" s="1" t="s">
        <v>761</v>
      </c>
      <c r="X62" s="1" t="s">
        <v>731</v>
      </c>
      <c r="AA62" s="1" t="s">
        <v>810</v>
      </c>
      <c r="AB62" s="1" t="s">
        <v>407</v>
      </c>
      <c r="AV62" s="7" t="s">
        <v>657</v>
      </c>
      <c r="AW62" s="4"/>
      <c r="AX62" s="6" t="s">
        <v>675</v>
      </c>
      <c r="AY62" s="6"/>
    </row>
    <row r="63" spans="16:51" x14ac:dyDescent="0.5">
      <c r="P63" s="1" t="s">
        <v>610</v>
      </c>
      <c r="Q63" s="1" t="s">
        <v>406</v>
      </c>
      <c r="W63" s="1" t="s">
        <v>610</v>
      </c>
      <c r="X63" s="1" t="s">
        <v>406</v>
      </c>
      <c r="AA63" s="1" t="s">
        <v>820</v>
      </c>
      <c r="AU63" s="2"/>
      <c r="AV63" s="7" t="s">
        <v>717</v>
      </c>
      <c r="AW63" s="4"/>
      <c r="AX63" s="7" t="s">
        <v>684</v>
      </c>
      <c r="AY63" s="6"/>
    </row>
    <row r="64" spans="16:51" x14ac:dyDescent="0.5">
      <c r="Q64" s="1" t="s">
        <v>780</v>
      </c>
      <c r="X64" s="1" t="s">
        <v>780</v>
      </c>
      <c r="AA64" s="1" t="s">
        <v>821</v>
      </c>
      <c r="AV64" s="6" t="s">
        <v>396</v>
      </c>
      <c r="AW64" s="4"/>
      <c r="AX64" s="6" t="s">
        <v>397</v>
      </c>
      <c r="AY64" s="6"/>
    </row>
    <row r="65" spans="17:51" x14ac:dyDescent="0.5">
      <c r="Q65" s="1" t="s">
        <v>407</v>
      </c>
      <c r="X65" s="1" t="s">
        <v>407</v>
      </c>
      <c r="AA65" s="1" t="s">
        <v>702</v>
      </c>
      <c r="AV65" s="4" t="s">
        <v>697</v>
      </c>
      <c r="AW65" s="4"/>
      <c r="AX65" s="7" t="s">
        <v>647</v>
      </c>
      <c r="AY65" s="6"/>
    </row>
    <row r="66" spans="17:51" x14ac:dyDescent="0.5">
      <c r="Q66" s="1" t="s">
        <v>822</v>
      </c>
      <c r="X66" s="1" t="s">
        <v>822</v>
      </c>
      <c r="AA66" s="1" t="s">
        <v>823</v>
      </c>
      <c r="AV66" s="5" t="s">
        <v>648</v>
      </c>
      <c r="AW66" s="4"/>
      <c r="AX66" s="6" t="s">
        <v>653</v>
      </c>
      <c r="AY66" s="6"/>
    </row>
    <row r="67" spans="17:51" x14ac:dyDescent="0.5">
      <c r="AA67" s="1" t="s">
        <v>824</v>
      </c>
      <c r="AV67" s="7" t="s">
        <v>744</v>
      </c>
      <c r="AW67" s="4"/>
      <c r="AX67" s="6" t="s">
        <v>730</v>
      </c>
      <c r="AY67" s="6"/>
    </row>
    <row r="68" spans="17:51" x14ac:dyDescent="0.5">
      <c r="AA68" s="1" t="s">
        <v>825</v>
      </c>
      <c r="AV68" s="4" t="s">
        <v>711</v>
      </c>
      <c r="AW68" s="4"/>
      <c r="AX68" s="6" t="s">
        <v>666</v>
      </c>
      <c r="AY68" s="6"/>
    </row>
    <row r="69" spans="17:51" x14ac:dyDescent="0.5">
      <c r="AA69" s="1" t="s">
        <v>826</v>
      </c>
      <c r="AV69" s="6" t="s">
        <v>670</v>
      </c>
      <c r="AW69" s="4"/>
      <c r="AX69" s="6" t="s">
        <v>577</v>
      </c>
      <c r="AY69" s="6"/>
    </row>
    <row r="70" spans="17:51" x14ac:dyDescent="0.5">
      <c r="AA70" s="1" t="s">
        <v>786</v>
      </c>
      <c r="AV70" s="7" t="s">
        <v>756</v>
      </c>
      <c r="AW70" s="9"/>
      <c r="AX70" s="6" t="s">
        <v>734</v>
      </c>
      <c r="AY70" s="6"/>
    </row>
    <row r="71" spans="17:51" x14ac:dyDescent="0.5">
      <c r="AV71" s="6" t="s">
        <v>398</v>
      </c>
      <c r="AX71" s="6" t="s">
        <v>683</v>
      </c>
      <c r="AY71" s="6"/>
    </row>
    <row r="72" spans="17:51" x14ac:dyDescent="0.5">
      <c r="AV72" s="6" t="s">
        <v>687</v>
      </c>
      <c r="AX72" s="7" t="s">
        <v>740</v>
      </c>
      <c r="AY72" s="6"/>
    </row>
    <row r="73" spans="17:51" x14ac:dyDescent="0.5">
      <c r="AV73" s="7" t="s">
        <v>653</v>
      </c>
      <c r="AX73" s="6" t="s">
        <v>747</v>
      </c>
      <c r="AY73" s="6"/>
    </row>
    <row r="74" spans="17:51" x14ac:dyDescent="0.5">
      <c r="AV74" s="4" t="s">
        <v>724</v>
      </c>
      <c r="AX74" s="7" t="s">
        <v>685</v>
      </c>
      <c r="AY74" s="6"/>
    </row>
    <row r="75" spans="17:51" x14ac:dyDescent="0.5">
      <c r="AV75" s="5" t="s">
        <v>732</v>
      </c>
      <c r="AX75" s="6" t="s">
        <v>686</v>
      </c>
      <c r="AY75" s="6"/>
    </row>
    <row r="76" spans="17:51" x14ac:dyDescent="0.5">
      <c r="AV76" s="4" t="s">
        <v>735</v>
      </c>
      <c r="AX76" s="6" t="s">
        <v>706</v>
      </c>
      <c r="AY76" s="6"/>
    </row>
    <row r="77" spans="17:51" x14ac:dyDescent="0.5">
      <c r="AV77" s="7" t="s">
        <v>765</v>
      </c>
      <c r="AX77" s="7" t="s">
        <v>696</v>
      </c>
      <c r="AY77" s="6"/>
    </row>
    <row r="78" spans="17:51" x14ac:dyDescent="0.5">
      <c r="AV78" s="7" t="s">
        <v>685</v>
      </c>
      <c r="AX78" s="7" t="s">
        <v>722</v>
      </c>
      <c r="AY78" s="6"/>
    </row>
    <row r="79" spans="17:51" x14ac:dyDescent="0.5">
      <c r="AV79" s="6" t="s">
        <v>686</v>
      </c>
      <c r="AX79" s="6" t="s">
        <v>710</v>
      </c>
      <c r="AY79" s="6"/>
    </row>
    <row r="80" spans="17:51" x14ac:dyDescent="0.5">
      <c r="AV80" s="5" t="s">
        <v>741</v>
      </c>
      <c r="AX80" s="6" t="s">
        <v>760</v>
      </c>
      <c r="AY80" s="6"/>
    </row>
    <row r="81" spans="48:51" x14ac:dyDescent="0.5">
      <c r="AV81" s="7" t="s">
        <v>755</v>
      </c>
      <c r="AX81" s="7" t="s">
        <v>701</v>
      </c>
      <c r="AY81" s="7"/>
    </row>
    <row r="82" spans="48:51" x14ac:dyDescent="0.5">
      <c r="AV82" s="4" t="s">
        <v>748</v>
      </c>
      <c r="AX82" s="6" t="s">
        <v>707</v>
      </c>
      <c r="AY82" s="6"/>
    </row>
    <row r="83" spans="48:51" x14ac:dyDescent="0.5">
      <c r="AV83" s="6" t="s">
        <v>401</v>
      </c>
      <c r="AX83" s="7" t="s">
        <v>767</v>
      </c>
      <c r="AY83" s="7"/>
    </row>
    <row r="84" spans="48:51" x14ac:dyDescent="0.5">
      <c r="AV84" s="7" t="s">
        <v>752</v>
      </c>
      <c r="AX84" s="7" t="s">
        <v>714</v>
      </c>
      <c r="AY84" s="6"/>
    </row>
    <row r="85" spans="48:51" x14ac:dyDescent="0.5">
      <c r="AV85" s="4" t="s">
        <v>598</v>
      </c>
      <c r="AX85" s="6" t="s">
        <v>731</v>
      </c>
      <c r="AY85" s="6"/>
    </row>
    <row r="86" spans="48:51" x14ac:dyDescent="0.5">
      <c r="AV86" s="6" t="s">
        <v>761</v>
      </c>
      <c r="AX86" s="10" t="s">
        <v>780</v>
      </c>
      <c r="AY86" s="6"/>
    </row>
    <row r="87" spans="48:51" x14ac:dyDescent="0.5">
      <c r="AV87" s="7" t="s">
        <v>723</v>
      </c>
      <c r="AX87" s="7" t="s">
        <v>407</v>
      </c>
      <c r="AY87" s="10"/>
    </row>
    <row r="88" spans="48:51" x14ac:dyDescent="0.5">
      <c r="AV88" s="6" t="s">
        <v>405</v>
      </c>
      <c r="AX88" s="7"/>
    </row>
    <row r="89" spans="48:51" x14ac:dyDescent="0.5">
      <c r="AV89" s="7"/>
      <c r="AX89" s="7"/>
    </row>
    <row r="90" spans="48:51" x14ac:dyDescent="0.5">
      <c r="AV90" s="7"/>
      <c r="AX90" s="7"/>
    </row>
    <row r="91" spans="48:51" x14ac:dyDescent="0.5">
      <c r="AV91" s="6"/>
      <c r="AX91" s="7"/>
    </row>
    <row r="92" spans="48:51" x14ac:dyDescent="0.5">
      <c r="AV92" s="7"/>
      <c r="AX92" s="10"/>
    </row>
    <row r="93" spans="48:51" x14ac:dyDescent="0.5">
      <c r="AV93" s="7"/>
    </row>
    <row r="94" spans="48:51" x14ac:dyDescent="0.5">
      <c r="AV94" s="7"/>
    </row>
    <row r="95" spans="48:51" x14ac:dyDescent="0.5">
      <c r="AV95" s="7"/>
    </row>
    <row r="96" spans="48:51" x14ac:dyDescent="0.5">
      <c r="AV96" s="7"/>
    </row>
    <row r="97" spans="48:48" x14ac:dyDescent="0.5">
      <c r="AV97" s="6"/>
    </row>
    <row r="98" spans="48:48" x14ac:dyDescent="0.5">
      <c r="AV98" s="7"/>
    </row>
    <row r="99" spans="48:48" x14ac:dyDescent="0.5">
      <c r="AV99" s="7"/>
    </row>
    <row r="100" spans="48:48" x14ac:dyDescent="0.5">
      <c r="AV100" s="7"/>
    </row>
    <row r="101" spans="48:48" x14ac:dyDescent="0.5">
      <c r="AV101" s="7"/>
    </row>
    <row r="102" spans="48:48" x14ac:dyDescent="0.5">
      <c r="AV102" s="7"/>
    </row>
    <row r="103" spans="48:48" x14ac:dyDescent="0.5">
      <c r="AV103" s="5"/>
    </row>
    <row r="104" spans="48:48" x14ac:dyDescent="0.5">
      <c r="AV104" s="7"/>
    </row>
    <row r="105" spans="48:48" x14ac:dyDescent="0.5">
      <c r="AV105" s="7"/>
    </row>
    <row r="106" spans="48:48" x14ac:dyDescent="0.5">
      <c r="AV106" s="7"/>
    </row>
    <row r="107" spans="48:48" x14ac:dyDescent="0.5">
      <c r="AV107" s="7"/>
    </row>
    <row r="108" spans="48:48" x14ac:dyDescent="0.5">
      <c r="AV108" s="10"/>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F667A8-25DB-4BB7-BA55-212F273F46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B7E773-77E9-41E2-9058-E6567320E198}">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3.xml><?xml version="1.0" encoding="utf-8"?>
<ds:datastoreItem xmlns:ds="http://schemas.openxmlformats.org/officeDocument/2006/customXml" ds:itemID="{B5A3300C-4D42-4679-ACA8-5F7AAA913A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119</vt:i4>
      </vt:variant>
    </vt:vector>
  </HeadingPairs>
  <TitlesOfParts>
    <vt:vector size="126"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ComprensiónB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2026-05-12T16:21:32Z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