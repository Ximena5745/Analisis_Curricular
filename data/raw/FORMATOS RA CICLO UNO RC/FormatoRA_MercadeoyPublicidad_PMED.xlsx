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C:\Users\dvelasquez\Downloads\"/>
    </mc:Choice>
  </mc:AlternateContent>
  <xr:revisionPtr revIDLastSave="4" documentId="13_ncr:1_{77905DBD-8359-4888-8211-8DC6F6514B5E}" xr6:coauthVersionLast="47" xr6:coauthVersionMax="47" xr10:uidLastSave="{0AE4C095-0514-4E47-8C2D-16199220F730}"/>
  <bookViews>
    <workbookView xWindow="-110" yWindow="-110" windowWidth="19420" windowHeight="11500" tabRatio="673" firstSheet="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RA'!$A$2:$K$12</definedName>
    <definedName name="_xlnm._FilterDatabase" localSheetId="3" hidden="1">'Paso 3 Redacción RA - Backup '!$A$2:$K$12</definedName>
    <definedName name="_xlnm._FilterDatabase" localSheetId="4" hidden="1">'Paso 4 Estrategias mesocurricu'!$A$1:$F$39</definedName>
    <definedName name="_xlnm._FilterDatabase" localSheetId="5" hidden="1">'Paso 5 Estrategias micro'!$A$2:$Q$164</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competen'!#REF!</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competen'!#REF!</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micro'!$B$7</definedName>
    <definedName name="resultadoaprendizaje">#REF!</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61" i="14" l="1"/>
  <c r="R161" i="14"/>
  <c r="S160" i="14"/>
  <c r="R160" i="14"/>
  <c r="S144" i="14"/>
  <c r="R144" i="14"/>
  <c r="S116" i="14"/>
  <c r="R116" i="14"/>
  <c r="S88" i="14"/>
  <c r="R88" i="14"/>
  <c r="S63" i="14"/>
  <c r="R63" i="14"/>
  <c r="S43" i="14"/>
  <c r="R43" i="14"/>
  <c r="S28" i="14"/>
  <c r="R28" i="14"/>
  <c r="S13" i="14"/>
  <c r="R13" i="14"/>
  <c r="A158" i="14"/>
  <c r="A157" i="14"/>
  <c r="A156" i="14"/>
  <c r="A155" i="14"/>
  <c r="A154" i="14"/>
  <c r="A153" i="14"/>
  <c r="A152" i="14"/>
  <c r="A151" i="14"/>
  <c r="A150" i="14"/>
  <c r="A149" i="14"/>
  <c r="A148" i="14"/>
  <c r="A147" i="14"/>
  <c r="A146" i="14"/>
  <c r="A145" i="14"/>
  <c r="A142" i="14"/>
  <c r="A141" i="14"/>
  <c r="A140" i="14"/>
  <c r="A139" i="14"/>
  <c r="A138" i="14"/>
  <c r="A137" i="14"/>
  <c r="A136" i="14"/>
  <c r="A135" i="14"/>
  <c r="A134" i="14"/>
  <c r="A133" i="14"/>
  <c r="A132" i="14"/>
  <c r="A131" i="14"/>
  <c r="A130" i="14"/>
  <c r="A124" i="14"/>
  <c r="A125" i="14"/>
  <c r="A126" i="14"/>
  <c r="A119" i="14"/>
  <c r="A120" i="14"/>
  <c r="A116" i="14"/>
  <c r="A115" i="14"/>
  <c r="A114" i="14"/>
  <c r="A113" i="14"/>
  <c r="A106" i="14"/>
  <c r="A105" i="14"/>
  <c r="A104" i="14"/>
  <c r="A103" i="14"/>
  <c r="A102" i="14"/>
  <c r="A101" i="14"/>
  <c r="A100" i="14"/>
  <c r="A99" i="14"/>
  <c r="A98" i="14"/>
  <c r="A97" i="14"/>
  <c r="A96" i="14"/>
  <c r="A95" i="14"/>
  <c r="A94" i="14"/>
  <c r="A93" i="14"/>
  <c r="A90" i="14"/>
  <c r="A91" i="14"/>
  <c r="A86" i="14"/>
  <c r="A87" i="14"/>
  <c r="A112" i="14"/>
  <c r="A111" i="14"/>
  <c r="A110" i="14"/>
  <c r="A109" i="14"/>
  <c r="A108" i="14"/>
  <c r="A81" i="14"/>
  <c r="A77" i="14"/>
  <c r="A68" i="14"/>
  <c r="A62" i="14"/>
  <c r="A60" i="14"/>
  <c r="A59" i="14"/>
  <c r="A58" i="14"/>
  <c r="A57" i="14"/>
  <c r="A56" i="14"/>
  <c r="A36" i="14"/>
  <c r="A52" i="14"/>
  <c r="A53" i="14"/>
  <c r="A73" i="14"/>
  <c r="A72" i="14"/>
  <c r="A71" i="14"/>
  <c r="A70" i="14"/>
  <c r="A49" i="14"/>
  <c r="A39" i="14"/>
  <c r="A40" i="14"/>
  <c r="A41" i="14"/>
  <c r="A35" i="14"/>
  <c r="A26" i="14"/>
  <c r="A23" i="14"/>
  <c r="A17" i="14"/>
  <c r="A12" i="14"/>
  <c r="A21" i="14" l="1"/>
  <c r="A128" i="14"/>
  <c r="A121" i="14"/>
  <c r="A82" i="14"/>
  <c r="A80" i="14"/>
  <c r="A76" i="14"/>
  <c r="L145" i="14" l="1"/>
  <c r="K145" i="14"/>
  <c r="A129" i="14"/>
  <c r="A127" i="14"/>
  <c r="L123" i="14"/>
  <c r="K123" i="14"/>
  <c r="A123" i="14"/>
  <c r="L130" i="14"/>
  <c r="K130" i="14"/>
  <c r="M145" i="14" l="1"/>
  <c r="M123" i="14"/>
  <c r="M130" i="14"/>
  <c r="J164" i="14" l="1"/>
  <c r="J163" i="14" l="1"/>
  <c r="J161" i="14" l="1"/>
  <c r="J162" i="14" l="1"/>
  <c r="L43" i="14" l="1"/>
  <c r="K43" i="14"/>
  <c r="A43" i="14"/>
  <c r="D161" i="14" l="1"/>
  <c r="A22" i="14"/>
  <c r="A55" i="14"/>
  <c r="A54" i="14"/>
  <c r="A51" i="14"/>
  <c r="A83" i="14"/>
  <c r="A79" i="14"/>
  <c r="A63" i="14"/>
  <c r="A61" i="14"/>
  <c r="A42" i="14"/>
  <c r="A38" i="14"/>
  <c r="A37" i="14"/>
  <c r="A34" i="14"/>
  <c r="A33" i="14"/>
  <c r="A14" i="14"/>
  <c r="A28" i="14"/>
  <c r="A27" i="14"/>
  <c r="A25" i="14"/>
  <c r="A24" i="14"/>
  <c r="A20" i="14"/>
  <c r="A19" i="14"/>
  <c r="A13" i="14"/>
  <c r="A11" i="14"/>
  <c r="A10" i="14"/>
  <c r="A15" i="14"/>
  <c r="K15" i="14"/>
  <c r="L15" i="14"/>
  <c r="M15" i="14" l="1"/>
  <c r="L79" i="14" l="1"/>
  <c r="K79" i="14"/>
  <c r="L61" i="14"/>
  <c r="K61" i="14"/>
  <c r="L21" i="14"/>
  <c r="K21" i="14"/>
  <c r="L29" i="14"/>
  <c r="K29" i="14"/>
  <c r="L44" i="14"/>
  <c r="K44" i="14"/>
  <c r="L30" i="14"/>
  <c r="K30" i="14"/>
  <c r="L33" i="14"/>
  <c r="K33" i="14"/>
  <c r="L38" i="14"/>
  <c r="K38" i="14"/>
  <c r="K45" i="14"/>
  <c r="L45" i="14"/>
  <c r="L14" i="14"/>
  <c r="K14" i="14"/>
  <c r="L4" i="14"/>
  <c r="K4" i="14"/>
  <c r="L25" i="14"/>
  <c r="K25" i="14"/>
  <c r="L152" i="14"/>
  <c r="K152" i="14"/>
  <c r="L160" i="14"/>
  <c r="K160" i="14"/>
  <c r="L144" i="14"/>
  <c r="K144" i="14"/>
  <c r="L102" i="14"/>
  <c r="K102" i="14"/>
  <c r="L113" i="14"/>
  <c r="K113" i="14"/>
  <c r="L108" i="14"/>
  <c r="K108" i="14"/>
  <c r="L136" i="14"/>
  <c r="K136" i="14"/>
  <c r="L159" i="14"/>
  <c r="K159" i="14"/>
  <c r="L143" i="14"/>
  <c r="K143" i="14"/>
  <c r="L84" i="14"/>
  <c r="K84" i="14"/>
  <c r="L89" i="14"/>
  <c r="K89" i="14"/>
  <c r="L93" i="14"/>
  <c r="K93" i="14"/>
  <c r="L51" i="14"/>
  <c r="K51" i="14"/>
  <c r="L70" i="14"/>
  <c r="K70" i="14"/>
  <c r="L64" i="14"/>
  <c r="K64" i="14"/>
  <c r="L74" i="14"/>
  <c r="K74" i="14"/>
  <c r="L67" i="14"/>
  <c r="K67" i="14"/>
  <c r="L98" i="14"/>
  <c r="K98" i="14"/>
  <c r="L117" i="14"/>
  <c r="K117" i="14"/>
  <c r="L56" i="14"/>
  <c r="K56" i="14"/>
  <c r="L47" i="14"/>
  <c r="K47" i="14"/>
  <c r="L31" i="14"/>
  <c r="K31" i="14"/>
  <c r="L19" i="14"/>
  <c r="K19" i="14"/>
  <c r="L5" i="14"/>
  <c r="K5" i="14"/>
  <c r="L7" i="14"/>
  <c r="K7" i="14"/>
  <c r="L10" i="14"/>
  <c r="K10" i="14"/>
  <c r="A3" i="14"/>
  <c r="A7" i="14"/>
  <c r="A8" i="14"/>
  <c r="A9" i="14"/>
  <c r="L3" i="14"/>
  <c r="K3" i="14"/>
  <c r="A5" i="14"/>
  <c r="A6" i="14"/>
  <c r="A16" i="14"/>
  <c r="A18" i="14"/>
  <c r="A4" i="14"/>
  <c r="A31" i="14"/>
  <c r="A32" i="14"/>
  <c r="A47" i="14"/>
  <c r="A48" i="14"/>
  <c r="A50" i="14"/>
  <c r="A30" i="14"/>
  <c r="A45" i="14"/>
  <c r="A46" i="14"/>
  <c r="A44" i="14"/>
  <c r="A29" i="14"/>
  <c r="A117" i="14"/>
  <c r="A118" i="14"/>
  <c r="A122" i="14"/>
  <c r="A67" i="14"/>
  <c r="A69" i="14"/>
  <c r="A74" i="14"/>
  <c r="A75" i="14"/>
  <c r="A78" i="14"/>
  <c r="A64" i="14"/>
  <c r="A65" i="14"/>
  <c r="A66" i="14"/>
  <c r="A89" i="14"/>
  <c r="A92" i="14"/>
  <c r="A84" i="14"/>
  <c r="A85" i="14"/>
  <c r="A88" i="14"/>
  <c r="A107" i="14"/>
  <c r="M61" i="14" l="1"/>
  <c r="M25" i="14"/>
  <c r="M21" i="14"/>
  <c r="M3" i="14"/>
  <c r="M19" i="14"/>
  <c r="M117" i="14"/>
  <c r="M64" i="14"/>
  <c r="M89" i="14"/>
  <c r="M136" i="14"/>
  <c r="M44" i="14"/>
  <c r="M79" i="14"/>
  <c r="M7" i="14"/>
  <c r="M98" i="14"/>
  <c r="M84" i="14"/>
  <c r="M144" i="14"/>
  <c r="M29" i="14"/>
  <c r="M113" i="14"/>
  <c r="M160" i="14"/>
  <c r="M4" i="14"/>
  <c r="M45" i="14"/>
  <c r="M31" i="14"/>
  <c r="M70" i="14"/>
  <c r="M108" i="14"/>
  <c r="M143" i="14"/>
  <c r="M30" i="14"/>
  <c r="M56" i="14"/>
  <c r="M5" i="14"/>
  <c r="M47" i="14"/>
  <c r="M67" i="14"/>
  <c r="M10" i="14"/>
  <c r="M74" i="14"/>
  <c r="M93" i="14"/>
  <c r="M159" i="14"/>
  <c r="M152" i="14"/>
  <c r="M14" i="14"/>
  <c r="M102" i="14"/>
  <c r="M51"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<sst xmlns="http://schemas.openxmlformats.org/spreadsheetml/2006/main" count="2569" uniqueCount="824">
  <si>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</si>
  <si>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</si>
  <si>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</si>
  <si>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</si>
  <si>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</si>
  <si>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</si>
  <si>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</si>
  <si>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</si>
  <si>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</si>
  <si>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</si>
  <si>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</si>
  <si>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</si>
  <si>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</si>
  <si>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</si>
  <si>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</si>
  <si>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</si>
  <si>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</si>
  <si>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</si>
  <si>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Profesional en Mercadeo y Publicidad</t>
  </si>
  <si>
    <t>Presencial</t>
  </si>
  <si>
    <t>El egresado del programa Profesional en Mercadeo y Publicidad analiza teorías, modelos y metodologías de mercadeo estratégico, branding, planeación de mercadeo, publicidad e investigación de mercados para interpretar los contextos competitivos y organizacionales. A partir de ello, diseña, coordina y evalúa planes de mercadeo y estrategias de comunicación publicitaria mediante el uso de teorías y herramientas de segmentación de mercados, comportamiento del consumidor, estrategias digitales, análisis de datos y finanzas, con el propósito de generar innovación y co-creación de valor en las organizaciones. Asimismo, dirige procesos de mercadeo y comunicación publicitaria en escenarios locales e internacionales, considerando la diversidad cultural, la transformación digital y criterios de sostenibilidad empresarial, orientando su gestión hacia la co-creación de valor con los diferentes grupos de interés.</t>
  </si>
  <si>
    <t xml:space="preserve">El Profesional en Mercadeo y Publicidad se desempeña en departamentos de mercadeo, agencias de publicidad, consultoras y organizaciones de diversos sectores económicos. Diseña y coordina proyectos de mercadeo y de comunicaciones publicitarias, administra marcas, planifica estrategias digitales y aplica análisis de datos para la toma de decisiones orientadas a la co-creación de valor en las organizaciones. Desarrolla y dirige campañas publicitarias, coordina procesos de posicionamiento y fortalece la relación con clientes y audiencias. Su campo ocupacional incluye empresas nacionales e internacionales que demandan profesionales para planear, ejecutar y evaluar estrategias de mercadeo y comunicación publicitaria bajo criterios de competitividad, innovación y sostenibilidad. </t>
  </si>
  <si>
    <t>información del macroentorno y microentorno</t>
  </si>
  <si>
    <t>orientar la toma de decisiones estratégicas en las áreas de mercadeo y publicidad</t>
  </si>
  <si>
    <t>contribuyendo al crecimiento, posicionamiento y sostenibilidad de las organizaciones</t>
  </si>
  <si>
    <t xml:space="preserve">Áreas de Mercadeo y Publicidad como Gerencias o Direcciones de Marca (Brand Manager, Coordinador de Comunicación de Marca), Comunicación Publicitaria y Creatividad Estratégica (Director de Cuentas, Director Creativo, Ejecutivo de Publicidad, Planner Creativo, Planner Estratégico, Director de Campañas), Producto (Jefe de Producto), Ventas y Gestión comercial, distribución y logística, y de relación con clientes (Ejecutivo de Cuentas Clave, Consultor en Experiencia de Cliente, Gestor de CRM, Coordinador de Distribución Comercial, Planner de Trade Marketing, Coordinador de Canales de Venta y Distribución, Ejecutivo de Operaciones Comerciales, Supervisor de Experiencia y Servicio al Cliente), Investigación de Mercados (Analista de Mercados, Consultor en Investigación de Consumo), Marketing Digital y Gestión de Plataformas (Digital Marketing Manager, Community Manager, Analista de Métricas), Consultoría y Emprendimiento en Mercadeo y Publicidad (Consultor Independiente, Emprendedor en Marketing y Publicidad, Asesor de Comunicación Estratégica), Agencias de Publicidad, organizaciones públicas o privadas, nacionales e internacionales en diferentes sectores o industrias de la economía. </t>
  </si>
  <si>
    <t>Generación y co-creación de valor en las organizaciones desde la perspectiva del mercadeo y la comunicación publicitaria/Manejo de procesos de planeación, organización, implementación, seguimiento, control y evaluación a las etapas mercadológicas y de comunicación publicitaria/Búsqueda y análisis de información que implica recolección, organización y procesamiento de información/Manejo de estrategias mercadológicas y de comunicación publicitaria orientadas al crecimiento, posicionamiento y diferenciación de las organizaciones/Manejo de teorías y técnicas de mercadeo y comunicación publicitaria.</t>
  </si>
  <si>
    <t>Sector empresarial y corporativo: Empresas de bienes y servicios en sectores industrial, tecnológico, financiero, farmacéutico, educativo, turístico, retail y consumo masivo/Agencias y firmas especializadas: Agencias de publicidad, agencias de medios, comunicación multicanal, marketing digital, branding, relaciones públicas y consultoras en investigación de mercados/Medios de comunicación y plataformas digitales: Empresas de medios tradicionales (prensa, radio, televisión) y plataformas digitales con estrategias de posicionamiento, gestión de audiencias y monetización de contenidos. Startups y compañías tecnológicas que desarrollan modelos de negocio basados en marketing digital, redes sociales, comercio electrónico y contenidos de valor/Comercio, distribución y experiencia del cliente: Cadenas de distribución y logística con áreas de trade marketing, gestión de canales y planeación comercial; empresas de comercio electrónico (e-commerce) y marketplaces/Investigación, análisis e inteligencia de mercados: Empresas de investigación de mercados nacionales e internacionales, observatorios de tendencias y consultoras de datos/Organizaciones sociales, culturales y públicas: Entidades gubernamentales, ONG, fundaciones, instituciones culturales y educativas con proyectos relacionados con mercadeo y comunicación publicitaria/Consultoría independiente: Formulación de proyectos de mercadeo, publicidad, innovación y/o contenidos digitales; en organizaciones y emprendimientos de diversos sectores de la economía.</t>
  </si>
  <si>
    <t>El programa Profesional en Mercadeo y Publicidad forma profesionales con pensamiento analítico, crítico, creativo y propositivo, capaces de comprender el entorno y generar soluciones estratégicas de alto impacto. Su visión holística del mercadeo les permite implementar planes integrales que articulan el mercadeo y la comunicación publicitaria, fortaleciendo la conexión entre las organizaciones y sus "stakeholders". La combinación de una sólida base conceptual con la práctica en escenarios reales, impulsa el desarrollo de competencias profesionales y habilidades esenciales que potencian el liderazgo, el trabajo interdisciplinario y la orientación a resultados. La participación constante en ejercicios de competición académica, proyectos con clientes del sector productivo y la cultura de investigación aplicada; respaldan la calidad del proceso formativo y consolidan un perfil profesional reconocido por su capacidad de co-crear valor en contextos locales e internacionales.</t>
  </si>
  <si>
    <t>teorías y metodologías del mercadeo y la comunicación publicitaria</t>
  </si>
  <si>
    <t>implementar estrategias que respondan a las dinámicas del mercado, comportamiento del consumidor y objetivos organizacionales en contextos competitivos</t>
  </si>
  <si>
    <t>demostrando adaptabilidad ante los cambios del entorno organizacional y visión estratégica</t>
  </si>
  <si>
    <t>acciones tácticas mercadológicas y de comunicación publicitaria</t>
  </si>
  <si>
    <t>gestionar estrategias enfocadas en el mercado y en la propuesta de valor</t>
  </si>
  <si>
    <t>que favorezcan la competitividad, la rentabilidad y la relación de las organizaciones con los "stakeholders"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</si>
  <si>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</si>
  <si>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</si>
  <si>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</si>
  <si>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</si>
  <si>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</si>
  <si>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</si>
  <si>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</si>
  <si>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</si>
  <si>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</si>
  <si>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</si>
  <si>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</si>
  <si>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</si>
  <si>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</si>
  <si>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</si>
  <si>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</si>
  <si>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</si>
  <si>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</si>
  <si>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</si>
  <si>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Analizar</t>
  </si>
  <si>
    <t>Analizar información en el macroentorno y microentorno para orientar la toma de decisiones estratégicas en las áreas de mercadeo y publicidad, contribuyendo al crecimiento, posicionamiento y sostenibilidad de las organizaciones.</t>
  </si>
  <si>
    <t>Específica</t>
  </si>
  <si>
    <t>Aplicar</t>
  </si>
  <si>
    <t>Aplicar teorías y metodologías del mercadeo y la comunicación publicitaria para implementar estrategias que respondan a las dinámicas del mercado, comportamiento del consumidor y objetivos organizacionales en contextos competitivos, demostrando adaptabilidad ante los cambios del entorno organizacional y visión estratégica.</t>
  </si>
  <si>
    <t>Desarrollar</t>
  </si>
  <si>
    <t>Desarrollar acciones tácticas mercadológicas y de comunicación publicitaria para gestionar estrategias enfocadas en el mercado y en la propuesta de valor, que favorezcan la competitividad, la rentabilidad y la relación de las organizaciones con los "stakeholders".</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</si>
  <si>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</si>
  <si>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</si>
  <si>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</si>
  <si>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</si>
  <si>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</si>
  <si>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</si>
  <si>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</si>
  <si>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</si>
  <si>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</si>
  <si>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</si>
  <si>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</si>
  <si>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</si>
  <si>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</si>
  <si>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</si>
  <si>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</si>
  <si>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</si>
  <si>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</si>
  <si>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</si>
  <si>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</si>
  <si>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</si>
  <si>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</si>
  <si>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</si>
  <si>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</si>
  <si>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</si>
  <si>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 las dinámicas organizacionales en el macroentorno (económico, político, social, cultural, tecnológico y ambiental) para formular estrategias de mercadeo y comunicación publicitaria basadas en la interpretación de datos cuantitativos y cualitativos, enfocadas en la co-creación de valor.</t>
  </si>
  <si>
    <t>ProcedimentalB</t>
  </si>
  <si>
    <t>AplicaciónB</t>
  </si>
  <si>
    <t>Aplica técnicas de recolección, procesamiento y análisis de datos para identificar oportunidades y problemáticas que orienten la formulación de estrategias de mercadeo y comunicación publicitaria.</t>
  </si>
  <si>
    <t>ActitudinalB</t>
  </si>
  <si>
    <t>Aplica conocimientos y criterios colaborativos e innovadores en el desarrollo de planes y proyectos de mercadeo y comunicación publicitaria para diseñar propuestas orientadas a la generación de valor dentro del marco legal.</t>
  </si>
  <si>
    <t>Analiza los conceptos del mercadeo y la comunicación publicitaria para establecer relaciones conceptuales que orienten el diseño de estrategias de mercadeo y comunicación publicitaria dirigidas a "stakeholders".</t>
  </si>
  <si>
    <t>SíntesisB</t>
  </si>
  <si>
    <t>Formular</t>
  </si>
  <si>
    <t>Formula planes de mercadeo y de comunicación publicitaria para desarrollar propuestas que cumplan con los objetivos mercadológicos y de comunicación comercial.</t>
  </si>
  <si>
    <t>Analiza las dinámicas organizacionales en el microentorno (competencia, proveedores, intermediarios de marketing, mercado, clientes y públicos) para proponer tácticas de mercadeo y comunicación publicitaria basadas en evidencias cuantitativas y cualitativas, enfocadas en la co-creación de valor.</t>
  </si>
  <si>
    <t>Formula proyectos de mercadeo y de comunicación publicitaria para evaluar la rentabilidad de las inversiones requeridas para el cumplimiento de los objetivos mercadológicos.</t>
  </si>
  <si>
    <t>Fenómenos contemporáneos</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</si>
  <si>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</si>
  <si>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</si>
  <si>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</si>
  <si>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</si>
  <si>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</si>
  <si>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</si>
  <si>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</si>
  <si>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</si>
  <si>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</si>
  <si>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</si>
  <si>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</si>
  <si>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</si>
  <si>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</si>
  <si>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</si>
  <si>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</si>
  <si>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</si>
  <si>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</si>
  <si>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</si>
  <si>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</si>
  <si>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</si>
  <si>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</si>
  <si>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</si>
  <si>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</si>
  <si>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</si>
  <si>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</si>
  <si>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</si>
  <si>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</si>
  <si>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</si>
  <si>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</si>
  <si>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</si>
  <si>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</si>
  <si>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</si>
  <si>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</si>
  <si>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</si>
  <si>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</si>
  <si>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</si>
  <si>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</si>
  <si>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</si>
  <si>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Journey Enterprise: Visitas Empresariales</t>
  </si>
  <si>
    <t>Actividad de aprendizaje experiencial que permite a los estudiantes conocer directamente la dinámica de las áreas de mercadeo, ventas, branding, producción y publicidad a través de visitas guiadas a empresas del sector.</t>
  </si>
  <si>
    <t>Número de empresas que participan en la actividad de aprendizaje por anualidad.</t>
  </si>
  <si>
    <t>Formar e informar a los estudiantes en torno a las dinámicas organizacionales, estrategias de mercadeo, ventas y branding, fortaleciendo la comprensión de la aplicación práctica de los conceptos teóricos en contextos empresariales reales de variados sectores económicos.</t>
  </si>
  <si>
    <t>Informe o Reporte</t>
  </si>
  <si>
    <t>Analiza los conceptos del mercadeo y la comunicación publicitaria para establecer relaciones conceptuales que orienten el diseño de estrategias de  mercadeo y campañas dirigidas a "stakeholders".</t>
  </si>
  <si>
    <t>Número de estudiantes que participan en la estrategia anualmente.</t>
  </si>
  <si>
    <t>Listados de participación</t>
  </si>
  <si>
    <t>Formula planes de mercadeo y de comunicación publicitaria para desarrollar propuestas que cumplan con los objetivos comerciales y de branding.</t>
  </si>
  <si>
    <t>Valoración del nivel de aporte de la estrategia a los resultados de aprendizaje del programa.</t>
  </si>
  <si>
    <t>Encuesta de valoración</t>
  </si>
  <si>
    <t>Incorporate: Ejecutivos Destacados</t>
  </si>
  <si>
    <t>Espacio académico en el que ejecutivos de empresas reconocidas comparten con los estudiantes casos empresariales de éxito y experiencias de su ejercicio profesional, fortaleciendo el vínculo entre la teoría y la práctica profesional.</t>
  </si>
  <si>
    <t>Formar a los estudiantes mediante el aprendizaje logrado a partir de los casos de éxito compartidos por profesionales del sector, promoviendo la conexión entre la teoría y la práctica.</t>
  </si>
  <si>
    <t>Aplica herramientas de recolección, procesamiento y análisis de datos para identificar oportunidades y problemáticas que orienten la formulación de estrategias de mercadeo y comunicación publicitaria.</t>
  </si>
  <si>
    <t>Aplica conocimientos y criterios colaborativos e innovadores en el desarrollo de proyectos de mercadeo y comunicación publicitaria para diseñar propuestas orientadas a la generación de valor dentro del marco legal.</t>
  </si>
  <si>
    <t>Número de veces que se realiza la estrategia anualmente.</t>
  </si>
  <si>
    <t>Feedback: Experiencias Educativas</t>
  </si>
  <si>
    <t>Encuentro entre egresados y estudiantes actuales del programa de Mercadeo y Publicidad, para socializar la experiencia educativa en el POLI y su impacto en el desarrollo profesional y personal, promoviendo el sentido de pertenencia institucional.</t>
  </si>
  <si>
    <t>Número de estudiantes y egresados que participan en la estrategia anualmente.</t>
  </si>
  <si>
    <t>Informar y ayudar a decidir a los estudiantes mediante el intercambio con egresados, para que reconozcan las oportunidades, desafíos y proyecciones del campo profesional, orientando sus decisiones académicas y laborales.</t>
  </si>
  <si>
    <t>Working Together: Retos</t>
  </si>
  <si>
    <t>Estrategia de aula invertida y trabajo colaborativo entre academia y empresa, en la que los estudiantes enfrentan situaciones reales del entorno organizacional para diseñar soluciones de mercadeo y comunicación.</t>
  </si>
  <si>
    <t>Formar al propiciar experiencias de aprendizaje basadas en retos colaborativos con empresas, que fortalecen la resolución de problemas reales y preparan al estudiante para enfrentar escenarios laborales complejos.</t>
  </si>
  <si>
    <t>Día del Mercadólogo y Publicidad</t>
  </si>
  <si>
    <t>Espacios prácticos orientados al abordaje detallado de temas específicos del mercadeo y la publicidad, promoviendo el análisis crítico y la aplicación de conocimientos en contextos reales.</t>
  </si>
  <si>
    <t>Formar en el desarrollo de habilidades específicas en mercadeo y publicidad, mediante espacios prácticos que promueven la aplicación de conocimientos y la reflexión crítica sobre temas de actualidad.</t>
  </si>
  <si>
    <t>Marketing Boulevard</t>
  </si>
  <si>
    <t>Estrategia de comunicación, relacionamiento y divulgación académica que fomenta el trabajo en red con instituciones nacionales e internacionales, para promover el intercambio de conocimiento e investigación en mercadeo y publicidad.</t>
  </si>
  <si>
    <t>Informar y formar sobre las tendencias, investigaciones y buenas prácticas del sector, promoviendo el pensamiento crítico y el aprendizaje continuo a través del intercambio académico con expertos nacionales e internacionales.</t>
  </si>
  <si>
    <t>Listas de participación</t>
  </si>
  <si>
    <t>Poli Creative Day</t>
  </si>
  <si>
    <t>Evento académico que aborda temáticas especializadas en mercadeo y publicidad digital, con la participación de invitados expertos del sector que comparten tendencias, herramientas y casos de éxito.</t>
  </si>
  <si>
    <t>Formar e informar a los estudiantes sobre las tendencias del mercadeo y la publicidad digital, fortaleciendo competencias tecnológicas y estratégicas orientadas al entorno digital.</t>
  </si>
  <si>
    <t>Think Up</t>
  </si>
  <si>
    <t>Actividad práctica tipo competencia en la que los estudiantes conforman agencias simuladas para diseñar estrategias publicitarias para clientes de diversos sectores económicos, fortaleciendo su creatividad y capacidad estratégica.</t>
  </si>
  <si>
    <t>Formar e informar, al promover el trabajo en equipo, la creatividad y la toma de decisiones estratégicas frente a clientes de diversos sectores económicos, fortaleciendo la autonomía y el pensamiento crítico del estudiante.</t>
  </si>
  <si>
    <t>Persépoli</t>
  </si>
  <si>
    <t>Evento institucional que reconoce la creatividad, el trabajo colaborativo y la innovación de los estudiantes del POLI en el desarrollo de proyectos de mercadeo y publicidad.</t>
  </si>
  <si>
    <t>Número de eventos que se realizan anualmente.</t>
  </si>
  <si>
    <t>Formar e informar, al reconocer las buenas prácticas, la creatividad y la innovación de los estudiantes, fomentando la reflexión sobre el proceso de aprendizaje y la mejora continua en sus proyectos.</t>
  </si>
  <si>
    <t>Effie College</t>
  </si>
  <si>
    <t>Competencia académica de alcance nacional que promueve el desarrollo de estrategias publicitarias efectivas frente a clientes de diversos sectores económicos, fortaleciendo las competencias comerciales, comunicativas y estratégicas de los estudiantes.</t>
  </si>
  <si>
    <t>Formar e informar, al involucrar a los estudiantes en competencias nacionales que exigen la aplicación rigurosa del conocimiento, permitiéndoles identificar fortalezas y áreas de mejora para su desempeño académico y profesional.</t>
  </si>
  <si>
    <t>Semilleros de Investigación</t>
  </si>
  <si>
    <t>Estrategia de formación investigativa que promueve la participación de estudiantes y docentes en proyectos de indagación sobre problemáticas del campo del mercadeo y la publicidad, bajo el acompañamiento de un docente tutor.</t>
  </si>
  <si>
    <t>Formar y ayudar a decidir, al fomentar el pensamiento investigativo, la indagación y el trabajo colaborativo, orientando a los estudiantes hacia la construcción de proyectos y trayectorias de investigación.</t>
  </si>
  <si>
    <t>Número de publicaciones y / o contenidos en medios de comunicación tradicionales, digitales y redes anualmente.</t>
  </si>
  <si>
    <t>Jóvenes Investigadores</t>
  </si>
  <si>
    <t>Programa de formación científica e investigativa dirigido a egresados destacados interesados en iniciar o fortalecer su trayectoria investigativa, mediante su vinculación a grupos o unidades de investigación con acompañamiento docente.</t>
  </si>
  <si>
    <t>Formar, al fortalecer las competencias investigativas y científicas de los egresados, y ayudar a decidir en la proyección de su desarrollo académico y profesional dentro del campo de la investigación.</t>
  </si>
  <si>
    <t>Participación en Redes Académicas</t>
  </si>
  <si>
    <t>Estrategia que promueve la vinculación de estudiantes y docentes a redes académicas nacionales e internacionales, facilitando la colaboración, el intercambio de información y el desarrollo conjunto de proyectos académicos e investigativos.</t>
  </si>
  <si>
    <t>Informar y formar, al propiciar el intercambio de conocimiento y experiencias con otras instituciones, ampliando la visión académica y profesional de los estudiantes en torno a la investigación, la innovación y la gestión del conocimiento.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</si>
  <si>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</si>
  <si>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</si>
  <si>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</si>
  <si>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</si>
  <si>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</si>
  <si>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</si>
  <si>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</si>
  <si>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</si>
  <si>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</si>
  <si>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</si>
  <si>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</si>
  <si>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</si>
  <si>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</si>
  <si>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</si>
  <si>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</si>
  <si>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</si>
  <si>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</si>
  <si>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</si>
  <si>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</si>
  <si>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</si>
  <si>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</si>
  <si>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</si>
  <si>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</si>
  <si>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</si>
  <si>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</si>
  <si>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</si>
  <si>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</si>
  <si>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</si>
  <si>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</si>
  <si>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</si>
  <si>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</si>
  <si>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</si>
  <si>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</si>
  <si>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</si>
  <si>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</si>
  <si>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</si>
  <si>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</si>
  <si>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</si>
  <si>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</si>
  <si>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</si>
  <si>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llevar a cabo análisis de problemáticas sociales, ambientales y culturales.
Reflexiona sobre los impactos de los avances tecnológicos en el ámbito profesional y ciudadano para generar análisis alrededor de éstos,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</si>
  <si>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</si>
  <si>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</si>
  <si>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Seguimiento, Entre Proyecto: Parte 1, Quiz, Seguimiento, Entre Proyecto: Parte II, Entrevista a expertos, Feria de proyectos , Seguimiento. </t>
  </si>
  <si>
    <t>Taller Creativo</t>
  </si>
  <si>
    <t>Aplica metodologías de ideación y pensamiento creativo para proponer soluciones que resuelvan problemáticas de diferentes disciplinas y contextos.</t>
  </si>
  <si>
    <t>1. Fundamentos del proceso creativo.
2. Potencial creativo y pensamiento divergente.
3. Técnicas y métodos de generación de ideas.
4. Aplicación creativa en proyectos multidisciplinares.</t>
  </si>
  <si>
    <t>Las estrategias pueden variar entre estas u otras:
Trabajo directo:
Clase magistral activa/Talleres/Identificación de problemas/Análisis de contenidos.
Trabajo independiente:
Lecturas complementarias/Búsqueda, recolección, revisión, análisis y síntesis de información/Estructuración de informes, presentaciones, infografías.</t>
  </si>
  <si>
    <t>Las actividades pueden varias entre estas u otras:
Formativas:
Preguntas intercaladas/Rúbrica cualitativa
Sumativas:
Rúbrica Cuantitativa/Quices/Talleres/Parciales/Trabajo Final</t>
  </si>
  <si>
    <t>I</t>
  </si>
  <si>
    <t>Fundamentos de Mercadeo y Publicidad</t>
  </si>
  <si>
    <t>Relaciona los conceptos y procesos fundamentales del mercadeo y la comunicación publicitaria para describir propuestas de valor que integren el análisis del mercado, la identificación de necesidades del consumidor y los elementos centrales de la mezcla de mercadeo y del proceso publicitario.</t>
  </si>
  <si>
    <t xml:space="preserve">1. Conceptualización del Mercadeo y proceso de mercadeo.  
2. Conocimiento del mercado y los consumidores. 
3. Diseño de la estrategia y mezcla de Mercadeo orientadas al cliente. 
4. Conceptualización de la Publicidad y el proceso creativo. </t>
  </si>
  <si>
    <t>Comportamiento del Consumidor</t>
  </si>
  <si>
    <t>Analiza de manera integral los factores psicológicos, sociales y culturales del consumidor para identificar insights que orienten decisiones estratégicas de mercadeo y comunicación publicitaria.</t>
  </si>
  <si>
    <t xml:space="preserve">1. Procesos psicológicos del consumidor.    
2. Influencias sociales y culturales en el comportamiento.   
3. Proceso de decisión del consumidor.   
4. Aplicación de insights en estrategias de Mercadeo y Comunicación Publicitaria.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</si>
  <si>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</si>
  <si>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</si>
  <si>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</si>
  <si>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</si>
  <si>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</si>
  <si>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Segmentación de Mercados</t>
  </si>
  <si>
    <t>Estructura segmentaciones de mercado basadas en el análisis de variables geográficas, demográficas, psicográficas, comportamentales y organizacionales para identificar mercados meta viables que orienten las decisiones de mercadeo y comunicación publicitaria.</t>
  </si>
  <si>
    <t xml:space="preserve">1. Fundamentos estratégicos de la segmentación.
2. Segmentación de mercados de consumo.   
3. Segmentación de mercados empresariales (B2B).
4. Selección del mercado meta y estrategias de cobertura. </t>
  </si>
  <si>
    <t>Fundamentos de Fotografía</t>
  </si>
  <si>
    <t xml:space="preserve">Reconoce los fundamentos técnicos y conceptuales de la fotografía, para aplicar criterios básicos en la valoración de imágenes según su intención comunicativa y tipología visual. </t>
  </si>
  <si>
    <t>1. Contexto y antecedentes de la fotografía.
2. Fundamentos técnicos de la fotografía.
3. Producción de la imagen fotográfica.
4. Tipologías de la imagen fotográfica.</t>
  </si>
  <si>
    <t>Las estrategias pueden variar entre estas u otras:
Trabajo directo
Clases magistrales/Talleres/Laboratorios/Uso de herramientas computacionales/Uso de herramientas para fotografía/Resolución de problemas
Trabajo independiente
Lecturas/Resolución de problemas/Uso de herramientas computacionales/Uso de herramientas para fotografía</t>
  </si>
  <si>
    <t>Las estrategias pueden variar entre las siguientes u otras:
Formativas
Resolución de problemas/Uso de herramientas computacionales/Proyectos
Sumativas
Taller/Laboratorios/Presentación y sustentación de proyectos/Piezas fotográficas</t>
  </si>
  <si>
    <t>Producto y Precio</t>
  </si>
  <si>
    <t>Formula estrategias de producto y precio aplicando herramientas de gestión de valor, innovación, gestión del portafolio y fijación de precios, para estructurar propuestas de valor competitivas, diferenciadas y sostenibles acordes con las necesidades de los clientes.</t>
  </si>
  <si>
    <t xml:space="preserve">1. Creación de valor y propuesta de valor estratégica.   
2. Estrategia y gestión del producto.  
3. Gestión de servicios y experiencia del cliente.  
4. Estrategias y gestión del precio.  </t>
  </si>
  <si>
    <t>Comunicación Publicitaria</t>
  </si>
  <si>
    <t>Aplica métodos creativos, narrativos y visuales para crear conceptos y mensajes publicitarios considerando los objetivos de comunicación, el análisis de las audiencias y la identidad de marca.</t>
  </si>
  <si>
    <t>1. Fundamentación y propósito de la comunicación publicitaria.
2. El brief como insumo estratégico de la comunicación publicitaria.
3. Oportunidades de la mediación tecnológica en la investigación publicitaria. 
4. Plataforma de ejecución.</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</si>
  <si>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</si>
  <si>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</si>
  <si>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</si>
  <si>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</si>
  <si>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</si>
  <si>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</si>
  <si>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</si>
  <si>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</si>
  <si>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moral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</si>
  <si>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</si>
  <si>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</si>
  <si>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1. Elementos básicos de composición.
2. El espacio formato.
3. Modulación y tipografía.
4. Color y texturas.</t>
  </si>
  <si>
    <t>Las estrategias pueden variar entre estas u otras:
Trabajo directo
Clases magistrales/Talleres/Laboratorios/Uso de herramientas computacionales/Uso de herramientas para el diseño/Resolución de problemas
Trabajo independiente
Lecturas/Resolución de problemas/Uso de herramientas computacionales/Uso de herramientas para el diseño</t>
  </si>
  <si>
    <t>Las estrategias pueden variar entre las siguientes u otras:
Formativas
Resolución de problemas/Uso de herramientas computacionales/Proyectos
Sumativas
Taller/Laboratorios/Presentación y sustentación de proyectos/Piezas gráficas</t>
  </si>
  <si>
    <t>Comunicaciones Integradas de Mercadeo</t>
  </si>
  <si>
    <t>Diseña una estrategia de comunicación de mercadeo, articulando mensajes, canales y tácticas de comunicación análogas y digitales con un enfoque integral y omnicanal para comunicar valor a los stakeholders de una organización.</t>
  </si>
  <si>
    <t>1. Fundamentos de la comunicación integral de mercadeo.    
2. Herramientas y tácticas de comunicación.   
3. Planeación estratégica de la comunicación.   
4. Evaluación y control del plan de comunicación.</t>
  </si>
  <si>
    <t>Redacción Publicitaria</t>
  </si>
  <si>
    <t>Aplica técnicas narrativas, retóricas y estrategias de comunicación para desarrollar mensajes publicitarios que respondan a los requerimientos establecidos en un reto de comunicación publicitaria.</t>
  </si>
  <si>
    <t xml:space="preserve">1. Pensamiento creativo publicitario y estrategia creativa. 
2. Concepto publicitario como eje de la comunicación.  
3. Ejecución publicitaria. 
4. Speech en la presentación de campañas.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</si>
  <si>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</si>
  <si>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decisiones en diversos contextos.</t>
  </si>
  <si>
    <t>1. Estadística descriptiva.
2. Teoría de la probabilidad. 
3. Variables aleatorias y distribuciones de probabilidad.
4. Distribuciones de probabilidad discretas y continuas.</t>
  </si>
  <si>
    <t>Las estrategias pueden variar entre estas y otras que emerjan en el proceso formativo.
Trabajo directo:
Clase magistral activa
Ejemplos y talleres en clase
Trabajo independiente:
Lecturas complementarias
Talleres de trabajo autónomo
Actividades de refuerzo</t>
  </si>
  <si>
    <t>Las estrategias pueden variar entre estas y otras que emerjan en el proceso formativo.
Evaluación formativa:
Resolución de problemas
Proyectos
Talleres
Evaluación sumativa:
Talleres
Exposiciones
Pruebas escritas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</si>
  <si>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</si>
  <si>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</si>
  <si>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</si>
  <si>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1. Análisis de la Era del Antropoceno. 
2. Otras Alternativas al Desarrollo Sostenible. 
3. Ciudadanía y Políticas Públicas para el Desarrollo Sostenible. 
4. El aporte de Negocios para la Búsqueda del Desarrollo Sostenible.</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</si>
  <si>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</si>
  <si>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</si>
  <si>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</si>
  <si>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</si>
  <si>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</si>
  <si>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varias entre estas u otras:
Formativas
Resolución de problemas/Análisis de casos reales o simulados/Talleres/Representaciones gráficas o visuales (mapas conceptuales, infografías, presentaciones, entre otros)
Sumativas
Pruebas escritas/Proyectos aplicados/Estudios de caso/Simulaciones y modelado de procesos/Informes técnicos/Presentaciones orales o defensa de propuestas</t>
  </si>
  <si>
    <t>Investigación de Mercados Cualitativa</t>
  </si>
  <si>
    <t>Aplica técnicas de investigación cualitativa para estructurar estudios de mercado que orienten los procesos de la gestión de mercadeo y la comunicación publicitaria.</t>
  </si>
  <si>
    <t xml:space="preserve">1. Fundamentos epistemológicos y metodológicos de la investigación de mercados.    
2. Diseño de la investigación cualitativa en mercados.  
3. Codificación, análisis e interpretación de datos cualitativos.   
4. Comunicación de resultados y aplicación estratégica. </t>
  </si>
  <si>
    <t>Las estrategias pueden variar entre estas u otras:
Trabajo directo:
Clase magistral activa/Aprendizaje basado en investigación/Talleres/Identificación de problemas/Análisis de contenidos.
Trabajo independiente:
Lecturas complementarias/Búsqueda, recolección, revisión, análisis y síntesis de información/Estructuración de informes, presentaciones, infografías.</t>
  </si>
  <si>
    <t>Distribución Comercial y Logística</t>
  </si>
  <si>
    <t>Planea los flujos logísticos, la cobertura de mercado y los canales de distribución para diseñar estrategias de distribución en canales físicos y digitales que fortalezcan el proceso de entrega de valor al consumidor final.</t>
  </si>
  <si>
    <t xml:space="preserve">1. Fundamentos estratégicos de la distribución y la logística.    
2. Canales de distribución y modelos comerciales.   
3. Estrategias de distribución y entrega de valor.   
4. Trade marketing. </t>
  </si>
  <si>
    <t>Planeación de Medios Publicitarios</t>
  </si>
  <si>
    <t>Utiliza técnicas y datos de audiencias, apoyados en plataformas digitales y estudios de mercado, para planificar acciones de medios publicitarios en entornos multicanales.</t>
  </si>
  <si>
    <t>1. Análisis del ecosistema mediático y del consumidor.
2. Planeación estratégica de medios.
3. Medición, seguimiento y control de pauta.
4. Innovación y tecnologías aplicadas a la planeación de medios.</t>
  </si>
  <si>
    <t>Microeconomía</t>
  </si>
  <si>
    <t xml:space="preserve">Calcula el equilibrio de mercado a partir de los cambios generados en la oferta y la demanda y su implicación en los agentes económicos individuales familias y empresas para soportar la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</si>
  <si>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</si>
  <si>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Comercio Internacional</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</si>
  <si>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internacionales.</t>
  </si>
  <si>
    <t>T</t>
  </si>
  <si>
    <t>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</si>
  <si>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</si>
  <si>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</si>
  <si>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</si>
  <si>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Investigación de Mercados Cuantitativa</t>
  </si>
  <si>
    <t>Aplica técnicas de investigación cuantitativa para estructurar estudios de mercado que orienten los procesos de la gestión de mercadeo y la comunicación publicitaria.</t>
  </si>
  <si>
    <t xml:space="preserve">1. Fundamentos y estructura de la investigación cuantitativa.     
2. Diseño y planeación del estudio cuantitativo.   
3. Recolección, codificación, procesamiento y análisis de datos.    
4. Comunicación, presentación y uso estratégico de los resultados.   </t>
  </si>
  <si>
    <t>Mercadeo Relacional</t>
  </si>
  <si>
    <t>Diseña estrategias de gestión de relaciones con clientes para proponer acciones orientadas a fidelizar, personalizar y gestionar la rentabilidad del cliente en el proceso de co-creación de valor.</t>
  </si>
  <si>
    <t>1. Fundamentos estratégicos del mercadeo relacional.   
2. Construcción y análisis del cliente para la gestión de relaciones.  
3. Estrategias y tácticas relacionales orientadas a la co-creación de valor.
4. Medición, automatización y sostenibilidad de las relaciones con clientes.</t>
  </si>
  <si>
    <t>Publicidad Digital</t>
  </si>
  <si>
    <t>Analiza la empresa, la marca, los grupos objetivos y los ecosistemas digitales para diseñar estrategias de comunicación digital.</t>
  </si>
  <si>
    <t>1. Entornos y ecosistemas digitales.
2. Segmentación y audiencias digitales.
3. Planeación estratégica y creativa de la publicidad digital.
4. Data, tecnología e inteligencia artificial aplicada.</t>
  </si>
  <si>
    <t>Marketing de Contenidos</t>
  </si>
  <si>
    <t>Desarrolla una estrategia de contenidos relacionada con la atracción, interacción y fidelización de públicos objetivos en entornos digitales para proponer narrativas estructuradas y estrategias transmediales.</t>
  </si>
  <si>
    <t xml:space="preserve">1. Fundamentos del Marketing de Contenidos. 
2. Diseño narrativo y story systems.    
3. Producción y formatos de contenido.    
4. Estrategias avanzadas de contenido.  </t>
  </si>
  <si>
    <t>Derecho Comercial y Laboral</t>
  </si>
  <si>
    <t>Caracteriza los negocios jurídicos tanto en los actos de comercio como en las relaciones laborales en atención a la legislación vigente para crear modelos de empresas o contratos civiles, comerciales y laborales.</t>
  </si>
  <si>
    <t>1.	Historia, principios generales y fuentes del derecho laboral 
2.	Contrato de trabajo, jornada laboral, salario y prestaciones sociales
3.	Acercamiento al derecho comercial  
4.	Costumbre mercantil</t>
  </si>
  <si>
    <t>Finanzas para la Gestión Comercial</t>
  </si>
  <si>
    <t>Aplica técnicas de análisis financiero, de costos, precios y rentabilidad para evaluar el impacto de las decisiones comerciales sobre el desempeño financiero de la empresa.</t>
  </si>
  <si>
    <t xml:space="preserve">1. Fundamentos financieros para la decisión comercial.    
2. Análisis de costos, gastos, precios y rentabilidad en la estrategia comercial.    
3. Gestión presupuestal y control financiero en la gestión comercial.   
4. Evaluación financiera de actividades de marketing. </t>
  </si>
  <si>
    <t>Tendencias Publicitarias</t>
  </si>
  <si>
    <t>Aplica métodos de análisis de tendencias publicitarias emergentes para identificar oportunidades de comunicación publicitaria en contextos culturales, tecnológicos y sociales.</t>
  </si>
  <si>
    <t>1. Contextualización y conceptualización de tendencias publicitarias.
2. Investigación e identificación de tendencias publicitarias.
3. Innovación y aplicación creativa basada en tendencias.
4. Prospectiva e inteligencia aplicada a la innovación publicitaria.</t>
  </si>
  <si>
    <t>Plan de Mercadeo</t>
  </si>
  <si>
    <t>Interpreta la situación mercadológica de la empresa para estructurar un plan de mercadeo alineado con los objetivos organizacionales.</t>
  </si>
  <si>
    <t xml:space="preserve">1. Conceptualización del plan de mercadeo.    
2. Etapa de diagnóstico del plan de mercadeo.   
3. Etapa de formulación estratégica y táctica del plan de mercadeo.   
4. Etapa de presupuestación y control del plan de mercadeo.  </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</si>
  <si>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</si>
  <si>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</si>
  <si>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</si>
  <si>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Análisis Publicitario</t>
  </si>
  <si>
    <t>Analiza elementos estratégicos, visuales y culturales en mensajes de medios tradicionales y digitales para aplicar técnicas que evalúen el impacto en la comunicación publicitaria.</t>
  </si>
  <si>
    <t>1. Fundamentos del análisis publicitario y lectura crítica de mensajes.
2. Semiótica, narrativa visual y cultura de marca.
3. Análisis estratégico y argumentativo de campañas.
4. Evaluación de impacto y tendencias analíticas en publicidad.</t>
  </si>
  <si>
    <t>Formulación y Evaluación de Proyectos de Mercadeo</t>
  </si>
  <si>
    <t>Aplica técnicas de formulación, análisis y evaluación financiera para determinar la viabilidad y los resultados esperados de un proyecto de mercadeo.</t>
  </si>
  <si>
    <t xml:space="preserve">1. Selección y definición del proyecto.     
2. Estudios del proyecto.    
3. Marco financiero.    
4. Evaluación del proyecto y de resultados. </t>
  </si>
  <si>
    <t>Gerencia Comercial</t>
  </si>
  <si>
    <t>Interpreta la situación comercial de la empresa para estructurar un plan de ventas alineado con los objetivos mercadológicos.</t>
  </si>
  <si>
    <t xml:space="preserve">1. Estrategia comercial y diseño de la fuerza de ventas.    
2. Gestión de la fuerza de ventas y análisis del cliente.   
3. Pronósticos y planificación de ventas.   
4. Innovación, sostenibilidad y transformación digital en la gestión comercial. </t>
  </si>
  <si>
    <t>Branding</t>
  </si>
  <si>
    <t>Analiza el valor simbólico, funcional y emocional de una entidad (organización o producto) mediante la aplicación de modelos de branding y arquitectura de marca para establecer los lineamientos de la identidad corporativa.</t>
  </si>
  <si>
    <t>1. Branding e identidad de marca.
2. Plataforma de marca.
3. Arquitectura y comunicación de marca.
4. Gestión estratégica y medición del valor de marca.</t>
  </si>
  <si>
    <t>E-Commerce</t>
  </si>
  <si>
    <t>Formula estrategias de comercio electrónico para proponer acciones de distribución comercial online, que optimicen la eficiencia operativa y la sostenibilidad del negocio digital.</t>
  </si>
  <si>
    <t xml:space="preserve">1. Estrategia de comercio electrónico y modelos de negocio.     
2. Plataforma tecnológica, logística y experiencia del usuario.    
3. Marketing digital, marketplaces y canales de venta online.    
4. Analítica, métricas y optimización del e-commerce.  </t>
  </si>
  <si>
    <t>Electiva 1</t>
  </si>
  <si>
    <t>Electiva 2</t>
  </si>
  <si>
    <t>Consultoría Empresarial</t>
  </si>
  <si>
    <t>Desarrolla un proceso de consultoría aplicando técnicas de diagnóstico y análisis para formular recomendaciones a necesidades organizacionales en el ámbito del mercadeo.</t>
  </si>
  <si>
    <t xml:space="preserve">1. Conceptualización de la consultoría empresarial. 
2. Consultoría aplicada a la gestión mercadológica.   
3. Estructura del informe técnico.  
4. Servicios de consultoría. </t>
  </si>
  <si>
    <t>Gerencia de Mercadeo</t>
  </si>
  <si>
    <t>Aplica indicadores y analítica gerencial para diseñar un sistema de gestión y control del mercadeo que fortalezca el desempeño y la creación de valor organizacional.</t>
  </si>
  <si>
    <t>1. Sistemas de seguimiento y control organizacional.
2. Modelos de gestión de mercadeo y desempeño organizacional.   
3. Control estratégico del mercadeo y la comercialización.   
4. Transformación digital y analítica gerencial del mercadeo.</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</si>
  <si>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</si>
  <si>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</si>
  <si>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</si>
  <si>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</si>
  <si>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</si>
  <si>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</si>
  <si>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</si>
  <si>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</si>
  <si>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</si>
  <si>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</si>
  <si>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</si>
  <si>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</si>
  <si>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</si>
  <si>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</si>
  <si>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</si>
  <si>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</si>
  <si>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</si>
  <si>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</si>
  <si>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</si>
  <si>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</si>
  <si>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Dominar</t>
  </si>
  <si>
    <t>Establecer</t>
  </si>
  <si>
    <t>Evaluar</t>
  </si>
  <si>
    <t>Fiscalizar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</si>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</sst>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b/>
      <sz val="10"/>
      <name val="Gill Sans MT"/>
      <family val="2"/>
    </font>
    <font>
      <sz val="10"/>
      <name val="Gill Sans MT"/>
      <family val="2"/>
    </font>
    <font>
      <b/>
      <sz val="10"/>
      <color theme="0"/>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26">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right style="hair">
        <color theme="1" tint="0.499984740745262"/>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s>
  <cellStyleXfs count="2">
    <xf numFmtId="0" fontId="0" fillId="0" borderId="0"/>
    <xf numFmtId="0" fontId="14" fillId="0" borderId="0" applyNumberFormat="0" applyFill="0" applyBorder="0" applyAlignment="0" applyProtection="0"/>
  </cellStyleXfs>
  <cellXfs count="163">
    <xf numFmtId="0" fontId="0" fillId="0" borderId="0" xfId="0"/>
    <xf numFmtId="0" fontId="3" fillId="0" borderId="0" xfId="0" applyFont="1"/>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vertical="center"/>
    </xf>
    <xf numFmtId="0" fontId="10" fillId="0" borderId="0" xfId="0" applyFont="1" applyAlignment="1">
      <alignment wrapText="1"/>
    </xf>
    <xf numFmtId="0" fontId="8" fillId="0" borderId="0" xfId="0" applyFont="1"/>
    <xf numFmtId="0" fontId="0" fillId="0" borderId="0" xfId="0"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9" fillId="0" borderId="0" xfId="0" applyFont="1" applyAlignment="1">
      <alignment vertical="center"/>
    </xf>
    <xf numFmtId="0" fontId="9" fillId="5" borderId="3" xfId="0" applyFont="1" applyFill="1" applyBorder="1" applyAlignment="1">
      <alignment vertical="center"/>
    </xf>
    <xf numFmtId="0" fontId="3" fillId="5" borderId="3" xfId="0" applyFont="1" applyFill="1" applyBorder="1"/>
    <xf numFmtId="0" fontId="9" fillId="0" borderId="3" xfId="0" applyFont="1" applyBorder="1" applyAlignment="1">
      <alignment vertical="center"/>
    </xf>
    <xf numFmtId="0" fontId="3" fillId="0" borderId="3" xfId="0" applyFont="1" applyBorder="1"/>
    <xf numFmtId="0" fontId="9"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13"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vertical="center" wrapText="1"/>
    </xf>
    <xf numFmtId="0" fontId="12" fillId="0" borderId="0" xfId="0" applyFont="1" applyAlignment="1">
      <alignment horizontal="center" vertical="center" wrapText="1"/>
    </xf>
    <xf numFmtId="0" fontId="19" fillId="8" borderId="2" xfId="0" applyFont="1" applyFill="1" applyBorder="1" applyAlignment="1">
      <alignment horizontal="center" vertical="center" wrapText="1"/>
    </xf>
    <xf numFmtId="0" fontId="19" fillId="9" borderId="2"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20"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6" fillId="7" borderId="0" xfId="0" applyFont="1" applyFill="1" applyAlignment="1">
      <alignment horizontal="center" vertical="center" wrapText="1"/>
    </xf>
    <xf numFmtId="0" fontId="19" fillId="0" borderId="0" xfId="0" applyFont="1" applyAlignment="1">
      <alignment horizontal="left" vertical="center" wrapText="1"/>
    </xf>
    <xf numFmtId="0" fontId="18"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9" fillId="0" borderId="0" xfId="0" applyFont="1"/>
    <xf numFmtId="0" fontId="4" fillId="2" borderId="7" xfId="0" applyFont="1" applyFill="1" applyBorder="1" applyAlignment="1">
      <alignment horizontal="center" vertical="center" wrapText="1"/>
    </xf>
    <xf numFmtId="0" fontId="19" fillId="9" borderId="0" xfId="0" applyFont="1" applyFill="1" applyAlignment="1">
      <alignment horizontal="center" vertical="center" wrapText="1"/>
    </xf>
    <xf numFmtId="0" fontId="21" fillId="9" borderId="0" xfId="0" applyFont="1" applyFill="1" applyAlignment="1">
      <alignment horizontal="center" vertical="center" wrapText="1"/>
    </xf>
    <xf numFmtId="0" fontId="6" fillId="9" borderId="0" xfId="0" applyFont="1" applyFill="1" applyAlignment="1">
      <alignment horizontal="center" vertical="center" wrapText="1"/>
    </xf>
    <xf numFmtId="0" fontId="9"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1" fillId="0" borderId="0" xfId="0" applyFont="1" applyAlignment="1">
      <alignment horizontal="left" vertical="center" wrapText="1"/>
    </xf>
    <xf numFmtId="0" fontId="18" fillId="7" borderId="0" xfId="0" applyFont="1" applyFill="1" applyAlignment="1">
      <alignment horizontal="center" vertical="center" wrapText="1"/>
    </xf>
    <xf numFmtId="0" fontId="15" fillId="8" borderId="2"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18" fillId="7" borderId="10" xfId="0" applyFont="1" applyFill="1" applyBorder="1" applyAlignment="1">
      <alignment horizontal="center" vertical="center" wrapText="1"/>
    </xf>
    <xf numFmtId="0" fontId="15" fillId="9" borderId="0" xfId="0" applyFont="1" applyFill="1" applyAlignment="1">
      <alignment horizontal="center" vertical="center" wrapText="1"/>
    </xf>
    <xf numFmtId="0" fontId="15"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15" xfId="0" applyFont="1" applyBorder="1"/>
    <xf numFmtId="0" fontId="3" fillId="0" borderId="18" xfId="0" applyFont="1" applyBorder="1"/>
    <xf numFmtId="0" fontId="9" fillId="0" borderId="0" xfId="0" applyFont="1" applyAlignment="1">
      <alignment horizontal="left" vertical="center" wrapText="1"/>
    </xf>
    <xf numFmtId="0" fontId="16" fillId="7" borderId="2" xfId="0" applyFont="1" applyFill="1" applyBorder="1" applyAlignment="1">
      <alignment horizontal="center" vertical="center" wrapText="1"/>
    </xf>
    <xf numFmtId="0" fontId="21" fillId="9" borderId="2" xfId="0" applyFont="1" applyFill="1" applyBorder="1" applyAlignment="1">
      <alignment horizontal="center" vertical="center" wrapText="1"/>
    </xf>
    <xf numFmtId="0" fontId="20" fillId="0" borderId="0" xfId="0" applyFont="1" applyAlignment="1">
      <alignment horizontal="left" vertical="center" wrapText="1"/>
    </xf>
    <xf numFmtId="0" fontId="18"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10" fillId="0" borderId="0" xfId="0" applyFont="1" applyAlignment="1">
      <alignment vertical="center" wrapText="1"/>
    </xf>
    <xf numFmtId="0" fontId="3" fillId="0" borderId="0" xfId="0" applyFont="1" applyAlignment="1">
      <alignment vertical="center"/>
    </xf>
    <xf numFmtId="0" fontId="11" fillId="0" borderId="9" xfId="0" applyFont="1" applyBorder="1" applyAlignment="1">
      <alignment horizontal="left" vertical="center" wrapText="1"/>
    </xf>
    <xf numFmtId="0" fontId="9" fillId="0" borderId="9" xfId="0" applyFont="1" applyBorder="1" applyAlignment="1">
      <alignment vertical="center" wrapText="1"/>
    </xf>
    <xf numFmtId="0" fontId="9" fillId="0" borderId="8" xfId="0" applyFont="1" applyBorder="1" applyAlignment="1">
      <alignment vertical="center" wrapText="1"/>
    </xf>
    <xf numFmtId="0" fontId="11" fillId="0" borderId="8" xfId="0" applyFont="1" applyBorder="1" applyAlignment="1">
      <alignment horizontal="left" vertical="center" wrapText="1"/>
    </xf>
    <xf numFmtId="0" fontId="11" fillId="0" borderId="20" xfId="0" applyFont="1" applyBorder="1" applyAlignment="1">
      <alignment horizontal="left" vertical="center" wrapText="1"/>
    </xf>
    <xf numFmtId="0" fontId="9" fillId="0" borderId="20" xfId="0" applyFont="1" applyBorder="1" applyAlignment="1">
      <alignment vertical="center" wrapText="1"/>
    </xf>
    <xf numFmtId="0" fontId="9" fillId="0" borderId="6" xfId="0" applyFont="1" applyBorder="1" applyAlignment="1">
      <alignment vertical="center" wrapText="1"/>
    </xf>
    <xf numFmtId="0" fontId="22" fillId="0" borderId="0" xfId="0" applyFont="1" applyAlignment="1">
      <alignment horizontal="left" vertical="center" wrapText="1"/>
    </xf>
    <xf numFmtId="0" fontId="21" fillId="0" borderId="0" xfId="0" applyFont="1" applyAlignment="1">
      <alignment horizontal="center" vertical="center" wrapText="1"/>
    </xf>
    <xf numFmtId="0" fontId="11" fillId="0" borderId="0" xfId="0" applyFont="1" applyAlignment="1">
      <alignment vertical="center" wrapText="1"/>
    </xf>
    <xf numFmtId="0" fontId="6" fillId="3" borderId="7" xfId="0" applyFont="1" applyFill="1" applyBorder="1" applyAlignment="1">
      <alignment horizontal="center" vertical="center" wrapText="1"/>
    </xf>
    <xf numFmtId="0" fontId="11" fillId="0" borderId="14" xfId="0" applyFont="1" applyBorder="1"/>
    <xf numFmtId="0" fontId="11" fillId="0" borderId="0" xfId="0" applyFont="1"/>
    <xf numFmtId="0" fontId="6" fillId="0" borderId="0" xfId="0" applyFont="1"/>
    <xf numFmtId="0" fontId="6" fillId="0" borderId="14" xfId="0" applyFont="1" applyBorder="1"/>
    <xf numFmtId="0" fontId="11" fillId="0" borderId="16" xfId="0" applyFont="1" applyBorder="1"/>
    <xf numFmtId="0" fontId="11" fillId="0" borderId="17" xfId="0" applyFont="1" applyBorder="1"/>
    <xf numFmtId="0" fontId="11" fillId="0" borderId="15" xfId="0" applyFont="1" applyBorder="1"/>
    <xf numFmtId="0" fontId="11" fillId="0" borderId="18" xfId="0" applyFont="1" applyBorder="1"/>
    <xf numFmtId="0" fontId="11" fillId="0" borderId="8" xfId="0" applyFont="1" applyBorder="1" applyAlignment="1">
      <alignment vertical="center" wrapText="1"/>
    </xf>
    <xf numFmtId="0" fontId="23" fillId="11" borderId="0" xfId="0" applyFont="1" applyFill="1" applyAlignment="1">
      <alignment horizontal="center" vertical="center"/>
    </xf>
    <xf numFmtId="0" fontId="3" fillId="0" borderId="8" xfId="0" applyFont="1" applyBorder="1" applyAlignment="1">
      <alignment vertical="center"/>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9" xfId="0" applyFont="1" applyBorder="1" applyAlignment="1">
      <alignment vertical="center" wrapText="1"/>
    </xf>
    <xf numFmtId="0" fontId="11" fillId="0" borderId="20" xfId="0" applyFont="1" applyBorder="1" applyAlignment="1">
      <alignment vertical="center" wrapText="1"/>
    </xf>
    <xf numFmtId="0" fontId="11" fillId="6" borderId="21" xfId="0" applyFont="1" applyFill="1" applyBorder="1" applyAlignment="1">
      <alignment horizontal="left" vertical="center" wrapText="1"/>
    </xf>
    <xf numFmtId="0" fontId="11" fillId="6" borderId="21" xfId="0" applyFont="1" applyFill="1" applyBorder="1" applyAlignment="1">
      <alignment horizontal="center" vertical="center" wrapText="1"/>
    </xf>
    <xf numFmtId="49" fontId="11" fillId="6" borderId="21" xfId="0" applyNumberFormat="1" applyFont="1" applyFill="1" applyBorder="1" applyAlignment="1">
      <alignment horizontal="left" vertical="center" wrapText="1"/>
    </xf>
    <xf numFmtId="0" fontId="11" fillId="0" borderId="0" xfId="0" applyFont="1" applyAlignment="1">
      <alignment horizontal="center" vertical="center"/>
    </xf>
    <xf numFmtId="0" fontId="11" fillId="0" borderId="0" xfId="0" applyFont="1" applyAlignment="1">
      <alignment vertical="center"/>
    </xf>
    <xf numFmtId="0" fontId="11" fillId="0" borderId="0" xfId="0" applyFont="1" applyAlignment="1">
      <alignment horizontal="left"/>
    </xf>
    <xf numFmtId="0" fontId="11" fillId="0" borderId="0" xfId="0" applyFont="1" applyAlignment="1">
      <alignment horizontal="left" vertical="center"/>
    </xf>
    <xf numFmtId="0" fontId="11" fillId="0" borderId="8" xfId="0" applyFont="1" applyBorder="1" applyAlignment="1">
      <alignment horizontal="left" vertical="center"/>
    </xf>
    <xf numFmtId="0" fontId="11" fillId="0" borderId="20" xfId="0" applyFont="1" applyBorder="1" applyAlignment="1">
      <alignment horizontal="left" vertical="center"/>
    </xf>
    <xf numFmtId="0" fontId="11" fillId="0" borderId="0" xfId="0" applyFont="1" applyAlignment="1">
      <alignment horizontal="left" wrapText="1"/>
    </xf>
    <xf numFmtId="0" fontId="11" fillId="6" borderId="21" xfId="0" applyFont="1" applyFill="1" applyBorder="1" applyAlignment="1">
      <alignment horizontal="center" vertical="center"/>
    </xf>
    <xf numFmtId="0" fontId="11" fillId="10" borderId="21" xfId="0" applyFont="1" applyFill="1" applyBorder="1" applyAlignment="1">
      <alignment horizontal="left" vertical="center"/>
    </xf>
    <xf numFmtId="0" fontId="11" fillId="10" borderId="21" xfId="0" applyFont="1" applyFill="1" applyBorder="1" applyAlignment="1">
      <alignment horizontal="left" vertical="center" wrapText="1"/>
    </xf>
    <xf numFmtId="0" fontId="11" fillId="10" borderId="21" xfId="0" applyFont="1" applyFill="1" applyBorder="1" applyAlignment="1">
      <alignment horizontal="center" vertical="center"/>
    </xf>
    <xf numFmtId="0" fontId="11" fillId="10" borderId="2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horizontal="left" vertical="center" wrapText="1"/>
    </xf>
    <xf numFmtId="0" fontId="24" fillId="0" borderId="0" xfId="0" applyFont="1" applyAlignment="1">
      <alignment horizontal="center" vertical="center" wrapText="1"/>
    </xf>
    <xf numFmtId="0" fontId="23" fillId="11" borderId="23" xfId="0" applyFont="1" applyFill="1" applyBorder="1" applyAlignment="1">
      <alignment horizontal="center" vertical="center" wrapText="1"/>
    </xf>
    <xf numFmtId="0" fontId="24" fillId="0" borderId="0" xfId="0" applyFont="1" applyAlignment="1">
      <alignment horizontal="center"/>
    </xf>
    <xf numFmtId="0" fontId="24" fillId="0" borderId="0" xfId="0" applyFont="1" applyAlignment="1">
      <alignment horizontal="center" vertical="center"/>
    </xf>
    <xf numFmtId="0" fontId="23" fillId="11" borderId="25" xfId="0" applyFont="1" applyFill="1" applyBorder="1" applyAlignment="1">
      <alignment horizontal="center" vertical="center" wrapText="1"/>
    </xf>
    <xf numFmtId="0" fontId="24" fillId="0" borderId="0" xfId="0" applyFont="1"/>
    <xf numFmtId="0" fontId="11" fillId="0" borderId="0" xfId="0" applyFont="1" applyAlignment="1">
      <alignment horizontal="center"/>
    </xf>
    <xf numFmtId="0" fontId="25" fillId="7" borderId="20" xfId="0" applyFont="1" applyFill="1" applyBorder="1" applyAlignment="1">
      <alignment horizontal="center" vertical="center" wrapText="1"/>
    </xf>
    <xf numFmtId="0" fontId="25" fillId="7" borderId="22" xfId="0" applyFont="1" applyFill="1" applyBorder="1" applyAlignment="1">
      <alignment horizontal="center" vertical="center" wrapText="1"/>
    </xf>
    <xf numFmtId="0" fontId="25" fillId="7" borderId="24" xfId="0" applyFont="1" applyFill="1" applyBorder="1" applyAlignment="1">
      <alignment horizontal="center" vertical="center" wrapText="1"/>
    </xf>
    <xf numFmtId="0" fontId="16" fillId="0" borderId="0" xfId="0" applyFont="1" applyAlignment="1">
      <alignment horizontal="center" wrapText="1"/>
    </xf>
    <xf numFmtId="0" fontId="18" fillId="0" borderId="0" xfId="0" applyFont="1" applyAlignment="1">
      <alignment horizontal="center" wrapText="1"/>
    </xf>
    <xf numFmtId="0" fontId="24" fillId="0" borderId="0" xfId="0" applyFont="1" applyAlignment="1">
      <alignment horizontal="left" wrapText="1"/>
    </xf>
    <xf numFmtId="0" fontId="3" fillId="0" borderId="0" xfId="0" applyFont="1" applyAlignment="1">
      <alignment horizontal="left" wrapText="1"/>
    </xf>
    <xf numFmtId="0" fontId="12" fillId="2" borderId="2" xfId="0" applyFont="1" applyFill="1" applyBorder="1" applyAlignment="1">
      <alignment horizontal="center" vertical="center" wrapText="1"/>
    </xf>
    <xf numFmtId="0" fontId="11" fillId="0" borderId="9" xfId="0" applyFont="1" applyBorder="1" applyAlignment="1">
      <alignment horizontal="left" vertical="center" wrapText="1"/>
    </xf>
    <xf numFmtId="0" fontId="11" fillId="0" borderId="0" xfId="0" applyFont="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18" fillId="7" borderId="1" xfId="0" applyFont="1" applyFill="1" applyBorder="1" applyAlignment="1">
      <alignment horizontal="center" vertical="center" wrapText="1"/>
    </xf>
    <xf numFmtId="0" fontId="18" fillId="7" borderId="0" xfId="0" applyFont="1" applyFill="1" applyAlignment="1">
      <alignment horizontal="center"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11" fillId="0" borderId="5" xfId="0" applyFont="1" applyBorder="1" applyAlignment="1">
      <alignment horizontal="left" vertical="center" wrapText="1"/>
    </xf>
    <xf numFmtId="0" fontId="11" fillId="0" borderId="8"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left" vertical="center" wrapText="1"/>
    </xf>
    <xf numFmtId="0" fontId="9" fillId="0" borderId="20" xfId="0" applyFont="1" applyBorder="1" applyAlignment="1">
      <alignment horizontal="center" vertical="center" wrapText="1"/>
    </xf>
    <xf numFmtId="0" fontId="11" fillId="0" borderId="20" xfId="0" applyFont="1" applyBorder="1" applyAlignment="1">
      <alignment horizontal="left" vertical="center" wrapText="1"/>
    </xf>
    <xf numFmtId="0" fontId="9" fillId="0" borderId="6" xfId="0" applyFont="1" applyBorder="1" applyAlignment="1">
      <alignment horizontal="center" vertical="center" wrapText="1"/>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center" vertical="center"/>
    </xf>
    <xf numFmtId="0" fontId="16" fillId="7" borderId="2" xfId="0" applyFont="1" applyFill="1" applyBorder="1" applyAlignment="1">
      <alignment horizontal="center" vertical="center" wrapText="1"/>
    </xf>
    <xf numFmtId="0" fontId="7" fillId="0" borderId="0" xfId="0" applyFont="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3" fillId="0" borderId="0" xfId="0" applyFont="1" applyAlignment="1">
      <alignment horizontal="center"/>
    </xf>
    <xf numFmtId="0" fontId="9" fillId="0" borderId="0" xfId="0" applyFont="1" applyAlignment="1">
      <alignment horizontal="center" vertic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EADBF5"/>
      <color rgb="FFE1CCF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0" totalsRowShown="0" headerRowDxfId="148" dataDxfId="147">
  <autoFilter ref="B1:B40" xr:uid="{362A7F4C-394D-4A63-8C31-6F5A9FA00CF6}"/>
  <sortState xmlns:xlrd2="http://schemas.microsoft.com/office/spreadsheetml/2017/richdata2" ref="B2:B37">
    <sortCondition ref="B2:B38"/>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3: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6"/>
  <sheetViews>
    <sheetView tabSelected="1" zoomScaleNormal="100" workbookViewId="0"/>
  </sheetViews>
  <sheetFormatPr defaultColWidth="76.28515625" defaultRowHeight="16.5"/>
  <cols>
    <col min="1" max="1" width="21.140625" style="2" customWidth="1"/>
    <col min="2" max="2" width="16.7109375" style="2" customWidth="1"/>
    <col min="3" max="4" width="70.140625" style="2" customWidth="1"/>
    <col min="5" max="5" width="44.42578125" style="2" customWidth="1"/>
    <col min="6" max="6" width="50.28515625" customWidth="1"/>
    <col min="7" max="7" width="51.28515625" customWidth="1"/>
    <col min="8" max="8" width="74.42578125" style="2" customWidth="1"/>
    <col min="9" max="9" width="61.85546875" style="2" customWidth="1"/>
    <col min="10" max="10" width="88.140625" style="2" customWidth="1"/>
    <col min="11" max="11" width="79.85546875" style="2" customWidth="1"/>
    <col min="12" max="16384" width="76.28515625" style="2"/>
  </cols>
  <sheetData>
    <row r="1" spans="1:11" s="30" customFormat="1" ht="26.1">
      <c r="A1" s="33" t="s">
        <v>0</v>
      </c>
      <c r="B1" s="33" t="s">
        <v>1</v>
      </c>
      <c r="C1" s="33" t="s">
        <v>2</v>
      </c>
      <c r="D1" s="33" t="s">
        <v>3</v>
      </c>
      <c r="E1" s="131" t="s">
        <v>4</v>
      </c>
      <c r="F1" s="131"/>
      <c r="G1" s="131"/>
      <c r="H1" s="131" t="s">
        <v>5</v>
      </c>
      <c r="I1" s="131"/>
      <c r="J1" s="131"/>
      <c r="K1" s="33" t="s">
        <v>6</v>
      </c>
    </row>
    <row r="2" spans="1:11" s="25" customFormat="1">
      <c r="A2" s="35" t="s">
        <v>7</v>
      </c>
      <c r="B2" s="35" t="s">
        <v>8</v>
      </c>
      <c r="C2" s="35" t="s">
        <v>9</v>
      </c>
      <c r="D2" s="41" t="s">
        <v>10</v>
      </c>
      <c r="E2" s="84" t="s">
        <v>11</v>
      </c>
      <c r="F2" s="84" t="s">
        <v>12</v>
      </c>
      <c r="G2" s="84" t="s">
        <v>13</v>
      </c>
      <c r="H2" s="43" t="s">
        <v>14</v>
      </c>
      <c r="I2" s="43" t="s">
        <v>15</v>
      </c>
      <c r="J2" s="43" t="s">
        <v>16</v>
      </c>
      <c r="K2" s="42" t="s">
        <v>17</v>
      </c>
    </row>
    <row r="3" spans="1:11" s="3" customFormat="1" ht="33">
      <c r="A3" s="134" t="s">
        <v>18</v>
      </c>
      <c r="B3" s="134" t="s">
        <v>19</v>
      </c>
      <c r="C3" s="132" t="s">
        <v>20</v>
      </c>
      <c r="D3" s="132" t="s">
        <v>21</v>
      </c>
      <c r="E3" s="98" t="s">
        <v>22</v>
      </c>
      <c r="F3" s="98" t="s">
        <v>23</v>
      </c>
      <c r="G3" s="98" t="s">
        <v>24</v>
      </c>
      <c r="H3" s="132" t="s">
        <v>25</v>
      </c>
      <c r="I3" s="132" t="s">
        <v>26</v>
      </c>
      <c r="J3" s="132" t="s">
        <v>27</v>
      </c>
      <c r="K3" s="132" t="s">
        <v>28</v>
      </c>
    </row>
    <row r="4" spans="1:11" s="3" customFormat="1" ht="49.5">
      <c r="A4" s="135"/>
      <c r="B4" s="135"/>
      <c r="C4" s="133"/>
      <c r="D4" s="133"/>
      <c r="E4" s="83" t="s">
        <v>29</v>
      </c>
      <c r="F4" s="83" t="s">
        <v>30</v>
      </c>
      <c r="G4" s="83" t="s">
        <v>31</v>
      </c>
      <c r="H4" s="133"/>
      <c r="I4" s="133"/>
      <c r="J4" s="133"/>
      <c r="K4" s="133"/>
    </row>
    <row r="5" spans="1:11" s="3" customFormat="1" ht="33.6" thickBot="1">
      <c r="A5" s="135"/>
      <c r="B5" s="135"/>
      <c r="C5" s="133"/>
      <c r="D5" s="133"/>
      <c r="E5" s="83" t="s">
        <v>32</v>
      </c>
      <c r="F5" s="83" t="s">
        <v>33</v>
      </c>
      <c r="G5" s="83" t="s">
        <v>34</v>
      </c>
      <c r="H5" s="133"/>
      <c r="I5" s="133"/>
      <c r="J5" s="133"/>
      <c r="K5" s="133"/>
    </row>
    <row r="6" spans="1:11" s="3" customFormat="1" ht="49.5">
      <c r="A6" s="135"/>
      <c r="B6" s="135"/>
      <c r="C6" s="133"/>
      <c r="D6" s="133"/>
      <c r="E6" s="99" t="s">
        <v>35</v>
      </c>
      <c r="F6" s="99" t="s">
        <v>36</v>
      </c>
      <c r="G6" s="99" t="s">
        <v>37</v>
      </c>
      <c r="H6" s="52"/>
      <c r="I6" s="83"/>
      <c r="J6" s="83"/>
      <c r="K6" s="83"/>
    </row>
  </sheetData>
  <mergeCells count="10">
    <mergeCell ref="E1:G1"/>
    <mergeCell ref="K3:K5"/>
    <mergeCell ref="H1:J1"/>
    <mergeCell ref="A3:A6"/>
    <mergeCell ref="B3:B6"/>
    <mergeCell ref="C3:C6"/>
    <mergeCell ref="D3:D6"/>
    <mergeCell ref="H3:H5"/>
    <mergeCell ref="I3:I5"/>
    <mergeCell ref="J3:J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5"/>
  <sheetViews>
    <sheetView topLeftCell="A2" zoomScaleNormal="100" workbookViewId="0">
      <selection activeCell="A2" sqref="A2"/>
    </sheetView>
  </sheetViews>
  <sheetFormatPr defaultColWidth="11.42578125" defaultRowHeight="16.5"/>
  <cols>
    <col min="1" max="1" width="19" style="5" customWidth="1"/>
    <col min="2" max="2" width="23" style="5" customWidth="1"/>
    <col min="3" max="3" width="32.85546875" style="5" customWidth="1"/>
    <col min="4" max="4" width="38.85546875" style="5" customWidth="1"/>
    <col min="5" max="5" width="41.85546875" style="5" customWidth="1"/>
    <col min="6" max="6" width="78.5703125" style="5" customWidth="1"/>
    <col min="7" max="7" width="39.140625" style="5" customWidth="1"/>
    <col min="8" max="16384" width="11.42578125" style="5"/>
  </cols>
  <sheetData>
    <row r="1" spans="1:7" s="2" customFormat="1">
      <c r="A1" s="136" t="s">
        <v>38</v>
      </c>
      <c r="B1" s="137"/>
      <c r="C1" s="137"/>
      <c r="D1" s="137"/>
      <c r="E1" s="137"/>
      <c r="F1" s="137"/>
      <c r="G1" s="137"/>
    </row>
    <row r="2" spans="1:7" s="34" customFormat="1" ht="51.95">
      <c r="A2" s="31" t="s">
        <v>39</v>
      </c>
      <c r="B2" s="32" t="s">
        <v>40</v>
      </c>
      <c r="C2" s="32" t="s">
        <v>41</v>
      </c>
      <c r="D2" s="32" t="s">
        <v>42</v>
      </c>
      <c r="E2" s="32" t="s">
        <v>43</v>
      </c>
      <c r="F2" s="33" t="s">
        <v>44</v>
      </c>
      <c r="G2" s="33" t="s">
        <v>45</v>
      </c>
    </row>
    <row r="3" spans="1:7" s="36" customFormat="1">
      <c r="A3" s="54" t="s">
        <v>46</v>
      </c>
      <c r="B3" s="55" t="s">
        <v>47</v>
      </c>
      <c r="C3" s="55" t="s">
        <v>48</v>
      </c>
      <c r="D3" s="55" t="s">
        <v>49</v>
      </c>
      <c r="E3" s="55" t="s">
        <v>50</v>
      </c>
      <c r="F3" s="45" t="s">
        <v>51</v>
      </c>
      <c r="G3" s="45" t="s">
        <v>52</v>
      </c>
    </row>
    <row r="4" spans="1:7" ht="49.5">
      <c r="A4" s="5">
        <v>1</v>
      </c>
      <c r="B4" s="4" t="s">
        <v>53</v>
      </c>
      <c r="C4" s="4" t="s">
        <v>22</v>
      </c>
      <c r="D4" s="4" t="s">
        <v>23</v>
      </c>
      <c r="E4" s="52" t="s">
        <v>24</v>
      </c>
      <c r="F4" s="52" t="s">
        <v>54</v>
      </c>
      <c r="G4" s="5" t="s">
        <v>55</v>
      </c>
    </row>
    <row r="5" spans="1:7" ht="66">
      <c r="A5" s="5">
        <v>2</v>
      </c>
      <c r="B5" s="4" t="s">
        <v>56</v>
      </c>
      <c r="C5" s="4" t="s">
        <v>29</v>
      </c>
      <c r="D5" s="4" t="s">
        <v>30</v>
      </c>
      <c r="E5" s="52" t="s">
        <v>31</v>
      </c>
      <c r="F5" s="52" t="s">
        <v>57</v>
      </c>
      <c r="G5" s="5" t="s">
        <v>55</v>
      </c>
    </row>
    <row r="6" spans="1:7" ht="50.1" thickBot="1">
      <c r="A6" s="71">
        <v>3</v>
      </c>
      <c r="B6" s="70" t="s">
        <v>58</v>
      </c>
      <c r="C6" s="70" t="s">
        <v>32</v>
      </c>
      <c r="D6" s="70" t="s">
        <v>33</v>
      </c>
      <c r="E6" s="70" t="s">
        <v>34</v>
      </c>
      <c r="F6" s="77" t="s">
        <v>59</v>
      </c>
      <c r="G6" s="71" t="s">
        <v>55</v>
      </c>
    </row>
    <row r="7" spans="1:7" ht="49.5">
      <c r="A7" s="5">
        <v>4</v>
      </c>
      <c r="B7" s="29" t="s">
        <v>53</v>
      </c>
      <c r="C7" s="4" t="s">
        <v>35</v>
      </c>
      <c r="D7" s="29" t="s">
        <v>36</v>
      </c>
      <c r="E7" s="29" t="s">
        <v>60</v>
      </c>
      <c r="F7" s="29" t="s">
        <v>61</v>
      </c>
      <c r="G7" s="5" t="s">
        <v>62</v>
      </c>
    </row>
    <row r="8" spans="1:7">
      <c r="B8" s="4"/>
      <c r="C8" s="27"/>
      <c r="D8" s="28"/>
      <c r="E8" s="28"/>
      <c r="F8" s="4"/>
    </row>
    <row r="9" spans="1:7">
      <c r="C9" s="26"/>
      <c r="D9" s="26"/>
      <c r="E9" s="26"/>
    </row>
    <row r="13" spans="1:7">
      <c r="C13" s="26"/>
      <c r="D13" s="12"/>
      <c r="E13" s="12"/>
    </row>
    <row r="14" spans="1:7">
      <c r="C14" s="26"/>
      <c r="D14" s="12"/>
      <c r="E14" s="12"/>
    </row>
    <row r="15" spans="1:7">
      <c r="C15" s="26"/>
      <c r="D15" s="12"/>
      <c r="E15" s="12"/>
    </row>
  </sheetData>
  <mergeCells count="1">
    <mergeCell ref="A1:G1"/>
  </mergeCells>
  <dataValidations count="1">
    <dataValidation type="list" allowBlank="1" showInputMessage="1" showErrorMessage="1" sqref="B7:B11"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competencias'!$B$2:$B$60</xm:f>
          </x14:formula1>
          <xm:sqref>B12</xm:sqref>
        </x14:dataValidation>
        <x14:dataValidation type="list" allowBlank="1" showInputMessage="1" showErrorMessage="1" xr:uid="{27BB9EA1-A522-436A-B320-3844B1FF49FC}">
          <x14:formula1>
            <xm:f>'Taxonomía para competencias'!$B$2:$B$51</xm:f>
          </x14:formula1>
          <xm:sqref>B4:B6</xm:sqref>
        </x14:dataValidation>
        <x14:dataValidation type="list" allowBlank="1" showInputMessage="1" showErrorMessage="1" xr:uid="{33DE93D0-28B9-435A-9EE1-5F80FDE293A1}">
          <x14:formula1>
            <xm:f>'Paso1 Analisis perfil egreso'!$E$3:$E$5</xm:f>
          </x14:formula1>
          <xm:sqref>C4:C6</xm:sqref>
        </x14:dataValidation>
        <x14:dataValidation type="list" allowBlank="1" showInputMessage="1" showErrorMessage="1" xr:uid="{E6987486-7846-4D31-B7A2-141184DC3327}">
          <x14:formula1>
            <xm:f>'Paso1 Analisis perfil egreso'!$F$3:$F$5</xm:f>
          </x14:formula1>
          <xm:sqref>D4:D6</xm:sqref>
        </x14:dataValidation>
        <x14:dataValidation type="list" allowBlank="1" showInputMessage="1" showErrorMessage="1" xr:uid="{0BBA3213-7EE6-4292-AFD0-62745CD3EFB1}">
          <x14:formula1>
            <xm:f>'Paso1 Analisis perfil egreso'!$G$3:$G$5</xm:f>
          </x14:formula1>
          <xm:sqref>E4:E6</xm:sqref>
        </x14:dataValidation>
        <x14:dataValidation type="list" allowBlank="1" showInputMessage="1" showErrorMessage="1" xr:uid="{5EADCC8E-A021-41D2-A781-82D42FE181E0}">
          <x14:formula1>
            <xm:f>'Paso1 Analisis perfil egreso'!$E$3:$E$6</xm:f>
          </x14:formula1>
          <xm:sqref>C7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3"/>
  <sheetViews>
    <sheetView zoomScaleNormal="100" workbookViewId="0"/>
  </sheetViews>
  <sheetFormatPr defaultColWidth="11.42578125" defaultRowHeight="16.5"/>
  <cols>
    <col min="1" max="1" width="93.28515625" style="4" customWidth="1"/>
    <col min="2" max="2" width="23.140625" style="5" customWidth="1"/>
    <col min="3" max="3" width="25" style="4" customWidth="1"/>
    <col min="4" max="4" width="39.140625" style="4" customWidth="1"/>
    <col min="5" max="5" width="26.42578125" style="4" customWidth="1"/>
    <col min="6" max="6" width="21.28515625" style="4" customWidth="1"/>
    <col min="7" max="7" width="21.28515625" style="6" customWidth="1"/>
    <col min="8" max="8" width="21.28515625" style="73" customWidth="1"/>
    <col min="9" max="9" width="80" style="7" customWidth="1"/>
    <col min="10" max="10" width="97.140625" style="4" customWidth="1"/>
    <col min="11" max="16384" width="11.42578125" style="4"/>
  </cols>
  <sheetData>
    <row r="1" spans="1:10" s="66" customFormat="1" ht="51.95">
      <c r="A1" s="64" t="s">
        <v>63</v>
      </c>
      <c r="B1" s="64" t="s">
        <v>64</v>
      </c>
      <c r="C1" s="32" t="s">
        <v>65</v>
      </c>
      <c r="D1" s="65" t="s">
        <v>66</v>
      </c>
      <c r="E1" s="65" t="s">
        <v>67</v>
      </c>
      <c r="F1" s="32" t="s">
        <v>68</v>
      </c>
      <c r="G1" s="32" t="s">
        <v>69</v>
      </c>
      <c r="H1" s="32" t="s">
        <v>70</v>
      </c>
      <c r="I1" s="64" t="s">
        <v>71</v>
      </c>
    </row>
    <row r="2" spans="1:10" s="69" customFormat="1">
      <c r="A2" s="67" t="s">
        <v>72</v>
      </c>
      <c r="B2" s="67" t="s">
        <v>73</v>
      </c>
      <c r="C2" s="55" t="s">
        <v>74</v>
      </c>
      <c r="D2" s="68" t="s">
        <v>75</v>
      </c>
      <c r="E2" s="68" t="s">
        <v>76</v>
      </c>
      <c r="F2" s="55" t="s">
        <v>77</v>
      </c>
      <c r="G2" s="55" t="s">
        <v>78</v>
      </c>
      <c r="H2" s="55" t="s">
        <v>79</v>
      </c>
      <c r="I2" s="67" t="s">
        <v>80</v>
      </c>
    </row>
    <row r="3" spans="1:10" ht="66">
      <c r="A3" s="52" t="s">
        <v>54</v>
      </c>
      <c r="B3" s="5">
        <v>1</v>
      </c>
      <c r="C3" s="4" t="s">
        <v>11</v>
      </c>
      <c r="D3" s="4" t="s">
        <v>22</v>
      </c>
      <c r="E3" s="4" t="s">
        <v>81</v>
      </c>
      <c r="F3" s="73" t="s">
        <v>82</v>
      </c>
      <c r="G3" s="73" t="s">
        <v>83</v>
      </c>
      <c r="H3" s="4" t="s">
        <v>53</v>
      </c>
      <c r="I3" s="83" t="s">
        <v>84</v>
      </c>
      <c r="J3" s="24"/>
    </row>
    <row r="4" spans="1:10" ht="49.5">
      <c r="A4" s="52" t="s">
        <v>54</v>
      </c>
      <c r="B4" s="5">
        <v>4</v>
      </c>
      <c r="C4" s="4" t="s">
        <v>12</v>
      </c>
      <c r="D4" s="4" t="s">
        <v>23</v>
      </c>
      <c r="E4" s="4" t="s">
        <v>81</v>
      </c>
      <c r="F4" s="73" t="s">
        <v>85</v>
      </c>
      <c r="G4" s="73" t="s">
        <v>86</v>
      </c>
      <c r="H4" s="4" t="s">
        <v>56</v>
      </c>
      <c r="I4" s="83" t="s">
        <v>87</v>
      </c>
    </row>
    <row r="5" spans="1:10" ht="50.1" thickBot="1">
      <c r="A5" s="77" t="s">
        <v>54</v>
      </c>
      <c r="B5" s="71">
        <v>7</v>
      </c>
      <c r="C5" s="70" t="s">
        <v>13</v>
      </c>
      <c r="D5" s="70" t="s">
        <v>24</v>
      </c>
      <c r="E5" s="70" t="s">
        <v>81</v>
      </c>
      <c r="F5" s="95" t="s">
        <v>88</v>
      </c>
      <c r="G5" s="95" t="s">
        <v>86</v>
      </c>
      <c r="H5" s="70" t="s">
        <v>56</v>
      </c>
      <c r="I5" s="93" t="s">
        <v>89</v>
      </c>
    </row>
    <row r="6" spans="1:10" ht="66">
      <c r="A6" s="52" t="s">
        <v>57</v>
      </c>
      <c r="B6" s="5">
        <v>2</v>
      </c>
      <c r="C6" s="4" t="s">
        <v>11</v>
      </c>
      <c r="D6" s="4" t="s">
        <v>29</v>
      </c>
      <c r="E6" s="4" t="s">
        <v>81</v>
      </c>
      <c r="F6" s="73" t="s">
        <v>82</v>
      </c>
      <c r="G6" s="73" t="s">
        <v>83</v>
      </c>
      <c r="H6" s="4" t="s">
        <v>53</v>
      </c>
      <c r="I6" s="83" t="s">
        <v>90</v>
      </c>
    </row>
    <row r="7" spans="1:10" ht="66">
      <c r="A7" s="52" t="s">
        <v>57</v>
      </c>
      <c r="B7" s="5">
        <v>5</v>
      </c>
      <c r="C7" s="4" t="s">
        <v>12</v>
      </c>
      <c r="D7" s="4" t="s">
        <v>30</v>
      </c>
      <c r="E7" s="4" t="s">
        <v>81</v>
      </c>
      <c r="F7" s="73" t="s">
        <v>85</v>
      </c>
      <c r="G7" s="73" t="s">
        <v>91</v>
      </c>
      <c r="H7" s="4" t="s">
        <v>92</v>
      </c>
      <c r="I7" s="83" t="s">
        <v>93</v>
      </c>
    </row>
    <row r="8" spans="1:10" ht="66.599999999999994" thickBot="1">
      <c r="A8" s="77" t="s">
        <v>57</v>
      </c>
      <c r="B8" s="71">
        <v>7</v>
      </c>
      <c r="C8" s="70" t="s">
        <v>13</v>
      </c>
      <c r="D8" s="70" t="s">
        <v>31</v>
      </c>
      <c r="E8" s="70" t="s">
        <v>81</v>
      </c>
      <c r="F8" s="95" t="s">
        <v>88</v>
      </c>
      <c r="G8" s="95" t="s">
        <v>86</v>
      </c>
      <c r="H8" s="70" t="s">
        <v>56</v>
      </c>
      <c r="I8" s="93" t="s">
        <v>89</v>
      </c>
      <c r="J8" s="72"/>
    </row>
    <row r="9" spans="1:10" ht="66">
      <c r="A9" s="52" t="s">
        <v>59</v>
      </c>
      <c r="B9" s="5">
        <v>3</v>
      </c>
      <c r="C9" s="4" t="s">
        <v>11</v>
      </c>
      <c r="D9" s="4" t="s">
        <v>32</v>
      </c>
      <c r="E9" s="4" t="s">
        <v>81</v>
      </c>
      <c r="F9" s="73" t="s">
        <v>82</v>
      </c>
      <c r="G9" s="73" t="s">
        <v>83</v>
      </c>
      <c r="H9" s="4" t="s">
        <v>53</v>
      </c>
      <c r="I9" s="83" t="s">
        <v>94</v>
      </c>
    </row>
    <row r="10" spans="1:10" ht="49.5">
      <c r="A10" s="52" t="s">
        <v>59</v>
      </c>
      <c r="B10" s="5">
        <v>6</v>
      </c>
      <c r="C10" s="4" t="s">
        <v>12</v>
      </c>
      <c r="D10" s="4" t="s">
        <v>33</v>
      </c>
      <c r="E10" s="4" t="s">
        <v>81</v>
      </c>
      <c r="F10" s="73" t="s">
        <v>85</v>
      </c>
      <c r="G10" s="73" t="s">
        <v>91</v>
      </c>
      <c r="H10" s="4" t="s">
        <v>92</v>
      </c>
      <c r="I10" s="83" t="s">
        <v>95</v>
      </c>
    </row>
    <row r="11" spans="1:10" ht="50.1" thickBot="1">
      <c r="A11" s="77" t="s">
        <v>59</v>
      </c>
      <c r="B11" s="71">
        <v>7</v>
      </c>
      <c r="C11" s="70" t="s">
        <v>13</v>
      </c>
      <c r="D11" s="70" t="s">
        <v>34</v>
      </c>
      <c r="E11" s="70" t="s">
        <v>81</v>
      </c>
      <c r="F11" s="95" t="s">
        <v>88</v>
      </c>
      <c r="G11" s="95" t="s">
        <v>86</v>
      </c>
      <c r="H11" s="70" t="s">
        <v>56</v>
      </c>
      <c r="I11" s="93" t="s">
        <v>89</v>
      </c>
      <c r="J11" s="72"/>
    </row>
    <row r="12" spans="1:10" ht="49.5">
      <c r="A12" s="4" t="s">
        <v>61</v>
      </c>
      <c r="B12" s="5">
        <v>8</v>
      </c>
      <c r="C12" s="4" t="s">
        <v>11</v>
      </c>
      <c r="D12" s="4" t="s">
        <v>96</v>
      </c>
      <c r="E12" s="4" t="s">
        <v>81</v>
      </c>
      <c r="F12" s="73" t="s">
        <v>82</v>
      </c>
      <c r="G12" s="73" t="s">
        <v>97</v>
      </c>
      <c r="H12" s="4" t="s">
        <v>98</v>
      </c>
      <c r="I12" s="83" t="s">
        <v>99</v>
      </c>
      <c r="J12" s="72"/>
    </row>
    <row r="13" spans="1:10">
      <c r="A13" s="3"/>
      <c r="F13" s="7"/>
      <c r="G13" s="7"/>
      <c r="H13" s="4"/>
      <c r="I13" s="3"/>
    </row>
    <row r="14" spans="1:10">
      <c r="A14" s="3"/>
      <c r="F14" s="7"/>
      <c r="G14" s="7"/>
      <c r="H14" s="4"/>
      <c r="I14" s="3"/>
    </row>
    <row r="15" spans="1:10">
      <c r="A15" s="3"/>
      <c r="F15" s="7"/>
      <c r="G15" s="7"/>
      <c r="H15" s="4"/>
      <c r="I15" s="3"/>
    </row>
    <row r="16" spans="1:10">
      <c r="A16" s="3"/>
      <c r="F16" s="7"/>
      <c r="G16" s="7"/>
      <c r="H16" s="4"/>
      <c r="I16" s="3"/>
    </row>
    <row r="17" spans="1:9">
      <c r="A17" s="3"/>
      <c r="H17" s="4"/>
      <c r="I17" s="3"/>
    </row>
    <row r="18" spans="1:9">
      <c r="A18" s="3"/>
      <c r="I18" s="3"/>
    </row>
    <row r="19" spans="1:9">
      <c r="A19" s="3"/>
      <c r="I19" s="3"/>
    </row>
    <row r="20" spans="1:9">
      <c r="A20" s="3"/>
    </row>
    <row r="21" spans="1:9">
      <c r="A21" s="3"/>
    </row>
    <row r="22" spans="1:9">
      <c r="A22" s="3"/>
    </row>
    <row r="23" spans="1:9">
      <c r="A23" s="3"/>
    </row>
  </sheetData>
  <autoFilter ref="A2:K12" xr:uid="{94AAF649-42F4-466A-BE11-44357078F961}"/>
  <dataValidations count="5">
    <dataValidation type="list" allowBlank="1" showInputMessage="1" showErrorMessage="1" sqref="D12" xr:uid="{7E1D182A-6AF9-A04C-9AFE-674494F658A5}">
      <formula1>INDIRECT($C12)</formula1>
    </dataValidation>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C3:C12"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6BCC0E7-9937-4D11-BDE6-A3CE7F6F6CC6}">
          <x14:formula1>
            <xm:f>'Paso 2 Redacción competen'!$C$4:$C$7</xm:f>
          </x14:formula1>
          <xm:sqref>D3 D6 D9</xm:sqref>
        </x14:dataValidation>
        <x14:dataValidation type="list" allowBlank="1" showInputMessage="1" showErrorMessage="1" xr:uid="{BF34A4BB-3FEE-453F-AD02-3F4BE4E79CB0}">
          <x14:formula1>
            <xm:f>'Paso 2 Redacción competen'!$D$4:$D$7</xm:f>
          </x14:formula1>
          <xm:sqref>D4 D7 D10</xm:sqref>
        </x14:dataValidation>
        <x14:dataValidation type="list" allowBlank="1" showInputMessage="1" showErrorMessage="1" xr:uid="{86FAD985-1CC5-46AE-B09A-9BC686E26880}">
          <x14:formula1>
            <xm:f>'Paso 2 Redacción competen'!$E$4:$E$7</xm:f>
          </x14:formula1>
          <xm:sqref>D5 D8 D11</xm:sqref>
        </x14:dataValidation>
        <x14:dataValidation type="list" allowBlank="1" showInputMessage="1" showErrorMessage="1" xr:uid="{345BD5CC-7544-FC43-BCE7-641772B9359A}">
          <x14:formula1>
            <xm:f>'Taxonomias para RA'!$A$4:$A$7</xm:f>
          </x14:formula1>
          <xm:sqref>E3:E12</xm:sqref>
        </x14:dataValidation>
        <x14:dataValidation type="list" allowBlank="1" showInputMessage="1" showErrorMessage="1" xr:uid="{98578F6C-C527-A048-93A4-A8514981207B}">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4" customWidth="1"/>
    <col min="2" max="2" width="23.140625" style="5" customWidth="1"/>
    <col min="3" max="3" width="25" style="4" customWidth="1"/>
    <col min="4" max="4" width="36.85546875" style="4" customWidth="1"/>
    <col min="5" max="5" width="30.7109375" style="4" customWidth="1"/>
    <col min="6" max="6" width="21.85546875" style="4" customWidth="1"/>
    <col min="7" max="7" width="27.42578125" style="6" customWidth="1"/>
    <col min="8" max="8" width="22.5703125" style="1" customWidth="1"/>
    <col min="9" max="9" width="80" customWidth="1"/>
    <col min="10" max="10" width="97.140625" style="4" customWidth="1"/>
    <col min="11" max="16384" width="11.42578125" style="4"/>
  </cols>
  <sheetData>
    <row r="1" spans="1:11" ht="51.95">
      <c r="A1" s="39" t="s">
        <v>63</v>
      </c>
      <c r="B1" s="39" t="s">
        <v>64</v>
      </c>
      <c r="C1" s="46" t="s">
        <v>65</v>
      </c>
      <c r="D1" s="47" t="s">
        <v>66</v>
      </c>
      <c r="E1" s="47" t="s">
        <v>67</v>
      </c>
      <c r="F1" s="46" t="s">
        <v>68</v>
      </c>
      <c r="G1" s="46" t="s">
        <v>69</v>
      </c>
      <c r="H1" s="46" t="s">
        <v>70</v>
      </c>
      <c r="I1" s="39" t="s">
        <v>71</v>
      </c>
      <c r="J1" s="40"/>
    </row>
    <row r="2" spans="1:11" ht="16.5">
      <c r="A2" s="56" t="s">
        <v>72</v>
      </c>
      <c r="B2" s="53" t="s">
        <v>73</v>
      </c>
      <c r="C2" s="57" t="s">
        <v>74</v>
      </c>
      <c r="D2" s="48" t="s">
        <v>75</v>
      </c>
      <c r="E2" s="48" t="s">
        <v>76</v>
      </c>
      <c r="F2" s="57" t="s">
        <v>77</v>
      </c>
      <c r="G2" s="57" t="s">
        <v>78</v>
      </c>
      <c r="H2" s="57" t="s">
        <v>79</v>
      </c>
      <c r="I2" s="53" t="s">
        <v>80</v>
      </c>
      <c r="J2" s="58"/>
    </row>
    <row r="3" spans="1:11" ht="136.5" hidden="1" customHeight="1">
      <c r="A3" s="3" t="s">
        <v>100</v>
      </c>
      <c r="B3" s="5">
        <v>1</v>
      </c>
      <c r="C3" s="4" t="s">
        <v>11</v>
      </c>
      <c r="D3" s="4" t="s">
        <v>101</v>
      </c>
      <c r="E3" s="4" t="s">
        <v>102</v>
      </c>
      <c r="F3" s="7" t="s">
        <v>103</v>
      </c>
      <c r="G3" s="7" t="s">
        <v>104</v>
      </c>
      <c r="H3" s="4" t="s">
        <v>98</v>
      </c>
      <c r="I3" s="29" t="s">
        <v>105</v>
      </c>
      <c r="J3" s="24"/>
    </row>
    <row r="4" spans="1:11" ht="142.5" hidden="1" customHeight="1">
      <c r="A4" s="3" t="s">
        <v>100</v>
      </c>
      <c r="B4" s="5">
        <v>4</v>
      </c>
      <c r="C4" s="4" t="s">
        <v>12</v>
      </c>
      <c r="D4" s="4" t="s">
        <v>106</v>
      </c>
      <c r="E4" s="4" t="s">
        <v>102</v>
      </c>
      <c r="F4" s="7" t="s">
        <v>107</v>
      </c>
      <c r="G4" s="7" t="s">
        <v>108</v>
      </c>
      <c r="H4" s="4" t="s">
        <v>56</v>
      </c>
      <c r="I4" s="29" t="s">
        <v>109</v>
      </c>
    </row>
    <row r="5" spans="1:11" ht="126" hidden="1" customHeight="1">
      <c r="A5" s="3" t="s">
        <v>100</v>
      </c>
      <c r="B5" s="5">
        <v>7</v>
      </c>
      <c r="C5" s="4" t="s">
        <v>13</v>
      </c>
      <c r="D5" s="4" t="s">
        <v>110</v>
      </c>
      <c r="E5" s="4" t="s">
        <v>102</v>
      </c>
      <c r="F5" s="7" t="s">
        <v>111</v>
      </c>
      <c r="G5" s="7" t="s">
        <v>112</v>
      </c>
      <c r="H5" s="4" t="s">
        <v>113</v>
      </c>
      <c r="I5" s="29" t="s">
        <v>114</v>
      </c>
    </row>
    <row r="6" spans="1:11" ht="99">
      <c r="A6" s="3" t="s">
        <v>115</v>
      </c>
      <c r="B6" s="5">
        <v>1</v>
      </c>
      <c r="C6" s="4" t="s">
        <v>11</v>
      </c>
      <c r="D6" s="4" t="s">
        <v>116</v>
      </c>
      <c r="E6" s="4" t="s">
        <v>102</v>
      </c>
      <c r="F6" s="7" t="s">
        <v>103</v>
      </c>
      <c r="G6" s="7" t="s">
        <v>104</v>
      </c>
      <c r="H6" s="4" t="s">
        <v>98</v>
      </c>
      <c r="I6" s="29" t="s">
        <v>117</v>
      </c>
    </row>
    <row r="7" spans="1:11" ht="115.5">
      <c r="A7" s="3" t="s">
        <v>115</v>
      </c>
      <c r="B7" s="5">
        <v>5</v>
      </c>
      <c r="C7" s="4" t="s">
        <v>12</v>
      </c>
      <c r="D7" s="4" t="s">
        <v>118</v>
      </c>
      <c r="E7" s="4" t="s">
        <v>102</v>
      </c>
      <c r="F7" s="7" t="s">
        <v>107</v>
      </c>
      <c r="G7" s="7" t="s">
        <v>108</v>
      </c>
      <c r="H7" s="4" t="s">
        <v>56</v>
      </c>
      <c r="I7" s="29" t="s">
        <v>109</v>
      </c>
    </row>
    <row r="8" spans="1:11" ht="82.5">
      <c r="A8" s="3" t="s">
        <v>115</v>
      </c>
      <c r="B8" s="5">
        <v>7</v>
      </c>
      <c r="C8" s="4" t="s">
        <v>13</v>
      </c>
      <c r="D8" s="4" t="s">
        <v>110</v>
      </c>
      <c r="E8" s="4" t="s">
        <v>102</v>
      </c>
      <c r="F8" s="7" t="s">
        <v>111</v>
      </c>
      <c r="G8" s="7" t="s">
        <v>112</v>
      </c>
      <c r="H8" s="4" t="s">
        <v>113</v>
      </c>
      <c r="I8" s="29" t="s">
        <v>114</v>
      </c>
      <c r="J8" s="8"/>
    </row>
    <row r="9" spans="1:11" ht="99" hidden="1">
      <c r="A9" s="3" t="s">
        <v>119</v>
      </c>
      <c r="B9" s="5">
        <v>2</v>
      </c>
      <c r="C9" s="4" t="s">
        <v>11</v>
      </c>
      <c r="D9" s="4" t="s">
        <v>120</v>
      </c>
      <c r="E9" s="4" t="s">
        <v>102</v>
      </c>
      <c r="F9" s="7" t="s">
        <v>103</v>
      </c>
      <c r="G9" s="7" t="s">
        <v>104</v>
      </c>
      <c r="H9" s="4" t="s">
        <v>98</v>
      </c>
      <c r="I9" s="29" t="s">
        <v>117</v>
      </c>
      <c r="J9" s="8"/>
    </row>
    <row r="10" spans="1:11" ht="115.5" hidden="1">
      <c r="A10" s="3" t="s">
        <v>119</v>
      </c>
      <c r="B10" s="5">
        <v>6</v>
      </c>
      <c r="C10" s="4" t="s">
        <v>12</v>
      </c>
      <c r="D10" s="4" t="s">
        <v>121</v>
      </c>
      <c r="E10" s="4" t="s">
        <v>102</v>
      </c>
      <c r="F10" s="7" t="s">
        <v>107</v>
      </c>
      <c r="G10" s="7" t="s">
        <v>108</v>
      </c>
      <c r="H10" s="4" t="s">
        <v>56</v>
      </c>
      <c r="I10" s="29" t="s">
        <v>109</v>
      </c>
    </row>
    <row r="11" spans="1:11" ht="82.5" hidden="1">
      <c r="A11" s="50" t="s">
        <v>119</v>
      </c>
      <c r="B11" s="37">
        <v>7</v>
      </c>
      <c r="C11" s="38" t="s">
        <v>13</v>
      </c>
      <c r="D11" s="4" t="s">
        <v>122</v>
      </c>
      <c r="E11" s="38" t="s">
        <v>102</v>
      </c>
      <c r="F11" s="51" t="s">
        <v>111</v>
      </c>
      <c r="G11" s="51" t="s">
        <v>112</v>
      </c>
      <c r="H11" s="38" t="s">
        <v>113</v>
      </c>
      <c r="I11" s="29" t="s">
        <v>114</v>
      </c>
      <c r="J11" s="50"/>
      <c r="K11" s="44"/>
    </row>
    <row r="12" spans="1:11" ht="49.5" hidden="1">
      <c r="A12" s="3" t="s">
        <v>61</v>
      </c>
      <c r="B12" s="5">
        <v>3</v>
      </c>
      <c r="C12" s="4" t="s">
        <v>11</v>
      </c>
      <c r="D12" s="4" t="s">
        <v>96</v>
      </c>
      <c r="E12" s="4" t="s">
        <v>81</v>
      </c>
      <c r="F12" s="7" t="s">
        <v>82</v>
      </c>
      <c r="G12" s="7" t="s">
        <v>97</v>
      </c>
      <c r="H12" s="4" t="s">
        <v>98</v>
      </c>
      <c r="I12" s="49" t="s">
        <v>99</v>
      </c>
      <c r="J12" s="8"/>
    </row>
    <row r="13" spans="1:11" ht="16.5">
      <c r="A13" s="3"/>
      <c r="F13"/>
      <c r="G13"/>
      <c r="H13" s="4"/>
      <c r="I13" s="3"/>
      <c r="J13" s="8"/>
    </row>
    <row r="14" spans="1:11" ht="16.5">
      <c r="A14" s="3"/>
      <c r="F14"/>
      <c r="G14"/>
      <c r="H14" s="4"/>
      <c r="I14" s="3"/>
    </row>
    <row r="15" spans="1:11" ht="16.5">
      <c r="A15" s="3"/>
      <c r="F15"/>
      <c r="G15"/>
      <c r="H15" s="4"/>
      <c r="I15" s="3"/>
    </row>
    <row r="16" spans="1:11" ht="16.5">
      <c r="A16" s="3"/>
      <c r="F16"/>
      <c r="G16"/>
      <c r="H16" s="4"/>
      <c r="I16" s="3"/>
    </row>
    <row r="17" spans="1:9" ht="16.5">
      <c r="A17" s="3"/>
      <c r="F17"/>
      <c r="G17"/>
      <c r="H17" s="4"/>
      <c r="I17" s="3"/>
    </row>
    <row r="18" spans="1:9" ht="16.5">
      <c r="A18" s="3"/>
      <c r="F18"/>
      <c r="G18"/>
      <c r="H18" s="4"/>
      <c r="I18" s="3"/>
    </row>
    <row r="19" spans="1:9" ht="16.5">
      <c r="A19" s="3"/>
      <c r="H19" s="4"/>
      <c r="I19" s="3"/>
    </row>
    <row r="20" spans="1:9" ht="16.5">
      <c r="A20" s="3"/>
      <c r="I20" s="3"/>
    </row>
    <row r="21" spans="1:9" ht="16.5">
      <c r="A21" s="3"/>
      <c r="I21" s="3"/>
    </row>
    <row r="22" spans="1:9" ht="16.5">
      <c r="A22" s="3"/>
    </row>
    <row r="23" spans="1:9" ht="16.5">
      <c r="A23" s="3"/>
    </row>
    <row r="24" spans="1:9" ht="16.5">
      <c r="A24" s="3"/>
    </row>
    <row r="25" spans="1:9" ht="16.5">
      <c r="A25" s="3"/>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58"/>
  <sheetViews>
    <sheetView zoomScaleNormal="100" workbookViewId="0"/>
  </sheetViews>
  <sheetFormatPr defaultColWidth="10.7109375" defaultRowHeight="14.45"/>
  <cols>
    <col min="1" max="1" width="76.5703125" style="10" customWidth="1"/>
    <col min="2" max="2" width="45" style="10" customWidth="1"/>
    <col min="3" max="4" width="59.42578125" style="23" customWidth="1"/>
    <col min="5" max="5" width="46.42578125" style="23" customWidth="1"/>
    <col min="6" max="6" width="38.28515625" style="23" customWidth="1"/>
    <col min="7" max="16384" width="10.7109375" style="10"/>
  </cols>
  <sheetData>
    <row r="1" spans="1:6" s="73" customFormat="1" ht="65.099999999999994">
      <c r="A1" s="64" t="s">
        <v>123</v>
      </c>
      <c r="B1" s="64" t="s">
        <v>124</v>
      </c>
      <c r="C1" s="64" t="s">
        <v>125</v>
      </c>
      <c r="D1" s="64" t="s">
        <v>126</v>
      </c>
      <c r="E1" s="64" t="s">
        <v>127</v>
      </c>
      <c r="F1" s="64" t="s">
        <v>128</v>
      </c>
    </row>
    <row r="2" spans="1:6" s="73" customFormat="1" ht="33">
      <c r="A2" s="67" t="s">
        <v>129</v>
      </c>
      <c r="B2" s="67" t="s">
        <v>130</v>
      </c>
      <c r="C2" s="67" t="s">
        <v>131</v>
      </c>
      <c r="D2" s="67" t="s">
        <v>132</v>
      </c>
      <c r="E2" s="67" t="s">
        <v>133</v>
      </c>
      <c r="F2" s="67" t="s">
        <v>134</v>
      </c>
    </row>
    <row r="3" spans="1:6" ht="66">
      <c r="A3" s="29" t="s">
        <v>84</v>
      </c>
      <c r="B3" s="145" t="s">
        <v>135</v>
      </c>
      <c r="C3" s="132" t="s">
        <v>136</v>
      </c>
      <c r="D3" s="74" t="s">
        <v>137</v>
      </c>
      <c r="E3" s="145" t="s">
        <v>138</v>
      </c>
      <c r="F3" s="75" t="s">
        <v>139</v>
      </c>
    </row>
    <row r="4" spans="1:6" ht="49.5">
      <c r="A4" s="29" t="s">
        <v>140</v>
      </c>
      <c r="B4" s="143"/>
      <c r="C4" s="133"/>
      <c r="D4" s="52" t="s">
        <v>141</v>
      </c>
      <c r="E4" s="143"/>
      <c r="F4" s="3" t="s">
        <v>142</v>
      </c>
    </row>
    <row r="5" spans="1:6" ht="33.6" thickBot="1">
      <c r="A5" s="76" t="s">
        <v>143</v>
      </c>
      <c r="B5" s="144"/>
      <c r="C5" s="141"/>
      <c r="D5" s="52" t="s">
        <v>144</v>
      </c>
      <c r="E5" s="144"/>
      <c r="F5" s="29" t="s">
        <v>145</v>
      </c>
    </row>
    <row r="6" spans="1:6" ht="49.5">
      <c r="A6" s="29" t="s">
        <v>140</v>
      </c>
      <c r="B6" s="149" t="s">
        <v>146</v>
      </c>
      <c r="C6" s="150" t="s">
        <v>147</v>
      </c>
      <c r="D6" s="78" t="s">
        <v>141</v>
      </c>
      <c r="E6" s="142" t="s">
        <v>148</v>
      </c>
      <c r="F6" s="79" t="s">
        <v>142</v>
      </c>
    </row>
    <row r="7" spans="1:6" ht="49.5">
      <c r="A7" s="29" t="s">
        <v>149</v>
      </c>
      <c r="B7" s="138"/>
      <c r="C7" s="133"/>
      <c r="D7" s="52" t="s">
        <v>137</v>
      </c>
      <c r="E7" s="143"/>
      <c r="F7" s="29" t="s">
        <v>142</v>
      </c>
    </row>
    <row r="8" spans="1:6" ht="49.5">
      <c r="A8" s="29" t="s">
        <v>150</v>
      </c>
      <c r="B8" s="138"/>
      <c r="C8" s="133"/>
      <c r="D8" s="63" t="s">
        <v>151</v>
      </c>
      <c r="E8" s="143"/>
      <c r="F8" s="3" t="s">
        <v>139</v>
      </c>
    </row>
    <row r="9" spans="1:6" ht="33.6" thickBot="1">
      <c r="A9" s="76"/>
      <c r="B9" s="139"/>
      <c r="C9" s="141"/>
      <c r="D9" s="77" t="s">
        <v>144</v>
      </c>
      <c r="E9" s="144"/>
      <c r="F9" s="76" t="s">
        <v>145</v>
      </c>
    </row>
    <row r="10" spans="1:6" ht="49.5">
      <c r="A10" s="29" t="s">
        <v>140</v>
      </c>
      <c r="B10" s="138" t="s">
        <v>152</v>
      </c>
      <c r="C10" s="150" t="s">
        <v>153</v>
      </c>
      <c r="D10" s="78" t="s">
        <v>154</v>
      </c>
      <c r="E10" s="142" t="s">
        <v>155</v>
      </c>
      <c r="F10" s="63" t="s">
        <v>142</v>
      </c>
    </row>
    <row r="11" spans="1:6" ht="49.5">
      <c r="A11" s="29" t="s">
        <v>149</v>
      </c>
      <c r="B11" s="138"/>
      <c r="C11" s="133"/>
      <c r="D11" s="63" t="s">
        <v>151</v>
      </c>
      <c r="E11" s="143"/>
      <c r="F11" s="63" t="s">
        <v>139</v>
      </c>
    </row>
    <row r="12" spans="1:6" ht="50.1" thickBot="1">
      <c r="A12" s="76" t="s">
        <v>150</v>
      </c>
      <c r="B12" s="138"/>
      <c r="C12" s="141"/>
      <c r="D12" s="52" t="s">
        <v>144</v>
      </c>
      <c r="E12" s="144"/>
      <c r="F12" s="63" t="s">
        <v>145</v>
      </c>
    </row>
    <row r="13" spans="1:6" ht="66">
      <c r="A13" s="29" t="s">
        <v>84</v>
      </c>
      <c r="B13" s="149" t="s">
        <v>156</v>
      </c>
      <c r="C13" s="150" t="s">
        <v>157</v>
      </c>
      <c r="D13" s="78" t="s">
        <v>141</v>
      </c>
      <c r="E13" s="142" t="s">
        <v>158</v>
      </c>
      <c r="F13" s="79" t="s">
        <v>142</v>
      </c>
    </row>
    <row r="14" spans="1:6" ht="49.5">
      <c r="A14" s="29" t="s">
        <v>149</v>
      </c>
      <c r="B14" s="138"/>
      <c r="C14" s="133"/>
      <c r="D14" s="63" t="s">
        <v>151</v>
      </c>
      <c r="E14" s="143"/>
      <c r="F14" s="83" t="s">
        <v>139</v>
      </c>
    </row>
    <row r="15" spans="1:6" ht="50.1" thickBot="1">
      <c r="A15" s="76" t="s">
        <v>150</v>
      </c>
      <c r="B15" s="138"/>
      <c r="C15" s="133"/>
      <c r="D15" s="52" t="s">
        <v>144</v>
      </c>
      <c r="E15" s="144"/>
      <c r="F15" s="29" t="s">
        <v>145</v>
      </c>
    </row>
    <row r="16" spans="1:6" ht="49.5">
      <c r="A16" s="29" t="s">
        <v>140</v>
      </c>
      <c r="B16" s="149" t="s">
        <v>159</v>
      </c>
      <c r="C16" s="150" t="s">
        <v>160</v>
      </c>
      <c r="D16" s="78" t="s">
        <v>141</v>
      </c>
      <c r="E16" s="142" t="s">
        <v>161</v>
      </c>
      <c r="F16" s="79" t="s">
        <v>142</v>
      </c>
    </row>
    <row r="17" spans="1:6" ht="49.5">
      <c r="A17" s="29" t="s">
        <v>149</v>
      </c>
      <c r="B17" s="138"/>
      <c r="C17" s="133"/>
      <c r="D17" s="63" t="s">
        <v>151</v>
      </c>
      <c r="E17" s="143"/>
      <c r="F17" s="83" t="s">
        <v>139</v>
      </c>
    </row>
    <row r="18" spans="1:6" ht="33.6" thickBot="1">
      <c r="A18" s="76" t="s">
        <v>143</v>
      </c>
      <c r="B18" s="138"/>
      <c r="C18" s="133"/>
      <c r="D18" s="52" t="s">
        <v>144</v>
      </c>
      <c r="E18" s="143"/>
      <c r="F18" s="76" t="s">
        <v>145</v>
      </c>
    </row>
    <row r="19" spans="1:6" ht="49.5">
      <c r="A19" s="29" t="s">
        <v>140</v>
      </c>
      <c r="B19" s="149" t="s">
        <v>162</v>
      </c>
      <c r="C19" s="150" t="s">
        <v>163</v>
      </c>
      <c r="D19" s="78" t="s">
        <v>141</v>
      </c>
      <c r="E19" s="142" t="s">
        <v>164</v>
      </c>
      <c r="F19" s="29" t="s">
        <v>165</v>
      </c>
    </row>
    <row r="20" spans="1:6" ht="49.5">
      <c r="A20" s="29" t="s">
        <v>149</v>
      </c>
      <c r="B20" s="138"/>
      <c r="C20" s="133"/>
      <c r="D20" s="63" t="s">
        <v>151</v>
      </c>
      <c r="E20" s="143"/>
      <c r="F20" s="52" t="s">
        <v>139</v>
      </c>
    </row>
    <row r="21" spans="1:6" ht="50.1" thickBot="1">
      <c r="A21" s="76" t="s">
        <v>150</v>
      </c>
      <c r="B21" s="139"/>
      <c r="C21" s="141"/>
      <c r="D21" s="77" t="s">
        <v>144</v>
      </c>
      <c r="E21" s="146"/>
      <c r="F21" s="80" t="s">
        <v>145</v>
      </c>
    </row>
    <row r="22" spans="1:6" ht="49.5">
      <c r="A22" s="29" t="s">
        <v>140</v>
      </c>
      <c r="B22" s="138" t="s">
        <v>166</v>
      </c>
      <c r="C22" s="133" t="s">
        <v>167</v>
      </c>
      <c r="D22" s="78" t="s">
        <v>141</v>
      </c>
      <c r="E22" s="147" t="s">
        <v>168</v>
      </c>
      <c r="F22" s="29" t="s">
        <v>165</v>
      </c>
    </row>
    <row r="23" spans="1:6" ht="49.5">
      <c r="A23" s="29" t="s">
        <v>149</v>
      </c>
      <c r="B23" s="138"/>
      <c r="C23" s="133"/>
      <c r="D23" s="63" t="s">
        <v>151</v>
      </c>
      <c r="E23" s="143"/>
      <c r="F23" s="29" t="s">
        <v>139</v>
      </c>
    </row>
    <row r="24" spans="1:6" ht="50.1" thickBot="1">
      <c r="A24" s="76" t="s">
        <v>150</v>
      </c>
      <c r="B24" s="151"/>
      <c r="C24" s="148"/>
      <c r="D24" s="77" t="s">
        <v>144</v>
      </c>
      <c r="E24" s="146"/>
      <c r="F24" s="80" t="s">
        <v>145</v>
      </c>
    </row>
    <row r="25" spans="1:6" ht="66">
      <c r="A25" s="29" t="s">
        <v>84</v>
      </c>
      <c r="B25" s="138" t="s">
        <v>169</v>
      </c>
      <c r="C25" s="140" t="s">
        <v>170</v>
      </c>
      <c r="D25" s="78" t="s">
        <v>141</v>
      </c>
      <c r="E25" s="147" t="s">
        <v>171</v>
      </c>
      <c r="F25" s="83" t="s">
        <v>165</v>
      </c>
    </row>
    <row r="26" spans="1:6" ht="49.5">
      <c r="A26" s="29" t="s">
        <v>149</v>
      </c>
      <c r="B26" s="138"/>
      <c r="C26" s="133"/>
      <c r="D26" s="63" t="s">
        <v>151</v>
      </c>
      <c r="E26" s="143"/>
      <c r="F26" s="83" t="s">
        <v>139</v>
      </c>
    </row>
    <row r="27" spans="1:6" ht="50.1" thickBot="1">
      <c r="A27" s="76" t="s">
        <v>150</v>
      </c>
      <c r="B27" s="139"/>
      <c r="C27" s="133"/>
      <c r="D27" s="77" t="s">
        <v>144</v>
      </c>
      <c r="E27" s="143"/>
      <c r="F27" s="93" t="s">
        <v>139</v>
      </c>
    </row>
    <row r="28" spans="1:6" ht="49.5">
      <c r="A28" s="29" t="s">
        <v>140</v>
      </c>
      <c r="B28" s="138" t="s">
        <v>172</v>
      </c>
      <c r="C28" s="140" t="s">
        <v>173</v>
      </c>
      <c r="D28" s="74" t="s">
        <v>174</v>
      </c>
      <c r="E28" s="142" t="s">
        <v>175</v>
      </c>
      <c r="F28" s="29" t="s">
        <v>165</v>
      </c>
    </row>
    <row r="29" spans="1:6" ht="49.5">
      <c r="A29" s="29" t="s">
        <v>149</v>
      </c>
      <c r="B29" s="138"/>
      <c r="C29" s="133"/>
      <c r="D29" s="52" t="s">
        <v>141</v>
      </c>
      <c r="E29" s="143"/>
      <c r="F29" s="29" t="s">
        <v>139</v>
      </c>
    </row>
    <row r="30" spans="1:6" ht="50.1" thickBot="1">
      <c r="A30" s="76" t="s">
        <v>150</v>
      </c>
      <c r="B30" s="139"/>
      <c r="C30" s="141"/>
      <c r="D30" s="77" t="s">
        <v>144</v>
      </c>
      <c r="E30" s="144"/>
      <c r="F30" s="76" t="s">
        <v>145</v>
      </c>
    </row>
    <row r="31" spans="1:6" ht="49.5">
      <c r="A31" s="29" t="s">
        <v>140</v>
      </c>
      <c r="B31" s="138" t="s">
        <v>176</v>
      </c>
      <c r="C31" s="140" t="s">
        <v>177</v>
      </c>
      <c r="D31" s="52" t="s">
        <v>141</v>
      </c>
      <c r="E31" s="142" t="s">
        <v>178</v>
      </c>
      <c r="F31" s="29" t="s">
        <v>165</v>
      </c>
    </row>
    <row r="32" spans="1:6" ht="49.5">
      <c r="A32" s="29" t="s">
        <v>149</v>
      </c>
      <c r="B32" s="138"/>
      <c r="C32" s="133"/>
      <c r="D32" s="52" t="s">
        <v>151</v>
      </c>
      <c r="E32" s="143"/>
      <c r="F32" s="29" t="s">
        <v>139</v>
      </c>
    </row>
    <row r="33" spans="1:6" ht="50.1" thickBot="1">
      <c r="A33" s="76" t="s">
        <v>150</v>
      </c>
      <c r="B33" s="139"/>
      <c r="C33" s="141"/>
      <c r="D33" s="77" t="s">
        <v>144</v>
      </c>
      <c r="E33" s="144"/>
      <c r="F33" s="76" t="s">
        <v>145</v>
      </c>
    </row>
    <row r="34" spans="1:6" ht="49.5">
      <c r="A34" s="29" t="s">
        <v>140</v>
      </c>
      <c r="B34" s="138" t="s">
        <v>179</v>
      </c>
      <c r="C34" s="140" t="s">
        <v>180</v>
      </c>
      <c r="D34" s="52" t="s">
        <v>141</v>
      </c>
      <c r="E34" s="142" t="s">
        <v>181</v>
      </c>
      <c r="F34" s="83" t="s">
        <v>165</v>
      </c>
    </row>
    <row r="35" spans="1:6" ht="49.5">
      <c r="A35" s="29" t="s">
        <v>149</v>
      </c>
      <c r="B35" s="138"/>
      <c r="C35" s="133"/>
      <c r="D35" s="52" t="s">
        <v>182</v>
      </c>
      <c r="E35" s="143"/>
      <c r="F35" s="83" t="s">
        <v>139</v>
      </c>
    </row>
    <row r="36" spans="1:6" ht="33.6" thickBot="1">
      <c r="A36" s="76" t="s">
        <v>143</v>
      </c>
      <c r="B36" s="139"/>
      <c r="C36" s="141"/>
      <c r="D36" s="77" t="s">
        <v>144</v>
      </c>
      <c r="E36" s="144"/>
      <c r="F36" s="93" t="s">
        <v>145</v>
      </c>
    </row>
    <row r="37" spans="1:6" ht="49.5">
      <c r="A37" s="29" t="s">
        <v>140</v>
      </c>
      <c r="B37" s="138" t="s">
        <v>183</v>
      </c>
      <c r="C37" s="140" t="s">
        <v>184</v>
      </c>
      <c r="D37" s="52" t="s">
        <v>141</v>
      </c>
      <c r="E37" s="142" t="s">
        <v>185</v>
      </c>
      <c r="F37" s="29" t="s">
        <v>165</v>
      </c>
    </row>
    <row r="38" spans="1:6" ht="49.5">
      <c r="A38" s="29" t="s">
        <v>149</v>
      </c>
      <c r="B38" s="138"/>
      <c r="C38" s="133"/>
      <c r="D38" s="52" t="s">
        <v>151</v>
      </c>
      <c r="E38" s="143"/>
      <c r="F38" s="29" t="s">
        <v>139</v>
      </c>
    </row>
    <row r="39" spans="1:6" ht="33.6" thickBot="1">
      <c r="A39" s="76" t="s">
        <v>143</v>
      </c>
      <c r="B39" s="139"/>
      <c r="C39" s="141"/>
      <c r="D39" s="77" t="s">
        <v>144</v>
      </c>
      <c r="E39" s="144"/>
      <c r="F39" s="76" t="s">
        <v>145</v>
      </c>
    </row>
    <row r="40" spans="1:6" ht="49.5">
      <c r="A40" s="29" t="s">
        <v>140</v>
      </c>
      <c r="B40" s="138" t="s">
        <v>186</v>
      </c>
      <c r="C40" s="140" t="s">
        <v>187</v>
      </c>
      <c r="D40" s="52" t="s">
        <v>141</v>
      </c>
      <c r="E40" s="142" t="s">
        <v>188</v>
      </c>
      <c r="F40" s="29" t="s">
        <v>165</v>
      </c>
    </row>
    <row r="41" spans="1:6" ht="49.5">
      <c r="A41" s="29" t="s">
        <v>149</v>
      </c>
      <c r="B41" s="138"/>
      <c r="C41" s="133"/>
      <c r="D41" s="52" t="s">
        <v>151</v>
      </c>
      <c r="E41" s="143"/>
      <c r="F41" s="29" t="s">
        <v>139</v>
      </c>
    </row>
    <row r="42" spans="1:6" ht="50.1" thickBot="1">
      <c r="A42" s="76" t="s">
        <v>150</v>
      </c>
      <c r="B42" s="139"/>
      <c r="C42" s="141"/>
      <c r="D42" s="77" t="s">
        <v>144</v>
      </c>
      <c r="E42" s="144"/>
      <c r="F42" s="76" t="s">
        <v>145</v>
      </c>
    </row>
    <row r="43" spans="1:6" ht="16.5">
      <c r="A43" s="29"/>
    </row>
    <row r="44" spans="1:6" ht="16.5">
      <c r="A44" s="29"/>
    </row>
    <row r="45" spans="1:6" ht="16.5">
      <c r="A45" s="29"/>
    </row>
    <row r="46" spans="1:6" ht="16.5">
      <c r="A46" s="29"/>
    </row>
    <row r="47" spans="1:6" ht="16.5">
      <c r="A47" s="29"/>
    </row>
    <row r="48" spans="1:6" ht="16.5">
      <c r="A48" s="29"/>
    </row>
    <row r="49" spans="1:1" ht="16.5">
      <c r="A49" s="29"/>
    </row>
    <row r="50" spans="1:1" ht="16.5">
      <c r="A50" s="29"/>
    </row>
    <row r="51" spans="1:1" ht="16.5">
      <c r="A51" s="29"/>
    </row>
    <row r="52" spans="1:1" ht="16.5">
      <c r="A52" s="29"/>
    </row>
    <row r="53" spans="1:1" ht="16.5">
      <c r="A53" s="29"/>
    </row>
    <row r="54" spans="1:1" ht="16.5">
      <c r="A54" s="29"/>
    </row>
    <row r="55" spans="1:1" ht="16.5">
      <c r="A55" s="29"/>
    </row>
    <row r="56" spans="1:1" ht="16.5">
      <c r="A56" s="29"/>
    </row>
    <row r="57" spans="1:1" ht="16.5">
      <c r="A57" s="29"/>
    </row>
    <row r="58" spans="1:1" ht="16.5">
      <c r="A58" s="29"/>
    </row>
  </sheetData>
  <autoFilter ref="A1:F39" xr:uid="{E39D2FE2-9619-401A-8888-2C861DBCAC9F}"/>
  <mergeCells count="39">
    <mergeCell ref="B40:B42"/>
    <mergeCell ref="C40:C42"/>
    <mergeCell ref="E40:E42"/>
    <mergeCell ref="C3:C5"/>
    <mergeCell ref="B3:B5"/>
    <mergeCell ref="B16:B18"/>
    <mergeCell ref="C16:C18"/>
    <mergeCell ref="B6:B9"/>
    <mergeCell ref="C6:C9"/>
    <mergeCell ref="B10:B12"/>
    <mergeCell ref="B13:B15"/>
    <mergeCell ref="C13:C15"/>
    <mergeCell ref="C10:C12"/>
    <mergeCell ref="B19:B21"/>
    <mergeCell ref="C19:C21"/>
    <mergeCell ref="B22:B24"/>
    <mergeCell ref="E19:E21"/>
    <mergeCell ref="E22:E24"/>
    <mergeCell ref="E25:E27"/>
    <mergeCell ref="B31:B33"/>
    <mergeCell ref="C31:C33"/>
    <mergeCell ref="C22:C24"/>
    <mergeCell ref="B25:B27"/>
    <mergeCell ref="C25:C27"/>
    <mergeCell ref="B28:B30"/>
    <mergeCell ref="C28:C30"/>
    <mergeCell ref="E28:E30"/>
    <mergeCell ref="E31:E33"/>
    <mergeCell ref="E3:E5"/>
    <mergeCell ref="E6:E9"/>
    <mergeCell ref="E10:E12"/>
    <mergeCell ref="E13:E15"/>
    <mergeCell ref="E16:E18"/>
    <mergeCell ref="B34:B36"/>
    <mergeCell ref="C34:C36"/>
    <mergeCell ref="B37:B39"/>
    <mergeCell ref="C37:C39"/>
    <mergeCell ref="E34:E36"/>
    <mergeCell ref="E37:E39"/>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RA'!$I$3:$I$12</xm:f>
          </x14:formula1>
          <xm:sqref>A3:A58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S173"/>
  <sheetViews>
    <sheetView zoomScaleNormal="100" workbookViewId="0">
      <pane ySplit="2" topLeftCell="A3" activePane="bottomLeft" state="frozen"/>
      <selection pane="bottomLeft"/>
      <selection activeCell="B1" sqref="B1"/>
    </sheetView>
  </sheetViews>
  <sheetFormatPr defaultColWidth="14.7109375" defaultRowHeight="16.5"/>
  <cols>
    <col min="1" max="1" width="14.7109375" style="1"/>
    <col min="2" max="2" width="79.42578125" style="4" customWidth="1"/>
    <col min="3" max="3" width="18.42578125" style="6" customWidth="1"/>
    <col min="4" max="4" width="33.7109375" style="5" bestFit="1" customWidth="1"/>
    <col min="5" max="5" width="76.7109375" style="4" customWidth="1"/>
    <col min="6" max="6" width="15.28515625" style="6" customWidth="1"/>
    <col min="7" max="9" width="15.42578125" style="6" customWidth="1"/>
    <col min="10" max="10" width="13.140625" style="6" customWidth="1"/>
    <col min="11" max="11" width="23.85546875" style="6" customWidth="1"/>
    <col min="12" max="12" width="27.85546875" style="6" customWidth="1"/>
    <col min="13" max="13" width="14.85546875" style="6" customWidth="1"/>
    <col min="14" max="14" width="43.5703125" style="4" customWidth="1"/>
    <col min="15" max="15" width="49.140625" style="4" customWidth="1"/>
    <col min="16" max="16" width="49" style="4" customWidth="1"/>
    <col min="17" max="17" width="68.140625" style="4" customWidth="1"/>
    <col min="18" max="18" width="4" style="130" bestFit="1" customWidth="1"/>
    <col min="19" max="19" width="3.140625" style="11" bestFit="1" customWidth="1"/>
    <col min="20" max="16384" width="14.7109375" style="6"/>
  </cols>
  <sheetData>
    <row r="1" spans="1:19" s="73" customFormat="1" ht="51.95">
      <c r="A1" s="64" t="s">
        <v>189</v>
      </c>
      <c r="B1" s="64" t="s">
        <v>190</v>
      </c>
      <c r="C1" s="64" t="s">
        <v>191</v>
      </c>
      <c r="D1" s="64" t="s">
        <v>192</v>
      </c>
      <c r="E1" s="64" t="s">
        <v>193</v>
      </c>
      <c r="F1" s="64" t="s">
        <v>194</v>
      </c>
      <c r="G1" s="155" t="s">
        <v>195</v>
      </c>
      <c r="H1" s="155"/>
      <c r="I1" s="155"/>
      <c r="J1" s="64" t="s">
        <v>196</v>
      </c>
      <c r="K1" s="64" t="s">
        <v>197</v>
      </c>
      <c r="L1" s="64" t="s">
        <v>198</v>
      </c>
      <c r="M1" s="64" t="s">
        <v>199</v>
      </c>
      <c r="N1" s="64" t="s">
        <v>200</v>
      </c>
      <c r="O1" s="64" t="s">
        <v>201</v>
      </c>
      <c r="P1" s="64" t="s">
        <v>202</v>
      </c>
      <c r="Q1" s="64" t="s">
        <v>203</v>
      </c>
      <c r="R1" s="127"/>
      <c r="S1" s="1"/>
    </row>
    <row r="2" spans="1:19" s="73" customFormat="1" ht="33.6" thickBot="1">
      <c r="A2" s="67" t="s">
        <v>204</v>
      </c>
      <c r="B2" s="67" t="s">
        <v>129</v>
      </c>
      <c r="C2" s="67" t="s">
        <v>205</v>
      </c>
      <c r="D2" s="67" t="s">
        <v>206</v>
      </c>
      <c r="E2" s="67" t="s">
        <v>207</v>
      </c>
      <c r="F2" s="67" t="s">
        <v>208</v>
      </c>
      <c r="G2" s="67" t="s">
        <v>209</v>
      </c>
      <c r="H2" s="67" t="s">
        <v>210</v>
      </c>
      <c r="I2" s="67" t="s">
        <v>211</v>
      </c>
      <c r="J2" s="67" t="s">
        <v>212</v>
      </c>
      <c r="K2" s="67" t="s">
        <v>213</v>
      </c>
      <c r="L2" s="67" t="s">
        <v>214</v>
      </c>
      <c r="M2" s="67" t="s">
        <v>215</v>
      </c>
      <c r="N2" s="67" t="s">
        <v>216</v>
      </c>
      <c r="O2" s="67" t="s">
        <v>217</v>
      </c>
      <c r="P2" s="67" t="s">
        <v>218</v>
      </c>
      <c r="Q2" s="67" t="s">
        <v>219</v>
      </c>
      <c r="R2" s="128"/>
      <c r="S2" s="1"/>
    </row>
    <row r="3" spans="1:19" s="104" customFormat="1" ht="248.1" thickBot="1">
      <c r="A3" s="100" t="str">
        <f>_xlfn.XLOOKUP(B3,'Paso 3 Redacción RA'!I$3:I$12,'Paso 3 Redacción RA'!C$3:C$12,,0,1)</f>
        <v>Saber</v>
      </c>
      <c r="B3" s="100" t="s">
        <v>99</v>
      </c>
      <c r="C3" s="101">
        <v>1</v>
      </c>
      <c r="D3" s="101" t="s">
        <v>220</v>
      </c>
      <c r="E3" s="100" t="s">
        <v>221</v>
      </c>
      <c r="F3" s="101" t="s">
        <v>222</v>
      </c>
      <c r="G3" s="101" t="s">
        <v>223</v>
      </c>
      <c r="H3" s="101"/>
      <c r="I3" s="101"/>
      <c r="J3" s="101">
        <v>3</v>
      </c>
      <c r="K3" s="101">
        <f>16*J3</f>
        <v>48</v>
      </c>
      <c r="L3" s="101">
        <f>32*J3</f>
        <v>96</v>
      </c>
      <c r="M3" s="101">
        <f>SUM(K3:L3)</f>
        <v>144</v>
      </c>
      <c r="N3" s="102" t="s">
        <v>224</v>
      </c>
      <c r="O3" s="100" t="s">
        <v>225</v>
      </c>
      <c r="P3" s="100" t="s">
        <v>226</v>
      </c>
      <c r="Q3" s="100" t="s">
        <v>227</v>
      </c>
      <c r="R3" s="109"/>
      <c r="S3" s="123"/>
    </row>
    <row r="4" spans="1:19" s="106" customFormat="1" ht="330.6" thickBot="1">
      <c r="A4" s="100" t="str">
        <f>_xlfn.XLOOKUP(B4,'Paso 3 Redacción RA'!I$3:I$12,'Paso 3 Redacción RA'!C$3:C$12,,0,1)</f>
        <v>Saber</v>
      </c>
      <c r="B4" s="100" t="s">
        <v>99</v>
      </c>
      <c r="C4" s="101">
        <v>1</v>
      </c>
      <c r="D4" s="101" t="s">
        <v>228</v>
      </c>
      <c r="E4" s="100" t="s">
        <v>229</v>
      </c>
      <c r="F4" s="101" t="s">
        <v>222</v>
      </c>
      <c r="G4" s="101" t="s">
        <v>223</v>
      </c>
      <c r="H4" s="101"/>
      <c r="I4" s="101"/>
      <c r="J4" s="101">
        <v>3</v>
      </c>
      <c r="K4" s="101">
        <f>16*J4</f>
        <v>48</v>
      </c>
      <c r="L4" s="101">
        <f>32*J4</f>
        <v>96</v>
      </c>
      <c r="M4" s="101">
        <f>SUM(K4:L4)</f>
        <v>144</v>
      </c>
      <c r="N4" s="100" t="s">
        <v>230</v>
      </c>
      <c r="O4" s="100" t="s">
        <v>231</v>
      </c>
      <c r="P4" s="100" t="s">
        <v>232</v>
      </c>
      <c r="Q4" s="100" t="s">
        <v>227</v>
      </c>
      <c r="R4" s="109"/>
      <c r="S4" s="105"/>
    </row>
    <row r="5" spans="1:19" s="106" customFormat="1" ht="49.5">
      <c r="A5" s="106" t="str">
        <f>_xlfn.XLOOKUP(B5,'Paso 3 Redacción RA'!I$3:I$12,'Paso 3 Redacción RA'!C$3:C$12,,0,1)</f>
        <v>SaberHacer</v>
      </c>
      <c r="B5" s="52" t="s">
        <v>87</v>
      </c>
      <c r="C5" s="152">
        <v>1</v>
      </c>
      <c r="D5" s="143" t="s">
        <v>233</v>
      </c>
      <c r="E5" s="133" t="s">
        <v>234</v>
      </c>
      <c r="F5" s="143" t="s">
        <v>222</v>
      </c>
      <c r="G5" s="143"/>
      <c r="H5" s="143" t="s">
        <v>223</v>
      </c>
      <c r="I5" s="143"/>
      <c r="J5" s="143">
        <v>3</v>
      </c>
      <c r="K5" s="143">
        <f>16*J5</f>
        <v>48</v>
      </c>
      <c r="L5" s="143">
        <f>32*J5</f>
        <v>96</v>
      </c>
      <c r="M5" s="143">
        <f>SUM(K5:L5)</f>
        <v>144</v>
      </c>
      <c r="N5" s="133" t="s">
        <v>235</v>
      </c>
      <c r="O5" s="133" t="s">
        <v>236</v>
      </c>
      <c r="P5" s="133" t="s">
        <v>237</v>
      </c>
      <c r="Q5" s="133" t="s">
        <v>227</v>
      </c>
      <c r="R5" s="109"/>
      <c r="S5" s="105"/>
    </row>
    <row r="6" spans="1:19" s="106" customFormat="1" ht="50.1" thickBot="1">
      <c r="A6" s="107" t="str">
        <f>_xlfn.XLOOKUP(B6,'Paso 3 Redacción RA'!I$3:I$12,'Paso 3 Redacción RA'!C$3:C$12,,0,1)</f>
        <v>SaberSer</v>
      </c>
      <c r="B6" s="77" t="s">
        <v>89</v>
      </c>
      <c r="C6" s="153"/>
      <c r="D6" s="144"/>
      <c r="E6" s="141"/>
      <c r="F6" s="144"/>
      <c r="G6" s="144"/>
      <c r="H6" s="144"/>
      <c r="I6" s="144"/>
      <c r="J6" s="144"/>
      <c r="K6" s="144"/>
      <c r="L6" s="144"/>
      <c r="M6" s="144"/>
      <c r="N6" s="141"/>
      <c r="O6" s="141"/>
      <c r="P6" s="141"/>
      <c r="Q6" s="141"/>
      <c r="R6" s="109"/>
      <c r="S6" s="105"/>
    </row>
    <row r="7" spans="1:19" s="106" customFormat="1" ht="66">
      <c r="A7" s="108" t="str">
        <f>_xlfn.XLOOKUP(B7,'Paso 3 Redacción RA'!I$3:I$12,'Paso 3 Redacción RA'!C$3:C$12,,0,1)</f>
        <v>Saber</v>
      </c>
      <c r="B7" s="78" t="s">
        <v>84</v>
      </c>
      <c r="C7" s="154" t="s">
        <v>238</v>
      </c>
      <c r="D7" s="142" t="s">
        <v>239</v>
      </c>
      <c r="E7" s="150" t="s">
        <v>240</v>
      </c>
      <c r="F7" s="142" t="s">
        <v>222</v>
      </c>
      <c r="G7" s="142"/>
      <c r="H7" s="142" t="s">
        <v>223</v>
      </c>
      <c r="I7" s="142"/>
      <c r="J7" s="142">
        <v>2</v>
      </c>
      <c r="K7" s="142">
        <f>16*J7</f>
        <v>32</v>
      </c>
      <c r="L7" s="142">
        <f>32*J7</f>
        <v>64</v>
      </c>
      <c r="M7" s="142">
        <f>SUM(K7:L7)</f>
        <v>96</v>
      </c>
      <c r="N7" s="150" t="s">
        <v>241</v>
      </c>
      <c r="O7" s="150" t="s">
        <v>236</v>
      </c>
      <c r="P7" s="150" t="s">
        <v>237</v>
      </c>
      <c r="Q7" s="150" t="s">
        <v>227</v>
      </c>
      <c r="R7" s="109"/>
      <c r="S7" s="105"/>
    </row>
    <row r="8" spans="1:19" s="106" customFormat="1" ht="49.5">
      <c r="A8" s="106" t="str">
        <f>_xlfn.XLOOKUP(B8,'Paso 3 Redacción RA'!I$3:I$12,'Paso 3 Redacción RA'!C$3:C$12,,0,1)</f>
        <v>Saber</v>
      </c>
      <c r="B8" s="52" t="s">
        <v>90</v>
      </c>
      <c r="C8" s="152"/>
      <c r="D8" s="143"/>
      <c r="E8" s="133"/>
      <c r="F8" s="143"/>
      <c r="G8" s="143"/>
      <c r="H8" s="143"/>
      <c r="I8" s="143"/>
      <c r="J8" s="143"/>
      <c r="K8" s="143"/>
      <c r="L8" s="143"/>
      <c r="M8" s="143"/>
      <c r="N8" s="133"/>
      <c r="O8" s="133"/>
      <c r="P8" s="133"/>
      <c r="Q8" s="133"/>
      <c r="R8" s="109"/>
      <c r="S8" s="105"/>
    </row>
    <row r="9" spans="1:19" s="106" customFormat="1" ht="66.599999999999994" thickBot="1">
      <c r="A9" s="107" t="str">
        <f>_xlfn.XLOOKUP(B9,'Paso 3 Redacción RA'!I$3:I$12,'Paso 3 Redacción RA'!C$3:C$12,,0,1)</f>
        <v>Saber</v>
      </c>
      <c r="B9" s="77" t="s">
        <v>94</v>
      </c>
      <c r="C9" s="153"/>
      <c r="D9" s="144"/>
      <c r="E9" s="141"/>
      <c r="F9" s="144"/>
      <c r="G9" s="144"/>
      <c r="H9" s="144"/>
      <c r="I9" s="144"/>
      <c r="J9" s="144"/>
      <c r="K9" s="144"/>
      <c r="L9" s="144"/>
      <c r="M9" s="144"/>
      <c r="N9" s="141"/>
      <c r="O9" s="141"/>
      <c r="P9" s="141"/>
      <c r="Q9" s="141"/>
      <c r="R9" s="109"/>
      <c r="S9" s="105"/>
    </row>
    <row r="10" spans="1:19" s="52" customFormat="1" ht="66">
      <c r="A10" s="108" t="str">
        <f>_xlfn.XLOOKUP(B10,'Paso 3 Redacción RA'!I$3:I$12,'Paso 3 Redacción RA'!C$3:C$12,,0,1)</f>
        <v>Saber</v>
      </c>
      <c r="B10" s="78" t="s">
        <v>84</v>
      </c>
      <c r="C10" s="142" t="s">
        <v>238</v>
      </c>
      <c r="D10" s="142" t="s">
        <v>242</v>
      </c>
      <c r="E10" s="133" t="s">
        <v>243</v>
      </c>
      <c r="F10" s="143" t="s">
        <v>222</v>
      </c>
      <c r="G10" s="143"/>
      <c r="H10" s="143" t="s">
        <v>223</v>
      </c>
      <c r="I10" s="143"/>
      <c r="J10" s="143">
        <v>2</v>
      </c>
      <c r="K10" s="143">
        <f>16*J10</f>
        <v>32</v>
      </c>
      <c r="L10" s="143">
        <f>32*J10</f>
        <v>64</v>
      </c>
      <c r="M10" s="143">
        <f>SUM(K10:L10)</f>
        <v>96</v>
      </c>
      <c r="N10" s="133" t="s">
        <v>244</v>
      </c>
      <c r="O10" s="133" t="s">
        <v>236</v>
      </c>
      <c r="P10" s="133" t="s">
        <v>237</v>
      </c>
      <c r="Q10" s="133" t="s">
        <v>227</v>
      </c>
      <c r="R10" s="109"/>
      <c r="S10" s="109"/>
    </row>
    <row r="11" spans="1:19" s="52" customFormat="1" ht="49.5">
      <c r="A11" s="106" t="str">
        <f>_xlfn.XLOOKUP(B11,'Paso 3 Redacción RA'!I$3:I$12,'Paso 3 Redacción RA'!C$3:C$12,,0,1)</f>
        <v>SaberSer</v>
      </c>
      <c r="B11" s="52" t="s">
        <v>89</v>
      </c>
      <c r="C11" s="143"/>
      <c r="D11" s="143"/>
      <c r="E11" s="133"/>
      <c r="F11" s="143"/>
      <c r="G11" s="143"/>
      <c r="H11" s="143"/>
      <c r="I11" s="143"/>
      <c r="J11" s="143"/>
      <c r="K11" s="143"/>
      <c r="L11" s="143"/>
      <c r="M11" s="143"/>
      <c r="N11" s="133"/>
      <c r="O11" s="133"/>
      <c r="P11" s="133"/>
      <c r="Q11" s="133"/>
      <c r="R11" s="109"/>
      <c r="S11" s="109"/>
    </row>
    <row r="12" spans="1:19" s="52" customFormat="1" ht="66">
      <c r="A12" s="106" t="str">
        <f>_xlfn.XLOOKUP(B12,'Paso 3 Redacción RA'!I$3:I$12,'Paso 3 Redacción RA'!C$3:C$12,,0,1)</f>
        <v>Saber</v>
      </c>
      <c r="B12" s="52" t="s">
        <v>94</v>
      </c>
      <c r="C12" s="143"/>
      <c r="D12" s="143"/>
      <c r="E12" s="133"/>
      <c r="F12" s="143"/>
      <c r="G12" s="143"/>
      <c r="H12" s="143"/>
      <c r="I12" s="143"/>
      <c r="J12" s="143"/>
      <c r="K12" s="143"/>
      <c r="L12" s="143"/>
      <c r="M12" s="143"/>
      <c r="N12" s="133"/>
      <c r="O12" s="133"/>
      <c r="P12" s="133"/>
      <c r="Q12" s="133"/>
      <c r="R12" s="109"/>
      <c r="S12" s="109"/>
    </row>
    <row r="13" spans="1:19" s="52" customFormat="1" ht="50.1" thickBot="1">
      <c r="A13" s="107" t="str">
        <f>_xlfn.XLOOKUP(B13,'Paso 3 Redacción RA'!I$3:I$12,'Paso 3 Redacción RA'!C$3:C$12,,0,1)</f>
        <v>SaberHacer</v>
      </c>
      <c r="B13" s="77" t="s">
        <v>87</v>
      </c>
      <c r="C13" s="144"/>
      <c r="D13" s="144"/>
      <c r="E13" s="133"/>
      <c r="F13" s="143"/>
      <c r="G13" s="143"/>
      <c r="H13" s="143"/>
      <c r="I13" s="143"/>
      <c r="J13" s="143"/>
      <c r="K13" s="143"/>
      <c r="L13" s="143"/>
      <c r="M13" s="143"/>
      <c r="N13" s="133"/>
      <c r="O13" s="133"/>
      <c r="P13" s="133"/>
      <c r="Q13" s="133"/>
      <c r="R13" s="109">
        <f>SUM(J3:J13)</f>
        <v>13</v>
      </c>
      <c r="S13" s="109">
        <f>COUNTA(D3:D13)</f>
        <v>5</v>
      </c>
    </row>
    <row r="14" spans="1:19" s="106" customFormat="1" ht="248.1" thickBot="1">
      <c r="A14" s="100" t="str">
        <f>_xlfn.XLOOKUP(B14,'Paso 3 Redacción RA'!I$3:I$12,'Paso 3 Redacción RA'!C$3:C$12,,0,1)</f>
        <v>Saber</v>
      </c>
      <c r="B14" s="100" t="s">
        <v>99</v>
      </c>
      <c r="C14" s="101">
        <v>2</v>
      </c>
      <c r="D14" s="101" t="s">
        <v>245</v>
      </c>
      <c r="E14" s="100" t="s">
        <v>246</v>
      </c>
      <c r="F14" s="101" t="s">
        <v>222</v>
      </c>
      <c r="G14" s="101" t="s">
        <v>223</v>
      </c>
      <c r="H14" s="101"/>
      <c r="I14" s="101"/>
      <c r="J14" s="101">
        <v>3</v>
      </c>
      <c r="K14" s="101">
        <f>16*J14</f>
        <v>48</v>
      </c>
      <c r="L14" s="101">
        <f>32*J14</f>
        <v>96</v>
      </c>
      <c r="M14" s="101">
        <f>SUM(K14:L14)</f>
        <v>144</v>
      </c>
      <c r="N14" s="100" t="s">
        <v>247</v>
      </c>
      <c r="O14" s="100" t="s">
        <v>248</v>
      </c>
      <c r="P14" s="100" t="s">
        <v>249</v>
      </c>
      <c r="Q14" s="100" t="s">
        <v>227</v>
      </c>
      <c r="R14" s="109"/>
      <c r="S14" s="105"/>
    </row>
    <row r="15" spans="1:19" s="103" customFormat="1" ht="66">
      <c r="A15" s="108" t="str">
        <f>_xlfn.XLOOKUP(B15,'Paso 3 Redacción RA'!I$3:I$12,'Paso 3 Redacción RA'!C$3:C$12,,0,1)</f>
        <v>Saber</v>
      </c>
      <c r="B15" s="78" t="s">
        <v>84</v>
      </c>
      <c r="C15" s="142">
        <v>2</v>
      </c>
      <c r="D15" s="142" t="s">
        <v>250</v>
      </c>
      <c r="E15" s="150" t="s">
        <v>251</v>
      </c>
      <c r="F15" s="142" t="s">
        <v>222</v>
      </c>
      <c r="G15" s="142"/>
      <c r="H15" s="142" t="s">
        <v>223</v>
      </c>
      <c r="I15" s="142"/>
      <c r="J15" s="142">
        <v>3</v>
      </c>
      <c r="K15" s="142">
        <f>16*J15</f>
        <v>48</v>
      </c>
      <c r="L15" s="142">
        <f>32*J15</f>
        <v>96</v>
      </c>
      <c r="M15" s="142">
        <f>SUM(K15:L15)</f>
        <v>144</v>
      </c>
      <c r="N15" s="150" t="s">
        <v>252</v>
      </c>
      <c r="O15" s="150" t="s">
        <v>236</v>
      </c>
      <c r="P15" s="150" t="s">
        <v>237</v>
      </c>
      <c r="Q15" s="150" t="s">
        <v>227</v>
      </c>
      <c r="R15" s="109"/>
      <c r="S15" s="105"/>
    </row>
    <row r="16" spans="1:19" s="103" customFormat="1" ht="66">
      <c r="A16" s="106" t="str">
        <f>_xlfn.XLOOKUP(B16,'Paso 3 Redacción RA'!I$3:I$12,'Paso 3 Redacción RA'!C$3:C$12,,0,1)</f>
        <v>Saber</v>
      </c>
      <c r="B16" s="52" t="s">
        <v>94</v>
      </c>
      <c r="C16" s="143"/>
      <c r="D16" s="143"/>
      <c r="E16" s="133"/>
      <c r="F16" s="143"/>
      <c r="G16" s="143"/>
      <c r="H16" s="143"/>
      <c r="I16" s="143"/>
      <c r="J16" s="143"/>
      <c r="K16" s="143"/>
      <c r="L16" s="143"/>
      <c r="M16" s="143"/>
      <c r="N16" s="133"/>
      <c r="O16" s="133"/>
      <c r="P16" s="133"/>
      <c r="Q16" s="133"/>
      <c r="R16" s="109"/>
      <c r="S16" s="105"/>
    </row>
    <row r="17" spans="1:19" s="103" customFormat="1" ht="66">
      <c r="A17" s="106" t="str">
        <f>_xlfn.XLOOKUP(B17,'Paso 3 Redacción RA'!I$3:I$12,'Paso 3 Redacción RA'!C$3:C$12,,0,1)</f>
        <v>Saber</v>
      </c>
      <c r="B17" s="52" t="s">
        <v>94</v>
      </c>
      <c r="C17" s="143"/>
      <c r="D17" s="143"/>
      <c r="E17" s="133"/>
      <c r="F17" s="143"/>
      <c r="G17" s="143"/>
      <c r="H17" s="143"/>
      <c r="I17" s="143"/>
      <c r="J17" s="143"/>
      <c r="K17" s="143"/>
      <c r="L17" s="143"/>
      <c r="M17" s="143"/>
      <c r="N17" s="133"/>
      <c r="O17" s="133"/>
      <c r="P17" s="133"/>
      <c r="Q17" s="133"/>
      <c r="R17" s="109"/>
      <c r="S17" s="105"/>
    </row>
    <row r="18" spans="1:19" s="103" customFormat="1" ht="50.1" thickBot="1">
      <c r="A18" s="107" t="str">
        <f>_xlfn.XLOOKUP(B18,'Paso 3 Redacción RA'!I$3:I$12,'Paso 3 Redacción RA'!C$3:C$12,,0,1)</f>
        <v>SaberHacer</v>
      </c>
      <c r="B18" s="77" t="s">
        <v>87</v>
      </c>
      <c r="C18" s="144"/>
      <c r="D18" s="144"/>
      <c r="E18" s="141"/>
      <c r="F18" s="144"/>
      <c r="G18" s="144"/>
      <c r="H18" s="144"/>
      <c r="I18" s="144"/>
      <c r="J18" s="144"/>
      <c r="K18" s="144"/>
      <c r="L18" s="144"/>
      <c r="M18" s="144"/>
      <c r="N18" s="141"/>
      <c r="O18" s="141"/>
      <c r="P18" s="141"/>
      <c r="Q18" s="141"/>
      <c r="R18" s="109"/>
      <c r="S18" s="105"/>
    </row>
    <row r="19" spans="1:19" s="106" customFormat="1" ht="49.5">
      <c r="A19" s="108" t="str">
        <f>_xlfn.XLOOKUP(B19,'Paso 3 Redacción RA'!I$3:I$12,'Paso 3 Redacción RA'!C$3:C$12,,0,1)</f>
        <v>Saber</v>
      </c>
      <c r="B19" s="78" t="s">
        <v>90</v>
      </c>
      <c r="C19" s="142">
        <v>2</v>
      </c>
      <c r="D19" s="142" t="s">
        <v>253</v>
      </c>
      <c r="E19" s="150" t="s">
        <v>254</v>
      </c>
      <c r="F19" s="142" t="s">
        <v>222</v>
      </c>
      <c r="G19" s="142"/>
      <c r="H19" s="142" t="s">
        <v>223</v>
      </c>
      <c r="I19" s="142"/>
      <c r="J19" s="142">
        <v>3</v>
      </c>
      <c r="K19" s="142">
        <f>16*J19</f>
        <v>48</v>
      </c>
      <c r="L19" s="142">
        <f>32*J19</f>
        <v>96</v>
      </c>
      <c r="M19" s="142">
        <f>SUM(K19:L19)</f>
        <v>144</v>
      </c>
      <c r="N19" s="150" t="s">
        <v>255</v>
      </c>
      <c r="O19" s="150" t="s">
        <v>256</v>
      </c>
      <c r="P19" s="150" t="s">
        <v>257</v>
      </c>
      <c r="Q19" s="150" t="s">
        <v>227</v>
      </c>
      <c r="R19" s="109"/>
      <c r="S19" s="105"/>
    </row>
    <row r="20" spans="1:19" s="106" customFormat="1" ht="50.1" thickBot="1">
      <c r="A20" s="107" t="str">
        <f>_xlfn.XLOOKUP(B20,'Paso 3 Redacción RA'!I$3:I$12,'Paso 3 Redacción RA'!C$3:C$12,,0,1)</f>
        <v>SaberHacer</v>
      </c>
      <c r="B20" s="77" t="s">
        <v>87</v>
      </c>
      <c r="C20" s="144"/>
      <c r="D20" s="144"/>
      <c r="E20" s="141"/>
      <c r="F20" s="144"/>
      <c r="G20" s="144"/>
      <c r="H20" s="144"/>
      <c r="I20" s="144"/>
      <c r="J20" s="144"/>
      <c r="K20" s="144"/>
      <c r="L20" s="144"/>
      <c r="M20" s="144"/>
      <c r="N20" s="141"/>
      <c r="O20" s="141"/>
      <c r="P20" s="141"/>
      <c r="Q20" s="141"/>
      <c r="R20" s="109"/>
      <c r="S20" s="105"/>
    </row>
    <row r="21" spans="1:19" s="106" customFormat="1" ht="66">
      <c r="A21" s="106" t="str">
        <f>_xlfn.XLOOKUP(B21,'Paso 3 Redacción RA'!I$3:I$12,'Paso 3 Redacción RA'!C$3:C$12,,0,1)</f>
        <v>Saber</v>
      </c>
      <c r="B21" s="52" t="s">
        <v>84</v>
      </c>
      <c r="C21" s="142">
        <v>2</v>
      </c>
      <c r="D21" s="142" t="s">
        <v>258</v>
      </c>
      <c r="E21" s="150" t="s">
        <v>259</v>
      </c>
      <c r="F21" s="142" t="s">
        <v>222</v>
      </c>
      <c r="G21" s="142"/>
      <c r="H21" s="142" t="s">
        <v>223</v>
      </c>
      <c r="I21" s="142"/>
      <c r="J21" s="142">
        <v>3</v>
      </c>
      <c r="K21" s="142">
        <f>16*J21</f>
        <v>48</v>
      </c>
      <c r="L21" s="142">
        <f>32*J21</f>
        <v>96</v>
      </c>
      <c r="M21" s="142">
        <f>SUM(K21:L21)</f>
        <v>144</v>
      </c>
      <c r="N21" s="150" t="s">
        <v>260</v>
      </c>
      <c r="O21" s="150" t="s">
        <v>236</v>
      </c>
      <c r="P21" s="150" t="s">
        <v>237</v>
      </c>
      <c r="Q21" s="150" t="s">
        <v>227</v>
      </c>
      <c r="R21" s="109"/>
      <c r="S21" s="105"/>
    </row>
    <row r="22" spans="1:19" s="106" customFormat="1" ht="49.5">
      <c r="A22" s="106" t="str">
        <f>_xlfn.XLOOKUP(B22,'Paso 3 Redacción RA'!I$3:I$12,'Paso 3 Redacción RA'!C$3:C$12,,0,1)</f>
        <v>Saber</v>
      </c>
      <c r="B22" s="52" t="s">
        <v>90</v>
      </c>
      <c r="C22" s="143"/>
      <c r="D22" s="143"/>
      <c r="E22" s="133"/>
      <c r="F22" s="143"/>
      <c r="G22" s="143"/>
      <c r="H22" s="143"/>
      <c r="I22" s="143"/>
      <c r="J22" s="143"/>
      <c r="K22" s="143"/>
      <c r="L22" s="143"/>
      <c r="M22" s="143"/>
      <c r="N22" s="133"/>
      <c r="O22" s="133"/>
      <c r="P22" s="133"/>
      <c r="Q22" s="133"/>
      <c r="R22" s="109"/>
      <c r="S22" s="105"/>
    </row>
    <row r="23" spans="1:19" s="106" customFormat="1" ht="66">
      <c r="A23" s="106" t="str">
        <f>_xlfn.XLOOKUP(B23,'Paso 3 Redacción RA'!I$3:I$12,'Paso 3 Redacción RA'!C$3:C$12,,0,1)</f>
        <v>Saber</v>
      </c>
      <c r="B23" s="52" t="s">
        <v>94</v>
      </c>
      <c r="C23" s="143"/>
      <c r="D23" s="143"/>
      <c r="E23" s="133"/>
      <c r="F23" s="143"/>
      <c r="G23" s="143"/>
      <c r="H23" s="143"/>
      <c r="I23" s="143"/>
      <c r="J23" s="143"/>
      <c r="K23" s="143"/>
      <c r="L23" s="143"/>
      <c r="M23" s="143"/>
      <c r="N23" s="133"/>
      <c r="O23" s="133"/>
      <c r="P23" s="133"/>
      <c r="Q23" s="133"/>
      <c r="R23" s="109"/>
      <c r="S23" s="105"/>
    </row>
    <row r="24" spans="1:19" s="106" customFormat="1" ht="50.1" thickBot="1">
      <c r="A24" s="107" t="str">
        <f>_xlfn.XLOOKUP(B24,'Paso 3 Redacción RA'!I$3:I$12,'Paso 3 Redacción RA'!C$3:C$12,,0,1)</f>
        <v>SaberHacer</v>
      </c>
      <c r="B24" s="77" t="s">
        <v>87</v>
      </c>
      <c r="C24" s="144"/>
      <c r="D24" s="144"/>
      <c r="E24" s="133"/>
      <c r="F24" s="143"/>
      <c r="G24" s="143"/>
      <c r="H24" s="143"/>
      <c r="I24" s="143"/>
      <c r="J24" s="143"/>
      <c r="K24" s="143"/>
      <c r="L24" s="143"/>
      <c r="M24" s="144"/>
      <c r="N24" s="133"/>
      <c r="O24" s="133"/>
      <c r="P24" s="133"/>
      <c r="Q24" s="133"/>
      <c r="R24" s="109"/>
      <c r="S24" s="105"/>
    </row>
    <row r="25" spans="1:19" s="106" customFormat="1" ht="66">
      <c r="A25" s="108" t="str">
        <f>_xlfn.XLOOKUP(B25,'Paso 3 Redacción RA'!I$3:I$12,'Paso 3 Redacción RA'!C$3:C$12,,0,1)</f>
        <v>Saber</v>
      </c>
      <c r="B25" s="52" t="s">
        <v>84</v>
      </c>
      <c r="C25" s="142">
        <v>2</v>
      </c>
      <c r="D25" s="142" t="s">
        <v>261</v>
      </c>
      <c r="E25" s="150" t="s">
        <v>262</v>
      </c>
      <c r="F25" s="142" t="s">
        <v>222</v>
      </c>
      <c r="G25" s="142"/>
      <c r="H25" s="142" t="s">
        <v>223</v>
      </c>
      <c r="I25" s="142"/>
      <c r="J25" s="142">
        <v>3</v>
      </c>
      <c r="K25" s="142">
        <f>16*J25</f>
        <v>48</v>
      </c>
      <c r="L25" s="142">
        <f>32*J25</f>
        <v>96</v>
      </c>
      <c r="M25" s="142">
        <f>SUM(K25:L25)</f>
        <v>144</v>
      </c>
      <c r="N25" s="150" t="s">
        <v>263</v>
      </c>
      <c r="O25" s="150" t="s">
        <v>236</v>
      </c>
      <c r="P25" s="150" t="s">
        <v>237</v>
      </c>
      <c r="Q25" s="150" t="s">
        <v>227</v>
      </c>
      <c r="R25" s="109"/>
      <c r="S25" s="105"/>
    </row>
    <row r="26" spans="1:19" s="106" customFormat="1" ht="49.5">
      <c r="A26" s="106" t="str">
        <f>_xlfn.XLOOKUP(B26,'Paso 3 Redacción RA'!I$3:I$12,'Paso 3 Redacción RA'!C$3:C$12,,0,1)</f>
        <v>Saber</v>
      </c>
      <c r="B26" s="52" t="s">
        <v>90</v>
      </c>
      <c r="C26" s="143"/>
      <c r="D26" s="143"/>
      <c r="E26" s="133"/>
      <c r="F26" s="143"/>
      <c r="G26" s="143"/>
      <c r="H26" s="143"/>
      <c r="I26" s="143"/>
      <c r="J26" s="143"/>
      <c r="K26" s="143"/>
      <c r="L26" s="143"/>
      <c r="M26" s="143"/>
      <c r="N26" s="133"/>
      <c r="O26" s="133"/>
      <c r="P26" s="133"/>
      <c r="Q26" s="133"/>
      <c r="R26" s="109"/>
      <c r="S26" s="105"/>
    </row>
    <row r="27" spans="1:19" s="106" customFormat="1" ht="66">
      <c r="A27" s="106" t="str">
        <f>_xlfn.XLOOKUP(B27,'Paso 3 Redacción RA'!I$3:I$12,'Paso 3 Redacción RA'!C$3:C$12,,0,1)</f>
        <v>Saber</v>
      </c>
      <c r="B27" s="52" t="s">
        <v>94</v>
      </c>
      <c r="C27" s="143"/>
      <c r="D27" s="143"/>
      <c r="E27" s="133"/>
      <c r="F27" s="143"/>
      <c r="G27" s="143"/>
      <c r="H27" s="143"/>
      <c r="I27" s="143"/>
      <c r="J27" s="143"/>
      <c r="K27" s="143"/>
      <c r="L27" s="143"/>
      <c r="M27" s="143"/>
      <c r="N27" s="133"/>
      <c r="O27" s="133"/>
      <c r="P27" s="133"/>
      <c r="Q27" s="133"/>
      <c r="R27" s="109"/>
      <c r="S27" s="105"/>
    </row>
    <row r="28" spans="1:19" s="106" customFormat="1" ht="50.1" thickBot="1">
      <c r="A28" s="107" t="str">
        <f>_xlfn.XLOOKUP(B28,'Paso 3 Redacción RA'!I$3:I$12,'Paso 3 Redacción RA'!C$3:C$12,,0,1)</f>
        <v>SaberHacer</v>
      </c>
      <c r="B28" s="77" t="s">
        <v>87</v>
      </c>
      <c r="C28" s="144"/>
      <c r="D28" s="144"/>
      <c r="E28" s="133"/>
      <c r="F28" s="143"/>
      <c r="G28" s="143"/>
      <c r="H28" s="143"/>
      <c r="I28" s="143"/>
      <c r="J28" s="143"/>
      <c r="K28" s="143"/>
      <c r="L28" s="143"/>
      <c r="M28" s="144"/>
      <c r="N28" s="133"/>
      <c r="O28" s="133"/>
      <c r="P28" s="133"/>
      <c r="Q28" s="133"/>
      <c r="R28" s="109">
        <f>SUM(J14:J28)</f>
        <v>15</v>
      </c>
      <c r="S28" s="105">
        <f>COUNTA(D14:D28)</f>
        <v>5</v>
      </c>
    </row>
    <row r="29" spans="1:19" s="106" customFormat="1" ht="248.1" thickBot="1">
      <c r="A29" s="100" t="str">
        <f>_xlfn.XLOOKUP(B29,'Paso 3 Redacción RA'!I$3:I$12,'Paso 3 Redacción RA'!C$3:C$12,,0,1)</f>
        <v>Saber</v>
      </c>
      <c r="B29" s="100" t="s">
        <v>99</v>
      </c>
      <c r="C29" s="101">
        <v>3</v>
      </c>
      <c r="D29" s="101" t="s">
        <v>264</v>
      </c>
      <c r="E29" s="100" t="s">
        <v>265</v>
      </c>
      <c r="F29" s="101" t="s">
        <v>222</v>
      </c>
      <c r="G29" s="101" t="s">
        <v>223</v>
      </c>
      <c r="H29" s="101"/>
      <c r="I29" s="101"/>
      <c r="J29" s="101">
        <v>3</v>
      </c>
      <c r="K29" s="101">
        <f>16*J29</f>
        <v>48</v>
      </c>
      <c r="L29" s="101">
        <f>32*J29</f>
        <v>96</v>
      </c>
      <c r="M29" s="101">
        <f>SUM(K29:L29)</f>
        <v>144</v>
      </c>
      <c r="N29" s="100" t="s">
        <v>266</v>
      </c>
      <c r="O29" s="100" t="s">
        <v>267</v>
      </c>
      <c r="P29" s="100" t="s">
        <v>249</v>
      </c>
      <c r="Q29" s="100" t="s">
        <v>227</v>
      </c>
      <c r="R29" s="109"/>
      <c r="S29" s="105"/>
    </row>
    <row r="30" spans="1:19" s="106" customFormat="1" ht="363.6" thickBot="1">
      <c r="A30" s="100" t="str">
        <f>_xlfn.XLOOKUP(B30,'Paso 3 Redacción RA'!I$3:I$12,'Paso 3 Redacción RA'!C$3:C$12,,0,1)</f>
        <v>Saber</v>
      </c>
      <c r="B30" s="100" t="s">
        <v>99</v>
      </c>
      <c r="C30" s="101">
        <v>3</v>
      </c>
      <c r="D30" s="101" t="s">
        <v>268</v>
      </c>
      <c r="E30" s="100" t="s">
        <v>269</v>
      </c>
      <c r="F30" s="101" t="s">
        <v>222</v>
      </c>
      <c r="G30" s="101" t="s">
        <v>223</v>
      </c>
      <c r="H30" s="101"/>
      <c r="I30" s="101"/>
      <c r="J30" s="110">
        <v>3</v>
      </c>
      <c r="K30" s="101">
        <f>16*J30</f>
        <v>48</v>
      </c>
      <c r="L30" s="101">
        <f>32*J30</f>
        <v>96</v>
      </c>
      <c r="M30" s="101">
        <f>SUM(K30:L30)</f>
        <v>144</v>
      </c>
      <c r="N30" s="100" t="s">
        <v>270</v>
      </c>
      <c r="O30" s="100" t="s">
        <v>271</v>
      </c>
      <c r="P30" s="100" t="s">
        <v>272</v>
      </c>
      <c r="Q30" s="100" t="s">
        <v>227</v>
      </c>
      <c r="R30" s="109"/>
      <c r="S30" s="105"/>
    </row>
    <row r="31" spans="1:19" s="106" customFormat="1" ht="49.5">
      <c r="A31" s="108" t="str">
        <f>_xlfn.XLOOKUP(B31,'Paso 3 Redacción RA'!I$3:I$12,'Paso 3 Redacción RA'!C$3:C$12,,0,1)</f>
        <v>Saber</v>
      </c>
      <c r="B31" s="78" t="s">
        <v>90</v>
      </c>
      <c r="C31" s="142">
        <v>3</v>
      </c>
      <c r="D31" s="142" t="s">
        <v>273</v>
      </c>
      <c r="E31" s="150" t="s">
        <v>274</v>
      </c>
      <c r="F31" s="142" t="s">
        <v>222</v>
      </c>
      <c r="G31" s="142"/>
      <c r="H31" s="142" t="s">
        <v>223</v>
      </c>
      <c r="I31" s="142"/>
      <c r="J31" s="142">
        <v>3</v>
      </c>
      <c r="K31" s="142">
        <f>16*J31</f>
        <v>48</v>
      </c>
      <c r="L31" s="142">
        <f>32*J31</f>
        <v>96</v>
      </c>
      <c r="M31" s="142">
        <f>SUM(K31:L31)</f>
        <v>144</v>
      </c>
      <c r="N31" s="150" t="s">
        <v>275</v>
      </c>
      <c r="O31" s="150" t="s">
        <v>276</v>
      </c>
      <c r="P31" s="150" t="s">
        <v>277</v>
      </c>
      <c r="Q31" s="150" t="s">
        <v>227</v>
      </c>
      <c r="R31" s="109"/>
      <c r="S31" s="105"/>
    </row>
    <row r="32" spans="1:19" s="106" customFormat="1" ht="50.1" thickBot="1">
      <c r="A32" s="107" t="str">
        <f>_xlfn.XLOOKUP(B32,'Paso 3 Redacción RA'!I$3:I$12,'Paso 3 Redacción RA'!C$3:C$12,,0,1)</f>
        <v>SaberHacer</v>
      </c>
      <c r="B32" s="77" t="s">
        <v>87</v>
      </c>
      <c r="C32" s="144"/>
      <c r="D32" s="144"/>
      <c r="E32" s="141"/>
      <c r="F32" s="144"/>
      <c r="G32" s="144"/>
      <c r="H32" s="144"/>
      <c r="I32" s="144"/>
      <c r="J32" s="144"/>
      <c r="K32" s="144"/>
      <c r="L32" s="144"/>
      <c r="M32" s="144"/>
      <c r="N32" s="141"/>
      <c r="O32" s="141"/>
      <c r="P32" s="141"/>
      <c r="Q32" s="141"/>
      <c r="R32" s="109"/>
      <c r="S32" s="105"/>
    </row>
    <row r="33" spans="1:19" s="106" customFormat="1" ht="66">
      <c r="A33" s="108" t="str">
        <f>_xlfn.XLOOKUP(B33,'Paso 3 Redacción RA'!I$3:I$12,'Paso 3 Redacción RA'!C$3:C$12,,0,1)</f>
        <v>Saber</v>
      </c>
      <c r="B33" s="78" t="s">
        <v>84</v>
      </c>
      <c r="C33" s="142">
        <v>3</v>
      </c>
      <c r="D33" s="142" t="s">
        <v>278</v>
      </c>
      <c r="E33" s="150" t="s">
        <v>279</v>
      </c>
      <c r="F33" s="142" t="s">
        <v>222</v>
      </c>
      <c r="G33" s="142"/>
      <c r="H33" s="142" t="s">
        <v>223</v>
      </c>
      <c r="I33" s="142"/>
      <c r="J33" s="142">
        <v>3</v>
      </c>
      <c r="K33" s="142">
        <f>16*J33</f>
        <v>48</v>
      </c>
      <c r="L33" s="142">
        <f>32*J33</f>
        <v>96</v>
      </c>
      <c r="M33" s="142">
        <v>192</v>
      </c>
      <c r="N33" s="150" t="s">
        <v>280</v>
      </c>
      <c r="O33" s="150" t="s">
        <v>236</v>
      </c>
      <c r="P33" s="150" t="s">
        <v>237</v>
      </c>
      <c r="Q33" s="150" t="s">
        <v>227</v>
      </c>
      <c r="R33" s="109"/>
      <c r="S33" s="105"/>
    </row>
    <row r="34" spans="1:19" s="106" customFormat="1" ht="49.5">
      <c r="A34" s="106" t="str">
        <f>_xlfn.XLOOKUP(B34,'Paso 3 Redacción RA'!I$3:I$12,'Paso 3 Redacción RA'!C$3:C$12,,0,1)</f>
        <v>Saber</v>
      </c>
      <c r="B34" s="52" t="s">
        <v>90</v>
      </c>
      <c r="C34" s="143"/>
      <c r="D34" s="143"/>
      <c r="E34" s="133"/>
      <c r="F34" s="143"/>
      <c r="G34" s="143"/>
      <c r="H34" s="143"/>
      <c r="I34" s="143"/>
      <c r="J34" s="143"/>
      <c r="K34" s="143"/>
      <c r="L34" s="143"/>
      <c r="M34" s="143"/>
      <c r="N34" s="133"/>
      <c r="O34" s="133"/>
      <c r="P34" s="133"/>
      <c r="Q34" s="133"/>
      <c r="R34" s="109"/>
      <c r="S34" s="105"/>
    </row>
    <row r="35" spans="1:19" s="106" customFormat="1" ht="66">
      <c r="A35" s="106" t="str">
        <f>_xlfn.XLOOKUP(B35,'Paso 3 Redacción RA'!I$3:I$12,'Paso 3 Redacción RA'!C$3:C$12,,0,1)</f>
        <v>Saber</v>
      </c>
      <c r="B35" s="52" t="s">
        <v>94</v>
      </c>
      <c r="C35" s="143"/>
      <c r="D35" s="143"/>
      <c r="E35" s="133"/>
      <c r="F35" s="143"/>
      <c r="G35" s="143"/>
      <c r="H35" s="143"/>
      <c r="I35" s="143"/>
      <c r="J35" s="143"/>
      <c r="K35" s="143"/>
      <c r="L35" s="143"/>
      <c r="M35" s="143"/>
      <c r="N35" s="133"/>
      <c r="O35" s="133"/>
      <c r="P35" s="133"/>
      <c r="Q35" s="133"/>
      <c r="R35" s="109"/>
      <c r="S35" s="105"/>
    </row>
    <row r="36" spans="1:19" s="106" customFormat="1" ht="49.5">
      <c r="A36" s="106" t="str">
        <f>_xlfn.XLOOKUP(B36,'Paso 3 Redacción RA'!I$3:I$12,'Paso 3 Redacción RA'!C$3:C$12,,0,1)</f>
        <v>SaberHacer</v>
      </c>
      <c r="B36" s="52" t="s">
        <v>87</v>
      </c>
      <c r="C36" s="143"/>
      <c r="D36" s="143"/>
      <c r="E36" s="133"/>
      <c r="F36" s="143"/>
      <c r="G36" s="143"/>
      <c r="H36" s="143"/>
      <c r="I36" s="143"/>
      <c r="J36" s="143"/>
      <c r="K36" s="143"/>
      <c r="L36" s="143"/>
      <c r="M36" s="143"/>
      <c r="N36" s="133"/>
      <c r="O36" s="133"/>
      <c r="P36" s="133"/>
      <c r="Q36" s="133"/>
      <c r="R36" s="109"/>
      <c r="S36" s="105"/>
    </row>
    <row r="37" spans="1:19" s="106" customFormat="1" ht="33.6" thickBot="1">
      <c r="A37" s="107" t="str">
        <f>_xlfn.XLOOKUP(B37,'Paso 3 Redacción RA'!I$3:I$12,'Paso 3 Redacción RA'!C$3:C$12,,0,1)</f>
        <v>SaberHacer</v>
      </c>
      <c r="B37" s="77" t="s">
        <v>93</v>
      </c>
      <c r="C37" s="144"/>
      <c r="D37" s="144"/>
      <c r="E37" s="133"/>
      <c r="F37" s="143"/>
      <c r="G37" s="143"/>
      <c r="H37" s="143"/>
      <c r="I37" s="143"/>
      <c r="J37" s="143"/>
      <c r="K37" s="143"/>
      <c r="L37" s="143"/>
      <c r="M37" s="143"/>
      <c r="N37" s="133"/>
      <c r="O37" s="133"/>
      <c r="P37" s="133"/>
      <c r="Q37" s="133"/>
      <c r="R37" s="109"/>
      <c r="S37" s="105"/>
    </row>
    <row r="38" spans="1:19" s="106" customFormat="1" ht="66">
      <c r="A38" s="108" t="str">
        <f>_xlfn.XLOOKUP(B38,'Paso 3 Redacción RA'!I$3:I$12,'Paso 3 Redacción RA'!C$3:C$12,,0,1)</f>
        <v>Saber</v>
      </c>
      <c r="B38" s="78" t="s">
        <v>84</v>
      </c>
      <c r="C38" s="142">
        <v>3</v>
      </c>
      <c r="D38" s="142" t="s">
        <v>281</v>
      </c>
      <c r="E38" s="150" t="s">
        <v>282</v>
      </c>
      <c r="F38" s="142" t="s">
        <v>222</v>
      </c>
      <c r="G38" s="142"/>
      <c r="H38" s="142" t="s">
        <v>223</v>
      </c>
      <c r="I38" s="142"/>
      <c r="J38" s="142">
        <v>3</v>
      </c>
      <c r="K38" s="142">
        <f>16*J38</f>
        <v>48</v>
      </c>
      <c r="L38" s="142">
        <f>32*J38</f>
        <v>96</v>
      </c>
      <c r="M38" s="142">
        <v>192</v>
      </c>
      <c r="N38" s="150" t="s">
        <v>283</v>
      </c>
      <c r="O38" s="150" t="s">
        <v>236</v>
      </c>
      <c r="P38" s="150" t="s">
        <v>237</v>
      </c>
      <c r="Q38" s="150" t="s">
        <v>227</v>
      </c>
      <c r="R38" s="109"/>
      <c r="S38" s="105"/>
    </row>
    <row r="39" spans="1:19" s="106" customFormat="1" ht="49.5">
      <c r="A39" s="106" t="str">
        <f>_xlfn.XLOOKUP(B39,'Paso 3 Redacción RA'!I$3:I$12,'Paso 3 Redacción RA'!C$3:C$12,,0,1)</f>
        <v>Saber</v>
      </c>
      <c r="B39" s="52" t="s">
        <v>90</v>
      </c>
      <c r="C39" s="143"/>
      <c r="D39" s="143"/>
      <c r="E39" s="133"/>
      <c r="F39" s="143"/>
      <c r="G39" s="143"/>
      <c r="H39" s="143"/>
      <c r="I39" s="143"/>
      <c r="J39" s="143"/>
      <c r="K39" s="143"/>
      <c r="L39" s="143"/>
      <c r="M39" s="143"/>
      <c r="N39" s="133"/>
      <c r="O39" s="133"/>
      <c r="P39" s="133"/>
      <c r="Q39" s="133"/>
      <c r="R39" s="109"/>
      <c r="S39" s="105"/>
    </row>
    <row r="40" spans="1:19" s="106" customFormat="1" ht="66">
      <c r="A40" s="106" t="str">
        <f>_xlfn.XLOOKUP(B40,'Paso 3 Redacción RA'!I$3:I$12,'Paso 3 Redacción RA'!C$3:C$12,,0,1)</f>
        <v>Saber</v>
      </c>
      <c r="B40" s="52" t="s">
        <v>94</v>
      </c>
      <c r="C40" s="143"/>
      <c r="D40" s="143"/>
      <c r="E40" s="133"/>
      <c r="F40" s="143"/>
      <c r="G40" s="143"/>
      <c r="H40" s="143"/>
      <c r="I40" s="143"/>
      <c r="J40" s="143"/>
      <c r="K40" s="143"/>
      <c r="L40" s="143"/>
      <c r="M40" s="143"/>
      <c r="N40" s="133"/>
      <c r="O40" s="133"/>
      <c r="P40" s="133"/>
      <c r="Q40" s="133"/>
      <c r="R40" s="109"/>
      <c r="S40" s="105"/>
    </row>
    <row r="41" spans="1:19" s="106" customFormat="1" ht="49.5">
      <c r="A41" s="106" t="str">
        <f>_xlfn.XLOOKUP(B41,'Paso 3 Redacción RA'!I$3:I$12,'Paso 3 Redacción RA'!C$3:C$12,,0,1)</f>
        <v>SaberHacer</v>
      </c>
      <c r="B41" s="52" t="s">
        <v>87</v>
      </c>
      <c r="C41" s="143"/>
      <c r="D41" s="143"/>
      <c r="E41" s="133"/>
      <c r="F41" s="143"/>
      <c r="G41" s="143"/>
      <c r="H41" s="143"/>
      <c r="I41" s="143"/>
      <c r="J41" s="143"/>
      <c r="K41" s="143"/>
      <c r="L41" s="143"/>
      <c r="M41" s="143"/>
      <c r="N41" s="133"/>
      <c r="O41" s="133"/>
      <c r="P41" s="133"/>
      <c r="Q41" s="133"/>
      <c r="R41" s="109"/>
      <c r="S41" s="105"/>
    </row>
    <row r="42" spans="1:19" s="106" customFormat="1" ht="33.6" thickBot="1">
      <c r="A42" s="107" t="str">
        <f>_xlfn.XLOOKUP(B42,'Paso 3 Redacción RA'!I$3:I$12,'Paso 3 Redacción RA'!C$3:C$12,,0,1)</f>
        <v>SaberHacer</v>
      </c>
      <c r="B42" s="77" t="s">
        <v>93</v>
      </c>
      <c r="C42" s="144"/>
      <c r="D42" s="144"/>
      <c r="E42" s="133"/>
      <c r="F42" s="143"/>
      <c r="G42" s="143"/>
      <c r="H42" s="143"/>
      <c r="I42" s="143"/>
      <c r="J42" s="143"/>
      <c r="K42" s="143"/>
      <c r="L42" s="143"/>
      <c r="M42" s="143"/>
      <c r="N42" s="133"/>
      <c r="O42" s="133"/>
      <c r="P42" s="133"/>
      <c r="Q42" s="133"/>
      <c r="R42" s="109"/>
      <c r="S42" s="105"/>
    </row>
    <row r="43" spans="1:19" s="106" customFormat="1" ht="248.1" thickBot="1">
      <c r="A43" s="108" t="str">
        <f>_xlfn.XLOOKUP(B43,'Paso 3 Redacción RA'!I$3:I$12,'Paso 3 Redacción RA'!C$3:C$12,,0,1)</f>
        <v>SaberHacer</v>
      </c>
      <c r="B43" s="78" t="s">
        <v>87</v>
      </c>
      <c r="C43" s="96">
        <v>3</v>
      </c>
      <c r="D43" s="96" t="s">
        <v>284</v>
      </c>
      <c r="E43" s="78" t="s">
        <v>285</v>
      </c>
      <c r="F43" s="96" t="s">
        <v>222</v>
      </c>
      <c r="G43" s="96"/>
      <c r="H43" s="96" t="s">
        <v>223</v>
      </c>
      <c r="I43" s="96"/>
      <c r="J43" s="96">
        <v>3</v>
      </c>
      <c r="K43" s="96">
        <f>16*J43</f>
        <v>48</v>
      </c>
      <c r="L43" s="96">
        <f>32*J43</f>
        <v>96</v>
      </c>
      <c r="M43" s="96">
        <v>192</v>
      </c>
      <c r="N43" s="78" t="s">
        <v>286</v>
      </c>
      <c r="O43" s="78" t="s">
        <v>287</v>
      </c>
      <c r="P43" s="78" t="s">
        <v>288</v>
      </c>
      <c r="Q43" s="78" t="s">
        <v>227</v>
      </c>
      <c r="R43" s="109">
        <f>SUM(J29:J43)</f>
        <v>18</v>
      </c>
      <c r="S43" s="105">
        <f>COUNTA(D29:D43)</f>
        <v>6</v>
      </c>
    </row>
    <row r="44" spans="1:19" s="106" customFormat="1" ht="248.1" thickBot="1">
      <c r="A44" s="100" t="str">
        <f>_xlfn.XLOOKUP(B44,'Paso 3 Redacción RA'!I$3:I$12,'Paso 3 Redacción RA'!C$3:C$12,,0,1)</f>
        <v>Saber</v>
      </c>
      <c r="B44" s="100" t="s">
        <v>99</v>
      </c>
      <c r="C44" s="101">
        <v>4</v>
      </c>
      <c r="D44" s="101" t="s">
        <v>289</v>
      </c>
      <c r="E44" s="100" t="s">
        <v>290</v>
      </c>
      <c r="F44" s="101" t="s">
        <v>222</v>
      </c>
      <c r="G44" s="101" t="s">
        <v>223</v>
      </c>
      <c r="H44" s="101" t="s">
        <v>291</v>
      </c>
      <c r="I44" s="101"/>
      <c r="J44" s="101">
        <v>3</v>
      </c>
      <c r="K44" s="101">
        <f>16*J44</f>
        <v>48</v>
      </c>
      <c r="L44" s="101">
        <f>32*J44</f>
        <v>96</v>
      </c>
      <c r="M44" s="101">
        <f>SUM(K44:L44)</f>
        <v>144</v>
      </c>
      <c r="N44" s="100" t="s">
        <v>292</v>
      </c>
      <c r="O44" s="100" t="s">
        <v>267</v>
      </c>
      <c r="P44" s="100" t="s">
        <v>293</v>
      </c>
      <c r="Q44" s="100" t="s">
        <v>227</v>
      </c>
      <c r="R44" s="109"/>
      <c r="S44" s="105"/>
    </row>
    <row r="45" spans="1:19" s="106" customFormat="1" ht="66">
      <c r="A45" s="108" t="str">
        <f>_xlfn.XLOOKUP(B45,'Paso 3 Redacción RA'!I$3:I$12,'Paso 3 Redacción RA'!C$3:C$12,,0,1)</f>
        <v>Saber</v>
      </c>
      <c r="B45" s="78" t="s">
        <v>94</v>
      </c>
      <c r="C45" s="142">
        <v>4</v>
      </c>
      <c r="D45" s="142" t="s">
        <v>294</v>
      </c>
      <c r="E45" s="150" t="s">
        <v>295</v>
      </c>
      <c r="F45" s="142" t="s">
        <v>222</v>
      </c>
      <c r="G45" s="142"/>
      <c r="H45" s="142" t="s">
        <v>223</v>
      </c>
      <c r="I45" s="142"/>
      <c r="J45" s="142">
        <v>3</v>
      </c>
      <c r="K45" s="142">
        <f>16*J45</f>
        <v>48</v>
      </c>
      <c r="L45" s="142">
        <f>32*J45</f>
        <v>96</v>
      </c>
      <c r="M45" s="142">
        <f>SUM(K45:L45)</f>
        <v>144</v>
      </c>
      <c r="N45" s="150" t="s">
        <v>296</v>
      </c>
      <c r="O45" s="150" t="s">
        <v>297</v>
      </c>
      <c r="P45" s="150" t="s">
        <v>298</v>
      </c>
      <c r="Q45" s="150" t="s">
        <v>227</v>
      </c>
      <c r="R45" s="109"/>
      <c r="S45" s="105"/>
    </row>
    <row r="46" spans="1:19" s="106" customFormat="1" ht="50.1" thickBot="1">
      <c r="A46" s="107" t="str">
        <f>_xlfn.XLOOKUP(B46,'Paso 3 Redacción RA'!I$3:I$12,'Paso 3 Redacción RA'!C$3:C$12,,0,1)</f>
        <v>SaberHacer</v>
      </c>
      <c r="B46" s="77" t="s">
        <v>87</v>
      </c>
      <c r="C46" s="144"/>
      <c r="D46" s="144"/>
      <c r="E46" s="141"/>
      <c r="F46" s="144"/>
      <c r="G46" s="144"/>
      <c r="H46" s="144"/>
      <c r="I46" s="144"/>
      <c r="J46" s="144"/>
      <c r="K46" s="144"/>
      <c r="L46" s="144"/>
      <c r="M46" s="144"/>
      <c r="N46" s="141"/>
      <c r="O46" s="141"/>
      <c r="P46" s="141"/>
      <c r="Q46" s="141"/>
      <c r="R46" s="109"/>
      <c r="S46" s="105"/>
    </row>
    <row r="47" spans="1:19" s="106" customFormat="1" ht="66">
      <c r="A47" s="108" t="str">
        <f>_xlfn.XLOOKUP(B47,'Paso 3 Redacción RA'!I$3:I$12,'Paso 3 Redacción RA'!C$3:C$12,,0,1)</f>
        <v>Saber</v>
      </c>
      <c r="B47" s="78" t="s">
        <v>84</v>
      </c>
      <c r="C47" s="142">
        <v>4</v>
      </c>
      <c r="D47" s="142" t="s">
        <v>299</v>
      </c>
      <c r="E47" s="150" t="s">
        <v>300</v>
      </c>
      <c r="F47" s="142" t="s">
        <v>222</v>
      </c>
      <c r="G47" s="142"/>
      <c r="H47" s="142" t="s">
        <v>223</v>
      </c>
      <c r="I47" s="142"/>
      <c r="J47" s="142">
        <v>3</v>
      </c>
      <c r="K47" s="142">
        <f>16*J47</f>
        <v>48</v>
      </c>
      <c r="L47" s="142">
        <f>32*J47</f>
        <v>96</v>
      </c>
      <c r="M47" s="142">
        <f>SUM(K47:L47)</f>
        <v>144</v>
      </c>
      <c r="N47" s="150" t="s">
        <v>301</v>
      </c>
      <c r="O47" s="150" t="s">
        <v>302</v>
      </c>
      <c r="P47" s="150" t="s">
        <v>237</v>
      </c>
      <c r="Q47" s="150" t="s">
        <v>227</v>
      </c>
      <c r="R47" s="109"/>
      <c r="S47" s="105"/>
    </row>
    <row r="48" spans="1:19" s="106" customFormat="1" ht="49.5">
      <c r="A48" s="106" t="str">
        <f>_xlfn.XLOOKUP(B48,'Paso 3 Redacción RA'!I$3:I$12,'Paso 3 Redacción RA'!C$3:C$12,,0,1)</f>
        <v>Saber</v>
      </c>
      <c r="B48" s="52" t="s">
        <v>90</v>
      </c>
      <c r="C48" s="143"/>
      <c r="D48" s="143"/>
      <c r="E48" s="133"/>
      <c r="F48" s="143"/>
      <c r="G48" s="143"/>
      <c r="H48" s="143"/>
      <c r="I48" s="143"/>
      <c r="J48" s="143"/>
      <c r="K48" s="143"/>
      <c r="L48" s="143"/>
      <c r="M48" s="143"/>
      <c r="N48" s="133"/>
      <c r="O48" s="133"/>
      <c r="P48" s="133"/>
      <c r="Q48" s="133"/>
      <c r="R48" s="109"/>
      <c r="S48" s="105"/>
    </row>
    <row r="49" spans="1:19" s="106" customFormat="1" ht="66">
      <c r="A49" s="106" t="str">
        <f>_xlfn.XLOOKUP(B49,'Paso 3 Redacción RA'!I$3:I$12,'Paso 3 Redacción RA'!C$3:C$12,,0,1)</f>
        <v>Saber</v>
      </c>
      <c r="B49" s="52" t="s">
        <v>94</v>
      </c>
      <c r="C49" s="143"/>
      <c r="D49" s="143"/>
      <c r="E49" s="133"/>
      <c r="F49" s="143"/>
      <c r="G49" s="143"/>
      <c r="H49" s="143"/>
      <c r="I49" s="143"/>
      <c r="J49" s="143"/>
      <c r="K49" s="143"/>
      <c r="L49" s="143"/>
      <c r="M49" s="143"/>
      <c r="N49" s="133"/>
      <c r="O49" s="133"/>
      <c r="P49" s="133"/>
      <c r="Q49" s="133"/>
      <c r="R49" s="109"/>
      <c r="S49" s="105"/>
    </row>
    <row r="50" spans="1:19" s="106" customFormat="1" ht="50.1" thickBot="1">
      <c r="A50" s="107" t="str">
        <f>_xlfn.XLOOKUP(B50,'Paso 3 Redacción RA'!I$3:I$12,'Paso 3 Redacción RA'!C$3:C$12,,0,1)</f>
        <v>SaberHacer</v>
      </c>
      <c r="B50" s="77" t="s">
        <v>87</v>
      </c>
      <c r="C50" s="144"/>
      <c r="D50" s="144"/>
      <c r="E50" s="141"/>
      <c r="F50" s="144"/>
      <c r="G50" s="144"/>
      <c r="H50" s="144"/>
      <c r="I50" s="144"/>
      <c r="J50" s="144"/>
      <c r="K50" s="144"/>
      <c r="L50" s="144"/>
      <c r="M50" s="144"/>
      <c r="N50" s="141"/>
      <c r="O50" s="141"/>
      <c r="P50" s="141"/>
      <c r="Q50" s="141"/>
      <c r="R50" s="109"/>
      <c r="S50" s="105"/>
    </row>
    <row r="51" spans="1:19" s="106" customFormat="1" ht="66">
      <c r="A51" s="106" t="str">
        <f>_xlfn.XLOOKUP(B51,'Paso 3 Redacción RA'!I$3:I$12,'Paso 3 Redacción RA'!C$3:C$12,,0,1)</f>
        <v>Saber</v>
      </c>
      <c r="B51" s="78" t="s">
        <v>84</v>
      </c>
      <c r="C51" s="142">
        <v>4</v>
      </c>
      <c r="D51" s="142" t="s">
        <v>303</v>
      </c>
      <c r="E51" s="150" t="s">
        <v>304</v>
      </c>
      <c r="F51" s="142" t="s">
        <v>222</v>
      </c>
      <c r="G51" s="142"/>
      <c r="H51" s="142" t="s">
        <v>223</v>
      </c>
      <c r="I51" s="142"/>
      <c r="J51" s="142">
        <v>3</v>
      </c>
      <c r="K51" s="142">
        <f>16*J51</f>
        <v>48</v>
      </c>
      <c r="L51" s="142">
        <f>32*J51</f>
        <v>96</v>
      </c>
      <c r="M51" s="142">
        <f>SUM(K51:L51)</f>
        <v>144</v>
      </c>
      <c r="N51" s="150" t="s">
        <v>305</v>
      </c>
      <c r="O51" s="150" t="s">
        <v>236</v>
      </c>
      <c r="P51" s="150" t="s">
        <v>237</v>
      </c>
      <c r="Q51" s="150" t="s">
        <v>227</v>
      </c>
      <c r="R51" s="109"/>
      <c r="S51" s="105"/>
    </row>
    <row r="52" spans="1:19" s="106" customFormat="1" ht="49.5">
      <c r="A52" s="106" t="str">
        <f>_xlfn.XLOOKUP(B52,'Paso 3 Redacción RA'!I$3:I$12,'Paso 3 Redacción RA'!C$3:C$12,,0,1)</f>
        <v>Saber</v>
      </c>
      <c r="B52" s="52" t="s">
        <v>90</v>
      </c>
      <c r="C52" s="143"/>
      <c r="D52" s="143"/>
      <c r="E52" s="133"/>
      <c r="F52" s="143"/>
      <c r="G52" s="143"/>
      <c r="H52" s="143"/>
      <c r="I52" s="143"/>
      <c r="J52" s="143"/>
      <c r="K52" s="143"/>
      <c r="L52" s="143"/>
      <c r="M52" s="143"/>
      <c r="N52" s="133"/>
      <c r="O52" s="133"/>
      <c r="P52" s="133"/>
      <c r="Q52" s="133"/>
      <c r="R52" s="109"/>
      <c r="S52" s="105"/>
    </row>
    <row r="53" spans="1:19" s="106" customFormat="1" ht="66">
      <c r="A53" s="106" t="str">
        <f>_xlfn.XLOOKUP(B53,'Paso 3 Redacción RA'!I$3:I$12,'Paso 3 Redacción RA'!C$3:C$12,,0,1)</f>
        <v>Saber</v>
      </c>
      <c r="B53" s="52" t="s">
        <v>94</v>
      </c>
      <c r="C53" s="143"/>
      <c r="D53" s="143"/>
      <c r="E53" s="133"/>
      <c r="F53" s="143"/>
      <c r="G53" s="143"/>
      <c r="H53" s="143"/>
      <c r="I53" s="143"/>
      <c r="J53" s="143"/>
      <c r="K53" s="143"/>
      <c r="L53" s="143"/>
      <c r="M53" s="143"/>
      <c r="N53" s="133"/>
      <c r="O53" s="133"/>
      <c r="P53" s="133"/>
      <c r="Q53" s="133"/>
      <c r="R53" s="109"/>
      <c r="S53" s="105"/>
    </row>
    <row r="54" spans="1:19" s="106" customFormat="1" ht="49.5">
      <c r="A54" s="106" t="str">
        <f>_xlfn.XLOOKUP(B54,'Paso 3 Redacción RA'!I$3:I$12,'Paso 3 Redacción RA'!C$3:C$12,,0,1)</f>
        <v>SaberHacer</v>
      </c>
      <c r="B54" s="52" t="s">
        <v>87</v>
      </c>
      <c r="C54" s="143"/>
      <c r="D54" s="143"/>
      <c r="E54" s="133"/>
      <c r="F54" s="143"/>
      <c r="G54" s="143"/>
      <c r="H54" s="143"/>
      <c r="I54" s="143"/>
      <c r="J54" s="143"/>
      <c r="K54" s="143"/>
      <c r="L54" s="143"/>
      <c r="M54" s="143"/>
      <c r="N54" s="133"/>
      <c r="O54" s="133"/>
      <c r="P54" s="133"/>
      <c r="Q54" s="133"/>
      <c r="R54" s="109"/>
      <c r="S54" s="105"/>
    </row>
    <row r="55" spans="1:19" s="106" customFormat="1" ht="33.6" thickBot="1">
      <c r="A55" s="107" t="str">
        <f>_xlfn.XLOOKUP(B55,'Paso 3 Redacción RA'!I$3:I$12,'Paso 3 Redacción RA'!C$3:C$12,,0,1)</f>
        <v>SaberHacer</v>
      </c>
      <c r="B55" s="77" t="s">
        <v>93</v>
      </c>
      <c r="C55" s="144"/>
      <c r="D55" s="144"/>
      <c r="E55" s="141"/>
      <c r="F55" s="144"/>
      <c r="G55" s="144"/>
      <c r="H55" s="144"/>
      <c r="I55" s="144"/>
      <c r="J55" s="144"/>
      <c r="K55" s="144"/>
      <c r="L55" s="144"/>
      <c r="M55" s="144"/>
      <c r="N55" s="141"/>
      <c r="O55" s="141"/>
      <c r="P55" s="141"/>
      <c r="Q55" s="141"/>
      <c r="R55" s="109"/>
      <c r="S55" s="105"/>
    </row>
    <row r="56" spans="1:19" s="106" customFormat="1" ht="66">
      <c r="A56" s="106" t="str">
        <f>_xlfn.XLOOKUP(B56,'Paso 3 Redacción RA'!I$3:I$12,'Paso 3 Redacción RA'!C$3:C$12,,0,1)</f>
        <v>Saber</v>
      </c>
      <c r="B56" s="78" t="s">
        <v>84</v>
      </c>
      <c r="C56" s="142">
        <v>4</v>
      </c>
      <c r="D56" s="142" t="s">
        <v>306</v>
      </c>
      <c r="E56" s="150" t="s">
        <v>307</v>
      </c>
      <c r="F56" s="142" t="s">
        <v>222</v>
      </c>
      <c r="G56" s="142"/>
      <c r="H56" s="142" t="s">
        <v>223</v>
      </c>
      <c r="I56" s="142"/>
      <c r="J56" s="142">
        <v>3</v>
      </c>
      <c r="K56" s="142">
        <f>16*J56</f>
        <v>48</v>
      </c>
      <c r="L56" s="142">
        <f>32*J56</f>
        <v>96</v>
      </c>
      <c r="M56" s="142">
        <f>SUM(K56:L56)</f>
        <v>144</v>
      </c>
      <c r="N56" s="150" t="s">
        <v>308</v>
      </c>
      <c r="O56" s="150" t="s">
        <v>236</v>
      </c>
      <c r="P56" s="150" t="s">
        <v>237</v>
      </c>
      <c r="Q56" s="150" t="s">
        <v>227</v>
      </c>
      <c r="R56" s="109"/>
      <c r="S56" s="105"/>
    </row>
    <row r="57" spans="1:19" s="106" customFormat="1" ht="49.5">
      <c r="A57" s="106" t="str">
        <f>_xlfn.XLOOKUP(B57,'Paso 3 Redacción RA'!I$3:I$12,'Paso 3 Redacción RA'!C$3:C$12,,0,1)</f>
        <v>Saber</v>
      </c>
      <c r="B57" s="52" t="s">
        <v>90</v>
      </c>
      <c r="C57" s="143"/>
      <c r="D57" s="143"/>
      <c r="E57" s="133"/>
      <c r="F57" s="143"/>
      <c r="G57" s="143"/>
      <c r="H57" s="143"/>
      <c r="I57" s="143"/>
      <c r="J57" s="143"/>
      <c r="K57" s="143"/>
      <c r="L57" s="143"/>
      <c r="M57" s="143"/>
      <c r="N57" s="133"/>
      <c r="O57" s="133"/>
      <c r="P57" s="133"/>
      <c r="Q57" s="133"/>
      <c r="R57" s="109"/>
      <c r="S57" s="105"/>
    </row>
    <row r="58" spans="1:19" s="106" customFormat="1" ht="66">
      <c r="A58" s="106" t="str">
        <f>_xlfn.XLOOKUP(B58,'Paso 3 Redacción RA'!I$3:I$12,'Paso 3 Redacción RA'!C$3:C$12,,0,1)</f>
        <v>Saber</v>
      </c>
      <c r="B58" s="52" t="s">
        <v>94</v>
      </c>
      <c r="C58" s="143"/>
      <c r="D58" s="143"/>
      <c r="E58" s="133"/>
      <c r="F58" s="143"/>
      <c r="G58" s="143"/>
      <c r="H58" s="143"/>
      <c r="I58" s="143"/>
      <c r="J58" s="143"/>
      <c r="K58" s="143"/>
      <c r="L58" s="143"/>
      <c r="M58" s="143"/>
      <c r="N58" s="133"/>
      <c r="O58" s="133"/>
      <c r="P58" s="133"/>
      <c r="Q58" s="133"/>
      <c r="R58" s="109"/>
      <c r="S58" s="105"/>
    </row>
    <row r="59" spans="1:19" s="106" customFormat="1" ht="49.5">
      <c r="A59" s="106" t="str">
        <f>_xlfn.XLOOKUP(B59,'Paso 3 Redacción RA'!I$3:I$12,'Paso 3 Redacción RA'!C$3:C$12,,0,1)</f>
        <v>SaberHacer</v>
      </c>
      <c r="B59" s="52" t="s">
        <v>87</v>
      </c>
      <c r="C59" s="143"/>
      <c r="D59" s="143"/>
      <c r="E59" s="133"/>
      <c r="F59" s="143"/>
      <c r="G59" s="143"/>
      <c r="H59" s="143"/>
      <c r="I59" s="143"/>
      <c r="J59" s="143"/>
      <c r="K59" s="143"/>
      <c r="L59" s="143"/>
      <c r="M59" s="143"/>
      <c r="N59" s="133"/>
      <c r="O59" s="133"/>
      <c r="P59" s="133"/>
      <c r="Q59" s="133"/>
      <c r="R59" s="109"/>
      <c r="S59" s="105"/>
    </row>
    <row r="60" spans="1:19" s="106" customFormat="1" ht="33.6" thickBot="1">
      <c r="A60" s="107" t="str">
        <f>_xlfn.XLOOKUP(B60,'Paso 3 Redacción RA'!I$3:I$12,'Paso 3 Redacción RA'!C$3:C$12,,0,1)</f>
        <v>SaberHacer</v>
      </c>
      <c r="B60" s="77" t="s">
        <v>93</v>
      </c>
      <c r="C60" s="144"/>
      <c r="D60" s="144"/>
      <c r="E60" s="141"/>
      <c r="F60" s="144"/>
      <c r="G60" s="144"/>
      <c r="H60" s="144"/>
      <c r="I60" s="144"/>
      <c r="J60" s="144"/>
      <c r="K60" s="144"/>
      <c r="L60" s="144"/>
      <c r="M60" s="144"/>
      <c r="N60" s="141"/>
      <c r="O60" s="141"/>
      <c r="P60" s="141"/>
      <c r="Q60" s="141"/>
      <c r="R60" s="109"/>
      <c r="S60" s="105"/>
    </row>
    <row r="61" spans="1:19" s="106" customFormat="1" ht="66">
      <c r="A61" s="108" t="str">
        <f>_xlfn.XLOOKUP(B61,'Paso 3 Redacción RA'!I$3:I$12,'Paso 3 Redacción RA'!C$3:C$12,,0,1)</f>
        <v>Saber</v>
      </c>
      <c r="B61" s="78" t="s">
        <v>84</v>
      </c>
      <c r="C61" s="142">
        <v>4</v>
      </c>
      <c r="D61" s="142" t="s">
        <v>309</v>
      </c>
      <c r="E61" s="150" t="s">
        <v>310</v>
      </c>
      <c r="F61" s="142" t="s">
        <v>222</v>
      </c>
      <c r="G61" s="142"/>
      <c r="H61" s="142" t="s">
        <v>223</v>
      </c>
      <c r="I61" s="142"/>
      <c r="J61" s="142">
        <v>3</v>
      </c>
      <c r="K61" s="142">
        <f>16*J61</f>
        <v>48</v>
      </c>
      <c r="L61" s="142">
        <f>32*J61</f>
        <v>96</v>
      </c>
      <c r="M61" s="142">
        <f>SUM(K61:L61)</f>
        <v>144</v>
      </c>
      <c r="N61" s="150" t="s">
        <v>311</v>
      </c>
      <c r="O61" s="150" t="s">
        <v>297</v>
      </c>
      <c r="P61" s="150" t="s">
        <v>298</v>
      </c>
      <c r="Q61" s="150" t="s">
        <v>227</v>
      </c>
      <c r="R61" s="109"/>
      <c r="S61" s="105"/>
    </row>
    <row r="62" spans="1:19" s="106" customFormat="1" ht="49.5">
      <c r="A62" s="106" t="str">
        <f>_xlfn.XLOOKUP(B62,'Paso 3 Redacción RA'!I$3:I$12,'Paso 3 Redacción RA'!C$3:C$12,,0,1)</f>
        <v>Saber</v>
      </c>
      <c r="B62" s="52" t="s">
        <v>90</v>
      </c>
      <c r="C62" s="143"/>
      <c r="D62" s="143"/>
      <c r="E62" s="133"/>
      <c r="F62" s="143"/>
      <c r="G62" s="143"/>
      <c r="H62" s="143"/>
      <c r="I62" s="143"/>
      <c r="J62" s="143"/>
      <c r="K62" s="143"/>
      <c r="L62" s="143"/>
      <c r="M62" s="143"/>
      <c r="N62" s="133"/>
      <c r="O62" s="133"/>
      <c r="P62" s="133"/>
      <c r="Q62" s="133"/>
      <c r="R62" s="109"/>
      <c r="S62" s="105"/>
    </row>
    <row r="63" spans="1:19" s="106" customFormat="1" ht="66.599999999999994" thickBot="1">
      <c r="A63" s="107" t="str">
        <f>_xlfn.XLOOKUP(B63,'Paso 3 Redacción RA'!I$3:I$12,'Paso 3 Redacción RA'!C$3:C$12,,0,1)</f>
        <v>Saber</v>
      </c>
      <c r="B63" s="77" t="s">
        <v>94</v>
      </c>
      <c r="C63" s="144"/>
      <c r="D63" s="144"/>
      <c r="E63" s="141"/>
      <c r="F63" s="143"/>
      <c r="G63" s="143"/>
      <c r="H63" s="143"/>
      <c r="I63" s="143"/>
      <c r="J63" s="143"/>
      <c r="K63" s="143"/>
      <c r="L63" s="143"/>
      <c r="M63" s="144"/>
      <c r="N63" s="133"/>
      <c r="O63" s="133"/>
      <c r="P63" s="133"/>
      <c r="Q63" s="133"/>
      <c r="R63" s="109">
        <f>SUM(J44:J63)</f>
        <v>18</v>
      </c>
      <c r="S63" s="105">
        <f>COUNTA(D44:D63)</f>
        <v>6</v>
      </c>
    </row>
    <row r="64" spans="1:19" s="106" customFormat="1" ht="57.75">
      <c r="A64" s="108" t="str">
        <f>_xlfn.XLOOKUP(B64,'Paso 3 Redacción RA'!I$3:I$12,'Paso 3 Redacción RA'!C$3:C$12,,0,1)</f>
        <v>Saber</v>
      </c>
      <c r="B64" s="78" t="s">
        <v>84</v>
      </c>
      <c r="C64" s="142">
        <v>5</v>
      </c>
      <c r="D64" s="142" t="s">
        <v>312</v>
      </c>
      <c r="E64" s="150" t="s">
        <v>313</v>
      </c>
      <c r="F64" s="142" t="s">
        <v>314</v>
      </c>
      <c r="G64" s="142"/>
      <c r="H64" s="142" t="s">
        <v>223</v>
      </c>
      <c r="I64" s="142"/>
      <c r="J64" s="142">
        <v>3</v>
      </c>
      <c r="K64" s="142">
        <f>16*J64</f>
        <v>48</v>
      </c>
      <c r="L64" s="142">
        <f>32*J64</f>
        <v>96</v>
      </c>
      <c r="M64" s="142">
        <f>SUM(K64:L64)</f>
        <v>144</v>
      </c>
      <c r="N64" s="150" t="s">
        <v>315</v>
      </c>
      <c r="O64" s="150" t="s">
        <v>236</v>
      </c>
      <c r="P64" s="150" t="s">
        <v>237</v>
      </c>
      <c r="Q64" s="150" t="s">
        <v>227</v>
      </c>
      <c r="R64" s="109"/>
      <c r="S64" s="105"/>
    </row>
    <row r="65" spans="1:19" s="106" customFormat="1" ht="42.75">
      <c r="A65" s="106" t="str">
        <f>_xlfn.XLOOKUP(B65,'Paso 3 Redacción RA'!I$3:I$12,'Paso 3 Redacción RA'!C$3:C$12,,0,1)</f>
        <v>Saber</v>
      </c>
      <c r="B65" s="52" t="s">
        <v>90</v>
      </c>
      <c r="C65" s="143"/>
      <c r="D65" s="143"/>
      <c r="E65" s="133"/>
      <c r="F65" s="143"/>
      <c r="G65" s="143"/>
      <c r="H65" s="143"/>
      <c r="I65" s="143"/>
      <c r="J65" s="143"/>
      <c r="K65" s="143"/>
      <c r="L65" s="143"/>
      <c r="M65" s="143"/>
      <c r="N65" s="133"/>
      <c r="O65" s="133"/>
      <c r="P65" s="133"/>
      <c r="Q65" s="133"/>
      <c r="R65" s="109"/>
      <c r="S65" s="105"/>
    </row>
    <row r="66" spans="1:19" s="106" customFormat="1" ht="57.75">
      <c r="A66" s="107" t="str">
        <f>_xlfn.XLOOKUP(B66,'Paso 3 Redacción RA'!I$3:I$12,'Paso 3 Redacción RA'!C$3:C$12,,0,1)</f>
        <v>Saber</v>
      </c>
      <c r="B66" s="77" t="s">
        <v>94</v>
      </c>
      <c r="C66" s="144"/>
      <c r="D66" s="144"/>
      <c r="E66" s="141"/>
      <c r="F66" s="144"/>
      <c r="G66" s="144"/>
      <c r="H66" s="144"/>
      <c r="I66" s="144"/>
      <c r="J66" s="144"/>
      <c r="K66" s="144"/>
      <c r="L66" s="144"/>
      <c r="M66" s="144"/>
      <c r="N66" s="141"/>
      <c r="O66" s="141"/>
      <c r="P66" s="141"/>
      <c r="Q66" s="141"/>
      <c r="R66" s="109"/>
      <c r="S66" s="105"/>
    </row>
    <row r="67" spans="1:19" s="106" customFormat="1" ht="66">
      <c r="A67" s="108" t="str">
        <f>_xlfn.XLOOKUP(B67,'Paso 3 Redacción RA'!I$3:I$12,'Paso 3 Redacción RA'!C$3:C$12,,0,1)</f>
        <v>Saber</v>
      </c>
      <c r="B67" s="78" t="s">
        <v>84</v>
      </c>
      <c r="C67" s="142">
        <v>5</v>
      </c>
      <c r="D67" s="142" t="s">
        <v>316</v>
      </c>
      <c r="E67" s="150" t="s">
        <v>317</v>
      </c>
      <c r="F67" s="142" t="s">
        <v>222</v>
      </c>
      <c r="G67" s="142"/>
      <c r="H67" s="142" t="s">
        <v>223</v>
      </c>
      <c r="I67" s="142"/>
      <c r="J67" s="142">
        <v>3</v>
      </c>
      <c r="K67" s="142">
        <f>16*J67</f>
        <v>48</v>
      </c>
      <c r="L67" s="142">
        <f>32*J67</f>
        <v>96</v>
      </c>
      <c r="M67" s="142">
        <f>SUM(K67:L67)</f>
        <v>144</v>
      </c>
      <c r="N67" s="150" t="s">
        <v>318</v>
      </c>
      <c r="O67" s="150" t="s">
        <v>297</v>
      </c>
      <c r="P67" s="150" t="s">
        <v>298</v>
      </c>
      <c r="Q67" s="150" t="s">
        <v>227</v>
      </c>
      <c r="R67" s="109"/>
      <c r="S67" s="105"/>
    </row>
    <row r="68" spans="1:19" s="106" customFormat="1" ht="66">
      <c r="A68" s="106" t="str">
        <f>_xlfn.XLOOKUP(B68,'Paso 3 Redacción RA'!I$3:I$12,'Paso 3 Redacción RA'!C$3:C$12,,0,1)</f>
        <v>Saber</v>
      </c>
      <c r="B68" s="52" t="s">
        <v>94</v>
      </c>
      <c r="C68" s="143"/>
      <c r="D68" s="143"/>
      <c r="E68" s="133"/>
      <c r="F68" s="143"/>
      <c r="G68" s="143"/>
      <c r="H68" s="143"/>
      <c r="I68" s="143"/>
      <c r="J68" s="143"/>
      <c r="K68" s="143"/>
      <c r="L68" s="143"/>
      <c r="M68" s="143"/>
      <c r="N68" s="133"/>
      <c r="O68" s="133"/>
      <c r="P68" s="133"/>
      <c r="Q68" s="133"/>
      <c r="R68" s="109"/>
      <c r="S68" s="105"/>
    </row>
    <row r="69" spans="1:19" s="106" customFormat="1" ht="50.1" thickBot="1">
      <c r="A69" s="107" t="str">
        <f>_xlfn.XLOOKUP(B69,'Paso 3 Redacción RA'!I$3:I$12,'Paso 3 Redacción RA'!C$3:C$12,,0,1)</f>
        <v>SaberHacer</v>
      </c>
      <c r="B69" s="77" t="s">
        <v>87</v>
      </c>
      <c r="C69" s="144"/>
      <c r="D69" s="144"/>
      <c r="E69" s="141"/>
      <c r="F69" s="144"/>
      <c r="G69" s="144"/>
      <c r="H69" s="144"/>
      <c r="I69" s="144"/>
      <c r="J69" s="144"/>
      <c r="K69" s="144"/>
      <c r="L69" s="144"/>
      <c r="M69" s="144"/>
      <c r="N69" s="141"/>
      <c r="O69" s="141"/>
      <c r="P69" s="141"/>
      <c r="Q69" s="141"/>
      <c r="R69" s="109"/>
      <c r="S69" s="105"/>
    </row>
    <row r="70" spans="1:19" s="106" customFormat="1" ht="66">
      <c r="A70" s="108" t="str">
        <f>_xlfn.XLOOKUP(B70,'Paso 3 Redacción RA'!I$3:I$12,'Paso 3 Redacción RA'!C$3:C$12,,0,1)</f>
        <v>Saber</v>
      </c>
      <c r="B70" s="78" t="s">
        <v>84</v>
      </c>
      <c r="C70" s="142">
        <v>5</v>
      </c>
      <c r="D70" s="142" t="s">
        <v>319</v>
      </c>
      <c r="E70" s="150" t="s">
        <v>320</v>
      </c>
      <c r="F70" s="142" t="s">
        <v>222</v>
      </c>
      <c r="G70" s="142"/>
      <c r="H70" s="142" t="s">
        <v>223</v>
      </c>
      <c r="I70" s="142"/>
      <c r="J70" s="142">
        <v>3</v>
      </c>
      <c r="K70" s="142">
        <f>16*J70</f>
        <v>48</v>
      </c>
      <c r="L70" s="142">
        <f>32*J70</f>
        <v>96</v>
      </c>
      <c r="M70" s="142">
        <f>SUM(K70:L70)</f>
        <v>144</v>
      </c>
      <c r="N70" s="150" t="s">
        <v>321</v>
      </c>
      <c r="O70" s="150" t="s">
        <v>302</v>
      </c>
      <c r="P70" s="150" t="s">
        <v>237</v>
      </c>
      <c r="Q70" s="150" t="s">
        <v>227</v>
      </c>
      <c r="R70" s="109"/>
      <c r="S70" s="105"/>
    </row>
    <row r="71" spans="1:19" s="106" customFormat="1" ht="49.5">
      <c r="A71" s="106" t="str">
        <f>_xlfn.XLOOKUP(B71,'Paso 3 Redacción RA'!I$3:I$12,'Paso 3 Redacción RA'!C$3:C$12,,0,1)</f>
        <v>Saber</v>
      </c>
      <c r="B71" s="52" t="s">
        <v>90</v>
      </c>
      <c r="C71" s="143"/>
      <c r="D71" s="143"/>
      <c r="E71" s="133"/>
      <c r="F71" s="143"/>
      <c r="G71" s="143"/>
      <c r="H71" s="143"/>
      <c r="I71" s="143"/>
      <c r="J71" s="143"/>
      <c r="K71" s="143"/>
      <c r="L71" s="143"/>
      <c r="M71" s="143"/>
      <c r="N71" s="133"/>
      <c r="O71" s="133"/>
      <c r="P71" s="133"/>
      <c r="Q71" s="133"/>
      <c r="R71" s="109"/>
      <c r="S71" s="105"/>
    </row>
    <row r="72" spans="1:19" s="106" customFormat="1" ht="66">
      <c r="A72" s="106" t="str">
        <f>_xlfn.XLOOKUP(B72,'Paso 3 Redacción RA'!I$3:I$12,'Paso 3 Redacción RA'!C$3:C$12,,0,1)</f>
        <v>Saber</v>
      </c>
      <c r="B72" s="52" t="s">
        <v>94</v>
      </c>
      <c r="C72" s="143"/>
      <c r="D72" s="143"/>
      <c r="E72" s="133"/>
      <c r="F72" s="143"/>
      <c r="G72" s="143"/>
      <c r="H72" s="143"/>
      <c r="I72" s="143"/>
      <c r="J72" s="143"/>
      <c r="K72" s="143"/>
      <c r="L72" s="143"/>
      <c r="M72" s="143"/>
      <c r="N72" s="133"/>
      <c r="O72" s="133"/>
      <c r="P72" s="133"/>
      <c r="Q72" s="133"/>
      <c r="R72" s="109"/>
      <c r="S72" s="105"/>
    </row>
    <row r="73" spans="1:19" s="106" customFormat="1" ht="50.1" thickBot="1">
      <c r="A73" s="107" t="str">
        <f>_xlfn.XLOOKUP(B73,'Paso 3 Redacción RA'!I$3:I$12,'Paso 3 Redacción RA'!C$3:C$12,,0,1)</f>
        <v>SaberHacer</v>
      </c>
      <c r="B73" s="77" t="s">
        <v>87</v>
      </c>
      <c r="C73" s="144"/>
      <c r="D73" s="144"/>
      <c r="E73" s="141"/>
      <c r="F73" s="144"/>
      <c r="G73" s="144"/>
      <c r="H73" s="144"/>
      <c r="I73" s="144"/>
      <c r="J73" s="144"/>
      <c r="K73" s="144"/>
      <c r="L73" s="144"/>
      <c r="M73" s="144"/>
      <c r="N73" s="141"/>
      <c r="O73" s="141"/>
      <c r="P73" s="141"/>
      <c r="Q73" s="141"/>
      <c r="R73" s="109"/>
      <c r="S73" s="105"/>
    </row>
    <row r="74" spans="1:19" s="106" customFormat="1" ht="66">
      <c r="A74" s="108" t="str">
        <f>_xlfn.XLOOKUP(B74,'Paso 3 Redacción RA'!I$3:I$12,'Paso 3 Redacción RA'!C$3:C$12,,0,1)</f>
        <v>Saber</v>
      </c>
      <c r="B74" s="78" t="s">
        <v>84</v>
      </c>
      <c r="C74" s="142">
        <v>5</v>
      </c>
      <c r="D74" s="142" t="s">
        <v>322</v>
      </c>
      <c r="E74" s="150" t="s">
        <v>323</v>
      </c>
      <c r="F74" s="142" t="s">
        <v>222</v>
      </c>
      <c r="G74" s="142"/>
      <c r="H74" s="142" t="s">
        <v>223</v>
      </c>
      <c r="I74" s="142"/>
      <c r="J74" s="142">
        <v>3</v>
      </c>
      <c r="K74" s="142">
        <f>16*J74</f>
        <v>48</v>
      </c>
      <c r="L74" s="142">
        <f>32*J74</f>
        <v>96</v>
      </c>
      <c r="M74" s="142">
        <f>SUM(K74:L74)</f>
        <v>144</v>
      </c>
      <c r="N74" s="150" t="s">
        <v>324</v>
      </c>
      <c r="O74" s="150" t="s">
        <v>236</v>
      </c>
      <c r="P74" s="150" t="s">
        <v>237</v>
      </c>
      <c r="Q74" s="150" t="s">
        <v>227</v>
      </c>
      <c r="R74" s="109"/>
      <c r="S74" s="105"/>
    </row>
    <row r="75" spans="1:19" s="106" customFormat="1" ht="49.5">
      <c r="A75" s="106" t="str">
        <f>_xlfn.XLOOKUP(B75,'Paso 3 Redacción RA'!I$3:I$12,'Paso 3 Redacción RA'!C$3:C$12,,0,1)</f>
        <v>Saber</v>
      </c>
      <c r="B75" s="52" t="s">
        <v>90</v>
      </c>
      <c r="C75" s="143"/>
      <c r="D75" s="143"/>
      <c r="E75" s="133"/>
      <c r="F75" s="143"/>
      <c r="G75" s="143"/>
      <c r="H75" s="143"/>
      <c r="I75" s="143"/>
      <c r="J75" s="143"/>
      <c r="K75" s="143"/>
      <c r="L75" s="143"/>
      <c r="M75" s="143"/>
      <c r="N75" s="133"/>
      <c r="O75" s="133"/>
      <c r="P75" s="133"/>
      <c r="Q75" s="133"/>
      <c r="R75" s="109"/>
      <c r="S75" s="105"/>
    </row>
    <row r="76" spans="1:19" s="106" customFormat="1" ht="66">
      <c r="A76" s="106" t="str">
        <f>_xlfn.XLOOKUP(B76,'Paso 3 Redacción RA'!I$3:I$12,'Paso 3 Redacción RA'!C$3:C$12,,0,1)</f>
        <v>Saber</v>
      </c>
      <c r="B76" s="52" t="s">
        <v>94</v>
      </c>
      <c r="C76" s="143"/>
      <c r="D76" s="143"/>
      <c r="E76" s="133"/>
      <c r="F76" s="143"/>
      <c r="G76" s="143"/>
      <c r="H76" s="143"/>
      <c r="I76" s="143"/>
      <c r="J76" s="143"/>
      <c r="K76" s="143"/>
      <c r="L76" s="143"/>
      <c r="M76" s="143"/>
      <c r="N76" s="133"/>
      <c r="O76" s="133"/>
      <c r="P76" s="133"/>
      <c r="Q76" s="133"/>
      <c r="R76" s="109"/>
      <c r="S76" s="105"/>
    </row>
    <row r="77" spans="1:19" s="106" customFormat="1" ht="49.5">
      <c r="A77" s="106" t="str">
        <f>_xlfn.XLOOKUP(B77,'Paso 3 Redacción RA'!I$3:I$12,'Paso 3 Redacción RA'!C$3:C$12,,0,1)</f>
        <v>SaberHacer</v>
      </c>
      <c r="B77" s="52" t="s">
        <v>87</v>
      </c>
      <c r="C77" s="143"/>
      <c r="D77" s="143"/>
      <c r="E77" s="133"/>
      <c r="F77" s="143"/>
      <c r="G77" s="143"/>
      <c r="H77" s="143"/>
      <c r="I77" s="143"/>
      <c r="J77" s="143"/>
      <c r="K77" s="143"/>
      <c r="L77" s="143"/>
      <c r="M77" s="143"/>
      <c r="N77" s="133"/>
      <c r="O77" s="133"/>
      <c r="P77" s="133"/>
      <c r="Q77" s="133"/>
      <c r="R77" s="109"/>
      <c r="S77" s="105"/>
    </row>
    <row r="78" spans="1:19" s="106" customFormat="1" ht="33.6" thickBot="1">
      <c r="A78" s="107" t="str">
        <f>_xlfn.XLOOKUP(B78,'Paso 3 Redacción RA'!I$3:I$12,'Paso 3 Redacción RA'!C$3:C$12,,0,1)</f>
        <v>SaberHacer</v>
      </c>
      <c r="B78" s="77" t="s">
        <v>93</v>
      </c>
      <c r="C78" s="144"/>
      <c r="D78" s="144"/>
      <c r="E78" s="141"/>
      <c r="F78" s="144"/>
      <c r="G78" s="144"/>
      <c r="H78" s="144"/>
      <c r="I78" s="144"/>
      <c r="J78" s="144"/>
      <c r="K78" s="144"/>
      <c r="L78" s="144"/>
      <c r="M78" s="144"/>
      <c r="N78" s="141"/>
      <c r="O78" s="141"/>
      <c r="P78" s="141"/>
      <c r="Q78" s="141"/>
      <c r="R78" s="109"/>
      <c r="S78" s="105"/>
    </row>
    <row r="79" spans="1:19" s="106" customFormat="1" ht="66">
      <c r="A79" s="108" t="str">
        <f>_xlfn.XLOOKUP(B79,'Paso 3 Redacción RA'!I$3:I$12,'Paso 3 Redacción RA'!C$3:C$12,,0,1)</f>
        <v>Saber</v>
      </c>
      <c r="B79" s="78" t="s">
        <v>84</v>
      </c>
      <c r="C79" s="142">
        <v>5</v>
      </c>
      <c r="D79" s="142" t="s">
        <v>325</v>
      </c>
      <c r="E79" s="150" t="s">
        <v>326</v>
      </c>
      <c r="F79" s="142" t="s">
        <v>222</v>
      </c>
      <c r="G79" s="142"/>
      <c r="H79" s="142" t="s">
        <v>223</v>
      </c>
      <c r="I79" s="142"/>
      <c r="J79" s="142">
        <v>3</v>
      </c>
      <c r="K79" s="142">
        <f>16*J79</f>
        <v>48</v>
      </c>
      <c r="L79" s="142">
        <f>32*J79</f>
        <v>96</v>
      </c>
      <c r="M79" s="142">
        <f>SUM(K79:L79)</f>
        <v>144</v>
      </c>
      <c r="N79" s="150" t="s">
        <v>327</v>
      </c>
      <c r="O79" s="150" t="s">
        <v>236</v>
      </c>
      <c r="P79" s="150" t="s">
        <v>237</v>
      </c>
      <c r="Q79" s="150" t="s">
        <v>227</v>
      </c>
      <c r="R79" s="109"/>
      <c r="S79" s="105"/>
    </row>
    <row r="80" spans="1:19" s="106" customFormat="1" ht="49.5">
      <c r="A80" s="106" t="str">
        <f>_xlfn.XLOOKUP(B80,'Paso 3 Redacción RA'!I$3:I$12,'Paso 3 Redacción RA'!C$3:C$12,,0,1)</f>
        <v>Saber</v>
      </c>
      <c r="B80" s="52" t="s">
        <v>90</v>
      </c>
      <c r="C80" s="143"/>
      <c r="D80" s="143"/>
      <c r="E80" s="133"/>
      <c r="F80" s="143"/>
      <c r="G80" s="143"/>
      <c r="H80" s="143"/>
      <c r="I80" s="143"/>
      <c r="J80" s="143"/>
      <c r="K80" s="143"/>
      <c r="L80" s="143"/>
      <c r="M80" s="143"/>
      <c r="N80" s="133"/>
      <c r="O80" s="133"/>
      <c r="P80" s="133"/>
      <c r="Q80" s="133"/>
      <c r="R80" s="109"/>
      <c r="S80" s="105"/>
    </row>
    <row r="81" spans="1:19" s="106" customFormat="1" ht="66">
      <c r="A81" s="106" t="str">
        <f>_xlfn.XLOOKUP(B81,'Paso 3 Redacción RA'!I$3:I$12,'Paso 3 Redacción RA'!C$3:C$12,,0,1)</f>
        <v>Saber</v>
      </c>
      <c r="B81" s="52" t="s">
        <v>94</v>
      </c>
      <c r="C81" s="143"/>
      <c r="D81" s="143"/>
      <c r="E81" s="133"/>
      <c r="F81" s="143"/>
      <c r="G81" s="143"/>
      <c r="H81" s="143"/>
      <c r="I81" s="143"/>
      <c r="J81" s="143"/>
      <c r="K81" s="143"/>
      <c r="L81" s="143"/>
      <c r="M81" s="143"/>
      <c r="N81" s="133"/>
      <c r="O81" s="133"/>
      <c r="P81" s="133"/>
      <c r="Q81" s="133"/>
      <c r="R81" s="109"/>
      <c r="S81" s="105"/>
    </row>
    <row r="82" spans="1:19" s="106" customFormat="1" ht="49.5">
      <c r="A82" s="106" t="str">
        <f>_xlfn.XLOOKUP(B82,'Paso 3 Redacción RA'!I$3:I$12,'Paso 3 Redacción RA'!C$3:C$12,,0,1)</f>
        <v>SaberHacer</v>
      </c>
      <c r="B82" s="52" t="s">
        <v>87</v>
      </c>
      <c r="C82" s="143"/>
      <c r="D82" s="143"/>
      <c r="E82" s="133"/>
      <c r="F82" s="143"/>
      <c r="G82" s="143"/>
      <c r="H82" s="143"/>
      <c r="I82" s="143"/>
      <c r="J82" s="143"/>
      <c r="K82" s="143"/>
      <c r="L82" s="143"/>
      <c r="M82" s="143"/>
      <c r="N82" s="133"/>
      <c r="O82" s="133"/>
      <c r="P82" s="133"/>
      <c r="Q82" s="133"/>
      <c r="R82" s="109"/>
      <c r="S82" s="105"/>
    </row>
    <row r="83" spans="1:19" s="106" customFormat="1" ht="33.6" thickBot="1">
      <c r="A83" s="107" t="str">
        <f>_xlfn.XLOOKUP(B83,'Paso 3 Redacción RA'!I$3:I$12,'Paso 3 Redacción RA'!C$3:C$12,,0,1)</f>
        <v>SaberHacer</v>
      </c>
      <c r="B83" s="77" t="s">
        <v>93</v>
      </c>
      <c r="C83" s="144"/>
      <c r="D83" s="144"/>
      <c r="E83" s="141"/>
      <c r="F83" s="143"/>
      <c r="G83" s="143"/>
      <c r="H83" s="143"/>
      <c r="I83" s="143"/>
      <c r="J83" s="143"/>
      <c r="K83" s="143"/>
      <c r="L83" s="143"/>
      <c r="M83" s="143"/>
      <c r="N83" s="133"/>
      <c r="O83" s="133"/>
      <c r="P83" s="133"/>
      <c r="Q83" s="133"/>
      <c r="R83" s="109"/>
      <c r="S83" s="105"/>
    </row>
    <row r="84" spans="1:19" s="106" customFormat="1" ht="66">
      <c r="A84" s="108" t="str">
        <f>_xlfn.XLOOKUP(B84,'Paso 3 Redacción RA'!I$3:I$12,'Paso 3 Redacción RA'!C$3:C$12,,0,1)</f>
        <v>Saber</v>
      </c>
      <c r="B84" s="78" t="s">
        <v>84</v>
      </c>
      <c r="C84" s="142">
        <v>5</v>
      </c>
      <c r="D84" s="142" t="s">
        <v>328</v>
      </c>
      <c r="E84" s="150" t="s">
        <v>329</v>
      </c>
      <c r="F84" s="142" t="s">
        <v>222</v>
      </c>
      <c r="G84" s="142"/>
      <c r="H84" s="142" t="s">
        <v>223</v>
      </c>
      <c r="I84" s="142"/>
      <c r="J84" s="142">
        <v>3</v>
      </c>
      <c r="K84" s="142">
        <f>16*J84</f>
        <v>48</v>
      </c>
      <c r="L84" s="142">
        <f>32*J84</f>
        <v>96</v>
      </c>
      <c r="M84" s="142">
        <f>SUM(K84:L84)</f>
        <v>144</v>
      </c>
      <c r="N84" s="150" t="s">
        <v>330</v>
      </c>
      <c r="O84" s="150" t="s">
        <v>236</v>
      </c>
      <c r="P84" s="150" t="s">
        <v>237</v>
      </c>
      <c r="Q84" s="150" t="s">
        <v>227</v>
      </c>
      <c r="R84" s="109"/>
      <c r="S84" s="105"/>
    </row>
    <row r="85" spans="1:19" s="106" customFormat="1" ht="49.5">
      <c r="A85" s="106" t="str">
        <f>_xlfn.XLOOKUP(B85,'Paso 3 Redacción RA'!I$3:I$12,'Paso 3 Redacción RA'!C$3:C$12,,0,1)</f>
        <v>Saber</v>
      </c>
      <c r="B85" s="52" t="s">
        <v>90</v>
      </c>
      <c r="C85" s="143"/>
      <c r="D85" s="143"/>
      <c r="E85" s="133"/>
      <c r="F85" s="143"/>
      <c r="G85" s="143"/>
      <c r="H85" s="143"/>
      <c r="I85" s="143"/>
      <c r="J85" s="143"/>
      <c r="K85" s="143"/>
      <c r="L85" s="143"/>
      <c r="M85" s="143"/>
      <c r="N85" s="133"/>
      <c r="O85" s="133"/>
      <c r="P85" s="133"/>
      <c r="Q85" s="133"/>
      <c r="R85" s="109"/>
      <c r="S85" s="105"/>
    </row>
    <row r="86" spans="1:19" s="106" customFormat="1" ht="66">
      <c r="A86" s="106" t="str">
        <f>_xlfn.XLOOKUP(B86,'Paso 3 Redacción RA'!I$3:I$12,'Paso 3 Redacción RA'!C$3:C$12,,0,1)</f>
        <v>Saber</v>
      </c>
      <c r="B86" s="52" t="s">
        <v>94</v>
      </c>
      <c r="C86" s="143"/>
      <c r="D86" s="143"/>
      <c r="E86" s="133"/>
      <c r="F86" s="143"/>
      <c r="G86" s="143"/>
      <c r="H86" s="143"/>
      <c r="I86" s="143"/>
      <c r="J86" s="143"/>
      <c r="K86" s="143"/>
      <c r="L86" s="143"/>
      <c r="M86" s="143"/>
      <c r="N86" s="133"/>
      <c r="O86" s="133"/>
      <c r="P86" s="133"/>
      <c r="Q86" s="133"/>
      <c r="R86" s="109"/>
      <c r="S86" s="105"/>
    </row>
    <row r="87" spans="1:19" s="106" customFormat="1" ht="49.5">
      <c r="A87" s="106" t="str">
        <f>_xlfn.XLOOKUP(B87,'Paso 3 Redacción RA'!I$3:I$12,'Paso 3 Redacción RA'!C$3:C$12,,0,1)</f>
        <v>SaberHacer</v>
      </c>
      <c r="B87" s="52" t="s">
        <v>87</v>
      </c>
      <c r="C87" s="143"/>
      <c r="D87" s="143"/>
      <c r="E87" s="133"/>
      <c r="F87" s="143"/>
      <c r="G87" s="143"/>
      <c r="H87" s="143"/>
      <c r="I87" s="143"/>
      <c r="J87" s="143"/>
      <c r="K87" s="143"/>
      <c r="L87" s="143"/>
      <c r="M87" s="143"/>
      <c r="N87" s="133"/>
      <c r="O87" s="133"/>
      <c r="P87" s="133"/>
      <c r="Q87" s="133"/>
      <c r="R87" s="109"/>
      <c r="S87" s="105"/>
    </row>
    <row r="88" spans="1:19" s="106" customFormat="1" ht="33.6" thickBot="1">
      <c r="A88" s="107" t="str">
        <f>_xlfn.XLOOKUP(B88,'Paso 3 Redacción RA'!I$3:I$12,'Paso 3 Redacción RA'!C$3:C$12,,0,1)</f>
        <v>SaberHacer</v>
      </c>
      <c r="B88" s="77" t="s">
        <v>93</v>
      </c>
      <c r="C88" s="144"/>
      <c r="D88" s="144"/>
      <c r="E88" s="141"/>
      <c r="F88" s="144"/>
      <c r="G88" s="144"/>
      <c r="H88" s="144"/>
      <c r="I88" s="144"/>
      <c r="J88" s="144"/>
      <c r="K88" s="144"/>
      <c r="L88" s="144"/>
      <c r="M88" s="144"/>
      <c r="N88" s="141"/>
      <c r="O88" s="141"/>
      <c r="P88" s="141"/>
      <c r="Q88" s="141"/>
      <c r="R88" s="109">
        <f>SUM(J64:J88)</f>
        <v>18</v>
      </c>
      <c r="S88" s="105">
        <f>COUNTA(D64:D88)</f>
        <v>6</v>
      </c>
    </row>
    <row r="89" spans="1:19" s="106" customFormat="1" ht="57.75">
      <c r="A89" s="106" t="str">
        <f>_xlfn.XLOOKUP(B89,'Paso 3 Redacción RA'!I$3:I$12,'Paso 3 Redacción RA'!C$3:C$12,,0,1)</f>
        <v>Saber</v>
      </c>
      <c r="B89" s="78" t="s">
        <v>84</v>
      </c>
      <c r="C89" s="142">
        <v>6</v>
      </c>
      <c r="D89" s="142" t="s">
        <v>331</v>
      </c>
      <c r="E89" s="150" t="s">
        <v>332</v>
      </c>
      <c r="F89" s="142" t="s">
        <v>222</v>
      </c>
      <c r="G89" s="142"/>
      <c r="H89" s="142" t="s">
        <v>223</v>
      </c>
      <c r="I89" s="142"/>
      <c r="J89" s="142">
        <v>3</v>
      </c>
      <c r="K89" s="142">
        <f>16*J89</f>
        <v>48</v>
      </c>
      <c r="L89" s="142">
        <f>32*J89</f>
        <v>96</v>
      </c>
      <c r="M89" s="142">
        <f>SUM(K89:L89)</f>
        <v>144</v>
      </c>
      <c r="N89" s="150" t="s">
        <v>333</v>
      </c>
      <c r="O89" s="150" t="s">
        <v>297</v>
      </c>
      <c r="P89" s="150" t="s">
        <v>298</v>
      </c>
      <c r="Q89" s="150" t="s">
        <v>227</v>
      </c>
      <c r="R89" s="109"/>
      <c r="S89" s="105"/>
    </row>
    <row r="90" spans="1:19" s="106" customFormat="1" ht="57.75">
      <c r="A90" s="106" t="str">
        <f>_xlfn.XLOOKUP(B90,'Paso 3 Redacción RA'!I$3:I$12,'Paso 3 Redacción RA'!C$3:C$12,,0,1)</f>
        <v>Saber</v>
      </c>
      <c r="B90" s="52" t="s">
        <v>94</v>
      </c>
      <c r="C90" s="143"/>
      <c r="D90" s="143"/>
      <c r="E90" s="133"/>
      <c r="F90" s="143"/>
      <c r="G90" s="143"/>
      <c r="H90" s="143"/>
      <c r="I90" s="143"/>
      <c r="J90" s="143"/>
      <c r="K90" s="143"/>
      <c r="L90" s="143"/>
      <c r="M90" s="143"/>
      <c r="N90" s="133"/>
      <c r="O90" s="133"/>
      <c r="P90" s="133"/>
      <c r="Q90" s="133"/>
      <c r="R90" s="109"/>
      <c r="S90" s="105"/>
    </row>
    <row r="91" spans="1:19" s="106" customFormat="1" ht="42.75">
      <c r="A91" s="106" t="str">
        <f>_xlfn.XLOOKUP(B91,'Paso 3 Redacción RA'!I$3:I$12,'Paso 3 Redacción RA'!C$3:C$12,,0,1)</f>
        <v>SaberHacer</v>
      </c>
      <c r="B91" s="52" t="s">
        <v>87</v>
      </c>
      <c r="C91" s="143"/>
      <c r="D91" s="143"/>
      <c r="E91" s="133"/>
      <c r="F91" s="143"/>
      <c r="G91" s="143"/>
      <c r="H91" s="143"/>
      <c r="I91" s="143"/>
      <c r="J91" s="143"/>
      <c r="K91" s="143"/>
      <c r="L91" s="143"/>
      <c r="M91" s="143"/>
      <c r="N91" s="133"/>
      <c r="O91" s="133"/>
      <c r="P91" s="133"/>
      <c r="Q91" s="133"/>
      <c r="R91" s="109"/>
      <c r="S91" s="105"/>
    </row>
    <row r="92" spans="1:19" s="106" customFormat="1" ht="42.75">
      <c r="A92" s="107" t="str">
        <f>_xlfn.XLOOKUP(B92,'Paso 3 Redacción RA'!I$3:I$12,'Paso 3 Redacción RA'!C$3:C$12,,0,1)</f>
        <v>SaberSer</v>
      </c>
      <c r="B92" s="77" t="s">
        <v>89</v>
      </c>
      <c r="C92" s="144"/>
      <c r="D92" s="144"/>
      <c r="E92" s="141"/>
      <c r="F92" s="144"/>
      <c r="G92" s="144"/>
      <c r="H92" s="144"/>
      <c r="I92" s="144"/>
      <c r="J92" s="144"/>
      <c r="K92" s="144"/>
      <c r="L92" s="144"/>
      <c r="M92" s="144"/>
      <c r="N92" s="141"/>
      <c r="O92" s="141"/>
      <c r="P92" s="141"/>
      <c r="Q92" s="141"/>
      <c r="R92" s="109"/>
      <c r="S92" s="105"/>
    </row>
    <row r="93" spans="1:19" s="106" customFormat="1" ht="66">
      <c r="A93" s="108" t="str">
        <f>_xlfn.XLOOKUP(B93,'Paso 3 Redacción RA'!I$3:I$12,'Paso 3 Redacción RA'!C$3:C$12,,0,1)</f>
        <v>Saber</v>
      </c>
      <c r="B93" s="78" t="s">
        <v>84</v>
      </c>
      <c r="C93" s="142">
        <v>6</v>
      </c>
      <c r="D93" s="142" t="s">
        <v>334</v>
      </c>
      <c r="E93" s="150" t="s">
        <v>335</v>
      </c>
      <c r="F93" s="142" t="s">
        <v>222</v>
      </c>
      <c r="G93" s="142"/>
      <c r="H93" s="142" t="s">
        <v>223</v>
      </c>
      <c r="I93" s="142"/>
      <c r="J93" s="142">
        <v>3</v>
      </c>
      <c r="K93" s="142">
        <f>16*J93</f>
        <v>48</v>
      </c>
      <c r="L93" s="142">
        <f>32*J93</f>
        <v>96</v>
      </c>
      <c r="M93" s="142">
        <f>SUM(K93:L93)</f>
        <v>144</v>
      </c>
      <c r="N93" s="150" t="s">
        <v>336</v>
      </c>
      <c r="O93" s="150" t="s">
        <v>236</v>
      </c>
      <c r="P93" s="150" t="s">
        <v>237</v>
      </c>
      <c r="Q93" s="150" t="s">
        <v>227</v>
      </c>
      <c r="R93" s="109"/>
      <c r="S93" s="105"/>
    </row>
    <row r="94" spans="1:19" s="106" customFormat="1" ht="49.5">
      <c r="A94" s="106" t="str">
        <f>_xlfn.XLOOKUP(B94,'Paso 3 Redacción RA'!I$3:I$12,'Paso 3 Redacción RA'!C$3:C$12,,0,1)</f>
        <v>Saber</v>
      </c>
      <c r="B94" s="52" t="s">
        <v>90</v>
      </c>
      <c r="C94" s="143"/>
      <c r="D94" s="143"/>
      <c r="E94" s="133"/>
      <c r="F94" s="143"/>
      <c r="G94" s="143"/>
      <c r="H94" s="143"/>
      <c r="I94" s="143"/>
      <c r="J94" s="143"/>
      <c r="K94" s="143"/>
      <c r="L94" s="143"/>
      <c r="M94" s="143"/>
      <c r="N94" s="133"/>
      <c r="O94" s="133"/>
      <c r="P94" s="133"/>
      <c r="Q94" s="133"/>
      <c r="R94" s="109"/>
      <c r="S94" s="105"/>
    </row>
    <row r="95" spans="1:19" s="106" customFormat="1" ht="66">
      <c r="A95" s="106" t="str">
        <f>_xlfn.XLOOKUP(B95,'Paso 3 Redacción RA'!I$3:I$12,'Paso 3 Redacción RA'!C$3:C$12,,0,1)</f>
        <v>Saber</v>
      </c>
      <c r="B95" s="52" t="s">
        <v>94</v>
      </c>
      <c r="C95" s="143"/>
      <c r="D95" s="143"/>
      <c r="E95" s="133"/>
      <c r="F95" s="143"/>
      <c r="G95" s="143"/>
      <c r="H95" s="143"/>
      <c r="I95" s="143"/>
      <c r="J95" s="143"/>
      <c r="K95" s="143"/>
      <c r="L95" s="143"/>
      <c r="M95" s="143"/>
      <c r="N95" s="133"/>
      <c r="O95" s="133"/>
      <c r="P95" s="133"/>
      <c r="Q95" s="133"/>
      <c r="R95" s="109"/>
      <c r="S95" s="105"/>
    </row>
    <row r="96" spans="1:19" s="106" customFormat="1" ht="49.5">
      <c r="A96" s="106" t="str">
        <f>_xlfn.XLOOKUP(B96,'Paso 3 Redacción RA'!I$3:I$12,'Paso 3 Redacción RA'!C$3:C$12,,0,1)</f>
        <v>SaberHacer</v>
      </c>
      <c r="B96" s="52" t="s">
        <v>87</v>
      </c>
      <c r="C96" s="143"/>
      <c r="D96" s="143"/>
      <c r="E96" s="133"/>
      <c r="F96" s="143"/>
      <c r="G96" s="143"/>
      <c r="H96" s="143"/>
      <c r="I96" s="143"/>
      <c r="J96" s="143"/>
      <c r="K96" s="143"/>
      <c r="L96" s="143"/>
      <c r="M96" s="143"/>
      <c r="N96" s="133"/>
      <c r="O96" s="133"/>
      <c r="P96" s="133"/>
      <c r="Q96" s="133"/>
      <c r="R96" s="109"/>
      <c r="S96" s="105"/>
    </row>
    <row r="97" spans="1:19" s="106" customFormat="1" ht="33.6" thickBot="1">
      <c r="A97" s="107" t="str">
        <f>_xlfn.XLOOKUP(B97,'Paso 3 Redacción RA'!I$3:I$12,'Paso 3 Redacción RA'!C$3:C$12,,0,1)</f>
        <v>SaberHacer</v>
      </c>
      <c r="B97" s="77" t="s">
        <v>93</v>
      </c>
      <c r="C97" s="144"/>
      <c r="D97" s="144"/>
      <c r="E97" s="141"/>
      <c r="F97" s="144"/>
      <c r="G97" s="144"/>
      <c r="H97" s="144"/>
      <c r="I97" s="144"/>
      <c r="J97" s="144"/>
      <c r="K97" s="144"/>
      <c r="L97" s="144"/>
      <c r="M97" s="144"/>
      <c r="N97" s="141"/>
      <c r="O97" s="141"/>
      <c r="P97" s="141"/>
      <c r="Q97" s="141"/>
      <c r="R97" s="109"/>
      <c r="S97" s="105"/>
    </row>
    <row r="98" spans="1:19" s="106" customFormat="1" ht="66">
      <c r="A98" s="108" t="str">
        <f>_xlfn.XLOOKUP(B98,'Paso 3 Redacción RA'!I$3:I$12,'Paso 3 Redacción RA'!C$3:C$12,,0,1)</f>
        <v>Saber</v>
      </c>
      <c r="B98" s="78" t="s">
        <v>84</v>
      </c>
      <c r="C98" s="142">
        <v>6</v>
      </c>
      <c r="D98" s="142" t="s">
        <v>337</v>
      </c>
      <c r="E98" s="150" t="s">
        <v>338</v>
      </c>
      <c r="F98" s="142" t="s">
        <v>222</v>
      </c>
      <c r="G98" s="142"/>
      <c r="H98" s="142" t="s">
        <v>223</v>
      </c>
      <c r="I98" s="142"/>
      <c r="J98" s="142">
        <v>3</v>
      </c>
      <c r="K98" s="142">
        <f>16*J98</f>
        <v>48</v>
      </c>
      <c r="L98" s="142">
        <f>32*J98</f>
        <v>96</v>
      </c>
      <c r="M98" s="142">
        <f>SUM(K98:L98)</f>
        <v>144</v>
      </c>
      <c r="N98" s="150" t="s">
        <v>339</v>
      </c>
      <c r="O98" s="150" t="s">
        <v>236</v>
      </c>
      <c r="P98" s="150" t="s">
        <v>237</v>
      </c>
      <c r="Q98" s="150" t="s">
        <v>227</v>
      </c>
      <c r="R98" s="109"/>
      <c r="S98" s="105"/>
    </row>
    <row r="99" spans="1:19" s="106" customFormat="1" ht="49.5">
      <c r="A99" s="106" t="str">
        <f>_xlfn.XLOOKUP(B99,'Paso 3 Redacción RA'!I$3:I$12,'Paso 3 Redacción RA'!C$3:C$12,,0,1)</f>
        <v>Saber</v>
      </c>
      <c r="B99" s="52" t="s">
        <v>90</v>
      </c>
      <c r="C99" s="143"/>
      <c r="D99" s="143"/>
      <c r="E99" s="133"/>
      <c r="F99" s="143"/>
      <c r="G99" s="143"/>
      <c r="H99" s="143"/>
      <c r="I99" s="143"/>
      <c r="J99" s="143"/>
      <c r="K99" s="143"/>
      <c r="L99" s="143"/>
      <c r="M99" s="143"/>
      <c r="N99" s="133"/>
      <c r="O99" s="133"/>
      <c r="P99" s="133"/>
      <c r="Q99" s="133"/>
      <c r="R99" s="109"/>
      <c r="S99" s="105"/>
    </row>
    <row r="100" spans="1:19" s="106" customFormat="1" ht="66">
      <c r="A100" s="106" t="str">
        <f>_xlfn.XLOOKUP(B100,'Paso 3 Redacción RA'!I$3:I$12,'Paso 3 Redacción RA'!C$3:C$12,,0,1)</f>
        <v>Saber</v>
      </c>
      <c r="B100" s="52" t="s">
        <v>94</v>
      </c>
      <c r="C100" s="143"/>
      <c r="D100" s="143"/>
      <c r="E100" s="133"/>
      <c r="F100" s="143"/>
      <c r="G100" s="143"/>
      <c r="H100" s="143"/>
      <c r="I100" s="143"/>
      <c r="J100" s="143"/>
      <c r="K100" s="143"/>
      <c r="L100" s="143"/>
      <c r="M100" s="143"/>
      <c r="N100" s="133"/>
      <c r="O100" s="133"/>
      <c r="P100" s="133"/>
      <c r="Q100" s="133"/>
      <c r="R100" s="109"/>
      <c r="S100" s="105"/>
    </row>
    <row r="101" spans="1:19" s="106" customFormat="1" ht="50.1" thickBot="1">
      <c r="A101" s="107" t="str">
        <f>_xlfn.XLOOKUP(B101,'Paso 3 Redacción RA'!I$3:I$12,'Paso 3 Redacción RA'!C$3:C$12,,0,1)</f>
        <v>SaberHacer</v>
      </c>
      <c r="B101" s="77" t="s">
        <v>87</v>
      </c>
      <c r="C101" s="144"/>
      <c r="D101" s="144"/>
      <c r="E101" s="141"/>
      <c r="F101" s="144"/>
      <c r="G101" s="144"/>
      <c r="H101" s="144"/>
      <c r="I101" s="144"/>
      <c r="J101" s="144"/>
      <c r="K101" s="144"/>
      <c r="L101" s="144"/>
      <c r="M101" s="144"/>
      <c r="N101" s="141"/>
      <c r="O101" s="141"/>
      <c r="P101" s="141"/>
      <c r="Q101" s="141"/>
      <c r="R101" s="109"/>
      <c r="S101" s="105"/>
    </row>
    <row r="102" spans="1:19" s="106" customFormat="1" ht="66">
      <c r="A102" s="108" t="str">
        <f>_xlfn.XLOOKUP(B102,'Paso 3 Redacción RA'!I$3:I$12,'Paso 3 Redacción RA'!C$3:C$12,,0,1)</f>
        <v>Saber</v>
      </c>
      <c r="B102" s="78" t="s">
        <v>84</v>
      </c>
      <c r="C102" s="142">
        <v>6</v>
      </c>
      <c r="D102" s="142" t="s">
        <v>340</v>
      </c>
      <c r="E102" s="150" t="s">
        <v>341</v>
      </c>
      <c r="F102" s="142" t="s">
        <v>222</v>
      </c>
      <c r="G102" s="142"/>
      <c r="H102" s="142" t="s">
        <v>223</v>
      </c>
      <c r="I102" s="142"/>
      <c r="J102" s="142">
        <v>3</v>
      </c>
      <c r="K102" s="142">
        <f>16*J102</f>
        <v>48</v>
      </c>
      <c r="L102" s="142">
        <f>32*J102</f>
        <v>96</v>
      </c>
      <c r="M102" s="142">
        <f>SUM(K102:L102)</f>
        <v>144</v>
      </c>
      <c r="N102" s="150" t="s">
        <v>342</v>
      </c>
      <c r="O102" s="150" t="s">
        <v>236</v>
      </c>
      <c r="P102" s="150" t="s">
        <v>237</v>
      </c>
      <c r="Q102" s="150" t="s">
        <v>227</v>
      </c>
      <c r="R102" s="109"/>
      <c r="S102" s="105"/>
    </row>
    <row r="103" spans="1:19" s="106" customFormat="1" ht="49.5">
      <c r="A103" s="106" t="str">
        <f>_xlfn.XLOOKUP(B103,'Paso 3 Redacción RA'!I$3:I$12,'Paso 3 Redacción RA'!C$3:C$12,,0,1)</f>
        <v>Saber</v>
      </c>
      <c r="B103" s="52" t="s">
        <v>90</v>
      </c>
      <c r="C103" s="143"/>
      <c r="D103" s="143"/>
      <c r="E103" s="133"/>
      <c r="F103" s="143"/>
      <c r="G103" s="143"/>
      <c r="H103" s="143"/>
      <c r="I103" s="143"/>
      <c r="J103" s="143"/>
      <c r="K103" s="143"/>
      <c r="L103" s="143"/>
      <c r="M103" s="143"/>
      <c r="N103" s="133"/>
      <c r="O103" s="133"/>
      <c r="P103" s="133"/>
      <c r="Q103" s="133"/>
      <c r="R103" s="109"/>
      <c r="S103" s="105"/>
    </row>
    <row r="104" spans="1:19" s="106" customFormat="1" ht="66">
      <c r="A104" s="106" t="str">
        <f>_xlfn.XLOOKUP(B104,'Paso 3 Redacción RA'!I$3:I$12,'Paso 3 Redacción RA'!C$3:C$12,,0,1)</f>
        <v>Saber</v>
      </c>
      <c r="B104" s="52" t="s">
        <v>94</v>
      </c>
      <c r="C104" s="143"/>
      <c r="D104" s="143"/>
      <c r="E104" s="133"/>
      <c r="F104" s="143"/>
      <c r="G104" s="143"/>
      <c r="H104" s="143"/>
      <c r="I104" s="143"/>
      <c r="J104" s="143"/>
      <c r="K104" s="143"/>
      <c r="L104" s="143"/>
      <c r="M104" s="143"/>
      <c r="N104" s="133"/>
      <c r="O104" s="133"/>
      <c r="P104" s="133"/>
      <c r="Q104" s="133"/>
      <c r="R104" s="109"/>
      <c r="S104" s="105"/>
    </row>
    <row r="105" spans="1:19" s="106" customFormat="1" ht="49.5">
      <c r="A105" s="106" t="str">
        <f>_xlfn.XLOOKUP(B105,'Paso 3 Redacción RA'!I$3:I$12,'Paso 3 Redacción RA'!C$3:C$12,,0,1)</f>
        <v>SaberHacer</v>
      </c>
      <c r="B105" s="52" t="s">
        <v>87</v>
      </c>
      <c r="C105" s="143"/>
      <c r="D105" s="143"/>
      <c r="E105" s="133"/>
      <c r="F105" s="143"/>
      <c r="G105" s="143"/>
      <c r="H105" s="143"/>
      <c r="I105" s="143"/>
      <c r="J105" s="143"/>
      <c r="K105" s="143"/>
      <c r="L105" s="143"/>
      <c r="M105" s="143"/>
      <c r="N105" s="133"/>
      <c r="O105" s="133"/>
      <c r="P105" s="133"/>
      <c r="Q105" s="133"/>
      <c r="R105" s="109"/>
      <c r="S105" s="105"/>
    </row>
    <row r="106" spans="1:19" s="106" customFormat="1" ht="33">
      <c r="A106" s="106" t="str">
        <f>_xlfn.XLOOKUP(B106,'Paso 3 Redacción RA'!I$3:I$12,'Paso 3 Redacción RA'!C$3:C$12,,0,1)</f>
        <v>SaberHacer</v>
      </c>
      <c r="B106" s="52" t="s">
        <v>93</v>
      </c>
      <c r="C106" s="143"/>
      <c r="D106" s="143"/>
      <c r="E106" s="133"/>
      <c r="F106" s="143"/>
      <c r="G106" s="143"/>
      <c r="H106" s="143"/>
      <c r="I106" s="143"/>
      <c r="J106" s="143"/>
      <c r="K106" s="143"/>
      <c r="L106" s="143"/>
      <c r="M106" s="143"/>
      <c r="N106" s="133"/>
      <c r="O106" s="133"/>
      <c r="P106" s="133"/>
      <c r="Q106" s="133"/>
      <c r="R106" s="109"/>
      <c r="S106" s="105"/>
    </row>
    <row r="107" spans="1:19" s="106" customFormat="1" ht="50.1" thickBot="1">
      <c r="A107" s="107" t="str">
        <f>_xlfn.XLOOKUP(B107,'Paso 3 Redacción RA'!I$3:I$12,'Paso 3 Redacción RA'!C$3:C$12,,0,1)</f>
        <v>SaberSer</v>
      </c>
      <c r="B107" s="77" t="s">
        <v>89</v>
      </c>
      <c r="C107" s="144"/>
      <c r="D107" s="144"/>
      <c r="E107" s="141"/>
      <c r="F107" s="144"/>
      <c r="G107" s="144"/>
      <c r="H107" s="144"/>
      <c r="I107" s="144"/>
      <c r="J107" s="144"/>
      <c r="K107" s="144"/>
      <c r="L107" s="144"/>
      <c r="M107" s="144"/>
      <c r="N107" s="141"/>
      <c r="O107" s="141"/>
      <c r="P107" s="141"/>
      <c r="Q107" s="141"/>
      <c r="R107" s="109"/>
      <c r="S107" s="105"/>
    </row>
    <row r="108" spans="1:19" s="106" customFormat="1" ht="66">
      <c r="A108" s="108" t="str">
        <f>_xlfn.XLOOKUP(B108,'Paso 3 Redacción RA'!I$3:I$12,'Paso 3 Redacción RA'!C$3:C$12,,0,1)</f>
        <v>Saber</v>
      </c>
      <c r="B108" s="78" t="s">
        <v>84</v>
      </c>
      <c r="C108" s="142">
        <v>6</v>
      </c>
      <c r="D108" s="142" t="s">
        <v>343</v>
      </c>
      <c r="E108" s="150" t="s">
        <v>344</v>
      </c>
      <c r="F108" s="142" t="s">
        <v>222</v>
      </c>
      <c r="G108" s="142"/>
      <c r="H108" s="142" t="s">
        <v>223</v>
      </c>
      <c r="I108" s="142"/>
      <c r="J108" s="142">
        <v>3</v>
      </c>
      <c r="K108" s="142">
        <f>16*J108</f>
        <v>48</v>
      </c>
      <c r="L108" s="142">
        <f>32*J108</f>
        <v>96</v>
      </c>
      <c r="M108" s="142">
        <f>SUM(K108:L108)</f>
        <v>144</v>
      </c>
      <c r="N108" s="150" t="s">
        <v>345</v>
      </c>
      <c r="O108" s="150" t="s">
        <v>236</v>
      </c>
      <c r="P108" s="150" t="s">
        <v>237</v>
      </c>
      <c r="Q108" s="150" t="s">
        <v>227</v>
      </c>
      <c r="R108" s="109"/>
      <c r="S108" s="105"/>
    </row>
    <row r="109" spans="1:19" s="106" customFormat="1" ht="49.5">
      <c r="A109" s="106" t="str">
        <f>_xlfn.XLOOKUP(B109,'Paso 3 Redacción RA'!I$3:I$12,'Paso 3 Redacción RA'!C$3:C$12,,0,1)</f>
        <v>Saber</v>
      </c>
      <c r="B109" s="52" t="s">
        <v>90</v>
      </c>
      <c r="C109" s="143"/>
      <c r="D109" s="143"/>
      <c r="E109" s="133"/>
      <c r="F109" s="143"/>
      <c r="G109" s="143"/>
      <c r="H109" s="143"/>
      <c r="I109" s="143"/>
      <c r="J109" s="143"/>
      <c r="K109" s="143"/>
      <c r="L109" s="143"/>
      <c r="M109" s="143"/>
      <c r="N109" s="133"/>
      <c r="O109" s="133"/>
      <c r="P109" s="133"/>
      <c r="Q109" s="133"/>
      <c r="R109" s="109"/>
      <c r="S109" s="105"/>
    </row>
    <row r="110" spans="1:19" s="106" customFormat="1" ht="66">
      <c r="A110" s="106" t="str">
        <f>_xlfn.XLOOKUP(B110,'Paso 3 Redacción RA'!I$3:I$12,'Paso 3 Redacción RA'!C$3:C$12,,0,1)</f>
        <v>Saber</v>
      </c>
      <c r="B110" s="52" t="s">
        <v>94</v>
      </c>
      <c r="C110" s="143"/>
      <c r="D110" s="143"/>
      <c r="E110" s="133"/>
      <c r="F110" s="143"/>
      <c r="G110" s="143"/>
      <c r="H110" s="143"/>
      <c r="I110" s="143"/>
      <c r="J110" s="143"/>
      <c r="K110" s="143"/>
      <c r="L110" s="143"/>
      <c r="M110" s="143"/>
      <c r="N110" s="133"/>
      <c r="O110" s="133"/>
      <c r="P110" s="133"/>
      <c r="Q110" s="133"/>
      <c r="R110" s="109"/>
      <c r="S110" s="105"/>
    </row>
    <row r="111" spans="1:19" s="106" customFormat="1" ht="49.5">
      <c r="A111" s="106" t="str">
        <f>_xlfn.XLOOKUP(B111,'Paso 3 Redacción RA'!I$3:I$12,'Paso 3 Redacción RA'!C$3:C$12,,0,1)</f>
        <v>SaberHacer</v>
      </c>
      <c r="B111" s="52" t="s">
        <v>87</v>
      </c>
      <c r="C111" s="143"/>
      <c r="D111" s="143"/>
      <c r="E111" s="133"/>
      <c r="F111" s="143"/>
      <c r="G111" s="143"/>
      <c r="H111" s="143"/>
      <c r="I111" s="143"/>
      <c r="J111" s="143"/>
      <c r="K111" s="143"/>
      <c r="L111" s="143"/>
      <c r="M111" s="143"/>
      <c r="N111" s="133"/>
      <c r="O111" s="133"/>
      <c r="P111" s="133"/>
      <c r="Q111" s="133"/>
      <c r="R111" s="109"/>
      <c r="S111" s="105"/>
    </row>
    <row r="112" spans="1:19" s="106" customFormat="1" ht="33.6" thickBot="1">
      <c r="A112" s="107" t="str">
        <f>_xlfn.XLOOKUP(B112,'Paso 3 Redacción RA'!I$3:I$12,'Paso 3 Redacción RA'!C$3:C$12,,0,1)</f>
        <v>SaberHacer</v>
      </c>
      <c r="B112" s="77" t="s">
        <v>93</v>
      </c>
      <c r="C112" s="144"/>
      <c r="D112" s="144"/>
      <c r="E112" s="141"/>
      <c r="F112" s="144"/>
      <c r="G112" s="144"/>
      <c r="H112" s="144"/>
      <c r="I112" s="144"/>
      <c r="J112" s="144"/>
      <c r="K112" s="144"/>
      <c r="L112" s="144"/>
      <c r="M112" s="144"/>
      <c r="N112" s="141"/>
      <c r="O112" s="141"/>
      <c r="P112" s="141"/>
      <c r="Q112" s="141"/>
      <c r="R112" s="109"/>
      <c r="S112" s="105"/>
    </row>
    <row r="113" spans="1:19" s="106" customFormat="1" ht="66">
      <c r="A113" s="108" t="str">
        <f>_xlfn.XLOOKUP(B113,'Paso 3 Redacción RA'!I$3:I$12,'Paso 3 Redacción RA'!C$3:C$12,,0,1)</f>
        <v>Saber</v>
      </c>
      <c r="B113" s="78" t="s">
        <v>84</v>
      </c>
      <c r="C113" s="142">
        <v>6</v>
      </c>
      <c r="D113" s="142" t="s">
        <v>346</v>
      </c>
      <c r="E113" s="150" t="s">
        <v>347</v>
      </c>
      <c r="F113" s="142" t="s">
        <v>222</v>
      </c>
      <c r="G113" s="142"/>
      <c r="H113" s="142" t="s">
        <v>223</v>
      </c>
      <c r="I113" s="142"/>
      <c r="J113" s="142">
        <v>3</v>
      </c>
      <c r="K113" s="142">
        <f>16*J113</f>
        <v>48</v>
      </c>
      <c r="L113" s="142">
        <f>32*J113</f>
        <v>96</v>
      </c>
      <c r="M113" s="142">
        <f>SUM(K113:L113)</f>
        <v>144</v>
      </c>
      <c r="N113" s="150" t="s">
        <v>348</v>
      </c>
      <c r="O113" s="150" t="s">
        <v>236</v>
      </c>
      <c r="P113" s="150" t="s">
        <v>237</v>
      </c>
      <c r="Q113" s="150" t="s">
        <v>227</v>
      </c>
      <c r="R113" s="109"/>
      <c r="S113" s="105"/>
    </row>
    <row r="114" spans="1:19" s="106" customFormat="1" ht="49.5">
      <c r="A114" s="106" t="str">
        <f>_xlfn.XLOOKUP(B114,'Paso 3 Redacción RA'!I$3:I$12,'Paso 3 Redacción RA'!C$3:C$12,,0,1)</f>
        <v>Saber</v>
      </c>
      <c r="B114" s="52" t="s">
        <v>90</v>
      </c>
      <c r="C114" s="143"/>
      <c r="D114" s="143"/>
      <c r="E114" s="133"/>
      <c r="F114" s="143"/>
      <c r="G114" s="143"/>
      <c r="H114" s="143"/>
      <c r="I114" s="143"/>
      <c r="J114" s="143"/>
      <c r="K114" s="143"/>
      <c r="L114" s="143"/>
      <c r="M114" s="143"/>
      <c r="N114" s="133"/>
      <c r="O114" s="133"/>
      <c r="P114" s="133"/>
      <c r="Q114" s="133"/>
      <c r="R114" s="109"/>
      <c r="S114" s="105"/>
    </row>
    <row r="115" spans="1:19" s="106" customFormat="1" ht="66">
      <c r="A115" s="106" t="str">
        <f>_xlfn.XLOOKUP(B115,'Paso 3 Redacción RA'!I$3:I$12,'Paso 3 Redacción RA'!C$3:C$12,,0,1)</f>
        <v>Saber</v>
      </c>
      <c r="B115" s="52" t="s">
        <v>94</v>
      </c>
      <c r="C115" s="143"/>
      <c r="D115" s="143"/>
      <c r="E115" s="133"/>
      <c r="F115" s="143"/>
      <c r="G115" s="143"/>
      <c r="H115" s="143"/>
      <c r="I115" s="143"/>
      <c r="J115" s="143"/>
      <c r="K115" s="143"/>
      <c r="L115" s="143"/>
      <c r="M115" s="143"/>
      <c r="N115" s="133"/>
      <c r="O115" s="133"/>
      <c r="P115" s="133"/>
      <c r="Q115" s="133"/>
      <c r="R115" s="109"/>
      <c r="S115" s="105"/>
    </row>
    <row r="116" spans="1:19" s="106" customFormat="1" ht="50.1" thickBot="1">
      <c r="A116" s="107" t="str">
        <f>_xlfn.XLOOKUP(B116,'Paso 3 Redacción RA'!I$3:I$12,'Paso 3 Redacción RA'!C$3:C$12,,0,1)</f>
        <v>SaberHacer</v>
      </c>
      <c r="B116" s="77" t="s">
        <v>87</v>
      </c>
      <c r="C116" s="144"/>
      <c r="D116" s="144"/>
      <c r="E116" s="141"/>
      <c r="F116" s="144"/>
      <c r="G116" s="144"/>
      <c r="H116" s="144"/>
      <c r="I116" s="144"/>
      <c r="J116" s="144"/>
      <c r="K116" s="144"/>
      <c r="L116" s="144"/>
      <c r="M116" s="144"/>
      <c r="N116" s="141"/>
      <c r="O116" s="141"/>
      <c r="P116" s="141"/>
      <c r="Q116" s="141"/>
      <c r="R116" s="109">
        <f>SUM(J89:J116)</f>
        <v>18</v>
      </c>
      <c r="S116" s="105">
        <f>COUNTA(D89:D116)</f>
        <v>6</v>
      </c>
    </row>
    <row r="117" spans="1:19" s="106" customFormat="1" ht="66">
      <c r="A117" s="108" t="str">
        <f>_xlfn.XLOOKUP(B117,'Paso 3 Redacción RA'!I$3:I$12,'Paso 3 Redacción RA'!C$3:C$12,,0,1)</f>
        <v>Saber</v>
      </c>
      <c r="B117" s="78" t="s">
        <v>84</v>
      </c>
      <c r="C117" s="142">
        <v>7</v>
      </c>
      <c r="D117" s="142" t="s">
        <v>349</v>
      </c>
      <c r="E117" s="150" t="s">
        <v>350</v>
      </c>
      <c r="F117" s="142" t="s">
        <v>222</v>
      </c>
      <c r="G117" s="142"/>
      <c r="H117" s="142" t="s">
        <v>223</v>
      </c>
      <c r="I117" s="142"/>
      <c r="J117" s="142">
        <v>3</v>
      </c>
      <c r="K117" s="142">
        <f>16*J117</f>
        <v>48</v>
      </c>
      <c r="L117" s="142">
        <f>32*J117</f>
        <v>96</v>
      </c>
      <c r="M117" s="142">
        <f>SUM(K117:L117)</f>
        <v>144</v>
      </c>
      <c r="N117" s="150" t="s">
        <v>351</v>
      </c>
      <c r="O117" s="150" t="s">
        <v>236</v>
      </c>
      <c r="P117" s="150" t="s">
        <v>237</v>
      </c>
      <c r="Q117" s="150" t="s">
        <v>227</v>
      </c>
      <c r="R117" s="109"/>
      <c r="S117" s="105"/>
    </row>
    <row r="118" spans="1:19" s="106" customFormat="1" ht="49.5">
      <c r="A118" s="106" t="str">
        <f>_xlfn.XLOOKUP(B118,'Paso 3 Redacción RA'!I$3:I$12,'Paso 3 Redacción RA'!C$3:C$12,,0,1)</f>
        <v>Saber</v>
      </c>
      <c r="B118" s="52" t="s">
        <v>90</v>
      </c>
      <c r="C118" s="143"/>
      <c r="D118" s="143"/>
      <c r="E118" s="133"/>
      <c r="F118" s="143"/>
      <c r="G118" s="143"/>
      <c r="H118" s="143"/>
      <c r="I118" s="143"/>
      <c r="J118" s="143"/>
      <c r="K118" s="143"/>
      <c r="L118" s="143"/>
      <c r="M118" s="143"/>
      <c r="N118" s="133"/>
      <c r="O118" s="133"/>
      <c r="P118" s="133"/>
      <c r="Q118" s="133"/>
      <c r="R118" s="109"/>
      <c r="S118" s="105"/>
    </row>
    <row r="119" spans="1:19" s="106" customFormat="1" ht="66">
      <c r="A119" s="106" t="str">
        <f>_xlfn.XLOOKUP(B119,'Paso 3 Redacción RA'!I$3:I$12,'Paso 3 Redacción RA'!C$3:C$12,,0,1)</f>
        <v>Saber</v>
      </c>
      <c r="B119" s="52" t="s">
        <v>94</v>
      </c>
      <c r="C119" s="143"/>
      <c r="D119" s="143"/>
      <c r="E119" s="133"/>
      <c r="F119" s="143"/>
      <c r="G119" s="143"/>
      <c r="H119" s="143"/>
      <c r="I119" s="143"/>
      <c r="J119" s="143"/>
      <c r="K119" s="143"/>
      <c r="L119" s="143"/>
      <c r="M119" s="143"/>
      <c r="N119" s="133"/>
      <c r="O119" s="133"/>
      <c r="P119" s="133"/>
      <c r="Q119" s="133"/>
      <c r="R119" s="109"/>
      <c r="S119" s="105"/>
    </row>
    <row r="120" spans="1:19" s="106" customFormat="1" ht="49.5">
      <c r="A120" s="106" t="str">
        <f>_xlfn.XLOOKUP(B120,'Paso 3 Redacción RA'!I$3:I$12,'Paso 3 Redacción RA'!C$3:C$12,,0,1)</f>
        <v>SaberHacer</v>
      </c>
      <c r="B120" s="52" t="s">
        <v>87</v>
      </c>
      <c r="C120" s="143"/>
      <c r="D120" s="143"/>
      <c r="E120" s="133"/>
      <c r="F120" s="143"/>
      <c r="G120" s="143"/>
      <c r="H120" s="143"/>
      <c r="I120" s="143"/>
      <c r="J120" s="143"/>
      <c r="K120" s="143"/>
      <c r="L120" s="143"/>
      <c r="M120" s="143"/>
      <c r="N120" s="133"/>
      <c r="O120" s="133"/>
      <c r="P120" s="133"/>
      <c r="Q120" s="133"/>
      <c r="R120" s="109"/>
      <c r="S120" s="105"/>
    </row>
    <row r="121" spans="1:19" s="106" customFormat="1" ht="33">
      <c r="A121" s="106" t="str">
        <f>_xlfn.XLOOKUP(B121,'Paso 3 Redacción RA'!I$3:I$12,'Paso 3 Redacción RA'!C$3:C$12,,0,1)</f>
        <v>SaberHacer</v>
      </c>
      <c r="B121" s="52" t="s">
        <v>93</v>
      </c>
      <c r="C121" s="143"/>
      <c r="D121" s="143"/>
      <c r="E121" s="133"/>
      <c r="F121" s="143"/>
      <c r="G121" s="143"/>
      <c r="H121" s="143"/>
      <c r="I121" s="143"/>
      <c r="J121" s="143"/>
      <c r="K121" s="143"/>
      <c r="L121" s="143"/>
      <c r="M121" s="143"/>
      <c r="N121" s="133"/>
      <c r="O121" s="133"/>
      <c r="P121" s="133"/>
      <c r="Q121" s="133"/>
      <c r="R121" s="109"/>
      <c r="S121" s="105"/>
    </row>
    <row r="122" spans="1:19" s="106" customFormat="1" ht="50.1" thickBot="1">
      <c r="A122" s="107" t="str">
        <f>_xlfn.XLOOKUP(B122,'Paso 3 Redacción RA'!I$3:I$12,'Paso 3 Redacción RA'!C$3:C$12,,0,1)</f>
        <v>SaberSer</v>
      </c>
      <c r="B122" s="77" t="s">
        <v>89</v>
      </c>
      <c r="C122" s="144"/>
      <c r="D122" s="144"/>
      <c r="E122" s="141"/>
      <c r="F122" s="144"/>
      <c r="G122" s="144"/>
      <c r="H122" s="144"/>
      <c r="I122" s="144"/>
      <c r="J122" s="144"/>
      <c r="K122" s="144"/>
      <c r="L122" s="144"/>
      <c r="M122" s="144"/>
      <c r="N122" s="141"/>
      <c r="O122" s="141"/>
      <c r="P122" s="141"/>
      <c r="Q122" s="141"/>
      <c r="R122" s="109"/>
      <c r="S122" s="105"/>
    </row>
    <row r="123" spans="1:19" s="106" customFormat="1" ht="66">
      <c r="A123" s="108" t="str">
        <f>_xlfn.XLOOKUP(B123,'Paso 3 Redacción RA'!I$3:I$12,'Paso 3 Redacción RA'!C$3:C$12,,0,1)</f>
        <v>Saber</v>
      </c>
      <c r="B123" s="78" t="s">
        <v>84</v>
      </c>
      <c r="C123" s="142">
        <v>7</v>
      </c>
      <c r="D123" s="142" t="s">
        <v>352</v>
      </c>
      <c r="E123" s="150" t="s">
        <v>353</v>
      </c>
      <c r="F123" s="142" t="s">
        <v>222</v>
      </c>
      <c r="G123" s="142"/>
      <c r="H123" s="142" t="s">
        <v>223</v>
      </c>
      <c r="I123" s="142"/>
      <c r="J123" s="142">
        <v>3</v>
      </c>
      <c r="K123" s="142">
        <f>16*J123</f>
        <v>48</v>
      </c>
      <c r="L123" s="142">
        <f>32*J123</f>
        <v>96</v>
      </c>
      <c r="M123" s="142">
        <f>SUM(K123:L123)</f>
        <v>144</v>
      </c>
      <c r="N123" s="150" t="s">
        <v>354</v>
      </c>
      <c r="O123" s="150" t="s">
        <v>236</v>
      </c>
      <c r="P123" s="150" t="s">
        <v>237</v>
      </c>
      <c r="Q123" s="150" t="s">
        <v>227</v>
      </c>
      <c r="R123" s="109"/>
      <c r="S123" s="105"/>
    </row>
    <row r="124" spans="1:19" s="106" customFormat="1" ht="49.5">
      <c r="A124" s="106" t="str">
        <f>_xlfn.XLOOKUP(B124,'Paso 3 Redacción RA'!I$3:I$12,'Paso 3 Redacción RA'!C$3:C$12,,0,1)</f>
        <v>Saber</v>
      </c>
      <c r="B124" s="52" t="s">
        <v>90</v>
      </c>
      <c r="C124" s="143"/>
      <c r="D124" s="143"/>
      <c r="E124" s="133"/>
      <c r="F124" s="143"/>
      <c r="G124" s="143"/>
      <c r="H124" s="143"/>
      <c r="I124" s="143"/>
      <c r="J124" s="143"/>
      <c r="K124" s="143"/>
      <c r="L124" s="143"/>
      <c r="M124" s="143"/>
      <c r="N124" s="133"/>
      <c r="O124" s="133"/>
      <c r="P124" s="133"/>
      <c r="Q124" s="133"/>
      <c r="R124" s="109"/>
      <c r="S124" s="105"/>
    </row>
    <row r="125" spans="1:19" s="106" customFormat="1" ht="66">
      <c r="A125" s="106" t="str">
        <f>_xlfn.XLOOKUP(B125,'Paso 3 Redacción RA'!I$3:I$12,'Paso 3 Redacción RA'!C$3:C$12,,0,1)</f>
        <v>Saber</v>
      </c>
      <c r="B125" s="52" t="s">
        <v>94</v>
      </c>
      <c r="C125" s="143"/>
      <c r="D125" s="143"/>
      <c r="E125" s="133"/>
      <c r="F125" s="143"/>
      <c r="G125" s="143"/>
      <c r="H125" s="143"/>
      <c r="I125" s="143"/>
      <c r="J125" s="143"/>
      <c r="K125" s="143"/>
      <c r="L125" s="143"/>
      <c r="M125" s="143"/>
      <c r="N125" s="133"/>
      <c r="O125" s="133"/>
      <c r="P125" s="133"/>
      <c r="Q125" s="133"/>
      <c r="R125" s="109"/>
      <c r="S125" s="105"/>
    </row>
    <row r="126" spans="1:19" s="106" customFormat="1" ht="49.5">
      <c r="A126" s="106" t="str">
        <f>_xlfn.XLOOKUP(B126,'Paso 3 Redacción RA'!I$3:I$12,'Paso 3 Redacción RA'!C$3:C$12,,0,1)</f>
        <v>SaberHacer</v>
      </c>
      <c r="B126" s="52" t="s">
        <v>87</v>
      </c>
      <c r="C126" s="143"/>
      <c r="D126" s="143"/>
      <c r="E126" s="133"/>
      <c r="F126" s="143"/>
      <c r="G126" s="143"/>
      <c r="H126" s="143"/>
      <c r="I126" s="143"/>
      <c r="J126" s="143"/>
      <c r="K126" s="143"/>
      <c r="L126" s="143"/>
      <c r="M126" s="143"/>
      <c r="N126" s="133"/>
      <c r="O126" s="133"/>
      <c r="P126" s="133"/>
      <c r="Q126" s="133"/>
      <c r="R126" s="109"/>
      <c r="S126" s="105"/>
    </row>
    <row r="127" spans="1:19" s="106" customFormat="1" ht="33">
      <c r="A127" s="106" t="str">
        <f>_xlfn.XLOOKUP(B127,'Paso 3 Redacción RA'!I$3:I$12,'Paso 3 Redacción RA'!C$3:C$12,,0,1)</f>
        <v>SaberHacer</v>
      </c>
      <c r="B127" s="52" t="s">
        <v>93</v>
      </c>
      <c r="C127" s="143"/>
      <c r="D127" s="143"/>
      <c r="E127" s="133"/>
      <c r="F127" s="143"/>
      <c r="G127" s="143"/>
      <c r="H127" s="143"/>
      <c r="I127" s="143"/>
      <c r="J127" s="143"/>
      <c r="K127" s="143"/>
      <c r="L127" s="143"/>
      <c r="M127" s="143"/>
      <c r="N127" s="133"/>
      <c r="O127" s="133"/>
      <c r="P127" s="133"/>
      <c r="Q127" s="133"/>
      <c r="R127" s="109"/>
      <c r="S127" s="105"/>
    </row>
    <row r="128" spans="1:19" s="106" customFormat="1" ht="33">
      <c r="A128" s="106" t="str">
        <f>_xlfn.XLOOKUP(B128,'Paso 3 Redacción RA'!I$3:I$12,'Paso 3 Redacción RA'!C$3:C$12,,0,1)</f>
        <v>SaberHacer</v>
      </c>
      <c r="B128" s="52" t="s">
        <v>95</v>
      </c>
      <c r="C128" s="143"/>
      <c r="D128" s="143"/>
      <c r="E128" s="133"/>
      <c r="F128" s="143"/>
      <c r="G128" s="143"/>
      <c r="H128" s="143"/>
      <c r="I128" s="143"/>
      <c r="J128" s="143"/>
      <c r="K128" s="143"/>
      <c r="L128" s="143"/>
      <c r="M128" s="143"/>
      <c r="N128" s="133"/>
      <c r="O128" s="133"/>
      <c r="P128" s="133"/>
      <c r="Q128" s="133"/>
      <c r="R128" s="109"/>
      <c r="S128" s="105"/>
    </row>
    <row r="129" spans="1:19" s="106" customFormat="1" ht="50.1" thickBot="1">
      <c r="A129" s="107" t="str">
        <f>_xlfn.XLOOKUP(B129,'Paso 3 Redacción RA'!I$3:I$12,'Paso 3 Redacción RA'!C$3:C$12,,0,1)</f>
        <v>SaberSer</v>
      </c>
      <c r="B129" s="77" t="s">
        <v>89</v>
      </c>
      <c r="C129" s="144"/>
      <c r="D129" s="144"/>
      <c r="E129" s="141"/>
      <c r="F129" s="144"/>
      <c r="G129" s="144"/>
      <c r="H129" s="144"/>
      <c r="I129" s="144"/>
      <c r="J129" s="144"/>
      <c r="K129" s="144"/>
      <c r="L129" s="144"/>
      <c r="M129" s="144"/>
      <c r="N129" s="141"/>
      <c r="O129" s="141"/>
      <c r="P129" s="141"/>
      <c r="Q129" s="141"/>
      <c r="R129" s="109"/>
      <c r="S129" s="105"/>
    </row>
    <row r="130" spans="1:19" s="106" customFormat="1" ht="66">
      <c r="A130" s="108" t="str">
        <f>_xlfn.XLOOKUP(B130,'Paso 3 Redacción RA'!I$3:I$12,'Paso 3 Redacción RA'!C$3:C$12,,0,1)</f>
        <v>Saber</v>
      </c>
      <c r="B130" s="78" t="s">
        <v>84</v>
      </c>
      <c r="C130" s="142">
        <v>7</v>
      </c>
      <c r="D130" s="142" t="s">
        <v>355</v>
      </c>
      <c r="E130" s="150" t="s">
        <v>356</v>
      </c>
      <c r="F130" s="142" t="s">
        <v>222</v>
      </c>
      <c r="G130" s="142"/>
      <c r="H130" s="142" t="s">
        <v>223</v>
      </c>
      <c r="I130" s="142"/>
      <c r="J130" s="142">
        <v>3</v>
      </c>
      <c r="K130" s="142">
        <f>16*J130</f>
        <v>48</v>
      </c>
      <c r="L130" s="142">
        <f>32*J130</f>
        <v>96</v>
      </c>
      <c r="M130" s="142">
        <f>SUM(K130:L130)</f>
        <v>144</v>
      </c>
      <c r="N130" s="150" t="s">
        <v>357</v>
      </c>
      <c r="O130" s="150" t="s">
        <v>236</v>
      </c>
      <c r="P130" s="150" t="s">
        <v>237</v>
      </c>
      <c r="Q130" s="150" t="s">
        <v>227</v>
      </c>
      <c r="R130" s="109"/>
      <c r="S130" s="105"/>
    </row>
    <row r="131" spans="1:19" s="106" customFormat="1" ht="49.5">
      <c r="A131" s="106" t="str">
        <f>_xlfn.XLOOKUP(B131,'Paso 3 Redacción RA'!I$3:I$12,'Paso 3 Redacción RA'!C$3:C$12,,0,1)</f>
        <v>Saber</v>
      </c>
      <c r="B131" s="52" t="s">
        <v>90</v>
      </c>
      <c r="C131" s="143"/>
      <c r="D131" s="143"/>
      <c r="E131" s="133"/>
      <c r="F131" s="143"/>
      <c r="G131" s="143"/>
      <c r="H131" s="143"/>
      <c r="I131" s="143"/>
      <c r="J131" s="143"/>
      <c r="K131" s="143"/>
      <c r="L131" s="143"/>
      <c r="M131" s="143"/>
      <c r="N131" s="133"/>
      <c r="O131" s="133"/>
      <c r="P131" s="133"/>
      <c r="Q131" s="133"/>
      <c r="R131" s="109"/>
      <c r="S131" s="105"/>
    </row>
    <row r="132" spans="1:19" s="106" customFormat="1" ht="66">
      <c r="A132" s="106" t="str">
        <f>_xlfn.XLOOKUP(B132,'Paso 3 Redacción RA'!I$3:I$12,'Paso 3 Redacción RA'!C$3:C$12,,0,1)</f>
        <v>Saber</v>
      </c>
      <c r="B132" s="52" t="s">
        <v>94</v>
      </c>
      <c r="C132" s="143"/>
      <c r="D132" s="143"/>
      <c r="E132" s="133"/>
      <c r="F132" s="143"/>
      <c r="G132" s="143"/>
      <c r="H132" s="143"/>
      <c r="I132" s="143"/>
      <c r="J132" s="143"/>
      <c r="K132" s="143"/>
      <c r="L132" s="143"/>
      <c r="M132" s="143"/>
      <c r="N132" s="133"/>
      <c r="O132" s="133"/>
      <c r="P132" s="133"/>
      <c r="Q132" s="133"/>
      <c r="R132" s="109"/>
      <c r="S132" s="105"/>
    </row>
    <row r="133" spans="1:19" s="106" customFormat="1" ht="49.5">
      <c r="A133" s="106" t="str">
        <f>_xlfn.XLOOKUP(B133,'Paso 3 Redacción RA'!I$3:I$12,'Paso 3 Redacción RA'!C$3:C$12,,0,1)</f>
        <v>SaberHacer</v>
      </c>
      <c r="B133" s="52" t="s">
        <v>87</v>
      </c>
      <c r="C133" s="143"/>
      <c r="D133" s="143"/>
      <c r="E133" s="133"/>
      <c r="F133" s="143"/>
      <c r="G133" s="143"/>
      <c r="H133" s="143"/>
      <c r="I133" s="143"/>
      <c r="J133" s="143"/>
      <c r="K133" s="143"/>
      <c r="L133" s="143"/>
      <c r="M133" s="143"/>
      <c r="N133" s="133"/>
      <c r="O133" s="133"/>
      <c r="P133" s="133"/>
      <c r="Q133" s="133"/>
      <c r="R133" s="109"/>
      <c r="S133" s="105"/>
    </row>
    <row r="134" spans="1:19" s="106" customFormat="1" ht="33">
      <c r="A134" s="106" t="str">
        <f>_xlfn.XLOOKUP(B134,'Paso 3 Redacción RA'!I$3:I$12,'Paso 3 Redacción RA'!C$3:C$12,,0,1)</f>
        <v>SaberHacer</v>
      </c>
      <c r="B134" s="52" t="s">
        <v>93</v>
      </c>
      <c r="C134" s="143"/>
      <c r="D134" s="143"/>
      <c r="E134" s="133"/>
      <c r="F134" s="143"/>
      <c r="G134" s="143"/>
      <c r="H134" s="143"/>
      <c r="I134" s="143"/>
      <c r="J134" s="143"/>
      <c r="K134" s="143"/>
      <c r="L134" s="143"/>
      <c r="M134" s="143"/>
      <c r="N134" s="133"/>
      <c r="O134" s="133"/>
      <c r="P134" s="133"/>
      <c r="Q134" s="133"/>
      <c r="R134" s="109"/>
      <c r="S134" s="105"/>
    </row>
    <row r="135" spans="1:19" s="106" customFormat="1" ht="50.1" thickBot="1">
      <c r="A135" s="107" t="str">
        <f>_xlfn.XLOOKUP(B135,'Paso 3 Redacción RA'!I$3:I$12,'Paso 3 Redacción RA'!C$3:C$12,,0,1)</f>
        <v>SaberSer</v>
      </c>
      <c r="B135" s="77" t="s">
        <v>89</v>
      </c>
      <c r="C135" s="144"/>
      <c r="D135" s="144"/>
      <c r="E135" s="141"/>
      <c r="F135" s="144"/>
      <c r="G135" s="144"/>
      <c r="H135" s="144"/>
      <c r="I135" s="144"/>
      <c r="J135" s="144"/>
      <c r="K135" s="144"/>
      <c r="L135" s="144"/>
      <c r="M135" s="144"/>
      <c r="N135" s="141"/>
      <c r="O135" s="141"/>
      <c r="P135" s="141"/>
      <c r="Q135" s="141"/>
      <c r="R135" s="109"/>
      <c r="S135" s="105"/>
    </row>
    <row r="136" spans="1:19" s="106" customFormat="1" ht="66">
      <c r="A136" s="108" t="str">
        <f>_xlfn.XLOOKUP(B136,'Paso 3 Redacción RA'!I$3:I$12,'Paso 3 Redacción RA'!C$3:C$12,,0,1)</f>
        <v>Saber</v>
      </c>
      <c r="B136" s="78" t="s">
        <v>84</v>
      </c>
      <c r="C136" s="142">
        <v>7</v>
      </c>
      <c r="D136" s="142" t="s">
        <v>358</v>
      </c>
      <c r="E136" s="150" t="s">
        <v>359</v>
      </c>
      <c r="F136" s="142" t="s">
        <v>222</v>
      </c>
      <c r="G136" s="142"/>
      <c r="H136" s="142" t="s">
        <v>223</v>
      </c>
      <c r="I136" s="142"/>
      <c r="J136" s="142">
        <v>3</v>
      </c>
      <c r="K136" s="142">
        <f>16*J136</f>
        <v>48</v>
      </c>
      <c r="L136" s="142">
        <f>32*J136</f>
        <v>96</v>
      </c>
      <c r="M136" s="142">
        <f>SUM(K136:L136)</f>
        <v>144</v>
      </c>
      <c r="N136" s="150" t="s">
        <v>360</v>
      </c>
      <c r="O136" s="150" t="s">
        <v>236</v>
      </c>
      <c r="P136" s="150" t="s">
        <v>237</v>
      </c>
      <c r="Q136" s="150" t="s">
        <v>227</v>
      </c>
      <c r="R136" s="109"/>
      <c r="S136" s="105"/>
    </row>
    <row r="137" spans="1:19" s="106" customFormat="1" ht="49.5">
      <c r="A137" s="106" t="str">
        <f>_xlfn.XLOOKUP(B137,'Paso 3 Redacción RA'!I$3:I$12,'Paso 3 Redacción RA'!C$3:C$12,,0,1)</f>
        <v>Saber</v>
      </c>
      <c r="B137" s="52" t="s">
        <v>90</v>
      </c>
      <c r="C137" s="143"/>
      <c r="D137" s="143"/>
      <c r="E137" s="133"/>
      <c r="F137" s="143"/>
      <c r="G137" s="143"/>
      <c r="H137" s="143"/>
      <c r="I137" s="143"/>
      <c r="J137" s="143"/>
      <c r="K137" s="143"/>
      <c r="L137" s="143"/>
      <c r="M137" s="143"/>
      <c r="N137" s="133"/>
      <c r="O137" s="133"/>
      <c r="P137" s="133"/>
      <c r="Q137" s="133"/>
      <c r="R137" s="109"/>
      <c r="S137" s="105"/>
    </row>
    <row r="138" spans="1:19" s="106" customFormat="1" ht="66">
      <c r="A138" s="106" t="str">
        <f>_xlfn.XLOOKUP(B138,'Paso 3 Redacción RA'!I$3:I$12,'Paso 3 Redacción RA'!C$3:C$12,,0,1)</f>
        <v>Saber</v>
      </c>
      <c r="B138" s="52" t="s">
        <v>94</v>
      </c>
      <c r="C138" s="143"/>
      <c r="D138" s="143"/>
      <c r="E138" s="133"/>
      <c r="F138" s="143"/>
      <c r="G138" s="143"/>
      <c r="H138" s="143"/>
      <c r="I138" s="143"/>
      <c r="J138" s="143"/>
      <c r="K138" s="143"/>
      <c r="L138" s="143"/>
      <c r="M138" s="143"/>
      <c r="N138" s="133"/>
      <c r="O138" s="133"/>
      <c r="P138" s="133"/>
      <c r="Q138" s="133"/>
      <c r="R138" s="109"/>
      <c r="S138" s="105"/>
    </row>
    <row r="139" spans="1:19" s="106" customFormat="1" ht="49.5">
      <c r="A139" s="106" t="str">
        <f>_xlfn.XLOOKUP(B139,'Paso 3 Redacción RA'!I$3:I$12,'Paso 3 Redacción RA'!C$3:C$12,,0,1)</f>
        <v>SaberHacer</v>
      </c>
      <c r="B139" s="52" t="s">
        <v>87</v>
      </c>
      <c r="C139" s="143"/>
      <c r="D139" s="143"/>
      <c r="E139" s="133"/>
      <c r="F139" s="143"/>
      <c r="G139" s="143"/>
      <c r="H139" s="143"/>
      <c r="I139" s="143"/>
      <c r="J139" s="143"/>
      <c r="K139" s="143"/>
      <c r="L139" s="143"/>
      <c r="M139" s="143"/>
      <c r="N139" s="133"/>
      <c r="O139" s="133"/>
      <c r="P139" s="133"/>
      <c r="Q139" s="133"/>
      <c r="R139" s="109"/>
      <c r="S139" s="105"/>
    </row>
    <row r="140" spans="1:19" s="106" customFormat="1" ht="33">
      <c r="A140" s="106" t="str">
        <f>_xlfn.XLOOKUP(B140,'Paso 3 Redacción RA'!I$3:I$12,'Paso 3 Redacción RA'!C$3:C$12,,0,1)</f>
        <v>SaberHacer</v>
      </c>
      <c r="B140" s="52" t="s">
        <v>93</v>
      </c>
      <c r="C140" s="143"/>
      <c r="D140" s="143"/>
      <c r="E140" s="133"/>
      <c r="F140" s="143"/>
      <c r="G140" s="143"/>
      <c r="H140" s="143"/>
      <c r="I140" s="143"/>
      <c r="J140" s="143"/>
      <c r="K140" s="143"/>
      <c r="L140" s="143"/>
      <c r="M140" s="143"/>
      <c r="N140" s="133"/>
      <c r="O140" s="133"/>
      <c r="P140" s="133"/>
      <c r="Q140" s="133"/>
      <c r="R140" s="109"/>
      <c r="S140" s="105"/>
    </row>
    <row r="141" spans="1:19" s="106" customFormat="1" ht="33">
      <c r="A141" s="106" t="str">
        <f>_xlfn.XLOOKUP(B141,'Paso 3 Redacción RA'!I$3:I$12,'Paso 3 Redacción RA'!C$3:C$12,,0,1)</f>
        <v>SaberHacer</v>
      </c>
      <c r="B141" s="52" t="s">
        <v>95</v>
      </c>
      <c r="C141" s="143"/>
      <c r="D141" s="143"/>
      <c r="E141" s="133"/>
      <c r="F141" s="143"/>
      <c r="G141" s="143"/>
      <c r="H141" s="143"/>
      <c r="I141" s="143"/>
      <c r="J141" s="143"/>
      <c r="K141" s="143"/>
      <c r="L141" s="143"/>
      <c r="M141" s="143"/>
      <c r="N141" s="133"/>
      <c r="O141" s="133"/>
      <c r="P141" s="133"/>
      <c r="Q141" s="133"/>
      <c r="R141" s="109"/>
      <c r="S141" s="105"/>
    </row>
    <row r="142" spans="1:19" s="106" customFormat="1" ht="50.1" thickBot="1">
      <c r="A142" s="107" t="str">
        <f>_xlfn.XLOOKUP(B142,'Paso 3 Redacción RA'!I$3:I$12,'Paso 3 Redacción RA'!C$3:C$12,,0,1)</f>
        <v>SaberSer</v>
      </c>
      <c r="B142" s="77" t="s">
        <v>89</v>
      </c>
      <c r="C142" s="144"/>
      <c r="D142" s="144"/>
      <c r="E142" s="141"/>
      <c r="F142" s="144"/>
      <c r="G142" s="144"/>
      <c r="H142" s="144"/>
      <c r="I142" s="144"/>
      <c r="J142" s="144"/>
      <c r="K142" s="144"/>
      <c r="L142" s="144"/>
      <c r="M142" s="144"/>
      <c r="N142" s="141"/>
      <c r="O142" s="141"/>
      <c r="P142" s="141"/>
      <c r="Q142" s="141"/>
      <c r="R142" s="109"/>
      <c r="S142" s="105"/>
    </row>
    <row r="143" spans="1:19" s="106" customFormat="1" ht="17.100000000000001" thickBot="1">
      <c r="A143" s="111"/>
      <c r="B143" s="112"/>
      <c r="C143" s="113">
        <v>7</v>
      </c>
      <c r="D143" s="114" t="s">
        <v>361</v>
      </c>
      <c r="E143" s="112"/>
      <c r="F143" s="111"/>
      <c r="G143" s="113"/>
      <c r="H143" s="113"/>
      <c r="I143" s="113" t="s">
        <v>223</v>
      </c>
      <c r="J143" s="113">
        <v>3</v>
      </c>
      <c r="K143" s="113">
        <f>16*J143</f>
        <v>48</v>
      </c>
      <c r="L143" s="113">
        <f>32*J143</f>
        <v>96</v>
      </c>
      <c r="M143" s="113">
        <f>SUM(K143:L143)</f>
        <v>144</v>
      </c>
      <c r="N143" s="112"/>
      <c r="O143" s="112"/>
      <c r="P143" s="112"/>
      <c r="Q143" s="112"/>
      <c r="R143" s="109"/>
      <c r="S143" s="105"/>
    </row>
    <row r="144" spans="1:19" s="106" customFormat="1" ht="17.100000000000001" thickBot="1">
      <c r="A144" s="111"/>
      <c r="B144" s="112"/>
      <c r="C144" s="113">
        <v>7</v>
      </c>
      <c r="D144" s="114" t="s">
        <v>362</v>
      </c>
      <c r="E144" s="112"/>
      <c r="F144" s="111"/>
      <c r="G144" s="113"/>
      <c r="H144" s="113"/>
      <c r="I144" s="113" t="s">
        <v>223</v>
      </c>
      <c r="J144" s="113">
        <v>3</v>
      </c>
      <c r="K144" s="113">
        <f>16*J144</f>
        <v>48</v>
      </c>
      <c r="L144" s="113">
        <f>32*J144</f>
        <v>96</v>
      </c>
      <c r="M144" s="113">
        <f>SUM(K144:L144)</f>
        <v>144</v>
      </c>
      <c r="N144" s="112"/>
      <c r="O144" s="112"/>
      <c r="P144" s="112"/>
      <c r="Q144" s="112"/>
      <c r="R144" s="109">
        <f>SUM(J117:J144)</f>
        <v>18</v>
      </c>
      <c r="S144" s="105">
        <f>COUNTA(D117:D144)</f>
        <v>6</v>
      </c>
    </row>
    <row r="145" spans="1:19" s="106" customFormat="1" ht="66">
      <c r="A145" s="108" t="str">
        <f>_xlfn.XLOOKUP(B145,'Paso 3 Redacción RA'!I$3:I$12,'Paso 3 Redacción RA'!C$3:C$12,,0,1)</f>
        <v>Saber</v>
      </c>
      <c r="B145" s="78" t="s">
        <v>84</v>
      </c>
      <c r="C145" s="142">
        <v>8</v>
      </c>
      <c r="D145" s="142" t="s">
        <v>363</v>
      </c>
      <c r="E145" s="150" t="s">
        <v>364</v>
      </c>
      <c r="F145" s="142" t="s">
        <v>222</v>
      </c>
      <c r="G145" s="142"/>
      <c r="H145" s="142" t="s">
        <v>223</v>
      </c>
      <c r="I145" s="142"/>
      <c r="J145" s="142">
        <v>6</v>
      </c>
      <c r="K145" s="142">
        <f>16*J145</f>
        <v>96</v>
      </c>
      <c r="L145" s="142">
        <f>32*J145</f>
        <v>192</v>
      </c>
      <c r="M145" s="142">
        <f>SUM(K145:L145)</f>
        <v>288</v>
      </c>
      <c r="N145" s="150" t="s">
        <v>365</v>
      </c>
      <c r="O145" s="150" t="s">
        <v>236</v>
      </c>
      <c r="P145" s="150" t="s">
        <v>237</v>
      </c>
      <c r="Q145" s="150" t="s">
        <v>227</v>
      </c>
      <c r="R145" s="109"/>
      <c r="S145" s="105"/>
    </row>
    <row r="146" spans="1:19" s="106" customFormat="1" ht="49.5">
      <c r="A146" s="106" t="str">
        <f>_xlfn.XLOOKUP(B146,'Paso 3 Redacción RA'!I$3:I$12,'Paso 3 Redacción RA'!C$3:C$12,,0,1)</f>
        <v>Saber</v>
      </c>
      <c r="B146" s="52" t="s">
        <v>90</v>
      </c>
      <c r="C146" s="143"/>
      <c r="D146" s="143"/>
      <c r="E146" s="133"/>
      <c r="F146" s="143"/>
      <c r="G146" s="143"/>
      <c r="H146" s="143"/>
      <c r="I146" s="143"/>
      <c r="J146" s="143"/>
      <c r="K146" s="143"/>
      <c r="L146" s="143"/>
      <c r="M146" s="143"/>
      <c r="N146" s="133"/>
      <c r="O146" s="133"/>
      <c r="P146" s="133"/>
      <c r="Q146" s="133"/>
      <c r="R146" s="109"/>
      <c r="S146" s="105"/>
    </row>
    <row r="147" spans="1:19" s="106" customFormat="1" ht="66">
      <c r="A147" s="106" t="str">
        <f>_xlfn.XLOOKUP(B147,'Paso 3 Redacción RA'!I$3:I$12,'Paso 3 Redacción RA'!C$3:C$12,,0,1)</f>
        <v>Saber</v>
      </c>
      <c r="B147" s="52" t="s">
        <v>94</v>
      </c>
      <c r="C147" s="143"/>
      <c r="D147" s="143"/>
      <c r="E147" s="133"/>
      <c r="F147" s="143"/>
      <c r="G147" s="143"/>
      <c r="H147" s="143"/>
      <c r="I147" s="143"/>
      <c r="J147" s="143"/>
      <c r="K147" s="143"/>
      <c r="L147" s="143"/>
      <c r="M147" s="143"/>
      <c r="N147" s="133"/>
      <c r="O147" s="133"/>
      <c r="P147" s="133"/>
      <c r="Q147" s="133"/>
      <c r="R147" s="109"/>
      <c r="S147" s="105"/>
    </row>
    <row r="148" spans="1:19" s="106" customFormat="1" ht="49.5">
      <c r="A148" s="106" t="str">
        <f>_xlfn.XLOOKUP(B148,'Paso 3 Redacción RA'!I$3:I$12,'Paso 3 Redacción RA'!C$3:C$12,,0,1)</f>
        <v>SaberHacer</v>
      </c>
      <c r="B148" s="52" t="s">
        <v>87</v>
      </c>
      <c r="C148" s="143"/>
      <c r="D148" s="143"/>
      <c r="E148" s="133"/>
      <c r="F148" s="143"/>
      <c r="G148" s="143"/>
      <c r="H148" s="143"/>
      <c r="I148" s="143"/>
      <c r="J148" s="143"/>
      <c r="K148" s="143"/>
      <c r="L148" s="143"/>
      <c r="M148" s="143"/>
      <c r="N148" s="133"/>
      <c r="O148" s="133"/>
      <c r="P148" s="133"/>
      <c r="Q148" s="133"/>
      <c r="R148" s="109"/>
      <c r="S148" s="105"/>
    </row>
    <row r="149" spans="1:19" s="106" customFormat="1" ht="33">
      <c r="A149" s="106" t="str">
        <f>_xlfn.XLOOKUP(B149,'Paso 3 Redacción RA'!I$3:I$12,'Paso 3 Redacción RA'!C$3:C$12,,0,1)</f>
        <v>SaberHacer</v>
      </c>
      <c r="B149" s="52" t="s">
        <v>93</v>
      </c>
      <c r="C149" s="143"/>
      <c r="D149" s="143"/>
      <c r="E149" s="133"/>
      <c r="F149" s="143"/>
      <c r="G149" s="143"/>
      <c r="H149" s="143"/>
      <c r="I149" s="143"/>
      <c r="J149" s="143"/>
      <c r="K149" s="143"/>
      <c r="L149" s="143"/>
      <c r="M149" s="143"/>
      <c r="N149" s="133"/>
      <c r="O149" s="133"/>
      <c r="P149" s="133"/>
      <c r="Q149" s="133"/>
      <c r="R149" s="109"/>
      <c r="S149" s="105"/>
    </row>
    <row r="150" spans="1:19" s="106" customFormat="1" ht="33">
      <c r="A150" s="106" t="str">
        <f>_xlfn.XLOOKUP(B150,'Paso 3 Redacción RA'!I$3:I$12,'Paso 3 Redacción RA'!C$3:C$12,,0,1)</f>
        <v>SaberHacer</v>
      </c>
      <c r="B150" s="52" t="s">
        <v>95</v>
      </c>
      <c r="C150" s="143"/>
      <c r="D150" s="143"/>
      <c r="E150" s="133"/>
      <c r="F150" s="143"/>
      <c r="G150" s="143"/>
      <c r="H150" s="143"/>
      <c r="I150" s="143"/>
      <c r="J150" s="143"/>
      <c r="K150" s="143"/>
      <c r="L150" s="143"/>
      <c r="M150" s="143"/>
      <c r="N150" s="133"/>
      <c r="O150" s="133"/>
      <c r="P150" s="133"/>
      <c r="Q150" s="133"/>
      <c r="R150" s="109"/>
      <c r="S150" s="105"/>
    </row>
    <row r="151" spans="1:19" s="106" customFormat="1" ht="50.1" thickBot="1">
      <c r="A151" s="107" t="str">
        <f>_xlfn.XLOOKUP(B151,'Paso 3 Redacción RA'!I$3:I$12,'Paso 3 Redacción RA'!C$3:C$12,,0,1)</f>
        <v>SaberSer</v>
      </c>
      <c r="B151" s="77" t="s">
        <v>89</v>
      </c>
      <c r="C151" s="144"/>
      <c r="D151" s="144"/>
      <c r="E151" s="141"/>
      <c r="F151" s="144"/>
      <c r="G151" s="144"/>
      <c r="H151" s="144"/>
      <c r="I151" s="144"/>
      <c r="J151" s="144"/>
      <c r="K151" s="144"/>
      <c r="L151" s="144"/>
      <c r="M151" s="144"/>
      <c r="N151" s="141"/>
      <c r="O151" s="141"/>
      <c r="P151" s="141"/>
      <c r="Q151" s="141"/>
      <c r="R151" s="109"/>
      <c r="S151" s="105"/>
    </row>
    <row r="152" spans="1:19" s="106" customFormat="1" ht="66">
      <c r="A152" s="108" t="str">
        <f>_xlfn.XLOOKUP(B152,'Paso 3 Redacción RA'!I$3:I$12,'Paso 3 Redacción RA'!C$3:C$12,,0,1)</f>
        <v>Saber</v>
      </c>
      <c r="B152" s="78" t="s">
        <v>84</v>
      </c>
      <c r="C152" s="142">
        <v>8</v>
      </c>
      <c r="D152" s="142" t="s">
        <v>366</v>
      </c>
      <c r="E152" s="150" t="s">
        <v>367</v>
      </c>
      <c r="F152" s="142" t="s">
        <v>222</v>
      </c>
      <c r="G152" s="142"/>
      <c r="H152" s="142" t="s">
        <v>223</v>
      </c>
      <c r="I152" s="142"/>
      <c r="J152" s="142">
        <v>6</v>
      </c>
      <c r="K152" s="142">
        <f>16*J152</f>
        <v>96</v>
      </c>
      <c r="L152" s="142">
        <f>32*J152</f>
        <v>192</v>
      </c>
      <c r="M152" s="142">
        <f>SUM(K152:L152)</f>
        <v>288</v>
      </c>
      <c r="N152" s="150" t="s">
        <v>368</v>
      </c>
      <c r="O152" s="150" t="s">
        <v>236</v>
      </c>
      <c r="P152" s="150" t="s">
        <v>237</v>
      </c>
      <c r="Q152" s="150" t="s">
        <v>227</v>
      </c>
      <c r="R152" s="109"/>
      <c r="S152" s="105"/>
    </row>
    <row r="153" spans="1:19" s="106" customFormat="1" ht="49.5">
      <c r="A153" s="106" t="str">
        <f>_xlfn.XLOOKUP(B153,'Paso 3 Redacción RA'!I$3:I$12,'Paso 3 Redacción RA'!C$3:C$12,,0,1)</f>
        <v>Saber</v>
      </c>
      <c r="B153" s="52" t="s">
        <v>90</v>
      </c>
      <c r="C153" s="143"/>
      <c r="D153" s="143"/>
      <c r="E153" s="133"/>
      <c r="F153" s="143"/>
      <c r="G153" s="143"/>
      <c r="H153" s="143"/>
      <c r="I153" s="143"/>
      <c r="J153" s="143"/>
      <c r="K153" s="143"/>
      <c r="L153" s="143"/>
      <c r="M153" s="143"/>
      <c r="N153" s="133"/>
      <c r="O153" s="133"/>
      <c r="P153" s="133"/>
      <c r="Q153" s="133"/>
      <c r="R153" s="109"/>
      <c r="S153" s="105"/>
    </row>
    <row r="154" spans="1:19" s="106" customFormat="1" ht="66">
      <c r="A154" s="106" t="str">
        <f>_xlfn.XLOOKUP(B154,'Paso 3 Redacción RA'!I$3:I$12,'Paso 3 Redacción RA'!C$3:C$12,,0,1)</f>
        <v>Saber</v>
      </c>
      <c r="B154" s="52" t="s">
        <v>94</v>
      </c>
      <c r="C154" s="143"/>
      <c r="D154" s="143"/>
      <c r="E154" s="133"/>
      <c r="F154" s="143"/>
      <c r="G154" s="143"/>
      <c r="H154" s="143"/>
      <c r="I154" s="143"/>
      <c r="J154" s="143"/>
      <c r="K154" s="143"/>
      <c r="L154" s="143"/>
      <c r="M154" s="143"/>
      <c r="N154" s="133"/>
      <c r="O154" s="133"/>
      <c r="P154" s="133"/>
      <c r="Q154" s="133"/>
      <c r="R154" s="109"/>
      <c r="S154" s="105"/>
    </row>
    <row r="155" spans="1:19" s="106" customFormat="1" ht="49.5">
      <c r="A155" s="106" t="str">
        <f>_xlfn.XLOOKUP(B155,'Paso 3 Redacción RA'!I$3:I$12,'Paso 3 Redacción RA'!C$3:C$12,,0,1)</f>
        <v>SaberHacer</v>
      </c>
      <c r="B155" s="52" t="s">
        <v>87</v>
      </c>
      <c r="C155" s="143"/>
      <c r="D155" s="143"/>
      <c r="E155" s="133"/>
      <c r="F155" s="143"/>
      <c r="G155" s="143"/>
      <c r="H155" s="143"/>
      <c r="I155" s="143"/>
      <c r="J155" s="143"/>
      <c r="K155" s="143"/>
      <c r="L155" s="143"/>
      <c r="M155" s="143"/>
      <c r="N155" s="133"/>
      <c r="O155" s="133"/>
      <c r="P155" s="133"/>
      <c r="Q155" s="133"/>
      <c r="R155" s="109"/>
      <c r="S155" s="105"/>
    </row>
    <row r="156" spans="1:19" s="106" customFormat="1" ht="33">
      <c r="A156" s="106" t="str">
        <f>_xlfn.XLOOKUP(B156,'Paso 3 Redacción RA'!I$3:I$12,'Paso 3 Redacción RA'!C$3:C$12,,0,1)</f>
        <v>SaberHacer</v>
      </c>
      <c r="B156" s="52" t="s">
        <v>93</v>
      </c>
      <c r="C156" s="143"/>
      <c r="D156" s="143"/>
      <c r="E156" s="133"/>
      <c r="F156" s="143"/>
      <c r="G156" s="143"/>
      <c r="H156" s="143"/>
      <c r="I156" s="143"/>
      <c r="J156" s="143"/>
      <c r="K156" s="143"/>
      <c r="L156" s="143"/>
      <c r="M156" s="143"/>
      <c r="N156" s="133"/>
      <c r="O156" s="133"/>
      <c r="P156" s="133"/>
      <c r="Q156" s="133"/>
      <c r="R156" s="109"/>
      <c r="S156" s="105"/>
    </row>
    <row r="157" spans="1:19" s="106" customFormat="1" ht="33">
      <c r="A157" s="106" t="str">
        <f>_xlfn.XLOOKUP(B157,'Paso 3 Redacción RA'!I$3:I$12,'Paso 3 Redacción RA'!C$3:C$12,,0,1)</f>
        <v>SaberHacer</v>
      </c>
      <c r="B157" s="52" t="s">
        <v>95</v>
      </c>
      <c r="C157" s="143"/>
      <c r="D157" s="143"/>
      <c r="E157" s="133"/>
      <c r="F157" s="143"/>
      <c r="G157" s="143"/>
      <c r="H157" s="143"/>
      <c r="I157" s="143"/>
      <c r="J157" s="143"/>
      <c r="K157" s="143"/>
      <c r="L157" s="143"/>
      <c r="M157" s="143"/>
      <c r="N157" s="133"/>
      <c r="O157" s="133"/>
      <c r="P157" s="133"/>
      <c r="Q157" s="133"/>
      <c r="R157" s="109"/>
      <c r="S157" s="105"/>
    </row>
    <row r="158" spans="1:19" s="106" customFormat="1" ht="50.1" thickBot="1">
      <c r="A158" s="107" t="str">
        <f>_xlfn.XLOOKUP(B158,'Paso 3 Redacción RA'!I$3:I$12,'Paso 3 Redacción RA'!C$3:C$12,,0,1)</f>
        <v>SaberSer</v>
      </c>
      <c r="B158" s="77" t="s">
        <v>89</v>
      </c>
      <c r="C158" s="144"/>
      <c r="D158" s="144"/>
      <c r="E158" s="141"/>
      <c r="F158" s="144"/>
      <c r="G158" s="144"/>
      <c r="H158" s="144"/>
      <c r="I158" s="144"/>
      <c r="J158" s="144"/>
      <c r="K158" s="144"/>
      <c r="L158" s="144"/>
      <c r="M158" s="144"/>
      <c r="N158" s="141"/>
      <c r="O158" s="141"/>
      <c r="P158" s="141"/>
      <c r="Q158" s="141"/>
      <c r="R158" s="109"/>
      <c r="S158" s="105"/>
    </row>
    <row r="159" spans="1:19" s="106" customFormat="1" ht="17.100000000000001" thickBot="1">
      <c r="A159" s="111"/>
      <c r="B159" s="112"/>
      <c r="C159" s="113">
        <v>8</v>
      </c>
      <c r="D159" s="114" t="s">
        <v>369</v>
      </c>
      <c r="E159" s="112"/>
      <c r="F159" s="111"/>
      <c r="G159" s="113"/>
      <c r="H159" s="113"/>
      <c r="I159" s="113" t="s">
        <v>223</v>
      </c>
      <c r="J159" s="113">
        <v>3</v>
      </c>
      <c r="K159" s="113">
        <f>16*J159</f>
        <v>48</v>
      </c>
      <c r="L159" s="113">
        <f>32*J159</f>
        <v>96</v>
      </c>
      <c r="M159" s="113">
        <f>SUM(K159:L159)</f>
        <v>144</v>
      </c>
      <c r="N159" s="112"/>
      <c r="O159" s="112"/>
      <c r="P159" s="112"/>
      <c r="Q159" s="112"/>
      <c r="R159" s="109"/>
      <c r="S159" s="105"/>
    </row>
    <row r="160" spans="1:19" s="106" customFormat="1" ht="17.100000000000001" thickBot="1">
      <c r="A160" s="111"/>
      <c r="B160" s="112"/>
      <c r="C160" s="113">
        <v>8</v>
      </c>
      <c r="D160" s="114" t="s">
        <v>370</v>
      </c>
      <c r="E160" s="112"/>
      <c r="F160" s="111"/>
      <c r="G160" s="113"/>
      <c r="H160" s="113"/>
      <c r="I160" s="113" t="s">
        <v>223</v>
      </c>
      <c r="J160" s="113">
        <v>3</v>
      </c>
      <c r="K160" s="113">
        <f>16*J160</f>
        <v>48</v>
      </c>
      <c r="L160" s="113">
        <f>32*J160</f>
        <v>96</v>
      </c>
      <c r="M160" s="113">
        <f>SUM(K160:L160)</f>
        <v>144</v>
      </c>
      <c r="N160" s="112"/>
      <c r="O160" s="112"/>
      <c r="P160" s="112"/>
      <c r="Q160" s="112"/>
      <c r="R160" s="109">
        <f>SUM(J145:J160)</f>
        <v>18</v>
      </c>
      <c r="S160" s="105">
        <f>COUNTA(D145:D160)</f>
        <v>4</v>
      </c>
    </row>
    <row r="161" spans="1:19" s="120" customFormat="1" ht="32.1">
      <c r="A161" s="115"/>
      <c r="B161" s="116"/>
      <c r="C161" s="124" t="s">
        <v>371</v>
      </c>
      <c r="D161" s="94">
        <f>COUNTA(D3:D160)</f>
        <v>44</v>
      </c>
      <c r="E161" s="116"/>
      <c r="F161" s="117"/>
      <c r="G161" s="117"/>
      <c r="H161" s="117"/>
      <c r="I161" s="125" t="s">
        <v>372</v>
      </c>
      <c r="J161" s="118">
        <f>SUM(J3:J160)</f>
        <v>136</v>
      </c>
      <c r="K161" s="82"/>
      <c r="L161" s="82"/>
      <c r="M161" s="117"/>
      <c r="N161" s="116"/>
      <c r="O161" s="116"/>
      <c r="P161" s="116"/>
      <c r="Q161" s="116"/>
      <c r="R161" s="129">
        <f>SUM(R3:R160)</f>
        <v>136</v>
      </c>
      <c r="S161" s="119">
        <f>SUM(S3:S160)</f>
        <v>44</v>
      </c>
    </row>
    <row r="162" spans="1:19" s="120" customFormat="1" ht="48">
      <c r="A162" s="115"/>
      <c r="B162" s="116"/>
      <c r="C162" s="117"/>
      <c r="D162" s="117"/>
      <c r="E162" s="116"/>
      <c r="F162" s="117"/>
      <c r="G162" s="117"/>
      <c r="H162" s="117"/>
      <c r="I162" s="126" t="s">
        <v>373</v>
      </c>
      <c r="J162" s="121">
        <f>SUMIF(G3:G160,"X",J3:J160)</f>
        <v>18</v>
      </c>
      <c r="K162" s="82"/>
      <c r="L162" s="117"/>
      <c r="M162" s="117"/>
      <c r="N162" s="116"/>
      <c r="O162" s="116"/>
      <c r="P162" s="116"/>
      <c r="Q162" s="116"/>
      <c r="R162" s="129"/>
      <c r="S162" s="119"/>
    </row>
    <row r="163" spans="1:19" s="120" customFormat="1" ht="48">
      <c r="A163" s="122"/>
      <c r="B163" s="116"/>
      <c r="C163" s="117"/>
      <c r="D163" s="117"/>
      <c r="E163" s="116"/>
      <c r="F163" s="117"/>
      <c r="G163" s="117"/>
      <c r="H163" s="117"/>
      <c r="I163" s="126" t="s">
        <v>374</v>
      </c>
      <c r="J163" s="121">
        <f>SUMIF(H3:H160,"X",J3:J160)</f>
        <v>106</v>
      </c>
      <c r="K163" s="82"/>
      <c r="L163" s="117"/>
      <c r="M163" s="117"/>
      <c r="N163" s="116"/>
      <c r="O163" s="116"/>
      <c r="P163" s="116"/>
      <c r="Q163" s="116"/>
      <c r="R163" s="129"/>
      <c r="S163" s="119"/>
    </row>
    <row r="164" spans="1:19" s="120" customFormat="1" ht="32.1">
      <c r="A164" s="122"/>
      <c r="B164" s="116"/>
      <c r="C164" s="117"/>
      <c r="D164" s="117"/>
      <c r="F164" s="117"/>
      <c r="G164" s="117"/>
      <c r="H164" s="117"/>
      <c r="I164" s="126" t="s">
        <v>375</v>
      </c>
      <c r="J164" s="121">
        <f>SUMIF(I3:I160,"X",J3:J160)</f>
        <v>12</v>
      </c>
      <c r="K164" s="82"/>
      <c r="L164" s="117"/>
      <c r="M164" s="117"/>
      <c r="N164" s="116"/>
      <c r="O164" s="116"/>
      <c r="P164" s="116"/>
      <c r="Q164" s="116"/>
      <c r="R164" s="129"/>
      <c r="S164" s="119"/>
    </row>
    <row r="165" spans="1:19" s="103" customFormat="1">
      <c r="A165" s="86"/>
      <c r="B165" s="52"/>
      <c r="C165" s="97"/>
      <c r="D165" s="97"/>
      <c r="E165" s="52"/>
      <c r="F165" s="97"/>
      <c r="G165" s="97"/>
      <c r="H165" s="97"/>
      <c r="I165" s="97"/>
      <c r="J165" s="97"/>
      <c r="K165" s="97"/>
      <c r="L165" s="97"/>
      <c r="M165" s="97"/>
      <c r="N165" s="52"/>
      <c r="O165" s="52"/>
      <c r="P165" s="52"/>
      <c r="Q165" s="52"/>
      <c r="R165" s="109"/>
      <c r="S165" s="123"/>
    </row>
    <row r="166" spans="1:19" s="103" customFormat="1">
      <c r="A166" s="86"/>
      <c r="B166" s="52"/>
      <c r="C166" s="97"/>
      <c r="D166" s="97"/>
      <c r="E166" s="52"/>
      <c r="F166" s="97"/>
      <c r="G166" s="97"/>
      <c r="H166" s="97"/>
      <c r="I166" s="97"/>
      <c r="J166" s="97"/>
      <c r="K166" s="97"/>
      <c r="L166" s="97"/>
      <c r="M166" s="97"/>
      <c r="N166" s="52"/>
      <c r="O166" s="52"/>
      <c r="P166" s="52"/>
      <c r="Q166" s="52"/>
      <c r="R166" s="109"/>
      <c r="S166" s="123"/>
    </row>
    <row r="167" spans="1:19" s="103" customFormat="1">
      <c r="A167" s="86"/>
      <c r="B167" s="52"/>
      <c r="C167" s="97"/>
      <c r="D167" s="97"/>
      <c r="E167" s="52"/>
      <c r="F167" s="97"/>
      <c r="G167" s="97"/>
      <c r="H167" s="97"/>
      <c r="I167" s="97"/>
      <c r="J167" s="97"/>
      <c r="K167" s="97"/>
      <c r="L167" s="97"/>
      <c r="M167" s="97"/>
      <c r="N167" s="52"/>
      <c r="O167" s="52"/>
      <c r="P167" s="52"/>
      <c r="Q167" s="52"/>
      <c r="R167" s="109"/>
      <c r="S167" s="123"/>
    </row>
    <row r="168" spans="1:19" s="103" customFormat="1">
      <c r="A168" s="86"/>
      <c r="B168" s="52"/>
      <c r="C168" s="97"/>
      <c r="D168" s="97"/>
      <c r="E168" s="52"/>
      <c r="F168" s="97"/>
      <c r="G168" s="97"/>
      <c r="H168" s="97"/>
      <c r="I168" s="97"/>
      <c r="J168" s="97"/>
      <c r="K168" s="97"/>
      <c r="L168" s="97"/>
      <c r="M168" s="97"/>
      <c r="N168" s="52"/>
      <c r="O168" s="52"/>
      <c r="P168" s="52"/>
      <c r="Q168" s="52"/>
      <c r="R168" s="109"/>
      <c r="S168" s="123"/>
    </row>
    <row r="169" spans="1:19" s="103" customFormat="1">
      <c r="A169" s="86"/>
      <c r="B169" s="52"/>
      <c r="C169" s="97"/>
      <c r="D169" s="97"/>
      <c r="E169" s="52"/>
      <c r="F169" s="97"/>
      <c r="G169" s="97"/>
      <c r="H169" s="97"/>
      <c r="I169" s="97"/>
      <c r="J169" s="97"/>
      <c r="K169" s="97"/>
      <c r="L169" s="97"/>
      <c r="M169" s="97"/>
      <c r="N169" s="52"/>
      <c r="O169" s="52"/>
      <c r="P169" s="52"/>
      <c r="Q169" s="52"/>
      <c r="R169" s="109"/>
      <c r="S169" s="123"/>
    </row>
    <row r="170" spans="1:19" s="103" customFormat="1">
      <c r="A170" s="86"/>
      <c r="B170" s="52"/>
      <c r="C170" s="97"/>
      <c r="D170" s="97"/>
      <c r="E170" s="52"/>
      <c r="F170" s="97"/>
      <c r="G170" s="97"/>
      <c r="H170" s="97"/>
      <c r="I170" s="97"/>
      <c r="J170" s="97"/>
      <c r="K170" s="97"/>
      <c r="L170" s="97"/>
      <c r="M170" s="97"/>
      <c r="N170" s="52"/>
      <c r="O170" s="52"/>
      <c r="P170" s="52"/>
      <c r="Q170" s="52"/>
      <c r="R170" s="109"/>
      <c r="S170" s="123"/>
    </row>
    <row r="171" spans="1:19" s="103" customFormat="1">
      <c r="A171" s="86"/>
      <c r="B171" s="52"/>
      <c r="C171" s="97"/>
      <c r="D171" s="97"/>
      <c r="E171" s="52"/>
      <c r="F171" s="97"/>
      <c r="G171" s="97"/>
      <c r="H171" s="97"/>
      <c r="I171" s="97"/>
      <c r="J171" s="97"/>
      <c r="K171" s="97"/>
      <c r="L171" s="97"/>
      <c r="M171" s="97"/>
      <c r="N171" s="52"/>
      <c r="O171" s="52"/>
      <c r="P171" s="52"/>
      <c r="Q171" s="52"/>
      <c r="R171" s="109"/>
      <c r="S171" s="123"/>
    </row>
    <row r="172" spans="1:19" s="103" customFormat="1">
      <c r="A172" s="86"/>
      <c r="B172" s="52"/>
      <c r="D172" s="97"/>
      <c r="E172" s="52"/>
      <c r="N172" s="52"/>
      <c r="O172" s="52"/>
      <c r="P172" s="52"/>
      <c r="Q172" s="52"/>
      <c r="R172" s="109"/>
      <c r="S172" s="123"/>
    </row>
    <row r="173" spans="1:19">
      <c r="E173" s="81"/>
    </row>
  </sheetData>
  <autoFilter ref="A2:Q164" xr:uid="{F0EE195A-FBC9-4847-94C9-3ADDAD335674}"/>
  <mergeCells count="496">
    <mergeCell ref="L145:L151"/>
    <mergeCell ref="M145:M151"/>
    <mergeCell ref="N145:N151"/>
    <mergeCell ref="O145:O151"/>
    <mergeCell ref="P145:P151"/>
    <mergeCell ref="Q145:Q151"/>
    <mergeCell ref="C145:C151"/>
    <mergeCell ref="D145:D151"/>
    <mergeCell ref="E145:E151"/>
    <mergeCell ref="F145:F151"/>
    <mergeCell ref="G145:G151"/>
    <mergeCell ref="H145:H151"/>
    <mergeCell ref="I145:I151"/>
    <mergeCell ref="J145:J151"/>
    <mergeCell ref="K145:K151"/>
    <mergeCell ref="Q130:Q135"/>
    <mergeCell ref="C123:C129"/>
    <mergeCell ref="D123:D129"/>
    <mergeCell ref="E123:E129"/>
    <mergeCell ref="F123:F129"/>
    <mergeCell ref="G123:G129"/>
    <mergeCell ref="H123:H129"/>
    <mergeCell ref="I123:I129"/>
    <mergeCell ref="J123:J129"/>
    <mergeCell ref="K123:K129"/>
    <mergeCell ref="L123:L129"/>
    <mergeCell ref="M123:M129"/>
    <mergeCell ref="N123:N129"/>
    <mergeCell ref="O123:O129"/>
    <mergeCell ref="P123:P129"/>
    <mergeCell ref="Q123:Q129"/>
    <mergeCell ref="C130:C135"/>
    <mergeCell ref="D130:D135"/>
    <mergeCell ref="E130:E135"/>
    <mergeCell ref="F130:F135"/>
    <mergeCell ref="G130:G135"/>
    <mergeCell ref="H130:H135"/>
    <mergeCell ref="I130:I135"/>
    <mergeCell ref="J130:J135"/>
    <mergeCell ref="Q79:Q83"/>
    <mergeCell ref="H79:H83"/>
    <mergeCell ref="I79:I83"/>
    <mergeCell ref="J79:J83"/>
    <mergeCell ref="K79:K83"/>
    <mergeCell ref="L79:L83"/>
    <mergeCell ref="Q74:Q78"/>
    <mergeCell ref="H74:H78"/>
    <mergeCell ref="M67:M69"/>
    <mergeCell ref="N67:N69"/>
    <mergeCell ref="O67:O69"/>
    <mergeCell ref="P67:P69"/>
    <mergeCell ref="M74:M78"/>
    <mergeCell ref="P74:P78"/>
    <mergeCell ref="Q70:Q73"/>
    <mergeCell ref="Q67:Q69"/>
    <mergeCell ref="H67:H69"/>
    <mergeCell ref="I67:I69"/>
    <mergeCell ref="J67:J69"/>
    <mergeCell ref="K67:K69"/>
    <mergeCell ref="L67:L69"/>
    <mergeCell ref="M70:M73"/>
    <mergeCell ref="N70:N73"/>
    <mergeCell ref="O70:O73"/>
    <mergeCell ref="Q47:Q50"/>
    <mergeCell ref="H45:H46"/>
    <mergeCell ref="Q61:Q63"/>
    <mergeCell ref="H61:H63"/>
    <mergeCell ref="I61:I63"/>
    <mergeCell ref="J61:J63"/>
    <mergeCell ref="K61:K63"/>
    <mergeCell ref="O47:O50"/>
    <mergeCell ref="L51:L55"/>
    <mergeCell ref="M51:M55"/>
    <mergeCell ref="N51:N55"/>
    <mergeCell ref="O51:O55"/>
    <mergeCell ref="P51:P55"/>
    <mergeCell ref="L61:L63"/>
    <mergeCell ref="G1:I1"/>
    <mergeCell ref="P10:P13"/>
    <mergeCell ref="P5:P6"/>
    <mergeCell ref="M25:M28"/>
    <mergeCell ref="H25:H28"/>
    <mergeCell ref="M19:M20"/>
    <mergeCell ref="N19:N20"/>
    <mergeCell ref="O19:O20"/>
    <mergeCell ref="P19:P20"/>
    <mergeCell ref="P21:P24"/>
    <mergeCell ref="N10:N13"/>
    <mergeCell ref="O10:O13"/>
    <mergeCell ref="J15:J18"/>
    <mergeCell ref="I15:I18"/>
    <mergeCell ref="H15:H18"/>
    <mergeCell ref="M7:M9"/>
    <mergeCell ref="N7:N9"/>
    <mergeCell ref="O7:O9"/>
    <mergeCell ref="I21:I24"/>
    <mergeCell ref="J21:J24"/>
    <mergeCell ref="K21:K24"/>
    <mergeCell ref="L21:L24"/>
    <mergeCell ref="M21:M24"/>
    <mergeCell ref="N21:N24"/>
    <mergeCell ref="Q5:Q6"/>
    <mergeCell ref="H5:H6"/>
    <mergeCell ref="I5:I6"/>
    <mergeCell ref="J5:J6"/>
    <mergeCell ref="K5:K6"/>
    <mergeCell ref="L5:L6"/>
    <mergeCell ref="P7:P9"/>
    <mergeCell ref="Q7:Q9"/>
    <mergeCell ref="Q10:Q13"/>
    <mergeCell ref="H10:H13"/>
    <mergeCell ref="I10:I13"/>
    <mergeCell ref="J10:J13"/>
    <mergeCell ref="K10:K13"/>
    <mergeCell ref="L10:L13"/>
    <mergeCell ref="M10:M13"/>
    <mergeCell ref="M5:M6"/>
    <mergeCell ref="N5:N6"/>
    <mergeCell ref="O5:O6"/>
    <mergeCell ref="H7:H9"/>
    <mergeCell ref="I7:I9"/>
    <mergeCell ref="J7:J9"/>
    <mergeCell ref="K7:K9"/>
    <mergeCell ref="L7:L9"/>
    <mergeCell ref="C5:C6"/>
    <mergeCell ref="E5:E6"/>
    <mergeCell ref="F5:F6"/>
    <mergeCell ref="G5:G6"/>
    <mergeCell ref="C7:C9"/>
    <mergeCell ref="G7:G9"/>
    <mergeCell ref="F19:F20"/>
    <mergeCell ref="G19:G20"/>
    <mergeCell ref="D7:D9"/>
    <mergeCell ref="D5:D6"/>
    <mergeCell ref="E7:E9"/>
    <mergeCell ref="F7:F9"/>
    <mergeCell ref="C19:C20"/>
    <mergeCell ref="D19:D20"/>
    <mergeCell ref="E19:E20"/>
    <mergeCell ref="E10:E13"/>
    <mergeCell ref="F10:F13"/>
    <mergeCell ref="G10:G13"/>
    <mergeCell ref="C10:C13"/>
    <mergeCell ref="D10:D13"/>
    <mergeCell ref="C15:C18"/>
    <mergeCell ref="D15:D18"/>
    <mergeCell ref="E15:E18"/>
    <mergeCell ref="F15:F18"/>
    <mergeCell ref="D25:D28"/>
    <mergeCell ref="E25:E28"/>
    <mergeCell ref="F25:F28"/>
    <mergeCell ref="G25:G28"/>
    <mergeCell ref="C25:C28"/>
    <mergeCell ref="G21:G24"/>
    <mergeCell ref="C21:C24"/>
    <mergeCell ref="D21:D24"/>
    <mergeCell ref="E21:E24"/>
    <mergeCell ref="F21:F24"/>
    <mergeCell ref="Q19:Q20"/>
    <mergeCell ref="N25:N28"/>
    <mergeCell ref="O25:O28"/>
    <mergeCell ref="P25:P28"/>
    <mergeCell ref="Q25:Q28"/>
    <mergeCell ref="H19:H20"/>
    <mergeCell ref="I19:I20"/>
    <mergeCell ref="J19:J20"/>
    <mergeCell ref="K19:K20"/>
    <mergeCell ref="L19:L20"/>
    <mergeCell ref="I25:I28"/>
    <mergeCell ref="J25:J28"/>
    <mergeCell ref="K25:K28"/>
    <mergeCell ref="L25:L28"/>
    <mergeCell ref="Q21:Q24"/>
    <mergeCell ref="H21:H24"/>
    <mergeCell ref="J31:J32"/>
    <mergeCell ref="K31:K32"/>
    <mergeCell ref="L31:L32"/>
    <mergeCell ref="M31:M32"/>
    <mergeCell ref="N31:N32"/>
    <mergeCell ref="O31:O32"/>
    <mergeCell ref="P31:P32"/>
    <mergeCell ref="G38:G42"/>
    <mergeCell ref="O21:O24"/>
    <mergeCell ref="L38:L42"/>
    <mergeCell ref="M38:M42"/>
    <mergeCell ref="N38:N42"/>
    <mergeCell ref="O38:O42"/>
    <mergeCell ref="P38:P42"/>
    <mergeCell ref="J33:J37"/>
    <mergeCell ref="J38:J42"/>
    <mergeCell ref="K38:K42"/>
    <mergeCell ref="E31:E32"/>
    <mergeCell ref="H38:H42"/>
    <mergeCell ref="I38:I42"/>
    <mergeCell ref="Q38:Q42"/>
    <mergeCell ref="L47:L50"/>
    <mergeCell ref="M47:M50"/>
    <mergeCell ref="I47:I50"/>
    <mergeCell ref="J47:J50"/>
    <mergeCell ref="K47:K50"/>
    <mergeCell ref="P47:P50"/>
    <mergeCell ref="Q45:Q46"/>
    <mergeCell ref="I45:I46"/>
    <mergeCell ref="J45:J46"/>
    <mergeCell ref="K45:K46"/>
    <mergeCell ref="L45:L46"/>
    <mergeCell ref="M45:M46"/>
    <mergeCell ref="N45:N46"/>
    <mergeCell ref="O45:O46"/>
    <mergeCell ref="P45:P46"/>
    <mergeCell ref="K33:K37"/>
    <mergeCell ref="P33:P37"/>
    <mergeCell ref="H31:H32"/>
    <mergeCell ref="I31:I32"/>
    <mergeCell ref="N47:N50"/>
    <mergeCell ref="Q33:Q37"/>
    <mergeCell ref="L33:L37"/>
    <mergeCell ref="M33:M37"/>
    <mergeCell ref="N33:N37"/>
    <mergeCell ref="O33:O37"/>
    <mergeCell ref="Q31:Q32"/>
    <mergeCell ref="C45:C46"/>
    <mergeCell ref="D45:D46"/>
    <mergeCell ref="E45:E46"/>
    <mergeCell ref="F45:F46"/>
    <mergeCell ref="G45:G46"/>
    <mergeCell ref="C33:C37"/>
    <mergeCell ref="D33:D37"/>
    <mergeCell ref="E33:E37"/>
    <mergeCell ref="F33:F37"/>
    <mergeCell ref="G33:G37"/>
    <mergeCell ref="H33:H37"/>
    <mergeCell ref="I33:I37"/>
    <mergeCell ref="C38:C42"/>
    <mergeCell ref="D38:D42"/>
    <mergeCell ref="E38:E42"/>
    <mergeCell ref="F38:F42"/>
    <mergeCell ref="F31:F32"/>
    <mergeCell ref="G31:G32"/>
    <mergeCell ref="C31:C32"/>
    <mergeCell ref="D31:D32"/>
    <mergeCell ref="C47:C50"/>
    <mergeCell ref="D47:D50"/>
    <mergeCell ref="E47:E50"/>
    <mergeCell ref="F47:F50"/>
    <mergeCell ref="G47:G50"/>
    <mergeCell ref="H47:H50"/>
    <mergeCell ref="Q56:Q60"/>
    <mergeCell ref="H56:H60"/>
    <mergeCell ref="I56:I60"/>
    <mergeCell ref="J56:J60"/>
    <mergeCell ref="K56:K60"/>
    <mergeCell ref="L56:L60"/>
    <mergeCell ref="C56:C60"/>
    <mergeCell ref="D56:D60"/>
    <mergeCell ref="E56:E60"/>
    <mergeCell ref="F56:F60"/>
    <mergeCell ref="G56:G60"/>
    <mergeCell ref="Q51:Q55"/>
    <mergeCell ref="H51:H55"/>
    <mergeCell ref="I51:I55"/>
    <mergeCell ref="J51:J55"/>
    <mergeCell ref="K51:K55"/>
    <mergeCell ref="C117:C122"/>
    <mergeCell ref="D117:D122"/>
    <mergeCell ref="E117:E122"/>
    <mergeCell ref="F117:F122"/>
    <mergeCell ref="G117:G122"/>
    <mergeCell ref="M56:M60"/>
    <mergeCell ref="N56:N60"/>
    <mergeCell ref="O56:O60"/>
    <mergeCell ref="P56:P60"/>
    <mergeCell ref="M117:M122"/>
    <mergeCell ref="N117:N122"/>
    <mergeCell ref="O117:O122"/>
    <mergeCell ref="P117:P122"/>
    <mergeCell ref="M61:M63"/>
    <mergeCell ref="N61:N63"/>
    <mergeCell ref="O61:O63"/>
    <mergeCell ref="P61:P63"/>
    <mergeCell ref="H117:H122"/>
    <mergeCell ref="I117:I122"/>
    <mergeCell ref="J117:J122"/>
    <mergeCell ref="K117:K122"/>
    <mergeCell ref="L117:L122"/>
    <mergeCell ref="C98:C101"/>
    <mergeCell ref="D98:D101"/>
    <mergeCell ref="C93:C97"/>
    <mergeCell ref="D93:D97"/>
    <mergeCell ref="E93:E97"/>
    <mergeCell ref="F93:F97"/>
    <mergeCell ref="G93:G97"/>
    <mergeCell ref="E67:E69"/>
    <mergeCell ref="F67:F69"/>
    <mergeCell ref="C89:C92"/>
    <mergeCell ref="D89:D92"/>
    <mergeCell ref="E89:E92"/>
    <mergeCell ref="F89:F92"/>
    <mergeCell ref="G89:G92"/>
    <mergeCell ref="C84:C88"/>
    <mergeCell ref="D84:D88"/>
    <mergeCell ref="E84:E88"/>
    <mergeCell ref="C74:C78"/>
    <mergeCell ref="D74:D78"/>
    <mergeCell ref="E74:E78"/>
    <mergeCell ref="F74:F78"/>
    <mergeCell ref="G74:G78"/>
    <mergeCell ref="E98:E101"/>
    <mergeCell ref="F98:F101"/>
    <mergeCell ref="G98:G101"/>
    <mergeCell ref="F79:F83"/>
    <mergeCell ref="G79:G83"/>
    <mergeCell ref="E79:E83"/>
    <mergeCell ref="Q98:Q101"/>
    <mergeCell ref="H98:H101"/>
    <mergeCell ref="I98:I101"/>
    <mergeCell ref="J98:J101"/>
    <mergeCell ref="K98:K101"/>
    <mergeCell ref="L98:L101"/>
    <mergeCell ref="M98:M101"/>
    <mergeCell ref="N98:N101"/>
    <mergeCell ref="O98:O101"/>
    <mergeCell ref="P98:P101"/>
    <mergeCell ref="F84:F88"/>
    <mergeCell ref="G84:G88"/>
    <mergeCell ref="N84:N88"/>
    <mergeCell ref="O84:O88"/>
    <mergeCell ref="P84:P88"/>
    <mergeCell ref="M79:M83"/>
    <mergeCell ref="N79:N83"/>
    <mergeCell ref="O79:O83"/>
    <mergeCell ref="Q64:Q66"/>
    <mergeCell ref="H64:H66"/>
    <mergeCell ref="I64:I66"/>
    <mergeCell ref="J64:J66"/>
    <mergeCell ref="K64:K66"/>
    <mergeCell ref="L64:L66"/>
    <mergeCell ref="M64:M66"/>
    <mergeCell ref="N64:N66"/>
    <mergeCell ref="O64:O66"/>
    <mergeCell ref="P64:P66"/>
    <mergeCell ref="P70:P73"/>
    <mergeCell ref="C70:C73"/>
    <mergeCell ref="D70:D73"/>
    <mergeCell ref="E70:E73"/>
    <mergeCell ref="F70:F73"/>
    <mergeCell ref="G70:G73"/>
    <mergeCell ref="C67:C69"/>
    <mergeCell ref="D67:D69"/>
    <mergeCell ref="N74:N78"/>
    <mergeCell ref="O74:O78"/>
    <mergeCell ref="G67:G69"/>
    <mergeCell ref="I74:I78"/>
    <mergeCell ref="J74:J78"/>
    <mergeCell ref="K74:K78"/>
    <mergeCell ref="L74:L78"/>
    <mergeCell ref="C61:C63"/>
    <mergeCell ref="D61:D63"/>
    <mergeCell ref="E61:E63"/>
    <mergeCell ref="F61:F63"/>
    <mergeCell ref="G61:G63"/>
    <mergeCell ref="C51:C55"/>
    <mergeCell ref="D51:D55"/>
    <mergeCell ref="E51:E55"/>
    <mergeCell ref="F51:F55"/>
    <mergeCell ref="G51:G55"/>
    <mergeCell ref="C64:C66"/>
    <mergeCell ref="D64:D66"/>
    <mergeCell ref="E64:E66"/>
    <mergeCell ref="F64:F66"/>
    <mergeCell ref="G64:G66"/>
    <mergeCell ref="I70:I73"/>
    <mergeCell ref="J70:J73"/>
    <mergeCell ref="K70:K73"/>
    <mergeCell ref="L70:L73"/>
    <mergeCell ref="H70:H73"/>
    <mergeCell ref="P79:P83"/>
    <mergeCell ref="C79:C83"/>
    <mergeCell ref="D79:D83"/>
    <mergeCell ref="Q93:Q97"/>
    <mergeCell ref="H93:H97"/>
    <mergeCell ref="I93:I97"/>
    <mergeCell ref="J93:J97"/>
    <mergeCell ref="K93:K97"/>
    <mergeCell ref="L93:L97"/>
    <mergeCell ref="Q89:Q92"/>
    <mergeCell ref="H89:H92"/>
    <mergeCell ref="I89:I92"/>
    <mergeCell ref="J89:J92"/>
    <mergeCell ref="K89:K92"/>
    <mergeCell ref="L89:L92"/>
    <mergeCell ref="M89:M92"/>
    <mergeCell ref="N89:N92"/>
    <mergeCell ref="O89:O92"/>
    <mergeCell ref="P89:P92"/>
    <mergeCell ref="M93:M97"/>
    <mergeCell ref="N93:N97"/>
    <mergeCell ref="O93:O97"/>
    <mergeCell ref="P93:P97"/>
    <mergeCell ref="Q84:Q88"/>
    <mergeCell ref="H84:H88"/>
    <mergeCell ref="I84:I88"/>
    <mergeCell ref="J84:J88"/>
    <mergeCell ref="K84:K88"/>
    <mergeCell ref="L84:L88"/>
    <mergeCell ref="M84:M88"/>
    <mergeCell ref="H136:H142"/>
    <mergeCell ref="I136:I142"/>
    <mergeCell ref="J136:J142"/>
    <mergeCell ref="K136:K142"/>
    <mergeCell ref="L136:L142"/>
    <mergeCell ref="M108:M112"/>
    <mergeCell ref="L130:L135"/>
    <mergeCell ref="M130:M135"/>
    <mergeCell ref="K130:K135"/>
    <mergeCell ref="N108:N112"/>
    <mergeCell ref="O108:O112"/>
    <mergeCell ref="P108:P112"/>
    <mergeCell ref="Q136:Q142"/>
    <mergeCell ref="Q117:Q122"/>
    <mergeCell ref="Q108:Q112"/>
    <mergeCell ref="H108:H112"/>
    <mergeCell ref="I108:I112"/>
    <mergeCell ref="J108:J112"/>
    <mergeCell ref="K108:K112"/>
    <mergeCell ref="L108:L112"/>
    <mergeCell ref="Q113:Q116"/>
    <mergeCell ref="H113:H116"/>
    <mergeCell ref="I113:I116"/>
    <mergeCell ref="J113:J116"/>
    <mergeCell ref="K113:K116"/>
    <mergeCell ref="L113:L116"/>
    <mergeCell ref="M113:M116"/>
    <mergeCell ref="N113:N116"/>
    <mergeCell ref="O113:O116"/>
    <mergeCell ref="P113:P116"/>
    <mergeCell ref="N130:N135"/>
    <mergeCell ref="O130:O135"/>
    <mergeCell ref="P130:P135"/>
    <mergeCell ref="C136:C142"/>
    <mergeCell ref="D136:D142"/>
    <mergeCell ref="E136:E142"/>
    <mergeCell ref="F136:F142"/>
    <mergeCell ref="G136:G142"/>
    <mergeCell ref="M136:M142"/>
    <mergeCell ref="N136:N142"/>
    <mergeCell ref="O136:O142"/>
    <mergeCell ref="P136:P142"/>
    <mergeCell ref="E113:E116"/>
    <mergeCell ref="F113:F116"/>
    <mergeCell ref="G113:G116"/>
    <mergeCell ref="C102:C107"/>
    <mergeCell ref="D102:D107"/>
    <mergeCell ref="E102:E107"/>
    <mergeCell ref="F102:F107"/>
    <mergeCell ref="G102:G107"/>
    <mergeCell ref="C108:C112"/>
    <mergeCell ref="D108:D112"/>
    <mergeCell ref="E108:E112"/>
    <mergeCell ref="F108:F112"/>
    <mergeCell ref="G108:G112"/>
    <mergeCell ref="C113:C116"/>
    <mergeCell ref="D113:D116"/>
    <mergeCell ref="N102:N107"/>
    <mergeCell ref="O102:O107"/>
    <mergeCell ref="P102:P107"/>
    <mergeCell ref="Q102:Q107"/>
    <mergeCell ref="H102:H107"/>
    <mergeCell ref="I102:I107"/>
    <mergeCell ref="J102:J107"/>
    <mergeCell ref="K102:K107"/>
    <mergeCell ref="L102:L107"/>
    <mergeCell ref="G15:G18"/>
    <mergeCell ref="C152:C158"/>
    <mergeCell ref="D152:D158"/>
    <mergeCell ref="E152:E158"/>
    <mergeCell ref="F152:F158"/>
    <mergeCell ref="G152:G158"/>
    <mergeCell ref="Q15:Q18"/>
    <mergeCell ref="P15:P18"/>
    <mergeCell ref="O15:O18"/>
    <mergeCell ref="N15:N18"/>
    <mergeCell ref="M15:M18"/>
    <mergeCell ref="L15:L18"/>
    <mergeCell ref="K15:K18"/>
    <mergeCell ref="M152:M158"/>
    <mergeCell ref="N152:N158"/>
    <mergeCell ref="O152:O158"/>
    <mergeCell ref="P152:P158"/>
    <mergeCell ref="Q152:Q158"/>
    <mergeCell ref="H152:H158"/>
    <mergeCell ref="I152:I158"/>
    <mergeCell ref="J152:J158"/>
    <mergeCell ref="K152:K158"/>
    <mergeCell ref="L152:L158"/>
    <mergeCell ref="M102:M107"/>
  </mergeCells>
  <dataValidations count="1">
    <dataValidation type="list" allowBlank="1" showInputMessage="1" showErrorMessage="1" sqref="E10: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RA'!$I$3:$I$12</xm:f>
          </x14:formula1>
          <xm:sqref>B3:B164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0"/>
  <sheetViews>
    <sheetView workbookViewId="0">
      <selection activeCell="E10" sqref="E10"/>
    </sheetView>
  </sheetViews>
  <sheetFormatPr defaultColWidth="9.140625" defaultRowHeight="14.45"/>
  <cols>
    <col min="2" max="2" width="29.28515625" customWidth="1"/>
  </cols>
  <sheetData>
    <row r="1" spans="2:2" ht="16.5">
      <c r="B1" s="1" t="s">
        <v>376</v>
      </c>
    </row>
    <row r="2" spans="2:2" ht="16.5">
      <c r="B2" s="1" t="s">
        <v>377</v>
      </c>
    </row>
    <row r="3" spans="2:2" ht="16.5">
      <c r="B3" s="1" t="s">
        <v>378</v>
      </c>
    </row>
    <row r="4" spans="2:2" ht="16.5">
      <c r="B4" s="1" t="s">
        <v>53</v>
      </c>
    </row>
    <row r="5" spans="2:2" ht="16.5">
      <c r="B5" s="1" t="s">
        <v>56</v>
      </c>
    </row>
    <row r="6" spans="2:2" ht="16.5">
      <c r="B6" s="1" t="s">
        <v>379</v>
      </c>
    </row>
    <row r="7" spans="2:2" ht="16.5">
      <c r="B7" s="1" t="s">
        <v>380</v>
      </c>
    </row>
    <row r="8" spans="2:2" ht="16.5">
      <c r="B8" s="1" t="s">
        <v>381</v>
      </c>
    </row>
    <row r="9" spans="2:2" ht="16.5">
      <c r="B9" s="1" t="s">
        <v>382</v>
      </c>
    </row>
    <row r="10" spans="2:2" ht="16.5">
      <c r="B10" s="1" t="s">
        <v>383</v>
      </c>
    </row>
    <row r="11" spans="2:2" ht="16.5">
      <c r="B11" s="1" t="s">
        <v>384</v>
      </c>
    </row>
    <row r="12" spans="2:2" ht="16.5">
      <c r="B12" s="1" t="s">
        <v>385</v>
      </c>
    </row>
    <row r="13" spans="2:2" ht="16.5">
      <c r="B13" s="1" t="s">
        <v>386</v>
      </c>
    </row>
    <row r="14" spans="2:2" ht="16.5">
      <c r="B14" s="1" t="s">
        <v>58</v>
      </c>
    </row>
    <row r="15" spans="2:2" ht="16.5">
      <c r="B15" s="1" t="s">
        <v>387</v>
      </c>
    </row>
    <row r="16" spans="2:2" ht="16.5">
      <c r="B16" s="1" t="s">
        <v>388</v>
      </c>
    </row>
    <row r="17" spans="2:2" ht="16.5">
      <c r="B17" s="1" t="s">
        <v>389</v>
      </c>
    </row>
    <row r="18" spans="2:2" ht="16.5">
      <c r="B18" s="1" t="s">
        <v>390</v>
      </c>
    </row>
    <row r="19" spans="2:2" ht="16.5">
      <c r="B19" s="1" t="s">
        <v>391</v>
      </c>
    </row>
    <row r="20" spans="2:2" ht="16.5">
      <c r="B20" s="1" t="s">
        <v>392</v>
      </c>
    </row>
    <row r="21" spans="2:2" ht="16.5">
      <c r="B21" s="1" t="s">
        <v>92</v>
      </c>
    </row>
    <row r="22" spans="2:2" ht="16.5">
      <c r="B22" s="1" t="s">
        <v>393</v>
      </c>
    </row>
    <row r="23" spans="2:2" ht="16.5">
      <c r="B23" s="1" t="s">
        <v>394</v>
      </c>
    </row>
    <row r="24" spans="2:2" ht="16.5">
      <c r="B24" s="1" t="s">
        <v>395</v>
      </c>
    </row>
    <row r="25" spans="2:2" ht="16.5">
      <c r="B25" s="1" t="s">
        <v>396</v>
      </c>
    </row>
    <row r="26" spans="2:2" ht="16.5">
      <c r="B26" s="1" t="s">
        <v>397</v>
      </c>
    </row>
    <row r="27" spans="2:2" ht="16.5">
      <c r="B27" s="1" t="s">
        <v>398</v>
      </c>
    </row>
    <row r="28" spans="2:2" ht="16.5">
      <c r="B28" s="1" t="s">
        <v>399</v>
      </c>
    </row>
    <row r="29" spans="2:2" ht="16.5">
      <c r="B29" s="1" t="s">
        <v>400</v>
      </c>
    </row>
    <row r="30" spans="2:2" ht="16.5">
      <c r="B30" s="1" t="s">
        <v>401</v>
      </c>
    </row>
    <row r="31" spans="2:2" ht="16.5">
      <c r="B31" s="1" t="s">
        <v>402</v>
      </c>
    </row>
    <row r="32" spans="2:2" ht="16.5">
      <c r="B32" s="1" t="s">
        <v>403</v>
      </c>
    </row>
    <row r="33" spans="2:2" ht="16.5">
      <c r="B33" s="1" t="s">
        <v>404</v>
      </c>
    </row>
    <row r="34" spans="2:2" ht="16.5">
      <c r="B34" s="1" t="s">
        <v>405</v>
      </c>
    </row>
    <row r="35" spans="2:2" ht="16.5">
      <c r="B35" s="1" t="s">
        <v>406</v>
      </c>
    </row>
    <row r="36" spans="2:2" ht="16.5">
      <c r="B36" s="1" t="s">
        <v>407</v>
      </c>
    </row>
    <row r="37" spans="2:2" ht="16.5">
      <c r="B37" s="1" t="s">
        <v>408</v>
      </c>
    </row>
    <row r="38" spans="2:2" ht="16.5">
      <c r="B38" s="1" t="s">
        <v>409</v>
      </c>
    </row>
    <row r="39" spans="2:2" ht="16.5">
      <c r="B39" s="1" t="s">
        <v>410</v>
      </c>
    </row>
    <row r="40" spans="2:2" ht="16.5">
      <c r="B40" s="1" t="s">
        <v>411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E1" zoomScale="80" zoomScaleNormal="80" workbookViewId="0">
      <selection activeCell="J6" sqref="J6"/>
    </sheetView>
  </sheetViews>
  <sheetFormatPr defaultColWidth="9.140625" defaultRowHeight="16.5"/>
  <cols>
    <col min="1" max="1" width="20.42578125" style="9" customWidth="1"/>
    <col min="2" max="2" width="14.42578125" style="9" customWidth="1"/>
    <col min="3" max="3" width="22.28515625" style="9" customWidth="1"/>
    <col min="4" max="4" width="21.5703125" style="9" customWidth="1"/>
    <col min="5" max="5" width="20.7109375" style="9" customWidth="1"/>
    <col min="6" max="6" width="16.7109375" style="9" customWidth="1"/>
    <col min="7" max="7" width="21.7109375" style="9" customWidth="1"/>
    <col min="8" max="8" width="26.28515625" style="9" customWidth="1"/>
    <col min="9" max="9" width="25.28515625" style="9" customWidth="1"/>
    <col min="10" max="10" width="24.42578125" style="9" customWidth="1"/>
    <col min="11" max="11" width="15.28515625" style="9" customWidth="1"/>
    <col min="12" max="17" width="17.7109375" style="9" customWidth="1"/>
    <col min="18" max="18" width="22.5703125" style="9" customWidth="1"/>
    <col min="19" max="19" width="15.5703125" style="9" customWidth="1"/>
    <col min="20" max="20" width="14.85546875" style="9" customWidth="1"/>
    <col min="21" max="25" width="13.28515625" style="9" customWidth="1"/>
    <col min="26" max="26" width="16.5703125" style="9" customWidth="1"/>
    <col min="27" max="27" width="13.28515625" style="9" customWidth="1"/>
    <col min="28" max="28" width="16" style="9" customWidth="1"/>
    <col min="29" max="29" width="19.5703125" style="9" customWidth="1"/>
    <col min="30" max="30" width="21.7109375" style="9" bestFit="1" customWidth="1"/>
    <col min="31" max="31" width="13.28515625" style="9" customWidth="1"/>
    <col min="32" max="32" width="13.85546875" style="9" customWidth="1"/>
    <col min="33" max="33" width="30.7109375" style="9" customWidth="1"/>
    <col min="34" max="36" width="13.28515625" style="9" customWidth="1"/>
    <col min="37" max="37" width="14.5703125" style="9" customWidth="1"/>
    <col min="38" max="43" width="16.7109375" style="9" customWidth="1"/>
    <col min="44" max="45" width="13.28515625" style="9" customWidth="1"/>
    <col min="46" max="46" width="23.7109375" style="9" customWidth="1"/>
    <col min="47" max="47" width="22.5703125" style="9" customWidth="1"/>
    <col min="48" max="48" width="24.28515625" style="9" customWidth="1"/>
    <col min="49" max="49" width="27.7109375" style="9" customWidth="1"/>
    <col min="50" max="50" width="24.7109375" style="9" customWidth="1"/>
    <col min="51" max="51" width="22.5703125" style="9" customWidth="1"/>
    <col min="52" max="55" width="13.28515625" style="9" customWidth="1"/>
    <col min="56" max="16384" width="9.140625" style="9"/>
  </cols>
  <sheetData>
    <row r="1" spans="1:55" ht="17.100000000000001" thickBot="1">
      <c r="A1" s="1"/>
      <c r="B1" s="1"/>
      <c r="C1" s="1"/>
      <c r="D1" s="1"/>
      <c r="E1" s="1"/>
      <c r="F1" s="1"/>
      <c r="G1" s="1"/>
      <c r="H1" s="1"/>
      <c r="I1" s="1"/>
      <c r="J1" s="1"/>
      <c r="K1" s="1"/>
      <c r="L1" s="1"/>
      <c r="M1" s="1"/>
      <c r="N1" s="1"/>
      <c r="O1" s="1"/>
      <c r="P1" s="1"/>
      <c r="Q1" s="1"/>
      <c r="R1" s="1"/>
      <c r="S1" s="156" t="s">
        <v>412</v>
      </c>
      <c r="T1" s="156"/>
      <c r="U1" s="156"/>
      <c r="V1" s="156"/>
      <c r="W1" s="156"/>
      <c r="X1" s="156"/>
      <c r="Y1" s="156"/>
      <c r="Z1" s="156"/>
      <c r="AA1" s="156"/>
      <c r="AB1" s="156"/>
      <c r="AC1" s="156"/>
      <c r="AD1" s="156"/>
      <c r="AE1" s="156"/>
      <c r="AF1" s="156"/>
      <c r="AG1" s="156"/>
      <c r="AH1" s="11"/>
      <c r="AI1" s="11"/>
      <c r="AJ1" s="11"/>
      <c r="AK1" s="1"/>
      <c r="AL1" s="156" t="s">
        <v>413</v>
      </c>
      <c r="AM1" s="156"/>
      <c r="AN1" s="156"/>
      <c r="AO1" s="156"/>
      <c r="AP1" s="156"/>
      <c r="AQ1" s="156"/>
      <c r="AR1" s="11"/>
      <c r="AS1" s="11"/>
      <c r="AT1" s="156" t="s">
        <v>414</v>
      </c>
      <c r="AU1" s="156"/>
      <c r="AV1" s="156"/>
      <c r="AW1" s="156"/>
      <c r="AX1" s="156"/>
      <c r="AY1" s="156"/>
      <c r="AZ1" s="11"/>
      <c r="BA1" s="1"/>
      <c r="BB1" s="1"/>
      <c r="BC1" s="11"/>
    </row>
    <row r="2" spans="1:55">
      <c r="A2" s="1"/>
      <c r="B2" s="1"/>
      <c r="C2" s="1"/>
      <c r="D2" s="1"/>
      <c r="E2" s="1"/>
      <c r="F2" s="1"/>
      <c r="G2" s="1"/>
      <c r="H2" s="1"/>
      <c r="I2" s="1"/>
      <c r="J2" s="1"/>
      <c r="K2" s="1"/>
      <c r="L2" s="156" t="s">
        <v>415</v>
      </c>
      <c r="M2" s="156"/>
      <c r="N2" s="156"/>
      <c r="O2" s="156"/>
      <c r="P2" s="156"/>
      <c r="Q2" s="156"/>
      <c r="R2" s="1"/>
      <c r="S2" s="157" t="s">
        <v>416</v>
      </c>
      <c r="T2" s="158"/>
      <c r="U2" s="158"/>
      <c r="V2" s="158"/>
      <c r="W2" s="158"/>
      <c r="X2" s="159"/>
      <c r="Y2" s="157" t="s">
        <v>417</v>
      </c>
      <c r="Z2" s="158"/>
      <c r="AA2" s="158"/>
      <c r="AB2" s="159"/>
      <c r="AC2" s="157" t="s">
        <v>418</v>
      </c>
      <c r="AD2" s="158"/>
      <c r="AE2" s="158"/>
      <c r="AF2" s="158"/>
      <c r="AG2" s="160"/>
      <c r="AH2" s="11"/>
      <c r="AI2" s="11"/>
      <c r="AJ2" s="11"/>
      <c r="AK2" s="1"/>
      <c r="AL2" s="161"/>
      <c r="AM2" s="161"/>
      <c r="AN2" s="161"/>
      <c r="AO2" s="161"/>
      <c r="AP2" s="161"/>
      <c r="AQ2" s="161"/>
      <c r="AR2" s="11"/>
      <c r="AS2" s="11"/>
      <c r="AT2" s="11"/>
      <c r="AU2" s="11"/>
      <c r="AV2" s="11"/>
      <c r="AW2" s="11"/>
      <c r="AX2" s="11"/>
      <c r="AY2" s="11"/>
      <c r="AZ2" s="11"/>
      <c r="BA2" s="1"/>
      <c r="BB2" s="1"/>
      <c r="BC2" s="11"/>
    </row>
    <row r="3" spans="1:55">
      <c r="A3" s="1" t="s">
        <v>419</v>
      </c>
      <c r="B3" s="1"/>
      <c r="C3" s="1" t="s">
        <v>102</v>
      </c>
      <c r="D3" s="1" t="s">
        <v>420</v>
      </c>
      <c r="E3" s="1" t="s">
        <v>421</v>
      </c>
      <c r="F3" s="1"/>
      <c r="G3" s="1" t="s">
        <v>82</v>
      </c>
      <c r="H3" s="1" t="s">
        <v>85</v>
      </c>
      <c r="I3" s="1" t="s">
        <v>88</v>
      </c>
      <c r="J3" s="1"/>
      <c r="K3" s="1"/>
      <c r="L3" s="1" t="s">
        <v>422</v>
      </c>
      <c r="M3" s="1" t="s">
        <v>97</v>
      </c>
      <c r="N3" s="1" t="s">
        <v>86</v>
      </c>
      <c r="O3" s="1" t="s">
        <v>83</v>
      </c>
      <c r="P3" s="1" t="s">
        <v>91</v>
      </c>
      <c r="Q3" s="1" t="s">
        <v>423</v>
      </c>
      <c r="R3" s="1"/>
      <c r="S3" s="59" t="s">
        <v>424</v>
      </c>
      <c r="T3" s="1" t="s">
        <v>104</v>
      </c>
      <c r="U3" s="1" t="s">
        <v>425</v>
      </c>
      <c r="V3" s="1" t="s">
        <v>426</v>
      </c>
      <c r="W3" s="1" t="s">
        <v>427</v>
      </c>
      <c r="X3" s="1" t="s">
        <v>428</v>
      </c>
      <c r="Y3" s="59" t="s">
        <v>429</v>
      </c>
      <c r="Z3" s="1" t="s">
        <v>108</v>
      </c>
      <c r="AA3" s="1" t="s">
        <v>430</v>
      </c>
      <c r="AB3" s="1" t="s">
        <v>431</v>
      </c>
      <c r="AC3" s="59" t="s">
        <v>432</v>
      </c>
      <c r="AD3" s="1" t="s">
        <v>433</v>
      </c>
      <c r="AE3" s="1" t="s">
        <v>112</v>
      </c>
      <c r="AF3" s="1" t="s">
        <v>434</v>
      </c>
      <c r="AG3" s="60" t="s">
        <v>435</v>
      </c>
      <c r="AH3" s="1"/>
      <c r="AI3" s="1"/>
      <c r="AJ3" s="1"/>
      <c r="AK3" s="1"/>
      <c r="AL3" s="162" t="s">
        <v>436</v>
      </c>
      <c r="AM3" s="162"/>
      <c r="AN3" s="162"/>
      <c r="AO3" s="162" t="s">
        <v>437</v>
      </c>
      <c r="AP3" s="162"/>
      <c r="AQ3" s="162"/>
      <c r="AR3" s="12"/>
      <c r="AS3" s="12"/>
      <c r="AT3" s="12"/>
      <c r="AU3" s="12"/>
      <c r="AV3" s="12"/>
      <c r="AW3" s="12"/>
      <c r="AX3" s="12"/>
      <c r="AY3" s="12"/>
      <c r="AZ3" s="12"/>
      <c r="BA3" s="1"/>
      <c r="BB3" s="1"/>
      <c r="BC3" s="12"/>
    </row>
    <row r="4" spans="1:55">
      <c r="A4" s="1" t="s">
        <v>81</v>
      </c>
      <c r="B4" s="1"/>
      <c r="C4" s="1" t="s">
        <v>103</v>
      </c>
      <c r="D4" s="1" t="s">
        <v>438</v>
      </c>
      <c r="E4" s="1" t="s">
        <v>439</v>
      </c>
      <c r="F4" s="1"/>
      <c r="G4" s="1" t="s">
        <v>422</v>
      </c>
      <c r="H4" s="1" t="s">
        <v>422</v>
      </c>
      <c r="I4" s="1" t="s">
        <v>422</v>
      </c>
      <c r="J4" s="1"/>
      <c r="K4" s="1"/>
      <c r="L4" s="1" t="s">
        <v>440</v>
      </c>
      <c r="M4" s="1" t="s">
        <v>381</v>
      </c>
      <c r="N4" s="1" t="s">
        <v>56</v>
      </c>
      <c r="O4" s="1" t="s">
        <v>441</v>
      </c>
      <c r="P4" s="1" t="s">
        <v>442</v>
      </c>
      <c r="Q4" s="1" t="s">
        <v>443</v>
      </c>
      <c r="R4" s="1"/>
      <c r="S4" s="85" t="s">
        <v>440</v>
      </c>
      <c r="T4" s="86" t="s">
        <v>381</v>
      </c>
      <c r="U4" s="86" t="s">
        <v>56</v>
      </c>
      <c r="V4" s="86" t="s">
        <v>441</v>
      </c>
      <c r="W4" s="86" t="s">
        <v>442</v>
      </c>
      <c r="X4" s="86" t="s">
        <v>443</v>
      </c>
      <c r="Y4" s="85" t="s">
        <v>444</v>
      </c>
      <c r="Z4" s="86" t="s">
        <v>445</v>
      </c>
      <c r="AA4" s="86" t="s">
        <v>446</v>
      </c>
      <c r="AB4" s="86" t="s">
        <v>447</v>
      </c>
      <c r="AC4" s="85" t="s">
        <v>448</v>
      </c>
      <c r="AD4" s="86" t="s">
        <v>444</v>
      </c>
      <c r="AE4" s="86" t="s">
        <v>448</v>
      </c>
      <c r="AF4" s="86" t="s">
        <v>449</v>
      </c>
      <c r="AG4" s="60" t="s">
        <v>450</v>
      </c>
      <c r="AH4" s="1"/>
      <c r="AI4" s="1"/>
      <c r="AJ4" s="1"/>
      <c r="AK4" s="1"/>
      <c r="AL4" s="13" t="s">
        <v>451</v>
      </c>
      <c r="AM4" s="13" t="s">
        <v>452</v>
      </c>
      <c r="AN4" s="13" t="s">
        <v>453</v>
      </c>
      <c r="AO4" s="13" t="s">
        <v>454</v>
      </c>
      <c r="AP4" s="14" t="s">
        <v>455</v>
      </c>
      <c r="AQ4" s="13" t="s">
        <v>456</v>
      </c>
      <c r="AR4" s="12"/>
      <c r="AS4" s="12"/>
      <c r="AT4" s="1" t="s">
        <v>457</v>
      </c>
      <c r="AU4" s="1" t="s">
        <v>458</v>
      </c>
      <c r="AV4" s="1" t="s">
        <v>459</v>
      </c>
      <c r="AW4" s="1" t="s">
        <v>460</v>
      </c>
      <c r="AX4" s="1" t="s">
        <v>461</v>
      </c>
      <c r="AY4" s="1" t="s">
        <v>462</v>
      </c>
      <c r="AZ4" s="12"/>
      <c r="BA4" s="1"/>
      <c r="BB4" s="1"/>
      <c r="BC4" s="12"/>
    </row>
    <row r="5" spans="1:55">
      <c r="A5" s="1" t="s">
        <v>102</v>
      </c>
      <c r="B5" s="1"/>
      <c r="C5" s="1" t="s">
        <v>107</v>
      </c>
      <c r="D5" s="1" t="s">
        <v>463</v>
      </c>
      <c r="E5" s="1" t="s">
        <v>464</v>
      </c>
      <c r="F5" s="1"/>
      <c r="G5" s="1" t="s">
        <v>97</v>
      </c>
      <c r="H5" s="1" t="s">
        <v>97</v>
      </c>
      <c r="I5" s="1" t="s">
        <v>97</v>
      </c>
      <c r="J5" s="1"/>
      <c r="K5" s="1"/>
      <c r="L5" s="1" t="s">
        <v>465</v>
      </c>
      <c r="M5" s="1" t="s">
        <v>466</v>
      </c>
      <c r="N5" s="1" t="s">
        <v>467</v>
      </c>
      <c r="O5" s="1" t="s">
        <v>53</v>
      </c>
      <c r="P5" s="1" t="s">
        <v>378</v>
      </c>
      <c r="Q5" s="1" t="s">
        <v>468</v>
      </c>
      <c r="R5" s="1"/>
      <c r="S5" s="85" t="s">
        <v>465</v>
      </c>
      <c r="T5" s="86" t="s">
        <v>466</v>
      </c>
      <c r="U5" s="86" t="s">
        <v>467</v>
      </c>
      <c r="V5" s="86" t="s">
        <v>53</v>
      </c>
      <c r="W5" s="86" t="s">
        <v>378</v>
      </c>
      <c r="X5" s="86" t="s">
        <v>468</v>
      </c>
      <c r="Y5" s="85" t="s">
        <v>442</v>
      </c>
      <c r="Z5" s="86" t="s">
        <v>441</v>
      </c>
      <c r="AA5" s="86" t="s">
        <v>469</v>
      </c>
      <c r="AB5" s="86" t="s">
        <v>470</v>
      </c>
      <c r="AC5" s="85" t="s">
        <v>471</v>
      </c>
      <c r="AD5" s="86" t="s">
        <v>472</v>
      </c>
      <c r="AE5" s="87" t="s">
        <v>473</v>
      </c>
      <c r="AF5" s="86" t="s">
        <v>474</v>
      </c>
      <c r="AG5" s="60" t="s">
        <v>475</v>
      </c>
      <c r="AH5" s="1"/>
      <c r="AI5" s="1"/>
      <c r="AJ5" s="1"/>
      <c r="AK5" s="1"/>
      <c r="AL5" s="15" t="s">
        <v>476</v>
      </c>
      <c r="AM5" s="15" t="s">
        <v>477</v>
      </c>
      <c r="AN5" s="15" t="s">
        <v>469</v>
      </c>
      <c r="AO5" s="15" t="s">
        <v>478</v>
      </c>
      <c r="AP5" s="15" t="s">
        <v>442</v>
      </c>
      <c r="AQ5" s="15" t="s">
        <v>58</v>
      </c>
      <c r="AR5" s="15"/>
      <c r="AS5" s="15"/>
      <c r="AT5" s="16" t="s">
        <v>476</v>
      </c>
      <c r="AU5" s="17" t="s">
        <v>381</v>
      </c>
      <c r="AV5" s="16" t="s">
        <v>478</v>
      </c>
      <c r="AW5" s="16" t="s">
        <v>469</v>
      </c>
      <c r="AX5" s="17" t="s">
        <v>448</v>
      </c>
      <c r="AY5" s="17" t="s">
        <v>448</v>
      </c>
      <c r="AZ5" s="15"/>
      <c r="BA5" s="1"/>
      <c r="BB5" s="1"/>
      <c r="BC5" s="15"/>
    </row>
    <row r="6" spans="1:55">
      <c r="A6" s="1" t="s">
        <v>420</v>
      </c>
      <c r="B6" s="1"/>
      <c r="C6" s="1" t="s">
        <v>111</v>
      </c>
      <c r="D6" s="1" t="s">
        <v>479</v>
      </c>
      <c r="E6" s="1" t="s">
        <v>480</v>
      </c>
      <c r="F6" s="1"/>
      <c r="G6" s="1" t="s">
        <v>86</v>
      </c>
      <c r="H6" s="1" t="s">
        <v>86</v>
      </c>
      <c r="I6" s="1" t="s">
        <v>86</v>
      </c>
      <c r="J6" s="1"/>
      <c r="K6" s="1"/>
      <c r="L6" s="1" t="s">
        <v>481</v>
      </c>
      <c r="M6" s="1" t="s">
        <v>482</v>
      </c>
      <c r="N6" s="1" t="s">
        <v>483</v>
      </c>
      <c r="O6" s="1" t="s">
        <v>484</v>
      </c>
      <c r="P6" s="1" t="s">
        <v>447</v>
      </c>
      <c r="Q6" s="1" t="s">
        <v>485</v>
      </c>
      <c r="R6" s="1"/>
      <c r="S6" s="85" t="s">
        <v>481</v>
      </c>
      <c r="T6" s="86" t="s">
        <v>482</v>
      </c>
      <c r="U6" s="86" t="s">
        <v>483</v>
      </c>
      <c r="V6" s="86" t="s">
        <v>484</v>
      </c>
      <c r="W6" s="86" t="s">
        <v>447</v>
      </c>
      <c r="X6" s="86" t="s">
        <v>485</v>
      </c>
      <c r="Y6" s="85" t="s">
        <v>486</v>
      </c>
      <c r="Z6" s="86" t="s">
        <v>486</v>
      </c>
      <c r="AA6" s="86" t="s">
        <v>442</v>
      </c>
      <c r="AB6" s="86" t="s">
        <v>477</v>
      </c>
      <c r="AC6" s="85" t="s">
        <v>487</v>
      </c>
      <c r="AD6" s="86" t="s">
        <v>476</v>
      </c>
      <c r="AE6" s="86" t="s">
        <v>476</v>
      </c>
      <c r="AF6" s="86" t="s">
        <v>447</v>
      </c>
      <c r="AG6" s="60" t="s">
        <v>488</v>
      </c>
      <c r="AH6" s="1"/>
      <c r="AI6" s="1"/>
      <c r="AJ6" s="1"/>
      <c r="AK6" s="1"/>
      <c r="AL6" s="15" t="s">
        <v>481</v>
      </c>
      <c r="AM6" s="15" t="s">
        <v>489</v>
      </c>
      <c r="AN6" s="15" t="s">
        <v>478</v>
      </c>
      <c r="AO6" s="15" t="s">
        <v>441</v>
      </c>
      <c r="AP6" s="15" t="s">
        <v>490</v>
      </c>
      <c r="AQ6" s="15" t="s">
        <v>491</v>
      </c>
      <c r="AR6" s="15"/>
      <c r="AS6" s="15"/>
      <c r="AT6" s="18" t="s">
        <v>481</v>
      </c>
      <c r="AU6" s="19" t="s">
        <v>466</v>
      </c>
      <c r="AV6" s="17" t="s">
        <v>441</v>
      </c>
      <c r="AW6" s="18" t="s">
        <v>478</v>
      </c>
      <c r="AX6" s="19" t="s">
        <v>449</v>
      </c>
      <c r="AY6" s="17" t="s">
        <v>473</v>
      </c>
      <c r="AZ6" s="15"/>
      <c r="BA6" s="1"/>
      <c r="BB6" s="1"/>
      <c r="BC6" s="15"/>
    </row>
    <row r="7" spans="1:55">
      <c r="A7" s="1" t="s">
        <v>421</v>
      </c>
      <c r="B7" s="1"/>
      <c r="C7" s="1"/>
      <c r="D7" s="1" t="s">
        <v>492</v>
      </c>
      <c r="E7" s="1"/>
      <c r="F7" s="1"/>
      <c r="G7" s="1" t="s">
        <v>83</v>
      </c>
      <c r="H7" s="1" t="s">
        <v>83</v>
      </c>
      <c r="I7" s="1" t="s">
        <v>83</v>
      </c>
      <c r="J7" s="1"/>
      <c r="K7" s="1"/>
      <c r="L7" s="1" t="s">
        <v>493</v>
      </c>
      <c r="M7" s="1" t="s">
        <v>382</v>
      </c>
      <c r="N7" s="1" t="s">
        <v>494</v>
      </c>
      <c r="O7" s="1" t="s">
        <v>495</v>
      </c>
      <c r="P7" s="1" t="s">
        <v>447</v>
      </c>
      <c r="Q7" s="1" t="s">
        <v>496</v>
      </c>
      <c r="R7" s="1"/>
      <c r="S7" s="85" t="s">
        <v>493</v>
      </c>
      <c r="T7" s="86" t="s">
        <v>382</v>
      </c>
      <c r="U7" s="86" t="s">
        <v>494</v>
      </c>
      <c r="V7" s="86" t="s">
        <v>495</v>
      </c>
      <c r="W7" s="86" t="s">
        <v>447</v>
      </c>
      <c r="X7" s="86" t="s">
        <v>496</v>
      </c>
      <c r="Y7" s="85" t="s">
        <v>496</v>
      </c>
      <c r="Z7" s="86" t="s">
        <v>497</v>
      </c>
      <c r="AA7" s="86" t="s">
        <v>486</v>
      </c>
      <c r="AB7" s="86" t="s">
        <v>498</v>
      </c>
      <c r="AC7" s="85" t="s">
        <v>56</v>
      </c>
      <c r="AD7" s="86" t="s">
        <v>499</v>
      </c>
      <c r="AE7" s="86" t="s">
        <v>500</v>
      </c>
      <c r="AF7" s="86" t="s">
        <v>501</v>
      </c>
      <c r="AG7" s="60" t="s">
        <v>502</v>
      </c>
      <c r="AH7" s="1"/>
      <c r="AI7" s="1"/>
      <c r="AJ7" s="1"/>
      <c r="AK7" s="1"/>
      <c r="AL7" s="15" t="s">
        <v>503</v>
      </c>
      <c r="AM7" s="15" t="s">
        <v>504</v>
      </c>
      <c r="AN7" s="15" t="s">
        <v>484</v>
      </c>
      <c r="AO7" s="15" t="s">
        <v>505</v>
      </c>
      <c r="AP7" s="15" t="s">
        <v>488</v>
      </c>
      <c r="AQ7" s="15" t="s">
        <v>506</v>
      </c>
      <c r="AR7" s="15"/>
      <c r="AS7" s="15"/>
      <c r="AT7" s="16" t="s">
        <v>503</v>
      </c>
      <c r="AU7" s="1" t="s">
        <v>477</v>
      </c>
      <c r="AV7" s="19" t="s">
        <v>53</v>
      </c>
      <c r="AW7" s="17" t="s">
        <v>56</v>
      </c>
      <c r="AX7" s="17" t="s">
        <v>473</v>
      </c>
      <c r="AY7" s="17" t="s">
        <v>475</v>
      </c>
      <c r="AZ7" s="15"/>
      <c r="BA7" s="1"/>
      <c r="BB7" s="1"/>
      <c r="BC7" s="15"/>
    </row>
    <row r="8" spans="1:55">
      <c r="A8" s="1"/>
      <c r="B8" s="1"/>
      <c r="C8" s="1"/>
      <c r="D8" s="1"/>
      <c r="E8" s="1"/>
      <c r="F8" s="1"/>
      <c r="G8" s="1" t="s">
        <v>91</v>
      </c>
      <c r="H8" s="1" t="s">
        <v>91</v>
      </c>
      <c r="I8" s="1" t="s">
        <v>91</v>
      </c>
      <c r="J8" s="1"/>
      <c r="K8" s="1"/>
      <c r="L8" s="1" t="s">
        <v>507</v>
      </c>
      <c r="M8" s="1" t="s">
        <v>508</v>
      </c>
      <c r="N8" s="1" t="s">
        <v>383</v>
      </c>
      <c r="O8" s="1" t="s">
        <v>489</v>
      </c>
      <c r="P8" s="1" t="s">
        <v>509</v>
      </c>
      <c r="Q8" s="1" t="s">
        <v>510</v>
      </c>
      <c r="R8" s="1"/>
      <c r="S8" s="85" t="s">
        <v>507</v>
      </c>
      <c r="T8" s="86" t="s">
        <v>508</v>
      </c>
      <c r="U8" s="86" t="s">
        <v>383</v>
      </c>
      <c r="V8" s="86" t="s">
        <v>489</v>
      </c>
      <c r="W8" s="86" t="s">
        <v>509</v>
      </c>
      <c r="X8" s="86" t="s">
        <v>510</v>
      </c>
      <c r="Y8" s="85" t="s">
        <v>53</v>
      </c>
      <c r="Z8" s="86" t="s">
        <v>56</v>
      </c>
      <c r="AA8" s="86" t="s">
        <v>511</v>
      </c>
      <c r="AB8" s="86" t="s">
        <v>512</v>
      </c>
      <c r="AC8" s="85" t="s">
        <v>513</v>
      </c>
      <c r="AD8" s="87" t="s">
        <v>379</v>
      </c>
      <c r="AE8" s="86" t="s">
        <v>514</v>
      </c>
      <c r="AF8" s="86" t="s">
        <v>515</v>
      </c>
      <c r="AG8" s="60" t="s">
        <v>495</v>
      </c>
      <c r="AH8" s="1"/>
      <c r="AI8" s="1"/>
      <c r="AJ8" s="1"/>
      <c r="AK8" s="1"/>
      <c r="AL8" s="15" t="s">
        <v>507</v>
      </c>
      <c r="AM8" s="15" t="s">
        <v>516</v>
      </c>
      <c r="AN8" s="15" t="s">
        <v>495</v>
      </c>
      <c r="AO8" s="15" t="s">
        <v>517</v>
      </c>
      <c r="AP8" s="15" t="s">
        <v>518</v>
      </c>
      <c r="AQ8" s="15" t="s">
        <v>519</v>
      </c>
      <c r="AR8" s="15"/>
      <c r="AS8" s="15"/>
      <c r="AT8" s="18" t="s">
        <v>507</v>
      </c>
      <c r="AU8" s="17" t="s">
        <v>482</v>
      </c>
      <c r="AV8" s="17" t="s">
        <v>56</v>
      </c>
      <c r="AW8" s="16" t="s">
        <v>484</v>
      </c>
      <c r="AX8" s="19" t="s">
        <v>475</v>
      </c>
      <c r="AY8" s="17" t="s">
        <v>500</v>
      </c>
      <c r="AZ8" s="15"/>
      <c r="BA8" s="1"/>
      <c r="BB8" s="1"/>
      <c r="BC8" s="15"/>
    </row>
    <row r="9" spans="1:55">
      <c r="A9" s="1"/>
      <c r="B9" s="1"/>
      <c r="C9" s="1"/>
      <c r="D9" s="1"/>
      <c r="E9" s="1"/>
      <c r="F9" s="1"/>
      <c r="G9" s="1" t="s">
        <v>423</v>
      </c>
      <c r="H9" s="1" t="s">
        <v>423</v>
      </c>
      <c r="I9" s="1" t="s">
        <v>423</v>
      </c>
      <c r="J9" s="1"/>
      <c r="K9" s="1"/>
      <c r="L9" s="1" t="s">
        <v>386</v>
      </c>
      <c r="M9" s="1" t="s">
        <v>520</v>
      </c>
      <c r="N9" s="1" t="s">
        <v>521</v>
      </c>
      <c r="O9" s="1" t="s">
        <v>515</v>
      </c>
      <c r="P9" s="1" t="s">
        <v>522</v>
      </c>
      <c r="Q9" s="1" t="s">
        <v>379</v>
      </c>
      <c r="R9" s="1"/>
      <c r="S9" s="85" t="s">
        <v>386</v>
      </c>
      <c r="T9" s="86" t="s">
        <v>520</v>
      </c>
      <c r="U9" s="87" t="s">
        <v>521</v>
      </c>
      <c r="V9" s="86" t="s">
        <v>515</v>
      </c>
      <c r="W9" s="86" t="s">
        <v>522</v>
      </c>
      <c r="X9" s="86" t="s">
        <v>379</v>
      </c>
      <c r="Y9" s="85" t="s">
        <v>56</v>
      </c>
      <c r="Z9" s="86" t="s">
        <v>447</v>
      </c>
      <c r="AA9" s="86" t="s">
        <v>523</v>
      </c>
      <c r="AB9" s="86" t="s">
        <v>494</v>
      </c>
      <c r="AC9" s="85" t="s">
        <v>513</v>
      </c>
      <c r="AD9" s="86" t="s">
        <v>524</v>
      </c>
      <c r="AE9" s="86" t="s">
        <v>525</v>
      </c>
      <c r="AF9" s="86" t="s">
        <v>526</v>
      </c>
      <c r="AG9" s="60" t="s">
        <v>527</v>
      </c>
      <c r="AH9" s="1"/>
      <c r="AI9" s="1"/>
      <c r="AJ9" s="1"/>
      <c r="AK9" s="1"/>
      <c r="AL9" s="15" t="s">
        <v>386</v>
      </c>
      <c r="AM9" s="15" t="s">
        <v>528</v>
      </c>
      <c r="AN9" s="15" t="s">
        <v>501</v>
      </c>
      <c r="AO9" s="15" t="s">
        <v>495</v>
      </c>
      <c r="AP9" s="15" t="s">
        <v>529</v>
      </c>
      <c r="AQ9" s="15" t="s">
        <v>530</v>
      </c>
      <c r="AR9" s="15"/>
      <c r="AS9" s="15"/>
      <c r="AT9" s="16" t="s">
        <v>386</v>
      </c>
      <c r="AU9" s="18" t="s">
        <v>489</v>
      </c>
      <c r="AV9" s="17" t="s">
        <v>505</v>
      </c>
      <c r="AW9" s="19" t="s">
        <v>467</v>
      </c>
      <c r="AX9" s="19" t="s">
        <v>476</v>
      </c>
      <c r="AY9" s="19" t="s">
        <v>514</v>
      </c>
      <c r="AZ9" s="15"/>
      <c r="BA9" s="1"/>
      <c r="BB9" s="1"/>
      <c r="BC9" s="15"/>
    </row>
    <row r="10" spans="1:55">
      <c r="A10" s="1"/>
      <c r="B10" s="1"/>
      <c r="C10" s="1"/>
      <c r="D10" s="1"/>
      <c r="E10" s="1"/>
      <c r="F10" s="1"/>
      <c r="G10" s="1"/>
      <c r="H10" s="1"/>
      <c r="I10" s="1"/>
      <c r="J10" s="1"/>
      <c r="K10" s="1"/>
      <c r="L10" s="1" t="s">
        <v>531</v>
      </c>
      <c r="M10" s="1" t="s">
        <v>532</v>
      </c>
      <c r="N10" s="1" t="s">
        <v>516</v>
      </c>
      <c r="O10" s="1" t="s">
        <v>504</v>
      </c>
      <c r="P10" s="1" t="s">
        <v>484</v>
      </c>
      <c r="Q10" s="1" t="s">
        <v>380</v>
      </c>
      <c r="R10" s="1"/>
      <c r="S10" s="85" t="s">
        <v>531</v>
      </c>
      <c r="T10" s="86" t="s">
        <v>532</v>
      </c>
      <c r="U10" s="86" t="s">
        <v>516</v>
      </c>
      <c r="V10" s="86" t="s">
        <v>504</v>
      </c>
      <c r="W10" s="86" t="s">
        <v>484</v>
      </c>
      <c r="X10" s="86" t="s">
        <v>380</v>
      </c>
      <c r="Y10" s="85" t="s">
        <v>533</v>
      </c>
      <c r="Z10" s="86" t="s">
        <v>512</v>
      </c>
      <c r="AA10" s="86" t="s">
        <v>512</v>
      </c>
      <c r="AB10" s="86" t="s">
        <v>383</v>
      </c>
      <c r="AC10" s="85" t="s">
        <v>534</v>
      </c>
      <c r="AD10" s="86" t="s">
        <v>477</v>
      </c>
      <c r="AE10" s="86" t="s">
        <v>488</v>
      </c>
      <c r="AF10" s="86" t="s">
        <v>535</v>
      </c>
      <c r="AG10" s="60" t="s">
        <v>536</v>
      </c>
      <c r="AH10" s="1"/>
      <c r="AI10" s="1"/>
      <c r="AJ10" s="1"/>
      <c r="AK10" s="1"/>
      <c r="AL10" s="15" t="s">
        <v>531</v>
      </c>
      <c r="AM10" s="15" t="s">
        <v>537</v>
      </c>
      <c r="AN10" s="15" t="s">
        <v>538</v>
      </c>
      <c r="AO10" s="15" t="s">
        <v>539</v>
      </c>
      <c r="AP10" s="15" t="s">
        <v>483</v>
      </c>
      <c r="AQ10" s="15" t="s">
        <v>398</v>
      </c>
      <c r="AR10" s="15"/>
      <c r="AS10" s="15"/>
      <c r="AT10" s="18" t="s">
        <v>531</v>
      </c>
      <c r="AU10" s="19" t="s">
        <v>382</v>
      </c>
      <c r="AV10" s="19" t="s">
        <v>517</v>
      </c>
      <c r="AW10" s="18" t="s">
        <v>495</v>
      </c>
      <c r="AX10" s="19" t="s">
        <v>500</v>
      </c>
      <c r="AY10" s="17" t="s">
        <v>525</v>
      </c>
      <c r="AZ10" s="15"/>
      <c r="BA10" s="1"/>
      <c r="BB10" s="1"/>
      <c r="BC10" s="15"/>
    </row>
    <row r="11" spans="1:55">
      <c r="A11" s="1"/>
      <c r="B11" s="1"/>
      <c r="C11" s="1"/>
      <c r="D11" s="1"/>
      <c r="E11" s="1"/>
      <c r="F11" s="1"/>
      <c r="G11" s="1" t="s">
        <v>438</v>
      </c>
      <c r="H11" s="1" t="s">
        <v>463</v>
      </c>
      <c r="I11" s="1" t="s">
        <v>540</v>
      </c>
      <c r="J11" s="1" t="s">
        <v>492</v>
      </c>
      <c r="K11" s="1"/>
      <c r="L11" s="1" t="s">
        <v>516</v>
      </c>
      <c r="M11" s="1" t="s">
        <v>541</v>
      </c>
      <c r="N11" s="1" t="s">
        <v>542</v>
      </c>
      <c r="O11" s="1" t="s">
        <v>520</v>
      </c>
      <c r="P11" s="1" t="s">
        <v>494</v>
      </c>
      <c r="Q11" s="1" t="s">
        <v>543</v>
      </c>
      <c r="R11" s="1"/>
      <c r="S11" s="85" t="s">
        <v>516</v>
      </c>
      <c r="T11" s="86" t="s">
        <v>541</v>
      </c>
      <c r="U11" s="86" t="s">
        <v>542</v>
      </c>
      <c r="V11" s="86" t="s">
        <v>520</v>
      </c>
      <c r="W11" s="86" t="s">
        <v>494</v>
      </c>
      <c r="X11" s="86" t="s">
        <v>543</v>
      </c>
      <c r="Y11" s="85" t="s">
        <v>447</v>
      </c>
      <c r="Z11" s="86" t="s">
        <v>383</v>
      </c>
      <c r="AA11" s="86" t="s">
        <v>544</v>
      </c>
      <c r="AB11" s="86" t="s">
        <v>545</v>
      </c>
      <c r="AC11" s="88" t="s">
        <v>502</v>
      </c>
      <c r="AD11" s="86" t="s">
        <v>527</v>
      </c>
      <c r="AE11" s="86" t="s">
        <v>513</v>
      </c>
      <c r="AF11" s="87" t="s">
        <v>386</v>
      </c>
      <c r="AG11" s="60" t="s">
        <v>546</v>
      </c>
      <c r="AH11" s="1"/>
      <c r="AI11" s="1"/>
      <c r="AJ11" s="1"/>
      <c r="AK11" s="1"/>
      <c r="AL11" s="15" t="s">
        <v>547</v>
      </c>
      <c r="AM11" s="15" t="s">
        <v>548</v>
      </c>
      <c r="AN11" s="15" t="s">
        <v>516</v>
      </c>
      <c r="AO11" s="15" t="s">
        <v>489</v>
      </c>
      <c r="AP11" s="15" t="s">
        <v>489</v>
      </c>
      <c r="AQ11" s="15" t="s">
        <v>549</v>
      </c>
      <c r="AR11" s="15"/>
      <c r="AS11" s="15"/>
      <c r="AT11" s="16" t="s">
        <v>547</v>
      </c>
      <c r="AU11" s="16" t="s">
        <v>504</v>
      </c>
      <c r="AV11" s="17" t="s">
        <v>484</v>
      </c>
      <c r="AW11" s="17" t="s">
        <v>483</v>
      </c>
      <c r="AX11" s="19" t="s">
        <v>514</v>
      </c>
      <c r="AY11" s="17" t="s">
        <v>474</v>
      </c>
      <c r="AZ11" s="15"/>
      <c r="BA11" s="1"/>
      <c r="BB11" s="1"/>
      <c r="BC11" s="15"/>
    </row>
    <row r="12" spans="1:55">
      <c r="A12" s="1"/>
      <c r="B12" s="1"/>
      <c r="C12" s="1"/>
      <c r="D12" s="1"/>
      <c r="E12" s="1"/>
      <c r="F12" s="1"/>
      <c r="G12" s="1" t="s">
        <v>451</v>
      </c>
      <c r="H12" s="1" t="s">
        <v>451</v>
      </c>
      <c r="I12" s="1" t="s">
        <v>451</v>
      </c>
      <c r="J12" s="1" t="s">
        <v>451</v>
      </c>
      <c r="K12" s="1"/>
      <c r="L12" s="1" t="s">
        <v>550</v>
      </c>
      <c r="M12" s="1" t="s">
        <v>550</v>
      </c>
      <c r="N12" s="1" t="s">
        <v>551</v>
      </c>
      <c r="O12" s="1" t="s">
        <v>526</v>
      </c>
      <c r="P12" s="1" t="s">
        <v>552</v>
      </c>
      <c r="Q12" s="1" t="s">
        <v>484</v>
      </c>
      <c r="R12" s="1"/>
      <c r="S12" s="85" t="s">
        <v>550</v>
      </c>
      <c r="T12" s="86" t="s">
        <v>550</v>
      </c>
      <c r="U12" s="86" t="s">
        <v>551</v>
      </c>
      <c r="V12" s="86" t="s">
        <v>526</v>
      </c>
      <c r="W12" s="86" t="s">
        <v>552</v>
      </c>
      <c r="X12" s="86" t="s">
        <v>484</v>
      </c>
      <c r="Y12" s="85" t="s">
        <v>379</v>
      </c>
      <c r="Z12" s="86" t="s">
        <v>553</v>
      </c>
      <c r="AA12" s="86" t="s">
        <v>554</v>
      </c>
      <c r="AB12" s="86" t="s">
        <v>555</v>
      </c>
      <c r="AC12" s="85" t="s">
        <v>477</v>
      </c>
      <c r="AD12" s="86" t="s">
        <v>382</v>
      </c>
      <c r="AE12" s="86" t="s">
        <v>499</v>
      </c>
      <c r="AF12" s="87" t="s">
        <v>556</v>
      </c>
      <c r="AG12" s="60" t="s">
        <v>383</v>
      </c>
      <c r="AH12" s="1"/>
      <c r="AI12" s="1"/>
      <c r="AJ12" s="1"/>
      <c r="AK12" s="1"/>
      <c r="AL12" s="15" t="s">
        <v>557</v>
      </c>
      <c r="AM12" s="15" t="s">
        <v>558</v>
      </c>
      <c r="AN12" s="15" t="s">
        <v>58</v>
      </c>
      <c r="AO12" s="15" t="s">
        <v>559</v>
      </c>
      <c r="AP12" s="15" t="s">
        <v>560</v>
      </c>
      <c r="AQ12" s="15" t="s">
        <v>561</v>
      </c>
      <c r="AR12" s="15"/>
      <c r="AS12" s="15"/>
      <c r="AT12" s="18" t="s">
        <v>557</v>
      </c>
      <c r="AU12" s="17" t="s">
        <v>508</v>
      </c>
      <c r="AV12" s="19" t="s">
        <v>467</v>
      </c>
      <c r="AW12" s="19" t="s">
        <v>494</v>
      </c>
      <c r="AX12" s="17" t="s">
        <v>525</v>
      </c>
      <c r="AY12" s="19" t="s">
        <v>513</v>
      </c>
      <c r="AZ12" s="15"/>
      <c r="BA12" s="1"/>
      <c r="BB12" s="1"/>
      <c r="BC12" s="15"/>
    </row>
    <row r="13" spans="1:55">
      <c r="A13" s="1"/>
      <c r="B13" s="1"/>
      <c r="C13" s="1"/>
      <c r="D13" s="1"/>
      <c r="E13" s="1"/>
      <c r="F13" s="1"/>
      <c r="G13" s="1" t="s">
        <v>452</v>
      </c>
      <c r="H13" s="1" t="s">
        <v>452</v>
      </c>
      <c r="I13" s="1" t="s">
        <v>452</v>
      </c>
      <c r="J13" s="1" t="s">
        <v>452</v>
      </c>
      <c r="K13" s="1"/>
      <c r="L13" s="1" t="s">
        <v>557</v>
      </c>
      <c r="M13" s="1" t="s">
        <v>556</v>
      </c>
      <c r="N13" s="1" t="s">
        <v>562</v>
      </c>
      <c r="O13" s="1" t="s">
        <v>541</v>
      </c>
      <c r="P13" s="1" t="s">
        <v>563</v>
      </c>
      <c r="Q13" s="1" t="s">
        <v>564</v>
      </c>
      <c r="R13" s="1"/>
      <c r="S13" s="85" t="s">
        <v>557</v>
      </c>
      <c r="T13" s="86" t="s">
        <v>556</v>
      </c>
      <c r="U13" s="86" t="s">
        <v>562</v>
      </c>
      <c r="V13" s="86" t="s">
        <v>541</v>
      </c>
      <c r="W13" s="86" t="s">
        <v>563</v>
      </c>
      <c r="X13" s="86" t="s">
        <v>564</v>
      </c>
      <c r="Y13" s="85" t="s">
        <v>565</v>
      </c>
      <c r="Z13" s="86" t="s">
        <v>551</v>
      </c>
      <c r="AA13" s="86" t="s">
        <v>566</v>
      </c>
      <c r="AB13" s="86" t="s">
        <v>567</v>
      </c>
      <c r="AC13" s="85" t="s">
        <v>383</v>
      </c>
      <c r="AD13" s="86" t="s">
        <v>384</v>
      </c>
      <c r="AE13" s="86" t="s">
        <v>568</v>
      </c>
      <c r="AF13" s="87" t="s">
        <v>542</v>
      </c>
      <c r="AG13" s="60" t="s">
        <v>569</v>
      </c>
      <c r="AH13" s="1"/>
      <c r="AI13" s="1"/>
      <c r="AJ13" s="1"/>
      <c r="AK13" s="1"/>
      <c r="AL13" s="15" t="s">
        <v>570</v>
      </c>
      <c r="AM13" s="15" t="s">
        <v>571</v>
      </c>
      <c r="AN13" s="15" t="s">
        <v>572</v>
      </c>
      <c r="AO13" s="15" t="s">
        <v>573</v>
      </c>
      <c r="AP13" s="15" t="s">
        <v>494</v>
      </c>
      <c r="AQ13" s="15" t="s">
        <v>574</v>
      </c>
      <c r="AR13" s="15"/>
      <c r="AS13" s="15"/>
      <c r="AT13" s="16" t="s">
        <v>570</v>
      </c>
      <c r="AU13" s="19" t="s">
        <v>520</v>
      </c>
      <c r="AV13" s="19" t="s">
        <v>495</v>
      </c>
      <c r="AW13" s="17" t="s">
        <v>383</v>
      </c>
      <c r="AX13" s="19" t="s">
        <v>474</v>
      </c>
      <c r="AY13" s="17" t="s">
        <v>499</v>
      </c>
      <c r="AZ13" s="15"/>
      <c r="BA13" s="1"/>
      <c r="BB13" s="1"/>
      <c r="BC13" s="15"/>
    </row>
    <row r="14" spans="1:55">
      <c r="A14" s="1"/>
      <c r="B14" s="1"/>
      <c r="C14" s="1"/>
      <c r="D14" s="1"/>
      <c r="E14" s="1"/>
      <c r="F14" s="1"/>
      <c r="G14" s="1" t="s">
        <v>453</v>
      </c>
      <c r="H14" s="1" t="s">
        <v>453</v>
      </c>
      <c r="I14" s="1" t="s">
        <v>453</v>
      </c>
      <c r="J14" s="1" t="s">
        <v>453</v>
      </c>
      <c r="K14" s="1"/>
      <c r="L14" s="1" t="s">
        <v>575</v>
      </c>
      <c r="M14" s="1" t="s">
        <v>551</v>
      </c>
      <c r="N14" s="1" t="s">
        <v>388</v>
      </c>
      <c r="O14" s="1" t="s">
        <v>576</v>
      </c>
      <c r="P14" s="1" t="s">
        <v>501</v>
      </c>
      <c r="Q14" s="1" t="s">
        <v>577</v>
      </c>
      <c r="R14" s="1"/>
      <c r="S14" s="85" t="s">
        <v>575</v>
      </c>
      <c r="T14" s="86" t="s">
        <v>551</v>
      </c>
      <c r="U14" s="87" t="s">
        <v>388</v>
      </c>
      <c r="V14" s="86" t="s">
        <v>576</v>
      </c>
      <c r="W14" s="86" t="s">
        <v>501</v>
      </c>
      <c r="X14" s="86" t="s">
        <v>577</v>
      </c>
      <c r="Y14" s="85" t="s">
        <v>529</v>
      </c>
      <c r="Z14" s="86" t="s">
        <v>578</v>
      </c>
      <c r="AA14" s="86" t="s">
        <v>579</v>
      </c>
      <c r="AB14" s="86" t="s">
        <v>578</v>
      </c>
      <c r="AC14" s="85" t="s">
        <v>566</v>
      </c>
      <c r="AD14" s="86" t="s">
        <v>580</v>
      </c>
      <c r="AE14" s="86" t="s">
        <v>581</v>
      </c>
      <c r="AF14" s="86" t="s">
        <v>582</v>
      </c>
      <c r="AG14" s="60" t="s">
        <v>583</v>
      </c>
      <c r="AH14" s="1"/>
      <c r="AI14" s="1"/>
      <c r="AJ14" s="1"/>
      <c r="AK14" s="1"/>
      <c r="AL14" s="15" t="s">
        <v>584</v>
      </c>
      <c r="AM14" s="15" t="s">
        <v>585</v>
      </c>
      <c r="AN14" s="15" t="s">
        <v>557</v>
      </c>
      <c r="AO14" s="15" t="s">
        <v>586</v>
      </c>
      <c r="AP14" s="15" t="s">
        <v>521</v>
      </c>
      <c r="AQ14" s="15" t="s">
        <v>587</v>
      </c>
      <c r="AR14" s="15"/>
      <c r="AS14" s="15"/>
      <c r="AT14" s="18" t="s">
        <v>584</v>
      </c>
      <c r="AU14" s="17" t="s">
        <v>532</v>
      </c>
      <c r="AV14" s="18" t="s">
        <v>539</v>
      </c>
      <c r="AW14" s="16" t="s">
        <v>501</v>
      </c>
      <c r="AX14" s="19" t="s">
        <v>488</v>
      </c>
      <c r="AY14" s="17" t="s">
        <v>568</v>
      </c>
      <c r="AZ14" s="15"/>
      <c r="BA14" s="1"/>
      <c r="BB14" s="1"/>
      <c r="BC14" s="15"/>
    </row>
    <row r="15" spans="1:55">
      <c r="A15" s="1"/>
      <c r="B15" s="1"/>
      <c r="C15" s="1"/>
      <c r="D15" s="1"/>
      <c r="E15" s="1"/>
      <c r="F15" s="1"/>
      <c r="G15" s="1" t="s">
        <v>454</v>
      </c>
      <c r="H15" s="1" t="s">
        <v>454</v>
      </c>
      <c r="I15" s="1" t="s">
        <v>454</v>
      </c>
      <c r="J15" s="1" t="s">
        <v>454</v>
      </c>
      <c r="K15" s="1"/>
      <c r="L15" s="1" t="s">
        <v>570</v>
      </c>
      <c r="M15" s="1" t="s">
        <v>528</v>
      </c>
      <c r="N15" s="1" t="s">
        <v>572</v>
      </c>
      <c r="O15" s="1" t="s">
        <v>58</v>
      </c>
      <c r="P15" s="1" t="s">
        <v>521</v>
      </c>
      <c r="Q15" s="1" t="s">
        <v>477</v>
      </c>
      <c r="R15" s="1"/>
      <c r="S15" s="85" t="s">
        <v>570</v>
      </c>
      <c r="T15" s="86" t="s">
        <v>528</v>
      </c>
      <c r="U15" s="86" t="s">
        <v>572</v>
      </c>
      <c r="V15" s="86" t="s">
        <v>58</v>
      </c>
      <c r="W15" s="86" t="s">
        <v>521</v>
      </c>
      <c r="X15" s="86" t="s">
        <v>477</v>
      </c>
      <c r="Y15" s="85" t="s">
        <v>489</v>
      </c>
      <c r="Z15" s="86" t="s">
        <v>387</v>
      </c>
      <c r="AA15" s="86" t="s">
        <v>387</v>
      </c>
      <c r="AB15" s="87" t="s">
        <v>388</v>
      </c>
      <c r="AC15" s="85" t="s">
        <v>507</v>
      </c>
      <c r="AD15" s="86" t="s">
        <v>588</v>
      </c>
      <c r="AE15" s="86" t="s">
        <v>502</v>
      </c>
      <c r="AF15" s="86" t="s">
        <v>589</v>
      </c>
      <c r="AG15" s="61" t="s">
        <v>590</v>
      </c>
      <c r="AH15" s="1"/>
      <c r="AI15" s="1"/>
      <c r="AJ15" s="1"/>
      <c r="AK15" s="1"/>
      <c r="AL15" s="15" t="s">
        <v>591</v>
      </c>
      <c r="AM15" s="15" t="s">
        <v>592</v>
      </c>
      <c r="AN15" s="15" t="s">
        <v>113</v>
      </c>
      <c r="AO15" s="15" t="s">
        <v>593</v>
      </c>
      <c r="AP15" s="15" t="s">
        <v>594</v>
      </c>
      <c r="AQ15" s="15" t="s">
        <v>595</v>
      </c>
      <c r="AR15" s="15"/>
      <c r="AS15" s="15"/>
      <c r="AT15" s="16" t="s">
        <v>591</v>
      </c>
      <c r="AU15" s="19" t="s">
        <v>541</v>
      </c>
      <c r="AV15" s="17" t="s">
        <v>483</v>
      </c>
      <c r="AW15" s="19" t="s">
        <v>521</v>
      </c>
      <c r="AX15" s="19" t="s">
        <v>513</v>
      </c>
      <c r="AY15" s="17" t="s">
        <v>581</v>
      </c>
      <c r="AZ15" s="15"/>
      <c r="BA15" s="1"/>
      <c r="BB15" s="1"/>
      <c r="BC15" s="15"/>
    </row>
    <row r="16" spans="1:55">
      <c r="A16" s="1"/>
      <c r="B16" s="1"/>
      <c r="C16" s="1"/>
      <c r="D16" s="1"/>
      <c r="E16" s="1"/>
      <c r="F16" s="1"/>
      <c r="G16" s="1" t="s">
        <v>455</v>
      </c>
      <c r="H16" s="1" t="s">
        <v>455</v>
      </c>
      <c r="I16" s="1" t="s">
        <v>455</v>
      </c>
      <c r="J16" s="1" t="s">
        <v>455</v>
      </c>
      <c r="K16" s="1"/>
      <c r="L16" s="1" t="s">
        <v>390</v>
      </c>
      <c r="M16" s="1" t="s">
        <v>388</v>
      </c>
      <c r="N16" s="1" t="s">
        <v>596</v>
      </c>
      <c r="O16" s="1" t="s">
        <v>597</v>
      </c>
      <c r="P16" s="1" t="s">
        <v>598</v>
      </c>
      <c r="Q16" s="1" t="s">
        <v>552</v>
      </c>
      <c r="R16" s="1"/>
      <c r="S16" s="85" t="s">
        <v>390</v>
      </c>
      <c r="T16" s="86" t="s">
        <v>388</v>
      </c>
      <c r="U16" s="86" t="s">
        <v>596</v>
      </c>
      <c r="V16" s="86" t="s">
        <v>597</v>
      </c>
      <c r="W16" s="87" t="s">
        <v>598</v>
      </c>
      <c r="X16" s="86" t="s">
        <v>552</v>
      </c>
      <c r="Y16" s="85" t="s">
        <v>599</v>
      </c>
      <c r="Z16" s="86" t="s">
        <v>600</v>
      </c>
      <c r="AA16" s="86" t="s">
        <v>601</v>
      </c>
      <c r="AB16" s="86" t="s">
        <v>602</v>
      </c>
      <c r="AC16" s="85" t="s">
        <v>597</v>
      </c>
      <c r="AD16" s="86" t="s">
        <v>507</v>
      </c>
      <c r="AE16" s="86" t="s">
        <v>603</v>
      </c>
      <c r="AF16" s="86" t="s">
        <v>604</v>
      </c>
      <c r="AG16" s="60" t="s">
        <v>588</v>
      </c>
      <c r="AH16" s="1"/>
      <c r="AI16" s="1"/>
      <c r="AJ16" s="1"/>
      <c r="AK16" s="1"/>
      <c r="AL16" s="15" t="s">
        <v>605</v>
      </c>
      <c r="AM16" s="15" t="s">
        <v>606</v>
      </c>
      <c r="AN16" s="15" t="s">
        <v>575</v>
      </c>
      <c r="AO16" s="15" t="s">
        <v>607</v>
      </c>
      <c r="AP16" s="15" t="s">
        <v>598</v>
      </c>
      <c r="AQ16" s="15" t="s">
        <v>608</v>
      </c>
      <c r="AR16" s="15"/>
      <c r="AS16" s="15"/>
      <c r="AT16" s="18" t="s">
        <v>605</v>
      </c>
      <c r="AU16" s="18" t="s">
        <v>516</v>
      </c>
      <c r="AV16" s="17" t="s">
        <v>489</v>
      </c>
      <c r="AW16" s="16" t="s">
        <v>516</v>
      </c>
      <c r="AX16" s="19" t="s">
        <v>499</v>
      </c>
      <c r="AY16" s="17" t="s">
        <v>502</v>
      </c>
      <c r="AZ16" s="15"/>
      <c r="BA16" s="1"/>
      <c r="BB16" s="1"/>
      <c r="BC16" s="15"/>
    </row>
    <row r="17" spans="7:55">
      <c r="G17" s="1" t="s">
        <v>456</v>
      </c>
      <c r="H17" s="1" t="s">
        <v>456</v>
      </c>
      <c r="I17" s="1" t="s">
        <v>456</v>
      </c>
      <c r="J17" s="1" t="s">
        <v>456</v>
      </c>
      <c r="K17" s="1"/>
      <c r="L17" s="1" t="s">
        <v>609</v>
      </c>
      <c r="M17" s="1" t="s">
        <v>390</v>
      </c>
      <c r="N17" s="1" t="s">
        <v>557</v>
      </c>
      <c r="O17" s="1" t="s">
        <v>610</v>
      </c>
      <c r="P17" s="1" t="s">
        <v>611</v>
      </c>
      <c r="Q17" s="1" t="s">
        <v>563</v>
      </c>
      <c r="R17" s="1"/>
      <c r="S17" s="85" t="s">
        <v>609</v>
      </c>
      <c r="T17" s="87" t="s">
        <v>390</v>
      </c>
      <c r="U17" s="86" t="s">
        <v>557</v>
      </c>
      <c r="V17" s="87" t="s">
        <v>610</v>
      </c>
      <c r="W17" s="86" t="s">
        <v>611</v>
      </c>
      <c r="X17" s="86" t="s">
        <v>563</v>
      </c>
      <c r="Y17" s="85" t="s">
        <v>612</v>
      </c>
      <c r="Z17" s="86" t="s">
        <v>572</v>
      </c>
      <c r="AA17" s="86" t="s">
        <v>607</v>
      </c>
      <c r="AB17" s="86" t="s">
        <v>613</v>
      </c>
      <c r="AC17" s="85" t="s">
        <v>578</v>
      </c>
      <c r="AD17" s="86" t="s">
        <v>516</v>
      </c>
      <c r="AE17" s="86" t="s">
        <v>477</v>
      </c>
      <c r="AF17" s="86" t="s">
        <v>614</v>
      </c>
      <c r="AG17" s="60" t="s">
        <v>566</v>
      </c>
      <c r="AH17" s="1"/>
      <c r="AI17" s="1"/>
      <c r="AJ17" s="1"/>
      <c r="AK17" s="1"/>
      <c r="AL17" s="15" t="s">
        <v>615</v>
      </c>
      <c r="AM17" s="15" t="s">
        <v>616</v>
      </c>
      <c r="AN17" s="15" t="s">
        <v>617</v>
      </c>
      <c r="AO17" s="15" t="s">
        <v>557</v>
      </c>
      <c r="AP17" s="15" t="s">
        <v>520</v>
      </c>
      <c r="AQ17" s="15" t="s">
        <v>618</v>
      </c>
      <c r="AR17" s="15"/>
      <c r="AS17" s="15"/>
      <c r="AT17" s="16" t="s">
        <v>615</v>
      </c>
      <c r="AU17" s="17" t="s">
        <v>550</v>
      </c>
      <c r="AV17" s="19" t="s">
        <v>494</v>
      </c>
      <c r="AW17" s="18" t="s">
        <v>58</v>
      </c>
      <c r="AX17" s="19" t="s">
        <v>447</v>
      </c>
      <c r="AY17" s="17" t="s">
        <v>495</v>
      </c>
      <c r="AZ17" s="15"/>
      <c r="BA17" s="1"/>
      <c r="BB17" s="1"/>
      <c r="BC17" s="15"/>
    </row>
    <row r="18" spans="7:55">
      <c r="G18" s="1"/>
      <c r="H18" s="1"/>
      <c r="I18" s="1"/>
      <c r="J18" s="1"/>
      <c r="K18" s="1"/>
      <c r="L18" s="1" t="s">
        <v>619</v>
      </c>
      <c r="M18" s="1" t="s">
        <v>619</v>
      </c>
      <c r="N18" s="1" t="s">
        <v>620</v>
      </c>
      <c r="O18" s="1" t="s">
        <v>586</v>
      </c>
      <c r="P18" s="1" t="s">
        <v>576</v>
      </c>
      <c r="Q18" s="1" t="s">
        <v>621</v>
      </c>
      <c r="R18" s="1"/>
      <c r="S18" s="85" t="s">
        <v>619</v>
      </c>
      <c r="T18" s="86" t="s">
        <v>619</v>
      </c>
      <c r="U18" s="86" t="s">
        <v>620</v>
      </c>
      <c r="V18" s="86" t="s">
        <v>586</v>
      </c>
      <c r="W18" s="86" t="s">
        <v>576</v>
      </c>
      <c r="X18" s="86" t="s">
        <v>621</v>
      </c>
      <c r="Y18" s="85" t="s">
        <v>383</v>
      </c>
      <c r="Z18" s="86" t="s">
        <v>613</v>
      </c>
      <c r="AA18" s="86" t="s">
        <v>613</v>
      </c>
      <c r="AB18" s="86" t="s">
        <v>622</v>
      </c>
      <c r="AC18" s="85" t="s">
        <v>387</v>
      </c>
      <c r="AD18" s="86" t="s">
        <v>528</v>
      </c>
      <c r="AE18" s="86" t="s">
        <v>623</v>
      </c>
      <c r="AF18" s="86" t="s">
        <v>92</v>
      </c>
      <c r="AG18" s="60" t="s">
        <v>562</v>
      </c>
      <c r="AH18" s="1"/>
      <c r="AI18" s="1"/>
      <c r="AJ18" s="1"/>
      <c r="AK18" s="1"/>
      <c r="AL18" s="15" t="s">
        <v>624</v>
      </c>
      <c r="AM18" s="15" t="s">
        <v>410</v>
      </c>
      <c r="AN18" s="15" t="s">
        <v>625</v>
      </c>
      <c r="AO18" s="15" t="s">
        <v>626</v>
      </c>
      <c r="AP18" s="15" t="s">
        <v>541</v>
      </c>
      <c r="AQ18" s="15" t="s">
        <v>627</v>
      </c>
      <c r="AR18" s="15"/>
      <c r="AS18" s="15"/>
      <c r="AT18" s="18" t="s">
        <v>624</v>
      </c>
      <c r="AU18" s="19" t="s">
        <v>556</v>
      </c>
      <c r="AV18" s="17" t="s">
        <v>383</v>
      </c>
      <c r="AW18" s="16" t="s">
        <v>542</v>
      </c>
      <c r="AX18" s="19" t="s">
        <v>568</v>
      </c>
      <c r="AY18" s="17" t="s">
        <v>477</v>
      </c>
      <c r="AZ18" s="15"/>
      <c r="BA18" s="1"/>
      <c r="BB18" s="1"/>
      <c r="BC18" s="15"/>
    </row>
    <row r="19" spans="7:55">
      <c r="G19" s="1" t="s">
        <v>439</v>
      </c>
      <c r="H19" s="1" t="s">
        <v>628</v>
      </c>
      <c r="I19" s="1" t="s">
        <v>480</v>
      </c>
      <c r="J19" s="1"/>
      <c r="K19" s="1"/>
      <c r="L19" s="1" t="s">
        <v>619</v>
      </c>
      <c r="M19" s="1" t="s">
        <v>558</v>
      </c>
      <c r="N19" s="1" t="s">
        <v>113</v>
      </c>
      <c r="O19" s="1" t="s">
        <v>582</v>
      </c>
      <c r="P19" s="1" t="s">
        <v>629</v>
      </c>
      <c r="Q19" s="1" t="s">
        <v>630</v>
      </c>
      <c r="R19" s="1"/>
      <c r="S19" s="85" t="s">
        <v>619</v>
      </c>
      <c r="T19" s="86" t="s">
        <v>558</v>
      </c>
      <c r="U19" s="86" t="s">
        <v>113</v>
      </c>
      <c r="V19" s="86" t="s">
        <v>582</v>
      </c>
      <c r="W19" s="86" t="s">
        <v>629</v>
      </c>
      <c r="X19" s="86" t="s">
        <v>630</v>
      </c>
      <c r="Y19" s="88" t="s">
        <v>521</v>
      </c>
      <c r="Z19" s="86" t="s">
        <v>631</v>
      </c>
      <c r="AA19" s="86" t="s">
        <v>632</v>
      </c>
      <c r="AB19" s="86" t="s">
        <v>113</v>
      </c>
      <c r="AC19" s="85" t="s">
        <v>593</v>
      </c>
      <c r="AD19" s="86" t="s">
        <v>593</v>
      </c>
      <c r="AE19" s="87" t="s">
        <v>633</v>
      </c>
      <c r="AF19" s="87" t="s">
        <v>98</v>
      </c>
      <c r="AG19" s="60" t="s">
        <v>593</v>
      </c>
      <c r="AH19" s="1"/>
      <c r="AI19" s="1"/>
      <c r="AJ19" s="1"/>
      <c r="AK19" s="1"/>
      <c r="AL19" s="15" t="s">
        <v>634</v>
      </c>
      <c r="AM19" s="15" t="s">
        <v>624</v>
      </c>
      <c r="AN19" s="15" t="s">
        <v>98</v>
      </c>
      <c r="AO19" s="15" t="s">
        <v>635</v>
      </c>
      <c r="AP19" s="15" t="s">
        <v>611</v>
      </c>
      <c r="AQ19" s="15" t="s">
        <v>636</v>
      </c>
      <c r="AR19" s="15"/>
      <c r="AS19" s="15"/>
      <c r="AT19" s="16" t="s">
        <v>634</v>
      </c>
      <c r="AU19" s="17" t="s">
        <v>551</v>
      </c>
      <c r="AV19" s="19" t="s">
        <v>515</v>
      </c>
      <c r="AW19" s="16" t="s">
        <v>551</v>
      </c>
      <c r="AX19" s="17" t="s">
        <v>581</v>
      </c>
      <c r="AY19" s="17" t="s">
        <v>536</v>
      </c>
      <c r="AZ19" s="15"/>
      <c r="BA19" s="1"/>
      <c r="BB19" s="1"/>
      <c r="BC19" s="15"/>
    </row>
    <row r="20" spans="7:55">
      <c r="G20" s="1" t="s">
        <v>457</v>
      </c>
      <c r="H20" s="1" t="s">
        <v>457</v>
      </c>
      <c r="I20" s="1" t="s">
        <v>457</v>
      </c>
      <c r="J20" s="1"/>
      <c r="K20" s="1"/>
      <c r="L20" s="1" t="s">
        <v>637</v>
      </c>
      <c r="M20" s="1" t="s">
        <v>638</v>
      </c>
      <c r="N20" s="1" t="s">
        <v>548</v>
      </c>
      <c r="O20" s="1" t="s">
        <v>562</v>
      </c>
      <c r="P20" s="1" t="s">
        <v>58</v>
      </c>
      <c r="Q20" s="1" t="s">
        <v>639</v>
      </c>
      <c r="R20" s="1"/>
      <c r="S20" s="85" t="s">
        <v>637</v>
      </c>
      <c r="T20" s="86" t="s">
        <v>638</v>
      </c>
      <c r="U20" s="86" t="s">
        <v>548</v>
      </c>
      <c r="V20" s="86" t="s">
        <v>562</v>
      </c>
      <c r="W20" s="86" t="s">
        <v>58</v>
      </c>
      <c r="X20" s="86" t="s">
        <v>639</v>
      </c>
      <c r="Y20" s="85" t="s">
        <v>580</v>
      </c>
      <c r="Z20" s="86" t="s">
        <v>640</v>
      </c>
      <c r="AA20" s="86" t="s">
        <v>641</v>
      </c>
      <c r="AB20" s="86" t="s">
        <v>642</v>
      </c>
      <c r="AC20" s="85" t="s">
        <v>557</v>
      </c>
      <c r="AD20" s="86" t="s">
        <v>557</v>
      </c>
      <c r="AE20" s="86" t="s">
        <v>643</v>
      </c>
      <c r="AF20" s="86" t="s">
        <v>644</v>
      </c>
      <c r="AG20" s="60" t="s">
        <v>632</v>
      </c>
      <c r="AH20" s="1"/>
      <c r="AI20" s="1"/>
      <c r="AJ20" s="1"/>
      <c r="AK20" s="1"/>
      <c r="AL20" s="15" t="s">
        <v>645</v>
      </c>
      <c r="AM20" s="15" t="s">
        <v>645</v>
      </c>
      <c r="AN20" s="15" t="s">
        <v>410</v>
      </c>
      <c r="AO20" s="15" t="s">
        <v>390</v>
      </c>
      <c r="AP20" s="15" t="s">
        <v>576</v>
      </c>
      <c r="AQ20" s="15" t="s">
        <v>406</v>
      </c>
      <c r="AR20" s="15"/>
      <c r="AS20" s="15"/>
      <c r="AT20" s="18" t="s">
        <v>645</v>
      </c>
      <c r="AU20" s="16" t="s">
        <v>528</v>
      </c>
      <c r="AV20" s="19" t="s">
        <v>521</v>
      </c>
      <c r="AW20" s="16" t="s">
        <v>562</v>
      </c>
      <c r="AX20" s="17" t="s">
        <v>502</v>
      </c>
      <c r="AY20" s="17" t="s">
        <v>633</v>
      </c>
      <c r="AZ20" s="15"/>
      <c r="BA20" s="1"/>
      <c r="BB20" s="1"/>
      <c r="BC20" s="15"/>
    </row>
    <row r="21" spans="7:55">
      <c r="G21" s="1" t="s">
        <v>458</v>
      </c>
      <c r="H21" s="1" t="s">
        <v>458</v>
      </c>
      <c r="I21" s="1" t="s">
        <v>458</v>
      </c>
      <c r="J21" s="1"/>
      <c r="K21" s="1"/>
      <c r="L21" s="1" t="s">
        <v>395</v>
      </c>
      <c r="M21" s="1" t="s">
        <v>571</v>
      </c>
      <c r="N21" s="1" t="s">
        <v>646</v>
      </c>
      <c r="O21" s="1" t="s">
        <v>593</v>
      </c>
      <c r="P21" s="1" t="s">
        <v>550</v>
      </c>
      <c r="Q21" s="1" t="s">
        <v>590</v>
      </c>
      <c r="R21" s="1"/>
      <c r="S21" s="88" t="s">
        <v>395</v>
      </c>
      <c r="T21" s="86" t="s">
        <v>571</v>
      </c>
      <c r="U21" s="86" t="s">
        <v>646</v>
      </c>
      <c r="V21" s="86" t="s">
        <v>593</v>
      </c>
      <c r="W21" s="86" t="s">
        <v>550</v>
      </c>
      <c r="X21" s="86" t="s">
        <v>590</v>
      </c>
      <c r="Y21" s="85" t="s">
        <v>504</v>
      </c>
      <c r="Z21" s="86" t="s">
        <v>575</v>
      </c>
      <c r="AA21" s="86" t="s">
        <v>641</v>
      </c>
      <c r="AB21" s="86" t="s">
        <v>647</v>
      </c>
      <c r="AC21" s="88" t="s">
        <v>113</v>
      </c>
      <c r="AD21" s="86" t="s">
        <v>648</v>
      </c>
      <c r="AE21" s="86" t="s">
        <v>649</v>
      </c>
      <c r="AF21" s="86" t="s">
        <v>650</v>
      </c>
      <c r="AG21" s="60" t="s">
        <v>651</v>
      </c>
      <c r="AH21" s="1"/>
      <c r="AI21" s="1"/>
      <c r="AJ21" s="1"/>
      <c r="AK21" s="1"/>
      <c r="AL21" s="15" t="s">
        <v>652</v>
      </c>
      <c r="AM21" s="15" t="s">
        <v>653</v>
      </c>
      <c r="AN21" s="15" t="s">
        <v>654</v>
      </c>
      <c r="AO21" s="15" t="s">
        <v>619</v>
      </c>
      <c r="AP21" s="15" t="s">
        <v>535</v>
      </c>
      <c r="AQ21" s="15" t="s">
        <v>655</v>
      </c>
      <c r="AR21" s="15"/>
      <c r="AS21" s="15"/>
      <c r="AT21" s="16" t="s">
        <v>652</v>
      </c>
      <c r="AU21" s="17" t="s">
        <v>388</v>
      </c>
      <c r="AV21" s="17" t="s">
        <v>504</v>
      </c>
      <c r="AW21" s="16" t="s">
        <v>388</v>
      </c>
      <c r="AX21" s="19" t="s">
        <v>603</v>
      </c>
      <c r="AY21" s="17" t="s">
        <v>383</v>
      </c>
      <c r="AZ21" s="15"/>
      <c r="BA21" s="1"/>
      <c r="BB21" s="1"/>
      <c r="BC21" s="15"/>
    </row>
    <row r="22" spans="7:55">
      <c r="G22" s="1" t="s">
        <v>459</v>
      </c>
      <c r="H22" s="1" t="s">
        <v>459</v>
      </c>
      <c r="I22" s="1" t="s">
        <v>459</v>
      </c>
      <c r="J22" s="1"/>
      <c r="K22" s="1"/>
      <c r="L22" s="1" t="s">
        <v>98</v>
      </c>
      <c r="M22" s="1" t="s">
        <v>604</v>
      </c>
      <c r="N22" s="1" t="s">
        <v>656</v>
      </c>
      <c r="O22" s="1" t="s">
        <v>656</v>
      </c>
      <c r="P22" s="1" t="s">
        <v>657</v>
      </c>
      <c r="Q22" s="1" t="s">
        <v>658</v>
      </c>
      <c r="R22" s="1"/>
      <c r="S22" s="85" t="s">
        <v>98</v>
      </c>
      <c r="T22" s="86" t="s">
        <v>604</v>
      </c>
      <c r="U22" s="86" t="s">
        <v>656</v>
      </c>
      <c r="V22" s="87" t="s">
        <v>656</v>
      </c>
      <c r="W22" s="86" t="s">
        <v>657</v>
      </c>
      <c r="X22" s="86" t="s">
        <v>658</v>
      </c>
      <c r="Y22" s="85" t="s">
        <v>590</v>
      </c>
      <c r="Z22" s="86" t="s">
        <v>619</v>
      </c>
      <c r="AA22" s="86" t="s">
        <v>659</v>
      </c>
      <c r="AB22" s="86" t="s">
        <v>651</v>
      </c>
      <c r="AC22" s="85" t="s">
        <v>660</v>
      </c>
      <c r="AD22" s="86" t="s">
        <v>660</v>
      </c>
      <c r="AE22" s="86" t="s">
        <v>661</v>
      </c>
      <c r="AF22" s="86" t="s">
        <v>662</v>
      </c>
      <c r="AG22" s="60" t="s">
        <v>663</v>
      </c>
      <c r="AH22" s="1"/>
      <c r="AI22" s="1"/>
      <c r="AJ22" s="1"/>
      <c r="AK22" s="1"/>
      <c r="AL22" s="15" t="s">
        <v>664</v>
      </c>
      <c r="AM22" s="15" t="s">
        <v>665</v>
      </c>
      <c r="AN22" s="15" t="s">
        <v>666</v>
      </c>
      <c r="AO22" s="15" t="s">
        <v>606</v>
      </c>
      <c r="AP22" s="15" t="s">
        <v>516</v>
      </c>
      <c r="AQ22" s="1"/>
      <c r="AR22" s="1"/>
      <c r="AS22" s="1"/>
      <c r="AT22" s="16" t="s">
        <v>653</v>
      </c>
      <c r="AU22" s="17" t="s">
        <v>537</v>
      </c>
      <c r="AV22" s="19" t="s">
        <v>559</v>
      </c>
      <c r="AW22" s="16" t="s">
        <v>572</v>
      </c>
      <c r="AX22" s="19" t="s">
        <v>495</v>
      </c>
      <c r="AY22" s="17" t="s">
        <v>501</v>
      </c>
      <c r="AZ22" s="1"/>
      <c r="BA22" s="1"/>
      <c r="BB22" s="1"/>
      <c r="BC22" s="1"/>
    </row>
    <row r="23" spans="7:55">
      <c r="G23" s="1" t="s">
        <v>460</v>
      </c>
      <c r="H23" s="1" t="s">
        <v>460</v>
      </c>
      <c r="I23" s="1" t="s">
        <v>460</v>
      </c>
      <c r="J23" s="1"/>
      <c r="K23" s="1"/>
      <c r="L23" s="1" t="s">
        <v>592</v>
      </c>
      <c r="M23" s="1" t="s">
        <v>585</v>
      </c>
      <c r="N23" s="1" t="s">
        <v>656</v>
      </c>
      <c r="O23" s="1" t="s">
        <v>619</v>
      </c>
      <c r="P23" s="1" t="s">
        <v>387</v>
      </c>
      <c r="Q23" s="1" t="s">
        <v>520</v>
      </c>
      <c r="R23" s="1"/>
      <c r="S23" s="85" t="s">
        <v>592</v>
      </c>
      <c r="T23" s="86" t="s">
        <v>585</v>
      </c>
      <c r="U23" s="86" t="s">
        <v>656</v>
      </c>
      <c r="V23" s="86" t="s">
        <v>619</v>
      </c>
      <c r="W23" s="86" t="s">
        <v>387</v>
      </c>
      <c r="X23" s="86" t="s">
        <v>520</v>
      </c>
      <c r="Y23" s="85" t="s">
        <v>385</v>
      </c>
      <c r="Z23" s="86" t="s">
        <v>667</v>
      </c>
      <c r="AA23" s="86" t="s">
        <v>626</v>
      </c>
      <c r="AB23" s="86" t="s">
        <v>668</v>
      </c>
      <c r="AC23" s="85" t="s">
        <v>669</v>
      </c>
      <c r="AD23" s="86" t="s">
        <v>670</v>
      </c>
      <c r="AE23" s="86" t="s">
        <v>671</v>
      </c>
      <c r="AF23" s="87" t="s">
        <v>574</v>
      </c>
      <c r="AG23" s="60" t="s">
        <v>672</v>
      </c>
      <c r="AH23" s="1"/>
      <c r="AI23" s="1"/>
      <c r="AJ23" s="1"/>
      <c r="AK23" s="1"/>
      <c r="AL23" s="15" t="s">
        <v>673</v>
      </c>
      <c r="AM23" s="15" t="s">
        <v>650</v>
      </c>
      <c r="AN23" s="15" t="s">
        <v>400</v>
      </c>
      <c r="AO23" s="15" t="s">
        <v>674</v>
      </c>
      <c r="AP23" s="15" t="s">
        <v>675</v>
      </c>
      <c r="AQ23" s="1"/>
      <c r="AR23" s="1"/>
      <c r="AS23" s="1"/>
      <c r="AT23" s="18" t="s">
        <v>664</v>
      </c>
      <c r="AU23" s="17" t="s">
        <v>548</v>
      </c>
      <c r="AV23" s="19" t="s">
        <v>520</v>
      </c>
      <c r="AW23" s="17" t="s">
        <v>596</v>
      </c>
      <c r="AX23" s="17" t="s">
        <v>477</v>
      </c>
      <c r="AY23" s="17" t="s">
        <v>515</v>
      </c>
      <c r="AZ23" s="1"/>
      <c r="BA23" s="1"/>
      <c r="BB23" s="1"/>
      <c r="BC23" s="1"/>
    </row>
    <row r="24" spans="7:55">
      <c r="G24" s="1" t="s">
        <v>461</v>
      </c>
      <c r="H24" s="1" t="s">
        <v>461</v>
      </c>
      <c r="I24" s="1" t="s">
        <v>461</v>
      </c>
      <c r="J24" s="1"/>
      <c r="K24" s="1"/>
      <c r="L24" s="1" t="s">
        <v>591</v>
      </c>
      <c r="M24" s="1" t="s">
        <v>395</v>
      </c>
      <c r="N24" s="1" t="s">
        <v>391</v>
      </c>
      <c r="O24" s="1" t="s">
        <v>676</v>
      </c>
      <c r="P24" s="1" t="s">
        <v>388</v>
      </c>
      <c r="Q24" s="1" t="s">
        <v>526</v>
      </c>
      <c r="R24" s="1"/>
      <c r="S24" s="85" t="s">
        <v>591</v>
      </c>
      <c r="T24" s="86" t="s">
        <v>395</v>
      </c>
      <c r="U24" s="86" t="s">
        <v>391</v>
      </c>
      <c r="V24" s="86" t="s">
        <v>676</v>
      </c>
      <c r="W24" s="87" t="s">
        <v>388</v>
      </c>
      <c r="X24" s="86" t="s">
        <v>526</v>
      </c>
      <c r="Y24" s="85" t="s">
        <v>554</v>
      </c>
      <c r="Z24" s="86" t="s">
        <v>571</v>
      </c>
      <c r="AA24" s="86" t="s">
        <v>677</v>
      </c>
      <c r="AB24" s="86" t="s">
        <v>678</v>
      </c>
      <c r="AC24" s="85" t="s">
        <v>646</v>
      </c>
      <c r="AD24" s="86" t="s">
        <v>395</v>
      </c>
      <c r="AE24" s="86" t="s">
        <v>557</v>
      </c>
      <c r="AF24" s="86" t="s">
        <v>679</v>
      </c>
      <c r="AG24" s="60" t="s">
        <v>680</v>
      </c>
      <c r="AH24" s="1"/>
      <c r="AI24" s="1"/>
      <c r="AJ24" s="1"/>
      <c r="AK24" s="1"/>
      <c r="AL24" s="15" t="s">
        <v>411</v>
      </c>
      <c r="AM24" s="15" t="s">
        <v>681</v>
      </c>
      <c r="AN24" s="15" t="s">
        <v>682</v>
      </c>
      <c r="AO24" s="15" t="s">
        <v>683</v>
      </c>
      <c r="AP24" s="15" t="s">
        <v>388</v>
      </c>
      <c r="AQ24" s="1"/>
      <c r="AR24" s="1"/>
      <c r="AS24" s="1"/>
      <c r="AT24" s="16" t="s">
        <v>673</v>
      </c>
      <c r="AU24" s="17" t="s">
        <v>390</v>
      </c>
      <c r="AV24" s="17" t="s">
        <v>526</v>
      </c>
      <c r="AW24" s="18" t="s">
        <v>557</v>
      </c>
      <c r="AX24" s="17" t="s">
        <v>527</v>
      </c>
      <c r="AY24" s="17" t="s">
        <v>569</v>
      </c>
      <c r="AZ24" s="1"/>
      <c r="BA24" s="1"/>
      <c r="BB24" s="1"/>
      <c r="BC24" s="1"/>
    </row>
    <row r="25" spans="7:55">
      <c r="G25" s="1" t="s">
        <v>684</v>
      </c>
      <c r="H25" s="1" t="s">
        <v>684</v>
      </c>
      <c r="I25" s="1" t="s">
        <v>684</v>
      </c>
      <c r="J25" s="1"/>
      <c r="K25" s="1"/>
      <c r="L25" s="1" t="s">
        <v>685</v>
      </c>
      <c r="M25" s="1" t="s">
        <v>98</v>
      </c>
      <c r="N25" s="1" t="s">
        <v>676</v>
      </c>
      <c r="O25" s="1" t="s">
        <v>674</v>
      </c>
      <c r="P25" s="1" t="s">
        <v>632</v>
      </c>
      <c r="Q25" s="1" t="s">
        <v>686</v>
      </c>
      <c r="R25" s="1"/>
      <c r="S25" s="85" t="s">
        <v>685</v>
      </c>
      <c r="T25" s="86" t="s">
        <v>98</v>
      </c>
      <c r="U25" s="86" t="s">
        <v>676</v>
      </c>
      <c r="V25" s="86" t="s">
        <v>674</v>
      </c>
      <c r="W25" s="86" t="s">
        <v>632</v>
      </c>
      <c r="X25" s="86" t="s">
        <v>686</v>
      </c>
      <c r="Y25" s="85" t="s">
        <v>687</v>
      </c>
      <c r="Z25" s="86" t="s">
        <v>604</v>
      </c>
      <c r="AA25" s="86" t="s">
        <v>688</v>
      </c>
      <c r="AB25" s="86" t="s">
        <v>689</v>
      </c>
      <c r="AC25" s="85" t="s">
        <v>391</v>
      </c>
      <c r="AD25" s="86" t="s">
        <v>690</v>
      </c>
      <c r="AE25" s="86" t="s">
        <v>113</v>
      </c>
      <c r="AF25" s="86" t="s">
        <v>411</v>
      </c>
      <c r="AG25" s="60" t="s">
        <v>399</v>
      </c>
      <c r="AH25" s="1"/>
      <c r="AI25" s="1"/>
      <c r="AJ25" s="1"/>
      <c r="AK25" s="1"/>
      <c r="AL25" s="15" t="s">
        <v>681</v>
      </c>
      <c r="AM25" s="15" t="s">
        <v>691</v>
      </c>
      <c r="AN25" s="15" t="s">
        <v>403</v>
      </c>
      <c r="AO25" s="15" t="s">
        <v>692</v>
      </c>
      <c r="AP25" s="15" t="s">
        <v>646</v>
      </c>
      <c r="AQ25" s="1"/>
      <c r="AR25" s="1"/>
      <c r="AS25" s="1"/>
      <c r="AT25" s="18" t="s">
        <v>411</v>
      </c>
      <c r="AU25" s="17" t="s">
        <v>619</v>
      </c>
      <c r="AV25" s="19" t="s">
        <v>541</v>
      </c>
      <c r="AW25" s="17" t="s">
        <v>620</v>
      </c>
      <c r="AX25" s="17" t="s">
        <v>623</v>
      </c>
      <c r="AY25" s="17" t="s">
        <v>583</v>
      </c>
      <c r="AZ25" s="1"/>
      <c r="BA25" s="1"/>
      <c r="BB25" s="1"/>
      <c r="BC25" s="1"/>
    </row>
    <row r="26" spans="7:55">
      <c r="G26" s="1"/>
      <c r="H26" s="1"/>
      <c r="I26" s="1"/>
      <c r="J26" s="1"/>
      <c r="K26" s="1"/>
      <c r="L26" s="1" t="s">
        <v>634</v>
      </c>
      <c r="M26" s="1" t="s">
        <v>690</v>
      </c>
      <c r="N26" s="1" t="s">
        <v>592</v>
      </c>
      <c r="O26" s="1" t="s">
        <v>693</v>
      </c>
      <c r="P26" s="1" t="s">
        <v>694</v>
      </c>
      <c r="Q26" s="1" t="s">
        <v>541</v>
      </c>
      <c r="R26" s="1"/>
      <c r="S26" s="85" t="s">
        <v>634</v>
      </c>
      <c r="T26" s="86" t="s">
        <v>690</v>
      </c>
      <c r="U26" s="86" t="s">
        <v>592</v>
      </c>
      <c r="V26" s="86" t="s">
        <v>693</v>
      </c>
      <c r="W26" s="86" t="s">
        <v>694</v>
      </c>
      <c r="X26" s="86" t="s">
        <v>541</v>
      </c>
      <c r="Y26" s="85" t="s">
        <v>516</v>
      </c>
      <c r="Z26" s="86" t="s">
        <v>695</v>
      </c>
      <c r="AA26" s="86" t="s">
        <v>390</v>
      </c>
      <c r="AB26" s="86" t="s">
        <v>395</v>
      </c>
      <c r="AC26" s="85" t="s">
        <v>619</v>
      </c>
      <c r="AD26" s="86" t="s">
        <v>696</v>
      </c>
      <c r="AE26" s="86" t="s">
        <v>694</v>
      </c>
      <c r="AF26" s="86" t="s">
        <v>681</v>
      </c>
      <c r="AG26" s="60" t="s">
        <v>697</v>
      </c>
      <c r="AH26" s="1"/>
      <c r="AI26" s="1"/>
      <c r="AJ26" s="1"/>
      <c r="AK26" s="1"/>
      <c r="AL26" s="15" t="s">
        <v>681</v>
      </c>
      <c r="AM26" s="15" t="s">
        <v>698</v>
      </c>
      <c r="AN26" s="15" t="s">
        <v>691</v>
      </c>
      <c r="AO26" s="15" t="s">
        <v>645</v>
      </c>
      <c r="AP26" s="15" t="s">
        <v>391</v>
      </c>
      <c r="AQ26" s="1"/>
      <c r="AR26" s="1"/>
      <c r="AS26" s="1"/>
      <c r="AT26" s="16" t="s">
        <v>681</v>
      </c>
      <c r="AU26" s="17" t="s">
        <v>558</v>
      </c>
      <c r="AV26" s="17" t="s">
        <v>576</v>
      </c>
      <c r="AW26" s="19" t="s">
        <v>113</v>
      </c>
      <c r="AX26" s="17" t="s">
        <v>536</v>
      </c>
      <c r="AY26" s="17" t="s">
        <v>526</v>
      </c>
      <c r="AZ26" s="1"/>
      <c r="BA26" s="1"/>
      <c r="BB26" s="1"/>
      <c r="BC26" s="1"/>
    </row>
    <row r="27" spans="7:55">
      <c r="G27" s="1"/>
      <c r="H27" s="1"/>
      <c r="I27" s="1"/>
      <c r="J27" s="1"/>
      <c r="K27" s="1"/>
      <c r="L27" s="1" t="s">
        <v>699</v>
      </c>
      <c r="M27" s="1" t="s">
        <v>606</v>
      </c>
      <c r="N27" s="1" t="s">
        <v>690</v>
      </c>
      <c r="O27" s="1" t="s">
        <v>683</v>
      </c>
      <c r="P27" s="1" t="s">
        <v>570</v>
      </c>
      <c r="Q27" s="1" t="s">
        <v>611</v>
      </c>
      <c r="R27" s="1"/>
      <c r="S27" s="85" t="s">
        <v>699</v>
      </c>
      <c r="T27" s="86" t="s">
        <v>606</v>
      </c>
      <c r="U27" s="86" t="s">
        <v>690</v>
      </c>
      <c r="V27" s="86" t="s">
        <v>683</v>
      </c>
      <c r="W27" s="86" t="s">
        <v>570</v>
      </c>
      <c r="X27" s="86" t="s">
        <v>611</v>
      </c>
      <c r="Y27" s="85" t="s">
        <v>597</v>
      </c>
      <c r="Z27" s="86" t="s">
        <v>395</v>
      </c>
      <c r="AA27" s="86" t="s">
        <v>700</v>
      </c>
      <c r="AB27" s="87" t="s">
        <v>396</v>
      </c>
      <c r="AC27" s="85" t="s">
        <v>695</v>
      </c>
      <c r="AD27" s="86" t="s">
        <v>701</v>
      </c>
      <c r="AE27" s="86" t="s">
        <v>660</v>
      </c>
      <c r="AF27" s="86" t="s">
        <v>702</v>
      </c>
      <c r="AG27" s="61" t="s">
        <v>703</v>
      </c>
      <c r="AH27" s="1"/>
      <c r="AI27" s="1"/>
      <c r="AJ27" s="1"/>
      <c r="AK27" s="1"/>
      <c r="AL27" s="15" t="s">
        <v>704</v>
      </c>
      <c r="AM27" s="15" t="s">
        <v>705</v>
      </c>
      <c r="AN27" s="15" t="s">
        <v>706</v>
      </c>
      <c r="AO27" s="15" t="s">
        <v>707</v>
      </c>
      <c r="AP27" s="15" t="s">
        <v>676</v>
      </c>
      <c r="AQ27" s="1"/>
      <c r="AR27" s="1"/>
      <c r="AS27" s="1"/>
      <c r="AT27" s="20" t="s">
        <v>704</v>
      </c>
      <c r="AU27" s="17" t="s">
        <v>638</v>
      </c>
      <c r="AV27" s="17" t="s">
        <v>516</v>
      </c>
      <c r="AW27" s="18" t="s">
        <v>575</v>
      </c>
      <c r="AX27" s="19" t="s">
        <v>546</v>
      </c>
      <c r="AY27" s="17" t="s">
        <v>671</v>
      </c>
      <c r="AZ27" s="1"/>
      <c r="BA27" s="1"/>
      <c r="BB27" s="1"/>
      <c r="BC27" s="1"/>
    </row>
    <row r="28" spans="7:55">
      <c r="G28" s="1"/>
      <c r="H28" s="1"/>
      <c r="I28" s="1"/>
      <c r="J28" s="1"/>
      <c r="K28" s="1"/>
      <c r="L28" s="1" t="s">
        <v>645</v>
      </c>
      <c r="M28" s="1" t="s">
        <v>410</v>
      </c>
      <c r="N28" s="1" t="s">
        <v>410</v>
      </c>
      <c r="O28" s="1" t="s">
        <v>591</v>
      </c>
      <c r="P28" s="1" t="s">
        <v>390</v>
      </c>
      <c r="Q28" s="1" t="s">
        <v>576</v>
      </c>
      <c r="R28" s="1"/>
      <c r="S28" s="85" t="s">
        <v>645</v>
      </c>
      <c r="T28" s="86" t="s">
        <v>410</v>
      </c>
      <c r="U28" s="86" t="s">
        <v>410</v>
      </c>
      <c r="V28" s="86" t="s">
        <v>591</v>
      </c>
      <c r="W28" s="86" t="s">
        <v>390</v>
      </c>
      <c r="X28" s="86" t="s">
        <v>576</v>
      </c>
      <c r="Y28" s="85" t="s">
        <v>578</v>
      </c>
      <c r="Z28" s="86" t="s">
        <v>98</v>
      </c>
      <c r="AA28" s="86" t="s">
        <v>708</v>
      </c>
      <c r="AB28" s="86" t="s">
        <v>709</v>
      </c>
      <c r="AC28" s="88" t="s">
        <v>395</v>
      </c>
      <c r="AD28" s="86" t="s">
        <v>710</v>
      </c>
      <c r="AE28" s="86" t="s">
        <v>646</v>
      </c>
      <c r="AF28" s="86" t="s">
        <v>691</v>
      </c>
      <c r="AG28" s="60" t="s">
        <v>711</v>
      </c>
      <c r="AH28" s="1"/>
      <c r="AI28" s="1"/>
      <c r="AJ28" s="1"/>
      <c r="AK28" s="1"/>
      <c r="AL28" s="15"/>
      <c r="AM28" s="15"/>
      <c r="AN28" s="15" t="s">
        <v>712</v>
      </c>
      <c r="AO28" s="15" t="s">
        <v>650</v>
      </c>
      <c r="AP28" s="15" t="s">
        <v>558</v>
      </c>
      <c r="AQ28" s="1"/>
      <c r="AR28" s="1"/>
      <c r="AS28" s="1"/>
      <c r="AT28" s="20"/>
      <c r="AU28" s="17" t="s">
        <v>571</v>
      </c>
      <c r="AV28" s="19" t="s">
        <v>58</v>
      </c>
      <c r="AW28" s="16" t="s">
        <v>617</v>
      </c>
      <c r="AX28" s="17" t="s">
        <v>633</v>
      </c>
      <c r="AY28" s="17" t="s">
        <v>566</v>
      </c>
      <c r="AZ28" s="1"/>
      <c r="BA28" s="1"/>
      <c r="BB28" s="1"/>
      <c r="BC28" s="1"/>
    </row>
    <row r="29" spans="7:55">
      <c r="G29" s="1"/>
      <c r="H29" s="1"/>
      <c r="I29" s="1"/>
      <c r="J29" s="1"/>
      <c r="K29" s="1"/>
      <c r="L29" s="1" t="s">
        <v>713</v>
      </c>
      <c r="M29" s="1" t="s">
        <v>693</v>
      </c>
      <c r="N29" s="1" t="s">
        <v>683</v>
      </c>
      <c r="O29" s="1" t="s">
        <v>714</v>
      </c>
      <c r="P29" s="1" t="s">
        <v>715</v>
      </c>
      <c r="Q29" s="1" t="s">
        <v>535</v>
      </c>
      <c r="R29" s="1"/>
      <c r="S29" s="85" t="s">
        <v>713</v>
      </c>
      <c r="T29" s="86" t="s">
        <v>693</v>
      </c>
      <c r="U29" s="86" t="s">
        <v>683</v>
      </c>
      <c r="V29" s="86" t="s">
        <v>714</v>
      </c>
      <c r="W29" s="86" t="s">
        <v>715</v>
      </c>
      <c r="X29" s="86" t="s">
        <v>535</v>
      </c>
      <c r="Y29" s="85" t="s">
        <v>601</v>
      </c>
      <c r="Z29" s="86" t="s">
        <v>674</v>
      </c>
      <c r="AA29" s="86" t="s">
        <v>604</v>
      </c>
      <c r="AB29" s="86" t="s">
        <v>674</v>
      </c>
      <c r="AC29" s="85" t="s">
        <v>716</v>
      </c>
      <c r="AD29" s="86" t="s">
        <v>673</v>
      </c>
      <c r="AE29" s="86" t="s">
        <v>708</v>
      </c>
      <c r="AF29" s="86" t="s">
        <v>717</v>
      </c>
      <c r="AG29" s="61" t="s">
        <v>408</v>
      </c>
      <c r="AH29" s="1"/>
      <c r="AI29" s="1"/>
      <c r="AJ29" s="1"/>
      <c r="AK29" s="1"/>
      <c r="AL29" s="15"/>
      <c r="AM29" s="1"/>
      <c r="AN29" s="15" t="s">
        <v>718</v>
      </c>
      <c r="AO29" s="15" t="s">
        <v>719</v>
      </c>
      <c r="AP29" s="15" t="s">
        <v>678</v>
      </c>
      <c r="AQ29" s="1"/>
      <c r="AR29" s="1"/>
      <c r="AS29" s="1"/>
      <c r="AT29" s="1"/>
      <c r="AU29" s="17" t="s">
        <v>604</v>
      </c>
      <c r="AV29" s="17" t="s">
        <v>573</v>
      </c>
      <c r="AW29" s="17" t="s">
        <v>548</v>
      </c>
      <c r="AX29" s="17" t="s">
        <v>383</v>
      </c>
      <c r="AY29" s="17" t="s">
        <v>535</v>
      </c>
      <c r="AZ29" s="1"/>
      <c r="BA29" s="1"/>
      <c r="BB29" s="1"/>
      <c r="BC29" s="1"/>
    </row>
    <row r="30" spans="7:55">
      <c r="G30" s="1"/>
      <c r="H30" s="1"/>
      <c r="I30" s="1"/>
      <c r="J30" s="1"/>
      <c r="K30" s="1"/>
      <c r="L30" s="1" t="s">
        <v>707</v>
      </c>
      <c r="M30" s="1" t="s">
        <v>605</v>
      </c>
      <c r="N30" s="1" t="s">
        <v>591</v>
      </c>
      <c r="O30" s="1" t="s">
        <v>400</v>
      </c>
      <c r="P30" s="1" t="s">
        <v>720</v>
      </c>
      <c r="Q30" s="1" t="s">
        <v>535</v>
      </c>
      <c r="R30" s="1"/>
      <c r="S30" s="85" t="s">
        <v>707</v>
      </c>
      <c r="T30" s="86" t="s">
        <v>605</v>
      </c>
      <c r="U30" s="86" t="s">
        <v>591</v>
      </c>
      <c r="V30" s="86" t="s">
        <v>400</v>
      </c>
      <c r="W30" s="86" t="s">
        <v>720</v>
      </c>
      <c r="X30" s="86" t="s">
        <v>535</v>
      </c>
      <c r="Y30" s="85" t="s">
        <v>721</v>
      </c>
      <c r="Z30" s="86" t="s">
        <v>722</v>
      </c>
      <c r="AA30" s="86" t="s">
        <v>723</v>
      </c>
      <c r="AB30" s="86" t="s">
        <v>724</v>
      </c>
      <c r="AC30" s="88" t="s">
        <v>725</v>
      </c>
      <c r="AD30" s="86" t="s">
        <v>726</v>
      </c>
      <c r="AE30" s="86" t="s">
        <v>399</v>
      </c>
      <c r="AF30" s="86"/>
      <c r="AG30" s="60" t="s">
        <v>619</v>
      </c>
      <c r="AH30" s="1"/>
      <c r="AI30" s="1"/>
      <c r="AJ30" s="1"/>
      <c r="AK30" s="1"/>
      <c r="AL30" s="15"/>
      <c r="AM30" s="1"/>
      <c r="AN30" s="15" t="s">
        <v>727</v>
      </c>
      <c r="AO30" s="15" t="s">
        <v>728</v>
      </c>
      <c r="AP30" s="15" t="s">
        <v>92</v>
      </c>
      <c r="AQ30" s="1"/>
      <c r="AR30" s="1"/>
      <c r="AS30" s="1"/>
      <c r="AT30" s="1"/>
      <c r="AU30" s="17" t="s">
        <v>585</v>
      </c>
      <c r="AV30" s="17" t="s">
        <v>597</v>
      </c>
      <c r="AW30" s="19" t="s">
        <v>646</v>
      </c>
      <c r="AX30" s="19" t="s">
        <v>501</v>
      </c>
      <c r="AY30" s="17" t="s">
        <v>542</v>
      </c>
      <c r="AZ30" s="1"/>
      <c r="BA30" s="1"/>
      <c r="BB30" s="1"/>
      <c r="BC30" s="1"/>
    </row>
    <row r="31" spans="7:55">
      <c r="G31" s="1"/>
      <c r="H31" s="1"/>
      <c r="I31" s="1"/>
      <c r="J31" s="1"/>
      <c r="K31" s="1"/>
      <c r="L31" s="1" t="s">
        <v>666</v>
      </c>
      <c r="M31" s="1" t="s">
        <v>701</v>
      </c>
      <c r="N31" s="1" t="s">
        <v>654</v>
      </c>
      <c r="O31" s="1" t="s">
        <v>650</v>
      </c>
      <c r="P31" s="1" t="s">
        <v>92</v>
      </c>
      <c r="Q31" s="1" t="s">
        <v>542</v>
      </c>
      <c r="R31" s="1"/>
      <c r="S31" s="85" t="s">
        <v>666</v>
      </c>
      <c r="T31" s="86" t="s">
        <v>701</v>
      </c>
      <c r="U31" s="86" t="s">
        <v>654</v>
      </c>
      <c r="V31" s="86" t="s">
        <v>650</v>
      </c>
      <c r="W31" s="86" t="s">
        <v>92</v>
      </c>
      <c r="X31" s="86" t="s">
        <v>542</v>
      </c>
      <c r="Y31" s="85" t="s">
        <v>694</v>
      </c>
      <c r="Z31" s="86" t="s">
        <v>693</v>
      </c>
      <c r="AA31" s="86" t="s">
        <v>394</v>
      </c>
      <c r="AB31" s="86" t="s">
        <v>725</v>
      </c>
      <c r="AC31" s="85" t="s">
        <v>645</v>
      </c>
      <c r="AD31" s="86" t="s">
        <v>702</v>
      </c>
      <c r="AE31" s="86" t="s">
        <v>729</v>
      </c>
      <c r="AF31" s="86"/>
      <c r="AG31" s="60"/>
      <c r="AH31" s="1"/>
      <c r="AI31" s="1"/>
      <c r="AJ31" s="1"/>
      <c r="AK31" s="1"/>
      <c r="AL31" s="15"/>
      <c r="AM31" s="1"/>
      <c r="AN31" s="15" t="s">
        <v>730</v>
      </c>
      <c r="AO31" s="15" t="s">
        <v>731</v>
      </c>
      <c r="AP31" s="15" t="s">
        <v>732</v>
      </c>
      <c r="AQ31" s="1"/>
      <c r="AR31" s="1"/>
      <c r="AS31" s="1"/>
      <c r="AT31" s="1"/>
      <c r="AU31" s="17" t="s">
        <v>395</v>
      </c>
      <c r="AV31" s="19" t="s">
        <v>542</v>
      </c>
      <c r="AW31" s="17" t="s">
        <v>656</v>
      </c>
      <c r="AX31" s="19" t="s">
        <v>515</v>
      </c>
      <c r="AY31" s="17" t="s">
        <v>582</v>
      </c>
      <c r="AZ31" s="1"/>
      <c r="BA31" s="1"/>
      <c r="BB31" s="1"/>
      <c r="BC31" s="1"/>
    </row>
    <row r="32" spans="7:55">
      <c r="G32" s="1"/>
      <c r="H32" s="1"/>
      <c r="I32" s="1"/>
      <c r="J32" s="1"/>
      <c r="K32" s="1"/>
      <c r="L32" s="1" t="s">
        <v>650</v>
      </c>
      <c r="M32" s="1" t="s">
        <v>653</v>
      </c>
      <c r="N32" s="1" t="s">
        <v>398</v>
      </c>
      <c r="O32" s="1" t="s">
        <v>728</v>
      </c>
      <c r="P32" s="1" t="s">
        <v>393</v>
      </c>
      <c r="Q32" s="1" t="s">
        <v>528</v>
      </c>
      <c r="R32" s="1"/>
      <c r="S32" s="85" t="s">
        <v>650</v>
      </c>
      <c r="T32" s="86" t="s">
        <v>653</v>
      </c>
      <c r="U32" s="86" t="s">
        <v>398</v>
      </c>
      <c r="V32" s="86" t="s">
        <v>728</v>
      </c>
      <c r="W32" s="86" t="s">
        <v>393</v>
      </c>
      <c r="X32" s="86" t="s">
        <v>528</v>
      </c>
      <c r="Y32" s="85" t="s">
        <v>660</v>
      </c>
      <c r="Z32" s="86" t="s">
        <v>725</v>
      </c>
      <c r="AA32" s="86" t="s">
        <v>637</v>
      </c>
      <c r="AB32" s="86" t="s">
        <v>733</v>
      </c>
      <c r="AC32" s="85" t="s">
        <v>734</v>
      </c>
      <c r="AD32" s="87" t="s">
        <v>403</v>
      </c>
      <c r="AE32" s="86" t="s">
        <v>735</v>
      </c>
      <c r="AF32" s="86"/>
      <c r="AG32" s="60"/>
      <c r="AH32" s="1"/>
      <c r="AI32" s="1"/>
      <c r="AJ32" s="1"/>
      <c r="AK32" s="1"/>
      <c r="AL32" s="15"/>
      <c r="AM32" s="1"/>
      <c r="AN32" s="1"/>
      <c r="AO32" s="15" t="s">
        <v>736</v>
      </c>
      <c r="AP32" s="15" t="s">
        <v>737</v>
      </c>
      <c r="AQ32" s="1"/>
      <c r="AR32" s="1"/>
      <c r="AS32" s="1"/>
      <c r="AT32" s="1"/>
      <c r="AU32" s="17" t="s">
        <v>98</v>
      </c>
      <c r="AV32" s="19" t="s">
        <v>610</v>
      </c>
      <c r="AW32" s="17" t="s">
        <v>391</v>
      </c>
      <c r="AX32" s="17" t="s">
        <v>569</v>
      </c>
      <c r="AY32" s="17" t="s">
        <v>562</v>
      </c>
      <c r="AZ32" s="1"/>
      <c r="BA32" s="1"/>
      <c r="BB32" s="1"/>
      <c r="BC32" s="1"/>
    </row>
    <row r="33" spans="12:51">
      <c r="L33" s="1" t="s">
        <v>738</v>
      </c>
      <c r="M33" s="1" t="s">
        <v>738</v>
      </c>
      <c r="N33" s="1" t="s">
        <v>739</v>
      </c>
      <c r="O33" s="1" t="s">
        <v>411</v>
      </c>
      <c r="P33" s="1" t="s">
        <v>394</v>
      </c>
      <c r="Q33" s="1" t="s">
        <v>557</v>
      </c>
      <c r="R33" s="1"/>
      <c r="S33" s="88" t="s">
        <v>738</v>
      </c>
      <c r="T33" s="86" t="s">
        <v>738</v>
      </c>
      <c r="U33" s="86" t="s">
        <v>739</v>
      </c>
      <c r="V33" s="86" t="s">
        <v>411</v>
      </c>
      <c r="W33" s="87" t="s">
        <v>394</v>
      </c>
      <c r="X33" s="86" t="s">
        <v>557</v>
      </c>
      <c r="Y33" s="85" t="s">
        <v>740</v>
      </c>
      <c r="Z33" s="86" t="s">
        <v>741</v>
      </c>
      <c r="AA33" s="86" t="s">
        <v>395</v>
      </c>
      <c r="AB33" s="86" t="s">
        <v>742</v>
      </c>
      <c r="AC33" s="85" t="s">
        <v>650</v>
      </c>
      <c r="AD33" s="86" t="s">
        <v>706</v>
      </c>
      <c r="AE33" s="86" t="s">
        <v>743</v>
      </c>
      <c r="AF33" s="86"/>
      <c r="AG33" s="60"/>
      <c r="AH33" s="1"/>
      <c r="AI33" s="1"/>
      <c r="AJ33" s="1"/>
      <c r="AK33" s="1"/>
      <c r="AL33" s="1"/>
      <c r="AM33" s="1"/>
      <c r="AN33" s="1"/>
      <c r="AO33" s="15" t="s">
        <v>744</v>
      </c>
      <c r="AP33" s="15" t="s">
        <v>745</v>
      </c>
      <c r="AQ33" s="1"/>
      <c r="AR33" s="1"/>
      <c r="AS33" s="1"/>
      <c r="AT33" s="1"/>
      <c r="AU33" s="17" t="s">
        <v>592</v>
      </c>
      <c r="AV33" s="17" t="s">
        <v>551</v>
      </c>
      <c r="AW33" s="19" t="s">
        <v>676</v>
      </c>
      <c r="AX33" s="17" t="s">
        <v>583</v>
      </c>
      <c r="AY33" s="17" t="s">
        <v>593</v>
      </c>
    </row>
    <row r="34" spans="12:51">
      <c r="L34" s="1" t="s">
        <v>728</v>
      </c>
      <c r="M34" s="1" t="s">
        <v>702</v>
      </c>
      <c r="N34" s="1" t="s">
        <v>666</v>
      </c>
      <c r="O34" s="1" t="s">
        <v>681</v>
      </c>
      <c r="P34" s="1" t="s">
        <v>395</v>
      </c>
      <c r="Q34" s="1" t="s">
        <v>694</v>
      </c>
      <c r="R34" s="1"/>
      <c r="S34" s="85" t="s">
        <v>728</v>
      </c>
      <c r="T34" s="86" t="s">
        <v>702</v>
      </c>
      <c r="U34" s="86" t="s">
        <v>666</v>
      </c>
      <c r="V34" s="86" t="s">
        <v>681</v>
      </c>
      <c r="W34" s="86" t="s">
        <v>395</v>
      </c>
      <c r="X34" s="86" t="s">
        <v>694</v>
      </c>
      <c r="Y34" s="88" t="s">
        <v>394</v>
      </c>
      <c r="Z34" s="86" t="s">
        <v>654</v>
      </c>
      <c r="AA34" s="86" t="s">
        <v>746</v>
      </c>
      <c r="AB34" s="86" t="s">
        <v>707</v>
      </c>
      <c r="AC34" s="85" t="s">
        <v>747</v>
      </c>
      <c r="AD34" s="86"/>
      <c r="AE34" s="86" t="s">
        <v>748</v>
      </c>
      <c r="AF34" s="86"/>
      <c r="AG34" s="60"/>
      <c r="AH34" s="1"/>
      <c r="AI34" s="1"/>
      <c r="AJ34" s="1"/>
      <c r="AK34" s="1"/>
      <c r="AL34" s="1"/>
      <c r="AM34" s="1"/>
      <c r="AN34" s="1"/>
      <c r="AO34" s="15" t="s">
        <v>749</v>
      </c>
      <c r="AP34" s="15" t="s">
        <v>750</v>
      </c>
      <c r="AQ34" s="1"/>
      <c r="AR34" s="1"/>
      <c r="AS34" s="1"/>
      <c r="AT34" s="1"/>
      <c r="AU34" s="17" t="s">
        <v>690</v>
      </c>
      <c r="AV34" s="17" t="s">
        <v>586</v>
      </c>
      <c r="AW34" s="18" t="s">
        <v>625</v>
      </c>
      <c r="AX34" s="17" t="s">
        <v>643</v>
      </c>
      <c r="AY34" s="17" t="s">
        <v>632</v>
      </c>
    </row>
    <row r="35" spans="12:51">
      <c r="L35" s="1" t="s">
        <v>751</v>
      </c>
      <c r="M35" s="1" t="s">
        <v>752</v>
      </c>
      <c r="N35" s="1" t="s">
        <v>753</v>
      </c>
      <c r="O35" s="1" t="s">
        <v>749</v>
      </c>
      <c r="P35" s="1" t="s">
        <v>606</v>
      </c>
      <c r="Q35" s="1" t="s">
        <v>660</v>
      </c>
      <c r="R35" s="1"/>
      <c r="S35" s="85" t="s">
        <v>751</v>
      </c>
      <c r="T35" s="86" t="s">
        <v>752</v>
      </c>
      <c r="U35" s="86" t="s">
        <v>753</v>
      </c>
      <c r="V35" s="86" t="s">
        <v>749</v>
      </c>
      <c r="W35" s="86" t="s">
        <v>606</v>
      </c>
      <c r="X35" s="86" t="s">
        <v>660</v>
      </c>
      <c r="Y35" s="85" t="s">
        <v>395</v>
      </c>
      <c r="Z35" s="86" t="s">
        <v>519</v>
      </c>
      <c r="AA35" s="86" t="s">
        <v>754</v>
      </c>
      <c r="AB35" s="86" t="s">
        <v>755</v>
      </c>
      <c r="AC35" s="88" t="s">
        <v>751</v>
      </c>
      <c r="AD35" s="86"/>
      <c r="AE35" s="86" t="s">
        <v>706</v>
      </c>
      <c r="AF35" s="86"/>
      <c r="AG35" s="60"/>
      <c r="AH35" s="1"/>
      <c r="AI35" s="1"/>
      <c r="AJ35" s="1"/>
      <c r="AK35" s="1"/>
      <c r="AL35" s="1"/>
      <c r="AM35" s="1"/>
      <c r="AN35" s="1"/>
      <c r="AO35" s="15" t="s">
        <v>595</v>
      </c>
      <c r="AP35" s="15" t="s">
        <v>663</v>
      </c>
      <c r="AQ35" s="1"/>
      <c r="AR35" s="1"/>
      <c r="AS35" s="1"/>
      <c r="AT35" s="1"/>
      <c r="AU35" s="17" t="s">
        <v>606</v>
      </c>
      <c r="AV35" s="19" t="s">
        <v>582</v>
      </c>
      <c r="AW35" s="16" t="s">
        <v>98</v>
      </c>
      <c r="AX35" s="19" t="s">
        <v>590</v>
      </c>
      <c r="AY35" s="17" t="s">
        <v>557</v>
      </c>
    </row>
    <row r="36" spans="12:51">
      <c r="L36" s="1" t="s">
        <v>411</v>
      </c>
      <c r="M36" s="1" t="s">
        <v>691</v>
      </c>
      <c r="N36" s="1" t="s">
        <v>682</v>
      </c>
      <c r="O36" s="1" t="s">
        <v>756</v>
      </c>
      <c r="P36" s="1" t="s">
        <v>722</v>
      </c>
      <c r="Q36" s="1" t="s">
        <v>390</v>
      </c>
      <c r="R36" s="1"/>
      <c r="S36" s="85" t="s">
        <v>411</v>
      </c>
      <c r="T36" s="86" t="s">
        <v>691</v>
      </c>
      <c r="U36" s="86" t="s">
        <v>682</v>
      </c>
      <c r="V36" s="86" t="s">
        <v>756</v>
      </c>
      <c r="W36" s="86" t="s">
        <v>722</v>
      </c>
      <c r="X36" s="87" t="s">
        <v>390</v>
      </c>
      <c r="Y36" s="85" t="s">
        <v>674</v>
      </c>
      <c r="Z36" s="86" t="s">
        <v>757</v>
      </c>
      <c r="AA36" s="86" t="s">
        <v>758</v>
      </c>
      <c r="AB36" s="86" t="s">
        <v>650</v>
      </c>
      <c r="AC36" s="85" t="s">
        <v>706</v>
      </c>
      <c r="AD36" s="86"/>
      <c r="AE36" s="86" t="s">
        <v>759</v>
      </c>
      <c r="AF36" s="86"/>
      <c r="AG36" s="60"/>
      <c r="AH36" s="1"/>
      <c r="AI36" s="1"/>
      <c r="AJ36" s="1"/>
      <c r="AK36" s="1"/>
      <c r="AL36" s="1"/>
      <c r="AM36" s="1"/>
      <c r="AN36" s="1"/>
      <c r="AO36" s="1"/>
      <c r="AP36" s="15" t="s">
        <v>714</v>
      </c>
      <c r="AQ36" s="1"/>
      <c r="AR36" s="1"/>
      <c r="AS36" s="1"/>
      <c r="AT36" s="1"/>
      <c r="AU36" s="17" t="s">
        <v>616</v>
      </c>
      <c r="AV36" s="17" t="s">
        <v>562</v>
      </c>
      <c r="AW36" s="17" t="s">
        <v>592</v>
      </c>
      <c r="AX36" s="19" t="s">
        <v>649</v>
      </c>
      <c r="AY36" s="17" t="s">
        <v>660</v>
      </c>
    </row>
    <row r="37" spans="12:51">
      <c r="L37" s="1" t="s">
        <v>760</v>
      </c>
      <c r="M37" s="1" t="s">
        <v>698</v>
      </c>
      <c r="N37" s="1" t="s">
        <v>761</v>
      </c>
      <c r="O37" s="1"/>
      <c r="P37" s="1" t="s">
        <v>410</v>
      </c>
      <c r="Q37" s="1" t="s">
        <v>646</v>
      </c>
      <c r="R37" s="1"/>
      <c r="S37" s="85" t="s">
        <v>760</v>
      </c>
      <c r="T37" s="86" t="s">
        <v>698</v>
      </c>
      <c r="U37" s="86" t="s">
        <v>761</v>
      </c>
      <c r="V37" s="86"/>
      <c r="W37" s="86" t="s">
        <v>410</v>
      </c>
      <c r="X37" s="86" t="s">
        <v>646</v>
      </c>
      <c r="Y37" s="85" t="s">
        <v>762</v>
      </c>
      <c r="Z37" s="86" t="s">
        <v>763</v>
      </c>
      <c r="AA37" s="86" t="s">
        <v>410</v>
      </c>
      <c r="AB37" s="86" t="s">
        <v>728</v>
      </c>
      <c r="AC37" s="85" t="s">
        <v>697</v>
      </c>
      <c r="AD37" s="86"/>
      <c r="AE37" s="86" t="s">
        <v>703</v>
      </c>
      <c r="AF37" s="86"/>
      <c r="AG37" s="60"/>
      <c r="AH37" s="1"/>
      <c r="AI37" s="1"/>
      <c r="AJ37" s="1"/>
      <c r="AK37" s="1"/>
      <c r="AL37" s="1"/>
      <c r="AM37" s="1"/>
      <c r="AN37" s="1"/>
      <c r="AO37" s="1"/>
      <c r="AP37" s="15" t="s">
        <v>764</v>
      </c>
      <c r="AQ37" s="1"/>
      <c r="AR37" s="1"/>
      <c r="AS37" s="1"/>
      <c r="AT37" s="1"/>
      <c r="AU37" s="17" t="s">
        <v>410</v>
      </c>
      <c r="AV37" s="17" t="s">
        <v>388</v>
      </c>
      <c r="AW37" s="19" t="s">
        <v>690</v>
      </c>
      <c r="AX37" s="19" t="s">
        <v>588</v>
      </c>
      <c r="AY37" s="17" t="s">
        <v>646</v>
      </c>
    </row>
    <row r="38" spans="12:51">
      <c r="L38" s="1" t="s">
        <v>765</v>
      </c>
      <c r="M38" s="1" t="s">
        <v>706</v>
      </c>
      <c r="N38" s="1" t="s">
        <v>681</v>
      </c>
      <c r="O38" s="1"/>
      <c r="P38" s="1" t="s">
        <v>766</v>
      </c>
      <c r="Q38" s="1" t="s">
        <v>391</v>
      </c>
      <c r="R38" s="1"/>
      <c r="S38" s="85" t="s">
        <v>765</v>
      </c>
      <c r="T38" s="86" t="s">
        <v>706</v>
      </c>
      <c r="U38" s="86" t="s">
        <v>681</v>
      </c>
      <c r="V38" s="86"/>
      <c r="W38" s="86" t="s">
        <v>766</v>
      </c>
      <c r="X38" s="86" t="s">
        <v>391</v>
      </c>
      <c r="Y38" s="85" t="s">
        <v>767</v>
      </c>
      <c r="Z38" s="86" t="s">
        <v>411</v>
      </c>
      <c r="AA38" s="86" t="s">
        <v>768</v>
      </c>
      <c r="AB38" s="86" t="s">
        <v>769</v>
      </c>
      <c r="AC38" s="85" t="s">
        <v>770</v>
      </c>
      <c r="AD38" s="86"/>
      <c r="AE38" s="86" t="s">
        <v>770</v>
      </c>
      <c r="AF38" s="86"/>
      <c r="AG38" s="60"/>
      <c r="AH38" s="1"/>
      <c r="AI38" s="1"/>
      <c r="AJ38" s="1"/>
      <c r="AK38" s="1"/>
      <c r="AL38" s="1"/>
      <c r="AM38" s="1"/>
      <c r="AN38" s="1"/>
      <c r="AO38" s="1"/>
      <c r="AP38" s="15" t="s">
        <v>771</v>
      </c>
      <c r="AQ38" s="1"/>
      <c r="AR38" s="1"/>
      <c r="AS38" s="1"/>
      <c r="AT38" s="1"/>
      <c r="AU38" s="17" t="s">
        <v>693</v>
      </c>
      <c r="AV38" s="16" t="s">
        <v>593</v>
      </c>
      <c r="AW38" s="16" t="s">
        <v>410</v>
      </c>
      <c r="AX38" s="19" t="s">
        <v>661</v>
      </c>
      <c r="AY38" s="17" t="s">
        <v>708</v>
      </c>
    </row>
    <row r="39" spans="12:51">
      <c r="L39" s="1" t="s">
        <v>681</v>
      </c>
      <c r="M39" s="1" t="s">
        <v>749</v>
      </c>
      <c r="N39" s="1" t="s">
        <v>752</v>
      </c>
      <c r="O39" s="1"/>
      <c r="P39" s="1" t="s">
        <v>772</v>
      </c>
      <c r="Q39" s="1" t="s">
        <v>391</v>
      </c>
      <c r="R39" s="1"/>
      <c r="S39" s="85" t="s">
        <v>681</v>
      </c>
      <c r="T39" s="86" t="s">
        <v>749</v>
      </c>
      <c r="U39" s="86" t="s">
        <v>752</v>
      </c>
      <c r="V39" s="86"/>
      <c r="W39" s="86" t="s">
        <v>772</v>
      </c>
      <c r="X39" s="86" t="s">
        <v>391</v>
      </c>
      <c r="Y39" s="85" t="s">
        <v>773</v>
      </c>
      <c r="Z39" s="86" t="s">
        <v>765</v>
      </c>
      <c r="AA39" s="86" t="s">
        <v>605</v>
      </c>
      <c r="AB39" s="86" t="s">
        <v>411</v>
      </c>
      <c r="AC39" s="85" t="s">
        <v>730</v>
      </c>
      <c r="AD39" s="86"/>
      <c r="AE39" s="86" t="s">
        <v>727</v>
      </c>
      <c r="AF39" s="86"/>
      <c r="AG39" s="60"/>
      <c r="AH39" s="1"/>
      <c r="AI39" s="1"/>
      <c r="AJ39" s="1"/>
      <c r="AK39" s="1"/>
      <c r="AL39" s="1"/>
      <c r="AM39" s="1"/>
      <c r="AN39" s="1"/>
      <c r="AO39" s="1"/>
      <c r="AP39" s="15" t="s">
        <v>644</v>
      </c>
      <c r="AQ39" s="1"/>
      <c r="AR39" s="1"/>
      <c r="AS39" s="1"/>
      <c r="AT39" s="1"/>
      <c r="AU39" s="17" t="s">
        <v>605</v>
      </c>
      <c r="AV39" s="18" t="s">
        <v>607</v>
      </c>
      <c r="AW39" s="19" t="s">
        <v>683</v>
      </c>
      <c r="AX39" s="19" t="s">
        <v>526</v>
      </c>
      <c r="AY39" s="17" t="s">
        <v>589</v>
      </c>
    </row>
    <row r="40" spans="12:51" ht="17.100000000000001" thickBot="1">
      <c r="L40" s="1" t="s">
        <v>702</v>
      </c>
      <c r="M40" s="1" t="s">
        <v>705</v>
      </c>
      <c r="N40" s="1" t="s">
        <v>403</v>
      </c>
      <c r="O40" s="1"/>
      <c r="P40" s="1" t="s">
        <v>762</v>
      </c>
      <c r="Q40" s="1" t="s">
        <v>774</v>
      </c>
      <c r="R40" s="1"/>
      <c r="S40" s="85" t="s">
        <v>702</v>
      </c>
      <c r="T40" s="86" t="s">
        <v>705</v>
      </c>
      <c r="U40" s="87" t="s">
        <v>403</v>
      </c>
      <c r="V40" s="86"/>
      <c r="W40" s="86" t="s">
        <v>762</v>
      </c>
      <c r="X40" s="86" t="s">
        <v>774</v>
      </c>
      <c r="Y40" s="85" t="s">
        <v>773</v>
      </c>
      <c r="Z40" s="86" t="s">
        <v>698</v>
      </c>
      <c r="AA40" s="86" t="s">
        <v>725</v>
      </c>
      <c r="AB40" s="86" t="s">
        <v>775</v>
      </c>
      <c r="AC40" s="89" t="s">
        <v>776</v>
      </c>
      <c r="AD40" s="90"/>
      <c r="AE40" s="90"/>
      <c r="AF40" s="90"/>
      <c r="AG40" s="62"/>
      <c r="AH40" s="1"/>
      <c r="AI40" s="1"/>
      <c r="AJ40" s="1"/>
      <c r="AK40" s="1"/>
      <c r="AL40" s="1"/>
      <c r="AM40" s="1"/>
      <c r="AN40" s="1"/>
      <c r="AO40" s="1"/>
      <c r="AP40" s="15" t="s">
        <v>777</v>
      </c>
      <c r="AQ40" s="1"/>
      <c r="AR40" s="1"/>
      <c r="AS40" s="1"/>
      <c r="AT40" s="1"/>
      <c r="AU40" s="17" t="s">
        <v>624</v>
      </c>
      <c r="AV40" s="19" t="s">
        <v>572</v>
      </c>
      <c r="AW40" s="17" t="s">
        <v>591</v>
      </c>
      <c r="AX40" s="19" t="s">
        <v>671</v>
      </c>
      <c r="AY40" s="17" t="s">
        <v>604</v>
      </c>
    </row>
    <row r="41" spans="12:51">
      <c r="L41" s="1" t="s">
        <v>778</v>
      </c>
      <c r="M41" s="1" t="s">
        <v>406</v>
      </c>
      <c r="N41" s="1" t="s">
        <v>718</v>
      </c>
      <c r="O41" s="1"/>
      <c r="P41" s="1" t="s">
        <v>654</v>
      </c>
      <c r="Q41" s="1" t="s">
        <v>779</v>
      </c>
      <c r="R41" s="1"/>
      <c r="S41" s="85" t="s">
        <v>778</v>
      </c>
      <c r="T41" s="86" t="s">
        <v>406</v>
      </c>
      <c r="U41" s="86" t="s">
        <v>718</v>
      </c>
      <c r="V41" s="86"/>
      <c r="W41" s="86" t="s">
        <v>654</v>
      </c>
      <c r="X41" s="86" t="s">
        <v>779</v>
      </c>
      <c r="Y41" s="85" t="s">
        <v>707</v>
      </c>
      <c r="Z41" s="86" t="s">
        <v>780</v>
      </c>
      <c r="AA41" s="86" t="s">
        <v>741</v>
      </c>
      <c r="AB41" s="91" t="s">
        <v>781</v>
      </c>
      <c r="AC41" s="86"/>
      <c r="AD41" s="86"/>
      <c r="AE41" s="86"/>
      <c r="AF41" s="86"/>
      <c r="AG41" s="1"/>
      <c r="AH41" s="1"/>
      <c r="AI41" s="1"/>
      <c r="AJ41" s="1"/>
      <c r="AK41" s="1"/>
      <c r="AL41" s="1"/>
      <c r="AM41" s="1"/>
      <c r="AN41" s="1"/>
      <c r="AO41" s="1"/>
      <c r="AP41" s="15" t="s">
        <v>782</v>
      </c>
      <c r="AQ41" s="1"/>
      <c r="AR41" s="1"/>
      <c r="AS41" s="1"/>
      <c r="AT41" s="1"/>
      <c r="AU41" s="17" t="s">
        <v>701</v>
      </c>
      <c r="AV41" s="17" t="s">
        <v>596</v>
      </c>
      <c r="AW41" s="19" t="s">
        <v>654</v>
      </c>
      <c r="AX41" s="17" t="s">
        <v>566</v>
      </c>
      <c r="AY41" s="17" t="s">
        <v>92</v>
      </c>
    </row>
    <row r="42" spans="12:51">
      <c r="L42" s="1" t="s">
        <v>698</v>
      </c>
      <c r="M42" s="1" t="s">
        <v>783</v>
      </c>
      <c r="N42" s="1" t="s">
        <v>730</v>
      </c>
      <c r="O42" s="1"/>
      <c r="P42" s="1" t="s">
        <v>519</v>
      </c>
      <c r="Q42" s="1" t="s">
        <v>750</v>
      </c>
      <c r="R42" s="1"/>
      <c r="S42" s="85" t="s">
        <v>698</v>
      </c>
      <c r="T42" s="86" t="s">
        <v>783</v>
      </c>
      <c r="U42" s="86" t="s">
        <v>730</v>
      </c>
      <c r="V42" s="86"/>
      <c r="W42" s="86" t="s">
        <v>519</v>
      </c>
      <c r="X42" s="86" t="s">
        <v>750</v>
      </c>
      <c r="Y42" s="85" t="s">
        <v>666</v>
      </c>
      <c r="Z42" s="86"/>
      <c r="AA42" s="86" t="s">
        <v>654</v>
      </c>
      <c r="AB42" s="91" t="s">
        <v>784</v>
      </c>
      <c r="AC42" s="86"/>
      <c r="AD42" s="86"/>
      <c r="AE42" s="86"/>
      <c r="AF42" s="86"/>
      <c r="AG42" s="1"/>
      <c r="AH42" s="1"/>
      <c r="AI42" s="1"/>
      <c r="AJ42" s="1"/>
      <c r="AK42" s="1"/>
      <c r="AL42" s="1"/>
      <c r="AM42" s="1"/>
      <c r="AN42" s="1"/>
      <c r="AO42" s="1"/>
      <c r="AP42" s="15" t="s">
        <v>728</v>
      </c>
      <c r="AQ42" s="1"/>
      <c r="AR42" s="1"/>
      <c r="AS42" s="1"/>
      <c r="AT42" s="1"/>
      <c r="AU42" s="17" t="s">
        <v>645</v>
      </c>
      <c r="AV42" s="16" t="s">
        <v>557</v>
      </c>
      <c r="AW42" s="17" t="s">
        <v>398</v>
      </c>
      <c r="AX42" s="19" t="s">
        <v>535</v>
      </c>
      <c r="AY42" s="17" t="s">
        <v>98</v>
      </c>
    </row>
    <row r="43" spans="12:51">
      <c r="L43" s="1" t="s">
        <v>785</v>
      </c>
      <c r="M43" s="1"/>
      <c r="N43" s="1" t="s">
        <v>776</v>
      </c>
      <c r="O43" s="1"/>
      <c r="P43" s="1" t="s">
        <v>773</v>
      </c>
      <c r="Q43" s="1" t="s">
        <v>663</v>
      </c>
      <c r="R43" s="1"/>
      <c r="S43" s="85" t="s">
        <v>785</v>
      </c>
      <c r="T43" s="86"/>
      <c r="U43" s="86" t="s">
        <v>776</v>
      </c>
      <c r="V43" s="86"/>
      <c r="W43" s="86" t="s">
        <v>773</v>
      </c>
      <c r="X43" s="86" t="s">
        <v>663</v>
      </c>
      <c r="Y43" s="85" t="s">
        <v>786</v>
      </c>
      <c r="Z43" s="86"/>
      <c r="AA43" s="86" t="s">
        <v>714</v>
      </c>
      <c r="AB43" s="91" t="s">
        <v>787</v>
      </c>
      <c r="AC43" s="86"/>
      <c r="AD43" s="86"/>
      <c r="AE43" s="86"/>
      <c r="AF43" s="86"/>
      <c r="AG43" s="1"/>
      <c r="AH43" s="1"/>
      <c r="AI43" s="1"/>
      <c r="AJ43" s="1"/>
      <c r="AK43" s="1"/>
      <c r="AL43" s="1"/>
      <c r="AM43" s="1"/>
      <c r="AN43" s="1"/>
      <c r="AO43" s="1"/>
      <c r="AP43" s="15" t="s">
        <v>788</v>
      </c>
      <c r="AQ43" s="1"/>
      <c r="AR43" s="1"/>
      <c r="AS43" s="1"/>
      <c r="AT43" s="1"/>
      <c r="AU43" s="17" t="s">
        <v>665</v>
      </c>
      <c r="AV43" s="17" t="s">
        <v>620</v>
      </c>
      <c r="AW43" s="19" t="s">
        <v>739</v>
      </c>
      <c r="AX43" s="19" t="s">
        <v>386</v>
      </c>
      <c r="AY43" s="17" t="s">
        <v>663</v>
      </c>
    </row>
    <row r="44" spans="12:51">
      <c r="L44" s="1" t="s">
        <v>706</v>
      </c>
      <c r="M44" s="1"/>
      <c r="N44" s="1"/>
      <c r="O44" s="1"/>
      <c r="P44" s="1" t="s">
        <v>699</v>
      </c>
      <c r="Q44" s="1" t="s">
        <v>789</v>
      </c>
      <c r="R44" s="1"/>
      <c r="S44" s="88" t="s">
        <v>706</v>
      </c>
      <c r="T44" s="86"/>
      <c r="U44" s="86"/>
      <c r="V44" s="86"/>
      <c r="W44" s="86" t="s">
        <v>699</v>
      </c>
      <c r="X44" s="86" t="s">
        <v>789</v>
      </c>
      <c r="Y44" s="85" t="s">
        <v>728</v>
      </c>
      <c r="Z44" s="86"/>
      <c r="AA44" s="86" t="s">
        <v>790</v>
      </c>
      <c r="AB44" s="91" t="s">
        <v>778</v>
      </c>
      <c r="AC44" s="86"/>
      <c r="AD44" s="86"/>
      <c r="AE44" s="86"/>
      <c r="AF44" s="86"/>
      <c r="AG44" s="1"/>
      <c r="AH44" s="1"/>
      <c r="AI44" s="1"/>
      <c r="AJ44" s="1"/>
      <c r="AK44" s="1"/>
      <c r="AL44" s="1"/>
      <c r="AM44" s="1"/>
      <c r="AN44" s="1"/>
      <c r="AO44" s="1"/>
      <c r="AP44" s="15" t="s">
        <v>706</v>
      </c>
      <c r="AQ44" s="1"/>
      <c r="AR44" s="1"/>
      <c r="AS44" s="1"/>
      <c r="AT44" s="1"/>
      <c r="AU44" s="17" t="s">
        <v>650</v>
      </c>
      <c r="AV44" s="19" t="s">
        <v>113</v>
      </c>
      <c r="AW44" s="17" t="s">
        <v>666</v>
      </c>
      <c r="AX44" s="19" t="s">
        <v>556</v>
      </c>
      <c r="AY44" s="17" t="s">
        <v>672</v>
      </c>
    </row>
    <row r="45" spans="12:51">
      <c r="L45" s="1" t="s">
        <v>791</v>
      </c>
      <c r="M45" s="1"/>
      <c r="N45" s="1"/>
      <c r="O45" s="1"/>
      <c r="P45" s="1" t="s">
        <v>713</v>
      </c>
      <c r="Q45" s="1" t="s">
        <v>789</v>
      </c>
      <c r="R45" s="1"/>
      <c r="S45" s="85" t="s">
        <v>791</v>
      </c>
      <c r="T45" s="86"/>
      <c r="U45" s="86"/>
      <c r="V45" s="86"/>
      <c r="W45" s="86" t="s">
        <v>713</v>
      </c>
      <c r="X45" s="86" t="s">
        <v>789</v>
      </c>
      <c r="Y45" s="85" t="s">
        <v>792</v>
      </c>
      <c r="Z45" s="86"/>
      <c r="AA45" s="86" t="s">
        <v>793</v>
      </c>
      <c r="AB45" s="91" t="s">
        <v>403</v>
      </c>
      <c r="AC45" s="86"/>
      <c r="AD45" s="86"/>
      <c r="AE45" s="86"/>
      <c r="AF45" s="86"/>
      <c r="AG45" s="1"/>
      <c r="AH45" s="1"/>
      <c r="AI45" s="1"/>
      <c r="AJ45" s="1"/>
      <c r="AK45" s="1"/>
      <c r="AL45" s="1"/>
      <c r="AM45" s="1"/>
      <c r="AN45" s="1"/>
      <c r="AO45" s="1"/>
      <c r="AP45" s="15" t="s">
        <v>636</v>
      </c>
      <c r="AQ45" s="1"/>
      <c r="AR45" s="1"/>
      <c r="AS45" s="1"/>
      <c r="AT45" s="1"/>
      <c r="AU45" s="17" t="s">
        <v>738</v>
      </c>
      <c r="AV45" s="18" t="s">
        <v>626</v>
      </c>
      <c r="AW45" s="19" t="s">
        <v>753</v>
      </c>
      <c r="AX45" s="17" t="s">
        <v>542</v>
      </c>
      <c r="AY45" s="17" t="s">
        <v>680</v>
      </c>
    </row>
    <row r="46" spans="12:51">
      <c r="L46" s="1"/>
      <c r="M46" s="1"/>
      <c r="N46" s="1"/>
      <c r="O46" s="1"/>
      <c r="P46" s="1" t="s">
        <v>707</v>
      </c>
      <c r="Q46" s="1" t="s">
        <v>714</v>
      </c>
      <c r="R46" s="1"/>
      <c r="S46" s="85"/>
      <c r="T46" s="86"/>
      <c r="U46" s="86"/>
      <c r="V46" s="86"/>
      <c r="W46" s="86" t="s">
        <v>707</v>
      </c>
      <c r="X46" s="86" t="s">
        <v>714</v>
      </c>
      <c r="Y46" s="85" t="s">
        <v>761</v>
      </c>
      <c r="Z46" s="86"/>
      <c r="AA46" s="86" t="s">
        <v>773</v>
      </c>
      <c r="AB46" s="91" t="s">
        <v>794</v>
      </c>
      <c r="AC46" s="86"/>
      <c r="AD46" s="86"/>
      <c r="AE46" s="86"/>
      <c r="AF46" s="86"/>
      <c r="AG46" s="1"/>
      <c r="AH46" s="1"/>
      <c r="AI46" s="1"/>
      <c r="AJ46" s="1"/>
      <c r="AK46" s="1"/>
      <c r="AL46" s="1"/>
      <c r="AM46" s="1"/>
      <c r="AN46" s="1"/>
      <c r="AO46" s="1"/>
      <c r="AP46" s="15" t="s">
        <v>776</v>
      </c>
      <c r="AQ46" s="1"/>
      <c r="AR46" s="1"/>
      <c r="AS46" s="1"/>
      <c r="AT46" s="1"/>
      <c r="AU46" s="17" t="s">
        <v>681</v>
      </c>
      <c r="AV46" s="16" t="s">
        <v>635</v>
      </c>
      <c r="AW46" s="16" t="s">
        <v>400</v>
      </c>
      <c r="AX46" s="17" t="s">
        <v>582</v>
      </c>
      <c r="AY46" s="17" t="s">
        <v>399</v>
      </c>
    </row>
    <row r="47" spans="12:51">
      <c r="L47" s="1"/>
      <c r="M47" s="1"/>
      <c r="N47" s="1"/>
      <c r="O47" s="1"/>
      <c r="P47" s="1" t="s">
        <v>666</v>
      </c>
      <c r="Q47" s="1" t="s">
        <v>773</v>
      </c>
      <c r="R47" s="1"/>
      <c r="S47" s="85"/>
      <c r="T47" s="86"/>
      <c r="U47" s="86"/>
      <c r="V47" s="86"/>
      <c r="W47" s="86" t="s">
        <v>666</v>
      </c>
      <c r="X47" s="86" t="s">
        <v>773</v>
      </c>
      <c r="Y47" s="85" t="s">
        <v>795</v>
      </c>
      <c r="Z47" s="86"/>
      <c r="AA47" s="86" t="s">
        <v>742</v>
      </c>
      <c r="AB47" s="91" t="s">
        <v>698</v>
      </c>
      <c r="AC47" s="86"/>
      <c r="AD47" s="86"/>
      <c r="AE47" s="86"/>
      <c r="AF47" s="86"/>
      <c r="AG47" s="1"/>
      <c r="AH47" s="1"/>
      <c r="AI47" s="1"/>
      <c r="AJ47" s="1"/>
      <c r="AK47" s="1"/>
      <c r="AL47" s="1"/>
      <c r="AM47" s="1"/>
      <c r="AN47" s="1"/>
      <c r="AO47" s="1"/>
      <c r="AP47" s="15"/>
      <c r="AQ47" s="1"/>
      <c r="AR47" s="1"/>
      <c r="AS47" s="1"/>
      <c r="AT47" s="1"/>
      <c r="AU47" s="17" t="s">
        <v>702</v>
      </c>
      <c r="AV47" s="17" t="s">
        <v>548</v>
      </c>
      <c r="AW47" s="17" t="s">
        <v>682</v>
      </c>
      <c r="AX47" s="19" t="s">
        <v>562</v>
      </c>
      <c r="AY47" s="17" t="s">
        <v>644</v>
      </c>
    </row>
    <row r="48" spans="12:51">
      <c r="L48" s="1"/>
      <c r="M48" s="1"/>
      <c r="N48" s="1"/>
      <c r="O48" s="1"/>
      <c r="P48" s="1" t="s">
        <v>666</v>
      </c>
      <c r="Q48" s="1" t="s">
        <v>699</v>
      </c>
      <c r="R48" s="1"/>
      <c r="S48" s="85"/>
      <c r="T48" s="86"/>
      <c r="U48" s="86"/>
      <c r="V48" s="86"/>
      <c r="W48" s="86" t="s">
        <v>666</v>
      </c>
      <c r="X48" s="86" t="s">
        <v>699</v>
      </c>
      <c r="Y48" s="85" t="s">
        <v>796</v>
      </c>
      <c r="Z48" s="86"/>
      <c r="AA48" s="86" t="s">
        <v>672</v>
      </c>
      <c r="AB48" s="91" t="s">
        <v>797</v>
      </c>
      <c r="AC48" s="86"/>
      <c r="AD48" s="86"/>
      <c r="AE48" s="86"/>
      <c r="AF48" s="86"/>
      <c r="AG48" s="1"/>
      <c r="AH48" s="1"/>
      <c r="AI48" s="1"/>
      <c r="AJ48" s="1"/>
      <c r="AK48" s="1"/>
      <c r="AL48" s="1"/>
      <c r="AM48" s="1"/>
      <c r="AN48" s="1"/>
      <c r="AO48" s="1"/>
      <c r="AP48" s="1"/>
      <c r="AQ48" s="1"/>
      <c r="AR48" s="1"/>
      <c r="AS48" s="1"/>
      <c r="AT48" s="1"/>
      <c r="AU48" s="17" t="s">
        <v>752</v>
      </c>
      <c r="AV48" s="18" t="s">
        <v>390</v>
      </c>
      <c r="AW48" s="19" t="s">
        <v>761</v>
      </c>
      <c r="AX48" s="17" t="s">
        <v>593</v>
      </c>
      <c r="AY48" s="17" t="s">
        <v>650</v>
      </c>
    </row>
    <row r="49" spans="16:51">
      <c r="P49" s="1" t="s">
        <v>798</v>
      </c>
      <c r="Q49" s="1" t="s">
        <v>799</v>
      </c>
      <c r="R49" s="1"/>
      <c r="S49" s="85"/>
      <c r="T49" s="86"/>
      <c r="U49" s="86"/>
      <c r="V49" s="86"/>
      <c r="W49" s="86" t="s">
        <v>798</v>
      </c>
      <c r="X49" s="86" t="s">
        <v>799</v>
      </c>
      <c r="Y49" s="85" t="s">
        <v>800</v>
      </c>
      <c r="Z49" s="86"/>
      <c r="AA49" s="86" t="s">
        <v>739</v>
      </c>
      <c r="AB49" s="91" t="s">
        <v>697</v>
      </c>
      <c r="AC49" s="86"/>
      <c r="AD49" s="86"/>
      <c r="AE49" s="86"/>
      <c r="AF49" s="86"/>
      <c r="AG49" s="1"/>
      <c r="AH49" s="1"/>
      <c r="AI49" s="1"/>
      <c r="AJ49" s="1"/>
      <c r="AK49" s="1"/>
      <c r="AL49" s="1"/>
      <c r="AM49" s="1"/>
      <c r="AN49" s="1"/>
      <c r="AO49" s="1"/>
      <c r="AP49" s="1"/>
      <c r="AQ49" s="1"/>
      <c r="AR49" s="1"/>
      <c r="AS49" s="1"/>
      <c r="AT49" s="1"/>
      <c r="AU49" s="17" t="s">
        <v>691</v>
      </c>
      <c r="AV49" s="19" t="s">
        <v>646</v>
      </c>
      <c r="AW49" s="17" t="s">
        <v>681</v>
      </c>
      <c r="AX49" s="19" t="s">
        <v>632</v>
      </c>
      <c r="AY49" s="17" t="s">
        <v>662</v>
      </c>
    </row>
    <row r="50" spans="16:51">
      <c r="P50" s="1" t="s">
        <v>400</v>
      </c>
      <c r="Q50" s="1" t="s">
        <v>665</v>
      </c>
      <c r="R50" s="1"/>
      <c r="S50" s="85"/>
      <c r="T50" s="86"/>
      <c r="U50" s="86"/>
      <c r="V50" s="86"/>
      <c r="W50" s="86" t="s">
        <v>400</v>
      </c>
      <c r="X50" s="86" t="s">
        <v>665</v>
      </c>
      <c r="Y50" s="85" t="s">
        <v>406</v>
      </c>
      <c r="Z50" s="86"/>
      <c r="AA50" s="86" t="s">
        <v>707</v>
      </c>
      <c r="AB50" s="91" t="s">
        <v>801</v>
      </c>
      <c r="AC50" s="86"/>
      <c r="AD50" s="86"/>
      <c r="AE50" s="86"/>
      <c r="AF50" s="86"/>
      <c r="AG50" s="1"/>
      <c r="AH50" s="1"/>
      <c r="AI50" s="1"/>
      <c r="AJ50" s="1"/>
      <c r="AK50" s="1"/>
      <c r="AL50" s="1"/>
      <c r="AM50" s="1"/>
      <c r="AN50" s="1"/>
      <c r="AO50" s="1"/>
      <c r="AP50" s="1"/>
      <c r="AQ50" s="1"/>
      <c r="AR50" s="1"/>
      <c r="AS50" s="1"/>
      <c r="AT50" s="1"/>
      <c r="AU50" s="17" t="s">
        <v>698</v>
      </c>
      <c r="AV50" s="17" t="s">
        <v>656</v>
      </c>
      <c r="AW50" s="19" t="s">
        <v>752</v>
      </c>
      <c r="AX50" s="19" t="s">
        <v>557</v>
      </c>
      <c r="AY50" s="17" t="s">
        <v>574</v>
      </c>
    </row>
    <row r="51" spans="16:51">
      <c r="P51" s="1" t="s">
        <v>802</v>
      </c>
      <c r="Q51" s="1" t="s">
        <v>803</v>
      </c>
      <c r="R51" s="1"/>
      <c r="S51" s="85"/>
      <c r="T51" s="86"/>
      <c r="U51" s="86"/>
      <c r="V51" s="86"/>
      <c r="W51" s="86" t="s">
        <v>802</v>
      </c>
      <c r="X51" s="86" t="s">
        <v>803</v>
      </c>
      <c r="Y51" s="85" t="s">
        <v>780</v>
      </c>
      <c r="Z51" s="86"/>
      <c r="AA51" s="86" t="s">
        <v>666</v>
      </c>
      <c r="AB51" s="91" t="s">
        <v>804</v>
      </c>
      <c r="AC51" s="86"/>
      <c r="AD51" s="86"/>
      <c r="AE51" s="86"/>
      <c r="AF51" s="86"/>
      <c r="AG51" s="1"/>
      <c r="AH51" s="1"/>
      <c r="AI51" s="1"/>
      <c r="AJ51" s="1"/>
      <c r="AK51" s="1"/>
      <c r="AL51" s="1"/>
      <c r="AM51" s="1"/>
      <c r="AN51" s="1"/>
      <c r="AO51" s="1"/>
      <c r="AP51" s="1"/>
      <c r="AQ51" s="1"/>
      <c r="AR51" s="1"/>
      <c r="AS51" s="1"/>
      <c r="AT51" s="1"/>
      <c r="AU51" s="17" t="s">
        <v>706</v>
      </c>
      <c r="AV51" s="17" t="s">
        <v>391</v>
      </c>
      <c r="AW51" s="17" t="s">
        <v>403</v>
      </c>
      <c r="AX51" s="19" t="s">
        <v>694</v>
      </c>
      <c r="AY51" s="17" t="s">
        <v>735</v>
      </c>
    </row>
    <row r="52" spans="16:51">
      <c r="P52" s="1" t="s">
        <v>763</v>
      </c>
      <c r="Q52" s="1" t="s">
        <v>788</v>
      </c>
      <c r="R52" s="1"/>
      <c r="S52" s="85"/>
      <c r="T52" s="86"/>
      <c r="U52" s="86"/>
      <c r="V52" s="86"/>
      <c r="W52" s="86" t="s">
        <v>763</v>
      </c>
      <c r="X52" s="86" t="s">
        <v>788</v>
      </c>
      <c r="Y52" s="85" t="s">
        <v>408</v>
      </c>
      <c r="Z52" s="86"/>
      <c r="AA52" s="86" t="s">
        <v>805</v>
      </c>
      <c r="AB52" s="91" t="s">
        <v>806</v>
      </c>
      <c r="AC52" s="86"/>
      <c r="AD52" s="86"/>
      <c r="AE52" s="86"/>
      <c r="AF52" s="86"/>
      <c r="AG52" s="1"/>
      <c r="AH52" s="1"/>
      <c r="AI52" s="1"/>
      <c r="AJ52" s="1"/>
      <c r="AK52" s="1"/>
      <c r="AL52" s="1"/>
      <c r="AM52" s="1"/>
      <c r="AN52" s="1"/>
      <c r="AO52" s="1"/>
      <c r="AP52" s="1"/>
      <c r="AQ52" s="1"/>
      <c r="AR52" s="1"/>
      <c r="AS52" s="1"/>
      <c r="AT52" s="1"/>
      <c r="AU52" s="17" t="s">
        <v>749</v>
      </c>
      <c r="AV52" s="16" t="s">
        <v>619</v>
      </c>
      <c r="AW52" s="18" t="s">
        <v>691</v>
      </c>
      <c r="AX52" s="17" t="s">
        <v>651</v>
      </c>
      <c r="AY52" s="17" t="s">
        <v>743</v>
      </c>
    </row>
    <row r="53" spans="16:51">
      <c r="P53" s="1" t="s">
        <v>665</v>
      </c>
      <c r="Q53" s="1" t="s">
        <v>807</v>
      </c>
      <c r="R53" s="1"/>
      <c r="S53" s="85"/>
      <c r="T53" s="86"/>
      <c r="U53" s="86"/>
      <c r="V53" s="86"/>
      <c r="W53" s="86" t="s">
        <v>665</v>
      </c>
      <c r="X53" s="86" t="s">
        <v>807</v>
      </c>
      <c r="Y53" s="85"/>
      <c r="Z53" s="86"/>
      <c r="AA53" s="86" t="s">
        <v>400</v>
      </c>
      <c r="AB53" s="91" t="s">
        <v>618</v>
      </c>
      <c r="AC53" s="86"/>
      <c r="AD53" s="86"/>
      <c r="AE53" s="86"/>
      <c r="AF53" s="86"/>
      <c r="AG53" s="1"/>
      <c r="AH53" s="1"/>
      <c r="AI53" s="1"/>
      <c r="AJ53" s="1"/>
      <c r="AK53" s="1"/>
      <c r="AL53" s="1"/>
      <c r="AM53" s="1"/>
      <c r="AN53" s="1"/>
      <c r="AO53" s="1"/>
      <c r="AP53" s="1"/>
      <c r="AQ53" s="1"/>
      <c r="AR53" s="1"/>
      <c r="AS53" s="1"/>
      <c r="AT53" s="1"/>
      <c r="AU53" s="17" t="s">
        <v>705</v>
      </c>
      <c r="AV53" s="17" t="s">
        <v>676</v>
      </c>
      <c r="AW53" s="16" t="s">
        <v>706</v>
      </c>
      <c r="AX53" s="19" t="s">
        <v>660</v>
      </c>
      <c r="AY53" s="17" t="s">
        <v>411</v>
      </c>
    </row>
    <row r="54" spans="16:51">
      <c r="P54" s="1" t="s">
        <v>786</v>
      </c>
      <c r="Q54" s="1" t="s">
        <v>403</v>
      </c>
      <c r="R54" s="1"/>
      <c r="S54" s="85"/>
      <c r="T54" s="86"/>
      <c r="U54" s="86"/>
      <c r="V54" s="86"/>
      <c r="W54" s="86" t="s">
        <v>786</v>
      </c>
      <c r="X54" s="87" t="s">
        <v>403</v>
      </c>
      <c r="Y54" s="85"/>
      <c r="Z54" s="86"/>
      <c r="AA54" s="86" t="s">
        <v>808</v>
      </c>
      <c r="AB54" s="91" t="s">
        <v>809</v>
      </c>
      <c r="AC54" s="86"/>
      <c r="AD54" s="86"/>
      <c r="AE54" s="86"/>
      <c r="AF54" s="86"/>
      <c r="AG54" s="1"/>
      <c r="AH54" s="1"/>
      <c r="AI54" s="1"/>
      <c r="AJ54" s="1"/>
      <c r="AK54" s="1"/>
      <c r="AL54" s="1"/>
      <c r="AM54" s="1"/>
      <c r="AN54" s="1"/>
      <c r="AO54" s="1"/>
      <c r="AP54" s="1"/>
      <c r="AQ54" s="1"/>
      <c r="AR54" s="1"/>
      <c r="AS54" s="1"/>
      <c r="AT54" s="1"/>
      <c r="AU54" s="17" t="s">
        <v>406</v>
      </c>
      <c r="AV54" s="17" t="s">
        <v>592</v>
      </c>
      <c r="AW54" s="18" t="s">
        <v>712</v>
      </c>
      <c r="AX54" s="17" t="s">
        <v>646</v>
      </c>
      <c r="AY54" s="17" t="s">
        <v>681</v>
      </c>
    </row>
    <row r="55" spans="16:51">
      <c r="P55" s="1" t="s">
        <v>402</v>
      </c>
      <c r="Q55" s="1" t="s">
        <v>796</v>
      </c>
      <c r="R55" s="1"/>
      <c r="S55" s="85"/>
      <c r="T55" s="86"/>
      <c r="U55" s="86"/>
      <c r="V55" s="86"/>
      <c r="W55" s="86" t="s">
        <v>402</v>
      </c>
      <c r="X55" s="86" t="s">
        <v>796</v>
      </c>
      <c r="Y55" s="85"/>
      <c r="Z55" s="86"/>
      <c r="AA55" s="86" t="s">
        <v>682</v>
      </c>
      <c r="AB55" s="91" t="s">
        <v>705</v>
      </c>
      <c r="AC55" s="86"/>
      <c r="AD55" s="86"/>
      <c r="AE55" s="86"/>
      <c r="AF55" s="86"/>
      <c r="AG55" s="1"/>
      <c r="AH55" s="1"/>
      <c r="AI55" s="1"/>
      <c r="AJ55" s="1"/>
      <c r="AK55" s="1"/>
      <c r="AL55" s="1"/>
      <c r="AM55" s="1"/>
      <c r="AN55" s="1"/>
      <c r="AO55" s="1"/>
      <c r="AP55" s="1"/>
      <c r="AQ55" s="1"/>
      <c r="AR55" s="1"/>
      <c r="AS55" s="1"/>
      <c r="AT55" s="1"/>
      <c r="AU55" s="17" t="s">
        <v>783</v>
      </c>
      <c r="AV55" s="19" t="s">
        <v>690</v>
      </c>
      <c r="AW55" s="19" t="s">
        <v>718</v>
      </c>
      <c r="AX55" s="19" t="s">
        <v>708</v>
      </c>
      <c r="AY55" s="17" t="s">
        <v>691</v>
      </c>
    </row>
    <row r="56" spans="16:51">
      <c r="P56" s="1" t="s">
        <v>574</v>
      </c>
      <c r="Q56" s="1" t="s">
        <v>698</v>
      </c>
      <c r="R56" s="1"/>
      <c r="S56" s="85"/>
      <c r="T56" s="86"/>
      <c r="U56" s="86"/>
      <c r="V56" s="86"/>
      <c r="W56" s="86" t="s">
        <v>574</v>
      </c>
      <c r="X56" s="86" t="s">
        <v>698</v>
      </c>
      <c r="Y56" s="85"/>
      <c r="Z56" s="86"/>
      <c r="AA56" s="86" t="s">
        <v>738</v>
      </c>
      <c r="AB56" s="91" t="s">
        <v>810</v>
      </c>
      <c r="AC56" s="86"/>
      <c r="AD56" s="86"/>
      <c r="AE56" s="86"/>
      <c r="AF56" s="86"/>
      <c r="AG56" s="1"/>
      <c r="AH56" s="1"/>
      <c r="AI56" s="1"/>
      <c r="AJ56" s="1"/>
      <c r="AK56" s="1"/>
      <c r="AL56" s="1"/>
      <c r="AM56" s="1"/>
      <c r="AN56" s="1"/>
      <c r="AO56" s="1"/>
      <c r="AP56" s="1"/>
      <c r="AQ56" s="1"/>
      <c r="AR56" s="1"/>
      <c r="AS56" s="1"/>
      <c r="AT56" s="1"/>
      <c r="AU56" s="21"/>
      <c r="AV56" s="18" t="s">
        <v>606</v>
      </c>
      <c r="AW56" s="18" t="s">
        <v>727</v>
      </c>
      <c r="AX56" s="17" t="s">
        <v>589</v>
      </c>
      <c r="AY56" s="17" t="s">
        <v>706</v>
      </c>
    </row>
    <row r="57" spans="16:51">
      <c r="P57" s="1" t="s">
        <v>811</v>
      </c>
      <c r="Q57" s="1" t="s">
        <v>706</v>
      </c>
      <c r="R57" s="1"/>
      <c r="S57" s="85"/>
      <c r="T57" s="86"/>
      <c r="U57" s="86"/>
      <c r="V57" s="86"/>
      <c r="W57" s="86" t="s">
        <v>811</v>
      </c>
      <c r="X57" s="86" t="s">
        <v>706</v>
      </c>
      <c r="Y57" s="85"/>
      <c r="Z57" s="86"/>
      <c r="AA57" s="86" t="s">
        <v>402</v>
      </c>
      <c r="AB57" s="91" t="s">
        <v>812</v>
      </c>
      <c r="AC57" s="86"/>
      <c r="AD57" s="86"/>
      <c r="AE57" s="86"/>
      <c r="AF57" s="86"/>
      <c r="AG57" s="1"/>
      <c r="AH57" s="1"/>
      <c r="AI57" s="1"/>
      <c r="AJ57" s="1"/>
      <c r="AK57" s="1"/>
      <c r="AL57" s="1"/>
      <c r="AM57" s="1"/>
      <c r="AN57" s="1"/>
      <c r="AO57" s="1"/>
      <c r="AP57" s="1"/>
      <c r="AQ57" s="1"/>
      <c r="AR57" s="1"/>
      <c r="AS57" s="1"/>
      <c r="AT57" s="1"/>
      <c r="AU57" s="1"/>
      <c r="AV57" s="19" t="s">
        <v>674</v>
      </c>
      <c r="AW57" s="17" t="s">
        <v>730</v>
      </c>
      <c r="AX57" s="17" t="s">
        <v>604</v>
      </c>
      <c r="AY57" s="17" t="s">
        <v>759</v>
      </c>
    </row>
    <row r="58" spans="16:51">
      <c r="P58" s="1" t="s">
        <v>403</v>
      </c>
      <c r="Q58" s="1" t="s">
        <v>404</v>
      </c>
      <c r="R58" s="1"/>
      <c r="S58" s="85"/>
      <c r="T58" s="86"/>
      <c r="U58" s="86"/>
      <c r="V58" s="86"/>
      <c r="W58" s="86" t="s">
        <v>403</v>
      </c>
      <c r="X58" s="86" t="s">
        <v>404</v>
      </c>
      <c r="Y58" s="85"/>
      <c r="Z58" s="86"/>
      <c r="AA58" s="86" t="s">
        <v>813</v>
      </c>
      <c r="AB58" s="91" t="s">
        <v>783</v>
      </c>
      <c r="AC58" s="86"/>
      <c r="AD58" s="86"/>
      <c r="AE58" s="86"/>
      <c r="AF58" s="86"/>
      <c r="AG58" s="1"/>
      <c r="AH58" s="1"/>
      <c r="AI58" s="1"/>
      <c r="AJ58" s="1"/>
      <c r="AK58" s="1"/>
      <c r="AL58" s="1"/>
      <c r="AM58" s="1"/>
      <c r="AN58" s="1"/>
      <c r="AO58" s="1"/>
      <c r="AP58" s="1"/>
      <c r="AQ58" s="1"/>
      <c r="AR58" s="1"/>
      <c r="AS58" s="1"/>
      <c r="AT58" s="1"/>
      <c r="AU58" s="1"/>
      <c r="AV58" s="17" t="s">
        <v>410</v>
      </c>
      <c r="AW58" s="16"/>
      <c r="AX58" s="17" t="s">
        <v>614</v>
      </c>
      <c r="AY58" s="17" t="s">
        <v>727</v>
      </c>
    </row>
    <row r="59" spans="16:51">
      <c r="P59" s="1" t="s">
        <v>796</v>
      </c>
      <c r="Q59" s="1" t="s">
        <v>814</v>
      </c>
      <c r="R59" s="1"/>
      <c r="S59" s="85"/>
      <c r="T59" s="86"/>
      <c r="U59" s="86"/>
      <c r="V59" s="86"/>
      <c r="W59" s="86" t="s">
        <v>796</v>
      </c>
      <c r="X59" s="86" t="s">
        <v>814</v>
      </c>
      <c r="Y59" s="85"/>
      <c r="Z59" s="86"/>
      <c r="AA59" s="86" t="s">
        <v>751</v>
      </c>
      <c r="AB59" s="91" t="s">
        <v>730</v>
      </c>
      <c r="AC59" s="86"/>
      <c r="AD59" s="86"/>
      <c r="AE59" s="86"/>
      <c r="AF59" s="86"/>
      <c r="AG59" s="1"/>
      <c r="AH59" s="1"/>
      <c r="AI59" s="1"/>
      <c r="AJ59" s="1"/>
      <c r="AK59" s="1"/>
      <c r="AL59" s="1"/>
      <c r="AM59" s="1"/>
      <c r="AN59" s="1"/>
      <c r="AO59" s="1"/>
      <c r="AP59" s="1"/>
      <c r="AQ59" s="1"/>
      <c r="AR59" s="1"/>
      <c r="AS59" s="1"/>
      <c r="AT59" s="1"/>
      <c r="AU59" s="15"/>
      <c r="AV59" s="17" t="s">
        <v>693</v>
      </c>
      <c r="AW59" s="16"/>
      <c r="AX59" s="17" t="s">
        <v>92</v>
      </c>
      <c r="AY59" s="17" t="s">
        <v>776</v>
      </c>
    </row>
    <row r="60" spans="16:51">
      <c r="P60" s="1" t="s">
        <v>800</v>
      </c>
      <c r="Q60" s="1" t="s">
        <v>770</v>
      </c>
      <c r="R60" s="1"/>
      <c r="S60" s="85"/>
      <c r="T60" s="86"/>
      <c r="U60" s="86"/>
      <c r="V60" s="86"/>
      <c r="W60" s="86" t="s">
        <v>800</v>
      </c>
      <c r="X60" s="86" t="s">
        <v>770</v>
      </c>
      <c r="Y60" s="85"/>
      <c r="Z60" s="86"/>
      <c r="AA60" s="86" t="s">
        <v>815</v>
      </c>
      <c r="AB60" s="91" t="s">
        <v>816</v>
      </c>
      <c r="AC60" s="86"/>
      <c r="AD60" s="86"/>
      <c r="AE60" s="86"/>
      <c r="AF60" s="86"/>
      <c r="AG60" s="1"/>
      <c r="AH60" s="1"/>
      <c r="AI60" s="1"/>
      <c r="AJ60" s="1"/>
      <c r="AK60" s="1"/>
      <c r="AL60" s="1"/>
      <c r="AM60" s="1"/>
      <c r="AN60" s="1"/>
      <c r="AO60" s="1"/>
      <c r="AP60" s="1"/>
      <c r="AQ60" s="1"/>
      <c r="AR60" s="1"/>
      <c r="AS60" s="1"/>
      <c r="AT60" s="1"/>
      <c r="AU60" s="1"/>
      <c r="AV60" s="19" t="s">
        <v>683</v>
      </c>
      <c r="AW60" s="16"/>
      <c r="AX60" s="17" t="s">
        <v>98</v>
      </c>
      <c r="AY60" s="17"/>
    </row>
    <row r="61" spans="16:51">
      <c r="P61" s="1" t="s">
        <v>595</v>
      </c>
      <c r="Q61" s="1" t="s">
        <v>711</v>
      </c>
      <c r="R61" s="1"/>
      <c r="S61" s="85"/>
      <c r="T61" s="86"/>
      <c r="U61" s="86"/>
      <c r="V61" s="86"/>
      <c r="W61" s="86" t="s">
        <v>595</v>
      </c>
      <c r="X61" s="86" t="s">
        <v>711</v>
      </c>
      <c r="Y61" s="85"/>
      <c r="Z61" s="86"/>
      <c r="AA61" s="86" t="s">
        <v>807</v>
      </c>
      <c r="AB61" s="91" t="s">
        <v>407</v>
      </c>
      <c r="AC61" s="86"/>
      <c r="AD61" s="86"/>
      <c r="AE61" s="86"/>
      <c r="AF61" s="86"/>
      <c r="AG61" s="1"/>
      <c r="AH61" s="1"/>
      <c r="AI61" s="1"/>
      <c r="AJ61" s="1"/>
      <c r="AK61" s="1"/>
      <c r="AL61" s="1"/>
      <c r="AM61" s="1"/>
      <c r="AN61" s="1"/>
      <c r="AO61" s="1"/>
      <c r="AP61" s="1"/>
      <c r="AQ61" s="1"/>
      <c r="AR61" s="1"/>
      <c r="AS61" s="1"/>
      <c r="AT61" s="1"/>
      <c r="AU61" s="1"/>
      <c r="AV61" s="17" t="s">
        <v>591</v>
      </c>
      <c r="AW61" s="16"/>
      <c r="AX61" s="17" t="s">
        <v>663</v>
      </c>
      <c r="AY61" s="17"/>
    </row>
    <row r="62" spans="16:51">
      <c r="P62" s="1" t="s">
        <v>756</v>
      </c>
      <c r="Q62" s="1" t="s">
        <v>727</v>
      </c>
      <c r="R62" s="1"/>
      <c r="S62" s="85"/>
      <c r="T62" s="86"/>
      <c r="U62" s="86"/>
      <c r="V62" s="86"/>
      <c r="W62" s="86" t="s">
        <v>756</v>
      </c>
      <c r="X62" s="86" t="s">
        <v>727</v>
      </c>
      <c r="Y62" s="85"/>
      <c r="Z62" s="86"/>
      <c r="AA62" s="86" t="s">
        <v>817</v>
      </c>
      <c r="AB62" s="91" t="s">
        <v>408</v>
      </c>
      <c r="AC62" s="86"/>
      <c r="AD62" s="86"/>
      <c r="AE62" s="86"/>
      <c r="AF62" s="86"/>
      <c r="AG62" s="1"/>
      <c r="AH62" s="1"/>
      <c r="AI62" s="1"/>
      <c r="AJ62" s="1"/>
      <c r="AK62" s="1"/>
      <c r="AL62" s="1"/>
      <c r="AM62" s="1"/>
      <c r="AN62" s="1"/>
      <c r="AO62" s="1"/>
      <c r="AP62" s="1"/>
      <c r="AQ62" s="1"/>
      <c r="AR62" s="1"/>
      <c r="AS62" s="1"/>
      <c r="AT62" s="1"/>
      <c r="AU62" s="1"/>
      <c r="AV62" s="19" t="s">
        <v>654</v>
      </c>
      <c r="AW62" s="16"/>
      <c r="AX62" s="17" t="s">
        <v>672</v>
      </c>
      <c r="AY62" s="17"/>
    </row>
    <row r="63" spans="16:51">
      <c r="P63" s="1" t="s">
        <v>608</v>
      </c>
      <c r="Q63" s="1" t="s">
        <v>407</v>
      </c>
      <c r="R63" s="1"/>
      <c r="S63" s="85"/>
      <c r="T63" s="86"/>
      <c r="U63" s="86"/>
      <c r="V63" s="86"/>
      <c r="W63" s="86" t="s">
        <v>608</v>
      </c>
      <c r="X63" s="86" t="s">
        <v>407</v>
      </c>
      <c r="Y63" s="85"/>
      <c r="Z63" s="86"/>
      <c r="AA63" s="86" t="s">
        <v>818</v>
      </c>
      <c r="AB63" s="91"/>
      <c r="AC63" s="86"/>
      <c r="AD63" s="86"/>
      <c r="AE63" s="86"/>
      <c r="AF63" s="86"/>
      <c r="AG63" s="1"/>
      <c r="AH63" s="1"/>
      <c r="AI63" s="1"/>
      <c r="AJ63" s="1"/>
      <c r="AK63" s="1"/>
      <c r="AL63" s="1"/>
      <c r="AM63" s="1"/>
      <c r="AN63" s="1"/>
      <c r="AO63" s="1"/>
      <c r="AP63" s="1"/>
      <c r="AQ63" s="1"/>
      <c r="AR63" s="1"/>
      <c r="AS63" s="1"/>
      <c r="AT63" s="1"/>
      <c r="AU63" s="15"/>
      <c r="AV63" s="19" t="s">
        <v>714</v>
      </c>
      <c r="AW63" s="16"/>
      <c r="AX63" s="19" t="s">
        <v>680</v>
      </c>
      <c r="AY63" s="17"/>
    </row>
    <row r="64" spans="16:51">
      <c r="P64" s="1"/>
      <c r="Q64" s="1" t="s">
        <v>776</v>
      </c>
      <c r="R64" s="1"/>
      <c r="S64" s="85"/>
      <c r="T64" s="86"/>
      <c r="U64" s="86"/>
      <c r="V64" s="86"/>
      <c r="W64" s="86"/>
      <c r="X64" s="86" t="s">
        <v>776</v>
      </c>
      <c r="Y64" s="85"/>
      <c r="Z64" s="86"/>
      <c r="AA64" s="86" t="s">
        <v>698</v>
      </c>
      <c r="AB64" s="91"/>
      <c r="AC64" s="86"/>
      <c r="AD64" s="86"/>
      <c r="AE64" s="86"/>
      <c r="AF64" s="86"/>
      <c r="AG64" s="1"/>
      <c r="AH64" s="1"/>
      <c r="AI64" s="1"/>
      <c r="AJ64" s="1"/>
      <c r="AK64" s="1"/>
      <c r="AL64" s="1"/>
      <c r="AM64" s="1"/>
      <c r="AN64" s="1"/>
      <c r="AO64" s="1"/>
      <c r="AP64" s="1"/>
      <c r="AQ64" s="1"/>
      <c r="AR64" s="1"/>
      <c r="AS64" s="1"/>
      <c r="AT64" s="1"/>
      <c r="AU64" s="1"/>
      <c r="AV64" s="17" t="s">
        <v>398</v>
      </c>
      <c r="AW64" s="16"/>
      <c r="AX64" s="17" t="s">
        <v>399</v>
      </c>
      <c r="AY64" s="17"/>
    </row>
    <row r="65" spans="17:51">
      <c r="Q65" s="1" t="s">
        <v>408</v>
      </c>
      <c r="R65" s="1"/>
      <c r="S65" s="85"/>
      <c r="T65" s="86"/>
      <c r="U65" s="86"/>
      <c r="V65" s="86"/>
      <c r="W65" s="86"/>
      <c r="X65" s="86" t="s">
        <v>408</v>
      </c>
      <c r="Y65" s="85"/>
      <c r="Z65" s="86"/>
      <c r="AA65" s="86" t="s">
        <v>819</v>
      </c>
      <c r="AB65" s="91"/>
      <c r="AC65" s="86"/>
      <c r="AD65" s="86"/>
      <c r="AE65" s="86"/>
      <c r="AF65" s="86"/>
      <c r="AG65" s="1"/>
      <c r="AH65" s="1"/>
      <c r="AI65" s="1"/>
      <c r="AJ65" s="1"/>
      <c r="AK65" s="1"/>
      <c r="AL65" s="1"/>
      <c r="AM65" s="1"/>
      <c r="AN65" s="1"/>
      <c r="AO65" s="1"/>
      <c r="AP65" s="1"/>
      <c r="AQ65" s="1"/>
      <c r="AR65" s="1"/>
      <c r="AS65" s="1"/>
      <c r="AT65" s="1"/>
      <c r="AU65" s="1"/>
      <c r="AV65" s="16" t="s">
        <v>692</v>
      </c>
      <c r="AW65" s="16"/>
      <c r="AX65" s="19" t="s">
        <v>644</v>
      </c>
      <c r="AY65" s="17"/>
    </row>
    <row r="66" spans="17:51" ht="17.100000000000001" thickBot="1">
      <c r="Q66" s="1" t="s">
        <v>820</v>
      </c>
      <c r="R66" s="1"/>
      <c r="S66" s="89"/>
      <c r="T66" s="90"/>
      <c r="U66" s="90"/>
      <c r="V66" s="90"/>
      <c r="W66" s="90"/>
      <c r="X66" s="90" t="s">
        <v>820</v>
      </c>
      <c r="Y66" s="85"/>
      <c r="Z66" s="86"/>
      <c r="AA66" s="86" t="s">
        <v>821</v>
      </c>
      <c r="AB66" s="91"/>
      <c r="AC66" s="86"/>
      <c r="AD66" s="86"/>
      <c r="AE66" s="86"/>
      <c r="AF66" s="86"/>
      <c r="AG66" s="1"/>
      <c r="AH66" s="1"/>
      <c r="AI66" s="1"/>
      <c r="AJ66" s="1"/>
      <c r="AK66" s="1"/>
      <c r="AL66" s="1"/>
      <c r="AM66" s="1"/>
      <c r="AN66" s="1"/>
      <c r="AO66" s="1"/>
      <c r="AP66" s="1"/>
      <c r="AQ66" s="1"/>
      <c r="AR66" s="1"/>
      <c r="AS66" s="1"/>
      <c r="AT66" s="1"/>
      <c r="AU66" s="1"/>
      <c r="AV66" s="18" t="s">
        <v>645</v>
      </c>
      <c r="AW66" s="16"/>
      <c r="AX66" s="17" t="s">
        <v>650</v>
      </c>
      <c r="AY66" s="17"/>
    </row>
    <row r="67" spans="17:51">
      <c r="Q67" s="1"/>
      <c r="R67" s="1"/>
      <c r="S67" s="86"/>
      <c r="T67" s="86"/>
      <c r="U67" s="86"/>
      <c r="V67" s="86"/>
      <c r="W67" s="86"/>
      <c r="X67" s="86"/>
      <c r="Y67" s="85"/>
      <c r="Z67" s="86"/>
      <c r="AA67" s="86" t="s">
        <v>822</v>
      </c>
      <c r="AB67" s="91"/>
      <c r="AC67" s="86"/>
      <c r="AD67" s="86"/>
      <c r="AE67" s="86"/>
      <c r="AF67" s="86"/>
      <c r="AG67" s="1"/>
      <c r="AH67" s="1"/>
      <c r="AI67" s="1"/>
      <c r="AJ67" s="1"/>
      <c r="AK67" s="1"/>
      <c r="AL67" s="1"/>
      <c r="AM67" s="1"/>
      <c r="AN67" s="1"/>
      <c r="AO67" s="1"/>
      <c r="AP67" s="1"/>
      <c r="AQ67" s="1"/>
      <c r="AR67" s="1"/>
      <c r="AS67" s="1"/>
      <c r="AT67" s="1"/>
      <c r="AU67" s="1"/>
      <c r="AV67" s="19" t="s">
        <v>739</v>
      </c>
      <c r="AW67" s="16"/>
      <c r="AX67" s="17" t="s">
        <v>729</v>
      </c>
      <c r="AY67" s="17"/>
    </row>
    <row r="68" spans="17:51">
      <c r="Q68" s="1"/>
      <c r="R68" s="1"/>
      <c r="S68" s="86"/>
      <c r="T68" s="86"/>
      <c r="U68" s="86"/>
      <c r="V68" s="86"/>
      <c r="W68" s="86"/>
      <c r="X68" s="86"/>
      <c r="Y68" s="85"/>
      <c r="Z68" s="86"/>
      <c r="AA68" s="86" t="s">
        <v>823</v>
      </c>
      <c r="AB68" s="91"/>
      <c r="AC68" s="86"/>
      <c r="AD68" s="86"/>
      <c r="AE68" s="86"/>
      <c r="AF68" s="86"/>
      <c r="AG68" s="1"/>
      <c r="AH68" s="1"/>
      <c r="AI68" s="1"/>
      <c r="AJ68" s="1"/>
      <c r="AK68" s="1"/>
      <c r="AL68" s="1"/>
      <c r="AM68" s="1"/>
      <c r="AN68" s="1"/>
      <c r="AO68" s="1"/>
      <c r="AP68" s="1"/>
      <c r="AQ68" s="1"/>
      <c r="AR68" s="1"/>
      <c r="AS68" s="1"/>
      <c r="AT68" s="1"/>
      <c r="AU68" s="1"/>
      <c r="AV68" s="16" t="s">
        <v>707</v>
      </c>
      <c r="AW68" s="16"/>
      <c r="AX68" s="17" t="s">
        <v>662</v>
      </c>
      <c r="AY68" s="17"/>
    </row>
    <row r="69" spans="17:51" ht="17.100000000000001" thickBot="1">
      <c r="Q69" s="1"/>
      <c r="R69" s="1"/>
      <c r="S69" s="86"/>
      <c r="T69" s="86"/>
      <c r="U69" s="86"/>
      <c r="V69" s="86"/>
      <c r="W69" s="86"/>
      <c r="X69" s="86"/>
      <c r="Y69" s="89"/>
      <c r="Z69" s="90"/>
      <c r="AA69" s="90" t="s">
        <v>783</v>
      </c>
      <c r="AB69" s="92"/>
      <c r="AC69" s="86"/>
      <c r="AD69" s="86"/>
      <c r="AE69" s="86"/>
      <c r="AF69" s="86"/>
      <c r="AG69" s="1"/>
      <c r="AH69" s="1"/>
      <c r="AI69" s="1"/>
      <c r="AJ69" s="1"/>
      <c r="AK69" s="1"/>
      <c r="AL69" s="1"/>
      <c r="AM69" s="1"/>
      <c r="AN69" s="1"/>
      <c r="AO69" s="1"/>
      <c r="AP69" s="1"/>
      <c r="AQ69" s="1"/>
      <c r="AR69" s="1"/>
      <c r="AS69" s="1"/>
      <c r="AT69" s="1"/>
      <c r="AU69" s="1"/>
      <c r="AV69" s="17" t="s">
        <v>666</v>
      </c>
      <c r="AW69" s="16"/>
      <c r="AX69" s="17" t="s">
        <v>574</v>
      </c>
      <c r="AY69" s="17"/>
    </row>
    <row r="70" spans="17:51">
      <c r="Q70" s="1"/>
      <c r="R70" s="1"/>
      <c r="S70" s="86"/>
      <c r="T70" s="86"/>
      <c r="U70" s="86"/>
      <c r="V70" s="86"/>
      <c r="W70" s="86"/>
      <c r="X70" s="86"/>
      <c r="Y70" s="86"/>
      <c r="Z70" s="86"/>
      <c r="AA70" s="86"/>
      <c r="AB70" s="86"/>
      <c r="AC70" s="86"/>
      <c r="AD70" s="86"/>
      <c r="AE70" s="86"/>
      <c r="AF70" s="86"/>
      <c r="AG70" s="1"/>
      <c r="AH70" s="1"/>
      <c r="AI70" s="1"/>
      <c r="AJ70" s="1"/>
      <c r="AK70" s="1"/>
      <c r="AL70" s="1"/>
      <c r="AM70" s="1"/>
      <c r="AN70" s="1"/>
      <c r="AO70" s="1"/>
      <c r="AP70" s="1"/>
      <c r="AQ70" s="1"/>
      <c r="AR70" s="1"/>
      <c r="AS70" s="1"/>
      <c r="AT70" s="1"/>
      <c r="AU70" s="1"/>
      <c r="AV70" s="19" t="s">
        <v>753</v>
      </c>
      <c r="AW70" s="20"/>
      <c r="AX70" s="17" t="s">
        <v>735</v>
      </c>
      <c r="AY70" s="17"/>
    </row>
    <row r="71" spans="17:51">
      <c r="Q71" s="1"/>
      <c r="R71" s="1"/>
      <c r="S71" s="86"/>
      <c r="T71" s="86"/>
      <c r="U71" s="86"/>
      <c r="V71" s="86"/>
      <c r="W71" s="86"/>
      <c r="X71" s="86"/>
      <c r="Y71" s="86"/>
      <c r="Z71" s="86"/>
      <c r="AA71" s="86"/>
      <c r="AB71" s="86"/>
      <c r="AC71" s="86"/>
      <c r="AD71" s="86"/>
      <c r="AE71" s="86"/>
      <c r="AF71" s="86"/>
      <c r="AG71" s="1"/>
      <c r="AH71" s="1"/>
      <c r="AI71" s="1"/>
      <c r="AJ71" s="1"/>
      <c r="AK71" s="1"/>
      <c r="AL71" s="1"/>
      <c r="AM71" s="1"/>
      <c r="AN71" s="1"/>
      <c r="AO71" s="1"/>
      <c r="AP71" s="1"/>
      <c r="AQ71" s="1"/>
      <c r="AR71" s="1"/>
      <c r="AS71" s="1"/>
      <c r="AT71" s="1"/>
      <c r="AU71" s="1"/>
      <c r="AV71" s="17" t="s">
        <v>400</v>
      </c>
      <c r="AW71" s="1"/>
      <c r="AX71" s="17" t="s">
        <v>679</v>
      </c>
      <c r="AY71" s="17"/>
    </row>
    <row r="72" spans="17:51">
      <c r="Q72" s="1"/>
      <c r="R72" s="1"/>
      <c r="S72" s="86"/>
      <c r="T72" s="86"/>
      <c r="U72" s="86"/>
      <c r="V72" s="86"/>
      <c r="W72" s="86"/>
      <c r="X72" s="86"/>
      <c r="Y72" s="86"/>
      <c r="Z72" s="86"/>
      <c r="AA72" s="86"/>
      <c r="AB72" s="86"/>
      <c r="AC72" s="86"/>
      <c r="AD72" s="86"/>
      <c r="AE72" s="86"/>
      <c r="AF72" s="86"/>
      <c r="AG72" s="1"/>
      <c r="AH72" s="1"/>
      <c r="AI72" s="1"/>
      <c r="AJ72" s="1"/>
      <c r="AK72" s="1"/>
      <c r="AL72" s="1"/>
      <c r="AM72" s="1"/>
      <c r="AN72" s="1"/>
      <c r="AO72" s="1"/>
      <c r="AP72" s="1"/>
      <c r="AQ72" s="1"/>
      <c r="AR72" s="1"/>
      <c r="AS72" s="1"/>
      <c r="AT72" s="1"/>
      <c r="AU72" s="1"/>
      <c r="AV72" s="17" t="s">
        <v>682</v>
      </c>
      <c r="AW72" s="1"/>
      <c r="AX72" s="19" t="s">
        <v>743</v>
      </c>
      <c r="AY72" s="17"/>
    </row>
    <row r="73" spans="17:51">
      <c r="Q73" s="1"/>
      <c r="R73" s="1"/>
      <c r="S73" s="86"/>
      <c r="T73" s="86"/>
      <c r="U73" s="86"/>
      <c r="V73" s="86"/>
      <c r="W73" s="86"/>
      <c r="X73" s="86"/>
      <c r="Y73" s="86"/>
      <c r="Z73" s="86"/>
      <c r="AA73" s="86"/>
      <c r="AB73" s="86"/>
      <c r="AC73" s="86"/>
      <c r="AD73" s="86"/>
      <c r="AE73" s="86"/>
      <c r="AF73" s="86"/>
      <c r="AG73" s="1"/>
      <c r="AH73" s="1"/>
      <c r="AI73" s="1"/>
      <c r="AJ73" s="1"/>
      <c r="AK73" s="1"/>
      <c r="AL73" s="1"/>
      <c r="AM73" s="1"/>
      <c r="AN73" s="1"/>
      <c r="AO73" s="1"/>
      <c r="AP73" s="1"/>
      <c r="AQ73" s="1"/>
      <c r="AR73" s="1"/>
      <c r="AS73" s="1"/>
      <c r="AT73" s="1"/>
      <c r="AU73" s="1"/>
      <c r="AV73" s="19" t="s">
        <v>650</v>
      </c>
      <c r="AW73" s="1"/>
      <c r="AX73" s="17" t="s">
        <v>748</v>
      </c>
      <c r="AY73" s="17"/>
    </row>
    <row r="74" spans="17:51">
      <c r="Q74" s="1"/>
      <c r="R74" s="1"/>
      <c r="S74" s="86"/>
      <c r="T74" s="86"/>
      <c r="U74" s="86"/>
      <c r="V74" s="86"/>
      <c r="W74" s="86"/>
      <c r="X74" s="86"/>
      <c r="Y74" s="86"/>
      <c r="Z74" s="86"/>
      <c r="AA74" s="86"/>
      <c r="AB74" s="86"/>
      <c r="AC74" s="86"/>
      <c r="AD74" s="86"/>
      <c r="AE74" s="86"/>
      <c r="AF74" s="86"/>
      <c r="AG74" s="1"/>
      <c r="AH74" s="1"/>
      <c r="AI74" s="1"/>
      <c r="AJ74" s="1"/>
      <c r="AK74" s="1"/>
      <c r="AL74" s="1"/>
      <c r="AM74" s="1"/>
      <c r="AN74" s="1"/>
      <c r="AO74" s="1"/>
      <c r="AP74" s="1"/>
      <c r="AQ74" s="1"/>
      <c r="AR74" s="1"/>
      <c r="AS74" s="1"/>
      <c r="AT74" s="1"/>
      <c r="AU74" s="1"/>
      <c r="AV74" s="16" t="s">
        <v>719</v>
      </c>
      <c r="AW74" s="1"/>
      <c r="AX74" s="19" t="s">
        <v>411</v>
      </c>
      <c r="AY74" s="17"/>
    </row>
    <row r="75" spans="17:51">
      <c r="Q75" s="1"/>
      <c r="R75" s="1"/>
      <c r="S75" s="86"/>
      <c r="T75" s="86"/>
      <c r="U75" s="86"/>
      <c r="V75" s="86"/>
      <c r="W75" s="86"/>
      <c r="X75" s="86"/>
      <c r="Y75" s="86"/>
      <c r="Z75" s="86"/>
      <c r="AA75" s="86"/>
      <c r="AB75" s="86"/>
      <c r="AC75" s="86"/>
      <c r="AD75" s="86"/>
      <c r="AE75" s="86"/>
      <c r="AF75" s="86"/>
      <c r="AG75" s="1"/>
      <c r="AH75" s="1"/>
      <c r="AI75" s="1"/>
      <c r="AJ75" s="1"/>
      <c r="AK75" s="1"/>
      <c r="AL75" s="1"/>
      <c r="AM75" s="1"/>
      <c r="AN75" s="1"/>
      <c r="AO75" s="1"/>
      <c r="AP75" s="1"/>
      <c r="AQ75" s="1"/>
      <c r="AR75" s="1"/>
      <c r="AS75" s="1"/>
      <c r="AT75" s="1"/>
      <c r="AU75" s="1"/>
      <c r="AV75" s="18" t="s">
        <v>728</v>
      </c>
      <c r="AW75" s="1"/>
      <c r="AX75" s="17" t="s">
        <v>681</v>
      </c>
      <c r="AY75" s="17"/>
    </row>
    <row r="76" spans="17:51">
      <c r="Q76" s="1"/>
      <c r="R76" s="1"/>
      <c r="S76" s="86"/>
      <c r="T76" s="86"/>
      <c r="U76" s="86"/>
      <c r="V76" s="86"/>
      <c r="W76" s="86"/>
      <c r="X76" s="86"/>
      <c r="Y76" s="86"/>
      <c r="Z76" s="86"/>
      <c r="AA76" s="86"/>
      <c r="AB76" s="86"/>
      <c r="AC76" s="86"/>
      <c r="AD76" s="86"/>
      <c r="AE76" s="86"/>
      <c r="AF76" s="86"/>
      <c r="AG76" s="1"/>
      <c r="AH76" s="1"/>
      <c r="AI76" s="1"/>
      <c r="AJ76" s="1"/>
      <c r="AK76" s="1"/>
      <c r="AL76" s="1"/>
      <c r="AM76" s="1"/>
      <c r="AN76" s="1"/>
      <c r="AO76" s="1"/>
      <c r="AP76" s="1"/>
      <c r="AQ76" s="1"/>
      <c r="AR76" s="1"/>
      <c r="AS76" s="1"/>
      <c r="AT76" s="1"/>
      <c r="AU76" s="1"/>
      <c r="AV76" s="16" t="s">
        <v>731</v>
      </c>
      <c r="AW76" s="1"/>
      <c r="AX76" s="17" t="s">
        <v>702</v>
      </c>
      <c r="AY76" s="17"/>
    </row>
    <row r="77" spans="17:51">
      <c r="Q77" s="1"/>
      <c r="R77" s="1"/>
      <c r="S77" s="86"/>
      <c r="T77" s="86"/>
      <c r="U77" s="86"/>
      <c r="V77" s="86"/>
      <c r="W77" s="86"/>
      <c r="X77" s="86"/>
      <c r="Y77" s="86"/>
      <c r="Z77" s="86"/>
      <c r="AA77" s="86"/>
      <c r="AB77" s="86"/>
      <c r="AC77" s="86"/>
      <c r="AD77" s="86"/>
      <c r="AE77" s="86"/>
      <c r="AF77" s="86"/>
      <c r="AG77" s="1"/>
      <c r="AH77" s="1"/>
      <c r="AI77" s="1"/>
      <c r="AJ77" s="1"/>
      <c r="AK77" s="1"/>
      <c r="AL77" s="1"/>
      <c r="AM77" s="1"/>
      <c r="AN77" s="1"/>
      <c r="AO77" s="1"/>
      <c r="AP77" s="1"/>
      <c r="AQ77" s="1"/>
      <c r="AR77" s="1"/>
      <c r="AS77" s="1"/>
      <c r="AT77" s="1"/>
      <c r="AU77" s="1"/>
      <c r="AV77" s="19" t="s">
        <v>761</v>
      </c>
      <c r="AW77" s="1"/>
      <c r="AX77" s="19" t="s">
        <v>691</v>
      </c>
      <c r="AY77" s="17"/>
    </row>
    <row r="78" spans="17:51">
      <c r="Q78" s="1"/>
      <c r="R78" s="1"/>
      <c r="S78" s="86"/>
      <c r="T78" s="86"/>
      <c r="U78" s="86"/>
      <c r="V78" s="86"/>
      <c r="W78" s="86"/>
      <c r="X78" s="86"/>
      <c r="Y78" s="86"/>
      <c r="Z78" s="86"/>
      <c r="AA78" s="86"/>
      <c r="AB78" s="86"/>
      <c r="AC78" s="86"/>
      <c r="AD78" s="86"/>
      <c r="AE78" s="86"/>
      <c r="AF78" s="86"/>
      <c r="AG78" s="1"/>
      <c r="AH78" s="1"/>
      <c r="AI78" s="1"/>
      <c r="AJ78" s="1"/>
      <c r="AK78" s="1"/>
      <c r="AL78" s="1"/>
      <c r="AM78" s="1"/>
      <c r="AN78" s="1"/>
      <c r="AO78" s="1"/>
      <c r="AP78" s="1"/>
      <c r="AQ78" s="1"/>
      <c r="AR78" s="1"/>
      <c r="AS78" s="1"/>
      <c r="AT78" s="1"/>
      <c r="AU78" s="1"/>
      <c r="AV78" s="19" t="s">
        <v>411</v>
      </c>
      <c r="AW78" s="1"/>
      <c r="AX78" s="19" t="s">
        <v>717</v>
      </c>
      <c r="AY78" s="17"/>
    </row>
    <row r="79" spans="17:51">
      <c r="Q79" s="1"/>
      <c r="R79" s="1"/>
      <c r="S79" s="86"/>
      <c r="T79" s="86"/>
      <c r="U79" s="86"/>
      <c r="V79" s="86"/>
      <c r="W79" s="86"/>
      <c r="X79" s="86"/>
      <c r="Y79" s="86"/>
      <c r="Z79" s="86"/>
      <c r="AA79" s="86"/>
      <c r="AB79" s="86"/>
      <c r="AC79" s="86"/>
      <c r="AD79" s="86"/>
      <c r="AE79" s="86"/>
      <c r="AF79" s="86"/>
      <c r="AG79" s="1"/>
      <c r="AH79" s="1"/>
      <c r="AI79" s="1"/>
      <c r="AJ79" s="1"/>
      <c r="AK79" s="1"/>
      <c r="AL79" s="1"/>
      <c r="AM79" s="1"/>
      <c r="AN79" s="1"/>
      <c r="AO79" s="1"/>
      <c r="AP79" s="1"/>
      <c r="AQ79" s="1"/>
      <c r="AR79" s="1"/>
      <c r="AS79" s="1"/>
      <c r="AT79" s="1"/>
      <c r="AU79" s="1"/>
      <c r="AV79" s="17" t="s">
        <v>681</v>
      </c>
      <c r="AW79" s="1"/>
      <c r="AX79" s="17" t="s">
        <v>706</v>
      </c>
      <c r="AY79" s="17"/>
    </row>
    <row r="80" spans="17:51">
      <c r="Q80" s="1"/>
      <c r="R80" s="1"/>
      <c r="S80" s="86"/>
      <c r="T80" s="86"/>
      <c r="U80" s="86"/>
      <c r="V80" s="86"/>
      <c r="W80" s="86"/>
      <c r="X80" s="86"/>
      <c r="Y80" s="86"/>
      <c r="Z80" s="86"/>
      <c r="AA80" s="86"/>
      <c r="AB80" s="86"/>
      <c r="AC80" s="86"/>
      <c r="AD80" s="86"/>
      <c r="AE80" s="86"/>
      <c r="AF80" s="86"/>
      <c r="AG80" s="1"/>
      <c r="AH80" s="1"/>
      <c r="AI80" s="1"/>
      <c r="AJ80" s="1"/>
      <c r="AK80" s="1"/>
      <c r="AL80" s="1"/>
      <c r="AM80" s="1"/>
      <c r="AN80" s="1"/>
      <c r="AO80" s="1"/>
      <c r="AP80" s="1"/>
      <c r="AQ80" s="1"/>
      <c r="AR80" s="1"/>
      <c r="AS80" s="1"/>
      <c r="AT80" s="1"/>
      <c r="AU80" s="1"/>
      <c r="AV80" s="18" t="s">
        <v>736</v>
      </c>
      <c r="AW80" s="1"/>
      <c r="AX80" s="17" t="s">
        <v>759</v>
      </c>
      <c r="AY80" s="17"/>
    </row>
    <row r="81" spans="19:51">
      <c r="S81" s="86"/>
      <c r="T81" s="86"/>
      <c r="U81" s="86"/>
      <c r="V81" s="86"/>
      <c r="W81" s="86"/>
      <c r="X81" s="86"/>
      <c r="Y81" s="86"/>
      <c r="Z81" s="86"/>
      <c r="AA81" s="86"/>
      <c r="AB81" s="86"/>
      <c r="AC81" s="86"/>
      <c r="AD81" s="86"/>
      <c r="AE81" s="86"/>
      <c r="AF81" s="86"/>
      <c r="AG81" s="1"/>
      <c r="AH81" s="1"/>
      <c r="AI81" s="1"/>
      <c r="AJ81" s="1"/>
      <c r="AK81" s="1"/>
      <c r="AL81" s="1"/>
      <c r="AM81" s="1"/>
      <c r="AN81" s="1"/>
      <c r="AO81" s="1"/>
      <c r="AP81" s="1"/>
      <c r="AQ81" s="1"/>
      <c r="AR81" s="1"/>
      <c r="AS81" s="1"/>
      <c r="AT81" s="1"/>
      <c r="AU81" s="1"/>
      <c r="AV81" s="19" t="s">
        <v>752</v>
      </c>
      <c r="AW81" s="1"/>
      <c r="AX81" s="19" t="s">
        <v>697</v>
      </c>
      <c r="AY81" s="19"/>
    </row>
    <row r="82" spans="19:51">
      <c r="S82" s="86"/>
      <c r="T82" s="86"/>
      <c r="U82" s="86"/>
      <c r="V82" s="86"/>
      <c r="W82" s="86"/>
      <c r="X82" s="86"/>
      <c r="Y82" s="86"/>
      <c r="Z82" s="86"/>
      <c r="AA82" s="86"/>
      <c r="AB82" s="86"/>
      <c r="AC82" s="86"/>
      <c r="AD82" s="86"/>
      <c r="AE82" s="86"/>
      <c r="AF82" s="86"/>
      <c r="AG82" s="1"/>
      <c r="AH82" s="1"/>
      <c r="AI82" s="1"/>
      <c r="AJ82" s="1"/>
      <c r="AK82" s="1"/>
      <c r="AL82" s="1"/>
      <c r="AM82" s="1"/>
      <c r="AN82" s="1"/>
      <c r="AO82" s="1"/>
      <c r="AP82" s="1"/>
      <c r="AQ82" s="1"/>
      <c r="AR82" s="1"/>
      <c r="AS82" s="1"/>
      <c r="AT82" s="1"/>
      <c r="AU82" s="1"/>
      <c r="AV82" s="16" t="s">
        <v>744</v>
      </c>
      <c r="AW82" s="1"/>
      <c r="AX82" s="17" t="s">
        <v>703</v>
      </c>
      <c r="AY82" s="17"/>
    </row>
    <row r="83" spans="19:51">
      <c r="S83" s="86"/>
      <c r="T83" s="86"/>
      <c r="U83" s="86"/>
      <c r="V83" s="86"/>
      <c r="W83" s="86"/>
      <c r="X83" s="86"/>
      <c r="Y83" s="86"/>
      <c r="Z83" s="86"/>
      <c r="AA83" s="86"/>
      <c r="AB83" s="86"/>
      <c r="AC83" s="86"/>
      <c r="AD83" s="86"/>
      <c r="AE83" s="86"/>
      <c r="AF83" s="86"/>
      <c r="AG83" s="1"/>
      <c r="AH83" s="1"/>
      <c r="AI83" s="1"/>
      <c r="AJ83" s="1"/>
      <c r="AK83" s="1"/>
      <c r="AL83" s="1"/>
      <c r="AM83" s="1"/>
      <c r="AN83" s="1"/>
      <c r="AO83" s="1"/>
      <c r="AP83" s="1"/>
      <c r="AQ83" s="1"/>
      <c r="AR83" s="1"/>
      <c r="AS83" s="1"/>
      <c r="AT83" s="1"/>
      <c r="AU83" s="1"/>
      <c r="AV83" s="17" t="s">
        <v>403</v>
      </c>
      <c r="AW83" s="1"/>
      <c r="AX83" s="19" t="s">
        <v>770</v>
      </c>
      <c r="AY83" s="19"/>
    </row>
    <row r="84" spans="19:51">
      <c r="S84" s="86"/>
      <c r="T84" s="86"/>
      <c r="U84" s="86"/>
      <c r="V84" s="86"/>
      <c r="W84" s="86"/>
      <c r="X84" s="86"/>
      <c r="Y84" s="86"/>
      <c r="Z84" s="86"/>
      <c r="AA84" s="86"/>
      <c r="AB84" s="86"/>
      <c r="AC84" s="86"/>
      <c r="AD84" s="86"/>
      <c r="AE84" s="86"/>
      <c r="AF84" s="86"/>
      <c r="AG84" s="1"/>
      <c r="AH84" s="1"/>
      <c r="AI84" s="1"/>
      <c r="AJ84" s="1"/>
      <c r="AK84" s="1"/>
      <c r="AL84" s="1"/>
      <c r="AM84" s="1"/>
      <c r="AN84" s="1"/>
      <c r="AO84" s="1"/>
      <c r="AP84" s="1"/>
      <c r="AQ84" s="1"/>
      <c r="AR84" s="1"/>
      <c r="AS84" s="1"/>
      <c r="AT84" s="1"/>
      <c r="AU84" s="1"/>
      <c r="AV84" s="19" t="s">
        <v>749</v>
      </c>
      <c r="AW84" s="1"/>
      <c r="AX84" s="19" t="s">
        <v>711</v>
      </c>
      <c r="AY84" s="17"/>
    </row>
    <row r="85" spans="19:51">
      <c r="S85" s="86"/>
      <c r="T85" s="86"/>
      <c r="U85" s="86"/>
      <c r="V85" s="86"/>
      <c r="W85" s="86"/>
      <c r="X85" s="86"/>
      <c r="Y85" s="86"/>
      <c r="Z85" s="86"/>
      <c r="AA85" s="86"/>
      <c r="AB85" s="86"/>
      <c r="AC85" s="86"/>
      <c r="AD85" s="86"/>
      <c r="AE85" s="86"/>
      <c r="AF85" s="86"/>
      <c r="AG85" s="1"/>
      <c r="AH85" s="1"/>
      <c r="AI85" s="1"/>
      <c r="AJ85" s="1"/>
      <c r="AK85" s="1"/>
      <c r="AL85" s="1"/>
      <c r="AM85" s="1"/>
      <c r="AN85" s="1"/>
      <c r="AO85" s="1"/>
      <c r="AP85" s="1"/>
      <c r="AQ85" s="1"/>
      <c r="AR85" s="1"/>
      <c r="AS85" s="1"/>
      <c r="AT85" s="1"/>
      <c r="AU85" s="1"/>
      <c r="AV85" s="16" t="s">
        <v>595</v>
      </c>
      <c r="AW85" s="1"/>
      <c r="AX85" s="17" t="s">
        <v>727</v>
      </c>
      <c r="AY85" s="17"/>
    </row>
    <row r="86" spans="19:51">
      <c r="S86" s="86"/>
      <c r="T86" s="86"/>
      <c r="U86" s="86"/>
      <c r="V86" s="86"/>
      <c r="W86" s="86"/>
      <c r="X86" s="86"/>
      <c r="Y86" s="86"/>
      <c r="Z86" s="86"/>
      <c r="AA86" s="86"/>
      <c r="AB86" s="86"/>
      <c r="AC86" s="86"/>
      <c r="AD86" s="86"/>
      <c r="AE86" s="86"/>
      <c r="AF86" s="86"/>
      <c r="AG86" s="1"/>
      <c r="AH86" s="1"/>
      <c r="AI86" s="1"/>
      <c r="AJ86" s="1"/>
      <c r="AK86" s="1"/>
      <c r="AL86" s="1"/>
      <c r="AM86" s="1"/>
      <c r="AN86" s="1"/>
      <c r="AO86" s="1"/>
      <c r="AP86" s="1"/>
      <c r="AQ86" s="1"/>
      <c r="AR86" s="1"/>
      <c r="AS86" s="1"/>
      <c r="AT86" s="1"/>
      <c r="AU86" s="1"/>
      <c r="AV86" s="17" t="s">
        <v>756</v>
      </c>
      <c r="AW86" s="1"/>
      <c r="AX86" s="22" t="s">
        <v>776</v>
      </c>
      <c r="AY86" s="17"/>
    </row>
    <row r="87" spans="19:51">
      <c r="S87" s="86"/>
      <c r="T87" s="86"/>
      <c r="U87" s="86"/>
      <c r="V87" s="86"/>
      <c r="W87" s="86"/>
      <c r="X87" s="86"/>
      <c r="Y87" s="86"/>
      <c r="Z87" s="86"/>
      <c r="AA87" s="86"/>
      <c r="AB87" s="86"/>
      <c r="AC87" s="86"/>
      <c r="AD87" s="86"/>
      <c r="AE87" s="86"/>
      <c r="AF87" s="86"/>
      <c r="AG87" s="1"/>
      <c r="AH87" s="1"/>
      <c r="AI87" s="1"/>
      <c r="AJ87" s="1"/>
      <c r="AK87" s="1"/>
      <c r="AL87" s="1"/>
      <c r="AM87" s="1"/>
      <c r="AN87" s="1"/>
      <c r="AO87" s="1"/>
      <c r="AP87" s="1"/>
      <c r="AQ87" s="1"/>
      <c r="AR87" s="1"/>
      <c r="AS87" s="1"/>
      <c r="AT87" s="1"/>
      <c r="AU87" s="1"/>
      <c r="AV87" s="19" t="s">
        <v>718</v>
      </c>
      <c r="AW87" s="1"/>
      <c r="AX87" s="19" t="s">
        <v>408</v>
      </c>
      <c r="AY87" s="22"/>
    </row>
    <row r="88" spans="19:51">
      <c r="S88" s="86"/>
      <c r="T88" s="86"/>
      <c r="U88" s="86"/>
      <c r="V88" s="86"/>
      <c r="W88" s="86"/>
      <c r="X88" s="86"/>
      <c r="Y88" s="86"/>
      <c r="Z88" s="86"/>
      <c r="AA88" s="86"/>
      <c r="AB88" s="86"/>
      <c r="AC88" s="86"/>
      <c r="AD88" s="86"/>
      <c r="AE88" s="86"/>
      <c r="AF88" s="86"/>
      <c r="AG88" s="1"/>
      <c r="AH88" s="1"/>
      <c r="AI88" s="1"/>
      <c r="AJ88" s="1"/>
      <c r="AK88" s="1"/>
      <c r="AL88" s="1"/>
      <c r="AM88" s="1"/>
      <c r="AN88" s="1"/>
      <c r="AO88" s="1"/>
      <c r="AP88" s="1"/>
      <c r="AQ88" s="1"/>
      <c r="AR88" s="1"/>
      <c r="AS88" s="1"/>
      <c r="AT88" s="1"/>
      <c r="AU88" s="1"/>
      <c r="AV88" s="17" t="s">
        <v>730</v>
      </c>
      <c r="AW88" s="1"/>
      <c r="AX88" s="19"/>
      <c r="AY88" s="1"/>
    </row>
    <row r="89" spans="19:51">
      <c r="S89" s="86"/>
      <c r="T89" s="86"/>
      <c r="U89" s="86"/>
      <c r="V89" s="86"/>
      <c r="W89" s="86"/>
      <c r="X89" s="86"/>
      <c r="Y89" s="86"/>
      <c r="Z89" s="86"/>
      <c r="AA89" s="86"/>
      <c r="AB89" s="86"/>
      <c r="AC89" s="86"/>
      <c r="AD89" s="86"/>
      <c r="AE89" s="86"/>
      <c r="AF89" s="86"/>
      <c r="AG89" s="1"/>
      <c r="AH89" s="1"/>
      <c r="AI89" s="1"/>
      <c r="AJ89" s="1"/>
      <c r="AK89" s="1"/>
      <c r="AL89" s="1"/>
      <c r="AM89" s="1"/>
      <c r="AN89" s="1"/>
      <c r="AO89" s="1"/>
      <c r="AP89" s="1"/>
      <c r="AQ89" s="1"/>
      <c r="AR89" s="1"/>
      <c r="AS89" s="1"/>
      <c r="AT89" s="1"/>
      <c r="AU89" s="1"/>
      <c r="AV89" s="19"/>
      <c r="AW89" s="1"/>
      <c r="AX89" s="19"/>
      <c r="AY89" s="1"/>
    </row>
    <row r="90" spans="19:51">
      <c r="S90" s="86"/>
      <c r="T90" s="86"/>
      <c r="U90" s="86"/>
      <c r="V90" s="86"/>
      <c r="W90" s="86"/>
      <c r="X90" s="86"/>
      <c r="Y90" s="86"/>
      <c r="Z90" s="86"/>
      <c r="AA90" s="86"/>
      <c r="AB90" s="86"/>
      <c r="AC90" s="86"/>
      <c r="AD90" s="86"/>
      <c r="AE90" s="86"/>
      <c r="AF90" s="86"/>
      <c r="AG90" s="1"/>
      <c r="AH90" s="1"/>
      <c r="AI90" s="1"/>
      <c r="AJ90" s="1"/>
      <c r="AK90" s="1"/>
      <c r="AL90" s="1"/>
      <c r="AM90" s="1"/>
      <c r="AN90" s="1"/>
      <c r="AO90" s="1"/>
      <c r="AP90" s="1"/>
      <c r="AQ90" s="1"/>
      <c r="AR90" s="1"/>
      <c r="AS90" s="1"/>
      <c r="AT90" s="1"/>
      <c r="AU90" s="1"/>
      <c r="AV90" s="19"/>
      <c r="AW90" s="1"/>
      <c r="AX90" s="19"/>
      <c r="AY90" s="1"/>
    </row>
    <row r="91" spans="19:51">
      <c r="S91" s="86"/>
      <c r="T91" s="86"/>
      <c r="U91" s="86"/>
      <c r="V91" s="86"/>
      <c r="W91" s="86"/>
      <c r="X91" s="86"/>
      <c r="Y91" s="86"/>
      <c r="Z91" s="86"/>
      <c r="AA91" s="86"/>
      <c r="AB91" s="86"/>
      <c r="AC91" s="86"/>
      <c r="AD91" s="86"/>
      <c r="AE91" s="86"/>
      <c r="AF91" s="86"/>
      <c r="AG91" s="1"/>
      <c r="AH91" s="1"/>
      <c r="AI91" s="1"/>
      <c r="AJ91" s="1"/>
      <c r="AK91" s="1"/>
      <c r="AL91" s="1"/>
      <c r="AM91" s="1"/>
      <c r="AN91" s="1"/>
      <c r="AO91" s="1"/>
      <c r="AP91" s="1"/>
      <c r="AQ91" s="1"/>
      <c r="AR91" s="1"/>
      <c r="AS91" s="1"/>
      <c r="AT91" s="1"/>
      <c r="AU91" s="1"/>
      <c r="AV91" s="17"/>
      <c r="AW91" s="1"/>
      <c r="AX91" s="19"/>
      <c r="AY91" s="1"/>
    </row>
    <row r="92" spans="19:51">
      <c r="S92" s="86"/>
      <c r="T92" s="86"/>
      <c r="U92" s="86"/>
      <c r="V92" s="86"/>
      <c r="W92" s="86"/>
      <c r="X92" s="86"/>
      <c r="Y92" s="86"/>
      <c r="Z92" s="86"/>
      <c r="AA92" s="86"/>
      <c r="AB92" s="86"/>
      <c r="AC92" s="86"/>
      <c r="AD92" s="86"/>
      <c r="AE92" s="86"/>
      <c r="AF92" s="86"/>
      <c r="AG92" s="1"/>
      <c r="AH92" s="1"/>
      <c r="AI92" s="1"/>
      <c r="AJ92" s="1"/>
      <c r="AK92" s="1"/>
      <c r="AL92" s="1"/>
      <c r="AM92" s="1"/>
      <c r="AN92" s="1"/>
      <c r="AO92" s="1"/>
      <c r="AP92" s="1"/>
      <c r="AQ92" s="1"/>
      <c r="AR92" s="1"/>
      <c r="AS92" s="1"/>
      <c r="AT92" s="1"/>
      <c r="AU92" s="1"/>
      <c r="AV92" s="19"/>
      <c r="AW92" s="1"/>
      <c r="AX92" s="22"/>
      <c r="AY92" s="1"/>
    </row>
    <row r="93" spans="19:51">
      <c r="S93" s="86"/>
      <c r="T93" s="86"/>
      <c r="U93" s="86"/>
      <c r="V93" s="86"/>
      <c r="W93" s="86"/>
      <c r="X93" s="86"/>
      <c r="Y93" s="86"/>
      <c r="Z93" s="86"/>
      <c r="AA93" s="86"/>
      <c r="AB93" s="86"/>
      <c r="AC93" s="86"/>
      <c r="AD93" s="86"/>
      <c r="AE93" s="86"/>
      <c r="AF93" s="86"/>
      <c r="AG93" s="1"/>
      <c r="AH93" s="1"/>
      <c r="AI93" s="1"/>
      <c r="AJ93" s="1"/>
      <c r="AK93" s="1"/>
      <c r="AL93" s="1"/>
      <c r="AM93" s="1"/>
      <c r="AN93" s="1"/>
      <c r="AO93" s="1"/>
      <c r="AP93" s="1"/>
      <c r="AQ93" s="1"/>
      <c r="AR93" s="1"/>
      <c r="AS93" s="1"/>
      <c r="AT93" s="1"/>
      <c r="AU93" s="1"/>
      <c r="AV93" s="19"/>
      <c r="AW93" s="1"/>
      <c r="AX93" s="1"/>
      <c r="AY93" s="1"/>
    </row>
    <row r="94" spans="19:5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9"/>
      <c r="AW94" s="1"/>
      <c r="AX94" s="1"/>
      <c r="AY94" s="1"/>
    </row>
    <row r="95" spans="19:5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9"/>
      <c r="AW95" s="1"/>
      <c r="AX95" s="1"/>
      <c r="AY95" s="1"/>
    </row>
    <row r="96" spans="19:5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9"/>
      <c r="AW96" s="1"/>
      <c r="AX96" s="1"/>
      <c r="AY96" s="1"/>
    </row>
    <row r="97" spans="48:48">
      <c r="AV97" s="17"/>
    </row>
    <row r="98" spans="48:48">
      <c r="AV98" s="19"/>
    </row>
    <row r="99" spans="48:48">
      <c r="AV99" s="19"/>
    </row>
    <row r="100" spans="48:48">
      <c r="AV100" s="19"/>
    </row>
    <row r="101" spans="48:48">
      <c r="AV101" s="19"/>
    </row>
    <row r="102" spans="48:48">
      <c r="AV102" s="19"/>
    </row>
    <row r="103" spans="48:48">
      <c r="AV103" s="18"/>
    </row>
    <row r="104" spans="48:48">
      <c r="AV104" s="19"/>
    </row>
    <row r="105" spans="48:48">
      <c r="AV105" s="19"/>
    </row>
    <row r="106" spans="48:48">
      <c r="AV106" s="19"/>
    </row>
    <row r="107" spans="48:48">
      <c r="AV107" s="19"/>
    </row>
    <row r="108" spans="48:48">
      <c r="AV108" s="22"/>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BFF6A446E6676A4D818E3CED10DC6525" ma:contentTypeVersion="3" ma:contentTypeDescription="Crear nuevo documento." ma:contentTypeScope="" ma:versionID="851e364aab6e1a9d58550db47d4be453">
  <xsd:schema xmlns:xsd="http://www.w3.org/2001/XMLSchema" xmlns:xs="http://www.w3.org/2001/XMLSchema" xmlns:p="http://schemas.microsoft.com/office/2006/metadata/properties" xmlns:ns2="f4f5f75b-1ae0-49bc-a428-6d379af6359b" targetNamespace="http://schemas.microsoft.com/office/2006/metadata/properties" ma:root="true" ma:fieldsID="589d5bc629d350db079f4afab88c2e2f" ns2:_="">
    <xsd:import namespace="f4f5f75b-1ae0-49bc-a428-6d379af6359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f5f75b-1ae0-49bc-a428-6d379af635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3507B7-C361-46E0-AF44-6194D8191CB1}"/>
</file>

<file path=customXml/itemProps2.xml><?xml version="1.0" encoding="utf-8"?>
<ds:datastoreItem xmlns:ds="http://schemas.openxmlformats.org/officeDocument/2006/customXml" ds:itemID="{F86D18D9-0B6E-411F-93FD-BE55E800AD09}"/>
</file>

<file path=customXml/itemProps3.xml><?xml version="1.0" encoding="utf-8"?>
<ds:datastoreItem xmlns:ds="http://schemas.openxmlformats.org/officeDocument/2006/customXml" ds:itemID="{49A8CC42-3498-4AB9-83FD-168387E0E379}"/>
</file>

<file path=customXml/itemProps4.xml><?xml version="1.0" encoding="utf-8"?>
<ds:datastoreItem xmlns:ds="http://schemas.openxmlformats.org/officeDocument/2006/customXml" ds:itemID="{F84BA0CF-5C87-4A54-BB3F-87586D696A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2026-04-10T21:44:52Z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0x010100BFF6A446E6676A4D818E3CED10DC6525</vt:lpwstr>
  </property>
</Properties>
</file>