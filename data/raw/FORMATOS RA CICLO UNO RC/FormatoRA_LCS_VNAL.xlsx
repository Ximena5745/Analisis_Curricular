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3" documentId="13_ncr:1_{12C7D245-A1C0-4C32-B601-F96631145656}" xr6:coauthVersionLast="47" xr6:coauthVersionMax="47" xr10:uidLastSave="{C34AD70E-948A-40B5-AA41-679F9678533E}"/>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mesocurricu'!$A$2:$E$14</definedName>
    <definedName name="_xlnm._FilterDatabase" localSheetId="4" hidden="1">'Paso 5 Estrategias micro'!$A$2:$Q$116</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0" l="1"/>
  <c r="A20" i="10"/>
  <c r="A19" i="10"/>
  <c r="L18" i="10"/>
  <c r="K18" i="10"/>
  <c r="M18" i="10" s="1"/>
  <c r="A18" i="10"/>
  <c r="A9" i="10"/>
  <c r="A12" i="10"/>
  <c r="A15" i="10"/>
  <c r="A22" i="10"/>
  <c r="A25" i="10"/>
  <c r="A28" i="10"/>
  <c r="A31" i="10"/>
  <c r="A37" i="10"/>
  <c r="A39" i="10"/>
  <c r="A42" i="10"/>
  <c r="A46" i="10"/>
  <c r="A58" i="10"/>
  <c r="A61" i="10"/>
  <c r="A67" i="10"/>
  <c r="A68" i="10"/>
  <c r="A71" i="10"/>
  <c r="A74" i="10"/>
  <c r="A77" i="10"/>
  <c r="A86" i="10"/>
  <c r="A89" i="10"/>
  <c r="A92" i="10"/>
  <c r="A105" i="10"/>
  <c r="A106" i="10"/>
  <c r="A109" i="10"/>
  <c r="K101" i="10"/>
  <c r="J116" i="10"/>
  <c r="J115" i="10"/>
  <c r="J114" i="10"/>
  <c r="J113" i="10"/>
  <c r="D113" i="10"/>
  <c r="L112" i="10" l="1"/>
  <c r="K112" i="10"/>
  <c r="L111" i="10"/>
  <c r="K111" i="10"/>
  <c r="L102" i="10"/>
  <c r="K102" i="10"/>
  <c r="L101" i="10"/>
  <c r="L107" i="10"/>
  <c r="K107" i="10"/>
  <c r="L103" i="10"/>
  <c r="K103" i="10"/>
  <c r="L98" i="10"/>
  <c r="K98" i="10"/>
  <c r="L94" i="10"/>
  <c r="K94" i="10"/>
  <c r="L91" i="10"/>
  <c r="K91" i="10"/>
  <c r="L88" i="10"/>
  <c r="K88" i="10"/>
  <c r="L85" i="10"/>
  <c r="K85" i="10"/>
  <c r="L82" i="10"/>
  <c r="K82" i="10"/>
  <c r="L79" i="10"/>
  <c r="K79" i="10"/>
  <c r="L76" i="10"/>
  <c r="K76" i="10"/>
  <c r="L73" i="10"/>
  <c r="K73" i="10"/>
  <c r="L70" i="10"/>
  <c r="K70" i="10"/>
  <c r="L66" i="10"/>
  <c r="K66" i="10"/>
  <c r="L63" i="10"/>
  <c r="K63" i="10"/>
  <c r="L60" i="10"/>
  <c r="K60" i="10"/>
  <c r="L57" i="10"/>
  <c r="K57" i="10"/>
  <c r="L54" i="10"/>
  <c r="K54" i="10"/>
  <c r="L51" i="10"/>
  <c r="K51" i="10"/>
  <c r="L48" i="10"/>
  <c r="K48" i="10"/>
  <c r="L44" i="10"/>
  <c r="L41" i="10"/>
  <c r="L38" i="10"/>
  <c r="L35" i="10"/>
  <c r="K35" i="10"/>
  <c r="K44" i="10"/>
  <c r="K41" i="10"/>
  <c r="K38" i="10"/>
  <c r="L30" i="10"/>
  <c r="L27" i="10"/>
  <c r="L24" i="10"/>
  <c r="L21" i="10"/>
  <c r="K30" i="10"/>
  <c r="K27" i="10"/>
  <c r="K24" i="10"/>
  <c r="K21" i="10"/>
  <c r="L14" i="10"/>
  <c r="L11" i="10"/>
  <c r="L8" i="10"/>
  <c r="L5" i="10"/>
  <c r="K14" i="10"/>
  <c r="K11" i="10"/>
  <c r="K8" i="10"/>
  <c r="K5" i="10"/>
  <c r="L47" i="10"/>
  <c r="K47" i="10"/>
  <c r="L34" i="10"/>
  <c r="K34" i="10"/>
  <c r="L33" i="10"/>
  <c r="K33" i="10"/>
  <c r="L17" i="10"/>
  <c r="K17" i="10"/>
  <c r="L4" i="10"/>
  <c r="K4" i="10"/>
  <c r="L3" i="10"/>
  <c r="K3" i="10"/>
  <c r="A47" i="10"/>
  <c r="A34" i="10"/>
  <c r="A33" i="10"/>
  <c r="A17" i="10"/>
  <c r="A3" i="10"/>
  <c r="A4" i="10"/>
  <c r="A110" i="10"/>
  <c r="A108" i="10"/>
  <c r="A107" i="10"/>
  <c r="A104" i="10"/>
  <c r="A103" i="10"/>
  <c r="A100" i="10"/>
  <c r="A99" i="10"/>
  <c r="A98" i="10"/>
  <c r="A97" i="10"/>
  <c r="A96" i="10"/>
  <c r="A95" i="10"/>
  <c r="A94" i="10"/>
  <c r="A93" i="10"/>
  <c r="A91" i="10"/>
  <c r="A90" i="10"/>
  <c r="A88" i="10"/>
  <c r="A87" i="10"/>
  <c r="A85" i="10"/>
  <c r="A84" i="10"/>
  <c r="A83" i="10"/>
  <c r="A82" i="10"/>
  <c r="A81" i="10"/>
  <c r="A80" i="10"/>
  <c r="A79" i="10"/>
  <c r="A78" i="10"/>
  <c r="A76" i="10"/>
  <c r="A75" i="10"/>
  <c r="A73" i="10"/>
  <c r="A72" i="10"/>
  <c r="A70" i="10"/>
  <c r="A69" i="10"/>
  <c r="A66" i="10"/>
  <c r="A65" i="10"/>
  <c r="A64" i="10"/>
  <c r="A63" i="10"/>
  <c r="A62" i="10"/>
  <c r="A60" i="10"/>
  <c r="A59" i="10"/>
  <c r="A57" i="10"/>
  <c r="A56" i="10"/>
  <c r="A55" i="10"/>
  <c r="A54" i="10"/>
  <c r="A53" i="10"/>
  <c r="A52" i="10"/>
  <c r="A51" i="10"/>
  <c r="A50" i="10"/>
  <c r="A49" i="10"/>
  <c r="A48" i="10"/>
  <c r="A45" i="10"/>
  <c r="A44" i="10"/>
  <c r="A43" i="10"/>
  <c r="A41" i="10"/>
  <c r="A40" i="10"/>
  <c r="A38" i="10"/>
  <c r="A36" i="10"/>
  <c r="A35" i="10"/>
  <c r="A32" i="10"/>
  <c r="A30" i="10"/>
  <c r="A29" i="10"/>
  <c r="A27" i="10"/>
  <c r="A26" i="10"/>
  <c r="A24" i="10"/>
  <c r="A23" i="10"/>
  <c r="A21" i="10"/>
  <c r="A16" i="10"/>
  <c r="A14" i="10"/>
  <c r="A13" i="10"/>
  <c r="A11" i="10"/>
  <c r="A10" i="10"/>
  <c r="A8" i="10"/>
  <c r="A6" i="10"/>
  <c r="A7" i="10"/>
  <c r="A5" i="10"/>
  <c r="M47" i="10" l="1"/>
  <c r="M11" i="10"/>
  <c r="M24" i="10"/>
  <c r="M51" i="10"/>
  <c r="M60" i="10"/>
  <c r="M73" i="10"/>
  <c r="M79" i="10"/>
  <c r="M85" i="10"/>
  <c r="M88" i="10"/>
  <c r="M98" i="10"/>
  <c r="M91" i="10"/>
  <c r="M27" i="10"/>
  <c r="M21" i="10"/>
  <c r="M44" i="10"/>
  <c r="M107" i="10"/>
  <c r="M101" i="10"/>
  <c r="M8" i="10"/>
  <c r="M35" i="10"/>
  <c r="M48" i="10"/>
  <c r="M57" i="10"/>
  <c r="M70" i="10"/>
  <c r="M102" i="10"/>
  <c r="M54" i="10"/>
  <c r="M66" i="10"/>
  <c r="M94" i="10"/>
  <c r="M103" i="10"/>
  <c r="M112" i="10"/>
  <c r="M14" i="10"/>
  <c r="M38" i="10"/>
  <c r="M41" i="10"/>
  <c r="M82" i="10"/>
  <c r="M30" i="10"/>
  <c r="M63" i="10"/>
  <c r="M76" i="10"/>
  <c r="M111" i="10"/>
  <c r="M33" i="10" l="1"/>
  <c r="M34"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<sst xmlns="http://schemas.openxmlformats.org/spreadsheetml/2006/main" count="2385" uniqueCount="787">
  <si>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</si>
  <si>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</si>
  <si>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</si>
  <si>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</si>
  <si>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</si>
  <si>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</si>
  <si>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</si>
  <si>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</si>
  <si>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</si>
  <si>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</si>
  <si>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</si>
  <si>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</si>
  <si>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</si>
  <si>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</si>
  <si>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</si>
  <si>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</si>
  <si>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</si>
  <si>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</si>
  <si>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Ciencias Sociales</t>
  </si>
  <si>
    <t>Virtual</t>
  </si>
  <si>
    <t>El Licenciado en Ciencias Sociales del Politécnico Grancolombiano integra saberes disciplinares de la historia, la geografía, la sociología y la antropología con fundamentos pedagógicos y educativos, que le permite interpretar, acompañar y transformar las realidades socioeducativas en los territorios donde se desempeña. Está capacitado para diseñar y ejecutar propuestas y proyectos educativos contextualizados, implementar estrategias didácticas innovadoras y generar experiencias de aprendizaje significativas. Actúa con compromiso en entornos escolares y comunitarios, y contribuye desde su práctica a la construcción de una sociedad democrática y respetuosa de los derechos humanos.</t>
  </si>
  <si>
    <t>El Licenciado en Ciencias Sociales del Politécnico Grancolombiano está preparado para desempeñarse como educador en los niveles de educación básica y media, en instituciones del sector público y privado a nivel nacional. Su formación le permite diseñar e implementar propuestas pedagógicas contextualizadas en los campos de las ciencias sociales, articulando los saberes disciplinares con estrategias didácticas innovadoras. Puede desarrollar procesos educativos que respondan a las realidades territoriales y sociales, construir experiencias de aprendizaje significativas, y participar en iniciativas pedagógicas y comunitarias orientadas a la transformación social.</t>
  </si>
  <si>
    <t>Procesos históricos, territoriales y sociales</t>
  </si>
  <si>
    <t>formular propuestas educativas contextualizadas</t>
  </si>
  <si>
    <t>actuando con empatía, en el marco de la diversidad y la inclusión.</t>
  </si>
  <si>
    <r>
      <t xml:space="preserve">Docente de Ciencias Sociales en básica primaria y secundaria / Docente de Historia o Geografía / Asistente o coordinador de proyectos de investigación educativa o social / Sistematizador de experiencias educativas y territoriales / Facilitador pedagógico en organizaciones sociales o culturales / Coordinador de proyectos educativos en ONGs o entes territoriales / Educador comunitario o promotor social / Coordinador académico o pedagógico en instituciones escolares / Director de grupo o líder de área de Ciencias Sociales / Educador en museos y centros de memoria / Gestor de proyectos de desarrollo educativo territorial / Enlace educativo en procesos de planeación participativa o cultural / Diseñador de recursos digitales educativos en ciencias sociales / Tutor o facilitador en plataformas virtuales de educación / </t>
    </r>
    <r>
      <rPr>
        <sz val="11"/>
        <rFont val="Gill Sans MT"/>
        <family val="2"/>
      </rPr>
      <t>Diseñador de material didáctico o contenidos educativos</t>
    </r>
    <r>
      <rPr>
        <sz val="11"/>
        <color theme="1"/>
        <rFont val="Gill Sans MT"/>
        <family val="2"/>
      </rPr>
      <t>.</t>
    </r>
  </si>
  <si>
    <r>
      <t xml:space="preserve">Planear e implementar clases en historia, geografía y ciencias sociales con metodologías activas. / Diseñar ambientes de aprendizaje contextualizados.  </t>
    </r>
    <r>
      <rPr>
        <sz val="11"/>
        <rFont val="Gill Sans MT"/>
        <family val="2"/>
      </rPr>
      <t>/ Evaluar aprendizajes mediante criterios formativos, participativos y reflexivos.</t>
    </r>
    <r>
      <rPr>
        <sz val="11"/>
        <color theme="1"/>
        <rFont val="Gill Sans MT"/>
        <family val="2"/>
      </rPr>
      <t xml:space="preserve"> / </t>
    </r>
    <r>
      <rPr>
        <sz val="11"/>
        <rFont val="Gill Sans MT"/>
        <family val="2"/>
      </rPr>
      <t>Aplicar técnicas de recolección de información (entrevistas, observación, diarios de campo, sistematización). / Analizar datos y socializar resultados educativos o territoriales. / Diseñar propuestas educativas con enfoque territorial o poblacional. / Acompañar procesos de formación ciudadana o cultural desde el enfoque social. / Gestionar recursos, actores y estrategias pedagógicas en entornos no formales. / Acompañar equipos pedagógicos en la implementación de proyectos de aula. / Gestionar planes de mejora educativa con enfoque contextual. / Diseñar e implementar talleres, recursos y estrategias pedagógicas centradas en participación democrática, historia local o memoria colectiva. / Mediar procesos educativos orientados al reconocimiento de la diversidad y la transformación social. / Participar en mesas o iniciativas interinstitucionales de planeación educativa local. / Facilitar diagnósticos sociales y territoriales en comunidades. / Conectar procesos pedagógicos con proyectos de desarrollo cultural, patrimonial o social. / Integrar TIC en el aula desde enfoques pedagógicos críticos y colaborativos. / Diseñar cartillas, g</t>
    </r>
    <r>
      <rPr>
        <sz val="11"/>
        <color theme="1"/>
        <rFont val="Gill Sans MT"/>
        <family val="2"/>
      </rPr>
      <t>uías y recursos impresos o digitales para la enseñanza de las ciencias sociales. / Adaptar materiales a contextos específicos (ruralidad, diversidad cultural, nivel educativo).</t>
    </r>
  </si>
  <si>
    <r>
      <t>Escuelas y colegios públicos y privados (Educación Básica y Media) / Instituciones de Educación para el Trabajo y el Desarrollo Humano (ETDH) / Centros de formación para adul</t>
    </r>
    <r>
      <rPr>
        <sz val="11"/>
        <rFont val="Gill Sans MT"/>
        <family val="2"/>
      </rPr>
      <t xml:space="preserve">tos y educación flexible / Instituciones educativas rurales y multigrado / Comunidades rurales, campesinas y urbanas organizadas / Poblaciones en situación de vulnerabilidad (desplazamiento, pobreza, exclusión, conflicto armado) / Comunidades étnicas (indígenas, afrodescendientes, raizales, ROM) / Organizaciones no gubernamentales (ONG) con enfoque en educación, derechos humanos, paz y participación / Colectivos juveniles, culturales, ambientales y educativos / </t>
    </r>
    <r>
      <rPr>
        <sz val="11"/>
        <color theme="1"/>
        <rFont val="Gill Sans MT"/>
        <family val="2"/>
      </rPr>
      <t xml:space="preserve">Ministerios, secretarías de educación, cultura y participación ciudadana (local, departamental y nacional) / Entidades del Sistema Nacional de Planeación o de Desarrollo Territorial / Consejos de juventud, mesas locales de educación y espacios de concertación social / Programas públicos de memoria histórica, reconciliación o educación para la paz / Museos, centros de interpretación y archivos históricos / Casas de la cultura, bibliotecas públicas y comunitarias / Instituciones que promueven el patrimonio material e inmaterial / Proyectos de educación patrimonial, historia local y turismo educativo / Medios comunitarios o alternativos con enfoque educativo, territorial o histórico / Escenarios alternativos de aprendizaje en comunidades / Proyectos de alfabetización, educación de adultos y formación política / Propuestas pedagógicas en contextos de reintegración o reconstrucción del tejido social. </t>
    </r>
  </si>
  <si>
    <r>
      <t xml:space="preserve">La Licenciatura en Ciencias Sociales del Politécnico Grancolombiano se </t>
    </r>
    <r>
      <rPr>
        <sz val="11"/>
        <rFont val="Gill Sans MT"/>
        <family val="2"/>
      </rPr>
      <t>distingue</t>
    </r>
    <r>
      <rPr>
        <sz val="11"/>
        <color theme="1"/>
        <rFont val="Gill Sans MT"/>
        <family val="2"/>
      </rPr>
      <t xml:space="preserve"> por su enfoque en la transformación social a través de una formación flexible, contextualizada y mediada por tecnologías digitales. Este enfoque permite a los egresados desarrollar una mirada territorial e interdisciplinaria, comprendiendo el país desde su diversidad cultural y reconociendo el territorio como un laboratorio social donde se construyen, experimentan y transforman las relaciones humanas.</t>
    </r>
  </si>
  <si>
    <t>Estrategias didácticas y ambientes de aprendizaje situados en ciencias sociales</t>
  </si>
  <si>
    <t>facilitar experiencias educativas y aprendizajes significativos que articulen el desarrollo curricular con la realidad territorial y sociocultural</t>
  </si>
  <si>
    <t>en coherencia con la justicia social, los derechos humanos, la democracia y la paz.</t>
  </si>
  <si>
    <t>Gestión y legislación educativa</t>
  </si>
  <si>
    <t>desarrollar procesos pedagógicos, administrativos y evaluativos</t>
  </si>
  <si>
    <t>actuando con sentido de responsabilidad, ética profesional y compromiso institucional.</t>
  </si>
  <si>
    <t>Propuestas pedagógicas comunitarias</t>
  </si>
  <si>
    <t>fortalecer procesos educativos que promuevan la participación, el pensamiento crítico y el respeto por los derechos humanos</t>
  </si>
  <si>
    <t>práctica docente comprometida con la justicia social, la equidad y la transformación del entorno.</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</si>
  <si>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</si>
  <si>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</si>
  <si>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</si>
  <si>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</si>
  <si>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</si>
  <si>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</si>
  <si>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</si>
  <si>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</si>
  <si>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</si>
  <si>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</si>
  <si>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</si>
  <si>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</si>
  <si>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</si>
  <si>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</si>
  <si>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</si>
  <si>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</si>
  <si>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</si>
  <si>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</si>
  <si>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</si>
  <si>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</si>
  <si>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Dominar los procesos históricos, territoriales y sociales para formular propuestas educativas contextualizadas que respondan a las realidades sociales del entorno, actuando con empatía, en el marco de la diversidad y la inclusión.</t>
  </si>
  <si>
    <t>Específica</t>
  </si>
  <si>
    <t>Diseñar</t>
  </si>
  <si>
    <t>Diseñar estrategias didácticas y ambientes de aprendizaje situados en ciencias sociales para facilitar experiencias educativas y aprendizajes significativos que articulen el desarrollo curricular con la realidad territorial y sociocultural, en coherencia con la justicia social, derechos humanos, democracia, respeto y paz.</t>
  </si>
  <si>
    <t>Aplicar</t>
  </si>
  <si>
    <t>Aplicar los principios de la gestión y la legislación educativa vigente para desarrollar procesos pedagógicos, administrativos y evaluativos, actuando con sentido de responsabilidad, ética profesional y compromiso institucional.</t>
  </si>
  <si>
    <t>Implementar</t>
  </si>
  <si>
    <t>Implementar propuestas pedagógicas comunitarias orientadas a la formación ciudadana, ética y democrática para fortalecer procesos educativos que promuevan la participación, el pensamiento crítico y el respeto por los derechos humanos, desde una práctica docente comprometida con la justicia social, la equidad y la transformación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</si>
  <si>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</si>
  <si>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</si>
  <si>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</si>
  <si>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</si>
  <si>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</si>
  <si>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</si>
  <si>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</si>
  <si>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</si>
  <si>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</si>
  <si>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</si>
  <si>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</si>
  <si>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</si>
  <si>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</si>
  <si>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</si>
  <si>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</si>
  <si>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</si>
  <si>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</si>
  <si>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</si>
  <si>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</si>
  <si>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</si>
  <si>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</si>
  <si>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</si>
  <si>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</si>
  <si>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</si>
  <si>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procesos históricos, sociales, territoriales y normativos para interpretar transformaciones del entorno y fundamentar comprensiones educativas contextualizadas.</t>
  </si>
  <si>
    <t>ProcedimentalBAK</t>
  </si>
  <si>
    <t>PrecisiónBAK</t>
  </si>
  <si>
    <t>Interpretar</t>
  </si>
  <si>
    <t>Interpreta información histórica, social y territorial aplicando herramientas conceptuales, gráficas y normativas para elaborar diagnósticos educativos en contextos escolares y comunitarios.</t>
  </si>
  <si>
    <t>ActitudinalBAK</t>
  </si>
  <si>
    <t>ValorarBAK</t>
  </si>
  <si>
    <t>Evaluar</t>
  </si>
  <si>
    <t>Evalúa problemáticas socioterritoriales de la educación para formular propuestas o estrategias pedagógicas o didácticas contextualizadas, que promuevan la equidad, la justicia social, los derechos humanos, la democracia y la paz, de acuerdo con las dinámicas del entorno escolar o comunitario.</t>
  </si>
  <si>
    <t>AplicaciónBAK</t>
  </si>
  <si>
    <t>Evalúa enfoques pedagógicos y experiencias educativas en ciencias sociales para explicar su pertinencia en contextos socio territoriales desde principios de justicia social, democracia y derechos humanos.</t>
  </si>
  <si>
    <t>facilitar aprendizajes significativos, contextualizados y críticos orientados a la comprensión de la realidad social</t>
  </si>
  <si>
    <t>ControlBAK</t>
  </si>
  <si>
    <t>Diseña propuestas pedagógicas contextualizadas para generar estrategias educativas que respondan a las necesidades formativas en contextos escolares o comunitarios.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</si>
  <si>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</si>
  <si>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</si>
  <si>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</si>
  <si>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</si>
  <si>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</si>
  <si>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</si>
  <si>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</si>
  <si>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</si>
  <si>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</si>
  <si>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</si>
  <si>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</si>
  <si>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</si>
  <si>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</si>
  <si>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</si>
  <si>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</si>
  <si>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</si>
  <si>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</si>
  <si>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Proyecto longitudinal de práctica pedagógica</t>
  </si>
  <si>
    <t>Espacio formativo que permite a los estudiantes articular teoría y práctica mediante la sistematización de experiencias pedagógicas y didácticas de la práctica en territorio, promoviendo la reflexión crítica y el desarrollo de competencias docentes.</t>
  </si>
  <si>
    <t>Valoración de la estrategia respecto al nivel de aporte a los resultados de aprendizaje del programa.</t>
  </si>
  <si>
    <t>Informar y formar a los estudiantes sobre temas asociados a las prácticas en territorio de enseñanza de las ciencias sociales a través de ejercicios de socialización de experiencias significativas.</t>
  </si>
  <si>
    <t>Encuestas de valoración por parte de los profesores de prácticas</t>
  </si>
  <si>
    <t xml:space="preserve">Número de estudiantes que participan en la estrategia. </t>
  </si>
  <si>
    <t>Listados de participación de los estudiantes</t>
  </si>
  <si>
    <t>Número de experiencias pedagógicas y didácticas georeferenciadas.</t>
  </si>
  <si>
    <t>Informe o Reporte</t>
  </si>
  <si>
    <t>Cartografías para la paz</t>
  </si>
  <si>
    <t>Proyecto de investigación y proyección social que busca mapear experiencias significativas de profesores y estudiantes de ciencias sociales, a partir de sus trayectorias pedagógicas en el territorio, con el fin de promover una cultura de paz desde la práctica educativa.</t>
  </si>
  <si>
    <t xml:space="preserve">Informar y formar a los estudiantes sobre las experiencias de visita y el mapeo de trayectorias pedagógicas en el territorio, mediante noticias, eventos de programa y Poli Radio. </t>
  </si>
  <si>
    <t>Encuesta de valoración para los estudiantes</t>
  </si>
  <si>
    <t>Número de instituciones visitadas en territorio.</t>
  </si>
  <si>
    <t>Acciones por la Paz y la Memoria con la Red de Pro-Tejedores de Memoria</t>
  </si>
  <si>
    <t>Espacios de sensibilización con los estudiantes frente a la violencia en el país, promoviendo el reconocimiento de las víctimas, la verdad, la reparación y la reconciliación como caminos hacia la construcción de paz, de la mano con organizaciones sociales.</t>
  </si>
  <si>
    <t>Informar y formar a los estudiantes sobre el proceso de sensibilización respecto a la violencia en el país y la memoria histórica, a través de socialización de las experiencias de tejido y memoria de la Red de Pro-Tejedores, eventos de programa y Poli Radio.</t>
  </si>
  <si>
    <t>Encuesta de valoración para los estudiantes y profesores</t>
  </si>
  <si>
    <t xml:space="preserve">Número de estudiantes y profesores que participan en la estrategia. </t>
  </si>
  <si>
    <t>Listados de participación de los estudiantes y profesores</t>
  </si>
  <si>
    <t>Número de eventos académicos desarrollados en el periodo de tiempo establecidos por el programa.</t>
  </si>
  <si>
    <t>Territorios y biodiversidades: relatos e ilustraciones para la paz</t>
  </si>
  <si>
    <t>Proyecto de investigación y creación que explora las posibilidades de la cartografía social y pedagógica para trabajar con comunidades y territorios diversos.</t>
  </si>
  <si>
    <t>Informar y formar a los estudiantes sobre la experiencia de la cartografía social y pedagógica, mediante la socialización de experiencias de visita a través de noticias, eventos de programa y Poli Radio.</t>
  </si>
  <si>
    <t>Número de productos generados en el periodo de tiempo establecidos por el programa.</t>
  </si>
  <si>
    <t>Poli Radio: experiencias de docentes, estudiantes y egresados en territorio</t>
  </si>
  <si>
    <t>Espacio radial educativo del Politécnico Grancolombiano donde docentes, estudiantes y egresados de la Licenciatura en Ciencias Sociales comparten sus experiencias pedagógicas en territorio, visibilizando su aporte a la educación y al contexto social desde diferentes regiones del país.</t>
  </si>
  <si>
    <t xml:space="preserve">Informar y formar a los estudiantes sobre las experiencias pedagógicas de docentes, estudiantes y egresados en territorio, difundiendo sus historias a través de la emisora institucional. </t>
  </si>
  <si>
    <t>Número de programas emitidos en un semestre o año académico.</t>
  </si>
  <si>
    <t>Jornadas de Investigación Educativa</t>
  </si>
  <si>
    <t>Espacios de discusión alrededor de la investigación para discutir las experiencias formativas e investigativas derivadas de los fenómenos escolares.</t>
  </si>
  <si>
    <t>Informar y formar a los estudiantes sobre investigaciones y metodologías aplicadas en los módulos del programa, promoviendo la participación en conferencias, talleres o experiencias, y proporcionando grabaciones para quienes no puedan participar sincrónicamente.</t>
  </si>
  <si>
    <t>Semilleros de investigación</t>
  </si>
  <si>
    <r>
      <t xml:space="preserve">Espacios formativos donde los estudiantes profundizan en temáticas específicas, aprenden herramientas para investigar y participan en proyectos investigativos. El programa cuenta con tres semilleros: </t>
    </r>
    <r>
      <rPr>
        <i/>
        <sz val="11"/>
        <rFont val="Gill Sans MT"/>
        <family val="2"/>
      </rPr>
      <t>Educación y Paz, Memoria y Territorio</t>
    </r>
    <r>
      <rPr>
        <sz val="11"/>
        <rFont val="Gill Sans MT"/>
        <family val="2"/>
      </rPr>
      <t>;</t>
    </r>
    <r>
      <rPr>
        <i/>
        <sz val="11"/>
        <rFont val="Gill Sans MT"/>
        <family val="2"/>
      </rPr>
      <t xml:space="preserve"> Educación y territorio</t>
    </r>
    <r>
      <rPr>
        <sz val="11"/>
        <rFont val="Gill Sans MT"/>
        <family val="2"/>
      </rPr>
      <t xml:space="preserve">; y </t>
    </r>
    <r>
      <rPr>
        <i/>
        <sz val="11"/>
        <rFont val="Gill Sans MT"/>
        <family val="2"/>
      </rPr>
      <t>Perspectivas Socio-Espaciales de la educación en Colombia.</t>
    </r>
  </si>
  <si>
    <t>Formar a los estudiantes en la profundización de temáticas específicas, enseñándoles herramientas investigativas y guiándolos en proyectos de investigación. La retroalimentación incluye la socialización de experiencias de investigación formativa desde los semilleros.</t>
  </si>
  <si>
    <t>Número de estudiantes del programa que participan en los semilleros de investigación.</t>
  </si>
  <si>
    <t>Número de veces que se aplicó la estrategia en los periodos que determine el programa.</t>
  </si>
  <si>
    <t>Cátedras Inaugurales: Saberes y desafíos de las ciencias sociales en el territorio</t>
  </si>
  <si>
    <t>Estrategia que, a través de modalidades como cátedras magistrales, talleres y conversatorios, permite explorar y reconocer diversas tendencias pedagógicas y educativas en el campo de las ciencias sociales, conectando los saberes con los desafíos del territorio.</t>
  </si>
  <si>
    <t xml:space="preserve">Informar y formar a los estudiantes sobre las tendencias pedagógicas y educativas en el campo de las ciencias sociales, mediante cátedras magistrales, talleres y conversatorios, y promoviendo el análisis de los saberes frente a los desafíos territoriales.
</t>
  </si>
  <si>
    <t>Participación en redes de conocimiento de las ciencias sociales</t>
  </si>
  <si>
    <t>Estrategia orientada al fortalecimiento del programa mediante la vinculación a diversas redes de investigación y colaboración en el ámbito de las ciencias sociales, la investigación social y la educación, tales como: Ascofades/Red de prácticas en ciencias sociales/Red de grupos de investigación en didáctica de las ciencias sociales/Centros de Estudios Latinoamericanos de educación inclusiva.</t>
  </si>
  <si>
    <t>Informar y formar a los estudiantes sobre las redes de conocimiento de las ciencias sociales, para fomentar su participación y actualización en el campo profesional y académico.</t>
  </si>
  <si>
    <t>Listados de participación del programa en redes</t>
  </si>
  <si>
    <t>Número de alianzas activas y redes de colaboración establecidas por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</si>
  <si>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</si>
  <si>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</si>
  <si>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</si>
  <si>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</si>
  <si>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</si>
  <si>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</si>
  <si>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</si>
  <si>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</si>
  <si>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</si>
  <si>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</si>
  <si>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</si>
  <si>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</si>
  <si>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</si>
  <si>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</si>
  <si>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</si>
  <si>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</si>
  <si>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</si>
  <si>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</si>
  <si>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</si>
  <si>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</si>
  <si>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</si>
  <si>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</si>
  <si>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</si>
  <si>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</si>
  <si>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</si>
  <si>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</si>
  <si>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</si>
  <si>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</si>
  <si>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</si>
  <si>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</si>
  <si>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</si>
  <si>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</si>
  <si>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</si>
  <si>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</si>
  <si>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</si>
  <si>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</si>
  <si>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</si>
  <si>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</si>
  <si>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</si>
  <si>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</si>
  <si>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</si>
  <si>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</si>
  <si>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</si>
  <si>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</si>
  <si>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la Epistemología de las Ciencias Sociales</t>
  </si>
  <si>
    <t>Reconoce conceptos y enfoques epistemológicos para identificar cómo se construye y transforma el conocimiento en las ciencias sociales.</t>
  </si>
  <si>
    <t>T</t>
  </si>
  <si>
    <t>1. ¿Cómo sabemos lo que sabemos? Exploraciones epistemológicas
2. Saber en duda: crítica, lenguaje y conocimiento
3. Rupturas del pensamiento: Marx, Wittgenstein y la crítica filosófica
4. Revoluciones del saber: el falsacionismo a la crítica postmoderna</t>
  </si>
  <si>
    <t>Trabajo directo: 
Encuentros sincrónicos 
Mensajería interna 
Anuncios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</si>
  <si>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</si>
  <si>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Teoría de la Geografía</t>
  </si>
  <si>
    <t>Analiza los fundamentos teóricos y tradiciones del pensamiento geográfico, para interpretar problemas socio-espaciales en el mundo contemporáneo.</t>
  </si>
  <si>
    <t>1. Constitución epistemológica y ontológica de la geografía moderna y el espacio geográfico.
2. Geografía general y geografía regional como enfoques predominantes en la geografía moderna.
3. Enfoques alternativos de la geografía moderna.
4. Enfoques contemporáneos de la geografía.</t>
  </si>
  <si>
    <t>Teoría de la Historia</t>
  </si>
  <si>
    <t>Analiza los fundamentos teóricos de la historia y las tradiciones historiográficas, para interpretar los enfoques contemporáneos sobre los fenómenos históricos.</t>
  </si>
  <si>
    <t>1. Definiciones centrales: historiografía, tiempo histórico y regímenes de historicidad. 
2. Profesionalización de la historia y la renovación desde la historia económica y social. 
3. Microhistoria, nueva historia cultural, historia de género y giro lingüístico. 
4. Historia postcolonial, historia global e historia conectada.</t>
  </si>
  <si>
    <t>Legislación Educativa</t>
  </si>
  <si>
    <t>Interpreta la normatividad educativa colombiana, para formular propuestas fundamentadas en principios legales en resolución de casos reales o simulados del contexto educativo.</t>
  </si>
  <si>
    <t>1. Contexto histórico, político y social del derecho a la educación.
2. Dimensiones tratadas en la Ley General de Educación Ley 115 de 1994.
3. Reglamentación educativa en Colombia.
4. El gobierno escolar y la cultura política escolar.</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</si>
  <si>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</si>
  <si>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</si>
  <si>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</si>
  <si>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</si>
  <si>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Ecuentros sincrónicos
Mensajería interna
Anuncios
Trabajo independiente:
Lecturas fundamentales y complementarias
Material de trabajo
Participación en foros</t>
  </si>
  <si>
    <t>Filosofía</t>
  </si>
  <si>
    <t>Identifica los ejes de discusión de la filosofía contemporánea, para interpretar situaciones propias de las realidades sociales o educativas.</t>
  </si>
  <si>
    <t>1. Preguntas y problemas de la filosofía. 
2. Cultura, lenguaje y poder. 
3. Género y sexualidad. 
4. Pensamiento postcolonial y otras epistemologías.</t>
  </si>
  <si>
    <t>Didáctica General</t>
  </si>
  <si>
    <t>Analiza los procesos de mediación y transposición didáctica, para diseñar esquemas de planificación educativa coherentes con los principios de enseñanza de las ciencias sociales.</t>
  </si>
  <si>
    <t>1. Constitución epistemológica y ontológica de la didáctica general.
2. El sujeto en la construcción del conocimiento social.
3. Formas de mediación del sujeto maestro en la didáctica. 
4. Formas de aprender lo social en los niños, jóvenes y adultos.</t>
  </si>
  <si>
    <t>Didáctica de la Geografía</t>
  </si>
  <si>
    <t>Caracteriza  las relaciones entre sociedad y espacio en contextos escolares, para diseñar propuestas didácticas en geografía que incorporen principios del pensamiento geográfico.</t>
  </si>
  <si>
    <t>1. Fundamentos de la didáctica de la geografía.
2. Fundamentos del espacio geográfico y sus implicaciones didácticas en la enseñanza-aprendizaje de la geografía.
3. Recursos didácticos en la enseñanza de la geografía.
4. Metodologías aplicadas en la enseñanza de la geografía.</t>
  </si>
  <si>
    <t>Didáctica de la Historia</t>
  </si>
  <si>
    <t xml:space="preserve">Reconoce las tensiones entre historia disciplinar y escolar, y los elementos didácticos clave en la enseñanza de la historia, para diseñar propuestas didácticas contextualizadas e incluyentes. </t>
  </si>
  <si>
    <t>1. Tensiones entre la historia disciplinar y la enseñanza de la historia escolar.
2. Libros de texto, dispositivos nacionalistas y la construcción del ciudadano.
3. Los recursos didácticos y el empleo de las TIC en la enseñanza de la historia.
4. Pensar históricamente y la memoria histórica.</t>
  </si>
  <si>
    <t>Currículo y Evaluación</t>
  </si>
  <si>
    <t>Analiza los fundamentos del currículo y la evaluación, para diseñar una propuesta para el seguimiento formativo de los procesos de enseñanza y aprendizaje en contextos escolares.</t>
  </si>
  <si>
    <t>1. Generalidades curriculares. 
2. Diseños curriculares y tendencias emergentes. 
3. Evaluación: concepciones, teorías y abordaje histórico. 
4. Implicaciones de la evaluación en el proceso educativo.</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</si>
  <si>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</si>
  <si>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</si>
  <si>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</si>
  <si>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</si>
  <si>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</si>
  <si>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</si>
  <si>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</si>
  <si>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</si>
  <si>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Antropología y Sociología de la Educación LCS</t>
  </si>
  <si>
    <t>Analiza los fundamentos de la sociología y la antropología, para interpretar las formas de organización social y cultural en contextos educativos.</t>
  </si>
  <si>
    <t>1. Estructuras sociales y simbólicas: Objetos de estudio de la sociología y la antropología.
2. Procesos y fenómenos educativos.
3. Procesamiento escolar de la cultura. El papel de la institución escolar en la reorganización de los procesos educativos ¿qué se enseña en las escuelas?
4. Educar en la diferencia.</t>
  </si>
  <si>
    <t>Geografía de Colombia</t>
  </si>
  <si>
    <t>Reconoce la configuración territorial y sus problemáticas en contextos escolares, para diseñar propuestas didácticas que integren los ejes temáticos de la geografía de Colombia.</t>
  </si>
  <si>
    <t>1. Componentes del territorio colombiano que configuran espacialmente al Estado-Nación.
2. Interrelaciones físicas en el espacio geográfico colombiano desde su configuración geológica, atmosférica e hídrica.
3. Distribución socioespacial en Colombia.
4. Problemas espaciales contemporáneos en Colombia.</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</si>
  <si>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</si>
  <si>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Historia Antigua</t>
  </si>
  <si>
    <t>Analiza las representaciones historiográficas sobre las sociedades antiguas y originarias de los cinco continentes, para explicar la diversidad histórica y su relevancia en la enseñanza de la historia.</t>
  </si>
  <si>
    <t>1. Discusiones historiográficas y problemas de periodización de las sociedades antiguas y originarias. 
2. Sociedades originarias en América.
3. Sociedades originarias en África y Asia. 
4. Sociedades antiguas de Europa y Oriente próximo.</t>
  </si>
  <si>
    <t>Corrientes Pedagógicas</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</si>
  <si>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</si>
  <si>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</si>
  <si>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</si>
  <si>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</si>
  <si>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</si>
  <si>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</si>
  <si>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Gestión Educativa</t>
  </si>
  <si>
    <t>Analiza el concepto de gestión educativa, para diseñar propuestas de intervención que respondan a necesidades institucionales en el contexto del Sistema Educativo Colombiano.</t>
  </si>
  <si>
    <t>1. Introducción a la gestión educativa.
2. La gestión educativa y el mejoramiento institucional.
3. Gestión administrativa y de la comunidad.
4. Calidad educativa y liderazgo directivo.</t>
  </si>
  <si>
    <t>Estrategias y Métodos del Estudio de las Ciencias Sociales</t>
  </si>
  <si>
    <t>Analiza las características, dinámicas y necesidades de una población escolar desde un enfoque educativo, para aplicar instrumentos y herramientas de recolección de información en ciencias sociales.</t>
  </si>
  <si>
    <t>1. Nociones generales de la investigación educativa.
2. La investigación acción educativa: método e instrumentos posibles.
3. La sistematización de experiencias: métodos e instrumentos posibles.
4. Perspectivas actuales en la investigación educativa en ciencias sociales.</t>
  </si>
  <si>
    <t>Geografía América</t>
  </si>
  <si>
    <t>Interpreta las características espaciales de América a través del uso de herramientas cartográficas y del análisis de factores bióticos, abióticos y antrópicos, para elaborar representaciones territoriales en contextos educativos.</t>
  </si>
  <si>
    <t xml:space="preserve">1. Problemas espaciales en América.
2. Estructuras geomorfológicas de América.
3. Configuraciones territoriales en América y multiculturalismo. 
4. Estructuras político-económicas y espacio geográfico en América. </t>
  </si>
  <si>
    <t>Historia Medieval</t>
  </si>
  <si>
    <t>Analiza debates historiográficos sobre la historia medieval, para explicar los cambios en la interpretación de las sociedades de la época a partir de sus procesos de periodización, fuentes y representaciones.</t>
  </si>
  <si>
    <t>1. Debates historiográficos y formas de representación de la historia medieval. 
2. Europa medieval y la formación de occidente. 
3. Una mirada al mundo oriental y africano, Siglos VII-XV 
4. De la Europa medieval a la América colonial.</t>
  </si>
  <si>
    <t>Historia Moderna y Contemporánea</t>
  </si>
  <si>
    <t>Analiza los procesos históricos clave de la modernidad y la contemporaneidad, para explicar las transformaciones sociales que configuran el mundo actual.</t>
  </si>
  <si>
    <t xml:space="preserve">1. La modernidad.
2. Las revoluciones: industrial, de independencia y francesa. 
3. La contemporaneidad. 
4. Guerras mundiales y guerra fría.  </t>
  </si>
  <si>
    <t>Práctica I</t>
  </si>
  <si>
    <t>Caracteriza una comunidad educativa, para documentar sus dinámicas escolares mediante estrategias de observación e indagación.</t>
  </si>
  <si>
    <t>P</t>
  </si>
  <si>
    <t>1. La etnografía educativa y la práctica pedagógica.
2. Trabajo de campo y observación participante de una comunidad educativa.
3. La entrevista y el diario de campo en la caracterización de una institución o comunidad.
4. La reflexividad y la evaluación en los procesos de investigación educativa.</t>
  </si>
  <si>
    <t xml:space="preserve">Evaluación diagnóstica (semana 1 – Cuestionario de 5 preguntas) 
Actividad formativa (semanas 2 a 7 - Foro de carácter individual o grupal según las características del módulo) 
Informe inicial (semana 5 - Escrito expositivo parcial en el que se explican y describen los aspectos referidos al ejercicio investigativo o de estudio en su primera fase de implementación) 
Informe final (semana 7 - Escrito expositivo de consolidación en el que se explica y describe el desarrollo del ejercicio investigativo o de estudio a partir de las realimentaciones obtenidas en las entregas parciales) 
Autoevaluación (semana 8 - Cuestionario de 5 preguntas) </t>
  </si>
  <si>
    <t>Estudios Interdisciplinares en las Ciencias Sociales</t>
  </si>
  <si>
    <t>Diseña un esquema de investigación en ciencias sociales integrando marcos analíticos y experiencias de práctica, para formular una propuesta que atienda a dar solución a un problema del contexto educativo, con fundamentos teóricos.</t>
  </si>
  <si>
    <t>1. La investigación en ciencias sociales y la educación.
2. Las dimensiones socio espacio-temporales en la investigación educativa. 
3. Diseño y metodología de la investigación en educación.
4. La propuesta de investigación y su planeación final.</t>
  </si>
  <si>
    <t>Geografía África y Europa</t>
  </si>
  <si>
    <t xml:space="preserve">Analiza las características espaciales de África y Europa a través de estudios cartográficos del relacionamiento de los factores bióticos, abióticos y antrópicos, para explicar los desarrollos contemporáneos sobre el espacio. </t>
  </si>
  <si>
    <t xml:space="preserve">1. Problemas espaciales en África y Europa.
2. Estructuras geomorfológicas de África y Europa.
3. Configuraciones territoriales en África y Europa. 
4. Estructuras político-económicas y espacio geográfico en África y Europa. </t>
  </si>
  <si>
    <t>Historia de Colombia Siglo XIX</t>
  </si>
  <si>
    <t>Analiza los procesos históricos y proyectos de nación del siglo XIX colombiano, para explicar su influencia en las tensiones sociales y políticas del país actual.</t>
  </si>
  <si>
    <t>1. La crisis del orden colonial y la construcción del proyecto de nación.
2. Colombia ante la economía mundial.
3. Sociabilidades, cultura y opinión pública. 
4. Guerra civiles y cultura política.</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</si>
  <si>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</si>
  <si>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</si>
  <si>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</si>
  <si>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</si>
  <si>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Práctica II</t>
  </si>
  <si>
    <t xml:space="preserve">Desarrolla un proyecto de aula, para aplicar propuestas didácticas acordes a un contexto educativo previamente caracterizado.
 </t>
  </si>
  <si>
    <t>1. Formulación del proyecto de aula.
2. Diseño de proyecto de aula.
3. Implementación del proyecto de aula.
4. Evaluación proyecto de aula.</t>
  </si>
  <si>
    <t>Estudios de Campo en las Ciencias Sociales</t>
  </si>
  <si>
    <t>Analiza el contexto educativo para evaluar desde criterios investigativos, la información recolectada como parte de una investigación en ciencias sociales.</t>
  </si>
  <si>
    <t>1. La ética en la investigación en ciencias sociales. 
2. Sistematización y análisis de la información.
3. El retorno de conocimiento investigativo a las comunidades educativas. 
4. Socialización de resultados de investigación y sistema de ciencia en Colombia.</t>
  </si>
  <si>
    <t>Geografía Oceanía y Asia</t>
  </si>
  <si>
    <t>Analiza las relaciones espaciotemporales de carácter físico y político de manera comparada, para explicar las estructuras y configuraciones de los continentes de Asia y Oceanía.</t>
  </si>
  <si>
    <t>1. Problemas espaciales en Oceanía y Asia.
2. Estructuras geomorfológicas de Oceanía y Asia.
3. Configuraciones territoriales en Oceanía y Asia. 
4. Estructuras político-económicas y espacio geográfico en Oceanía y Asia.</t>
  </si>
  <si>
    <t>Historia de Colombia Siglo XX</t>
  </si>
  <si>
    <t>Analiza los procesos históricos del siglo XX en Colombia, para explicar su influencia en las transformaciones sociales, políticas y culturales del país.</t>
  </si>
  <si>
    <t>1. Modernización capitalista: industrialización, estado y neoliberalismo. 
2. Cultura popular, intelectuales y vida urbana.
3. Cultura política: movilización popular y vida pública.
4. Violencia, conflicto y paz.</t>
  </si>
  <si>
    <t>Innovación Educativa</t>
  </si>
  <si>
    <t>Analiza concepciones, tipos y características de la innovación educativa, para proponer alternativas que contribuyan a la mejora de la calidad educativa en un contexto específico.</t>
  </si>
  <si>
    <t>1. Concepciones sobre la innovación educativa.
2. Tipos de innovación educativa.
3. Características de innovación educativa.
4. Innovación y calidad educativa.</t>
  </si>
  <si>
    <t>Práctica III</t>
  </si>
  <si>
    <t>Analiza el currículo de ciencias sociales, para diseñar secuencias didácticas coherentes con los objetivos formativos del área.</t>
  </si>
  <si>
    <t>1. El currículo en ciencias sociales en Colombia.
2. La evaluación y el aprendizaje en ciencias sociales y la práctica pedagógica.
3. El currículo integral y las ciencias sociales.
4. La innovación curricular.</t>
  </si>
  <si>
    <t>Geopolítica</t>
  </si>
  <si>
    <t>Analiza las principales teorías y herramientas de la geopolítica, para interpretar las dinámicas del poder, los conflictos y los intereses territoriales en contextos globales y colombianos.</t>
  </si>
  <si>
    <t xml:space="preserve">1. Geografía, estado y poder.
2. Teorías geopolíticas.
3. Geopolítica moderna y contemporánea.
4. Geopolítica colombiana. </t>
  </si>
  <si>
    <t>Electiva I</t>
  </si>
  <si>
    <t>Electiva II</t>
  </si>
  <si>
    <t>Práctica IV</t>
  </si>
  <si>
    <t>Diseña estrategias educativas mediadas por tecnologías digitales, para resolver necesidades pedagógicas identificadas en el contexto escolar.</t>
  </si>
  <si>
    <t>1. Modelos educativos con énfasis en tecnologías digitales.
2. Contextos educativos y tecnologías digitales.
3. Usos de las tecnologías digitales en educación.
4. Diseño de estrategias educativas a través de tecnologías digitales.</t>
  </si>
  <si>
    <t>Cátedra Ciencias Sociales</t>
  </si>
  <si>
    <t>Analiza problemáticas actuales de la enseñanza de las ciencias sociales, para formular propuestas educativas que respondan a las necesidades de los contextos escolares desde su experiencia formativa.</t>
  </si>
  <si>
    <t>1. La actualidad de las ciencias sociales.
2. Debates y problemas propios del campo de enseñanza de las ciencias sociales en Colombia.
3. El problema del género en la educación media y la escuela.
4. Diversidad, integración e inclusión.</t>
  </si>
  <si>
    <t>Electiva III</t>
  </si>
  <si>
    <t>Electiva IV</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</si>
  <si>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</si>
  <si>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</si>
  <si>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</si>
  <si>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</si>
  <si>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</si>
  <si>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</si>
  <si>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</si>
  <si>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</si>
  <si>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</si>
  <si>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</si>
  <si>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</si>
  <si>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</si>
  <si>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</si>
  <si>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</si>
  <si>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</si>
  <si>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</si>
  <si>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</si>
  <si>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</si>
  <si>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</si>
  <si>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</si>
  <si>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</si>
  <si>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</si>
  <si>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</si>
  <si>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</si>
  <si>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</si>
  <si>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</si>
  <si>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</si>
  <si>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</si>
  <si>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</si>
  <si>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</si>
  <si>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</si>
  <si>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</si>
  <si>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</si>
  <si>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</si>
  <si>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</si>
  <si>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</si>
  <si>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</si>
  <si>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</si>
  <si>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</si>
  <si>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</si>
  <si>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</si>
  <si>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</si>
  <si>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</si>
  <si>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</si>
  <si>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</si>
  <si>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</si>
  <si>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</si>
  <si>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</si>
  <si>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</si>
  <si>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</si>
  <si>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</si>
  <si>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</si>
  <si>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</si>
  <si>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</si>
  <si>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</si>
  <si>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</si>
  <si>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SíntesisBAK</t>
  </si>
  <si>
    <t>EvaluaciónBAK</t>
  </si>
  <si>
    <t>ImitaciónBAK</t>
  </si>
  <si>
    <t>ManipulaciónBAK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</si>
  <si>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</si>
  <si>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</si>
  <si>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</si>
  <si>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</si>
  <si>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</si>
  <si>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</si>
  <si>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</si>
  <si>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</si>
  <si>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</si>
  <si>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</si>
  <si>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</si>
  <si>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</si>
  <si>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</si>
  <si>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</si>
  <si>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</si>
  <si>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</si>
  <si>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</si>
  <si>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</si>
  <si>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</si>
  <si>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</si>
  <si>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</si>
  <si>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</si>
  <si>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</si>
  <si>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</si>
  <si>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</si>
  <si>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</si>
  <si>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</si>
  <si>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</si>
  <si>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</si>
  <si>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</si>
  <si>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</si>
  <si>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</si>
  <si>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</si>
  <si>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</si>
  <si>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</si>
  <si>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</si>
  <si>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</si>
  <si>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</si>
  <si>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</si>
  <si>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</si>
  <si>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</si>
  <si>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</si>
  <si>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</si>
  <si>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</si>
  <si>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</si>
  <si>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</si>
  <si>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</si>
  <si>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</si>
  <si>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</si>
  <si>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</si>
  <si>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</si>
  <si>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</si>
  <si>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</si>
  <si>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</si>
  <si>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</si>
  <si>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</si>
  <si>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</si>
  <si>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</si>
  <si>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</si>
  <si>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</si>
  <si>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</si>
  <si>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</si>
  <si>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</si>
  <si>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</si>
  <si>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</si>
  <si>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</si>
  <si>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</si>
  <si>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</si>
  <si>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</si>
  <si>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</si>
  <si>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</si>
  <si>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</si>
  <si>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</si>
  <si>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</si>
  <si>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</si>
  <si>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</si>
  <si>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</si>
  <si>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</si>
  <si>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</si>
  <si>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</si>
  <si>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</si>
  <si>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</si>
  <si>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</si>
  <si>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</si>
  <si>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</si>
  <si>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</si>
  <si>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</si>
  <si>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</si>
  <si>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</si>
  <si>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</si>
  <si>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</si>
  <si>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</si>
  <si>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</si>
  <si>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</si>
  <si>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</si>
  <si>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</si>
  <si>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</si>
  <si>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</si>
  <si>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</si>
  <si>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</si>
  <si>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</si>
  <si>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</si>
  <si>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</si>
  <si>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</si>
  <si>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</si>
  <si>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</si>
  <si>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</si>
  <si>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</si>
  <si>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</si>
  <si>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</si>
  <si>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</si>
  <si>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</si>
  <si>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</si>
  <si>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</si>
  <si>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</si>
  <si>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</si>
  <si>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</si>
  <si>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</si>
  <si>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</si>
  <si>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</si>
  <si>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</si>
  <si>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</si>
  <si>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</si>
  <si>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</si>
  <si>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</si>
  <si>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</si>
  <si>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</si>
  <si>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Explicar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</si>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</sst>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
      <sz val="11"/>
      <color rgb="FF7030A0"/>
      <name val="Gill Sans MT"/>
      <family val="2"/>
    </font>
    <font>
      <i/>
      <sz val="1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style="medium">
        <color rgb="FF000000"/>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thin">
        <color auto="1"/>
      </top>
      <bottom style="hair">
        <color theme="1" tint="0.499984740745262"/>
      </bottom>
      <diagonal/>
    </border>
    <border>
      <left style="hair">
        <color theme="1" tint="0.499984740745262"/>
      </left>
      <right style="hair">
        <color theme="1" tint="0.499984740745262"/>
      </right>
      <top style="medium">
        <color indexed="64"/>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style="hair">
        <color theme="1" tint="0.499984740745262"/>
      </top>
      <bottom style="medium">
        <color indexed="64"/>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medium">
        <color indexed="64"/>
      </top>
      <bottom style="hair">
        <color indexed="64"/>
      </bottom>
      <diagonal/>
    </border>
    <border>
      <left style="hair">
        <color theme="1" tint="0.499984740745262"/>
      </left>
      <right/>
      <top style="hair">
        <color theme="1" tint="0.499984740745262"/>
      </top>
      <bottom style="medium">
        <color indexed="64"/>
      </bottom>
      <diagonal/>
    </border>
    <border>
      <left/>
      <right/>
      <top style="hair">
        <color theme="1" tint="0.499984740745262"/>
      </top>
      <bottom style="medium">
        <color indexed="64"/>
      </bottom>
      <diagonal/>
    </border>
    <border>
      <left/>
      <right style="hair">
        <color theme="1" tint="0.499984740745262"/>
      </right>
      <top style="hair">
        <color theme="1" tint="0.499984740745262"/>
      </top>
      <bottom style="medium">
        <color indexed="64"/>
      </bottom>
      <diagonal/>
    </border>
  </borders>
  <cellStyleXfs count="1">
    <xf numFmtId="0" fontId="0" fillId="0" borderId="0"/>
  </cellStyleXfs>
  <cellXfs count="229">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3" fillId="0" borderId="9" xfId="0" applyFont="1" applyBorder="1" applyAlignment="1">
      <alignment vertical="center" wrapText="1"/>
    </xf>
    <xf numFmtId="0" fontId="3" fillId="0" borderId="9" xfId="0" applyFont="1" applyBorder="1" applyAlignment="1">
      <alignment vertical="center"/>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14" xfId="0" applyFont="1" applyBorder="1" applyAlignment="1">
      <alignment vertical="center" wrapText="1"/>
    </xf>
    <xf numFmtId="0" fontId="3" fillId="0" borderId="14" xfId="0" applyFont="1" applyBorder="1" applyAlignment="1">
      <alignment vertical="center" wrapText="1"/>
    </xf>
    <xf numFmtId="0" fontId="3" fillId="0" borderId="17" xfId="0" applyFont="1" applyBorder="1" applyAlignment="1">
      <alignment horizontal="center" vertical="center" wrapText="1"/>
    </xf>
    <xf numFmtId="0" fontId="3" fillId="0" borderId="21" xfId="0" applyFont="1" applyBorder="1" applyAlignment="1">
      <alignment horizontal="left" vertical="center" wrapText="1"/>
    </xf>
    <xf numFmtId="0" fontId="4" fillId="0" borderId="22" xfId="0" applyFont="1" applyBorder="1" applyAlignment="1">
      <alignmen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3" fillId="0" borderId="23" xfId="0" applyFont="1" applyBorder="1" applyAlignment="1">
      <alignment vertical="center" wrapText="1"/>
    </xf>
    <xf numFmtId="0" fontId="3" fillId="0" borderId="23" xfId="0" applyFont="1" applyBorder="1" applyAlignment="1">
      <alignment vertical="center"/>
    </xf>
    <xf numFmtId="0" fontId="4" fillId="0" borderId="23" xfId="0" applyFont="1" applyBorder="1" applyAlignment="1">
      <alignment vertical="center" wrapText="1"/>
    </xf>
    <xf numFmtId="0" fontId="4" fillId="0" borderId="14" xfId="0" applyFont="1" applyBorder="1" applyAlignment="1">
      <alignment vertical="center"/>
    </xf>
    <xf numFmtId="0" fontId="3" fillId="0" borderId="14" xfId="0" applyFont="1" applyBorder="1" applyAlignment="1">
      <alignment vertical="center"/>
    </xf>
    <xf numFmtId="0" fontId="4" fillId="0" borderId="17" xfId="0" applyFont="1" applyBorder="1" applyAlignment="1">
      <alignment vertical="center" wrapText="1"/>
    </xf>
    <xf numFmtId="0" fontId="4" fillId="0" borderId="24" xfId="0" applyFont="1" applyBorder="1" applyAlignment="1">
      <alignment vertical="center" wrapText="1"/>
    </xf>
    <xf numFmtId="0" fontId="4" fillId="0" borderId="24"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vertical="center"/>
    </xf>
    <xf numFmtId="0" fontId="4" fillId="0" borderId="1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3" fillId="0" borderId="14" xfId="0" applyFont="1" applyBorder="1" applyAlignment="1">
      <alignment horizontal="center" vertical="center" wrapText="1"/>
    </xf>
    <xf numFmtId="0" fontId="3" fillId="0" borderId="26" xfId="0" applyFont="1" applyBorder="1" applyAlignment="1">
      <alignment vertical="center" wrapText="1"/>
    </xf>
    <xf numFmtId="0" fontId="3" fillId="0" borderId="26" xfId="0" applyFont="1" applyBorder="1" applyAlignment="1">
      <alignment horizontal="center" vertical="center" wrapText="1"/>
    </xf>
    <xf numFmtId="0" fontId="3" fillId="0" borderId="26" xfId="0" applyFont="1" applyBorder="1" applyAlignment="1">
      <alignment vertical="center"/>
    </xf>
    <xf numFmtId="0" fontId="4" fillId="0" borderId="24" xfId="0" applyFont="1" applyBorder="1" applyAlignment="1">
      <alignment vertical="center"/>
    </xf>
    <xf numFmtId="0" fontId="4" fillId="0" borderId="26" xfId="0" applyFont="1" applyBorder="1" applyAlignment="1">
      <alignment horizontal="center" vertical="center" wrapText="1"/>
    </xf>
    <xf numFmtId="0" fontId="4" fillId="0" borderId="26" xfId="0" applyFont="1" applyBorder="1" applyAlignment="1">
      <alignment vertical="center" wrapText="1"/>
    </xf>
    <xf numFmtId="0" fontId="4" fillId="0" borderId="26" xfId="0" applyFont="1" applyBorder="1" applyAlignment="1">
      <alignment vertical="center"/>
    </xf>
    <xf numFmtId="0" fontId="4" fillId="0" borderId="20" xfId="0" applyFont="1" applyBorder="1" applyAlignment="1">
      <alignment vertical="center" wrapText="1"/>
    </xf>
    <xf numFmtId="0" fontId="3" fillId="0" borderId="24" xfId="0" applyFont="1" applyBorder="1" applyAlignment="1">
      <alignment horizontal="center" vertical="center" wrapText="1"/>
    </xf>
    <xf numFmtId="0" fontId="3" fillId="7" borderId="27" xfId="0" applyFont="1" applyFill="1" applyBorder="1" applyAlignment="1">
      <alignment horizontal="left" vertical="center"/>
    </xf>
    <xf numFmtId="0" fontId="3" fillId="7" borderId="28" xfId="0" applyFont="1" applyFill="1" applyBorder="1" applyAlignment="1">
      <alignment horizontal="left" vertical="center" wrapText="1"/>
    </xf>
    <xf numFmtId="0" fontId="3" fillId="7" borderId="25" xfId="0" applyFont="1" applyFill="1" applyBorder="1" applyAlignment="1">
      <alignment horizontal="center" vertical="center" wrapText="1"/>
    </xf>
    <xf numFmtId="0" fontId="4" fillId="7" borderId="25" xfId="0" applyFont="1" applyFill="1" applyBorder="1" applyAlignment="1">
      <alignment horizontal="center" vertical="center" wrapText="1"/>
    </xf>
    <xf numFmtId="0" fontId="3" fillId="7" borderId="25" xfId="0" applyFont="1" applyFill="1" applyBorder="1" applyAlignment="1">
      <alignment horizontal="left" vertical="center" wrapText="1"/>
    </xf>
    <xf numFmtId="49" fontId="3" fillId="7" borderId="25" xfId="0" applyNumberFormat="1" applyFont="1" applyFill="1" applyBorder="1" applyAlignment="1">
      <alignment horizontal="left" vertical="center" wrapText="1"/>
    </xf>
    <xf numFmtId="0" fontId="4" fillId="7" borderId="28" xfId="0" applyFont="1" applyFill="1" applyBorder="1" applyAlignment="1">
      <alignment horizontal="left" vertical="center" wrapText="1"/>
    </xf>
    <xf numFmtId="0" fontId="3" fillId="7"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3" fillId="7" borderId="29" xfId="0" applyFont="1" applyFill="1" applyBorder="1" applyAlignment="1">
      <alignment horizontal="center" vertical="center" wrapText="1"/>
    </xf>
    <xf numFmtId="0" fontId="3" fillId="0" borderId="16" xfId="0" applyFont="1" applyBorder="1" applyAlignment="1">
      <alignment horizontal="left" vertical="center"/>
    </xf>
    <xf numFmtId="0" fontId="3" fillId="0" borderId="16" xfId="0" applyFont="1" applyBorder="1" applyAlignment="1">
      <alignment horizontal="left" vertical="center" wrapText="1"/>
    </xf>
    <xf numFmtId="0" fontId="3" fillId="0" borderId="30" xfId="0" applyFont="1" applyBorder="1" applyAlignment="1">
      <alignment horizontal="left" vertical="center"/>
    </xf>
    <xf numFmtId="0" fontId="3" fillId="0" borderId="27" xfId="0" applyFont="1" applyBorder="1" applyAlignment="1">
      <alignment horizontal="left" vertical="center" wrapText="1"/>
    </xf>
    <xf numFmtId="0" fontId="4" fillId="7" borderId="25" xfId="0" applyFont="1" applyFill="1" applyBorder="1" applyAlignment="1">
      <alignment horizontal="left" vertical="center" wrapText="1"/>
    </xf>
    <xf numFmtId="0" fontId="3" fillId="7" borderId="25" xfId="0" applyFont="1" applyFill="1" applyBorder="1" applyAlignment="1">
      <alignment horizontal="center" vertical="center"/>
    </xf>
    <xf numFmtId="0" fontId="3" fillId="7" borderId="25" xfId="0" applyFont="1" applyFill="1" applyBorder="1" applyAlignment="1" applyProtection="1">
      <alignment horizontal="center" vertical="center" wrapText="1"/>
      <protection locked="0"/>
    </xf>
    <xf numFmtId="0" fontId="4" fillId="7" borderId="25" xfId="0" applyFont="1" applyFill="1" applyBorder="1" applyAlignment="1">
      <alignment vertical="center" wrapText="1"/>
    </xf>
    <xf numFmtId="0" fontId="4" fillId="7" borderId="28" xfId="0" applyFont="1" applyFill="1" applyBorder="1" applyAlignment="1">
      <alignment vertical="center" wrapText="1"/>
    </xf>
    <xf numFmtId="0" fontId="4" fillId="7" borderId="25" xfId="0" applyFont="1" applyFill="1" applyBorder="1" applyAlignment="1" applyProtection="1">
      <alignment horizontal="left" vertical="center" wrapText="1"/>
      <protection locked="0"/>
    </xf>
    <xf numFmtId="0" fontId="3" fillId="10" borderId="28" xfId="0" applyFont="1" applyFill="1" applyBorder="1" applyAlignment="1">
      <alignment horizontal="left" vertical="center" wrapText="1"/>
    </xf>
    <xf numFmtId="0" fontId="3" fillId="10" borderId="28" xfId="0" applyFont="1" applyFill="1" applyBorder="1" applyAlignment="1">
      <alignment horizontal="center" vertical="center"/>
    </xf>
    <xf numFmtId="0" fontId="3" fillId="10" borderId="28" xfId="0" applyFont="1" applyFill="1" applyBorder="1" applyAlignment="1">
      <alignment horizontal="center" vertical="center" wrapText="1"/>
    </xf>
    <xf numFmtId="0" fontId="3" fillId="10" borderId="28" xfId="0" applyFont="1" applyFill="1" applyBorder="1" applyAlignment="1" applyProtection="1">
      <alignment horizontal="left" vertical="center"/>
      <protection locked="0"/>
    </xf>
    <xf numFmtId="0" fontId="3" fillId="10" borderId="28" xfId="0" applyFont="1" applyFill="1" applyBorder="1" applyAlignment="1" applyProtection="1">
      <alignment horizontal="center" vertical="center" wrapText="1"/>
      <protection locked="0"/>
    </xf>
    <xf numFmtId="0" fontId="3" fillId="10" borderId="27" xfId="0" applyFont="1" applyFill="1" applyBorder="1" applyAlignment="1" applyProtection="1">
      <alignment horizontal="center" vertical="center" wrapText="1"/>
      <protection locked="0"/>
    </xf>
    <xf numFmtId="0" fontId="4" fillId="10" borderId="28" xfId="0" applyFont="1" applyFill="1" applyBorder="1" applyAlignment="1">
      <alignment horizontal="left" vertical="center" wrapText="1"/>
    </xf>
    <xf numFmtId="0" fontId="4" fillId="10" borderId="28" xfId="0" applyFont="1" applyFill="1" applyBorder="1" applyAlignment="1" applyProtection="1">
      <alignment horizontal="left" vertical="center" wrapText="1"/>
      <protection locked="0"/>
    </xf>
    <xf numFmtId="0" fontId="3" fillId="10" borderId="25" xfId="0" applyFont="1" applyFill="1" applyBorder="1" applyAlignment="1">
      <alignment horizontal="left" vertical="center" wrapText="1"/>
    </xf>
    <xf numFmtId="0" fontId="3" fillId="10" borderId="25" xfId="0" applyFont="1" applyFill="1" applyBorder="1" applyAlignment="1">
      <alignment horizontal="center" vertical="center"/>
    </xf>
    <xf numFmtId="0" fontId="3" fillId="10" borderId="25" xfId="0" applyFont="1" applyFill="1" applyBorder="1" applyAlignment="1">
      <alignment horizontal="center" vertical="center" wrapText="1"/>
    </xf>
    <xf numFmtId="0" fontId="4" fillId="10" borderId="25" xfId="0" applyFont="1" applyFill="1" applyBorder="1" applyAlignment="1" applyProtection="1">
      <alignment horizontal="left" vertical="center" wrapText="1"/>
      <protection locked="0"/>
    </xf>
    <xf numFmtId="0" fontId="24" fillId="6" borderId="31" xfId="0" applyFont="1" applyFill="1" applyBorder="1" applyAlignment="1">
      <alignment horizontal="center" vertical="center" wrapText="1"/>
    </xf>
    <xf numFmtId="0" fontId="24" fillId="6" borderId="22" xfId="0" applyFont="1" applyFill="1" applyBorder="1" applyAlignment="1">
      <alignment horizontal="center" vertical="center" wrapText="1"/>
    </xf>
    <xf numFmtId="0" fontId="25" fillId="11" borderId="32"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0" fillId="0" borderId="0" xfId="0" applyAlignment="1">
      <alignment horizontal="center" vertical="center"/>
    </xf>
    <xf numFmtId="0" fontId="9" fillId="0" borderId="26" xfId="0" applyFont="1" applyBorder="1" applyAlignment="1">
      <alignment horizontal="center" vertical="center" wrapText="1"/>
    </xf>
    <xf numFmtId="0" fontId="9" fillId="0" borderId="21" xfId="0" applyFont="1" applyBorder="1" applyAlignment="1">
      <alignment horizontal="left" vertical="center" wrapText="1"/>
    </xf>
    <xf numFmtId="0" fontId="4" fillId="0" borderId="33" xfId="0" applyFont="1" applyBorder="1" applyAlignment="1">
      <alignment vertical="center" wrapText="1"/>
    </xf>
    <xf numFmtId="0" fontId="9" fillId="0" borderId="14" xfId="0" applyFont="1" applyBorder="1" applyAlignment="1">
      <alignment vertical="center" wrapText="1"/>
    </xf>
    <xf numFmtId="0" fontId="9" fillId="0" borderId="14" xfId="0" applyFont="1" applyBorder="1" applyAlignment="1">
      <alignment horizontal="left" vertical="center" wrapText="1"/>
    </xf>
    <xf numFmtId="0" fontId="9" fillId="0" borderId="24" xfId="0" applyFont="1" applyBorder="1" applyAlignment="1">
      <alignment horizontal="left" vertical="center" wrapText="1"/>
    </xf>
    <xf numFmtId="0" fontId="9" fillId="0" borderId="26" xfId="0" applyFont="1" applyBorder="1" applyAlignment="1">
      <alignment horizontal="left" vertical="center" wrapText="1"/>
    </xf>
    <xf numFmtId="0" fontId="9" fillId="7" borderId="25" xfId="0" applyFont="1" applyFill="1" applyBorder="1" applyAlignment="1">
      <alignment horizontal="left" vertical="center" wrapText="1"/>
    </xf>
    <xf numFmtId="0" fontId="26" fillId="0" borderId="6" xfId="0" applyFont="1" applyBorder="1" applyAlignment="1">
      <alignment vertical="center" wrapText="1"/>
    </xf>
    <xf numFmtId="0" fontId="3" fillId="0" borderId="27" xfId="0" applyFont="1" applyBorder="1" applyAlignment="1">
      <alignment horizontal="left" vertical="center"/>
    </xf>
    <xf numFmtId="0" fontId="3" fillId="7" borderId="27" xfId="0" applyFont="1" applyFill="1" applyBorder="1" applyAlignment="1">
      <alignment horizontal="left" vertical="center" wrapText="1"/>
    </xf>
    <xf numFmtId="0" fontId="3" fillId="10" borderId="28" xfId="0" applyFont="1" applyFill="1" applyBorder="1" applyAlignment="1">
      <alignment horizontal="left"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4" fillId="0" borderId="19" xfId="0" applyFont="1" applyBorder="1" applyAlignment="1">
      <alignment vertical="center" wrapText="1"/>
    </xf>
    <xf numFmtId="0" fontId="4" fillId="0" borderId="24" xfId="0" applyFont="1" applyBorder="1" applyAlignment="1">
      <alignment horizontal="left" vertical="center" wrapText="1"/>
    </xf>
    <xf numFmtId="0" fontId="3" fillId="0" borderId="24" xfId="0" applyFont="1" applyBorder="1" applyAlignment="1">
      <alignment horizontal="left" vertical="center" wrapText="1"/>
    </xf>
    <xf numFmtId="0" fontId="3" fillId="0" borderId="17" xfId="0" applyFont="1" applyBorder="1" applyAlignment="1">
      <alignment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36" xfId="0" applyFont="1" applyBorder="1" applyAlignment="1">
      <alignment horizontal="left" vertical="center" wrapText="1"/>
    </xf>
    <xf numFmtId="0" fontId="3" fillId="0" borderId="24" xfId="0" applyFont="1" applyBorder="1" applyAlignment="1">
      <alignment horizontal="left" vertical="center"/>
    </xf>
    <xf numFmtId="0" fontId="3" fillId="0" borderId="25" xfId="0" applyFont="1" applyBorder="1" applyAlignment="1" applyProtection="1">
      <alignment horizontal="left" vertical="center" wrapText="1"/>
      <protection locked="0"/>
    </xf>
    <xf numFmtId="0" fontId="3" fillId="0" borderId="16" xfId="0" applyFont="1" applyBorder="1" applyAlignment="1" applyProtection="1">
      <alignment horizontal="left" vertical="center" wrapText="1"/>
      <protection locked="0"/>
    </xf>
    <xf numFmtId="0" fontId="3" fillId="0" borderId="25" xfId="0" applyFont="1" applyBorder="1" applyAlignment="1">
      <alignment horizontal="center" vertical="center" wrapText="1"/>
    </xf>
    <xf numFmtId="0" fontId="3" fillId="0" borderId="16" xfId="0" applyFont="1" applyBorder="1" applyAlignment="1">
      <alignment horizontal="center" vertical="center" wrapText="1"/>
    </xf>
    <xf numFmtId="0" fontId="16" fillId="6" borderId="0" xfId="0" applyFont="1" applyFill="1" applyAlignment="1">
      <alignment horizontal="center" vertical="center" wrapText="1"/>
    </xf>
    <xf numFmtId="0" fontId="3" fillId="0" borderId="25" xfId="0" applyFont="1" applyBorder="1" applyAlignment="1">
      <alignment horizontal="center" vertical="center"/>
    </xf>
    <xf numFmtId="0" fontId="3" fillId="0" borderId="16"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Border="1" applyAlignment="1">
      <alignment horizontal="center" vertical="center" wrapText="1"/>
    </xf>
    <xf numFmtId="0" fontId="4" fillId="0" borderId="16" xfId="0" applyFont="1" applyBorder="1" applyAlignment="1" applyProtection="1">
      <alignment horizontal="left" vertical="center" wrapText="1"/>
      <protection locked="0"/>
    </xf>
    <xf numFmtId="0" fontId="4" fillId="0" borderId="27" xfId="0" applyFont="1" applyBorder="1" applyAlignment="1" applyProtection="1">
      <alignment horizontal="left" vertical="center" wrapText="1"/>
      <protection locked="0"/>
    </xf>
    <xf numFmtId="0" fontId="3" fillId="0" borderId="25" xfId="0" applyFont="1" applyBorder="1" applyAlignment="1">
      <alignment horizontal="left" vertical="center" wrapText="1"/>
    </xf>
    <xf numFmtId="0" fontId="3" fillId="0" borderId="16" xfId="0" applyFont="1" applyBorder="1" applyAlignment="1">
      <alignment horizontal="left" vertical="center" wrapText="1"/>
    </xf>
    <xf numFmtId="0" fontId="4" fillId="0" borderId="25" xfId="0" applyFont="1" applyBorder="1" applyAlignment="1" applyProtection="1">
      <alignment horizontal="left" vertical="center" wrapText="1"/>
      <protection locked="0"/>
    </xf>
    <xf numFmtId="0" fontId="9" fillId="0" borderId="25" xfId="0" applyFont="1" applyBorder="1" applyAlignment="1">
      <alignment horizontal="center" vertical="center" wrapText="1"/>
    </xf>
    <xf numFmtId="0" fontId="9" fillId="0" borderId="16" xfId="0" applyFont="1" applyBorder="1" applyAlignment="1">
      <alignment horizontal="center" vertical="center" wrapText="1"/>
    </xf>
    <xf numFmtId="0" fontId="3" fillId="0" borderId="27" xfId="0" applyFont="1" applyBorder="1" applyAlignment="1" applyProtection="1">
      <alignment horizontal="left" vertical="center" wrapText="1"/>
      <protection locked="0"/>
    </xf>
    <xf numFmtId="0" fontId="3" fillId="12" borderId="16" xfId="0" applyFont="1" applyFill="1" applyBorder="1" applyAlignment="1" applyProtection="1">
      <alignment horizontal="left" vertical="center" wrapText="1"/>
      <protection locked="0"/>
    </xf>
    <xf numFmtId="0" fontId="3" fillId="12" borderId="27" xfId="0" applyFont="1" applyFill="1" applyBorder="1" applyAlignment="1" applyProtection="1">
      <alignment horizontal="left" vertical="center" wrapText="1"/>
      <protection locked="0"/>
    </xf>
    <xf numFmtId="0" fontId="3" fillId="0" borderId="30" xfId="0" applyFont="1" applyBorder="1" applyAlignment="1" applyProtection="1">
      <alignment horizontal="left" vertical="center" wrapText="1"/>
      <protection locked="0"/>
    </xf>
    <xf numFmtId="0" fontId="3" fillId="0" borderId="30" xfId="0" applyFont="1" applyBorder="1" applyAlignment="1">
      <alignment horizontal="center" vertical="center" wrapText="1"/>
    </xf>
    <xf numFmtId="0" fontId="4" fillId="0" borderId="30" xfId="0" applyFont="1" applyBorder="1" applyAlignment="1" applyProtection="1">
      <alignment horizontal="left" vertical="center" wrapText="1"/>
      <protection locked="0"/>
    </xf>
    <xf numFmtId="0" fontId="3" fillId="0" borderId="15" xfId="0" applyFont="1" applyBorder="1" applyAlignment="1">
      <alignment horizontal="left" vertical="center" wrapText="1"/>
    </xf>
    <xf numFmtId="0" fontId="18" fillId="2" borderId="0" xfId="0" applyFont="1" applyFill="1" applyAlignment="1">
      <alignment horizontal="center"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4" fillId="0" borderId="6" xfId="0" applyFont="1" applyBorder="1" applyAlignment="1">
      <alignment horizontal="center"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election activeCell="E3" sqref="E3:G6"/>
    </sheetView>
  </sheetViews>
  <sheetFormatPr baseColWidth="10" defaultColWidth="76.26953125" defaultRowHeight="16.5" x14ac:dyDescent="0.35"/>
  <cols>
    <col min="1" max="1" width="23.1796875" style="23" customWidth="1"/>
    <col min="2" max="2" width="17.1796875" style="23" customWidth="1"/>
    <col min="3" max="4" width="52.54296875" style="23" customWidth="1"/>
    <col min="5" max="5" width="32.1796875" style="23" customWidth="1"/>
    <col min="6" max="6" width="34" style="11" customWidth="1"/>
    <col min="7" max="7" width="51" style="23" customWidth="1"/>
    <col min="8" max="10" width="63.1796875" style="23" customWidth="1"/>
    <col min="11" max="16384" width="76.26953125" style="23"/>
  </cols>
  <sheetData>
    <row r="1" spans="1:11" s="19" customFormat="1" ht="42.5" x14ac:dyDescent="0.35">
      <c r="A1" s="17" t="s">
        <v>0</v>
      </c>
      <c r="B1" s="17" t="s">
        <v>1</v>
      </c>
      <c r="C1" s="17" t="s">
        <v>2</v>
      </c>
      <c r="D1" s="17" t="s">
        <v>3</v>
      </c>
      <c r="E1" s="195" t="s">
        <v>4</v>
      </c>
      <c r="F1" s="195"/>
      <c r="G1" s="195"/>
      <c r="H1" s="195" t="s">
        <v>5</v>
      </c>
      <c r="I1" s="195"/>
      <c r="J1" s="195"/>
      <c r="K1" s="18" t="s">
        <v>6</v>
      </c>
    </row>
    <row r="2" spans="1:11" s="19" customFormat="1" x14ac:dyDescent="0.35">
      <c r="A2" s="20" t="s">
        <v>7</v>
      </c>
      <c r="B2" s="20" t="s">
        <v>8</v>
      </c>
      <c r="C2" s="20" t="s">
        <v>9</v>
      </c>
      <c r="D2" s="20" t="s">
        <v>10</v>
      </c>
      <c r="E2" s="21" t="s">
        <v>11</v>
      </c>
      <c r="F2" s="21" t="s">
        <v>12</v>
      </c>
      <c r="G2" s="21" t="s">
        <v>13</v>
      </c>
      <c r="H2" s="21" t="s">
        <v>14</v>
      </c>
      <c r="I2" s="21" t="s">
        <v>15</v>
      </c>
      <c r="J2" s="69" t="s">
        <v>16</v>
      </c>
      <c r="K2" s="68" t="s">
        <v>17</v>
      </c>
    </row>
    <row r="3" spans="1:11" ht="34.5" customHeight="1" x14ac:dyDescent="0.35">
      <c r="A3" s="196" t="s">
        <v>18</v>
      </c>
      <c r="B3" s="196" t="s">
        <v>19</v>
      </c>
      <c r="C3" s="194" t="s">
        <v>20</v>
      </c>
      <c r="D3" s="194" t="s">
        <v>21</v>
      </c>
      <c r="E3" s="86" t="s">
        <v>22</v>
      </c>
      <c r="F3" s="87" t="s">
        <v>23</v>
      </c>
      <c r="G3" s="87" t="s">
        <v>24</v>
      </c>
      <c r="H3" s="194" t="s">
        <v>25</v>
      </c>
      <c r="I3" s="194" t="s">
        <v>26</v>
      </c>
      <c r="J3" s="194" t="s">
        <v>27</v>
      </c>
      <c r="K3" s="194" t="s">
        <v>28</v>
      </c>
    </row>
    <row r="4" spans="1:11" ht="66" x14ac:dyDescent="0.35">
      <c r="A4" s="175"/>
      <c r="B4" s="175"/>
      <c r="C4" s="184"/>
      <c r="D4" s="184"/>
      <c r="E4" s="88" t="s">
        <v>29</v>
      </c>
      <c r="F4" s="89" t="s">
        <v>30</v>
      </c>
      <c r="G4" s="89" t="s">
        <v>31</v>
      </c>
      <c r="H4" s="184"/>
      <c r="I4" s="184"/>
      <c r="J4" s="184"/>
      <c r="K4" s="184"/>
    </row>
    <row r="5" spans="1:11" ht="33" x14ac:dyDescent="0.35">
      <c r="A5" s="175"/>
      <c r="B5" s="175"/>
      <c r="C5" s="184"/>
      <c r="D5" s="184"/>
      <c r="E5" s="151" t="s">
        <v>32</v>
      </c>
      <c r="F5" s="89" t="s">
        <v>33</v>
      </c>
      <c r="G5" s="89" t="s">
        <v>34</v>
      </c>
      <c r="H5" s="184"/>
      <c r="I5" s="184"/>
      <c r="J5" s="184"/>
      <c r="K5" s="184"/>
    </row>
    <row r="6" spans="1:11" ht="66.5" thickBot="1" x14ac:dyDescent="0.4">
      <c r="A6" s="175"/>
      <c r="B6" s="175"/>
      <c r="C6" s="184"/>
      <c r="D6" s="184"/>
      <c r="E6" s="168" t="s">
        <v>35</v>
      </c>
      <c r="F6" s="169" t="s">
        <v>36</v>
      </c>
      <c r="G6" s="170" t="s">
        <v>37</v>
      </c>
      <c r="H6" s="184"/>
      <c r="I6" s="184"/>
      <c r="J6" s="184"/>
      <c r="K6" s="184"/>
    </row>
    <row r="7" spans="1:11" ht="66" x14ac:dyDescent="0.35">
      <c r="A7" s="197"/>
      <c r="B7" s="197"/>
      <c r="C7" s="198"/>
      <c r="D7" s="198"/>
      <c r="E7" s="162" t="s">
        <v>38</v>
      </c>
      <c r="F7" s="163" t="s">
        <v>39</v>
      </c>
      <c r="G7" s="164" t="s">
        <v>40</v>
      </c>
      <c r="H7" s="167"/>
      <c r="I7" s="167"/>
      <c r="J7" s="167"/>
      <c r="K7" s="167"/>
    </row>
    <row r="8" spans="1:11" x14ac:dyDescent="0.35">
      <c r="C8" s="22"/>
      <c r="H8" s="15"/>
    </row>
    <row r="9" spans="1:11" ht="33" x14ac:dyDescent="0.35">
      <c r="E9" s="24"/>
      <c r="F9" s="15"/>
      <c r="G9" s="24"/>
      <c r="H9" s="15"/>
      <c r="I9" s="23" t="s">
        <v>41</v>
      </c>
    </row>
    <row r="10" spans="1:11" x14ac:dyDescent="0.35">
      <c r="E10" s="15"/>
      <c r="F10" s="15"/>
      <c r="G10" s="15"/>
      <c r="H10" s="15"/>
    </row>
    <row r="11" spans="1:11" x14ac:dyDescent="0.35">
      <c r="E11" s="24"/>
      <c r="F11" s="24"/>
      <c r="G11" s="24"/>
      <c r="H11" s="15"/>
    </row>
    <row r="12" spans="1:11" x14ac:dyDescent="0.35">
      <c r="E12" s="24"/>
      <c r="F12" s="24"/>
      <c r="G12" s="24"/>
      <c r="H12" s="15"/>
    </row>
    <row r="13" spans="1:11" x14ac:dyDescent="0.35">
      <c r="E13" s="15"/>
      <c r="F13" s="15"/>
      <c r="H13" s="15"/>
    </row>
    <row r="14" spans="1:11" x14ac:dyDescent="0.35">
      <c r="E14" s="15"/>
      <c r="F14" s="15"/>
      <c r="H14" s="15"/>
      <c r="I14" s="22"/>
    </row>
    <row r="15" spans="1:11" x14ac:dyDescent="0.35">
      <c r="E15" s="15"/>
      <c r="F15" s="15"/>
    </row>
  </sheetData>
  <mergeCells count="10">
    <mergeCell ref="K3:K6"/>
    <mergeCell ref="E1:G1"/>
    <mergeCell ref="H1:J1"/>
    <mergeCell ref="A3:A7"/>
    <mergeCell ref="B3:B7"/>
    <mergeCell ref="C3:C7"/>
    <mergeCell ref="D3:D7"/>
    <mergeCell ref="H3:H6"/>
    <mergeCell ref="I3:I6"/>
    <mergeCell ref="J3:J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3" customWidth="1"/>
    <col min="2" max="2" width="18" style="23" customWidth="1"/>
    <col min="3" max="3" width="30.453125" style="23" customWidth="1"/>
    <col min="4" max="4" width="34" style="23" customWidth="1"/>
    <col min="5" max="5" width="56.7265625" style="23" customWidth="1"/>
    <col min="6" max="6" width="90.453125" style="23" customWidth="1"/>
    <col min="7" max="7" width="32.453125" style="23" customWidth="1"/>
    <col min="8" max="16384" width="11.453125" style="23"/>
  </cols>
  <sheetData>
    <row r="1" spans="1:7" x14ac:dyDescent="0.35">
      <c r="A1" s="199" t="s">
        <v>42</v>
      </c>
      <c r="B1" s="200"/>
      <c r="C1" s="200"/>
      <c r="D1" s="200"/>
      <c r="E1" s="200"/>
      <c r="F1" s="200"/>
      <c r="G1" s="200"/>
    </row>
    <row r="2" spans="1:7" s="29" customFormat="1" ht="52" x14ac:dyDescent="0.35">
      <c r="A2" s="77" t="s">
        <v>43</v>
      </c>
      <c r="B2" s="78" t="s">
        <v>44</v>
      </c>
      <c r="C2" s="78" t="s">
        <v>45</v>
      </c>
      <c r="D2" s="78" t="s">
        <v>46</v>
      </c>
      <c r="E2" s="78" t="s">
        <v>47</v>
      </c>
      <c r="F2" s="79" t="s">
        <v>48</v>
      </c>
      <c r="G2" s="79" t="s">
        <v>49</v>
      </c>
    </row>
    <row r="3" spans="1:7" s="32" customFormat="1" ht="33" x14ac:dyDescent="0.35">
      <c r="A3" s="80" t="s">
        <v>50</v>
      </c>
      <c r="B3" s="81" t="s">
        <v>51</v>
      </c>
      <c r="C3" s="81" t="s">
        <v>52</v>
      </c>
      <c r="D3" s="81" t="s">
        <v>53</v>
      </c>
      <c r="E3" s="81" t="s">
        <v>54</v>
      </c>
      <c r="F3" s="82" t="s">
        <v>55</v>
      </c>
      <c r="G3" s="82" t="s">
        <v>56</v>
      </c>
    </row>
    <row r="4" spans="1:7" ht="49.5" x14ac:dyDescent="0.35">
      <c r="A4" s="101">
        <v>1</v>
      </c>
      <c r="B4" s="91" t="s">
        <v>57</v>
      </c>
      <c r="C4" s="90" t="s">
        <v>22</v>
      </c>
      <c r="D4" s="92" t="s">
        <v>23</v>
      </c>
      <c r="E4" s="92" t="s">
        <v>24</v>
      </c>
      <c r="F4" s="90" t="s">
        <v>58</v>
      </c>
      <c r="G4" s="90" t="s">
        <v>59</v>
      </c>
    </row>
    <row r="5" spans="1:7" s="22" customFormat="1" ht="66" x14ac:dyDescent="0.35">
      <c r="A5" s="100">
        <v>2</v>
      </c>
      <c r="B5" s="83" t="s">
        <v>60</v>
      </c>
      <c r="C5" s="83" t="s">
        <v>29</v>
      </c>
      <c r="D5" s="83" t="s">
        <v>30</v>
      </c>
      <c r="E5" s="83" t="s">
        <v>31</v>
      </c>
      <c r="F5" s="83" t="s">
        <v>61</v>
      </c>
      <c r="G5" s="83" t="s">
        <v>59</v>
      </c>
    </row>
    <row r="6" spans="1:7" s="22" customFormat="1" ht="49.5" x14ac:dyDescent="0.35">
      <c r="A6" s="100">
        <v>3</v>
      </c>
      <c r="B6" s="83" t="s">
        <v>62</v>
      </c>
      <c r="C6" s="83" t="s">
        <v>32</v>
      </c>
      <c r="D6" s="83" t="s">
        <v>33</v>
      </c>
      <c r="E6" s="83" t="s">
        <v>34</v>
      </c>
      <c r="F6" s="83" t="s">
        <v>63</v>
      </c>
      <c r="G6" s="83" t="s">
        <v>59</v>
      </c>
    </row>
    <row r="7" spans="1:7" s="72" customFormat="1" ht="66.5" thickBot="1" x14ac:dyDescent="0.4">
      <c r="A7" s="150">
        <v>4</v>
      </c>
      <c r="B7" s="93" t="s">
        <v>64</v>
      </c>
      <c r="C7" s="83" t="s">
        <v>35</v>
      </c>
      <c r="D7" s="83" t="s">
        <v>36</v>
      </c>
      <c r="E7" s="83" t="s">
        <v>37</v>
      </c>
      <c r="F7" s="83" t="s">
        <v>65</v>
      </c>
      <c r="G7" s="83" t="s">
        <v>59</v>
      </c>
    </row>
    <row r="8" spans="1:7" ht="66" x14ac:dyDescent="0.35">
      <c r="A8" s="85">
        <v>5</v>
      </c>
      <c r="B8" s="165" t="s">
        <v>66</v>
      </c>
      <c r="C8" s="98" t="s">
        <v>38</v>
      </c>
      <c r="D8" s="98" t="s">
        <v>39</v>
      </c>
      <c r="E8" s="98" t="s">
        <v>40</v>
      </c>
      <c r="F8" s="96" t="s">
        <v>67</v>
      </c>
      <c r="G8" s="166" t="s">
        <v>68</v>
      </c>
    </row>
    <row r="9" spans="1:7" x14ac:dyDescent="0.35">
      <c r="A9" s="19"/>
      <c r="C9" s="24"/>
      <c r="D9" s="24"/>
      <c r="E9" s="24"/>
      <c r="F9" s="22"/>
    </row>
    <row r="10" spans="1:7" x14ac:dyDescent="0.35">
      <c r="A10" s="19"/>
      <c r="C10" s="24"/>
      <c r="D10" s="24"/>
      <c r="E10" s="24"/>
      <c r="F10" s="22"/>
    </row>
    <row r="11" spans="1:7" x14ac:dyDescent="0.35">
      <c r="A11" s="19"/>
      <c r="C11" s="24"/>
      <c r="D11" s="24"/>
      <c r="E11" s="24"/>
      <c r="F11" s="22"/>
    </row>
    <row r="12" spans="1:7" x14ac:dyDescent="0.35">
      <c r="A12" s="19"/>
      <c r="C12" s="24"/>
      <c r="D12" s="24"/>
      <c r="E12" s="24"/>
      <c r="F12" s="22"/>
    </row>
    <row r="13" spans="1:7" x14ac:dyDescent="0.35">
      <c r="A13" s="19"/>
      <c r="C13" s="24"/>
      <c r="D13" s="24"/>
      <c r="E13" s="24"/>
      <c r="F13" s="22"/>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110" zoomScaleNormal="11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9" customWidth="1"/>
    <col min="3" max="3" width="23" style="23" customWidth="1"/>
    <col min="4" max="4" width="30.7265625" style="23" customWidth="1"/>
    <col min="5" max="5" width="25.54296875" style="23" customWidth="1"/>
    <col min="6" max="6" width="21.81640625" style="23" customWidth="1"/>
    <col min="7" max="7" width="27.453125" style="11" customWidth="1"/>
    <col min="8" max="8" width="20" style="11" customWidth="1"/>
    <col min="9" max="9" width="72" style="38" customWidth="1"/>
    <col min="10" max="16384" width="11.453125" style="15"/>
  </cols>
  <sheetData>
    <row r="1" spans="1:11" s="34" customFormat="1" ht="52" x14ac:dyDescent="0.35">
      <c r="A1" s="14" t="s">
        <v>69</v>
      </c>
      <c r="B1" s="14" t="s">
        <v>70</v>
      </c>
      <c r="C1" s="28" t="s">
        <v>71</v>
      </c>
      <c r="D1" s="75" t="s">
        <v>72</v>
      </c>
      <c r="E1" s="75" t="s">
        <v>73</v>
      </c>
      <c r="F1" s="28" t="s">
        <v>74</v>
      </c>
      <c r="G1" s="28" t="s">
        <v>75</v>
      </c>
      <c r="H1" s="28" t="s">
        <v>76</v>
      </c>
      <c r="I1" s="14" t="s">
        <v>77</v>
      </c>
    </row>
    <row r="2" spans="1:11" s="36" customFormat="1" x14ac:dyDescent="0.35">
      <c r="A2" s="33" t="s">
        <v>78</v>
      </c>
      <c r="B2" s="33" t="s">
        <v>79</v>
      </c>
      <c r="C2" s="30" t="s">
        <v>80</v>
      </c>
      <c r="D2" s="76" t="s">
        <v>81</v>
      </c>
      <c r="E2" s="76" t="s">
        <v>82</v>
      </c>
      <c r="F2" s="30" t="s">
        <v>83</v>
      </c>
      <c r="G2" s="30" t="s">
        <v>84</v>
      </c>
      <c r="H2" s="30" t="s">
        <v>85</v>
      </c>
      <c r="I2" s="33" t="s">
        <v>86</v>
      </c>
    </row>
    <row r="3" spans="1:11" ht="49.5" x14ac:dyDescent="0.35">
      <c r="A3" s="90" t="s">
        <v>58</v>
      </c>
      <c r="B3" s="101">
        <v>1</v>
      </c>
      <c r="C3" s="90" t="s">
        <v>11</v>
      </c>
      <c r="D3" s="90" t="s">
        <v>22</v>
      </c>
      <c r="E3" s="90" t="s">
        <v>87</v>
      </c>
      <c r="F3" s="91" t="s">
        <v>88</v>
      </c>
      <c r="G3" s="91" t="s">
        <v>89</v>
      </c>
      <c r="H3" s="91" t="s">
        <v>66</v>
      </c>
      <c r="I3" s="102" t="s">
        <v>90</v>
      </c>
    </row>
    <row r="4" spans="1:11" ht="49.5" x14ac:dyDescent="0.5">
      <c r="A4" s="84" t="s">
        <v>58</v>
      </c>
      <c r="B4" s="103">
        <v>3</v>
      </c>
      <c r="C4" s="84" t="s">
        <v>12</v>
      </c>
      <c r="D4" s="84" t="s">
        <v>23</v>
      </c>
      <c r="E4" s="84" t="s">
        <v>87</v>
      </c>
      <c r="F4" s="94" t="s">
        <v>91</v>
      </c>
      <c r="G4" s="94" t="s">
        <v>92</v>
      </c>
      <c r="H4" s="94" t="s">
        <v>93</v>
      </c>
      <c r="I4" s="153" t="s">
        <v>94</v>
      </c>
      <c r="K4" s="63"/>
    </row>
    <row r="5" spans="1:11" ht="66.5" thickBot="1" x14ac:dyDescent="0.4">
      <c r="A5" s="104" t="s">
        <v>58</v>
      </c>
      <c r="B5" s="105">
        <v>5</v>
      </c>
      <c r="C5" s="104" t="s">
        <v>13</v>
      </c>
      <c r="D5" s="104" t="s">
        <v>24</v>
      </c>
      <c r="E5" s="104" t="s">
        <v>87</v>
      </c>
      <c r="F5" s="106" t="s">
        <v>95</v>
      </c>
      <c r="G5" s="106" t="s">
        <v>96</v>
      </c>
      <c r="H5" s="106" t="s">
        <v>97</v>
      </c>
      <c r="I5" s="156" t="s">
        <v>98</v>
      </c>
    </row>
    <row r="6" spans="1:11" s="24" customFormat="1" ht="66" x14ac:dyDescent="0.35">
      <c r="A6" s="84" t="s">
        <v>61</v>
      </c>
      <c r="B6" s="97">
        <v>2</v>
      </c>
      <c r="C6" s="96" t="s">
        <v>11</v>
      </c>
      <c r="D6" s="96" t="s">
        <v>29</v>
      </c>
      <c r="E6" s="96" t="s">
        <v>87</v>
      </c>
      <c r="F6" s="107" t="s">
        <v>88</v>
      </c>
      <c r="G6" s="107" t="s">
        <v>99</v>
      </c>
      <c r="H6" s="107" t="s">
        <v>97</v>
      </c>
      <c r="I6" s="155" t="s">
        <v>100</v>
      </c>
    </row>
    <row r="7" spans="1:11" s="24" customFormat="1" ht="66" x14ac:dyDescent="0.35">
      <c r="A7" s="95" t="s">
        <v>61</v>
      </c>
      <c r="B7" s="100">
        <v>4</v>
      </c>
      <c r="C7" s="83" t="s">
        <v>12</v>
      </c>
      <c r="D7" s="83" t="s">
        <v>101</v>
      </c>
      <c r="E7" s="83" t="s">
        <v>87</v>
      </c>
      <c r="F7" s="93" t="s">
        <v>91</v>
      </c>
      <c r="G7" s="93" t="s">
        <v>102</v>
      </c>
      <c r="H7" s="93" t="s">
        <v>60</v>
      </c>
      <c r="I7" s="154" t="s">
        <v>103</v>
      </c>
    </row>
    <row r="8" spans="1:11" s="24" customFormat="1" ht="66.5" thickBot="1" x14ac:dyDescent="0.4">
      <c r="A8" s="41" t="s">
        <v>61</v>
      </c>
      <c r="B8" s="108">
        <v>5</v>
      </c>
      <c r="C8" s="109" t="s">
        <v>13</v>
      </c>
      <c r="D8" s="109" t="s">
        <v>31</v>
      </c>
      <c r="E8" s="109" t="s">
        <v>87</v>
      </c>
      <c r="F8" s="110" t="s">
        <v>95</v>
      </c>
      <c r="G8" s="110" t="s">
        <v>96</v>
      </c>
      <c r="H8" s="110" t="s">
        <v>97</v>
      </c>
      <c r="I8" s="156" t="s">
        <v>98</v>
      </c>
    </row>
    <row r="9" spans="1:11" s="27" customFormat="1" ht="49.5" x14ac:dyDescent="0.35">
      <c r="A9" s="95" t="s">
        <v>63</v>
      </c>
      <c r="B9" s="97">
        <v>1</v>
      </c>
      <c r="C9" s="96" t="s">
        <v>11</v>
      </c>
      <c r="D9" s="96" t="s">
        <v>32</v>
      </c>
      <c r="E9" s="98" t="s">
        <v>87</v>
      </c>
      <c r="F9" s="99" t="s">
        <v>88</v>
      </c>
      <c r="G9" s="99" t="s">
        <v>89</v>
      </c>
      <c r="H9" s="99" t="s">
        <v>66</v>
      </c>
      <c r="I9" s="155" t="s">
        <v>90</v>
      </c>
    </row>
    <row r="10" spans="1:11" s="27" customFormat="1" ht="49.5" x14ac:dyDescent="0.35">
      <c r="A10" s="95" t="s">
        <v>63</v>
      </c>
      <c r="B10" s="100">
        <v>3</v>
      </c>
      <c r="C10" s="83" t="s">
        <v>12</v>
      </c>
      <c r="D10" s="83" t="s">
        <v>33</v>
      </c>
      <c r="E10" s="84" t="s">
        <v>87</v>
      </c>
      <c r="F10" s="94" t="s">
        <v>91</v>
      </c>
      <c r="G10" s="94" t="s">
        <v>92</v>
      </c>
      <c r="H10" s="94" t="s">
        <v>93</v>
      </c>
      <c r="I10" s="153" t="s">
        <v>94</v>
      </c>
    </row>
    <row r="11" spans="1:11" s="27" customFormat="1" ht="66.5" thickBot="1" x14ac:dyDescent="0.4">
      <c r="A11" s="41" t="s">
        <v>63</v>
      </c>
      <c r="B11" s="108">
        <v>5</v>
      </c>
      <c r="C11" s="109" t="s">
        <v>13</v>
      </c>
      <c r="D11" s="109" t="s">
        <v>34</v>
      </c>
      <c r="E11" s="104" t="s">
        <v>87</v>
      </c>
      <c r="F11" s="106" t="s">
        <v>95</v>
      </c>
      <c r="G11" s="106" t="s">
        <v>96</v>
      </c>
      <c r="H11" s="106" t="s">
        <v>97</v>
      </c>
      <c r="I11" s="156" t="s">
        <v>98</v>
      </c>
    </row>
    <row r="12" spans="1:11" ht="66" x14ac:dyDescent="0.35">
      <c r="A12" s="96" t="s">
        <v>65</v>
      </c>
      <c r="B12" s="97">
        <v>2</v>
      </c>
      <c r="C12" s="96" t="s">
        <v>11</v>
      </c>
      <c r="D12" s="96" t="s">
        <v>35</v>
      </c>
      <c r="E12" s="98" t="s">
        <v>87</v>
      </c>
      <c r="F12" s="99" t="s">
        <v>88</v>
      </c>
      <c r="G12" s="99" t="s">
        <v>99</v>
      </c>
      <c r="H12" s="99" t="s">
        <v>97</v>
      </c>
      <c r="I12" s="155" t="s">
        <v>100</v>
      </c>
    </row>
    <row r="13" spans="1:11" ht="78" customHeight="1" x14ac:dyDescent="0.35">
      <c r="A13" s="83" t="s">
        <v>65</v>
      </c>
      <c r="B13" s="100">
        <v>4</v>
      </c>
      <c r="C13" s="83" t="s">
        <v>12</v>
      </c>
      <c r="D13" s="83" t="s">
        <v>36</v>
      </c>
      <c r="E13" s="84" t="s">
        <v>87</v>
      </c>
      <c r="F13" s="94" t="s">
        <v>91</v>
      </c>
      <c r="G13" s="94" t="s">
        <v>102</v>
      </c>
      <c r="H13" s="94" t="s">
        <v>60</v>
      </c>
      <c r="I13" s="154" t="s">
        <v>103</v>
      </c>
    </row>
    <row r="14" spans="1:11" ht="66.5" thickBot="1" x14ac:dyDescent="0.4">
      <c r="A14" s="41" t="s">
        <v>65</v>
      </c>
      <c r="B14" s="108">
        <v>5</v>
      </c>
      <c r="C14" s="111" t="s">
        <v>13</v>
      </c>
      <c r="D14" s="109" t="s">
        <v>37</v>
      </c>
      <c r="E14" s="104" t="s">
        <v>87</v>
      </c>
      <c r="F14" s="106" t="s">
        <v>95</v>
      </c>
      <c r="G14" s="106" t="s">
        <v>96</v>
      </c>
      <c r="H14" s="106" t="s">
        <v>97</v>
      </c>
      <c r="I14" s="156" t="s">
        <v>98</v>
      </c>
    </row>
    <row r="15" spans="1:11" ht="49.5" x14ac:dyDescent="0.35">
      <c r="A15" s="152" t="s">
        <v>67</v>
      </c>
      <c r="B15" s="112">
        <v>6</v>
      </c>
      <c r="C15" s="95" t="s">
        <v>11</v>
      </c>
      <c r="D15" s="166" t="s">
        <v>38</v>
      </c>
      <c r="E15" s="98" t="s">
        <v>104</v>
      </c>
      <c r="F15" s="171" t="s">
        <v>105</v>
      </c>
      <c r="G15" s="171" t="s">
        <v>106</v>
      </c>
      <c r="H15" s="171" t="s">
        <v>107</v>
      </c>
      <c r="I15" s="166" t="s">
        <v>108</v>
      </c>
    </row>
    <row r="16" spans="1:11" x14ac:dyDescent="0.35">
      <c r="A16" s="22"/>
      <c r="C16" s="22"/>
      <c r="D16" s="22"/>
      <c r="E16" s="22"/>
      <c r="F16" s="22"/>
      <c r="G16" s="2"/>
      <c r="H16" s="2"/>
      <c r="I16" s="15"/>
    </row>
    <row r="17" spans="1:9" x14ac:dyDescent="0.35">
      <c r="A17" s="22"/>
      <c r="C17" s="22"/>
      <c r="D17" s="22"/>
      <c r="E17" s="22"/>
      <c r="F17" s="22"/>
      <c r="G17" s="2"/>
      <c r="H17" s="2"/>
      <c r="I17" s="15"/>
    </row>
    <row r="18" spans="1:9" x14ac:dyDescent="0.35">
      <c r="A18" s="22"/>
      <c r="C18" s="22"/>
      <c r="D18" s="22"/>
      <c r="E18" s="22"/>
      <c r="F18" s="22"/>
      <c r="G18" s="2"/>
      <c r="H18" s="2"/>
      <c r="I18" s="15"/>
    </row>
    <row r="19" spans="1:9" x14ac:dyDescent="0.35">
      <c r="A19" s="22"/>
      <c r="C19" s="22"/>
      <c r="D19" s="22"/>
      <c r="E19" s="22"/>
      <c r="F19" s="22"/>
      <c r="G19" s="2"/>
      <c r="H19" s="2"/>
      <c r="I19" s="22"/>
    </row>
    <row r="20" spans="1:9" x14ac:dyDescent="0.35">
      <c r="A20" s="22"/>
      <c r="C20" s="22"/>
      <c r="D20" s="22"/>
      <c r="E20" s="22"/>
      <c r="F20" s="22"/>
      <c r="G20" s="2"/>
      <c r="H20" s="2"/>
      <c r="I20" s="15"/>
    </row>
    <row r="21" spans="1:9" x14ac:dyDescent="0.35">
      <c r="A21" s="22"/>
      <c r="C21" s="22"/>
      <c r="D21" s="22"/>
      <c r="E21" s="22"/>
      <c r="F21" s="22"/>
      <c r="G21" s="2"/>
      <c r="H21" s="2"/>
      <c r="I21" s="22"/>
    </row>
    <row r="22" spans="1:9" x14ac:dyDescent="0.35">
      <c r="A22" s="22"/>
      <c r="C22" s="22"/>
      <c r="D22" s="22"/>
      <c r="E22" s="22"/>
      <c r="F22" s="22"/>
      <c r="G22" s="2"/>
      <c r="H22" s="2"/>
      <c r="I22" s="15"/>
    </row>
    <row r="24" spans="1:9" x14ac:dyDescent="0.5">
      <c r="A24" s="25"/>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2"/>
  <sheetViews>
    <sheetView zoomScaleNormal="100" workbookViewId="0"/>
  </sheetViews>
  <sheetFormatPr baseColWidth="10" defaultColWidth="11.453125" defaultRowHeight="16.5" x14ac:dyDescent="0.35"/>
  <cols>
    <col min="1" max="1" width="98.81640625" style="11" customWidth="1"/>
    <col min="2" max="2" width="46.81640625" style="47" customWidth="1"/>
    <col min="3" max="3" width="58.81640625" style="11" customWidth="1"/>
    <col min="4" max="4" width="61.54296875" style="11" customWidth="1"/>
    <col min="5" max="5" width="41.453125" style="11" customWidth="1"/>
    <col min="6" max="6" width="47.7265625" style="11" customWidth="1"/>
    <col min="7" max="16384" width="11.453125" style="11"/>
  </cols>
  <sheetData>
    <row r="1" spans="1:6" ht="65" x14ac:dyDescent="0.35">
      <c r="A1" s="14" t="s">
        <v>109</v>
      </c>
      <c r="B1" s="14" t="s">
        <v>110</v>
      </c>
      <c r="C1" s="14" t="s">
        <v>111</v>
      </c>
      <c r="D1" s="14" t="s">
        <v>112</v>
      </c>
      <c r="E1" s="14" t="s">
        <v>113</v>
      </c>
      <c r="F1" s="14" t="s">
        <v>114</v>
      </c>
    </row>
    <row r="2" spans="1:6" ht="33" x14ac:dyDescent="0.35">
      <c r="A2" s="33" t="s">
        <v>115</v>
      </c>
      <c r="B2" s="33" t="s">
        <v>116</v>
      </c>
      <c r="C2" s="33" t="s">
        <v>117</v>
      </c>
      <c r="D2" s="33" t="s">
        <v>118</v>
      </c>
      <c r="E2" s="33" t="s">
        <v>119</v>
      </c>
      <c r="F2" s="33" t="s">
        <v>120</v>
      </c>
    </row>
    <row r="3" spans="1:6" ht="33" x14ac:dyDescent="0.35">
      <c r="A3" s="16" t="s">
        <v>90</v>
      </c>
      <c r="B3" s="219" t="s">
        <v>121</v>
      </c>
      <c r="C3" s="220" t="s">
        <v>122</v>
      </c>
      <c r="D3" s="43" t="s">
        <v>123</v>
      </c>
      <c r="E3" s="217" t="s">
        <v>124</v>
      </c>
      <c r="F3" s="16" t="s">
        <v>125</v>
      </c>
    </row>
    <row r="4" spans="1:6" ht="33" x14ac:dyDescent="0.35">
      <c r="A4" s="23" t="s">
        <v>94</v>
      </c>
      <c r="B4" s="202"/>
      <c r="C4" s="221"/>
      <c r="D4" s="42" t="s">
        <v>126</v>
      </c>
      <c r="E4" s="218"/>
      <c r="F4" s="23" t="s">
        <v>127</v>
      </c>
    </row>
    <row r="5" spans="1:6" ht="33" x14ac:dyDescent="0.35">
      <c r="A5" s="23" t="s">
        <v>100</v>
      </c>
      <c r="B5" s="202"/>
      <c r="C5" s="221"/>
      <c r="D5" s="42" t="s">
        <v>128</v>
      </c>
      <c r="E5" s="218"/>
      <c r="F5" s="23" t="s">
        <v>129</v>
      </c>
    </row>
    <row r="6" spans="1:6" ht="33.5" thickBot="1" x14ac:dyDescent="0.4">
      <c r="A6" s="23" t="s">
        <v>103</v>
      </c>
      <c r="B6" s="202"/>
      <c r="C6" s="221"/>
      <c r="D6" s="42"/>
      <c r="E6" s="218"/>
      <c r="F6" s="23"/>
    </row>
    <row r="7" spans="1:6" ht="33" x14ac:dyDescent="0.35">
      <c r="A7" s="46" t="s">
        <v>90</v>
      </c>
      <c r="B7" s="201" t="s">
        <v>130</v>
      </c>
      <c r="C7" s="223" t="s">
        <v>131</v>
      </c>
      <c r="D7" s="45" t="s">
        <v>123</v>
      </c>
      <c r="E7" s="204" t="s">
        <v>132</v>
      </c>
      <c r="F7" s="46" t="s">
        <v>133</v>
      </c>
    </row>
    <row r="8" spans="1:6" ht="33" x14ac:dyDescent="0.35">
      <c r="A8" s="23" t="s">
        <v>94</v>
      </c>
      <c r="B8" s="202"/>
      <c r="C8" s="221"/>
      <c r="D8" s="42" t="s">
        <v>126</v>
      </c>
      <c r="E8" s="205"/>
      <c r="F8" s="23" t="s">
        <v>127</v>
      </c>
    </row>
    <row r="9" spans="1:6" ht="33" x14ac:dyDescent="0.35">
      <c r="A9" s="23" t="s">
        <v>100</v>
      </c>
      <c r="B9" s="202"/>
      <c r="C9" s="221"/>
      <c r="D9" s="42" t="s">
        <v>134</v>
      </c>
      <c r="E9" s="205"/>
      <c r="F9" s="23" t="s">
        <v>129</v>
      </c>
    </row>
    <row r="10" spans="1:6" ht="50" thickBot="1" x14ac:dyDescent="0.4">
      <c r="A10" s="39" t="s">
        <v>98</v>
      </c>
      <c r="B10" s="222"/>
      <c r="C10" s="224"/>
      <c r="D10" s="158"/>
      <c r="E10" s="213"/>
      <c r="F10" s="39"/>
    </row>
    <row r="11" spans="1:6" ht="33" x14ac:dyDescent="0.35">
      <c r="A11" s="46" t="s">
        <v>90</v>
      </c>
      <c r="B11" s="214" t="s">
        <v>135</v>
      </c>
      <c r="C11" s="223" t="s">
        <v>136</v>
      </c>
      <c r="D11" s="45" t="s">
        <v>123</v>
      </c>
      <c r="E11" s="204" t="s">
        <v>137</v>
      </c>
      <c r="F11" s="45" t="s">
        <v>138</v>
      </c>
    </row>
    <row r="12" spans="1:6" ht="33" x14ac:dyDescent="0.35">
      <c r="A12" s="23" t="s">
        <v>94</v>
      </c>
      <c r="B12" s="215"/>
      <c r="C12" s="221"/>
      <c r="D12" s="42" t="s">
        <v>139</v>
      </c>
      <c r="E12" s="205"/>
      <c r="F12" s="23" t="s">
        <v>140</v>
      </c>
    </row>
    <row r="13" spans="1:6" ht="33" x14ac:dyDescent="0.35">
      <c r="A13" s="23" t="s">
        <v>100</v>
      </c>
      <c r="B13" s="215"/>
      <c r="C13" s="221"/>
      <c r="D13" s="42" t="s">
        <v>141</v>
      </c>
      <c r="E13" s="205"/>
      <c r="F13" s="23" t="s">
        <v>129</v>
      </c>
    </row>
    <row r="14" spans="1:6" ht="50" thickBot="1" x14ac:dyDescent="0.4">
      <c r="A14" s="39" t="s">
        <v>98</v>
      </c>
      <c r="B14" s="215"/>
      <c r="C14" s="221"/>
      <c r="D14" s="44"/>
      <c r="E14" s="205"/>
      <c r="F14" s="39"/>
    </row>
    <row r="15" spans="1:6" ht="33" x14ac:dyDescent="0.35">
      <c r="A15" s="23" t="s">
        <v>90</v>
      </c>
      <c r="B15" s="214" t="s">
        <v>142</v>
      </c>
      <c r="C15" s="204" t="s">
        <v>143</v>
      </c>
      <c r="D15" s="42" t="s">
        <v>123</v>
      </c>
      <c r="E15" s="204" t="s">
        <v>144</v>
      </c>
      <c r="F15" s="23" t="s">
        <v>133</v>
      </c>
    </row>
    <row r="16" spans="1:6" ht="33" x14ac:dyDescent="0.35">
      <c r="A16" s="23" t="s">
        <v>94</v>
      </c>
      <c r="B16" s="215"/>
      <c r="C16" s="205"/>
      <c r="D16" s="42" t="s">
        <v>126</v>
      </c>
      <c r="E16" s="205"/>
      <c r="F16" s="23" t="s">
        <v>127</v>
      </c>
    </row>
    <row r="17" spans="1:6" ht="33" x14ac:dyDescent="0.35">
      <c r="A17" s="23" t="s">
        <v>100</v>
      </c>
      <c r="B17" s="215"/>
      <c r="C17" s="205"/>
      <c r="D17" s="42" t="s">
        <v>145</v>
      </c>
      <c r="E17" s="205"/>
      <c r="F17" s="23" t="s">
        <v>129</v>
      </c>
    </row>
    <row r="18" spans="1:6" ht="50" thickBot="1" x14ac:dyDescent="0.4">
      <c r="A18" s="39" t="s">
        <v>98</v>
      </c>
      <c r="B18" s="216"/>
      <c r="C18" s="213"/>
      <c r="D18" s="40"/>
      <c r="E18" s="213"/>
      <c r="F18" s="40"/>
    </row>
    <row r="19" spans="1:6" ht="33" x14ac:dyDescent="0.35">
      <c r="A19" s="46" t="s">
        <v>90</v>
      </c>
      <c r="B19" s="210" t="s">
        <v>146</v>
      </c>
      <c r="C19" s="204" t="s">
        <v>147</v>
      </c>
      <c r="D19" s="45" t="s">
        <v>123</v>
      </c>
      <c r="E19" s="204" t="s">
        <v>148</v>
      </c>
      <c r="F19" s="46" t="s">
        <v>133</v>
      </c>
    </row>
    <row r="20" spans="1:6" ht="33" x14ac:dyDescent="0.35">
      <c r="A20" s="23" t="s">
        <v>94</v>
      </c>
      <c r="B20" s="211"/>
      <c r="C20" s="205"/>
      <c r="D20" s="42" t="s">
        <v>126</v>
      </c>
      <c r="E20" s="205"/>
      <c r="F20" s="23" t="s">
        <v>127</v>
      </c>
    </row>
    <row r="21" spans="1:6" ht="33" x14ac:dyDescent="0.35">
      <c r="A21" s="23" t="s">
        <v>100</v>
      </c>
      <c r="B21" s="211"/>
      <c r="C21" s="205"/>
      <c r="D21" s="23" t="s">
        <v>149</v>
      </c>
      <c r="E21" s="205"/>
      <c r="F21" s="23" t="s">
        <v>129</v>
      </c>
    </row>
    <row r="22" spans="1:6" ht="50" thickBot="1" x14ac:dyDescent="0.4">
      <c r="A22" s="39" t="s">
        <v>98</v>
      </c>
      <c r="B22" s="212"/>
      <c r="C22" s="213"/>
      <c r="D22" s="39"/>
      <c r="E22" s="213"/>
      <c r="F22" s="40"/>
    </row>
    <row r="23" spans="1:6" ht="33" x14ac:dyDescent="0.35">
      <c r="A23" s="23" t="s">
        <v>90</v>
      </c>
      <c r="B23" s="207" t="s">
        <v>150</v>
      </c>
      <c r="C23" s="204" t="s">
        <v>151</v>
      </c>
      <c r="D23" s="23" t="s">
        <v>123</v>
      </c>
      <c r="E23" s="204" t="s">
        <v>152</v>
      </c>
      <c r="F23" s="46" t="s">
        <v>133</v>
      </c>
    </row>
    <row r="24" spans="1:6" ht="33" x14ac:dyDescent="0.35">
      <c r="A24" s="23" t="s">
        <v>100</v>
      </c>
      <c r="B24" s="208"/>
      <c r="C24" s="205"/>
      <c r="D24" s="11" t="s">
        <v>126</v>
      </c>
      <c r="E24" s="205"/>
      <c r="F24" s="23" t="s">
        <v>127</v>
      </c>
    </row>
    <row r="25" spans="1:6" ht="72" customHeight="1" thickBot="1" x14ac:dyDescent="0.4">
      <c r="A25" s="73" t="s">
        <v>98</v>
      </c>
      <c r="B25" s="209"/>
      <c r="C25" s="206"/>
      <c r="D25" s="158"/>
      <c r="E25" s="206"/>
      <c r="F25" s="23"/>
    </row>
    <row r="26" spans="1:6" ht="33" x14ac:dyDescent="0.35">
      <c r="A26" s="23" t="s">
        <v>90</v>
      </c>
      <c r="B26" s="207" t="s">
        <v>153</v>
      </c>
      <c r="C26" s="204" t="s">
        <v>154</v>
      </c>
      <c r="D26" s="23" t="s">
        <v>123</v>
      </c>
      <c r="E26" s="204" t="s">
        <v>155</v>
      </c>
      <c r="F26" s="46" t="s">
        <v>133</v>
      </c>
    </row>
    <row r="27" spans="1:6" ht="33" x14ac:dyDescent="0.35">
      <c r="A27" s="23" t="s">
        <v>94</v>
      </c>
      <c r="B27" s="208"/>
      <c r="C27" s="205"/>
      <c r="D27" s="23" t="s">
        <v>156</v>
      </c>
      <c r="E27" s="205"/>
      <c r="F27" s="23" t="s">
        <v>127</v>
      </c>
    </row>
    <row r="28" spans="1:6" ht="63.75" customHeight="1" thickBot="1" x14ac:dyDescent="0.4">
      <c r="A28" s="73" t="s">
        <v>103</v>
      </c>
      <c r="B28" s="209"/>
      <c r="C28" s="206"/>
      <c r="D28" s="44" t="s">
        <v>157</v>
      </c>
      <c r="E28" s="206"/>
      <c r="F28" s="39" t="s">
        <v>129</v>
      </c>
    </row>
    <row r="29" spans="1:6" ht="33" x14ac:dyDescent="0.35">
      <c r="A29" s="23" t="s">
        <v>90</v>
      </c>
      <c r="B29" s="201" t="s">
        <v>158</v>
      </c>
      <c r="C29" s="204" t="s">
        <v>159</v>
      </c>
      <c r="D29" s="11" t="s">
        <v>126</v>
      </c>
      <c r="E29" s="204" t="s">
        <v>160</v>
      </c>
      <c r="F29" s="11" t="s">
        <v>127</v>
      </c>
    </row>
    <row r="30" spans="1:6" ht="33" x14ac:dyDescent="0.35">
      <c r="A30" s="23" t="s">
        <v>100</v>
      </c>
      <c r="B30" s="202"/>
      <c r="C30" s="205"/>
      <c r="D30" s="42" t="s">
        <v>157</v>
      </c>
      <c r="E30" s="205"/>
      <c r="F30" s="11" t="s">
        <v>129</v>
      </c>
    </row>
    <row r="31" spans="1:6" ht="50" thickBot="1" x14ac:dyDescent="0.4">
      <c r="A31" s="73" t="s">
        <v>98</v>
      </c>
      <c r="B31" s="203"/>
      <c r="C31" s="206"/>
      <c r="D31" s="74"/>
      <c r="E31" s="206"/>
      <c r="F31" s="74"/>
    </row>
    <row r="32" spans="1:6" ht="33" x14ac:dyDescent="0.35">
      <c r="A32" s="23" t="s">
        <v>100</v>
      </c>
      <c r="B32" s="201" t="s">
        <v>161</v>
      </c>
      <c r="C32" s="204" t="s">
        <v>162</v>
      </c>
      <c r="D32" s="11" t="s">
        <v>126</v>
      </c>
      <c r="E32" s="204" t="s">
        <v>163</v>
      </c>
      <c r="F32" s="11" t="s">
        <v>164</v>
      </c>
    </row>
    <row r="33" spans="1:6" ht="33" x14ac:dyDescent="0.35">
      <c r="A33" s="23" t="s">
        <v>103</v>
      </c>
      <c r="B33" s="202"/>
      <c r="C33" s="205"/>
      <c r="D33" s="42" t="s">
        <v>165</v>
      </c>
      <c r="E33" s="205"/>
      <c r="F33" s="11" t="s">
        <v>129</v>
      </c>
    </row>
    <row r="34" spans="1:6" ht="50" thickBot="1" x14ac:dyDescent="0.4">
      <c r="A34" s="73" t="s">
        <v>98</v>
      </c>
      <c r="B34" s="203"/>
      <c r="C34" s="206"/>
      <c r="D34" s="74"/>
      <c r="E34" s="206"/>
      <c r="F34" s="74"/>
    </row>
    <row r="40" spans="1:6" x14ac:dyDescent="0.35">
      <c r="D40" s="42"/>
    </row>
    <row r="42" spans="1:6" x14ac:dyDescent="0.35">
      <c r="D42" s="42"/>
    </row>
  </sheetData>
  <mergeCells count="27">
    <mergeCell ref="E15:E18"/>
    <mergeCell ref="B15:B18"/>
    <mergeCell ref="C15:C18"/>
    <mergeCell ref="E3:E6"/>
    <mergeCell ref="E11:E14"/>
    <mergeCell ref="E7:E10"/>
    <mergeCell ref="B3:B6"/>
    <mergeCell ref="C3:C6"/>
    <mergeCell ref="B7:B10"/>
    <mergeCell ref="C7:C10"/>
    <mergeCell ref="B11:B14"/>
    <mergeCell ref="C11:C14"/>
    <mergeCell ref="B19:B22"/>
    <mergeCell ref="C19:C22"/>
    <mergeCell ref="B23:B25"/>
    <mergeCell ref="C23:C25"/>
    <mergeCell ref="E23:E25"/>
    <mergeCell ref="E19:E22"/>
    <mergeCell ref="B32:B34"/>
    <mergeCell ref="C32:C34"/>
    <mergeCell ref="E32:E34"/>
    <mergeCell ref="B26:B28"/>
    <mergeCell ref="C26:C28"/>
    <mergeCell ref="E26:E28"/>
    <mergeCell ref="B29:B31"/>
    <mergeCell ref="C29:C31"/>
    <mergeCell ref="E29:E31"/>
  </mergeCells>
  <dataValidations count="1">
    <dataValidation type="list" allowBlank="1" showInputMessage="1" showErrorMessage="1" sqref="A3:A3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190"/>
  <sheetViews>
    <sheetView tabSelected="1" topLeftCell="D1" zoomScaleNormal="100" workbookViewId="0">
      <pane ySplit="1" topLeftCell="A114" activePane="bottomLeft" state="frozen"/>
      <selection activeCell="B1" sqref="B1"/>
      <selection pane="bottomLeft" activeCell="J116" sqref="J116"/>
    </sheetView>
  </sheetViews>
  <sheetFormatPr baseColWidth="10" defaultColWidth="58.7265625" defaultRowHeight="16" x14ac:dyDescent="0.35"/>
  <cols>
    <col min="1" max="1" width="14.453125" style="61" customWidth="1"/>
    <col min="2" max="2" width="73.453125" style="53" customWidth="1"/>
    <col min="3" max="3" width="14.26953125" style="48" customWidth="1"/>
    <col min="4" max="4" width="24.54296875" style="49" customWidth="1"/>
    <col min="5" max="5" width="61.1796875" style="61" customWidth="1"/>
    <col min="6" max="6" width="17.54296875" style="48" customWidth="1"/>
    <col min="7" max="7" width="15.453125" style="48" customWidth="1"/>
    <col min="8" max="10" width="14.26953125" style="48" customWidth="1"/>
    <col min="11" max="13" width="16.7265625" style="48" customWidth="1"/>
    <col min="14" max="14" width="36.81640625" style="61" customWidth="1"/>
    <col min="15" max="15" width="40.453125" style="61" customWidth="1"/>
    <col min="16" max="17" width="73.54296875" style="61" customWidth="1"/>
    <col min="18" max="16384" width="58.7265625" style="48"/>
  </cols>
  <sheetData>
    <row r="1" spans="1:17" s="11" customFormat="1" ht="78" x14ac:dyDescent="0.35">
      <c r="A1" s="17" t="s">
        <v>166</v>
      </c>
      <c r="B1" s="17" t="s">
        <v>167</v>
      </c>
      <c r="C1" s="17" t="s">
        <v>168</v>
      </c>
      <c r="D1" s="17" t="s">
        <v>169</v>
      </c>
      <c r="E1" s="17" t="s">
        <v>170</v>
      </c>
      <c r="F1" s="17" t="s">
        <v>171</v>
      </c>
      <c r="G1" s="176" t="s">
        <v>172</v>
      </c>
      <c r="H1" s="176"/>
      <c r="I1" s="176"/>
      <c r="J1" s="17" t="s">
        <v>173</v>
      </c>
      <c r="K1" s="17" t="s">
        <v>174</v>
      </c>
      <c r="L1" s="17" t="s">
        <v>175</v>
      </c>
      <c r="M1" s="17" t="s">
        <v>176</v>
      </c>
      <c r="N1" s="17" t="s">
        <v>177</v>
      </c>
      <c r="O1" s="17" t="s">
        <v>178</v>
      </c>
      <c r="P1" s="17" t="s">
        <v>179</v>
      </c>
      <c r="Q1" s="17" t="s">
        <v>180</v>
      </c>
    </row>
    <row r="2" spans="1:17" s="11" customFormat="1" ht="50" thickBot="1" x14ac:dyDescent="0.4">
      <c r="A2" s="35" t="s">
        <v>181</v>
      </c>
      <c r="B2" s="35" t="s">
        <v>115</v>
      </c>
      <c r="C2" s="35" t="s">
        <v>182</v>
      </c>
      <c r="D2" s="35" t="s">
        <v>183</v>
      </c>
      <c r="E2" s="35" t="s">
        <v>184</v>
      </c>
      <c r="F2" s="35" t="s">
        <v>185</v>
      </c>
      <c r="G2" s="35" t="s">
        <v>186</v>
      </c>
      <c r="H2" s="35" t="s">
        <v>187</v>
      </c>
      <c r="I2" s="35" t="s">
        <v>188</v>
      </c>
      <c r="J2" s="35" t="s">
        <v>189</v>
      </c>
      <c r="K2" s="35" t="s">
        <v>190</v>
      </c>
      <c r="L2" s="35" t="s">
        <v>191</v>
      </c>
      <c r="M2" s="35" t="s">
        <v>192</v>
      </c>
      <c r="N2" s="35" t="s">
        <v>193</v>
      </c>
      <c r="O2" s="35" t="s">
        <v>194</v>
      </c>
      <c r="P2" s="35" t="s">
        <v>195</v>
      </c>
      <c r="Q2" s="35" t="s">
        <v>196</v>
      </c>
    </row>
    <row r="3" spans="1:17" s="47" customFormat="1" ht="378" customHeight="1" thickBot="1" x14ac:dyDescent="0.4">
      <c r="A3" s="113" t="str">
        <f>_xlfn.XLOOKUP(B3,'Paso 3 Redacción RA '!I$3:I$15,'Paso 3 Redacción RA '!C$3:C$15,,0,1)</f>
        <v>Saber</v>
      </c>
      <c r="B3" s="114" t="s">
        <v>108</v>
      </c>
      <c r="C3" s="115">
        <v>1</v>
      </c>
      <c r="D3" s="116" t="s">
        <v>197</v>
      </c>
      <c r="E3" s="157" t="s">
        <v>198</v>
      </c>
      <c r="F3" s="115" t="s">
        <v>199</v>
      </c>
      <c r="G3" s="115" t="s">
        <v>200</v>
      </c>
      <c r="H3" s="115"/>
      <c r="I3" s="115"/>
      <c r="J3" s="115">
        <v>3</v>
      </c>
      <c r="K3" s="115">
        <f>12*J3</f>
        <v>36</v>
      </c>
      <c r="L3" s="115">
        <f>36*J3</f>
        <v>108</v>
      </c>
      <c r="M3" s="115">
        <f>SUM(K3:L3)</f>
        <v>144</v>
      </c>
      <c r="N3" s="118" t="s">
        <v>201</v>
      </c>
      <c r="O3" s="114" t="s">
        <v>202</v>
      </c>
      <c r="P3" s="119" t="s">
        <v>203</v>
      </c>
      <c r="Q3" s="117" t="s">
        <v>204</v>
      </c>
    </row>
    <row r="4" spans="1:17" s="47" customFormat="1" ht="408.75" customHeight="1" thickBot="1" x14ac:dyDescent="0.4">
      <c r="A4" s="113" t="str">
        <f>_xlfn.XLOOKUP(B4,'Paso 3 Redacción RA '!I$3:I$15,'Paso 3 Redacción RA '!C$3:C$15,,0,1)</f>
        <v>Saber</v>
      </c>
      <c r="B4" s="114" t="s">
        <v>108</v>
      </c>
      <c r="C4" s="120">
        <v>1</v>
      </c>
      <c r="D4" s="121" t="s">
        <v>205</v>
      </c>
      <c r="E4" s="119" t="s">
        <v>206</v>
      </c>
      <c r="F4" s="121" t="s">
        <v>199</v>
      </c>
      <c r="G4" s="120" t="s">
        <v>200</v>
      </c>
      <c r="H4" s="120"/>
      <c r="I4" s="120"/>
      <c r="J4" s="120">
        <v>3</v>
      </c>
      <c r="K4" s="122">
        <f>12*J4</f>
        <v>36</v>
      </c>
      <c r="L4" s="122">
        <f>36*J4</f>
        <v>108</v>
      </c>
      <c r="M4" s="120">
        <f>SUM(K4:L4)</f>
        <v>144</v>
      </c>
      <c r="N4" s="114" t="s">
        <v>207</v>
      </c>
      <c r="O4" s="114" t="s">
        <v>202</v>
      </c>
      <c r="P4" s="114" t="s">
        <v>208</v>
      </c>
      <c r="Q4" s="114" t="s">
        <v>209</v>
      </c>
    </row>
    <row r="5" spans="1:17" s="47" customFormat="1" ht="49.5" x14ac:dyDescent="0.35">
      <c r="A5" s="123" t="str">
        <f>_xlfn.XLOOKUP(B5,'Paso 3 Redacción RA '!I$3:I$15,'Paso 3 Redacción RA '!C$3:C$15,,0,1)</f>
        <v>Saber</v>
      </c>
      <c r="B5" s="124" t="s">
        <v>90</v>
      </c>
      <c r="C5" s="177">
        <v>1</v>
      </c>
      <c r="D5" s="175" t="s">
        <v>210</v>
      </c>
      <c r="E5" s="181" t="s">
        <v>211</v>
      </c>
      <c r="F5" s="178" t="s">
        <v>212</v>
      </c>
      <c r="G5" s="178"/>
      <c r="H5" s="178" t="s">
        <v>200</v>
      </c>
      <c r="I5" s="178"/>
      <c r="J5" s="178">
        <v>3</v>
      </c>
      <c r="K5" s="178">
        <f>J5*12</f>
        <v>36</v>
      </c>
      <c r="L5" s="178">
        <f>36*J5</f>
        <v>108</v>
      </c>
      <c r="M5" s="178">
        <f>SUM(K5:L5)</f>
        <v>144</v>
      </c>
      <c r="N5" s="181" t="s">
        <v>213</v>
      </c>
      <c r="O5" s="181" t="s">
        <v>214</v>
      </c>
      <c r="P5" s="181" t="s">
        <v>215</v>
      </c>
      <c r="Q5" s="181" t="s">
        <v>209</v>
      </c>
    </row>
    <row r="6" spans="1:17" s="47" customFormat="1" ht="49.5" x14ac:dyDescent="0.35">
      <c r="A6" s="123" t="str">
        <f>_xlfn.XLOOKUP(B6,'Paso 3 Redacción RA '!I$3:I$15,'Paso 3 Redacción RA '!C$3:C$15,,0,1)</f>
        <v>Saber</v>
      </c>
      <c r="B6" s="124" t="s">
        <v>100</v>
      </c>
      <c r="C6" s="178"/>
      <c r="D6" s="175"/>
      <c r="E6" s="181"/>
      <c r="F6" s="178"/>
      <c r="G6" s="178"/>
      <c r="H6" s="178"/>
      <c r="I6" s="178"/>
      <c r="J6" s="178"/>
      <c r="K6" s="178"/>
      <c r="L6" s="178"/>
      <c r="M6" s="178"/>
      <c r="N6" s="181"/>
      <c r="O6" s="181"/>
      <c r="P6" s="181"/>
      <c r="Q6" s="181"/>
    </row>
    <row r="7" spans="1:17" s="47" customFormat="1" ht="50" thickBot="1" x14ac:dyDescent="0.4">
      <c r="A7" s="125" t="str">
        <f>_xlfn.XLOOKUP(B7,'Paso 3 Redacción RA '!I$3:I$15,'Paso 3 Redacción RA '!C$3:C$15,,0,1)</f>
        <v>Saberhacer</v>
      </c>
      <c r="B7" s="126" t="s">
        <v>94</v>
      </c>
      <c r="C7" s="179"/>
      <c r="D7" s="180"/>
      <c r="E7" s="182"/>
      <c r="F7" s="179"/>
      <c r="G7" s="179"/>
      <c r="H7" s="179"/>
      <c r="I7" s="179"/>
      <c r="J7" s="179"/>
      <c r="K7" s="179"/>
      <c r="L7" s="179"/>
      <c r="M7" s="179"/>
      <c r="N7" s="182"/>
      <c r="O7" s="182"/>
      <c r="P7" s="182"/>
      <c r="Q7" s="182"/>
    </row>
    <row r="8" spans="1:17" s="47" customFormat="1" ht="49.5" x14ac:dyDescent="0.35">
      <c r="A8" s="123" t="str">
        <f>_xlfn.XLOOKUP(B8,'Paso 3 Redacción RA '!I$3:I$15,'Paso 3 Redacción RA '!C$3:C$15,,0,1)</f>
        <v>Saber</v>
      </c>
      <c r="B8" s="124" t="s">
        <v>90</v>
      </c>
      <c r="C8" s="177">
        <v>1</v>
      </c>
      <c r="D8" s="174" t="s">
        <v>216</v>
      </c>
      <c r="E8" s="183" t="s">
        <v>217</v>
      </c>
      <c r="F8" s="174" t="s">
        <v>212</v>
      </c>
      <c r="G8" s="174"/>
      <c r="H8" s="174" t="s">
        <v>200</v>
      </c>
      <c r="I8" s="174"/>
      <c r="J8" s="174">
        <v>3</v>
      </c>
      <c r="K8" s="174">
        <f>J8*12</f>
        <v>36</v>
      </c>
      <c r="L8" s="174">
        <f>36*J8</f>
        <v>108</v>
      </c>
      <c r="M8" s="174">
        <f>SUM(K8:L8)</f>
        <v>144</v>
      </c>
      <c r="N8" s="183" t="s">
        <v>218</v>
      </c>
      <c r="O8" s="183" t="s">
        <v>214</v>
      </c>
      <c r="P8" s="183" t="s">
        <v>215</v>
      </c>
      <c r="Q8" s="183" t="s">
        <v>209</v>
      </c>
    </row>
    <row r="9" spans="1:17" s="47" customFormat="1" ht="49.5" x14ac:dyDescent="0.35">
      <c r="A9" s="123" t="str">
        <f>_xlfn.XLOOKUP(B9,'Paso 3 Redacción RA '!I$3:I$15,'Paso 3 Redacción RA '!C$3:C$15,,0,1)</f>
        <v>Saberhacer</v>
      </c>
      <c r="B9" s="124" t="s">
        <v>94</v>
      </c>
      <c r="C9" s="178"/>
      <c r="D9" s="175"/>
      <c r="E9" s="184"/>
      <c r="F9" s="175"/>
      <c r="G9" s="175"/>
      <c r="H9" s="175"/>
      <c r="I9" s="175"/>
      <c r="J9" s="175"/>
      <c r="K9" s="175"/>
      <c r="L9" s="175"/>
      <c r="M9" s="175"/>
      <c r="N9" s="184"/>
      <c r="O9" s="184"/>
      <c r="P9" s="184"/>
      <c r="Q9" s="184"/>
    </row>
    <row r="10" spans="1:17" s="47" customFormat="1" ht="66.5" thickBot="1" x14ac:dyDescent="0.4">
      <c r="A10" s="159" t="str">
        <f>_xlfn.XLOOKUP(B10,'Paso 3 Redacción RA '!I$3:I$15,'Paso 3 Redacción RA '!C$3:C$15,,0,1)</f>
        <v>Saberser</v>
      </c>
      <c r="B10" s="126" t="s">
        <v>98</v>
      </c>
      <c r="C10" s="178"/>
      <c r="D10" s="175"/>
      <c r="E10" s="184"/>
      <c r="F10" s="175"/>
      <c r="G10" s="175"/>
      <c r="H10" s="175"/>
      <c r="I10" s="175"/>
      <c r="J10" s="175"/>
      <c r="K10" s="175"/>
      <c r="L10" s="175"/>
      <c r="M10" s="175"/>
      <c r="N10" s="184"/>
      <c r="O10" s="184"/>
      <c r="P10" s="184"/>
      <c r="Q10" s="184"/>
    </row>
    <row r="11" spans="1:17" s="47" customFormat="1" ht="49.5" x14ac:dyDescent="0.35">
      <c r="A11" s="123" t="str">
        <f>_xlfn.XLOOKUP(B11,'Paso 3 Redacción RA '!I$3:I$15,'Paso 3 Redacción RA '!C$3:C$15,,0,1)</f>
        <v>Saber</v>
      </c>
      <c r="B11" s="124" t="s">
        <v>90</v>
      </c>
      <c r="C11" s="177">
        <v>1</v>
      </c>
      <c r="D11" s="174" t="s">
        <v>219</v>
      </c>
      <c r="E11" s="172" t="s">
        <v>220</v>
      </c>
      <c r="F11" s="177" t="s">
        <v>212</v>
      </c>
      <c r="G11" s="177"/>
      <c r="H11" s="177" t="s">
        <v>200</v>
      </c>
      <c r="I11" s="177"/>
      <c r="J11" s="177">
        <v>3</v>
      </c>
      <c r="K11" s="177">
        <f>J11*12</f>
        <v>36</v>
      </c>
      <c r="L11" s="177">
        <f>36*J11</f>
        <v>108</v>
      </c>
      <c r="M11" s="177">
        <f>SUM(K11:L11)</f>
        <v>144</v>
      </c>
      <c r="N11" s="172" t="s">
        <v>221</v>
      </c>
      <c r="O11" s="172" t="s">
        <v>214</v>
      </c>
      <c r="P11" s="172" t="s">
        <v>215</v>
      </c>
      <c r="Q11" s="172" t="s">
        <v>209</v>
      </c>
    </row>
    <row r="12" spans="1:17" s="47" customFormat="1" ht="49.5" x14ac:dyDescent="0.35">
      <c r="A12" s="123" t="str">
        <f>_xlfn.XLOOKUP(B12,'Paso 3 Redacción RA '!I$3:I$15,'Paso 3 Redacción RA '!C$3:C$15,,0,1)</f>
        <v>Saber</v>
      </c>
      <c r="B12" s="124" t="s">
        <v>100</v>
      </c>
      <c r="C12" s="178"/>
      <c r="D12" s="175"/>
      <c r="E12" s="173"/>
      <c r="F12" s="178"/>
      <c r="G12" s="178"/>
      <c r="H12" s="178"/>
      <c r="I12" s="178"/>
      <c r="J12" s="178"/>
      <c r="K12" s="178"/>
      <c r="L12" s="178"/>
      <c r="M12" s="178"/>
      <c r="N12" s="173"/>
      <c r="O12" s="173"/>
      <c r="P12" s="173"/>
      <c r="Q12" s="173"/>
    </row>
    <row r="13" spans="1:17" s="47" customFormat="1" ht="50" thickBot="1" x14ac:dyDescent="0.4">
      <c r="A13" s="159" t="str">
        <f>_xlfn.XLOOKUP(B13,'Paso 3 Redacción RA '!I$3:I$15,'Paso 3 Redacción RA '!C$3:C$15,,0,1)</f>
        <v>Saberhacer</v>
      </c>
      <c r="B13" s="126" t="s">
        <v>94</v>
      </c>
      <c r="C13" s="178"/>
      <c r="D13" s="175"/>
      <c r="E13" s="173"/>
      <c r="F13" s="178"/>
      <c r="G13" s="178"/>
      <c r="H13" s="178"/>
      <c r="I13" s="178"/>
      <c r="J13" s="178"/>
      <c r="K13" s="178"/>
      <c r="L13" s="178"/>
      <c r="M13" s="178"/>
      <c r="N13" s="173"/>
      <c r="O13" s="173"/>
      <c r="P13" s="173"/>
      <c r="Q13" s="173"/>
    </row>
    <row r="14" spans="1:17" s="47" customFormat="1" ht="59.5" customHeight="1" x14ac:dyDescent="0.35">
      <c r="A14" s="123" t="str">
        <f>_xlfn.XLOOKUP(B14,'Paso 3 Redacción RA '!I$3:I$15,'Paso 3 Redacción RA '!C$3:C$15,,0,1)</f>
        <v>Saber</v>
      </c>
      <c r="B14" s="124" t="s">
        <v>90</v>
      </c>
      <c r="C14" s="174">
        <v>1</v>
      </c>
      <c r="D14" s="174" t="s">
        <v>222</v>
      </c>
      <c r="E14" s="172" t="s">
        <v>223</v>
      </c>
      <c r="F14" s="174" t="s">
        <v>199</v>
      </c>
      <c r="G14" s="174"/>
      <c r="H14" s="174" t="s">
        <v>200</v>
      </c>
      <c r="I14" s="174"/>
      <c r="J14" s="174">
        <v>2</v>
      </c>
      <c r="K14" s="174">
        <f>J14*12</f>
        <v>24</v>
      </c>
      <c r="L14" s="174">
        <f>36*J14</f>
        <v>72</v>
      </c>
      <c r="M14" s="174">
        <f>SUM(K14:L14)</f>
        <v>96</v>
      </c>
      <c r="N14" s="172" t="s">
        <v>224</v>
      </c>
      <c r="O14" s="172" t="s">
        <v>214</v>
      </c>
      <c r="P14" s="172" t="s">
        <v>225</v>
      </c>
      <c r="Q14" s="172" t="s">
        <v>209</v>
      </c>
    </row>
    <row r="15" spans="1:17" s="47" customFormat="1" ht="59.5" customHeight="1" x14ac:dyDescent="0.35">
      <c r="A15" s="123" t="str">
        <f>_xlfn.XLOOKUP(B15,'Paso 3 Redacción RA '!I$3:I$15,'Paso 3 Redacción RA '!C$3:C$15,,0,1)</f>
        <v>Saberhacer</v>
      </c>
      <c r="B15" s="124" t="s">
        <v>94</v>
      </c>
      <c r="C15" s="175"/>
      <c r="D15" s="175"/>
      <c r="E15" s="173"/>
      <c r="F15" s="175"/>
      <c r="G15" s="175"/>
      <c r="H15" s="175"/>
      <c r="I15" s="175"/>
      <c r="J15" s="175"/>
      <c r="K15" s="175"/>
      <c r="L15" s="175"/>
      <c r="M15" s="175"/>
      <c r="N15" s="173"/>
      <c r="O15" s="173"/>
      <c r="P15" s="173"/>
      <c r="Q15" s="173"/>
    </row>
    <row r="16" spans="1:17" s="47" customFormat="1" ht="59.5" customHeight="1" thickBot="1" x14ac:dyDescent="0.4">
      <c r="A16" s="159" t="str">
        <f>_xlfn.XLOOKUP(B16,'Paso 3 Redacción RA '!I$3:I$15,'Paso 3 Redacción RA '!C$3:C$15,,0,1)</f>
        <v>Saberhacer</v>
      </c>
      <c r="B16" s="124" t="s">
        <v>103</v>
      </c>
      <c r="C16" s="175"/>
      <c r="D16" s="175"/>
      <c r="E16" s="173"/>
      <c r="F16" s="175"/>
      <c r="G16" s="175"/>
      <c r="H16" s="175"/>
      <c r="I16" s="175"/>
      <c r="J16" s="175"/>
      <c r="K16" s="175"/>
      <c r="L16" s="175"/>
      <c r="M16" s="175"/>
      <c r="N16" s="173"/>
      <c r="O16" s="173"/>
      <c r="P16" s="173"/>
      <c r="Q16" s="173"/>
    </row>
    <row r="17" spans="1:17" s="47" customFormat="1" ht="330.5" thickBot="1" x14ac:dyDescent="0.4">
      <c r="A17" s="113" t="str">
        <f>_xlfn.XLOOKUP(B17,'Paso 3 Redacción RA '!I$3:I$15,'Paso 3 Redacción RA '!C$3:C$15,,0,1)</f>
        <v>Saber</v>
      </c>
      <c r="B17" s="114" t="s">
        <v>108</v>
      </c>
      <c r="C17" s="115">
        <v>2</v>
      </c>
      <c r="D17" s="116" t="s">
        <v>226</v>
      </c>
      <c r="E17" s="117" t="s">
        <v>227</v>
      </c>
      <c r="F17" s="115" t="s">
        <v>199</v>
      </c>
      <c r="G17" s="116" t="s">
        <v>200</v>
      </c>
      <c r="H17" s="116"/>
      <c r="I17" s="116"/>
      <c r="J17" s="115">
        <v>3</v>
      </c>
      <c r="K17" s="115">
        <f>12*J17</f>
        <v>36</v>
      </c>
      <c r="L17" s="115">
        <f>36*J17</f>
        <v>108</v>
      </c>
      <c r="M17" s="115">
        <f>SUM(K17:L17)</f>
        <v>144</v>
      </c>
      <c r="N17" s="127" t="s">
        <v>228</v>
      </c>
      <c r="O17" s="119" t="s">
        <v>229</v>
      </c>
      <c r="P17" s="119" t="s">
        <v>208</v>
      </c>
      <c r="Q17" s="117" t="s">
        <v>209</v>
      </c>
    </row>
    <row r="18" spans="1:17" s="47" customFormat="1" ht="49.5" x14ac:dyDescent="0.35">
      <c r="A18" s="123" t="str">
        <f>_xlfn.XLOOKUP(B18,'Paso 3 Redacción RA '!I$3:I$15,'Paso 3 Redacción RA '!C$3:C$15,,0,1)</f>
        <v>Saber</v>
      </c>
      <c r="B18" s="124" t="s">
        <v>90</v>
      </c>
      <c r="C18" s="174">
        <v>2</v>
      </c>
      <c r="D18" s="174" t="s">
        <v>230</v>
      </c>
      <c r="E18" s="172" t="s">
        <v>231</v>
      </c>
      <c r="F18" s="174" t="s">
        <v>212</v>
      </c>
      <c r="G18" s="174"/>
      <c r="H18" s="174" t="s">
        <v>200</v>
      </c>
      <c r="I18" s="174"/>
      <c r="J18" s="174">
        <v>3</v>
      </c>
      <c r="K18" s="174">
        <f>J18*12</f>
        <v>36</v>
      </c>
      <c r="L18" s="174">
        <f>36*J18</f>
        <v>108</v>
      </c>
      <c r="M18" s="174">
        <f>SUM(K18:L18)</f>
        <v>144</v>
      </c>
      <c r="N18" s="172" t="s">
        <v>232</v>
      </c>
      <c r="O18" s="172" t="s">
        <v>214</v>
      </c>
      <c r="P18" s="172" t="s">
        <v>215</v>
      </c>
      <c r="Q18" s="172" t="s">
        <v>209</v>
      </c>
    </row>
    <row r="19" spans="1:17" s="47" customFormat="1" ht="49.5" x14ac:dyDescent="0.35">
      <c r="A19" s="123" t="str">
        <f>_xlfn.XLOOKUP(B19,'Paso 3 Redacción RA '!I$3:I$15,'Paso 3 Redacción RA '!C$3:C$15,,0,1)</f>
        <v>Saber</v>
      </c>
      <c r="B19" s="124" t="s">
        <v>100</v>
      </c>
      <c r="C19" s="175"/>
      <c r="D19" s="175"/>
      <c r="E19" s="173"/>
      <c r="F19" s="175"/>
      <c r="G19" s="175"/>
      <c r="H19" s="175"/>
      <c r="I19" s="175"/>
      <c r="J19" s="175"/>
      <c r="K19" s="175"/>
      <c r="L19" s="175"/>
      <c r="M19" s="175"/>
      <c r="N19" s="173"/>
      <c r="O19" s="173"/>
      <c r="P19" s="173"/>
      <c r="Q19" s="173"/>
    </row>
    <row r="20" spans="1:17" s="47" customFormat="1" ht="66.5" thickBot="1" x14ac:dyDescent="0.4">
      <c r="A20" s="159" t="str">
        <f>_xlfn.XLOOKUP(B20,'Paso 3 Redacción RA '!I$3:I$15,'Paso 3 Redacción RA '!C$3:C$15,,0,1)</f>
        <v>Saberser</v>
      </c>
      <c r="B20" s="126" t="s">
        <v>98</v>
      </c>
      <c r="C20" s="175"/>
      <c r="D20" s="175"/>
      <c r="E20" s="173"/>
      <c r="F20" s="175"/>
      <c r="G20" s="175"/>
      <c r="H20" s="175"/>
      <c r="I20" s="175"/>
      <c r="J20" s="175"/>
      <c r="K20" s="175"/>
      <c r="L20" s="175"/>
      <c r="M20" s="175"/>
      <c r="N20" s="173"/>
      <c r="O20" s="173"/>
      <c r="P20" s="173"/>
      <c r="Q20" s="173"/>
    </row>
    <row r="21" spans="1:17" s="47" customFormat="1" ht="49.5" x14ac:dyDescent="0.35">
      <c r="A21" s="123" t="str">
        <f>_xlfn.XLOOKUP(B21,'Paso 3 Redacción RA '!I$3:I$15,'Paso 3 Redacción RA '!C$3:C$15,,0,1)</f>
        <v>Saber</v>
      </c>
      <c r="B21" s="124" t="s">
        <v>100</v>
      </c>
      <c r="C21" s="174">
        <v>2</v>
      </c>
      <c r="D21" s="174" t="s">
        <v>233</v>
      </c>
      <c r="E21" s="172" t="s">
        <v>234</v>
      </c>
      <c r="F21" s="174" t="s">
        <v>199</v>
      </c>
      <c r="G21" s="174"/>
      <c r="H21" s="174" t="s">
        <v>200</v>
      </c>
      <c r="I21" s="174"/>
      <c r="J21" s="174">
        <v>3</v>
      </c>
      <c r="K21" s="174">
        <f>J21*12</f>
        <v>36</v>
      </c>
      <c r="L21" s="174">
        <f>36*J21</f>
        <v>108</v>
      </c>
      <c r="M21" s="174">
        <f>SUM(K21:L21)</f>
        <v>144</v>
      </c>
      <c r="N21" s="172" t="s">
        <v>235</v>
      </c>
      <c r="O21" s="172" t="s">
        <v>214</v>
      </c>
      <c r="P21" s="172" t="s">
        <v>225</v>
      </c>
      <c r="Q21" s="172" t="s">
        <v>209</v>
      </c>
    </row>
    <row r="22" spans="1:17" s="47" customFormat="1" ht="33" x14ac:dyDescent="0.35">
      <c r="A22" s="123" t="str">
        <f>_xlfn.XLOOKUP(B22,'Paso 3 Redacción RA '!I$3:I$15,'Paso 3 Redacción RA '!C$3:C$15,,0,1)</f>
        <v>Saberhacer</v>
      </c>
      <c r="B22" s="124" t="s">
        <v>103</v>
      </c>
      <c r="C22" s="175"/>
      <c r="D22" s="175"/>
      <c r="E22" s="173"/>
      <c r="F22" s="175"/>
      <c r="G22" s="175"/>
      <c r="H22" s="175"/>
      <c r="I22" s="175"/>
      <c r="J22" s="175"/>
      <c r="K22" s="175"/>
      <c r="L22" s="175"/>
      <c r="M22" s="175"/>
      <c r="N22" s="173"/>
      <c r="O22" s="173"/>
      <c r="P22" s="173"/>
      <c r="Q22" s="173"/>
    </row>
    <row r="23" spans="1:17" s="47" customFormat="1" ht="66.5" thickBot="1" x14ac:dyDescent="0.4">
      <c r="A23" s="159" t="str">
        <f>_xlfn.XLOOKUP(B23,'Paso 3 Redacción RA '!I$3:I$15,'Paso 3 Redacción RA '!C$3:C$15,,0,1)</f>
        <v>Saberser</v>
      </c>
      <c r="B23" s="126" t="s">
        <v>98</v>
      </c>
      <c r="C23" s="175"/>
      <c r="D23" s="175"/>
      <c r="E23" s="173"/>
      <c r="F23" s="175"/>
      <c r="G23" s="175"/>
      <c r="H23" s="175"/>
      <c r="I23" s="175"/>
      <c r="J23" s="175"/>
      <c r="K23" s="175"/>
      <c r="L23" s="175"/>
      <c r="M23" s="175"/>
      <c r="N23" s="173"/>
      <c r="O23" s="173"/>
      <c r="P23" s="173"/>
      <c r="Q23" s="173"/>
    </row>
    <row r="24" spans="1:17" s="47" customFormat="1" ht="49.5" x14ac:dyDescent="0.35">
      <c r="A24" s="123" t="str">
        <f>_xlfn.XLOOKUP(B24,'Paso 3 Redacción RA '!I$3:I$15,'Paso 3 Redacción RA '!C$3:C$15,,0,1)</f>
        <v>Saber</v>
      </c>
      <c r="B24" s="124" t="s">
        <v>100</v>
      </c>
      <c r="C24" s="174">
        <v>2</v>
      </c>
      <c r="D24" s="174" t="s">
        <v>236</v>
      </c>
      <c r="E24" s="172" t="s">
        <v>237</v>
      </c>
      <c r="F24" s="174" t="s">
        <v>199</v>
      </c>
      <c r="G24" s="174"/>
      <c r="H24" s="174" t="s">
        <v>200</v>
      </c>
      <c r="I24" s="174"/>
      <c r="J24" s="174">
        <v>3</v>
      </c>
      <c r="K24" s="174">
        <f>J24*12</f>
        <v>36</v>
      </c>
      <c r="L24" s="174">
        <f>36*J24</f>
        <v>108</v>
      </c>
      <c r="M24" s="174">
        <f>SUM(K24:L24)</f>
        <v>144</v>
      </c>
      <c r="N24" s="172" t="s">
        <v>238</v>
      </c>
      <c r="O24" s="172" t="s">
        <v>214</v>
      </c>
      <c r="P24" s="172" t="s">
        <v>225</v>
      </c>
      <c r="Q24" s="172" t="s">
        <v>209</v>
      </c>
    </row>
    <row r="25" spans="1:17" s="47" customFormat="1" ht="49.5" x14ac:dyDescent="0.35">
      <c r="A25" s="123" t="str">
        <f>_xlfn.XLOOKUP(B25,'Paso 3 Redacción RA '!I$3:I$15,'Paso 3 Redacción RA '!C$3:C$15,,0,1)</f>
        <v>Saberhacer</v>
      </c>
      <c r="B25" s="124" t="s">
        <v>94</v>
      </c>
      <c r="C25" s="175"/>
      <c r="D25" s="175"/>
      <c r="E25" s="173"/>
      <c r="F25" s="175"/>
      <c r="G25" s="175"/>
      <c r="H25" s="175"/>
      <c r="I25" s="175"/>
      <c r="J25" s="175"/>
      <c r="K25" s="175"/>
      <c r="L25" s="175"/>
      <c r="M25" s="175"/>
      <c r="N25" s="173"/>
      <c r="O25" s="173"/>
      <c r="P25" s="173"/>
      <c r="Q25" s="173"/>
    </row>
    <row r="26" spans="1:17" s="47" customFormat="1" ht="54.65" customHeight="1" thickBot="1" x14ac:dyDescent="0.4">
      <c r="A26" s="159" t="str">
        <f>_xlfn.XLOOKUP(B26,'Paso 3 Redacción RA '!I$3:I$15,'Paso 3 Redacción RA '!C$3:C$15,,0,1)</f>
        <v>Saberhacer</v>
      </c>
      <c r="B26" s="126" t="s">
        <v>103</v>
      </c>
      <c r="C26" s="175"/>
      <c r="D26" s="175"/>
      <c r="E26" s="173"/>
      <c r="F26" s="175"/>
      <c r="G26" s="175"/>
      <c r="H26" s="175"/>
      <c r="I26" s="175"/>
      <c r="J26" s="175"/>
      <c r="K26" s="175"/>
      <c r="L26" s="175"/>
      <c r="M26" s="175"/>
      <c r="N26" s="173"/>
      <c r="O26" s="173"/>
      <c r="P26" s="173"/>
      <c r="Q26" s="173"/>
    </row>
    <row r="27" spans="1:17" s="47" customFormat="1" ht="49.5" x14ac:dyDescent="0.35">
      <c r="A27" s="123" t="str">
        <f>_xlfn.XLOOKUP(B27,'Paso 3 Redacción RA '!I$3:I$15,'Paso 3 Redacción RA '!C$3:C$15,,0,1)</f>
        <v>Saber</v>
      </c>
      <c r="B27" s="124" t="s">
        <v>100</v>
      </c>
      <c r="C27" s="174">
        <v>2</v>
      </c>
      <c r="D27" s="174" t="s">
        <v>239</v>
      </c>
      <c r="E27" s="172" t="s">
        <v>240</v>
      </c>
      <c r="F27" s="174" t="s">
        <v>199</v>
      </c>
      <c r="G27" s="174"/>
      <c r="H27" s="174" t="s">
        <v>200</v>
      </c>
      <c r="I27" s="174"/>
      <c r="J27" s="174">
        <v>3</v>
      </c>
      <c r="K27" s="174">
        <f>J27*12</f>
        <v>36</v>
      </c>
      <c r="L27" s="174">
        <f>36*J27</f>
        <v>108</v>
      </c>
      <c r="M27" s="174">
        <f>SUM(K27:L27)</f>
        <v>144</v>
      </c>
      <c r="N27" s="172" t="s">
        <v>241</v>
      </c>
      <c r="O27" s="172" t="s">
        <v>214</v>
      </c>
      <c r="P27" s="172" t="s">
        <v>225</v>
      </c>
      <c r="Q27" s="172" t="s">
        <v>209</v>
      </c>
    </row>
    <row r="28" spans="1:17" s="47" customFormat="1" ht="49.5" x14ac:dyDescent="0.35">
      <c r="A28" s="123" t="str">
        <f>_xlfn.XLOOKUP(B28,'Paso 3 Redacción RA '!I$3:I$15,'Paso 3 Redacción RA '!C$3:C$15,,0,1)</f>
        <v>Saberhacer</v>
      </c>
      <c r="B28" s="124" t="s">
        <v>94</v>
      </c>
      <c r="C28" s="175"/>
      <c r="D28" s="175"/>
      <c r="E28" s="173"/>
      <c r="F28" s="175"/>
      <c r="G28" s="175"/>
      <c r="H28" s="175"/>
      <c r="I28" s="175"/>
      <c r="J28" s="175"/>
      <c r="K28" s="175"/>
      <c r="L28" s="175"/>
      <c r="M28" s="175"/>
      <c r="N28" s="173"/>
      <c r="O28" s="173"/>
      <c r="P28" s="173"/>
      <c r="Q28" s="173"/>
    </row>
    <row r="29" spans="1:17" s="47" customFormat="1" ht="56.5" customHeight="1" thickBot="1" x14ac:dyDescent="0.4">
      <c r="A29" s="159" t="str">
        <f>_xlfn.XLOOKUP(B29,'Paso 3 Redacción RA '!I$3:I$15,'Paso 3 Redacción RA '!C$3:C$15,,0,1)</f>
        <v>Saberhacer</v>
      </c>
      <c r="B29" s="126" t="s">
        <v>103</v>
      </c>
      <c r="C29" s="175"/>
      <c r="D29" s="175"/>
      <c r="E29" s="173"/>
      <c r="F29" s="175"/>
      <c r="G29" s="175"/>
      <c r="H29" s="175"/>
      <c r="I29" s="175"/>
      <c r="J29" s="175"/>
      <c r="K29" s="175"/>
      <c r="L29" s="175"/>
      <c r="M29" s="175"/>
      <c r="N29" s="173"/>
      <c r="O29" s="173"/>
      <c r="P29" s="173"/>
      <c r="Q29" s="173"/>
    </row>
    <row r="30" spans="1:17" s="47" customFormat="1" ht="49.5" x14ac:dyDescent="0.35">
      <c r="A30" s="123" t="str">
        <f>_xlfn.XLOOKUP(B30,'Paso 3 Redacción RA '!I$3:I$15,'Paso 3 Redacción RA '!C$3:C$15,,0,1)</f>
        <v>Saber</v>
      </c>
      <c r="B30" s="124" t="s">
        <v>100</v>
      </c>
      <c r="C30" s="174">
        <v>2</v>
      </c>
      <c r="D30" s="174" t="s">
        <v>242</v>
      </c>
      <c r="E30" s="185" t="s">
        <v>243</v>
      </c>
      <c r="F30" s="174" t="s">
        <v>199</v>
      </c>
      <c r="G30" s="174"/>
      <c r="H30" s="174" t="s">
        <v>200</v>
      </c>
      <c r="I30" s="174"/>
      <c r="J30" s="174">
        <v>3</v>
      </c>
      <c r="K30" s="174">
        <f>J30*12</f>
        <v>36</v>
      </c>
      <c r="L30" s="174">
        <f>36*J30</f>
        <v>108</v>
      </c>
      <c r="M30" s="174">
        <f>SUM(K30:L30)</f>
        <v>144</v>
      </c>
      <c r="N30" s="172" t="s">
        <v>244</v>
      </c>
      <c r="O30" s="172" t="s">
        <v>214</v>
      </c>
      <c r="P30" s="172" t="s">
        <v>225</v>
      </c>
      <c r="Q30" s="172" t="s">
        <v>209</v>
      </c>
    </row>
    <row r="31" spans="1:17" s="47" customFormat="1" ht="49.5" x14ac:dyDescent="0.35">
      <c r="A31" s="123" t="str">
        <f>_xlfn.XLOOKUP(B31,'Paso 3 Redacción RA '!I$3:I$15,'Paso 3 Redacción RA '!C$3:C$15,,0,1)</f>
        <v>Saberhacer</v>
      </c>
      <c r="B31" s="124" t="s">
        <v>94</v>
      </c>
      <c r="C31" s="175"/>
      <c r="D31" s="175"/>
      <c r="E31" s="181"/>
      <c r="F31" s="175"/>
      <c r="G31" s="175"/>
      <c r="H31" s="175"/>
      <c r="I31" s="175"/>
      <c r="J31" s="175"/>
      <c r="K31" s="175"/>
      <c r="L31" s="175"/>
      <c r="M31" s="175"/>
      <c r="N31" s="173"/>
      <c r="O31" s="173"/>
      <c r="P31" s="173"/>
      <c r="Q31" s="173"/>
    </row>
    <row r="32" spans="1:17" s="47" customFormat="1" ht="52.15" customHeight="1" thickBot="1" x14ac:dyDescent="0.4">
      <c r="A32" s="159" t="str">
        <f>_xlfn.XLOOKUP(B32,'Paso 3 Redacción RA '!I$3:I$15,'Paso 3 Redacción RA '!C$3:C$15,,0,1)</f>
        <v>Saberhacer</v>
      </c>
      <c r="B32" s="126" t="s">
        <v>103</v>
      </c>
      <c r="C32" s="175"/>
      <c r="D32" s="175"/>
      <c r="E32" s="181"/>
      <c r="F32" s="175"/>
      <c r="G32" s="175"/>
      <c r="H32" s="175"/>
      <c r="I32" s="175"/>
      <c r="J32" s="175"/>
      <c r="K32" s="175"/>
      <c r="L32" s="175"/>
      <c r="M32" s="175"/>
      <c r="N32" s="173"/>
      <c r="O32" s="173"/>
      <c r="P32" s="173"/>
      <c r="Q32" s="173"/>
    </row>
    <row r="33" spans="1:17" s="47" customFormat="1" ht="248" thickBot="1" x14ac:dyDescent="0.4">
      <c r="A33" s="113" t="str">
        <f>_xlfn.XLOOKUP(B33,'Paso 3 Redacción RA '!I$3:I$15,'Paso 3 Redacción RA '!C$3:C$15,,0,1)</f>
        <v>Saber</v>
      </c>
      <c r="B33" s="160" t="s">
        <v>108</v>
      </c>
      <c r="C33" s="115">
        <v>3</v>
      </c>
      <c r="D33" s="116" t="s">
        <v>245</v>
      </c>
      <c r="E33" s="117" t="s">
        <v>246</v>
      </c>
      <c r="F33" s="115" t="s">
        <v>199</v>
      </c>
      <c r="G33" s="116" t="s">
        <v>200</v>
      </c>
      <c r="H33" s="116"/>
      <c r="I33" s="116"/>
      <c r="J33" s="115">
        <v>3</v>
      </c>
      <c r="K33" s="115">
        <f>12*J33</f>
        <v>36</v>
      </c>
      <c r="L33" s="115">
        <f>36*J33</f>
        <v>108</v>
      </c>
      <c r="M33" s="115">
        <f>SUM(K33:L33)</f>
        <v>144</v>
      </c>
      <c r="N33" s="117" t="s">
        <v>247</v>
      </c>
      <c r="O33" s="119" t="s">
        <v>229</v>
      </c>
      <c r="P33" s="119" t="s">
        <v>248</v>
      </c>
      <c r="Q33" s="117" t="s">
        <v>209</v>
      </c>
    </row>
    <row r="34" spans="1:17" s="11" customFormat="1" ht="248" thickBot="1" x14ac:dyDescent="0.4">
      <c r="A34" s="113" t="str">
        <f>_xlfn.XLOOKUP(B34,'Paso 3 Redacción RA '!I$3:I$15,'Paso 3 Redacción RA '!C$3:C$15,,0,1)</f>
        <v>Saber</v>
      </c>
      <c r="B34" s="114" t="s">
        <v>108</v>
      </c>
      <c r="C34" s="128">
        <v>3</v>
      </c>
      <c r="D34" s="116" t="s">
        <v>249</v>
      </c>
      <c r="E34" s="117" t="s">
        <v>250</v>
      </c>
      <c r="F34" s="115" t="s">
        <v>199</v>
      </c>
      <c r="G34" s="115" t="s">
        <v>200</v>
      </c>
      <c r="H34" s="115"/>
      <c r="I34" s="115"/>
      <c r="J34" s="128">
        <v>3</v>
      </c>
      <c r="K34" s="115">
        <f>12*J34</f>
        <v>36</v>
      </c>
      <c r="L34" s="115">
        <f>36*J34</f>
        <v>108</v>
      </c>
      <c r="M34" s="115">
        <f>SUM(K34:L34)</f>
        <v>144</v>
      </c>
      <c r="N34" s="117" t="s">
        <v>251</v>
      </c>
      <c r="O34" s="114" t="s">
        <v>229</v>
      </c>
      <c r="P34" s="114" t="s">
        <v>252</v>
      </c>
      <c r="Q34" s="117" t="s">
        <v>209</v>
      </c>
    </row>
    <row r="35" spans="1:17" s="47" customFormat="1" ht="49.5" x14ac:dyDescent="0.35">
      <c r="A35" s="123" t="str">
        <f>_xlfn.XLOOKUP(B35,'Paso 3 Redacción RA '!I$3:I$15,'Paso 3 Redacción RA '!C$3:C$15,,0,1)</f>
        <v>Saber</v>
      </c>
      <c r="B35" s="124" t="s">
        <v>90</v>
      </c>
      <c r="C35" s="174">
        <v>3</v>
      </c>
      <c r="D35" s="186" t="s">
        <v>253</v>
      </c>
      <c r="E35" s="172" t="s">
        <v>254</v>
      </c>
      <c r="F35" s="174" t="s">
        <v>212</v>
      </c>
      <c r="G35" s="174"/>
      <c r="H35" s="174" t="s">
        <v>200</v>
      </c>
      <c r="I35" s="174"/>
      <c r="J35" s="174">
        <v>3</v>
      </c>
      <c r="K35" s="174">
        <f>J35*12</f>
        <v>36</v>
      </c>
      <c r="L35" s="174">
        <f>36*J35</f>
        <v>108</v>
      </c>
      <c r="M35" s="174">
        <f>SUM(K35:L35)</f>
        <v>144</v>
      </c>
      <c r="N35" s="172" t="s">
        <v>255</v>
      </c>
      <c r="O35" s="172" t="s">
        <v>214</v>
      </c>
      <c r="P35" s="172" t="s">
        <v>215</v>
      </c>
      <c r="Q35" s="172" t="s">
        <v>209</v>
      </c>
    </row>
    <row r="36" spans="1:17" s="47" customFormat="1" ht="49.5" x14ac:dyDescent="0.35">
      <c r="A36" s="123" t="str">
        <f>_xlfn.XLOOKUP(B36,'Paso 3 Redacción RA '!I$3:I$15,'Paso 3 Redacción RA '!C$3:C$15,,0,1)</f>
        <v>Saberhacer</v>
      </c>
      <c r="B36" s="124" t="s">
        <v>94</v>
      </c>
      <c r="C36" s="175"/>
      <c r="D36" s="187"/>
      <c r="E36" s="173"/>
      <c r="F36" s="175"/>
      <c r="G36" s="175"/>
      <c r="H36" s="175"/>
      <c r="I36" s="175"/>
      <c r="J36" s="175"/>
      <c r="K36" s="175"/>
      <c r="L36" s="175"/>
      <c r="M36" s="175"/>
      <c r="N36" s="173"/>
      <c r="O36" s="173"/>
      <c r="P36" s="173"/>
      <c r="Q36" s="173"/>
    </row>
    <row r="37" spans="1:17" s="47" customFormat="1" ht="66.5" thickBot="1" x14ac:dyDescent="0.4">
      <c r="A37" s="159" t="str">
        <f>_xlfn.XLOOKUP(B37,'Paso 3 Redacción RA '!I$3:I$15,'Paso 3 Redacción RA '!C$3:C$15,,0,1)</f>
        <v>Saberser</v>
      </c>
      <c r="B37" s="126" t="s">
        <v>98</v>
      </c>
      <c r="C37" s="175"/>
      <c r="D37" s="187"/>
      <c r="E37" s="173"/>
      <c r="F37" s="175"/>
      <c r="G37" s="175"/>
      <c r="H37" s="175"/>
      <c r="I37" s="175"/>
      <c r="J37" s="175"/>
      <c r="K37" s="175"/>
      <c r="L37" s="175"/>
      <c r="M37" s="175"/>
      <c r="N37" s="173"/>
      <c r="O37" s="173"/>
      <c r="P37" s="173"/>
      <c r="Q37" s="173"/>
    </row>
    <row r="38" spans="1:17" s="47" customFormat="1" ht="49.5" x14ac:dyDescent="0.35">
      <c r="A38" s="123" t="str">
        <f>_xlfn.XLOOKUP(B38,'Paso 3 Redacción RA '!I$3:I$15,'Paso 3 Redacción RA '!C$3:C$15,,0,1)</f>
        <v>Saber</v>
      </c>
      <c r="B38" s="124" t="s">
        <v>90</v>
      </c>
      <c r="C38" s="174">
        <v>3</v>
      </c>
      <c r="D38" s="174" t="s">
        <v>256</v>
      </c>
      <c r="E38" s="172" t="s">
        <v>257</v>
      </c>
      <c r="F38" s="174" t="s">
        <v>199</v>
      </c>
      <c r="G38" s="174"/>
      <c r="H38" s="174" t="s">
        <v>200</v>
      </c>
      <c r="I38" s="174"/>
      <c r="J38" s="174">
        <v>3</v>
      </c>
      <c r="K38" s="174">
        <f>J38*12</f>
        <v>36</v>
      </c>
      <c r="L38" s="174">
        <f>36*J38</f>
        <v>108</v>
      </c>
      <c r="M38" s="174">
        <f>SUM(K38:L38)</f>
        <v>144</v>
      </c>
      <c r="N38" s="172" t="s">
        <v>258</v>
      </c>
      <c r="O38" s="172" t="s">
        <v>214</v>
      </c>
      <c r="P38" s="172" t="s">
        <v>259</v>
      </c>
      <c r="Q38" s="172" t="s">
        <v>209</v>
      </c>
    </row>
    <row r="39" spans="1:17" s="47" customFormat="1" ht="49.5" x14ac:dyDescent="0.35">
      <c r="A39" s="123" t="str">
        <f>_xlfn.XLOOKUP(B39,'Paso 3 Redacción RA '!I$3:I$15,'Paso 3 Redacción RA '!C$3:C$15,,0,1)</f>
        <v>Saberhacer</v>
      </c>
      <c r="B39" s="124" t="s">
        <v>94</v>
      </c>
      <c r="C39" s="175"/>
      <c r="D39" s="175"/>
      <c r="E39" s="173"/>
      <c r="F39" s="175"/>
      <c r="G39" s="175"/>
      <c r="H39" s="175"/>
      <c r="I39" s="175"/>
      <c r="J39" s="175"/>
      <c r="K39" s="175"/>
      <c r="L39" s="175"/>
      <c r="M39" s="175"/>
      <c r="N39" s="173"/>
      <c r="O39" s="173"/>
      <c r="P39" s="173"/>
      <c r="Q39" s="173"/>
    </row>
    <row r="40" spans="1:17" s="47" customFormat="1" ht="56.5" customHeight="1" thickBot="1" x14ac:dyDescent="0.4">
      <c r="A40" s="159" t="str">
        <f>_xlfn.XLOOKUP(B40,'Paso 3 Redacción RA '!I$3:I$15,'Paso 3 Redacción RA '!C$3:C$15,,0,1)</f>
        <v>Saberhacer</v>
      </c>
      <c r="B40" s="126" t="s">
        <v>103</v>
      </c>
      <c r="C40" s="175"/>
      <c r="D40" s="175"/>
      <c r="E40" s="173"/>
      <c r="F40" s="175"/>
      <c r="G40" s="175"/>
      <c r="H40" s="175"/>
      <c r="I40" s="175"/>
      <c r="J40" s="175"/>
      <c r="K40" s="175"/>
      <c r="L40" s="175"/>
      <c r="M40" s="175"/>
      <c r="N40" s="173"/>
      <c r="O40" s="173"/>
      <c r="P40" s="173"/>
      <c r="Q40" s="173"/>
    </row>
    <row r="41" spans="1:17" s="47" customFormat="1" ht="49.5" x14ac:dyDescent="0.35">
      <c r="A41" s="123" t="str">
        <f>_xlfn.XLOOKUP(B41,'Paso 3 Redacción RA '!I$3:I$15,'Paso 3 Redacción RA '!C$3:C$15,,0,1)</f>
        <v>Saber</v>
      </c>
      <c r="B41" s="124" t="s">
        <v>90</v>
      </c>
      <c r="C41" s="174">
        <v>3</v>
      </c>
      <c r="D41" s="174" t="s">
        <v>260</v>
      </c>
      <c r="E41" s="172" t="s">
        <v>261</v>
      </c>
      <c r="F41" s="174" t="s">
        <v>212</v>
      </c>
      <c r="G41" s="174"/>
      <c r="H41" s="174" t="s">
        <v>200</v>
      </c>
      <c r="I41" s="174"/>
      <c r="J41" s="174">
        <v>3</v>
      </c>
      <c r="K41" s="174">
        <f>J41*12</f>
        <v>36</v>
      </c>
      <c r="L41" s="174">
        <f>36*J41</f>
        <v>108</v>
      </c>
      <c r="M41" s="174">
        <f>SUM(K41:L41)</f>
        <v>144</v>
      </c>
      <c r="N41" s="172" t="s">
        <v>262</v>
      </c>
      <c r="O41" s="172" t="s">
        <v>214</v>
      </c>
      <c r="P41" s="172" t="s">
        <v>215</v>
      </c>
      <c r="Q41" s="172" t="s">
        <v>209</v>
      </c>
    </row>
    <row r="42" spans="1:17" s="47" customFormat="1" ht="49.5" x14ac:dyDescent="0.35">
      <c r="A42" s="123" t="str">
        <f>_xlfn.XLOOKUP(B42,'Paso 3 Redacción RA '!I$3:I$15,'Paso 3 Redacción RA '!C$3:C$15,,0,1)</f>
        <v>Saberhacer</v>
      </c>
      <c r="B42" s="124" t="s">
        <v>94</v>
      </c>
      <c r="C42" s="175"/>
      <c r="D42" s="175"/>
      <c r="E42" s="173"/>
      <c r="F42" s="175"/>
      <c r="G42" s="175"/>
      <c r="H42" s="175"/>
      <c r="I42" s="175"/>
      <c r="J42" s="175"/>
      <c r="K42" s="175"/>
      <c r="L42" s="175"/>
      <c r="M42" s="175"/>
      <c r="N42" s="173"/>
      <c r="O42" s="173"/>
      <c r="P42" s="173"/>
      <c r="Q42" s="173"/>
    </row>
    <row r="43" spans="1:17" s="47" customFormat="1" ht="66.5" thickBot="1" x14ac:dyDescent="0.4">
      <c r="A43" s="159" t="str">
        <f>_xlfn.XLOOKUP(B43,'Paso 3 Redacción RA '!I$3:I$15,'Paso 3 Redacción RA '!C$3:C$15,,0,1)</f>
        <v>Saberser</v>
      </c>
      <c r="B43" s="126" t="s">
        <v>98</v>
      </c>
      <c r="C43" s="175"/>
      <c r="D43" s="175"/>
      <c r="E43" s="173"/>
      <c r="F43" s="175"/>
      <c r="G43" s="175"/>
      <c r="H43" s="175"/>
      <c r="I43" s="175"/>
      <c r="J43" s="175"/>
      <c r="K43" s="175"/>
      <c r="L43" s="175"/>
      <c r="M43" s="175"/>
      <c r="N43" s="173"/>
      <c r="O43" s="173"/>
      <c r="P43" s="173"/>
      <c r="Q43" s="173"/>
    </row>
    <row r="44" spans="1:17" s="47" customFormat="1" ht="49.5" x14ac:dyDescent="0.35">
      <c r="A44" s="123" t="str">
        <f>_xlfn.XLOOKUP(B44,'Paso 3 Redacción RA '!I$3:I$15,'Paso 3 Redacción RA '!C$3:C$15,,0,1)</f>
        <v>Saber</v>
      </c>
      <c r="B44" s="124" t="s">
        <v>100</v>
      </c>
      <c r="C44" s="174">
        <v>3</v>
      </c>
      <c r="D44" s="174" t="s">
        <v>263</v>
      </c>
      <c r="E44" s="172" t="s">
        <v>264</v>
      </c>
      <c r="F44" s="174" t="s">
        <v>199</v>
      </c>
      <c r="G44" s="174"/>
      <c r="H44" s="174" t="s">
        <v>200</v>
      </c>
      <c r="I44" s="174"/>
      <c r="J44" s="174">
        <v>3</v>
      </c>
      <c r="K44" s="174">
        <f>J44*12</f>
        <v>36</v>
      </c>
      <c r="L44" s="174">
        <f>36*J44</f>
        <v>108</v>
      </c>
      <c r="M44" s="174">
        <f>SUM(K44:L44)</f>
        <v>144</v>
      </c>
      <c r="N44" s="172" t="s">
        <v>265</v>
      </c>
      <c r="O44" s="172" t="s">
        <v>214</v>
      </c>
      <c r="P44" s="172" t="s">
        <v>225</v>
      </c>
      <c r="Q44" s="172" t="s">
        <v>209</v>
      </c>
    </row>
    <row r="45" spans="1:17" s="47" customFormat="1" ht="33" x14ac:dyDescent="0.35">
      <c r="A45" s="123" t="str">
        <f>_xlfn.XLOOKUP(B45,'Paso 3 Redacción RA '!I$3:I$15,'Paso 3 Redacción RA '!C$3:C$15,,0,1)</f>
        <v>Saberhacer</v>
      </c>
      <c r="B45" s="124" t="s">
        <v>103</v>
      </c>
      <c r="C45" s="175"/>
      <c r="D45" s="175"/>
      <c r="E45" s="173"/>
      <c r="F45" s="175"/>
      <c r="G45" s="175"/>
      <c r="H45" s="175"/>
      <c r="I45" s="175"/>
      <c r="J45" s="175"/>
      <c r="K45" s="175"/>
      <c r="L45" s="175"/>
      <c r="M45" s="175"/>
      <c r="N45" s="173"/>
      <c r="O45" s="173"/>
      <c r="P45" s="173"/>
      <c r="Q45" s="173"/>
    </row>
    <row r="46" spans="1:17" s="47" customFormat="1" ht="66.5" thickBot="1" x14ac:dyDescent="0.4">
      <c r="A46" s="159" t="str">
        <f>_xlfn.XLOOKUP(B46,'Paso 3 Redacción RA '!I$3:I$15,'Paso 3 Redacción RA '!C$3:C$15,,0,1)</f>
        <v>Saberser</v>
      </c>
      <c r="B46" s="124" t="s">
        <v>98</v>
      </c>
      <c r="C46" s="175"/>
      <c r="D46" s="175"/>
      <c r="E46" s="173"/>
      <c r="F46" s="175"/>
      <c r="G46" s="175"/>
      <c r="H46" s="175"/>
      <c r="I46" s="175"/>
      <c r="J46" s="175"/>
      <c r="K46" s="175"/>
      <c r="L46" s="175"/>
      <c r="M46" s="175"/>
      <c r="N46" s="173"/>
      <c r="O46" s="173"/>
      <c r="P46" s="173"/>
      <c r="Q46" s="173"/>
    </row>
    <row r="47" spans="1:17" s="47" customFormat="1" ht="248" thickBot="1" x14ac:dyDescent="0.4">
      <c r="A47" s="113" t="str">
        <f>_xlfn.XLOOKUP(B47,'Paso 3 Redacción RA '!I$3:I$15,'Paso 3 Redacción RA '!C$3:C$15,,0,1)</f>
        <v>Saber</v>
      </c>
      <c r="B47" s="114" t="s">
        <v>108</v>
      </c>
      <c r="C47" s="128">
        <v>4</v>
      </c>
      <c r="D47" s="115" t="s">
        <v>266</v>
      </c>
      <c r="E47" s="117" t="s">
        <v>267</v>
      </c>
      <c r="F47" s="115" t="s">
        <v>199</v>
      </c>
      <c r="G47" s="129" t="s">
        <v>200</v>
      </c>
      <c r="H47" s="129"/>
      <c r="I47" s="129"/>
      <c r="J47" s="116">
        <v>3</v>
      </c>
      <c r="K47" s="115">
        <f>12*J47</f>
        <v>36</v>
      </c>
      <c r="L47" s="115">
        <f>36*J47</f>
        <v>108</v>
      </c>
      <c r="M47" s="115">
        <f>SUM(K47:L47)</f>
        <v>144</v>
      </c>
      <c r="N47" s="130" t="s">
        <v>268</v>
      </c>
      <c r="O47" s="131" t="s">
        <v>229</v>
      </c>
      <c r="P47" s="131" t="s">
        <v>269</v>
      </c>
      <c r="Q47" s="132" t="s">
        <v>209</v>
      </c>
    </row>
    <row r="48" spans="1:17" s="47" customFormat="1" ht="49.5" x14ac:dyDescent="0.35">
      <c r="A48" s="123" t="str">
        <f>_xlfn.XLOOKUP(B48,'Paso 3 Redacción RA '!I$3:I$15,'Paso 3 Redacción RA '!C$3:C$15,,0,1)</f>
        <v>Saber</v>
      </c>
      <c r="B48" s="124" t="s">
        <v>100</v>
      </c>
      <c r="C48" s="174">
        <v>4</v>
      </c>
      <c r="D48" s="174" t="s">
        <v>270</v>
      </c>
      <c r="E48" s="172" t="s">
        <v>271</v>
      </c>
      <c r="F48" s="174" t="s">
        <v>199</v>
      </c>
      <c r="G48" s="174"/>
      <c r="H48" s="174" t="s">
        <v>200</v>
      </c>
      <c r="I48" s="174"/>
      <c r="J48" s="174">
        <v>3</v>
      </c>
      <c r="K48" s="174">
        <f>J48*12</f>
        <v>36</v>
      </c>
      <c r="L48" s="174">
        <f>36*J48</f>
        <v>108</v>
      </c>
      <c r="M48" s="174">
        <f>SUM(K48:L48)</f>
        <v>144</v>
      </c>
      <c r="N48" s="172" t="s">
        <v>272</v>
      </c>
      <c r="O48" s="172" t="s">
        <v>214</v>
      </c>
      <c r="P48" s="172" t="s">
        <v>225</v>
      </c>
      <c r="Q48" s="172" t="s">
        <v>209</v>
      </c>
    </row>
    <row r="49" spans="1:17" s="47" customFormat="1" ht="33" x14ac:dyDescent="0.35">
      <c r="A49" s="123" t="str">
        <f>_xlfn.XLOOKUP(B49,'Paso 3 Redacción RA '!I$3:I$15,'Paso 3 Redacción RA '!C$3:C$15,,0,1)</f>
        <v>Saberhacer</v>
      </c>
      <c r="B49" s="124" t="s">
        <v>103</v>
      </c>
      <c r="C49" s="175"/>
      <c r="D49" s="175"/>
      <c r="E49" s="173"/>
      <c r="F49" s="175"/>
      <c r="G49" s="175"/>
      <c r="H49" s="175"/>
      <c r="I49" s="175"/>
      <c r="J49" s="175"/>
      <c r="K49" s="175"/>
      <c r="L49" s="175"/>
      <c r="M49" s="175"/>
      <c r="N49" s="173"/>
      <c r="O49" s="173"/>
      <c r="P49" s="173"/>
      <c r="Q49" s="173"/>
    </row>
    <row r="50" spans="1:17" s="47" customFormat="1" ht="66.5" thickBot="1" x14ac:dyDescent="0.4">
      <c r="A50" s="125" t="str">
        <f>_xlfn.XLOOKUP(B50,'Paso 3 Redacción RA '!I$3:I$15,'Paso 3 Redacción RA '!C$3:C$15,,0,1)</f>
        <v>Saberser</v>
      </c>
      <c r="B50" s="126" t="s">
        <v>98</v>
      </c>
      <c r="C50" s="180"/>
      <c r="D50" s="180"/>
      <c r="E50" s="188"/>
      <c r="F50" s="180"/>
      <c r="G50" s="180"/>
      <c r="H50" s="180"/>
      <c r="I50" s="180"/>
      <c r="J50" s="180"/>
      <c r="K50" s="180"/>
      <c r="L50" s="180"/>
      <c r="M50" s="180"/>
      <c r="N50" s="188"/>
      <c r="O50" s="188"/>
      <c r="P50" s="188"/>
      <c r="Q50" s="188"/>
    </row>
    <row r="51" spans="1:17" s="47" customFormat="1" ht="49.5" x14ac:dyDescent="0.35">
      <c r="A51" s="123" t="str">
        <f>_xlfn.XLOOKUP(B51,'Paso 3 Redacción RA '!I$3:I$15,'Paso 3 Redacción RA '!C$3:C$15,,0,1)</f>
        <v>Saber</v>
      </c>
      <c r="B51" s="124" t="s">
        <v>100</v>
      </c>
      <c r="C51" s="174">
        <v>4</v>
      </c>
      <c r="D51" s="174" t="s">
        <v>273</v>
      </c>
      <c r="E51" s="185" t="s">
        <v>274</v>
      </c>
      <c r="F51" s="174" t="s">
        <v>199</v>
      </c>
      <c r="G51" s="174"/>
      <c r="H51" s="174" t="s">
        <v>200</v>
      </c>
      <c r="I51" s="174"/>
      <c r="J51" s="174">
        <v>3</v>
      </c>
      <c r="K51" s="174">
        <f>J51*12</f>
        <v>36</v>
      </c>
      <c r="L51" s="174">
        <f>36*J51</f>
        <v>108</v>
      </c>
      <c r="M51" s="174">
        <f>SUM(K51:L51)</f>
        <v>144</v>
      </c>
      <c r="N51" s="172" t="s">
        <v>275</v>
      </c>
      <c r="O51" s="172" t="s">
        <v>214</v>
      </c>
      <c r="P51" s="172" t="s">
        <v>259</v>
      </c>
      <c r="Q51" s="172" t="s">
        <v>209</v>
      </c>
    </row>
    <row r="52" spans="1:17" s="47" customFormat="1" ht="49.5" x14ac:dyDescent="0.35">
      <c r="A52" s="123" t="str">
        <f>_xlfn.XLOOKUP(B52,'Paso 3 Redacción RA '!I$3:I$15,'Paso 3 Redacción RA '!C$3:C$15,,0,1)</f>
        <v>Saberhacer</v>
      </c>
      <c r="B52" s="124" t="s">
        <v>94</v>
      </c>
      <c r="C52" s="175"/>
      <c r="D52" s="175"/>
      <c r="E52" s="181"/>
      <c r="F52" s="175"/>
      <c r="G52" s="175"/>
      <c r="H52" s="175"/>
      <c r="I52" s="175"/>
      <c r="J52" s="175"/>
      <c r="K52" s="175"/>
      <c r="L52" s="175"/>
      <c r="M52" s="175"/>
      <c r="N52" s="173"/>
      <c r="O52" s="173"/>
      <c r="P52" s="173"/>
      <c r="Q52" s="173"/>
    </row>
    <row r="53" spans="1:17" s="47" customFormat="1" ht="62.5" customHeight="1" thickBot="1" x14ac:dyDescent="0.4">
      <c r="A53" s="125" t="str">
        <f>_xlfn.XLOOKUP(B53,'Paso 3 Redacción RA '!I$3:I$15,'Paso 3 Redacción RA '!C$3:C$15,,0,1)</f>
        <v>Saberhacer</v>
      </c>
      <c r="B53" s="126" t="s">
        <v>103</v>
      </c>
      <c r="C53" s="180"/>
      <c r="D53" s="180"/>
      <c r="E53" s="182"/>
      <c r="F53" s="180"/>
      <c r="G53" s="180"/>
      <c r="H53" s="180"/>
      <c r="I53" s="180"/>
      <c r="J53" s="180"/>
      <c r="K53" s="180"/>
      <c r="L53" s="180"/>
      <c r="M53" s="180"/>
      <c r="N53" s="188"/>
      <c r="O53" s="188"/>
      <c r="P53" s="188"/>
      <c r="Q53" s="188"/>
    </row>
    <row r="54" spans="1:17" s="47" customFormat="1" ht="49.5" x14ac:dyDescent="0.35">
      <c r="A54" s="123" t="str">
        <f>_xlfn.XLOOKUP(B54,'Paso 3 Redacción RA '!I$3:I$15,'Paso 3 Redacción RA '!C$3:C$15,,0,1)</f>
        <v>Saber</v>
      </c>
      <c r="B54" s="124" t="s">
        <v>90</v>
      </c>
      <c r="C54" s="174">
        <v>4</v>
      </c>
      <c r="D54" s="174" t="s">
        <v>276</v>
      </c>
      <c r="E54" s="172" t="s">
        <v>277</v>
      </c>
      <c r="F54" s="174" t="s">
        <v>199</v>
      </c>
      <c r="G54" s="174"/>
      <c r="H54" s="174" t="s">
        <v>200</v>
      </c>
      <c r="I54" s="174"/>
      <c r="J54" s="174">
        <v>3</v>
      </c>
      <c r="K54" s="174">
        <f>J54*12</f>
        <v>36</v>
      </c>
      <c r="L54" s="174">
        <f>36*J54</f>
        <v>108</v>
      </c>
      <c r="M54" s="174">
        <f>SUM(K54:L54)</f>
        <v>144</v>
      </c>
      <c r="N54" s="172" t="s">
        <v>278</v>
      </c>
      <c r="O54" s="172" t="s">
        <v>214</v>
      </c>
      <c r="P54" s="172" t="s">
        <v>215</v>
      </c>
      <c r="Q54" s="172" t="s">
        <v>209</v>
      </c>
    </row>
    <row r="55" spans="1:17" s="47" customFormat="1" ht="49.5" x14ac:dyDescent="0.35">
      <c r="A55" s="123" t="str">
        <f>_xlfn.XLOOKUP(B55,'Paso 3 Redacción RA '!I$3:I$15,'Paso 3 Redacción RA '!C$3:C$15,,0,1)</f>
        <v>Saberhacer</v>
      </c>
      <c r="B55" s="124" t="s">
        <v>94</v>
      </c>
      <c r="C55" s="175"/>
      <c r="D55" s="175"/>
      <c r="E55" s="173"/>
      <c r="F55" s="175"/>
      <c r="G55" s="175"/>
      <c r="H55" s="175"/>
      <c r="I55" s="175"/>
      <c r="J55" s="175"/>
      <c r="K55" s="175"/>
      <c r="L55" s="175"/>
      <c r="M55" s="175"/>
      <c r="N55" s="173"/>
      <c r="O55" s="173"/>
      <c r="P55" s="173"/>
      <c r="Q55" s="173"/>
    </row>
    <row r="56" spans="1:17" s="47" customFormat="1" ht="66.5" thickBot="1" x14ac:dyDescent="0.4">
      <c r="A56" s="125" t="str">
        <f>_xlfn.XLOOKUP(B56,'Paso 3 Redacción RA '!I$3:I$15,'Paso 3 Redacción RA '!C$3:C$15,,0,1)</f>
        <v>Saberser</v>
      </c>
      <c r="B56" s="126" t="s">
        <v>98</v>
      </c>
      <c r="C56" s="180"/>
      <c r="D56" s="180"/>
      <c r="E56" s="188"/>
      <c r="F56" s="180"/>
      <c r="G56" s="180"/>
      <c r="H56" s="180"/>
      <c r="I56" s="180"/>
      <c r="J56" s="180"/>
      <c r="K56" s="180"/>
      <c r="L56" s="180"/>
      <c r="M56" s="180"/>
      <c r="N56" s="188"/>
      <c r="O56" s="188"/>
      <c r="P56" s="188"/>
      <c r="Q56" s="188"/>
    </row>
    <row r="57" spans="1:17" s="47" customFormat="1" ht="49.5" x14ac:dyDescent="0.35">
      <c r="A57" s="123" t="str">
        <f>_xlfn.XLOOKUP(B57,'Paso 3 Redacción RA '!I$3:I$15,'Paso 3 Redacción RA '!C$3:C$15,,0,1)</f>
        <v>Saber</v>
      </c>
      <c r="B57" s="124" t="s">
        <v>90</v>
      </c>
      <c r="C57" s="174">
        <v>4</v>
      </c>
      <c r="D57" s="174" t="s">
        <v>279</v>
      </c>
      <c r="E57" s="172" t="s">
        <v>280</v>
      </c>
      <c r="F57" s="174" t="s">
        <v>212</v>
      </c>
      <c r="G57" s="174"/>
      <c r="H57" s="174" t="s">
        <v>200</v>
      </c>
      <c r="I57" s="174"/>
      <c r="J57" s="174">
        <v>3</v>
      </c>
      <c r="K57" s="174">
        <f>J57*12</f>
        <v>36</v>
      </c>
      <c r="L57" s="174">
        <f>36*J57</f>
        <v>108</v>
      </c>
      <c r="M57" s="174">
        <f>SUM(K57:L57)</f>
        <v>144</v>
      </c>
      <c r="N57" s="172" t="s">
        <v>281</v>
      </c>
      <c r="O57" s="172" t="s">
        <v>214</v>
      </c>
      <c r="P57" s="172" t="s">
        <v>215</v>
      </c>
      <c r="Q57" s="172" t="s">
        <v>209</v>
      </c>
    </row>
    <row r="58" spans="1:17" s="47" customFormat="1" ht="49.5" x14ac:dyDescent="0.35">
      <c r="A58" s="123" t="str">
        <f>_xlfn.XLOOKUP(B58,'Paso 3 Redacción RA '!I$3:I$15,'Paso 3 Redacción RA '!C$3:C$15,,0,1)</f>
        <v>Saberhacer</v>
      </c>
      <c r="B58" s="124" t="s">
        <v>94</v>
      </c>
      <c r="C58" s="175"/>
      <c r="D58" s="175"/>
      <c r="E58" s="173"/>
      <c r="F58" s="175"/>
      <c r="G58" s="175"/>
      <c r="H58" s="175"/>
      <c r="I58" s="175"/>
      <c r="J58" s="175"/>
      <c r="K58" s="175"/>
      <c r="L58" s="175"/>
      <c r="M58" s="175"/>
      <c r="N58" s="173"/>
      <c r="O58" s="173"/>
      <c r="P58" s="173"/>
      <c r="Q58" s="173"/>
    </row>
    <row r="59" spans="1:17" s="47" customFormat="1" ht="66.5" thickBot="1" x14ac:dyDescent="0.4">
      <c r="A59" s="125" t="str">
        <f>_xlfn.XLOOKUP(B59,'Paso 3 Redacción RA '!I$3:I$15,'Paso 3 Redacción RA '!C$3:C$15,,0,1)</f>
        <v>Saberser</v>
      </c>
      <c r="B59" s="126" t="s">
        <v>98</v>
      </c>
      <c r="C59" s="180"/>
      <c r="D59" s="180"/>
      <c r="E59" s="188"/>
      <c r="F59" s="180"/>
      <c r="G59" s="180"/>
      <c r="H59" s="180"/>
      <c r="I59" s="180"/>
      <c r="J59" s="180"/>
      <c r="K59" s="180"/>
      <c r="L59" s="180"/>
      <c r="M59" s="180"/>
      <c r="N59" s="188"/>
      <c r="O59" s="188"/>
      <c r="P59" s="188"/>
      <c r="Q59" s="188"/>
    </row>
    <row r="60" spans="1:17" s="47" customFormat="1" ht="49.5" x14ac:dyDescent="0.35">
      <c r="A60" s="123" t="str">
        <f>_xlfn.XLOOKUP(B60,'Paso 3 Redacción RA '!I$3:I$15,'Paso 3 Redacción RA '!C$3:C$15,,0,1)</f>
        <v>Saber</v>
      </c>
      <c r="B60" s="124" t="s">
        <v>90</v>
      </c>
      <c r="C60" s="174">
        <v>4</v>
      </c>
      <c r="D60" s="174" t="s">
        <v>282</v>
      </c>
      <c r="E60" s="172" t="s">
        <v>283</v>
      </c>
      <c r="F60" s="174" t="s">
        <v>212</v>
      </c>
      <c r="G60" s="174"/>
      <c r="H60" s="174" t="s">
        <v>200</v>
      </c>
      <c r="I60" s="174"/>
      <c r="J60" s="174">
        <v>3</v>
      </c>
      <c r="K60" s="174">
        <f>J60*12</f>
        <v>36</v>
      </c>
      <c r="L60" s="174">
        <f>36*J60</f>
        <v>108</v>
      </c>
      <c r="M60" s="174">
        <f>SUM(K60:L60)</f>
        <v>144</v>
      </c>
      <c r="N60" s="172" t="s">
        <v>284</v>
      </c>
      <c r="O60" s="172" t="s">
        <v>214</v>
      </c>
      <c r="P60" s="172" t="s">
        <v>215</v>
      </c>
      <c r="Q60" s="172" t="s">
        <v>209</v>
      </c>
    </row>
    <row r="61" spans="1:17" s="47" customFormat="1" ht="49.5" x14ac:dyDescent="0.35">
      <c r="A61" s="123" t="str">
        <f>_xlfn.XLOOKUP(B61,'Paso 3 Redacción RA '!I$3:I$15,'Paso 3 Redacción RA '!C$3:C$15,,0,1)</f>
        <v>Saberhacer</v>
      </c>
      <c r="B61" s="124" t="s">
        <v>94</v>
      </c>
      <c r="C61" s="175"/>
      <c r="D61" s="175"/>
      <c r="E61" s="173"/>
      <c r="F61" s="175"/>
      <c r="G61" s="175"/>
      <c r="H61" s="175"/>
      <c r="I61" s="175"/>
      <c r="J61" s="175"/>
      <c r="K61" s="175"/>
      <c r="L61" s="175"/>
      <c r="M61" s="175"/>
      <c r="N61" s="173"/>
      <c r="O61" s="173"/>
      <c r="P61" s="173"/>
      <c r="Q61" s="173"/>
    </row>
    <row r="62" spans="1:17" s="47" customFormat="1" ht="66.5" thickBot="1" x14ac:dyDescent="0.4">
      <c r="A62" s="125" t="str">
        <f>_xlfn.XLOOKUP(B62,'Paso 3 Redacción RA '!I$3:I$15,'Paso 3 Redacción RA '!C$3:C$15,,0,1)</f>
        <v>Saberser</v>
      </c>
      <c r="B62" s="126" t="s">
        <v>98</v>
      </c>
      <c r="C62" s="180"/>
      <c r="D62" s="180"/>
      <c r="E62" s="188"/>
      <c r="F62" s="180"/>
      <c r="G62" s="180"/>
      <c r="H62" s="180"/>
      <c r="I62" s="180"/>
      <c r="J62" s="180"/>
      <c r="K62" s="180"/>
      <c r="L62" s="180"/>
      <c r="M62" s="180"/>
      <c r="N62" s="188"/>
      <c r="O62" s="188"/>
      <c r="P62" s="188"/>
      <c r="Q62" s="188"/>
    </row>
    <row r="63" spans="1:17" s="47" customFormat="1" ht="49.5" x14ac:dyDescent="0.35">
      <c r="A63" s="123" t="str">
        <f>_xlfn.XLOOKUP(B63,'Paso 3 Redacción RA '!I$3:I$15,'Paso 3 Redacción RA '!C$3:C$15,,0,1)</f>
        <v>Saber</v>
      </c>
      <c r="B63" s="124" t="s">
        <v>90</v>
      </c>
      <c r="C63" s="174">
        <v>5</v>
      </c>
      <c r="D63" s="174" t="s">
        <v>285</v>
      </c>
      <c r="E63" s="172" t="s">
        <v>286</v>
      </c>
      <c r="F63" s="174" t="s">
        <v>287</v>
      </c>
      <c r="G63" s="174"/>
      <c r="H63" s="174" t="s">
        <v>200</v>
      </c>
      <c r="I63" s="174"/>
      <c r="J63" s="174">
        <v>8</v>
      </c>
      <c r="K63" s="174">
        <f>J63*12</f>
        <v>96</v>
      </c>
      <c r="L63" s="174">
        <f>36*J63</f>
        <v>288</v>
      </c>
      <c r="M63" s="174">
        <f>SUM(K63:L63)</f>
        <v>384</v>
      </c>
      <c r="N63" s="172" t="s">
        <v>288</v>
      </c>
      <c r="O63" s="172" t="s">
        <v>214</v>
      </c>
      <c r="P63" s="172" t="s">
        <v>289</v>
      </c>
      <c r="Q63" s="172" t="s">
        <v>209</v>
      </c>
    </row>
    <row r="64" spans="1:17" s="47" customFormat="1" ht="49.5" x14ac:dyDescent="0.35">
      <c r="A64" s="123" t="str">
        <f>_xlfn.XLOOKUP(B64,'Paso 3 Redacción RA '!I$3:I$15,'Paso 3 Redacción RA '!C$3:C$15,,0,1)</f>
        <v>Saber</v>
      </c>
      <c r="B64" s="124" t="s">
        <v>100</v>
      </c>
      <c r="C64" s="175"/>
      <c r="D64" s="175"/>
      <c r="E64" s="173"/>
      <c r="F64" s="175"/>
      <c r="G64" s="175"/>
      <c r="H64" s="175"/>
      <c r="I64" s="175"/>
      <c r="J64" s="175"/>
      <c r="K64" s="175"/>
      <c r="L64" s="175"/>
      <c r="M64" s="175"/>
      <c r="N64" s="173"/>
      <c r="O64" s="189"/>
      <c r="P64" s="173"/>
      <c r="Q64" s="173"/>
    </row>
    <row r="65" spans="1:17" s="47" customFormat="1" ht="50" thickBot="1" x14ac:dyDescent="0.4">
      <c r="A65" s="125" t="str">
        <f>_xlfn.XLOOKUP(B65,'Paso 3 Redacción RA '!I$3:I$15,'Paso 3 Redacción RA '!C$3:C$15,,0,1)</f>
        <v>Saberhacer</v>
      </c>
      <c r="B65" s="126" t="s">
        <v>94</v>
      </c>
      <c r="C65" s="180"/>
      <c r="D65" s="180"/>
      <c r="E65" s="188"/>
      <c r="F65" s="180"/>
      <c r="G65" s="180"/>
      <c r="H65" s="180"/>
      <c r="I65" s="180"/>
      <c r="J65" s="180"/>
      <c r="K65" s="180"/>
      <c r="L65" s="180"/>
      <c r="M65" s="180"/>
      <c r="N65" s="188"/>
      <c r="O65" s="190"/>
      <c r="P65" s="188"/>
      <c r="Q65" s="188"/>
    </row>
    <row r="66" spans="1:17" s="47" customFormat="1" ht="49.5" x14ac:dyDescent="0.35">
      <c r="A66" s="123" t="str">
        <f>_xlfn.XLOOKUP(B66,'Paso 3 Redacción RA '!I$3:I$15,'Paso 3 Redacción RA '!C$3:C$15,,0,1)</f>
        <v>Saber</v>
      </c>
      <c r="B66" s="124" t="s">
        <v>90</v>
      </c>
      <c r="C66" s="174">
        <v>5</v>
      </c>
      <c r="D66" s="174" t="s">
        <v>290</v>
      </c>
      <c r="E66" s="172" t="s">
        <v>291</v>
      </c>
      <c r="F66" s="174" t="s">
        <v>199</v>
      </c>
      <c r="G66" s="174"/>
      <c r="H66" s="174" t="s">
        <v>200</v>
      </c>
      <c r="I66" s="174"/>
      <c r="J66" s="174">
        <v>2</v>
      </c>
      <c r="K66" s="174">
        <f>J66*12</f>
        <v>24</v>
      </c>
      <c r="L66" s="174">
        <f>36*J66</f>
        <v>72</v>
      </c>
      <c r="M66" s="174">
        <f>SUM(K66:L66)</f>
        <v>96</v>
      </c>
      <c r="N66" s="172" t="s">
        <v>292</v>
      </c>
      <c r="O66" s="172" t="s">
        <v>214</v>
      </c>
      <c r="P66" s="172" t="s">
        <v>225</v>
      </c>
      <c r="Q66" s="172" t="s">
        <v>209</v>
      </c>
    </row>
    <row r="67" spans="1:17" s="47" customFormat="1" ht="49.5" x14ac:dyDescent="0.35">
      <c r="A67" s="123" t="str">
        <f>_xlfn.XLOOKUP(B67,'Paso 3 Redacción RA '!I$3:I$15,'Paso 3 Redacción RA '!C$3:C$15,,0,1)</f>
        <v>Saberhacer</v>
      </c>
      <c r="B67" s="124" t="s">
        <v>94</v>
      </c>
      <c r="C67" s="175"/>
      <c r="D67" s="175"/>
      <c r="E67" s="173"/>
      <c r="F67" s="175"/>
      <c r="G67" s="175"/>
      <c r="H67" s="175"/>
      <c r="I67" s="175"/>
      <c r="J67" s="175"/>
      <c r="K67" s="175"/>
      <c r="L67" s="175"/>
      <c r="M67" s="175"/>
      <c r="N67" s="173"/>
      <c r="O67" s="173"/>
      <c r="P67" s="173"/>
      <c r="Q67" s="173"/>
    </row>
    <row r="68" spans="1:17" s="47" customFormat="1" ht="33" x14ac:dyDescent="0.35">
      <c r="A68" s="123" t="str">
        <f>_xlfn.XLOOKUP(B68,'Paso 3 Redacción RA '!I$3:I$15,'Paso 3 Redacción RA '!C$3:C$15,,0,1)</f>
        <v>Saberhacer</v>
      </c>
      <c r="B68" s="124" t="s">
        <v>103</v>
      </c>
      <c r="C68" s="175"/>
      <c r="D68" s="175"/>
      <c r="E68" s="173"/>
      <c r="F68" s="175"/>
      <c r="G68" s="175"/>
      <c r="H68" s="175"/>
      <c r="I68" s="175"/>
      <c r="J68" s="175"/>
      <c r="K68" s="175"/>
      <c r="L68" s="175"/>
      <c r="M68" s="175"/>
      <c r="N68" s="173"/>
      <c r="O68" s="173"/>
      <c r="P68" s="173"/>
      <c r="Q68" s="173"/>
    </row>
    <row r="69" spans="1:17" s="47" customFormat="1" ht="66.5" thickBot="1" x14ac:dyDescent="0.4">
      <c r="A69" s="125" t="str">
        <f>_xlfn.XLOOKUP(B69,'Paso 3 Redacción RA '!I$3:I$15,'Paso 3 Redacción RA '!C$3:C$15,,0,1)</f>
        <v>Saberser</v>
      </c>
      <c r="B69" s="126" t="s">
        <v>98</v>
      </c>
      <c r="C69" s="180"/>
      <c r="D69" s="180"/>
      <c r="E69" s="188"/>
      <c r="F69" s="180"/>
      <c r="G69" s="180"/>
      <c r="H69" s="180"/>
      <c r="I69" s="180"/>
      <c r="J69" s="180"/>
      <c r="K69" s="180"/>
      <c r="L69" s="180"/>
      <c r="M69" s="180"/>
      <c r="N69" s="188"/>
      <c r="O69" s="188"/>
      <c r="P69" s="188"/>
      <c r="Q69" s="188"/>
    </row>
    <row r="70" spans="1:17" s="47" customFormat="1" ht="49.5" x14ac:dyDescent="0.35">
      <c r="A70" s="123" t="str">
        <f>_xlfn.XLOOKUP(B70,'Paso 3 Redacción RA '!I$3:I$15,'Paso 3 Redacción RA '!C$3:C$15,,0,1)</f>
        <v>Saber</v>
      </c>
      <c r="B70" s="124" t="s">
        <v>90</v>
      </c>
      <c r="C70" s="174">
        <v>5</v>
      </c>
      <c r="D70" s="174" t="s">
        <v>293</v>
      </c>
      <c r="E70" s="172" t="s">
        <v>294</v>
      </c>
      <c r="F70" s="174" t="s">
        <v>212</v>
      </c>
      <c r="G70" s="174"/>
      <c r="H70" s="174" t="s">
        <v>200</v>
      </c>
      <c r="I70" s="174"/>
      <c r="J70" s="174">
        <v>3</v>
      </c>
      <c r="K70" s="174">
        <f>J70*12</f>
        <v>36</v>
      </c>
      <c r="L70" s="174">
        <f>36*J70</f>
        <v>108</v>
      </c>
      <c r="M70" s="174">
        <f>SUM(K70:L70)</f>
        <v>144</v>
      </c>
      <c r="N70" s="172" t="s">
        <v>295</v>
      </c>
      <c r="O70" s="172" t="s">
        <v>214</v>
      </c>
      <c r="P70" s="172" t="s">
        <v>215</v>
      </c>
      <c r="Q70" s="172" t="s">
        <v>209</v>
      </c>
    </row>
    <row r="71" spans="1:17" s="47" customFormat="1" ht="49.5" x14ac:dyDescent="0.35">
      <c r="A71" s="123" t="str">
        <f>_xlfn.XLOOKUP(B71,'Paso 3 Redacción RA '!I$3:I$15,'Paso 3 Redacción RA '!C$3:C$15,,0,1)</f>
        <v>Saberhacer</v>
      </c>
      <c r="B71" s="124" t="s">
        <v>94</v>
      </c>
      <c r="C71" s="175"/>
      <c r="D71" s="175"/>
      <c r="E71" s="173"/>
      <c r="F71" s="175"/>
      <c r="G71" s="175"/>
      <c r="H71" s="175"/>
      <c r="I71" s="175"/>
      <c r="J71" s="175"/>
      <c r="K71" s="175"/>
      <c r="L71" s="175"/>
      <c r="M71" s="175"/>
      <c r="N71" s="173"/>
      <c r="O71" s="173"/>
      <c r="P71" s="173"/>
      <c r="Q71" s="173"/>
    </row>
    <row r="72" spans="1:17" s="47" customFormat="1" ht="66.5" thickBot="1" x14ac:dyDescent="0.4">
      <c r="A72" s="125" t="str">
        <f>_xlfn.XLOOKUP(B72,'Paso 3 Redacción RA '!I$3:I$15,'Paso 3 Redacción RA '!C$3:C$15,,0,1)</f>
        <v>Saberser</v>
      </c>
      <c r="B72" s="126" t="s">
        <v>98</v>
      </c>
      <c r="C72" s="180"/>
      <c r="D72" s="180"/>
      <c r="E72" s="191"/>
      <c r="F72" s="180"/>
      <c r="G72" s="180"/>
      <c r="H72" s="180"/>
      <c r="I72" s="180"/>
      <c r="J72" s="180"/>
      <c r="K72" s="180"/>
      <c r="L72" s="180"/>
      <c r="M72" s="180"/>
      <c r="N72" s="188"/>
      <c r="O72" s="188"/>
      <c r="P72" s="188"/>
      <c r="Q72" s="188"/>
    </row>
    <row r="73" spans="1:17" s="47" customFormat="1" ht="49.5" x14ac:dyDescent="0.35">
      <c r="A73" s="123" t="str">
        <f>_xlfn.XLOOKUP(B73,'Paso 3 Redacción RA '!I$3:I$15,'Paso 3 Redacción RA '!C$3:C$15,,0,1)</f>
        <v>Saber</v>
      </c>
      <c r="B73" s="124" t="s">
        <v>90</v>
      </c>
      <c r="C73" s="174">
        <v>5</v>
      </c>
      <c r="D73" s="174" t="s">
        <v>296</v>
      </c>
      <c r="E73" s="173" t="s">
        <v>297</v>
      </c>
      <c r="F73" s="174" t="s">
        <v>212</v>
      </c>
      <c r="G73" s="174"/>
      <c r="H73" s="174" t="s">
        <v>200</v>
      </c>
      <c r="I73" s="174"/>
      <c r="J73" s="174">
        <v>3</v>
      </c>
      <c r="K73" s="174">
        <f>J73*12</f>
        <v>36</v>
      </c>
      <c r="L73" s="174">
        <f>36*J73</f>
        <v>108</v>
      </c>
      <c r="M73" s="174">
        <f>SUM(K73:L73)</f>
        <v>144</v>
      </c>
      <c r="N73" s="172" t="s">
        <v>298</v>
      </c>
      <c r="O73" s="172" t="s">
        <v>214</v>
      </c>
      <c r="P73" s="172" t="s">
        <v>299</v>
      </c>
      <c r="Q73" s="172" t="s">
        <v>209</v>
      </c>
    </row>
    <row r="74" spans="1:17" s="47" customFormat="1" ht="49.5" x14ac:dyDescent="0.35">
      <c r="A74" s="123" t="str">
        <f>_xlfn.XLOOKUP(B74,'Paso 3 Redacción RA '!I$3:I$15,'Paso 3 Redacción RA '!C$3:C$15,,0,1)</f>
        <v>Saberhacer</v>
      </c>
      <c r="B74" s="124" t="s">
        <v>94</v>
      </c>
      <c r="C74" s="175"/>
      <c r="D74" s="175"/>
      <c r="E74" s="173"/>
      <c r="F74" s="175"/>
      <c r="G74" s="175"/>
      <c r="H74" s="175"/>
      <c r="I74" s="175"/>
      <c r="J74" s="175"/>
      <c r="K74" s="175"/>
      <c r="L74" s="175"/>
      <c r="M74" s="175"/>
      <c r="N74" s="173"/>
      <c r="O74" s="173"/>
      <c r="P74" s="173"/>
      <c r="Q74" s="173"/>
    </row>
    <row r="75" spans="1:17" s="47" customFormat="1" ht="66.5" thickBot="1" x14ac:dyDescent="0.4">
      <c r="A75" s="125" t="str">
        <f>_xlfn.XLOOKUP(B75,'Paso 3 Redacción RA '!I$3:I$15,'Paso 3 Redacción RA '!C$3:C$15,,0,1)</f>
        <v>Saberser</v>
      </c>
      <c r="B75" s="126" t="s">
        <v>98</v>
      </c>
      <c r="C75" s="180"/>
      <c r="D75" s="180"/>
      <c r="E75" s="191"/>
      <c r="F75" s="192"/>
      <c r="G75" s="192"/>
      <c r="H75" s="192"/>
      <c r="I75" s="192"/>
      <c r="J75" s="192"/>
      <c r="K75" s="180"/>
      <c r="L75" s="180"/>
      <c r="M75" s="192"/>
      <c r="N75" s="191"/>
      <c r="O75" s="188"/>
      <c r="P75" s="188"/>
      <c r="Q75" s="188"/>
    </row>
    <row r="76" spans="1:17" s="47" customFormat="1" ht="49.5" x14ac:dyDescent="0.35">
      <c r="A76" s="123" t="str">
        <f>_xlfn.XLOOKUP(B76,'Paso 3 Redacción RA '!I$3:I$15,'Paso 3 Redacción RA '!C$3:C$15,,0,1)</f>
        <v>Saber</v>
      </c>
      <c r="B76" s="124" t="s">
        <v>100</v>
      </c>
      <c r="C76" s="174">
        <v>5</v>
      </c>
      <c r="D76" s="174" t="s">
        <v>300</v>
      </c>
      <c r="E76" s="173" t="s">
        <v>301</v>
      </c>
      <c r="F76" s="175" t="s">
        <v>199</v>
      </c>
      <c r="G76" s="175"/>
      <c r="H76" s="175" t="s">
        <v>200</v>
      </c>
      <c r="I76" s="175"/>
      <c r="J76" s="175">
        <v>2</v>
      </c>
      <c r="K76" s="174">
        <f>J76*12</f>
        <v>24</v>
      </c>
      <c r="L76" s="174">
        <f>36*J76</f>
        <v>72</v>
      </c>
      <c r="M76" s="175">
        <f>SUM(K76:L76)</f>
        <v>96</v>
      </c>
      <c r="N76" s="173" t="s">
        <v>302</v>
      </c>
      <c r="O76" s="172" t="s">
        <v>214</v>
      </c>
      <c r="P76" s="172" t="s">
        <v>225</v>
      </c>
      <c r="Q76" s="172" t="s">
        <v>209</v>
      </c>
    </row>
    <row r="77" spans="1:17" s="47" customFormat="1" ht="33" x14ac:dyDescent="0.35">
      <c r="A77" s="123" t="str">
        <f>_xlfn.XLOOKUP(B77,'Paso 3 Redacción RA '!I$3:I$15,'Paso 3 Redacción RA '!C$3:C$15,,0,1)</f>
        <v>Saberhacer</v>
      </c>
      <c r="B77" s="124" t="s">
        <v>103</v>
      </c>
      <c r="C77" s="175"/>
      <c r="D77" s="175"/>
      <c r="E77" s="173"/>
      <c r="F77" s="175"/>
      <c r="G77" s="175"/>
      <c r="H77" s="175"/>
      <c r="I77" s="175"/>
      <c r="J77" s="175"/>
      <c r="K77" s="175"/>
      <c r="L77" s="175"/>
      <c r="M77" s="175"/>
      <c r="N77" s="173"/>
      <c r="O77" s="173"/>
      <c r="P77" s="173"/>
      <c r="Q77" s="173"/>
    </row>
    <row r="78" spans="1:17" s="47" customFormat="1" ht="66.5" thickBot="1" x14ac:dyDescent="0.4">
      <c r="A78" s="125" t="str">
        <f>_xlfn.XLOOKUP(B78,'Paso 3 Redacción RA '!I$3:I$15,'Paso 3 Redacción RA '!C$3:C$15,,0,1)</f>
        <v>Saberser</v>
      </c>
      <c r="B78" s="126" t="s">
        <v>98</v>
      </c>
      <c r="C78" s="180"/>
      <c r="D78" s="180"/>
      <c r="E78" s="188"/>
      <c r="F78" s="180"/>
      <c r="G78" s="180"/>
      <c r="H78" s="180"/>
      <c r="I78" s="180"/>
      <c r="J78" s="180"/>
      <c r="K78" s="180"/>
      <c r="L78" s="180"/>
      <c r="M78" s="180"/>
      <c r="N78" s="188"/>
      <c r="O78" s="188"/>
      <c r="P78" s="188"/>
      <c r="Q78" s="188"/>
    </row>
    <row r="79" spans="1:17" s="47" customFormat="1" ht="49.5" x14ac:dyDescent="0.35">
      <c r="A79" s="123" t="str">
        <f>_xlfn.XLOOKUP(B79,'Paso 3 Redacción RA '!I$3:I$15,'Paso 3 Redacción RA '!C$3:C$15,,0,1)</f>
        <v>Saber</v>
      </c>
      <c r="B79" s="124" t="s">
        <v>100</v>
      </c>
      <c r="C79" s="174">
        <v>6</v>
      </c>
      <c r="D79" s="174" t="s">
        <v>303</v>
      </c>
      <c r="E79" s="172" t="s">
        <v>304</v>
      </c>
      <c r="F79" s="174" t="s">
        <v>287</v>
      </c>
      <c r="G79" s="174"/>
      <c r="H79" s="174" t="s">
        <v>200</v>
      </c>
      <c r="I79" s="174"/>
      <c r="J79" s="174">
        <v>8</v>
      </c>
      <c r="K79" s="174">
        <f>J79*12</f>
        <v>96</v>
      </c>
      <c r="L79" s="174">
        <f>36*J79</f>
        <v>288</v>
      </c>
      <c r="M79" s="174">
        <f>SUM(K79:L79)</f>
        <v>384</v>
      </c>
      <c r="N79" s="172" t="s">
        <v>305</v>
      </c>
      <c r="O79" s="172" t="s">
        <v>214</v>
      </c>
      <c r="P79" s="172" t="s">
        <v>289</v>
      </c>
      <c r="Q79" s="172" t="s">
        <v>209</v>
      </c>
    </row>
    <row r="80" spans="1:17" s="47" customFormat="1" ht="49.5" x14ac:dyDescent="0.35">
      <c r="A80" s="123" t="str">
        <f>_xlfn.XLOOKUP(B80,'Paso 3 Redacción RA '!I$3:I$15,'Paso 3 Redacción RA '!C$3:C$15,,0,1)</f>
        <v>Saberhacer</v>
      </c>
      <c r="B80" s="124" t="s">
        <v>94</v>
      </c>
      <c r="C80" s="175"/>
      <c r="D80" s="175"/>
      <c r="E80" s="173"/>
      <c r="F80" s="175"/>
      <c r="G80" s="175"/>
      <c r="H80" s="175"/>
      <c r="I80" s="175"/>
      <c r="J80" s="175"/>
      <c r="K80" s="175"/>
      <c r="L80" s="175"/>
      <c r="M80" s="175"/>
      <c r="N80" s="173"/>
      <c r="O80" s="189"/>
      <c r="P80" s="173"/>
      <c r="Q80" s="173"/>
    </row>
    <row r="81" spans="1:17" s="47" customFormat="1" ht="33.5" thickBot="1" x14ac:dyDescent="0.4">
      <c r="A81" s="125" t="str">
        <f>_xlfn.XLOOKUP(B81,'Paso 3 Redacción RA '!I$3:I$15,'Paso 3 Redacción RA '!C$3:C$15,,0,1)</f>
        <v>Saberhacer</v>
      </c>
      <c r="B81" s="126" t="s">
        <v>103</v>
      </c>
      <c r="C81" s="180"/>
      <c r="D81" s="180"/>
      <c r="E81" s="188"/>
      <c r="F81" s="180"/>
      <c r="G81" s="180"/>
      <c r="H81" s="180"/>
      <c r="I81" s="180"/>
      <c r="J81" s="180"/>
      <c r="K81" s="180"/>
      <c r="L81" s="180"/>
      <c r="M81" s="180"/>
      <c r="N81" s="188"/>
      <c r="O81" s="190"/>
      <c r="P81" s="188"/>
      <c r="Q81" s="188"/>
    </row>
    <row r="82" spans="1:17" s="47" customFormat="1" ht="49.5" x14ac:dyDescent="0.35">
      <c r="A82" s="123" t="str">
        <f>_xlfn.XLOOKUP(B82,'Paso 3 Redacción RA '!I$3:I$15,'Paso 3 Redacción RA '!C$3:C$15,,0,1)</f>
        <v>Saber</v>
      </c>
      <c r="B82" s="124" t="s">
        <v>100</v>
      </c>
      <c r="C82" s="174">
        <v>6</v>
      </c>
      <c r="D82" s="174" t="s">
        <v>306</v>
      </c>
      <c r="E82" s="172" t="s">
        <v>307</v>
      </c>
      <c r="F82" s="174" t="s">
        <v>199</v>
      </c>
      <c r="G82" s="174"/>
      <c r="H82" s="174" t="s">
        <v>200</v>
      </c>
      <c r="I82" s="174"/>
      <c r="J82" s="174">
        <v>2</v>
      </c>
      <c r="K82" s="174">
        <f>J82*12</f>
        <v>24</v>
      </c>
      <c r="L82" s="174">
        <f>36*J82</f>
        <v>72</v>
      </c>
      <c r="M82" s="174">
        <f>SUM(K82:L82)</f>
        <v>96</v>
      </c>
      <c r="N82" s="172" t="s">
        <v>308</v>
      </c>
      <c r="O82" s="172" t="s">
        <v>214</v>
      </c>
      <c r="P82" s="172" t="s">
        <v>225</v>
      </c>
      <c r="Q82" s="172" t="s">
        <v>209</v>
      </c>
    </row>
    <row r="83" spans="1:17" s="47" customFormat="1" ht="49.5" x14ac:dyDescent="0.35">
      <c r="A83" s="123" t="str">
        <f>_xlfn.XLOOKUP(B83,'Paso 3 Redacción RA '!I$3:I$15,'Paso 3 Redacción RA '!C$3:C$15,,0,1)</f>
        <v>Saberhacer</v>
      </c>
      <c r="B83" s="124" t="s">
        <v>94</v>
      </c>
      <c r="C83" s="175"/>
      <c r="D83" s="175"/>
      <c r="E83" s="173"/>
      <c r="F83" s="175"/>
      <c r="G83" s="175"/>
      <c r="H83" s="175"/>
      <c r="I83" s="175"/>
      <c r="J83" s="175"/>
      <c r="K83" s="175"/>
      <c r="L83" s="175"/>
      <c r="M83" s="175"/>
      <c r="N83" s="173"/>
      <c r="O83" s="173"/>
      <c r="P83" s="173"/>
      <c r="Q83" s="173"/>
    </row>
    <row r="84" spans="1:17" s="47" customFormat="1" ht="66.5" thickBot="1" x14ac:dyDescent="0.4">
      <c r="A84" s="125" t="str">
        <f>_xlfn.XLOOKUP(B84,'Paso 3 Redacción RA '!I$3:I$15,'Paso 3 Redacción RA '!C$3:C$15,,0,1)</f>
        <v>Saberser</v>
      </c>
      <c r="B84" s="126" t="s">
        <v>98</v>
      </c>
      <c r="C84" s="180"/>
      <c r="D84" s="180"/>
      <c r="E84" s="188"/>
      <c r="F84" s="180"/>
      <c r="G84" s="180"/>
      <c r="H84" s="180"/>
      <c r="I84" s="180"/>
      <c r="J84" s="180"/>
      <c r="K84" s="180"/>
      <c r="L84" s="180"/>
      <c r="M84" s="180"/>
      <c r="N84" s="188"/>
      <c r="O84" s="188"/>
      <c r="P84" s="188"/>
      <c r="Q84" s="188"/>
    </row>
    <row r="85" spans="1:17" s="47" customFormat="1" ht="49.5" x14ac:dyDescent="0.35">
      <c r="A85" s="123" t="str">
        <f>_xlfn.XLOOKUP(B85,'Paso 3 Redacción RA '!I$3:I$15,'Paso 3 Redacción RA '!C$3:C$15,,0,1)</f>
        <v>Saber</v>
      </c>
      <c r="B85" s="124" t="s">
        <v>90</v>
      </c>
      <c r="C85" s="174">
        <v>6</v>
      </c>
      <c r="D85" s="174" t="s">
        <v>309</v>
      </c>
      <c r="E85" s="172" t="s">
        <v>310</v>
      </c>
      <c r="F85" s="174" t="s">
        <v>212</v>
      </c>
      <c r="G85" s="174"/>
      <c r="H85" s="174" t="s">
        <v>200</v>
      </c>
      <c r="I85" s="174"/>
      <c r="J85" s="174">
        <v>3</v>
      </c>
      <c r="K85" s="174">
        <f>J85*12</f>
        <v>36</v>
      </c>
      <c r="L85" s="174">
        <f>36*J85</f>
        <v>108</v>
      </c>
      <c r="M85" s="174">
        <f>SUM(K85:L85)</f>
        <v>144</v>
      </c>
      <c r="N85" s="172" t="s">
        <v>311</v>
      </c>
      <c r="O85" s="172" t="s">
        <v>214</v>
      </c>
      <c r="P85" s="172" t="s">
        <v>225</v>
      </c>
      <c r="Q85" s="172" t="s">
        <v>209</v>
      </c>
    </row>
    <row r="86" spans="1:17" s="47" customFormat="1" ht="49.5" x14ac:dyDescent="0.35">
      <c r="A86" s="123" t="str">
        <f>_xlfn.XLOOKUP(B86,'Paso 3 Redacción RA '!I$3:I$15,'Paso 3 Redacción RA '!C$3:C$15,,0,1)</f>
        <v>Saberhacer</v>
      </c>
      <c r="B86" s="124" t="s">
        <v>94</v>
      </c>
      <c r="C86" s="175"/>
      <c r="D86" s="175"/>
      <c r="E86" s="173"/>
      <c r="F86" s="175"/>
      <c r="G86" s="175"/>
      <c r="H86" s="175"/>
      <c r="I86" s="175"/>
      <c r="J86" s="175"/>
      <c r="K86" s="175"/>
      <c r="L86" s="175"/>
      <c r="M86" s="175"/>
      <c r="N86" s="173"/>
      <c r="O86" s="173"/>
      <c r="P86" s="173"/>
      <c r="Q86" s="173"/>
    </row>
    <row r="87" spans="1:17" s="47" customFormat="1" ht="66.5" thickBot="1" x14ac:dyDescent="0.4">
      <c r="A87" s="125" t="str">
        <f>_xlfn.XLOOKUP(B87,'Paso 3 Redacción RA '!I$3:I$15,'Paso 3 Redacción RA '!C$3:C$15,,0,1)</f>
        <v>Saberser</v>
      </c>
      <c r="B87" s="126" t="s">
        <v>98</v>
      </c>
      <c r="C87" s="180"/>
      <c r="D87" s="180"/>
      <c r="E87" s="188"/>
      <c r="F87" s="180"/>
      <c r="G87" s="180"/>
      <c r="H87" s="180"/>
      <c r="I87" s="180"/>
      <c r="J87" s="180"/>
      <c r="K87" s="180"/>
      <c r="L87" s="180"/>
      <c r="M87" s="180"/>
      <c r="N87" s="188"/>
      <c r="O87" s="188"/>
      <c r="P87" s="188"/>
      <c r="Q87" s="188"/>
    </row>
    <row r="88" spans="1:17" s="47" customFormat="1" ht="49.5" x14ac:dyDescent="0.35">
      <c r="A88" s="123" t="str">
        <f>_xlfn.XLOOKUP(B88,'Paso 3 Redacción RA '!I$3:I$15,'Paso 3 Redacción RA '!C$3:C$15,,0,1)</f>
        <v>Saber</v>
      </c>
      <c r="B88" s="124" t="s">
        <v>90</v>
      </c>
      <c r="C88" s="174">
        <v>6</v>
      </c>
      <c r="D88" s="174" t="s">
        <v>312</v>
      </c>
      <c r="E88" s="172" t="s">
        <v>313</v>
      </c>
      <c r="F88" s="174" t="s">
        <v>212</v>
      </c>
      <c r="G88" s="174"/>
      <c r="H88" s="174" t="s">
        <v>200</v>
      </c>
      <c r="I88" s="174"/>
      <c r="J88" s="174">
        <v>3</v>
      </c>
      <c r="K88" s="174">
        <f>J88*12</f>
        <v>36</v>
      </c>
      <c r="L88" s="174">
        <f>36*J88</f>
        <v>108</v>
      </c>
      <c r="M88" s="174">
        <f>SUM(K88:L88)</f>
        <v>144</v>
      </c>
      <c r="N88" s="172" t="s">
        <v>314</v>
      </c>
      <c r="O88" s="172" t="s">
        <v>214</v>
      </c>
      <c r="P88" s="172" t="s">
        <v>299</v>
      </c>
      <c r="Q88" s="172" t="s">
        <v>209</v>
      </c>
    </row>
    <row r="89" spans="1:17" s="47" customFormat="1" ht="49.5" x14ac:dyDescent="0.35">
      <c r="A89" s="123" t="str">
        <f>_xlfn.XLOOKUP(B89,'Paso 3 Redacción RA '!I$3:I$15,'Paso 3 Redacción RA '!C$3:C$15,,0,1)</f>
        <v>Saberhacer</v>
      </c>
      <c r="B89" s="124" t="s">
        <v>94</v>
      </c>
      <c r="C89" s="175"/>
      <c r="D89" s="175"/>
      <c r="E89" s="173"/>
      <c r="F89" s="175"/>
      <c r="G89" s="175"/>
      <c r="H89" s="175"/>
      <c r="I89" s="175"/>
      <c r="J89" s="175"/>
      <c r="K89" s="175"/>
      <c r="L89" s="175"/>
      <c r="M89" s="175"/>
      <c r="N89" s="173"/>
      <c r="O89" s="173"/>
      <c r="P89" s="173"/>
      <c r="Q89" s="173"/>
    </row>
    <row r="90" spans="1:17" s="47" customFormat="1" ht="66.5" thickBot="1" x14ac:dyDescent="0.4">
      <c r="A90" s="125" t="str">
        <f>_xlfn.XLOOKUP(B90,'Paso 3 Redacción RA '!I$3:I$15,'Paso 3 Redacción RA '!C$3:C$15,,0,1)</f>
        <v>Saberser</v>
      </c>
      <c r="B90" s="126" t="s">
        <v>98</v>
      </c>
      <c r="C90" s="180"/>
      <c r="D90" s="180"/>
      <c r="E90" s="188"/>
      <c r="F90" s="180"/>
      <c r="G90" s="180"/>
      <c r="H90" s="180"/>
      <c r="I90" s="180"/>
      <c r="J90" s="180"/>
      <c r="K90" s="180"/>
      <c r="L90" s="180"/>
      <c r="M90" s="180"/>
      <c r="N90" s="188"/>
      <c r="O90" s="188"/>
      <c r="P90" s="188"/>
      <c r="Q90" s="188"/>
    </row>
    <row r="91" spans="1:17" s="47" customFormat="1" ht="49.5" x14ac:dyDescent="0.35">
      <c r="A91" s="123" t="str">
        <f>_xlfn.XLOOKUP(B91,'Paso 3 Redacción RA '!I$3:I$15,'Paso 3 Redacción RA '!C$3:C$15,,0,1)</f>
        <v>Saber</v>
      </c>
      <c r="B91" s="124" t="s">
        <v>100</v>
      </c>
      <c r="C91" s="174">
        <v>6</v>
      </c>
      <c r="D91" s="174" t="s">
        <v>315</v>
      </c>
      <c r="E91" s="172" t="s">
        <v>316</v>
      </c>
      <c r="F91" s="174" t="s">
        <v>199</v>
      </c>
      <c r="G91" s="174"/>
      <c r="H91" s="174" t="s">
        <v>200</v>
      </c>
      <c r="I91" s="174"/>
      <c r="J91" s="174">
        <v>2</v>
      </c>
      <c r="K91" s="174">
        <f>J91*12</f>
        <v>24</v>
      </c>
      <c r="L91" s="174">
        <f>36*J91</f>
        <v>72</v>
      </c>
      <c r="M91" s="174">
        <f>SUM(K91:L91)</f>
        <v>96</v>
      </c>
      <c r="N91" s="172" t="s">
        <v>317</v>
      </c>
      <c r="O91" s="172" t="s">
        <v>214</v>
      </c>
      <c r="P91" s="172" t="s">
        <v>225</v>
      </c>
      <c r="Q91" s="172" t="s">
        <v>209</v>
      </c>
    </row>
    <row r="92" spans="1:17" s="47" customFormat="1" ht="33" x14ac:dyDescent="0.35">
      <c r="A92" s="123" t="str">
        <f>_xlfn.XLOOKUP(B92,'Paso 3 Redacción RA '!I$3:I$15,'Paso 3 Redacción RA '!C$3:C$15,,0,1)</f>
        <v>Saberhacer</v>
      </c>
      <c r="B92" s="124" t="s">
        <v>103</v>
      </c>
      <c r="C92" s="175"/>
      <c r="D92" s="175"/>
      <c r="E92" s="173"/>
      <c r="F92" s="175"/>
      <c r="G92" s="175"/>
      <c r="H92" s="175"/>
      <c r="I92" s="175"/>
      <c r="J92" s="175"/>
      <c r="K92" s="175"/>
      <c r="L92" s="175"/>
      <c r="M92" s="175"/>
      <c r="N92" s="173"/>
      <c r="O92" s="173"/>
      <c r="P92" s="173"/>
      <c r="Q92" s="173"/>
    </row>
    <row r="93" spans="1:17" s="47" customFormat="1" ht="66.5" thickBot="1" x14ac:dyDescent="0.4">
      <c r="A93" s="125" t="str">
        <f>_xlfn.XLOOKUP(B93,'Paso 3 Redacción RA '!I$3:I$15,'Paso 3 Redacción RA '!C$3:C$15,,0,1)</f>
        <v>Saberser</v>
      </c>
      <c r="B93" s="126" t="s">
        <v>98</v>
      </c>
      <c r="C93" s="180"/>
      <c r="D93" s="180"/>
      <c r="E93" s="188"/>
      <c r="F93" s="180"/>
      <c r="G93" s="180"/>
      <c r="H93" s="180"/>
      <c r="I93" s="180"/>
      <c r="J93" s="180"/>
      <c r="K93" s="180"/>
      <c r="L93" s="180"/>
      <c r="M93" s="180"/>
      <c r="N93" s="188"/>
      <c r="O93" s="188"/>
      <c r="P93" s="188"/>
      <c r="Q93" s="188"/>
    </row>
    <row r="94" spans="1:17" s="47" customFormat="1" ht="49.5" x14ac:dyDescent="0.35">
      <c r="A94" s="123" t="str">
        <f>_xlfn.XLOOKUP(B94,'Paso 3 Redacción RA '!I$3:I$15,'Paso 3 Redacción RA '!C$3:C$15,,0,1)</f>
        <v>Saber</v>
      </c>
      <c r="B94" s="124" t="s">
        <v>90</v>
      </c>
      <c r="C94" s="174">
        <v>7</v>
      </c>
      <c r="D94" s="174" t="s">
        <v>318</v>
      </c>
      <c r="E94" s="172" t="s">
        <v>319</v>
      </c>
      <c r="F94" s="174" t="s">
        <v>287</v>
      </c>
      <c r="G94" s="174"/>
      <c r="H94" s="174" t="s">
        <v>200</v>
      </c>
      <c r="I94" s="174"/>
      <c r="J94" s="174">
        <v>8</v>
      </c>
      <c r="K94" s="174">
        <f>J94*12</f>
        <v>96</v>
      </c>
      <c r="L94" s="174">
        <f>36*J94</f>
        <v>288</v>
      </c>
      <c r="M94" s="174">
        <f>SUM(K94:L94)</f>
        <v>384</v>
      </c>
      <c r="N94" s="172" t="s">
        <v>320</v>
      </c>
      <c r="O94" s="172" t="s">
        <v>214</v>
      </c>
      <c r="P94" s="172" t="s">
        <v>289</v>
      </c>
      <c r="Q94" s="172" t="s">
        <v>209</v>
      </c>
    </row>
    <row r="95" spans="1:17" s="47" customFormat="1" ht="49.5" x14ac:dyDescent="0.35">
      <c r="A95" s="123" t="str">
        <f>_xlfn.XLOOKUP(B95,'Paso 3 Redacción RA '!I$3:I$15,'Paso 3 Redacción RA '!C$3:C$15,,0,1)</f>
        <v>Saber</v>
      </c>
      <c r="B95" s="124" t="s">
        <v>100</v>
      </c>
      <c r="C95" s="175"/>
      <c r="D95" s="175"/>
      <c r="E95" s="173"/>
      <c r="F95" s="175"/>
      <c r="G95" s="175"/>
      <c r="H95" s="175"/>
      <c r="I95" s="175"/>
      <c r="J95" s="175"/>
      <c r="K95" s="175"/>
      <c r="L95" s="175"/>
      <c r="M95" s="175"/>
      <c r="N95" s="173"/>
      <c r="O95" s="189"/>
      <c r="P95" s="173"/>
      <c r="Q95" s="173"/>
    </row>
    <row r="96" spans="1:17" s="47" customFormat="1" ht="33" x14ac:dyDescent="0.35">
      <c r="A96" s="123" t="str">
        <f>_xlfn.XLOOKUP(B96,'Paso 3 Redacción RA '!I$3:I$15,'Paso 3 Redacción RA '!C$3:C$15,,0,1)</f>
        <v>Saberhacer</v>
      </c>
      <c r="B96" s="124" t="s">
        <v>103</v>
      </c>
      <c r="C96" s="175"/>
      <c r="D96" s="175"/>
      <c r="E96" s="173"/>
      <c r="F96" s="175"/>
      <c r="G96" s="175"/>
      <c r="H96" s="175"/>
      <c r="I96" s="175"/>
      <c r="J96" s="175"/>
      <c r="K96" s="175"/>
      <c r="L96" s="175"/>
      <c r="M96" s="175"/>
      <c r="N96" s="173"/>
      <c r="O96" s="189"/>
      <c r="P96" s="173"/>
      <c r="Q96" s="173"/>
    </row>
    <row r="97" spans="1:17" s="47" customFormat="1" ht="66.5" thickBot="1" x14ac:dyDescent="0.4">
      <c r="A97" s="125" t="str">
        <f>_xlfn.XLOOKUP(B97,'Paso 3 Redacción RA '!I$3:I$15,'Paso 3 Redacción RA '!C$3:C$15,,0,1)</f>
        <v>Saberser</v>
      </c>
      <c r="B97" s="126" t="s">
        <v>98</v>
      </c>
      <c r="C97" s="180"/>
      <c r="D97" s="180"/>
      <c r="E97" s="188"/>
      <c r="F97" s="180"/>
      <c r="G97" s="180"/>
      <c r="H97" s="180"/>
      <c r="I97" s="180"/>
      <c r="J97" s="180"/>
      <c r="K97" s="180"/>
      <c r="L97" s="180"/>
      <c r="M97" s="180"/>
      <c r="N97" s="188"/>
      <c r="O97" s="190"/>
      <c r="P97" s="188"/>
      <c r="Q97" s="188"/>
    </row>
    <row r="98" spans="1:17" s="47" customFormat="1" ht="49.5" x14ac:dyDescent="0.35">
      <c r="A98" s="123" t="str">
        <f>_xlfn.XLOOKUP(B98,'Paso 3 Redacción RA '!I$3:I$15,'Paso 3 Redacción RA '!C$3:C$15,,0,1)</f>
        <v>Saber</v>
      </c>
      <c r="B98" s="124" t="s">
        <v>90</v>
      </c>
      <c r="C98" s="174">
        <v>7</v>
      </c>
      <c r="D98" s="174" t="s">
        <v>321</v>
      </c>
      <c r="E98" s="185" t="s">
        <v>322</v>
      </c>
      <c r="F98" s="174" t="s">
        <v>212</v>
      </c>
      <c r="G98" s="174"/>
      <c r="H98" s="174" t="s">
        <v>200</v>
      </c>
      <c r="I98" s="174"/>
      <c r="J98" s="174">
        <v>3</v>
      </c>
      <c r="K98" s="174">
        <f>J98*12</f>
        <v>36</v>
      </c>
      <c r="L98" s="174">
        <f>36*J98</f>
        <v>108</v>
      </c>
      <c r="M98" s="174">
        <f>SUM(K98:L98)</f>
        <v>144</v>
      </c>
      <c r="N98" s="172" t="s">
        <v>323</v>
      </c>
      <c r="O98" s="172" t="s">
        <v>214</v>
      </c>
      <c r="P98" s="172" t="s">
        <v>215</v>
      </c>
      <c r="Q98" s="172" t="s">
        <v>209</v>
      </c>
    </row>
    <row r="99" spans="1:17" s="47" customFormat="1" ht="49.5" x14ac:dyDescent="0.35">
      <c r="A99" s="123" t="str">
        <f>_xlfn.XLOOKUP(B99,'Paso 3 Redacción RA '!I$3:I$15,'Paso 3 Redacción RA '!C$3:C$15,,0,1)</f>
        <v>Saberhacer</v>
      </c>
      <c r="B99" s="124" t="s">
        <v>94</v>
      </c>
      <c r="C99" s="175"/>
      <c r="D99" s="175"/>
      <c r="E99" s="181"/>
      <c r="F99" s="175"/>
      <c r="G99" s="175"/>
      <c r="H99" s="175"/>
      <c r="I99" s="175"/>
      <c r="J99" s="175"/>
      <c r="K99" s="175"/>
      <c r="L99" s="175"/>
      <c r="M99" s="175"/>
      <c r="N99" s="173"/>
      <c r="O99" s="173"/>
      <c r="P99" s="173"/>
      <c r="Q99" s="173"/>
    </row>
    <row r="100" spans="1:17" s="47" customFormat="1" ht="66.5" thickBot="1" x14ac:dyDescent="0.4">
      <c r="A100" s="125" t="str">
        <f>_xlfn.XLOOKUP(B100,'Paso 3 Redacción RA '!I$3:I$15,'Paso 3 Redacción RA '!C$3:C$15,,0,1)</f>
        <v>Saberser</v>
      </c>
      <c r="B100" s="126" t="s">
        <v>98</v>
      </c>
      <c r="C100" s="180"/>
      <c r="D100" s="180"/>
      <c r="E100" s="182"/>
      <c r="F100" s="180"/>
      <c r="G100" s="180"/>
      <c r="H100" s="180"/>
      <c r="I100" s="180"/>
      <c r="J100" s="180"/>
      <c r="K100" s="180"/>
      <c r="L100" s="180"/>
      <c r="M100" s="180"/>
      <c r="N100" s="188"/>
      <c r="O100" s="188"/>
      <c r="P100" s="188"/>
      <c r="Q100" s="188"/>
    </row>
    <row r="101" spans="1:17" s="47" customFormat="1" ht="17" thickBot="1" x14ac:dyDescent="0.4">
      <c r="A101" s="161"/>
      <c r="B101" s="133"/>
      <c r="C101" s="134">
        <v>7</v>
      </c>
      <c r="D101" s="135" t="s">
        <v>324</v>
      </c>
      <c r="E101" s="136"/>
      <c r="F101" s="135"/>
      <c r="G101" s="137"/>
      <c r="H101" s="137"/>
      <c r="I101" s="137" t="s">
        <v>200</v>
      </c>
      <c r="J101" s="137">
        <v>3</v>
      </c>
      <c r="K101" s="137">
        <f>J101*12</f>
        <v>36</v>
      </c>
      <c r="L101" s="137">
        <f>36*J101</f>
        <v>108</v>
      </c>
      <c r="M101" s="138">
        <f>SUM(K101:L101)</f>
        <v>144</v>
      </c>
      <c r="N101" s="139"/>
      <c r="O101" s="139"/>
      <c r="P101" s="139"/>
      <c r="Q101" s="140"/>
    </row>
    <row r="102" spans="1:17" s="47" customFormat="1" ht="17" thickBot="1" x14ac:dyDescent="0.4">
      <c r="A102" s="161"/>
      <c r="B102" s="133"/>
      <c r="C102" s="134">
        <v>7</v>
      </c>
      <c r="D102" s="135" t="s">
        <v>325</v>
      </c>
      <c r="E102" s="133"/>
      <c r="F102" s="135"/>
      <c r="G102" s="135"/>
      <c r="H102" s="135"/>
      <c r="I102" s="135" t="s">
        <v>200</v>
      </c>
      <c r="J102" s="135">
        <v>3</v>
      </c>
      <c r="K102" s="137">
        <f>J102*12</f>
        <v>36</v>
      </c>
      <c r="L102" s="137">
        <f>36*J102</f>
        <v>108</v>
      </c>
      <c r="M102" s="137">
        <f>SUM(K102:L102)</f>
        <v>144</v>
      </c>
      <c r="N102" s="133"/>
      <c r="O102" s="133"/>
      <c r="P102" s="133"/>
      <c r="Q102" s="140"/>
    </row>
    <row r="103" spans="1:17" s="47" customFormat="1" ht="49.5" x14ac:dyDescent="0.35">
      <c r="A103" s="123" t="str">
        <f>_xlfn.XLOOKUP(B103,'Paso 3 Redacción RA '!I$3:I$15,'Paso 3 Redacción RA '!C$3:C$15,,0,1)</f>
        <v>Saber</v>
      </c>
      <c r="B103" s="124" t="s">
        <v>100</v>
      </c>
      <c r="C103" s="174">
        <v>8</v>
      </c>
      <c r="D103" s="174" t="s">
        <v>326</v>
      </c>
      <c r="E103" s="172" t="s">
        <v>327</v>
      </c>
      <c r="F103" s="174" t="s">
        <v>287</v>
      </c>
      <c r="G103" s="174"/>
      <c r="H103" s="174" t="s">
        <v>200</v>
      </c>
      <c r="I103" s="174"/>
      <c r="J103" s="174">
        <v>8</v>
      </c>
      <c r="K103" s="174">
        <f>J103*12</f>
        <v>96</v>
      </c>
      <c r="L103" s="174">
        <f>36*J103</f>
        <v>288</v>
      </c>
      <c r="M103" s="174">
        <f>SUM(K103:L103)</f>
        <v>384</v>
      </c>
      <c r="N103" s="172" t="s">
        <v>328</v>
      </c>
      <c r="O103" s="172" t="s">
        <v>214</v>
      </c>
      <c r="P103" s="172" t="s">
        <v>289</v>
      </c>
      <c r="Q103" s="172" t="s">
        <v>209</v>
      </c>
    </row>
    <row r="104" spans="1:17" s="47" customFormat="1" ht="49.5" x14ac:dyDescent="0.35">
      <c r="A104" s="123" t="str">
        <f>_xlfn.XLOOKUP(B104,'Paso 3 Redacción RA '!I$3:I$15,'Paso 3 Redacción RA '!C$3:C$15,,0,1)</f>
        <v>Saberhacer</v>
      </c>
      <c r="B104" s="124" t="s">
        <v>94</v>
      </c>
      <c r="C104" s="175"/>
      <c r="D104" s="175"/>
      <c r="E104" s="173"/>
      <c r="F104" s="175"/>
      <c r="G104" s="175"/>
      <c r="H104" s="175"/>
      <c r="I104" s="175"/>
      <c r="J104" s="175"/>
      <c r="K104" s="175"/>
      <c r="L104" s="175"/>
      <c r="M104" s="175"/>
      <c r="N104" s="173"/>
      <c r="O104" s="189"/>
      <c r="P104" s="173"/>
      <c r="Q104" s="173"/>
    </row>
    <row r="105" spans="1:17" s="47" customFormat="1" ht="33" x14ac:dyDescent="0.35">
      <c r="A105" s="123" t="str">
        <f>_xlfn.XLOOKUP(B105,'Paso 3 Redacción RA '!I$3:I$15,'Paso 3 Redacción RA '!C$3:C$15,,0,1)</f>
        <v>Saberhacer</v>
      </c>
      <c r="B105" s="124" t="s">
        <v>103</v>
      </c>
      <c r="C105" s="175"/>
      <c r="D105" s="175"/>
      <c r="E105" s="173"/>
      <c r="F105" s="175"/>
      <c r="G105" s="175"/>
      <c r="H105" s="175"/>
      <c r="I105" s="175"/>
      <c r="J105" s="175"/>
      <c r="K105" s="175"/>
      <c r="L105" s="175"/>
      <c r="M105" s="175"/>
      <c r="N105" s="173"/>
      <c r="O105" s="189"/>
      <c r="P105" s="173"/>
      <c r="Q105" s="173"/>
    </row>
    <row r="106" spans="1:17" s="47" customFormat="1" ht="66.5" thickBot="1" x14ac:dyDescent="0.4">
      <c r="A106" s="125" t="str">
        <f>_xlfn.XLOOKUP(B106,'Paso 3 Redacción RA '!I$3:I$15,'Paso 3 Redacción RA '!C$3:C$15,,0,1)</f>
        <v>Saberser</v>
      </c>
      <c r="B106" s="126" t="s">
        <v>98</v>
      </c>
      <c r="C106" s="180"/>
      <c r="D106" s="180"/>
      <c r="E106" s="188"/>
      <c r="F106" s="180"/>
      <c r="G106" s="180"/>
      <c r="H106" s="180"/>
      <c r="I106" s="180"/>
      <c r="J106" s="180"/>
      <c r="K106" s="180"/>
      <c r="L106" s="180"/>
      <c r="M106" s="180"/>
      <c r="N106" s="188"/>
      <c r="O106" s="190"/>
      <c r="P106" s="188"/>
      <c r="Q106" s="188"/>
    </row>
    <row r="107" spans="1:17" s="47" customFormat="1" ht="49.5" x14ac:dyDescent="0.35">
      <c r="A107" s="123" t="str">
        <f>_xlfn.XLOOKUP(B107,'Paso 3 Redacción RA '!I$3:I$15,'Paso 3 Redacción RA '!C$3:C$15,,0,1)</f>
        <v>Saber</v>
      </c>
      <c r="B107" s="124" t="s">
        <v>90</v>
      </c>
      <c r="C107" s="174">
        <v>8</v>
      </c>
      <c r="D107" s="174" t="s">
        <v>329</v>
      </c>
      <c r="E107" s="185" t="s">
        <v>330</v>
      </c>
      <c r="F107" s="174" t="s">
        <v>199</v>
      </c>
      <c r="G107" s="174"/>
      <c r="H107" s="174" t="s">
        <v>200</v>
      </c>
      <c r="I107" s="174"/>
      <c r="J107" s="174">
        <v>3</v>
      </c>
      <c r="K107" s="174">
        <f>J107*12</f>
        <v>36</v>
      </c>
      <c r="L107" s="174">
        <f>36*J107</f>
        <v>108</v>
      </c>
      <c r="M107" s="174">
        <f>SUM(K107:L107)</f>
        <v>144</v>
      </c>
      <c r="N107" s="172" t="s">
        <v>331</v>
      </c>
      <c r="O107" s="172" t="s">
        <v>214</v>
      </c>
      <c r="P107" s="172" t="s">
        <v>259</v>
      </c>
      <c r="Q107" s="172" t="s">
        <v>209</v>
      </c>
    </row>
    <row r="108" spans="1:17" s="47" customFormat="1" ht="49.5" x14ac:dyDescent="0.35">
      <c r="A108" s="123" t="str">
        <f>_xlfn.XLOOKUP(B108,'Paso 3 Redacción RA '!I$3:I$15,'Paso 3 Redacción RA '!C$3:C$15,,0,1)</f>
        <v>Saber</v>
      </c>
      <c r="B108" s="124" t="s">
        <v>100</v>
      </c>
      <c r="C108" s="175"/>
      <c r="D108" s="175"/>
      <c r="E108" s="181"/>
      <c r="F108" s="175"/>
      <c r="G108" s="175"/>
      <c r="H108" s="175"/>
      <c r="I108" s="175"/>
      <c r="J108" s="175"/>
      <c r="K108" s="175"/>
      <c r="L108" s="175"/>
      <c r="M108" s="175"/>
      <c r="N108" s="173"/>
      <c r="O108" s="173"/>
      <c r="P108" s="173"/>
      <c r="Q108" s="173"/>
    </row>
    <row r="109" spans="1:17" s="47" customFormat="1" ht="33" x14ac:dyDescent="0.35">
      <c r="A109" s="123" t="str">
        <f>_xlfn.XLOOKUP(B109,'Paso 3 Redacción RA '!I$3:I$15,'Paso 3 Redacción RA '!C$3:C$15,,0,1)</f>
        <v>Saberhacer</v>
      </c>
      <c r="B109" s="124" t="s">
        <v>103</v>
      </c>
      <c r="C109" s="175"/>
      <c r="D109" s="175"/>
      <c r="E109" s="181"/>
      <c r="F109" s="175"/>
      <c r="G109" s="175"/>
      <c r="H109" s="175"/>
      <c r="I109" s="175"/>
      <c r="J109" s="175"/>
      <c r="K109" s="175"/>
      <c r="L109" s="175"/>
      <c r="M109" s="175"/>
      <c r="N109" s="173"/>
      <c r="O109" s="173"/>
      <c r="P109" s="173"/>
      <c r="Q109" s="173"/>
    </row>
    <row r="110" spans="1:17" s="47" customFormat="1" ht="66.5" thickBot="1" x14ac:dyDescent="0.4">
      <c r="A110" s="125" t="str">
        <f>_xlfn.XLOOKUP(B110,'Paso 3 Redacción RA '!I$3:I$15,'Paso 3 Redacción RA '!C$3:C$15,,0,1)</f>
        <v>Saberser</v>
      </c>
      <c r="B110" s="126" t="s">
        <v>98</v>
      </c>
      <c r="C110" s="180"/>
      <c r="D110" s="192"/>
      <c r="E110" s="193"/>
      <c r="F110" s="180"/>
      <c r="G110" s="180"/>
      <c r="H110" s="180"/>
      <c r="I110" s="180"/>
      <c r="J110" s="180"/>
      <c r="K110" s="180"/>
      <c r="L110" s="180"/>
      <c r="M110" s="180"/>
      <c r="N110" s="188"/>
      <c r="O110" s="188"/>
      <c r="P110" s="188"/>
      <c r="Q110" s="188"/>
    </row>
    <row r="111" spans="1:17" s="47" customFormat="1" ht="17" thickBot="1" x14ac:dyDescent="0.4">
      <c r="A111" s="161"/>
      <c r="B111" s="141"/>
      <c r="C111" s="142">
        <v>8</v>
      </c>
      <c r="D111" s="143" t="s">
        <v>332</v>
      </c>
      <c r="E111" s="141"/>
      <c r="F111" s="143"/>
      <c r="G111" s="143"/>
      <c r="H111" s="143"/>
      <c r="I111" s="143" t="s">
        <v>200</v>
      </c>
      <c r="J111" s="143">
        <v>3</v>
      </c>
      <c r="K111" s="135">
        <f>J111*12</f>
        <v>36</v>
      </c>
      <c r="L111" s="135">
        <f>36*J111</f>
        <v>108</v>
      </c>
      <c r="M111" s="143">
        <f>SUM(K111:L111)</f>
        <v>144</v>
      </c>
      <c r="N111" s="141"/>
      <c r="O111" s="141"/>
      <c r="P111" s="141"/>
      <c r="Q111" s="144"/>
    </row>
    <row r="112" spans="1:17" s="47" customFormat="1" ht="17" thickBot="1" x14ac:dyDescent="0.4">
      <c r="A112" s="161"/>
      <c r="B112" s="133"/>
      <c r="C112" s="134">
        <v>8</v>
      </c>
      <c r="D112" s="135" t="s">
        <v>333</v>
      </c>
      <c r="E112" s="133"/>
      <c r="F112" s="135"/>
      <c r="G112" s="135"/>
      <c r="H112" s="135"/>
      <c r="I112" s="135" t="s">
        <v>200</v>
      </c>
      <c r="J112" s="135">
        <v>3</v>
      </c>
      <c r="K112" s="135">
        <f>J112*12</f>
        <v>36</v>
      </c>
      <c r="L112" s="135">
        <f>36*J112</f>
        <v>108</v>
      </c>
      <c r="M112" s="135">
        <f>SUM(K112:L112)</f>
        <v>144</v>
      </c>
      <c r="N112" s="133"/>
      <c r="O112" s="133"/>
      <c r="P112" s="133"/>
      <c r="Q112" s="133"/>
    </row>
    <row r="113" spans="1:17" s="47" customFormat="1" ht="32" x14ac:dyDescent="0.35">
      <c r="A113" s="26"/>
      <c r="B113" s="15"/>
      <c r="C113" s="145" t="s">
        <v>334</v>
      </c>
      <c r="D113" s="147">
        <f>COUNTA(D3:D112)</f>
        <v>42</v>
      </c>
      <c r="E113" s="15"/>
      <c r="F113" s="19"/>
      <c r="G113" s="19"/>
      <c r="H113" s="19"/>
      <c r="I113" s="145" t="s">
        <v>335</v>
      </c>
      <c r="J113" s="147">
        <f>SUM(J3:J112)</f>
        <v>141</v>
      </c>
      <c r="K113" s="70"/>
      <c r="L113" s="29"/>
      <c r="M113" s="19"/>
      <c r="N113" s="15"/>
      <c r="O113" s="15"/>
      <c r="P113" s="15"/>
      <c r="Q113" s="15"/>
    </row>
    <row r="114" spans="1:17" s="47" customFormat="1" ht="48" x14ac:dyDescent="0.35">
      <c r="A114" s="26"/>
      <c r="B114" s="15"/>
      <c r="D114" s="19"/>
      <c r="E114" s="15"/>
      <c r="F114" s="19"/>
      <c r="G114" s="19"/>
      <c r="H114" s="19"/>
      <c r="I114" s="146" t="s">
        <v>336</v>
      </c>
      <c r="J114" s="148">
        <f>SUMIF(G3:G112,"X",J3:J112)</f>
        <v>18</v>
      </c>
      <c r="K114" s="70"/>
      <c r="L114" s="49"/>
      <c r="M114" s="19"/>
      <c r="N114" s="15"/>
      <c r="O114" s="15"/>
      <c r="P114" s="15"/>
      <c r="Q114" s="15"/>
    </row>
    <row r="115" spans="1:17" s="47" customFormat="1" ht="48" x14ac:dyDescent="0.35">
      <c r="A115" s="26"/>
      <c r="B115" s="15"/>
      <c r="D115" s="31"/>
      <c r="E115" s="64"/>
      <c r="F115" s="31"/>
      <c r="G115" s="65"/>
      <c r="H115" s="65"/>
      <c r="I115" s="146" t="s">
        <v>337</v>
      </c>
      <c r="J115" s="148">
        <f>SUMIF(H4:H113,"X",J4:J113)</f>
        <v>111</v>
      </c>
      <c r="K115" s="70"/>
      <c r="L115" s="49"/>
      <c r="M115" s="65"/>
      <c r="N115" s="24"/>
      <c r="O115" s="66"/>
      <c r="P115" s="66"/>
      <c r="Q115" s="66"/>
    </row>
    <row r="116" spans="1:17" s="47" customFormat="1" ht="32" x14ac:dyDescent="0.35">
      <c r="A116" s="26"/>
      <c r="B116" s="15"/>
      <c r="D116" s="31"/>
      <c r="E116" s="64"/>
      <c r="F116" s="31"/>
      <c r="G116" s="65"/>
      <c r="H116" s="65"/>
      <c r="I116" s="146" t="s">
        <v>338</v>
      </c>
      <c r="J116" s="148">
        <f>SUMIF(I5:I114,"X",J5:J114)</f>
        <v>12</v>
      </c>
      <c r="K116" s="71"/>
      <c r="L116" s="49"/>
      <c r="M116" s="65"/>
      <c r="N116" s="24"/>
      <c r="O116" s="66"/>
      <c r="P116" s="66"/>
      <c r="Q116" s="66"/>
    </row>
    <row r="117" spans="1:17" s="47" customFormat="1" ht="16.5" x14ac:dyDescent="0.35">
      <c r="A117" s="26"/>
      <c r="B117" s="15"/>
      <c r="D117" s="31"/>
      <c r="E117" s="64"/>
      <c r="F117" s="31"/>
      <c r="G117" s="65"/>
      <c r="H117" s="65"/>
      <c r="I117" s="65"/>
      <c r="J117" s="65"/>
      <c r="K117" s="65"/>
      <c r="L117" s="65"/>
      <c r="M117" s="65"/>
      <c r="N117" s="24"/>
      <c r="O117" s="66"/>
      <c r="P117" s="66"/>
      <c r="Q117" s="66"/>
    </row>
    <row r="118" spans="1:17" s="47" customFormat="1" ht="16.5" x14ac:dyDescent="0.35">
      <c r="A118" s="26"/>
      <c r="B118" s="15"/>
      <c r="D118" s="31"/>
      <c r="E118" s="64"/>
      <c r="F118" s="31"/>
      <c r="G118" s="65"/>
      <c r="H118" s="65"/>
      <c r="I118" s="65"/>
      <c r="J118" s="65"/>
      <c r="K118" s="65"/>
      <c r="L118" s="65"/>
      <c r="M118" s="65"/>
      <c r="N118" s="24"/>
      <c r="O118" s="66"/>
      <c r="P118" s="66"/>
      <c r="Q118" s="66"/>
    </row>
    <row r="119" spans="1:17" s="47" customFormat="1" ht="16.5" x14ac:dyDescent="0.35">
      <c r="A119" s="26"/>
      <c r="B119" s="15"/>
      <c r="D119" s="19"/>
      <c r="E119" s="15"/>
      <c r="F119" s="19"/>
      <c r="G119" s="19"/>
      <c r="H119" s="19"/>
      <c r="I119" s="19"/>
      <c r="J119" s="19"/>
      <c r="K119" s="19"/>
      <c r="L119" s="19"/>
      <c r="M119" s="19"/>
      <c r="N119" s="15"/>
      <c r="O119" s="15"/>
      <c r="P119" s="15"/>
      <c r="Q119" s="15"/>
    </row>
    <row r="120" spans="1:17" s="47" customFormat="1" ht="16.5" x14ac:dyDescent="0.35">
      <c r="A120" s="26"/>
      <c r="B120" s="15"/>
      <c r="D120" s="19"/>
      <c r="E120" s="15"/>
      <c r="F120" s="19"/>
      <c r="G120" s="19"/>
      <c r="H120" s="19"/>
      <c r="I120" s="19"/>
      <c r="J120" s="19"/>
      <c r="K120" s="19"/>
      <c r="L120" s="19"/>
      <c r="M120" s="19"/>
      <c r="N120" s="15"/>
      <c r="O120" s="15"/>
      <c r="P120" s="15"/>
      <c r="Q120" s="15"/>
    </row>
    <row r="121" spans="1:17" s="47" customFormat="1" ht="16.5" x14ac:dyDescent="0.35">
      <c r="A121" s="26"/>
      <c r="B121" s="15"/>
      <c r="D121" s="19"/>
      <c r="E121" s="15"/>
      <c r="F121" s="19"/>
      <c r="G121" s="19"/>
      <c r="H121" s="19"/>
      <c r="I121" s="19"/>
      <c r="J121" s="19"/>
      <c r="K121" s="19"/>
      <c r="L121" s="19"/>
      <c r="M121" s="19"/>
      <c r="N121" s="15"/>
      <c r="O121" s="15"/>
      <c r="P121" s="15"/>
      <c r="Q121" s="15"/>
    </row>
    <row r="122" spans="1:17" s="47" customFormat="1" ht="16.5" x14ac:dyDescent="0.35">
      <c r="A122" s="26"/>
      <c r="B122" s="15"/>
      <c r="D122" s="19"/>
      <c r="E122" s="15"/>
      <c r="F122" s="19"/>
      <c r="G122" s="65"/>
      <c r="H122" s="65"/>
      <c r="I122" s="65"/>
      <c r="J122" s="65"/>
      <c r="K122" s="65"/>
      <c r="L122" s="65"/>
      <c r="M122" s="65"/>
      <c r="N122" s="15"/>
      <c r="O122" s="15"/>
      <c r="P122" s="15"/>
      <c r="Q122" s="15"/>
    </row>
    <row r="123" spans="1:17" s="47" customFormat="1" ht="16.5" x14ac:dyDescent="0.35">
      <c r="A123" s="26"/>
      <c r="B123" s="15"/>
      <c r="D123" s="19"/>
      <c r="E123" s="15"/>
      <c r="F123" s="19"/>
      <c r="G123" s="65"/>
      <c r="H123" s="65"/>
      <c r="I123" s="65"/>
      <c r="J123" s="65"/>
      <c r="K123" s="65"/>
      <c r="L123" s="65"/>
      <c r="M123" s="65"/>
      <c r="N123" s="15"/>
      <c r="O123" s="15"/>
      <c r="P123" s="15"/>
      <c r="Q123" s="15"/>
    </row>
    <row r="124" spans="1:17" s="47" customFormat="1" ht="16.5" x14ac:dyDescent="0.35">
      <c r="A124" s="26"/>
      <c r="B124" s="15"/>
      <c r="D124" s="19"/>
      <c r="E124" s="15"/>
      <c r="F124" s="19"/>
      <c r="G124" s="65"/>
      <c r="H124" s="65"/>
      <c r="I124" s="65"/>
      <c r="J124" s="65"/>
      <c r="K124" s="65"/>
      <c r="L124" s="65"/>
      <c r="M124" s="65"/>
      <c r="N124" s="15"/>
      <c r="O124" s="15"/>
      <c r="P124" s="15"/>
      <c r="Q124" s="15"/>
    </row>
    <row r="125" spans="1:17" s="47" customFormat="1" ht="16.5" x14ac:dyDescent="0.35">
      <c r="A125" s="26"/>
      <c r="B125" s="15"/>
      <c r="D125" s="19"/>
      <c r="E125" s="15"/>
      <c r="F125" s="19"/>
      <c r="G125" s="19"/>
      <c r="H125" s="19"/>
      <c r="I125" s="19"/>
      <c r="J125" s="19"/>
      <c r="K125" s="19"/>
      <c r="L125" s="19"/>
      <c r="M125" s="19"/>
      <c r="N125" s="15"/>
      <c r="O125" s="15"/>
      <c r="P125" s="15"/>
      <c r="Q125" s="15"/>
    </row>
    <row r="126" spans="1:17" s="47" customFormat="1" ht="16.5" x14ac:dyDescent="0.35">
      <c r="A126" s="26"/>
      <c r="B126" s="15"/>
      <c r="D126" s="19"/>
      <c r="E126" s="15"/>
      <c r="F126" s="19"/>
      <c r="G126" s="19"/>
      <c r="H126" s="19"/>
      <c r="I126" s="19"/>
      <c r="J126" s="19"/>
      <c r="K126" s="19"/>
      <c r="L126" s="19"/>
      <c r="M126" s="19"/>
      <c r="N126" s="15"/>
      <c r="O126" s="15"/>
      <c r="P126" s="15"/>
      <c r="Q126" s="15"/>
    </row>
    <row r="127" spans="1:17" s="47" customFormat="1" ht="16.5" x14ac:dyDescent="0.35">
      <c r="A127" s="26"/>
      <c r="B127" s="15"/>
      <c r="D127" s="19"/>
      <c r="E127" s="15"/>
      <c r="F127" s="19"/>
      <c r="G127" s="19"/>
      <c r="H127" s="19"/>
      <c r="I127" s="19"/>
      <c r="J127" s="19"/>
      <c r="K127" s="19"/>
      <c r="L127" s="19"/>
      <c r="M127" s="19"/>
      <c r="N127" s="15"/>
      <c r="O127" s="15"/>
      <c r="P127" s="15"/>
      <c r="Q127" s="15"/>
    </row>
    <row r="128" spans="1:17" s="47" customFormat="1" ht="16.5" x14ac:dyDescent="0.35">
      <c r="A128" s="26"/>
      <c r="B128" s="15"/>
      <c r="D128" s="19"/>
      <c r="E128" s="15"/>
      <c r="F128" s="19"/>
      <c r="G128" s="19"/>
      <c r="H128" s="19"/>
      <c r="I128" s="19"/>
      <c r="J128" s="19"/>
      <c r="K128" s="19"/>
      <c r="L128" s="19"/>
      <c r="M128" s="19"/>
      <c r="N128" s="15"/>
      <c r="O128" s="15"/>
      <c r="P128" s="15"/>
      <c r="Q128" s="15"/>
    </row>
    <row r="129" spans="1:17" s="47" customFormat="1" ht="16.5" x14ac:dyDescent="0.35">
      <c r="A129" s="26"/>
      <c r="B129" s="24"/>
      <c r="D129" s="19"/>
      <c r="E129" s="24"/>
      <c r="F129" s="19"/>
      <c r="G129" s="37"/>
      <c r="H129" s="37"/>
      <c r="I129" s="37"/>
      <c r="J129" s="37"/>
      <c r="K129" s="37"/>
      <c r="L129" s="37"/>
      <c r="M129" s="37"/>
      <c r="N129" s="24"/>
      <c r="O129" s="24"/>
      <c r="P129" s="24"/>
      <c r="Q129" s="24"/>
    </row>
    <row r="130" spans="1:17" s="47" customFormat="1" ht="16.5" x14ac:dyDescent="0.35">
      <c r="A130" s="26"/>
      <c r="B130" s="24"/>
      <c r="D130" s="19"/>
      <c r="E130" s="24"/>
      <c r="F130" s="19"/>
      <c r="G130" s="37"/>
      <c r="H130" s="37"/>
      <c r="I130" s="37"/>
      <c r="J130" s="37"/>
      <c r="K130" s="37"/>
      <c r="L130" s="37"/>
      <c r="M130" s="37"/>
      <c r="N130" s="24"/>
      <c r="O130" s="24"/>
      <c r="P130" s="24"/>
      <c r="Q130" s="24"/>
    </row>
    <row r="131" spans="1:17" s="47" customFormat="1" ht="16.5" x14ac:dyDescent="0.35">
      <c r="A131" s="26"/>
      <c r="B131" s="24"/>
      <c r="D131" s="19"/>
      <c r="E131" s="24"/>
      <c r="F131" s="19"/>
      <c r="G131" s="37"/>
      <c r="H131" s="37"/>
      <c r="I131" s="37"/>
      <c r="J131" s="37"/>
      <c r="K131" s="37"/>
      <c r="L131" s="37"/>
      <c r="M131" s="37"/>
      <c r="N131" s="24"/>
      <c r="O131" s="24"/>
      <c r="P131" s="24"/>
      <c r="Q131" s="24"/>
    </row>
    <row r="132" spans="1:17" s="47" customFormat="1" ht="16.5" x14ac:dyDescent="0.35">
      <c r="A132" s="26"/>
      <c r="B132" s="24"/>
      <c r="D132" s="19"/>
      <c r="E132" s="24"/>
      <c r="F132" s="19"/>
      <c r="G132" s="37"/>
      <c r="H132" s="37"/>
      <c r="I132" s="37"/>
      <c r="J132" s="37"/>
      <c r="K132" s="37"/>
      <c r="L132" s="37"/>
      <c r="M132" s="37"/>
      <c r="N132" s="24"/>
      <c r="O132" s="24"/>
      <c r="P132" s="24"/>
      <c r="Q132" s="24"/>
    </row>
    <row r="133" spans="1:17" s="47" customFormat="1" ht="16.5" x14ac:dyDescent="0.35">
      <c r="A133" s="26"/>
      <c r="B133" s="15"/>
      <c r="D133" s="31"/>
      <c r="E133" s="64"/>
      <c r="F133" s="31"/>
      <c r="G133" s="65"/>
      <c r="H133" s="65"/>
      <c r="I133" s="65"/>
      <c r="J133" s="65"/>
      <c r="K133" s="65"/>
      <c r="L133" s="65"/>
      <c r="M133" s="65"/>
      <c r="N133" s="66"/>
      <c r="O133" s="66"/>
      <c r="P133" s="66"/>
      <c r="Q133" s="66"/>
    </row>
    <row r="134" spans="1:17" s="47" customFormat="1" ht="16.5" x14ac:dyDescent="0.35">
      <c r="A134" s="26"/>
      <c r="B134" s="15"/>
      <c r="D134" s="31"/>
      <c r="E134" s="64"/>
      <c r="F134" s="31"/>
      <c r="G134" s="65"/>
      <c r="H134" s="65"/>
      <c r="I134" s="65"/>
      <c r="J134" s="65"/>
      <c r="K134" s="65"/>
      <c r="L134" s="65"/>
      <c r="M134" s="65"/>
      <c r="N134" s="66"/>
      <c r="O134" s="66"/>
      <c r="P134" s="66"/>
      <c r="Q134" s="66"/>
    </row>
    <row r="135" spans="1:17" s="47" customFormat="1" ht="16.5" x14ac:dyDescent="0.35">
      <c r="A135" s="26"/>
      <c r="B135" s="15"/>
      <c r="D135" s="31"/>
      <c r="E135" s="64"/>
      <c r="F135" s="31"/>
      <c r="G135" s="65"/>
      <c r="H135" s="65"/>
      <c r="I135" s="65"/>
      <c r="J135" s="65"/>
      <c r="K135" s="65"/>
      <c r="L135" s="65"/>
      <c r="M135" s="65"/>
      <c r="N135" s="66"/>
      <c r="O135" s="66"/>
      <c r="P135" s="66"/>
      <c r="Q135" s="66"/>
    </row>
    <row r="136" spans="1:17" s="47" customFormat="1" ht="16.5" x14ac:dyDescent="0.35">
      <c r="A136" s="26"/>
      <c r="B136" s="15"/>
      <c r="D136" s="31"/>
      <c r="E136" s="64"/>
      <c r="F136" s="31"/>
      <c r="G136" s="65"/>
      <c r="H136" s="65"/>
      <c r="I136" s="65"/>
      <c r="J136" s="65"/>
      <c r="K136" s="65"/>
      <c r="L136" s="65"/>
      <c r="M136" s="65"/>
      <c r="N136" s="66"/>
      <c r="O136" s="66"/>
      <c r="P136" s="66"/>
      <c r="Q136" s="66"/>
    </row>
    <row r="137" spans="1:17" s="47" customFormat="1" ht="16.5" x14ac:dyDescent="0.35">
      <c r="A137" s="26"/>
      <c r="B137" s="15"/>
      <c r="D137" s="19"/>
      <c r="E137" s="15"/>
      <c r="F137" s="19"/>
      <c r="L137" s="12"/>
      <c r="M137" s="12"/>
      <c r="N137" s="15"/>
      <c r="O137" s="15"/>
      <c r="P137" s="15"/>
      <c r="Q137" s="15"/>
    </row>
    <row r="138" spans="1:17" s="47" customFormat="1" ht="16.5" x14ac:dyDescent="0.35">
      <c r="A138" s="26"/>
      <c r="B138" s="15"/>
      <c r="D138" s="19"/>
      <c r="E138" s="15"/>
      <c r="F138" s="19"/>
      <c r="L138" s="12"/>
      <c r="M138" s="12"/>
      <c r="N138" s="15"/>
      <c r="O138" s="15"/>
      <c r="P138" s="15"/>
      <c r="Q138" s="15"/>
    </row>
    <row r="139" spans="1:17" s="47" customFormat="1" ht="16.5" x14ac:dyDescent="0.35">
      <c r="A139" s="26"/>
      <c r="B139" s="15"/>
      <c r="D139" s="19"/>
      <c r="E139" s="15"/>
      <c r="F139" s="19"/>
      <c r="L139" s="12"/>
      <c r="M139" s="12"/>
      <c r="N139" s="15"/>
      <c r="O139" s="15"/>
      <c r="P139" s="15"/>
      <c r="Q139" s="15"/>
    </row>
    <row r="140" spans="1:17" s="47" customFormat="1" ht="16.5" x14ac:dyDescent="0.35">
      <c r="A140" s="26"/>
      <c r="B140" s="15"/>
      <c r="D140" s="19"/>
      <c r="E140" s="15"/>
      <c r="F140" s="19"/>
      <c r="L140" s="12"/>
      <c r="M140" s="12"/>
      <c r="N140" s="15"/>
      <c r="O140" s="15"/>
      <c r="P140" s="15"/>
      <c r="Q140" s="15"/>
    </row>
    <row r="141" spans="1:17" s="47" customFormat="1" ht="16.5" x14ac:dyDescent="0.35">
      <c r="A141" s="26"/>
      <c r="B141" s="15"/>
      <c r="D141" s="19"/>
      <c r="E141" s="67"/>
      <c r="F141" s="19"/>
      <c r="G141" s="65"/>
      <c r="H141" s="65"/>
      <c r="I141" s="65"/>
      <c r="J141" s="65"/>
      <c r="K141" s="65"/>
      <c r="L141" s="65"/>
      <c r="M141" s="65"/>
      <c r="N141" s="67"/>
      <c r="O141" s="67"/>
      <c r="P141" s="67"/>
      <c r="Q141" s="67"/>
    </row>
    <row r="142" spans="1:17" s="47" customFormat="1" ht="16.5" x14ac:dyDescent="0.35">
      <c r="A142" s="26"/>
      <c r="B142" s="15"/>
      <c r="D142" s="31"/>
      <c r="E142" s="64"/>
      <c r="F142" s="31"/>
      <c r="G142" s="65"/>
      <c r="H142" s="65"/>
      <c r="I142" s="65"/>
      <c r="J142" s="65"/>
      <c r="K142" s="65"/>
      <c r="L142" s="65"/>
      <c r="M142" s="65"/>
      <c r="N142" s="66"/>
      <c r="O142" s="66"/>
      <c r="P142" s="66"/>
      <c r="Q142" s="66"/>
    </row>
    <row r="143" spans="1:17" s="47" customFormat="1" ht="16.5" x14ac:dyDescent="0.35">
      <c r="A143" s="26"/>
      <c r="B143" s="15"/>
      <c r="D143" s="31"/>
      <c r="E143" s="64"/>
      <c r="F143" s="31"/>
      <c r="G143" s="65"/>
      <c r="H143" s="65"/>
      <c r="I143" s="65"/>
      <c r="J143" s="65"/>
      <c r="K143" s="65"/>
      <c r="L143" s="65"/>
      <c r="M143" s="65"/>
      <c r="N143" s="66"/>
      <c r="O143" s="66"/>
      <c r="P143" s="66"/>
      <c r="Q143" s="66"/>
    </row>
    <row r="144" spans="1:17" s="47" customFormat="1" ht="16.5" x14ac:dyDescent="0.35">
      <c r="A144" s="26"/>
      <c r="B144" s="15"/>
      <c r="D144" s="31"/>
      <c r="E144" s="64"/>
      <c r="F144" s="31"/>
      <c r="G144" s="65"/>
      <c r="H144" s="65"/>
      <c r="I144" s="65"/>
      <c r="J144" s="65"/>
      <c r="K144" s="65"/>
      <c r="L144" s="65"/>
      <c r="M144" s="65"/>
      <c r="N144" s="66"/>
      <c r="O144" s="66"/>
      <c r="P144" s="66"/>
      <c r="Q144" s="66"/>
    </row>
    <row r="145" spans="1:17" s="47" customFormat="1" ht="16.5" x14ac:dyDescent="0.35">
      <c r="A145" s="26"/>
      <c r="B145" s="15"/>
      <c r="D145" s="31"/>
      <c r="E145" s="64"/>
      <c r="F145" s="31"/>
      <c r="G145" s="65"/>
      <c r="H145" s="65"/>
      <c r="I145" s="65"/>
      <c r="J145" s="65"/>
      <c r="K145" s="65"/>
      <c r="L145" s="65"/>
      <c r="M145" s="65"/>
      <c r="N145" s="66"/>
      <c r="O145" s="66"/>
      <c r="P145" s="66"/>
      <c r="Q145" s="66"/>
    </row>
    <row r="146" spans="1:17" s="47" customFormat="1" ht="16.5" x14ac:dyDescent="0.35">
      <c r="A146" s="26"/>
      <c r="B146" s="15"/>
      <c r="D146" s="19"/>
      <c r="E146" s="64"/>
      <c r="F146" s="19"/>
      <c r="G146" s="65"/>
      <c r="H146" s="65"/>
      <c r="I146" s="65"/>
      <c r="J146" s="65"/>
      <c r="K146" s="65"/>
      <c r="L146" s="65"/>
      <c r="M146" s="65"/>
      <c r="N146" s="66"/>
      <c r="O146" s="66"/>
      <c r="P146" s="66"/>
      <c r="Q146" s="66"/>
    </row>
    <row r="147" spans="1:17" s="47" customFormat="1" ht="16.5" x14ac:dyDescent="0.35">
      <c r="A147" s="26"/>
      <c r="B147" s="15"/>
      <c r="D147" s="19"/>
      <c r="E147" s="64"/>
      <c r="F147" s="19"/>
      <c r="G147" s="65"/>
      <c r="H147" s="65"/>
      <c r="I147" s="65"/>
      <c r="J147" s="65"/>
      <c r="K147" s="65"/>
      <c r="L147" s="65"/>
      <c r="M147" s="65"/>
      <c r="N147" s="66"/>
      <c r="O147" s="66"/>
      <c r="P147" s="66"/>
      <c r="Q147" s="66"/>
    </row>
    <row r="148" spans="1:17" s="47" customFormat="1" ht="16.5" x14ac:dyDescent="0.35">
      <c r="A148" s="26"/>
      <c r="B148" s="15"/>
      <c r="D148" s="19"/>
      <c r="E148" s="64"/>
      <c r="F148" s="19"/>
      <c r="G148" s="65"/>
      <c r="H148" s="65"/>
      <c r="I148" s="65"/>
      <c r="J148" s="65"/>
      <c r="K148" s="65"/>
      <c r="L148" s="65"/>
      <c r="M148" s="65"/>
      <c r="N148" s="66"/>
      <c r="O148" s="66"/>
      <c r="P148" s="66"/>
      <c r="Q148" s="66"/>
    </row>
    <row r="149" spans="1:17" s="47" customFormat="1" ht="16.5" x14ac:dyDescent="0.35">
      <c r="A149" s="26"/>
      <c r="B149" s="15"/>
      <c r="D149" s="19"/>
      <c r="E149" s="64"/>
      <c r="F149" s="19"/>
      <c r="G149" s="65"/>
      <c r="H149" s="65"/>
      <c r="I149" s="65"/>
      <c r="J149" s="65"/>
      <c r="K149" s="65"/>
      <c r="L149" s="65"/>
      <c r="M149" s="65"/>
      <c r="N149" s="66"/>
      <c r="O149" s="66"/>
      <c r="P149" s="66"/>
      <c r="Q149" s="66"/>
    </row>
    <row r="150" spans="1:17" s="47" customFormat="1" ht="16.5" x14ac:dyDescent="0.35">
      <c r="A150" s="26"/>
      <c r="B150" s="15"/>
      <c r="D150" s="19"/>
      <c r="E150" s="15"/>
      <c r="F150" s="19"/>
      <c r="L150" s="12"/>
      <c r="M150" s="12"/>
      <c r="N150" s="15"/>
      <c r="O150" s="15"/>
      <c r="P150" s="15"/>
      <c r="Q150" s="15"/>
    </row>
    <row r="151" spans="1:17" x14ac:dyDescent="0.35">
      <c r="E151" s="53"/>
      <c r="F151" s="49"/>
      <c r="L151" s="54"/>
      <c r="M151" s="54"/>
      <c r="N151" s="53"/>
      <c r="O151" s="53"/>
      <c r="P151" s="53"/>
      <c r="Q151" s="53"/>
    </row>
    <row r="152" spans="1:17" x14ac:dyDescent="0.35">
      <c r="E152" s="53"/>
      <c r="F152" s="49"/>
      <c r="L152" s="54"/>
      <c r="M152" s="54"/>
      <c r="N152" s="53"/>
      <c r="O152" s="53"/>
      <c r="P152" s="53"/>
      <c r="Q152" s="53"/>
    </row>
    <row r="153" spans="1:17" x14ac:dyDescent="0.35">
      <c r="E153" s="53"/>
      <c r="F153" s="49"/>
      <c r="L153" s="54"/>
      <c r="M153" s="54"/>
      <c r="N153" s="53"/>
      <c r="O153" s="53"/>
      <c r="P153" s="53"/>
      <c r="Q153" s="53"/>
    </row>
    <row r="154" spans="1:17" x14ac:dyDescent="0.35">
      <c r="E154" s="57"/>
      <c r="F154" s="49"/>
      <c r="G154" s="51"/>
      <c r="H154" s="51"/>
      <c r="I154" s="51"/>
      <c r="J154" s="51"/>
      <c r="K154" s="51"/>
      <c r="L154" s="51"/>
      <c r="M154" s="51"/>
      <c r="N154" s="57"/>
      <c r="O154" s="57"/>
      <c r="P154" s="57"/>
      <c r="Q154" s="57"/>
    </row>
    <row r="155" spans="1:17" x14ac:dyDescent="0.35">
      <c r="E155" s="58"/>
      <c r="F155" s="49"/>
      <c r="G155" s="59"/>
      <c r="H155" s="59"/>
      <c r="I155" s="59"/>
      <c r="J155" s="56"/>
      <c r="K155" s="56"/>
      <c r="L155" s="56"/>
      <c r="M155" s="56"/>
      <c r="N155" s="58"/>
      <c r="O155" s="58"/>
      <c r="P155" s="58"/>
      <c r="Q155" s="58"/>
    </row>
    <row r="156" spans="1:17" x14ac:dyDescent="0.35">
      <c r="E156" s="50"/>
      <c r="F156" s="49"/>
      <c r="G156" s="51"/>
      <c r="H156" s="51"/>
      <c r="I156" s="51"/>
      <c r="J156" s="51"/>
      <c r="K156" s="51"/>
      <c r="L156" s="51"/>
      <c r="M156" s="51"/>
      <c r="N156" s="62"/>
      <c r="O156" s="62"/>
      <c r="P156" s="62"/>
      <c r="Q156" s="62"/>
    </row>
    <row r="157" spans="1:17" x14ac:dyDescent="0.35">
      <c r="E157" s="50"/>
      <c r="F157" s="49"/>
      <c r="G157" s="51"/>
      <c r="H157" s="51"/>
      <c r="I157" s="51"/>
      <c r="J157" s="51"/>
      <c r="K157" s="51"/>
      <c r="L157" s="51"/>
      <c r="M157" s="51"/>
      <c r="N157" s="62"/>
      <c r="O157" s="62"/>
      <c r="P157" s="62"/>
      <c r="Q157" s="62"/>
    </row>
    <row r="158" spans="1:17" x14ac:dyDescent="0.35">
      <c r="E158" s="50"/>
      <c r="F158" s="49"/>
      <c r="G158" s="51"/>
      <c r="H158" s="51"/>
      <c r="I158" s="51"/>
      <c r="J158" s="51"/>
      <c r="K158" s="51"/>
      <c r="L158" s="51"/>
      <c r="M158" s="51"/>
      <c r="N158" s="62"/>
      <c r="O158" s="62"/>
      <c r="P158" s="62"/>
      <c r="Q158" s="62"/>
    </row>
    <row r="159" spans="1:17" x14ac:dyDescent="0.35">
      <c r="E159" s="50"/>
      <c r="F159" s="49"/>
      <c r="G159" s="51"/>
      <c r="H159" s="51"/>
      <c r="I159" s="51"/>
      <c r="J159" s="51"/>
      <c r="K159" s="51"/>
      <c r="L159" s="51"/>
      <c r="M159" s="51"/>
      <c r="N159" s="62"/>
      <c r="O159" s="62"/>
      <c r="P159" s="62"/>
      <c r="Q159" s="62"/>
    </row>
    <row r="160" spans="1:17" x14ac:dyDescent="0.35">
      <c r="E160" s="53"/>
      <c r="F160" s="49"/>
      <c r="G160" s="54"/>
      <c r="H160" s="54"/>
      <c r="I160" s="54"/>
      <c r="J160" s="54"/>
      <c r="K160" s="54"/>
      <c r="L160" s="54"/>
      <c r="M160" s="54"/>
      <c r="N160" s="52"/>
      <c r="O160" s="53"/>
      <c r="P160" s="53"/>
      <c r="Q160" s="53"/>
    </row>
    <row r="161" spans="5:17" x14ac:dyDescent="0.35">
      <c r="E161" s="53"/>
      <c r="F161" s="49"/>
      <c r="G161" s="54"/>
      <c r="H161" s="54"/>
      <c r="I161" s="54"/>
      <c r="J161" s="54"/>
      <c r="K161" s="54"/>
      <c r="L161" s="54"/>
      <c r="M161" s="54"/>
      <c r="N161" s="52"/>
      <c r="O161" s="53"/>
      <c r="P161" s="53"/>
      <c r="Q161" s="53"/>
    </row>
    <row r="162" spans="5:17" x14ac:dyDescent="0.35">
      <c r="E162" s="53"/>
      <c r="F162" s="49"/>
      <c r="G162" s="54"/>
      <c r="H162" s="54"/>
      <c r="I162" s="54"/>
      <c r="J162" s="54"/>
      <c r="K162" s="54"/>
      <c r="L162" s="54"/>
      <c r="M162" s="54"/>
      <c r="N162" s="52"/>
      <c r="O162" s="53"/>
      <c r="P162" s="53"/>
      <c r="Q162" s="53"/>
    </row>
    <row r="163" spans="5:17" x14ac:dyDescent="0.35">
      <c r="E163" s="53"/>
      <c r="F163" s="49"/>
      <c r="G163" s="54"/>
      <c r="H163" s="54"/>
      <c r="I163" s="54"/>
      <c r="J163" s="54"/>
      <c r="K163" s="54"/>
      <c r="L163" s="54"/>
      <c r="M163" s="54"/>
      <c r="N163" s="52"/>
      <c r="O163" s="53"/>
      <c r="P163" s="53"/>
      <c r="Q163" s="53"/>
    </row>
    <row r="164" spans="5:17" x14ac:dyDescent="0.35">
      <c r="E164" s="53"/>
      <c r="F164" s="49"/>
      <c r="I164" s="49"/>
      <c r="N164" s="53"/>
      <c r="O164" s="53"/>
      <c r="P164" s="53"/>
      <c r="Q164" s="53"/>
    </row>
    <row r="165" spans="5:17" x14ac:dyDescent="0.35">
      <c r="E165" s="53"/>
      <c r="F165" s="49"/>
      <c r="I165" s="49"/>
      <c r="N165" s="53"/>
      <c r="O165" s="53"/>
      <c r="P165" s="53"/>
      <c r="Q165" s="53"/>
    </row>
    <row r="166" spans="5:17" x14ac:dyDescent="0.35">
      <c r="E166" s="53"/>
      <c r="F166" s="49"/>
      <c r="I166" s="49"/>
      <c r="N166" s="53"/>
      <c r="O166" s="53"/>
      <c r="P166" s="53"/>
      <c r="Q166" s="53"/>
    </row>
    <row r="167" spans="5:17" x14ac:dyDescent="0.35">
      <c r="E167" s="53"/>
      <c r="F167" s="49"/>
      <c r="I167" s="49"/>
      <c r="N167" s="53"/>
      <c r="O167" s="53"/>
      <c r="P167" s="53"/>
      <c r="Q167" s="53"/>
    </row>
    <row r="168" spans="5:17" x14ac:dyDescent="0.35">
      <c r="E168" s="60"/>
      <c r="F168" s="49"/>
      <c r="G168" s="51"/>
      <c r="H168" s="51"/>
      <c r="I168" s="51"/>
      <c r="J168" s="51"/>
      <c r="K168" s="51"/>
      <c r="L168" s="51"/>
      <c r="M168" s="51"/>
      <c r="N168" s="52"/>
      <c r="O168" s="52"/>
      <c r="P168" s="52"/>
      <c r="Q168" s="52"/>
    </row>
    <row r="169" spans="5:17" x14ac:dyDescent="0.35">
      <c r="E169" s="60"/>
      <c r="F169" s="49"/>
      <c r="G169" s="51"/>
      <c r="H169" s="51"/>
      <c r="I169" s="51"/>
      <c r="J169" s="51"/>
      <c r="K169" s="51"/>
      <c r="L169" s="51"/>
      <c r="M169" s="51"/>
      <c r="N169" s="52"/>
      <c r="O169" s="52"/>
      <c r="P169" s="52"/>
      <c r="Q169" s="52"/>
    </row>
    <row r="170" spans="5:17" x14ac:dyDescent="0.35">
      <c r="E170" s="60"/>
      <c r="F170" s="49"/>
      <c r="G170" s="51"/>
      <c r="H170" s="51"/>
      <c r="I170" s="51"/>
      <c r="J170" s="51"/>
      <c r="K170" s="51"/>
      <c r="L170" s="51"/>
      <c r="M170" s="51"/>
      <c r="N170" s="52"/>
      <c r="O170" s="52"/>
      <c r="P170" s="52"/>
      <c r="Q170" s="52"/>
    </row>
    <row r="171" spans="5:17" x14ac:dyDescent="0.35">
      <c r="E171" s="50"/>
      <c r="F171" s="49"/>
      <c r="G171" s="51"/>
      <c r="H171" s="51"/>
      <c r="I171" s="51"/>
      <c r="J171" s="51"/>
      <c r="K171" s="51"/>
      <c r="L171" s="51"/>
      <c r="M171" s="51"/>
      <c r="N171" s="62"/>
      <c r="O171" s="62"/>
      <c r="P171" s="62"/>
      <c r="Q171" s="62"/>
    </row>
    <row r="172" spans="5:17" x14ac:dyDescent="0.35">
      <c r="E172" s="50"/>
      <c r="F172" s="49"/>
      <c r="G172" s="51"/>
      <c r="H172" s="51"/>
      <c r="I172" s="51"/>
      <c r="J172" s="51"/>
      <c r="K172" s="51"/>
      <c r="L172" s="51"/>
      <c r="M172" s="51"/>
      <c r="N172" s="62"/>
      <c r="O172" s="62"/>
      <c r="P172" s="62"/>
      <c r="Q172" s="62"/>
    </row>
    <row r="173" spans="5:17" x14ac:dyDescent="0.35">
      <c r="E173" s="50"/>
      <c r="F173" s="49"/>
      <c r="G173" s="51"/>
      <c r="H173" s="51"/>
      <c r="I173" s="51"/>
      <c r="J173" s="51"/>
      <c r="K173" s="51"/>
      <c r="L173" s="51"/>
      <c r="M173" s="51"/>
      <c r="N173" s="62"/>
      <c r="O173" s="62"/>
      <c r="P173" s="62"/>
      <c r="Q173" s="62"/>
    </row>
    <row r="174" spans="5:17" x14ac:dyDescent="0.35">
      <c r="E174" s="50"/>
      <c r="F174" s="49"/>
      <c r="G174" s="51"/>
      <c r="H174" s="51"/>
      <c r="I174" s="51"/>
      <c r="J174" s="51"/>
      <c r="K174" s="51"/>
      <c r="L174" s="51"/>
      <c r="M174" s="51"/>
      <c r="N174" s="62"/>
      <c r="O174" s="62"/>
      <c r="P174" s="62"/>
      <c r="Q174" s="62"/>
    </row>
    <row r="175" spans="5:17" x14ac:dyDescent="0.35">
      <c r="E175" s="50"/>
      <c r="F175" s="49"/>
      <c r="G175" s="51"/>
      <c r="H175" s="51"/>
      <c r="I175" s="51"/>
      <c r="J175" s="51"/>
      <c r="K175" s="51"/>
      <c r="L175" s="51"/>
      <c r="M175" s="51"/>
      <c r="N175" s="62"/>
      <c r="O175" s="62"/>
      <c r="P175" s="62"/>
      <c r="Q175" s="62"/>
    </row>
    <row r="176" spans="5:17" x14ac:dyDescent="0.35">
      <c r="E176" s="50"/>
      <c r="F176" s="49"/>
      <c r="G176" s="51"/>
      <c r="H176" s="51"/>
      <c r="I176" s="51"/>
      <c r="J176" s="51"/>
      <c r="K176" s="51"/>
      <c r="L176" s="51"/>
      <c r="M176" s="51"/>
      <c r="N176" s="62"/>
      <c r="O176" s="62"/>
      <c r="P176" s="62"/>
      <c r="Q176" s="62"/>
    </row>
    <row r="177" spans="4:17" x14ac:dyDescent="0.35">
      <c r="E177" s="50"/>
      <c r="F177" s="49"/>
      <c r="G177" s="51"/>
      <c r="H177" s="51"/>
      <c r="I177" s="51"/>
      <c r="J177" s="51"/>
      <c r="K177" s="51"/>
      <c r="L177" s="51"/>
      <c r="M177" s="51"/>
      <c r="N177" s="62"/>
      <c r="O177" s="62"/>
      <c r="P177" s="62"/>
      <c r="Q177" s="62"/>
    </row>
    <row r="178" spans="4:17" x14ac:dyDescent="0.35">
      <c r="E178" s="50"/>
      <c r="F178" s="49"/>
      <c r="G178" s="51"/>
      <c r="H178" s="51"/>
      <c r="I178" s="51"/>
      <c r="J178" s="51"/>
      <c r="K178" s="51"/>
      <c r="L178" s="51"/>
      <c r="M178" s="51"/>
      <c r="N178" s="62"/>
      <c r="O178" s="62"/>
      <c r="P178" s="62"/>
      <c r="Q178" s="62"/>
    </row>
    <row r="179" spans="4:17" x14ac:dyDescent="0.35">
      <c r="E179" s="50"/>
      <c r="F179" s="49"/>
      <c r="G179" s="51"/>
      <c r="H179" s="51"/>
      <c r="I179" s="51"/>
      <c r="J179" s="51"/>
      <c r="K179" s="51"/>
      <c r="L179" s="51"/>
      <c r="M179" s="51"/>
      <c r="N179" s="62"/>
      <c r="O179" s="62"/>
      <c r="P179" s="62"/>
      <c r="Q179" s="62"/>
    </row>
    <row r="180" spans="4:17" x14ac:dyDescent="0.35">
      <c r="E180" s="50"/>
      <c r="F180" s="49"/>
      <c r="G180" s="51"/>
      <c r="H180" s="51"/>
      <c r="I180" s="51"/>
      <c r="J180" s="51"/>
      <c r="K180" s="51"/>
      <c r="L180" s="51"/>
      <c r="M180" s="51"/>
      <c r="N180" s="62"/>
      <c r="O180" s="62"/>
      <c r="P180" s="62"/>
      <c r="Q180" s="62"/>
    </row>
    <row r="181" spans="4:17" x14ac:dyDescent="0.35">
      <c r="E181" s="50"/>
      <c r="F181" s="49"/>
      <c r="G181" s="51"/>
      <c r="H181" s="51"/>
      <c r="I181" s="51"/>
      <c r="J181" s="51"/>
      <c r="K181" s="51"/>
      <c r="L181" s="51"/>
      <c r="M181" s="51"/>
      <c r="N181" s="62"/>
      <c r="O181" s="62"/>
      <c r="P181" s="62"/>
      <c r="Q181" s="62"/>
    </row>
    <row r="182" spans="4:17" x14ac:dyDescent="0.35">
      <c r="E182" s="50"/>
      <c r="F182" s="49"/>
      <c r="G182" s="51"/>
      <c r="H182" s="51"/>
      <c r="I182" s="51"/>
      <c r="J182" s="51"/>
      <c r="K182" s="51"/>
      <c r="L182" s="51"/>
      <c r="M182" s="51"/>
      <c r="N182" s="62"/>
      <c r="O182" s="62"/>
      <c r="P182" s="62"/>
      <c r="Q182" s="62"/>
    </row>
    <row r="183" spans="4:17" x14ac:dyDescent="0.35">
      <c r="E183" s="50"/>
      <c r="F183" s="49"/>
      <c r="G183" s="51"/>
      <c r="H183" s="51"/>
      <c r="I183" s="51"/>
      <c r="J183" s="51"/>
      <c r="K183" s="51"/>
      <c r="L183" s="51"/>
      <c r="M183" s="51"/>
      <c r="N183" s="62"/>
      <c r="O183" s="62"/>
      <c r="P183" s="62"/>
      <c r="Q183" s="62"/>
    </row>
    <row r="184" spans="4:17" x14ac:dyDescent="0.35">
      <c r="E184" s="50"/>
      <c r="F184" s="49"/>
      <c r="G184" s="51"/>
      <c r="H184" s="51"/>
      <c r="I184" s="51"/>
      <c r="J184" s="51"/>
      <c r="K184" s="51"/>
      <c r="L184" s="51"/>
      <c r="M184" s="51"/>
      <c r="N184" s="62"/>
      <c r="O184" s="62"/>
      <c r="P184" s="62"/>
      <c r="Q184" s="62"/>
    </row>
    <row r="185" spans="4:17" x14ac:dyDescent="0.35">
      <c r="E185" s="50"/>
      <c r="F185" s="49"/>
      <c r="G185" s="51"/>
      <c r="H185" s="51"/>
      <c r="I185" s="51"/>
      <c r="J185" s="51"/>
      <c r="K185" s="51"/>
      <c r="L185" s="51"/>
      <c r="M185" s="51"/>
      <c r="N185" s="62"/>
      <c r="O185" s="62"/>
      <c r="P185" s="62"/>
      <c r="Q185" s="62"/>
    </row>
    <row r="186" spans="4:17" x14ac:dyDescent="0.35">
      <c r="E186" s="50"/>
      <c r="F186" s="49"/>
      <c r="G186" s="51"/>
      <c r="H186" s="51"/>
      <c r="I186" s="51"/>
      <c r="J186" s="51"/>
      <c r="K186" s="51"/>
      <c r="L186" s="51"/>
      <c r="M186" s="51"/>
      <c r="N186" s="62"/>
      <c r="O186" s="62"/>
      <c r="P186" s="62"/>
      <c r="Q186" s="62"/>
    </row>
    <row r="187" spans="4:17" x14ac:dyDescent="0.35">
      <c r="D187" s="55"/>
      <c r="E187" s="50"/>
      <c r="F187" s="55"/>
      <c r="G187" s="51"/>
      <c r="H187" s="51"/>
      <c r="I187" s="51"/>
      <c r="J187" s="51"/>
      <c r="K187" s="51"/>
      <c r="L187" s="51"/>
      <c r="M187" s="51"/>
      <c r="N187" s="62"/>
      <c r="O187" s="62"/>
      <c r="P187" s="62"/>
      <c r="Q187" s="62"/>
    </row>
    <row r="188" spans="4:17" x14ac:dyDescent="0.35">
      <c r="D188" s="55"/>
      <c r="E188" s="50"/>
      <c r="F188" s="55"/>
      <c r="G188" s="51"/>
      <c r="H188" s="51"/>
      <c r="I188" s="51"/>
      <c r="J188" s="51"/>
      <c r="K188" s="51"/>
      <c r="L188" s="51"/>
      <c r="M188" s="51"/>
      <c r="N188" s="62"/>
      <c r="O188" s="62"/>
      <c r="P188" s="62"/>
      <c r="Q188" s="62"/>
    </row>
    <row r="189" spans="4:17" x14ac:dyDescent="0.35">
      <c r="D189" s="55"/>
      <c r="E189" s="50"/>
      <c r="F189" s="55"/>
      <c r="G189" s="51"/>
      <c r="H189" s="51"/>
      <c r="I189" s="51"/>
      <c r="J189" s="51"/>
      <c r="K189" s="51"/>
      <c r="L189" s="51"/>
      <c r="M189" s="51"/>
      <c r="N189" s="62"/>
      <c r="O189" s="62"/>
      <c r="P189" s="62"/>
      <c r="Q189" s="62"/>
    </row>
    <row r="190" spans="4:17" x14ac:dyDescent="0.35">
      <c r="D190" s="55"/>
      <c r="E190" s="50"/>
      <c r="F190" s="55"/>
      <c r="G190" s="51"/>
      <c r="H190" s="51"/>
      <c r="I190" s="51"/>
      <c r="J190" s="51"/>
      <c r="K190" s="51"/>
      <c r="L190" s="51"/>
      <c r="M190" s="51"/>
      <c r="N190" s="62"/>
      <c r="O190" s="62"/>
      <c r="P190" s="62"/>
      <c r="Q190" s="62"/>
    </row>
  </sheetData>
  <mergeCells count="481">
    <mergeCell ref="C107:C110"/>
    <mergeCell ref="D107:D110"/>
    <mergeCell ref="E107:E110"/>
    <mergeCell ref="F107:F110"/>
    <mergeCell ref="G107:G110"/>
    <mergeCell ref="Q107:Q110"/>
    <mergeCell ref="H107:H110"/>
    <mergeCell ref="I107:I110"/>
    <mergeCell ref="J107:J110"/>
    <mergeCell ref="K107:K110"/>
    <mergeCell ref="L107:L110"/>
    <mergeCell ref="M107:M110"/>
    <mergeCell ref="N107:N110"/>
    <mergeCell ref="O107:O110"/>
    <mergeCell ref="P107:P110"/>
    <mergeCell ref="M103:M106"/>
    <mergeCell ref="N103:N106"/>
    <mergeCell ref="O103:O106"/>
    <mergeCell ref="P103:P106"/>
    <mergeCell ref="Q103:Q106"/>
    <mergeCell ref="H103:H106"/>
    <mergeCell ref="I103:I106"/>
    <mergeCell ref="J103:J106"/>
    <mergeCell ref="K103:K106"/>
    <mergeCell ref="L103:L106"/>
    <mergeCell ref="C98:C100"/>
    <mergeCell ref="D98:D100"/>
    <mergeCell ref="E98:E100"/>
    <mergeCell ref="F98:F100"/>
    <mergeCell ref="G98:G100"/>
    <mergeCell ref="C103:C106"/>
    <mergeCell ref="D103:D106"/>
    <mergeCell ref="E103:E106"/>
    <mergeCell ref="F103:F106"/>
    <mergeCell ref="G103:G106"/>
    <mergeCell ref="Q94:Q97"/>
    <mergeCell ref="H94:H97"/>
    <mergeCell ref="I94:I97"/>
    <mergeCell ref="J94:J97"/>
    <mergeCell ref="K94:K97"/>
    <mergeCell ref="L94:L97"/>
    <mergeCell ref="Q98:Q100"/>
    <mergeCell ref="H98:H100"/>
    <mergeCell ref="I98:I100"/>
    <mergeCell ref="J98:J100"/>
    <mergeCell ref="K98:K100"/>
    <mergeCell ref="L98:L100"/>
    <mergeCell ref="M98:M100"/>
    <mergeCell ref="N98:N100"/>
    <mergeCell ref="O98:O100"/>
    <mergeCell ref="P98:P100"/>
    <mergeCell ref="C94:C97"/>
    <mergeCell ref="D94:D97"/>
    <mergeCell ref="E94:E97"/>
    <mergeCell ref="F94:F97"/>
    <mergeCell ref="G94:G97"/>
    <mergeCell ref="M94:M97"/>
    <mergeCell ref="N94:N97"/>
    <mergeCell ref="O94:O97"/>
    <mergeCell ref="P94:P97"/>
    <mergeCell ref="M91:M93"/>
    <mergeCell ref="N91:N93"/>
    <mergeCell ref="O91:O93"/>
    <mergeCell ref="P91:P93"/>
    <mergeCell ref="Q91:Q93"/>
    <mergeCell ref="H91:H93"/>
    <mergeCell ref="I91:I93"/>
    <mergeCell ref="J91:J93"/>
    <mergeCell ref="K91:K93"/>
    <mergeCell ref="L91:L93"/>
    <mergeCell ref="C88:C90"/>
    <mergeCell ref="D88:D90"/>
    <mergeCell ref="E88:E90"/>
    <mergeCell ref="F88:F90"/>
    <mergeCell ref="G88:G90"/>
    <mergeCell ref="C91:C93"/>
    <mergeCell ref="D91:D93"/>
    <mergeCell ref="E91:E93"/>
    <mergeCell ref="F91:F93"/>
    <mergeCell ref="G91:G93"/>
    <mergeCell ref="Q85:Q87"/>
    <mergeCell ref="H85:H87"/>
    <mergeCell ref="I85:I87"/>
    <mergeCell ref="J85:J87"/>
    <mergeCell ref="K85:K87"/>
    <mergeCell ref="L85:L87"/>
    <mergeCell ref="Q88:Q90"/>
    <mergeCell ref="H88:H90"/>
    <mergeCell ref="I88:I90"/>
    <mergeCell ref="J88:J90"/>
    <mergeCell ref="K88:K90"/>
    <mergeCell ref="L88:L90"/>
    <mergeCell ref="M88:M90"/>
    <mergeCell ref="N88:N90"/>
    <mergeCell ref="O88:O90"/>
    <mergeCell ref="P88:P90"/>
    <mergeCell ref="C85:C87"/>
    <mergeCell ref="D85:D87"/>
    <mergeCell ref="E85:E87"/>
    <mergeCell ref="F85:F87"/>
    <mergeCell ref="G85:G87"/>
    <mergeCell ref="M82:M84"/>
    <mergeCell ref="N82:N84"/>
    <mergeCell ref="O82:O84"/>
    <mergeCell ref="P82:P84"/>
    <mergeCell ref="M85:M87"/>
    <mergeCell ref="N85:N87"/>
    <mergeCell ref="O85:O87"/>
    <mergeCell ref="P85:P87"/>
    <mergeCell ref="Q82:Q84"/>
    <mergeCell ref="H82:H84"/>
    <mergeCell ref="I82:I84"/>
    <mergeCell ref="J82:J84"/>
    <mergeCell ref="K82:K84"/>
    <mergeCell ref="L82:L84"/>
    <mergeCell ref="C82:C84"/>
    <mergeCell ref="D82:D84"/>
    <mergeCell ref="E82:E84"/>
    <mergeCell ref="F82:F84"/>
    <mergeCell ref="G82:G84"/>
    <mergeCell ref="Q76:Q78"/>
    <mergeCell ref="H76:H78"/>
    <mergeCell ref="I76:I78"/>
    <mergeCell ref="J76:J78"/>
    <mergeCell ref="K76:K78"/>
    <mergeCell ref="L76:L78"/>
    <mergeCell ref="C79:C81"/>
    <mergeCell ref="D79:D81"/>
    <mergeCell ref="E79:E81"/>
    <mergeCell ref="F79:F81"/>
    <mergeCell ref="G79:G81"/>
    <mergeCell ref="M79:M81"/>
    <mergeCell ref="N79:N81"/>
    <mergeCell ref="O79:O81"/>
    <mergeCell ref="P79:P81"/>
    <mergeCell ref="Q79:Q81"/>
    <mergeCell ref="H79:H81"/>
    <mergeCell ref="I79:I81"/>
    <mergeCell ref="J79:J81"/>
    <mergeCell ref="K79:K81"/>
    <mergeCell ref="L79:L81"/>
    <mergeCell ref="C76:C78"/>
    <mergeCell ref="D76:D78"/>
    <mergeCell ref="E76:E78"/>
    <mergeCell ref="F76:F78"/>
    <mergeCell ref="G76:G78"/>
    <mergeCell ref="M73:M75"/>
    <mergeCell ref="N73:N75"/>
    <mergeCell ref="O73:O75"/>
    <mergeCell ref="P73:P75"/>
    <mergeCell ref="M76:M78"/>
    <mergeCell ref="N76:N78"/>
    <mergeCell ref="O76:O78"/>
    <mergeCell ref="P76:P78"/>
    <mergeCell ref="Q73:Q75"/>
    <mergeCell ref="H73:H75"/>
    <mergeCell ref="I73:I75"/>
    <mergeCell ref="J73:J75"/>
    <mergeCell ref="K73:K75"/>
    <mergeCell ref="L73:L75"/>
    <mergeCell ref="C73:C75"/>
    <mergeCell ref="D73:D75"/>
    <mergeCell ref="E73:E75"/>
    <mergeCell ref="F73:F75"/>
    <mergeCell ref="G73:G75"/>
    <mergeCell ref="M70:M72"/>
    <mergeCell ref="N70:N72"/>
    <mergeCell ref="O70:O72"/>
    <mergeCell ref="P70:P72"/>
    <mergeCell ref="Q70:Q72"/>
    <mergeCell ref="H70:H72"/>
    <mergeCell ref="I70:I72"/>
    <mergeCell ref="J70:J72"/>
    <mergeCell ref="K70:K72"/>
    <mergeCell ref="L70:L72"/>
    <mergeCell ref="C66:C69"/>
    <mergeCell ref="D66:D69"/>
    <mergeCell ref="E66:E69"/>
    <mergeCell ref="F66:F69"/>
    <mergeCell ref="G66:G69"/>
    <mergeCell ref="C70:C72"/>
    <mergeCell ref="D70:D72"/>
    <mergeCell ref="E70:E72"/>
    <mergeCell ref="F70:F72"/>
    <mergeCell ref="G70:G72"/>
    <mergeCell ref="Q63:Q65"/>
    <mergeCell ref="H63:H65"/>
    <mergeCell ref="I63:I65"/>
    <mergeCell ref="J63:J65"/>
    <mergeCell ref="K63:K65"/>
    <mergeCell ref="L63:L65"/>
    <mergeCell ref="Q66:Q69"/>
    <mergeCell ref="H66:H69"/>
    <mergeCell ref="I66:I69"/>
    <mergeCell ref="J66:J69"/>
    <mergeCell ref="K66:K69"/>
    <mergeCell ref="L66:L69"/>
    <mergeCell ref="M66:M69"/>
    <mergeCell ref="N66:N69"/>
    <mergeCell ref="O66:O69"/>
    <mergeCell ref="P66:P69"/>
    <mergeCell ref="C63:C65"/>
    <mergeCell ref="D63:D65"/>
    <mergeCell ref="E63:E65"/>
    <mergeCell ref="F63:F65"/>
    <mergeCell ref="G63:G65"/>
    <mergeCell ref="M60:M62"/>
    <mergeCell ref="N60:N62"/>
    <mergeCell ref="O60:O62"/>
    <mergeCell ref="P60:P62"/>
    <mergeCell ref="M63:M65"/>
    <mergeCell ref="N63:N65"/>
    <mergeCell ref="O63:O65"/>
    <mergeCell ref="P63:P65"/>
    <mergeCell ref="Q60:Q62"/>
    <mergeCell ref="H60:H62"/>
    <mergeCell ref="I60:I62"/>
    <mergeCell ref="J60:J62"/>
    <mergeCell ref="K60:K62"/>
    <mergeCell ref="L60:L62"/>
    <mergeCell ref="C60:C62"/>
    <mergeCell ref="D60:D62"/>
    <mergeCell ref="E60:E62"/>
    <mergeCell ref="F60:F62"/>
    <mergeCell ref="G60:G62"/>
    <mergeCell ref="M57:M59"/>
    <mergeCell ref="N57:N59"/>
    <mergeCell ref="O57:O59"/>
    <mergeCell ref="P57:P59"/>
    <mergeCell ref="Q57:Q59"/>
    <mergeCell ref="H57:H59"/>
    <mergeCell ref="I57:I59"/>
    <mergeCell ref="J57:J59"/>
    <mergeCell ref="K57:K59"/>
    <mergeCell ref="L57:L59"/>
    <mergeCell ref="C54:C56"/>
    <mergeCell ref="D54:D56"/>
    <mergeCell ref="E54:E56"/>
    <mergeCell ref="F54:F56"/>
    <mergeCell ref="G54:G56"/>
    <mergeCell ref="C57:C59"/>
    <mergeCell ref="D57:D59"/>
    <mergeCell ref="E57:E59"/>
    <mergeCell ref="F57:F59"/>
    <mergeCell ref="G57:G59"/>
    <mergeCell ref="Q51:Q53"/>
    <mergeCell ref="H51:H53"/>
    <mergeCell ref="I51:I53"/>
    <mergeCell ref="J51:J53"/>
    <mergeCell ref="K51:K53"/>
    <mergeCell ref="L51:L53"/>
    <mergeCell ref="Q54:Q56"/>
    <mergeCell ref="H54:H56"/>
    <mergeCell ref="I54:I56"/>
    <mergeCell ref="J54:J56"/>
    <mergeCell ref="K54:K56"/>
    <mergeCell ref="L54:L56"/>
    <mergeCell ref="M54:M56"/>
    <mergeCell ref="N54:N56"/>
    <mergeCell ref="O54:O56"/>
    <mergeCell ref="P54:P56"/>
    <mergeCell ref="Q44:Q46"/>
    <mergeCell ref="C48:C50"/>
    <mergeCell ref="D48:D50"/>
    <mergeCell ref="E48:E50"/>
    <mergeCell ref="F48:F50"/>
    <mergeCell ref="G48:G50"/>
    <mergeCell ref="H48:H50"/>
    <mergeCell ref="I48:I50"/>
    <mergeCell ref="J48:J50"/>
    <mergeCell ref="K48:K50"/>
    <mergeCell ref="L48:L50"/>
    <mergeCell ref="M48:M50"/>
    <mergeCell ref="N48:N50"/>
    <mergeCell ref="O48:O50"/>
    <mergeCell ref="P48:P50"/>
    <mergeCell ref="Q48:Q50"/>
    <mergeCell ref="L44:L46"/>
    <mergeCell ref="M44:M46"/>
    <mergeCell ref="N44:N46"/>
    <mergeCell ref="G44:G46"/>
    <mergeCell ref="H44:H46"/>
    <mergeCell ref="I44:I46"/>
    <mergeCell ref="J44:J46"/>
    <mergeCell ref="K44:K46"/>
    <mergeCell ref="C41:C43"/>
    <mergeCell ref="C44:C46"/>
    <mergeCell ref="D44:D46"/>
    <mergeCell ref="E44:E46"/>
    <mergeCell ref="F44:F46"/>
    <mergeCell ref="N41:N43"/>
    <mergeCell ref="O41:O43"/>
    <mergeCell ref="P41:P43"/>
    <mergeCell ref="C51:C53"/>
    <mergeCell ref="D51:D53"/>
    <mergeCell ref="E51:E53"/>
    <mergeCell ref="F51:F53"/>
    <mergeCell ref="G51:G53"/>
    <mergeCell ref="M51:M53"/>
    <mergeCell ref="N51:N53"/>
    <mergeCell ref="O51:O53"/>
    <mergeCell ref="P51:P53"/>
    <mergeCell ref="D41:D43"/>
    <mergeCell ref="E41:E43"/>
    <mergeCell ref="F41:F43"/>
    <mergeCell ref="G41:G43"/>
    <mergeCell ref="H41:H43"/>
    <mergeCell ref="O44:O46"/>
    <mergeCell ref="P44:P46"/>
    <mergeCell ref="Q38:Q40"/>
    <mergeCell ref="H38:H40"/>
    <mergeCell ref="I38:I40"/>
    <mergeCell ref="J38:J40"/>
    <mergeCell ref="K38:K40"/>
    <mergeCell ref="L38:L40"/>
    <mergeCell ref="Q41:Q43"/>
    <mergeCell ref="I41:I43"/>
    <mergeCell ref="J41:J43"/>
    <mergeCell ref="K41:K43"/>
    <mergeCell ref="L41:L43"/>
    <mergeCell ref="M41:M43"/>
    <mergeCell ref="C38:C40"/>
    <mergeCell ref="D38:D40"/>
    <mergeCell ref="E38:E40"/>
    <mergeCell ref="F38:F40"/>
    <mergeCell ref="G38:G40"/>
    <mergeCell ref="M35:M37"/>
    <mergeCell ref="N35:N37"/>
    <mergeCell ref="O35:O37"/>
    <mergeCell ref="P35:P37"/>
    <mergeCell ref="M38:M40"/>
    <mergeCell ref="N38:N40"/>
    <mergeCell ref="O38:O40"/>
    <mergeCell ref="P38:P40"/>
    <mergeCell ref="Q35:Q37"/>
    <mergeCell ref="H35:H37"/>
    <mergeCell ref="I35:I37"/>
    <mergeCell ref="J35:J37"/>
    <mergeCell ref="K35:K37"/>
    <mergeCell ref="L35:L37"/>
    <mergeCell ref="C35:C37"/>
    <mergeCell ref="D35:D37"/>
    <mergeCell ref="E35:E37"/>
    <mergeCell ref="F35:F37"/>
    <mergeCell ref="G35:G37"/>
    <mergeCell ref="M30:M32"/>
    <mergeCell ref="N30:N32"/>
    <mergeCell ref="O30:O32"/>
    <mergeCell ref="P30:P32"/>
    <mergeCell ref="Q30:Q32"/>
    <mergeCell ref="H30:H32"/>
    <mergeCell ref="I30:I32"/>
    <mergeCell ref="J30:J32"/>
    <mergeCell ref="K30:K32"/>
    <mergeCell ref="L30:L32"/>
    <mergeCell ref="C27:C29"/>
    <mergeCell ref="D27:D29"/>
    <mergeCell ref="E27:E29"/>
    <mergeCell ref="F27:F29"/>
    <mergeCell ref="G27:G29"/>
    <mergeCell ref="C30:C32"/>
    <mergeCell ref="D30:D32"/>
    <mergeCell ref="E30:E32"/>
    <mergeCell ref="F30:F32"/>
    <mergeCell ref="G30:G32"/>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4:C26"/>
    <mergeCell ref="D24:D26"/>
    <mergeCell ref="E24:E26"/>
    <mergeCell ref="F24:F26"/>
    <mergeCell ref="G24:G26"/>
    <mergeCell ref="M24:M26"/>
    <mergeCell ref="N24:N26"/>
    <mergeCell ref="O24:O26"/>
    <mergeCell ref="P24:P26"/>
    <mergeCell ref="M21:M23"/>
    <mergeCell ref="N21:N23"/>
    <mergeCell ref="O21:O23"/>
    <mergeCell ref="P21:P23"/>
    <mergeCell ref="Q21:Q23"/>
    <mergeCell ref="H21:H23"/>
    <mergeCell ref="I21:I23"/>
    <mergeCell ref="J21:J23"/>
    <mergeCell ref="K21:K23"/>
    <mergeCell ref="L21:L23"/>
    <mergeCell ref="C21:C23"/>
    <mergeCell ref="D21:D23"/>
    <mergeCell ref="E21:E23"/>
    <mergeCell ref="F21:F23"/>
    <mergeCell ref="G21:G23"/>
    <mergeCell ref="C14:C16"/>
    <mergeCell ref="D14:D16"/>
    <mergeCell ref="F14:F16"/>
    <mergeCell ref="G14:G16"/>
    <mergeCell ref="C18:C20"/>
    <mergeCell ref="D18:D20"/>
    <mergeCell ref="E18:E20"/>
    <mergeCell ref="F18:F20"/>
    <mergeCell ref="G18:G20"/>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 ref="Q18:Q20"/>
    <mergeCell ref="H18:H20"/>
    <mergeCell ref="I18:I20"/>
    <mergeCell ref="J18:J20"/>
    <mergeCell ref="K18:K20"/>
    <mergeCell ref="L18:L20"/>
    <mergeCell ref="M18:M20"/>
    <mergeCell ref="N18:N20"/>
    <mergeCell ref="O18:O20"/>
    <mergeCell ref="P18:P20"/>
  </mergeCells>
  <dataValidations count="1">
    <dataValidation type="list" allowBlank="1" showInputMessage="1" showErrorMessage="1" sqref="F3:F112" xr:uid="{BEBC1BFA-52F5-4B9C-8907-9094C7110A5A}">
      <formula1>"T,TP,P"</formula1>
    </dataValidation>
  </dataValidations>
  <pageMargins left="0.7" right="0.7" top="0.75" bottom="0.75" header="0.3" footer="0.3"/>
  <pageSetup paperSize="9" orientation="portrait"/>
  <ignoredErrors>
    <ignoredError sqref="J115" formula="1"/>
    <ignoredError sqref="K101:M101 K102 L102:M102" unlocked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B156:B190 B50 B33:B34 B59 B62 B65 B69 B72 B75 B78 B81 B84 B87 B90 B93 B97 B106 B3 B47 B53 B100:B102 B110:B154 B17</xm:sqref>
        </x14:dataValidation>
        <x14:dataValidation type="list" allowBlank="1" showInputMessage="1" showErrorMessage="1" xr:uid="{C9DFEA4C-E456-40FA-A0B8-26962CF02348}">
          <x14:formula1>
            <xm:f>'Paso 3 Redacción RA '!$I$3:$I$15</xm:f>
          </x14:formula1>
          <xm:sqref>B35:B46 B51:B52 B48:B49 B60:B61 B63:B64 B66:B68 B70:B71 B73:B74 B76:B77 B79:B80 B82:B83 B85:B86 B88:B89 B91:B92 B94:B96 B98:B99 B103:B105 B107:B109 B4:B16 B54:B58 B18:B32</xm:sqref>
        </x14:dataValidation>
        <x14:dataValidation type="list" allowBlank="1" showInputMessage="1" showErrorMessage="1" xr:uid="{30DD22C5-FBF6-44B0-BCFD-32788D298910}">
          <x14:formula1>
            <xm:f>'Paso 3 Redacción RA '!$I$1:$I$15</xm:f>
          </x14:formula1>
          <xm:sqref>B47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topLeftCell="A8" zoomScale="90" zoomScaleNormal="90" workbookViewId="0">
      <selection activeCell="B21" sqref="B21"/>
    </sheetView>
  </sheetViews>
  <sheetFormatPr baseColWidth="10" defaultColWidth="11.453125" defaultRowHeight="14.5" x14ac:dyDescent="0.35"/>
  <cols>
    <col min="2" max="2" width="27.1796875" customWidth="1"/>
  </cols>
  <sheetData>
    <row r="1" spans="2:2" ht="16.5" x14ac:dyDescent="0.5">
      <c r="B1" s="1" t="s">
        <v>339</v>
      </c>
    </row>
    <row r="2" spans="2:2" ht="16.5" x14ac:dyDescent="0.5">
      <c r="B2" s="1" t="s">
        <v>340</v>
      </c>
    </row>
    <row r="3" spans="2:2" ht="16.5" x14ac:dyDescent="0.5">
      <c r="B3" s="1" t="s">
        <v>341</v>
      </c>
    </row>
    <row r="4" spans="2:2" ht="16.5" x14ac:dyDescent="0.5">
      <c r="B4" s="1" t="s">
        <v>66</v>
      </c>
    </row>
    <row r="5" spans="2:2" ht="16.5" x14ac:dyDescent="0.5">
      <c r="B5" s="1" t="s">
        <v>62</v>
      </c>
    </row>
    <row r="6" spans="2:2" ht="16.5" x14ac:dyDescent="0.5">
      <c r="B6" s="1" t="s">
        <v>342</v>
      </c>
    </row>
    <row r="7" spans="2:2" ht="16.5" x14ac:dyDescent="0.5">
      <c r="B7" s="1" t="s">
        <v>343</v>
      </c>
    </row>
    <row r="8" spans="2:2" ht="16.5" x14ac:dyDescent="0.5">
      <c r="B8" s="1" t="s">
        <v>344</v>
      </c>
    </row>
    <row r="9" spans="2:2" ht="16.5" x14ac:dyDescent="0.5">
      <c r="B9" s="1" t="s">
        <v>345</v>
      </c>
    </row>
    <row r="10" spans="2:2" ht="16.5" x14ac:dyDescent="0.5">
      <c r="B10" s="1" t="s">
        <v>346</v>
      </c>
    </row>
    <row r="11" spans="2:2" ht="16.5" x14ac:dyDescent="0.5">
      <c r="B11" s="1" t="s">
        <v>347</v>
      </c>
    </row>
    <row r="12" spans="2:2" ht="16.5" x14ac:dyDescent="0.5">
      <c r="B12" s="1" t="s">
        <v>348</v>
      </c>
    </row>
    <row r="13" spans="2:2" ht="16.5" x14ac:dyDescent="0.5">
      <c r="B13" s="1" t="s">
        <v>349</v>
      </c>
    </row>
    <row r="14" spans="2:2" ht="16.5" x14ac:dyDescent="0.5">
      <c r="B14" s="1" t="s">
        <v>350</v>
      </c>
    </row>
    <row r="15" spans="2:2" ht="16.5" x14ac:dyDescent="0.5">
      <c r="B15" s="1" t="s">
        <v>351</v>
      </c>
    </row>
    <row r="16" spans="2:2" ht="16.5" x14ac:dyDescent="0.5">
      <c r="B16" s="1" t="s">
        <v>60</v>
      </c>
    </row>
    <row r="17" spans="2:2" ht="16.5" x14ac:dyDescent="0.5">
      <c r="B17" s="1" t="s">
        <v>57</v>
      </c>
    </row>
    <row r="18" spans="2:2" ht="16.5" x14ac:dyDescent="0.5">
      <c r="B18" s="1" t="s">
        <v>352</v>
      </c>
    </row>
    <row r="19" spans="2:2" ht="16.5" x14ac:dyDescent="0.5">
      <c r="B19" s="1" t="s">
        <v>97</v>
      </c>
    </row>
    <row r="20" spans="2:2" ht="16.5" x14ac:dyDescent="0.5">
      <c r="B20" s="1" t="s">
        <v>353</v>
      </c>
    </row>
    <row r="21" spans="2:2" ht="16.5" x14ac:dyDescent="0.5">
      <c r="B21" s="1" t="s">
        <v>354</v>
      </c>
    </row>
    <row r="22" spans="2:2" ht="16.5" x14ac:dyDescent="0.5">
      <c r="B22" s="1" t="s">
        <v>355</v>
      </c>
    </row>
    <row r="23" spans="2:2" ht="16.5" x14ac:dyDescent="0.5">
      <c r="B23" s="1" t="s">
        <v>356</v>
      </c>
    </row>
    <row r="24" spans="2:2" ht="16.5" x14ac:dyDescent="0.5">
      <c r="B24" s="1" t="s">
        <v>357</v>
      </c>
    </row>
    <row r="25" spans="2:2" ht="16.5" x14ac:dyDescent="0.5">
      <c r="B25" s="1" t="s">
        <v>64</v>
      </c>
    </row>
    <row r="26" spans="2:2" ht="16.5" x14ac:dyDescent="0.5">
      <c r="B26" s="1" t="s">
        <v>358</v>
      </c>
    </row>
    <row r="27" spans="2:2" ht="16.5" x14ac:dyDescent="0.5">
      <c r="B27" s="1" t="s">
        <v>359</v>
      </c>
    </row>
    <row r="28" spans="2:2" ht="16.5" x14ac:dyDescent="0.5">
      <c r="B28" s="1" t="s">
        <v>360</v>
      </c>
    </row>
    <row r="29" spans="2:2" ht="16.5" x14ac:dyDescent="0.5">
      <c r="B29" s="1" t="s">
        <v>361</v>
      </c>
    </row>
    <row r="30" spans="2:2" ht="16.5" x14ac:dyDescent="0.5">
      <c r="B30" s="1" t="s">
        <v>362</v>
      </c>
    </row>
    <row r="31" spans="2:2" ht="16.5" x14ac:dyDescent="0.5">
      <c r="B31" s="1" t="s">
        <v>363</v>
      </c>
    </row>
    <row r="32" spans="2:2" ht="16.5" x14ac:dyDescent="0.5">
      <c r="B32" s="1" t="s">
        <v>364</v>
      </c>
    </row>
    <row r="33" spans="2:2" ht="16.5" x14ac:dyDescent="0.5">
      <c r="B33" s="1" t="s">
        <v>365</v>
      </c>
    </row>
    <row r="34" spans="2:2" ht="16.5" x14ac:dyDescent="0.5">
      <c r="B34" s="1" t="s">
        <v>366</v>
      </c>
    </row>
    <row r="35" spans="2:2" ht="16.5" x14ac:dyDescent="0.5">
      <c r="B35" s="1" t="s">
        <v>367</v>
      </c>
    </row>
    <row r="36" spans="2:2" ht="16.5" x14ac:dyDescent="0.5">
      <c r="B36" s="1" t="s">
        <v>368</v>
      </c>
    </row>
    <row r="37" spans="2:2" ht="16.5" x14ac:dyDescent="0.5">
      <c r="B37" s="1" t="s">
        <v>369</v>
      </c>
    </row>
    <row r="38" spans="2:2" ht="16.5" x14ac:dyDescent="0.5">
      <c r="B38" s="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zoomScale="70" zoomScaleNormal="70" workbookViewId="0">
      <selection activeCell="L2" sqref="L2:Q2"/>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225" t="s">
        <v>371</v>
      </c>
      <c r="T1" s="225"/>
      <c r="U1" s="225"/>
      <c r="V1" s="225"/>
      <c r="W1" s="225"/>
      <c r="X1" s="225"/>
      <c r="Y1" s="225"/>
      <c r="Z1" s="225"/>
      <c r="AA1" s="225"/>
      <c r="AB1" s="225"/>
      <c r="AC1" s="225"/>
      <c r="AD1" s="225"/>
      <c r="AE1" s="225"/>
      <c r="AF1" s="225"/>
      <c r="AG1" s="225"/>
      <c r="AH1" s="13"/>
      <c r="AI1" s="13"/>
      <c r="AJ1" s="13"/>
      <c r="AL1" s="225" t="s">
        <v>372</v>
      </c>
      <c r="AM1" s="225"/>
      <c r="AN1" s="225"/>
      <c r="AO1" s="225"/>
      <c r="AP1" s="225"/>
      <c r="AQ1" s="225"/>
      <c r="AR1" s="13"/>
      <c r="AS1" s="13"/>
      <c r="AT1" s="225" t="s">
        <v>373</v>
      </c>
      <c r="AU1" s="225"/>
      <c r="AV1" s="225"/>
      <c r="AW1" s="225"/>
      <c r="AX1" s="225"/>
      <c r="AY1" s="225"/>
      <c r="AZ1" s="13"/>
      <c r="BC1" s="13"/>
    </row>
    <row r="2" spans="1:55" x14ac:dyDescent="0.5">
      <c r="L2" s="225" t="s">
        <v>374</v>
      </c>
      <c r="M2" s="225"/>
      <c r="N2" s="225"/>
      <c r="O2" s="225"/>
      <c r="P2" s="225"/>
      <c r="Q2" s="225"/>
      <c r="S2" s="226" t="s">
        <v>375</v>
      </c>
      <c r="T2" s="226"/>
      <c r="U2" s="226"/>
      <c r="V2" s="226"/>
      <c r="W2" s="226"/>
      <c r="X2" s="226"/>
      <c r="Y2" s="226" t="s">
        <v>376</v>
      </c>
      <c r="Z2" s="226"/>
      <c r="AA2" s="226"/>
      <c r="AB2" s="226"/>
      <c r="AC2" s="226" t="s">
        <v>377</v>
      </c>
      <c r="AD2" s="226"/>
      <c r="AE2" s="226"/>
      <c r="AF2" s="226"/>
      <c r="AG2" s="226"/>
      <c r="AH2" s="13"/>
      <c r="AI2" s="13"/>
      <c r="AJ2" s="13"/>
      <c r="AL2" s="227"/>
      <c r="AM2" s="227"/>
      <c r="AN2" s="227"/>
      <c r="AO2" s="227"/>
      <c r="AP2" s="227"/>
      <c r="AQ2" s="227"/>
      <c r="AR2" s="13"/>
      <c r="AS2" s="13"/>
      <c r="AT2" s="13"/>
      <c r="AU2" s="13"/>
      <c r="AV2" s="13"/>
      <c r="AW2" s="13"/>
      <c r="AX2" s="13"/>
      <c r="AY2" s="13"/>
      <c r="AZ2" s="13"/>
      <c r="BC2" s="13"/>
    </row>
    <row r="3" spans="1:55" x14ac:dyDescent="0.5">
      <c r="A3" t="s">
        <v>378</v>
      </c>
      <c r="C3" s="149" t="s">
        <v>87</v>
      </c>
      <c r="D3" s="149" t="s">
        <v>379</v>
      </c>
      <c r="E3" s="149" t="s">
        <v>380</v>
      </c>
      <c r="G3" t="s">
        <v>105</v>
      </c>
      <c r="H3" t="s">
        <v>381</v>
      </c>
      <c r="I3" t="s">
        <v>382</v>
      </c>
      <c r="L3" s="47" t="s">
        <v>383</v>
      </c>
      <c r="M3" s="47" t="s">
        <v>106</v>
      </c>
      <c r="N3" s="47" t="s">
        <v>384</v>
      </c>
      <c r="O3" s="47" t="s">
        <v>385</v>
      </c>
      <c r="P3" s="47" t="s">
        <v>386</v>
      </c>
      <c r="Q3" s="47" t="s">
        <v>387</v>
      </c>
      <c r="S3" s="1" t="s">
        <v>388</v>
      </c>
      <c r="T3" s="1" t="s">
        <v>389</v>
      </c>
      <c r="U3" s="1" t="s">
        <v>99</v>
      </c>
      <c r="V3" s="1" t="s">
        <v>89</v>
      </c>
      <c r="W3" s="1" t="s">
        <v>390</v>
      </c>
      <c r="X3" s="1" t="s">
        <v>391</v>
      </c>
      <c r="Y3" s="1" t="s">
        <v>392</v>
      </c>
      <c r="Z3" s="1" t="s">
        <v>393</v>
      </c>
      <c r="AA3" s="1" t="s">
        <v>92</v>
      </c>
      <c r="AB3" s="1" t="s">
        <v>102</v>
      </c>
      <c r="AC3" s="1" t="s">
        <v>394</v>
      </c>
      <c r="AD3" s="1" t="s">
        <v>395</v>
      </c>
      <c r="AE3" s="1" t="s">
        <v>96</v>
      </c>
      <c r="AF3" s="1" t="s">
        <v>396</v>
      </c>
      <c r="AG3" s="1" t="s">
        <v>397</v>
      </c>
      <c r="AL3" s="228" t="s">
        <v>398</v>
      </c>
      <c r="AM3" s="228"/>
      <c r="AN3" s="228"/>
      <c r="AO3" s="228" t="s">
        <v>399</v>
      </c>
      <c r="AP3" s="228"/>
      <c r="AQ3" s="228"/>
      <c r="AR3" s="12"/>
      <c r="AS3" s="12"/>
      <c r="AT3" s="12"/>
      <c r="AU3" s="12"/>
      <c r="AV3" s="12"/>
      <c r="AW3" s="12"/>
      <c r="AX3" s="12"/>
      <c r="AY3" s="12"/>
      <c r="AZ3" s="12"/>
      <c r="BC3" s="12"/>
    </row>
    <row r="4" spans="1:55" x14ac:dyDescent="0.5">
      <c r="A4" t="s">
        <v>104</v>
      </c>
      <c r="C4" t="s">
        <v>88</v>
      </c>
      <c r="D4" t="s">
        <v>400</v>
      </c>
      <c r="E4" t="s">
        <v>401</v>
      </c>
      <c r="G4" t="s">
        <v>383</v>
      </c>
      <c r="H4" t="s">
        <v>383</v>
      </c>
      <c r="I4" t="s">
        <v>383</v>
      </c>
      <c r="L4" s="1" t="s">
        <v>402</v>
      </c>
      <c r="M4" s="1" t="s">
        <v>344</v>
      </c>
      <c r="N4" s="1" t="s">
        <v>62</v>
      </c>
      <c r="O4" s="1" t="s">
        <v>403</v>
      </c>
      <c r="P4" s="1" t="s">
        <v>404</v>
      </c>
      <c r="Q4" s="1" t="s">
        <v>405</v>
      </c>
      <c r="S4" s="1" t="s">
        <v>402</v>
      </c>
      <c r="T4" s="1" t="s">
        <v>344</v>
      </c>
      <c r="U4" s="1" t="s">
        <v>62</v>
      </c>
      <c r="V4" s="1" t="s">
        <v>403</v>
      </c>
      <c r="W4" s="1" t="s">
        <v>404</v>
      </c>
      <c r="X4" s="1" t="s">
        <v>405</v>
      </c>
      <c r="Y4" s="1" t="s">
        <v>406</v>
      </c>
      <c r="Z4" s="1" t="s">
        <v>407</v>
      </c>
      <c r="AA4" s="1" t="s">
        <v>408</v>
      </c>
      <c r="AB4" s="1" t="s">
        <v>409</v>
      </c>
      <c r="AC4" s="1" t="s">
        <v>410</v>
      </c>
      <c r="AD4" s="1" t="s">
        <v>406</v>
      </c>
      <c r="AE4" s="1" t="s">
        <v>410</v>
      </c>
      <c r="AF4" s="1" t="s">
        <v>411</v>
      </c>
      <c r="AG4" s="1" t="s">
        <v>412</v>
      </c>
      <c r="AL4" s="3" t="s">
        <v>413</v>
      </c>
      <c r="AM4" s="3" t="s">
        <v>414</v>
      </c>
      <c r="AN4" s="3" t="s">
        <v>415</v>
      </c>
      <c r="AO4" s="3" t="s">
        <v>416</v>
      </c>
      <c r="AP4" s="3" t="s">
        <v>417</v>
      </c>
      <c r="AQ4" s="3" t="s">
        <v>418</v>
      </c>
      <c r="AR4" s="12"/>
      <c r="AS4" s="12"/>
      <c r="AT4" s="47" t="s">
        <v>419</v>
      </c>
      <c r="AU4" s="47" t="s">
        <v>420</v>
      </c>
      <c r="AV4" s="47" t="s">
        <v>421</v>
      </c>
      <c r="AW4" s="47" t="s">
        <v>422</v>
      </c>
      <c r="AX4" s="47" t="s">
        <v>423</v>
      </c>
      <c r="AY4" s="47" t="s">
        <v>424</v>
      </c>
      <c r="AZ4" s="12"/>
      <c r="BC4" s="12"/>
    </row>
    <row r="5" spans="1:55" x14ac:dyDescent="0.5">
      <c r="A5" t="s">
        <v>87</v>
      </c>
      <c r="C5" t="s">
        <v>91</v>
      </c>
      <c r="D5" t="s">
        <v>425</v>
      </c>
      <c r="E5" t="s">
        <v>426</v>
      </c>
      <c r="G5" t="s">
        <v>106</v>
      </c>
      <c r="H5" t="s">
        <v>106</v>
      </c>
      <c r="I5" t="s">
        <v>106</v>
      </c>
      <c r="L5" s="1" t="s">
        <v>427</v>
      </c>
      <c r="M5" s="1" t="s">
        <v>428</v>
      </c>
      <c r="N5" s="1" t="s">
        <v>429</v>
      </c>
      <c r="O5" s="1" t="s">
        <v>66</v>
      </c>
      <c r="P5" s="1" t="s">
        <v>341</v>
      </c>
      <c r="Q5" s="1" t="s">
        <v>430</v>
      </c>
      <c r="S5" s="1" t="s">
        <v>427</v>
      </c>
      <c r="T5" s="1" t="s">
        <v>428</v>
      </c>
      <c r="U5" s="1" t="s">
        <v>429</v>
      </c>
      <c r="V5" s="1" t="s">
        <v>66</v>
      </c>
      <c r="W5" s="1" t="s">
        <v>341</v>
      </c>
      <c r="X5" s="1" t="s">
        <v>430</v>
      </c>
      <c r="Y5" s="1" t="s">
        <v>404</v>
      </c>
      <c r="Z5" s="1" t="s">
        <v>403</v>
      </c>
      <c r="AA5" s="1" t="s">
        <v>431</v>
      </c>
      <c r="AB5" s="1" t="s">
        <v>432</v>
      </c>
      <c r="AC5" s="1" t="s">
        <v>433</v>
      </c>
      <c r="AD5" s="1" t="s">
        <v>434</v>
      </c>
      <c r="AE5" s="1" t="s">
        <v>435</v>
      </c>
      <c r="AF5" s="1" t="s">
        <v>436</v>
      </c>
      <c r="AG5" s="1" t="s">
        <v>437</v>
      </c>
      <c r="AL5" s="2" t="s">
        <v>438</v>
      </c>
      <c r="AM5" s="2" t="s">
        <v>439</v>
      </c>
      <c r="AN5" s="2" t="s">
        <v>431</v>
      </c>
      <c r="AO5" s="2" t="s">
        <v>440</v>
      </c>
      <c r="AP5" s="2" t="s">
        <v>404</v>
      </c>
      <c r="AQ5" s="2" t="s">
        <v>350</v>
      </c>
      <c r="AR5" s="2"/>
      <c r="AS5" s="2"/>
      <c r="AT5" s="4" t="s">
        <v>438</v>
      </c>
      <c r="AU5" s="6" t="s">
        <v>344</v>
      </c>
      <c r="AV5" s="4" t="s">
        <v>440</v>
      </c>
      <c r="AW5" s="4" t="s">
        <v>431</v>
      </c>
      <c r="AX5" s="6" t="s">
        <v>410</v>
      </c>
      <c r="AY5" s="6" t="s">
        <v>410</v>
      </c>
      <c r="AZ5" s="2"/>
      <c r="BC5" s="2"/>
    </row>
    <row r="6" spans="1:55" x14ac:dyDescent="0.5">
      <c r="A6" t="s">
        <v>379</v>
      </c>
      <c r="C6" t="s">
        <v>95</v>
      </c>
      <c r="D6" t="s">
        <v>441</v>
      </c>
      <c r="E6" t="s">
        <v>442</v>
      </c>
      <c r="G6" t="s">
        <v>384</v>
      </c>
      <c r="H6" t="s">
        <v>384</v>
      </c>
      <c r="I6" t="s">
        <v>384</v>
      </c>
      <c r="L6" s="1" t="s">
        <v>443</v>
      </c>
      <c r="M6" s="1" t="s">
        <v>444</v>
      </c>
      <c r="N6" s="1" t="s">
        <v>445</v>
      </c>
      <c r="O6" s="1" t="s">
        <v>446</v>
      </c>
      <c r="P6" s="1" t="s">
        <v>409</v>
      </c>
      <c r="Q6" s="1" t="s">
        <v>447</v>
      </c>
      <c r="S6" s="1" t="s">
        <v>443</v>
      </c>
      <c r="T6" s="1" t="s">
        <v>444</v>
      </c>
      <c r="U6" s="1" t="s">
        <v>445</v>
      </c>
      <c r="V6" s="1" t="s">
        <v>446</v>
      </c>
      <c r="W6" s="1" t="s">
        <v>409</v>
      </c>
      <c r="X6" s="1" t="s">
        <v>447</v>
      </c>
      <c r="Y6" s="1" t="s">
        <v>448</v>
      </c>
      <c r="Z6" s="1" t="s">
        <v>448</v>
      </c>
      <c r="AA6" s="1" t="s">
        <v>448</v>
      </c>
      <c r="AB6" s="1" t="s">
        <v>439</v>
      </c>
      <c r="AC6" s="1" t="s">
        <v>449</v>
      </c>
      <c r="AD6" s="1" t="s">
        <v>438</v>
      </c>
      <c r="AE6" s="1" t="s">
        <v>438</v>
      </c>
      <c r="AF6" s="1" t="s">
        <v>409</v>
      </c>
      <c r="AG6" s="1" t="s">
        <v>450</v>
      </c>
      <c r="AL6" s="2" t="s">
        <v>443</v>
      </c>
      <c r="AM6" s="2" t="s">
        <v>451</v>
      </c>
      <c r="AN6" s="2" t="s">
        <v>440</v>
      </c>
      <c r="AO6" s="2" t="s">
        <v>403</v>
      </c>
      <c r="AP6" s="2" t="s">
        <v>452</v>
      </c>
      <c r="AQ6" s="2" t="s">
        <v>453</v>
      </c>
      <c r="AR6" s="2"/>
      <c r="AS6" s="2"/>
      <c r="AT6" s="5" t="s">
        <v>443</v>
      </c>
      <c r="AU6" s="7" t="s">
        <v>428</v>
      </c>
      <c r="AV6" s="6" t="s">
        <v>403</v>
      </c>
      <c r="AW6" s="5" t="s">
        <v>440</v>
      </c>
      <c r="AX6" s="7" t="s">
        <v>411</v>
      </c>
      <c r="AY6" s="6" t="s">
        <v>435</v>
      </c>
      <c r="AZ6" s="2"/>
      <c r="BC6" s="2"/>
    </row>
    <row r="7" spans="1:55" x14ac:dyDescent="0.5">
      <c r="A7" t="s">
        <v>380</v>
      </c>
      <c r="D7" t="s">
        <v>454</v>
      </c>
      <c r="G7" t="s">
        <v>385</v>
      </c>
      <c r="H7" t="s">
        <v>385</v>
      </c>
      <c r="I7" t="s">
        <v>385</v>
      </c>
      <c r="L7" s="1" t="s">
        <v>455</v>
      </c>
      <c r="M7" s="1" t="s">
        <v>345</v>
      </c>
      <c r="N7" s="1" t="s">
        <v>456</v>
      </c>
      <c r="O7" s="1" t="s">
        <v>457</v>
      </c>
      <c r="P7" s="1" t="s">
        <v>409</v>
      </c>
      <c r="Q7" s="1" t="s">
        <v>458</v>
      </c>
      <c r="S7" s="1" t="s">
        <v>455</v>
      </c>
      <c r="T7" s="1" t="s">
        <v>345</v>
      </c>
      <c r="U7" s="1" t="s">
        <v>456</v>
      </c>
      <c r="V7" s="1" t="s">
        <v>457</v>
      </c>
      <c r="W7" s="1" t="s">
        <v>409</v>
      </c>
      <c r="X7" s="1" t="s">
        <v>458</v>
      </c>
      <c r="Y7" s="1" t="s">
        <v>458</v>
      </c>
      <c r="Z7" s="1" t="s">
        <v>459</v>
      </c>
      <c r="AA7" s="1" t="s">
        <v>460</v>
      </c>
      <c r="AB7" s="1" t="s">
        <v>461</v>
      </c>
      <c r="AC7" s="1" t="s">
        <v>62</v>
      </c>
      <c r="AD7" s="1" t="s">
        <v>62</v>
      </c>
      <c r="AE7" s="1" t="s">
        <v>462</v>
      </c>
      <c r="AF7" s="1" t="s">
        <v>463</v>
      </c>
      <c r="AG7" s="1" t="s">
        <v>464</v>
      </c>
      <c r="AL7" s="2" t="s">
        <v>465</v>
      </c>
      <c r="AM7" s="2" t="s">
        <v>466</v>
      </c>
      <c r="AN7" s="2" t="s">
        <v>446</v>
      </c>
      <c r="AO7" s="2" t="s">
        <v>467</v>
      </c>
      <c r="AP7" s="2" t="s">
        <v>450</v>
      </c>
      <c r="AQ7" s="2" t="s">
        <v>468</v>
      </c>
      <c r="AR7" s="2"/>
      <c r="AS7" s="2"/>
      <c r="AT7" s="4" t="s">
        <v>465</v>
      </c>
      <c r="AU7" s="1" t="s">
        <v>439</v>
      </c>
      <c r="AV7" s="7" t="s">
        <v>66</v>
      </c>
      <c r="AW7" s="6" t="s">
        <v>62</v>
      </c>
      <c r="AX7" s="6" t="s">
        <v>435</v>
      </c>
      <c r="AY7" s="6" t="s">
        <v>437</v>
      </c>
      <c r="AZ7" s="2"/>
      <c r="BC7" s="2"/>
    </row>
    <row r="8" spans="1:55" x14ac:dyDescent="0.5">
      <c r="G8" t="s">
        <v>386</v>
      </c>
      <c r="H8" t="s">
        <v>386</v>
      </c>
      <c r="I8" t="s">
        <v>386</v>
      </c>
      <c r="L8" s="1" t="s">
        <v>469</v>
      </c>
      <c r="M8" s="1" t="s">
        <v>470</v>
      </c>
      <c r="N8" s="1" t="s">
        <v>346</v>
      </c>
      <c r="O8" s="1" t="s">
        <v>451</v>
      </c>
      <c r="P8" s="1" t="s">
        <v>471</v>
      </c>
      <c r="Q8" s="1" t="s">
        <v>472</v>
      </c>
      <c r="S8" s="1" t="s">
        <v>469</v>
      </c>
      <c r="T8" s="1" t="s">
        <v>470</v>
      </c>
      <c r="U8" s="1" t="s">
        <v>346</v>
      </c>
      <c r="V8" s="1" t="s">
        <v>451</v>
      </c>
      <c r="W8" s="1" t="s">
        <v>471</v>
      </c>
      <c r="X8" s="1" t="s">
        <v>472</v>
      </c>
      <c r="Y8" s="1" t="s">
        <v>66</v>
      </c>
      <c r="Z8" s="1" t="s">
        <v>409</v>
      </c>
      <c r="AA8" s="1" t="s">
        <v>473</v>
      </c>
      <c r="AB8" s="1" t="s">
        <v>474</v>
      </c>
      <c r="AC8" s="1" t="s">
        <v>475</v>
      </c>
      <c r="AD8" s="1" t="s">
        <v>476</v>
      </c>
      <c r="AE8" s="1" t="s">
        <v>477</v>
      </c>
      <c r="AF8" s="1" t="s">
        <v>478</v>
      </c>
      <c r="AG8" s="1" t="s">
        <v>457</v>
      </c>
      <c r="AL8" s="2" t="s">
        <v>469</v>
      </c>
      <c r="AM8" s="2" t="s">
        <v>479</v>
      </c>
      <c r="AN8" s="2" t="s">
        <v>457</v>
      </c>
      <c r="AO8" s="2" t="s">
        <v>480</v>
      </c>
      <c r="AP8" s="2" t="s">
        <v>481</v>
      </c>
      <c r="AQ8" s="2" t="s">
        <v>482</v>
      </c>
      <c r="AR8" s="2"/>
      <c r="AS8" s="2"/>
      <c r="AT8" s="5" t="s">
        <v>469</v>
      </c>
      <c r="AU8" s="6" t="s">
        <v>444</v>
      </c>
      <c r="AV8" s="6" t="s">
        <v>62</v>
      </c>
      <c r="AW8" s="4" t="s">
        <v>446</v>
      </c>
      <c r="AX8" s="7" t="s">
        <v>437</v>
      </c>
      <c r="AY8" s="6" t="s">
        <v>462</v>
      </c>
      <c r="AZ8" s="2"/>
      <c r="BC8" s="2"/>
    </row>
    <row r="9" spans="1:55" x14ac:dyDescent="0.5">
      <c r="G9" t="s">
        <v>387</v>
      </c>
      <c r="H9" t="s">
        <v>387</v>
      </c>
      <c r="I9" t="s">
        <v>387</v>
      </c>
      <c r="L9" s="1" t="s">
        <v>349</v>
      </c>
      <c r="M9" s="1" t="s">
        <v>483</v>
      </c>
      <c r="N9" s="1" t="s">
        <v>484</v>
      </c>
      <c r="O9" s="1" t="s">
        <v>478</v>
      </c>
      <c r="P9" s="1" t="s">
        <v>485</v>
      </c>
      <c r="Q9" s="1" t="s">
        <v>342</v>
      </c>
      <c r="S9" s="1" t="s">
        <v>349</v>
      </c>
      <c r="T9" s="1" t="s">
        <v>483</v>
      </c>
      <c r="U9" s="1" t="s">
        <v>484</v>
      </c>
      <c r="V9" s="1" t="s">
        <v>478</v>
      </c>
      <c r="W9" s="1" t="s">
        <v>485</v>
      </c>
      <c r="X9" s="1" t="s">
        <v>342</v>
      </c>
      <c r="Y9" s="1" t="s">
        <v>62</v>
      </c>
      <c r="Z9" s="1" t="s">
        <v>474</v>
      </c>
      <c r="AA9" s="1" t="s">
        <v>474</v>
      </c>
      <c r="AB9" s="1" t="s">
        <v>456</v>
      </c>
      <c r="AC9" s="1" t="s">
        <v>475</v>
      </c>
      <c r="AD9" s="1" t="s">
        <v>342</v>
      </c>
      <c r="AE9" s="1" t="s">
        <v>486</v>
      </c>
      <c r="AF9" s="1" t="s">
        <v>487</v>
      </c>
      <c r="AG9" s="1" t="s">
        <v>488</v>
      </c>
      <c r="AL9" s="2" t="s">
        <v>349</v>
      </c>
      <c r="AM9" s="2" t="s">
        <v>489</v>
      </c>
      <c r="AN9" s="2" t="s">
        <v>463</v>
      </c>
      <c r="AO9" s="2" t="s">
        <v>457</v>
      </c>
      <c r="AP9" s="2" t="s">
        <v>490</v>
      </c>
      <c r="AQ9" s="2" t="s">
        <v>491</v>
      </c>
      <c r="AR9" s="2"/>
      <c r="AS9" s="2"/>
      <c r="AT9" s="4" t="s">
        <v>349</v>
      </c>
      <c r="AU9" s="5" t="s">
        <v>451</v>
      </c>
      <c r="AV9" s="6" t="s">
        <v>467</v>
      </c>
      <c r="AW9" s="7" t="s">
        <v>429</v>
      </c>
      <c r="AX9" s="7" t="s">
        <v>438</v>
      </c>
      <c r="AY9" s="7" t="s">
        <v>477</v>
      </c>
      <c r="AZ9" s="2"/>
      <c r="BC9" s="2"/>
    </row>
    <row r="10" spans="1:55" x14ac:dyDescent="0.5">
      <c r="L10" s="1" t="s">
        <v>492</v>
      </c>
      <c r="M10" s="1" t="s">
        <v>493</v>
      </c>
      <c r="N10" s="1" t="s">
        <v>479</v>
      </c>
      <c r="O10" s="1" t="s">
        <v>466</v>
      </c>
      <c r="P10" s="1" t="s">
        <v>446</v>
      </c>
      <c r="Q10" s="1" t="s">
        <v>343</v>
      </c>
      <c r="S10" s="1" t="s">
        <v>492</v>
      </c>
      <c r="T10" s="1" t="s">
        <v>493</v>
      </c>
      <c r="U10" s="1" t="s">
        <v>479</v>
      </c>
      <c r="V10" s="1" t="s">
        <v>466</v>
      </c>
      <c r="W10" s="1" t="s">
        <v>446</v>
      </c>
      <c r="X10" s="1" t="s">
        <v>343</v>
      </c>
      <c r="Y10" s="1" t="s">
        <v>494</v>
      </c>
      <c r="Z10" s="1" t="s">
        <v>346</v>
      </c>
      <c r="AA10" s="1" t="s">
        <v>495</v>
      </c>
      <c r="AB10" s="1" t="s">
        <v>346</v>
      </c>
      <c r="AC10" s="1" t="s">
        <v>496</v>
      </c>
      <c r="AD10" s="1" t="s">
        <v>497</v>
      </c>
      <c r="AE10" s="1" t="s">
        <v>450</v>
      </c>
      <c r="AF10" s="1" t="s">
        <v>498</v>
      </c>
      <c r="AG10" s="1" t="s">
        <v>499</v>
      </c>
      <c r="AL10" s="2" t="s">
        <v>492</v>
      </c>
      <c r="AM10" s="2" t="s">
        <v>500</v>
      </c>
      <c r="AN10" s="2" t="s">
        <v>501</v>
      </c>
      <c r="AO10" s="2" t="s">
        <v>502</v>
      </c>
      <c r="AP10" s="2" t="s">
        <v>445</v>
      </c>
      <c r="AQ10" s="2" t="s">
        <v>359</v>
      </c>
      <c r="AR10" s="2"/>
      <c r="AS10" s="2"/>
      <c r="AT10" s="5" t="s">
        <v>492</v>
      </c>
      <c r="AU10" s="7" t="s">
        <v>345</v>
      </c>
      <c r="AV10" s="7" t="s">
        <v>480</v>
      </c>
      <c r="AW10" s="5" t="s">
        <v>457</v>
      </c>
      <c r="AX10" s="7" t="s">
        <v>462</v>
      </c>
      <c r="AY10" s="6" t="s">
        <v>486</v>
      </c>
      <c r="AZ10" s="2"/>
      <c r="BC10" s="2"/>
    </row>
    <row r="11" spans="1:55" x14ac:dyDescent="0.5">
      <c r="G11" t="s">
        <v>400</v>
      </c>
      <c r="H11" t="s">
        <v>425</v>
      </c>
      <c r="I11" t="s">
        <v>503</v>
      </c>
      <c r="J11" t="s">
        <v>454</v>
      </c>
      <c r="L11" s="1" t="s">
        <v>479</v>
      </c>
      <c r="M11" s="1" t="s">
        <v>504</v>
      </c>
      <c r="N11" s="1" t="s">
        <v>505</v>
      </c>
      <c r="O11" s="1" t="s">
        <v>483</v>
      </c>
      <c r="P11" s="1" t="s">
        <v>456</v>
      </c>
      <c r="Q11" s="1" t="s">
        <v>506</v>
      </c>
      <c r="S11" s="1" t="s">
        <v>479</v>
      </c>
      <c r="T11" s="1" t="s">
        <v>504</v>
      </c>
      <c r="U11" s="1" t="s">
        <v>505</v>
      </c>
      <c r="V11" s="1" t="s">
        <v>483</v>
      </c>
      <c r="W11" s="1" t="s">
        <v>456</v>
      </c>
      <c r="X11" s="1" t="s">
        <v>506</v>
      </c>
      <c r="Y11" s="1" t="s">
        <v>409</v>
      </c>
      <c r="Z11" s="1" t="s">
        <v>507</v>
      </c>
      <c r="AA11" s="1" t="s">
        <v>508</v>
      </c>
      <c r="AB11" s="1" t="s">
        <v>509</v>
      </c>
      <c r="AC11" s="1" t="s">
        <v>464</v>
      </c>
      <c r="AD11" s="1" t="s">
        <v>439</v>
      </c>
      <c r="AE11" s="1" t="s">
        <v>475</v>
      </c>
      <c r="AF11" s="1" t="s">
        <v>349</v>
      </c>
      <c r="AG11" s="1" t="s">
        <v>510</v>
      </c>
      <c r="AL11" s="2" t="s">
        <v>511</v>
      </c>
      <c r="AM11" s="2" t="s">
        <v>512</v>
      </c>
      <c r="AN11" s="2" t="s">
        <v>479</v>
      </c>
      <c r="AO11" s="2" t="s">
        <v>451</v>
      </c>
      <c r="AP11" s="2" t="s">
        <v>451</v>
      </c>
      <c r="AQ11" s="2" t="s">
        <v>513</v>
      </c>
      <c r="AR11" s="2"/>
      <c r="AS11" s="2"/>
      <c r="AT11" s="4" t="s">
        <v>511</v>
      </c>
      <c r="AU11" s="4" t="s">
        <v>466</v>
      </c>
      <c r="AV11" s="6" t="s">
        <v>446</v>
      </c>
      <c r="AW11" s="6" t="s">
        <v>445</v>
      </c>
      <c r="AX11" s="7" t="s">
        <v>477</v>
      </c>
      <c r="AY11" s="6" t="s">
        <v>436</v>
      </c>
      <c r="AZ11" s="2"/>
      <c r="BC11" s="2"/>
    </row>
    <row r="12" spans="1:55" x14ac:dyDescent="0.5">
      <c r="G12" t="s">
        <v>413</v>
      </c>
      <c r="H12" t="s">
        <v>413</v>
      </c>
      <c r="I12" t="s">
        <v>413</v>
      </c>
      <c r="J12" t="s">
        <v>413</v>
      </c>
      <c r="L12" s="1" t="s">
        <v>514</v>
      </c>
      <c r="M12" s="1" t="s">
        <v>514</v>
      </c>
      <c r="N12" s="1" t="s">
        <v>515</v>
      </c>
      <c r="O12" s="1" t="s">
        <v>487</v>
      </c>
      <c r="P12" s="1" t="s">
        <v>516</v>
      </c>
      <c r="Q12" s="1" t="s">
        <v>446</v>
      </c>
      <c r="S12" s="1" t="s">
        <v>514</v>
      </c>
      <c r="T12" s="1" t="s">
        <v>514</v>
      </c>
      <c r="U12" s="1" t="s">
        <v>515</v>
      </c>
      <c r="V12" s="1" t="s">
        <v>487</v>
      </c>
      <c r="W12" s="1" t="s">
        <v>516</v>
      </c>
      <c r="X12" s="1" t="s">
        <v>446</v>
      </c>
      <c r="Y12" s="1" t="s">
        <v>342</v>
      </c>
      <c r="Z12" s="1" t="s">
        <v>515</v>
      </c>
      <c r="AA12" s="1" t="s">
        <v>517</v>
      </c>
      <c r="AB12" s="1" t="s">
        <v>518</v>
      </c>
      <c r="AC12" s="1" t="s">
        <v>439</v>
      </c>
      <c r="AD12" s="1" t="s">
        <v>488</v>
      </c>
      <c r="AE12" s="1" t="s">
        <v>476</v>
      </c>
      <c r="AF12" s="1" t="s">
        <v>519</v>
      </c>
      <c r="AG12" s="1" t="s">
        <v>346</v>
      </c>
      <c r="AL12" s="2" t="s">
        <v>520</v>
      </c>
      <c r="AM12" s="2" t="s">
        <v>521</v>
      </c>
      <c r="AN12" s="2" t="s">
        <v>350</v>
      </c>
      <c r="AO12" s="2" t="s">
        <v>522</v>
      </c>
      <c r="AP12" s="2" t="s">
        <v>523</v>
      </c>
      <c r="AQ12" s="2" t="s">
        <v>524</v>
      </c>
      <c r="AR12" s="2"/>
      <c r="AS12" s="2"/>
      <c r="AT12" s="5" t="s">
        <v>520</v>
      </c>
      <c r="AU12" s="6" t="s">
        <v>470</v>
      </c>
      <c r="AV12" s="7" t="s">
        <v>429</v>
      </c>
      <c r="AW12" s="7" t="s">
        <v>456</v>
      </c>
      <c r="AX12" s="6" t="s">
        <v>486</v>
      </c>
      <c r="AY12" s="7" t="s">
        <v>475</v>
      </c>
      <c r="AZ12" s="2"/>
      <c r="BC12" s="2"/>
    </row>
    <row r="13" spans="1:55" x14ac:dyDescent="0.5">
      <c r="G13" t="s">
        <v>414</v>
      </c>
      <c r="H13" t="s">
        <v>414</v>
      </c>
      <c r="I13" t="s">
        <v>414</v>
      </c>
      <c r="J13" t="s">
        <v>414</v>
      </c>
      <c r="L13" s="1" t="s">
        <v>520</v>
      </c>
      <c r="M13" s="1" t="s">
        <v>519</v>
      </c>
      <c r="N13" s="1" t="s">
        <v>525</v>
      </c>
      <c r="O13" s="1" t="s">
        <v>504</v>
      </c>
      <c r="P13" s="1" t="s">
        <v>526</v>
      </c>
      <c r="Q13" s="1" t="s">
        <v>527</v>
      </c>
      <c r="S13" s="1" t="s">
        <v>520</v>
      </c>
      <c r="T13" s="1" t="s">
        <v>519</v>
      </c>
      <c r="U13" s="1" t="s">
        <v>525</v>
      </c>
      <c r="V13" s="1" t="s">
        <v>504</v>
      </c>
      <c r="W13" s="1" t="s">
        <v>526</v>
      </c>
      <c r="X13" s="1" t="s">
        <v>527</v>
      </c>
      <c r="Y13" s="1" t="s">
        <v>528</v>
      </c>
      <c r="Z13" s="1" t="s">
        <v>529</v>
      </c>
      <c r="AA13" s="1" t="s">
        <v>530</v>
      </c>
      <c r="AB13" s="1" t="s">
        <v>531</v>
      </c>
      <c r="AC13" s="1" t="s">
        <v>346</v>
      </c>
      <c r="AD13" s="1" t="s">
        <v>345</v>
      </c>
      <c r="AE13" s="1" t="s">
        <v>532</v>
      </c>
      <c r="AF13" s="1" t="s">
        <v>505</v>
      </c>
      <c r="AG13" s="1" t="s">
        <v>533</v>
      </c>
      <c r="AL13" s="2" t="s">
        <v>534</v>
      </c>
      <c r="AM13" s="2" t="s">
        <v>535</v>
      </c>
      <c r="AN13" s="2" t="s">
        <v>536</v>
      </c>
      <c r="AO13" s="2" t="s">
        <v>537</v>
      </c>
      <c r="AP13" s="2" t="s">
        <v>456</v>
      </c>
      <c r="AQ13" s="2" t="s">
        <v>538</v>
      </c>
      <c r="AR13" s="2"/>
      <c r="AS13" s="2"/>
      <c r="AT13" s="4" t="s">
        <v>534</v>
      </c>
      <c r="AU13" s="7" t="s">
        <v>483</v>
      </c>
      <c r="AV13" s="7" t="s">
        <v>457</v>
      </c>
      <c r="AW13" s="6" t="s">
        <v>346</v>
      </c>
      <c r="AX13" s="7" t="s">
        <v>436</v>
      </c>
      <c r="AY13" s="6" t="s">
        <v>476</v>
      </c>
      <c r="AZ13" s="2"/>
      <c r="BC13" s="2"/>
    </row>
    <row r="14" spans="1:55" x14ac:dyDescent="0.5">
      <c r="G14" t="s">
        <v>415</v>
      </c>
      <c r="H14" t="s">
        <v>415</v>
      </c>
      <c r="I14" t="s">
        <v>415</v>
      </c>
      <c r="J14" t="s">
        <v>415</v>
      </c>
      <c r="L14" s="1" t="s">
        <v>539</v>
      </c>
      <c r="M14" s="1" t="s">
        <v>515</v>
      </c>
      <c r="N14" s="1" t="s">
        <v>60</v>
      </c>
      <c r="O14" s="1" t="s">
        <v>540</v>
      </c>
      <c r="P14" s="1" t="s">
        <v>463</v>
      </c>
      <c r="Q14" s="1" t="s">
        <v>541</v>
      </c>
      <c r="S14" s="1" t="s">
        <v>539</v>
      </c>
      <c r="T14" s="1" t="s">
        <v>515</v>
      </c>
      <c r="U14" s="1" t="s">
        <v>60</v>
      </c>
      <c r="V14" s="1" t="s">
        <v>540</v>
      </c>
      <c r="W14" s="1" t="s">
        <v>463</v>
      </c>
      <c r="X14" s="1" t="s">
        <v>541</v>
      </c>
      <c r="Y14" s="1" t="s">
        <v>490</v>
      </c>
      <c r="Z14" s="1" t="s">
        <v>351</v>
      </c>
      <c r="AA14" s="1" t="s">
        <v>351</v>
      </c>
      <c r="AB14" s="1" t="s">
        <v>529</v>
      </c>
      <c r="AC14" s="1" t="s">
        <v>517</v>
      </c>
      <c r="AD14" s="1" t="s">
        <v>347</v>
      </c>
      <c r="AE14" s="1" t="s">
        <v>542</v>
      </c>
      <c r="AF14" s="1" t="s">
        <v>543</v>
      </c>
      <c r="AG14" s="1" t="s">
        <v>544</v>
      </c>
      <c r="AL14" s="2" t="s">
        <v>545</v>
      </c>
      <c r="AM14" s="2" t="s">
        <v>546</v>
      </c>
      <c r="AN14" s="2" t="s">
        <v>520</v>
      </c>
      <c r="AO14" s="2" t="s">
        <v>547</v>
      </c>
      <c r="AP14" s="2" t="s">
        <v>484</v>
      </c>
      <c r="AQ14" s="2" t="s">
        <v>548</v>
      </c>
      <c r="AR14" s="2"/>
      <c r="AS14" s="2"/>
      <c r="AT14" s="5" t="s">
        <v>545</v>
      </c>
      <c r="AU14" s="6" t="s">
        <v>493</v>
      </c>
      <c r="AV14" s="5" t="s">
        <v>502</v>
      </c>
      <c r="AW14" s="4" t="s">
        <v>463</v>
      </c>
      <c r="AX14" s="7" t="s">
        <v>450</v>
      </c>
      <c r="AY14" s="6" t="s">
        <v>532</v>
      </c>
      <c r="AZ14" s="2"/>
      <c r="BC14" s="2"/>
    </row>
    <row r="15" spans="1:55" x14ac:dyDescent="0.5">
      <c r="G15" t="s">
        <v>416</v>
      </c>
      <c r="H15" t="s">
        <v>416</v>
      </c>
      <c r="I15" t="s">
        <v>416</v>
      </c>
      <c r="J15" t="s">
        <v>416</v>
      </c>
      <c r="L15" s="1" t="s">
        <v>534</v>
      </c>
      <c r="M15" s="1" t="s">
        <v>489</v>
      </c>
      <c r="N15" s="1" t="s">
        <v>536</v>
      </c>
      <c r="O15" s="1" t="s">
        <v>350</v>
      </c>
      <c r="P15" s="1" t="s">
        <v>484</v>
      </c>
      <c r="Q15" s="1" t="s">
        <v>439</v>
      </c>
      <c r="S15" s="1" t="s">
        <v>534</v>
      </c>
      <c r="T15" s="1" t="s">
        <v>489</v>
      </c>
      <c r="U15" s="1" t="s">
        <v>536</v>
      </c>
      <c r="V15" s="1" t="s">
        <v>350</v>
      </c>
      <c r="W15" s="1" t="s">
        <v>484</v>
      </c>
      <c r="X15" s="1" t="s">
        <v>439</v>
      </c>
      <c r="Y15" s="1" t="s">
        <v>451</v>
      </c>
      <c r="Z15" s="1" t="s">
        <v>549</v>
      </c>
      <c r="AA15" s="1" t="s">
        <v>550</v>
      </c>
      <c r="AB15" s="1" t="s">
        <v>60</v>
      </c>
      <c r="AC15" s="1" t="s">
        <v>469</v>
      </c>
      <c r="AD15" s="1" t="s">
        <v>551</v>
      </c>
      <c r="AE15" s="1" t="s">
        <v>464</v>
      </c>
      <c r="AF15" s="1" t="s">
        <v>552</v>
      </c>
      <c r="AG15" s="1" t="s">
        <v>553</v>
      </c>
      <c r="AL15" s="2" t="s">
        <v>554</v>
      </c>
      <c r="AM15" s="2" t="s">
        <v>555</v>
      </c>
      <c r="AN15" s="2" t="s">
        <v>556</v>
      </c>
      <c r="AO15" s="2" t="s">
        <v>557</v>
      </c>
      <c r="AP15" s="2" t="s">
        <v>558</v>
      </c>
      <c r="AQ15" s="2" t="s">
        <v>559</v>
      </c>
      <c r="AR15" s="2"/>
      <c r="AS15" s="2"/>
      <c r="AT15" s="4" t="s">
        <v>554</v>
      </c>
      <c r="AU15" s="7" t="s">
        <v>504</v>
      </c>
      <c r="AV15" s="6" t="s">
        <v>445</v>
      </c>
      <c r="AW15" s="7" t="s">
        <v>484</v>
      </c>
      <c r="AX15" s="7" t="s">
        <v>475</v>
      </c>
      <c r="AY15" s="6" t="s">
        <v>542</v>
      </c>
      <c r="AZ15" s="2"/>
      <c r="BC15" s="2"/>
    </row>
    <row r="16" spans="1:55" x14ac:dyDescent="0.5">
      <c r="G16" t="s">
        <v>417</v>
      </c>
      <c r="H16" t="s">
        <v>417</v>
      </c>
      <c r="I16" t="s">
        <v>417</v>
      </c>
      <c r="J16" t="s">
        <v>417</v>
      </c>
      <c r="L16" s="1" t="s">
        <v>352</v>
      </c>
      <c r="M16" s="1" t="s">
        <v>60</v>
      </c>
      <c r="N16" s="1" t="s">
        <v>560</v>
      </c>
      <c r="O16" s="1" t="s">
        <v>561</v>
      </c>
      <c r="P16" s="1" t="s">
        <v>562</v>
      </c>
      <c r="Q16" s="1" t="s">
        <v>516</v>
      </c>
      <c r="S16" s="1" t="s">
        <v>352</v>
      </c>
      <c r="T16" s="1" t="s">
        <v>60</v>
      </c>
      <c r="U16" s="1" t="s">
        <v>560</v>
      </c>
      <c r="V16" s="1" t="s">
        <v>561</v>
      </c>
      <c r="W16" s="1" t="s">
        <v>562</v>
      </c>
      <c r="X16" s="1" t="s">
        <v>516</v>
      </c>
      <c r="Y16" s="1" t="s">
        <v>563</v>
      </c>
      <c r="Z16" s="1" t="s">
        <v>536</v>
      </c>
      <c r="AA16" s="1" t="s">
        <v>564</v>
      </c>
      <c r="AB16" s="1" t="s">
        <v>565</v>
      </c>
      <c r="AC16" s="1" t="s">
        <v>561</v>
      </c>
      <c r="AD16" s="1" t="s">
        <v>566</v>
      </c>
      <c r="AE16" s="1" t="s">
        <v>567</v>
      </c>
      <c r="AF16" s="1" t="s">
        <v>568</v>
      </c>
      <c r="AG16" s="1" t="s">
        <v>566</v>
      </c>
      <c r="AL16" s="2" t="s">
        <v>569</v>
      </c>
      <c r="AM16" s="2" t="s">
        <v>570</v>
      </c>
      <c r="AN16" s="2" t="s">
        <v>539</v>
      </c>
      <c r="AO16" s="2" t="s">
        <v>564</v>
      </c>
      <c r="AP16" s="2" t="s">
        <v>562</v>
      </c>
      <c r="AQ16" s="2" t="s">
        <v>571</v>
      </c>
      <c r="AR16" s="2"/>
      <c r="AS16" s="2"/>
      <c r="AT16" s="5" t="s">
        <v>569</v>
      </c>
      <c r="AU16" s="5" t="s">
        <v>479</v>
      </c>
      <c r="AV16" s="6" t="s">
        <v>451</v>
      </c>
      <c r="AW16" s="4" t="s">
        <v>479</v>
      </c>
      <c r="AX16" s="7" t="s">
        <v>476</v>
      </c>
      <c r="AY16" s="6" t="s">
        <v>464</v>
      </c>
      <c r="AZ16" s="2"/>
      <c r="BC16" s="2"/>
    </row>
    <row r="17" spans="7:55" x14ac:dyDescent="0.5">
      <c r="G17" t="s">
        <v>418</v>
      </c>
      <c r="H17" t="s">
        <v>418</v>
      </c>
      <c r="I17" t="s">
        <v>418</v>
      </c>
      <c r="J17" t="s">
        <v>418</v>
      </c>
      <c r="L17" s="1" t="s">
        <v>572</v>
      </c>
      <c r="M17" s="1" t="s">
        <v>352</v>
      </c>
      <c r="N17" s="1" t="s">
        <v>520</v>
      </c>
      <c r="O17" s="1" t="s">
        <v>573</v>
      </c>
      <c r="P17" s="1" t="s">
        <v>574</v>
      </c>
      <c r="Q17" s="1" t="s">
        <v>526</v>
      </c>
      <c r="S17" s="1" t="s">
        <v>572</v>
      </c>
      <c r="T17" s="1" t="s">
        <v>352</v>
      </c>
      <c r="U17" s="1" t="s">
        <v>520</v>
      </c>
      <c r="V17" s="1" t="s">
        <v>573</v>
      </c>
      <c r="W17" s="1" t="s">
        <v>574</v>
      </c>
      <c r="X17" s="1" t="s">
        <v>526</v>
      </c>
      <c r="Y17" s="1" t="s">
        <v>575</v>
      </c>
      <c r="Z17" s="1" t="s">
        <v>576</v>
      </c>
      <c r="AA17" s="1" t="s">
        <v>576</v>
      </c>
      <c r="AB17" s="1" t="s">
        <v>576</v>
      </c>
      <c r="AC17" s="1" t="s">
        <v>529</v>
      </c>
      <c r="AD17" s="1" t="s">
        <v>469</v>
      </c>
      <c r="AE17" s="1" t="s">
        <v>439</v>
      </c>
      <c r="AF17" s="1" t="s">
        <v>577</v>
      </c>
      <c r="AG17" s="1" t="s">
        <v>517</v>
      </c>
      <c r="AL17" s="2" t="s">
        <v>578</v>
      </c>
      <c r="AM17" s="2" t="s">
        <v>579</v>
      </c>
      <c r="AN17" s="2" t="s">
        <v>580</v>
      </c>
      <c r="AO17" s="2" t="s">
        <v>520</v>
      </c>
      <c r="AP17" s="2" t="s">
        <v>483</v>
      </c>
      <c r="AQ17" s="2" t="s">
        <v>581</v>
      </c>
      <c r="AR17" s="2"/>
      <c r="AS17" s="2"/>
      <c r="AT17" s="4" t="s">
        <v>578</v>
      </c>
      <c r="AU17" s="6" t="s">
        <v>514</v>
      </c>
      <c r="AV17" s="7" t="s">
        <v>456</v>
      </c>
      <c r="AW17" s="5" t="s">
        <v>350</v>
      </c>
      <c r="AX17" s="7" t="s">
        <v>409</v>
      </c>
      <c r="AY17" s="6" t="s">
        <v>457</v>
      </c>
      <c r="AZ17" s="2"/>
      <c r="BC17" s="2"/>
    </row>
    <row r="18" spans="7:55" x14ac:dyDescent="0.5">
      <c r="L18" s="1" t="s">
        <v>582</v>
      </c>
      <c r="M18" s="1" t="s">
        <v>582</v>
      </c>
      <c r="N18" s="1" t="s">
        <v>583</v>
      </c>
      <c r="O18" s="1" t="s">
        <v>547</v>
      </c>
      <c r="P18" s="1" t="s">
        <v>540</v>
      </c>
      <c r="Q18" s="1" t="s">
        <v>584</v>
      </c>
      <c r="S18" s="1" t="s">
        <v>582</v>
      </c>
      <c r="T18" s="1" t="s">
        <v>582</v>
      </c>
      <c r="U18" s="1" t="s">
        <v>583</v>
      </c>
      <c r="V18" s="1" t="s">
        <v>547</v>
      </c>
      <c r="W18" s="1" t="s">
        <v>540</v>
      </c>
      <c r="X18" s="1" t="s">
        <v>584</v>
      </c>
      <c r="Y18" s="1" t="s">
        <v>346</v>
      </c>
      <c r="Z18" s="1" t="s">
        <v>585</v>
      </c>
      <c r="AA18" s="1" t="s">
        <v>586</v>
      </c>
      <c r="AB18" s="1" t="s">
        <v>587</v>
      </c>
      <c r="AC18" s="1" t="s">
        <v>351</v>
      </c>
      <c r="AD18" s="1" t="s">
        <v>479</v>
      </c>
      <c r="AE18" s="1" t="s">
        <v>588</v>
      </c>
      <c r="AF18" s="1" t="s">
        <v>354</v>
      </c>
      <c r="AG18" s="1" t="s">
        <v>525</v>
      </c>
      <c r="AL18" s="2" t="s">
        <v>589</v>
      </c>
      <c r="AM18" s="2" t="s">
        <v>93</v>
      </c>
      <c r="AN18" s="2" t="s">
        <v>590</v>
      </c>
      <c r="AO18" s="2" t="s">
        <v>591</v>
      </c>
      <c r="AP18" s="2" t="s">
        <v>504</v>
      </c>
      <c r="AQ18" s="2" t="s">
        <v>592</v>
      </c>
      <c r="AR18" s="2"/>
      <c r="AS18" s="2"/>
      <c r="AT18" s="5" t="s">
        <v>589</v>
      </c>
      <c r="AU18" s="7" t="s">
        <v>519</v>
      </c>
      <c r="AV18" s="6" t="s">
        <v>346</v>
      </c>
      <c r="AW18" s="4" t="s">
        <v>505</v>
      </c>
      <c r="AX18" s="7" t="s">
        <v>532</v>
      </c>
      <c r="AY18" s="6" t="s">
        <v>439</v>
      </c>
      <c r="AZ18" s="2"/>
      <c r="BC18" s="2"/>
    </row>
    <row r="19" spans="7:55" x14ac:dyDescent="0.5">
      <c r="G19" t="s">
        <v>401</v>
      </c>
      <c r="H19" t="s">
        <v>593</v>
      </c>
      <c r="I19" t="s">
        <v>442</v>
      </c>
      <c r="L19" s="1" t="s">
        <v>582</v>
      </c>
      <c r="M19" s="1" t="s">
        <v>521</v>
      </c>
      <c r="N19" s="1" t="s">
        <v>556</v>
      </c>
      <c r="O19" s="1" t="s">
        <v>543</v>
      </c>
      <c r="P19" s="1" t="s">
        <v>594</v>
      </c>
      <c r="Q19" s="1" t="s">
        <v>595</v>
      </c>
      <c r="S19" s="1" t="s">
        <v>582</v>
      </c>
      <c r="T19" s="1" t="s">
        <v>521</v>
      </c>
      <c r="U19" s="1" t="s">
        <v>556</v>
      </c>
      <c r="V19" s="1" t="s">
        <v>543</v>
      </c>
      <c r="W19" s="1" t="s">
        <v>594</v>
      </c>
      <c r="X19" s="1" t="s">
        <v>595</v>
      </c>
      <c r="Y19" s="1" t="s">
        <v>484</v>
      </c>
      <c r="Z19" s="1" t="s">
        <v>596</v>
      </c>
      <c r="AA19" s="1" t="s">
        <v>597</v>
      </c>
      <c r="AB19" s="1" t="s">
        <v>556</v>
      </c>
      <c r="AC19" s="1" t="s">
        <v>557</v>
      </c>
      <c r="AD19" s="1" t="s">
        <v>489</v>
      </c>
      <c r="AE19" s="1" t="s">
        <v>598</v>
      </c>
      <c r="AF19" s="1" t="s">
        <v>107</v>
      </c>
      <c r="AG19" s="1" t="s">
        <v>557</v>
      </c>
      <c r="AL19" s="2" t="s">
        <v>599</v>
      </c>
      <c r="AM19" s="2" t="s">
        <v>589</v>
      </c>
      <c r="AN19" s="2" t="s">
        <v>107</v>
      </c>
      <c r="AO19" s="2" t="s">
        <v>600</v>
      </c>
      <c r="AP19" s="2" t="s">
        <v>574</v>
      </c>
      <c r="AQ19" s="2" t="s">
        <v>601</v>
      </c>
      <c r="AR19" s="2"/>
      <c r="AS19" s="2"/>
      <c r="AT19" s="4" t="s">
        <v>599</v>
      </c>
      <c r="AU19" s="6" t="s">
        <v>515</v>
      </c>
      <c r="AV19" s="7" t="s">
        <v>478</v>
      </c>
      <c r="AW19" s="4" t="s">
        <v>515</v>
      </c>
      <c r="AX19" s="6" t="s">
        <v>542</v>
      </c>
      <c r="AY19" s="6" t="s">
        <v>499</v>
      </c>
      <c r="AZ19" s="2"/>
      <c r="BC19" s="2"/>
    </row>
    <row r="20" spans="7:55" x14ac:dyDescent="0.5">
      <c r="G20" t="s">
        <v>419</v>
      </c>
      <c r="H20" t="s">
        <v>419</v>
      </c>
      <c r="I20" t="s">
        <v>419</v>
      </c>
      <c r="L20" s="1" t="s">
        <v>602</v>
      </c>
      <c r="M20" s="1" t="s">
        <v>603</v>
      </c>
      <c r="N20" s="1" t="s">
        <v>512</v>
      </c>
      <c r="O20" s="1" t="s">
        <v>525</v>
      </c>
      <c r="P20" s="1" t="s">
        <v>350</v>
      </c>
      <c r="Q20" s="1" t="s">
        <v>604</v>
      </c>
      <c r="S20" s="1" t="s">
        <v>602</v>
      </c>
      <c r="T20" s="1" t="s">
        <v>603</v>
      </c>
      <c r="U20" s="1" t="s">
        <v>512</v>
      </c>
      <c r="V20" s="1" t="s">
        <v>525</v>
      </c>
      <c r="W20" s="1" t="s">
        <v>350</v>
      </c>
      <c r="X20" s="1" t="s">
        <v>604</v>
      </c>
      <c r="Y20" s="1" t="s">
        <v>551</v>
      </c>
      <c r="Z20" s="1" t="s">
        <v>539</v>
      </c>
      <c r="AA20" s="1" t="s">
        <v>597</v>
      </c>
      <c r="AB20" s="1" t="s">
        <v>605</v>
      </c>
      <c r="AC20" s="1" t="s">
        <v>520</v>
      </c>
      <c r="AD20" s="1" t="s">
        <v>557</v>
      </c>
      <c r="AE20" s="1" t="s">
        <v>606</v>
      </c>
      <c r="AF20" s="1" t="s">
        <v>607</v>
      </c>
      <c r="AG20" s="1" t="s">
        <v>586</v>
      </c>
      <c r="AL20" s="2" t="s">
        <v>608</v>
      </c>
      <c r="AM20" s="2" t="s">
        <v>608</v>
      </c>
      <c r="AN20" s="2" t="s">
        <v>93</v>
      </c>
      <c r="AO20" s="2" t="s">
        <v>352</v>
      </c>
      <c r="AP20" s="2" t="s">
        <v>540</v>
      </c>
      <c r="AQ20" s="2" t="s">
        <v>367</v>
      </c>
      <c r="AR20" s="2"/>
      <c r="AS20" s="2"/>
      <c r="AT20" s="5" t="s">
        <v>608</v>
      </c>
      <c r="AU20" s="4" t="s">
        <v>489</v>
      </c>
      <c r="AV20" s="7" t="s">
        <v>484</v>
      </c>
      <c r="AW20" s="4" t="s">
        <v>525</v>
      </c>
      <c r="AX20" s="6" t="s">
        <v>464</v>
      </c>
      <c r="AY20" s="6" t="s">
        <v>598</v>
      </c>
      <c r="AZ20" s="2"/>
      <c r="BC20" s="2"/>
    </row>
    <row r="21" spans="7:55" x14ac:dyDescent="0.5">
      <c r="G21" t="s">
        <v>420</v>
      </c>
      <c r="H21" t="s">
        <v>420</v>
      </c>
      <c r="I21" t="s">
        <v>420</v>
      </c>
      <c r="L21" s="1" t="s">
        <v>357</v>
      </c>
      <c r="M21" s="1" t="s">
        <v>535</v>
      </c>
      <c r="N21" s="1" t="s">
        <v>609</v>
      </c>
      <c r="O21" s="1" t="s">
        <v>557</v>
      </c>
      <c r="P21" s="1" t="s">
        <v>514</v>
      </c>
      <c r="Q21" s="1" t="s">
        <v>553</v>
      </c>
      <c r="S21" s="1" t="s">
        <v>357</v>
      </c>
      <c r="T21" s="1" t="s">
        <v>535</v>
      </c>
      <c r="U21" s="1" t="s">
        <v>609</v>
      </c>
      <c r="V21" s="1" t="s">
        <v>557</v>
      </c>
      <c r="W21" s="1" t="s">
        <v>514</v>
      </c>
      <c r="X21" s="1" t="s">
        <v>553</v>
      </c>
      <c r="Y21" s="1" t="s">
        <v>466</v>
      </c>
      <c r="Z21" s="1" t="s">
        <v>582</v>
      </c>
      <c r="AA21" s="1" t="s">
        <v>610</v>
      </c>
      <c r="AB21" s="1" t="s">
        <v>611</v>
      </c>
      <c r="AC21" s="1" t="s">
        <v>556</v>
      </c>
      <c r="AD21" s="1" t="s">
        <v>520</v>
      </c>
      <c r="AE21" s="1" t="s">
        <v>612</v>
      </c>
      <c r="AF21" s="1" t="s">
        <v>613</v>
      </c>
      <c r="AG21" s="1" t="s">
        <v>614</v>
      </c>
      <c r="AL21" s="2" t="s">
        <v>615</v>
      </c>
      <c r="AM21" s="2" t="s">
        <v>616</v>
      </c>
      <c r="AN21" s="2" t="s">
        <v>617</v>
      </c>
      <c r="AO21" s="2" t="s">
        <v>582</v>
      </c>
      <c r="AP21" s="2" t="s">
        <v>498</v>
      </c>
      <c r="AQ21" s="2" t="s">
        <v>618</v>
      </c>
      <c r="AR21" s="2"/>
      <c r="AS21" s="2"/>
      <c r="AT21" s="4" t="s">
        <v>615</v>
      </c>
      <c r="AU21" s="6" t="s">
        <v>60</v>
      </c>
      <c r="AV21" s="6" t="s">
        <v>466</v>
      </c>
      <c r="AW21" s="4" t="s">
        <v>60</v>
      </c>
      <c r="AX21" s="7" t="s">
        <v>567</v>
      </c>
      <c r="AY21" s="6" t="s">
        <v>346</v>
      </c>
      <c r="AZ21" s="2"/>
      <c r="BC21" s="2"/>
    </row>
    <row r="22" spans="7:55" x14ac:dyDescent="0.5">
      <c r="G22" t="s">
        <v>421</v>
      </c>
      <c r="H22" t="s">
        <v>421</v>
      </c>
      <c r="I22" t="s">
        <v>421</v>
      </c>
      <c r="L22" s="1" t="s">
        <v>107</v>
      </c>
      <c r="M22" s="1" t="s">
        <v>568</v>
      </c>
      <c r="N22" s="1" t="s">
        <v>619</v>
      </c>
      <c r="O22" s="1" t="s">
        <v>619</v>
      </c>
      <c r="P22" s="1" t="s">
        <v>620</v>
      </c>
      <c r="Q22" s="1" t="s">
        <v>621</v>
      </c>
      <c r="S22" s="1" t="s">
        <v>107</v>
      </c>
      <c r="T22" s="1" t="s">
        <v>568</v>
      </c>
      <c r="U22" s="1" t="s">
        <v>619</v>
      </c>
      <c r="V22" s="1" t="s">
        <v>619</v>
      </c>
      <c r="W22" s="1" t="s">
        <v>620</v>
      </c>
      <c r="X22" s="1" t="s">
        <v>621</v>
      </c>
      <c r="Y22" s="1" t="s">
        <v>553</v>
      </c>
      <c r="Z22" s="1" t="s">
        <v>622</v>
      </c>
      <c r="AA22" s="1" t="s">
        <v>591</v>
      </c>
      <c r="AB22" s="1" t="s">
        <v>614</v>
      </c>
      <c r="AC22" s="1" t="s">
        <v>623</v>
      </c>
      <c r="AD22" s="1" t="s">
        <v>624</v>
      </c>
      <c r="AE22" s="1" t="s">
        <v>625</v>
      </c>
      <c r="AF22" s="1" t="s">
        <v>626</v>
      </c>
      <c r="AG22" s="1" t="s">
        <v>627</v>
      </c>
      <c r="AL22" s="2" t="s">
        <v>628</v>
      </c>
      <c r="AM22" s="2" t="s">
        <v>629</v>
      </c>
      <c r="AN22" s="2" t="s">
        <v>630</v>
      </c>
      <c r="AO22" s="2" t="s">
        <v>570</v>
      </c>
      <c r="AP22" s="2" t="s">
        <v>479</v>
      </c>
      <c r="AT22" s="4" t="s">
        <v>616</v>
      </c>
      <c r="AU22" s="6" t="s">
        <v>500</v>
      </c>
      <c r="AV22" s="7" t="s">
        <v>522</v>
      </c>
      <c r="AW22" s="4" t="s">
        <v>536</v>
      </c>
      <c r="AX22" s="7" t="s">
        <v>457</v>
      </c>
      <c r="AY22" s="6" t="s">
        <v>463</v>
      </c>
    </row>
    <row r="23" spans="7:55" x14ac:dyDescent="0.5">
      <c r="G23" t="s">
        <v>422</v>
      </c>
      <c r="H23" t="s">
        <v>422</v>
      </c>
      <c r="I23" t="s">
        <v>422</v>
      </c>
      <c r="L23" s="1" t="s">
        <v>555</v>
      </c>
      <c r="M23" s="1" t="s">
        <v>546</v>
      </c>
      <c r="N23" s="1" t="s">
        <v>619</v>
      </c>
      <c r="O23" s="1" t="s">
        <v>582</v>
      </c>
      <c r="P23" s="1" t="s">
        <v>351</v>
      </c>
      <c r="Q23" s="1" t="s">
        <v>483</v>
      </c>
      <c r="S23" s="1" t="s">
        <v>555</v>
      </c>
      <c r="T23" s="1" t="s">
        <v>546</v>
      </c>
      <c r="U23" s="1" t="s">
        <v>619</v>
      </c>
      <c r="V23" s="1" t="s">
        <v>582</v>
      </c>
      <c r="W23" s="1" t="s">
        <v>351</v>
      </c>
      <c r="X23" s="1" t="s">
        <v>483</v>
      </c>
      <c r="Y23" s="1" t="s">
        <v>348</v>
      </c>
      <c r="Z23" s="1" t="s">
        <v>535</v>
      </c>
      <c r="AA23" s="1" t="s">
        <v>631</v>
      </c>
      <c r="AB23" s="1" t="s">
        <v>632</v>
      </c>
      <c r="AC23" s="1" t="s">
        <v>633</v>
      </c>
      <c r="AD23" s="1" t="s">
        <v>623</v>
      </c>
      <c r="AE23" s="1" t="s">
        <v>634</v>
      </c>
      <c r="AF23" s="1" t="s">
        <v>538</v>
      </c>
      <c r="AG23" s="1" t="s">
        <v>635</v>
      </c>
      <c r="AL23" s="2" t="s">
        <v>636</v>
      </c>
      <c r="AM23" s="2" t="s">
        <v>613</v>
      </c>
      <c r="AN23" s="2" t="s">
        <v>361</v>
      </c>
      <c r="AO23" s="2" t="s">
        <v>637</v>
      </c>
      <c r="AP23" s="2" t="s">
        <v>638</v>
      </c>
      <c r="AT23" s="5" t="s">
        <v>628</v>
      </c>
      <c r="AU23" s="6" t="s">
        <v>512</v>
      </c>
      <c r="AV23" s="7" t="s">
        <v>483</v>
      </c>
      <c r="AW23" s="6" t="s">
        <v>560</v>
      </c>
      <c r="AX23" s="6" t="s">
        <v>439</v>
      </c>
      <c r="AY23" s="6" t="s">
        <v>478</v>
      </c>
    </row>
    <row r="24" spans="7:55" x14ac:dyDescent="0.5">
      <c r="G24" t="s">
        <v>423</v>
      </c>
      <c r="H24" t="s">
        <v>423</v>
      </c>
      <c r="I24" t="s">
        <v>423</v>
      </c>
      <c r="L24" s="1" t="s">
        <v>554</v>
      </c>
      <c r="M24" s="1" t="s">
        <v>357</v>
      </c>
      <c r="N24" s="1" t="s">
        <v>97</v>
      </c>
      <c r="O24" s="1" t="s">
        <v>639</v>
      </c>
      <c r="P24" s="1" t="s">
        <v>60</v>
      </c>
      <c r="Q24" s="1" t="s">
        <v>487</v>
      </c>
      <c r="S24" s="1" t="s">
        <v>554</v>
      </c>
      <c r="T24" s="1" t="s">
        <v>357</v>
      </c>
      <c r="U24" s="1" t="s">
        <v>97</v>
      </c>
      <c r="V24" s="1" t="s">
        <v>639</v>
      </c>
      <c r="W24" s="1" t="s">
        <v>60</v>
      </c>
      <c r="X24" s="1" t="s">
        <v>487</v>
      </c>
      <c r="Y24" s="1" t="s">
        <v>508</v>
      </c>
      <c r="Z24" s="1" t="s">
        <v>568</v>
      </c>
      <c r="AA24" s="1" t="s">
        <v>640</v>
      </c>
      <c r="AB24" s="1" t="s">
        <v>641</v>
      </c>
      <c r="AC24" s="1" t="s">
        <v>609</v>
      </c>
      <c r="AD24" s="1" t="s">
        <v>642</v>
      </c>
      <c r="AE24" s="1" t="s">
        <v>520</v>
      </c>
      <c r="AF24" s="1" t="s">
        <v>643</v>
      </c>
      <c r="AG24" s="1" t="s">
        <v>644</v>
      </c>
      <c r="AL24" s="2" t="s">
        <v>645</v>
      </c>
      <c r="AM24" s="2" t="s">
        <v>646</v>
      </c>
      <c r="AN24" s="2" t="s">
        <v>647</v>
      </c>
      <c r="AO24" s="2" t="s">
        <v>648</v>
      </c>
      <c r="AP24" s="2" t="s">
        <v>60</v>
      </c>
      <c r="AT24" s="4" t="s">
        <v>636</v>
      </c>
      <c r="AU24" s="6" t="s">
        <v>352</v>
      </c>
      <c r="AV24" s="6" t="s">
        <v>487</v>
      </c>
      <c r="AW24" s="5" t="s">
        <v>520</v>
      </c>
      <c r="AX24" s="6" t="s">
        <v>488</v>
      </c>
      <c r="AY24" s="6" t="s">
        <v>533</v>
      </c>
    </row>
    <row r="25" spans="7:55" x14ac:dyDescent="0.5">
      <c r="G25" t="s">
        <v>649</v>
      </c>
      <c r="H25" t="s">
        <v>649</v>
      </c>
      <c r="I25" t="s">
        <v>649</v>
      </c>
      <c r="L25" s="1" t="s">
        <v>650</v>
      </c>
      <c r="M25" s="1" t="s">
        <v>107</v>
      </c>
      <c r="N25" s="1" t="s">
        <v>639</v>
      </c>
      <c r="O25" s="1" t="s">
        <v>637</v>
      </c>
      <c r="P25" s="1" t="s">
        <v>586</v>
      </c>
      <c r="Q25" s="1" t="s">
        <v>651</v>
      </c>
      <c r="S25" s="1" t="s">
        <v>650</v>
      </c>
      <c r="T25" s="1" t="s">
        <v>107</v>
      </c>
      <c r="U25" s="1" t="s">
        <v>639</v>
      </c>
      <c r="V25" s="1" t="s">
        <v>637</v>
      </c>
      <c r="W25" s="1" t="s">
        <v>586</v>
      </c>
      <c r="X25" s="1" t="s">
        <v>651</v>
      </c>
      <c r="Y25" s="1" t="s">
        <v>652</v>
      </c>
      <c r="Z25" s="1" t="s">
        <v>653</v>
      </c>
      <c r="AA25" s="1" t="s">
        <v>352</v>
      </c>
      <c r="AB25" s="1" t="s">
        <v>654</v>
      </c>
      <c r="AC25" s="1" t="s">
        <v>97</v>
      </c>
      <c r="AD25" s="1" t="s">
        <v>357</v>
      </c>
      <c r="AE25" s="1" t="s">
        <v>655</v>
      </c>
      <c r="AF25" s="1" t="s">
        <v>645</v>
      </c>
      <c r="AG25" s="1" t="s">
        <v>360</v>
      </c>
      <c r="AL25" s="2" t="s">
        <v>646</v>
      </c>
      <c r="AM25" s="2" t="s">
        <v>656</v>
      </c>
      <c r="AN25" s="2" t="s">
        <v>364</v>
      </c>
      <c r="AO25" s="2" t="s">
        <v>657</v>
      </c>
      <c r="AP25" s="2" t="s">
        <v>609</v>
      </c>
      <c r="AT25" s="5" t="s">
        <v>645</v>
      </c>
      <c r="AU25" s="6" t="s">
        <v>582</v>
      </c>
      <c r="AV25" s="7" t="s">
        <v>504</v>
      </c>
      <c r="AW25" s="6" t="s">
        <v>583</v>
      </c>
      <c r="AX25" s="6" t="s">
        <v>588</v>
      </c>
      <c r="AY25" s="6" t="s">
        <v>544</v>
      </c>
    </row>
    <row r="26" spans="7:55" x14ac:dyDescent="0.5">
      <c r="L26" s="1" t="s">
        <v>599</v>
      </c>
      <c r="M26" s="1" t="s">
        <v>658</v>
      </c>
      <c r="N26" s="1" t="s">
        <v>555</v>
      </c>
      <c r="O26" s="1" t="s">
        <v>659</v>
      </c>
      <c r="P26" s="1" t="s">
        <v>655</v>
      </c>
      <c r="Q26" s="1" t="s">
        <v>504</v>
      </c>
      <c r="S26" s="1" t="s">
        <v>599</v>
      </c>
      <c r="T26" s="1" t="s">
        <v>658</v>
      </c>
      <c r="U26" s="1" t="s">
        <v>555</v>
      </c>
      <c r="V26" s="1" t="s">
        <v>659</v>
      </c>
      <c r="W26" s="1" t="s">
        <v>655</v>
      </c>
      <c r="X26" s="1" t="s">
        <v>504</v>
      </c>
      <c r="Y26" s="1" t="s">
        <v>479</v>
      </c>
      <c r="Z26" s="1" t="s">
        <v>357</v>
      </c>
      <c r="AA26" s="1" t="s">
        <v>660</v>
      </c>
      <c r="AB26" s="1" t="s">
        <v>357</v>
      </c>
      <c r="AC26" s="1" t="s">
        <v>582</v>
      </c>
      <c r="AD26" s="1" t="s">
        <v>658</v>
      </c>
      <c r="AE26" s="1" t="s">
        <v>623</v>
      </c>
      <c r="AF26" s="1" t="s">
        <v>646</v>
      </c>
      <c r="AG26" s="1" t="s">
        <v>661</v>
      </c>
      <c r="AL26" s="2" t="s">
        <v>646</v>
      </c>
      <c r="AM26" s="2" t="s">
        <v>662</v>
      </c>
      <c r="AN26" s="2" t="s">
        <v>656</v>
      </c>
      <c r="AO26" s="2" t="s">
        <v>608</v>
      </c>
      <c r="AP26" s="2" t="s">
        <v>97</v>
      </c>
      <c r="AT26" s="4" t="s">
        <v>646</v>
      </c>
      <c r="AU26" s="6" t="s">
        <v>521</v>
      </c>
      <c r="AV26" s="6" t="s">
        <v>540</v>
      </c>
      <c r="AW26" s="7" t="s">
        <v>556</v>
      </c>
      <c r="AX26" s="6" t="s">
        <v>499</v>
      </c>
      <c r="AY26" s="6" t="s">
        <v>487</v>
      </c>
    </row>
    <row r="27" spans="7:55" x14ac:dyDescent="0.5">
      <c r="L27" s="1" t="s">
        <v>663</v>
      </c>
      <c r="M27" s="1" t="s">
        <v>570</v>
      </c>
      <c r="N27" s="1" t="s">
        <v>658</v>
      </c>
      <c r="O27" s="1" t="s">
        <v>648</v>
      </c>
      <c r="P27" s="1" t="s">
        <v>534</v>
      </c>
      <c r="Q27" s="1" t="s">
        <v>574</v>
      </c>
      <c r="S27" s="1" t="s">
        <v>663</v>
      </c>
      <c r="T27" s="1" t="s">
        <v>570</v>
      </c>
      <c r="U27" s="1" t="s">
        <v>658</v>
      </c>
      <c r="V27" s="1" t="s">
        <v>648</v>
      </c>
      <c r="W27" s="1" t="s">
        <v>534</v>
      </c>
      <c r="X27" s="1" t="s">
        <v>574</v>
      </c>
      <c r="Y27" s="1" t="s">
        <v>561</v>
      </c>
      <c r="Z27" s="1" t="s">
        <v>107</v>
      </c>
      <c r="AA27" s="1" t="s">
        <v>664</v>
      </c>
      <c r="AB27" s="1" t="s">
        <v>64</v>
      </c>
      <c r="AC27" s="1" t="s">
        <v>653</v>
      </c>
      <c r="AD27" s="1" t="s">
        <v>665</v>
      </c>
      <c r="AE27" s="1" t="s">
        <v>609</v>
      </c>
      <c r="AF27" s="1" t="s">
        <v>666</v>
      </c>
      <c r="AG27" s="1" t="s">
        <v>667</v>
      </c>
      <c r="AL27" s="2" t="s">
        <v>668</v>
      </c>
      <c r="AM27" s="2" t="s">
        <v>669</v>
      </c>
      <c r="AN27" s="2" t="s">
        <v>670</v>
      </c>
      <c r="AO27" s="2" t="s">
        <v>671</v>
      </c>
      <c r="AP27" s="2" t="s">
        <v>639</v>
      </c>
      <c r="AT27" s="9" t="s">
        <v>668</v>
      </c>
      <c r="AU27" s="6" t="s">
        <v>603</v>
      </c>
      <c r="AV27" s="6" t="s">
        <v>479</v>
      </c>
      <c r="AW27" s="5" t="s">
        <v>539</v>
      </c>
      <c r="AX27" s="7" t="s">
        <v>510</v>
      </c>
      <c r="AY27" s="6" t="s">
        <v>634</v>
      </c>
    </row>
    <row r="28" spans="7:55" x14ac:dyDescent="0.5">
      <c r="L28" s="1" t="s">
        <v>608</v>
      </c>
      <c r="M28" s="1" t="s">
        <v>93</v>
      </c>
      <c r="N28" s="1" t="s">
        <v>93</v>
      </c>
      <c r="O28" s="1" t="s">
        <v>554</v>
      </c>
      <c r="P28" s="1" t="s">
        <v>352</v>
      </c>
      <c r="Q28" s="1" t="s">
        <v>540</v>
      </c>
      <c r="S28" s="1" t="s">
        <v>608</v>
      </c>
      <c r="T28" s="1" t="s">
        <v>93</v>
      </c>
      <c r="U28" s="1" t="s">
        <v>93</v>
      </c>
      <c r="V28" s="1" t="s">
        <v>554</v>
      </c>
      <c r="W28" s="1" t="s">
        <v>352</v>
      </c>
      <c r="X28" s="1" t="s">
        <v>540</v>
      </c>
      <c r="Y28" s="1" t="s">
        <v>529</v>
      </c>
      <c r="Z28" s="1" t="s">
        <v>637</v>
      </c>
      <c r="AA28" s="1" t="s">
        <v>97</v>
      </c>
      <c r="AB28" s="1" t="s">
        <v>672</v>
      </c>
      <c r="AC28" s="1" t="s">
        <v>357</v>
      </c>
      <c r="AD28" s="1" t="s">
        <v>673</v>
      </c>
      <c r="AE28" s="1" t="s">
        <v>664</v>
      </c>
      <c r="AF28" s="1" t="s">
        <v>656</v>
      </c>
      <c r="AG28" s="1" t="s">
        <v>674</v>
      </c>
      <c r="AL28" s="2"/>
      <c r="AM28" s="2"/>
      <c r="AN28" s="2" t="s">
        <v>675</v>
      </c>
      <c r="AO28" s="2" t="s">
        <v>613</v>
      </c>
      <c r="AP28" s="2" t="s">
        <v>521</v>
      </c>
      <c r="AT28" s="9"/>
      <c r="AU28" s="6" t="s">
        <v>535</v>
      </c>
      <c r="AV28" s="7" t="s">
        <v>350</v>
      </c>
      <c r="AW28" s="4" t="s">
        <v>580</v>
      </c>
      <c r="AX28" s="6" t="s">
        <v>598</v>
      </c>
      <c r="AY28" s="6" t="s">
        <v>517</v>
      </c>
    </row>
    <row r="29" spans="7:55" x14ac:dyDescent="0.5">
      <c r="L29" s="1" t="s">
        <v>676</v>
      </c>
      <c r="M29" s="1" t="s">
        <v>659</v>
      </c>
      <c r="N29" s="1" t="s">
        <v>648</v>
      </c>
      <c r="O29" s="1" t="s">
        <v>677</v>
      </c>
      <c r="P29" s="1" t="s">
        <v>678</v>
      </c>
      <c r="Q29" s="1" t="s">
        <v>498</v>
      </c>
      <c r="S29" s="1" t="s">
        <v>676</v>
      </c>
      <c r="T29" s="1" t="s">
        <v>659</v>
      </c>
      <c r="U29" s="1" t="s">
        <v>648</v>
      </c>
      <c r="V29" s="1" t="s">
        <v>677</v>
      </c>
      <c r="W29" s="1" t="s">
        <v>678</v>
      </c>
      <c r="X29" s="1" t="s">
        <v>498</v>
      </c>
      <c r="Y29" s="1" t="s">
        <v>550</v>
      </c>
      <c r="Z29" s="1" t="s">
        <v>679</v>
      </c>
      <c r="AA29" s="1" t="s">
        <v>568</v>
      </c>
      <c r="AB29" s="1" t="s">
        <v>637</v>
      </c>
      <c r="AC29" s="1" t="s">
        <v>680</v>
      </c>
      <c r="AD29" s="1" t="s">
        <v>681</v>
      </c>
      <c r="AE29" s="1" t="s">
        <v>360</v>
      </c>
      <c r="AF29" s="1" t="s">
        <v>682</v>
      </c>
      <c r="AG29" s="1" t="s">
        <v>370</v>
      </c>
      <c r="AL29" s="2"/>
      <c r="AN29" s="2" t="s">
        <v>683</v>
      </c>
      <c r="AO29" s="2" t="s">
        <v>684</v>
      </c>
      <c r="AP29" s="2" t="s">
        <v>641</v>
      </c>
      <c r="AU29" s="6" t="s">
        <v>568</v>
      </c>
      <c r="AV29" s="6" t="s">
        <v>537</v>
      </c>
      <c r="AW29" s="6" t="s">
        <v>512</v>
      </c>
      <c r="AX29" s="6" t="s">
        <v>346</v>
      </c>
      <c r="AY29" s="6" t="s">
        <v>498</v>
      </c>
    </row>
    <row r="30" spans="7:55" x14ac:dyDescent="0.5">
      <c r="L30" s="1" t="s">
        <v>671</v>
      </c>
      <c r="M30" s="1" t="s">
        <v>569</v>
      </c>
      <c r="N30" s="1" t="s">
        <v>554</v>
      </c>
      <c r="O30" s="1" t="s">
        <v>361</v>
      </c>
      <c r="P30" s="1" t="s">
        <v>685</v>
      </c>
      <c r="Q30" s="1" t="s">
        <v>498</v>
      </c>
      <c r="S30" s="1" t="s">
        <v>671</v>
      </c>
      <c r="T30" s="1" t="s">
        <v>569</v>
      </c>
      <c r="U30" s="1" t="s">
        <v>554</v>
      </c>
      <c r="V30" s="1" t="s">
        <v>361</v>
      </c>
      <c r="W30" s="1" t="s">
        <v>685</v>
      </c>
      <c r="X30" s="1" t="s">
        <v>498</v>
      </c>
      <c r="Y30" s="1" t="s">
        <v>686</v>
      </c>
      <c r="Z30" s="1" t="s">
        <v>659</v>
      </c>
      <c r="AA30" s="1" t="s">
        <v>687</v>
      </c>
      <c r="AB30" s="1" t="s">
        <v>688</v>
      </c>
      <c r="AC30" s="1" t="s">
        <v>689</v>
      </c>
      <c r="AD30" s="1" t="s">
        <v>636</v>
      </c>
      <c r="AE30" s="1" t="s">
        <v>690</v>
      </c>
      <c r="AL30" s="2"/>
      <c r="AN30" s="2" t="s">
        <v>691</v>
      </c>
      <c r="AO30" s="2" t="s">
        <v>692</v>
      </c>
      <c r="AP30" s="2" t="s">
        <v>354</v>
      </c>
      <c r="AU30" s="6" t="s">
        <v>546</v>
      </c>
      <c r="AV30" s="6" t="s">
        <v>561</v>
      </c>
      <c r="AW30" s="7" t="s">
        <v>609</v>
      </c>
      <c r="AX30" s="7" t="s">
        <v>463</v>
      </c>
      <c r="AY30" s="6" t="s">
        <v>505</v>
      </c>
    </row>
    <row r="31" spans="7:55" x14ac:dyDescent="0.5">
      <c r="L31" s="1" t="s">
        <v>630</v>
      </c>
      <c r="M31" s="1" t="s">
        <v>673</v>
      </c>
      <c r="N31" s="1" t="s">
        <v>617</v>
      </c>
      <c r="O31" s="1" t="s">
        <v>613</v>
      </c>
      <c r="P31" s="1" t="s">
        <v>354</v>
      </c>
      <c r="Q31" s="1" t="s">
        <v>505</v>
      </c>
      <c r="S31" s="1" t="s">
        <v>630</v>
      </c>
      <c r="T31" s="1" t="s">
        <v>673</v>
      </c>
      <c r="U31" s="1" t="s">
        <v>617</v>
      </c>
      <c r="V31" s="1" t="s">
        <v>613</v>
      </c>
      <c r="W31" s="1" t="s">
        <v>354</v>
      </c>
      <c r="X31" s="1" t="s">
        <v>505</v>
      </c>
      <c r="Y31" s="1" t="s">
        <v>655</v>
      </c>
      <c r="Z31" s="1" t="s">
        <v>689</v>
      </c>
      <c r="AA31" s="1" t="s">
        <v>356</v>
      </c>
      <c r="AB31" s="1" t="s">
        <v>689</v>
      </c>
      <c r="AC31" s="1" t="s">
        <v>608</v>
      </c>
      <c r="AD31" s="1" t="s">
        <v>693</v>
      </c>
      <c r="AE31" s="1" t="s">
        <v>694</v>
      </c>
      <c r="AL31" s="2"/>
      <c r="AN31" s="2" t="s">
        <v>368</v>
      </c>
      <c r="AO31" s="2" t="s">
        <v>695</v>
      </c>
      <c r="AP31" s="2" t="s">
        <v>696</v>
      </c>
      <c r="AU31" s="6" t="s">
        <v>357</v>
      </c>
      <c r="AV31" s="7" t="s">
        <v>505</v>
      </c>
      <c r="AW31" s="6" t="s">
        <v>619</v>
      </c>
      <c r="AX31" s="7" t="s">
        <v>478</v>
      </c>
      <c r="AY31" s="6" t="s">
        <v>543</v>
      </c>
    </row>
    <row r="32" spans="7:55" x14ac:dyDescent="0.5">
      <c r="L32" s="1" t="s">
        <v>613</v>
      </c>
      <c r="M32" s="1" t="s">
        <v>616</v>
      </c>
      <c r="N32" s="1" t="s">
        <v>359</v>
      </c>
      <c r="O32" s="1" t="s">
        <v>692</v>
      </c>
      <c r="P32" s="1" t="s">
        <v>355</v>
      </c>
      <c r="Q32" s="1" t="s">
        <v>489</v>
      </c>
      <c r="S32" s="1" t="s">
        <v>613</v>
      </c>
      <c r="T32" s="1" t="s">
        <v>616</v>
      </c>
      <c r="U32" s="1" t="s">
        <v>359</v>
      </c>
      <c r="V32" s="1" t="s">
        <v>692</v>
      </c>
      <c r="W32" s="1" t="s">
        <v>355</v>
      </c>
      <c r="X32" s="1" t="s">
        <v>489</v>
      </c>
      <c r="Y32" s="1" t="s">
        <v>623</v>
      </c>
      <c r="Z32" s="1" t="s">
        <v>697</v>
      </c>
      <c r="AA32" s="1" t="s">
        <v>602</v>
      </c>
      <c r="AB32" s="1" t="s">
        <v>698</v>
      </c>
      <c r="AC32" s="1" t="s">
        <v>699</v>
      </c>
      <c r="AD32" s="1" t="s">
        <v>666</v>
      </c>
      <c r="AE32" s="1" t="s">
        <v>700</v>
      </c>
      <c r="AL32" s="2"/>
      <c r="AO32" s="2" t="s">
        <v>701</v>
      </c>
      <c r="AP32" s="2" t="s">
        <v>702</v>
      </c>
      <c r="AU32" s="6" t="s">
        <v>107</v>
      </c>
      <c r="AV32" s="7" t="s">
        <v>573</v>
      </c>
      <c r="AW32" s="6" t="s">
        <v>97</v>
      </c>
      <c r="AX32" s="6" t="s">
        <v>533</v>
      </c>
      <c r="AY32" s="6" t="s">
        <v>525</v>
      </c>
    </row>
    <row r="33" spans="12:51" x14ac:dyDescent="0.5">
      <c r="L33" s="1" t="s">
        <v>703</v>
      </c>
      <c r="M33" s="1" t="s">
        <v>703</v>
      </c>
      <c r="N33" s="1" t="s">
        <v>704</v>
      </c>
      <c r="O33" s="1" t="s">
        <v>645</v>
      </c>
      <c r="P33" s="1" t="s">
        <v>356</v>
      </c>
      <c r="Q33" s="1" t="s">
        <v>520</v>
      </c>
      <c r="S33" s="1" t="s">
        <v>703</v>
      </c>
      <c r="T33" s="1" t="s">
        <v>703</v>
      </c>
      <c r="U33" s="1" t="s">
        <v>704</v>
      </c>
      <c r="V33" s="1" t="s">
        <v>645</v>
      </c>
      <c r="W33" s="1" t="s">
        <v>356</v>
      </c>
      <c r="X33" s="1" t="s">
        <v>520</v>
      </c>
      <c r="Y33" s="1" t="s">
        <v>705</v>
      </c>
      <c r="Z33" s="1" t="s">
        <v>617</v>
      </c>
      <c r="AA33" s="1" t="s">
        <v>357</v>
      </c>
      <c r="AB33" s="1" t="s">
        <v>706</v>
      </c>
      <c r="AC33" s="1" t="s">
        <v>613</v>
      </c>
      <c r="AD33" s="1" t="s">
        <v>364</v>
      </c>
      <c r="AE33" s="1" t="s">
        <v>707</v>
      </c>
      <c r="AO33" s="2" t="s">
        <v>708</v>
      </c>
      <c r="AP33" s="2" t="s">
        <v>709</v>
      </c>
      <c r="AU33" s="6" t="s">
        <v>555</v>
      </c>
      <c r="AV33" s="6" t="s">
        <v>515</v>
      </c>
      <c r="AW33" s="7" t="s">
        <v>639</v>
      </c>
      <c r="AX33" s="6" t="s">
        <v>544</v>
      </c>
      <c r="AY33" s="6" t="s">
        <v>557</v>
      </c>
    </row>
    <row r="34" spans="12:51" x14ac:dyDescent="0.5">
      <c r="L34" s="1" t="s">
        <v>692</v>
      </c>
      <c r="M34" s="1" t="s">
        <v>666</v>
      </c>
      <c r="N34" s="1" t="s">
        <v>630</v>
      </c>
      <c r="O34" s="1" t="s">
        <v>646</v>
      </c>
      <c r="P34" s="1" t="s">
        <v>357</v>
      </c>
      <c r="Q34" s="1" t="s">
        <v>655</v>
      </c>
      <c r="S34" s="1" t="s">
        <v>692</v>
      </c>
      <c r="T34" s="1" t="s">
        <v>666</v>
      </c>
      <c r="U34" s="1" t="s">
        <v>630</v>
      </c>
      <c r="V34" s="1" t="s">
        <v>646</v>
      </c>
      <c r="W34" s="1" t="s">
        <v>357</v>
      </c>
      <c r="X34" s="1" t="s">
        <v>655</v>
      </c>
      <c r="Y34" s="1" t="s">
        <v>356</v>
      </c>
      <c r="Z34" s="1" t="s">
        <v>482</v>
      </c>
      <c r="AA34" s="1" t="s">
        <v>710</v>
      </c>
      <c r="AB34" s="1" t="s">
        <v>671</v>
      </c>
      <c r="AC34" s="1" t="s">
        <v>711</v>
      </c>
      <c r="AD34" s="1" t="s">
        <v>670</v>
      </c>
      <c r="AE34" s="1" t="s">
        <v>670</v>
      </c>
      <c r="AO34" s="2" t="s">
        <v>712</v>
      </c>
      <c r="AP34" s="2" t="s">
        <v>713</v>
      </c>
      <c r="AU34" s="6" t="s">
        <v>658</v>
      </c>
      <c r="AV34" s="6" t="s">
        <v>547</v>
      </c>
      <c r="AW34" s="5" t="s">
        <v>590</v>
      </c>
      <c r="AX34" s="6" t="s">
        <v>606</v>
      </c>
      <c r="AY34" s="6" t="s">
        <v>586</v>
      </c>
    </row>
    <row r="35" spans="12:51" x14ac:dyDescent="0.5">
      <c r="L35" s="1" t="s">
        <v>714</v>
      </c>
      <c r="M35" s="1" t="s">
        <v>715</v>
      </c>
      <c r="N35" s="1" t="s">
        <v>716</v>
      </c>
      <c r="O35" s="1" t="s">
        <v>712</v>
      </c>
      <c r="P35" s="1" t="s">
        <v>570</v>
      </c>
      <c r="Q35" s="1" t="s">
        <v>623</v>
      </c>
      <c r="S35" s="1" t="s">
        <v>714</v>
      </c>
      <c r="T35" s="1" t="s">
        <v>715</v>
      </c>
      <c r="U35" s="1" t="s">
        <v>716</v>
      </c>
      <c r="V35" s="1" t="s">
        <v>712</v>
      </c>
      <c r="W35" s="1" t="s">
        <v>570</v>
      </c>
      <c r="X35" s="1" t="s">
        <v>623</v>
      </c>
      <c r="Y35" s="1" t="s">
        <v>357</v>
      </c>
      <c r="Z35" s="1" t="s">
        <v>717</v>
      </c>
      <c r="AA35" s="1" t="s">
        <v>718</v>
      </c>
      <c r="AB35" s="1" t="s">
        <v>719</v>
      </c>
      <c r="AC35" s="1" t="s">
        <v>714</v>
      </c>
      <c r="AE35" s="1" t="s">
        <v>720</v>
      </c>
      <c r="AO35" s="2" t="s">
        <v>559</v>
      </c>
      <c r="AP35" s="2" t="s">
        <v>627</v>
      </c>
      <c r="AU35" s="6" t="s">
        <v>570</v>
      </c>
      <c r="AV35" s="7" t="s">
        <v>543</v>
      </c>
      <c r="AW35" s="4" t="s">
        <v>107</v>
      </c>
      <c r="AX35" s="7" t="s">
        <v>553</v>
      </c>
      <c r="AY35" s="6" t="s">
        <v>520</v>
      </c>
    </row>
    <row r="36" spans="12:51" x14ac:dyDescent="0.5">
      <c r="L36" s="1" t="s">
        <v>645</v>
      </c>
      <c r="M36" s="1" t="s">
        <v>656</v>
      </c>
      <c r="N36" s="1" t="s">
        <v>647</v>
      </c>
      <c r="O36" s="1" t="s">
        <v>721</v>
      </c>
      <c r="P36" s="1" t="s">
        <v>679</v>
      </c>
      <c r="Q36" s="1" t="s">
        <v>352</v>
      </c>
      <c r="S36" s="1" t="s">
        <v>645</v>
      </c>
      <c r="T36" s="1" t="s">
        <v>656</v>
      </c>
      <c r="U36" s="1" t="s">
        <v>647</v>
      </c>
      <c r="V36" s="1" t="s">
        <v>721</v>
      </c>
      <c r="W36" s="1" t="s">
        <v>679</v>
      </c>
      <c r="X36" s="1" t="s">
        <v>352</v>
      </c>
      <c r="Y36" s="1" t="s">
        <v>637</v>
      </c>
      <c r="Z36" s="1" t="s">
        <v>722</v>
      </c>
      <c r="AA36" s="1" t="s">
        <v>723</v>
      </c>
      <c r="AB36" s="1" t="s">
        <v>613</v>
      </c>
      <c r="AC36" s="1" t="s">
        <v>670</v>
      </c>
      <c r="AE36" s="1" t="s">
        <v>667</v>
      </c>
      <c r="AP36" s="2" t="s">
        <v>677</v>
      </c>
      <c r="AU36" s="6" t="s">
        <v>579</v>
      </c>
      <c r="AV36" s="6" t="s">
        <v>525</v>
      </c>
      <c r="AW36" s="6" t="s">
        <v>555</v>
      </c>
      <c r="AX36" s="7" t="s">
        <v>612</v>
      </c>
      <c r="AY36" s="6" t="s">
        <v>623</v>
      </c>
    </row>
    <row r="37" spans="12:51" x14ac:dyDescent="0.5">
      <c r="L37" s="1" t="s">
        <v>724</v>
      </c>
      <c r="M37" s="1" t="s">
        <v>662</v>
      </c>
      <c r="N37" s="1" t="s">
        <v>725</v>
      </c>
      <c r="P37" s="1" t="s">
        <v>93</v>
      </c>
      <c r="Q37" s="1" t="s">
        <v>609</v>
      </c>
      <c r="S37" s="1" t="s">
        <v>724</v>
      </c>
      <c r="T37" s="1" t="s">
        <v>662</v>
      </c>
      <c r="U37" s="1" t="s">
        <v>725</v>
      </c>
      <c r="W37" s="1" t="s">
        <v>93</v>
      </c>
      <c r="X37" s="1" t="s">
        <v>609</v>
      </c>
      <c r="Y37" s="1" t="s">
        <v>726</v>
      </c>
      <c r="Z37" s="1" t="s">
        <v>645</v>
      </c>
      <c r="AA37" s="1" t="s">
        <v>93</v>
      </c>
      <c r="AB37" s="1" t="s">
        <v>692</v>
      </c>
      <c r="AC37" s="1" t="s">
        <v>661</v>
      </c>
      <c r="AE37" s="1" t="s">
        <v>727</v>
      </c>
      <c r="AP37" s="2" t="s">
        <v>728</v>
      </c>
      <c r="AU37" s="6" t="s">
        <v>93</v>
      </c>
      <c r="AV37" s="6" t="s">
        <v>60</v>
      </c>
      <c r="AW37" s="7" t="s">
        <v>658</v>
      </c>
      <c r="AX37" s="7" t="s">
        <v>566</v>
      </c>
      <c r="AY37" s="6" t="s">
        <v>609</v>
      </c>
    </row>
    <row r="38" spans="12:51" x14ac:dyDescent="0.5">
      <c r="L38" s="1" t="s">
        <v>729</v>
      </c>
      <c r="M38" s="1" t="s">
        <v>670</v>
      </c>
      <c r="N38" s="1" t="s">
        <v>646</v>
      </c>
      <c r="P38" s="1" t="s">
        <v>730</v>
      </c>
      <c r="Q38" s="1" t="s">
        <v>97</v>
      </c>
      <c r="S38" s="1" t="s">
        <v>729</v>
      </c>
      <c r="T38" s="1" t="s">
        <v>670</v>
      </c>
      <c r="U38" s="1" t="s">
        <v>646</v>
      </c>
      <c r="W38" s="1" t="s">
        <v>730</v>
      </c>
      <c r="X38" s="1" t="s">
        <v>97</v>
      </c>
      <c r="Y38" s="1" t="s">
        <v>731</v>
      </c>
      <c r="Z38" s="1" t="s">
        <v>729</v>
      </c>
      <c r="AA38" s="1" t="s">
        <v>732</v>
      </c>
      <c r="AB38" s="1" t="s">
        <v>733</v>
      </c>
      <c r="AC38" s="1" t="s">
        <v>727</v>
      </c>
      <c r="AE38" s="1" t="s">
        <v>691</v>
      </c>
      <c r="AP38" s="2" t="s">
        <v>734</v>
      </c>
      <c r="AU38" s="6" t="s">
        <v>659</v>
      </c>
      <c r="AV38" s="4" t="s">
        <v>557</v>
      </c>
      <c r="AW38" s="4" t="s">
        <v>93</v>
      </c>
      <c r="AX38" s="7" t="s">
        <v>625</v>
      </c>
      <c r="AY38" s="6" t="s">
        <v>664</v>
      </c>
    </row>
    <row r="39" spans="12:51" x14ac:dyDescent="0.5">
      <c r="L39" s="1" t="s">
        <v>646</v>
      </c>
      <c r="M39" s="1" t="s">
        <v>712</v>
      </c>
      <c r="N39" s="1" t="s">
        <v>715</v>
      </c>
      <c r="P39" s="1" t="s">
        <v>735</v>
      </c>
      <c r="Q39" s="1" t="s">
        <v>97</v>
      </c>
      <c r="S39" s="1" t="s">
        <v>646</v>
      </c>
      <c r="T39" s="1" t="s">
        <v>712</v>
      </c>
      <c r="U39" s="1" t="s">
        <v>715</v>
      </c>
      <c r="W39" s="1" t="s">
        <v>735</v>
      </c>
      <c r="X39" s="1" t="s">
        <v>97</v>
      </c>
      <c r="Y39" s="1" t="s">
        <v>736</v>
      </c>
      <c r="Z39" s="1" t="s">
        <v>662</v>
      </c>
      <c r="AA39" s="1" t="s">
        <v>569</v>
      </c>
      <c r="AB39" s="1" t="s">
        <v>645</v>
      </c>
      <c r="AC39" s="1" t="s">
        <v>368</v>
      </c>
      <c r="AE39" s="1" t="s">
        <v>97</v>
      </c>
      <c r="AP39" s="2" t="s">
        <v>607</v>
      </c>
      <c r="AU39" s="6" t="s">
        <v>569</v>
      </c>
      <c r="AV39" s="5" t="s">
        <v>564</v>
      </c>
      <c r="AW39" s="7" t="s">
        <v>648</v>
      </c>
      <c r="AX39" s="7" t="s">
        <v>487</v>
      </c>
      <c r="AY39" s="6" t="s">
        <v>552</v>
      </c>
    </row>
    <row r="40" spans="12:51" x14ac:dyDescent="0.5">
      <c r="L40" s="1" t="s">
        <v>666</v>
      </c>
      <c r="M40" s="1" t="s">
        <v>669</v>
      </c>
      <c r="N40" s="1" t="s">
        <v>364</v>
      </c>
      <c r="P40" s="1" t="s">
        <v>726</v>
      </c>
      <c r="Q40" s="1" t="s">
        <v>737</v>
      </c>
      <c r="S40" s="1" t="s">
        <v>666</v>
      </c>
      <c r="T40" s="1" t="s">
        <v>669</v>
      </c>
      <c r="U40" s="1" t="s">
        <v>364</v>
      </c>
      <c r="W40" s="1" t="s">
        <v>726</v>
      </c>
      <c r="X40" s="1" t="s">
        <v>737</v>
      </c>
      <c r="Y40" s="1" t="s">
        <v>736</v>
      </c>
      <c r="Z40" s="1" t="s">
        <v>738</v>
      </c>
      <c r="AA40" s="1" t="s">
        <v>689</v>
      </c>
      <c r="AB40" s="1" t="s">
        <v>739</v>
      </c>
      <c r="AC40" s="1" t="s">
        <v>740</v>
      </c>
      <c r="AP40" s="2" t="s">
        <v>741</v>
      </c>
      <c r="AU40" s="6" t="s">
        <v>589</v>
      </c>
      <c r="AV40" s="7" t="s">
        <v>536</v>
      </c>
      <c r="AW40" s="6" t="s">
        <v>554</v>
      </c>
      <c r="AX40" s="7" t="s">
        <v>634</v>
      </c>
      <c r="AY40" s="6" t="s">
        <v>568</v>
      </c>
    </row>
    <row r="41" spans="12:51" x14ac:dyDescent="0.5">
      <c r="L41" s="1" t="s">
        <v>742</v>
      </c>
      <c r="M41" s="1" t="s">
        <v>367</v>
      </c>
      <c r="N41" s="1" t="s">
        <v>683</v>
      </c>
      <c r="P41" s="1" t="s">
        <v>617</v>
      </c>
      <c r="Q41" s="1" t="s">
        <v>743</v>
      </c>
      <c r="S41" s="1" t="s">
        <v>742</v>
      </c>
      <c r="T41" s="1" t="s">
        <v>367</v>
      </c>
      <c r="U41" s="1" t="s">
        <v>683</v>
      </c>
      <c r="W41" s="1" t="s">
        <v>617</v>
      </c>
      <c r="X41" s="1" t="s">
        <v>743</v>
      </c>
      <c r="Y41" s="1" t="s">
        <v>671</v>
      </c>
      <c r="AA41" s="1" t="s">
        <v>697</v>
      </c>
      <c r="AB41" s="1" t="s">
        <v>744</v>
      </c>
      <c r="AP41" s="2" t="s">
        <v>745</v>
      </c>
      <c r="AU41" s="6" t="s">
        <v>673</v>
      </c>
      <c r="AV41" s="6" t="s">
        <v>560</v>
      </c>
      <c r="AW41" s="7" t="s">
        <v>617</v>
      </c>
      <c r="AX41" s="6" t="s">
        <v>517</v>
      </c>
      <c r="AY41" s="6" t="s">
        <v>354</v>
      </c>
    </row>
    <row r="42" spans="12:51" x14ac:dyDescent="0.5">
      <c r="L42" s="1" t="s">
        <v>662</v>
      </c>
      <c r="M42" s="1" t="s">
        <v>746</v>
      </c>
      <c r="N42" s="1" t="s">
        <v>368</v>
      </c>
      <c r="P42" s="1" t="s">
        <v>482</v>
      </c>
      <c r="Q42" s="1" t="s">
        <v>713</v>
      </c>
      <c r="S42" s="1" t="s">
        <v>662</v>
      </c>
      <c r="T42" s="1" t="s">
        <v>746</v>
      </c>
      <c r="U42" s="1" t="s">
        <v>368</v>
      </c>
      <c r="W42" s="1" t="s">
        <v>482</v>
      </c>
      <c r="X42" s="1" t="s">
        <v>713</v>
      </c>
      <c r="Y42" s="1" t="s">
        <v>630</v>
      </c>
      <c r="AA42" s="1" t="s">
        <v>617</v>
      </c>
      <c r="AB42" s="1" t="s">
        <v>747</v>
      </c>
      <c r="AP42" s="2" t="s">
        <v>692</v>
      </c>
      <c r="AU42" s="6" t="s">
        <v>608</v>
      </c>
      <c r="AV42" s="4" t="s">
        <v>520</v>
      </c>
      <c r="AW42" s="6" t="s">
        <v>359</v>
      </c>
      <c r="AX42" s="7" t="s">
        <v>498</v>
      </c>
      <c r="AY42" s="6" t="s">
        <v>107</v>
      </c>
    </row>
    <row r="43" spans="12:51" x14ac:dyDescent="0.5">
      <c r="L43" s="1" t="s">
        <v>748</v>
      </c>
      <c r="N43" s="1" t="s">
        <v>740</v>
      </c>
      <c r="P43" s="1" t="s">
        <v>736</v>
      </c>
      <c r="Q43" s="1" t="s">
        <v>627</v>
      </c>
      <c r="S43" s="1" t="s">
        <v>748</v>
      </c>
      <c r="U43" s="1" t="s">
        <v>740</v>
      </c>
      <c r="W43" s="1" t="s">
        <v>736</v>
      </c>
      <c r="X43" s="1" t="s">
        <v>627</v>
      </c>
      <c r="Y43" s="1" t="s">
        <v>749</v>
      </c>
      <c r="AA43" s="1" t="s">
        <v>677</v>
      </c>
      <c r="AB43" s="1" t="s">
        <v>750</v>
      </c>
      <c r="AP43" s="2" t="s">
        <v>751</v>
      </c>
      <c r="AU43" s="6" t="s">
        <v>629</v>
      </c>
      <c r="AV43" s="6" t="s">
        <v>583</v>
      </c>
      <c r="AW43" s="7" t="s">
        <v>704</v>
      </c>
      <c r="AX43" s="7" t="s">
        <v>349</v>
      </c>
      <c r="AY43" s="6" t="s">
        <v>627</v>
      </c>
    </row>
    <row r="44" spans="12:51" x14ac:dyDescent="0.5">
      <c r="L44" s="1" t="s">
        <v>670</v>
      </c>
      <c r="P44" s="1" t="s">
        <v>663</v>
      </c>
      <c r="Q44" s="1" t="s">
        <v>752</v>
      </c>
      <c r="S44" s="1" t="s">
        <v>670</v>
      </c>
      <c r="W44" s="1" t="s">
        <v>663</v>
      </c>
      <c r="X44" s="1" t="s">
        <v>752</v>
      </c>
      <c r="Y44" s="1" t="s">
        <v>692</v>
      </c>
      <c r="AA44" s="1" t="s">
        <v>753</v>
      </c>
      <c r="AB44" s="1" t="s">
        <v>742</v>
      </c>
      <c r="AP44" s="2" t="s">
        <v>670</v>
      </c>
      <c r="AU44" s="6" t="s">
        <v>613</v>
      </c>
      <c r="AV44" s="7" t="s">
        <v>556</v>
      </c>
      <c r="AW44" s="6" t="s">
        <v>630</v>
      </c>
      <c r="AX44" s="7" t="s">
        <v>519</v>
      </c>
      <c r="AY44" s="6" t="s">
        <v>635</v>
      </c>
    </row>
    <row r="45" spans="12:51" x14ac:dyDescent="0.5">
      <c r="L45" s="1" t="s">
        <v>754</v>
      </c>
      <c r="P45" s="1" t="s">
        <v>676</v>
      </c>
      <c r="Q45" s="1" t="s">
        <v>752</v>
      </c>
      <c r="S45" s="1" t="s">
        <v>754</v>
      </c>
      <c r="W45" s="1" t="s">
        <v>676</v>
      </c>
      <c r="X45" s="1" t="s">
        <v>752</v>
      </c>
      <c r="Y45" s="1" t="s">
        <v>755</v>
      </c>
      <c r="AA45" s="1" t="s">
        <v>756</v>
      </c>
      <c r="AB45" s="1" t="s">
        <v>364</v>
      </c>
      <c r="AP45" s="2" t="s">
        <v>601</v>
      </c>
      <c r="AU45" s="6" t="s">
        <v>703</v>
      </c>
      <c r="AV45" s="5" t="s">
        <v>591</v>
      </c>
      <c r="AW45" s="7" t="s">
        <v>716</v>
      </c>
      <c r="AX45" s="6" t="s">
        <v>505</v>
      </c>
      <c r="AY45" s="6" t="s">
        <v>644</v>
      </c>
    </row>
    <row r="46" spans="12:51" x14ac:dyDescent="0.5">
      <c r="P46" s="1" t="s">
        <v>671</v>
      </c>
      <c r="Q46" s="1" t="s">
        <v>677</v>
      </c>
      <c r="W46" s="1" t="s">
        <v>671</v>
      </c>
      <c r="X46" s="1" t="s">
        <v>677</v>
      </c>
      <c r="Y46" s="1" t="s">
        <v>725</v>
      </c>
      <c r="AA46" s="1" t="s">
        <v>736</v>
      </c>
      <c r="AB46" s="1" t="s">
        <v>757</v>
      </c>
      <c r="AP46" s="2" t="s">
        <v>740</v>
      </c>
      <c r="AU46" s="6" t="s">
        <v>646</v>
      </c>
      <c r="AV46" s="4" t="s">
        <v>600</v>
      </c>
      <c r="AW46" s="4" t="s">
        <v>361</v>
      </c>
      <c r="AX46" s="6" t="s">
        <v>543</v>
      </c>
      <c r="AY46" s="6" t="s">
        <v>360</v>
      </c>
    </row>
    <row r="47" spans="12:51" x14ac:dyDescent="0.5">
      <c r="P47" s="1" t="s">
        <v>630</v>
      </c>
      <c r="Q47" s="1" t="s">
        <v>736</v>
      </c>
      <c r="W47" s="1" t="s">
        <v>630</v>
      </c>
      <c r="X47" s="1" t="s">
        <v>736</v>
      </c>
      <c r="Y47" s="1" t="s">
        <v>758</v>
      </c>
      <c r="AA47" s="1" t="s">
        <v>706</v>
      </c>
      <c r="AB47" s="1" t="s">
        <v>662</v>
      </c>
      <c r="AP47" s="2"/>
      <c r="AU47" s="6" t="s">
        <v>666</v>
      </c>
      <c r="AV47" s="6" t="s">
        <v>512</v>
      </c>
      <c r="AW47" s="6" t="s">
        <v>647</v>
      </c>
      <c r="AX47" s="7" t="s">
        <v>525</v>
      </c>
      <c r="AY47" s="6" t="s">
        <v>607</v>
      </c>
    </row>
    <row r="48" spans="12:51" x14ac:dyDescent="0.5">
      <c r="P48" s="1" t="s">
        <v>630</v>
      </c>
      <c r="Q48" s="1" t="s">
        <v>663</v>
      </c>
      <c r="W48" s="1" t="s">
        <v>630</v>
      </c>
      <c r="X48" s="1" t="s">
        <v>663</v>
      </c>
      <c r="Y48" s="1" t="s">
        <v>759</v>
      </c>
      <c r="AA48" s="1" t="s">
        <v>635</v>
      </c>
      <c r="AB48" s="1" t="s">
        <v>760</v>
      </c>
      <c r="AU48" s="6" t="s">
        <v>715</v>
      </c>
      <c r="AV48" s="5" t="s">
        <v>352</v>
      </c>
      <c r="AW48" s="7" t="s">
        <v>725</v>
      </c>
      <c r="AX48" s="6" t="s">
        <v>557</v>
      </c>
      <c r="AY48" s="6" t="s">
        <v>613</v>
      </c>
    </row>
    <row r="49" spans="16:51" x14ac:dyDescent="0.5">
      <c r="P49" s="1" t="s">
        <v>761</v>
      </c>
      <c r="Q49" s="1" t="s">
        <v>762</v>
      </c>
      <c r="W49" s="1" t="s">
        <v>761</v>
      </c>
      <c r="X49" s="1" t="s">
        <v>762</v>
      </c>
      <c r="Y49" s="1" t="s">
        <v>763</v>
      </c>
      <c r="AA49" s="1" t="s">
        <v>704</v>
      </c>
      <c r="AB49" s="1" t="s">
        <v>661</v>
      </c>
      <c r="AU49" s="6" t="s">
        <v>656</v>
      </c>
      <c r="AV49" s="7" t="s">
        <v>609</v>
      </c>
      <c r="AW49" s="6" t="s">
        <v>646</v>
      </c>
      <c r="AX49" s="7" t="s">
        <v>586</v>
      </c>
      <c r="AY49" s="6" t="s">
        <v>626</v>
      </c>
    </row>
    <row r="50" spans="16:51" x14ac:dyDescent="0.5">
      <c r="P50" s="1" t="s">
        <v>361</v>
      </c>
      <c r="Q50" s="1" t="s">
        <v>629</v>
      </c>
      <c r="W50" s="1" t="s">
        <v>361</v>
      </c>
      <c r="X50" s="1" t="s">
        <v>629</v>
      </c>
      <c r="Y50" s="1" t="s">
        <v>367</v>
      </c>
      <c r="AA50" s="1" t="s">
        <v>671</v>
      </c>
      <c r="AB50" s="1" t="s">
        <v>764</v>
      </c>
      <c r="AU50" s="6" t="s">
        <v>662</v>
      </c>
      <c r="AV50" s="6" t="s">
        <v>619</v>
      </c>
      <c r="AW50" s="7" t="s">
        <v>715</v>
      </c>
      <c r="AX50" s="7" t="s">
        <v>520</v>
      </c>
      <c r="AY50" s="6" t="s">
        <v>538</v>
      </c>
    </row>
    <row r="51" spans="16:51" x14ac:dyDescent="0.5">
      <c r="P51" s="1" t="s">
        <v>765</v>
      </c>
      <c r="Q51" s="1" t="s">
        <v>766</v>
      </c>
      <c r="W51" s="1" t="s">
        <v>765</v>
      </c>
      <c r="X51" s="1" t="s">
        <v>766</v>
      </c>
      <c r="Y51" s="1" t="s">
        <v>738</v>
      </c>
      <c r="AA51" s="1" t="s">
        <v>630</v>
      </c>
      <c r="AB51" s="1" t="s">
        <v>767</v>
      </c>
      <c r="AU51" s="6" t="s">
        <v>670</v>
      </c>
      <c r="AV51" s="6" t="s">
        <v>97</v>
      </c>
      <c r="AW51" s="6" t="s">
        <v>364</v>
      </c>
      <c r="AX51" s="7" t="s">
        <v>655</v>
      </c>
      <c r="AY51" s="6" t="s">
        <v>694</v>
      </c>
    </row>
    <row r="52" spans="16:51" x14ac:dyDescent="0.5">
      <c r="P52" s="1" t="s">
        <v>722</v>
      </c>
      <c r="Q52" s="1" t="s">
        <v>751</v>
      </c>
      <c r="W52" s="1" t="s">
        <v>722</v>
      </c>
      <c r="X52" s="1" t="s">
        <v>751</v>
      </c>
      <c r="Y52" s="1" t="s">
        <v>370</v>
      </c>
      <c r="AA52" s="1" t="s">
        <v>768</v>
      </c>
      <c r="AB52" s="1" t="s">
        <v>769</v>
      </c>
      <c r="AU52" s="6" t="s">
        <v>712</v>
      </c>
      <c r="AV52" s="4" t="s">
        <v>582</v>
      </c>
      <c r="AW52" s="5" t="s">
        <v>656</v>
      </c>
      <c r="AX52" s="6" t="s">
        <v>614</v>
      </c>
      <c r="AY52" s="6" t="s">
        <v>700</v>
      </c>
    </row>
    <row r="53" spans="16:51" x14ac:dyDescent="0.5">
      <c r="P53" s="1" t="s">
        <v>629</v>
      </c>
      <c r="Q53" s="1" t="s">
        <v>770</v>
      </c>
      <c r="W53" s="1" t="s">
        <v>629</v>
      </c>
      <c r="X53" s="1" t="s">
        <v>770</v>
      </c>
      <c r="AA53" s="1" t="s">
        <v>361</v>
      </c>
      <c r="AB53" s="1" t="s">
        <v>581</v>
      </c>
      <c r="AU53" s="6" t="s">
        <v>669</v>
      </c>
      <c r="AV53" s="6" t="s">
        <v>639</v>
      </c>
      <c r="AW53" s="4" t="s">
        <v>670</v>
      </c>
      <c r="AX53" s="7" t="s">
        <v>623</v>
      </c>
      <c r="AY53" s="6" t="s">
        <v>645</v>
      </c>
    </row>
    <row r="54" spans="16:51" x14ac:dyDescent="0.5">
      <c r="P54" s="1" t="s">
        <v>749</v>
      </c>
      <c r="Q54" s="1" t="s">
        <v>364</v>
      </c>
      <c r="W54" s="1" t="s">
        <v>749</v>
      </c>
      <c r="X54" s="1" t="s">
        <v>364</v>
      </c>
      <c r="AA54" s="1" t="s">
        <v>771</v>
      </c>
      <c r="AB54" s="1" t="s">
        <v>772</v>
      </c>
      <c r="AU54" s="6" t="s">
        <v>367</v>
      </c>
      <c r="AV54" s="6" t="s">
        <v>555</v>
      </c>
      <c r="AW54" s="5" t="s">
        <v>675</v>
      </c>
      <c r="AX54" s="6" t="s">
        <v>609</v>
      </c>
      <c r="AY54" s="6" t="s">
        <v>646</v>
      </c>
    </row>
    <row r="55" spans="16:51" x14ac:dyDescent="0.5">
      <c r="P55" s="1" t="s">
        <v>363</v>
      </c>
      <c r="Q55" s="1" t="s">
        <v>759</v>
      </c>
      <c r="W55" s="1" t="s">
        <v>363</v>
      </c>
      <c r="X55" s="1" t="s">
        <v>759</v>
      </c>
      <c r="AA55" s="1" t="s">
        <v>647</v>
      </c>
      <c r="AB55" s="1" t="s">
        <v>669</v>
      </c>
      <c r="AU55" s="6" t="s">
        <v>746</v>
      </c>
      <c r="AV55" s="7" t="s">
        <v>658</v>
      </c>
      <c r="AW55" s="7" t="s">
        <v>683</v>
      </c>
      <c r="AX55" s="7" t="s">
        <v>664</v>
      </c>
      <c r="AY55" s="6" t="s">
        <v>656</v>
      </c>
    </row>
    <row r="56" spans="16:51" x14ac:dyDescent="0.5">
      <c r="P56" s="1" t="s">
        <v>538</v>
      </c>
      <c r="Q56" s="1" t="s">
        <v>662</v>
      </c>
      <c r="W56" s="1" t="s">
        <v>538</v>
      </c>
      <c r="X56" s="1" t="s">
        <v>662</v>
      </c>
      <c r="AA56" s="1" t="s">
        <v>703</v>
      </c>
      <c r="AB56" s="1" t="s">
        <v>773</v>
      </c>
      <c r="AU56" s="8"/>
      <c r="AV56" s="5" t="s">
        <v>570</v>
      </c>
      <c r="AW56" s="5" t="s">
        <v>691</v>
      </c>
      <c r="AX56" s="6" t="s">
        <v>552</v>
      </c>
      <c r="AY56" s="6" t="s">
        <v>670</v>
      </c>
    </row>
    <row r="57" spans="16:51" x14ac:dyDescent="0.5">
      <c r="P57" s="1" t="s">
        <v>774</v>
      </c>
      <c r="Q57" s="1" t="s">
        <v>670</v>
      </c>
      <c r="W57" s="1" t="s">
        <v>774</v>
      </c>
      <c r="X57" s="1" t="s">
        <v>670</v>
      </c>
      <c r="AA57" s="1" t="s">
        <v>363</v>
      </c>
      <c r="AB57" s="1" t="s">
        <v>775</v>
      </c>
      <c r="AV57" s="7" t="s">
        <v>637</v>
      </c>
      <c r="AW57" s="6" t="s">
        <v>368</v>
      </c>
      <c r="AX57" s="6" t="s">
        <v>568</v>
      </c>
      <c r="AY57" s="6" t="s">
        <v>720</v>
      </c>
    </row>
    <row r="58" spans="16:51" x14ac:dyDescent="0.5">
      <c r="P58" s="1" t="s">
        <v>364</v>
      </c>
      <c r="Q58" s="1" t="s">
        <v>365</v>
      </c>
      <c r="W58" s="1" t="s">
        <v>364</v>
      </c>
      <c r="X58" s="1" t="s">
        <v>365</v>
      </c>
      <c r="AA58" s="1" t="s">
        <v>538</v>
      </c>
      <c r="AB58" s="1" t="s">
        <v>746</v>
      </c>
      <c r="AV58" s="6" t="s">
        <v>93</v>
      </c>
      <c r="AW58" s="4"/>
      <c r="AX58" s="6" t="s">
        <v>577</v>
      </c>
      <c r="AY58" s="6" t="s">
        <v>691</v>
      </c>
    </row>
    <row r="59" spans="16:51" x14ac:dyDescent="0.5">
      <c r="P59" s="1" t="s">
        <v>759</v>
      </c>
      <c r="Q59" s="1" t="s">
        <v>776</v>
      </c>
      <c r="W59" s="1" t="s">
        <v>759</v>
      </c>
      <c r="X59" s="1" t="s">
        <v>776</v>
      </c>
      <c r="AA59" s="1" t="s">
        <v>777</v>
      </c>
      <c r="AB59" s="1" t="s">
        <v>368</v>
      </c>
      <c r="AU59" s="2"/>
      <c r="AV59" s="6" t="s">
        <v>659</v>
      </c>
      <c r="AW59" s="4"/>
      <c r="AX59" s="6" t="s">
        <v>354</v>
      </c>
      <c r="AY59" s="6" t="s">
        <v>740</v>
      </c>
    </row>
    <row r="60" spans="16:51" x14ac:dyDescent="0.5">
      <c r="P60" s="1" t="s">
        <v>763</v>
      </c>
      <c r="Q60" s="1" t="s">
        <v>727</v>
      </c>
      <c r="W60" s="1" t="s">
        <v>763</v>
      </c>
      <c r="X60" s="1" t="s">
        <v>727</v>
      </c>
      <c r="AA60" s="1" t="s">
        <v>714</v>
      </c>
      <c r="AB60" s="1" t="s">
        <v>778</v>
      </c>
      <c r="AV60" s="7" t="s">
        <v>648</v>
      </c>
      <c r="AW60" s="4"/>
      <c r="AX60" s="6" t="s">
        <v>107</v>
      </c>
      <c r="AY60" s="6"/>
    </row>
    <row r="61" spans="16:51" x14ac:dyDescent="0.5">
      <c r="P61" s="1" t="s">
        <v>559</v>
      </c>
      <c r="Q61" s="1" t="s">
        <v>674</v>
      </c>
      <c r="W61" s="1" t="s">
        <v>559</v>
      </c>
      <c r="X61" s="1" t="s">
        <v>674</v>
      </c>
      <c r="AA61" s="1" t="s">
        <v>779</v>
      </c>
      <c r="AB61" s="1" t="s">
        <v>369</v>
      </c>
      <c r="AV61" s="6" t="s">
        <v>554</v>
      </c>
      <c r="AW61" s="4"/>
      <c r="AX61" s="6" t="s">
        <v>627</v>
      </c>
      <c r="AY61" s="6"/>
    </row>
    <row r="62" spans="16:51" x14ac:dyDescent="0.5">
      <c r="P62" s="1" t="s">
        <v>721</v>
      </c>
      <c r="Q62" s="1" t="s">
        <v>691</v>
      </c>
      <c r="W62" s="1" t="s">
        <v>721</v>
      </c>
      <c r="X62" s="1" t="s">
        <v>691</v>
      </c>
      <c r="AA62" s="1" t="s">
        <v>770</v>
      </c>
      <c r="AB62" s="1" t="s">
        <v>370</v>
      </c>
      <c r="AV62" s="7" t="s">
        <v>617</v>
      </c>
      <c r="AW62" s="4"/>
      <c r="AX62" s="6" t="s">
        <v>635</v>
      </c>
      <c r="AY62" s="6"/>
    </row>
    <row r="63" spans="16:51" x14ac:dyDescent="0.5">
      <c r="P63" s="1" t="s">
        <v>571</v>
      </c>
      <c r="Q63" s="1" t="s">
        <v>369</v>
      </c>
      <c r="W63" s="1" t="s">
        <v>571</v>
      </c>
      <c r="X63" s="1" t="s">
        <v>369</v>
      </c>
      <c r="AA63" s="1" t="s">
        <v>780</v>
      </c>
      <c r="AU63" s="2"/>
      <c r="AV63" s="7" t="s">
        <v>677</v>
      </c>
      <c r="AW63" s="4"/>
      <c r="AX63" s="7" t="s">
        <v>644</v>
      </c>
      <c r="AY63" s="6"/>
    </row>
    <row r="64" spans="16:51" x14ac:dyDescent="0.5">
      <c r="Q64" s="1" t="s">
        <v>740</v>
      </c>
      <c r="X64" s="1" t="s">
        <v>740</v>
      </c>
      <c r="AA64" s="1" t="s">
        <v>781</v>
      </c>
      <c r="AV64" s="6" t="s">
        <v>359</v>
      </c>
      <c r="AW64" s="4"/>
      <c r="AX64" s="6" t="s">
        <v>360</v>
      </c>
      <c r="AY64" s="6"/>
    </row>
    <row r="65" spans="17:51" x14ac:dyDescent="0.5">
      <c r="Q65" s="1" t="s">
        <v>370</v>
      </c>
      <c r="X65" s="1" t="s">
        <v>370</v>
      </c>
      <c r="AA65" s="1" t="s">
        <v>662</v>
      </c>
      <c r="AV65" s="4" t="s">
        <v>657</v>
      </c>
      <c r="AW65" s="4"/>
      <c r="AX65" s="7" t="s">
        <v>607</v>
      </c>
      <c r="AY65" s="6"/>
    </row>
    <row r="66" spans="17:51" x14ac:dyDescent="0.5">
      <c r="Q66" s="1" t="s">
        <v>782</v>
      </c>
      <c r="X66" s="1" t="s">
        <v>782</v>
      </c>
      <c r="AA66" s="1" t="s">
        <v>783</v>
      </c>
      <c r="AV66" s="5" t="s">
        <v>608</v>
      </c>
      <c r="AW66" s="4"/>
      <c r="AX66" s="6" t="s">
        <v>613</v>
      </c>
      <c r="AY66" s="6"/>
    </row>
    <row r="67" spans="17:51" x14ac:dyDescent="0.5">
      <c r="AA67" s="1" t="s">
        <v>784</v>
      </c>
      <c r="AV67" s="7" t="s">
        <v>704</v>
      </c>
      <c r="AW67" s="4"/>
      <c r="AX67" s="6" t="s">
        <v>690</v>
      </c>
      <c r="AY67" s="6"/>
    </row>
    <row r="68" spans="17:51" x14ac:dyDescent="0.5">
      <c r="AA68" s="1" t="s">
        <v>785</v>
      </c>
      <c r="AV68" s="4" t="s">
        <v>671</v>
      </c>
      <c r="AW68" s="4"/>
      <c r="AX68" s="6" t="s">
        <v>626</v>
      </c>
      <c r="AY68" s="6"/>
    </row>
    <row r="69" spans="17:51" x14ac:dyDescent="0.5">
      <c r="AA69" s="1" t="s">
        <v>786</v>
      </c>
      <c r="AV69" s="6" t="s">
        <v>630</v>
      </c>
      <c r="AW69" s="4"/>
      <c r="AX69" s="6" t="s">
        <v>538</v>
      </c>
      <c r="AY69" s="6"/>
    </row>
    <row r="70" spans="17:51" x14ac:dyDescent="0.5">
      <c r="AA70" s="1" t="s">
        <v>746</v>
      </c>
      <c r="AV70" s="7" t="s">
        <v>716</v>
      </c>
      <c r="AW70" s="9"/>
      <c r="AX70" s="6" t="s">
        <v>694</v>
      </c>
      <c r="AY70" s="6"/>
    </row>
    <row r="71" spans="17:51" x14ac:dyDescent="0.5">
      <c r="AV71" s="6" t="s">
        <v>361</v>
      </c>
      <c r="AX71" s="6" t="s">
        <v>643</v>
      </c>
      <c r="AY71" s="6"/>
    </row>
    <row r="72" spans="17:51" x14ac:dyDescent="0.5">
      <c r="AV72" s="6" t="s">
        <v>647</v>
      </c>
      <c r="AX72" s="7" t="s">
        <v>700</v>
      </c>
      <c r="AY72" s="6"/>
    </row>
    <row r="73" spans="17:51" x14ac:dyDescent="0.5">
      <c r="AV73" s="7" t="s">
        <v>613</v>
      </c>
      <c r="AX73" s="6" t="s">
        <v>707</v>
      </c>
      <c r="AY73" s="6"/>
    </row>
    <row r="74" spans="17:51" x14ac:dyDescent="0.5">
      <c r="AV74" s="4" t="s">
        <v>684</v>
      </c>
      <c r="AX74" s="7" t="s">
        <v>645</v>
      </c>
      <c r="AY74" s="6"/>
    </row>
    <row r="75" spans="17:51" x14ac:dyDescent="0.5">
      <c r="AV75" s="5" t="s">
        <v>692</v>
      </c>
      <c r="AX75" s="6" t="s">
        <v>646</v>
      </c>
      <c r="AY75" s="6"/>
    </row>
    <row r="76" spans="17:51" x14ac:dyDescent="0.5">
      <c r="AV76" s="4" t="s">
        <v>695</v>
      </c>
      <c r="AX76" s="6" t="s">
        <v>666</v>
      </c>
      <c r="AY76" s="6"/>
    </row>
    <row r="77" spans="17:51" x14ac:dyDescent="0.5">
      <c r="AV77" s="7" t="s">
        <v>725</v>
      </c>
      <c r="AX77" s="7" t="s">
        <v>656</v>
      </c>
      <c r="AY77" s="6"/>
    </row>
    <row r="78" spans="17:51" x14ac:dyDescent="0.5">
      <c r="AV78" s="7" t="s">
        <v>645</v>
      </c>
      <c r="AX78" s="7" t="s">
        <v>682</v>
      </c>
      <c r="AY78" s="6"/>
    </row>
    <row r="79" spans="17:51" x14ac:dyDescent="0.5">
      <c r="AV79" s="6" t="s">
        <v>646</v>
      </c>
      <c r="AX79" s="6" t="s">
        <v>670</v>
      </c>
      <c r="AY79" s="6"/>
    </row>
    <row r="80" spans="17:51" x14ac:dyDescent="0.5">
      <c r="AV80" s="5" t="s">
        <v>701</v>
      </c>
      <c r="AX80" s="6" t="s">
        <v>720</v>
      </c>
      <c r="AY80" s="6"/>
    </row>
    <row r="81" spans="48:51" x14ac:dyDescent="0.5">
      <c r="AV81" s="7" t="s">
        <v>715</v>
      </c>
      <c r="AX81" s="7" t="s">
        <v>661</v>
      </c>
      <c r="AY81" s="7"/>
    </row>
    <row r="82" spans="48:51" x14ac:dyDescent="0.5">
      <c r="AV82" s="4" t="s">
        <v>708</v>
      </c>
      <c r="AX82" s="6" t="s">
        <v>667</v>
      </c>
      <c r="AY82" s="6"/>
    </row>
    <row r="83" spans="48:51" x14ac:dyDescent="0.5">
      <c r="AV83" s="6" t="s">
        <v>364</v>
      </c>
      <c r="AX83" s="7" t="s">
        <v>727</v>
      </c>
      <c r="AY83" s="7"/>
    </row>
    <row r="84" spans="48:51" x14ac:dyDescent="0.5">
      <c r="AV84" s="7" t="s">
        <v>712</v>
      </c>
      <c r="AX84" s="7" t="s">
        <v>674</v>
      </c>
      <c r="AY84" s="6"/>
    </row>
    <row r="85" spans="48:51" x14ac:dyDescent="0.5">
      <c r="AV85" s="4" t="s">
        <v>559</v>
      </c>
      <c r="AX85" s="6" t="s">
        <v>691</v>
      </c>
      <c r="AY85" s="6"/>
    </row>
    <row r="86" spans="48:51" x14ac:dyDescent="0.5">
      <c r="AV86" s="6" t="s">
        <v>721</v>
      </c>
      <c r="AX86" s="10" t="s">
        <v>740</v>
      </c>
      <c r="AY86" s="6"/>
    </row>
    <row r="87" spans="48:51" x14ac:dyDescent="0.5">
      <c r="AV87" s="7" t="s">
        <v>683</v>
      </c>
      <c r="AX87" s="7" t="s">
        <v>370</v>
      </c>
      <c r="AY87" s="10"/>
    </row>
    <row r="88" spans="48:51" x14ac:dyDescent="0.5">
      <c r="AV88" s="6" t="s">
        <v>368</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2026-05-12T16:14:30Z</dcterms:modified>
  <cp:category/>
  <cp:contentStatus/>
</cp:coreProperties>
</file>