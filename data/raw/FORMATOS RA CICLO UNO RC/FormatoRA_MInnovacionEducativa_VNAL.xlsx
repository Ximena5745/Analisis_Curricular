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6" documentId="13_ncr:1_{787B6C00-B034-434B-BCB2-4F43A408DDD6}" xr6:coauthVersionLast="47" xr6:coauthVersionMax="47" xr10:uidLastSave="{40721260-89F0-47A3-960A-393DD35E3426}"/>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micro'!$B$1:$Q$35</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'Paso1 Analisis perfil egreso'!$E$2:$E$5</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3" i="7" l="1"/>
  <c r="I52" i="7"/>
  <c r="K36" i="7" l="1"/>
  <c r="J36" i="7"/>
  <c r="K12" i="7"/>
  <c r="J12" i="7"/>
  <c r="A49" i="7" l="1"/>
  <c r="A48" i="7"/>
  <c r="K47" i="7"/>
  <c r="J47" i="7"/>
  <c r="A47" i="7"/>
  <c r="L47" i="7" l="1"/>
  <c r="D51" i="7"/>
  <c r="I51" i="7"/>
  <c r="K3" i="7" l="1"/>
  <c r="J3" i="7"/>
  <c r="K50" i="7"/>
  <c r="J50" i="7"/>
  <c r="A46" i="7"/>
  <c r="A45" i="7"/>
  <c r="A44" i="7"/>
  <c r="K43" i="7"/>
  <c r="J43" i="7"/>
  <c r="A43" i="7"/>
  <c r="A42" i="7"/>
  <c r="A41" i="7"/>
  <c r="K40" i="7"/>
  <c r="J40" i="7"/>
  <c r="A40" i="7"/>
  <c r="A39" i="7"/>
  <c r="A38" i="7"/>
  <c r="A37" i="7"/>
  <c r="L36" i="7"/>
  <c r="A36" i="7"/>
  <c r="A35" i="7"/>
  <c r="A34" i="7"/>
  <c r="A33" i="7"/>
  <c r="A32" i="7"/>
  <c r="K32" i="7"/>
  <c r="J32" i="7"/>
  <c r="A30" i="7"/>
  <c r="A26" i="7"/>
  <c r="A27" i="7"/>
  <c r="A19" i="7"/>
  <c r="A4" i="7"/>
  <c r="A10" i="7"/>
  <c r="A5" i="7"/>
  <c r="A6" i="7"/>
  <c r="A7" i="7"/>
  <c r="A8" i="7"/>
  <c r="A9" i="7"/>
  <c r="A11" i="7"/>
  <c r="A12" i="7"/>
  <c r="A13" i="7"/>
  <c r="A14" i="7"/>
  <c r="A15" i="7"/>
  <c r="A16" i="7"/>
  <c r="A17" i="7"/>
  <c r="A18" i="7"/>
  <c r="A20" i="7"/>
  <c r="A21" i="7"/>
  <c r="A22" i="7"/>
  <c r="A23" i="7"/>
  <c r="A24" i="7"/>
  <c r="A25" i="7"/>
  <c r="A28" i="7"/>
  <c r="A29" i="7"/>
  <c r="A31" i="7"/>
  <c r="A3" i="7"/>
  <c r="L43" i="7" l="1"/>
  <c r="L3" i="7"/>
  <c r="L50" i="7"/>
  <c r="L32" i="7"/>
  <c r="L40" i="7"/>
  <c r="J29" i="7"/>
  <c r="K29" i="7"/>
  <c r="J25" i="7"/>
  <c r="K25" i="7"/>
  <c r="J21" i="7"/>
  <c r="K21" i="7"/>
  <c r="J18" i="7"/>
  <c r="K18" i="7"/>
  <c r="J15" i="7"/>
  <c r="K15" i="7"/>
  <c r="J9" i="7"/>
  <c r="K9" i="7"/>
  <c r="K6" i="7"/>
  <c r="J6" i="7"/>
  <c r="L18" i="7" l="1"/>
  <c r="L9" i="7"/>
  <c r="L6" i="7"/>
  <c r="L21" i="7"/>
  <c r="L25" i="7"/>
  <c r="L29" i="7"/>
  <c r="L15" i="7"/>
  <c r="L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<sst xmlns="http://schemas.openxmlformats.org/spreadsheetml/2006/main" count="2495" uniqueCount="702">
  <si>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</si>
  <si>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</si>
  <si>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</si>
  <si>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</si>
  <si>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</si>
  <si>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</si>
  <si>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</si>
  <si>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</si>
  <si>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</si>
  <si>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</si>
  <si>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</si>
  <si>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</si>
  <si>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</si>
  <si>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</si>
  <si>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</si>
  <si>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</si>
  <si>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</si>
  <si>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</si>
  <si>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Maestría en Innovación Educativa</t>
  </si>
  <si>
    <t>Virtual</t>
  </si>
  <si>
    <t>El egresado de la Maestría en Innovación Educativa del Politécnico Grancolombiano profundiza en el análisis crítico de teorías, enfoques y metodologías para estudiar problemáticas educativas, interpretar tendencias y abrir campos de indagación en contextos educativos, institucionales y territoriales para proponer transformaciones fundamentadas en los procesos de enseñanza y aprendizaje, la integración estratégica de tecnologías digitales y la atención a las necesidades sociales, culturales y organizacionales, lo que le permite liderar la innovación educativa desde un enfoque investigativo orientado a la práctica y el compromiso con el desarrollo sostenible de la educación.</t>
  </si>
  <si>
    <t>El egresado de la Maestría en Innovación Educativa se desempeña como líder, coordinador o asesor de innovación y transformación educativa en instituciones educativas oficiales y privadas, entornos comunitarios, rurales y urbanos, y organizaciones vinculadas con la educación y la tecnología. Diseña e implementa estrategias de enseñanza y aprendizaje innovadoras, integrando tecnologías digitales y respondiendo a necesidades sociales, culturales y territoriales. Analiza y evalúa problemáticas educativas y tendencias para orientar decisiones institucionales y proyectos de innovación. Además, participa en programas de formación docente, consultorías educativas y proyectos de desarrollo curricular y tecnológico, aplicando un enfoque investigativo orientado a la práctica, promoviendo la mejora continua y el desarrollo sostenible de la educación.</t>
  </si>
  <si>
    <t>propuestas de innovación educativa fundamentadas en teorías, enfoques y políticas públicas nacionales e internacionales</t>
  </si>
  <si>
    <t>aplicar alternativas orientadas a la transformación de instituciones y organizaciones</t>
  </si>
  <si>
    <t>integrando componentes pedagógicos, tecnológicos y de gestión</t>
  </si>
  <si>
    <t>Director o subdirector académico de instituciones educativas/Coordinador de innovación educativa/Jefe de programas de formación docente/Líder de proyectos institucionales de transformación pedagógica/Consultor en gestión de innovación educativa/Asesor en procesos de planificación estratégica educativa/Coordinador de programas de mejora institucional/Diseñador curricular de programas educativos/Coordinador de desarrollo de contenidos pedagógicos/Especialista en integración de tecnologías educativas/Asesor en actualización curricular y metodológica/Responsable de proyectos de transformación digital educativa/Consultor en adaptación de programas académicos a contextos locales/Coordinador de innovación pedagógica/Especialista en entornos de aprendizaje virtual o híbrido/Diseñador de experiencias educativas digitales/Líder de laboratorios de innovación educativa/Consultor en metodologías activas de enseñanza-aprendizaje/Asesor en integración de TIC en educación/Coordinador de evaluación institucional/Analista de calidad educativa/Asesor en monitoreo y evaluación de proyectos educativos/Especialista en investigación aplicada para la mejora pedagógica/Responsable de sistemas de seguimiento y evaluación de resultados educativos/Investigador en problemáticas institucionales y pedagógicas/Consultor en proyectos de innovación basados en evidencia/Líder de análisis de tendencias educativas/Asesor en investigación aplicada para decisiones estratégicas institucionales/Asesor en formulación y evaluación de políticas educativas/Consultor en organismos gubernamentales o entidades del sector educativo/Coordinador de programas y proyectos en ministerios o secretarías de educación/Especialista en planificación de programas educativos comunitarios o territoriales/Líder de proyectos de innovación educativa en entornos rurales o urbanos.</t>
  </si>
  <si>
    <t>Coordinar equipos y proyectos educativos/Planificar y ejecutar estrategias de innovación y mejora institucional/Asesorar en políticas y toma de decisiones educativas/Diseñar, actualizar y evaluar programas y contenidos curriculares/Integrar tecnologías y metodologías innovadoras/Adaptar currículos a contextos específicos/Implementar estrategias pedagógicas innovadoras en distintos entornos/Desarrollar experiencias de aprendizaje digitales/Capacitar y asesorar docentes en metodologías activas y tecnologías/Analizar indicadores y diagnosticar procesos educativos/Diseñar e implementar sistemas de evaluación institucional/Formular recomendaciones para la mejora continua/Realizar estudios de caso y análisis de situaciones concretas/Aplicar metodologías de investigación para fundamentar decisiones/Sistematizar experiencias y buenas prácticas educativas/Interpretar y aplicar políticas educativas/Participar en la formulación y evaluación de programas y proyectos/Asesorar a instituciones públicas y privadas en gestión educativa.</t>
  </si>
  <si>
    <t>Instituciones de educación básica y media (oficiales y privadas)/Instituciones de educación superior (universidades, institutos tecnológicos, escuelas normales)/Centros de formación técnica y tecnológica/Ministerios y secretarías de educación/Organismos de planeación y evaluación educativa/Programas estatales orientados a innovación curricular, inclusión y cobertura/ONG y fundaciones con proyectos educativos/Centros culturales y comunitarios que desarrollan procesos de educación no formal/Organizaciones territoriales que promueven formación ciudadana y educación para el desarrollo sostenible/Empresas de tecnología educativa (EdTech)/Editoriales académicas y productoras de contenidos digitales/Consultoras en innovación y diseño educativo/Plataformas de educación virtual/Centros de innovación en educación digital/Comunidades de aprendizaje en red e iniciativas de formación híbrida/Agencias de cooperación internacional en educación/Organizaciones regionales que impulsan proyectos de innovación educativa/Redes internacionales de investigación y práctica educativa aplicada.</t>
  </si>
  <si>
    <t xml:space="preserve">El valor agregado de la Maestría en Innovación Educativa del Politécnico Grancolombiano se sustenta en la integración de tres ejes formativos complementarios: el diseño e innovación curricular, la creación de contenidos educativos y la gestión de proyectos académicos. Esta articulación permite al egresado trasladar fundamentos conceptuales de la educación hacia propuestas aplicables en instituciones, comunidades y organizaciones. A ello se suma un enfoque situado y contextualizado hacia la diversidad y la territorialidad, respondiendo a retos que orienta la innovación hacia la solución de desafíos educativos en distintos niveles, modalidades y contextos. El programa cuenta, además, con el respaldo del Centro de Investigación en Innovación Educativa (CIIE), que vincula a los estudiantes en eventos académicos, redes de investigación y espacios de discusión sobre innovación pedagógica y retos contemporáneos, al tiempo que impulsa el desarrollo de proyectos y la producción académica desde un enfoque transdisciplinario. De esta manera, el egresado consolida la capacidad de analizar, diseñar, implementar y evaluar respuestas educativas contextualizadas, en diálogo con tendencias internacionales. </t>
  </si>
  <si>
    <t>entornos y proyectos educativos innovadores mediados por tecnologías digitales</t>
  </si>
  <si>
    <t>desarrollar ecosistemas de aprendizaje en contextos presenciales, virtuales o híbridos</t>
  </si>
  <si>
    <t>organizando recursos pedagógicos y tecnológicos según las demandas del contexto</t>
  </si>
  <si>
    <t>planes, programas y proyectos educativos innovadores con base en investigación aplicada</t>
  </si>
  <si>
    <t>formular acciones de mejoramiento de la calidad educativa y su transferencia en los territorios</t>
  </si>
  <si>
    <t>sistematizando procesos académicos y administrativos para la toma de decisiones</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</si>
  <si>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</si>
  <si>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</si>
  <si>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</si>
  <si>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</si>
  <si>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</si>
  <si>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</si>
  <si>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</si>
  <si>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</si>
  <si>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</si>
  <si>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</si>
  <si>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</si>
  <si>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</si>
  <si>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</si>
  <si>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</si>
  <si>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</si>
  <si>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Diseñar</t>
  </si>
  <si>
    <t>Diseñar propuestas de innovación educativa fundamentadas en teorías, enfoques y políticas públicas nacionales e internacionales, para aplicar alternativas orientadas a la transformación de instituciones y organizaciones, integrando componentes pedagógicos, tecnológicos y de gestión.</t>
  </si>
  <si>
    <t>Específica</t>
  </si>
  <si>
    <t>Implementar</t>
  </si>
  <si>
    <t>Implementar entornos y proyectos educativos innovadores mediados por tecnologías digitales, para desarrollar ecosistemas de aprendizaje en contextos presenciales, virtuales o híbridos, organizando recursos pedagógicos y tecnológicos según las demandas del contexto.</t>
  </si>
  <si>
    <t>Evaluar</t>
  </si>
  <si>
    <t>Evaluar planes, programas y proyectos educativos innovadores con base en investigación aplicada, para formular acciones de mejoramiento de la calidad educativa y su transferencia en los territorios, sistematizando procesos académicos y administrativos para la toma de decisiones.</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</si>
  <si>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</si>
  <si>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</si>
  <si>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</si>
  <si>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</si>
  <si>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</si>
  <si>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</si>
  <si>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</si>
  <si>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</si>
  <si>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</si>
  <si>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</si>
  <si>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</si>
  <si>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</si>
  <si>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</si>
  <si>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</si>
  <si>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</si>
  <si>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</si>
  <si>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</si>
  <si>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</si>
  <si>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</si>
  <si>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</si>
  <si>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</si>
  <si>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Analizar</t>
  </si>
  <si>
    <t>Analiza teorías, enfoques, metodologías, recursos pedagógicos, tecnológicos y resultados de evaluación en educación, para establecer fundamentos conceptuales y prácticos que orienten el desarrollo de procesos de innovación educativa en contextos presenciales, virtuales o híbridos.</t>
  </si>
  <si>
    <t>ProcedimentalB</t>
  </si>
  <si>
    <t>AplicaciónB</t>
  </si>
  <si>
    <t>Diseña propuestas y prototipos de innovación educativa mediados por tecnologías digitales, para aplicar alternativas que respondan a necesidades institucionales y de ecosistemas de aprendizaje en contextos presenciales, virtuales o híbridos.</t>
  </si>
  <si>
    <t>ActitudinalB</t>
  </si>
  <si>
    <t>EvaluaciónB</t>
  </si>
  <si>
    <t>Evalúa alternativas en el diseño, implementación y análisis de propuestas educativas innovadoras, para explicar sus elecciones en contextos institucionales y territoriales.</t>
  </si>
  <si>
    <t>Evalúa planes, programas y proyectos educativos innovadores mediante procesos de investigación aplicada y sistematización de información, para elaborar reportes que orienten acciones de mejoramiento académico y administrativo.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</si>
  <si>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</si>
  <si>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</si>
  <si>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</si>
  <si>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</si>
  <si>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</si>
  <si>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</si>
  <si>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</si>
  <si>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</si>
  <si>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</si>
  <si>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</si>
  <si>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</si>
  <si>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</si>
  <si>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 xml:space="preserve"> Clases Espejo / COIL </t>
  </si>
  <si>
    <t>Metodología de intercambio colaborativo entre pares académicos de instituciones nacionales e internacionales, mediado por tecnologías digitales. Permite la planeación y el desarrollo de clases conjuntas, así como la posibilidad de movilidad presencial en universidades latinoamericanas. Con la participación de docentes extranjeros, se amplía la perspectiva académica de los y las estudiantes, fortaleciendo la reflexión crítica sobre estrategias de innovación institucional y de mejoramiento de la calidad educativa, en coherencia con los desafíos de los proyectos educativos contemporáneos.</t>
  </si>
  <si>
    <t>Valoración del nivel de contribución de la estrategia a los resultados de aprendizaje del programa.</t>
  </si>
  <si>
    <t>Formar a los estudiantes en el intercambio académico colaborativo con pares nacionales e internacionales, para fortalecer su aprendizaje interdisciplinar y la aplicación de estrategias de innovación educativa en contextos reales.</t>
  </si>
  <si>
    <t>Encuesta de valoración</t>
  </si>
  <si>
    <t>Número de estudiantes que participan en la estrategia.</t>
  </si>
  <si>
    <t xml:space="preserve">Listado de participación de los estudiantes y docentes </t>
  </si>
  <si>
    <t>Número de veces que se realiza la estrategia en el tiempo que determine el programa.</t>
  </si>
  <si>
    <t>Informe o Reporte</t>
  </si>
  <si>
    <t>Seminario Internacional</t>
  </si>
  <si>
    <t>Espacios académicos orientados a la solución de problemáticas educativas y a la generación de alternativas innovadoras situadas en los territorios. Con la participación de invitados internacionales y alianzas universitarias, se promueve el diálogo sobre las condiciones que posibilitan una educación de calidad en contextos diversos, reconociendo la importancia de la lectura de realidades locales y comunitarias.</t>
  </si>
  <si>
    <t>Formar a los estudiantes en el análisis de problemáticas y políticas educativas, para favorecer la construcción de propuestas contextualizadas orientadas a la transformación de los territorios.</t>
  </si>
  <si>
    <t>Número de estudiantes y graduados que participan en la estrategia.</t>
  </si>
  <si>
    <t>Listado de participación</t>
  </si>
  <si>
    <t>Simposios Internacionales</t>
  </si>
  <si>
    <t>Escenarios de diálogo sobre las tendencias en educación, que permiten identificar convergencias y divergencias en torno a la realidad de la educación superior. Con invitados nacionales e internacionales, directivos y docentes de distintas universidades de América Latina y Europa, se desarrollan paneles y mesas temáticas que contribuyen a la construcción de una visión compartida sobre los retos educativos.</t>
  </si>
  <si>
    <t>Informar y formar a los estudiantes sobre las tendencias y transformaciones actuales del campo educativo, para ampliar su perspectiva frente a los desafíos contemporáneos de la educación.</t>
  </si>
  <si>
    <t>Aulas Abiertas de Investigación</t>
  </si>
  <si>
    <t>Espacios teórico-prácticos para el fortalecimiento de competencias investigativas. Facilitan la problematización de contextos singulares y la formulación de alternativas de abordaje en proyectos de investigación e innovación que se presentan en el marco de los posgrados de la Escuela de Educación e Innovación. Incluyen talleres y actividades para la socialización, búsqueda y análisis de información, revisión sistemática de bases de datos y visualización de resultados, promoviendo la iniciación científica y la apropiación de metodologías de investigación.</t>
  </si>
  <si>
    <t>Prevenir dificultades académicas en el desarrollo de proyectos de investigación e innovación, para fortalecer la aplicación de metodologías y técnicas de análisis en contextos educativos reales.</t>
  </si>
  <si>
    <t>Coloquio de Investigación Maestría</t>
  </si>
  <si>
    <t>Encuentro académico que promueve la socialización, reflexión y retroalimentación sobre los avances en los procesos investigativos de los y las estudiantes de la Maestría. Con la participación de expertos temáticos y evaluadores, se fortalece la escritura académica, la argumentación oral y la integración a comunidades académicas posgraduales. Este espacio contribuye a la consolidación de proyectos de investigación orientados a la solución de problemáticas educativas contextualizadas.</t>
  </si>
  <si>
    <t>Ayudar a decidir a los estudiantes sobre los enfoques, métodos y alcances de sus proyectos investigativos, para orientar la consolidación de propuestas académicas pertinentes y viables.</t>
  </si>
  <si>
    <t>Cátedras Inaugurales</t>
  </si>
  <si>
    <t>Espacios académicos de reflexión sobre tendencias pedagógicas y educativas, con la participación de diversos actores y modalidades. Propician la actualización de discursos pedagógicos y la comprensión crítica de fenómenos sociales y educativos, considerando los territorios como contextos de aprendizaje. Estas cátedras reafirman el compromiso institucional con la formación posgradual de alta calidad, basada en el diálogo, la construcción colectiva de conocimiento y la investigación como motor de transformación social.</t>
  </si>
  <si>
    <t>Informar a los estudiantes sobre las tendencias pedagógicas y educativas actuales, para contextualizar su formación en relación con los desafíos y transformaciones del sistema educativo.</t>
  </si>
  <si>
    <t>Precongreso Investigación en Innovación Educativa</t>
  </si>
  <si>
    <t>Escenario de preparación y discusión académica en el que los estudiantes interactúan con expertos nacionales e internacionales. Se abordan innovaciones educativas y sociales, así como estrategias pedagógicas y didácticas que orientan la participación en el Congreso Internacional de Investigación en Innovación Educativa. Este espacio favorece el intercambio de ideas y experiencias, generando un impacto positivo en la calidad educativa y en la consolidación de redes académicas.</t>
  </si>
  <si>
    <t>Formar a los estudiantes en la comunicación académica y la argumentación científica, para fortalecer su participación en escenarios de socialización e intercambio de experiencias investigativas.</t>
  </si>
  <si>
    <t>Congreso Internacional de Investigación en Innovación Educativa</t>
  </si>
  <si>
    <t>Evento académico de carácter nacional e internacional que reúne a expertos reconocidos, quienes socializan experiencias, metodologías y propuestas innovadoras frente a los desafíos educativos actuales. Este congreso, organizado por el Centro de Investigación en Innovación Educativa (CIIE), fomenta el debate académico, la construcción de redes epistémicas y el fortalecimiento del perfil profesional y académico de los y las estudiantes de la Maestría en Innovación Educativa.</t>
  </si>
  <si>
    <t>Formar a los estudiantes en el análisis y la discusión de experiencias y metodologías innovadoras, para favorecer la construcción de conocimiento y el fortalecimiento de redes académicas.</t>
  </si>
  <si>
    <t>Número de participantes en todos los espacios (mesas, talleres, coloquios, conferencias presenciales, etc.).</t>
  </si>
  <si>
    <t>Centro de Liderazgo 360</t>
  </si>
  <si>
    <t>Estrategia que potencia las habilidades de liderazgo de los estudiantes de posgrado, brindándoles herramientas para dirigir proyectos, equipos e instituciones desde una perspectiva innovadora y transformadora. Con un enfoque integral, favorece la reflexión crítica, la proyección profesional y la capacidad de incidir en la mejora de la calidad educativa y en el desarrollo sostenible de los territorios.</t>
  </si>
  <si>
    <t>Ayudar a decidir a los estudiantes en la gestión y dirección de proyectos educativos, para fortalecer su capacidad de liderazgo y su participación en procesos de transformación institucional.</t>
  </si>
  <si>
    <t>Listado de participación de los estudiantes</t>
  </si>
  <si>
    <t>A la Pizarra - Programa Radial Poli Radio</t>
  </si>
  <si>
    <t>Franja académica en la emisora institucional PoliRadio, miembro de la Red de Radio Universitaria de Colombia (RRUC). La Maestría en Innovación Educativa participa con programas temáticos que difunden hitos académicos de estudiantes y docentes, propiciando la reflexión y la divulgación de experiencias pedagógicas hacia públicos amplios a nivel nacional e internacional.</t>
  </si>
  <si>
    <t>Informar a los estudiantes sobre experiencias pedagógicas y académicas destacadas, para promover la divulgación del conocimiento y la reflexión sobre la práctica educativa.</t>
  </si>
  <si>
    <t>Número de estudiantes y docentes que participan en la estrategia por semestre académico.</t>
  </si>
  <si>
    <t>Listado de participación de estudiantes y docentes</t>
  </si>
  <si>
    <t>Número de programas que se realizan e intercambios de programación con emisoras universitarias e instituciones en el tiempo que determine el programa.</t>
  </si>
  <si>
    <t>Vinculación con Redes Académicas</t>
  </si>
  <si>
    <t>Estrategia orientada al fortalecimiento académico e investigativo mediante la articulación con redes y asociaciones nacionales e internacionales, entre ellas la Asociación Colombiana de Facultades de Educación (ASCOFADE), la Red Internacional de Posgrados en Educación (REINPED) y la Red de Lectura y Escritura en Educación Superior (REDLEES). Esta vinculación posibilita la cooperación interinstitucional, el desarrollo de proyectos colaborativos, la socialización de resultados y el acceso a escenarios de debate y reflexión académica que enriquecen la formación de estudiantes y docentes, al tiempo que amplían la proyección e impacto del programa en el campo educativo.</t>
  </si>
  <si>
    <t>Informar y formar a los estudiantes sobre la participación en redes académicas y de investigación, para promover la cooperación interinstitucional y la actualización permanente en el campo educativo.</t>
  </si>
  <si>
    <t>Revista Panorama</t>
  </si>
  <si>
    <t>Revista Panorama es una publicación de alcance nacional e internacional que busca promover y visibilizar los avances y resultados de investigación desarrollados por los estudiantes de posgrado. Su propósito es propiciar un diálogo constante y vigente entre las comunidades académicas interesadas en reflexionar, debatir y mejorar sus prácticas académicas, pedagógicas y didácticas, especialmente aquellas mediadas por entornos virtuales de aprendizaje.</t>
  </si>
  <si>
    <t>Formar a los estudiantes en la divulgación y publicación de resultados de investigación, para fortalecer sus competencias de escritura académica y su proyección en comunidades científicas.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</si>
  <si>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</si>
  <si>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</si>
  <si>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</si>
  <si>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</si>
  <si>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</si>
  <si>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</si>
  <si>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</si>
  <si>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</si>
  <si>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</si>
  <si>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</si>
  <si>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</si>
  <si>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</si>
  <si>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</si>
  <si>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</si>
  <si>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</si>
  <si>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</si>
  <si>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</si>
  <si>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</si>
  <si>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</si>
  <si>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</si>
  <si>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</si>
  <si>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</si>
  <si>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</si>
  <si>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</si>
  <si>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</si>
  <si>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</si>
  <si>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</si>
  <si>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</si>
  <si>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</si>
  <si>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Políticas para la Innovación Educativa</t>
  </si>
  <si>
    <t>Analiza los principios históricos, normativos y contextuales que orientan las políticas educativas para la innovación, para explicar los desafíos que estas plantean frente a la calidad, equidad y transformación de los sistemas educativos.</t>
  </si>
  <si>
    <t>T</t>
  </si>
  <si>
    <t>X</t>
  </si>
  <si>
    <t xml:space="preserve">1. Origen e importancia de la innovación en la educación 
2. Criterios orientadores en la elaboración de políticas educativas para la innovación
3. Calidad de la educación y factores que determinan la innovación
4. La innovación como desafío educativo </t>
  </si>
  <si>
    <t>Trabajo directo:
Encuentros sincrónicos, mensajería interna, foros generales, anuncios.
Trabajo independiente: 
Lecturas fundamentales y complementarias
Anuncios
Foros
Actividades de refuerzo y recursos del módulo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</si>
  <si>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</si>
  <si>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</si>
  <si>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</si>
  <si>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Problemas y Retos de la Educación</t>
  </si>
  <si>
    <t>Analiza los principales problemas y retos del sistema educativo en relación con los Objetivos de Desarrollo Sostenible, las políticas públicas y las experiencias territoriales, para establecer conexiones entre los desafíos actuales y las respuestas innovadoras que surgen frente a ellos.</t>
  </si>
  <si>
    <t xml:space="preserve">1. Problemas y retos de la educación en el país en perspectiva de los ODS
2. Políticas educativas y planes de desarrollo nacional
3. Experiencias de educación innovadoras en zonas urbanas y rurales
4.Respuestas y soluciones innovadoras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</si>
  <si>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</si>
  <si>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Investigación de la Innovación Educativa</t>
  </si>
  <si>
    <t>Analiza criterios teóricos y metodológicos de la investigación en innovación educativa, para aplicar fundamentos que permitan examinar problemas y tendencias a partir de una revisión sistemática de literatura.</t>
  </si>
  <si>
    <t>TP</t>
  </si>
  <si>
    <t>1. Conceptualización, problemas y tensiones de la investigación de la innovación educativa
2. Mapeo y revisión sistemática de literatura sobre innovaciones educativas
3. Enfoques positivista y fenomenológico de la investigación de la innovación educativa
4. Enfoque postpositivista y teórico-crítico de la investigación de la innovación educativa</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</si>
  <si>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</si>
  <si>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Desarrollo Sostenible: Desafíos para la Educación</t>
  </si>
  <si>
    <t>Analiza los Objetivos de Desarrollo Sostenible, las políticas educativas y las competencias del siglo XXI, para establecer relaciones que expliquen su contribución al desarrollo de una educación innovadora y sostenible.</t>
  </si>
  <si>
    <t>1. Perspectivas de desarrollo económico y Objetivos de Desarrollo Sostenible
2. Políticas nacionales e internacionales sobre educación desde la perspectiva de los Objetivos de Desarrollo Sostenible
3. Competencias del Siglo XXI y su relación con la educación innovadora y sostenible
4. Acciones para articular los Objetivos de Desarrollo Sostenible y las competencias del Siglo XXI en los Proyectos Educativos Institucionales</t>
  </si>
  <si>
    <t>Investigación I</t>
  </si>
  <si>
    <t>Analiza fundamentos teóricos y metodológicos de la investigación en innovación educativa, para aplicar criterios que orienten la definición de problemas y métodos de estudio en contextos educativos.</t>
  </si>
  <si>
    <t>1. Investigación e innovación en educación 
2. Planificación y búsqueda de información 
3. Problemas y métodos cuantitativos 
4. Problemas y métodos cualitativos y mixtos</t>
  </si>
  <si>
    <t>Enfoques Pedagógicos y Tendencias Educativas</t>
  </si>
  <si>
    <t>Analiza los enfoques pedagógicos y las tendencias educativas contemporáneas, para aplicar sus principios en el diseño de estrategias innovadoras de enseñanza y aprendizaje.</t>
  </si>
  <si>
    <t>1. Enfoques pedagógicos: posibilidades e impacto en el proceso enseñanza aprendizaje 
2. Pedagogías emergentes desde los enfoques pedagógicos contemporáneos
3. Educación basada en competencias y evaluación en los nuevos contextos de aprendizaje
4. Metodologías y tecnologías emergentes para ambientes de aprendizaje innovadores</t>
  </si>
  <si>
    <t>Ecosistemas Tecnológicos de Aprendizaje</t>
  </si>
  <si>
    <t>Evalúa los componentes tecnopedagógicos de los ecosistemas digitales de aprendizaje, para formular criterios que orienten la mejora de los procesos de enseñanza y aprendizaje.</t>
  </si>
  <si>
    <t>1. Herramientas digitales para la educación
2. Entornos personales de aprendizaje
3. Sistemas de gestión del aprendizaje
4. Analíticas de aprendizaje</t>
  </si>
  <si>
    <t>Formar a través del estudio de casos, de la clase magistral, de la lectura de artículos sobre los avances o los temas que se requieren abordar alrededor de los núcleos temáticos.</t>
  </si>
  <si>
    <t>Gestión de la Innovación Educativa</t>
  </si>
  <si>
    <t>Aplica modelos de gestión estratégica de la innovación educativa, para evaluar la articulación entre la planeación, ejecución y seguimiento de procesos institucionales orientados al mejoramiento continuo.</t>
  </si>
  <si>
    <t>1. Modelos de gestión estratégica
2. Dimensiones del direccionamiento estratégico de la innovación educativa
3. La planeación y ejecución que interviene en el direccionamiento estratégico de la innovación educativa
4. Evaluación en la gestión estratégica de la innovación educativa</t>
  </si>
  <si>
    <t>Investigación II</t>
  </si>
  <si>
    <t>Aplica estrategias de recolección y análisis de información, para evaluar los procedimientos metodológicos utilizados en estudios de innovación educativa.</t>
  </si>
  <si>
    <t>1. Proyecto e informe de investigación en educación
2. Técnicas y mecanismos de recolección y organización de información para investigar en innovación educativa
3. Estrategias para el análisis de la información cuantitativa
4. Estrategias para el análisis de la información cualitativa</t>
  </si>
  <si>
    <t>Metodologías Innovadoras para la Educación</t>
  </si>
  <si>
    <t>Aplica metodologías educativas innovadoras, para diseñar estrategias didácticas ajustadas a los propósitos de enseñanza y a las características del contexto educativo.</t>
  </si>
  <si>
    <t>1. Metodologías educativas, oportunidades y desafíos
2. Metodologías didácticas para una educación basada en competencias
3. Metodologías de evaluación
4. Metodologías para aprender en la era digital</t>
  </si>
  <si>
    <t>II</t>
  </si>
  <si>
    <t>Diseño e Innovación Curricular</t>
  </si>
  <si>
    <t>Define el desarrollo histórico de las tendencias en lo referente a las concepciones del currículo con sus respectivos referentes filosóficos y epistemológicos, destacando la importancia de la Inteligencia Artificial en la innovación curricular, que permita la flexibilidad e integración curricular.
Desarrolla propuesta curriculares, a partir de los principios de la flexibilización curricular, para el diseño de planes programas y proyectos educativos.</t>
  </si>
  <si>
    <t>1. Visiones, definiciones y construcciones de significado del currículo 
2. El currículo como construcción social y la investigación del currículo como campo de conocimiento. 
3. Diseño curricular e innovación en educación 
4. El diseño y la innovación curricular en la sociedad del conocimiento construyendo comunidades de aprendizaje</t>
  </si>
  <si>
    <t>Diseño de Contenidos Innovadores</t>
  </si>
  <si>
    <t>Aplica criterios pedagógicos y didácticos del diseño educativo, para elaborar contenidos innovadores que respondan a necesidades de aprendizaje en contextos específicos.</t>
  </si>
  <si>
    <t>1. Contexto actual de la práctica educativa. Un análisis para el diseño pedagógico de un contenido educativo
2. Diseño pedagógico de un contenido educativo 
3. Producción de contenidos desde la autoría 
4. Implementación y evaluación de contenidos desde la autoría</t>
  </si>
  <si>
    <t>Diseño y Gestión de Proyectos Educativos</t>
  </si>
  <si>
    <t>Evalúa componentes pedagógicos, organizativos y de gestión en proyectos educativos, para formular propuestas que fortalezcan los procesos de innovación en contextos institucionales.</t>
  </si>
  <si>
    <t>1. Fundamentos de proyectos educativos
2. Formulación de proyectos educativos
3. Gestión de proyectos educativos
4. Evaluación de proyectos educativos</t>
  </si>
  <si>
    <t>Trabajo de Investigación</t>
  </si>
  <si>
    <t>Analiza los resultados del proceso investigativo, para comunicar las conclusiones y aportes del estudio sobre la innovación educativa.</t>
  </si>
  <si>
    <t>1. Estrategias para la escritura del documento final
2. Organización de los análisis de la investigación
3. Presentación de conclusiones y elaboración de la discusión
4. Estrategias para la socialización de los resultados de la investigación</t>
  </si>
  <si>
    <t>Electiva</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</si>
  <si>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</si>
  <si>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</si>
  <si>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</si>
  <si>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</si>
  <si>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</si>
  <si>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</si>
  <si>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</si>
  <si>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</si>
  <si>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</si>
  <si>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</si>
  <si>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</si>
  <si>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</si>
  <si>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</si>
  <si>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</si>
  <si>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</si>
  <si>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</si>
  <si>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</si>
  <si>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</si>
  <si>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</si>
  <si>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</si>
  <si>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</si>
  <si>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</si>
  <si>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</si>
  <si>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</si>
  <si>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</si>
  <si>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</si>
  <si>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</si>
  <si>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</si>
  <si>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</si>
  <si>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</si>
  <si>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</si>
  <si>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</si>
  <si>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</si>
  <si>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</si>
  <si>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</si>
  <si>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</si>
  <si>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</si>
  <si>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</si>
  <si>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</si>
  <si>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</si>
  <si>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</si>
  <si>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</si>
  <si>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</si>
  <si>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</si>
  <si>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</si>
  <si>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</si>
  <si>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</si>
  <si>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</si>
  <si>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</si>
  <si>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</si>
  <si>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ConocimientoB</t>
  </si>
  <si>
    <t>ComprensiónB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</si>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</sst>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4" tint="0.79998168889431442"/>
        <bgColor indexed="64"/>
      </patternFill>
    </fill>
    <fill>
      <patternFill patternType="solid">
        <fgColor theme="2"/>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style="medium">
        <color indexed="64"/>
      </top>
      <bottom style="medium">
        <color indexed="64"/>
      </bottom>
      <diagonal/>
    </border>
    <border>
      <left/>
      <right/>
      <top style="medium">
        <color indexed="64"/>
      </top>
      <bottom style="medium">
        <color indexed="64"/>
      </bottom>
      <diagonal/>
    </border>
    <border>
      <left/>
      <right/>
      <top style="medium">
        <color rgb="FF000000"/>
      </top>
      <bottom/>
      <diagonal/>
    </border>
    <border>
      <left style="hair">
        <color theme="1" tint="0.499984740745262"/>
      </left>
      <right/>
      <top style="medium">
        <color indexed="64"/>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style="hair">
        <color theme="1" tint="0.499984740745262"/>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thin">
        <color rgb="FF1FB2DE"/>
      </left>
      <right/>
      <top style="medium">
        <color indexed="64"/>
      </top>
      <bottom/>
      <diagonal/>
    </border>
    <border>
      <left style="thin">
        <color rgb="FF1FB2DE"/>
      </left>
      <right/>
      <top/>
      <bottom/>
      <diagonal/>
    </border>
    <border>
      <left style="thin">
        <color rgb="FF1FB2DE"/>
      </left>
      <right/>
      <top/>
      <bottom style="medium">
        <color indexed="64"/>
      </bottom>
      <diagonal/>
    </border>
    <border>
      <left style="thin">
        <color rgb="FF1FB2DE"/>
      </left>
      <right/>
      <top/>
      <bottom style="thin">
        <color indexed="64"/>
      </bottom>
      <diagonal/>
    </border>
    <border>
      <left/>
      <right/>
      <top/>
      <bottom style="thin">
        <color indexed="64"/>
      </bottom>
      <diagonal/>
    </border>
  </borders>
  <cellStyleXfs count="1">
    <xf numFmtId="0" fontId="0" fillId="0" borderId="0"/>
  </cellStyleXfs>
  <cellXfs count="12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2"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9" fillId="0" borderId="0" xfId="0" applyFont="1"/>
    <xf numFmtId="0" fontId="4" fillId="0" borderId="0" xfId="0" applyFont="1" applyAlignment="1">
      <alignment horizontal="left" vertical="center" wrapText="1"/>
    </xf>
    <xf numFmtId="0" fontId="3" fillId="9" borderId="15" xfId="0" applyFont="1" applyFill="1" applyBorder="1" applyAlignment="1">
      <alignment horizontal="center" vertical="center"/>
    </xf>
    <xf numFmtId="0" fontId="3" fillId="9" borderId="16" xfId="0" applyFont="1" applyFill="1" applyBorder="1" applyAlignment="1">
      <alignment vertical="center" wrapText="1"/>
    </xf>
    <xf numFmtId="0" fontId="3" fillId="9" borderId="16"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3" fillId="9" borderId="16" xfId="0" applyFont="1" applyFill="1" applyBorder="1" applyAlignment="1">
      <alignment horizontal="left" vertical="center" wrapText="1"/>
    </xf>
    <xf numFmtId="0" fontId="4" fillId="9" borderId="16" xfId="0" applyFont="1" applyFill="1" applyBorder="1" applyAlignment="1">
      <alignment vertical="center" wrapText="1"/>
    </xf>
    <xf numFmtId="0" fontId="4" fillId="0" borderId="10" xfId="0" applyFont="1" applyBorder="1" applyAlignment="1">
      <alignmen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19" fillId="10"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19" fillId="10" borderId="18" xfId="0" applyFont="1" applyFill="1" applyBorder="1" applyAlignment="1">
      <alignment horizontal="center" vertical="center" wrapText="1"/>
    </xf>
    <xf numFmtId="0" fontId="19" fillId="10"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9" fillId="0" borderId="0" xfId="0" applyFont="1" applyAlignment="1">
      <alignment vertical="center" wrapText="1"/>
    </xf>
    <xf numFmtId="0" fontId="9" fillId="0" borderId="9" xfId="0" applyFont="1" applyBorder="1" applyAlignment="1">
      <alignment vertical="center" wrapText="1"/>
    </xf>
    <xf numFmtId="0" fontId="9" fillId="0" borderId="8" xfId="0" applyFont="1" applyBorder="1" applyAlignment="1">
      <alignment vertical="center" wrapText="1"/>
    </xf>
    <xf numFmtId="0" fontId="9" fillId="0" borderId="7"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13" fillId="6" borderId="25" xfId="0" applyFont="1" applyFill="1" applyBorder="1" applyAlignment="1">
      <alignment horizontal="center" vertical="center" wrapText="1"/>
    </xf>
    <xf numFmtId="0" fontId="13" fillId="6" borderId="2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15" fillId="2" borderId="1" xfId="0" applyFont="1" applyFill="1" applyBorder="1" applyAlignment="1">
      <alignment horizontal="center" vertical="center" wrapText="1"/>
    </xf>
    <xf numFmtId="0" fontId="3" fillId="0" borderId="12" xfId="0" applyFont="1" applyBorder="1" applyAlignment="1">
      <alignment horizontal="left" vertical="center" wrapText="1"/>
    </xf>
    <xf numFmtId="0" fontId="9"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7" xfId="0" applyFont="1" applyBorder="1" applyAlignment="1">
      <alignment horizontal="center"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19" fillId="0" borderId="0" xfId="0" applyFont="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19.7265625" style="3" customWidth="1"/>
    <col min="2" max="2" width="16.7265625" style="3" customWidth="1"/>
    <col min="3" max="3" width="52.453125" style="3" customWidth="1"/>
    <col min="4" max="4" width="57" style="3" customWidth="1"/>
    <col min="5" max="5" width="31.81640625" style="3" customWidth="1"/>
    <col min="6" max="6" width="31.81640625" style="1" customWidth="1"/>
    <col min="7" max="7" width="33.54296875" style="1" customWidth="1"/>
    <col min="8" max="8" width="73.26953125" style="3" customWidth="1"/>
    <col min="9" max="9" width="65.81640625" style="3" customWidth="1"/>
    <col min="10" max="10" width="65" style="3" customWidth="1"/>
    <col min="11" max="11" width="70" style="3" customWidth="1"/>
    <col min="12" max="16384" width="76.26953125" style="3"/>
  </cols>
  <sheetData>
    <row r="1" spans="1:11" ht="42.5" x14ac:dyDescent="0.5">
      <c r="A1" s="35" t="s">
        <v>0</v>
      </c>
      <c r="B1" s="35" t="s">
        <v>1</v>
      </c>
      <c r="C1" s="35" t="s">
        <v>2</v>
      </c>
      <c r="D1" s="35" t="s">
        <v>3</v>
      </c>
      <c r="E1" s="105" t="s">
        <v>4</v>
      </c>
      <c r="F1" s="105"/>
      <c r="G1" s="105"/>
      <c r="H1" s="105" t="s">
        <v>5</v>
      </c>
      <c r="I1" s="105"/>
      <c r="J1" s="105"/>
      <c r="K1" s="36" t="s">
        <v>6</v>
      </c>
    </row>
    <row r="2" spans="1:11" s="4" customFormat="1" x14ac:dyDescent="0.5">
      <c r="A2" s="33" t="s">
        <v>7</v>
      </c>
      <c r="B2" s="33" t="s">
        <v>8</v>
      </c>
      <c r="C2" s="33" t="s">
        <v>9</v>
      </c>
      <c r="D2" s="33" t="s">
        <v>10</v>
      </c>
      <c r="E2" s="34" t="s">
        <v>11</v>
      </c>
      <c r="F2" s="34" t="s">
        <v>12</v>
      </c>
      <c r="G2" s="34" t="s">
        <v>13</v>
      </c>
      <c r="H2" s="37" t="s">
        <v>14</v>
      </c>
      <c r="I2" s="37" t="s">
        <v>15</v>
      </c>
      <c r="J2" s="37" t="s">
        <v>16</v>
      </c>
      <c r="K2" s="37" t="s">
        <v>17</v>
      </c>
    </row>
    <row r="3" spans="1:11" s="6" customFormat="1" ht="92.15" customHeight="1" x14ac:dyDescent="0.35">
      <c r="A3" s="80" t="s">
        <v>18</v>
      </c>
      <c r="B3" s="80" t="s">
        <v>19</v>
      </c>
      <c r="C3" s="106" t="s">
        <v>20</v>
      </c>
      <c r="D3" s="106" t="s">
        <v>21</v>
      </c>
      <c r="E3" s="38" t="s">
        <v>22</v>
      </c>
      <c r="F3" s="38" t="s">
        <v>23</v>
      </c>
      <c r="G3" s="38" t="s">
        <v>24</v>
      </c>
      <c r="H3" s="106" t="s">
        <v>25</v>
      </c>
      <c r="I3" s="106" t="s">
        <v>26</v>
      </c>
      <c r="J3" s="106" t="s">
        <v>27</v>
      </c>
      <c r="K3" s="106" t="s">
        <v>28</v>
      </c>
    </row>
    <row r="4" spans="1:11" s="6" customFormat="1" ht="92.15" customHeight="1" x14ac:dyDescent="0.35">
      <c r="A4" s="80"/>
      <c r="B4" s="80"/>
      <c r="C4" s="83"/>
      <c r="D4" s="83"/>
      <c r="E4" s="6" t="s">
        <v>29</v>
      </c>
      <c r="F4" s="23" t="s">
        <v>30</v>
      </c>
      <c r="G4" s="23" t="s">
        <v>31</v>
      </c>
      <c r="H4" s="83"/>
      <c r="I4" s="83"/>
      <c r="J4" s="83"/>
      <c r="K4" s="83"/>
    </row>
    <row r="5" spans="1:11" s="6" customFormat="1" ht="92.15" customHeight="1" x14ac:dyDescent="0.35">
      <c r="A5" s="80"/>
      <c r="B5" s="80"/>
      <c r="C5" s="83"/>
      <c r="D5" s="83"/>
      <c r="E5" s="6" t="s">
        <v>32</v>
      </c>
      <c r="F5" s="52" t="s">
        <v>33</v>
      </c>
      <c r="G5" s="23" t="s">
        <v>34</v>
      </c>
      <c r="H5" s="83"/>
      <c r="I5" s="83"/>
      <c r="J5" s="83"/>
      <c r="K5" s="83"/>
    </row>
    <row r="6" spans="1:11" s="5" customFormat="1" x14ac:dyDescent="0.35">
      <c r="A6" s="80"/>
      <c r="B6" s="80"/>
      <c r="E6" s="6"/>
      <c r="F6" s="6"/>
      <c r="G6" s="24"/>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H1:J1"/>
    <mergeCell ref="E1:G1"/>
    <mergeCell ref="A3:A6"/>
    <mergeCell ref="B3:B6"/>
    <mergeCell ref="K3:K5"/>
    <mergeCell ref="D3:D5"/>
    <mergeCell ref="C3:C5"/>
    <mergeCell ref="H3:H5"/>
    <mergeCell ref="I3:I5"/>
    <mergeCell ref="J3:J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sqref="A1:G1"/>
    </sheetView>
  </sheetViews>
  <sheetFormatPr baseColWidth="10" defaultColWidth="11.453125" defaultRowHeight="16.5" x14ac:dyDescent="0.5"/>
  <cols>
    <col min="1" max="1" width="19" style="3" customWidth="1"/>
    <col min="2" max="2" width="24" style="3" customWidth="1"/>
    <col min="3" max="4" width="31.26953125" style="3" customWidth="1"/>
    <col min="5" max="5" width="41.54296875" style="3" customWidth="1"/>
    <col min="6" max="6" width="97.81640625" style="3" customWidth="1"/>
    <col min="7" max="7" width="34.453125" style="3" customWidth="1"/>
    <col min="8" max="16384" width="11.453125" style="3"/>
  </cols>
  <sheetData>
    <row r="1" spans="1:7" s="5" customFormat="1" ht="16.5" customHeight="1" x14ac:dyDescent="0.35">
      <c r="A1" s="77" t="s">
        <v>35</v>
      </c>
      <c r="B1" s="78"/>
      <c r="C1" s="78"/>
      <c r="D1" s="78"/>
      <c r="E1" s="78"/>
      <c r="F1" s="78"/>
      <c r="G1" s="78"/>
    </row>
    <row r="2" spans="1:7" ht="52" x14ac:dyDescent="0.5">
      <c r="A2" s="45" t="s">
        <v>36</v>
      </c>
      <c r="B2" s="46" t="s">
        <v>37</v>
      </c>
      <c r="C2" s="46" t="s">
        <v>38</v>
      </c>
      <c r="D2" s="46" t="s">
        <v>39</v>
      </c>
      <c r="E2" s="46" t="s">
        <v>40</v>
      </c>
      <c r="F2" s="47" t="s">
        <v>41</v>
      </c>
      <c r="G2" s="47" t="s">
        <v>42</v>
      </c>
    </row>
    <row r="3" spans="1:7" x14ac:dyDescent="0.5">
      <c r="A3" s="48" t="s">
        <v>43</v>
      </c>
      <c r="B3" s="49" t="s">
        <v>44</v>
      </c>
      <c r="C3" s="49" t="s">
        <v>45</v>
      </c>
      <c r="D3" s="49" t="s">
        <v>46</v>
      </c>
      <c r="E3" s="49" t="s">
        <v>47</v>
      </c>
      <c r="F3" s="50" t="s">
        <v>48</v>
      </c>
      <c r="G3" s="50" t="s">
        <v>49</v>
      </c>
    </row>
    <row r="4" spans="1:7" s="5" customFormat="1" ht="66" x14ac:dyDescent="0.35">
      <c r="A4" s="7">
        <v>1</v>
      </c>
      <c r="B4" s="32" t="s">
        <v>50</v>
      </c>
      <c r="C4" s="31" t="s">
        <v>22</v>
      </c>
      <c r="D4" s="59" t="s">
        <v>23</v>
      </c>
      <c r="E4" s="59" t="s">
        <v>24</v>
      </c>
      <c r="F4" s="6" t="s">
        <v>51</v>
      </c>
      <c r="G4" s="5" t="s">
        <v>52</v>
      </c>
    </row>
    <row r="5" spans="1:7" s="5" customFormat="1" ht="55.5" customHeight="1" x14ac:dyDescent="0.35">
      <c r="A5" s="7">
        <v>2</v>
      </c>
      <c r="B5" s="24" t="s">
        <v>53</v>
      </c>
      <c r="C5" s="5" t="s">
        <v>29</v>
      </c>
      <c r="D5" s="23" t="s">
        <v>30</v>
      </c>
      <c r="E5" s="23" t="s">
        <v>31</v>
      </c>
      <c r="F5" s="6" t="s">
        <v>54</v>
      </c>
      <c r="G5" s="5" t="s">
        <v>52</v>
      </c>
    </row>
    <row r="6" spans="1:7" s="5" customFormat="1" ht="61" customHeight="1" x14ac:dyDescent="0.35">
      <c r="A6" s="7">
        <v>3</v>
      </c>
      <c r="B6" s="24" t="s">
        <v>55</v>
      </c>
      <c r="C6" s="5" t="s">
        <v>32</v>
      </c>
      <c r="D6" s="23" t="s">
        <v>33</v>
      </c>
      <c r="E6" s="23" t="s">
        <v>34</v>
      </c>
      <c r="F6" s="6" t="s">
        <v>56</v>
      </c>
      <c r="G6" s="5" t="s">
        <v>52</v>
      </c>
    </row>
    <row r="7" spans="1:7" x14ac:dyDescent="0.5">
      <c r="B7" s="1"/>
      <c r="D7" s="4"/>
      <c r="E7" s="1"/>
    </row>
    <row r="8" spans="1:7" x14ac:dyDescent="0.5">
      <c r="B8" s="1"/>
    </row>
  </sheetData>
  <dataValidations count="2">
    <dataValidation type="list" allowBlank="1" showInputMessage="1" showErrorMessage="1" sqref="C7: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05C7127-8E6F-42D3-BE28-8BCBF1F8697F}">
          <x14:formula1>
            <xm:f>'Paso1 Analisis perfil egreso'!$E$3:$E$5</xm:f>
          </x14:formula1>
          <xm:sqref>C4:C6</xm:sqref>
        </x14:dataValidation>
        <x14:dataValidation type="list" allowBlank="1" showInputMessage="1" showErrorMessage="1" xr:uid="{A9E910AC-73BC-4736-ACDB-728A84F64CAF}">
          <x14:formula1>
            <xm:f>'Paso1 Analisis perfil egreso'!$F$3:$F$5</xm:f>
          </x14:formula1>
          <xm:sqref>D4:D6</xm:sqref>
        </x14:dataValidation>
        <x14:dataValidation type="list" allowBlank="1" showInputMessage="1" showErrorMessage="1" xr:uid="{B51B92CD-B1B8-4FEE-AE64-5586DD4CF093}">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28.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35" t="s">
        <v>57</v>
      </c>
      <c r="B1" s="35" t="s">
        <v>58</v>
      </c>
      <c r="C1" s="40" t="s">
        <v>59</v>
      </c>
      <c r="D1" s="41" t="s">
        <v>60</v>
      </c>
      <c r="E1" s="41" t="s">
        <v>61</v>
      </c>
      <c r="F1" s="40" t="s">
        <v>62</v>
      </c>
      <c r="G1" s="40" t="s">
        <v>63</v>
      </c>
      <c r="H1" s="40" t="s">
        <v>64</v>
      </c>
      <c r="I1" s="35" t="s">
        <v>65</v>
      </c>
    </row>
    <row r="2" spans="1:9" ht="33.5" thickBot="1" x14ac:dyDescent="0.4">
      <c r="A2" s="39" t="s">
        <v>66</v>
      </c>
      <c r="B2" s="39" t="s">
        <v>67</v>
      </c>
      <c r="C2" s="42" t="s">
        <v>68</v>
      </c>
      <c r="D2" s="43" t="s">
        <v>69</v>
      </c>
      <c r="E2" s="43" t="s">
        <v>70</v>
      </c>
      <c r="F2" s="42" t="s">
        <v>71</v>
      </c>
      <c r="G2" s="42" t="s">
        <v>72</v>
      </c>
      <c r="H2" s="42" t="s">
        <v>73</v>
      </c>
      <c r="I2" s="39" t="s">
        <v>74</v>
      </c>
    </row>
    <row r="3" spans="1:9" ht="82.5" x14ac:dyDescent="0.35">
      <c r="A3" s="74" t="s">
        <v>51</v>
      </c>
      <c r="B3" s="72">
        <v>1</v>
      </c>
      <c r="C3" s="20" t="s">
        <v>11</v>
      </c>
      <c r="D3" s="20" t="s">
        <v>22</v>
      </c>
      <c r="E3" s="20" t="s">
        <v>75</v>
      </c>
      <c r="F3" s="28" t="s">
        <v>76</v>
      </c>
      <c r="G3" s="29" t="s">
        <v>77</v>
      </c>
      <c r="H3" s="29" t="s">
        <v>78</v>
      </c>
      <c r="I3" s="60" t="s">
        <v>79</v>
      </c>
    </row>
    <row r="4" spans="1:9" ht="49.5" x14ac:dyDescent="0.35">
      <c r="A4" s="75" t="s">
        <v>51</v>
      </c>
      <c r="B4" s="7">
        <v>2</v>
      </c>
      <c r="C4" s="6" t="s">
        <v>12</v>
      </c>
      <c r="D4" s="6" t="s">
        <v>23</v>
      </c>
      <c r="E4" s="6" t="s">
        <v>75</v>
      </c>
      <c r="F4" s="5" t="s">
        <v>80</v>
      </c>
      <c r="G4" s="24" t="s">
        <v>81</v>
      </c>
      <c r="H4" s="24" t="s">
        <v>50</v>
      </c>
      <c r="I4" s="25" t="s">
        <v>82</v>
      </c>
    </row>
    <row r="5" spans="1:9" ht="50" thickBot="1" x14ac:dyDescent="0.4">
      <c r="A5" s="75" t="s">
        <v>51</v>
      </c>
      <c r="B5" s="73">
        <v>4</v>
      </c>
      <c r="C5" s="6" t="s">
        <v>13</v>
      </c>
      <c r="D5" s="6" t="s">
        <v>24</v>
      </c>
      <c r="E5" s="6" t="s">
        <v>75</v>
      </c>
      <c r="F5" s="5" t="s">
        <v>83</v>
      </c>
      <c r="G5" s="24" t="s">
        <v>84</v>
      </c>
      <c r="H5" s="24" t="s">
        <v>55</v>
      </c>
      <c r="I5" s="61" t="s">
        <v>85</v>
      </c>
    </row>
    <row r="6" spans="1:9" ht="66" x14ac:dyDescent="0.35">
      <c r="A6" s="74" t="s">
        <v>54</v>
      </c>
      <c r="B6" s="72">
        <v>1</v>
      </c>
      <c r="C6" s="20" t="s">
        <v>11</v>
      </c>
      <c r="D6" s="20" t="s">
        <v>29</v>
      </c>
      <c r="E6" s="20" t="s">
        <v>75</v>
      </c>
      <c r="F6" s="28" t="s">
        <v>76</v>
      </c>
      <c r="G6" s="29" t="s">
        <v>77</v>
      </c>
      <c r="H6" s="29" t="s">
        <v>78</v>
      </c>
      <c r="I6" s="60" t="s">
        <v>79</v>
      </c>
    </row>
    <row r="7" spans="1:9" ht="49.5" x14ac:dyDescent="0.35">
      <c r="A7" s="75" t="s">
        <v>54</v>
      </c>
      <c r="B7" s="7">
        <v>2</v>
      </c>
      <c r="C7" s="6" t="s">
        <v>12</v>
      </c>
      <c r="D7" s="6" t="s">
        <v>30</v>
      </c>
      <c r="E7" s="6" t="s">
        <v>75</v>
      </c>
      <c r="F7" s="5" t="s">
        <v>80</v>
      </c>
      <c r="G7" s="24" t="s">
        <v>81</v>
      </c>
      <c r="H7" s="24" t="s">
        <v>50</v>
      </c>
      <c r="I7" s="25" t="s">
        <v>82</v>
      </c>
    </row>
    <row r="8" spans="1:9" ht="50" thickBot="1" x14ac:dyDescent="0.4">
      <c r="A8" s="75" t="s">
        <v>54</v>
      </c>
      <c r="B8" s="73">
        <v>4</v>
      </c>
      <c r="C8" s="6" t="s">
        <v>13</v>
      </c>
      <c r="D8" s="6" t="s">
        <v>31</v>
      </c>
      <c r="E8" s="6" t="s">
        <v>75</v>
      </c>
      <c r="F8" s="5" t="s">
        <v>83</v>
      </c>
      <c r="G8" s="24" t="s">
        <v>84</v>
      </c>
      <c r="H8" s="24" t="s">
        <v>55</v>
      </c>
      <c r="I8" s="61" t="s">
        <v>85</v>
      </c>
    </row>
    <row r="9" spans="1:9" ht="66" x14ac:dyDescent="0.35">
      <c r="A9" s="74" t="s">
        <v>56</v>
      </c>
      <c r="B9" s="72">
        <v>1</v>
      </c>
      <c r="C9" s="20" t="s">
        <v>11</v>
      </c>
      <c r="D9" s="20" t="s">
        <v>32</v>
      </c>
      <c r="E9" s="20" t="s">
        <v>75</v>
      </c>
      <c r="F9" s="28" t="s">
        <v>76</v>
      </c>
      <c r="G9" s="29" t="s">
        <v>77</v>
      </c>
      <c r="H9" s="29" t="s">
        <v>78</v>
      </c>
      <c r="I9" s="60" t="s">
        <v>79</v>
      </c>
    </row>
    <row r="10" spans="1:9" ht="66" x14ac:dyDescent="0.35">
      <c r="A10" s="75" t="s">
        <v>56</v>
      </c>
      <c r="B10" s="7">
        <v>3</v>
      </c>
      <c r="C10" s="6" t="s">
        <v>12</v>
      </c>
      <c r="D10" s="6" t="s">
        <v>33</v>
      </c>
      <c r="E10" s="6" t="s">
        <v>75</v>
      </c>
      <c r="F10" s="5" t="s">
        <v>80</v>
      </c>
      <c r="G10" s="24" t="s">
        <v>81</v>
      </c>
      <c r="H10" s="24" t="s">
        <v>55</v>
      </c>
      <c r="I10" s="25" t="s">
        <v>86</v>
      </c>
    </row>
    <row r="11" spans="1:9" ht="50" thickBot="1" x14ac:dyDescent="0.4">
      <c r="A11" s="76" t="s">
        <v>56</v>
      </c>
      <c r="B11" s="73">
        <v>4</v>
      </c>
      <c r="C11" s="21" t="s">
        <v>13</v>
      </c>
      <c r="D11" s="21" t="s">
        <v>34</v>
      </c>
      <c r="E11" s="21" t="s">
        <v>75</v>
      </c>
      <c r="F11" s="27" t="s">
        <v>83</v>
      </c>
      <c r="G11" s="30" t="s">
        <v>84</v>
      </c>
      <c r="H11" s="30" t="s">
        <v>55</v>
      </c>
      <c r="I11" s="61" t="s">
        <v>85</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3:D11"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4"/>
  <sheetViews>
    <sheetView zoomScaleNormal="100" workbookViewId="0"/>
  </sheetViews>
  <sheetFormatPr baseColWidth="10" defaultColWidth="11.453125" defaultRowHeight="16.5" x14ac:dyDescent="0.35"/>
  <cols>
    <col min="1" max="1" width="72" style="24" customWidth="1"/>
    <col min="2" max="2" width="43.81640625" style="24" customWidth="1"/>
    <col min="3" max="3" width="58.54296875" style="24" customWidth="1"/>
    <col min="4" max="4" width="51.81640625" style="24" customWidth="1"/>
    <col min="5" max="5" width="40.54296875" style="24" customWidth="1"/>
    <col min="6" max="6" width="38.54296875" style="24" customWidth="1"/>
    <col min="7" max="16384" width="11.453125" style="24"/>
  </cols>
  <sheetData>
    <row r="1" spans="1:6" ht="65" x14ac:dyDescent="0.35">
      <c r="A1" s="35" t="s">
        <v>87</v>
      </c>
      <c r="B1" s="35" t="s">
        <v>88</v>
      </c>
      <c r="C1" s="35" t="s">
        <v>89</v>
      </c>
      <c r="D1" s="35" t="s">
        <v>90</v>
      </c>
      <c r="E1" s="35" t="s">
        <v>91</v>
      </c>
      <c r="F1" s="35" t="s">
        <v>92</v>
      </c>
    </row>
    <row r="2" spans="1:6" ht="33" x14ac:dyDescent="0.35">
      <c r="A2" s="39" t="s">
        <v>93</v>
      </c>
      <c r="B2" s="39" t="s">
        <v>94</v>
      </c>
      <c r="C2" s="39" t="s">
        <v>95</v>
      </c>
      <c r="D2" s="39" t="s">
        <v>96</v>
      </c>
      <c r="E2" s="39" t="s">
        <v>97</v>
      </c>
      <c r="F2" s="39" t="s">
        <v>98</v>
      </c>
    </row>
    <row r="3" spans="1:6" ht="66" x14ac:dyDescent="0.35">
      <c r="A3" s="68" t="s">
        <v>79</v>
      </c>
      <c r="B3" s="86" t="s">
        <v>99</v>
      </c>
      <c r="C3" s="95" t="s">
        <v>100</v>
      </c>
      <c r="D3" s="25" t="s">
        <v>101</v>
      </c>
      <c r="E3" s="110" t="s">
        <v>102</v>
      </c>
      <c r="F3" s="5" t="s">
        <v>103</v>
      </c>
    </row>
    <row r="4" spans="1:6" ht="49.5" x14ac:dyDescent="0.35">
      <c r="A4" s="68" t="s">
        <v>82</v>
      </c>
      <c r="B4" s="86"/>
      <c r="C4" s="95"/>
      <c r="D4" s="25" t="s">
        <v>104</v>
      </c>
      <c r="E4" s="108"/>
      <c r="F4" s="5" t="s">
        <v>105</v>
      </c>
    </row>
    <row r="5" spans="1:6" ht="33" x14ac:dyDescent="0.35">
      <c r="A5" s="68" t="s">
        <v>85</v>
      </c>
      <c r="B5" s="86"/>
      <c r="C5" s="95"/>
      <c r="D5" s="25" t="s">
        <v>106</v>
      </c>
      <c r="E5" s="108"/>
      <c r="F5" s="5" t="s">
        <v>107</v>
      </c>
    </row>
    <row r="6" spans="1:6" ht="50" thickBot="1" x14ac:dyDescent="0.4">
      <c r="A6" s="69" t="s">
        <v>86</v>
      </c>
      <c r="B6" s="113"/>
      <c r="C6" s="114"/>
      <c r="D6" s="61"/>
      <c r="E6" s="111"/>
      <c r="F6" s="26"/>
    </row>
    <row r="7" spans="1:6" ht="66" customHeight="1" x14ac:dyDescent="0.35">
      <c r="A7" s="68" t="s">
        <v>79</v>
      </c>
      <c r="B7" s="86" t="s">
        <v>108</v>
      </c>
      <c r="C7" s="95" t="s">
        <v>109</v>
      </c>
      <c r="D7" s="25" t="s">
        <v>101</v>
      </c>
      <c r="E7" s="112" t="s">
        <v>110</v>
      </c>
      <c r="F7" s="5" t="s">
        <v>103</v>
      </c>
    </row>
    <row r="8" spans="1:6" ht="33" x14ac:dyDescent="0.35">
      <c r="A8" s="68" t="s">
        <v>85</v>
      </c>
      <c r="B8" s="86"/>
      <c r="C8" s="95"/>
      <c r="D8" s="25" t="s">
        <v>111</v>
      </c>
      <c r="E8" s="108"/>
      <c r="F8" s="5" t="s">
        <v>112</v>
      </c>
    </row>
    <row r="9" spans="1:6" ht="50" thickBot="1" x14ac:dyDescent="0.4">
      <c r="A9" s="70" t="s">
        <v>86</v>
      </c>
      <c r="B9" s="87"/>
      <c r="C9" s="96"/>
      <c r="D9" s="61" t="s">
        <v>106</v>
      </c>
      <c r="E9" s="109"/>
      <c r="F9" s="27" t="s">
        <v>107</v>
      </c>
    </row>
    <row r="10" spans="1:6" ht="66" customHeight="1" x14ac:dyDescent="0.35">
      <c r="A10" s="71" t="s">
        <v>79</v>
      </c>
      <c r="B10" s="85" t="s">
        <v>113</v>
      </c>
      <c r="C10" s="94" t="s">
        <v>114</v>
      </c>
      <c r="D10" s="25" t="s">
        <v>101</v>
      </c>
      <c r="E10" s="107" t="s">
        <v>115</v>
      </c>
      <c r="F10" s="5" t="s">
        <v>103</v>
      </c>
    </row>
    <row r="11" spans="1:6" ht="33" x14ac:dyDescent="0.35">
      <c r="A11" s="68" t="s">
        <v>85</v>
      </c>
      <c r="B11" s="86"/>
      <c r="C11" s="95"/>
      <c r="D11" s="25" t="s">
        <v>111</v>
      </c>
      <c r="E11" s="108"/>
      <c r="F11" s="5" t="s">
        <v>112</v>
      </c>
    </row>
    <row r="12" spans="1:6" ht="50" thickBot="1" x14ac:dyDescent="0.4">
      <c r="A12" s="70" t="s">
        <v>86</v>
      </c>
      <c r="B12" s="87"/>
      <c r="C12" s="96"/>
      <c r="D12" s="61" t="s">
        <v>106</v>
      </c>
      <c r="E12" s="109"/>
      <c r="F12" s="27" t="s">
        <v>107</v>
      </c>
    </row>
    <row r="13" spans="1:6" ht="66" customHeight="1" x14ac:dyDescent="0.35">
      <c r="A13" s="71" t="s">
        <v>79</v>
      </c>
      <c r="B13" s="85" t="s">
        <v>116</v>
      </c>
      <c r="C13" s="94" t="s">
        <v>117</v>
      </c>
      <c r="D13" s="60" t="s">
        <v>101</v>
      </c>
      <c r="E13" s="108" t="s">
        <v>118</v>
      </c>
      <c r="F13" s="5" t="s">
        <v>103</v>
      </c>
    </row>
    <row r="14" spans="1:6" ht="66" customHeight="1" x14ac:dyDescent="0.35">
      <c r="A14" s="68" t="s">
        <v>82</v>
      </c>
      <c r="B14" s="86"/>
      <c r="C14" s="95"/>
      <c r="D14" s="25" t="s">
        <v>104</v>
      </c>
      <c r="E14" s="108"/>
      <c r="F14" s="5" t="s">
        <v>112</v>
      </c>
    </row>
    <row r="15" spans="1:6" ht="33" x14ac:dyDescent="0.35">
      <c r="A15" s="68" t="s">
        <v>85</v>
      </c>
      <c r="B15" s="86"/>
      <c r="C15" s="95"/>
      <c r="D15" s="25" t="s">
        <v>106</v>
      </c>
      <c r="E15" s="108"/>
      <c r="F15" s="5" t="s">
        <v>107</v>
      </c>
    </row>
    <row r="16" spans="1:6" ht="50" thickBot="1" x14ac:dyDescent="0.4">
      <c r="A16" s="70" t="s">
        <v>86</v>
      </c>
      <c r="B16" s="87"/>
      <c r="C16" s="96"/>
      <c r="D16" s="30"/>
      <c r="E16" s="108"/>
      <c r="F16" s="27"/>
    </row>
    <row r="17" spans="1:6" ht="66" customHeight="1" x14ac:dyDescent="0.35">
      <c r="A17" s="68" t="s">
        <v>79</v>
      </c>
      <c r="B17" s="86" t="s">
        <v>119</v>
      </c>
      <c r="C17" s="95" t="s">
        <v>120</v>
      </c>
      <c r="D17" s="60" t="s">
        <v>101</v>
      </c>
      <c r="E17" s="112" t="s">
        <v>121</v>
      </c>
      <c r="F17" s="5" t="s">
        <v>103</v>
      </c>
    </row>
    <row r="18" spans="1:6" ht="66" customHeight="1" x14ac:dyDescent="0.35">
      <c r="A18" s="68" t="s">
        <v>82</v>
      </c>
      <c r="B18" s="86"/>
      <c r="C18" s="95"/>
      <c r="D18" s="25" t="s">
        <v>104</v>
      </c>
      <c r="E18" s="108"/>
      <c r="F18" s="5" t="s">
        <v>112</v>
      </c>
    </row>
    <row r="19" spans="1:6" ht="33" x14ac:dyDescent="0.35">
      <c r="A19" s="68" t="s">
        <v>85</v>
      </c>
      <c r="B19" s="86"/>
      <c r="C19" s="95"/>
      <c r="D19" s="25" t="s">
        <v>106</v>
      </c>
      <c r="E19" s="108"/>
      <c r="F19" s="5" t="s">
        <v>107</v>
      </c>
    </row>
    <row r="20" spans="1:6" ht="50" thickBot="1" x14ac:dyDescent="0.4">
      <c r="A20" s="70" t="s">
        <v>86</v>
      </c>
      <c r="B20" s="87"/>
      <c r="C20" s="96"/>
      <c r="D20" s="61"/>
      <c r="E20" s="109"/>
      <c r="F20" s="27"/>
    </row>
    <row r="21" spans="1:6" ht="66" customHeight="1" x14ac:dyDescent="0.35">
      <c r="A21" s="71" t="s">
        <v>79</v>
      </c>
      <c r="B21" s="85" t="s">
        <v>122</v>
      </c>
      <c r="C21" s="94" t="s">
        <v>123</v>
      </c>
      <c r="D21" s="60" t="s">
        <v>101</v>
      </c>
      <c r="E21" s="107" t="s">
        <v>124</v>
      </c>
      <c r="F21" s="28" t="s">
        <v>103</v>
      </c>
    </row>
    <row r="22" spans="1:6" ht="33" x14ac:dyDescent="0.35">
      <c r="A22" s="68" t="s">
        <v>85</v>
      </c>
      <c r="B22" s="86"/>
      <c r="C22" s="95"/>
      <c r="D22" s="25" t="s">
        <v>104</v>
      </c>
      <c r="E22" s="108"/>
      <c r="F22" s="5" t="s">
        <v>112</v>
      </c>
    </row>
    <row r="23" spans="1:6" ht="50" thickBot="1" x14ac:dyDescent="0.4">
      <c r="A23" s="70" t="s">
        <v>86</v>
      </c>
      <c r="B23" s="87"/>
      <c r="C23" s="96"/>
      <c r="D23" s="61" t="s">
        <v>106</v>
      </c>
      <c r="E23" s="109"/>
      <c r="F23" s="27" t="s">
        <v>107</v>
      </c>
    </row>
    <row r="24" spans="1:6" ht="66" customHeight="1" x14ac:dyDescent="0.35">
      <c r="A24" s="71" t="s">
        <v>82</v>
      </c>
      <c r="B24" s="85" t="s">
        <v>125</v>
      </c>
      <c r="C24" s="94" t="s">
        <v>126</v>
      </c>
      <c r="D24" s="60" t="s">
        <v>101</v>
      </c>
      <c r="E24" s="107" t="s">
        <v>127</v>
      </c>
      <c r="F24" s="28" t="s">
        <v>103</v>
      </c>
    </row>
    <row r="25" spans="1:6" ht="33" x14ac:dyDescent="0.35">
      <c r="A25" s="68" t="s">
        <v>85</v>
      </c>
      <c r="B25" s="86"/>
      <c r="C25" s="95"/>
      <c r="D25" s="25" t="s">
        <v>104</v>
      </c>
      <c r="E25" s="108"/>
      <c r="F25" s="5" t="s">
        <v>112</v>
      </c>
    </row>
    <row r="26" spans="1:6" ht="50" thickBot="1" x14ac:dyDescent="0.4">
      <c r="A26" s="70" t="s">
        <v>86</v>
      </c>
      <c r="B26" s="87"/>
      <c r="C26" s="96"/>
      <c r="D26" s="61" t="s">
        <v>106</v>
      </c>
      <c r="E26" s="109"/>
      <c r="F26" s="27" t="s">
        <v>107</v>
      </c>
    </row>
    <row r="27" spans="1:6" ht="66" customHeight="1" x14ac:dyDescent="0.35">
      <c r="A27" s="71" t="s">
        <v>79</v>
      </c>
      <c r="B27" s="85" t="s">
        <v>128</v>
      </c>
      <c r="C27" s="94" t="s">
        <v>129</v>
      </c>
      <c r="D27" s="60" t="s">
        <v>101</v>
      </c>
      <c r="E27" s="107" t="s">
        <v>130</v>
      </c>
      <c r="F27" s="28" t="s">
        <v>103</v>
      </c>
    </row>
    <row r="28" spans="1:6" ht="66" customHeight="1" x14ac:dyDescent="0.35">
      <c r="A28" s="68" t="s">
        <v>82</v>
      </c>
      <c r="B28" s="86"/>
      <c r="C28" s="95"/>
      <c r="D28" s="25" t="s">
        <v>131</v>
      </c>
      <c r="E28" s="108"/>
      <c r="F28" s="5" t="s">
        <v>112</v>
      </c>
    </row>
    <row r="29" spans="1:6" ht="33" x14ac:dyDescent="0.35">
      <c r="A29" s="68" t="s">
        <v>85</v>
      </c>
      <c r="B29" s="86"/>
      <c r="C29" s="95"/>
      <c r="D29" s="25" t="s">
        <v>106</v>
      </c>
      <c r="E29" s="108"/>
      <c r="F29" s="24" t="s">
        <v>107</v>
      </c>
    </row>
    <row r="30" spans="1:6" ht="50" thickBot="1" x14ac:dyDescent="0.4">
      <c r="A30" s="70" t="s">
        <v>86</v>
      </c>
      <c r="B30" s="87"/>
      <c r="C30" s="96"/>
      <c r="D30" s="61"/>
      <c r="E30" s="109"/>
      <c r="F30" s="27"/>
    </row>
    <row r="31" spans="1:6" ht="66" customHeight="1" x14ac:dyDescent="0.35">
      <c r="A31" s="71" t="s">
        <v>82</v>
      </c>
      <c r="B31" s="85" t="s">
        <v>132</v>
      </c>
      <c r="C31" s="94" t="s">
        <v>133</v>
      </c>
      <c r="D31" s="60" t="s">
        <v>101</v>
      </c>
      <c r="E31" s="107" t="s">
        <v>134</v>
      </c>
      <c r="F31" s="28" t="s">
        <v>103</v>
      </c>
    </row>
    <row r="32" spans="1:6" ht="33" x14ac:dyDescent="0.35">
      <c r="A32" s="68" t="s">
        <v>85</v>
      </c>
      <c r="B32" s="86"/>
      <c r="C32" s="95"/>
      <c r="D32" s="25" t="s">
        <v>104</v>
      </c>
      <c r="E32" s="108"/>
      <c r="F32" s="5" t="s">
        <v>135</v>
      </c>
    </row>
    <row r="33" spans="1:6" ht="50" thickBot="1" x14ac:dyDescent="0.4">
      <c r="A33" s="70" t="s">
        <v>86</v>
      </c>
      <c r="B33" s="87"/>
      <c r="C33" s="96"/>
      <c r="D33" s="61" t="s">
        <v>106</v>
      </c>
      <c r="E33" s="109"/>
      <c r="F33" s="27" t="s">
        <v>107</v>
      </c>
    </row>
    <row r="34" spans="1:6" ht="66" customHeight="1" x14ac:dyDescent="0.35">
      <c r="A34" s="71" t="s">
        <v>79</v>
      </c>
      <c r="B34" s="85" t="s">
        <v>136</v>
      </c>
      <c r="C34" s="94" t="s">
        <v>137</v>
      </c>
      <c r="D34" s="60" t="s">
        <v>101</v>
      </c>
      <c r="E34" s="107" t="s">
        <v>138</v>
      </c>
      <c r="F34" s="28" t="s">
        <v>103</v>
      </c>
    </row>
    <row r="35" spans="1:6" ht="49.5" x14ac:dyDescent="0.35">
      <c r="A35" s="68" t="s">
        <v>82</v>
      </c>
      <c r="B35" s="86"/>
      <c r="C35" s="95"/>
      <c r="D35" s="25" t="s">
        <v>139</v>
      </c>
      <c r="E35" s="108"/>
      <c r="F35" s="5" t="s">
        <v>140</v>
      </c>
    </row>
    <row r="36" spans="1:6" ht="50" thickBot="1" x14ac:dyDescent="0.4">
      <c r="A36" s="70" t="s">
        <v>85</v>
      </c>
      <c r="B36" s="87"/>
      <c r="C36" s="96"/>
      <c r="D36" s="61" t="s">
        <v>141</v>
      </c>
      <c r="E36" s="109"/>
      <c r="F36" s="27" t="s">
        <v>107</v>
      </c>
    </row>
    <row r="37" spans="1:6" ht="66" customHeight="1" x14ac:dyDescent="0.35">
      <c r="A37" s="71" t="s">
        <v>79</v>
      </c>
      <c r="B37" s="107" t="s">
        <v>142</v>
      </c>
      <c r="C37" s="94" t="s">
        <v>143</v>
      </c>
      <c r="D37" s="60" t="s">
        <v>101</v>
      </c>
      <c r="E37" s="107" t="s">
        <v>144</v>
      </c>
      <c r="F37" s="28" t="s">
        <v>103</v>
      </c>
    </row>
    <row r="38" spans="1:6" ht="66" customHeight="1" x14ac:dyDescent="0.35">
      <c r="A38" s="68" t="s">
        <v>82</v>
      </c>
      <c r="B38" s="108"/>
      <c r="C38" s="95"/>
      <c r="D38" s="25" t="s">
        <v>139</v>
      </c>
      <c r="E38" s="108"/>
      <c r="F38" s="5" t="s">
        <v>140</v>
      </c>
    </row>
    <row r="39" spans="1:6" ht="49.5" x14ac:dyDescent="0.35">
      <c r="A39" s="68" t="s">
        <v>85</v>
      </c>
      <c r="B39" s="108"/>
      <c r="C39" s="95"/>
      <c r="D39" s="25" t="s">
        <v>141</v>
      </c>
      <c r="E39" s="108"/>
      <c r="F39" s="5" t="s">
        <v>107</v>
      </c>
    </row>
    <row r="40" spans="1:6" ht="50" thickBot="1" x14ac:dyDescent="0.4">
      <c r="A40" s="70" t="s">
        <v>86</v>
      </c>
      <c r="B40" s="109"/>
      <c r="C40" s="96"/>
      <c r="D40" s="61"/>
      <c r="E40" s="109"/>
      <c r="F40" s="27"/>
    </row>
    <row r="41" spans="1:6" ht="66" customHeight="1" x14ac:dyDescent="0.35">
      <c r="A41" s="71" t="s">
        <v>79</v>
      </c>
      <c r="B41" s="107" t="s">
        <v>145</v>
      </c>
      <c r="C41" s="94" t="s">
        <v>146</v>
      </c>
      <c r="D41" s="60" t="s">
        <v>101</v>
      </c>
      <c r="E41" s="107" t="s">
        <v>147</v>
      </c>
      <c r="F41" s="28" t="s">
        <v>103</v>
      </c>
    </row>
    <row r="42" spans="1:6" ht="66" customHeight="1" x14ac:dyDescent="0.35">
      <c r="A42" s="68" t="s">
        <v>82</v>
      </c>
      <c r="B42" s="108"/>
      <c r="C42" s="95"/>
      <c r="D42" s="25" t="s">
        <v>139</v>
      </c>
      <c r="E42" s="108"/>
      <c r="F42" s="5" t="s">
        <v>140</v>
      </c>
    </row>
    <row r="43" spans="1:6" ht="49.5" x14ac:dyDescent="0.35">
      <c r="A43" s="68" t="s">
        <v>85</v>
      </c>
      <c r="B43" s="108"/>
      <c r="C43" s="95"/>
      <c r="D43" s="25" t="s">
        <v>141</v>
      </c>
      <c r="E43" s="108"/>
      <c r="F43" s="5" t="s">
        <v>107</v>
      </c>
    </row>
    <row r="44" spans="1:6" ht="50" thickBot="1" x14ac:dyDescent="0.4">
      <c r="A44" s="70" t="s">
        <v>86</v>
      </c>
      <c r="B44" s="109"/>
      <c r="C44" s="96"/>
      <c r="D44" s="61"/>
      <c r="E44" s="109"/>
      <c r="F44" s="27"/>
    </row>
  </sheetData>
  <mergeCells count="36">
    <mergeCell ref="B37:B40"/>
    <mergeCell ref="C37:C40"/>
    <mergeCell ref="B27:B30"/>
    <mergeCell ref="C27:C30"/>
    <mergeCell ref="B31:B33"/>
    <mergeCell ref="C31:C33"/>
    <mergeCell ref="B34:B36"/>
    <mergeCell ref="C34:C36"/>
    <mergeCell ref="B17:B20"/>
    <mergeCell ref="C17:C20"/>
    <mergeCell ref="B21:B23"/>
    <mergeCell ref="C21:C23"/>
    <mergeCell ref="B24:B26"/>
    <mergeCell ref="C24:C26"/>
    <mergeCell ref="B3:B6"/>
    <mergeCell ref="C3:C6"/>
    <mergeCell ref="B7:B9"/>
    <mergeCell ref="C7:C9"/>
    <mergeCell ref="B10:B12"/>
    <mergeCell ref="C10:C12"/>
    <mergeCell ref="B41:B44"/>
    <mergeCell ref="C41:C44"/>
    <mergeCell ref="E3:E6"/>
    <mergeCell ref="E7:E9"/>
    <mergeCell ref="E10:E12"/>
    <mergeCell ref="E13:E16"/>
    <mergeCell ref="E17:E20"/>
    <mergeCell ref="E21:E23"/>
    <mergeCell ref="E24:E26"/>
    <mergeCell ref="E27:E30"/>
    <mergeCell ref="E31:E33"/>
    <mergeCell ref="E34:E36"/>
    <mergeCell ref="E37:E40"/>
    <mergeCell ref="E41:E44"/>
    <mergeCell ref="B13:B16"/>
    <mergeCell ref="C13:C16"/>
  </mergeCells>
  <dataValidations count="1">
    <dataValidation type="list" allowBlank="1" showInputMessage="1" showErrorMessage="1" sqref="A3:A4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53"/>
  <sheetViews>
    <sheetView tabSelected="1" topLeftCell="D1" zoomScaleNormal="100" workbookViewId="0">
      <selection activeCell="G2" sqref="G2"/>
    </sheetView>
  </sheetViews>
  <sheetFormatPr baseColWidth="10" defaultColWidth="11.453125" defaultRowHeight="16.5" x14ac:dyDescent="0.35"/>
  <cols>
    <col min="1" max="1" width="11.1796875" style="5" customWidth="1"/>
    <col min="2" max="2" width="64" style="5" customWidth="1"/>
    <col min="3" max="3" width="17.26953125" style="5" customWidth="1"/>
    <col min="4" max="4" width="28.54296875" style="5" customWidth="1"/>
    <col min="5" max="5" width="59"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3" width="42.54296875" style="6" customWidth="1"/>
    <col min="14" max="14" width="42.453125" style="6" customWidth="1"/>
    <col min="15" max="15" width="65.7265625" style="6" customWidth="1"/>
    <col min="16" max="16" width="69.26953125" style="6" customWidth="1"/>
    <col min="17" max="16384" width="11.453125" style="5"/>
  </cols>
  <sheetData>
    <row r="1" spans="1:17" s="7" customFormat="1" ht="54" customHeight="1" x14ac:dyDescent="0.35">
      <c r="A1" s="35" t="s">
        <v>148</v>
      </c>
      <c r="B1" s="35" t="s">
        <v>149</v>
      </c>
      <c r="C1" s="35" t="s">
        <v>150</v>
      </c>
      <c r="D1" s="35" t="s">
        <v>151</v>
      </c>
      <c r="E1" s="35" t="s">
        <v>152</v>
      </c>
      <c r="F1" s="35" t="s">
        <v>153</v>
      </c>
      <c r="G1" s="100" t="s">
        <v>154</v>
      </c>
      <c r="H1" s="101"/>
      <c r="I1" s="35" t="s">
        <v>155</v>
      </c>
      <c r="J1" s="35" t="s">
        <v>156</v>
      </c>
      <c r="K1" s="35" t="s">
        <v>157</v>
      </c>
      <c r="L1" s="35" t="s">
        <v>158</v>
      </c>
      <c r="M1" s="35" t="s">
        <v>159</v>
      </c>
      <c r="N1" s="35" t="s">
        <v>160</v>
      </c>
      <c r="O1" s="35" t="s">
        <v>161</v>
      </c>
      <c r="P1" s="35" t="s">
        <v>162</v>
      </c>
    </row>
    <row r="2" spans="1:17" s="7" customFormat="1" ht="33" x14ac:dyDescent="0.35">
      <c r="A2" s="39" t="s">
        <v>163</v>
      </c>
      <c r="B2" s="39" t="s">
        <v>93</v>
      </c>
      <c r="C2" s="39" t="s">
        <v>164</v>
      </c>
      <c r="D2" s="39" t="s">
        <v>165</v>
      </c>
      <c r="E2" s="39" t="s">
        <v>166</v>
      </c>
      <c r="F2" s="39" t="s">
        <v>167</v>
      </c>
      <c r="G2" s="44" t="s">
        <v>701</v>
      </c>
      <c r="H2" s="44" t="s">
        <v>168</v>
      </c>
      <c r="I2" s="39" t="s">
        <v>169</v>
      </c>
      <c r="J2" s="39" t="s">
        <v>170</v>
      </c>
      <c r="K2" s="39" t="s">
        <v>171</v>
      </c>
      <c r="L2" s="39" t="s">
        <v>172</v>
      </c>
      <c r="M2" s="39" t="s">
        <v>173</v>
      </c>
      <c r="N2" s="39" t="s">
        <v>174</v>
      </c>
      <c r="O2" s="39" t="s">
        <v>175</v>
      </c>
      <c r="P2" s="39" t="s">
        <v>176</v>
      </c>
    </row>
    <row r="3" spans="1:17" ht="66" x14ac:dyDescent="0.35">
      <c r="A3" s="5" t="str">
        <f>_xlfn.XLOOKUP(B3,'Paso 3 Redacción RA '!I$3:I$11,'Paso 3 Redacción RA '!C$3:C$11,,0,1)</f>
        <v>Saber</v>
      </c>
      <c r="B3" s="5" t="s">
        <v>79</v>
      </c>
      <c r="C3" s="80">
        <v>1</v>
      </c>
      <c r="D3" s="80" t="s">
        <v>177</v>
      </c>
      <c r="E3" s="83" t="s">
        <v>178</v>
      </c>
      <c r="F3" s="86" t="s">
        <v>179</v>
      </c>
      <c r="G3" s="86" t="s">
        <v>180</v>
      </c>
      <c r="H3" s="86"/>
      <c r="I3" s="86">
        <v>3</v>
      </c>
      <c r="J3" s="86">
        <f>12*I3</f>
        <v>36</v>
      </c>
      <c r="K3" s="86">
        <f>36*I3</f>
        <v>108</v>
      </c>
      <c r="L3" s="86">
        <f>SUM(J3:K5)</f>
        <v>144</v>
      </c>
      <c r="M3" s="98" t="s">
        <v>181</v>
      </c>
      <c r="N3" s="98" t="s">
        <v>182</v>
      </c>
      <c r="O3" s="92" t="s">
        <v>183</v>
      </c>
      <c r="P3" s="98" t="s">
        <v>184</v>
      </c>
      <c r="Q3" s="5" t="s">
        <v>185</v>
      </c>
    </row>
    <row r="4" spans="1:17" ht="49.5" x14ac:dyDescent="0.35">
      <c r="A4" s="5" t="str">
        <f>_xlfn.XLOOKUP(B4,'Paso 3 Redacción RA '!I$3:I$11,'Paso 3 Redacción RA '!C$3:C$11,,0,1)</f>
        <v>Saberser</v>
      </c>
      <c r="B4" s="5" t="s">
        <v>85</v>
      </c>
      <c r="C4" s="80"/>
      <c r="D4" s="80"/>
      <c r="E4" s="83"/>
      <c r="F4" s="86"/>
      <c r="G4" s="86"/>
      <c r="H4" s="86"/>
      <c r="I4" s="86"/>
      <c r="J4" s="86"/>
      <c r="K4" s="86"/>
      <c r="L4" s="86"/>
      <c r="M4" s="98"/>
      <c r="N4" s="98"/>
      <c r="O4" s="92"/>
      <c r="P4" s="98"/>
    </row>
    <row r="5" spans="1:17" ht="66.5" thickBot="1" x14ac:dyDescent="0.4">
      <c r="A5" s="27" t="str">
        <f>_xlfn.XLOOKUP(B5,'Paso 3 Redacción RA '!I$3:I$11,'Paso 3 Redacción RA '!C$3:C$11,,0,1)</f>
        <v>Saberhacer</v>
      </c>
      <c r="B5" s="27" t="s">
        <v>86</v>
      </c>
      <c r="C5" s="81"/>
      <c r="D5" s="81"/>
      <c r="E5" s="84"/>
      <c r="F5" s="87"/>
      <c r="G5" s="87"/>
      <c r="H5" s="87"/>
      <c r="I5" s="87"/>
      <c r="J5" s="87"/>
      <c r="K5" s="87"/>
      <c r="L5" s="87"/>
      <c r="M5" s="99"/>
      <c r="N5" s="99"/>
      <c r="O5" s="93"/>
      <c r="P5" s="99"/>
    </row>
    <row r="6" spans="1:17" ht="66" x14ac:dyDescent="0.35">
      <c r="A6" s="28" t="str">
        <f>_xlfn.XLOOKUP(B6,'Paso 3 Redacción RA '!I$3:I$11,'Paso 3 Redacción RA '!C$3:C$11,,0,1)</f>
        <v>Saber</v>
      </c>
      <c r="B6" s="5" t="s">
        <v>79</v>
      </c>
      <c r="C6" s="79">
        <v>1</v>
      </c>
      <c r="D6" s="79" t="s">
        <v>186</v>
      </c>
      <c r="E6" s="102" t="s">
        <v>187</v>
      </c>
      <c r="F6" s="79" t="s">
        <v>179</v>
      </c>
      <c r="G6" s="85" t="s">
        <v>180</v>
      </c>
      <c r="H6" s="85"/>
      <c r="I6" s="85">
        <v>2</v>
      </c>
      <c r="J6" s="85">
        <f>12*I6</f>
        <v>24</v>
      </c>
      <c r="K6" s="85">
        <f>36*I6</f>
        <v>72</v>
      </c>
      <c r="L6" s="85">
        <f>SUM(J6:K8)</f>
        <v>96</v>
      </c>
      <c r="M6" s="97" t="s">
        <v>188</v>
      </c>
      <c r="N6" s="97" t="s">
        <v>182</v>
      </c>
      <c r="O6" s="91" t="s">
        <v>183</v>
      </c>
      <c r="P6" s="97" t="s">
        <v>189</v>
      </c>
    </row>
    <row r="7" spans="1:17" ht="49.5" x14ac:dyDescent="0.35">
      <c r="A7" s="5" t="str">
        <f>_xlfn.XLOOKUP(B7,'Paso 3 Redacción RA '!I$3:I$11,'Paso 3 Redacción RA '!C$3:C$11,,0,1)</f>
        <v>Saberser</v>
      </c>
      <c r="B7" s="5" t="s">
        <v>85</v>
      </c>
      <c r="C7" s="80"/>
      <c r="D7" s="80"/>
      <c r="E7" s="103"/>
      <c r="F7" s="80"/>
      <c r="G7" s="86"/>
      <c r="H7" s="86"/>
      <c r="I7" s="86"/>
      <c r="J7" s="86"/>
      <c r="K7" s="86"/>
      <c r="L7" s="86"/>
      <c r="M7" s="98"/>
      <c r="N7" s="98"/>
      <c r="O7" s="92"/>
      <c r="P7" s="98"/>
    </row>
    <row r="8" spans="1:17" ht="66.5" thickBot="1" x14ac:dyDescent="0.4">
      <c r="A8" s="27" t="str">
        <f>_xlfn.XLOOKUP(B8,'Paso 3 Redacción RA '!I$3:I$11,'Paso 3 Redacción RA '!C$3:C$11,,0,1)</f>
        <v>Saberhacer</v>
      </c>
      <c r="B8" s="27" t="s">
        <v>86</v>
      </c>
      <c r="C8" s="81"/>
      <c r="D8" s="81"/>
      <c r="E8" s="104"/>
      <c r="F8" s="81"/>
      <c r="G8" s="87"/>
      <c r="H8" s="87"/>
      <c r="I8" s="87"/>
      <c r="J8" s="87"/>
      <c r="K8" s="87"/>
      <c r="L8" s="87"/>
      <c r="M8" s="99"/>
      <c r="N8" s="99"/>
      <c r="O8" s="93"/>
      <c r="P8" s="99"/>
    </row>
    <row r="9" spans="1:17" ht="66" x14ac:dyDescent="0.35">
      <c r="A9" s="5" t="str">
        <f>_xlfn.XLOOKUP(B9,'Paso 3 Redacción RA '!I$3:I$11,'Paso 3 Redacción RA '!C$3:C$11,,0,1)</f>
        <v>Saber</v>
      </c>
      <c r="B9" s="5" t="s">
        <v>79</v>
      </c>
      <c r="C9" s="79">
        <v>1</v>
      </c>
      <c r="D9" s="79" t="s">
        <v>190</v>
      </c>
      <c r="E9" s="82" t="s">
        <v>191</v>
      </c>
      <c r="F9" s="79" t="s">
        <v>192</v>
      </c>
      <c r="G9" s="85" t="s">
        <v>180</v>
      </c>
      <c r="H9" s="85"/>
      <c r="I9" s="85">
        <v>3</v>
      </c>
      <c r="J9" s="85">
        <f>12*I9</f>
        <v>36</v>
      </c>
      <c r="K9" s="85">
        <f>36*I9</f>
        <v>108</v>
      </c>
      <c r="L9" s="85">
        <f>SUM(J9:K9)</f>
        <v>144</v>
      </c>
      <c r="M9" s="91" t="s">
        <v>193</v>
      </c>
      <c r="N9" s="97" t="s">
        <v>182</v>
      </c>
      <c r="O9" s="91" t="s">
        <v>194</v>
      </c>
      <c r="P9" s="97" t="s">
        <v>184</v>
      </c>
    </row>
    <row r="10" spans="1:17" ht="49.5" x14ac:dyDescent="0.35">
      <c r="A10" s="5" t="str">
        <f>_xlfn.XLOOKUP(B10,'Paso 3 Redacción RA '!I$3:I$11,'Paso 3 Redacción RA '!C$3:C$11,,0,1)</f>
        <v>Saberser</v>
      </c>
      <c r="B10" s="5" t="s">
        <v>85</v>
      </c>
      <c r="C10" s="80"/>
      <c r="D10" s="80"/>
      <c r="E10" s="83"/>
      <c r="F10" s="80"/>
      <c r="G10" s="86"/>
      <c r="H10" s="86"/>
      <c r="I10" s="86"/>
      <c r="J10" s="86"/>
      <c r="K10" s="86"/>
      <c r="L10" s="86"/>
      <c r="M10" s="92"/>
      <c r="N10" s="98"/>
      <c r="O10" s="92"/>
      <c r="P10" s="98"/>
    </row>
    <row r="11" spans="1:17" ht="66.5" thickBot="1" x14ac:dyDescent="0.4">
      <c r="A11" s="27" t="str">
        <f>_xlfn.XLOOKUP(B11,'Paso 3 Redacción RA '!I$3:I$11,'Paso 3 Redacción RA '!C$3:C$11,,0,1)</f>
        <v>Saberhacer</v>
      </c>
      <c r="B11" s="27" t="s">
        <v>86</v>
      </c>
      <c r="C11" s="81"/>
      <c r="D11" s="81"/>
      <c r="E11" s="84"/>
      <c r="F11" s="81"/>
      <c r="G11" s="87"/>
      <c r="H11" s="87"/>
      <c r="I11" s="87"/>
      <c r="J11" s="87"/>
      <c r="K11" s="87"/>
      <c r="L11" s="87"/>
      <c r="M11" s="93"/>
      <c r="N11" s="99"/>
      <c r="O11" s="93"/>
      <c r="P11" s="99"/>
    </row>
    <row r="12" spans="1:17" ht="66" x14ac:dyDescent="0.35">
      <c r="A12" s="5" t="str">
        <f>_xlfn.XLOOKUP(B12,'Paso 3 Redacción RA '!I$3:I$11,'Paso 3 Redacción RA '!C$3:C$11,,0,1)</f>
        <v>Saber</v>
      </c>
      <c r="B12" s="5" t="s">
        <v>79</v>
      </c>
      <c r="C12" s="79">
        <v>1</v>
      </c>
      <c r="D12" s="79" t="s">
        <v>195</v>
      </c>
      <c r="E12" s="82" t="s">
        <v>196</v>
      </c>
      <c r="F12" s="79" t="s">
        <v>179</v>
      </c>
      <c r="G12" s="79" t="s">
        <v>180</v>
      </c>
      <c r="H12" s="79"/>
      <c r="I12" s="85">
        <v>2</v>
      </c>
      <c r="J12" s="85">
        <f>12*I12</f>
        <v>24</v>
      </c>
      <c r="K12" s="85">
        <f>36*I12</f>
        <v>72</v>
      </c>
      <c r="L12" s="85">
        <f>SUM(J12:K12)</f>
        <v>96</v>
      </c>
      <c r="M12" s="82" t="s">
        <v>197</v>
      </c>
      <c r="N12" s="82" t="s">
        <v>182</v>
      </c>
      <c r="O12" s="91" t="s">
        <v>183</v>
      </c>
      <c r="P12" s="97" t="s">
        <v>184</v>
      </c>
    </row>
    <row r="13" spans="1:17" ht="49.5" x14ac:dyDescent="0.35">
      <c r="A13" s="5" t="str">
        <f>_xlfn.XLOOKUP(B13,'Paso 3 Redacción RA '!I$3:I$11,'Paso 3 Redacción RA '!C$3:C$11,,0,1)</f>
        <v>Saberser</v>
      </c>
      <c r="B13" s="5" t="s">
        <v>85</v>
      </c>
      <c r="C13" s="80"/>
      <c r="D13" s="80"/>
      <c r="E13" s="83"/>
      <c r="F13" s="80"/>
      <c r="G13" s="80"/>
      <c r="H13" s="80"/>
      <c r="I13" s="86"/>
      <c r="J13" s="86"/>
      <c r="K13" s="86"/>
      <c r="L13" s="86"/>
      <c r="M13" s="83"/>
      <c r="N13" s="83"/>
      <c r="O13" s="92"/>
      <c r="P13" s="98"/>
    </row>
    <row r="14" spans="1:17" ht="66.5" thickBot="1" x14ac:dyDescent="0.4">
      <c r="A14" s="27" t="str">
        <f>_xlfn.XLOOKUP(B14,'Paso 3 Redacción RA '!I$3:I$11,'Paso 3 Redacción RA '!C$3:C$11,,0,1)</f>
        <v>Saberhacer</v>
      </c>
      <c r="B14" s="27" t="s">
        <v>86</v>
      </c>
      <c r="C14" s="81"/>
      <c r="D14" s="81"/>
      <c r="E14" s="84"/>
      <c r="F14" s="81"/>
      <c r="G14" s="81"/>
      <c r="H14" s="81"/>
      <c r="I14" s="87"/>
      <c r="J14" s="87"/>
      <c r="K14" s="87"/>
      <c r="L14" s="87"/>
      <c r="M14" s="84"/>
      <c r="N14" s="84"/>
      <c r="O14" s="93"/>
      <c r="P14" s="99"/>
    </row>
    <row r="15" spans="1:17" ht="66" x14ac:dyDescent="0.35">
      <c r="A15" s="28" t="str">
        <f>_xlfn.XLOOKUP(B15,'Paso 3 Redacción RA '!I$3:I$11,'Paso 3 Redacción RA '!C$3:C$11,,0,1)</f>
        <v>Saber</v>
      </c>
      <c r="B15" s="5" t="s">
        <v>79</v>
      </c>
      <c r="C15" s="79">
        <v>1</v>
      </c>
      <c r="D15" s="79" t="s">
        <v>198</v>
      </c>
      <c r="E15" s="82" t="s">
        <v>199</v>
      </c>
      <c r="F15" s="79" t="s">
        <v>192</v>
      </c>
      <c r="G15" s="79" t="s">
        <v>180</v>
      </c>
      <c r="H15" s="85"/>
      <c r="I15" s="88">
        <v>3</v>
      </c>
      <c r="J15" s="85">
        <f>12*I15</f>
        <v>36</v>
      </c>
      <c r="K15" s="85">
        <f>36*I15</f>
        <v>108</v>
      </c>
      <c r="L15" s="85">
        <f>SUM(J15:K17)</f>
        <v>144</v>
      </c>
      <c r="M15" s="94" t="s">
        <v>200</v>
      </c>
      <c r="N15" s="82" t="s">
        <v>182</v>
      </c>
      <c r="O15" s="91" t="s">
        <v>194</v>
      </c>
      <c r="P15" s="82" t="s">
        <v>184</v>
      </c>
    </row>
    <row r="16" spans="1:17" ht="49.5" x14ac:dyDescent="0.35">
      <c r="A16" s="5" t="str">
        <f>_xlfn.XLOOKUP(B16,'Paso 3 Redacción RA '!I$3:I$11,'Paso 3 Redacción RA '!C$3:C$11,,0,1)</f>
        <v>Saberser</v>
      </c>
      <c r="B16" s="5" t="s">
        <v>85</v>
      </c>
      <c r="C16" s="80"/>
      <c r="D16" s="80"/>
      <c r="E16" s="83"/>
      <c r="F16" s="80"/>
      <c r="G16" s="80"/>
      <c r="H16" s="86"/>
      <c r="I16" s="89"/>
      <c r="J16" s="86"/>
      <c r="K16" s="86"/>
      <c r="L16" s="86"/>
      <c r="M16" s="95"/>
      <c r="N16" s="83"/>
      <c r="O16" s="92"/>
      <c r="P16" s="83"/>
    </row>
    <row r="17" spans="1:16" ht="66.5" thickBot="1" x14ac:dyDescent="0.4">
      <c r="A17" s="27" t="str">
        <f>_xlfn.XLOOKUP(B17,'Paso 3 Redacción RA '!I$3:I$11,'Paso 3 Redacción RA '!C$3:C$11,,0,1)</f>
        <v>Saberhacer</v>
      </c>
      <c r="B17" s="27" t="s">
        <v>86</v>
      </c>
      <c r="C17" s="81"/>
      <c r="D17" s="81"/>
      <c r="E17" s="84"/>
      <c r="F17" s="81"/>
      <c r="G17" s="81"/>
      <c r="H17" s="87"/>
      <c r="I17" s="90"/>
      <c r="J17" s="87"/>
      <c r="K17" s="87"/>
      <c r="L17" s="87"/>
      <c r="M17" s="96"/>
      <c r="N17" s="84"/>
      <c r="O17" s="93"/>
      <c r="P17" s="84"/>
    </row>
    <row r="18" spans="1:16" ht="66" x14ac:dyDescent="0.35">
      <c r="A18" s="5" t="str">
        <f>_xlfn.XLOOKUP(B18,'Paso 3 Redacción RA '!I$3:I$11,'Paso 3 Redacción RA '!C$3:C$11,,0,1)</f>
        <v>Saber</v>
      </c>
      <c r="B18" s="28" t="s">
        <v>79</v>
      </c>
      <c r="C18" s="79">
        <v>2</v>
      </c>
      <c r="D18" s="79" t="s">
        <v>201</v>
      </c>
      <c r="E18" s="82" t="s">
        <v>202</v>
      </c>
      <c r="F18" s="79" t="s">
        <v>192</v>
      </c>
      <c r="G18" s="79"/>
      <c r="H18" s="79" t="s">
        <v>180</v>
      </c>
      <c r="I18" s="79">
        <v>3</v>
      </c>
      <c r="J18" s="79">
        <f>12*I18</f>
        <v>36</v>
      </c>
      <c r="K18" s="79">
        <f>36*I18</f>
        <v>108</v>
      </c>
      <c r="L18" s="79">
        <f>SUM(J18:K20)</f>
        <v>144</v>
      </c>
      <c r="M18" s="82" t="s">
        <v>203</v>
      </c>
      <c r="N18" s="82" t="s">
        <v>182</v>
      </c>
      <c r="O18" s="91" t="s">
        <v>194</v>
      </c>
      <c r="P18" s="82" t="s">
        <v>184</v>
      </c>
    </row>
    <row r="19" spans="1:16" ht="66" x14ac:dyDescent="0.35">
      <c r="A19" s="5" t="str">
        <f>_xlfn.XLOOKUP(B19,'Paso 3 Redacción RA '!I$3:I$11,'Paso 3 Redacción RA '!C$3:C$11,,0,1)</f>
        <v>Saberhacer</v>
      </c>
      <c r="B19" s="5" t="s">
        <v>82</v>
      </c>
      <c r="C19" s="80"/>
      <c r="D19" s="80"/>
      <c r="E19" s="83"/>
      <c r="F19" s="80"/>
      <c r="G19" s="80"/>
      <c r="H19" s="80"/>
      <c r="I19" s="80"/>
      <c r="J19" s="80"/>
      <c r="K19" s="80"/>
      <c r="L19" s="80"/>
      <c r="M19" s="83"/>
      <c r="N19" s="83"/>
      <c r="O19" s="92"/>
      <c r="P19" s="83"/>
    </row>
    <row r="20" spans="1:16" ht="50" thickBot="1" x14ac:dyDescent="0.4">
      <c r="A20" s="27" t="str">
        <f>_xlfn.XLOOKUP(B20,'Paso 3 Redacción RA '!I$3:I$11,'Paso 3 Redacción RA '!C$3:C$11,,0,1)</f>
        <v>Saberser</v>
      </c>
      <c r="B20" s="27" t="s">
        <v>85</v>
      </c>
      <c r="C20" s="81"/>
      <c r="D20" s="81"/>
      <c r="E20" s="84"/>
      <c r="F20" s="81"/>
      <c r="G20" s="81"/>
      <c r="H20" s="81"/>
      <c r="I20" s="81"/>
      <c r="J20" s="81"/>
      <c r="K20" s="81"/>
      <c r="L20" s="81"/>
      <c r="M20" s="84"/>
      <c r="N20" s="84"/>
      <c r="O20" s="93"/>
      <c r="P20" s="84"/>
    </row>
    <row r="21" spans="1:16" ht="66" x14ac:dyDescent="0.35">
      <c r="A21" s="28" t="str">
        <f>_xlfn.XLOOKUP(B21,'Paso 3 Redacción RA '!I$3:I$11,'Paso 3 Redacción RA '!C$3:C$11,,0,1)</f>
        <v>Saber</v>
      </c>
      <c r="B21" s="28" t="s">
        <v>79</v>
      </c>
      <c r="C21" s="79">
        <v>2</v>
      </c>
      <c r="D21" s="79" t="s">
        <v>204</v>
      </c>
      <c r="E21" s="82" t="s">
        <v>205</v>
      </c>
      <c r="F21" s="79" t="s">
        <v>192</v>
      </c>
      <c r="G21" s="79"/>
      <c r="H21" s="79" t="s">
        <v>180</v>
      </c>
      <c r="I21" s="85">
        <v>3</v>
      </c>
      <c r="J21" s="85">
        <f>I21*12</f>
        <v>36</v>
      </c>
      <c r="K21" s="85">
        <f>I21*36</f>
        <v>108</v>
      </c>
      <c r="L21" s="85">
        <f>SUM(J21:K24)</f>
        <v>144</v>
      </c>
      <c r="M21" s="82" t="s">
        <v>206</v>
      </c>
      <c r="N21" s="82" t="s">
        <v>182</v>
      </c>
      <c r="O21" s="91" t="s">
        <v>194</v>
      </c>
      <c r="P21" s="82" t="s">
        <v>184</v>
      </c>
    </row>
    <row r="22" spans="1:16" ht="66" x14ac:dyDescent="0.35">
      <c r="A22" s="5" t="str">
        <f>_xlfn.XLOOKUP(B22,'Paso 3 Redacción RA '!I$3:I$11,'Paso 3 Redacción RA '!C$3:C$11,,0,1)</f>
        <v>Saberhacer</v>
      </c>
      <c r="B22" s="5" t="s">
        <v>82</v>
      </c>
      <c r="C22" s="80"/>
      <c r="D22" s="80"/>
      <c r="E22" s="83"/>
      <c r="F22" s="80"/>
      <c r="G22" s="80"/>
      <c r="H22" s="80"/>
      <c r="I22" s="86"/>
      <c r="J22" s="86"/>
      <c r="K22" s="86"/>
      <c r="L22" s="86"/>
      <c r="M22" s="83"/>
      <c r="N22" s="83"/>
      <c r="O22" s="92"/>
      <c r="P22" s="83"/>
    </row>
    <row r="23" spans="1:16" ht="49.5" x14ac:dyDescent="0.35">
      <c r="A23" s="5" t="str">
        <f>_xlfn.XLOOKUP(B23,'Paso 3 Redacción RA '!I$3:I$11,'Paso 3 Redacción RA '!C$3:C$11,,0,1)</f>
        <v>Saberser</v>
      </c>
      <c r="B23" s="5" t="s">
        <v>85</v>
      </c>
      <c r="C23" s="80"/>
      <c r="D23" s="80"/>
      <c r="E23" s="83"/>
      <c r="F23" s="80"/>
      <c r="G23" s="80"/>
      <c r="H23" s="80"/>
      <c r="I23" s="86"/>
      <c r="J23" s="86"/>
      <c r="K23" s="86"/>
      <c r="L23" s="86"/>
      <c r="M23" s="83"/>
      <c r="N23" s="83"/>
      <c r="O23" s="92"/>
      <c r="P23" s="83" t="s">
        <v>207</v>
      </c>
    </row>
    <row r="24" spans="1:16" ht="66.5" thickBot="1" x14ac:dyDescent="0.4">
      <c r="A24" s="27" t="str">
        <f>_xlfn.XLOOKUP(B24,'Paso 3 Redacción RA '!I$3:I$11,'Paso 3 Redacción RA '!C$3:C$11,,0,1)</f>
        <v>Saberhacer</v>
      </c>
      <c r="B24" s="27" t="s">
        <v>86</v>
      </c>
      <c r="C24" s="81"/>
      <c r="D24" s="81"/>
      <c r="E24" s="84"/>
      <c r="F24" s="81"/>
      <c r="G24" s="81"/>
      <c r="H24" s="81"/>
      <c r="I24" s="87"/>
      <c r="J24" s="87"/>
      <c r="K24" s="87"/>
      <c r="L24" s="87"/>
      <c r="M24" s="84"/>
      <c r="N24" s="84"/>
      <c r="O24" s="93"/>
      <c r="P24" s="84"/>
    </row>
    <row r="25" spans="1:16" ht="66" x14ac:dyDescent="0.35">
      <c r="A25" s="5" t="str">
        <f>_xlfn.XLOOKUP(B25,'Paso 3 Redacción RA '!I$3:I$11,'Paso 3 Redacción RA '!C$3:C$11,,0,1)</f>
        <v>Saber</v>
      </c>
      <c r="B25" s="28" t="s">
        <v>79</v>
      </c>
      <c r="C25" s="79">
        <v>2</v>
      </c>
      <c r="D25" s="79" t="s">
        <v>208</v>
      </c>
      <c r="E25" s="82" t="s">
        <v>209</v>
      </c>
      <c r="F25" s="79" t="s">
        <v>192</v>
      </c>
      <c r="G25" s="79"/>
      <c r="H25" s="79" t="s">
        <v>180</v>
      </c>
      <c r="I25" s="85">
        <v>3</v>
      </c>
      <c r="J25" s="85">
        <f>I25*12</f>
        <v>36</v>
      </c>
      <c r="K25" s="85">
        <f>I25*36</f>
        <v>108</v>
      </c>
      <c r="L25" s="85">
        <f>SUM(J25:K25)</f>
        <v>144</v>
      </c>
      <c r="M25" s="82" t="s">
        <v>210</v>
      </c>
      <c r="N25" s="82" t="s">
        <v>182</v>
      </c>
      <c r="O25" s="91" t="s">
        <v>194</v>
      </c>
      <c r="P25" s="82" t="s">
        <v>184</v>
      </c>
    </row>
    <row r="26" spans="1:16" ht="66" x14ac:dyDescent="0.35">
      <c r="A26" s="5" t="str">
        <f>_xlfn.XLOOKUP(B26,'Paso 3 Redacción RA '!I$3:I$11,'Paso 3 Redacción RA '!C$3:C$11,,0,1)</f>
        <v>Saberhacer</v>
      </c>
      <c r="B26" s="5" t="s">
        <v>82</v>
      </c>
      <c r="C26" s="80"/>
      <c r="D26" s="80"/>
      <c r="E26" s="83"/>
      <c r="F26" s="80"/>
      <c r="G26" s="80"/>
      <c r="H26" s="80"/>
      <c r="I26" s="86"/>
      <c r="J26" s="86"/>
      <c r="K26" s="86"/>
      <c r="L26" s="86"/>
      <c r="M26" s="83"/>
      <c r="N26" s="83"/>
      <c r="O26" s="92"/>
      <c r="P26" s="83"/>
    </row>
    <row r="27" spans="1:16" ht="49.5" x14ac:dyDescent="0.35">
      <c r="A27" s="5" t="str">
        <f>_xlfn.XLOOKUP(B27,'Paso 3 Redacción RA '!I$3:I$11,'Paso 3 Redacción RA '!C$3:C$11,,0,1)</f>
        <v>Saberser</v>
      </c>
      <c r="B27" s="5" t="s">
        <v>85</v>
      </c>
      <c r="C27" s="80"/>
      <c r="D27" s="80"/>
      <c r="E27" s="83"/>
      <c r="F27" s="80"/>
      <c r="G27" s="80"/>
      <c r="H27" s="80"/>
      <c r="I27" s="86"/>
      <c r="J27" s="86"/>
      <c r="K27" s="86"/>
      <c r="L27" s="86"/>
      <c r="M27" s="83"/>
      <c r="N27" s="83"/>
      <c r="O27" s="92"/>
      <c r="P27" s="83"/>
    </row>
    <row r="28" spans="1:16" ht="66.5" thickBot="1" x14ac:dyDescent="0.4">
      <c r="A28" s="27" t="str">
        <f>_xlfn.XLOOKUP(B28,'Paso 3 Redacción RA '!I$3:I$11,'Paso 3 Redacción RA '!C$3:C$11,,0,1)</f>
        <v>Saberhacer</v>
      </c>
      <c r="B28" s="27" t="s">
        <v>86</v>
      </c>
      <c r="C28" s="81"/>
      <c r="D28" s="81"/>
      <c r="E28" s="84"/>
      <c r="F28" s="81"/>
      <c r="G28" s="81"/>
      <c r="H28" s="81"/>
      <c r="I28" s="87"/>
      <c r="J28" s="87"/>
      <c r="K28" s="87"/>
      <c r="L28" s="87"/>
      <c r="M28" s="84"/>
      <c r="N28" s="84"/>
      <c r="O28" s="93"/>
      <c r="P28" s="84"/>
    </row>
    <row r="29" spans="1:16" ht="66" x14ac:dyDescent="0.35">
      <c r="A29" s="28" t="str">
        <f>_xlfn.XLOOKUP(B29,'Paso 3 Redacción RA '!I$3:I$11,'Paso 3 Redacción RA '!C$3:C$11,,0,1)</f>
        <v>Saber</v>
      </c>
      <c r="B29" s="28" t="s">
        <v>79</v>
      </c>
      <c r="C29" s="79">
        <v>2</v>
      </c>
      <c r="D29" s="79" t="s">
        <v>211</v>
      </c>
      <c r="E29" s="82" t="s">
        <v>212</v>
      </c>
      <c r="F29" s="79" t="s">
        <v>192</v>
      </c>
      <c r="G29" s="79"/>
      <c r="H29" s="79" t="s">
        <v>180</v>
      </c>
      <c r="I29" s="85">
        <v>3</v>
      </c>
      <c r="J29" s="85">
        <f>I29*12</f>
        <v>36</v>
      </c>
      <c r="K29" s="85">
        <f>I29*36</f>
        <v>108</v>
      </c>
      <c r="L29" s="85">
        <f>SUM(J29:K29)</f>
        <v>144</v>
      </c>
      <c r="M29" s="82" t="s">
        <v>213</v>
      </c>
      <c r="N29" s="82" t="s">
        <v>182</v>
      </c>
      <c r="O29" s="91" t="s">
        <v>194</v>
      </c>
      <c r="P29" s="82" t="s">
        <v>184</v>
      </c>
    </row>
    <row r="30" spans="1:16" ht="66" x14ac:dyDescent="0.35">
      <c r="A30" s="5" t="str">
        <f>_xlfn.XLOOKUP(B30,'Paso 3 Redacción RA '!I$3:I$11,'Paso 3 Redacción RA '!C$3:C$11,,0,1)</f>
        <v>Saberhacer</v>
      </c>
      <c r="B30" s="5" t="s">
        <v>86</v>
      </c>
      <c r="C30" s="80"/>
      <c r="D30" s="80"/>
      <c r="E30" s="83"/>
      <c r="F30" s="80"/>
      <c r="G30" s="80"/>
      <c r="H30" s="80"/>
      <c r="I30" s="86"/>
      <c r="J30" s="86"/>
      <c r="K30" s="86"/>
      <c r="L30" s="86"/>
      <c r="M30" s="83"/>
      <c r="N30" s="83"/>
      <c r="O30" s="92"/>
      <c r="P30" s="83"/>
    </row>
    <row r="31" spans="1:16" ht="50" thickBot="1" x14ac:dyDescent="0.4">
      <c r="A31" s="27" t="str">
        <f>_xlfn.XLOOKUP(B31,'Paso 3 Redacción RA '!I$3:I$11,'Paso 3 Redacción RA '!C$3:C$11,,0,1)</f>
        <v>Saberser</v>
      </c>
      <c r="B31" s="27" t="s">
        <v>85</v>
      </c>
      <c r="C31" s="81"/>
      <c r="D31" s="81"/>
      <c r="E31" s="84"/>
      <c r="F31" s="81"/>
      <c r="G31" s="81"/>
      <c r="H31" s="81"/>
      <c r="I31" s="87"/>
      <c r="J31" s="87"/>
      <c r="K31" s="87"/>
      <c r="L31" s="87"/>
      <c r="M31" s="84"/>
      <c r="N31" s="84"/>
      <c r="O31" s="93"/>
      <c r="P31" s="84"/>
    </row>
    <row r="32" spans="1:16" ht="66" x14ac:dyDescent="0.35">
      <c r="A32" s="28" t="str">
        <f>_xlfn.XLOOKUP(B32,'Paso 3 Redacción RA '!I$3:I$11,'Paso 3 Redacción RA '!C$3:C$11,,0,1)</f>
        <v>Saber</v>
      </c>
      <c r="B32" s="5" t="s">
        <v>79</v>
      </c>
      <c r="C32" s="79">
        <v>2</v>
      </c>
      <c r="D32" s="79" t="s">
        <v>214</v>
      </c>
      <c r="E32" s="82" t="s">
        <v>215</v>
      </c>
      <c r="F32" s="79" t="s">
        <v>192</v>
      </c>
      <c r="G32" s="79"/>
      <c r="H32" s="79" t="s">
        <v>180</v>
      </c>
      <c r="I32" s="85">
        <v>3</v>
      </c>
      <c r="J32" s="85">
        <f>I32*12</f>
        <v>36</v>
      </c>
      <c r="K32" s="85">
        <f>I32*36</f>
        <v>108</v>
      </c>
      <c r="L32" s="85">
        <f>SUM(J32:K32)</f>
        <v>144</v>
      </c>
      <c r="M32" s="82" t="s">
        <v>216</v>
      </c>
      <c r="N32" s="82" t="s">
        <v>182</v>
      </c>
      <c r="O32" s="91" t="s">
        <v>194</v>
      </c>
      <c r="P32" s="82" t="s">
        <v>184</v>
      </c>
    </row>
    <row r="33" spans="1:16" ht="66" x14ac:dyDescent="0.35">
      <c r="A33" s="5" t="str">
        <f>_xlfn.XLOOKUP(B33,'Paso 3 Redacción RA '!I$3:I$11,'Paso 3 Redacción RA '!C$3:C$11,,0,1)</f>
        <v>Saberhacer</v>
      </c>
      <c r="B33" s="5" t="s">
        <v>82</v>
      </c>
      <c r="C33" s="80"/>
      <c r="D33" s="80"/>
      <c r="E33" s="83"/>
      <c r="F33" s="80"/>
      <c r="G33" s="80"/>
      <c r="H33" s="80"/>
      <c r="I33" s="86"/>
      <c r="J33" s="86"/>
      <c r="K33" s="86"/>
      <c r="L33" s="86"/>
      <c r="M33" s="83"/>
      <c r="N33" s="83"/>
      <c r="O33" s="92"/>
      <c r="P33" s="83"/>
    </row>
    <row r="34" spans="1:16" ht="66" x14ac:dyDescent="0.35">
      <c r="A34" s="5" t="str">
        <f>_xlfn.XLOOKUP(B34,'Paso 3 Redacción RA '!I$3:I$11,'Paso 3 Redacción RA '!C$3:C$11,,0,1)</f>
        <v>Saberhacer</v>
      </c>
      <c r="B34" s="5" t="s">
        <v>86</v>
      </c>
      <c r="C34" s="80"/>
      <c r="D34" s="80"/>
      <c r="E34" s="83"/>
      <c r="F34" s="80"/>
      <c r="G34" s="80"/>
      <c r="H34" s="80"/>
      <c r="I34" s="86"/>
      <c r="J34" s="86"/>
      <c r="K34" s="86"/>
      <c r="L34" s="86"/>
      <c r="M34" s="83"/>
      <c r="N34" s="83"/>
      <c r="O34" s="92"/>
      <c r="P34" s="83"/>
    </row>
    <row r="35" spans="1:16" ht="50" thickBot="1" x14ac:dyDescent="0.4">
      <c r="A35" s="27" t="str">
        <f>_xlfn.XLOOKUP(B35,'Paso 3 Redacción RA '!I$3:I$11,'Paso 3 Redacción RA '!C$3:C$11,,0,1)</f>
        <v>Saberser</v>
      </c>
      <c r="B35" s="27" t="s">
        <v>85</v>
      </c>
      <c r="C35" s="81" t="s">
        <v>217</v>
      </c>
      <c r="D35" s="81"/>
      <c r="E35" s="84"/>
      <c r="F35" s="81"/>
      <c r="G35" s="81"/>
      <c r="H35" s="81"/>
      <c r="I35" s="87"/>
      <c r="J35" s="87"/>
      <c r="K35" s="87"/>
      <c r="L35" s="87"/>
      <c r="M35" s="84"/>
      <c r="N35" s="84"/>
      <c r="O35" s="93"/>
      <c r="P35" s="84"/>
    </row>
    <row r="36" spans="1:16" ht="66" x14ac:dyDescent="0.35">
      <c r="A36" s="5" t="str">
        <f>_xlfn.XLOOKUP(B36,'Paso 3 Redacción RA '!I$3:I$11,'Paso 3 Redacción RA '!C$3:C$11,,0,1)</f>
        <v>Saber</v>
      </c>
      <c r="B36" s="5" t="s">
        <v>79</v>
      </c>
      <c r="C36" s="79">
        <v>3</v>
      </c>
      <c r="D36" s="79" t="s">
        <v>218</v>
      </c>
      <c r="E36" s="82" t="s">
        <v>219</v>
      </c>
      <c r="F36" s="79" t="s">
        <v>192</v>
      </c>
      <c r="G36" s="79"/>
      <c r="H36" s="79" t="s">
        <v>180</v>
      </c>
      <c r="I36" s="85">
        <v>3</v>
      </c>
      <c r="J36" s="85">
        <f>I36*12</f>
        <v>36</v>
      </c>
      <c r="K36" s="85">
        <f>I36*36</f>
        <v>108</v>
      </c>
      <c r="L36" s="79">
        <f>SUM(J36:K39)</f>
        <v>144</v>
      </c>
      <c r="M36" s="82" t="s">
        <v>220</v>
      </c>
      <c r="N36" s="82" t="s">
        <v>182</v>
      </c>
      <c r="O36" s="91" t="s">
        <v>194</v>
      </c>
      <c r="P36" s="82" t="s">
        <v>184</v>
      </c>
    </row>
    <row r="37" spans="1:16" ht="66" x14ac:dyDescent="0.35">
      <c r="A37" s="5" t="str">
        <f>_xlfn.XLOOKUP(B37,'Paso 3 Redacción RA '!I$3:I$11,'Paso 3 Redacción RA '!C$3:C$11,,0,1)</f>
        <v>Saberhacer</v>
      </c>
      <c r="B37" s="5" t="s">
        <v>82</v>
      </c>
      <c r="C37" s="80"/>
      <c r="D37" s="80"/>
      <c r="E37" s="83"/>
      <c r="F37" s="80"/>
      <c r="G37" s="80"/>
      <c r="H37" s="80"/>
      <c r="I37" s="86"/>
      <c r="J37" s="86"/>
      <c r="K37" s="86"/>
      <c r="L37" s="80"/>
      <c r="M37" s="83"/>
      <c r="N37" s="83"/>
      <c r="O37" s="92"/>
      <c r="P37" s="83"/>
    </row>
    <row r="38" spans="1:16" ht="66" x14ac:dyDescent="0.35">
      <c r="A38" s="5" t="str">
        <f>_xlfn.XLOOKUP(B38,'Paso 3 Redacción RA '!I$3:I$11,'Paso 3 Redacción RA '!C$3:C$11,,0,1)</f>
        <v>Saberhacer</v>
      </c>
      <c r="B38" s="5" t="s">
        <v>86</v>
      </c>
      <c r="C38" s="80"/>
      <c r="D38" s="80"/>
      <c r="E38" s="83"/>
      <c r="F38" s="80"/>
      <c r="G38" s="80"/>
      <c r="H38" s="80"/>
      <c r="I38" s="86"/>
      <c r="J38" s="86"/>
      <c r="K38" s="86"/>
      <c r="L38" s="80"/>
      <c r="M38" s="83"/>
      <c r="N38" s="83"/>
      <c r="O38" s="92"/>
      <c r="P38" s="83"/>
    </row>
    <row r="39" spans="1:16" ht="50" thickBot="1" x14ac:dyDescent="0.4">
      <c r="A39" s="27" t="str">
        <f>_xlfn.XLOOKUP(B39,'Paso 3 Redacción RA '!I$3:I$11,'Paso 3 Redacción RA '!C$3:C$11,,0,1)</f>
        <v>Saberser</v>
      </c>
      <c r="B39" s="27" t="s">
        <v>85</v>
      </c>
      <c r="C39" s="81"/>
      <c r="D39" s="81"/>
      <c r="E39" s="84"/>
      <c r="F39" s="81"/>
      <c r="G39" s="81"/>
      <c r="H39" s="81"/>
      <c r="I39" s="87"/>
      <c r="J39" s="87"/>
      <c r="K39" s="87"/>
      <c r="L39" s="81"/>
      <c r="M39" s="84"/>
      <c r="N39" s="84"/>
      <c r="O39" s="93"/>
      <c r="P39" s="84"/>
    </row>
    <row r="40" spans="1:16" ht="66" x14ac:dyDescent="0.35">
      <c r="A40" s="28" t="str">
        <f>_xlfn.XLOOKUP(B40,'Paso 3 Redacción RA '!I$3:I$11,'Paso 3 Redacción RA '!C$3:C$11,,0,1)</f>
        <v>Saber</v>
      </c>
      <c r="B40" s="5" t="s">
        <v>79</v>
      </c>
      <c r="C40" s="79">
        <v>3</v>
      </c>
      <c r="D40" s="79" t="s">
        <v>221</v>
      </c>
      <c r="E40" s="82" t="s">
        <v>222</v>
      </c>
      <c r="F40" s="79" t="s">
        <v>192</v>
      </c>
      <c r="G40" s="79"/>
      <c r="H40" s="79" t="s">
        <v>180</v>
      </c>
      <c r="I40" s="85">
        <v>3</v>
      </c>
      <c r="J40" s="85">
        <f>I40*12</f>
        <v>36</v>
      </c>
      <c r="K40" s="85">
        <f>I40*36</f>
        <v>108</v>
      </c>
      <c r="L40" s="85">
        <f>SUM(J40:K42)</f>
        <v>144</v>
      </c>
      <c r="M40" s="82" t="s">
        <v>223</v>
      </c>
      <c r="N40" s="82" t="s">
        <v>182</v>
      </c>
      <c r="O40" s="91" t="s">
        <v>194</v>
      </c>
      <c r="P40" s="82" t="s">
        <v>184</v>
      </c>
    </row>
    <row r="41" spans="1:16" ht="66" x14ac:dyDescent="0.35">
      <c r="A41" s="5" t="str">
        <f>_xlfn.XLOOKUP(B41,'Paso 3 Redacción RA '!I$3:I$11,'Paso 3 Redacción RA '!C$3:C$11,,0,1)</f>
        <v>Saberhacer</v>
      </c>
      <c r="B41" s="5" t="s">
        <v>82</v>
      </c>
      <c r="C41" s="80"/>
      <c r="D41" s="80"/>
      <c r="E41" s="83"/>
      <c r="F41" s="80"/>
      <c r="G41" s="80"/>
      <c r="H41" s="80"/>
      <c r="I41" s="86"/>
      <c r="J41" s="86"/>
      <c r="K41" s="86"/>
      <c r="L41" s="86"/>
      <c r="M41" s="83"/>
      <c r="N41" s="83"/>
      <c r="O41" s="92"/>
      <c r="P41" s="83"/>
    </row>
    <row r="42" spans="1:16" ht="50" thickBot="1" x14ac:dyDescent="0.4">
      <c r="A42" s="27" t="str">
        <f>_xlfn.XLOOKUP(B42,'Paso 3 Redacción RA '!I$3:I$11,'Paso 3 Redacción RA '!C$3:C$11,,0,1)</f>
        <v>Saberser</v>
      </c>
      <c r="B42" s="27" t="s">
        <v>85</v>
      </c>
      <c r="C42" s="81"/>
      <c r="D42" s="81"/>
      <c r="E42" s="84"/>
      <c r="F42" s="81"/>
      <c r="G42" s="81"/>
      <c r="H42" s="81"/>
      <c r="I42" s="87"/>
      <c r="J42" s="87"/>
      <c r="K42" s="87"/>
      <c r="L42" s="87"/>
      <c r="M42" s="84"/>
      <c r="N42" s="84"/>
      <c r="O42" s="93"/>
      <c r="P42" s="84"/>
    </row>
    <row r="43" spans="1:16" ht="66" x14ac:dyDescent="0.35">
      <c r="A43" s="28" t="str">
        <f>_xlfn.XLOOKUP(B43,'Paso 3 Redacción RA '!I$3:I$11,'Paso 3 Redacción RA '!C$3:C$11,,0,1)</f>
        <v>Saber</v>
      </c>
      <c r="B43" s="28" t="s">
        <v>79</v>
      </c>
      <c r="C43" s="79">
        <v>3</v>
      </c>
      <c r="D43" s="79" t="s">
        <v>224</v>
      </c>
      <c r="E43" s="82" t="s">
        <v>225</v>
      </c>
      <c r="F43" s="79" t="s">
        <v>192</v>
      </c>
      <c r="G43" s="79"/>
      <c r="H43" s="79" t="s">
        <v>180</v>
      </c>
      <c r="I43" s="85">
        <v>3</v>
      </c>
      <c r="J43" s="85">
        <f>I43*12</f>
        <v>36</v>
      </c>
      <c r="K43" s="85">
        <f>I43*36</f>
        <v>108</v>
      </c>
      <c r="L43" s="85">
        <f>SUM(J43:K43)</f>
        <v>144</v>
      </c>
      <c r="M43" s="82" t="s">
        <v>226</v>
      </c>
      <c r="N43" s="82" t="s">
        <v>182</v>
      </c>
      <c r="O43" s="91" t="s">
        <v>194</v>
      </c>
      <c r="P43" s="82" t="s">
        <v>184</v>
      </c>
    </row>
    <row r="44" spans="1:16" ht="66" x14ac:dyDescent="0.35">
      <c r="A44" s="5" t="str">
        <f>_xlfn.XLOOKUP(B44,'Paso 3 Redacción RA '!I$3:I$11,'Paso 3 Redacción RA '!C$3:C$11,,0,1)</f>
        <v>Saberhacer</v>
      </c>
      <c r="B44" s="5" t="s">
        <v>82</v>
      </c>
      <c r="C44" s="80"/>
      <c r="D44" s="80"/>
      <c r="E44" s="83"/>
      <c r="F44" s="80"/>
      <c r="G44" s="80"/>
      <c r="H44" s="80"/>
      <c r="I44" s="86"/>
      <c r="J44" s="86"/>
      <c r="K44" s="86"/>
      <c r="L44" s="86"/>
      <c r="M44" s="83"/>
      <c r="N44" s="83"/>
      <c r="O44" s="92"/>
      <c r="P44" s="83"/>
    </row>
    <row r="45" spans="1:16" ht="66" x14ac:dyDescent="0.35">
      <c r="A45" s="5" t="str">
        <f>_xlfn.XLOOKUP(B45,'Paso 3 Redacción RA '!I$3:I$11,'Paso 3 Redacción RA '!C$3:C$11,,0,1)</f>
        <v>Saberhacer</v>
      </c>
      <c r="B45" s="5" t="s">
        <v>86</v>
      </c>
      <c r="C45" s="80"/>
      <c r="D45" s="80"/>
      <c r="E45" s="83"/>
      <c r="F45" s="80"/>
      <c r="G45" s="80"/>
      <c r="H45" s="80"/>
      <c r="I45" s="86"/>
      <c r="J45" s="86"/>
      <c r="K45" s="86"/>
      <c r="L45" s="86"/>
      <c r="M45" s="83"/>
      <c r="N45" s="83"/>
      <c r="O45" s="92"/>
      <c r="P45" s="83"/>
    </row>
    <row r="46" spans="1:16" ht="50" thickBot="1" x14ac:dyDescent="0.4">
      <c r="A46" s="27" t="str">
        <f>_xlfn.XLOOKUP(B46,'Paso 3 Redacción RA '!I$3:I$11,'Paso 3 Redacción RA '!C$3:C$11,,0,1)</f>
        <v>Saberser</v>
      </c>
      <c r="B46" s="27" t="s">
        <v>85</v>
      </c>
      <c r="C46" s="81"/>
      <c r="D46" s="81"/>
      <c r="E46" s="84"/>
      <c r="F46" s="81"/>
      <c r="G46" s="81"/>
      <c r="H46" s="81"/>
      <c r="I46" s="87"/>
      <c r="J46" s="87"/>
      <c r="K46" s="87"/>
      <c r="L46" s="87"/>
      <c r="M46" s="84"/>
      <c r="N46" s="84"/>
      <c r="O46" s="93"/>
      <c r="P46" s="84"/>
    </row>
    <row r="47" spans="1:16" ht="66" x14ac:dyDescent="0.35">
      <c r="A47" s="28" t="str">
        <f>_xlfn.XLOOKUP(B47,'Paso 3 Redacción RA '!I$3:I$11,'Paso 3 Redacción RA '!C$3:C$11,,0,1)</f>
        <v>Saber</v>
      </c>
      <c r="B47" s="5" t="s">
        <v>79</v>
      </c>
      <c r="C47" s="79">
        <v>3</v>
      </c>
      <c r="D47" s="79" t="s">
        <v>227</v>
      </c>
      <c r="E47" s="82" t="s">
        <v>228</v>
      </c>
      <c r="F47" s="79" t="s">
        <v>192</v>
      </c>
      <c r="G47" s="79"/>
      <c r="H47" s="79" t="s">
        <v>180</v>
      </c>
      <c r="I47" s="85">
        <v>3</v>
      </c>
      <c r="J47" s="85">
        <f>I47*12</f>
        <v>36</v>
      </c>
      <c r="K47" s="85">
        <f>I47*36</f>
        <v>108</v>
      </c>
      <c r="L47" s="85">
        <f>SUM(J47:K47)</f>
        <v>144</v>
      </c>
      <c r="M47" s="82" t="s">
        <v>229</v>
      </c>
      <c r="N47" s="82" t="s">
        <v>182</v>
      </c>
      <c r="O47" s="91" t="s">
        <v>194</v>
      </c>
      <c r="P47" s="82" t="s">
        <v>184</v>
      </c>
    </row>
    <row r="48" spans="1:16" ht="66" x14ac:dyDescent="0.35">
      <c r="A48" s="5" t="str">
        <f>_xlfn.XLOOKUP(B48,'Paso 3 Redacción RA '!I$3:I$11,'Paso 3 Redacción RA '!C$3:C$11,,0,1)</f>
        <v>Saberhacer</v>
      </c>
      <c r="B48" s="5" t="s">
        <v>86</v>
      </c>
      <c r="C48" s="80"/>
      <c r="D48" s="80"/>
      <c r="E48" s="83"/>
      <c r="F48" s="80"/>
      <c r="G48" s="80"/>
      <c r="H48" s="80"/>
      <c r="I48" s="86"/>
      <c r="J48" s="86"/>
      <c r="K48" s="86"/>
      <c r="L48" s="86"/>
      <c r="M48" s="83"/>
      <c r="N48" s="83"/>
      <c r="O48" s="92"/>
      <c r="P48" s="83"/>
    </row>
    <row r="49" spans="1:16" ht="50" thickBot="1" x14ac:dyDescent="0.4">
      <c r="A49" s="5" t="str">
        <f>_xlfn.XLOOKUP(B49,'Paso 3 Redacción RA '!I$3:I$11,'Paso 3 Redacción RA '!C$3:C$11,,0,1)</f>
        <v>Saberser</v>
      </c>
      <c r="B49" s="5" t="s">
        <v>85</v>
      </c>
      <c r="C49" s="80" t="s">
        <v>217</v>
      </c>
      <c r="D49" s="80"/>
      <c r="E49" s="83"/>
      <c r="F49" s="80"/>
      <c r="G49" s="80"/>
      <c r="H49" s="80"/>
      <c r="I49" s="86"/>
      <c r="J49" s="86"/>
      <c r="K49" s="86"/>
      <c r="L49" s="86"/>
      <c r="M49" s="83"/>
      <c r="N49" s="83"/>
      <c r="O49" s="92"/>
      <c r="P49" s="83"/>
    </row>
    <row r="50" spans="1:16" ht="29.5" customHeight="1" thickBot="1" x14ac:dyDescent="0.4">
      <c r="A50" s="54"/>
      <c r="B50" s="54"/>
      <c r="C50" s="53">
        <v>3</v>
      </c>
      <c r="D50" s="55" t="s">
        <v>230</v>
      </c>
      <c r="E50" s="55"/>
      <c r="F50" s="55"/>
      <c r="G50" s="55"/>
      <c r="H50" s="55" t="s">
        <v>180</v>
      </c>
      <c r="I50" s="56">
        <v>3</v>
      </c>
      <c r="J50" s="56">
        <f>I50*12</f>
        <v>36</v>
      </c>
      <c r="K50" s="56">
        <f>I50*36</f>
        <v>108</v>
      </c>
      <c r="L50" s="56">
        <f>SUM(J50:K50)</f>
        <v>144</v>
      </c>
      <c r="M50" s="57"/>
      <c r="N50" s="57"/>
      <c r="O50" s="58"/>
      <c r="P50" s="57"/>
    </row>
    <row r="51" spans="1:16" ht="33" x14ac:dyDescent="0.35">
      <c r="C51" s="63" t="s">
        <v>231</v>
      </c>
      <c r="D51" s="62">
        <f>COUNTA(D3:D50)</f>
        <v>15</v>
      </c>
      <c r="H51" s="66" t="s">
        <v>232</v>
      </c>
      <c r="I51" s="64">
        <f>SUM(I3:I50)</f>
        <v>43</v>
      </c>
    </row>
    <row r="52" spans="1:16" ht="33" x14ac:dyDescent="0.35">
      <c r="H52" s="67" t="s">
        <v>233</v>
      </c>
      <c r="I52" s="65">
        <f>SUMIF(G3:G50,"X",I3:I50)</f>
        <v>13</v>
      </c>
    </row>
    <row r="53" spans="1:16" ht="33" x14ac:dyDescent="0.35">
      <c r="H53" s="67" t="s">
        <v>234</v>
      </c>
      <c r="I53" s="65">
        <f>SUMIF(H3:H50,"X",I3:I50)</f>
        <v>30</v>
      </c>
    </row>
  </sheetData>
  <mergeCells count="197">
    <mergeCell ref="L47:L49"/>
    <mergeCell ref="M47:M49"/>
    <mergeCell ref="N47:N49"/>
    <mergeCell ref="O47:O49"/>
    <mergeCell ref="P47:P49"/>
    <mergeCell ref="C47:C49"/>
    <mergeCell ref="D47:D49"/>
    <mergeCell ref="E47:E49"/>
    <mergeCell ref="F47:F49"/>
    <mergeCell ref="G47:G49"/>
    <mergeCell ref="H47:H49"/>
    <mergeCell ref="I47:I49"/>
    <mergeCell ref="J47:J49"/>
    <mergeCell ref="K47:K49"/>
    <mergeCell ref="C43:C46"/>
    <mergeCell ref="D43:D46"/>
    <mergeCell ref="E43:E46"/>
    <mergeCell ref="F43:F46"/>
    <mergeCell ref="G43:G46"/>
    <mergeCell ref="H43:H46"/>
    <mergeCell ref="I43:I46"/>
    <mergeCell ref="J43:J46"/>
    <mergeCell ref="K43:K46"/>
    <mergeCell ref="L43:L46"/>
    <mergeCell ref="L40:L42"/>
    <mergeCell ref="M40:M42"/>
    <mergeCell ref="N40:N42"/>
    <mergeCell ref="O40:O42"/>
    <mergeCell ref="P40:P42"/>
    <mergeCell ref="M43:M46"/>
    <mergeCell ref="N43:N46"/>
    <mergeCell ref="O43:O46"/>
    <mergeCell ref="P43:P46"/>
    <mergeCell ref="C40:C42"/>
    <mergeCell ref="D40:D42"/>
    <mergeCell ref="E40:E42"/>
    <mergeCell ref="F40:F42"/>
    <mergeCell ref="G40:G42"/>
    <mergeCell ref="H40:H42"/>
    <mergeCell ref="I40:I42"/>
    <mergeCell ref="J40:J42"/>
    <mergeCell ref="K40:K42"/>
    <mergeCell ref="L36:L39"/>
    <mergeCell ref="M36:M39"/>
    <mergeCell ref="N36:N39"/>
    <mergeCell ref="O36:O39"/>
    <mergeCell ref="P36:P39"/>
    <mergeCell ref="C32:C35"/>
    <mergeCell ref="D32:D35"/>
    <mergeCell ref="E32:E35"/>
    <mergeCell ref="F32:F35"/>
    <mergeCell ref="G32:G35"/>
    <mergeCell ref="C36:C39"/>
    <mergeCell ref="D36:D39"/>
    <mergeCell ref="E36:E39"/>
    <mergeCell ref="F36:F39"/>
    <mergeCell ref="G36:G39"/>
    <mergeCell ref="H36:H39"/>
    <mergeCell ref="I36:I39"/>
    <mergeCell ref="J36:J39"/>
    <mergeCell ref="K36:K39"/>
    <mergeCell ref="H32:H35"/>
    <mergeCell ref="I32:I35"/>
    <mergeCell ref="J32:J35"/>
    <mergeCell ref="K32:K35"/>
    <mergeCell ref="O18:O20"/>
    <mergeCell ref="P18:P20"/>
    <mergeCell ref="O15:O17"/>
    <mergeCell ref="P15:P17"/>
    <mergeCell ref="N15:N17"/>
    <mergeCell ref="O21:O24"/>
    <mergeCell ref="P21:P24"/>
    <mergeCell ref="L32:L35"/>
    <mergeCell ref="M32:M35"/>
    <mergeCell ref="N32:N35"/>
    <mergeCell ref="O32:O35"/>
    <mergeCell ref="P32:P35"/>
    <mergeCell ref="P12:P14"/>
    <mergeCell ref="O9:O11"/>
    <mergeCell ref="P9:P11"/>
    <mergeCell ref="P6:P8"/>
    <mergeCell ref="P3:P5"/>
    <mergeCell ref="N6:N8"/>
    <mergeCell ref="M6:M8"/>
    <mergeCell ref="O6:O8"/>
    <mergeCell ref="O3:O5"/>
    <mergeCell ref="C3:C5"/>
    <mergeCell ref="D3:D5"/>
    <mergeCell ref="E3:E5"/>
    <mergeCell ref="G3:G5"/>
    <mergeCell ref="H3:H5"/>
    <mergeCell ref="I3:I5"/>
    <mergeCell ref="N3:N5"/>
    <mergeCell ref="M3:M5"/>
    <mergeCell ref="L9:L11"/>
    <mergeCell ref="M9:M11"/>
    <mergeCell ref="J3:J5"/>
    <mergeCell ref="K3:K5"/>
    <mergeCell ref="L3:L5"/>
    <mergeCell ref="J6:J8"/>
    <mergeCell ref="K6:K8"/>
    <mergeCell ref="F6:F8"/>
    <mergeCell ref="F9:F11"/>
    <mergeCell ref="C12:C14"/>
    <mergeCell ref="D12:D14"/>
    <mergeCell ref="E12:E14"/>
    <mergeCell ref="G12:G14"/>
    <mergeCell ref="N9:N11"/>
    <mergeCell ref="N12:N14"/>
    <mergeCell ref="F3:F5"/>
    <mergeCell ref="G1:H1"/>
    <mergeCell ref="O12:O14"/>
    <mergeCell ref="L6:L8"/>
    <mergeCell ref="C6:C8"/>
    <mergeCell ref="D6:D8"/>
    <mergeCell ref="E6:E8"/>
    <mergeCell ref="G6:G8"/>
    <mergeCell ref="C9:C11"/>
    <mergeCell ref="D9:D11"/>
    <mergeCell ref="E9:E11"/>
    <mergeCell ref="G9:G11"/>
    <mergeCell ref="H9:H11"/>
    <mergeCell ref="I9:I11"/>
    <mergeCell ref="J9:J11"/>
    <mergeCell ref="K9:K11"/>
    <mergeCell ref="H6:H8"/>
    <mergeCell ref="I6:I8"/>
    <mergeCell ref="E29:E31"/>
    <mergeCell ref="M12:M14"/>
    <mergeCell ref="L12:L14"/>
    <mergeCell ref="K12:K14"/>
    <mergeCell ref="J12:J14"/>
    <mergeCell ref="I12:I14"/>
    <mergeCell ref="H12:H14"/>
    <mergeCell ref="L15:L17"/>
    <mergeCell ref="M15:M17"/>
    <mergeCell ref="M25:M28"/>
    <mergeCell ref="K21:K24"/>
    <mergeCell ref="L21:L24"/>
    <mergeCell ref="L25:L28"/>
    <mergeCell ref="F12:F14"/>
    <mergeCell ref="F29:F31"/>
    <mergeCell ref="L29:L31"/>
    <mergeCell ref="K29:K31"/>
    <mergeCell ref="J29:J31"/>
    <mergeCell ref="G21:G24"/>
    <mergeCell ref="H21:H24"/>
    <mergeCell ref="I21:I24"/>
    <mergeCell ref="J21:J24"/>
    <mergeCell ref="M21:M24"/>
    <mergeCell ref="D29:D31"/>
    <mergeCell ref="I29:I31"/>
    <mergeCell ref="P29:P31"/>
    <mergeCell ref="O29:O31"/>
    <mergeCell ref="N29:N31"/>
    <mergeCell ref="C18:C20"/>
    <mergeCell ref="D18:D20"/>
    <mergeCell ref="E18:E20"/>
    <mergeCell ref="G18:G20"/>
    <mergeCell ref="H18:H20"/>
    <mergeCell ref="I18:I20"/>
    <mergeCell ref="J18:J20"/>
    <mergeCell ref="K18:K20"/>
    <mergeCell ref="L18:L20"/>
    <mergeCell ref="M18:M20"/>
    <mergeCell ref="N18:N20"/>
    <mergeCell ref="C29:C31"/>
    <mergeCell ref="N25:N28"/>
    <mergeCell ref="O25:O28"/>
    <mergeCell ref="P25:P28"/>
    <mergeCell ref="N21:N24"/>
    <mergeCell ref="G29:G31"/>
    <mergeCell ref="H29:H31"/>
    <mergeCell ref="M29:M31"/>
    <mergeCell ref="C15:C17"/>
    <mergeCell ref="D15:D17"/>
    <mergeCell ref="E15:E17"/>
    <mergeCell ref="G15:G17"/>
    <mergeCell ref="H15:H17"/>
    <mergeCell ref="I15:I17"/>
    <mergeCell ref="J15:J17"/>
    <mergeCell ref="K15:K17"/>
    <mergeCell ref="C25:C28"/>
    <mergeCell ref="D25:D28"/>
    <mergeCell ref="E25:E28"/>
    <mergeCell ref="G25:G28"/>
    <mergeCell ref="H25:H28"/>
    <mergeCell ref="I25:I28"/>
    <mergeCell ref="J25:J28"/>
    <mergeCell ref="K25:K28"/>
    <mergeCell ref="C21:C24"/>
    <mergeCell ref="D21:D24"/>
    <mergeCell ref="E21:E24"/>
    <mergeCell ref="F15:F17"/>
    <mergeCell ref="F18:F20"/>
    <mergeCell ref="F21:F24"/>
    <mergeCell ref="F25:F28"/>
  </mergeCells>
  <dataValidations count="1">
    <dataValidation type="list" allowBlank="1" showInputMessage="1" showErrorMessage="1" sqref="B3:B6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D13" sqref="D13"/>
    </sheetView>
  </sheetViews>
  <sheetFormatPr baseColWidth="10" defaultColWidth="11.453125" defaultRowHeight="14.5" x14ac:dyDescent="0.35"/>
  <cols>
    <col min="2" max="2" width="27.1796875" customWidth="1"/>
    <col min="4" max="4" width="99.26953125" customWidth="1"/>
  </cols>
  <sheetData>
    <row r="1" spans="2:4" ht="30.5" x14ac:dyDescent="0.5">
      <c r="B1" s="1" t="s">
        <v>235</v>
      </c>
      <c r="D1" s="22" t="s">
        <v>236</v>
      </c>
    </row>
    <row r="2" spans="2:4" ht="16.5" x14ac:dyDescent="0.5">
      <c r="B2" s="1" t="s">
        <v>237</v>
      </c>
    </row>
    <row r="3" spans="2:4" ht="16.5" x14ac:dyDescent="0.5">
      <c r="B3" s="1" t="s">
        <v>238</v>
      </c>
    </row>
    <row r="4" spans="2:4" ht="16.5" x14ac:dyDescent="0.5">
      <c r="B4" s="1" t="s">
        <v>239</v>
      </c>
    </row>
    <row r="5" spans="2:4" ht="16.5" x14ac:dyDescent="0.5">
      <c r="B5" s="1" t="s">
        <v>240</v>
      </c>
    </row>
    <row r="6" spans="2:4" ht="16.5" x14ac:dyDescent="0.5">
      <c r="B6" s="1" t="s">
        <v>241</v>
      </c>
    </row>
    <row r="7" spans="2:4" ht="16.5" x14ac:dyDescent="0.5">
      <c r="B7" s="1" t="s">
        <v>242</v>
      </c>
    </row>
    <row r="8" spans="2:4" ht="16.5" x14ac:dyDescent="0.5">
      <c r="B8" s="1" t="s">
        <v>243</v>
      </c>
    </row>
    <row r="9" spans="2:4" ht="16.5" x14ac:dyDescent="0.5">
      <c r="B9" s="1" t="s">
        <v>244</v>
      </c>
    </row>
    <row r="10" spans="2:4" ht="16.5" x14ac:dyDescent="0.5">
      <c r="B10" s="1" t="s">
        <v>245</v>
      </c>
    </row>
    <row r="11" spans="2:4" ht="16.5" x14ac:dyDescent="0.5">
      <c r="B11" s="1" t="s">
        <v>246</v>
      </c>
    </row>
    <row r="12" spans="2:4" ht="16.5" x14ac:dyDescent="0.5">
      <c r="B12" s="1" t="s">
        <v>247</v>
      </c>
    </row>
    <row r="13" spans="2:4" ht="16.5" x14ac:dyDescent="0.5">
      <c r="B13" s="1" t="s">
        <v>248</v>
      </c>
    </row>
    <row r="14" spans="2:4" ht="16.5" x14ac:dyDescent="0.5">
      <c r="B14" s="1" t="s">
        <v>249</v>
      </c>
    </row>
    <row r="15" spans="2:4" ht="16.5" x14ac:dyDescent="0.5">
      <c r="B15" s="1" t="s">
        <v>50</v>
      </c>
    </row>
    <row r="16" spans="2:4" ht="16.5" x14ac:dyDescent="0.5">
      <c r="B16" s="1" t="s">
        <v>250</v>
      </c>
    </row>
    <row r="17" spans="2:2" ht="16.5" x14ac:dyDescent="0.5">
      <c r="B17" s="1" t="s">
        <v>251</v>
      </c>
    </row>
    <row r="18" spans="2:2" ht="16.5" x14ac:dyDescent="0.5">
      <c r="B18" s="1" t="s">
        <v>55</v>
      </c>
    </row>
    <row r="19" spans="2:2" ht="16.5" x14ac:dyDescent="0.5">
      <c r="B19" s="1" t="s">
        <v>252</v>
      </c>
    </row>
    <row r="20" spans="2:2" ht="16.5" x14ac:dyDescent="0.5">
      <c r="B20" s="1" t="s">
        <v>253</v>
      </c>
    </row>
    <row r="21" spans="2:2" ht="16.5" x14ac:dyDescent="0.5">
      <c r="B21" s="1" t="s">
        <v>254</v>
      </c>
    </row>
    <row r="22" spans="2:2" ht="16.5" x14ac:dyDescent="0.5">
      <c r="B22" s="1" t="s">
        <v>255</v>
      </c>
    </row>
    <row r="23" spans="2:2" ht="16.5" x14ac:dyDescent="0.5">
      <c r="B23" s="1" t="s">
        <v>256</v>
      </c>
    </row>
    <row r="24" spans="2:2" ht="16.5" x14ac:dyDescent="0.5">
      <c r="B24" s="1" t="s">
        <v>53</v>
      </c>
    </row>
    <row r="25" spans="2:2" ht="16.5" x14ac:dyDescent="0.5">
      <c r="B25" s="1" t="s">
        <v>257</v>
      </c>
    </row>
    <row r="26" spans="2:2" ht="16.5" x14ac:dyDescent="0.5">
      <c r="B26" s="1" t="s">
        <v>258</v>
      </c>
    </row>
    <row r="27" spans="2:2" ht="16.5" x14ac:dyDescent="0.5">
      <c r="B27" s="1" t="s">
        <v>259</v>
      </c>
    </row>
    <row r="28" spans="2:2" ht="16.5" x14ac:dyDescent="0.5">
      <c r="B28" s="1" t="s">
        <v>260</v>
      </c>
    </row>
    <row r="29" spans="2:2" ht="16.5" x14ac:dyDescent="0.5">
      <c r="B29" s="1" t="s">
        <v>261</v>
      </c>
    </row>
    <row r="30" spans="2:2" ht="16.5" x14ac:dyDescent="0.5">
      <c r="B30" s="1" t="s">
        <v>262</v>
      </c>
    </row>
    <row r="31" spans="2:2" ht="16.5" x14ac:dyDescent="0.5">
      <c r="B31" s="1" t="s">
        <v>263</v>
      </c>
    </row>
    <row r="32" spans="2:2" ht="16.5" x14ac:dyDescent="0.5">
      <c r="B32" s="1" t="s">
        <v>264</v>
      </c>
    </row>
    <row r="33" spans="2:2" ht="16.5" x14ac:dyDescent="0.5">
      <c r="B33" s="1" t="s">
        <v>265</v>
      </c>
    </row>
    <row r="34" spans="2:2" ht="16.5" x14ac:dyDescent="0.5">
      <c r="B34" s="1" t="s">
        <v>266</v>
      </c>
    </row>
    <row r="35" spans="2:2" ht="16.5" x14ac:dyDescent="0.5">
      <c r="B35" s="1" t="s">
        <v>267</v>
      </c>
    </row>
    <row r="36" spans="2:2" ht="16.5" x14ac:dyDescent="0.5">
      <c r="B36" s="1" t="s">
        <v>268</v>
      </c>
    </row>
    <row r="37" spans="2:2" ht="16.5" x14ac:dyDescent="0.5">
      <c r="B37" s="1" t="s">
        <v>269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G1" zoomScale="66" workbookViewId="0">
      <selection activeCell="I35" sqref="I35:J37"/>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8" t="s">
        <v>270</v>
      </c>
      <c r="T1" s="118"/>
      <c r="U1" s="118"/>
      <c r="V1" s="118"/>
      <c r="W1" s="118"/>
      <c r="X1" s="118"/>
      <c r="Y1" s="118"/>
      <c r="Z1" s="118"/>
      <c r="AA1" s="118"/>
      <c r="AB1" s="118"/>
      <c r="AC1" s="118"/>
      <c r="AD1" s="118"/>
      <c r="AE1" s="118"/>
      <c r="AF1" s="118"/>
      <c r="AG1" s="118"/>
      <c r="AH1" s="9"/>
      <c r="AI1" s="9"/>
      <c r="AJ1" s="9"/>
      <c r="AL1" s="118" t="s">
        <v>271</v>
      </c>
      <c r="AM1" s="118"/>
      <c r="AN1" s="118"/>
      <c r="AO1" s="118"/>
      <c r="AP1" s="118"/>
      <c r="AQ1" s="118"/>
      <c r="AR1" s="118"/>
      <c r="AS1" s="118"/>
      <c r="AT1" s="118"/>
      <c r="AU1" s="118"/>
      <c r="AV1" s="118"/>
      <c r="AW1" s="118"/>
      <c r="AX1" s="118"/>
      <c r="AY1" s="118"/>
      <c r="AZ1" s="118"/>
      <c r="BA1" s="9"/>
      <c r="BB1" s="118" t="s">
        <v>272</v>
      </c>
      <c r="BC1" s="118"/>
      <c r="BD1" s="118"/>
      <c r="BE1" s="118"/>
      <c r="BF1" s="118"/>
      <c r="BG1" s="118"/>
      <c r="BH1" s="9"/>
      <c r="BK1" s="9"/>
    </row>
    <row r="2" spans="1:63" x14ac:dyDescent="0.5">
      <c r="L2" s="118" t="s">
        <v>273</v>
      </c>
      <c r="M2" s="118"/>
      <c r="N2" s="118"/>
      <c r="O2" s="118"/>
      <c r="P2" s="118"/>
      <c r="Q2" s="118"/>
      <c r="S2" s="120" t="s">
        <v>274</v>
      </c>
      <c r="T2" s="120"/>
      <c r="U2" s="120"/>
      <c r="V2" s="120"/>
      <c r="W2" s="120"/>
      <c r="X2" s="120"/>
      <c r="Y2" s="120" t="s">
        <v>275</v>
      </c>
      <c r="Z2" s="120"/>
      <c r="AA2" s="120"/>
      <c r="AB2" s="120"/>
      <c r="AC2" s="120" t="s">
        <v>276</v>
      </c>
      <c r="AD2" s="120"/>
      <c r="AE2" s="120"/>
      <c r="AF2" s="120"/>
      <c r="AG2" s="120"/>
      <c r="AH2" s="9"/>
      <c r="AI2" s="9"/>
      <c r="AJ2" s="9"/>
      <c r="AL2" s="119"/>
      <c r="AM2" s="119"/>
      <c r="AN2" s="119"/>
      <c r="AO2" s="119"/>
      <c r="AP2" s="119"/>
      <c r="AQ2" s="119"/>
      <c r="AR2" s="9"/>
      <c r="AS2" s="9"/>
      <c r="AT2" s="9"/>
      <c r="AU2" s="9"/>
      <c r="AV2" s="9"/>
      <c r="AW2" s="9"/>
      <c r="AX2" s="9"/>
      <c r="AY2" s="9"/>
      <c r="AZ2" s="9"/>
      <c r="BA2" s="9"/>
      <c r="BB2" s="9"/>
      <c r="BC2" s="9"/>
      <c r="BD2" s="9"/>
      <c r="BE2" s="9"/>
      <c r="BF2" s="9"/>
      <c r="BG2" s="9"/>
      <c r="BH2" s="9"/>
      <c r="BK2" s="9"/>
    </row>
    <row r="3" spans="1:63" x14ac:dyDescent="0.5">
      <c r="A3" s="51" t="s">
        <v>277</v>
      </c>
      <c r="C3" s="51" t="s">
        <v>278</v>
      </c>
      <c r="D3" s="51" t="s">
        <v>279</v>
      </c>
      <c r="E3" s="51" t="s">
        <v>280</v>
      </c>
      <c r="G3" s="51" t="s">
        <v>76</v>
      </c>
      <c r="H3" s="51" t="s">
        <v>80</v>
      </c>
      <c r="I3" s="51" t="s">
        <v>83</v>
      </c>
      <c r="L3" s="1" t="s">
        <v>281</v>
      </c>
      <c r="M3" s="1" t="s">
        <v>282</v>
      </c>
      <c r="N3" s="1" t="s">
        <v>81</v>
      </c>
      <c r="O3" s="1" t="s">
        <v>77</v>
      </c>
      <c r="P3" s="1" t="s">
        <v>283</v>
      </c>
      <c r="Q3" s="1" t="s">
        <v>84</v>
      </c>
      <c r="S3" s="1" t="s">
        <v>284</v>
      </c>
      <c r="T3" s="1" t="s">
        <v>285</v>
      </c>
      <c r="U3" s="1" t="s">
        <v>286</v>
      </c>
      <c r="V3" s="1" t="s">
        <v>287</v>
      </c>
      <c r="W3" s="1" t="s">
        <v>288</v>
      </c>
      <c r="X3" s="1" t="s">
        <v>289</v>
      </c>
      <c r="Y3" s="1" t="s">
        <v>290</v>
      </c>
      <c r="Z3" s="1" t="s">
        <v>291</v>
      </c>
      <c r="AA3" s="1" t="s">
        <v>292</v>
      </c>
      <c r="AB3" s="1" t="s">
        <v>293</v>
      </c>
      <c r="AC3" s="1" t="s">
        <v>294</v>
      </c>
      <c r="AD3" s="1" t="s">
        <v>295</v>
      </c>
      <c r="AE3" s="1" t="s">
        <v>296</v>
      </c>
      <c r="AF3" s="1" t="s">
        <v>297</v>
      </c>
      <c r="AG3" s="1" t="s">
        <v>298</v>
      </c>
      <c r="AL3" s="115" t="s">
        <v>299</v>
      </c>
      <c r="AM3" s="116"/>
      <c r="AN3" s="116"/>
      <c r="AO3" s="115" t="s">
        <v>300</v>
      </c>
      <c r="AP3" s="116"/>
      <c r="AQ3" s="116"/>
      <c r="AR3" s="115" t="s">
        <v>301</v>
      </c>
      <c r="AS3" s="116"/>
      <c r="AT3" s="116"/>
      <c r="AU3" s="117"/>
      <c r="AV3" s="115" t="s">
        <v>302</v>
      </c>
      <c r="AW3" s="116"/>
      <c r="AX3" s="116"/>
      <c r="AY3" s="116"/>
      <c r="AZ3" s="117"/>
      <c r="BA3" s="10"/>
      <c r="BB3" s="10"/>
      <c r="BC3" s="10"/>
      <c r="BD3" s="10"/>
      <c r="BE3" s="10"/>
      <c r="BF3" s="10"/>
      <c r="BG3" s="10"/>
      <c r="BH3" s="10"/>
      <c r="BK3" s="10"/>
    </row>
    <row r="4" spans="1:63" x14ac:dyDescent="0.5">
      <c r="A4" s="1" t="s">
        <v>75</v>
      </c>
      <c r="C4" s="1" t="s">
        <v>303</v>
      </c>
      <c r="D4" s="1" t="s">
        <v>304</v>
      </c>
      <c r="E4" s="1" t="s">
        <v>305</v>
      </c>
      <c r="G4" s="1" t="s">
        <v>281</v>
      </c>
      <c r="H4" s="1" t="s">
        <v>281</v>
      </c>
      <c r="I4" s="1" t="s">
        <v>281</v>
      </c>
      <c r="L4" s="1" t="s">
        <v>306</v>
      </c>
      <c r="M4" s="1" t="s">
        <v>242</v>
      </c>
      <c r="N4" s="1" t="s">
        <v>239</v>
      </c>
      <c r="O4" s="1" t="s">
        <v>307</v>
      </c>
      <c r="P4" s="1" t="s">
        <v>308</v>
      </c>
      <c r="Q4" s="1" t="s">
        <v>309</v>
      </c>
      <c r="S4" s="1" t="s">
        <v>306</v>
      </c>
      <c r="T4" s="1" t="s">
        <v>242</v>
      </c>
      <c r="U4" s="1" t="s">
        <v>239</v>
      </c>
      <c r="V4" s="1" t="s">
        <v>307</v>
      </c>
      <c r="W4" s="1" t="s">
        <v>308</v>
      </c>
      <c r="X4" s="1" t="s">
        <v>309</v>
      </c>
      <c r="Y4" s="1" t="s">
        <v>310</v>
      </c>
      <c r="Z4" s="1" t="s">
        <v>311</v>
      </c>
      <c r="AA4" s="1" t="s">
        <v>312</v>
      </c>
      <c r="AB4" s="1" t="s">
        <v>313</v>
      </c>
      <c r="AC4" s="1" t="s">
        <v>256</v>
      </c>
      <c r="AD4" s="1" t="s">
        <v>314</v>
      </c>
      <c r="AE4" s="1" t="s">
        <v>315</v>
      </c>
      <c r="AF4" s="1" t="s">
        <v>316</v>
      </c>
      <c r="AG4" s="1" t="s">
        <v>317</v>
      </c>
      <c r="AL4" s="11" t="s">
        <v>318</v>
      </c>
      <c r="AM4" s="11" t="s">
        <v>319</v>
      </c>
      <c r="AN4" s="11" t="s">
        <v>320</v>
      </c>
      <c r="AO4" s="11" t="s">
        <v>321</v>
      </c>
      <c r="AP4" s="12" t="s">
        <v>322</v>
      </c>
      <c r="AQ4" s="11" t="s">
        <v>323</v>
      </c>
      <c r="AR4" s="1" t="s">
        <v>290</v>
      </c>
      <c r="AS4" s="1" t="s">
        <v>291</v>
      </c>
      <c r="AT4" s="1" t="s">
        <v>292</v>
      </c>
      <c r="AU4" s="1" t="s">
        <v>293</v>
      </c>
      <c r="AV4" s="1" t="s">
        <v>294</v>
      </c>
      <c r="AW4" s="1" t="s">
        <v>295</v>
      </c>
      <c r="AX4" s="1" t="s">
        <v>296</v>
      </c>
      <c r="AY4" s="1" t="s">
        <v>297</v>
      </c>
      <c r="AZ4" s="1" t="s">
        <v>298</v>
      </c>
      <c r="BA4" s="10"/>
      <c r="BB4" s="1" t="s">
        <v>324</v>
      </c>
      <c r="BC4" s="1" t="s">
        <v>325</v>
      </c>
      <c r="BD4" s="1" t="s">
        <v>326</v>
      </c>
      <c r="BE4" s="1" t="s">
        <v>327</v>
      </c>
      <c r="BF4" s="1" t="s">
        <v>328</v>
      </c>
      <c r="BG4" s="1" t="s">
        <v>329</v>
      </c>
      <c r="BH4" s="10"/>
      <c r="BK4" s="10"/>
    </row>
    <row r="5" spans="1:63" x14ac:dyDescent="0.5">
      <c r="A5" s="1" t="s">
        <v>278</v>
      </c>
      <c r="C5" s="1" t="s">
        <v>330</v>
      </c>
      <c r="D5" s="1" t="s">
        <v>331</v>
      </c>
      <c r="E5" s="1" t="s">
        <v>332</v>
      </c>
      <c r="G5" s="1" t="s">
        <v>282</v>
      </c>
      <c r="H5" s="1" t="s">
        <v>282</v>
      </c>
      <c r="I5" s="1" t="s">
        <v>282</v>
      </c>
      <c r="L5" s="1" t="s">
        <v>333</v>
      </c>
      <c r="M5" s="1" t="s">
        <v>334</v>
      </c>
      <c r="N5" s="1" t="s">
        <v>335</v>
      </c>
      <c r="O5" s="1" t="s">
        <v>78</v>
      </c>
      <c r="P5" s="1" t="s">
        <v>238</v>
      </c>
      <c r="Q5" s="1" t="s">
        <v>336</v>
      </c>
      <c r="S5" s="1" t="s">
        <v>333</v>
      </c>
      <c r="T5" s="1" t="s">
        <v>334</v>
      </c>
      <c r="U5" s="1" t="s">
        <v>335</v>
      </c>
      <c r="V5" s="1" t="s">
        <v>78</v>
      </c>
      <c r="W5" s="1" t="s">
        <v>238</v>
      </c>
      <c r="X5" s="1" t="s">
        <v>336</v>
      </c>
      <c r="Y5" s="1" t="s">
        <v>308</v>
      </c>
      <c r="Z5" s="1" t="s">
        <v>337</v>
      </c>
      <c r="AA5" s="1" t="s">
        <v>260</v>
      </c>
      <c r="AB5" s="1" t="s">
        <v>338</v>
      </c>
      <c r="AC5" s="1" t="s">
        <v>244</v>
      </c>
      <c r="AD5" s="1" t="s">
        <v>339</v>
      </c>
      <c r="AE5" s="1" t="s">
        <v>314</v>
      </c>
      <c r="AF5" s="1" t="s">
        <v>340</v>
      </c>
      <c r="AG5" s="1" t="s">
        <v>341</v>
      </c>
      <c r="AL5" s="2" t="s">
        <v>342</v>
      </c>
      <c r="AM5" s="2" t="s">
        <v>343</v>
      </c>
      <c r="AN5" s="2" t="s">
        <v>344</v>
      </c>
      <c r="AO5" s="2" t="s">
        <v>345</v>
      </c>
      <c r="AP5" s="2" t="s">
        <v>308</v>
      </c>
      <c r="AQ5" s="2" t="s">
        <v>248</v>
      </c>
      <c r="AR5" s="1" t="s">
        <v>310</v>
      </c>
      <c r="AS5" s="1" t="s">
        <v>311</v>
      </c>
      <c r="AT5" s="1" t="s">
        <v>312</v>
      </c>
      <c r="AU5" s="1" t="s">
        <v>313</v>
      </c>
      <c r="AV5" s="1" t="s">
        <v>256</v>
      </c>
      <c r="AW5" s="1" t="s">
        <v>314</v>
      </c>
      <c r="AX5" s="1" t="s">
        <v>315</v>
      </c>
      <c r="AY5" s="1" t="s">
        <v>316</v>
      </c>
      <c r="AZ5" s="1" t="s">
        <v>317</v>
      </c>
      <c r="BA5" s="2"/>
      <c r="BB5" s="13" t="s">
        <v>342</v>
      </c>
      <c r="BC5" s="15" t="s">
        <v>242</v>
      </c>
      <c r="BD5" s="13" t="s">
        <v>345</v>
      </c>
      <c r="BE5" s="13" t="s">
        <v>344</v>
      </c>
      <c r="BF5" s="15" t="s">
        <v>346</v>
      </c>
      <c r="BG5" s="15" t="s">
        <v>346</v>
      </c>
      <c r="BH5" s="2"/>
      <c r="BK5" s="2"/>
    </row>
    <row r="6" spans="1:63" x14ac:dyDescent="0.5">
      <c r="A6" s="1" t="s">
        <v>279</v>
      </c>
      <c r="C6" s="1" t="s">
        <v>347</v>
      </c>
      <c r="D6" s="1" t="s">
        <v>348</v>
      </c>
      <c r="E6" s="1" t="s">
        <v>349</v>
      </c>
      <c r="G6" s="1" t="s">
        <v>81</v>
      </c>
      <c r="H6" s="1" t="s">
        <v>81</v>
      </c>
      <c r="I6" s="1" t="s">
        <v>81</v>
      </c>
      <c r="L6" s="1" t="s">
        <v>350</v>
      </c>
      <c r="M6" s="1" t="s">
        <v>351</v>
      </c>
      <c r="N6" s="1" t="s">
        <v>352</v>
      </c>
      <c r="O6" s="1" t="s">
        <v>353</v>
      </c>
      <c r="P6" s="1" t="s">
        <v>354</v>
      </c>
      <c r="Q6" s="1" t="s">
        <v>355</v>
      </c>
      <c r="S6" s="1" t="s">
        <v>350</v>
      </c>
      <c r="T6" s="1" t="s">
        <v>351</v>
      </c>
      <c r="U6" s="1" t="s">
        <v>352</v>
      </c>
      <c r="V6" s="1" t="s">
        <v>353</v>
      </c>
      <c r="W6" s="1" t="s">
        <v>354</v>
      </c>
      <c r="X6" s="1" t="s">
        <v>355</v>
      </c>
      <c r="Y6" s="1" t="s">
        <v>356</v>
      </c>
      <c r="Z6" s="1" t="s">
        <v>357</v>
      </c>
      <c r="AA6" s="1" t="s">
        <v>358</v>
      </c>
      <c r="AB6" s="1" t="s">
        <v>359</v>
      </c>
      <c r="AC6" s="1" t="s">
        <v>249</v>
      </c>
      <c r="AD6" s="1" t="s">
        <v>360</v>
      </c>
      <c r="AE6" s="1" t="s">
        <v>346</v>
      </c>
      <c r="AF6" s="1" t="s">
        <v>361</v>
      </c>
      <c r="AG6" s="1" t="s">
        <v>244</v>
      </c>
      <c r="AL6" s="2" t="s">
        <v>350</v>
      </c>
      <c r="AM6" s="2" t="s">
        <v>362</v>
      </c>
      <c r="AN6" s="2" t="s">
        <v>345</v>
      </c>
      <c r="AO6" s="2" t="s">
        <v>307</v>
      </c>
      <c r="AP6" s="2" t="s">
        <v>363</v>
      </c>
      <c r="AQ6" s="2" t="s">
        <v>364</v>
      </c>
      <c r="AR6" s="1" t="s">
        <v>308</v>
      </c>
      <c r="AS6" s="1" t="s">
        <v>337</v>
      </c>
      <c r="AT6" s="1" t="s">
        <v>260</v>
      </c>
      <c r="AU6" s="1" t="s">
        <v>338</v>
      </c>
      <c r="AV6" s="1" t="s">
        <v>244</v>
      </c>
      <c r="AW6" s="1" t="s">
        <v>339</v>
      </c>
      <c r="AX6" s="1" t="s">
        <v>314</v>
      </c>
      <c r="AY6" s="1" t="s">
        <v>340</v>
      </c>
      <c r="AZ6" s="1" t="s">
        <v>341</v>
      </c>
      <c r="BA6" s="2"/>
      <c r="BB6" s="14" t="s">
        <v>350</v>
      </c>
      <c r="BC6" s="16" t="s">
        <v>334</v>
      </c>
      <c r="BD6" s="15" t="s">
        <v>307</v>
      </c>
      <c r="BE6" s="14" t="s">
        <v>345</v>
      </c>
      <c r="BF6" s="16" t="s">
        <v>365</v>
      </c>
      <c r="BG6" s="15" t="s">
        <v>315</v>
      </c>
      <c r="BH6" s="2"/>
      <c r="BK6" s="2"/>
    </row>
    <row r="7" spans="1:63" x14ac:dyDescent="0.5">
      <c r="A7" s="1" t="s">
        <v>280</v>
      </c>
      <c r="D7" s="1" t="s">
        <v>366</v>
      </c>
      <c r="G7" s="1" t="s">
        <v>77</v>
      </c>
      <c r="H7" s="1" t="s">
        <v>77</v>
      </c>
      <c r="I7" s="1" t="s">
        <v>77</v>
      </c>
      <c r="L7" s="1" t="s">
        <v>367</v>
      </c>
      <c r="M7" s="1" t="s">
        <v>243</v>
      </c>
      <c r="N7" s="1" t="s">
        <v>368</v>
      </c>
      <c r="O7" s="1" t="s">
        <v>369</v>
      </c>
      <c r="P7" s="1" t="s">
        <v>354</v>
      </c>
      <c r="Q7" s="1" t="s">
        <v>370</v>
      </c>
      <c r="S7" s="1" t="s">
        <v>367</v>
      </c>
      <c r="T7" s="1" t="s">
        <v>243</v>
      </c>
      <c r="U7" s="1" t="s">
        <v>368</v>
      </c>
      <c r="V7" s="1" t="s">
        <v>369</v>
      </c>
      <c r="W7" s="1" t="s">
        <v>354</v>
      </c>
      <c r="X7" s="1" t="s">
        <v>370</v>
      </c>
      <c r="Y7" s="1" t="s">
        <v>371</v>
      </c>
      <c r="Z7" s="1" t="s">
        <v>372</v>
      </c>
      <c r="AA7" s="1" t="s">
        <v>373</v>
      </c>
      <c r="AB7" s="1" t="s">
        <v>374</v>
      </c>
      <c r="AC7" s="1" t="s">
        <v>311</v>
      </c>
      <c r="AD7" s="1" t="s">
        <v>342</v>
      </c>
      <c r="AE7" s="1" t="s">
        <v>342</v>
      </c>
      <c r="AF7" s="1" t="s">
        <v>365</v>
      </c>
      <c r="AG7" s="1" t="s">
        <v>375</v>
      </c>
      <c r="AL7" s="2" t="s">
        <v>376</v>
      </c>
      <c r="AM7" s="2" t="s">
        <v>377</v>
      </c>
      <c r="AN7" s="2" t="s">
        <v>353</v>
      </c>
      <c r="AO7" s="2" t="s">
        <v>378</v>
      </c>
      <c r="AP7" s="2" t="s">
        <v>379</v>
      </c>
      <c r="AQ7" s="2" t="s">
        <v>380</v>
      </c>
      <c r="AR7" s="1" t="s">
        <v>356</v>
      </c>
      <c r="AS7" s="1" t="s">
        <v>357</v>
      </c>
      <c r="AT7" s="1" t="s">
        <v>358</v>
      </c>
      <c r="AU7" s="1" t="s">
        <v>359</v>
      </c>
      <c r="AV7" s="1" t="s">
        <v>249</v>
      </c>
      <c r="AW7" s="1" t="s">
        <v>360</v>
      </c>
      <c r="AX7" s="1" t="s">
        <v>346</v>
      </c>
      <c r="AY7" s="1" t="s">
        <v>361</v>
      </c>
      <c r="AZ7" s="1" t="s">
        <v>244</v>
      </c>
      <c r="BA7" s="2"/>
      <c r="BB7" s="13" t="s">
        <v>376</v>
      </c>
      <c r="BC7" s="1" t="s">
        <v>343</v>
      </c>
      <c r="BD7" s="16" t="s">
        <v>78</v>
      </c>
      <c r="BE7" s="15" t="s">
        <v>239</v>
      </c>
      <c r="BF7" s="15" t="s">
        <v>315</v>
      </c>
      <c r="BG7" s="15" t="s">
        <v>381</v>
      </c>
      <c r="BH7" s="2"/>
      <c r="BK7" s="2"/>
    </row>
    <row r="8" spans="1:63" x14ac:dyDescent="0.5">
      <c r="G8" s="1" t="s">
        <v>283</v>
      </c>
      <c r="H8" s="1" t="s">
        <v>283</v>
      </c>
      <c r="I8" s="1" t="s">
        <v>283</v>
      </c>
      <c r="L8" s="1" t="s">
        <v>382</v>
      </c>
      <c r="M8" s="1" t="s">
        <v>383</v>
      </c>
      <c r="N8" s="1" t="s">
        <v>244</v>
      </c>
      <c r="O8" s="1" t="s">
        <v>362</v>
      </c>
      <c r="P8" s="1" t="s">
        <v>384</v>
      </c>
      <c r="Q8" s="1" t="s">
        <v>385</v>
      </c>
      <c r="S8" s="1" t="s">
        <v>382</v>
      </c>
      <c r="T8" s="1" t="s">
        <v>383</v>
      </c>
      <c r="U8" s="1" t="s">
        <v>244</v>
      </c>
      <c r="V8" s="1" t="s">
        <v>362</v>
      </c>
      <c r="W8" s="1" t="s">
        <v>384</v>
      </c>
      <c r="X8" s="1" t="s">
        <v>385</v>
      </c>
      <c r="Y8" s="1" t="s">
        <v>240</v>
      </c>
      <c r="Z8" s="1" t="s">
        <v>386</v>
      </c>
      <c r="AA8" s="1" t="s">
        <v>387</v>
      </c>
      <c r="AB8" s="1" t="s">
        <v>388</v>
      </c>
      <c r="AC8" s="1" t="s">
        <v>239</v>
      </c>
      <c r="AD8" s="1" t="s">
        <v>240</v>
      </c>
      <c r="AE8" s="1" t="s">
        <v>389</v>
      </c>
      <c r="AF8" s="1" t="s">
        <v>390</v>
      </c>
      <c r="AG8" s="1" t="s">
        <v>391</v>
      </c>
      <c r="AL8" s="2" t="s">
        <v>382</v>
      </c>
      <c r="AM8" s="2" t="s">
        <v>360</v>
      </c>
      <c r="AN8" s="2" t="s">
        <v>369</v>
      </c>
      <c r="AO8" s="2" t="s">
        <v>392</v>
      </c>
      <c r="AP8" s="2" t="s">
        <v>393</v>
      </c>
      <c r="AQ8" s="2" t="s">
        <v>394</v>
      </c>
      <c r="AR8" s="1" t="s">
        <v>371</v>
      </c>
      <c r="AS8" s="1" t="s">
        <v>372</v>
      </c>
      <c r="AT8" s="1" t="s">
        <v>373</v>
      </c>
      <c r="AU8" s="1" t="s">
        <v>374</v>
      </c>
      <c r="AV8" s="1" t="s">
        <v>311</v>
      </c>
      <c r="AW8" s="1" t="s">
        <v>342</v>
      </c>
      <c r="AX8" s="1" t="s">
        <v>342</v>
      </c>
      <c r="AY8" s="1" t="s">
        <v>365</v>
      </c>
      <c r="AZ8" s="1" t="s">
        <v>375</v>
      </c>
      <c r="BA8" s="2"/>
      <c r="BB8" s="14" t="s">
        <v>382</v>
      </c>
      <c r="BC8" s="15" t="s">
        <v>351</v>
      </c>
      <c r="BD8" s="15" t="s">
        <v>239</v>
      </c>
      <c r="BE8" s="13" t="s">
        <v>353</v>
      </c>
      <c r="BF8" s="16" t="s">
        <v>381</v>
      </c>
      <c r="BG8" s="15" t="s">
        <v>395</v>
      </c>
      <c r="BH8" s="2"/>
      <c r="BK8" s="2"/>
    </row>
    <row r="9" spans="1:63" x14ac:dyDescent="0.5">
      <c r="G9" s="1" t="s">
        <v>84</v>
      </c>
      <c r="H9" s="1" t="s">
        <v>84</v>
      </c>
      <c r="I9" s="1" t="s">
        <v>84</v>
      </c>
      <c r="L9" s="1" t="s">
        <v>247</v>
      </c>
      <c r="M9" s="1" t="s">
        <v>396</v>
      </c>
      <c r="N9" s="1" t="s">
        <v>397</v>
      </c>
      <c r="O9" s="1" t="s">
        <v>398</v>
      </c>
      <c r="P9" s="1" t="s">
        <v>399</v>
      </c>
      <c r="Q9" s="1" t="s">
        <v>240</v>
      </c>
      <c r="S9" s="1" t="s">
        <v>247</v>
      </c>
      <c r="T9" s="1" t="s">
        <v>396</v>
      </c>
      <c r="U9" s="1" t="s">
        <v>397</v>
      </c>
      <c r="V9" s="1" t="s">
        <v>398</v>
      </c>
      <c r="W9" s="1" t="s">
        <v>399</v>
      </c>
      <c r="X9" s="1" t="s">
        <v>240</v>
      </c>
      <c r="Y9" s="1" t="s">
        <v>370</v>
      </c>
      <c r="Z9" s="1" t="s">
        <v>400</v>
      </c>
      <c r="AA9" s="1" t="s">
        <v>401</v>
      </c>
      <c r="AB9" s="1" t="s">
        <v>402</v>
      </c>
      <c r="AC9" s="1" t="s">
        <v>403</v>
      </c>
      <c r="AD9" s="1" t="s">
        <v>256</v>
      </c>
      <c r="AE9" s="1" t="s">
        <v>404</v>
      </c>
      <c r="AF9" s="1" t="s">
        <v>405</v>
      </c>
      <c r="AG9" s="1" t="s">
        <v>381</v>
      </c>
      <c r="AL9" s="2" t="s">
        <v>247</v>
      </c>
      <c r="AM9" s="2" t="s">
        <v>406</v>
      </c>
      <c r="AN9" s="2" t="s">
        <v>407</v>
      </c>
      <c r="AO9" s="2" t="s">
        <v>369</v>
      </c>
      <c r="AP9" s="2" t="s">
        <v>408</v>
      </c>
      <c r="AQ9" s="2" t="s">
        <v>409</v>
      </c>
      <c r="AR9" s="1" t="s">
        <v>240</v>
      </c>
      <c r="AS9" s="1" t="s">
        <v>386</v>
      </c>
      <c r="AT9" s="1" t="s">
        <v>387</v>
      </c>
      <c r="AU9" s="1" t="s">
        <v>388</v>
      </c>
      <c r="AV9" s="1" t="s">
        <v>239</v>
      </c>
      <c r="AW9" s="1" t="s">
        <v>240</v>
      </c>
      <c r="AX9" s="1" t="s">
        <v>389</v>
      </c>
      <c r="AY9" s="1" t="s">
        <v>390</v>
      </c>
      <c r="AZ9" s="1" t="s">
        <v>391</v>
      </c>
      <c r="BA9" s="2"/>
      <c r="BB9" s="13" t="s">
        <v>247</v>
      </c>
      <c r="BC9" s="14" t="s">
        <v>362</v>
      </c>
      <c r="BD9" s="15" t="s">
        <v>378</v>
      </c>
      <c r="BE9" s="16" t="s">
        <v>335</v>
      </c>
      <c r="BF9" s="16" t="s">
        <v>342</v>
      </c>
      <c r="BG9" s="16" t="s">
        <v>410</v>
      </c>
      <c r="BH9" s="2"/>
      <c r="BK9" s="2"/>
    </row>
    <row r="10" spans="1:63" x14ac:dyDescent="0.5">
      <c r="L10" s="1" t="s">
        <v>411</v>
      </c>
      <c r="M10" s="1" t="s">
        <v>412</v>
      </c>
      <c r="N10" s="1" t="s">
        <v>360</v>
      </c>
      <c r="O10" s="1" t="s">
        <v>377</v>
      </c>
      <c r="P10" s="1" t="s">
        <v>353</v>
      </c>
      <c r="Q10" s="1" t="s">
        <v>241</v>
      </c>
      <c r="S10" s="1" t="s">
        <v>411</v>
      </c>
      <c r="T10" s="1" t="s">
        <v>412</v>
      </c>
      <c r="U10" s="1" t="s">
        <v>360</v>
      </c>
      <c r="V10" s="1" t="s">
        <v>377</v>
      </c>
      <c r="W10" s="1" t="s">
        <v>353</v>
      </c>
      <c r="X10" s="1" t="s">
        <v>241</v>
      </c>
      <c r="Y10" s="1" t="s">
        <v>78</v>
      </c>
      <c r="Z10" s="1" t="s">
        <v>256</v>
      </c>
      <c r="AA10" s="1" t="s">
        <v>413</v>
      </c>
      <c r="AB10" s="1" t="s">
        <v>414</v>
      </c>
      <c r="AC10" s="1" t="s">
        <v>415</v>
      </c>
      <c r="AD10" s="1" t="s">
        <v>243</v>
      </c>
      <c r="AE10" s="1" t="s">
        <v>416</v>
      </c>
      <c r="AF10" s="1" t="s">
        <v>417</v>
      </c>
      <c r="AG10" s="1" t="s">
        <v>418</v>
      </c>
      <c r="AL10" s="2" t="s">
        <v>411</v>
      </c>
      <c r="AM10" s="2" t="s">
        <v>419</v>
      </c>
      <c r="AN10" s="2" t="s">
        <v>420</v>
      </c>
      <c r="AO10" s="2" t="s">
        <v>421</v>
      </c>
      <c r="AP10" s="2" t="s">
        <v>352</v>
      </c>
      <c r="AQ10" s="2" t="s">
        <v>258</v>
      </c>
      <c r="AR10" s="1" t="s">
        <v>370</v>
      </c>
      <c r="AS10" s="1" t="s">
        <v>400</v>
      </c>
      <c r="AT10" s="1" t="s">
        <v>401</v>
      </c>
      <c r="AU10" s="1" t="s">
        <v>402</v>
      </c>
      <c r="AV10" s="1" t="s">
        <v>403</v>
      </c>
      <c r="AW10" s="1" t="s">
        <v>256</v>
      </c>
      <c r="AX10" s="1" t="s">
        <v>404</v>
      </c>
      <c r="AY10" s="1" t="s">
        <v>405</v>
      </c>
      <c r="AZ10" s="1" t="s">
        <v>381</v>
      </c>
      <c r="BA10" s="2"/>
      <c r="BB10" s="14" t="s">
        <v>411</v>
      </c>
      <c r="BC10" s="16" t="s">
        <v>243</v>
      </c>
      <c r="BD10" s="16" t="s">
        <v>392</v>
      </c>
      <c r="BE10" s="14" t="s">
        <v>369</v>
      </c>
      <c r="BF10" s="16" t="s">
        <v>395</v>
      </c>
      <c r="BG10" s="15" t="s">
        <v>422</v>
      </c>
      <c r="BH10" s="2"/>
      <c r="BK10" s="2"/>
    </row>
    <row r="11" spans="1:63" x14ac:dyDescent="0.5">
      <c r="G11" s="51" t="s">
        <v>423</v>
      </c>
      <c r="H11" s="51" t="s">
        <v>331</v>
      </c>
      <c r="I11" s="51" t="s">
        <v>424</v>
      </c>
      <c r="J11" s="51" t="s">
        <v>366</v>
      </c>
      <c r="L11" s="1" t="s">
        <v>360</v>
      </c>
      <c r="M11" s="1" t="s">
        <v>425</v>
      </c>
      <c r="N11" s="1" t="s">
        <v>426</v>
      </c>
      <c r="O11" s="1" t="s">
        <v>396</v>
      </c>
      <c r="P11" s="1" t="s">
        <v>368</v>
      </c>
      <c r="Q11" s="1" t="s">
        <v>427</v>
      </c>
      <c r="S11" s="1" t="s">
        <v>360</v>
      </c>
      <c r="T11" s="1" t="s">
        <v>425</v>
      </c>
      <c r="U11" s="1" t="s">
        <v>426</v>
      </c>
      <c r="V11" s="1" t="s">
        <v>396</v>
      </c>
      <c r="W11" s="1" t="s">
        <v>368</v>
      </c>
      <c r="X11" s="1" t="s">
        <v>427</v>
      </c>
      <c r="Y11" s="1" t="s">
        <v>239</v>
      </c>
      <c r="Z11" s="1" t="s">
        <v>316</v>
      </c>
      <c r="AA11" s="1" t="s">
        <v>428</v>
      </c>
      <c r="AB11" s="1" t="s">
        <v>256</v>
      </c>
      <c r="AC11" s="1" t="s">
        <v>429</v>
      </c>
      <c r="AD11" s="1" t="s">
        <v>430</v>
      </c>
      <c r="AE11" s="1" t="s">
        <v>395</v>
      </c>
      <c r="AF11" s="1" t="s">
        <v>431</v>
      </c>
      <c r="AG11" s="1" t="s">
        <v>432</v>
      </c>
      <c r="AL11" s="2" t="s">
        <v>433</v>
      </c>
      <c r="AM11" s="2" t="s">
        <v>434</v>
      </c>
      <c r="AN11" s="2" t="s">
        <v>360</v>
      </c>
      <c r="AO11" s="2" t="s">
        <v>362</v>
      </c>
      <c r="AP11" s="2" t="s">
        <v>362</v>
      </c>
      <c r="AQ11" s="2" t="s">
        <v>435</v>
      </c>
      <c r="AR11" s="1" t="s">
        <v>78</v>
      </c>
      <c r="AS11" s="1" t="s">
        <v>256</v>
      </c>
      <c r="AT11" s="1" t="s">
        <v>413</v>
      </c>
      <c r="AU11" s="1" t="s">
        <v>414</v>
      </c>
      <c r="AV11" s="1" t="s">
        <v>415</v>
      </c>
      <c r="AW11" s="1" t="s">
        <v>243</v>
      </c>
      <c r="AX11" s="1" t="s">
        <v>416</v>
      </c>
      <c r="AY11" s="1" t="s">
        <v>417</v>
      </c>
      <c r="AZ11" s="1" t="s">
        <v>418</v>
      </c>
      <c r="BA11" s="2"/>
      <c r="BB11" s="13" t="s">
        <v>433</v>
      </c>
      <c r="BC11" s="13" t="s">
        <v>377</v>
      </c>
      <c r="BD11" s="15" t="s">
        <v>353</v>
      </c>
      <c r="BE11" s="15" t="s">
        <v>352</v>
      </c>
      <c r="BF11" s="16" t="s">
        <v>410</v>
      </c>
      <c r="BG11" s="15" t="s">
        <v>405</v>
      </c>
      <c r="BH11" s="2"/>
      <c r="BK11" s="2"/>
    </row>
    <row r="12" spans="1:63" x14ac:dyDescent="0.5">
      <c r="G12" s="1" t="s">
        <v>436</v>
      </c>
      <c r="H12" s="1" t="s">
        <v>436</v>
      </c>
      <c r="I12" s="1" t="s">
        <v>436</v>
      </c>
      <c r="J12" s="1" t="s">
        <v>436</v>
      </c>
      <c r="L12" s="1" t="s">
        <v>437</v>
      </c>
      <c r="M12" s="1" t="s">
        <v>437</v>
      </c>
      <c r="N12" s="1" t="s">
        <v>386</v>
      </c>
      <c r="O12" s="1" t="s">
        <v>438</v>
      </c>
      <c r="P12" s="1" t="s">
        <v>439</v>
      </c>
      <c r="Q12" s="1" t="s">
        <v>353</v>
      </c>
      <c r="S12" s="1" t="s">
        <v>437</v>
      </c>
      <c r="T12" s="1" t="s">
        <v>437</v>
      </c>
      <c r="U12" s="1" t="s">
        <v>386</v>
      </c>
      <c r="V12" s="1" t="s">
        <v>438</v>
      </c>
      <c r="W12" s="1" t="s">
        <v>439</v>
      </c>
      <c r="X12" s="1" t="s">
        <v>353</v>
      </c>
      <c r="Y12" s="1" t="s">
        <v>354</v>
      </c>
      <c r="Z12" s="1" t="s">
        <v>440</v>
      </c>
      <c r="AA12" s="1" t="s">
        <v>441</v>
      </c>
      <c r="AB12" s="1" t="s">
        <v>442</v>
      </c>
      <c r="AC12" s="1" t="s">
        <v>443</v>
      </c>
      <c r="AD12" s="1" t="s">
        <v>406</v>
      </c>
      <c r="AE12" s="1" t="s">
        <v>444</v>
      </c>
      <c r="AF12" s="1" t="s">
        <v>445</v>
      </c>
      <c r="AG12" s="1" t="s">
        <v>446</v>
      </c>
      <c r="AL12" s="2" t="s">
        <v>447</v>
      </c>
      <c r="AM12" s="2" t="s">
        <v>448</v>
      </c>
      <c r="AN12" s="2" t="s">
        <v>248</v>
      </c>
      <c r="AO12" s="2" t="s">
        <v>449</v>
      </c>
      <c r="AP12" s="2" t="s">
        <v>450</v>
      </c>
      <c r="AQ12" s="2" t="s">
        <v>451</v>
      </c>
      <c r="AR12" s="1" t="s">
        <v>239</v>
      </c>
      <c r="AS12" s="1" t="s">
        <v>316</v>
      </c>
      <c r="AT12" s="1" t="s">
        <v>428</v>
      </c>
      <c r="AU12" s="1" t="s">
        <v>256</v>
      </c>
      <c r="AV12" s="1" t="s">
        <v>429</v>
      </c>
      <c r="AW12" s="1" t="s">
        <v>430</v>
      </c>
      <c r="AX12" s="1" t="s">
        <v>395</v>
      </c>
      <c r="AY12" s="1" t="s">
        <v>431</v>
      </c>
      <c r="AZ12" s="1" t="s">
        <v>432</v>
      </c>
      <c r="BA12" s="2"/>
      <c r="BB12" s="14" t="s">
        <v>447</v>
      </c>
      <c r="BC12" s="15" t="s">
        <v>383</v>
      </c>
      <c r="BD12" s="16" t="s">
        <v>343</v>
      </c>
      <c r="BE12" s="16" t="s">
        <v>368</v>
      </c>
      <c r="BF12" s="15" t="s">
        <v>422</v>
      </c>
      <c r="BG12" s="16" t="s">
        <v>404</v>
      </c>
      <c r="BH12" s="2"/>
      <c r="BK12" s="2"/>
    </row>
    <row r="13" spans="1:63" x14ac:dyDescent="0.5">
      <c r="G13" s="1" t="s">
        <v>452</v>
      </c>
      <c r="H13" s="1" t="s">
        <v>452</v>
      </c>
      <c r="I13" s="1" t="s">
        <v>452</v>
      </c>
      <c r="J13" s="1" t="s">
        <v>453</v>
      </c>
      <c r="L13" s="1" t="s">
        <v>447</v>
      </c>
      <c r="M13" s="1" t="s">
        <v>454</v>
      </c>
      <c r="N13" s="1" t="s">
        <v>455</v>
      </c>
      <c r="O13" s="1" t="s">
        <v>425</v>
      </c>
      <c r="P13" s="1" t="s">
        <v>456</v>
      </c>
      <c r="Q13" s="1" t="s">
        <v>457</v>
      </c>
      <c r="S13" s="1" t="s">
        <v>447</v>
      </c>
      <c r="T13" s="1" t="s">
        <v>454</v>
      </c>
      <c r="U13" s="1" t="s">
        <v>455</v>
      </c>
      <c r="V13" s="1" t="s">
        <v>425</v>
      </c>
      <c r="W13" s="1" t="s">
        <v>456</v>
      </c>
      <c r="X13" s="1" t="s">
        <v>457</v>
      </c>
      <c r="Y13" s="1" t="s">
        <v>458</v>
      </c>
      <c r="Z13" s="1" t="s">
        <v>459</v>
      </c>
      <c r="AA13" s="1" t="s">
        <v>251</v>
      </c>
      <c r="AB13" s="1" t="s">
        <v>460</v>
      </c>
      <c r="AC13" s="1" t="s">
        <v>346</v>
      </c>
      <c r="AD13" s="1" t="s">
        <v>461</v>
      </c>
      <c r="AE13" s="1" t="s">
        <v>462</v>
      </c>
      <c r="AF13" s="1" t="s">
        <v>247</v>
      </c>
      <c r="AG13" s="1" t="s">
        <v>461</v>
      </c>
      <c r="AL13" s="2" t="s">
        <v>463</v>
      </c>
      <c r="AM13" s="2" t="s">
        <v>464</v>
      </c>
      <c r="AN13" s="2" t="s">
        <v>357</v>
      </c>
      <c r="AO13" s="2" t="s">
        <v>465</v>
      </c>
      <c r="AP13" s="2" t="s">
        <v>368</v>
      </c>
      <c r="AQ13" s="2" t="s">
        <v>417</v>
      </c>
      <c r="AR13" s="1" t="s">
        <v>354</v>
      </c>
      <c r="AS13" s="1" t="s">
        <v>440</v>
      </c>
      <c r="AT13" s="1" t="s">
        <v>441</v>
      </c>
      <c r="AU13" s="1" t="s">
        <v>442</v>
      </c>
      <c r="AV13" s="1" t="s">
        <v>443</v>
      </c>
      <c r="AW13" s="1" t="s">
        <v>406</v>
      </c>
      <c r="AX13" s="1" t="s">
        <v>444</v>
      </c>
      <c r="AY13" s="1" t="s">
        <v>445</v>
      </c>
      <c r="AZ13" s="1" t="s">
        <v>446</v>
      </c>
      <c r="BA13" s="2"/>
      <c r="BB13" s="13" t="s">
        <v>463</v>
      </c>
      <c r="BC13" s="16" t="s">
        <v>396</v>
      </c>
      <c r="BD13" s="16" t="s">
        <v>369</v>
      </c>
      <c r="BE13" s="15" t="s">
        <v>244</v>
      </c>
      <c r="BF13" s="16" t="s">
        <v>405</v>
      </c>
      <c r="BG13" s="15" t="s">
        <v>314</v>
      </c>
      <c r="BH13" s="2"/>
      <c r="BK13" s="2"/>
    </row>
    <row r="14" spans="1:63" x14ac:dyDescent="0.5">
      <c r="G14" s="1" t="s">
        <v>466</v>
      </c>
      <c r="H14" s="1" t="s">
        <v>466</v>
      </c>
      <c r="I14" s="1" t="s">
        <v>466</v>
      </c>
      <c r="J14" s="1" t="s">
        <v>466</v>
      </c>
      <c r="L14" s="1" t="s">
        <v>467</v>
      </c>
      <c r="M14" s="1" t="s">
        <v>386</v>
      </c>
      <c r="N14" s="1" t="s">
        <v>50</v>
      </c>
      <c r="O14" s="1" t="s">
        <v>468</v>
      </c>
      <c r="P14" s="1" t="s">
        <v>407</v>
      </c>
      <c r="Q14" s="1" t="s">
        <v>469</v>
      </c>
      <c r="S14" s="1" t="s">
        <v>467</v>
      </c>
      <c r="T14" s="1" t="s">
        <v>386</v>
      </c>
      <c r="U14" s="1" t="s">
        <v>50</v>
      </c>
      <c r="V14" s="1" t="s">
        <v>468</v>
      </c>
      <c r="W14" s="1" t="s">
        <v>407</v>
      </c>
      <c r="X14" s="1" t="s">
        <v>469</v>
      </c>
      <c r="Y14" s="1" t="s">
        <v>470</v>
      </c>
      <c r="Z14" s="1" t="s">
        <v>467</v>
      </c>
      <c r="AA14" s="1" t="s">
        <v>471</v>
      </c>
      <c r="AB14" s="1" t="s">
        <v>472</v>
      </c>
      <c r="AC14" s="1" t="s">
        <v>473</v>
      </c>
      <c r="AD14" s="1" t="s">
        <v>474</v>
      </c>
      <c r="AE14" s="1" t="s">
        <v>475</v>
      </c>
      <c r="AF14" s="1" t="s">
        <v>426</v>
      </c>
      <c r="AG14" s="1" t="s">
        <v>474</v>
      </c>
      <c r="AL14" s="2" t="s">
        <v>476</v>
      </c>
      <c r="AM14" s="2" t="s">
        <v>477</v>
      </c>
      <c r="AN14" s="2" t="s">
        <v>447</v>
      </c>
      <c r="AO14" s="2" t="s">
        <v>478</v>
      </c>
      <c r="AP14" s="2" t="s">
        <v>397</v>
      </c>
      <c r="AQ14" s="2" t="s">
        <v>479</v>
      </c>
      <c r="AR14" s="1" t="s">
        <v>458</v>
      </c>
      <c r="AS14" s="1" t="s">
        <v>459</v>
      </c>
      <c r="AT14" s="1" t="s">
        <v>251</v>
      </c>
      <c r="AU14" s="1" t="s">
        <v>460</v>
      </c>
      <c r="AV14" s="1" t="s">
        <v>346</v>
      </c>
      <c r="AW14" s="1" t="s">
        <v>461</v>
      </c>
      <c r="AX14" s="1" t="s">
        <v>462</v>
      </c>
      <c r="AY14" s="1" t="s">
        <v>247</v>
      </c>
      <c r="AZ14" s="1" t="s">
        <v>461</v>
      </c>
      <c r="BA14" s="2"/>
      <c r="BB14" s="14" t="s">
        <v>476</v>
      </c>
      <c r="BC14" s="15" t="s">
        <v>412</v>
      </c>
      <c r="BD14" s="14" t="s">
        <v>421</v>
      </c>
      <c r="BE14" s="13" t="s">
        <v>407</v>
      </c>
      <c r="BF14" s="16" t="s">
        <v>379</v>
      </c>
      <c r="BG14" s="15" t="s">
        <v>480</v>
      </c>
      <c r="BH14" s="2"/>
      <c r="BK14" s="2"/>
    </row>
    <row r="15" spans="1:63" x14ac:dyDescent="0.5">
      <c r="G15" s="1" t="s">
        <v>481</v>
      </c>
      <c r="H15" s="1" t="s">
        <v>481</v>
      </c>
      <c r="I15" s="1" t="s">
        <v>481</v>
      </c>
      <c r="J15" s="1" t="s">
        <v>481</v>
      </c>
      <c r="L15" s="1" t="s">
        <v>463</v>
      </c>
      <c r="M15" s="1" t="s">
        <v>406</v>
      </c>
      <c r="N15" s="1" t="s">
        <v>357</v>
      </c>
      <c r="O15" s="1" t="s">
        <v>248</v>
      </c>
      <c r="P15" s="1" t="s">
        <v>397</v>
      </c>
      <c r="Q15" s="1" t="s">
        <v>343</v>
      </c>
      <c r="S15" s="1" t="s">
        <v>463</v>
      </c>
      <c r="T15" s="1" t="s">
        <v>406</v>
      </c>
      <c r="U15" s="1" t="s">
        <v>357</v>
      </c>
      <c r="V15" s="1" t="s">
        <v>248</v>
      </c>
      <c r="W15" s="1" t="s">
        <v>397</v>
      </c>
      <c r="X15" s="1" t="s">
        <v>343</v>
      </c>
      <c r="Y15" s="1" t="s">
        <v>312</v>
      </c>
      <c r="Z15" s="1" t="s">
        <v>244</v>
      </c>
      <c r="AA15" s="1" t="s">
        <v>482</v>
      </c>
      <c r="AB15" s="1" t="s">
        <v>244</v>
      </c>
      <c r="AC15" s="1" t="s">
        <v>55</v>
      </c>
      <c r="AD15" s="1" t="s">
        <v>483</v>
      </c>
      <c r="AE15" s="1" t="s">
        <v>410</v>
      </c>
      <c r="AF15" s="1" t="s">
        <v>398</v>
      </c>
      <c r="AG15" s="1" t="s">
        <v>455</v>
      </c>
      <c r="AL15" s="2" t="s">
        <v>484</v>
      </c>
      <c r="AM15" s="2" t="s">
        <v>485</v>
      </c>
      <c r="AN15" s="2" t="s">
        <v>443</v>
      </c>
      <c r="AO15" s="2" t="s">
        <v>486</v>
      </c>
      <c r="AP15" s="2" t="s">
        <v>487</v>
      </c>
      <c r="AQ15" s="2" t="s">
        <v>488</v>
      </c>
      <c r="AR15" s="1" t="s">
        <v>470</v>
      </c>
      <c r="AS15" s="1" t="s">
        <v>467</v>
      </c>
      <c r="AT15" s="1" t="s">
        <v>471</v>
      </c>
      <c r="AU15" s="1" t="s">
        <v>472</v>
      </c>
      <c r="AV15" s="1" t="s">
        <v>473</v>
      </c>
      <c r="AW15" s="1" t="s">
        <v>474</v>
      </c>
      <c r="AX15" s="1" t="s">
        <v>475</v>
      </c>
      <c r="AY15" s="1" t="s">
        <v>426</v>
      </c>
      <c r="AZ15" s="1" t="s">
        <v>474</v>
      </c>
      <c r="BA15" s="2"/>
      <c r="BB15" s="13" t="s">
        <v>484</v>
      </c>
      <c r="BC15" s="16" t="s">
        <v>425</v>
      </c>
      <c r="BD15" s="15" t="s">
        <v>352</v>
      </c>
      <c r="BE15" s="16" t="s">
        <v>397</v>
      </c>
      <c r="BF15" s="16" t="s">
        <v>404</v>
      </c>
      <c r="BG15" s="15" t="s">
        <v>475</v>
      </c>
      <c r="BH15" s="2"/>
      <c r="BK15" s="2"/>
    </row>
    <row r="16" spans="1:63" x14ac:dyDescent="0.5">
      <c r="G16" s="1" t="s">
        <v>489</v>
      </c>
      <c r="H16" s="1" t="s">
        <v>489</v>
      </c>
      <c r="I16" s="1" t="s">
        <v>489</v>
      </c>
      <c r="J16" s="1" t="s">
        <v>489</v>
      </c>
      <c r="L16" s="1" t="s">
        <v>251</v>
      </c>
      <c r="M16" s="1" t="s">
        <v>50</v>
      </c>
      <c r="N16" s="1" t="s">
        <v>490</v>
      </c>
      <c r="O16" s="1" t="s">
        <v>491</v>
      </c>
      <c r="P16" s="1" t="s">
        <v>492</v>
      </c>
      <c r="Q16" s="1" t="s">
        <v>439</v>
      </c>
      <c r="S16" s="1" t="s">
        <v>251</v>
      </c>
      <c r="T16" s="1" t="s">
        <v>50</v>
      </c>
      <c r="U16" s="1" t="s">
        <v>490</v>
      </c>
      <c r="V16" s="1" t="s">
        <v>491</v>
      </c>
      <c r="W16" s="1" t="s">
        <v>492</v>
      </c>
      <c r="X16" s="1" t="s">
        <v>439</v>
      </c>
      <c r="Y16" s="1" t="s">
        <v>493</v>
      </c>
      <c r="Z16" s="1" t="s">
        <v>249</v>
      </c>
      <c r="AA16" s="1" t="s">
        <v>494</v>
      </c>
      <c r="AB16" s="1" t="s">
        <v>311</v>
      </c>
      <c r="AC16" s="1" t="s">
        <v>268</v>
      </c>
      <c r="AD16" s="1" t="s">
        <v>495</v>
      </c>
      <c r="AE16" s="1" t="s">
        <v>422</v>
      </c>
      <c r="AF16" s="1" t="s">
        <v>496</v>
      </c>
      <c r="AG16" s="1" t="s">
        <v>486</v>
      </c>
      <c r="AL16" s="2" t="s">
        <v>401</v>
      </c>
      <c r="AM16" s="2" t="s">
        <v>497</v>
      </c>
      <c r="AN16" s="2" t="s">
        <v>467</v>
      </c>
      <c r="AO16" s="2" t="s">
        <v>498</v>
      </c>
      <c r="AP16" s="2" t="s">
        <v>492</v>
      </c>
      <c r="AQ16" s="2" t="s">
        <v>499</v>
      </c>
      <c r="AR16" s="1" t="s">
        <v>312</v>
      </c>
      <c r="AS16" s="1" t="s">
        <v>244</v>
      </c>
      <c r="AT16" s="1" t="s">
        <v>482</v>
      </c>
      <c r="AU16" s="1" t="s">
        <v>244</v>
      </c>
      <c r="AV16" s="1" t="s">
        <v>55</v>
      </c>
      <c r="AW16" s="1" t="s">
        <v>483</v>
      </c>
      <c r="AX16" s="1" t="s">
        <v>410</v>
      </c>
      <c r="AY16" s="1" t="s">
        <v>398</v>
      </c>
      <c r="AZ16" s="1" t="s">
        <v>455</v>
      </c>
      <c r="BA16" s="2"/>
      <c r="BB16" s="14" t="s">
        <v>401</v>
      </c>
      <c r="BC16" s="14" t="s">
        <v>360</v>
      </c>
      <c r="BD16" s="15" t="s">
        <v>362</v>
      </c>
      <c r="BE16" s="13" t="s">
        <v>360</v>
      </c>
      <c r="BF16" s="16" t="s">
        <v>314</v>
      </c>
      <c r="BG16" s="15" t="s">
        <v>500</v>
      </c>
      <c r="BH16" s="2"/>
      <c r="BK16" s="2"/>
    </row>
    <row r="17" spans="7:63" x14ac:dyDescent="0.5">
      <c r="G17" s="1" t="s">
        <v>501</v>
      </c>
      <c r="H17" s="1" t="s">
        <v>501</v>
      </c>
      <c r="I17" s="1" t="s">
        <v>501</v>
      </c>
      <c r="J17" s="1" t="s">
        <v>501</v>
      </c>
      <c r="L17" s="1" t="s">
        <v>502</v>
      </c>
      <c r="M17" s="1" t="s">
        <v>251</v>
      </c>
      <c r="N17" s="1" t="s">
        <v>447</v>
      </c>
      <c r="O17" s="1" t="s">
        <v>503</v>
      </c>
      <c r="P17" s="1" t="s">
        <v>504</v>
      </c>
      <c r="Q17" s="1" t="s">
        <v>456</v>
      </c>
      <c r="S17" s="1" t="s">
        <v>502</v>
      </c>
      <c r="T17" s="1" t="s">
        <v>251</v>
      </c>
      <c r="U17" s="1" t="s">
        <v>447</v>
      </c>
      <c r="V17" s="1" t="s">
        <v>503</v>
      </c>
      <c r="W17" s="1" t="s">
        <v>504</v>
      </c>
      <c r="X17" s="1" t="s">
        <v>456</v>
      </c>
      <c r="Y17" s="1" t="s">
        <v>255</v>
      </c>
      <c r="Z17" s="1" t="s">
        <v>403</v>
      </c>
      <c r="AA17" s="1" t="s">
        <v>505</v>
      </c>
      <c r="AB17" s="1" t="s">
        <v>506</v>
      </c>
      <c r="AC17" s="1" t="s">
        <v>404</v>
      </c>
      <c r="AD17" s="1" t="s">
        <v>507</v>
      </c>
      <c r="AE17" s="1" t="s">
        <v>508</v>
      </c>
      <c r="AF17" s="1" t="s">
        <v>509</v>
      </c>
      <c r="AG17" s="1" t="s">
        <v>369</v>
      </c>
      <c r="AL17" s="2" t="s">
        <v>510</v>
      </c>
      <c r="AM17" s="2" t="s">
        <v>511</v>
      </c>
      <c r="AN17" s="2" t="s">
        <v>512</v>
      </c>
      <c r="AO17" s="2" t="s">
        <v>447</v>
      </c>
      <c r="AP17" s="2" t="s">
        <v>396</v>
      </c>
      <c r="AQ17" s="2" t="s">
        <v>513</v>
      </c>
      <c r="AR17" s="1" t="s">
        <v>493</v>
      </c>
      <c r="AS17" s="1" t="s">
        <v>249</v>
      </c>
      <c r="AT17" s="1" t="s">
        <v>494</v>
      </c>
      <c r="AU17" s="1" t="s">
        <v>311</v>
      </c>
      <c r="AV17" s="1" t="s">
        <v>268</v>
      </c>
      <c r="AW17" s="1" t="s">
        <v>495</v>
      </c>
      <c r="AX17" s="1" t="s">
        <v>422</v>
      </c>
      <c r="AY17" s="1" t="s">
        <v>496</v>
      </c>
      <c r="AZ17" s="1" t="s">
        <v>486</v>
      </c>
      <c r="BA17" s="2"/>
      <c r="BB17" s="13" t="s">
        <v>510</v>
      </c>
      <c r="BC17" s="15" t="s">
        <v>437</v>
      </c>
      <c r="BD17" s="16" t="s">
        <v>368</v>
      </c>
      <c r="BE17" s="14" t="s">
        <v>248</v>
      </c>
      <c r="BF17" s="16" t="s">
        <v>354</v>
      </c>
      <c r="BG17" s="15" t="s">
        <v>369</v>
      </c>
      <c r="BH17" s="2"/>
      <c r="BK17" s="2"/>
    </row>
    <row r="18" spans="7:63" x14ac:dyDescent="0.5">
      <c r="L18" s="1" t="s">
        <v>514</v>
      </c>
      <c r="M18" s="1" t="s">
        <v>514</v>
      </c>
      <c r="N18" s="1" t="s">
        <v>515</v>
      </c>
      <c r="O18" s="1" t="s">
        <v>478</v>
      </c>
      <c r="P18" s="1" t="s">
        <v>468</v>
      </c>
      <c r="Q18" s="1" t="s">
        <v>516</v>
      </c>
      <c r="S18" s="1" t="s">
        <v>514</v>
      </c>
      <c r="T18" s="1" t="s">
        <v>514</v>
      </c>
      <c r="U18" s="1" t="s">
        <v>515</v>
      </c>
      <c r="V18" s="1" t="s">
        <v>478</v>
      </c>
      <c r="W18" s="1" t="s">
        <v>468</v>
      </c>
      <c r="X18" s="1" t="s">
        <v>516</v>
      </c>
      <c r="Y18" s="1" t="s">
        <v>517</v>
      </c>
      <c r="Z18" s="1" t="s">
        <v>415</v>
      </c>
      <c r="AA18" s="1" t="s">
        <v>403</v>
      </c>
      <c r="AB18" s="1" t="s">
        <v>368</v>
      </c>
      <c r="AC18" s="1" t="s">
        <v>462</v>
      </c>
      <c r="AD18" s="1" t="s">
        <v>382</v>
      </c>
      <c r="AE18" s="1" t="s">
        <v>518</v>
      </c>
      <c r="AF18" s="1" t="s">
        <v>519</v>
      </c>
      <c r="AG18" s="1" t="s">
        <v>520</v>
      </c>
      <c r="AL18" s="2" t="s">
        <v>521</v>
      </c>
      <c r="AM18" s="2" t="s">
        <v>522</v>
      </c>
      <c r="AN18" s="2" t="s">
        <v>523</v>
      </c>
      <c r="AO18" s="2" t="s">
        <v>428</v>
      </c>
      <c r="AP18" s="2" t="s">
        <v>425</v>
      </c>
      <c r="AQ18" s="2" t="s">
        <v>524</v>
      </c>
      <c r="AR18" s="1" t="s">
        <v>255</v>
      </c>
      <c r="AS18" s="1" t="s">
        <v>403</v>
      </c>
      <c r="AT18" s="1" t="s">
        <v>505</v>
      </c>
      <c r="AU18" s="1" t="s">
        <v>506</v>
      </c>
      <c r="AV18" s="1" t="s">
        <v>404</v>
      </c>
      <c r="AW18" s="1" t="s">
        <v>507</v>
      </c>
      <c r="AX18" s="1" t="s">
        <v>508</v>
      </c>
      <c r="AY18" s="1" t="s">
        <v>509</v>
      </c>
      <c r="AZ18" s="1" t="s">
        <v>369</v>
      </c>
      <c r="BA18" s="2"/>
      <c r="BB18" s="14" t="s">
        <v>521</v>
      </c>
      <c r="BC18" s="16" t="s">
        <v>454</v>
      </c>
      <c r="BD18" s="15" t="s">
        <v>244</v>
      </c>
      <c r="BE18" s="13" t="s">
        <v>426</v>
      </c>
      <c r="BF18" s="16" t="s">
        <v>480</v>
      </c>
      <c r="BG18" s="15" t="s">
        <v>343</v>
      </c>
      <c r="BH18" s="2"/>
      <c r="BK18" s="2"/>
    </row>
    <row r="19" spans="7:63" x14ac:dyDescent="0.5">
      <c r="G19" s="51" t="s">
        <v>305</v>
      </c>
      <c r="H19" s="51" t="s">
        <v>332</v>
      </c>
      <c r="I19" s="51" t="s">
        <v>349</v>
      </c>
      <c r="L19" s="1" t="s">
        <v>514</v>
      </c>
      <c r="M19" s="1" t="s">
        <v>448</v>
      </c>
      <c r="N19" s="1" t="s">
        <v>443</v>
      </c>
      <c r="O19" s="1" t="s">
        <v>496</v>
      </c>
      <c r="P19" s="1" t="s">
        <v>525</v>
      </c>
      <c r="Q19" s="1" t="s">
        <v>526</v>
      </c>
      <c r="S19" s="1" t="s">
        <v>514</v>
      </c>
      <c r="T19" s="1" t="s">
        <v>448</v>
      </c>
      <c r="U19" s="1" t="s">
        <v>443</v>
      </c>
      <c r="V19" s="1" t="s">
        <v>496</v>
      </c>
      <c r="W19" s="1" t="s">
        <v>525</v>
      </c>
      <c r="X19" s="1" t="s">
        <v>526</v>
      </c>
      <c r="Y19" s="1" t="s">
        <v>527</v>
      </c>
      <c r="Z19" s="1" t="s">
        <v>514</v>
      </c>
      <c r="AA19" s="1" t="s">
        <v>528</v>
      </c>
      <c r="AB19" s="1" t="s">
        <v>529</v>
      </c>
      <c r="AC19" s="1" t="s">
        <v>444</v>
      </c>
      <c r="AD19" s="1" t="s">
        <v>530</v>
      </c>
      <c r="AE19" s="1" t="s">
        <v>531</v>
      </c>
      <c r="AF19" s="1" t="s">
        <v>532</v>
      </c>
      <c r="AG19" s="1" t="s">
        <v>259</v>
      </c>
      <c r="AL19" s="2" t="s">
        <v>533</v>
      </c>
      <c r="AM19" s="2" t="s">
        <v>521</v>
      </c>
      <c r="AN19" s="2" t="s">
        <v>519</v>
      </c>
      <c r="AO19" s="2" t="s">
        <v>534</v>
      </c>
      <c r="AP19" s="2" t="s">
        <v>504</v>
      </c>
      <c r="AQ19" s="2" t="s">
        <v>535</v>
      </c>
      <c r="AR19" s="1" t="s">
        <v>517</v>
      </c>
      <c r="AS19" s="1" t="s">
        <v>415</v>
      </c>
      <c r="AT19" s="1" t="s">
        <v>403</v>
      </c>
      <c r="AU19" s="1" t="s">
        <v>368</v>
      </c>
      <c r="AV19" s="1" t="s">
        <v>462</v>
      </c>
      <c r="AW19" s="1" t="s">
        <v>382</v>
      </c>
      <c r="AX19" s="1" t="s">
        <v>518</v>
      </c>
      <c r="AY19" s="1" t="s">
        <v>519</v>
      </c>
      <c r="AZ19" s="1" t="s">
        <v>520</v>
      </c>
      <c r="BA19" s="2"/>
      <c r="BB19" s="13" t="s">
        <v>533</v>
      </c>
      <c r="BC19" s="15" t="s">
        <v>386</v>
      </c>
      <c r="BD19" s="16" t="s">
        <v>398</v>
      </c>
      <c r="BE19" s="13" t="s">
        <v>386</v>
      </c>
      <c r="BF19" s="15" t="s">
        <v>475</v>
      </c>
      <c r="BG19" s="15" t="s">
        <v>391</v>
      </c>
      <c r="BH19" s="2"/>
      <c r="BK19" s="2"/>
    </row>
    <row r="20" spans="7:63" x14ac:dyDescent="0.5">
      <c r="G20" s="1" t="s">
        <v>324</v>
      </c>
      <c r="H20" s="1" t="s">
        <v>324</v>
      </c>
      <c r="I20" s="1" t="s">
        <v>324</v>
      </c>
      <c r="L20" s="1" t="s">
        <v>536</v>
      </c>
      <c r="M20" s="1" t="s">
        <v>537</v>
      </c>
      <c r="N20" s="1" t="s">
        <v>434</v>
      </c>
      <c r="O20" s="1" t="s">
        <v>455</v>
      </c>
      <c r="P20" s="1" t="s">
        <v>248</v>
      </c>
      <c r="Q20" s="1" t="s">
        <v>538</v>
      </c>
      <c r="S20" s="1" t="s">
        <v>536</v>
      </c>
      <c r="T20" s="1" t="s">
        <v>537</v>
      </c>
      <c r="U20" s="1" t="s">
        <v>434</v>
      </c>
      <c r="V20" s="1" t="s">
        <v>455</v>
      </c>
      <c r="W20" s="1" t="s">
        <v>248</v>
      </c>
      <c r="X20" s="1" t="s">
        <v>538</v>
      </c>
      <c r="Y20" s="1" t="s">
        <v>539</v>
      </c>
      <c r="Z20" s="1" t="s">
        <v>540</v>
      </c>
      <c r="AA20" s="1" t="s">
        <v>541</v>
      </c>
      <c r="AB20" s="1" t="s">
        <v>513</v>
      </c>
      <c r="AC20" s="1" t="s">
        <v>542</v>
      </c>
      <c r="AD20" s="1" t="s">
        <v>543</v>
      </c>
      <c r="AE20" s="1" t="s">
        <v>500</v>
      </c>
      <c r="AF20" s="1" t="s">
        <v>253</v>
      </c>
      <c r="AG20" s="1" t="s">
        <v>500</v>
      </c>
      <c r="AL20" s="2" t="s">
        <v>544</v>
      </c>
      <c r="AM20" s="2" t="s">
        <v>544</v>
      </c>
      <c r="AN20" s="2" t="s">
        <v>522</v>
      </c>
      <c r="AO20" s="2" t="s">
        <v>251</v>
      </c>
      <c r="AP20" s="2" t="s">
        <v>468</v>
      </c>
      <c r="AQ20" s="2" t="s">
        <v>266</v>
      </c>
      <c r="AR20" s="1" t="s">
        <v>527</v>
      </c>
      <c r="AS20" s="1" t="s">
        <v>514</v>
      </c>
      <c r="AT20" s="1" t="s">
        <v>528</v>
      </c>
      <c r="AU20" s="1" t="s">
        <v>529</v>
      </c>
      <c r="AV20" s="1" t="s">
        <v>444</v>
      </c>
      <c r="AW20" s="1" t="s">
        <v>530</v>
      </c>
      <c r="AX20" s="1" t="s">
        <v>531</v>
      </c>
      <c r="AY20" s="1" t="s">
        <v>532</v>
      </c>
      <c r="AZ20" s="1" t="s">
        <v>259</v>
      </c>
      <c r="BA20" s="2"/>
      <c r="BB20" s="14" t="s">
        <v>544</v>
      </c>
      <c r="BC20" s="13" t="s">
        <v>406</v>
      </c>
      <c r="BD20" s="16" t="s">
        <v>397</v>
      </c>
      <c r="BE20" s="13" t="s">
        <v>455</v>
      </c>
      <c r="BF20" s="15" t="s">
        <v>500</v>
      </c>
      <c r="BG20" s="15" t="s">
        <v>416</v>
      </c>
      <c r="BH20" s="2"/>
      <c r="BK20" s="2"/>
    </row>
    <row r="21" spans="7:63" x14ac:dyDescent="0.5">
      <c r="G21" s="1" t="s">
        <v>325</v>
      </c>
      <c r="H21" s="1" t="s">
        <v>325</v>
      </c>
      <c r="I21" s="1" t="s">
        <v>325</v>
      </c>
      <c r="L21" s="1" t="s">
        <v>256</v>
      </c>
      <c r="M21" s="1" t="s">
        <v>464</v>
      </c>
      <c r="N21" s="1" t="s">
        <v>444</v>
      </c>
      <c r="O21" s="1" t="s">
        <v>486</v>
      </c>
      <c r="P21" s="1" t="s">
        <v>437</v>
      </c>
      <c r="Q21" s="1" t="s">
        <v>545</v>
      </c>
      <c r="S21" s="1" t="s">
        <v>256</v>
      </c>
      <c r="T21" s="1" t="s">
        <v>464</v>
      </c>
      <c r="U21" s="1" t="s">
        <v>444</v>
      </c>
      <c r="V21" s="1" t="s">
        <v>486</v>
      </c>
      <c r="W21" s="1" t="s">
        <v>437</v>
      </c>
      <c r="X21" s="1" t="s">
        <v>545</v>
      </c>
      <c r="Y21" s="1" t="s">
        <v>397</v>
      </c>
      <c r="Z21" s="1" t="s">
        <v>546</v>
      </c>
      <c r="AA21" s="1" t="s">
        <v>547</v>
      </c>
      <c r="AB21" s="1" t="s">
        <v>548</v>
      </c>
      <c r="AC21" s="1" t="s">
        <v>549</v>
      </c>
      <c r="AD21" s="1" t="s">
        <v>550</v>
      </c>
      <c r="AE21" s="1" t="s">
        <v>480</v>
      </c>
      <c r="AF21" s="1" t="s">
        <v>354</v>
      </c>
      <c r="AG21" s="1" t="s">
        <v>551</v>
      </c>
      <c r="AL21" s="2" t="s">
        <v>552</v>
      </c>
      <c r="AM21" s="2" t="s">
        <v>553</v>
      </c>
      <c r="AN21" s="2" t="s">
        <v>505</v>
      </c>
      <c r="AO21" s="2" t="s">
        <v>514</v>
      </c>
      <c r="AP21" s="2" t="s">
        <v>431</v>
      </c>
      <c r="AQ21" s="2" t="s">
        <v>554</v>
      </c>
      <c r="AR21" s="1" t="s">
        <v>539</v>
      </c>
      <c r="AS21" s="1" t="s">
        <v>540</v>
      </c>
      <c r="AT21" s="1" t="s">
        <v>541</v>
      </c>
      <c r="AU21" s="1" t="s">
        <v>513</v>
      </c>
      <c r="AV21" s="1" t="s">
        <v>542</v>
      </c>
      <c r="AW21" s="1" t="s">
        <v>543</v>
      </c>
      <c r="AX21" s="1" t="s">
        <v>500</v>
      </c>
      <c r="AY21" s="1" t="s">
        <v>253</v>
      </c>
      <c r="AZ21" s="1" t="s">
        <v>500</v>
      </c>
      <c r="BA21" s="2"/>
      <c r="BB21" s="13" t="s">
        <v>552</v>
      </c>
      <c r="BC21" s="15" t="s">
        <v>50</v>
      </c>
      <c r="BD21" s="15" t="s">
        <v>377</v>
      </c>
      <c r="BE21" s="13" t="s">
        <v>50</v>
      </c>
      <c r="BF21" s="16" t="s">
        <v>555</v>
      </c>
      <c r="BG21" s="15" t="s">
        <v>244</v>
      </c>
      <c r="BH21" s="2"/>
      <c r="BK21" s="2"/>
    </row>
    <row r="22" spans="7:63" x14ac:dyDescent="0.5">
      <c r="G22" s="1" t="s">
        <v>326</v>
      </c>
      <c r="H22" s="1" t="s">
        <v>326</v>
      </c>
      <c r="I22" s="1" t="s">
        <v>326</v>
      </c>
      <c r="L22" s="1" t="s">
        <v>519</v>
      </c>
      <c r="M22" s="1" t="s">
        <v>316</v>
      </c>
      <c r="N22" s="1" t="s">
        <v>556</v>
      </c>
      <c r="O22" s="1" t="s">
        <v>556</v>
      </c>
      <c r="P22" s="1" t="s">
        <v>557</v>
      </c>
      <c r="Q22" s="1" t="s">
        <v>558</v>
      </c>
      <c r="S22" s="1" t="s">
        <v>519</v>
      </c>
      <c r="T22" s="1" t="s">
        <v>316</v>
      </c>
      <c r="U22" s="1" t="s">
        <v>556</v>
      </c>
      <c r="V22" s="1" t="s">
        <v>556</v>
      </c>
      <c r="W22" s="1" t="s">
        <v>557</v>
      </c>
      <c r="X22" s="1" t="s">
        <v>558</v>
      </c>
      <c r="Y22" s="1" t="s">
        <v>559</v>
      </c>
      <c r="Z22" s="1" t="s">
        <v>464</v>
      </c>
      <c r="AA22" s="1" t="s">
        <v>498</v>
      </c>
      <c r="AB22" s="1" t="s">
        <v>441</v>
      </c>
      <c r="AC22" s="1" t="s">
        <v>560</v>
      </c>
      <c r="AD22" s="1" t="s">
        <v>263</v>
      </c>
      <c r="AE22" s="1" t="s">
        <v>561</v>
      </c>
      <c r="AF22" s="1" t="s">
        <v>542</v>
      </c>
      <c r="AG22" s="1" t="s">
        <v>562</v>
      </c>
      <c r="AL22" s="2" t="s">
        <v>563</v>
      </c>
      <c r="AM22" s="2" t="s">
        <v>564</v>
      </c>
      <c r="AN22" s="2" t="s">
        <v>458</v>
      </c>
      <c r="AO22" s="2" t="s">
        <v>497</v>
      </c>
      <c r="AP22" s="2" t="s">
        <v>360</v>
      </c>
      <c r="AR22" s="1" t="s">
        <v>397</v>
      </c>
      <c r="AS22" s="1" t="s">
        <v>546</v>
      </c>
      <c r="AT22" s="1" t="s">
        <v>547</v>
      </c>
      <c r="AU22" s="1" t="s">
        <v>548</v>
      </c>
      <c r="AV22" s="1" t="s">
        <v>549</v>
      </c>
      <c r="AW22" s="1" t="s">
        <v>550</v>
      </c>
      <c r="AX22" s="1" t="s">
        <v>480</v>
      </c>
      <c r="AY22" s="1" t="s">
        <v>354</v>
      </c>
      <c r="AZ22" s="1" t="s">
        <v>551</v>
      </c>
      <c r="BB22" s="13" t="s">
        <v>553</v>
      </c>
      <c r="BC22" s="15" t="s">
        <v>419</v>
      </c>
      <c r="BD22" s="16" t="s">
        <v>449</v>
      </c>
      <c r="BE22" s="13" t="s">
        <v>357</v>
      </c>
      <c r="BF22" s="16" t="s">
        <v>369</v>
      </c>
      <c r="BG22" s="15" t="s">
        <v>407</v>
      </c>
    </row>
    <row r="23" spans="7:63" x14ac:dyDescent="0.5">
      <c r="G23" s="1" t="s">
        <v>327</v>
      </c>
      <c r="H23" s="1" t="s">
        <v>327</v>
      </c>
      <c r="I23" s="1" t="s">
        <v>327</v>
      </c>
      <c r="L23" s="1" t="s">
        <v>485</v>
      </c>
      <c r="M23" s="1" t="s">
        <v>477</v>
      </c>
      <c r="N23" s="1" t="s">
        <v>556</v>
      </c>
      <c r="O23" s="1" t="s">
        <v>514</v>
      </c>
      <c r="P23" s="1" t="s">
        <v>249</v>
      </c>
      <c r="Q23" s="1" t="s">
        <v>396</v>
      </c>
      <c r="S23" s="1" t="s">
        <v>485</v>
      </c>
      <c r="T23" s="1" t="s">
        <v>477</v>
      </c>
      <c r="U23" s="1" t="s">
        <v>556</v>
      </c>
      <c r="V23" s="1" t="s">
        <v>514</v>
      </c>
      <c r="W23" s="1" t="s">
        <v>249</v>
      </c>
      <c r="X23" s="1" t="s">
        <v>396</v>
      </c>
      <c r="Y23" s="1" t="s">
        <v>256</v>
      </c>
      <c r="Z23" s="1" t="s">
        <v>565</v>
      </c>
      <c r="AA23" s="1" t="s">
        <v>566</v>
      </c>
      <c r="AB23" s="1" t="s">
        <v>413</v>
      </c>
      <c r="AC23" s="1" t="s">
        <v>567</v>
      </c>
      <c r="AD23" s="1" t="s">
        <v>493</v>
      </c>
      <c r="AE23" s="1" t="s">
        <v>447</v>
      </c>
      <c r="AF23" s="1" t="s">
        <v>438</v>
      </c>
      <c r="AG23" s="1" t="s">
        <v>568</v>
      </c>
      <c r="AL23" s="2" t="s">
        <v>507</v>
      </c>
      <c r="AM23" s="2" t="s">
        <v>542</v>
      </c>
      <c r="AN23" s="2" t="s">
        <v>260</v>
      </c>
      <c r="AO23" s="2" t="s">
        <v>569</v>
      </c>
      <c r="AP23" s="2" t="s">
        <v>570</v>
      </c>
      <c r="AR23" s="1" t="s">
        <v>559</v>
      </c>
      <c r="AS23" s="1" t="s">
        <v>464</v>
      </c>
      <c r="AT23" s="1" t="s">
        <v>498</v>
      </c>
      <c r="AU23" s="1" t="s">
        <v>441</v>
      </c>
      <c r="AV23" s="1" t="s">
        <v>560</v>
      </c>
      <c r="AW23" s="1" t="s">
        <v>263</v>
      </c>
      <c r="AX23" s="1" t="s">
        <v>561</v>
      </c>
      <c r="AY23" s="1" t="s">
        <v>542</v>
      </c>
      <c r="AZ23" s="1" t="s">
        <v>562</v>
      </c>
      <c r="BB23" s="14" t="s">
        <v>563</v>
      </c>
      <c r="BC23" s="15" t="s">
        <v>434</v>
      </c>
      <c r="BD23" s="16" t="s">
        <v>396</v>
      </c>
      <c r="BE23" s="15" t="s">
        <v>490</v>
      </c>
      <c r="BF23" s="15" t="s">
        <v>343</v>
      </c>
      <c r="BG23" s="15" t="s">
        <v>398</v>
      </c>
    </row>
    <row r="24" spans="7:63" x14ac:dyDescent="0.5">
      <c r="G24" s="1" t="s">
        <v>328</v>
      </c>
      <c r="H24" s="1" t="s">
        <v>328</v>
      </c>
      <c r="I24" s="1" t="s">
        <v>328</v>
      </c>
      <c r="L24" s="1" t="s">
        <v>484</v>
      </c>
      <c r="M24" s="1" t="s">
        <v>256</v>
      </c>
      <c r="N24" s="1" t="s">
        <v>55</v>
      </c>
      <c r="O24" s="1" t="s">
        <v>571</v>
      </c>
      <c r="P24" s="1" t="s">
        <v>50</v>
      </c>
      <c r="Q24" s="1" t="s">
        <v>438</v>
      </c>
      <c r="S24" s="1" t="s">
        <v>484</v>
      </c>
      <c r="T24" s="1" t="s">
        <v>256</v>
      </c>
      <c r="U24" s="1" t="s">
        <v>55</v>
      </c>
      <c r="V24" s="1" t="s">
        <v>571</v>
      </c>
      <c r="W24" s="1" t="s">
        <v>50</v>
      </c>
      <c r="X24" s="1" t="s">
        <v>438</v>
      </c>
      <c r="Y24" s="1" t="s">
        <v>400</v>
      </c>
      <c r="Z24" s="1" t="s">
        <v>310</v>
      </c>
      <c r="AA24" s="1" t="s">
        <v>572</v>
      </c>
      <c r="AB24" s="1" t="s">
        <v>540</v>
      </c>
      <c r="AC24" s="1" t="s">
        <v>500</v>
      </c>
      <c r="AD24" s="1" t="s">
        <v>573</v>
      </c>
      <c r="AE24" s="1" t="s">
        <v>573</v>
      </c>
      <c r="AF24" s="1" t="s">
        <v>574</v>
      </c>
      <c r="AG24" s="1" t="s">
        <v>472</v>
      </c>
      <c r="AL24" s="2" t="s">
        <v>532</v>
      </c>
      <c r="AM24" s="2" t="s">
        <v>574</v>
      </c>
      <c r="AN24" s="2" t="s">
        <v>575</v>
      </c>
      <c r="AO24" s="2" t="s">
        <v>576</v>
      </c>
      <c r="AP24" s="2" t="s">
        <v>50</v>
      </c>
      <c r="AR24" s="1" t="s">
        <v>256</v>
      </c>
      <c r="AS24" s="1" t="s">
        <v>565</v>
      </c>
      <c r="AT24" s="1" t="s">
        <v>566</v>
      </c>
      <c r="AU24" s="1" t="s">
        <v>413</v>
      </c>
      <c r="AV24" s="1" t="s">
        <v>567</v>
      </c>
      <c r="AW24" s="1" t="s">
        <v>493</v>
      </c>
      <c r="AX24" s="1" t="s">
        <v>447</v>
      </c>
      <c r="AY24" s="1" t="s">
        <v>438</v>
      </c>
      <c r="AZ24" s="1" t="s">
        <v>568</v>
      </c>
      <c r="BB24" s="13" t="s">
        <v>507</v>
      </c>
      <c r="BC24" s="15" t="s">
        <v>251</v>
      </c>
      <c r="BD24" s="15" t="s">
        <v>438</v>
      </c>
      <c r="BE24" s="14" t="s">
        <v>447</v>
      </c>
      <c r="BF24" s="15" t="s">
        <v>474</v>
      </c>
      <c r="BG24" s="15" t="s">
        <v>577</v>
      </c>
    </row>
    <row r="25" spans="7:63" x14ac:dyDescent="0.5">
      <c r="G25" s="1" t="s">
        <v>329</v>
      </c>
      <c r="H25" s="1" t="s">
        <v>329</v>
      </c>
      <c r="I25" s="1" t="s">
        <v>329</v>
      </c>
      <c r="L25" s="1" t="s">
        <v>578</v>
      </c>
      <c r="M25" s="1" t="s">
        <v>519</v>
      </c>
      <c r="N25" s="1" t="s">
        <v>571</v>
      </c>
      <c r="O25" s="1" t="s">
        <v>569</v>
      </c>
      <c r="P25" s="1" t="s">
        <v>568</v>
      </c>
      <c r="Q25" s="1" t="s">
        <v>579</v>
      </c>
      <c r="S25" s="1" t="s">
        <v>578</v>
      </c>
      <c r="T25" s="1" t="s">
        <v>519</v>
      </c>
      <c r="U25" s="1" t="s">
        <v>571</v>
      </c>
      <c r="V25" s="1" t="s">
        <v>569</v>
      </c>
      <c r="W25" s="1" t="s">
        <v>568</v>
      </c>
      <c r="X25" s="1" t="s">
        <v>579</v>
      </c>
      <c r="Y25" s="1" t="s">
        <v>580</v>
      </c>
      <c r="Z25" s="1" t="s">
        <v>581</v>
      </c>
      <c r="AA25" s="1" t="s">
        <v>582</v>
      </c>
      <c r="AB25" s="1" t="s">
        <v>583</v>
      </c>
      <c r="AC25" s="1" t="s">
        <v>551</v>
      </c>
      <c r="AD25" s="1" t="s">
        <v>447</v>
      </c>
      <c r="AE25" s="1" t="s">
        <v>584</v>
      </c>
      <c r="AF25" s="1" t="s">
        <v>407</v>
      </c>
      <c r="AG25" s="1" t="s">
        <v>379</v>
      </c>
      <c r="AL25" s="2" t="s">
        <v>574</v>
      </c>
      <c r="AM25" s="2" t="s">
        <v>340</v>
      </c>
      <c r="AN25" s="2" t="s">
        <v>263</v>
      </c>
      <c r="AO25" s="2" t="s">
        <v>585</v>
      </c>
      <c r="AP25" s="2" t="s">
        <v>444</v>
      </c>
      <c r="AR25" s="1" t="s">
        <v>400</v>
      </c>
      <c r="AS25" s="1" t="s">
        <v>310</v>
      </c>
      <c r="AT25" s="1" t="s">
        <v>572</v>
      </c>
      <c r="AU25" s="1" t="s">
        <v>540</v>
      </c>
      <c r="AV25" s="1" t="s">
        <v>500</v>
      </c>
      <c r="AW25" s="1" t="s">
        <v>573</v>
      </c>
      <c r="AX25" s="1" t="s">
        <v>573</v>
      </c>
      <c r="AY25" s="1" t="s">
        <v>574</v>
      </c>
      <c r="AZ25" s="1" t="s">
        <v>472</v>
      </c>
      <c r="BB25" s="14" t="s">
        <v>532</v>
      </c>
      <c r="BC25" s="15" t="s">
        <v>514</v>
      </c>
      <c r="BD25" s="16" t="s">
        <v>425</v>
      </c>
      <c r="BE25" s="15" t="s">
        <v>515</v>
      </c>
      <c r="BF25" s="15" t="s">
        <v>586</v>
      </c>
      <c r="BG25" s="15" t="s">
        <v>446</v>
      </c>
    </row>
    <row r="26" spans="7:63" x14ac:dyDescent="0.5">
      <c r="L26" s="1" t="s">
        <v>533</v>
      </c>
      <c r="M26" s="1" t="s">
        <v>587</v>
      </c>
      <c r="N26" s="1" t="s">
        <v>485</v>
      </c>
      <c r="O26" s="1" t="s">
        <v>588</v>
      </c>
      <c r="P26" s="1" t="s">
        <v>527</v>
      </c>
      <c r="Q26" s="1" t="s">
        <v>425</v>
      </c>
      <c r="S26" s="1" t="s">
        <v>533</v>
      </c>
      <c r="T26" s="1" t="s">
        <v>587</v>
      </c>
      <c r="U26" s="1" t="s">
        <v>485</v>
      </c>
      <c r="V26" s="1" t="s">
        <v>588</v>
      </c>
      <c r="W26" s="1" t="s">
        <v>527</v>
      </c>
      <c r="X26" s="1" t="s">
        <v>425</v>
      </c>
      <c r="Y26" s="1" t="s">
        <v>408</v>
      </c>
      <c r="Z26" s="1" t="s">
        <v>354</v>
      </c>
      <c r="AA26" s="1" t="s">
        <v>356</v>
      </c>
      <c r="AB26" s="1" t="s">
        <v>589</v>
      </c>
      <c r="AC26" s="1" t="s">
        <v>590</v>
      </c>
      <c r="AD26" s="1" t="s">
        <v>584</v>
      </c>
      <c r="AE26" s="1" t="s">
        <v>343</v>
      </c>
      <c r="AF26" s="1" t="s">
        <v>591</v>
      </c>
      <c r="AG26" s="1" t="s">
        <v>592</v>
      </c>
      <c r="AL26" s="2" t="s">
        <v>574</v>
      </c>
      <c r="AM26" s="2" t="s">
        <v>593</v>
      </c>
      <c r="AN26" s="2" t="s">
        <v>340</v>
      </c>
      <c r="AO26" s="2" t="s">
        <v>544</v>
      </c>
      <c r="AP26" s="2" t="s">
        <v>55</v>
      </c>
      <c r="AR26" s="1" t="s">
        <v>580</v>
      </c>
      <c r="AS26" s="1" t="s">
        <v>581</v>
      </c>
      <c r="AT26" s="1" t="s">
        <v>582</v>
      </c>
      <c r="AU26" s="1" t="s">
        <v>583</v>
      </c>
      <c r="AV26" s="1" t="s">
        <v>551</v>
      </c>
      <c r="AW26" s="1" t="s">
        <v>447</v>
      </c>
      <c r="AX26" s="1" t="s">
        <v>584</v>
      </c>
      <c r="AY26" s="1" t="s">
        <v>407</v>
      </c>
      <c r="AZ26" s="1" t="s">
        <v>379</v>
      </c>
      <c r="BB26" s="13" t="s">
        <v>574</v>
      </c>
      <c r="BC26" s="15" t="s">
        <v>448</v>
      </c>
      <c r="BD26" s="15" t="s">
        <v>468</v>
      </c>
      <c r="BE26" s="16" t="s">
        <v>443</v>
      </c>
      <c r="BF26" s="15" t="s">
        <v>391</v>
      </c>
      <c r="BG26" s="15" t="s">
        <v>438</v>
      </c>
    </row>
    <row r="27" spans="7:63" x14ac:dyDescent="0.5">
      <c r="L27" s="1" t="s">
        <v>594</v>
      </c>
      <c r="M27" s="1" t="s">
        <v>497</v>
      </c>
      <c r="N27" s="1" t="s">
        <v>587</v>
      </c>
      <c r="O27" s="1" t="s">
        <v>576</v>
      </c>
      <c r="P27" s="1" t="s">
        <v>463</v>
      </c>
      <c r="Q27" s="1" t="s">
        <v>504</v>
      </c>
      <c r="S27" s="1" t="s">
        <v>594</v>
      </c>
      <c r="T27" s="1" t="s">
        <v>497</v>
      </c>
      <c r="U27" s="1" t="s">
        <v>587</v>
      </c>
      <c r="V27" s="1" t="s">
        <v>576</v>
      </c>
      <c r="W27" s="1" t="s">
        <v>463</v>
      </c>
      <c r="X27" s="1" t="s">
        <v>504</v>
      </c>
      <c r="Y27" s="1" t="s">
        <v>356</v>
      </c>
      <c r="Z27" s="1" t="s">
        <v>394</v>
      </c>
      <c r="AA27" s="1" t="s">
        <v>310</v>
      </c>
      <c r="AB27" s="1" t="s">
        <v>403</v>
      </c>
      <c r="AC27" s="1" t="s">
        <v>447</v>
      </c>
      <c r="AD27" s="1" t="s">
        <v>343</v>
      </c>
      <c r="AE27" s="1" t="s">
        <v>595</v>
      </c>
      <c r="AF27" s="1" t="s">
        <v>596</v>
      </c>
      <c r="AG27" s="1" t="s">
        <v>269</v>
      </c>
      <c r="AL27" s="2" t="s">
        <v>597</v>
      </c>
      <c r="AM27" s="2" t="s">
        <v>460</v>
      </c>
      <c r="AN27" s="2" t="s">
        <v>573</v>
      </c>
      <c r="AO27" s="2" t="s">
        <v>470</v>
      </c>
      <c r="AP27" s="2" t="s">
        <v>571</v>
      </c>
      <c r="AR27" s="1" t="s">
        <v>408</v>
      </c>
      <c r="AS27" s="1" t="s">
        <v>354</v>
      </c>
      <c r="AT27" s="1" t="s">
        <v>356</v>
      </c>
      <c r="AU27" s="1" t="s">
        <v>589</v>
      </c>
      <c r="AV27" s="1" t="s">
        <v>590</v>
      </c>
      <c r="AW27" s="1" t="s">
        <v>584</v>
      </c>
      <c r="AX27" s="1" t="s">
        <v>343</v>
      </c>
      <c r="AY27" s="1" t="s">
        <v>591</v>
      </c>
      <c r="AZ27" s="1" t="s">
        <v>592</v>
      </c>
      <c r="BB27" s="18" t="s">
        <v>597</v>
      </c>
      <c r="BC27" s="15" t="s">
        <v>537</v>
      </c>
      <c r="BD27" s="15" t="s">
        <v>360</v>
      </c>
      <c r="BE27" s="14" t="s">
        <v>467</v>
      </c>
      <c r="BF27" s="16" t="s">
        <v>375</v>
      </c>
      <c r="BG27" s="15" t="s">
        <v>531</v>
      </c>
    </row>
    <row r="28" spans="7:63" x14ac:dyDescent="0.5">
      <c r="L28" s="1" t="s">
        <v>544</v>
      </c>
      <c r="M28" s="1" t="s">
        <v>522</v>
      </c>
      <c r="N28" s="1" t="s">
        <v>522</v>
      </c>
      <c r="O28" s="1" t="s">
        <v>484</v>
      </c>
      <c r="P28" s="1" t="s">
        <v>251</v>
      </c>
      <c r="Q28" s="1" t="s">
        <v>468</v>
      </c>
      <c r="S28" s="1" t="s">
        <v>544</v>
      </c>
      <c r="T28" s="1" t="s">
        <v>522</v>
      </c>
      <c r="U28" s="1" t="s">
        <v>522</v>
      </c>
      <c r="V28" s="1" t="s">
        <v>484</v>
      </c>
      <c r="W28" s="1" t="s">
        <v>251</v>
      </c>
      <c r="X28" s="1" t="s">
        <v>468</v>
      </c>
      <c r="Y28" s="1" t="s">
        <v>266</v>
      </c>
      <c r="Z28" s="1" t="s">
        <v>505</v>
      </c>
      <c r="AA28" s="1" t="s">
        <v>598</v>
      </c>
      <c r="AB28" s="1" t="s">
        <v>599</v>
      </c>
      <c r="AC28" s="1" t="s">
        <v>584</v>
      </c>
      <c r="AD28" s="1" t="s">
        <v>600</v>
      </c>
      <c r="AE28" s="1" t="s">
        <v>601</v>
      </c>
      <c r="AF28" s="1" t="s">
        <v>602</v>
      </c>
      <c r="AG28" s="1" t="s">
        <v>577</v>
      </c>
      <c r="AL28" s="2"/>
      <c r="AM28" s="2"/>
      <c r="AN28" s="2" t="s">
        <v>603</v>
      </c>
      <c r="AO28" s="2" t="s">
        <v>542</v>
      </c>
      <c r="AP28" s="2" t="s">
        <v>448</v>
      </c>
      <c r="AR28" s="1" t="s">
        <v>356</v>
      </c>
      <c r="AS28" s="1" t="s">
        <v>394</v>
      </c>
      <c r="AT28" s="1" t="s">
        <v>310</v>
      </c>
      <c r="AU28" s="1" t="s">
        <v>403</v>
      </c>
      <c r="AV28" s="1" t="s">
        <v>447</v>
      </c>
      <c r="AW28" s="1" t="s">
        <v>343</v>
      </c>
      <c r="AX28" s="1" t="s">
        <v>595</v>
      </c>
      <c r="AY28" s="1" t="s">
        <v>596</v>
      </c>
      <c r="AZ28" s="1" t="s">
        <v>269</v>
      </c>
      <c r="BB28" s="18"/>
      <c r="BC28" s="15" t="s">
        <v>464</v>
      </c>
      <c r="BD28" s="16" t="s">
        <v>248</v>
      </c>
      <c r="BE28" s="13" t="s">
        <v>512</v>
      </c>
      <c r="BF28" s="15" t="s">
        <v>416</v>
      </c>
      <c r="BG28" s="15" t="s">
        <v>562</v>
      </c>
    </row>
    <row r="29" spans="7:63" x14ac:dyDescent="0.5">
      <c r="L29" s="1" t="s">
        <v>604</v>
      </c>
      <c r="M29" s="1" t="s">
        <v>588</v>
      </c>
      <c r="N29" s="1" t="s">
        <v>576</v>
      </c>
      <c r="O29" s="1" t="s">
        <v>528</v>
      </c>
      <c r="P29" s="1" t="s">
        <v>605</v>
      </c>
      <c r="Q29" s="1" t="s">
        <v>431</v>
      </c>
      <c r="S29" s="1" t="s">
        <v>604</v>
      </c>
      <c r="T29" s="1" t="s">
        <v>588</v>
      </c>
      <c r="U29" s="1" t="s">
        <v>576</v>
      </c>
      <c r="V29" s="1" t="s">
        <v>528</v>
      </c>
      <c r="W29" s="1" t="s">
        <v>605</v>
      </c>
      <c r="X29" s="1" t="s">
        <v>431</v>
      </c>
      <c r="Y29" s="1" t="s">
        <v>606</v>
      </c>
      <c r="Z29" s="1" t="s">
        <v>607</v>
      </c>
      <c r="AA29" s="1" t="s">
        <v>607</v>
      </c>
      <c r="AB29" s="1" t="s">
        <v>608</v>
      </c>
      <c r="AC29" s="1" t="s">
        <v>573</v>
      </c>
      <c r="AD29" s="1" t="s">
        <v>609</v>
      </c>
      <c r="AE29" s="1" t="s">
        <v>527</v>
      </c>
      <c r="AF29" s="1" t="s">
        <v>454</v>
      </c>
      <c r="AG29" s="1" t="s">
        <v>545</v>
      </c>
      <c r="AL29" s="2"/>
      <c r="AN29" s="2" t="s">
        <v>610</v>
      </c>
      <c r="AO29" s="2" t="s">
        <v>611</v>
      </c>
      <c r="AP29" s="2" t="s">
        <v>612</v>
      </c>
      <c r="AR29" s="1" t="s">
        <v>266</v>
      </c>
      <c r="AS29" s="1" t="s">
        <v>505</v>
      </c>
      <c r="AT29" s="1" t="s">
        <v>598</v>
      </c>
      <c r="AU29" s="1" t="s">
        <v>599</v>
      </c>
      <c r="AV29" s="1" t="s">
        <v>584</v>
      </c>
      <c r="AW29" s="1" t="s">
        <v>600</v>
      </c>
      <c r="AX29" s="1" t="s">
        <v>601</v>
      </c>
      <c r="AY29" s="1" t="s">
        <v>602</v>
      </c>
      <c r="AZ29" s="1" t="s">
        <v>577</v>
      </c>
      <c r="BC29" s="15" t="s">
        <v>316</v>
      </c>
      <c r="BD29" s="15" t="s">
        <v>465</v>
      </c>
      <c r="BE29" s="15" t="s">
        <v>434</v>
      </c>
      <c r="BF29" s="15" t="s">
        <v>244</v>
      </c>
      <c r="BG29" s="15" t="s">
        <v>431</v>
      </c>
    </row>
    <row r="30" spans="7:63" x14ac:dyDescent="0.5">
      <c r="L30" s="1" t="s">
        <v>470</v>
      </c>
      <c r="M30" s="1" t="s">
        <v>401</v>
      </c>
      <c r="N30" s="1" t="s">
        <v>484</v>
      </c>
      <c r="O30" s="1" t="s">
        <v>260</v>
      </c>
      <c r="P30" s="1" t="s">
        <v>613</v>
      </c>
      <c r="Q30" s="1" t="s">
        <v>431</v>
      </c>
      <c r="S30" s="1" t="s">
        <v>470</v>
      </c>
      <c r="T30" s="1" t="s">
        <v>401</v>
      </c>
      <c r="U30" s="1" t="s">
        <v>484</v>
      </c>
      <c r="V30" s="1" t="s">
        <v>260</v>
      </c>
      <c r="W30" s="1" t="s">
        <v>613</v>
      </c>
      <c r="X30" s="1" t="s">
        <v>431</v>
      </c>
      <c r="Y30" s="1" t="s">
        <v>269</v>
      </c>
      <c r="Z30" s="1" t="s">
        <v>519</v>
      </c>
      <c r="AA30" s="1" t="s">
        <v>255</v>
      </c>
      <c r="AB30" s="1" t="s">
        <v>53</v>
      </c>
      <c r="AC30" s="1" t="s">
        <v>614</v>
      </c>
      <c r="AD30" s="1" t="s">
        <v>587</v>
      </c>
      <c r="AE30" s="1" t="s">
        <v>259</v>
      </c>
      <c r="AL30" s="2"/>
      <c r="AN30" s="2" t="s">
        <v>601</v>
      </c>
      <c r="AO30" s="2" t="s">
        <v>615</v>
      </c>
      <c r="AP30" s="2" t="s">
        <v>253</v>
      </c>
      <c r="AR30" s="1" t="s">
        <v>606</v>
      </c>
      <c r="AS30" s="1" t="s">
        <v>607</v>
      </c>
      <c r="AT30" s="1" t="s">
        <v>607</v>
      </c>
      <c r="AU30" s="1" t="s">
        <v>608</v>
      </c>
      <c r="AV30" s="1" t="s">
        <v>573</v>
      </c>
      <c r="AW30" s="1" t="s">
        <v>609</v>
      </c>
      <c r="AX30" s="1" t="s">
        <v>527</v>
      </c>
      <c r="AY30" s="1" t="s">
        <v>454</v>
      </c>
      <c r="AZ30" s="1" t="s">
        <v>545</v>
      </c>
      <c r="BC30" s="15" t="s">
        <v>477</v>
      </c>
      <c r="BD30" s="15" t="s">
        <v>491</v>
      </c>
      <c r="BE30" s="16" t="s">
        <v>444</v>
      </c>
      <c r="BF30" s="16" t="s">
        <v>407</v>
      </c>
      <c r="BG30" s="15" t="s">
        <v>426</v>
      </c>
    </row>
    <row r="31" spans="7:63" x14ac:dyDescent="0.5">
      <c r="L31" s="1" t="s">
        <v>458</v>
      </c>
      <c r="M31" s="1" t="s">
        <v>543</v>
      </c>
      <c r="N31" s="1" t="s">
        <v>505</v>
      </c>
      <c r="O31" s="1" t="s">
        <v>542</v>
      </c>
      <c r="P31" s="1" t="s">
        <v>253</v>
      </c>
      <c r="Q31" s="1" t="s">
        <v>426</v>
      </c>
      <c r="S31" s="1" t="s">
        <v>458</v>
      </c>
      <c r="T31" s="1" t="s">
        <v>543</v>
      </c>
      <c r="U31" s="1" t="s">
        <v>505</v>
      </c>
      <c r="V31" s="1" t="s">
        <v>542</v>
      </c>
      <c r="W31" s="1" t="s">
        <v>253</v>
      </c>
      <c r="X31" s="1" t="s">
        <v>426</v>
      </c>
      <c r="Y31" s="1" t="s">
        <v>545</v>
      </c>
      <c r="Z31" s="1" t="s">
        <v>569</v>
      </c>
      <c r="AA31" s="1" t="s">
        <v>317</v>
      </c>
      <c r="AB31" s="1" t="s">
        <v>616</v>
      </c>
      <c r="AC31" s="1" t="s">
        <v>617</v>
      </c>
      <c r="AD31" s="1" t="s">
        <v>486</v>
      </c>
      <c r="AE31" s="1" t="s">
        <v>555</v>
      </c>
      <c r="AL31" s="2"/>
      <c r="AN31" s="2" t="s">
        <v>618</v>
      </c>
      <c r="AO31" s="2" t="s">
        <v>619</v>
      </c>
      <c r="AP31" s="2" t="s">
        <v>620</v>
      </c>
      <c r="AR31" s="1" t="s">
        <v>269</v>
      </c>
      <c r="AS31" s="1" t="s">
        <v>519</v>
      </c>
      <c r="AT31" s="1" t="s">
        <v>255</v>
      </c>
      <c r="AU31" s="1" t="s">
        <v>53</v>
      </c>
      <c r="AV31" s="1" t="s">
        <v>614</v>
      </c>
      <c r="AW31" s="1" t="s">
        <v>587</v>
      </c>
      <c r="AX31" s="1" t="s">
        <v>259</v>
      </c>
      <c r="BC31" s="15" t="s">
        <v>256</v>
      </c>
      <c r="BD31" s="16" t="s">
        <v>426</v>
      </c>
      <c r="BE31" s="15" t="s">
        <v>556</v>
      </c>
      <c r="BF31" s="16" t="s">
        <v>398</v>
      </c>
      <c r="BG31" s="15" t="s">
        <v>496</v>
      </c>
    </row>
    <row r="32" spans="7:63" x14ac:dyDescent="0.5">
      <c r="L32" s="1" t="s">
        <v>542</v>
      </c>
      <c r="M32" s="1" t="s">
        <v>553</v>
      </c>
      <c r="N32" s="1" t="s">
        <v>258</v>
      </c>
      <c r="O32" s="1" t="s">
        <v>615</v>
      </c>
      <c r="P32" s="1" t="s">
        <v>254</v>
      </c>
      <c r="Q32" s="1" t="s">
        <v>406</v>
      </c>
      <c r="S32" s="1" t="s">
        <v>542</v>
      </c>
      <c r="T32" s="1" t="s">
        <v>553</v>
      </c>
      <c r="U32" s="1" t="s">
        <v>258</v>
      </c>
      <c r="V32" s="1" t="s">
        <v>615</v>
      </c>
      <c r="W32" s="1" t="s">
        <v>254</v>
      </c>
      <c r="X32" s="1" t="s">
        <v>406</v>
      </c>
      <c r="Y32" s="1" t="s">
        <v>377</v>
      </c>
      <c r="Z32" s="1" t="s">
        <v>593</v>
      </c>
      <c r="AA32" s="1" t="s">
        <v>621</v>
      </c>
      <c r="AB32" s="1" t="s">
        <v>622</v>
      </c>
      <c r="AC32" s="1" t="s">
        <v>544</v>
      </c>
      <c r="AD32" s="1" t="s">
        <v>591</v>
      </c>
      <c r="AE32" s="1" t="s">
        <v>623</v>
      </c>
      <c r="AL32" s="2"/>
      <c r="AO32" s="2" t="s">
        <v>624</v>
      </c>
      <c r="AP32" s="2" t="s">
        <v>625</v>
      </c>
      <c r="AR32" s="1" t="s">
        <v>545</v>
      </c>
      <c r="AS32" s="1" t="s">
        <v>569</v>
      </c>
      <c r="AT32" s="1" t="s">
        <v>317</v>
      </c>
      <c r="AU32" s="1" t="s">
        <v>616</v>
      </c>
      <c r="AV32" s="1" t="s">
        <v>617</v>
      </c>
      <c r="AW32" s="1" t="s">
        <v>486</v>
      </c>
      <c r="AX32" s="1" t="s">
        <v>555</v>
      </c>
      <c r="BC32" s="15" t="s">
        <v>519</v>
      </c>
      <c r="BD32" s="16" t="s">
        <v>503</v>
      </c>
      <c r="BE32" s="15" t="s">
        <v>55</v>
      </c>
      <c r="BF32" s="15" t="s">
        <v>577</v>
      </c>
      <c r="BG32" s="15" t="s">
        <v>455</v>
      </c>
    </row>
    <row r="33" spans="12:59" x14ac:dyDescent="0.5">
      <c r="L33" s="1" t="s">
        <v>626</v>
      </c>
      <c r="M33" s="1" t="s">
        <v>626</v>
      </c>
      <c r="N33" s="1" t="s">
        <v>627</v>
      </c>
      <c r="O33" s="1" t="s">
        <v>532</v>
      </c>
      <c r="P33" s="1" t="s">
        <v>255</v>
      </c>
      <c r="Q33" s="1" t="s">
        <v>447</v>
      </c>
      <c r="S33" s="1" t="s">
        <v>626</v>
      </c>
      <c r="T33" s="1" t="s">
        <v>626</v>
      </c>
      <c r="U33" s="1" t="s">
        <v>627</v>
      </c>
      <c r="V33" s="1" t="s">
        <v>532</v>
      </c>
      <c r="W33" s="1" t="s">
        <v>255</v>
      </c>
      <c r="X33" s="1" t="s">
        <v>447</v>
      </c>
      <c r="Y33" s="1" t="s">
        <v>600</v>
      </c>
      <c r="Z33" s="1" t="s">
        <v>628</v>
      </c>
      <c r="AA33" s="1" t="s">
        <v>629</v>
      </c>
      <c r="AB33" s="1" t="s">
        <v>551</v>
      </c>
      <c r="AC33" s="1" t="s">
        <v>562</v>
      </c>
      <c r="AD33" s="1" t="s">
        <v>245</v>
      </c>
      <c r="AE33" s="1" t="s">
        <v>387</v>
      </c>
      <c r="AO33" s="2" t="s">
        <v>630</v>
      </c>
      <c r="AP33" s="2" t="s">
        <v>631</v>
      </c>
      <c r="AR33" s="1" t="s">
        <v>377</v>
      </c>
      <c r="AS33" s="1" t="s">
        <v>593</v>
      </c>
      <c r="AT33" s="1" t="s">
        <v>621</v>
      </c>
      <c r="AU33" s="1" t="s">
        <v>622</v>
      </c>
      <c r="AV33" s="1" t="s">
        <v>544</v>
      </c>
      <c r="AW33" s="1" t="s">
        <v>591</v>
      </c>
      <c r="AX33" s="1" t="s">
        <v>623</v>
      </c>
      <c r="BC33" s="15" t="s">
        <v>485</v>
      </c>
      <c r="BD33" s="15" t="s">
        <v>386</v>
      </c>
      <c r="BE33" s="16" t="s">
        <v>571</v>
      </c>
      <c r="BF33" s="15" t="s">
        <v>446</v>
      </c>
      <c r="BG33" s="15" t="s">
        <v>486</v>
      </c>
    </row>
    <row r="34" spans="12:59" x14ac:dyDescent="0.5">
      <c r="L34" s="1" t="s">
        <v>615</v>
      </c>
      <c r="M34" s="1" t="s">
        <v>591</v>
      </c>
      <c r="N34" s="1" t="s">
        <v>458</v>
      </c>
      <c r="O34" s="1" t="s">
        <v>574</v>
      </c>
      <c r="P34" s="1" t="s">
        <v>256</v>
      </c>
      <c r="Q34" s="1" t="s">
        <v>527</v>
      </c>
      <c r="S34" s="1" t="s">
        <v>615</v>
      </c>
      <c r="T34" s="1" t="s">
        <v>591</v>
      </c>
      <c r="U34" s="1" t="s">
        <v>458</v>
      </c>
      <c r="V34" s="1" t="s">
        <v>574</v>
      </c>
      <c r="W34" s="1" t="s">
        <v>256</v>
      </c>
      <c r="X34" s="1" t="s">
        <v>527</v>
      </c>
      <c r="Y34" s="1" t="s">
        <v>632</v>
      </c>
      <c r="Z34" s="1" t="s">
        <v>532</v>
      </c>
      <c r="AA34" s="1" t="s">
        <v>633</v>
      </c>
      <c r="AB34" s="1" t="s">
        <v>634</v>
      </c>
      <c r="AC34" s="1" t="s">
        <v>514</v>
      </c>
      <c r="AE34" s="1" t="s">
        <v>635</v>
      </c>
      <c r="AO34" s="2" t="s">
        <v>636</v>
      </c>
      <c r="AP34" s="2" t="s">
        <v>637</v>
      </c>
      <c r="AR34" s="1" t="s">
        <v>600</v>
      </c>
      <c r="AS34" s="1" t="s">
        <v>628</v>
      </c>
      <c r="AT34" s="1" t="s">
        <v>629</v>
      </c>
      <c r="AU34" s="1" t="s">
        <v>551</v>
      </c>
      <c r="AV34" s="1" t="s">
        <v>562</v>
      </c>
      <c r="AW34" s="1" t="s">
        <v>245</v>
      </c>
      <c r="AX34" s="1" t="s">
        <v>387</v>
      </c>
      <c r="BC34" s="15" t="s">
        <v>587</v>
      </c>
      <c r="BD34" s="15" t="s">
        <v>478</v>
      </c>
      <c r="BE34" s="14" t="s">
        <v>523</v>
      </c>
      <c r="BF34" s="15" t="s">
        <v>635</v>
      </c>
      <c r="BG34" s="15" t="s">
        <v>568</v>
      </c>
    </row>
    <row r="35" spans="12:59" x14ac:dyDescent="0.5">
      <c r="L35" s="1" t="s">
        <v>429</v>
      </c>
      <c r="M35" s="1" t="s">
        <v>638</v>
      </c>
      <c r="N35" s="1" t="s">
        <v>639</v>
      </c>
      <c r="O35" s="1" t="s">
        <v>636</v>
      </c>
      <c r="P35" s="1" t="s">
        <v>497</v>
      </c>
      <c r="Q35" s="1" t="s">
        <v>584</v>
      </c>
      <c r="S35" s="1" t="s">
        <v>429</v>
      </c>
      <c r="T35" s="1" t="s">
        <v>638</v>
      </c>
      <c r="U35" s="1" t="s">
        <v>639</v>
      </c>
      <c r="V35" s="1" t="s">
        <v>636</v>
      </c>
      <c r="W35" s="1" t="s">
        <v>497</v>
      </c>
      <c r="X35" s="1" t="s">
        <v>584</v>
      </c>
      <c r="Y35" s="1" t="s">
        <v>640</v>
      </c>
      <c r="Z35" s="1" t="s">
        <v>641</v>
      </c>
      <c r="AA35" s="1" t="s">
        <v>642</v>
      </c>
      <c r="AB35" s="1" t="s">
        <v>643</v>
      </c>
      <c r="AC35" s="1" t="s">
        <v>618</v>
      </c>
      <c r="AE35" s="1" t="s">
        <v>644</v>
      </c>
      <c r="AO35" s="2" t="s">
        <v>488</v>
      </c>
      <c r="AP35" s="2" t="s">
        <v>520</v>
      </c>
      <c r="AR35" s="1" t="s">
        <v>632</v>
      </c>
      <c r="AS35" s="1" t="s">
        <v>532</v>
      </c>
      <c r="AT35" s="1" t="s">
        <v>633</v>
      </c>
      <c r="AU35" s="1" t="s">
        <v>634</v>
      </c>
      <c r="AV35" s="1" t="s">
        <v>514</v>
      </c>
      <c r="AX35" s="1" t="s">
        <v>635</v>
      </c>
      <c r="BC35" s="15" t="s">
        <v>497</v>
      </c>
      <c r="BD35" s="16" t="s">
        <v>496</v>
      </c>
      <c r="BE35" s="13" t="s">
        <v>519</v>
      </c>
      <c r="BF35" s="16" t="s">
        <v>545</v>
      </c>
      <c r="BG35" s="15" t="s">
        <v>447</v>
      </c>
    </row>
    <row r="36" spans="12:59" x14ac:dyDescent="0.5">
      <c r="L36" s="1" t="s">
        <v>532</v>
      </c>
      <c r="M36" s="1" t="s">
        <v>340</v>
      </c>
      <c r="N36" s="1" t="s">
        <v>575</v>
      </c>
      <c r="O36" s="1" t="s">
        <v>645</v>
      </c>
      <c r="P36" s="1" t="s">
        <v>641</v>
      </c>
      <c r="Q36" s="1" t="s">
        <v>251</v>
      </c>
      <c r="S36" s="1" t="s">
        <v>532</v>
      </c>
      <c r="T36" s="1" t="s">
        <v>340</v>
      </c>
      <c r="U36" s="1" t="s">
        <v>575</v>
      </c>
      <c r="V36" s="1" t="s">
        <v>645</v>
      </c>
      <c r="W36" s="1" t="s">
        <v>641</v>
      </c>
      <c r="X36" s="1" t="s">
        <v>251</v>
      </c>
      <c r="Y36" s="1" t="s">
        <v>584</v>
      </c>
      <c r="Z36" s="1" t="s">
        <v>646</v>
      </c>
      <c r="AA36" s="1" t="s">
        <v>627</v>
      </c>
      <c r="AB36" s="1" t="s">
        <v>343</v>
      </c>
      <c r="AC36" s="1" t="s">
        <v>382</v>
      </c>
      <c r="AE36" s="1" t="s">
        <v>586</v>
      </c>
      <c r="AP36" s="2" t="s">
        <v>528</v>
      </c>
      <c r="AR36" s="1" t="s">
        <v>640</v>
      </c>
      <c r="AS36" s="1" t="s">
        <v>641</v>
      </c>
      <c r="AT36" s="1" t="s">
        <v>642</v>
      </c>
      <c r="AU36" s="1" t="s">
        <v>643</v>
      </c>
      <c r="AV36" s="1" t="s">
        <v>618</v>
      </c>
      <c r="AX36" s="1" t="s">
        <v>644</v>
      </c>
      <c r="BC36" s="15" t="s">
        <v>511</v>
      </c>
      <c r="BD36" s="15" t="s">
        <v>455</v>
      </c>
      <c r="BE36" s="15" t="s">
        <v>485</v>
      </c>
      <c r="BF36" s="16" t="s">
        <v>595</v>
      </c>
      <c r="BG36" s="15" t="s">
        <v>584</v>
      </c>
    </row>
    <row r="37" spans="12:59" x14ac:dyDescent="0.5">
      <c r="L37" s="1" t="s">
        <v>647</v>
      </c>
      <c r="M37" s="1" t="s">
        <v>593</v>
      </c>
      <c r="N37" s="1" t="s">
        <v>648</v>
      </c>
      <c r="P37" s="1" t="s">
        <v>522</v>
      </c>
      <c r="Q37" s="1" t="s">
        <v>444</v>
      </c>
      <c r="S37" s="1" t="s">
        <v>647</v>
      </c>
      <c r="T37" s="1" t="s">
        <v>593</v>
      </c>
      <c r="U37" s="1" t="s">
        <v>648</v>
      </c>
      <c r="W37" s="1" t="s">
        <v>522</v>
      </c>
      <c r="X37" s="1" t="s">
        <v>444</v>
      </c>
      <c r="Y37" s="1" t="s">
        <v>648</v>
      </c>
      <c r="Z37" s="1" t="s">
        <v>441</v>
      </c>
      <c r="AA37" s="1" t="s">
        <v>249</v>
      </c>
      <c r="AB37" s="1" t="s">
        <v>470</v>
      </c>
      <c r="AC37" s="1" t="s">
        <v>404</v>
      </c>
      <c r="AE37" s="1" t="s">
        <v>379</v>
      </c>
      <c r="AP37" s="2" t="s">
        <v>649</v>
      </c>
      <c r="AR37" s="1" t="s">
        <v>584</v>
      </c>
      <c r="AS37" s="1" t="s">
        <v>646</v>
      </c>
      <c r="AT37" s="1" t="s">
        <v>627</v>
      </c>
      <c r="AU37" s="1" t="s">
        <v>343</v>
      </c>
      <c r="AV37" s="1" t="s">
        <v>382</v>
      </c>
      <c r="AX37" s="1" t="s">
        <v>586</v>
      </c>
      <c r="BC37" s="15" t="s">
        <v>522</v>
      </c>
      <c r="BD37" s="15" t="s">
        <v>50</v>
      </c>
      <c r="BE37" s="16" t="s">
        <v>587</v>
      </c>
      <c r="BF37" s="16" t="s">
        <v>461</v>
      </c>
      <c r="BG37" s="15" t="s">
        <v>444</v>
      </c>
    </row>
    <row r="38" spans="12:59" x14ac:dyDescent="0.5">
      <c r="L38" s="1" t="s">
        <v>628</v>
      </c>
      <c r="M38" s="1" t="s">
        <v>573</v>
      </c>
      <c r="N38" s="1" t="s">
        <v>574</v>
      </c>
      <c r="P38" s="1" t="s">
        <v>650</v>
      </c>
      <c r="Q38" s="1" t="s">
        <v>55</v>
      </c>
      <c r="S38" s="1" t="s">
        <v>628</v>
      </c>
      <c r="T38" s="1" t="s">
        <v>573</v>
      </c>
      <c r="U38" s="1" t="s">
        <v>574</v>
      </c>
      <c r="W38" s="1" t="s">
        <v>650</v>
      </c>
      <c r="X38" s="1" t="s">
        <v>55</v>
      </c>
      <c r="Y38" s="1" t="s">
        <v>651</v>
      </c>
      <c r="Z38" s="1" t="s">
        <v>588</v>
      </c>
      <c r="AA38" s="1" t="s">
        <v>652</v>
      </c>
      <c r="AB38" s="1" t="s">
        <v>354</v>
      </c>
      <c r="AC38" s="1" t="s">
        <v>486</v>
      </c>
      <c r="AE38" s="1" t="s">
        <v>592</v>
      </c>
      <c r="AP38" s="2" t="s">
        <v>653</v>
      </c>
      <c r="AR38" s="1" t="s">
        <v>648</v>
      </c>
      <c r="AS38" s="1" t="s">
        <v>441</v>
      </c>
      <c r="AT38" s="1" t="s">
        <v>249</v>
      </c>
      <c r="AU38" s="1" t="s">
        <v>470</v>
      </c>
      <c r="AV38" s="1" t="s">
        <v>404</v>
      </c>
      <c r="AX38" s="1" t="s">
        <v>379</v>
      </c>
      <c r="BC38" s="15" t="s">
        <v>588</v>
      </c>
      <c r="BD38" s="13" t="s">
        <v>486</v>
      </c>
      <c r="BE38" s="13" t="s">
        <v>522</v>
      </c>
      <c r="BF38" s="16" t="s">
        <v>508</v>
      </c>
      <c r="BG38" s="15" t="s">
        <v>387</v>
      </c>
    </row>
    <row r="39" spans="12:59" x14ac:dyDescent="0.5">
      <c r="L39" s="1" t="s">
        <v>574</v>
      </c>
      <c r="M39" s="1" t="s">
        <v>636</v>
      </c>
      <c r="N39" s="1" t="s">
        <v>638</v>
      </c>
      <c r="P39" s="1" t="s">
        <v>654</v>
      </c>
      <c r="Q39" s="1" t="s">
        <v>55</v>
      </c>
      <c r="S39" s="1" t="s">
        <v>574</v>
      </c>
      <c r="T39" s="1" t="s">
        <v>636</v>
      </c>
      <c r="U39" s="1" t="s">
        <v>638</v>
      </c>
      <c r="W39" s="1" t="s">
        <v>654</v>
      </c>
      <c r="X39" s="1" t="s">
        <v>55</v>
      </c>
      <c r="Y39" s="1" t="s">
        <v>655</v>
      </c>
      <c r="Z39" s="1" t="s">
        <v>307</v>
      </c>
      <c r="AA39" s="1" t="s">
        <v>458</v>
      </c>
      <c r="AB39" s="1" t="s">
        <v>612</v>
      </c>
      <c r="AC39" s="1" t="s">
        <v>491</v>
      </c>
      <c r="AP39" s="2" t="s">
        <v>509</v>
      </c>
      <c r="AR39" s="1" t="s">
        <v>651</v>
      </c>
      <c r="AS39" s="1" t="s">
        <v>588</v>
      </c>
      <c r="AT39" s="1" t="s">
        <v>652</v>
      </c>
      <c r="AU39" s="1" t="s">
        <v>354</v>
      </c>
      <c r="AV39" s="1" t="s">
        <v>486</v>
      </c>
      <c r="AX39" s="1" t="s">
        <v>592</v>
      </c>
      <c r="BC39" s="15" t="s">
        <v>401</v>
      </c>
      <c r="BD39" s="14" t="s">
        <v>498</v>
      </c>
      <c r="BE39" s="16" t="s">
        <v>576</v>
      </c>
      <c r="BF39" s="16" t="s">
        <v>438</v>
      </c>
      <c r="BG39" s="15" t="s">
        <v>602</v>
      </c>
    </row>
    <row r="40" spans="12:59" x14ac:dyDescent="0.5">
      <c r="L40" s="1" t="s">
        <v>591</v>
      </c>
      <c r="M40" s="1" t="s">
        <v>460</v>
      </c>
      <c r="N40" s="1" t="s">
        <v>263</v>
      </c>
      <c r="P40" s="1" t="s">
        <v>655</v>
      </c>
      <c r="Q40" s="1" t="s">
        <v>656</v>
      </c>
      <c r="S40" s="1" t="s">
        <v>591</v>
      </c>
      <c r="T40" s="1" t="s">
        <v>460</v>
      </c>
      <c r="U40" s="1" t="s">
        <v>263</v>
      </c>
      <c r="W40" s="1" t="s">
        <v>655</v>
      </c>
      <c r="X40" s="1" t="s">
        <v>656</v>
      </c>
      <c r="Y40" s="1" t="s">
        <v>362</v>
      </c>
      <c r="Z40" s="1" t="s">
        <v>657</v>
      </c>
      <c r="AA40" s="1" t="s">
        <v>470</v>
      </c>
      <c r="AB40" s="1" t="s">
        <v>658</v>
      </c>
      <c r="AC40" s="1" t="s">
        <v>343</v>
      </c>
      <c r="AP40" s="2" t="s">
        <v>659</v>
      </c>
      <c r="AR40" s="1" t="s">
        <v>655</v>
      </c>
      <c r="AS40" s="1" t="s">
        <v>307</v>
      </c>
      <c r="AT40" s="1" t="s">
        <v>458</v>
      </c>
      <c r="AU40" s="1" t="s">
        <v>612</v>
      </c>
      <c r="AV40" s="1" t="s">
        <v>491</v>
      </c>
      <c r="BC40" s="15" t="s">
        <v>521</v>
      </c>
      <c r="BD40" s="16" t="s">
        <v>357</v>
      </c>
      <c r="BE40" s="15" t="s">
        <v>484</v>
      </c>
      <c r="BF40" s="16" t="s">
        <v>531</v>
      </c>
      <c r="BG40" s="15" t="s">
        <v>316</v>
      </c>
    </row>
    <row r="41" spans="12:59" x14ac:dyDescent="0.5">
      <c r="L41" s="1" t="s">
        <v>442</v>
      </c>
      <c r="M41" s="1" t="s">
        <v>266</v>
      </c>
      <c r="N41" s="1" t="s">
        <v>610</v>
      </c>
      <c r="P41" s="1" t="s">
        <v>505</v>
      </c>
      <c r="Q41" s="1" t="s">
        <v>660</v>
      </c>
      <c r="S41" s="1" t="s">
        <v>442</v>
      </c>
      <c r="T41" s="1" t="s">
        <v>266</v>
      </c>
      <c r="U41" s="1" t="s">
        <v>610</v>
      </c>
      <c r="W41" s="1" t="s">
        <v>505</v>
      </c>
      <c r="X41" s="1" t="s">
        <v>660</v>
      </c>
      <c r="Y41" s="1" t="s">
        <v>661</v>
      </c>
      <c r="AA41" s="1" t="s">
        <v>593</v>
      </c>
      <c r="AB41" s="1" t="s">
        <v>542</v>
      </c>
      <c r="AP41" s="2" t="s">
        <v>662</v>
      </c>
      <c r="AR41" s="1" t="s">
        <v>362</v>
      </c>
      <c r="AS41" s="1" t="s">
        <v>657</v>
      </c>
      <c r="AT41" s="1" t="s">
        <v>470</v>
      </c>
      <c r="AU41" s="1" t="s">
        <v>658</v>
      </c>
      <c r="AV41" s="1" t="s">
        <v>343</v>
      </c>
      <c r="BC41" s="15" t="s">
        <v>543</v>
      </c>
      <c r="BD41" s="15" t="s">
        <v>490</v>
      </c>
      <c r="BE41" s="16" t="s">
        <v>505</v>
      </c>
      <c r="BF41" s="15" t="s">
        <v>562</v>
      </c>
      <c r="BG41" s="15" t="s">
        <v>253</v>
      </c>
    </row>
    <row r="42" spans="12:59" x14ac:dyDescent="0.5">
      <c r="L42" s="1" t="s">
        <v>593</v>
      </c>
      <c r="M42" s="1" t="s">
        <v>413</v>
      </c>
      <c r="N42" s="1" t="s">
        <v>618</v>
      </c>
      <c r="P42" s="1" t="s">
        <v>394</v>
      </c>
      <c r="Q42" s="1" t="s">
        <v>637</v>
      </c>
      <c r="S42" s="1" t="s">
        <v>593</v>
      </c>
      <c r="T42" s="1" t="s">
        <v>413</v>
      </c>
      <c r="U42" s="1" t="s">
        <v>618</v>
      </c>
      <c r="W42" s="1" t="s">
        <v>394</v>
      </c>
      <c r="X42" s="1" t="s">
        <v>637</v>
      </c>
      <c r="Y42" s="1" t="s">
        <v>244</v>
      </c>
      <c r="AA42" s="1" t="s">
        <v>663</v>
      </c>
      <c r="AB42" s="1" t="s">
        <v>598</v>
      </c>
      <c r="AP42" s="2" t="s">
        <v>615</v>
      </c>
      <c r="AR42" s="1" t="s">
        <v>661</v>
      </c>
      <c r="AT42" s="1" t="s">
        <v>593</v>
      </c>
      <c r="AU42" s="1" t="s">
        <v>542</v>
      </c>
      <c r="BC42" s="15" t="s">
        <v>544</v>
      </c>
      <c r="BD42" s="13" t="s">
        <v>447</v>
      </c>
      <c r="BE42" s="15" t="s">
        <v>258</v>
      </c>
      <c r="BF42" s="16" t="s">
        <v>431</v>
      </c>
      <c r="BG42" s="15" t="s">
        <v>519</v>
      </c>
    </row>
    <row r="43" spans="12:59" x14ac:dyDescent="0.5">
      <c r="L43" s="1" t="s">
        <v>664</v>
      </c>
      <c r="N43" s="1" t="s">
        <v>268</v>
      </c>
      <c r="P43" s="1" t="s">
        <v>356</v>
      </c>
      <c r="Q43" s="1" t="s">
        <v>520</v>
      </c>
      <c r="S43" s="1" t="s">
        <v>664</v>
      </c>
      <c r="U43" s="1" t="s">
        <v>268</v>
      </c>
      <c r="W43" s="1" t="s">
        <v>356</v>
      </c>
      <c r="X43" s="1" t="s">
        <v>520</v>
      </c>
      <c r="Y43" s="1" t="s">
        <v>311</v>
      </c>
      <c r="AA43" s="1" t="s">
        <v>665</v>
      </c>
      <c r="AB43" s="1" t="s">
        <v>666</v>
      </c>
      <c r="AP43" s="2" t="s">
        <v>667</v>
      </c>
      <c r="AR43" s="1" t="s">
        <v>244</v>
      </c>
      <c r="AT43" s="1" t="s">
        <v>663</v>
      </c>
      <c r="AU43" s="1" t="s">
        <v>598</v>
      </c>
      <c r="BC43" s="15" t="s">
        <v>564</v>
      </c>
      <c r="BD43" s="15" t="s">
        <v>515</v>
      </c>
      <c r="BE43" s="16" t="s">
        <v>627</v>
      </c>
      <c r="BF43" s="16" t="s">
        <v>247</v>
      </c>
      <c r="BG43" s="15" t="s">
        <v>520</v>
      </c>
    </row>
    <row r="44" spans="12:59" x14ac:dyDescent="0.5">
      <c r="L44" s="1" t="s">
        <v>573</v>
      </c>
      <c r="P44" s="1" t="s">
        <v>594</v>
      </c>
      <c r="Q44" s="1" t="s">
        <v>668</v>
      </c>
      <c r="S44" s="1" t="s">
        <v>573</v>
      </c>
      <c r="W44" s="1" t="s">
        <v>594</v>
      </c>
      <c r="X44" s="1" t="s">
        <v>668</v>
      </c>
      <c r="Y44" s="1" t="s">
        <v>569</v>
      </c>
      <c r="AA44" s="1" t="s">
        <v>669</v>
      </c>
      <c r="AB44" s="1" t="s">
        <v>532</v>
      </c>
      <c r="AP44" s="2" t="s">
        <v>573</v>
      </c>
      <c r="AR44" s="1" t="s">
        <v>311</v>
      </c>
      <c r="AT44" s="1" t="s">
        <v>665</v>
      </c>
      <c r="AU44" s="1" t="s">
        <v>666</v>
      </c>
      <c r="BC44" s="15" t="s">
        <v>542</v>
      </c>
      <c r="BD44" s="16" t="s">
        <v>443</v>
      </c>
      <c r="BE44" s="15" t="s">
        <v>458</v>
      </c>
      <c r="BF44" s="16" t="s">
        <v>454</v>
      </c>
      <c r="BG44" s="15" t="s">
        <v>317</v>
      </c>
    </row>
    <row r="45" spans="12:59" x14ac:dyDescent="0.5">
      <c r="L45" s="1" t="s">
        <v>670</v>
      </c>
      <c r="P45" s="1" t="s">
        <v>604</v>
      </c>
      <c r="Q45" s="1" t="s">
        <v>668</v>
      </c>
      <c r="S45" s="1" t="s">
        <v>670</v>
      </c>
      <c r="W45" s="1" t="s">
        <v>604</v>
      </c>
      <c r="X45" s="1" t="s">
        <v>668</v>
      </c>
      <c r="Y45" s="1" t="s">
        <v>246</v>
      </c>
      <c r="AA45" s="1" t="s">
        <v>671</v>
      </c>
      <c r="AB45" s="1" t="s">
        <v>569</v>
      </c>
      <c r="AP45" s="2" t="s">
        <v>535</v>
      </c>
      <c r="AR45" s="1" t="s">
        <v>569</v>
      </c>
      <c r="AT45" s="1" t="s">
        <v>669</v>
      </c>
      <c r="AU45" s="1" t="s">
        <v>532</v>
      </c>
      <c r="BC45" s="15" t="s">
        <v>626</v>
      </c>
      <c r="BD45" s="14" t="s">
        <v>428</v>
      </c>
      <c r="BE45" s="16" t="s">
        <v>639</v>
      </c>
      <c r="BF45" s="15" t="s">
        <v>426</v>
      </c>
      <c r="BG45" s="15" t="s">
        <v>341</v>
      </c>
    </row>
    <row r="46" spans="12:59" x14ac:dyDescent="0.5">
      <c r="P46" s="1" t="s">
        <v>470</v>
      </c>
      <c r="Q46" s="1" t="s">
        <v>528</v>
      </c>
      <c r="W46" s="1" t="s">
        <v>470</v>
      </c>
      <c r="X46" s="1" t="s">
        <v>528</v>
      </c>
      <c r="Y46" s="1" t="s">
        <v>672</v>
      </c>
      <c r="AA46" s="1" t="s">
        <v>429</v>
      </c>
      <c r="AB46" s="1" t="s">
        <v>50</v>
      </c>
      <c r="AP46" s="2" t="s">
        <v>268</v>
      </c>
      <c r="AR46" s="1" t="s">
        <v>246</v>
      </c>
      <c r="AT46" s="1" t="s">
        <v>671</v>
      </c>
      <c r="AU46" s="1" t="s">
        <v>569</v>
      </c>
      <c r="BC46" s="15" t="s">
        <v>574</v>
      </c>
      <c r="BD46" s="13" t="s">
        <v>534</v>
      </c>
      <c r="BE46" s="13" t="s">
        <v>260</v>
      </c>
      <c r="BF46" s="15" t="s">
        <v>496</v>
      </c>
      <c r="BG46" s="15" t="s">
        <v>259</v>
      </c>
    </row>
    <row r="47" spans="12:59" x14ac:dyDescent="0.5">
      <c r="P47" s="1" t="s">
        <v>458</v>
      </c>
      <c r="Q47" s="1" t="s">
        <v>356</v>
      </c>
      <c r="W47" s="1" t="s">
        <v>458</v>
      </c>
      <c r="X47" s="1" t="s">
        <v>356</v>
      </c>
      <c r="Y47" s="1" t="s">
        <v>673</v>
      </c>
      <c r="AA47" s="1" t="s">
        <v>256</v>
      </c>
      <c r="AB47" s="1" t="s">
        <v>674</v>
      </c>
      <c r="AP47" s="2"/>
      <c r="AR47" s="1" t="s">
        <v>672</v>
      </c>
      <c r="AT47" s="1" t="s">
        <v>429</v>
      </c>
      <c r="AU47" s="1" t="s">
        <v>50</v>
      </c>
      <c r="BC47" s="15" t="s">
        <v>591</v>
      </c>
      <c r="BD47" s="15" t="s">
        <v>434</v>
      </c>
      <c r="BE47" s="15" t="s">
        <v>575</v>
      </c>
      <c r="BF47" s="16" t="s">
        <v>455</v>
      </c>
      <c r="BG47" s="15" t="s">
        <v>509</v>
      </c>
    </row>
    <row r="48" spans="12:59" x14ac:dyDescent="0.5">
      <c r="P48" s="1" t="s">
        <v>458</v>
      </c>
      <c r="Q48" s="1" t="s">
        <v>594</v>
      </c>
      <c r="W48" s="1" t="s">
        <v>458</v>
      </c>
      <c r="X48" s="1" t="s">
        <v>594</v>
      </c>
      <c r="Y48" s="1" t="s">
        <v>675</v>
      </c>
      <c r="AA48" s="1" t="s">
        <v>540</v>
      </c>
      <c r="AB48" s="1" t="s">
        <v>269</v>
      </c>
      <c r="AR48" s="1" t="s">
        <v>673</v>
      </c>
      <c r="AT48" s="1" t="s">
        <v>256</v>
      </c>
      <c r="AU48" s="1" t="s">
        <v>674</v>
      </c>
      <c r="BC48" s="15" t="s">
        <v>638</v>
      </c>
      <c r="BD48" s="14" t="s">
        <v>251</v>
      </c>
      <c r="BE48" s="16" t="s">
        <v>648</v>
      </c>
      <c r="BF48" s="15" t="s">
        <v>486</v>
      </c>
      <c r="BG48" s="15" t="s">
        <v>542</v>
      </c>
    </row>
    <row r="49" spans="16:59" x14ac:dyDescent="0.5">
      <c r="P49" s="1" t="s">
        <v>676</v>
      </c>
      <c r="Q49" s="1" t="s">
        <v>677</v>
      </c>
      <c r="W49" s="1" t="s">
        <v>676</v>
      </c>
      <c r="X49" s="1" t="s">
        <v>677</v>
      </c>
      <c r="Y49" s="1" t="s">
        <v>360</v>
      </c>
      <c r="AA49" s="1" t="s">
        <v>562</v>
      </c>
      <c r="AB49" s="1" t="s">
        <v>267</v>
      </c>
      <c r="AR49" s="1" t="s">
        <v>675</v>
      </c>
      <c r="AT49" s="1" t="s">
        <v>540</v>
      </c>
      <c r="AU49" s="1" t="s">
        <v>269</v>
      </c>
      <c r="BC49" s="15" t="s">
        <v>340</v>
      </c>
      <c r="BD49" s="16" t="s">
        <v>444</v>
      </c>
      <c r="BE49" s="15" t="s">
        <v>574</v>
      </c>
      <c r="BF49" s="16" t="s">
        <v>568</v>
      </c>
      <c r="BG49" s="15" t="s">
        <v>361</v>
      </c>
    </row>
    <row r="50" spans="16:59" x14ac:dyDescent="0.5">
      <c r="P50" s="1" t="s">
        <v>260</v>
      </c>
      <c r="Q50" s="1" t="s">
        <v>564</v>
      </c>
      <c r="W50" s="1" t="s">
        <v>260</v>
      </c>
      <c r="X50" s="1" t="s">
        <v>564</v>
      </c>
      <c r="Y50" s="1" t="s">
        <v>491</v>
      </c>
      <c r="AA50" s="1" t="s">
        <v>344</v>
      </c>
      <c r="AB50" s="1" t="s">
        <v>593</v>
      </c>
      <c r="AR50" s="1" t="s">
        <v>360</v>
      </c>
      <c r="AT50" s="1" t="s">
        <v>562</v>
      </c>
      <c r="AU50" s="1" t="s">
        <v>267</v>
      </c>
      <c r="BC50" s="15" t="s">
        <v>593</v>
      </c>
      <c r="BD50" s="15" t="s">
        <v>556</v>
      </c>
      <c r="BE50" s="16" t="s">
        <v>638</v>
      </c>
      <c r="BF50" s="16" t="s">
        <v>447</v>
      </c>
      <c r="BG50" s="15" t="s">
        <v>417</v>
      </c>
    </row>
    <row r="51" spans="16:59" x14ac:dyDescent="0.5">
      <c r="P51" s="1" t="s">
        <v>678</v>
      </c>
      <c r="Q51" s="1" t="s">
        <v>679</v>
      </c>
      <c r="W51" s="1" t="s">
        <v>678</v>
      </c>
      <c r="X51" s="1" t="s">
        <v>679</v>
      </c>
      <c r="Y51" s="1" t="s">
        <v>680</v>
      </c>
      <c r="AA51" s="1" t="s">
        <v>568</v>
      </c>
      <c r="AB51" s="1" t="s">
        <v>615</v>
      </c>
      <c r="AR51" s="1" t="s">
        <v>491</v>
      </c>
      <c r="AT51" s="1" t="s">
        <v>344</v>
      </c>
      <c r="AU51" s="1" t="s">
        <v>593</v>
      </c>
      <c r="BC51" s="15" t="s">
        <v>573</v>
      </c>
      <c r="BD51" s="15" t="s">
        <v>55</v>
      </c>
      <c r="BE51" s="15" t="s">
        <v>263</v>
      </c>
      <c r="BF51" s="16" t="s">
        <v>527</v>
      </c>
      <c r="BG51" s="15" t="s">
        <v>623</v>
      </c>
    </row>
    <row r="52" spans="16:59" x14ac:dyDescent="0.5">
      <c r="P52" s="1" t="s">
        <v>646</v>
      </c>
      <c r="Q52" s="1" t="s">
        <v>667</v>
      </c>
      <c r="W52" s="1" t="s">
        <v>646</v>
      </c>
      <c r="X52" s="1" t="s">
        <v>667</v>
      </c>
      <c r="Y52" s="1" t="s">
        <v>615</v>
      </c>
      <c r="AA52" s="1" t="s">
        <v>522</v>
      </c>
      <c r="AB52" s="1" t="s">
        <v>681</v>
      </c>
      <c r="AR52" s="1" t="s">
        <v>680</v>
      </c>
      <c r="AT52" s="1" t="s">
        <v>568</v>
      </c>
      <c r="AU52" s="1" t="s">
        <v>615</v>
      </c>
      <c r="BC52" s="15" t="s">
        <v>636</v>
      </c>
      <c r="BD52" s="13" t="s">
        <v>514</v>
      </c>
      <c r="BE52" s="14" t="s">
        <v>340</v>
      </c>
      <c r="BF52" s="15" t="s">
        <v>472</v>
      </c>
      <c r="BG52" s="15" t="s">
        <v>644</v>
      </c>
    </row>
    <row r="53" spans="16:59" x14ac:dyDescent="0.5">
      <c r="P53" s="1" t="s">
        <v>564</v>
      </c>
      <c r="Q53" s="1" t="s">
        <v>566</v>
      </c>
      <c r="W53" s="1" t="s">
        <v>564</v>
      </c>
      <c r="X53" s="1" t="s">
        <v>566</v>
      </c>
      <c r="AA53" s="1" t="s">
        <v>682</v>
      </c>
      <c r="AB53" s="1" t="s">
        <v>683</v>
      </c>
      <c r="AR53" s="1" t="s">
        <v>615</v>
      </c>
      <c r="AT53" s="1" t="s">
        <v>522</v>
      </c>
      <c r="AU53" s="1" t="s">
        <v>681</v>
      </c>
      <c r="BC53" s="15" t="s">
        <v>460</v>
      </c>
      <c r="BD53" s="15" t="s">
        <v>571</v>
      </c>
      <c r="BE53" s="13" t="s">
        <v>573</v>
      </c>
      <c r="BF53" s="16" t="s">
        <v>584</v>
      </c>
      <c r="BG53" s="15" t="s">
        <v>532</v>
      </c>
    </row>
    <row r="54" spans="16:59" x14ac:dyDescent="0.5">
      <c r="P54" s="1" t="s">
        <v>580</v>
      </c>
      <c r="Q54" s="1" t="s">
        <v>263</v>
      </c>
      <c r="W54" s="1" t="s">
        <v>580</v>
      </c>
      <c r="X54" s="1" t="s">
        <v>263</v>
      </c>
      <c r="AA54" s="1" t="s">
        <v>684</v>
      </c>
      <c r="AB54" s="1" t="s">
        <v>263</v>
      </c>
      <c r="AT54" s="1" t="s">
        <v>682</v>
      </c>
      <c r="AU54" s="1" t="s">
        <v>683</v>
      </c>
      <c r="BC54" s="15" t="s">
        <v>266</v>
      </c>
      <c r="BD54" s="15" t="s">
        <v>485</v>
      </c>
      <c r="BE54" s="14" t="s">
        <v>603</v>
      </c>
      <c r="BF54" s="15" t="s">
        <v>444</v>
      </c>
      <c r="BG54" s="15" t="s">
        <v>574</v>
      </c>
    </row>
    <row r="55" spans="16:59" x14ac:dyDescent="0.5">
      <c r="P55" s="1" t="s">
        <v>262</v>
      </c>
      <c r="Q55" s="1" t="s">
        <v>539</v>
      </c>
      <c r="W55" s="1" t="s">
        <v>262</v>
      </c>
      <c r="X55" s="1" t="s">
        <v>539</v>
      </c>
      <c r="AA55" s="1" t="s">
        <v>575</v>
      </c>
      <c r="AB55" s="1" t="s">
        <v>685</v>
      </c>
      <c r="AT55" s="1" t="s">
        <v>684</v>
      </c>
      <c r="AU55" s="1" t="s">
        <v>263</v>
      </c>
      <c r="BC55" s="15" t="s">
        <v>413</v>
      </c>
      <c r="BD55" s="16" t="s">
        <v>587</v>
      </c>
      <c r="BE55" s="16" t="s">
        <v>610</v>
      </c>
      <c r="BF55" s="16" t="s">
        <v>387</v>
      </c>
      <c r="BG55" s="15" t="s">
        <v>340</v>
      </c>
    </row>
    <row r="56" spans="16:59" x14ac:dyDescent="0.5">
      <c r="P56" s="1" t="s">
        <v>417</v>
      </c>
      <c r="Q56" s="1" t="s">
        <v>593</v>
      </c>
      <c r="W56" s="1" t="s">
        <v>417</v>
      </c>
      <c r="X56" s="1" t="s">
        <v>593</v>
      </c>
      <c r="AA56" s="1" t="s">
        <v>686</v>
      </c>
      <c r="AB56" s="1" t="s">
        <v>618</v>
      </c>
      <c r="AT56" s="1" t="s">
        <v>575</v>
      </c>
      <c r="AU56" s="1" t="s">
        <v>685</v>
      </c>
      <c r="BC56" s="17"/>
      <c r="BD56" s="14" t="s">
        <v>497</v>
      </c>
      <c r="BE56" s="14" t="s">
        <v>601</v>
      </c>
      <c r="BF56" s="15" t="s">
        <v>602</v>
      </c>
      <c r="BG56" s="15" t="s">
        <v>573</v>
      </c>
    </row>
    <row r="57" spans="16:59" x14ac:dyDescent="0.5">
      <c r="P57" s="1" t="s">
        <v>687</v>
      </c>
      <c r="Q57" s="1" t="s">
        <v>573</v>
      </c>
      <c r="W57" s="1" t="s">
        <v>687</v>
      </c>
      <c r="X57" s="1" t="s">
        <v>573</v>
      </c>
      <c r="AA57" s="1" t="s">
        <v>536</v>
      </c>
      <c r="AB57" s="1" t="s">
        <v>443</v>
      </c>
      <c r="AT57" s="1" t="s">
        <v>686</v>
      </c>
      <c r="AU57" s="1" t="s">
        <v>618</v>
      </c>
      <c r="BD57" s="16" t="s">
        <v>569</v>
      </c>
      <c r="BE57" s="15" t="s">
        <v>618</v>
      </c>
      <c r="BF57" s="15" t="s">
        <v>316</v>
      </c>
      <c r="BG57" s="15" t="s">
        <v>518</v>
      </c>
    </row>
    <row r="58" spans="16:59" x14ac:dyDescent="0.5">
      <c r="P58" s="1" t="s">
        <v>263</v>
      </c>
      <c r="Q58" s="1" t="s">
        <v>264</v>
      </c>
      <c r="W58" s="1" t="s">
        <v>263</v>
      </c>
      <c r="X58" s="1" t="s">
        <v>264</v>
      </c>
      <c r="AA58" s="1" t="s">
        <v>688</v>
      </c>
      <c r="AB58" s="1" t="s">
        <v>689</v>
      </c>
      <c r="AT58" s="1" t="s">
        <v>536</v>
      </c>
      <c r="AU58" s="1" t="s">
        <v>443</v>
      </c>
      <c r="BD58" s="15" t="s">
        <v>522</v>
      </c>
      <c r="BE58" s="13"/>
      <c r="BF58" s="15" t="s">
        <v>390</v>
      </c>
      <c r="BG58" s="15" t="s">
        <v>601</v>
      </c>
    </row>
    <row r="59" spans="16:59" x14ac:dyDescent="0.5">
      <c r="P59" s="1" t="s">
        <v>539</v>
      </c>
      <c r="Q59" s="1" t="s">
        <v>690</v>
      </c>
      <c r="W59" s="1" t="s">
        <v>539</v>
      </c>
      <c r="X59" s="1" t="s">
        <v>690</v>
      </c>
      <c r="AA59" s="1" t="s">
        <v>691</v>
      </c>
      <c r="AB59" s="1" t="s">
        <v>692</v>
      </c>
      <c r="AT59" s="1" t="s">
        <v>688</v>
      </c>
      <c r="AU59" s="1" t="s">
        <v>689</v>
      </c>
      <c r="BC59" s="2"/>
      <c r="BD59" s="15" t="s">
        <v>588</v>
      </c>
      <c r="BE59" s="13"/>
      <c r="BF59" s="15" t="s">
        <v>253</v>
      </c>
      <c r="BG59" s="15" t="s">
        <v>268</v>
      </c>
    </row>
    <row r="60" spans="16:59" x14ac:dyDescent="0.5">
      <c r="P60" s="1" t="s">
        <v>680</v>
      </c>
      <c r="Q60" s="1" t="s">
        <v>462</v>
      </c>
      <c r="W60" s="1" t="s">
        <v>680</v>
      </c>
      <c r="X60" s="1" t="s">
        <v>462</v>
      </c>
      <c r="AA60" s="1" t="s">
        <v>693</v>
      </c>
      <c r="AB60" s="1" t="s">
        <v>694</v>
      </c>
      <c r="AT60" s="1" t="s">
        <v>691</v>
      </c>
      <c r="AU60" s="1" t="s">
        <v>692</v>
      </c>
      <c r="BD60" s="16" t="s">
        <v>576</v>
      </c>
      <c r="BE60" s="13"/>
      <c r="BF60" s="15" t="s">
        <v>519</v>
      </c>
      <c r="BG60" s="15"/>
    </row>
    <row r="61" spans="16:59" x14ac:dyDescent="0.5">
      <c r="P61" s="1" t="s">
        <v>488</v>
      </c>
      <c r="Q61" s="1" t="s">
        <v>432</v>
      </c>
      <c r="W61" s="1" t="s">
        <v>488</v>
      </c>
      <c r="X61" s="1" t="s">
        <v>432</v>
      </c>
      <c r="AA61" s="1" t="s">
        <v>316</v>
      </c>
      <c r="AB61" s="1" t="s">
        <v>695</v>
      </c>
      <c r="AT61" s="1" t="s">
        <v>693</v>
      </c>
      <c r="AU61" s="1" t="s">
        <v>694</v>
      </c>
      <c r="BD61" s="15" t="s">
        <v>484</v>
      </c>
      <c r="BE61" s="13"/>
      <c r="BF61" s="15" t="s">
        <v>520</v>
      </c>
      <c r="BG61" s="15"/>
    </row>
    <row r="62" spans="16:59" x14ac:dyDescent="0.5">
      <c r="P62" s="1" t="s">
        <v>645</v>
      </c>
      <c r="Q62" s="1" t="s">
        <v>601</v>
      </c>
      <c r="W62" s="1" t="s">
        <v>645</v>
      </c>
      <c r="X62" s="1" t="s">
        <v>601</v>
      </c>
      <c r="AA62" s="1" t="s">
        <v>262</v>
      </c>
      <c r="AB62" s="1" t="s">
        <v>696</v>
      </c>
      <c r="AT62" s="1" t="s">
        <v>316</v>
      </c>
      <c r="AU62" s="1" t="s">
        <v>695</v>
      </c>
      <c r="BD62" s="16" t="s">
        <v>505</v>
      </c>
      <c r="BE62" s="13"/>
      <c r="BF62" s="15" t="s">
        <v>317</v>
      </c>
      <c r="BG62" s="15"/>
    </row>
    <row r="63" spans="16:59" x14ac:dyDescent="0.5">
      <c r="P63" s="1" t="s">
        <v>499</v>
      </c>
      <c r="Q63" s="1" t="s">
        <v>267</v>
      </c>
      <c r="W63" s="1" t="s">
        <v>499</v>
      </c>
      <c r="X63" s="1" t="s">
        <v>267</v>
      </c>
      <c r="AA63" s="1" t="s">
        <v>697</v>
      </c>
      <c r="AT63" s="1" t="s">
        <v>262</v>
      </c>
      <c r="AU63" s="1" t="s">
        <v>696</v>
      </c>
      <c r="BC63" s="2"/>
      <c r="BD63" s="16" t="s">
        <v>528</v>
      </c>
      <c r="BE63" s="13"/>
      <c r="BF63" s="16" t="s">
        <v>341</v>
      </c>
      <c r="BG63" s="15"/>
    </row>
    <row r="64" spans="16:59" x14ac:dyDescent="0.5">
      <c r="Q64" s="1" t="s">
        <v>268</v>
      </c>
      <c r="X64" s="1" t="s">
        <v>268</v>
      </c>
      <c r="AA64" s="1" t="s">
        <v>626</v>
      </c>
      <c r="AT64" s="1" t="s">
        <v>697</v>
      </c>
      <c r="BD64" s="15" t="s">
        <v>258</v>
      </c>
      <c r="BE64" s="13"/>
      <c r="BF64" s="15" t="s">
        <v>259</v>
      </c>
      <c r="BG64" s="15"/>
    </row>
    <row r="65" spans="17:59" x14ac:dyDescent="0.5">
      <c r="Q65" s="1" t="s">
        <v>269</v>
      </c>
      <c r="X65" s="1" t="s">
        <v>269</v>
      </c>
      <c r="AA65" s="1" t="s">
        <v>672</v>
      </c>
      <c r="AT65" s="1" t="s">
        <v>626</v>
      </c>
      <c r="BD65" s="13" t="s">
        <v>585</v>
      </c>
      <c r="BE65" s="13"/>
      <c r="BF65" s="16" t="s">
        <v>509</v>
      </c>
      <c r="BG65" s="15"/>
    </row>
    <row r="66" spans="17:59" x14ac:dyDescent="0.5">
      <c r="Q66" s="1" t="s">
        <v>698</v>
      </c>
      <c r="X66" s="1" t="s">
        <v>698</v>
      </c>
      <c r="AA66" s="1" t="s">
        <v>699</v>
      </c>
      <c r="AT66" s="1" t="s">
        <v>672</v>
      </c>
      <c r="BD66" s="14" t="s">
        <v>544</v>
      </c>
      <c r="BE66" s="13"/>
      <c r="BF66" s="15" t="s">
        <v>542</v>
      </c>
      <c r="BG66" s="15"/>
    </row>
    <row r="67" spans="17:59" x14ac:dyDescent="0.5">
      <c r="AA67" s="1" t="s">
        <v>700</v>
      </c>
      <c r="AT67" s="1" t="s">
        <v>699</v>
      </c>
      <c r="BD67" s="16" t="s">
        <v>627</v>
      </c>
      <c r="BE67" s="13"/>
      <c r="BF67" s="15" t="s">
        <v>561</v>
      </c>
      <c r="BG67" s="15"/>
    </row>
    <row r="68" spans="17:59" x14ac:dyDescent="0.5">
      <c r="AA68" s="1" t="s">
        <v>621</v>
      </c>
      <c r="AT68" s="1" t="s">
        <v>700</v>
      </c>
      <c r="BD68" s="13" t="s">
        <v>470</v>
      </c>
      <c r="BE68" s="13"/>
      <c r="BF68" s="15" t="s">
        <v>361</v>
      </c>
      <c r="BG68" s="15"/>
    </row>
    <row r="69" spans="17:59" x14ac:dyDescent="0.5">
      <c r="AT69" s="1" t="s">
        <v>621</v>
      </c>
      <c r="BD69" s="15" t="s">
        <v>458</v>
      </c>
      <c r="BE69" s="13"/>
      <c r="BF69" s="15" t="s">
        <v>417</v>
      </c>
      <c r="BG69" s="15"/>
    </row>
    <row r="70" spans="17:59" x14ac:dyDescent="0.5">
      <c r="BD70" s="16" t="s">
        <v>639</v>
      </c>
      <c r="BE70" s="18"/>
      <c r="BF70" s="15" t="s">
        <v>623</v>
      </c>
      <c r="BG70" s="15"/>
    </row>
    <row r="71" spans="17:59" x14ac:dyDescent="0.5">
      <c r="BD71" s="15" t="s">
        <v>260</v>
      </c>
      <c r="BF71" s="15" t="s">
        <v>445</v>
      </c>
      <c r="BG71" s="15"/>
    </row>
    <row r="72" spans="17:59" x14ac:dyDescent="0.5">
      <c r="BD72" s="15" t="s">
        <v>575</v>
      </c>
      <c r="BF72" s="16" t="s">
        <v>644</v>
      </c>
      <c r="BG72" s="15"/>
    </row>
    <row r="73" spans="17:59" x14ac:dyDescent="0.5">
      <c r="BD73" s="16" t="s">
        <v>542</v>
      </c>
      <c r="BF73" s="15" t="s">
        <v>389</v>
      </c>
      <c r="BG73" s="15"/>
    </row>
    <row r="74" spans="17:59" x14ac:dyDescent="0.5">
      <c r="BD74" s="13" t="s">
        <v>611</v>
      </c>
      <c r="BF74" s="16" t="s">
        <v>532</v>
      </c>
      <c r="BG74" s="15"/>
    </row>
    <row r="75" spans="17:59" x14ac:dyDescent="0.5">
      <c r="BD75" s="14" t="s">
        <v>615</v>
      </c>
      <c r="BF75" s="15" t="s">
        <v>574</v>
      </c>
      <c r="BG75" s="15"/>
    </row>
    <row r="76" spans="17:59" x14ac:dyDescent="0.5">
      <c r="BD76" s="13" t="s">
        <v>619</v>
      </c>
      <c r="BF76" s="15" t="s">
        <v>591</v>
      </c>
      <c r="BG76" s="15"/>
    </row>
    <row r="77" spans="17:59" x14ac:dyDescent="0.5">
      <c r="BD77" s="16" t="s">
        <v>648</v>
      </c>
      <c r="BF77" s="16" t="s">
        <v>340</v>
      </c>
      <c r="BG77" s="15"/>
    </row>
    <row r="78" spans="17:59" x14ac:dyDescent="0.5">
      <c r="BD78" s="16" t="s">
        <v>532</v>
      </c>
      <c r="BF78" s="16" t="s">
        <v>596</v>
      </c>
      <c r="BG78" s="15"/>
    </row>
    <row r="79" spans="17:59" x14ac:dyDescent="0.5">
      <c r="BD79" s="15" t="s">
        <v>574</v>
      </c>
      <c r="BF79" s="15" t="s">
        <v>573</v>
      </c>
      <c r="BG79" s="15"/>
    </row>
    <row r="80" spans="17:59" x14ac:dyDescent="0.5">
      <c r="BD80" s="14" t="s">
        <v>624</v>
      </c>
      <c r="BF80" s="15" t="s">
        <v>518</v>
      </c>
      <c r="BG80" s="15"/>
    </row>
    <row r="81" spans="56:59" x14ac:dyDescent="0.5">
      <c r="BD81" s="16" t="s">
        <v>638</v>
      </c>
      <c r="BF81" s="16" t="s">
        <v>551</v>
      </c>
      <c r="BG81" s="16"/>
    </row>
    <row r="82" spans="56:59" x14ac:dyDescent="0.5">
      <c r="BD82" s="13" t="s">
        <v>630</v>
      </c>
      <c r="BF82" s="15" t="s">
        <v>592</v>
      </c>
      <c r="BG82" s="15"/>
    </row>
    <row r="83" spans="56:59" x14ac:dyDescent="0.5">
      <c r="BD83" s="15" t="s">
        <v>263</v>
      </c>
      <c r="BF83" s="16" t="s">
        <v>462</v>
      </c>
      <c r="BG83" s="16"/>
    </row>
    <row r="84" spans="56:59" x14ac:dyDescent="0.5">
      <c r="BD84" s="16" t="s">
        <v>636</v>
      </c>
      <c r="BF84" s="16" t="s">
        <v>432</v>
      </c>
      <c r="BG84" s="15"/>
    </row>
    <row r="85" spans="56:59" x14ac:dyDescent="0.5">
      <c r="BD85" s="13" t="s">
        <v>488</v>
      </c>
      <c r="BF85" s="15" t="s">
        <v>601</v>
      </c>
      <c r="BG85" s="15"/>
    </row>
    <row r="86" spans="56:59" x14ac:dyDescent="0.5">
      <c r="BD86" s="15" t="s">
        <v>645</v>
      </c>
      <c r="BF86" s="19" t="s">
        <v>268</v>
      </c>
      <c r="BG86" s="15"/>
    </row>
    <row r="87" spans="56:59" x14ac:dyDescent="0.5">
      <c r="BD87" s="16" t="s">
        <v>610</v>
      </c>
      <c r="BF87" s="16" t="s">
        <v>269</v>
      </c>
      <c r="BG87" s="19"/>
    </row>
    <row r="88" spans="56:59" x14ac:dyDescent="0.5">
      <c r="BD88" s="15" t="s">
        <v>618</v>
      </c>
      <c r="BF88" s="16" t="s">
        <v>251</v>
      </c>
    </row>
    <row r="89" spans="56:59" x14ac:dyDescent="0.5">
      <c r="BD89" s="16"/>
      <c r="BF89" s="16" t="s">
        <v>522</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Props1.xml><?xml version="1.0" encoding="utf-8"?>
<ds:datastoreItem xmlns:ds="http://schemas.openxmlformats.org/officeDocument/2006/customXml" ds:itemID="{A59FD4C9-3591-4391-834D-A31034C45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CF87BB-FFCA-4257-B710-A2E5FAA58BB7}">
  <ds:schemaRefs>
    <ds:schemaRef ds:uri="http://schemas.microsoft.com/sharepoint/v3/contenttype/forms"/>
  </ds:schemaRefs>
</ds:datastoreItem>
</file>

<file path=customXml/itemProps3.xml><?xml version="1.0" encoding="utf-8"?>
<ds:datastoreItem xmlns:ds="http://schemas.openxmlformats.org/officeDocument/2006/customXml" ds:itemID="{1DE45C7F-8BDA-4692-8D21-E84A9A2AA458}">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61</vt:i4>
      </vt:variant>
    </vt:vector>
  </HeadingPairs>
  <TitlesOfParts>
    <vt:vector size="68"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2026-05-12T21:46:00Z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