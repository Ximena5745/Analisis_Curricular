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618" documentId="8_{F2929E58-F39E-4420-837C-634246A53628}" xr6:coauthVersionLast="47" xr6:coauthVersionMax="47" xr10:uidLastSave="{9BB9D1ED-1D02-4FAA-8F70-2C4D53ADD1D7}"/>
  <bookViews>
    <workbookView xWindow="-110" yWindow="-110" windowWidth="19420" windowHeight="10300" tabRatio="673" firstSheet="4"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6" r:id="rId6"/>
    <sheet name="Taxonomía para competencias" sheetId="10" r:id="rId7"/>
    <sheet name="Taxonomias para RA" sheetId="7" r:id="rId8"/>
  </sheets>
  <definedNames>
    <definedName name="_xlnm._FilterDatabase" localSheetId="2" hidden="1">'Paso 3 Redacción RA'!$A$2:$K$21</definedName>
    <definedName name="_xlnm._FilterDatabase" localSheetId="3" hidden="1">'Paso 3 Redacción RA - Backup '!$A$2:$K$12</definedName>
    <definedName name="_xlnm._FilterDatabase" localSheetId="4" hidden="1">'Paso 4 Estrategias mesocurricu'!$A$1:$F$47</definedName>
    <definedName name="_xlnm._FilterDatabase" localSheetId="5" hidden="1">'Paso 5 Estrategias micro'!$A$2:$R$297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 localSheetId="5">#REF!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 localSheetId="5">'Paso 5 Estrategias micro'!$B$10</definedName>
    <definedName name="RA">#REF!</definedName>
    <definedName name="resultadoaprendizaje" localSheetId="5">#REF!</definedName>
    <definedName name="resultadoaprendizaje">#REF!</definedName>
    <definedName name="Saber">'Paso1 Analisis perfil egreso'!$E$3:$E$9</definedName>
    <definedName name="SaberHacer">'Paso1 Analisis perfil egreso'!$F$3:$F$9</definedName>
    <definedName name="SaberSer">'Paso1 Analisis perfil egreso'!$G$3:$G$9</definedName>
    <definedName name="TIC">'Paso 2 Redacción competen'!$F$9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3" i="16" l="1"/>
  <c r="L292" i="16"/>
  <c r="L283" i="16"/>
  <c r="L274" i="16"/>
  <c r="L265" i="16"/>
  <c r="L264" i="16"/>
  <c r="L263" i="16"/>
  <c r="L254" i="16"/>
  <c r="L245" i="16"/>
  <c r="L236" i="16"/>
  <c r="L227" i="16"/>
  <c r="L218" i="16"/>
  <c r="L209" i="16"/>
  <c r="L201" i="16"/>
  <c r="L195" i="16"/>
  <c r="L186" i="16"/>
  <c r="L177" i="16"/>
  <c r="L169" i="16"/>
  <c r="L145" i="16"/>
  <c r="L154" i="16"/>
  <c r="L161" i="16"/>
  <c r="L137" i="16"/>
  <c r="L129" i="16"/>
  <c r="L122" i="16"/>
  <c r="L115" i="16"/>
  <c r="L108" i="16"/>
  <c r="L100" i="16"/>
  <c r="L93" i="16"/>
  <c r="L84" i="16"/>
  <c r="L76" i="16"/>
  <c r="L75" i="16"/>
  <c r="L68" i="16"/>
  <c r="L61" i="16"/>
  <c r="L53" i="16"/>
  <c r="M53" i="16" s="1"/>
  <c r="L44" i="16"/>
  <c r="L43" i="16"/>
  <c r="M43" i="16" s="1"/>
  <c r="L42" i="16"/>
  <c r="L34" i="16"/>
  <c r="L30" i="16"/>
  <c r="L24" i="16"/>
  <c r="L20" i="16"/>
  <c r="L19" i="16"/>
  <c r="L15" i="16"/>
  <c r="L10" i="16"/>
  <c r="L5" i="16"/>
  <c r="K293" i="16"/>
  <c r="K292" i="16"/>
  <c r="K283" i="16"/>
  <c r="K274" i="16"/>
  <c r="K265" i="16"/>
  <c r="K264" i="16"/>
  <c r="K263" i="16"/>
  <c r="K254" i="16"/>
  <c r="K245" i="16"/>
  <c r="K236" i="16"/>
  <c r="K227" i="16"/>
  <c r="K218" i="16"/>
  <c r="K209" i="16"/>
  <c r="K201" i="16"/>
  <c r="K195" i="16"/>
  <c r="K186" i="16"/>
  <c r="K177" i="16"/>
  <c r="K169" i="16"/>
  <c r="K145" i="16"/>
  <c r="K154" i="16"/>
  <c r="K161" i="16"/>
  <c r="K137" i="16"/>
  <c r="K129" i="16"/>
  <c r="K122" i="16"/>
  <c r="K115" i="16"/>
  <c r="K108" i="16"/>
  <c r="K100" i="16"/>
  <c r="K93" i="16"/>
  <c r="K84" i="16"/>
  <c r="K76" i="16"/>
  <c r="K75" i="16"/>
  <c r="K68" i="16"/>
  <c r="K61" i="16"/>
  <c r="K53" i="16"/>
  <c r="K44" i="16"/>
  <c r="K43" i="16"/>
  <c r="K42" i="16"/>
  <c r="K34" i="16"/>
  <c r="K30" i="16"/>
  <c r="K24" i="16"/>
  <c r="K20" i="16"/>
  <c r="K19" i="16"/>
  <c r="K15" i="16"/>
  <c r="K10" i="16"/>
  <c r="K5" i="16"/>
  <c r="L4" i="16"/>
  <c r="K4" i="16"/>
  <c r="L3" i="16"/>
  <c r="K3" i="16"/>
  <c r="M3" i="16" s="1"/>
  <c r="M20" i="16" l="1"/>
  <c r="M84" i="16"/>
  <c r="M177" i="16"/>
  <c r="M265" i="16"/>
  <c r="M24" i="16"/>
  <c r="M93" i="16"/>
  <c r="M186" i="16"/>
  <c r="M274" i="16"/>
  <c r="M293" i="16"/>
  <c r="M4" i="16"/>
  <c r="M201" i="16"/>
  <c r="M34" i="16"/>
  <c r="M108" i="16"/>
  <c r="M292" i="16"/>
  <c r="M236" i="16"/>
  <c r="M44" i="16"/>
  <c r="M115" i="16"/>
  <c r="M209" i="16"/>
  <c r="M122" i="16"/>
  <c r="M218" i="16"/>
  <c r="M129" i="16"/>
  <c r="M227" i="16"/>
  <c r="M137" i="16"/>
  <c r="M42" i="16"/>
  <c r="M5" i="16"/>
  <c r="M161" i="16"/>
  <c r="M68" i="16"/>
  <c r="M154" i="16"/>
  <c r="M15" i="16"/>
  <c r="M75" i="16"/>
  <c r="M145" i="16"/>
  <c r="M263" i="16"/>
  <c r="M61" i="16"/>
  <c r="M245" i="16"/>
  <c r="M10" i="16"/>
  <c r="M254" i="16"/>
  <c r="M19" i="16"/>
  <c r="M76" i="16"/>
  <c r="M169" i="16"/>
  <c r="M264" i="16"/>
  <c r="M30" i="16"/>
  <c r="M100" i="16"/>
  <c r="M195" i="16"/>
  <c r="M283" i="16"/>
  <c r="J297" i="16"/>
  <c r="J296" i="16"/>
  <c r="J295" i="16"/>
  <c r="A25" i="16" l="1"/>
  <c r="A26" i="16"/>
  <c r="A284" i="16"/>
  <c r="A285" i="16"/>
  <c r="A286" i="16"/>
  <c r="A287" i="16"/>
  <c r="A288" i="16"/>
  <c r="A289" i="16"/>
  <c r="A275" i="16"/>
  <c r="A276" i="16"/>
  <c r="A277" i="16"/>
  <c r="A278" i="16"/>
  <c r="A279" i="16"/>
  <c r="A280" i="16"/>
  <c r="A266" i="16"/>
  <c r="A267" i="16"/>
  <c r="A268" i="16"/>
  <c r="A269" i="16"/>
  <c r="A270" i="16"/>
  <c r="A271" i="16"/>
  <c r="A255" i="16"/>
  <c r="A256" i="16"/>
  <c r="A257" i="16"/>
  <c r="A258" i="16"/>
  <c r="A259" i="16"/>
  <c r="A260" i="16"/>
  <c r="A246" i="16"/>
  <c r="A247" i="16"/>
  <c r="A248" i="16"/>
  <c r="A249" i="16"/>
  <c r="A250" i="16"/>
  <c r="A251" i="16"/>
  <c r="A237" i="16"/>
  <c r="A238" i="16"/>
  <c r="A239" i="16"/>
  <c r="A240" i="16"/>
  <c r="A241" i="16"/>
  <c r="A242" i="16"/>
  <c r="A228" i="16"/>
  <c r="A229" i="16"/>
  <c r="A230" i="16"/>
  <c r="A231" i="16"/>
  <c r="A232" i="16"/>
  <c r="A233" i="16"/>
  <c r="A219" i="16"/>
  <c r="A220" i="16"/>
  <c r="A221" i="16"/>
  <c r="A222" i="16"/>
  <c r="A223" i="16"/>
  <c r="A224" i="16"/>
  <c r="A210" i="16" l="1"/>
  <c r="A211" i="16"/>
  <c r="A212" i="16"/>
  <c r="A213" i="16"/>
  <c r="A214" i="16"/>
  <c r="A215" i="16"/>
  <c r="A202" i="16" l="1"/>
  <c r="A203" i="16"/>
  <c r="A204" i="16"/>
  <c r="A205" i="16"/>
  <c r="A206" i="16"/>
  <c r="A187" i="16"/>
  <c r="A188" i="16"/>
  <c r="A189" i="16"/>
  <c r="A190" i="16"/>
  <c r="A191" i="16"/>
  <c r="A192" i="16"/>
  <c r="A178" i="16"/>
  <c r="A179" i="16"/>
  <c r="A180" i="16"/>
  <c r="A181" i="16"/>
  <c r="A182" i="16"/>
  <c r="A183" i="16"/>
  <c r="A170" i="16"/>
  <c r="A171" i="16"/>
  <c r="A172" i="16"/>
  <c r="A173" i="16"/>
  <c r="A174" i="16"/>
  <c r="A146" i="16"/>
  <c r="A147" i="16"/>
  <c r="A148" i="16"/>
  <c r="A149" i="16"/>
  <c r="A150" i="16"/>
  <c r="A151" i="16"/>
  <c r="A145" i="16"/>
  <c r="A155" i="16"/>
  <c r="A156" i="16"/>
  <c r="A157" i="16"/>
  <c r="A158" i="16"/>
  <c r="A162" i="16"/>
  <c r="A163" i="16"/>
  <c r="A164" i="16"/>
  <c r="A165" i="16"/>
  <c r="A166" i="16"/>
  <c r="A138" i="16"/>
  <c r="A139" i="16"/>
  <c r="A140" i="16"/>
  <c r="A141" i="16"/>
  <c r="A142" i="16"/>
  <c r="A130" i="16"/>
  <c r="A131" i="16"/>
  <c r="A132" i="16"/>
  <c r="A133" i="16"/>
  <c r="A134" i="16"/>
  <c r="A123" i="16"/>
  <c r="A124" i="16"/>
  <c r="A125" i="16"/>
  <c r="A126" i="16"/>
  <c r="A116" i="16"/>
  <c r="A117" i="16"/>
  <c r="A118" i="16"/>
  <c r="A119" i="16"/>
  <c r="A109" i="16"/>
  <c r="A110" i="16"/>
  <c r="A111" i="16"/>
  <c r="A112" i="16"/>
  <c r="A101" i="16"/>
  <c r="A102" i="16"/>
  <c r="A103" i="16"/>
  <c r="A104" i="16"/>
  <c r="A105" i="16"/>
  <c r="A94" i="16"/>
  <c r="A95" i="16"/>
  <c r="A96" i="16"/>
  <c r="A97" i="16"/>
  <c r="A85" i="16"/>
  <c r="A86" i="16"/>
  <c r="A87" i="16"/>
  <c r="A88" i="16"/>
  <c r="A89" i="16"/>
  <c r="A90" i="16"/>
  <c r="A77" i="16"/>
  <c r="A78" i="16"/>
  <c r="A79" i="16"/>
  <c r="A80" i="16"/>
  <c r="A81" i="16"/>
  <c r="A196" i="16"/>
  <c r="A197" i="16"/>
  <c r="A198" i="16"/>
  <c r="A69" i="16"/>
  <c r="A70" i="16"/>
  <c r="A71" i="16"/>
  <c r="A72" i="16"/>
  <c r="A54" i="16"/>
  <c r="A55" i="16"/>
  <c r="A56" i="16"/>
  <c r="A57" i="16"/>
  <c r="A58" i="16"/>
  <c r="A51" i="16"/>
  <c r="A50" i="16"/>
  <c r="A49" i="16"/>
  <c r="A48" i="16"/>
  <c r="A47" i="16"/>
  <c r="A46" i="16"/>
  <c r="A45" i="16"/>
  <c r="A291" i="16"/>
  <c r="A290" i="16"/>
  <c r="A283" i="16"/>
  <c r="A282" i="16"/>
  <c r="A281" i="16"/>
  <c r="A274" i="16"/>
  <c r="A273" i="16"/>
  <c r="A272" i="16"/>
  <c r="A265" i="16"/>
  <c r="A262" i="16"/>
  <c r="A261" i="16"/>
  <c r="A254" i="16"/>
  <c r="A253" i="16"/>
  <c r="A252" i="16"/>
  <c r="A245" i="16"/>
  <c r="A244" i="16"/>
  <c r="A243" i="16"/>
  <c r="A236" i="16"/>
  <c r="A235" i="16"/>
  <c r="A234" i="16"/>
  <c r="A227" i="16"/>
  <c r="A226" i="16"/>
  <c r="A225" i="16"/>
  <c r="A218" i="16"/>
  <c r="A217" i="16"/>
  <c r="A216" i="16"/>
  <c r="A209" i="16"/>
  <c r="A208" i="16"/>
  <c r="A207" i="16"/>
  <c r="A201" i="16"/>
  <c r="A200" i="16"/>
  <c r="A199" i="16"/>
  <c r="A195" i="16"/>
  <c r="A194" i="16"/>
  <c r="A193" i="16"/>
  <c r="A186" i="16"/>
  <c r="A185" i="16"/>
  <c r="A184" i="16"/>
  <c r="A177" i="16"/>
  <c r="A176" i="16"/>
  <c r="A175" i="16"/>
  <c r="A169" i="16"/>
  <c r="A153" i="16"/>
  <c r="A152" i="16"/>
  <c r="A160" i="16"/>
  <c r="A159" i="16"/>
  <c r="A154" i="16"/>
  <c r="A168" i="16"/>
  <c r="A167" i="16"/>
  <c r="A161" i="16"/>
  <c r="A144" i="16"/>
  <c r="A143" i="16"/>
  <c r="A137" i="16"/>
  <c r="A136" i="16"/>
  <c r="A135" i="16"/>
  <c r="A129" i="16"/>
  <c r="A128" i="16"/>
  <c r="A127" i="16"/>
  <c r="A122" i="16"/>
  <c r="A121" i="16"/>
  <c r="A120" i="16"/>
  <c r="A115" i="16"/>
  <c r="A114" i="16"/>
  <c r="A113" i="16"/>
  <c r="A108" i="16"/>
  <c r="A107" i="16"/>
  <c r="A106" i="16"/>
  <c r="A100" i="16"/>
  <c r="A99" i="16"/>
  <c r="A98" i="16"/>
  <c r="A93" i="16"/>
  <c r="A92" i="16"/>
  <c r="A91" i="16"/>
  <c r="A84" i="16"/>
  <c r="A83" i="16"/>
  <c r="A82" i="16"/>
  <c r="A76" i="16"/>
  <c r="A74" i="16"/>
  <c r="A75" i="16"/>
  <c r="A73" i="16"/>
  <c r="A68" i="16"/>
  <c r="A67" i="16"/>
  <c r="A66" i="16"/>
  <c r="A61" i="16"/>
  <c r="A60" i="16"/>
  <c r="A59" i="16"/>
  <c r="A53" i="16"/>
  <c r="A52" i="16"/>
  <c r="A44" i="16"/>
  <c r="A43" i="16"/>
  <c r="A42" i="16"/>
  <c r="A41" i="16"/>
  <c r="A40" i="16"/>
  <c r="A39" i="16"/>
  <c r="A38" i="16"/>
  <c r="A37" i="16"/>
  <c r="A36" i="16"/>
  <c r="A35" i="16"/>
  <c r="A34" i="16"/>
  <c r="A33" i="16"/>
  <c r="A32" i="16"/>
  <c r="A31" i="16"/>
  <c r="A30" i="16"/>
  <c r="A29" i="16"/>
  <c r="A28" i="16"/>
  <c r="A27" i="16"/>
  <c r="A24" i="16"/>
  <c r="A23" i="16"/>
  <c r="A22" i="16"/>
  <c r="A21" i="16"/>
  <c r="A20" i="16"/>
  <c r="A19" i="16"/>
  <c r="A18" i="16"/>
  <c r="A17" i="16"/>
  <c r="A16" i="16"/>
  <c r="A15" i="16"/>
  <c r="A14" i="16"/>
  <c r="A13" i="16"/>
  <c r="A12" i="16"/>
  <c r="A11" i="16"/>
  <c r="A10" i="16"/>
  <c r="A9" i="16"/>
  <c r="A8" i="16"/>
  <c r="A7" i="16"/>
  <c r="A6" i="16"/>
  <c r="A5" i="16"/>
  <c r="A4" i="16"/>
  <c r="A3" i="16" l="1"/>
  <c r="J294" i="16" l="1"/>
  <c r="D2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0901D6C2-2EA1-4DBC-B60F-E5ED8307823E}">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<sst xmlns="http://schemas.openxmlformats.org/spreadsheetml/2006/main" count="2808" uniqueCount="821">
  <si>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</si>
  <si>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</si>
  <si>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</si>
  <si>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</si>
  <si>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</si>
  <si>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</si>
  <si>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</si>
  <si>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</si>
  <si>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</si>
  <si>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</si>
  <si>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</si>
  <si>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</si>
  <si>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</si>
  <si>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</si>
  <si>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</si>
  <si>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</si>
  <si>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</si>
  <si>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</si>
  <si>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Derecho</t>
  </si>
  <si>
    <t>Virtual</t>
  </si>
  <si>
    <t>El egresado del programa de Derecho del Politécnico Grancolombiano actúa con perspectiva crítica, analítica, argumentativa e interdisciplinar en cada una de las áreas del ejercicio profesional del abogado; es competitivo, eficiente, tiene habilidades para la negociación, la conciliación y la resolución de conflictos; apropia la responsabilidad social y desarrolla sus conocimientos con ética profesional. Cuenta con capacidad para comprender, abordar y dar soluciones jurídicas a los desafíos de la sociedad y de las organizaciones tanto públicas como privadas, desempeñándose en cargos de dirección y gestión, brindando asesoría y consultoría o ejerciendo funciones de investigación en materia jurídica a nivel nacional e internacional.</t>
  </si>
  <si>
    <t>El abogado Grancolombiano está capacitado para actuar con criterio ético, competitividad y eficiencia dentro de múltiples ámbitos del ejercicio profesional, desempeñándose en campos de asesoría y consultoría jurídica y organizacional a nivel público y privado; cargos de dirección y gestión de organizaciones empresariales; funciones de investigación en materia socio jurídica y empresarial. Igualmente, podrá actuar como profesional al servicio de la administración de justicia; de instituciones o empresas del sector público y privado; como abogado independiente en cualquier área del Derecho; con orientación hacia la solución alternativa de conflictos; y como docente en áreas del Derecho con particular énfasis por el desarrollo empresarial.</t>
  </si>
  <si>
    <t>Derecho privado</t>
  </si>
  <si>
    <t>aplicar los derechos y obligaciones que surgen de relaciones jurídicas entre los particulares, así como buscar su cumplimiento o declaración en escenarios judiciales</t>
  </si>
  <si>
    <t>de acuerdo con los diferentes instrumentos internacionales, constitucionales, legales y reglamentarios que comprende el derecho civil en escenarios de consulta y litigio</t>
  </si>
  <si>
    <t>Asesor jurídico en entidades públicas o privadas / Consultor legal corporativo / Oficial de cumplimiento legal y normativo / Consultor en contratación estatal, derecho laboral o tributario / Abogado litigante en áreas civil, penal, laboral, administrativa y comercial / Defensor público / Fiscal o Procurador (previo cumplimiento de requisitos del sistema judicial) / Representante legal en procesos judiciales y extrajudiciales / Coordinador o jefe de asuntos jurídicos / Gerente jurídico en organizaciones empresariales / Director de departamentos legales o unidades normativas / Líder de cumplimiento legal y regulatorio / Funcionario judicial / Servidor público en personerías, defensorías del pueblo, procuradurías y juzgados / Abogado en organismos de control, tribunales o entidades gubernamentales / Asesor legislativo en cuerpos normativos o comisiones / Conciliador extrajudicial en derecho / Mediador o negociador jurídico / Árbitro en procesos civiles y comerciales / Coordinador de proyectos de investigación en derecho, política o ciencias sociales / Analista de política pública y normativa / Docente universitario en áreas del derecho / Abogado en organizaciones internacionales (derechos humanos, comercio, cooperación) / Consultor en proyectos jurídicos internacionales o transnacionales  / Defensor de derechos ante cortes internacionales o redes de cooperación.</t>
  </si>
  <si>
    <t>Elaborar conceptos jurídicos sobre normativas aplicables a casos específicos. / Revisar, redactar y negociar contratos civiles, comerciales y laborales. / Brindar asesoría jurídica a empresas en temas societarios, tributarios o laborales. / Interpretar normas y jurisprudencia para proponer soluciones legales. / Diseñar estrategias legales preventivas para organizaciones públicas y privadas. / Representar clientes en procesos judiciales ante tribunales civiles, penales, laborales y administrativos. / Elaborar demandas, contestaciones, recursos y demás piezas procesales. / Comparecer en audiencias públicas y privadas en calidad de apoderado judicial. / Asesorar jurídicamente a víctimas o imputados en procesos penales. / Ejecutar estrategias de defensa técnica en litigios civiles o comerciales. / Coordinar equipos legales internos en organizaciones empresariales. / Supervisar el cumplimiento normativo de las operaciones jurídicas de la entidad. / Diseñar y aplicar políticas jurídicas internas, manuales y procedimientos legales. / Evaluar riesgos jurídicos en la toma de decisiones estratégicas de la organización. / Representar jurídicamente a empresas ante autoridades administrativas o judiciales. / Apoyar en la elaboración de providencias, autos o sentencias como auxiliar jurídico. / Actuar como secretario de despacho en juzgados o tribunales. / Tramitar expedientes judiciales y dar soporte técnico a jueces o magistrados. / Asesorar jurídicamente a entidades estatales o de control. / Participar en procesos de vigilancia de derechos humanos desde defensorías y personerías. / Participar como conciliador extrajudicial en centros de conciliación. / Redactar acuerdos de conciliación legalmente válidos. / Actuar como facilitador en procesos de negociación privada o institucional. / Diseñar estrategias jurídicas para prevenir y resolver conflictos sin litigio. / Asesorar a partes interesadas en procedimientos de mediación o arbitraje. / Formular problemas jurídicos y estructurar proyectos de investigación. / Analizar fuentes doctrinales, jurisprudenciales y normativas. / Participar en actividades académicas como foros, talleres y simulaciones jurídicas. / Analizar y aplicar normas del derecho internacional público y privado. / Asesorar en materia de derechos humanos, comercio internacional y cooperación jurídica. / Participar en redacción de informes para organismos internacionales. / Apoyar misiones jurídicas internacionales o transnacionales. / Actuar como enlace legal en proyectos binacionales o multilaterales.</t>
  </si>
  <si>
    <t>Ciudadanos en general que requieren defensa, asesoría o representación legal. / Víctimas o imputados en procesos penales. / Individuos en situaciones de conflicto civil, familiar, laboral o administrativo. / Personas en procesos de conciliación o mediación. / Micro, pequeñas, medianas y grandes empresas. / Organizaciones con actividades comerciales, industriales, tecnológicas o del sector servicios. / Fundaciones y asociaciones sin ánimo de lucro. / Entidades financieras y corporaciones multinacionales. / Alcaldías, gobernaciones y entidades descentralizadas. / Entidades del orden nacional (ministerios, superintendencias, agencias estatales). / Órganos de control (Procuraduría, Contraloría, Defensoría del Pueblo). / Juzgados, tribunales y fiscalías. / Población en situación de pobreza o exclusión social. / Víctimas del conflicto armado interno. / Comunidades étnicas (pueblos indígenas, comunidades afrodescendientes, raizales y ROM). / Personas privadas de la libertad o en procesos de resocialización. / Mujeres víctimas de violencia y personas con discapacidad. / Menores en situación de riesgo o vulneración de derechos. / Sujetos de procesos de adopción, custodia, alimentos o responsabilidad parental. / Víctimas o victimarios en procesos penales de responsabilidad penal juvenil. / Sindicatos, cooperativas, movimientos sociales y colectivos ciudadanos. / Agrupaciones de defensa de derechos humanos o del medio ambiente. / Representaciones legales de barrios, veredas o comunidades rurales. / Asociaciones de víctimas o líderes comunitarios. / Migrantes, refugiados o solicitantes de asilo. / Personas y empresas vinculadas a relaciones jurídicas internacionales. / Instituciones extranjeras que requieren asesoría legal en Colombia. / Población atendida en misiones humanitarias o jurídicas transnacionales.</t>
  </si>
  <si>
    <t>El programa de Derecho del Politécnico Grancolombiano se distingue por integrar, de forma consistente a lo largo del currículo, contenidos orientados al derecho empresarial, lo que permite a los estudiantes interpretar el entorno organizacional y abordar sus retos jurídicos con criterio normativo y sentido práctico. Esta orientación específica diferencia al programa al incluir temáticas como sociedades, consumo, competencia y derecho corporativo. La estructura curricular incorpora la práctica jurídica desde los consultorios y fomenta una mirada crítica sobre el papel del derecho en la actividad empresarial y su impacto social. Este enfoque brinda al egresado una ventaja formativa en sectores que demandan asesoría jurídica con perspectiva organizacional, donde convergen normatividad, economía y responsabilidad social.</t>
  </si>
  <si>
    <t>Derecho comercial</t>
  </si>
  <si>
    <t>asesorar en la generación, modificación o extinción de obligaciones, así como para elaborar contratos de cualquier tipología</t>
  </si>
  <si>
    <t>de acuerdo con la normatividad colombiana y los estándares internacionales vigentes en planeación, control y administración empresarial</t>
  </si>
  <si>
    <t>Derecho público</t>
  </si>
  <si>
    <t>identificar los diferentes instrumentos constitucionales, legales y reglamentarios que comprenden las relaciones con intervención del Estado</t>
  </si>
  <si>
    <t>de acuerdo con el marco universal de principios y valores propios del Estado Social de Derecho y de la Democracia Participativa, desde una perspectiva social, económica, política y humanista, dentro del contexto nacional e internacional</t>
  </si>
  <si>
    <t>Derecho penal</t>
  </si>
  <si>
    <t>asumir y resolver asuntos en pro de la defensa, la acusación o el juzgamiento de conductas punibles, así como la aplicación en cada caso en concreto de los fundamentos del derecho procesal penal</t>
  </si>
  <si>
    <t>de conformidad con los principios rectores de la actividad penal, como la buena fe, la duda, la presunción de inocencia, y en general la Constitución Política, los fundamentos del Derecho y sus fuentes</t>
  </si>
  <si>
    <t>Negociación y resolución de conflictos</t>
  </si>
  <si>
    <t>hacer uso de los diferentes métodos alternativos de solución de conflictos auto y hetero compositivos</t>
  </si>
  <si>
    <t>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</si>
  <si>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Relaciones de producción desde el ámbito interdisciplinar, según el entorno en el que se desenvuelven los individuos en las organizaciones, empresas o instituciones</t>
  </si>
  <si>
    <t>comprender los modelos económicos, políticos, laborales y sociales, así como las problemáticas que existen o emergen de estas relaciones</t>
  </si>
  <si>
    <t>teniendo en cuenta el ordenamiento jurídico colombiano y las políticas económicas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</si>
  <si>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</si>
  <si>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</si>
  <si>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</si>
  <si>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</si>
  <si>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</si>
  <si>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</si>
  <si>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</si>
  <si>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</si>
  <si>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</si>
  <si>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</si>
  <si>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</si>
  <si>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</si>
  <si>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</si>
  <si>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</si>
  <si>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</si>
  <si>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</si>
  <si>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</si>
  <si>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</si>
  <si>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</si>
  <si>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 xml:space="preserve">Dominar el derecho privado, para aplicar los derechos y obligaciones que surgen de relaciones jurídicas entre los particulares, así como buscar su cumplimiento o declaración en escenarios judiciales, de acuerdo con los diferentes instrumentos internacionales, constitucionales, legales y reglamentarios que comprende el derecho civil en escenarios de consulta y litigio. </t>
  </si>
  <si>
    <t>Específica</t>
  </si>
  <si>
    <t xml:space="preserve">Dominar el derecho comercial, para asesorar en la generación, modificación o extinción de obligaciones, así como para elaborar contratos de cualquier tipología, de acuerdo con al normatividad colombiana y los estándares internacionales vigentes en planeación, control y administración empresarial. </t>
  </si>
  <si>
    <t>Conocer</t>
  </si>
  <si>
    <t>Conocer el derecho público, para identificar los diferentes instrumentos constitucionales, legales y reglamentarios que comprenden las relaciones con intervención del Estado, de acuerdo con el marco universal de principios y valores propios del Estado Social de Derecho y de la Democracia Participativa, desde una perspectiva social, económica, política y humanista, dentro del contexto nacional e internacional.</t>
  </si>
  <si>
    <t>Aplicar</t>
  </si>
  <si>
    <t xml:space="preserve">Aplicar el derecho penal, para asumir y resolver asuntos en pro de la defensa, la acusación o el juzgamiento de conductas punibles, así como la aplicación en cada caso en concreto de los fundamentos del derecho procesal penal, de conformidad con los principios rectores de la actividad penal, como la buena fe, la duda, la presunción de inocencia, y en general la Constitución Política, los fundamentos del Derecho y sus fuentes.  </t>
  </si>
  <si>
    <t>Aplicar las habilidades de negociación y resolución de conflictos para hacer uso de los diferentes métodos alternativos de solución de conflictos auto y hetero compositivos, 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</si>
  <si>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Conocer los aspectos asociados a las relaciones de producción desde el ámbito interdisciplinar, según el entorno en el que se desenvuelven los individuos en las organizaciones, empresas o instituciones, para comprender los modelos económicos, políticos, laborales y sociales, así como las problemáticas que existen o emergen de estas relaciones, teniendo en cuenta el ordenamiento jurídico colombiano y las políticas económicas.</t>
  </si>
  <si>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</si>
  <si>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</si>
  <si>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</si>
  <si>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</si>
  <si>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</si>
  <si>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</si>
  <si>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</si>
  <si>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</si>
  <si>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</si>
  <si>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</si>
  <si>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</si>
  <si>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</si>
  <si>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</si>
  <si>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</si>
  <si>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</si>
  <si>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</si>
  <si>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</si>
  <si>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</si>
  <si>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</si>
  <si>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</si>
  <si>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</si>
  <si>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</si>
  <si>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</si>
  <si>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</si>
  <si>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</si>
  <si>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</si>
  <si>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Reconoce los fundamentos del derecho penal, comercial, público, laboral y privado para determinar el procedimiento a seguir en la resolución de conflictos o de actos jurídicos, observando los principios rectores de cada actividad y atendiendo a la legislación y normatividad vigente, que permitan generar acciones positivas y acordes a las necesidades de los individuos o las organizaciones, según sea el caso.</t>
  </si>
  <si>
    <t>ProcedimentalB</t>
  </si>
  <si>
    <t>AplicaciónB</t>
  </si>
  <si>
    <t>Aplica el derecho privado, atendiendo la legislación y normatividad vigente, para dar solución a casos concretos.</t>
  </si>
  <si>
    <t>ActitudinalB</t>
  </si>
  <si>
    <t>Reconoce los principios éticos del derecho para implementarlos en su conducta y ejercicio profesional, atendiendo a los casos que llegan a su conocimiento en escenarios nacionales e internacionales.</t>
  </si>
  <si>
    <t>Aplica el régimen de las obligaciones y los contratos comerciales de cualquier tipología, nacional e internacional, atendiendo a las necesidades que se derivan de las relaciones comerciales entorno a su nacimiento, modificación y extinción,  para adelantar los procesos jurídicos que correspondan al caso.</t>
  </si>
  <si>
    <t>ComprensiónB</t>
  </si>
  <si>
    <t>Identificar</t>
  </si>
  <si>
    <t>Identifica los elementos característicos de la negociación y resolución de conflictos para caracterizar la información y argumentación requerida en los procesos de acuerdos, transacciones o laudos arbitrales que den por terminados los conflictos puestos a su conocimiento.</t>
  </si>
  <si>
    <t>Aplica las acciones administrativas y judiciales procedentes del derecho público para proyectar procesos jurídicos que garanticen el reconocimiento y la protección de los derechos de las personas.</t>
  </si>
  <si>
    <t>Aplica el derecho penal en el procedimiento y la acción procedente en atención al tipo penal identificado para adelantar los procesos jurídicos que correspondan al caso.</t>
  </si>
  <si>
    <t>Aplica habilidades de negociación y resolución de conflictos para atender las necesidades de los ciudadanos y la consolidación de acuerdos que den por termino los conflictos puestos a su conocimiento.</t>
  </si>
  <si>
    <t>Aplica los diferentes regímenes laborales para proyectar soluciones, en el marco jurídico, a las controversias que se originan de estas relaciones.</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</si>
  <si>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</si>
  <si>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</si>
  <si>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</si>
  <si>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</si>
  <si>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</si>
  <si>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</si>
  <si>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</si>
  <si>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</si>
  <si>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</si>
  <si>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</si>
  <si>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</si>
  <si>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</si>
  <si>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</si>
  <si>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</si>
  <si>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</si>
  <si>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</si>
  <si>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</si>
  <si>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</si>
  <si>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</si>
  <si>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</si>
  <si>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</si>
  <si>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</si>
  <si>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</si>
  <si>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</si>
  <si>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</si>
  <si>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</si>
  <si>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</si>
  <si>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</si>
  <si>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</si>
  <si>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</si>
  <si>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</si>
  <si>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</si>
  <si>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</si>
  <si>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</si>
  <si>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</si>
  <si>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</si>
  <si>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Seminario Internacional</t>
  </si>
  <si>
    <t xml:space="preserve">Los estudiantes con un avance en su plan de estudios superior al 70% podrán optar por un seminario internacional en el que al finalizar entregaran un artículo científico que se sustentará ante jurado, demostrando la identificación de un problema jurídico y la solución del mismo en uso de las diferentes fuentes del derecho. </t>
  </si>
  <si>
    <t>Valoración de la contribución de la estrategia a los resultados de aprendizaje del programa en una escala de Likert.</t>
  </si>
  <si>
    <t>Informar y formar sobre los temas de tendencia de manera que se contribuya al desarrollo formativo de los estudiantes.</t>
  </si>
  <si>
    <t>Encuesta.</t>
  </si>
  <si>
    <t xml:space="preserve">Aplica el derecho privado, atendiendo la legislación y normatividad vigente, para dar solución a casos concretos. </t>
  </si>
  <si>
    <t>Número de estudiantes que participan de la estrategia.</t>
  </si>
  <si>
    <t>Listados de participación.</t>
  </si>
  <si>
    <t>Número de veces que se desarrolla el seminario.</t>
  </si>
  <si>
    <t>Reporte.</t>
  </si>
  <si>
    <t xml:space="preserve">Preparatorios (prueba estandarizada) </t>
  </si>
  <si>
    <t xml:space="preserve">Los estudiantes que hayan culminado su plan de estudios y no tengan un promedio igual o superior a 4,3 en el acumulado de la carrera, deberán presentar los exámenes preparatorios que miden la suficiencia de conocimientos en cada especialidad del derecho, esto mediante la preparación y posterior sustentación de un caso con base en las diferentes fuentes del derecho.  </t>
  </si>
  <si>
    <t>Informar y formar a los estudiantes en la preparación y sustentación de un caso jurídico, evaluando su suficiencia disciplinar y acompañando su proceso de cierre académico.</t>
  </si>
  <si>
    <t>Número de veces que se desarrolla la estrategia en un periodo de tiempo determinado por el programa.</t>
  </si>
  <si>
    <t xml:space="preserve">Clases espejo nacional e internacional </t>
  </si>
  <si>
    <t xml:space="preserve">Tanto profesores como estudiantes participan en clases activamente, en una o doble vía, con grupos de otras universidades nacionales e internacionales, con la finalidad de reforzar sus conocimientos en derecho sustancial de las diferentes disciplinas y conocer los postulados internacionales en mismo sentido. </t>
  </si>
  <si>
    <t>Informar y formar sobre los temas abordados en las clases de manera que se contribuya al desarrollo formativo de los estudiantes.</t>
  </si>
  <si>
    <t>Valora la contribución de la estrategia a los resultados de aprendizaje del programa en una escala de Likert.</t>
  </si>
  <si>
    <t>Divulgación de los trabajos desarrollados en las opciones de grado</t>
  </si>
  <si>
    <t>Publicación de los trabajos en el Repositorio de Alejandría.</t>
  </si>
  <si>
    <t>Número de trabajos publicados en los periodos de tiempo que establezca el programa.</t>
  </si>
  <si>
    <t>Informar y formar sobre los temas abordados en los trabajos como medio de apropiación social del conocimiento.</t>
  </si>
  <si>
    <t xml:space="preserve">Curso de preparación para el Saber Pro </t>
  </si>
  <si>
    <t xml:space="preserve">Los estudiantes al finalizar su plan de estudios, para optar por el grado de abogados, deben presentar un examen de Estado que evalúa sus conocimientos generales y específicos, para esto, desde el programa se genera un MOOCS de preparación para el examen de Estado, con acompañamiento de tutor en el desarrollo del mismo. </t>
  </si>
  <si>
    <t>Formar, prevenir y ayudar a tomar decisiones para el desarrollo formativo de los estudiantes.</t>
  </si>
  <si>
    <t xml:space="preserve">Semilleros de investigación </t>
  </si>
  <si>
    <t xml:space="preserve">Es un espacio dirigido a los estudiantes, para concientizar sobre la importancia de su formación como investigadores y el compromiso que tienen con la sociedad en la generación de nuevo conocimiento. </t>
  </si>
  <si>
    <t>Informar y formar sobre los temas abordados en los proyectos del semillero como medio de apropiación social del conocimiento.</t>
  </si>
  <si>
    <t>Número de proyectos desarrollados en la estrategia, en un periodo de tiempo determinado por el programa.</t>
  </si>
  <si>
    <t xml:space="preserve">Eventos académicos nacionales e internacionales </t>
  </si>
  <si>
    <t xml:space="preserve">Son espacios de intercambios académicos y culturales que permiten profundizar, ver nuevas perspectivas, analizar nuevos elementos en cada una de las especialidades del Derecho.  </t>
  </si>
  <si>
    <t>Informar y formar a los estudiantes en temas de tendencia de la disciplina para fortalecer el desarrollo académico.</t>
  </si>
  <si>
    <t>Reporte o Memorias.</t>
  </si>
  <si>
    <t>Barras jurídicas</t>
  </si>
  <si>
    <t xml:space="preserve">Son escenarios extracurriculares dirigidos a los estudiantes de Consultorio Jurídico I, II, III y IV, en los que se cuenta con el acompañamiento de invitados externos bajo la guía del profesor, y se permite el intercambio de experiencias prácticas en casos concretos. </t>
  </si>
  <si>
    <t>Informar y formar sobre temas de tendencias de la disciplina para fortalecer el desarrollo académico de los estudiantes.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</si>
  <si>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</si>
  <si>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</si>
  <si>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</si>
  <si>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</si>
  <si>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</si>
  <si>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</si>
  <si>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</si>
  <si>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</si>
  <si>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</si>
  <si>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</si>
  <si>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</si>
  <si>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</si>
  <si>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</si>
  <si>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</si>
  <si>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</si>
  <si>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</si>
  <si>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</si>
  <si>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</si>
  <si>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</si>
  <si>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</si>
  <si>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</si>
  <si>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</si>
  <si>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</si>
  <si>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</si>
  <si>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</si>
  <si>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</si>
  <si>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</si>
  <si>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</si>
  <si>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</si>
  <si>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</si>
  <si>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</si>
  <si>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</si>
  <si>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</si>
  <si>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</si>
  <si>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</si>
  <si>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</si>
  <si>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</si>
  <si>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</si>
  <si>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</si>
  <si>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</si>
  <si>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</si>
  <si>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</si>
  <si>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</si>
  <si>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</si>
  <si>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Civil Personas</t>
  </si>
  <si>
    <t>Emplea el derecho civil y de personas, las nociones fundamentales, los derechos y obligaciones, para implementar los atributos de la personalidad desde la existencia hasta la extinción, en el análisis de casos.</t>
  </si>
  <si>
    <t>1. Historia del Derecho Civil.
2. Contenido y estructura del código civil.
3. De las personas.
4. Derechos de las personas.</t>
  </si>
  <si>
    <t>Trabajo directo: 
Encuentros sincrónicos 
Mensajería interna 
Anuncios
Trabajo independiente: 
Lecturas fundamentales y complementarias 
Recursos de apoyo
Trabajo Colaborativo   
Foros de discusión grupal</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</si>
  <si>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</si>
  <si>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I</t>
  </si>
  <si>
    <t>Acto Jurídico</t>
  </si>
  <si>
    <t xml:space="preserve">Explica los efectos que pueden surgir de los hechos, actos jurídicos, y los negocios jurídicos, para diferenciar los elementos de existencia y validez del negocio jurídico los eventos de su simulación y sus efectos jurídicos. </t>
  </si>
  <si>
    <t>T</t>
  </si>
  <si>
    <t xml:space="preserve">1. Teoría de los actos jurídicos.
2. Estructura de los actos jurídicos.
3. Efectos y eficacia de los actos jurídicos.
4. Nulidad, anulabilidad y mecanismos de resolución de los actos jurídicos. </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</si>
  <si>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</si>
  <si>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Introducción al Derecho</t>
  </si>
  <si>
    <t>Analiza las concepciones del derecho, sus escuelas y corrientes, así como los principios y fuentes del derecho para establecer el derecho en la resolución de casos mediante la argumentación. </t>
  </si>
  <si>
    <t xml:space="preserve">1. Nociones fundamentales de Derecho.  
2. Introducción a la filosofía del Derecho.  
3. Fuentes del Derecho. 
4. Principios generales del Derecho.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</si>
  <si>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</si>
  <si>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</si>
  <si>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</si>
  <si>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Fundamentación Jurídica</t>
  </si>
  <si>
    <t>Analiza el contexto histórico del origen del derecho, los conceptos de validez, justicia y eficacia, su relación con el derecho, la cientificidad, la moral y la ética dentro de las corrientes del derecho para explicar las razones de justificación, existencia y dinámica del ordenamiento jurídico actual.</t>
  </si>
  <si>
    <t>1. Derecho Romano y devenir histórico del Derecho hasta el siglo XIX.  
2. Devenir histórico del Derecho en los siglos XX y XXI. 
3. La Filosofía del Derecho.  
4. Introducción a la sociología jurídica.</t>
  </si>
  <si>
    <t>Derecho Constitucional</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</si>
  <si>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</si>
  <si>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1991.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</si>
  <si>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</si>
  <si>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Argumentación y Lógica Jurídica</t>
  </si>
  <si>
    <t>Analiza los principales conceptos de la argumentación lógica y las teorías del derecho para establecer diferentes puntos de vista de sus contendientes y propios comunicando de manera efectiva sus argumentos.</t>
  </si>
  <si>
    <t>1. Teoría de la argumentación jurídica.  
2. Hermenéutica y teoría interpretativa de los derechos.
3. Introducción a la lógica jurídica.  
4. Tipos de argumentos.</t>
  </si>
  <si>
    <t>Bienes Civiles y Mercantiles</t>
  </si>
  <si>
    <t>Distingue los bienes corporales e incorporales para establecer los modos de adquirir el dominio civiles y comerciales en atención a las condiciones de la ejecución del acto.</t>
  </si>
  <si>
    <t>1. Noción de bienes y clasificación en bienes corporales e incorporales.  
2. Modos de adquirir el dominio.  
3. Limitaciones al ejercicio del derecho de dominio.
4. Bienes mercantiles y títulos valores.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</si>
  <si>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</si>
  <si>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</si>
  <si>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</si>
  <si>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</si>
  <si>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</si>
  <si>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</si>
  <si>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</si>
  <si>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</si>
  <si>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</si>
  <si>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</si>
  <si>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 xml:space="preserve">1. Temas introductorios, contextualización del Derecho Procesal. 
2. Mecanismos alternativos de resolución de conflictos, actos, presupuestos y sujetos.   
3. La demanda, su admisión, reforma y adición.   
4. La contestación de la demanda y audiencias. </t>
  </si>
  <si>
    <t>Obligaciones</t>
  </si>
  <si>
    <t>Diferencia  las clases de obligaciones y  los efectos que cada obligación produce en el derecho privado como base delos negocios jurídicos para exponer con criterio y argumentos las diferentes formas de extinguir las obligaciones y los vínculos jurídicos que nacen entre los intervinientes de una relación obligacional.</t>
  </si>
  <si>
    <t>1. Concepto de las obligaciones y sus elementos esenciales.
2. Clasificación de las obligaciones. 
3. Incumplimiento de las obligaciones.  
4. La extinción de las obligaciones.</t>
  </si>
  <si>
    <t>Penal General</t>
  </si>
  <si>
    <t>Analiza los elementos y conceptos básicos del derecho penal general considerando el modelo constitucional y las teorías adoptas por la legislación colombiana para explicar los conceptos de conducta, tipicidad, antijuricidad, culpabilidad y concursos.</t>
  </si>
  <si>
    <t>1. Principios y nociones generales del Derecho Penal.
2. La conducta punible. 
3. Tipicidad, antijuridicidad, culpabilidad y punibilidad.
4. Dispositivos amplificadores del tipo penal.</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</si>
  <si>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</si>
  <si>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</si>
  <si>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1. Historia, principios generales y fuentes del Derecho Laboral.
2. Contrato de trabajo, jornada laboral, salario y prestaciones sociales.
3. Reglamento interno de trabajo y fueros laborales.
4. Seguridad Social.</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</si>
  <si>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</si>
  <si>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</si>
  <si>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</si>
  <si>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</si>
  <si>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</si>
  <si>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Administrativo General</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</si>
  <si>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</si>
  <si>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t>
  </si>
  <si>
    <t>Probatorio</t>
  </si>
  <si>
    <t>Conoce los principios de la actividad probatoria y la prevalencia del debido proceso para aplicarlos en las fases de admisibilidad, contradicción y valoración de la prueba en la toma de decisiones.
Diferencia los medios probatorios que se emplean en los procedimientos judiciales para encontrar la certeza frente a los hechos sujetos a investigación.</t>
  </si>
  <si>
    <t>1. Fundamentos del Derecho Probatorio.  
2. Admisibilidad, contradicción y valoración de la prueba.   
3. Medios probatorios I.
4. Medios probatorios II.</t>
  </si>
  <si>
    <t>Penal Especial</t>
  </si>
  <si>
    <t>Explica con argumentos teóricos los fundamentos del derecho penal y sus desarrollos doctrinales y jurisprudenciales para resolver casos con los tipos penales materia de estudio de manera precisa y clara.</t>
  </si>
  <si>
    <t xml:space="preserve">1. Delitos contra la vida y la integridad personal. 
2. Delitos contra la libertad individual y la familia. 
3. Delitos contra la libertad, integridad y formación sexuales.  
4. Delitos contra la fe pública, la administración pública, el patrimonio económico y el orden económico. </t>
  </si>
  <si>
    <t>Contratos</t>
  </si>
  <si>
    <t>Clasifica los contratos civiles y mercantiles según sus características y la función económica que cumplen para resolver casos en contextos del derecho privado.</t>
  </si>
  <si>
    <t>1. Principios Generales del Derecho de Contratos.
2. Contratos civiles – Definición, partes y características.
3. Formación de los contratos mercantiles, responsabilidad y grupos empresariales.
4. Contratos típicos y atípicos más comunes en materia mercantil.</t>
  </si>
  <si>
    <t>Procesal Laboral</t>
  </si>
  <si>
    <t>Identifica los principios, la normativa y las técnicas del derecho procesal del trabajo y de la seguridad social para elaborar proyectos de demanda y contestación de la demanda.
Reconoce las diferentes etapas procesales para caracterizar los roles del proceso laboral.</t>
  </si>
  <si>
    <t>1. Principios del Derecho Procesal Laboral y de la Seguridad Social.
2. La demanda y la contestación de la demanda en el Procedimiento Laboral y la Seguridad Social. 
3. Las etapas procesales de los procedimientos del Derecho Procesal Laboral y Seguridad Social. 
4. Recursos ordinarios y extraordinarios en el procedimiento laboral.</t>
  </si>
  <si>
    <t>Derecho Procesal Penal</t>
  </si>
  <si>
    <t>Identifica los diferentes institutos procesales, así como partes e intervinientes y el rol que asumen dentro del proceso penal para aplicarlos en el desarrollo de las diferentes etapas estructurales del proceso penal de corte acusatorio.</t>
  </si>
  <si>
    <t>1. Principios rectores del Derecho Procesal Penal.  
2. Audiencias preliminares ante juez penal con función de control de garantías.  
3. Audiencias ante el Juez Penal con Función de Conocimiento: El Juicio. 
4. Procedimiento penal abreviado: Ley 1826 de 2017.</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</si>
  <si>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</si>
  <si>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</si>
  <si>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 xml:space="preserve">1. Acercamiento al Derecho Comercial.  
2. El comerciante.
3. El establecimiento de comercio.  
4. Conflictos mercantiles y los MASC.  </t>
  </si>
  <si>
    <t>Procesos Especiales</t>
  </si>
  <si>
    <t>Diferencia los tipos de procesos y procedimientos en la jurisdicción civil, en atención a las pretensiones de la acción iniciada por la parte actora, para proponer soluciones legales orientadas a declarar o restablecer el derecho vulnerado o desconocido hasta ese momento.</t>
  </si>
  <si>
    <t>1. Procesos declarativos.
2. Procesos ejecutivos.
3. Procesos liquidatorios.
4. Procedimiento de la jurisdicción voluntaria.</t>
  </si>
  <si>
    <t>Administrativo Especial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</si>
  <si>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</si>
  <si>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1. Procedimiento administrativo general y Derecho de petición.   
2. Organización de la Jurisdicción contenciosa administrativa y competencia. 
3. Demanda y proceso contencioso administrativo y medios de control.
4. MASC en los procesos contenciosos administrativos.</t>
  </si>
  <si>
    <t>Derecho de Familia y Sucesiones</t>
  </si>
  <si>
    <t>Explica las nociones básicas entorno a la familia como núcleo de la sociedad y el patrimonio para establecer los derechos y obligaciones que surgen de dichas relaciones y su impacto en la sociedad.</t>
  </si>
  <si>
    <t>1. Fundamentos del Derecho de Familia y sucesiones.
2. Instituciones jurídicas que surgen del vínculo marital.
3. Derechos y obligaciones que surgen con la extinción de la persona natural. 
4. Sucesiones, avalúos y adjudicación.</t>
  </si>
  <si>
    <t>Derecho Laboral Colectivo</t>
  </si>
  <si>
    <t>Diferencia los elementos y conceptos del derecho laboral colectivo desde los fundamentos normativos nacionales como internacionales para establecer los derechos y obligaciones de los trabajadores y empleadores en el ejercicio de sus competencias 
Reconoce las instituciones jurídicas de asociación, huelga y negociación colectiva, para proponer soluciones a las diferentes controversias laborales que se suscitan en las empresas entre trabajadores y empleadores.</t>
  </si>
  <si>
    <t xml:space="preserve">1. Generalidades del Derecho Colectivo del Trabajo. 
2. Derecho de Asociación Sindical en Colombia. 
3. Fuero sindical.  
4. Acoso laboral, convivencia laboral. </t>
  </si>
  <si>
    <t>Sociedades</t>
  </si>
  <si>
    <t>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t>
  </si>
  <si>
    <t>1. Fundamentos constitucionales del esquema societario.
2. Personalidad jurídica y tipicidad societaria.
3. Estructura del contrato de sociedad y asamblea general de socios.
4. La propiedad industrial y la SIC.</t>
  </si>
  <si>
    <t>Derecho Procesal Administrativo</t>
  </si>
  <si>
    <t>Reconoce las etapas, trámites, términos y procedimientos dentro de los deferentes procesos contencioso administrativo para proponer soluciones legales que respondan a las controversias puestas en su conocimiento.</t>
  </si>
  <si>
    <t>1. El control jurisdiccional en lo contencioso administrativo.
2. Los procesos contencioso administrativos definidos en el CPACA y su trámite.
3. Medidas cautelares.
4. Recursos judiciales en la jurisdicción de lo contencioso administrativo.</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</si>
  <si>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</si>
  <si>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</si>
  <si>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</si>
  <si>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Consultorio Jurídico Virtual 1</t>
  </si>
  <si>
    <t>Aplica los conocimientos teóricos mediante la adecuada formulación de pretensiones, excepciones, redacción y sustanciación de precisos documentos jurídicos en Derecho laboral para resolver casos concretos, reales y simulados.</t>
  </si>
  <si>
    <t>P</t>
  </si>
  <si>
    <t>1. Práctica en MASC en Derecho Laboral.
2. Práctica en Derecho Laboral individual.
3. Práctica en Derecho Laboral colectivo.
4. Práctica en Seguridad Social.</t>
  </si>
  <si>
    <t>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</si>
  <si>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Economía Política</t>
  </si>
  <si>
    <t xml:space="preserve">Aplica las teorías de la economía política desde el desarrollo histórico nacional e internacional para resolver casos de la realidad económica y social actual.  </t>
  </si>
  <si>
    <t>1. Historia del pensamiento económico.
2. Teorías y corrientes de la economía política.
3. Economía política y ciencias sociales.
4. Economía de mercado.</t>
  </si>
  <si>
    <t>Derecho del Consumo y la Competencia</t>
  </si>
  <si>
    <t>Identifica los derechos de los consumidores, garantías, regímenes de responsabilidad y protección contractual, para aplicar los instrumentos jurídicos de protección ante las entidades encargadas competentes en aras de proteger los derechos del consumidor.</t>
  </si>
  <si>
    <t>1. Fundamento Constitucional de la Protección al Consumidor. 
2. Regulación de Derechos y Obligaciones entre Productores, Proveedores y Consumidores. 
3. Derecho de Información y publicidad engañosa. 
4. Aspectos Procesales de la Protección al Consumidor.</t>
  </si>
  <si>
    <t>Diseños y Estrategias para el Análisis Sociojurídico</t>
  </si>
  <si>
    <t>Reconoce las diferentes teorías, métodos y procedimientos que puedan aplicarse a un determinado proyecto de investigación social, para proponer soluciones a problemas de investigación a través del método científico.</t>
  </si>
  <si>
    <t>1. Investigación social: enfoque cuantitativo y enfoque cualitativo. 
2. Diseños de investigación en ciencias sociales. 
3. Técnicas de investigación en ciencias sociales. 
4. Componentes y lógica de la investigación social.</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</si>
  <si>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</si>
  <si>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Responsabilidad Civil y del Estado</t>
  </si>
  <si>
    <t xml:space="preserve">Reconoce los distintos regímenes de responsabilidad para diferenciar la responsabilidad civil y la responsabilidad patrimonial del Estado, etapas y trámites con el fin de aplicarla a la resolución de casos propuestos. </t>
  </si>
  <si>
    <t xml:space="preserve">1. Evolución histórica y concepto de la responsabilidad civil y responsabilidad patrimonial del Estado. 
2. Funciones y distinción del derecho de la responsabilidad civil y responsabilidad patrimonial del Estado.  
3. Supuestos fundamentales para la atribución de la responsabilidad civil y la responsabilidad patrimonial del Estado.  
4. Sistemas particulares de responsabilidad civil y responsabilidad patrimonial del Estado.  </t>
  </si>
  <si>
    <t>Consultorio Jurídico Virtual 2</t>
  </si>
  <si>
    <t>Aplica los conocimientos teóricos mediante la adecuada formulación de pretensiones, excepciones, redacción y sustanciación de precisos documentos jurídicos en Derecho penal, para resolver casos concretos, reales y simulados.</t>
  </si>
  <si>
    <t>1. Práctica MASC aplicados en Derecho Penal.
2. Procedimiento penal abreviado.
3. Procedimiento penal ordinario.
4. Procedimiento penal especial.</t>
  </si>
  <si>
    <t>Derecho Internacional</t>
  </si>
  <si>
    <t>Analiza los antecedentes, conceptos, características y sistema de los Derechos Humanos y del DIHH para interpretar el funcionamiento del DIDH, los límites y facultades de los Estados y organizaciones internacionales en la protección de los Derechos Humanos.  
Reconoce las funciones de los organismos internacionales que rigen las actividades comerciales privadas, para proponer soluciones efectivas a las problemáticas que surgen en torno a ellas.</t>
  </si>
  <si>
    <t>1. Historia y fuentes del derecho internacional público.
2. La constitución y los tratados internacionales.
3. Derechos humanos.
4. Conflictos y Derecho internacional humanitario.</t>
  </si>
  <si>
    <t>Psicología Jurídica</t>
  </si>
  <si>
    <t>Identifica las ramas del derecho y el aporte de la psicología en cada una, para describir la función del psicólogo jurídico.
Reconoce la relación entre la psicología y el derecho para analizar las conductas individuales, laborales o grupales y que tienen implicaciones jurídicas.
Reconoce la interdisciplinariedad de la psicología jurídica para justificar su intervención en todos los contextos que están regulados.</t>
  </si>
  <si>
    <t>1. Aproximación conceptual a la Psicología Jurídica.
2. Fundamentos del Derecho para psicólogos.
3. Subáreas de estudio de la Psicología Jurídica.
4. El psicólogo forense.</t>
  </si>
  <si>
    <t>Consultorio Jurídico Virtual 3</t>
  </si>
  <si>
    <t>Aplica los conocimientos teóricos mediante la adecuada formulación de pretensiones, excepciones, redacción y sustanciación de precisos documentos jurídicos en Derecho público para resolver casos concretos, reales y simulados.</t>
  </si>
  <si>
    <t xml:space="preserve">1. Práctica en los MASC en derecho administrativo.
2. Práctica en acciones constitucionales.  
3. Práctica en derecho administrativo.  
4. Práctica en derecho contencioso administrativo.   </t>
  </si>
  <si>
    <t>Electiva I</t>
  </si>
  <si>
    <t>Electiva II</t>
  </si>
  <si>
    <t>Hacienda Pública</t>
  </si>
  <si>
    <t>Reconoce el concepto de gasto público en la gestión de las entidades públicas y el control que sobre el mismo se ejerce, para aplicarlo en el ejercicio de las actividades públicas asociadas con el presupuesto. 
Identifica el concepto, la  naturaleza y la estructura del impuesto, vislumbrando el surgimiento de las obligaciones y deberes tributarios en relación con la administración, para aplicarlos en los asuntos públicos y privados.</t>
  </si>
  <si>
    <t>1. Desarrollo histórico de la hacienda pública, intervención del Estado en la economía y bienes de la hacienda pública.  
2. Gasto público, presupuesto público y control fiscal. 
3. Fuentes y principios del derecho tributario, impuestos nacionales e impuestos de entes territoriales. 
4. Procedimiento tributario y sostenibilidad fiscal.</t>
  </si>
  <si>
    <t>Derecho Empresarial</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</si>
  <si>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</si>
  <si>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1. Generalidades del derecho financiero.
2. Introducción al derecho tributario colombiano.
3. Fundamentos de la responsabilidad empresarial.
4. Derecho del comercio internacional.</t>
  </si>
  <si>
    <t>Consultorio Jurídico Virtual 4</t>
  </si>
  <si>
    <t>Aplica los conocimientos teóricos mediante la adecuada formulación de pretensiones, excepciones, redacción y sustanciación de precisos documentos jurídicos en las diferentes áreas del Derecho privado para resolver casos reales y simulados.</t>
  </si>
  <si>
    <t>1. Práctica en MASC en derecho civil.
2. Práctica en MASC en derecho comercial.
3. Práctica en derecho procesal civil.
4. Práctica en derecho procesal comercial.</t>
  </si>
  <si>
    <t>Electiva III</t>
  </si>
  <si>
    <t>Electiva IV</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</si>
  <si>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</si>
  <si>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</si>
  <si>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</si>
  <si>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</si>
  <si>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</si>
  <si>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</si>
  <si>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</si>
  <si>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</si>
  <si>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</si>
  <si>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</si>
  <si>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</si>
  <si>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</si>
  <si>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</si>
  <si>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Coordinar</t>
  </si>
  <si>
    <t>Definir</t>
  </si>
  <si>
    <t>Desarrollar</t>
  </si>
  <si>
    <t>Dirigir</t>
  </si>
  <si>
    <t>Diseñar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</si>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</sst>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7">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medium">
        <color indexed="64"/>
      </top>
      <bottom style="hair">
        <color theme="1" tint="0.499984740745262"/>
      </bottom>
      <diagonal/>
    </border>
    <border>
      <left/>
      <right/>
      <top style="medium">
        <color indexed="64"/>
      </top>
      <bottom style="hair">
        <color theme="1" tint="0.499984740745262"/>
      </bottom>
      <diagonal/>
    </border>
    <border>
      <left style="thin">
        <color auto="1"/>
      </left>
      <right style="thin">
        <color auto="1"/>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9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0" borderId="14" xfId="0" applyFont="1" applyBorder="1"/>
    <xf numFmtId="0" fontId="3" fillId="0" borderId="16" xfId="0" applyFont="1" applyBorder="1"/>
    <xf numFmtId="0" fontId="3" fillId="0" borderId="17"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0" borderId="0" xfId="0" applyFont="1" applyAlignment="1">
      <alignment horizontal="justify" vertical="center"/>
    </xf>
    <xf numFmtId="0" fontId="3" fillId="0" borderId="8" xfId="0" applyFont="1" applyBorder="1" applyAlignment="1">
      <alignment vertical="center"/>
    </xf>
    <xf numFmtId="0" fontId="13" fillId="6" borderId="21" xfId="0" applyFont="1" applyFill="1" applyBorder="1" applyAlignment="1">
      <alignment horizontal="center" vertical="center" wrapText="1"/>
    </xf>
    <xf numFmtId="0" fontId="13" fillId="0" borderId="0" xfId="0" applyFont="1"/>
    <xf numFmtId="0" fontId="13" fillId="0" borderId="14" xfId="0" applyFont="1" applyBorder="1"/>
    <xf numFmtId="0" fontId="13" fillId="0" borderId="15" xfId="0" applyFont="1" applyBorder="1"/>
    <xf numFmtId="0" fontId="6" fillId="0" borderId="0" xfId="0" applyFont="1"/>
    <xf numFmtId="0" fontId="6" fillId="0" borderId="14" xfId="0" applyFont="1" applyBorder="1"/>
    <xf numFmtId="0" fontId="6"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13" fillId="0" borderId="20" xfId="0" applyFont="1" applyBorder="1" applyAlignment="1">
      <alignment vertical="center" wrapText="1"/>
    </xf>
    <xf numFmtId="0" fontId="13" fillId="0" borderId="8" xfId="0" applyFont="1" applyBorder="1" applyAlignment="1">
      <alignment vertical="center" wrapText="1"/>
    </xf>
    <xf numFmtId="0" fontId="13" fillId="0" borderId="6"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3" fillId="10" borderId="20" xfId="0" applyFont="1" applyFill="1" applyBorder="1" applyAlignment="1">
      <alignment horizontal="center" vertical="center"/>
    </xf>
    <xf numFmtId="0" fontId="27" fillId="7" borderId="22"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27" fillId="0" borderId="0" xfId="0" applyFont="1" applyAlignment="1">
      <alignment horizontal="center" vertical="center" wrapText="1"/>
    </xf>
    <xf numFmtId="0" fontId="27" fillId="0" borderId="20" xfId="0" applyFont="1" applyBorder="1" applyAlignment="1">
      <alignment horizontal="center" vertical="center" wrapText="1"/>
    </xf>
    <xf numFmtId="0" fontId="29" fillId="11" borderId="0" xfId="0" applyFont="1" applyFill="1" applyAlignment="1">
      <alignment horizontal="center" vertical="center"/>
    </xf>
    <xf numFmtId="0" fontId="27" fillId="7" borderId="23" xfId="0" applyFont="1" applyFill="1" applyBorder="1" applyAlignment="1">
      <alignment horizontal="center" vertical="center" wrapText="1"/>
    </xf>
    <xf numFmtId="0" fontId="28" fillId="11" borderId="24" xfId="0" applyFont="1" applyFill="1" applyBorder="1" applyAlignment="1">
      <alignment horizontal="center" vertical="center" wrapText="1"/>
    </xf>
    <xf numFmtId="0" fontId="27" fillId="7" borderId="25" xfId="0" applyFont="1" applyFill="1" applyBorder="1" applyAlignment="1">
      <alignment horizontal="center" vertical="center" wrapText="1"/>
    </xf>
    <xf numFmtId="0" fontId="28" fillId="11" borderId="26"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8" xfId="0" applyFont="1" applyBorder="1" applyAlignment="1">
      <alignment horizontal="left" vertical="center" wrapText="1"/>
    </xf>
    <xf numFmtId="0" fontId="13" fillId="0" borderId="20" xfId="0" applyFont="1" applyBorder="1" applyAlignment="1">
      <alignment horizontal="center" vertical="center"/>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left" vertical="center" wrapText="1"/>
    </xf>
    <xf numFmtId="0" fontId="13" fillId="0" borderId="6" xfId="0" applyFont="1" applyBorder="1" applyAlignment="1">
      <alignment horizontal="center" vertical="center"/>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9" fillId="7" borderId="2" xfId="0" applyFont="1" applyFill="1" applyBorder="1" applyAlignment="1">
      <alignment horizontal="center" vertical="center" wrapText="1"/>
    </xf>
    <xf numFmtId="0" fontId="7" fillId="0" borderId="0" xfId="0" applyFont="1" applyAlignment="1">
      <alignment horizontal="center"/>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zoomScaleNormal="100" workbookViewId="0"/>
  </sheetViews>
  <sheetFormatPr baseColWidth="10" defaultColWidth="76.26953125" defaultRowHeight="16.5" x14ac:dyDescent="0.5"/>
  <cols>
    <col min="1" max="1" width="21.1796875" style="2" customWidth="1"/>
    <col min="2" max="2" width="16.7265625" style="2" customWidth="1"/>
    <col min="3" max="4" width="62" style="2" customWidth="1"/>
    <col min="5" max="5" width="39" style="2" customWidth="1"/>
    <col min="6" max="7" width="58" customWidth="1"/>
    <col min="8" max="8" width="66.81640625" style="2" customWidth="1"/>
    <col min="9" max="9" width="99.453125" style="2" customWidth="1"/>
    <col min="10" max="10" width="75.26953125" style="2" customWidth="1"/>
    <col min="11" max="11" width="73.7265625" style="2" customWidth="1"/>
    <col min="12" max="16384" width="76.26953125" style="2"/>
  </cols>
  <sheetData>
    <row r="1" spans="1:11" s="35" customFormat="1" ht="26" x14ac:dyDescent="0.35">
      <c r="A1" s="38" t="s">
        <v>0</v>
      </c>
      <c r="B1" s="38" t="s">
        <v>1</v>
      </c>
      <c r="C1" s="38" t="s">
        <v>2</v>
      </c>
      <c r="D1" s="38" t="s">
        <v>3</v>
      </c>
      <c r="E1" s="149" t="s">
        <v>4</v>
      </c>
      <c r="F1" s="149"/>
      <c r="G1" s="149"/>
      <c r="H1" s="149" t="s">
        <v>5</v>
      </c>
      <c r="I1" s="149"/>
      <c r="J1" s="149"/>
      <c r="K1" s="38" t="s">
        <v>6</v>
      </c>
    </row>
    <row r="2" spans="1:11" s="29" customFormat="1" x14ac:dyDescent="0.5">
      <c r="A2" s="40" t="s">
        <v>7</v>
      </c>
      <c r="B2" s="40" t="s">
        <v>8</v>
      </c>
      <c r="C2" s="40" t="s">
        <v>9</v>
      </c>
      <c r="D2" s="46" t="s">
        <v>10</v>
      </c>
      <c r="E2" s="120" t="s">
        <v>11</v>
      </c>
      <c r="F2" s="120" t="s">
        <v>12</v>
      </c>
      <c r="G2" s="120" t="s">
        <v>13</v>
      </c>
      <c r="H2" s="48" t="s">
        <v>14</v>
      </c>
      <c r="I2" s="48" t="s">
        <v>15</v>
      </c>
      <c r="J2" s="48" t="s">
        <v>16</v>
      </c>
      <c r="K2" s="47" t="s">
        <v>17</v>
      </c>
    </row>
    <row r="3" spans="1:11" s="4" customFormat="1" ht="49.5" x14ac:dyDescent="0.35">
      <c r="A3" s="152" t="s">
        <v>18</v>
      </c>
      <c r="B3" s="152" t="s">
        <v>19</v>
      </c>
      <c r="C3" s="154" t="s">
        <v>20</v>
      </c>
      <c r="D3" s="154" t="s">
        <v>21</v>
      </c>
      <c r="E3" s="121" t="s">
        <v>22</v>
      </c>
      <c r="F3" s="121" t="s">
        <v>23</v>
      </c>
      <c r="G3" s="121" t="s">
        <v>24</v>
      </c>
      <c r="H3" s="150" t="s">
        <v>25</v>
      </c>
      <c r="I3" s="150" t="s">
        <v>26</v>
      </c>
      <c r="J3" s="150" t="s">
        <v>27</v>
      </c>
      <c r="K3" s="150" t="s">
        <v>28</v>
      </c>
    </row>
    <row r="4" spans="1:11" s="4" customFormat="1" ht="49.5" x14ac:dyDescent="0.35">
      <c r="A4" s="153"/>
      <c r="B4" s="153"/>
      <c r="C4" s="155"/>
      <c r="D4" s="155"/>
      <c r="E4" s="4" t="s">
        <v>29</v>
      </c>
      <c r="F4" s="4" t="s">
        <v>30</v>
      </c>
      <c r="G4" s="4" t="s">
        <v>31</v>
      </c>
      <c r="H4" s="151"/>
      <c r="I4" s="151"/>
      <c r="J4" s="151"/>
      <c r="K4" s="151"/>
    </row>
    <row r="5" spans="1:11" s="4" customFormat="1" ht="66" x14ac:dyDescent="0.35">
      <c r="A5" s="153"/>
      <c r="B5" s="153"/>
      <c r="C5" s="155"/>
      <c r="D5" s="155"/>
      <c r="E5" s="4" t="s">
        <v>32</v>
      </c>
      <c r="F5" s="4" t="s">
        <v>33</v>
      </c>
      <c r="G5" s="4" t="s">
        <v>34</v>
      </c>
      <c r="H5" s="151"/>
      <c r="I5" s="151"/>
      <c r="J5" s="151"/>
      <c r="K5" s="151"/>
    </row>
    <row r="6" spans="1:11" s="4" customFormat="1" ht="49.5" x14ac:dyDescent="0.35">
      <c r="A6" s="153"/>
      <c r="B6" s="153"/>
      <c r="C6" s="155"/>
      <c r="D6" s="155"/>
      <c r="E6" s="34" t="s">
        <v>35</v>
      </c>
      <c r="F6" s="34" t="s">
        <v>36</v>
      </c>
      <c r="G6" s="34" t="s">
        <v>37</v>
      </c>
      <c r="H6" s="151"/>
      <c r="I6" s="151"/>
      <c r="J6" s="151"/>
      <c r="K6" s="151"/>
    </row>
    <row r="7" spans="1:11" s="4" customFormat="1" ht="82.5" x14ac:dyDescent="0.35">
      <c r="A7" s="153"/>
      <c r="B7" s="153"/>
      <c r="C7" s="155"/>
      <c r="D7" s="155"/>
      <c r="E7" s="122" t="s">
        <v>38</v>
      </c>
      <c r="F7" s="122" t="s">
        <v>39</v>
      </c>
      <c r="G7" s="4" t="s">
        <v>40</v>
      </c>
      <c r="H7" s="151"/>
      <c r="I7" s="151"/>
      <c r="J7" s="151"/>
      <c r="K7" s="151"/>
    </row>
    <row r="8" spans="1:11" s="4" customFormat="1" ht="66.5" thickBot="1" x14ac:dyDescent="0.4">
      <c r="A8" s="153"/>
      <c r="B8" s="153"/>
      <c r="C8" s="155"/>
      <c r="D8" s="155"/>
      <c r="E8" s="122" t="s">
        <v>41</v>
      </c>
      <c r="F8" s="122" t="s">
        <v>42</v>
      </c>
      <c r="G8" s="122" t="s">
        <v>43</v>
      </c>
      <c r="H8" s="151"/>
      <c r="I8" s="151"/>
      <c r="J8" s="151"/>
      <c r="K8" s="151"/>
    </row>
    <row r="9" spans="1:11" s="4" customFormat="1" ht="33" x14ac:dyDescent="0.35">
      <c r="A9" s="153"/>
      <c r="B9" s="153"/>
      <c r="C9" s="155"/>
      <c r="D9" s="155"/>
      <c r="E9" s="89" t="s">
        <v>44</v>
      </c>
      <c r="F9" s="89" t="s">
        <v>45</v>
      </c>
      <c r="G9" s="89" t="s">
        <v>46</v>
      </c>
      <c r="H9" s="5"/>
    </row>
    <row r="10" spans="1:11" s="4" customFormat="1" x14ac:dyDescent="0.35">
      <c r="C10" s="34"/>
      <c r="D10" s="119"/>
      <c r="E10" s="34"/>
      <c r="F10" s="34"/>
      <c r="G10" s="34"/>
      <c r="H10" s="5"/>
    </row>
    <row r="11" spans="1:11" ht="21" x14ac:dyDescent="0.5">
      <c r="D11" s="28"/>
      <c r="E11" s="8"/>
      <c r="F11" s="8"/>
      <c r="H11" s="3"/>
    </row>
    <row r="12" spans="1:11" ht="21" x14ac:dyDescent="0.5">
      <c r="D12" s="28"/>
      <c r="E12" s="8"/>
      <c r="F12" s="8"/>
      <c r="H12" s="3"/>
    </row>
    <row r="13" spans="1:11" ht="21" x14ac:dyDescent="0.5">
      <c r="C13" s="30"/>
      <c r="D13" s="28"/>
      <c r="E13" s="30"/>
      <c r="F13" s="30"/>
      <c r="H13" s="3"/>
    </row>
    <row r="14" spans="1:11" ht="21" x14ac:dyDescent="0.5">
      <c r="D14" s="28"/>
      <c r="E14" s="8"/>
      <c r="F14" s="8"/>
      <c r="H14" s="3"/>
    </row>
    <row r="15" spans="1:11" ht="21" x14ac:dyDescent="0.5">
      <c r="C15" s="4"/>
      <c r="D15" s="28"/>
      <c r="E15" s="10"/>
      <c r="F15" s="2"/>
      <c r="H15" s="3"/>
    </row>
    <row r="16" spans="1:11" ht="21" x14ac:dyDescent="0.5">
      <c r="D16" s="28"/>
      <c r="E16" s="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row r="23" spans="4:4" ht="21" x14ac:dyDescent="0.5">
      <c r="D23" s="28"/>
    </row>
    <row r="24" spans="4:4" ht="21" x14ac:dyDescent="0.5">
      <c r="D24" s="28"/>
    </row>
  </sheetData>
  <mergeCells count="10">
    <mergeCell ref="E1:G1"/>
    <mergeCell ref="K3:K8"/>
    <mergeCell ref="H1:J1"/>
    <mergeCell ref="A3:A9"/>
    <mergeCell ref="B3:B9"/>
    <mergeCell ref="C3:C9"/>
    <mergeCell ref="D3:D9"/>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8"/>
  <sheetViews>
    <sheetView zoomScaleNormal="100" workbookViewId="0">
      <selection activeCell="A2" sqref="A2"/>
    </sheetView>
  </sheetViews>
  <sheetFormatPr baseColWidth="10" defaultColWidth="11.453125" defaultRowHeight="16.5" x14ac:dyDescent="0.35"/>
  <cols>
    <col min="1" max="1" width="19" style="6" customWidth="1"/>
    <col min="2" max="2" width="23" style="6" customWidth="1"/>
    <col min="3" max="3" width="33.7265625" style="6" customWidth="1"/>
    <col min="4" max="5" width="53.54296875" style="6" customWidth="1"/>
    <col min="6" max="6" width="78.54296875" style="6" customWidth="1"/>
    <col min="7" max="7" width="24" style="6" customWidth="1"/>
    <col min="8" max="16384" width="11.453125" style="6"/>
  </cols>
  <sheetData>
    <row r="1" spans="1:7" s="2" customFormat="1" x14ac:dyDescent="0.5">
      <c r="A1" s="156" t="s">
        <v>47</v>
      </c>
      <c r="B1" s="157"/>
      <c r="C1" s="157"/>
      <c r="D1" s="157"/>
      <c r="E1" s="157"/>
      <c r="F1" s="157"/>
      <c r="G1" s="157"/>
    </row>
    <row r="2" spans="1:7" s="39" customFormat="1" ht="78" x14ac:dyDescent="0.35">
      <c r="A2" s="36" t="s">
        <v>48</v>
      </c>
      <c r="B2" s="37" t="s">
        <v>49</v>
      </c>
      <c r="C2" s="37" t="s">
        <v>50</v>
      </c>
      <c r="D2" s="37" t="s">
        <v>51</v>
      </c>
      <c r="E2" s="37" t="s">
        <v>52</v>
      </c>
      <c r="F2" s="38" t="s">
        <v>53</v>
      </c>
      <c r="G2" s="38" t="s">
        <v>54</v>
      </c>
    </row>
    <row r="3" spans="1:7" s="41" customFormat="1" x14ac:dyDescent="0.5">
      <c r="A3" s="60" t="s">
        <v>55</v>
      </c>
      <c r="B3" s="61" t="s">
        <v>56</v>
      </c>
      <c r="C3" s="61" t="s">
        <v>57</v>
      </c>
      <c r="D3" s="61" t="s">
        <v>58</v>
      </c>
      <c r="E3" s="61" t="s">
        <v>59</v>
      </c>
      <c r="F3" s="50" t="s">
        <v>60</v>
      </c>
      <c r="G3" s="50" t="s">
        <v>61</v>
      </c>
    </row>
    <row r="4" spans="1:7" ht="82.5" x14ac:dyDescent="0.35">
      <c r="A4" s="6">
        <v>1</v>
      </c>
      <c r="B4" s="5" t="s">
        <v>62</v>
      </c>
      <c r="C4" s="5" t="s">
        <v>22</v>
      </c>
      <c r="D4" s="5" t="s">
        <v>23</v>
      </c>
      <c r="E4" s="5" t="s">
        <v>24</v>
      </c>
      <c r="F4" s="51" t="s">
        <v>63</v>
      </c>
      <c r="G4" s="6" t="s">
        <v>64</v>
      </c>
    </row>
    <row r="5" spans="1:7" ht="66" x14ac:dyDescent="0.35">
      <c r="A5" s="6">
        <v>2</v>
      </c>
      <c r="B5" s="5" t="s">
        <v>62</v>
      </c>
      <c r="C5" s="5" t="s">
        <v>29</v>
      </c>
      <c r="D5" s="5" t="s">
        <v>30</v>
      </c>
      <c r="E5" s="5" t="s">
        <v>31</v>
      </c>
      <c r="F5" s="5" t="s">
        <v>65</v>
      </c>
      <c r="G5" s="6" t="s">
        <v>64</v>
      </c>
    </row>
    <row r="6" spans="1:7" ht="82.5" x14ac:dyDescent="0.35">
      <c r="A6" s="6">
        <v>3</v>
      </c>
      <c r="B6" s="5" t="s">
        <v>66</v>
      </c>
      <c r="C6" s="5" t="s">
        <v>32</v>
      </c>
      <c r="D6" s="5" t="s">
        <v>33</v>
      </c>
      <c r="E6" s="5" t="s">
        <v>34</v>
      </c>
      <c r="F6" s="5" t="s">
        <v>67</v>
      </c>
      <c r="G6" s="6" t="s">
        <v>64</v>
      </c>
    </row>
    <row r="7" spans="1:7" ht="82.5" x14ac:dyDescent="0.35">
      <c r="A7" s="6">
        <v>4</v>
      </c>
      <c r="B7" s="5" t="s">
        <v>68</v>
      </c>
      <c r="C7" s="5" t="s">
        <v>35</v>
      </c>
      <c r="D7" s="5" t="s">
        <v>36</v>
      </c>
      <c r="E7" s="5" t="s">
        <v>37</v>
      </c>
      <c r="F7" s="5" t="s">
        <v>69</v>
      </c>
      <c r="G7" s="6" t="s">
        <v>64</v>
      </c>
    </row>
    <row r="8" spans="1:7" ht="82.5" x14ac:dyDescent="0.35">
      <c r="A8" s="6">
        <v>5</v>
      </c>
      <c r="B8" s="5" t="s">
        <v>68</v>
      </c>
      <c r="C8" s="5" t="s">
        <v>38</v>
      </c>
      <c r="D8" s="5" t="s">
        <v>39</v>
      </c>
      <c r="E8" s="5" t="s">
        <v>40</v>
      </c>
      <c r="F8" s="5" t="s">
        <v>70</v>
      </c>
      <c r="G8" s="6" t="s">
        <v>64</v>
      </c>
    </row>
    <row r="9" spans="1:7" ht="99.5" thickBot="1" x14ac:dyDescent="0.4">
      <c r="A9" s="80">
        <v>6</v>
      </c>
      <c r="B9" s="79" t="s">
        <v>66</v>
      </c>
      <c r="C9" s="79" t="s">
        <v>41</v>
      </c>
      <c r="D9" s="79" t="s">
        <v>42</v>
      </c>
      <c r="E9" s="79" t="s">
        <v>43</v>
      </c>
      <c r="F9" s="79" t="s">
        <v>71</v>
      </c>
      <c r="G9" s="80" t="s">
        <v>64</v>
      </c>
    </row>
    <row r="10" spans="1:7" ht="49.5" x14ac:dyDescent="0.35">
      <c r="A10" s="6">
        <v>7</v>
      </c>
      <c r="B10" s="34" t="s">
        <v>72</v>
      </c>
      <c r="C10" s="5" t="s">
        <v>44</v>
      </c>
      <c r="D10" s="34" t="s">
        <v>73</v>
      </c>
      <c r="E10" s="34" t="s">
        <v>46</v>
      </c>
      <c r="F10" s="34" t="s">
        <v>74</v>
      </c>
      <c r="G10" s="6" t="s">
        <v>75</v>
      </c>
    </row>
    <row r="11" spans="1:7" x14ac:dyDescent="0.35">
      <c r="B11" s="5"/>
      <c r="C11" s="32"/>
      <c r="D11" s="33"/>
      <c r="E11" s="33"/>
      <c r="F11" s="5"/>
    </row>
    <row r="12" spans="1:7" x14ac:dyDescent="0.35">
      <c r="C12" s="31"/>
      <c r="D12" s="31"/>
      <c r="E12" s="31"/>
    </row>
    <row r="16" spans="1:7" x14ac:dyDescent="0.35">
      <c r="C16" s="31"/>
      <c r="D16" s="15"/>
      <c r="E16" s="15"/>
    </row>
    <row r="17" spans="3:5" x14ac:dyDescent="0.35">
      <c r="C17" s="31"/>
      <c r="D17" s="15"/>
      <c r="E17" s="15"/>
    </row>
    <row r="18" spans="3:5" x14ac:dyDescent="0.35">
      <c r="C18" s="31"/>
      <c r="D18" s="15"/>
      <c r="E18" s="15"/>
    </row>
  </sheetData>
  <mergeCells count="1">
    <mergeCell ref="A1:G1"/>
  </mergeCells>
  <dataValidations count="1">
    <dataValidation type="list" allowBlank="1" showInputMessage="1" showErrorMessage="1" sqref="B10:B14"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B15</xm:sqref>
        </x14:dataValidation>
        <x14:dataValidation type="list" allowBlank="1" showInputMessage="1" showErrorMessage="1" xr:uid="{27BB9EA1-A522-436A-B320-3844B1FF49FC}">
          <x14:formula1>
            <xm:f>'Taxonomía para competencias'!$B$2:$B$49</xm:f>
          </x14:formula1>
          <xm:sqref>B4:B9</xm:sqref>
        </x14:dataValidation>
        <x14:dataValidation type="list" allowBlank="1" showInputMessage="1" showErrorMessage="1" xr:uid="{5EADCC8E-A021-41D2-A781-82D42FE181E0}">
          <x14:formula1>
            <xm:f>'Paso1 Analisis perfil egreso'!$E$3:$E$10</xm:f>
          </x14:formula1>
          <xm:sqref>C10</xm:sqref>
        </x14:dataValidation>
        <x14:dataValidation type="list" allowBlank="1" showInputMessage="1" showErrorMessage="1" xr:uid="{33DE93D0-28B9-435A-9EE1-5F80FDE293A1}">
          <x14:formula1>
            <xm:f>'Paso1 Analisis perfil egreso'!$E$3:$E$8</xm:f>
          </x14:formula1>
          <xm:sqref>C4:C9</xm:sqref>
        </x14:dataValidation>
        <x14:dataValidation type="list" allowBlank="1" showInputMessage="1" showErrorMessage="1" xr:uid="{6DB6738B-D1D8-4E2E-B5E6-FA6314CE6A6F}">
          <x14:formula1>
            <xm:f>'Paso1 Analisis perfil egreso'!$F$3:$F$8</xm:f>
          </x14:formula1>
          <xm:sqref>D4:D9</xm:sqref>
        </x14:dataValidation>
        <x14:dataValidation type="list" allowBlank="1" showInputMessage="1" showErrorMessage="1" xr:uid="{08843761-BFA4-45AF-987D-2983A8691A8B}">
          <x14:formula1>
            <xm:f>'Paso1 Analisis perfil egreso'!$G$3:$G$8</xm:f>
          </x14:formula1>
          <xm:sqref>E4:E9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4"/>
  <sheetViews>
    <sheetView zoomScale="110" zoomScaleNormal="11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40.453125" style="5" customWidth="1"/>
    <col min="5" max="5" width="26.453125" style="5" customWidth="1"/>
    <col min="6" max="6" width="21.26953125" style="5" customWidth="1"/>
    <col min="7" max="7" width="21.26953125" style="7" customWidth="1"/>
    <col min="8" max="8" width="21.26953125" style="83" customWidth="1"/>
    <col min="9" max="9" width="80" style="9" customWidth="1"/>
    <col min="10" max="10" width="97.1796875" style="5" customWidth="1"/>
    <col min="11" max="16384" width="11.453125" style="5"/>
  </cols>
  <sheetData>
    <row r="1" spans="1:10" s="75" customFormat="1" ht="52" x14ac:dyDescent="0.35">
      <c r="A1" s="73" t="s">
        <v>76</v>
      </c>
      <c r="B1" s="73" t="s">
        <v>77</v>
      </c>
      <c r="C1" s="37" t="s">
        <v>78</v>
      </c>
      <c r="D1" s="74" t="s">
        <v>79</v>
      </c>
      <c r="E1" s="74" t="s">
        <v>80</v>
      </c>
      <c r="F1" s="37" t="s">
        <v>81</v>
      </c>
      <c r="G1" s="37" t="s">
        <v>82</v>
      </c>
      <c r="H1" s="37" t="s">
        <v>83</v>
      </c>
      <c r="I1" s="73" t="s">
        <v>84</v>
      </c>
    </row>
    <row r="2" spans="1:10" s="78" customFormat="1" x14ac:dyDescent="0.35">
      <c r="A2" s="76" t="s">
        <v>85</v>
      </c>
      <c r="B2" s="76" t="s">
        <v>86</v>
      </c>
      <c r="C2" s="61" t="s">
        <v>87</v>
      </c>
      <c r="D2" s="77" t="s">
        <v>88</v>
      </c>
      <c r="E2" s="77" t="s">
        <v>89</v>
      </c>
      <c r="F2" s="61" t="s">
        <v>90</v>
      </c>
      <c r="G2" s="61" t="s">
        <v>91</v>
      </c>
      <c r="H2" s="61" t="s">
        <v>92</v>
      </c>
      <c r="I2" s="76" t="s">
        <v>93</v>
      </c>
    </row>
    <row r="3" spans="1:10" ht="82.5" x14ac:dyDescent="0.35">
      <c r="A3" s="5" t="s">
        <v>63</v>
      </c>
      <c r="B3" s="6">
        <v>1</v>
      </c>
      <c r="C3" s="5" t="s">
        <v>11</v>
      </c>
      <c r="D3" s="5" t="s">
        <v>22</v>
      </c>
      <c r="E3" s="5" t="s">
        <v>94</v>
      </c>
      <c r="F3" s="9" t="s">
        <v>95</v>
      </c>
      <c r="G3" s="9" t="s">
        <v>96</v>
      </c>
      <c r="H3" s="5" t="s">
        <v>97</v>
      </c>
      <c r="I3" s="34" t="s">
        <v>98</v>
      </c>
      <c r="J3" s="27"/>
    </row>
    <row r="4" spans="1:10" ht="66" x14ac:dyDescent="0.35">
      <c r="A4" s="5" t="s">
        <v>63</v>
      </c>
      <c r="B4" s="6">
        <v>3</v>
      </c>
      <c r="C4" s="5" t="s">
        <v>12</v>
      </c>
      <c r="D4" s="5" t="s">
        <v>23</v>
      </c>
      <c r="E4" s="5" t="s">
        <v>94</v>
      </c>
      <c r="F4" s="9" t="s">
        <v>99</v>
      </c>
      <c r="G4" s="9" t="s">
        <v>100</v>
      </c>
      <c r="H4" s="5" t="s">
        <v>68</v>
      </c>
      <c r="I4" s="34" t="s">
        <v>101</v>
      </c>
    </row>
    <row r="5" spans="1:10" ht="66.5" thickBot="1" x14ac:dyDescent="0.4">
      <c r="A5" s="79" t="s">
        <v>63</v>
      </c>
      <c r="B5" s="80">
        <v>9</v>
      </c>
      <c r="C5" s="79" t="s">
        <v>13</v>
      </c>
      <c r="D5" s="79" t="s">
        <v>24</v>
      </c>
      <c r="E5" s="79" t="s">
        <v>94</v>
      </c>
      <c r="F5" s="81" t="s">
        <v>102</v>
      </c>
      <c r="G5" s="81" t="s">
        <v>96</v>
      </c>
      <c r="H5" s="79" t="s">
        <v>97</v>
      </c>
      <c r="I5" s="85" t="s">
        <v>103</v>
      </c>
    </row>
    <row r="6" spans="1:10" ht="82.5" x14ac:dyDescent="0.35">
      <c r="A6" s="5" t="s">
        <v>65</v>
      </c>
      <c r="B6" s="6">
        <v>1</v>
      </c>
      <c r="C6" s="5" t="s">
        <v>11</v>
      </c>
      <c r="D6" s="5" t="s">
        <v>29</v>
      </c>
      <c r="E6" s="5" t="s">
        <v>94</v>
      </c>
      <c r="F6" s="83" t="s">
        <v>95</v>
      </c>
      <c r="G6" s="83" t="s">
        <v>96</v>
      </c>
      <c r="H6" s="5" t="s">
        <v>97</v>
      </c>
      <c r="I6" s="34" t="s">
        <v>98</v>
      </c>
    </row>
    <row r="7" spans="1:10" ht="66" x14ac:dyDescent="0.35">
      <c r="A7" s="5" t="s">
        <v>65</v>
      </c>
      <c r="B7" s="6">
        <v>4</v>
      </c>
      <c r="C7" s="5" t="s">
        <v>12</v>
      </c>
      <c r="D7" s="5" t="s">
        <v>30</v>
      </c>
      <c r="E7" s="5" t="s">
        <v>94</v>
      </c>
      <c r="F7" s="83" t="s">
        <v>99</v>
      </c>
      <c r="G7" s="83" t="s">
        <v>100</v>
      </c>
      <c r="H7" s="5" t="s">
        <v>68</v>
      </c>
      <c r="I7" s="34" t="s">
        <v>104</v>
      </c>
    </row>
    <row r="8" spans="1:10" ht="66.5" thickBot="1" x14ac:dyDescent="0.4">
      <c r="A8" s="79" t="s">
        <v>65</v>
      </c>
      <c r="B8" s="80">
        <v>9</v>
      </c>
      <c r="C8" s="79" t="s">
        <v>13</v>
      </c>
      <c r="D8" s="79" t="s">
        <v>31</v>
      </c>
      <c r="E8" s="79" t="s">
        <v>94</v>
      </c>
      <c r="F8" s="123" t="s">
        <v>102</v>
      </c>
      <c r="G8" s="123" t="s">
        <v>96</v>
      </c>
      <c r="H8" s="79" t="s">
        <v>97</v>
      </c>
      <c r="I8" s="85" t="s">
        <v>103</v>
      </c>
      <c r="J8" s="82"/>
    </row>
    <row r="9" spans="1:10" ht="66" x14ac:dyDescent="0.35">
      <c r="A9" s="5" t="s">
        <v>67</v>
      </c>
      <c r="B9" s="6">
        <v>2</v>
      </c>
      <c r="C9" s="5" t="s">
        <v>11</v>
      </c>
      <c r="D9" s="5" t="s">
        <v>32</v>
      </c>
      <c r="E9" s="5" t="s">
        <v>94</v>
      </c>
      <c r="F9" s="9" t="s">
        <v>95</v>
      </c>
      <c r="G9" s="9" t="s">
        <v>105</v>
      </c>
      <c r="H9" s="5" t="s">
        <v>106</v>
      </c>
      <c r="I9" s="34" t="s">
        <v>107</v>
      </c>
    </row>
    <row r="10" spans="1:10" ht="66" x14ac:dyDescent="0.35">
      <c r="A10" s="5" t="s">
        <v>67</v>
      </c>
      <c r="B10" s="6">
        <v>5</v>
      </c>
      <c r="C10" s="5" t="s">
        <v>12</v>
      </c>
      <c r="D10" s="5" t="s">
        <v>33</v>
      </c>
      <c r="E10" s="5" t="s">
        <v>94</v>
      </c>
      <c r="F10" s="9" t="s">
        <v>99</v>
      </c>
      <c r="G10" s="9" t="s">
        <v>100</v>
      </c>
      <c r="H10" s="5" t="s">
        <v>68</v>
      </c>
      <c r="I10" s="34" t="s">
        <v>108</v>
      </c>
    </row>
    <row r="11" spans="1:10" ht="99.5" thickBot="1" x14ac:dyDescent="0.4">
      <c r="A11" s="79" t="s">
        <v>67</v>
      </c>
      <c r="B11" s="80">
        <v>9</v>
      </c>
      <c r="C11" s="79" t="s">
        <v>13</v>
      </c>
      <c r="D11" s="79" t="s">
        <v>34</v>
      </c>
      <c r="E11" s="79" t="s">
        <v>94</v>
      </c>
      <c r="F11" s="81" t="s">
        <v>102</v>
      </c>
      <c r="G11" s="81" t="s">
        <v>96</v>
      </c>
      <c r="H11" s="79" t="s">
        <v>97</v>
      </c>
      <c r="I11" s="85" t="s">
        <v>103</v>
      </c>
      <c r="J11" s="82"/>
    </row>
    <row r="12" spans="1:10" ht="82.5" x14ac:dyDescent="0.35">
      <c r="A12" s="5" t="s">
        <v>69</v>
      </c>
      <c r="B12" s="6">
        <v>1</v>
      </c>
      <c r="C12" s="5" t="s">
        <v>11</v>
      </c>
      <c r="D12" s="5" t="s">
        <v>35</v>
      </c>
      <c r="E12" s="5" t="s">
        <v>94</v>
      </c>
      <c r="F12" s="9" t="s">
        <v>95</v>
      </c>
      <c r="G12" s="9" t="s">
        <v>96</v>
      </c>
      <c r="H12" s="5" t="s">
        <v>97</v>
      </c>
      <c r="I12" s="34" t="s">
        <v>98</v>
      </c>
    </row>
    <row r="13" spans="1:10" ht="82.5" x14ac:dyDescent="0.35">
      <c r="A13" s="5" t="s">
        <v>69</v>
      </c>
      <c r="B13" s="6">
        <v>6</v>
      </c>
      <c r="C13" s="5" t="s">
        <v>12</v>
      </c>
      <c r="D13" s="5" t="s">
        <v>36</v>
      </c>
      <c r="E13" s="5" t="s">
        <v>94</v>
      </c>
      <c r="F13" s="9" t="s">
        <v>99</v>
      </c>
      <c r="G13" s="9" t="s">
        <v>100</v>
      </c>
      <c r="H13" s="5" t="s">
        <v>68</v>
      </c>
      <c r="I13" s="34" t="s">
        <v>109</v>
      </c>
    </row>
    <row r="14" spans="1:10" ht="83" thickBot="1" x14ac:dyDescent="0.4">
      <c r="A14" s="79" t="s">
        <v>69</v>
      </c>
      <c r="B14" s="80">
        <v>9</v>
      </c>
      <c r="C14" s="79" t="s">
        <v>13</v>
      </c>
      <c r="D14" s="79" t="s">
        <v>37</v>
      </c>
      <c r="E14" s="79" t="s">
        <v>94</v>
      </c>
      <c r="F14" s="81" t="s">
        <v>102</v>
      </c>
      <c r="G14" s="81" t="s">
        <v>96</v>
      </c>
      <c r="H14" s="79" t="s">
        <v>97</v>
      </c>
      <c r="I14" s="85" t="s">
        <v>103</v>
      </c>
      <c r="J14" s="82"/>
    </row>
    <row r="15" spans="1:10" ht="82.5" x14ac:dyDescent="0.35">
      <c r="A15" s="5" t="s">
        <v>70</v>
      </c>
      <c r="B15" s="6">
        <v>1</v>
      </c>
      <c r="C15" s="5" t="s">
        <v>11</v>
      </c>
      <c r="D15" s="5" t="s">
        <v>38</v>
      </c>
      <c r="E15" s="5" t="s">
        <v>94</v>
      </c>
      <c r="F15" s="9" t="s">
        <v>95</v>
      </c>
      <c r="G15" s="9" t="s">
        <v>96</v>
      </c>
      <c r="H15" s="5" t="s">
        <v>97</v>
      </c>
      <c r="I15" s="34" t="s">
        <v>98</v>
      </c>
      <c r="J15" s="82"/>
    </row>
    <row r="16" spans="1:10" ht="82.5" x14ac:dyDescent="0.35">
      <c r="A16" s="5" t="s">
        <v>70</v>
      </c>
      <c r="B16" s="6">
        <v>7</v>
      </c>
      <c r="C16" s="5" t="s">
        <v>12</v>
      </c>
      <c r="D16" s="5" t="s">
        <v>39</v>
      </c>
      <c r="E16" s="5" t="s">
        <v>94</v>
      </c>
      <c r="F16" s="9" t="s">
        <v>99</v>
      </c>
      <c r="G16" s="9" t="s">
        <v>100</v>
      </c>
      <c r="H16" s="5" t="s">
        <v>68</v>
      </c>
      <c r="I16" s="34" t="s">
        <v>110</v>
      </c>
      <c r="J16" s="82"/>
    </row>
    <row r="17" spans="1:10" ht="116" thickBot="1" x14ac:dyDescent="0.4">
      <c r="A17" s="79" t="s">
        <v>70</v>
      </c>
      <c r="B17" s="80">
        <v>9</v>
      </c>
      <c r="C17" s="79" t="s">
        <v>13</v>
      </c>
      <c r="D17" s="79" t="s">
        <v>40</v>
      </c>
      <c r="E17" s="79" t="s">
        <v>94</v>
      </c>
      <c r="F17" s="81" t="s">
        <v>102</v>
      </c>
      <c r="G17" s="81" t="s">
        <v>96</v>
      </c>
      <c r="H17" s="79" t="s">
        <v>97</v>
      </c>
      <c r="I17" s="85" t="s">
        <v>103</v>
      </c>
      <c r="J17" s="82"/>
    </row>
    <row r="18" spans="1:10" ht="82.5" x14ac:dyDescent="0.35">
      <c r="A18" s="5" t="s">
        <v>71</v>
      </c>
      <c r="B18" s="6">
        <v>1</v>
      </c>
      <c r="C18" s="5" t="s">
        <v>11</v>
      </c>
      <c r="D18" s="5" t="s">
        <v>41</v>
      </c>
      <c r="E18" s="5" t="s">
        <v>94</v>
      </c>
      <c r="F18" s="9" t="s">
        <v>95</v>
      </c>
      <c r="G18" s="9" t="s">
        <v>96</v>
      </c>
      <c r="H18" s="5" t="s">
        <v>97</v>
      </c>
      <c r="I18" s="34" t="s">
        <v>98</v>
      </c>
      <c r="J18" s="82"/>
    </row>
    <row r="19" spans="1:10" ht="82.5" x14ac:dyDescent="0.35">
      <c r="A19" s="5" t="s">
        <v>71</v>
      </c>
      <c r="B19" s="6">
        <v>8</v>
      </c>
      <c r="C19" s="5" t="s">
        <v>12</v>
      </c>
      <c r="D19" s="5" t="s">
        <v>42</v>
      </c>
      <c r="E19" s="5" t="s">
        <v>94</v>
      </c>
      <c r="F19" s="9" t="s">
        <v>99</v>
      </c>
      <c r="G19" s="9" t="s">
        <v>100</v>
      </c>
      <c r="H19" s="5" t="s">
        <v>68</v>
      </c>
      <c r="I19" s="34" t="s">
        <v>111</v>
      </c>
      <c r="J19" s="82"/>
    </row>
    <row r="20" spans="1:10" ht="83" thickBot="1" x14ac:dyDescent="0.4">
      <c r="A20" s="79" t="s">
        <v>71</v>
      </c>
      <c r="B20" s="80">
        <v>9</v>
      </c>
      <c r="C20" s="79" t="s">
        <v>13</v>
      </c>
      <c r="D20" s="79" t="s">
        <v>43</v>
      </c>
      <c r="E20" s="79" t="s">
        <v>94</v>
      </c>
      <c r="F20" s="81" t="s">
        <v>102</v>
      </c>
      <c r="G20" s="81" t="s">
        <v>96</v>
      </c>
      <c r="H20" s="79" t="s">
        <v>97</v>
      </c>
      <c r="I20" s="85" t="s">
        <v>103</v>
      </c>
      <c r="J20" s="82"/>
    </row>
    <row r="21" spans="1:10" ht="49.5" x14ac:dyDescent="0.35">
      <c r="A21" s="5" t="s">
        <v>74</v>
      </c>
      <c r="B21" s="6">
        <v>2</v>
      </c>
      <c r="C21" s="5" t="s">
        <v>11</v>
      </c>
      <c r="D21" s="5" t="s">
        <v>44</v>
      </c>
      <c r="E21" s="5" t="s">
        <v>94</v>
      </c>
      <c r="F21" s="9" t="s">
        <v>95</v>
      </c>
      <c r="G21" s="9" t="s">
        <v>105</v>
      </c>
      <c r="H21" s="5" t="s">
        <v>106</v>
      </c>
      <c r="I21" s="34" t="s">
        <v>112</v>
      </c>
      <c r="J21" s="82"/>
    </row>
    <row r="22" spans="1:10" x14ac:dyDescent="0.35">
      <c r="A22" s="4"/>
      <c r="F22" s="9"/>
      <c r="G22" s="9"/>
      <c r="H22" s="5"/>
      <c r="I22" s="4"/>
      <c r="J22" s="82"/>
    </row>
    <row r="23" spans="1:10" x14ac:dyDescent="0.35">
      <c r="A23" s="4"/>
      <c r="F23" s="9"/>
      <c r="G23" s="9"/>
      <c r="H23" s="5"/>
      <c r="I23" s="4"/>
    </row>
    <row r="24" spans="1:10" x14ac:dyDescent="0.35">
      <c r="A24" s="4"/>
      <c r="F24" s="9"/>
      <c r="G24" s="9"/>
      <c r="H24" s="5"/>
      <c r="I24" s="4"/>
    </row>
    <row r="25" spans="1:10" x14ac:dyDescent="0.35">
      <c r="A25" s="4"/>
      <c r="F25" s="9"/>
      <c r="G25" s="9"/>
      <c r="H25" s="5"/>
      <c r="I25" s="4"/>
    </row>
    <row r="26" spans="1:10" x14ac:dyDescent="0.35">
      <c r="A26" s="4"/>
      <c r="F26" s="9"/>
      <c r="G26" s="9"/>
      <c r="H26" s="5"/>
      <c r="I26" s="4"/>
    </row>
    <row r="27" spans="1:10" x14ac:dyDescent="0.35">
      <c r="A27" s="4"/>
      <c r="F27" s="9"/>
      <c r="G27" s="9"/>
      <c r="H27" s="5"/>
      <c r="I27" s="4"/>
    </row>
    <row r="28" spans="1:10" x14ac:dyDescent="0.35">
      <c r="A28" s="4"/>
      <c r="H28" s="5"/>
      <c r="I28" s="4"/>
    </row>
    <row r="29" spans="1:10" x14ac:dyDescent="0.35">
      <c r="A29" s="4"/>
      <c r="I29" s="4"/>
    </row>
    <row r="30" spans="1:10" x14ac:dyDescent="0.35">
      <c r="A30" s="4"/>
      <c r="I30" s="4"/>
    </row>
    <row r="31" spans="1:10" x14ac:dyDescent="0.35">
      <c r="A31" s="4"/>
    </row>
    <row r="32" spans="1:10" x14ac:dyDescent="0.35">
      <c r="A32" s="4"/>
    </row>
    <row r="33" spans="1:1" x14ac:dyDescent="0.35">
      <c r="A33" s="4"/>
    </row>
    <row r="34" spans="1:1" x14ac:dyDescent="0.35">
      <c r="A34" s="4"/>
    </row>
  </sheetData>
  <autoFilter ref="A2:K21" xr:uid="{94AAF649-42F4-466A-BE11-44357078F961}"/>
  <dataConsolidate/>
  <dataValidations count="5">
    <dataValidation type="list" allowBlank="1" showInputMessage="1" showErrorMessage="1" sqref="H3:H21" xr:uid="{EF7E0087-1A07-4340-9A8A-E18F2705EAA5}">
      <formula1>INDIRECT($G3)</formula1>
    </dataValidation>
    <dataValidation type="list" allowBlank="1" showInputMessage="1" showErrorMessage="1" sqref="G3:G21" xr:uid="{C824F632-68FF-A845-8310-1160831D753F}">
      <formula1>INDIRECT($F3)</formula1>
    </dataValidation>
    <dataValidation type="list" allowBlank="1" showInputMessage="1" showErrorMessage="1" sqref="F3:F21" xr:uid="{A432778F-7D53-8543-B7B7-9CEB372333AB}">
      <formula1>INDIRECT($E3)</formula1>
    </dataValidation>
    <dataValidation type="list" allowBlank="1" showInputMessage="1" showErrorMessage="1" sqref="D3:D21" xr:uid="{7E1D182A-6AF9-A04C-9AFE-674494F658A5}">
      <formula1>INDIRECT($C3)</formula1>
    </dataValidation>
    <dataValidation type="list" allowBlank="1" showInputMessage="1" showErrorMessage="1" sqref="C3:C21"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E3:E21</xm:sqref>
        </x14:dataValidation>
        <x14:dataValidation type="list" allowBlank="1" showInputMessage="1" showErrorMessage="1" xr:uid="{98578F6C-C527-A048-93A4-A8514981207B}">
          <x14:formula1>
            <xm:f>'Paso 2 Redacción competen'!$F$4:$F$10</xm:f>
          </x14:formula1>
          <xm:sqref>A3:A21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76</v>
      </c>
      <c r="B1" s="44" t="s">
        <v>77</v>
      </c>
      <c r="C1" s="52" t="s">
        <v>78</v>
      </c>
      <c r="D1" s="53" t="s">
        <v>79</v>
      </c>
      <c r="E1" s="53" t="s">
        <v>80</v>
      </c>
      <c r="F1" s="52" t="s">
        <v>81</v>
      </c>
      <c r="G1" s="52" t="s">
        <v>82</v>
      </c>
      <c r="H1" s="52" t="s">
        <v>83</v>
      </c>
      <c r="I1" s="44" t="s">
        <v>84</v>
      </c>
      <c r="J1" s="45"/>
    </row>
    <row r="2" spans="1:11" ht="16.5" x14ac:dyDescent="0.35">
      <c r="A2" s="62" t="s">
        <v>85</v>
      </c>
      <c r="B2" s="59" t="s">
        <v>86</v>
      </c>
      <c r="C2" s="63" t="s">
        <v>87</v>
      </c>
      <c r="D2" s="54" t="s">
        <v>88</v>
      </c>
      <c r="E2" s="54" t="s">
        <v>89</v>
      </c>
      <c r="F2" s="63" t="s">
        <v>90</v>
      </c>
      <c r="G2" s="63" t="s">
        <v>91</v>
      </c>
      <c r="H2" s="63" t="s">
        <v>92</v>
      </c>
      <c r="I2" s="59" t="s">
        <v>93</v>
      </c>
      <c r="J2" s="64"/>
    </row>
    <row r="3" spans="1:11" ht="136.5" hidden="1" customHeight="1" x14ac:dyDescent="0.35">
      <c r="A3" s="4" t="s">
        <v>113</v>
      </c>
      <c r="B3" s="6">
        <v>1</v>
      </c>
      <c r="C3" s="5" t="s">
        <v>11</v>
      </c>
      <c r="D3" s="5" t="s">
        <v>114</v>
      </c>
      <c r="E3" s="5" t="s">
        <v>115</v>
      </c>
      <c r="F3" s="9" t="s">
        <v>116</v>
      </c>
      <c r="G3" s="9" t="s">
        <v>117</v>
      </c>
      <c r="H3" s="5" t="s">
        <v>106</v>
      </c>
      <c r="I3" s="34" t="s">
        <v>118</v>
      </c>
      <c r="J3" s="27"/>
    </row>
    <row r="4" spans="1:11" ht="142.5" hidden="1" customHeight="1" x14ac:dyDescent="0.35">
      <c r="A4" s="4" t="s">
        <v>113</v>
      </c>
      <c r="B4" s="6">
        <v>4</v>
      </c>
      <c r="C4" s="5" t="s">
        <v>12</v>
      </c>
      <c r="D4" s="5" t="s">
        <v>119</v>
      </c>
      <c r="E4" s="5" t="s">
        <v>115</v>
      </c>
      <c r="F4" s="9" t="s">
        <v>120</v>
      </c>
      <c r="G4" s="9" t="s">
        <v>121</v>
      </c>
      <c r="H4" s="5" t="s">
        <v>68</v>
      </c>
      <c r="I4" s="34" t="s">
        <v>122</v>
      </c>
    </row>
    <row r="5" spans="1:11" ht="126" hidden="1" customHeight="1" x14ac:dyDescent="0.35">
      <c r="A5" s="4" t="s">
        <v>113</v>
      </c>
      <c r="B5" s="6">
        <v>7</v>
      </c>
      <c r="C5" s="5" t="s">
        <v>13</v>
      </c>
      <c r="D5" s="5" t="s">
        <v>123</v>
      </c>
      <c r="E5" s="5" t="s">
        <v>115</v>
      </c>
      <c r="F5" s="9" t="s">
        <v>124</v>
      </c>
      <c r="G5" s="9" t="s">
        <v>125</v>
      </c>
      <c r="H5" s="5" t="s">
        <v>126</v>
      </c>
      <c r="I5" s="34" t="s">
        <v>127</v>
      </c>
    </row>
    <row r="6" spans="1:11" ht="99" x14ac:dyDescent="0.35">
      <c r="A6" s="4" t="s">
        <v>128</v>
      </c>
      <c r="B6" s="6">
        <v>1</v>
      </c>
      <c r="C6" s="5" t="s">
        <v>11</v>
      </c>
      <c r="D6" s="5" t="s">
        <v>129</v>
      </c>
      <c r="E6" s="5" t="s">
        <v>115</v>
      </c>
      <c r="F6" s="9" t="s">
        <v>116</v>
      </c>
      <c r="G6" s="9" t="s">
        <v>117</v>
      </c>
      <c r="H6" s="5" t="s">
        <v>106</v>
      </c>
      <c r="I6" s="34" t="s">
        <v>130</v>
      </c>
    </row>
    <row r="7" spans="1:11" ht="115.5" x14ac:dyDescent="0.35">
      <c r="A7" s="4" t="s">
        <v>128</v>
      </c>
      <c r="B7" s="6">
        <v>5</v>
      </c>
      <c r="C7" s="5" t="s">
        <v>12</v>
      </c>
      <c r="D7" s="5" t="s">
        <v>131</v>
      </c>
      <c r="E7" s="5" t="s">
        <v>115</v>
      </c>
      <c r="F7" s="9" t="s">
        <v>120</v>
      </c>
      <c r="G7" s="9" t="s">
        <v>121</v>
      </c>
      <c r="H7" s="5" t="s">
        <v>68</v>
      </c>
      <c r="I7" s="34" t="s">
        <v>122</v>
      </c>
    </row>
    <row r="8" spans="1:11" ht="82.5" x14ac:dyDescent="0.35">
      <c r="A8" s="4" t="s">
        <v>128</v>
      </c>
      <c r="B8" s="6">
        <v>7</v>
      </c>
      <c r="C8" s="5" t="s">
        <v>13</v>
      </c>
      <c r="D8" s="5" t="s">
        <v>123</v>
      </c>
      <c r="E8" s="5" t="s">
        <v>115</v>
      </c>
      <c r="F8" s="9" t="s">
        <v>124</v>
      </c>
      <c r="G8" s="9" t="s">
        <v>125</v>
      </c>
      <c r="H8" s="5" t="s">
        <v>126</v>
      </c>
      <c r="I8" s="34" t="s">
        <v>127</v>
      </c>
      <c r="J8" s="11"/>
    </row>
    <row r="9" spans="1:11" ht="99" hidden="1" x14ac:dyDescent="0.35">
      <c r="A9" s="4" t="s">
        <v>132</v>
      </c>
      <c r="B9" s="6">
        <v>2</v>
      </c>
      <c r="C9" s="5" t="s">
        <v>11</v>
      </c>
      <c r="D9" s="5" t="s">
        <v>133</v>
      </c>
      <c r="E9" s="5" t="s">
        <v>115</v>
      </c>
      <c r="F9" s="9" t="s">
        <v>116</v>
      </c>
      <c r="G9" s="9" t="s">
        <v>117</v>
      </c>
      <c r="H9" s="5" t="s">
        <v>106</v>
      </c>
      <c r="I9" s="34" t="s">
        <v>130</v>
      </c>
      <c r="J9" s="11"/>
    </row>
    <row r="10" spans="1:11" ht="115.5" hidden="1" x14ac:dyDescent="0.35">
      <c r="A10" s="4" t="s">
        <v>132</v>
      </c>
      <c r="B10" s="6">
        <v>6</v>
      </c>
      <c r="C10" s="5" t="s">
        <v>12</v>
      </c>
      <c r="D10" s="5" t="s">
        <v>134</v>
      </c>
      <c r="E10" s="5" t="s">
        <v>115</v>
      </c>
      <c r="F10" s="9" t="s">
        <v>120</v>
      </c>
      <c r="G10" s="9" t="s">
        <v>121</v>
      </c>
      <c r="H10" s="5" t="s">
        <v>68</v>
      </c>
      <c r="I10" s="34" t="s">
        <v>122</v>
      </c>
    </row>
    <row r="11" spans="1:11" ht="82.5" hidden="1" x14ac:dyDescent="0.5">
      <c r="A11" s="56" t="s">
        <v>132</v>
      </c>
      <c r="B11" s="42">
        <v>7</v>
      </c>
      <c r="C11" s="43" t="s">
        <v>13</v>
      </c>
      <c r="D11" s="5" t="s">
        <v>135</v>
      </c>
      <c r="E11" s="43" t="s">
        <v>115</v>
      </c>
      <c r="F11" s="57" t="s">
        <v>124</v>
      </c>
      <c r="G11" s="57" t="s">
        <v>125</v>
      </c>
      <c r="H11" s="43" t="s">
        <v>126</v>
      </c>
      <c r="I11" s="34" t="s">
        <v>127</v>
      </c>
      <c r="J11" s="56"/>
      <c r="K11" s="49"/>
    </row>
    <row r="12" spans="1:11" ht="49.5" hidden="1" x14ac:dyDescent="0.5">
      <c r="A12" s="4" t="s">
        <v>74</v>
      </c>
      <c r="B12" s="6">
        <v>3</v>
      </c>
      <c r="C12" s="5" t="s">
        <v>11</v>
      </c>
      <c r="D12" s="5" t="s">
        <v>44</v>
      </c>
      <c r="E12" s="5" t="s">
        <v>94</v>
      </c>
      <c r="F12" s="9" t="s">
        <v>95</v>
      </c>
      <c r="G12" s="9" t="s">
        <v>105</v>
      </c>
      <c r="H12" s="5" t="s">
        <v>106</v>
      </c>
      <c r="I12" s="55" t="s">
        <v>112</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competen'!$F$4:$F$10</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92"/>
  <sheetViews>
    <sheetView zoomScaleNormal="100" workbookViewId="0"/>
  </sheetViews>
  <sheetFormatPr baseColWidth="10" defaultColWidth="10.7265625" defaultRowHeight="14.5" x14ac:dyDescent="0.35"/>
  <cols>
    <col min="1" max="1" width="84.81640625" style="13" customWidth="1"/>
    <col min="2" max="2" width="51.26953125" style="13" customWidth="1"/>
    <col min="3" max="3" width="54.7265625" style="26" customWidth="1"/>
    <col min="4" max="5" width="46.453125" style="26" customWidth="1"/>
    <col min="6" max="6" width="38.26953125" style="26" customWidth="1"/>
    <col min="7" max="16384" width="10.7265625" style="13"/>
  </cols>
  <sheetData>
    <row r="1" spans="1:6" s="83" customFormat="1" ht="52" x14ac:dyDescent="0.35">
      <c r="A1" s="73" t="s">
        <v>136</v>
      </c>
      <c r="B1" s="73" t="s">
        <v>137</v>
      </c>
      <c r="C1" s="73" t="s">
        <v>138</v>
      </c>
      <c r="D1" s="73" t="s">
        <v>139</v>
      </c>
      <c r="E1" s="73" t="s">
        <v>140</v>
      </c>
      <c r="F1" s="73" t="s">
        <v>141</v>
      </c>
    </row>
    <row r="2" spans="1:6" s="83" customFormat="1" ht="33" x14ac:dyDescent="0.35">
      <c r="A2" s="76" t="s">
        <v>142</v>
      </c>
      <c r="B2" s="76" t="s">
        <v>143</v>
      </c>
      <c r="C2" s="76" t="s">
        <v>144</v>
      </c>
      <c r="D2" s="76" t="s">
        <v>145</v>
      </c>
      <c r="E2" s="76" t="s">
        <v>146</v>
      </c>
      <c r="F2" s="76" t="s">
        <v>147</v>
      </c>
    </row>
    <row r="3" spans="1:6" s="137" customFormat="1" ht="82.5" x14ac:dyDescent="0.35">
      <c r="A3" s="119" t="s">
        <v>98</v>
      </c>
      <c r="B3" s="163" t="s">
        <v>148</v>
      </c>
      <c r="C3" s="150" t="s">
        <v>149</v>
      </c>
      <c r="D3" s="84" t="s">
        <v>150</v>
      </c>
      <c r="E3" s="163" t="s">
        <v>151</v>
      </c>
      <c r="F3" s="58" t="s">
        <v>152</v>
      </c>
    </row>
    <row r="4" spans="1:6" s="137" customFormat="1" ht="33" x14ac:dyDescent="0.35">
      <c r="A4" s="119" t="s">
        <v>153</v>
      </c>
      <c r="B4" s="159"/>
      <c r="C4" s="151"/>
      <c r="D4" s="58" t="s">
        <v>154</v>
      </c>
      <c r="E4" s="159"/>
      <c r="F4" s="119" t="s">
        <v>155</v>
      </c>
    </row>
    <row r="5" spans="1:6" s="137" customFormat="1" ht="49.5" x14ac:dyDescent="0.35">
      <c r="A5" s="119" t="s">
        <v>103</v>
      </c>
      <c r="B5" s="159"/>
      <c r="C5" s="151"/>
      <c r="D5" s="58" t="s">
        <v>156</v>
      </c>
      <c r="E5" s="159"/>
      <c r="F5" s="119" t="s">
        <v>157</v>
      </c>
    </row>
    <row r="6" spans="1:6" s="137" customFormat="1" ht="49.5" x14ac:dyDescent="0.35">
      <c r="A6" s="119" t="s">
        <v>104</v>
      </c>
      <c r="B6" s="159"/>
      <c r="C6" s="151"/>
      <c r="D6" s="58"/>
      <c r="E6" s="159"/>
      <c r="F6" s="119"/>
    </row>
    <row r="7" spans="1:6" s="137" customFormat="1" ht="49.5" x14ac:dyDescent="0.35">
      <c r="A7" s="119" t="s">
        <v>107</v>
      </c>
      <c r="B7" s="159"/>
      <c r="C7" s="151"/>
      <c r="D7" s="58"/>
      <c r="E7" s="159"/>
      <c r="F7" s="119"/>
    </row>
    <row r="8" spans="1:6" s="137" customFormat="1" ht="33" x14ac:dyDescent="0.35">
      <c r="A8" s="119" t="s">
        <v>108</v>
      </c>
      <c r="B8" s="159"/>
      <c r="C8" s="151"/>
      <c r="D8" s="58"/>
      <c r="E8" s="159"/>
      <c r="F8" s="119"/>
    </row>
    <row r="9" spans="1:6" s="137" customFormat="1" ht="33" x14ac:dyDescent="0.35">
      <c r="A9" s="119" t="s">
        <v>109</v>
      </c>
      <c r="B9" s="159"/>
      <c r="C9" s="151"/>
      <c r="D9" s="58"/>
      <c r="E9" s="159"/>
      <c r="F9" s="119"/>
    </row>
    <row r="10" spans="1:6" s="137" customFormat="1" ht="49.5" x14ac:dyDescent="0.35">
      <c r="A10" s="119" t="s">
        <v>110</v>
      </c>
      <c r="B10" s="159"/>
      <c r="C10" s="151"/>
      <c r="D10" s="138"/>
      <c r="E10" s="159"/>
      <c r="F10" s="119"/>
    </row>
    <row r="11" spans="1:6" s="137" customFormat="1" ht="33.5" thickBot="1" x14ac:dyDescent="0.4">
      <c r="A11" s="135" t="s">
        <v>111</v>
      </c>
      <c r="B11" s="162"/>
      <c r="C11" s="164"/>
      <c r="D11" s="138"/>
      <c r="E11" s="162"/>
      <c r="F11" s="119"/>
    </row>
    <row r="12" spans="1:6" s="137" customFormat="1" ht="82.5" x14ac:dyDescent="0.35">
      <c r="A12" s="119" t="s">
        <v>98</v>
      </c>
      <c r="B12" s="158" t="s">
        <v>158</v>
      </c>
      <c r="C12" s="168" t="s">
        <v>159</v>
      </c>
      <c r="D12" s="88" t="s">
        <v>154</v>
      </c>
      <c r="E12" s="158" t="s">
        <v>160</v>
      </c>
      <c r="F12" s="134" t="s">
        <v>155</v>
      </c>
    </row>
    <row r="13" spans="1:6" s="137" customFormat="1" ht="33" x14ac:dyDescent="0.35">
      <c r="A13" s="119" t="s">
        <v>153</v>
      </c>
      <c r="B13" s="159"/>
      <c r="C13" s="151"/>
      <c r="D13" s="58" t="s">
        <v>161</v>
      </c>
      <c r="E13" s="159"/>
      <c r="F13" s="119" t="s">
        <v>157</v>
      </c>
    </row>
    <row r="14" spans="1:6" s="137" customFormat="1" ht="49.5" x14ac:dyDescent="0.35">
      <c r="A14" s="119" t="s">
        <v>103</v>
      </c>
      <c r="B14" s="159"/>
      <c r="C14" s="151"/>
      <c r="D14" s="58" t="s">
        <v>150</v>
      </c>
      <c r="E14" s="159"/>
      <c r="F14" s="119" t="s">
        <v>152</v>
      </c>
    </row>
    <row r="15" spans="1:6" s="137" customFormat="1" ht="49.5" x14ac:dyDescent="0.35">
      <c r="A15" s="119" t="s">
        <v>104</v>
      </c>
      <c r="B15" s="159"/>
      <c r="C15" s="151"/>
      <c r="D15" s="58"/>
      <c r="E15" s="159"/>
      <c r="F15" s="119"/>
    </row>
    <row r="16" spans="1:6" s="137" customFormat="1" ht="49.5" x14ac:dyDescent="0.35">
      <c r="A16" s="119" t="s">
        <v>107</v>
      </c>
      <c r="B16" s="159"/>
      <c r="C16" s="151"/>
      <c r="D16" s="58"/>
      <c r="E16" s="159"/>
      <c r="F16" s="119"/>
    </row>
    <row r="17" spans="1:6" s="137" customFormat="1" ht="33" x14ac:dyDescent="0.35">
      <c r="A17" s="119" t="s">
        <v>108</v>
      </c>
      <c r="B17" s="159"/>
      <c r="C17" s="151"/>
      <c r="D17" s="58"/>
      <c r="E17" s="159"/>
      <c r="F17" s="119"/>
    </row>
    <row r="18" spans="1:6" s="137" customFormat="1" ht="33" x14ac:dyDescent="0.35">
      <c r="A18" s="119" t="s">
        <v>109</v>
      </c>
      <c r="B18" s="159"/>
      <c r="C18" s="151"/>
      <c r="D18" s="58"/>
      <c r="E18" s="159"/>
      <c r="F18" s="119"/>
    </row>
    <row r="19" spans="1:6" s="137" customFormat="1" ht="49.5" x14ac:dyDescent="0.35">
      <c r="A19" s="119" t="s">
        <v>110</v>
      </c>
      <c r="B19" s="159"/>
      <c r="C19" s="151"/>
      <c r="D19" s="58"/>
      <c r="E19" s="159"/>
      <c r="F19" s="119"/>
    </row>
    <row r="20" spans="1:6" s="137" customFormat="1" ht="33.5" thickBot="1" x14ac:dyDescent="0.4">
      <c r="A20" s="135" t="s">
        <v>111</v>
      </c>
      <c r="B20" s="162"/>
      <c r="C20" s="164"/>
      <c r="D20" s="86"/>
      <c r="E20" s="162"/>
      <c r="F20" s="135"/>
    </row>
    <row r="21" spans="1:6" s="137" customFormat="1" ht="82.5" x14ac:dyDescent="0.35">
      <c r="A21" s="119" t="s">
        <v>98</v>
      </c>
      <c r="B21" s="159" t="s">
        <v>162</v>
      </c>
      <c r="C21" s="168" t="s">
        <v>163</v>
      </c>
      <c r="D21" s="58" t="s">
        <v>154</v>
      </c>
      <c r="E21" s="158" t="s">
        <v>164</v>
      </c>
      <c r="F21" s="134" t="s">
        <v>155</v>
      </c>
    </row>
    <row r="22" spans="1:6" s="137" customFormat="1" ht="33" x14ac:dyDescent="0.35">
      <c r="A22" s="119" t="s">
        <v>153</v>
      </c>
      <c r="B22" s="159"/>
      <c r="C22" s="151"/>
      <c r="D22" s="58" t="s">
        <v>161</v>
      </c>
      <c r="E22" s="159"/>
      <c r="F22" s="119" t="s">
        <v>157</v>
      </c>
    </row>
    <row r="23" spans="1:6" s="137" customFormat="1" ht="49.5" x14ac:dyDescent="0.35">
      <c r="A23" s="119" t="s">
        <v>103</v>
      </c>
      <c r="B23" s="159"/>
      <c r="C23" s="151"/>
      <c r="D23" s="58" t="s">
        <v>165</v>
      </c>
      <c r="E23" s="159"/>
      <c r="F23" s="119" t="s">
        <v>152</v>
      </c>
    </row>
    <row r="24" spans="1:6" s="137" customFormat="1" ht="49.5" x14ac:dyDescent="0.35">
      <c r="A24" s="119" t="s">
        <v>104</v>
      </c>
      <c r="B24" s="159"/>
      <c r="C24" s="151"/>
      <c r="D24" s="58"/>
      <c r="E24" s="159"/>
      <c r="F24" s="58"/>
    </row>
    <row r="25" spans="1:6" s="137" customFormat="1" ht="49.5" x14ac:dyDescent="0.35">
      <c r="A25" s="119" t="s">
        <v>107</v>
      </c>
      <c r="B25" s="159"/>
      <c r="C25" s="151"/>
      <c r="D25" s="58"/>
      <c r="E25" s="159"/>
      <c r="F25" s="58"/>
    </row>
    <row r="26" spans="1:6" s="137" customFormat="1" ht="33" x14ac:dyDescent="0.35">
      <c r="A26" s="119" t="s">
        <v>108</v>
      </c>
      <c r="B26" s="159"/>
      <c r="C26" s="151"/>
      <c r="D26" s="58"/>
      <c r="E26" s="159"/>
      <c r="F26" s="58"/>
    </row>
    <row r="27" spans="1:6" s="137" customFormat="1" ht="33" x14ac:dyDescent="0.35">
      <c r="A27" s="119" t="s">
        <v>109</v>
      </c>
      <c r="B27" s="159"/>
      <c r="C27" s="151"/>
      <c r="D27" s="58"/>
      <c r="E27" s="159"/>
      <c r="F27" s="58"/>
    </row>
    <row r="28" spans="1:6" s="137" customFormat="1" ht="49.5" x14ac:dyDescent="0.35">
      <c r="A28" s="119" t="s">
        <v>110</v>
      </c>
      <c r="B28" s="159"/>
      <c r="C28" s="151"/>
      <c r="D28" s="58"/>
      <c r="E28" s="159"/>
      <c r="F28" s="58"/>
    </row>
    <row r="29" spans="1:6" s="137" customFormat="1" ht="33.5" thickBot="1" x14ac:dyDescent="0.4">
      <c r="A29" s="135" t="s">
        <v>111</v>
      </c>
      <c r="B29" s="159"/>
      <c r="C29" s="164"/>
      <c r="D29" s="58"/>
      <c r="E29" s="162"/>
      <c r="F29" s="58"/>
    </row>
    <row r="30" spans="1:6" s="137" customFormat="1" ht="82.5" x14ac:dyDescent="0.35">
      <c r="A30" s="119" t="s">
        <v>98</v>
      </c>
      <c r="B30" s="158" t="s">
        <v>166</v>
      </c>
      <c r="C30" s="168" t="s">
        <v>167</v>
      </c>
      <c r="D30" s="88" t="s">
        <v>168</v>
      </c>
      <c r="E30" s="158" t="s">
        <v>169</v>
      </c>
      <c r="F30" s="134" t="s">
        <v>157</v>
      </c>
    </row>
    <row r="31" spans="1:6" s="137" customFormat="1" ht="33" x14ac:dyDescent="0.35">
      <c r="A31" s="119" t="s">
        <v>153</v>
      </c>
      <c r="B31" s="159"/>
      <c r="C31" s="151"/>
      <c r="D31" s="58" t="s">
        <v>154</v>
      </c>
      <c r="E31" s="159"/>
      <c r="F31" s="119" t="s">
        <v>155</v>
      </c>
    </row>
    <row r="32" spans="1:6" s="137" customFormat="1" ht="49.5" x14ac:dyDescent="0.35">
      <c r="A32" s="119" t="s">
        <v>103</v>
      </c>
      <c r="B32" s="159"/>
      <c r="C32" s="151"/>
      <c r="D32" s="58"/>
      <c r="E32" s="159"/>
      <c r="F32" s="119"/>
    </row>
    <row r="33" spans="1:6" s="137" customFormat="1" ht="49.5" x14ac:dyDescent="0.35">
      <c r="A33" s="119" t="s">
        <v>104</v>
      </c>
      <c r="B33" s="159"/>
      <c r="C33" s="151"/>
      <c r="D33" s="58"/>
      <c r="E33" s="159"/>
      <c r="F33" s="119"/>
    </row>
    <row r="34" spans="1:6" s="137" customFormat="1" ht="49.5" x14ac:dyDescent="0.35">
      <c r="A34" s="119" t="s">
        <v>107</v>
      </c>
      <c r="B34" s="159"/>
      <c r="C34" s="151"/>
      <c r="D34" s="58"/>
      <c r="E34" s="159"/>
      <c r="F34" s="119"/>
    </row>
    <row r="35" spans="1:6" s="137" customFormat="1" ht="33" x14ac:dyDescent="0.35">
      <c r="A35" s="119" t="s">
        <v>108</v>
      </c>
      <c r="B35" s="159"/>
      <c r="C35" s="151"/>
      <c r="D35" s="58"/>
      <c r="E35" s="159"/>
      <c r="F35" s="119"/>
    </row>
    <row r="36" spans="1:6" s="137" customFormat="1" ht="33" x14ac:dyDescent="0.35">
      <c r="A36" s="119" t="s">
        <v>109</v>
      </c>
      <c r="B36" s="159"/>
      <c r="C36" s="151"/>
      <c r="D36" s="58"/>
      <c r="E36" s="159"/>
      <c r="F36" s="119"/>
    </row>
    <row r="37" spans="1:6" s="137" customFormat="1" ht="49.5" x14ac:dyDescent="0.35">
      <c r="A37" s="119" t="s">
        <v>110</v>
      </c>
      <c r="B37" s="159"/>
      <c r="C37" s="151"/>
      <c r="D37" s="58"/>
      <c r="E37" s="159"/>
      <c r="F37" s="119"/>
    </row>
    <row r="38" spans="1:6" s="137" customFormat="1" ht="33.5" thickBot="1" x14ac:dyDescent="0.4">
      <c r="A38" s="135" t="s">
        <v>111</v>
      </c>
      <c r="B38" s="159"/>
      <c r="C38" s="151"/>
      <c r="D38" s="58"/>
      <c r="E38" s="162"/>
      <c r="F38" s="119"/>
    </row>
    <row r="39" spans="1:6" s="137" customFormat="1" ht="82.5" x14ac:dyDescent="0.35">
      <c r="A39" s="119" t="s">
        <v>98</v>
      </c>
      <c r="B39" s="165" t="s">
        <v>170</v>
      </c>
      <c r="C39" s="168" t="s">
        <v>171</v>
      </c>
      <c r="D39" s="88" t="s">
        <v>154</v>
      </c>
      <c r="E39" s="158" t="s">
        <v>172</v>
      </c>
      <c r="F39" s="134" t="s">
        <v>155</v>
      </c>
    </row>
    <row r="40" spans="1:6" s="137" customFormat="1" ht="33" x14ac:dyDescent="0.35">
      <c r="A40" s="119" t="s">
        <v>153</v>
      </c>
      <c r="B40" s="166"/>
      <c r="C40" s="151"/>
      <c r="D40" s="58" t="s">
        <v>161</v>
      </c>
      <c r="E40" s="159"/>
      <c r="F40" s="119" t="s">
        <v>157</v>
      </c>
    </row>
    <row r="41" spans="1:6" s="137" customFormat="1" ht="49.5" x14ac:dyDescent="0.35">
      <c r="A41" s="119" t="s">
        <v>103</v>
      </c>
      <c r="B41" s="166"/>
      <c r="C41" s="151"/>
      <c r="D41" s="58" t="s">
        <v>150</v>
      </c>
      <c r="E41" s="159"/>
      <c r="F41" s="119" t="s">
        <v>152</v>
      </c>
    </row>
    <row r="42" spans="1:6" s="137" customFormat="1" ht="49.5" x14ac:dyDescent="0.35">
      <c r="A42" s="119" t="s">
        <v>104</v>
      </c>
      <c r="B42" s="166"/>
      <c r="C42" s="151"/>
      <c r="D42" s="58"/>
      <c r="E42" s="159"/>
      <c r="F42" s="119"/>
    </row>
    <row r="43" spans="1:6" s="137" customFormat="1" ht="49.5" x14ac:dyDescent="0.35">
      <c r="A43" s="119" t="s">
        <v>107</v>
      </c>
      <c r="B43" s="166"/>
      <c r="C43" s="151"/>
      <c r="D43" s="58"/>
      <c r="E43" s="159"/>
      <c r="F43" s="119"/>
    </row>
    <row r="44" spans="1:6" s="137" customFormat="1" ht="33" x14ac:dyDescent="0.35">
      <c r="A44" s="119" t="s">
        <v>108</v>
      </c>
      <c r="B44" s="166"/>
      <c r="C44" s="151"/>
      <c r="D44" s="58"/>
      <c r="E44" s="159"/>
      <c r="F44" s="119"/>
    </row>
    <row r="45" spans="1:6" s="137" customFormat="1" ht="33" x14ac:dyDescent="0.35">
      <c r="A45" s="119" t="s">
        <v>109</v>
      </c>
      <c r="B45" s="166"/>
      <c r="C45" s="151"/>
      <c r="D45" s="58"/>
      <c r="E45" s="159"/>
      <c r="F45" s="119"/>
    </row>
    <row r="46" spans="1:6" s="137" customFormat="1" ht="49.5" x14ac:dyDescent="0.35">
      <c r="A46" s="119" t="s">
        <v>110</v>
      </c>
      <c r="B46" s="166"/>
      <c r="C46" s="151"/>
      <c r="D46" s="58"/>
      <c r="E46" s="159"/>
      <c r="F46" s="119"/>
    </row>
    <row r="47" spans="1:6" s="137" customFormat="1" ht="33.5" thickBot="1" x14ac:dyDescent="0.4">
      <c r="A47" s="135" t="s">
        <v>111</v>
      </c>
      <c r="B47" s="167"/>
      <c r="C47" s="164"/>
      <c r="D47" s="86"/>
      <c r="E47" s="162"/>
      <c r="F47" s="135"/>
    </row>
    <row r="48" spans="1:6" s="137" customFormat="1" ht="82.5" x14ac:dyDescent="0.35">
      <c r="A48" s="119" t="s">
        <v>98</v>
      </c>
      <c r="B48" s="165" t="s">
        <v>173</v>
      </c>
      <c r="C48" s="168" t="s">
        <v>174</v>
      </c>
      <c r="D48" s="58" t="s">
        <v>154</v>
      </c>
      <c r="E48" s="158" t="s">
        <v>175</v>
      </c>
      <c r="F48" s="119" t="s">
        <v>155</v>
      </c>
    </row>
    <row r="49" spans="1:6" s="137" customFormat="1" ht="49.5" x14ac:dyDescent="0.35">
      <c r="A49" s="119" t="s">
        <v>153</v>
      </c>
      <c r="B49" s="166"/>
      <c r="C49" s="151"/>
      <c r="D49" s="58" t="s">
        <v>176</v>
      </c>
      <c r="E49" s="159"/>
      <c r="F49" s="119" t="s">
        <v>157</v>
      </c>
    </row>
    <row r="50" spans="1:6" s="137" customFormat="1" ht="49.5" x14ac:dyDescent="0.35">
      <c r="A50" s="119" t="s">
        <v>103</v>
      </c>
      <c r="B50" s="166"/>
      <c r="C50" s="151"/>
      <c r="D50" s="58" t="s">
        <v>165</v>
      </c>
      <c r="E50" s="159"/>
      <c r="F50" s="119" t="s">
        <v>152</v>
      </c>
    </row>
    <row r="51" spans="1:6" s="137" customFormat="1" ht="49.5" x14ac:dyDescent="0.35">
      <c r="A51" s="119" t="s">
        <v>104</v>
      </c>
      <c r="B51" s="166"/>
      <c r="C51" s="151"/>
      <c r="D51" s="58"/>
      <c r="E51" s="159"/>
      <c r="F51" s="119"/>
    </row>
    <row r="52" spans="1:6" s="137" customFormat="1" ht="49.5" x14ac:dyDescent="0.35">
      <c r="A52" s="119" t="s">
        <v>107</v>
      </c>
      <c r="B52" s="166"/>
      <c r="C52" s="151"/>
      <c r="D52" s="58"/>
      <c r="E52" s="159"/>
      <c r="F52" s="119"/>
    </row>
    <row r="53" spans="1:6" s="137" customFormat="1" ht="33" x14ac:dyDescent="0.35">
      <c r="A53" s="119" t="s">
        <v>108</v>
      </c>
      <c r="B53" s="166"/>
      <c r="C53" s="151"/>
      <c r="D53" s="58"/>
      <c r="E53" s="159"/>
      <c r="F53" s="119"/>
    </row>
    <row r="54" spans="1:6" s="137" customFormat="1" ht="33" x14ac:dyDescent="0.35">
      <c r="A54" s="119" t="s">
        <v>109</v>
      </c>
      <c r="B54" s="166"/>
      <c r="C54" s="151"/>
      <c r="D54" s="58"/>
      <c r="E54" s="159"/>
      <c r="F54" s="119"/>
    </row>
    <row r="55" spans="1:6" s="137" customFormat="1" ht="49.5" x14ac:dyDescent="0.35">
      <c r="A55" s="119" t="s">
        <v>110</v>
      </c>
      <c r="B55" s="166"/>
      <c r="C55" s="151"/>
      <c r="D55" s="58"/>
      <c r="E55" s="159"/>
      <c r="F55" s="58"/>
    </row>
    <row r="56" spans="1:6" s="137" customFormat="1" ht="33.5" thickBot="1" x14ac:dyDescent="0.4">
      <c r="A56" s="135" t="s">
        <v>111</v>
      </c>
      <c r="B56" s="167"/>
      <c r="C56" s="164"/>
      <c r="D56" s="93"/>
      <c r="E56" s="160"/>
      <c r="F56" s="136"/>
    </row>
    <row r="57" spans="1:6" s="137" customFormat="1" ht="82.5" x14ac:dyDescent="0.35">
      <c r="A57" s="119" t="s">
        <v>98</v>
      </c>
      <c r="B57" s="166" t="s">
        <v>177</v>
      </c>
      <c r="C57" s="151" t="s">
        <v>178</v>
      </c>
      <c r="D57" s="58" t="s">
        <v>154</v>
      </c>
      <c r="E57" s="161" t="s">
        <v>179</v>
      </c>
      <c r="F57" s="119" t="s">
        <v>155</v>
      </c>
    </row>
    <row r="58" spans="1:6" s="137" customFormat="1" ht="33" x14ac:dyDescent="0.35">
      <c r="A58" s="119" t="s">
        <v>153</v>
      </c>
      <c r="B58" s="166"/>
      <c r="C58" s="151"/>
      <c r="D58" s="58" t="s">
        <v>161</v>
      </c>
      <c r="E58" s="159"/>
      <c r="F58" s="119" t="s">
        <v>180</v>
      </c>
    </row>
    <row r="59" spans="1:6" s="137" customFormat="1" ht="49.5" x14ac:dyDescent="0.35">
      <c r="A59" s="119" t="s">
        <v>103</v>
      </c>
      <c r="B59" s="166"/>
      <c r="C59" s="151"/>
      <c r="D59" s="58" t="s">
        <v>165</v>
      </c>
      <c r="E59" s="159"/>
      <c r="F59" s="119" t="s">
        <v>152</v>
      </c>
    </row>
    <row r="60" spans="1:6" s="137" customFormat="1" ht="49.5" x14ac:dyDescent="0.35">
      <c r="A60" s="119" t="s">
        <v>104</v>
      </c>
      <c r="B60" s="166"/>
      <c r="C60" s="151"/>
      <c r="D60" s="58"/>
      <c r="E60" s="159"/>
      <c r="F60" s="119"/>
    </row>
    <row r="61" spans="1:6" s="137" customFormat="1" ht="49.5" x14ac:dyDescent="0.35">
      <c r="A61" s="119" t="s">
        <v>107</v>
      </c>
      <c r="B61" s="166"/>
      <c r="C61" s="151"/>
      <c r="D61" s="58"/>
      <c r="E61" s="159"/>
      <c r="F61" s="119"/>
    </row>
    <row r="62" spans="1:6" s="137" customFormat="1" ht="33" x14ac:dyDescent="0.35">
      <c r="A62" s="119" t="s">
        <v>108</v>
      </c>
      <c r="B62" s="166"/>
      <c r="C62" s="151"/>
      <c r="D62" s="58"/>
      <c r="E62" s="159"/>
      <c r="F62" s="119"/>
    </row>
    <row r="63" spans="1:6" s="137" customFormat="1" ht="33" x14ac:dyDescent="0.35">
      <c r="A63" s="119" t="s">
        <v>109</v>
      </c>
      <c r="B63" s="166"/>
      <c r="C63" s="151"/>
      <c r="D63" s="58"/>
      <c r="E63" s="159"/>
      <c r="F63" s="119"/>
    </row>
    <row r="64" spans="1:6" s="137" customFormat="1" ht="49.5" x14ac:dyDescent="0.35">
      <c r="A64" s="119" t="s">
        <v>110</v>
      </c>
      <c r="B64" s="166"/>
      <c r="C64" s="151"/>
      <c r="D64" s="58"/>
      <c r="E64" s="159"/>
      <c r="F64" s="119"/>
    </row>
    <row r="65" spans="1:6" s="137" customFormat="1" ht="33.5" thickBot="1" x14ac:dyDescent="0.4">
      <c r="A65" s="135" t="s">
        <v>111</v>
      </c>
      <c r="B65" s="169"/>
      <c r="C65" s="170"/>
      <c r="D65" s="93"/>
      <c r="E65" s="160"/>
      <c r="F65" s="136"/>
    </row>
    <row r="66" spans="1:6" s="137" customFormat="1" ht="82.5" x14ac:dyDescent="0.35">
      <c r="A66" s="119" t="s">
        <v>98</v>
      </c>
      <c r="B66" s="166" t="s">
        <v>181</v>
      </c>
      <c r="C66" s="171" t="s">
        <v>182</v>
      </c>
      <c r="D66" s="58" t="s">
        <v>154</v>
      </c>
      <c r="E66" s="161" t="s">
        <v>183</v>
      </c>
      <c r="F66" s="119" t="s">
        <v>155</v>
      </c>
    </row>
    <row r="67" spans="1:6" s="137" customFormat="1" ht="33" x14ac:dyDescent="0.35">
      <c r="A67" s="119" t="s">
        <v>153</v>
      </c>
      <c r="B67" s="166"/>
      <c r="C67" s="151"/>
      <c r="D67" s="58" t="s">
        <v>161</v>
      </c>
      <c r="E67" s="159"/>
      <c r="F67" s="119" t="s">
        <v>157</v>
      </c>
    </row>
    <row r="68" spans="1:6" s="137" customFormat="1" ht="49.5" x14ac:dyDescent="0.35">
      <c r="A68" s="119" t="s">
        <v>103</v>
      </c>
      <c r="B68" s="166"/>
      <c r="C68" s="151"/>
      <c r="D68" s="58" t="s">
        <v>150</v>
      </c>
      <c r="E68" s="159"/>
      <c r="F68" s="119" t="s">
        <v>152</v>
      </c>
    </row>
    <row r="69" spans="1:6" s="137" customFormat="1" ht="49.5" x14ac:dyDescent="0.35">
      <c r="A69" s="119" t="s">
        <v>104</v>
      </c>
      <c r="B69" s="166"/>
      <c r="C69" s="151"/>
      <c r="D69" s="58"/>
      <c r="E69" s="159"/>
      <c r="F69" s="119"/>
    </row>
    <row r="70" spans="1:6" s="137" customFormat="1" ht="49.5" x14ac:dyDescent="0.35">
      <c r="A70" s="119" t="s">
        <v>107</v>
      </c>
      <c r="B70" s="166"/>
      <c r="C70" s="151"/>
      <c r="D70" s="58"/>
      <c r="E70" s="159"/>
      <c r="F70" s="119"/>
    </row>
    <row r="71" spans="1:6" s="137" customFormat="1" ht="33" x14ac:dyDescent="0.35">
      <c r="A71" s="119" t="s">
        <v>108</v>
      </c>
      <c r="B71" s="166"/>
      <c r="C71" s="151"/>
      <c r="D71" s="58"/>
      <c r="E71" s="159"/>
      <c r="F71" s="119"/>
    </row>
    <row r="72" spans="1:6" s="137" customFormat="1" ht="33" x14ac:dyDescent="0.35">
      <c r="A72" s="119" t="s">
        <v>109</v>
      </c>
      <c r="B72" s="166"/>
      <c r="C72" s="151"/>
      <c r="D72" s="58"/>
      <c r="E72" s="159"/>
      <c r="F72" s="119"/>
    </row>
    <row r="73" spans="1:6" s="137" customFormat="1" ht="49.5" x14ac:dyDescent="0.35">
      <c r="A73" s="119" t="s">
        <v>110</v>
      </c>
      <c r="B73" s="166"/>
      <c r="C73" s="151"/>
      <c r="D73" s="58"/>
      <c r="E73" s="159"/>
      <c r="F73" s="119"/>
    </row>
    <row r="74" spans="1:6" s="137" customFormat="1" ht="33.5" thickBot="1" x14ac:dyDescent="0.4">
      <c r="A74" s="135" t="s">
        <v>111</v>
      </c>
      <c r="B74" s="167"/>
      <c r="C74" s="164"/>
      <c r="D74" s="86"/>
      <c r="E74" s="162"/>
      <c r="F74" s="135"/>
    </row>
    <row r="75" spans="1:6" ht="16.5" x14ac:dyDescent="0.35">
      <c r="A75" s="34"/>
    </row>
    <row r="76" spans="1:6" ht="16.5" x14ac:dyDescent="0.35">
      <c r="A76" s="34"/>
    </row>
    <row r="77" spans="1:6" ht="16.5" x14ac:dyDescent="0.35">
      <c r="A77" s="34"/>
    </row>
    <row r="78" spans="1:6" ht="16.5" x14ac:dyDescent="0.35">
      <c r="A78" s="34"/>
    </row>
    <row r="79" spans="1:6" ht="16.5" x14ac:dyDescent="0.35">
      <c r="A79" s="34"/>
    </row>
    <row r="80" spans="1:6" ht="16.5" x14ac:dyDescent="0.35">
      <c r="A80" s="34"/>
    </row>
    <row r="81" spans="1:1" ht="16.5" x14ac:dyDescent="0.35">
      <c r="A81" s="34"/>
    </row>
    <row r="82" spans="1:1" ht="16.5" x14ac:dyDescent="0.35">
      <c r="A82" s="34"/>
    </row>
    <row r="83" spans="1:1" ht="16.5" x14ac:dyDescent="0.35">
      <c r="A83" s="34"/>
    </row>
    <row r="84" spans="1:1" ht="16.5" x14ac:dyDescent="0.35">
      <c r="A84" s="34"/>
    </row>
    <row r="85" spans="1:1" ht="16.5" x14ac:dyDescent="0.35">
      <c r="A85" s="34"/>
    </row>
    <row r="86" spans="1:1" ht="16.5" x14ac:dyDescent="0.35">
      <c r="A86" s="34"/>
    </row>
    <row r="87" spans="1:1" ht="16.5" x14ac:dyDescent="0.35">
      <c r="A87" s="34"/>
    </row>
    <row r="88" spans="1:1" ht="16.5" x14ac:dyDescent="0.35">
      <c r="A88" s="34"/>
    </row>
    <row r="89" spans="1:1" ht="16.5" x14ac:dyDescent="0.35">
      <c r="A89" s="34"/>
    </row>
    <row r="90" spans="1:1" ht="16.5" x14ac:dyDescent="0.35">
      <c r="A90" s="34"/>
    </row>
    <row r="91" spans="1:1" ht="16.5" x14ac:dyDescent="0.35">
      <c r="A91" s="34"/>
    </row>
    <row r="92" spans="1:1" ht="16.5" x14ac:dyDescent="0.35">
      <c r="A92" s="34"/>
    </row>
  </sheetData>
  <mergeCells count="24">
    <mergeCell ref="B48:B56"/>
    <mergeCell ref="C48:C56"/>
    <mergeCell ref="B57:B65"/>
    <mergeCell ref="C57:C65"/>
    <mergeCell ref="B66:B74"/>
    <mergeCell ref="C66:C74"/>
    <mergeCell ref="C3:C11"/>
    <mergeCell ref="B3:B11"/>
    <mergeCell ref="B39:B47"/>
    <mergeCell ref="C39:C47"/>
    <mergeCell ref="B12:B20"/>
    <mergeCell ref="C12:C20"/>
    <mergeCell ref="B21:B29"/>
    <mergeCell ref="B30:B38"/>
    <mergeCell ref="C30:C38"/>
    <mergeCell ref="C21:C29"/>
    <mergeCell ref="E48:E56"/>
    <mergeCell ref="E57:E65"/>
    <mergeCell ref="E66:E74"/>
    <mergeCell ref="E3:E11"/>
    <mergeCell ref="E12:E20"/>
    <mergeCell ref="E21:E29"/>
    <mergeCell ref="E30:E38"/>
    <mergeCell ref="E39:E47"/>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RA'!$I$3:$I$21</xm:f>
          </x14:formula1>
          <xm:sqref>A3:A92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982F-8692-4E85-8A5F-01D234D511FD}">
  <dimension ref="A1:T306"/>
  <sheetViews>
    <sheetView tabSelected="1" zoomScaleNormal="100" workbookViewId="0">
      <pane ySplit="2" topLeftCell="A3" activePane="bottomLeft" state="frozen"/>
      <selection activeCell="B1" sqref="B1"/>
      <selection pane="bottomLeft" activeCell="B3" sqref="B3"/>
    </sheetView>
  </sheetViews>
  <sheetFormatPr baseColWidth="10" defaultColWidth="14.7265625" defaultRowHeight="16.5" x14ac:dyDescent="0.5"/>
  <cols>
    <col min="1" max="1" width="14.7265625" style="1"/>
    <col min="2" max="2" width="120.1796875" style="5" customWidth="1"/>
    <col min="3" max="3" width="18.453125" style="7" customWidth="1"/>
    <col min="4" max="4" width="33.7265625" style="6" bestFit="1" customWidth="1"/>
    <col min="5" max="5" width="76.7265625" style="5" customWidth="1"/>
    <col min="6" max="6" width="12.7265625" style="7" customWidth="1"/>
    <col min="7" max="9" width="15.453125" style="7" customWidth="1"/>
    <col min="10" max="10" width="13.1796875" style="7" customWidth="1"/>
    <col min="11" max="11" width="23.81640625" style="7" customWidth="1"/>
    <col min="12" max="12" width="23.54296875" style="7" customWidth="1"/>
    <col min="13" max="13" width="16.81640625" style="7" customWidth="1"/>
    <col min="14" max="14" width="47.81640625" style="5" customWidth="1"/>
    <col min="15" max="15" width="50.453125" style="5" customWidth="1"/>
    <col min="16" max="16" width="65.54296875" style="5" customWidth="1"/>
    <col min="17" max="17" width="68.26953125" style="5" customWidth="1"/>
    <col min="18" max="19" width="48" style="5" customWidth="1"/>
    <col min="20" max="20" width="14.7265625" style="14" customWidth="1"/>
    <col min="21" max="16384" width="14.7265625" style="7"/>
  </cols>
  <sheetData>
    <row r="1" spans="1:20" s="83" customFormat="1" ht="65" x14ac:dyDescent="0.35">
      <c r="A1" s="73" t="s">
        <v>184</v>
      </c>
      <c r="B1" s="73" t="s">
        <v>185</v>
      </c>
      <c r="C1" s="73" t="s">
        <v>186</v>
      </c>
      <c r="D1" s="73" t="s">
        <v>187</v>
      </c>
      <c r="E1" s="73" t="s">
        <v>188</v>
      </c>
      <c r="F1" s="73" t="s">
        <v>189</v>
      </c>
      <c r="G1" s="185" t="s">
        <v>190</v>
      </c>
      <c r="H1" s="185"/>
      <c r="I1" s="185"/>
      <c r="J1" s="73" t="s">
        <v>191</v>
      </c>
      <c r="K1" s="73" t="s">
        <v>192</v>
      </c>
      <c r="L1" s="73" t="s">
        <v>193</v>
      </c>
      <c r="M1" s="73" t="s">
        <v>194</v>
      </c>
      <c r="N1" s="73" t="s">
        <v>195</v>
      </c>
      <c r="O1" s="73" t="s">
        <v>196</v>
      </c>
      <c r="P1" s="73" t="s">
        <v>197</v>
      </c>
      <c r="Q1" s="73" t="s">
        <v>198</v>
      </c>
      <c r="R1" s="101"/>
      <c r="S1" s="101"/>
    </row>
    <row r="2" spans="1:20" s="83" customFormat="1" ht="33.5" thickBot="1" x14ac:dyDescent="0.4">
      <c r="A2" s="76" t="s">
        <v>199</v>
      </c>
      <c r="B2" s="76" t="s">
        <v>142</v>
      </c>
      <c r="C2" s="76" t="s">
        <v>200</v>
      </c>
      <c r="D2" s="76" t="s">
        <v>201</v>
      </c>
      <c r="E2" s="76" t="s">
        <v>202</v>
      </c>
      <c r="F2" s="76" t="s">
        <v>203</v>
      </c>
      <c r="G2" s="76" t="s">
        <v>204</v>
      </c>
      <c r="H2" s="76" t="s">
        <v>205</v>
      </c>
      <c r="I2" s="76" t="s">
        <v>206</v>
      </c>
      <c r="J2" s="76" t="s">
        <v>207</v>
      </c>
      <c r="K2" s="76" t="s">
        <v>208</v>
      </c>
      <c r="L2" s="76" t="s">
        <v>209</v>
      </c>
      <c r="M2" s="76" t="s">
        <v>210</v>
      </c>
      <c r="N2" s="76" t="s">
        <v>211</v>
      </c>
      <c r="O2" s="76" t="s">
        <v>212</v>
      </c>
      <c r="P2" s="76" t="s">
        <v>213</v>
      </c>
      <c r="Q2" s="76" t="s">
        <v>214</v>
      </c>
      <c r="R2" s="102"/>
      <c r="S2" s="102"/>
    </row>
    <row r="3" spans="1:20" s="83" customFormat="1" ht="313.5" x14ac:dyDescent="0.35">
      <c r="A3" s="94" t="str">
        <f>_xlfn.XLOOKUP(B3,'Paso 3 Redacción RA'!I3:I21,'Paso 3 Redacción RA'!C3:C21,,0,1)</f>
        <v>Saber</v>
      </c>
      <c r="B3" s="94" t="s">
        <v>112</v>
      </c>
      <c r="C3" s="95">
        <v>1</v>
      </c>
      <c r="D3" s="96" t="s">
        <v>215</v>
      </c>
      <c r="E3" s="97" t="s">
        <v>216</v>
      </c>
      <c r="F3" s="124" t="s">
        <v>217</v>
      </c>
      <c r="G3" s="95" t="s">
        <v>218</v>
      </c>
      <c r="H3" s="95"/>
      <c r="I3" s="95"/>
      <c r="J3" s="95">
        <v>3</v>
      </c>
      <c r="K3" s="95">
        <f>12*J3</f>
        <v>36</v>
      </c>
      <c r="L3" s="95">
        <f>36*J3</f>
        <v>108</v>
      </c>
      <c r="M3" s="95">
        <f>SUM(K3:L3)</f>
        <v>144</v>
      </c>
      <c r="N3" s="99" t="s">
        <v>219</v>
      </c>
      <c r="O3" s="94" t="s">
        <v>220</v>
      </c>
      <c r="P3" s="97" t="s">
        <v>221</v>
      </c>
      <c r="Q3" s="97" t="s">
        <v>222</v>
      </c>
      <c r="R3" s="5"/>
      <c r="S3" s="5"/>
      <c r="T3" s="7"/>
    </row>
    <row r="4" spans="1:20" s="90" customFormat="1" ht="409.6" thickBot="1" x14ac:dyDescent="0.55000000000000004">
      <c r="A4" s="141" t="str">
        <f>_xlfn.XLOOKUP(B4,'Paso 3 Redacción RA'!I3:I21,'Paso 3 Redacción RA'!C3:C21,,0,1)</f>
        <v>Saber</v>
      </c>
      <c r="B4" s="97" t="s">
        <v>112</v>
      </c>
      <c r="C4" s="96">
        <v>1</v>
      </c>
      <c r="D4" s="96" t="s">
        <v>223</v>
      </c>
      <c r="E4" s="97" t="s">
        <v>224</v>
      </c>
      <c r="F4" s="96" t="s">
        <v>217</v>
      </c>
      <c r="G4" s="95" t="s">
        <v>218</v>
      </c>
      <c r="H4" s="95"/>
      <c r="I4" s="95"/>
      <c r="J4" s="95">
        <v>3</v>
      </c>
      <c r="K4" s="95">
        <f>12*J4</f>
        <v>36</v>
      </c>
      <c r="L4" s="95">
        <f>36*J4</f>
        <v>108</v>
      </c>
      <c r="M4" s="95">
        <f>SUM(K4:L4)</f>
        <v>144</v>
      </c>
      <c r="N4" s="94" t="s">
        <v>225</v>
      </c>
      <c r="O4" s="94" t="s">
        <v>220</v>
      </c>
      <c r="P4" s="94" t="s">
        <v>226</v>
      </c>
      <c r="Q4" s="94" t="s">
        <v>227</v>
      </c>
      <c r="R4" s="5"/>
      <c r="S4" s="5"/>
      <c r="T4" s="104"/>
    </row>
    <row r="5" spans="1:20" s="90" customFormat="1" ht="49.5" x14ac:dyDescent="0.5">
      <c r="A5" s="90" t="str">
        <f>_xlfn.XLOOKUP(B5,'Paso 3 Redacción RA'!I3:I21,'Paso 3 Redacción RA'!C3:C21,,0,1)</f>
        <v>Saber</v>
      </c>
      <c r="B5" s="72" t="s">
        <v>98</v>
      </c>
      <c r="C5" s="183">
        <v>1</v>
      </c>
      <c r="D5" s="153" t="s">
        <v>228</v>
      </c>
      <c r="E5" s="177" t="s">
        <v>229</v>
      </c>
      <c r="F5" s="153" t="s">
        <v>217</v>
      </c>
      <c r="G5" s="153"/>
      <c r="H5" s="153" t="s">
        <v>218</v>
      </c>
      <c r="I5" s="153"/>
      <c r="J5" s="153">
        <v>3</v>
      </c>
      <c r="K5" s="174">
        <f>12*J5</f>
        <v>36</v>
      </c>
      <c r="L5" s="174">
        <f>36*J5</f>
        <v>108</v>
      </c>
      <c r="M5" s="153">
        <f>SUM(K5:L5)</f>
        <v>144</v>
      </c>
      <c r="N5" s="155" t="s">
        <v>230</v>
      </c>
      <c r="O5" s="155" t="s">
        <v>231</v>
      </c>
      <c r="P5" s="155" t="s">
        <v>232</v>
      </c>
      <c r="Q5" s="155" t="s">
        <v>227</v>
      </c>
      <c r="R5" s="5"/>
      <c r="S5" s="5"/>
      <c r="T5" s="104"/>
    </row>
    <row r="6" spans="1:20" s="90" customFormat="1" x14ac:dyDescent="0.5">
      <c r="A6" s="90" t="str">
        <f>_xlfn.XLOOKUP(B6,'Paso 3 Redacción RA'!I3:I21,'Paso 3 Redacción RA'!C3:C21,,0,1)</f>
        <v>SaberHacer</v>
      </c>
      <c r="B6" s="72" t="s">
        <v>101</v>
      </c>
      <c r="C6" s="183"/>
      <c r="D6" s="153"/>
      <c r="E6" s="177"/>
      <c r="F6" s="153"/>
      <c r="G6" s="153"/>
      <c r="H6" s="153"/>
      <c r="I6" s="153"/>
      <c r="J6" s="153"/>
      <c r="K6" s="153"/>
      <c r="L6" s="153"/>
      <c r="M6" s="153"/>
      <c r="N6" s="155"/>
      <c r="O6" s="155"/>
      <c r="P6" s="155"/>
      <c r="Q6" s="155"/>
      <c r="R6" s="5"/>
      <c r="S6" s="5"/>
      <c r="T6" s="104"/>
    </row>
    <row r="7" spans="1:20" s="90" customFormat="1" ht="33" x14ac:dyDescent="0.5">
      <c r="A7" s="90" t="str">
        <f>_xlfn.XLOOKUP(B7,'Paso 3 Redacción RA'!I3:I21,'Paso 3 Redacción RA'!C3:C21,,0,1)</f>
        <v>SaberSer</v>
      </c>
      <c r="B7" s="72" t="s">
        <v>103</v>
      </c>
      <c r="C7" s="183"/>
      <c r="D7" s="153"/>
      <c r="E7" s="177"/>
      <c r="F7" s="153"/>
      <c r="G7" s="153"/>
      <c r="H7" s="153"/>
      <c r="I7" s="153"/>
      <c r="J7" s="153"/>
      <c r="K7" s="153"/>
      <c r="L7" s="153"/>
      <c r="M7" s="153"/>
      <c r="N7" s="155"/>
      <c r="O7" s="155"/>
      <c r="P7" s="155"/>
      <c r="Q7" s="155"/>
      <c r="R7" s="5"/>
      <c r="S7" s="5"/>
      <c r="T7" s="104"/>
    </row>
    <row r="8" spans="1:20" s="90" customFormat="1" ht="33" x14ac:dyDescent="0.5">
      <c r="A8" s="90" t="str">
        <f>_xlfn.XLOOKUP(B8,'Paso 3 Redacción RA'!I3:I21,'Paso 3 Redacción RA'!C3:C21,,0,1)</f>
        <v>Saber</v>
      </c>
      <c r="B8" s="72" t="s">
        <v>107</v>
      </c>
      <c r="C8" s="183"/>
      <c r="D8" s="153"/>
      <c r="E8" s="177"/>
      <c r="F8" s="153"/>
      <c r="G8" s="153"/>
      <c r="H8" s="153"/>
      <c r="I8" s="153"/>
      <c r="J8" s="153"/>
      <c r="K8" s="153"/>
      <c r="L8" s="153"/>
      <c r="M8" s="153"/>
      <c r="N8" s="155"/>
      <c r="O8" s="155"/>
      <c r="P8" s="155"/>
      <c r="Q8" s="155"/>
      <c r="R8" s="5"/>
      <c r="S8" s="5"/>
      <c r="T8" s="104"/>
    </row>
    <row r="9" spans="1:20" s="90" customFormat="1" ht="33.5" thickBot="1" x14ac:dyDescent="0.55000000000000004">
      <c r="A9" s="91" t="str">
        <f>_xlfn.XLOOKUP(B9,'Paso 3 Redacción RA'!I3:I21,'Paso 3 Redacción RA'!C3:C21,,0,1)</f>
        <v>SaberHacer</v>
      </c>
      <c r="B9" s="87" t="s">
        <v>110</v>
      </c>
      <c r="C9" s="184"/>
      <c r="D9" s="175"/>
      <c r="E9" s="178"/>
      <c r="F9" s="175"/>
      <c r="G9" s="175"/>
      <c r="H9" s="175"/>
      <c r="I9" s="175"/>
      <c r="J9" s="175"/>
      <c r="K9" s="175"/>
      <c r="L9" s="175"/>
      <c r="M9" s="175"/>
      <c r="N9" s="173"/>
      <c r="O9" s="173"/>
      <c r="P9" s="173"/>
      <c r="Q9" s="173"/>
      <c r="R9" s="5"/>
      <c r="S9" s="5"/>
      <c r="T9" s="104"/>
    </row>
    <row r="10" spans="1:20" s="90" customFormat="1" ht="49.5" x14ac:dyDescent="0.5">
      <c r="A10" s="90" t="str">
        <f>_xlfn.XLOOKUP(B10,'Paso 3 Redacción RA'!I3:I21,'Paso 3 Redacción RA'!C3:C21,,0,1)</f>
        <v>Saber</v>
      </c>
      <c r="B10" s="92" t="s">
        <v>98</v>
      </c>
      <c r="C10" s="182" t="s">
        <v>233</v>
      </c>
      <c r="D10" s="174" t="s">
        <v>234</v>
      </c>
      <c r="E10" s="176" t="s">
        <v>235</v>
      </c>
      <c r="F10" s="174" t="s">
        <v>236</v>
      </c>
      <c r="G10" s="174"/>
      <c r="H10" s="174" t="s">
        <v>218</v>
      </c>
      <c r="I10" s="174"/>
      <c r="J10" s="174">
        <v>3</v>
      </c>
      <c r="K10" s="174">
        <f>12*J10</f>
        <v>36</v>
      </c>
      <c r="L10" s="174">
        <f>36*J10</f>
        <v>108</v>
      </c>
      <c r="M10" s="174">
        <f>SUM(K10:L10)</f>
        <v>144</v>
      </c>
      <c r="N10" s="172" t="s">
        <v>237</v>
      </c>
      <c r="O10" s="172" t="s">
        <v>231</v>
      </c>
      <c r="P10" s="172" t="s">
        <v>238</v>
      </c>
      <c r="Q10" s="172" t="s">
        <v>227</v>
      </c>
      <c r="R10" s="5"/>
      <c r="S10" s="5"/>
      <c r="T10" s="104"/>
    </row>
    <row r="11" spans="1:20" s="90" customFormat="1" x14ac:dyDescent="0.5">
      <c r="A11" s="90" t="str">
        <f>_xlfn.XLOOKUP(B11,'Paso 3 Redacción RA'!I3:I21,'Paso 3 Redacción RA'!C3:C21,,0,1)</f>
        <v>SaberHacer</v>
      </c>
      <c r="B11" s="72" t="s">
        <v>101</v>
      </c>
      <c r="C11" s="183"/>
      <c r="D11" s="153"/>
      <c r="E11" s="177"/>
      <c r="F11" s="153"/>
      <c r="G11" s="153"/>
      <c r="H11" s="153"/>
      <c r="I11" s="153"/>
      <c r="J11" s="153"/>
      <c r="K11" s="153"/>
      <c r="L11" s="153"/>
      <c r="M11" s="153"/>
      <c r="N11" s="155"/>
      <c r="O11" s="155"/>
      <c r="P11" s="155"/>
      <c r="Q11" s="155"/>
      <c r="R11" s="5"/>
      <c r="S11" s="5"/>
      <c r="T11" s="104"/>
    </row>
    <row r="12" spans="1:20" s="90" customFormat="1" ht="33" x14ac:dyDescent="0.5">
      <c r="A12" s="90" t="str">
        <f>_xlfn.XLOOKUP(B12,'Paso 3 Redacción RA'!I3:I21,'Paso 3 Redacción RA'!C3:C21,,0,1)</f>
        <v>SaberSer</v>
      </c>
      <c r="B12" s="72" t="s">
        <v>103</v>
      </c>
      <c r="C12" s="183"/>
      <c r="D12" s="153"/>
      <c r="E12" s="177"/>
      <c r="F12" s="153"/>
      <c r="G12" s="153"/>
      <c r="H12" s="153"/>
      <c r="I12" s="153"/>
      <c r="J12" s="153"/>
      <c r="K12" s="153"/>
      <c r="L12" s="153"/>
      <c r="M12" s="153"/>
      <c r="N12" s="155"/>
      <c r="O12" s="155"/>
      <c r="P12" s="155"/>
      <c r="Q12" s="155"/>
      <c r="R12" s="5"/>
      <c r="S12" s="5"/>
      <c r="T12" s="104"/>
    </row>
    <row r="13" spans="1:20" s="90" customFormat="1" ht="33" x14ac:dyDescent="0.5">
      <c r="A13" s="90" t="str">
        <f>_xlfn.XLOOKUP(B13,'Paso 3 Redacción RA'!I3:I21,'Paso 3 Redacción RA'!C3:C21,,0,1)</f>
        <v>Saber</v>
      </c>
      <c r="B13" s="72" t="s">
        <v>107</v>
      </c>
      <c r="C13" s="183"/>
      <c r="D13" s="153"/>
      <c r="E13" s="177"/>
      <c r="F13" s="153"/>
      <c r="G13" s="153"/>
      <c r="H13" s="153"/>
      <c r="I13" s="153"/>
      <c r="J13" s="153"/>
      <c r="K13" s="153"/>
      <c r="L13" s="153"/>
      <c r="M13" s="153"/>
      <c r="N13" s="155"/>
      <c r="O13" s="155"/>
      <c r="P13" s="155"/>
      <c r="Q13" s="155"/>
      <c r="R13" s="5"/>
      <c r="S13" s="5"/>
      <c r="T13" s="104"/>
    </row>
    <row r="14" spans="1:20" s="90" customFormat="1" ht="33.5" thickBot="1" x14ac:dyDescent="0.55000000000000004">
      <c r="A14" s="91" t="str">
        <f>_xlfn.XLOOKUP(B14,'Paso 3 Redacción RA'!I3:I21,'Paso 3 Redacción RA'!C3:C21,,0,1)</f>
        <v>SaberHacer</v>
      </c>
      <c r="B14" s="87" t="s">
        <v>110</v>
      </c>
      <c r="C14" s="184"/>
      <c r="D14" s="175"/>
      <c r="E14" s="178"/>
      <c r="F14" s="175"/>
      <c r="G14" s="175"/>
      <c r="H14" s="175"/>
      <c r="I14" s="175"/>
      <c r="J14" s="175"/>
      <c r="K14" s="175"/>
      <c r="L14" s="175"/>
      <c r="M14" s="175"/>
      <c r="N14" s="173"/>
      <c r="O14" s="173"/>
      <c r="P14" s="173"/>
      <c r="Q14" s="173"/>
      <c r="R14" s="5"/>
      <c r="S14" s="5"/>
      <c r="T14" s="104"/>
    </row>
    <row r="15" spans="1:20" s="5" customFormat="1" ht="49.5" x14ac:dyDescent="0.5">
      <c r="A15" s="103" t="str">
        <f>_xlfn.XLOOKUP(B15,'Paso 3 Redacción RA'!I3:I21,'Paso 3 Redacción RA'!C3:C21,,0,1)</f>
        <v>Saber</v>
      </c>
      <c r="B15" s="92" t="s">
        <v>98</v>
      </c>
      <c r="C15" s="180" t="s">
        <v>233</v>
      </c>
      <c r="D15" s="180" t="s">
        <v>239</v>
      </c>
      <c r="E15" s="177" t="s">
        <v>240</v>
      </c>
      <c r="F15" s="179" t="s">
        <v>236</v>
      </c>
      <c r="G15" s="179"/>
      <c r="H15" s="179" t="s">
        <v>218</v>
      </c>
      <c r="I15" s="179"/>
      <c r="J15" s="179">
        <v>3</v>
      </c>
      <c r="K15" s="174">
        <f>12*J15</f>
        <v>36</v>
      </c>
      <c r="L15" s="174">
        <f>36*J15</f>
        <v>108</v>
      </c>
      <c r="M15" s="179">
        <f>SUM(K15:L15)</f>
        <v>144</v>
      </c>
      <c r="N15" s="177" t="s">
        <v>241</v>
      </c>
      <c r="O15" s="177" t="s">
        <v>231</v>
      </c>
      <c r="P15" s="177" t="s">
        <v>238</v>
      </c>
      <c r="Q15" s="177" t="s">
        <v>227</v>
      </c>
      <c r="R15" s="72"/>
      <c r="S15" s="72"/>
      <c r="T15" s="3"/>
    </row>
    <row r="16" spans="1:20" s="5" customFormat="1" ht="33" x14ac:dyDescent="0.5">
      <c r="A16" s="90" t="str">
        <f>_xlfn.XLOOKUP(B16,'Paso 3 Redacción RA'!I3:I21,'Paso 3 Redacción RA'!C3:C21,,0,1)</f>
        <v>SaberSer</v>
      </c>
      <c r="B16" s="72" t="s">
        <v>103</v>
      </c>
      <c r="C16" s="179"/>
      <c r="D16" s="179"/>
      <c r="E16" s="177"/>
      <c r="F16" s="179"/>
      <c r="G16" s="179"/>
      <c r="H16" s="179"/>
      <c r="I16" s="179"/>
      <c r="J16" s="179"/>
      <c r="K16" s="153"/>
      <c r="L16" s="153"/>
      <c r="M16" s="179"/>
      <c r="N16" s="177"/>
      <c r="O16" s="177"/>
      <c r="P16" s="177"/>
      <c r="Q16" s="177"/>
      <c r="R16" s="72"/>
      <c r="S16" s="72"/>
      <c r="T16" s="3"/>
    </row>
    <row r="17" spans="1:20" s="5" customFormat="1" ht="33" x14ac:dyDescent="0.5">
      <c r="A17" s="90" t="str">
        <f>_xlfn.XLOOKUP(B17,'Paso 3 Redacción RA'!I3:I21,'Paso 3 Redacción RA'!C3:C21,,0,1)</f>
        <v>Saber</v>
      </c>
      <c r="B17" s="72" t="s">
        <v>107</v>
      </c>
      <c r="C17" s="179"/>
      <c r="D17" s="179"/>
      <c r="E17" s="177"/>
      <c r="F17" s="179"/>
      <c r="G17" s="179"/>
      <c r="H17" s="179"/>
      <c r="I17" s="179"/>
      <c r="J17" s="179"/>
      <c r="K17" s="153"/>
      <c r="L17" s="153"/>
      <c r="M17" s="179"/>
      <c r="N17" s="177"/>
      <c r="O17" s="177"/>
      <c r="P17" s="177"/>
      <c r="Q17" s="177"/>
      <c r="R17" s="72"/>
      <c r="S17" s="72"/>
      <c r="T17" s="3"/>
    </row>
    <row r="18" spans="1:20" s="5" customFormat="1" ht="33.5" thickBot="1" x14ac:dyDescent="0.55000000000000004">
      <c r="A18" s="91" t="str">
        <f>_xlfn.XLOOKUP(B18,'Paso 3 Redacción RA'!I3:I21,'Paso 3 Redacción RA'!C3:C21,,0,1)</f>
        <v>SaberHacer</v>
      </c>
      <c r="B18" s="87" t="s">
        <v>110</v>
      </c>
      <c r="C18" s="181"/>
      <c r="D18" s="181"/>
      <c r="E18" s="177"/>
      <c r="F18" s="179"/>
      <c r="G18" s="179"/>
      <c r="H18" s="179"/>
      <c r="I18" s="179"/>
      <c r="J18" s="179"/>
      <c r="K18" s="175"/>
      <c r="L18" s="175"/>
      <c r="M18" s="179"/>
      <c r="N18" s="177"/>
      <c r="O18" s="177"/>
      <c r="P18" s="177"/>
      <c r="Q18" s="177"/>
      <c r="R18" s="72"/>
      <c r="S18" s="72"/>
      <c r="T18" s="3"/>
    </row>
    <row r="19" spans="1:20" s="90" customFormat="1" ht="409.6" thickBot="1" x14ac:dyDescent="0.55000000000000004">
      <c r="A19" s="97" t="str">
        <f>_xlfn.XLOOKUP(B19,'Paso 3 Redacción RA'!I3:I21,'Paso 3 Redacción RA'!C3:C21,,0,1)</f>
        <v>Saber</v>
      </c>
      <c r="B19" s="97" t="s">
        <v>112</v>
      </c>
      <c r="C19" s="96">
        <v>2</v>
      </c>
      <c r="D19" s="96" t="s">
        <v>242</v>
      </c>
      <c r="E19" s="97" t="s">
        <v>243</v>
      </c>
      <c r="F19" s="95" t="s">
        <v>217</v>
      </c>
      <c r="G19" s="96" t="s">
        <v>218</v>
      </c>
      <c r="H19" s="96"/>
      <c r="I19" s="96"/>
      <c r="J19" s="95">
        <v>3</v>
      </c>
      <c r="K19" s="95">
        <f>12*J19</f>
        <v>36</v>
      </c>
      <c r="L19" s="95">
        <f>36*J19</f>
        <v>108</v>
      </c>
      <c r="M19" s="95">
        <f>SUM(K19:L19)</f>
        <v>144</v>
      </c>
      <c r="N19" s="97" t="s">
        <v>244</v>
      </c>
      <c r="O19" s="97" t="s">
        <v>220</v>
      </c>
      <c r="P19" s="97" t="s">
        <v>226</v>
      </c>
      <c r="Q19" s="94" t="s">
        <v>227</v>
      </c>
      <c r="R19" s="5"/>
      <c r="S19" s="5"/>
      <c r="T19" s="104"/>
    </row>
    <row r="20" spans="1:20" ht="49.5" x14ac:dyDescent="0.5">
      <c r="A20" s="103" t="str">
        <f>_xlfn.XLOOKUP(B20,'Paso 3 Redacción RA'!I3:I21,'Paso 3 Redacción RA'!C3:C21,,0,1)</f>
        <v>Saber</v>
      </c>
      <c r="B20" s="92" t="s">
        <v>98</v>
      </c>
      <c r="C20" s="174">
        <v>2</v>
      </c>
      <c r="D20" s="174" t="s">
        <v>245</v>
      </c>
      <c r="E20" s="176" t="s">
        <v>246</v>
      </c>
      <c r="F20" s="174" t="s">
        <v>236</v>
      </c>
      <c r="G20" s="174"/>
      <c r="H20" s="174" t="s">
        <v>218</v>
      </c>
      <c r="I20" s="174"/>
      <c r="J20" s="174">
        <v>3</v>
      </c>
      <c r="K20" s="174">
        <f>12*J20</f>
        <v>36</v>
      </c>
      <c r="L20" s="174">
        <f>36*J20</f>
        <v>108</v>
      </c>
      <c r="M20" s="174">
        <f>SUM(K20:L20)</f>
        <v>144</v>
      </c>
      <c r="N20" s="172" t="s">
        <v>247</v>
      </c>
      <c r="O20" s="172" t="s">
        <v>231</v>
      </c>
      <c r="P20" s="172" t="s">
        <v>238</v>
      </c>
      <c r="Q20" s="172" t="s">
        <v>227</v>
      </c>
      <c r="T20" s="104"/>
    </row>
    <row r="21" spans="1:20" ht="33" x14ac:dyDescent="0.5">
      <c r="A21" s="90" t="str">
        <f>_xlfn.XLOOKUP(B21,'Paso 3 Redacción RA'!I3:I21,'Paso 3 Redacción RA'!C3:C21,,0,1)</f>
        <v>SaberSer</v>
      </c>
      <c r="B21" s="72" t="s">
        <v>103</v>
      </c>
      <c r="C21" s="153"/>
      <c r="D21" s="153"/>
      <c r="E21" s="177"/>
      <c r="F21" s="153"/>
      <c r="G21" s="153"/>
      <c r="H21" s="153"/>
      <c r="I21" s="153"/>
      <c r="J21" s="153"/>
      <c r="K21" s="153"/>
      <c r="L21" s="153"/>
      <c r="M21" s="153"/>
      <c r="N21" s="155"/>
      <c r="O21" s="155"/>
      <c r="P21" s="155"/>
      <c r="Q21" s="155"/>
      <c r="T21" s="104"/>
    </row>
    <row r="22" spans="1:20" ht="33" x14ac:dyDescent="0.5">
      <c r="A22" s="90" t="str">
        <f>_xlfn.XLOOKUP(B22,'Paso 3 Redacción RA'!I3:I21,'Paso 3 Redacción RA'!C3:C21,,0,1)</f>
        <v>Saber</v>
      </c>
      <c r="B22" s="72" t="s">
        <v>107</v>
      </c>
      <c r="C22" s="153"/>
      <c r="D22" s="153"/>
      <c r="E22" s="177"/>
      <c r="F22" s="153"/>
      <c r="G22" s="153"/>
      <c r="H22" s="153"/>
      <c r="I22" s="153"/>
      <c r="J22" s="153"/>
      <c r="K22" s="153"/>
      <c r="L22" s="153"/>
      <c r="M22" s="153"/>
      <c r="N22" s="155"/>
      <c r="O22" s="155"/>
      <c r="P22" s="155"/>
      <c r="Q22" s="155"/>
      <c r="T22" s="104"/>
    </row>
    <row r="23" spans="1:20" ht="33.5" thickBot="1" x14ac:dyDescent="0.55000000000000004">
      <c r="A23" s="91" t="str">
        <f>_xlfn.XLOOKUP(B23,'Paso 3 Redacción RA'!I3:I21,'Paso 3 Redacción RA'!C3:C21,,0,1)</f>
        <v>SaberHacer</v>
      </c>
      <c r="B23" s="87" t="s">
        <v>110</v>
      </c>
      <c r="C23" s="175"/>
      <c r="D23" s="175"/>
      <c r="E23" s="178"/>
      <c r="F23" s="175"/>
      <c r="G23" s="175"/>
      <c r="H23" s="175"/>
      <c r="I23" s="175"/>
      <c r="J23" s="175"/>
      <c r="K23" s="175"/>
      <c r="L23" s="175"/>
      <c r="M23" s="175"/>
      <c r="N23" s="173"/>
      <c r="O23" s="173"/>
      <c r="P23" s="173"/>
      <c r="Q23" s="173"/>
      <c r="T23" s="104"/>
    </row>
    <row r="24" spans="1:20" s="90" customFormat="1" ht="49.5" x14ac:dyDescent="0.5">
      <c r="A24" s="103" t="str">
        <f>_xlfn.XLOOKUP(B24,'Paso 3 Redacción RA'!I3:I21,'Paso 3 Redacción RA'!C3:C21,,0,1)</f>
        <v>Saber</v>
      </c>
      <c r="B24" s="92" t="s">
        <v>98</v>
      </c>
      <c r="C24" s="174">
        <v>2</v>
      </c>
      <c r="D24" s="174" t="s">
        <v>248</v>
      </c>
      <c r="E24" s="176" t="s">
        <v>249</v>
      </c>
      <c r="F24" s="174" t="s">
        <v>217</v>
      </c>
      <c r="G24" s="174"/>
      <c r="H24" s="174" t="s">
        <v>218</v>
      </c>
      <c r="I24" s="174"/>
      <c r="J24" s="174">
        <v>3</v>
      </c>
      <c r="K24" s="174">
        <f>12*J24</f>
        <v>36</v>
      </c>
      <c r="L24" s="174">
        <f>36*J24</f>
        <v>108</v>
      </c>
      <c r="M24" s="174">
        <f>SUM(K24:L24)</f>
        <v>144</v>
      </c>
      <c r="N24" s="172" t="s">
        <v>250</v>
      </c>
      <c r="O24" s="172" t="s">
        <v>231</v>
      </c>
      <c r="P24" s="172" t="s">
        <v>251</v>
      </c>
      <c r="Q24" s="172" t="s">
        <v>227</v>
      </c>
      <c r="R24" s="5"/>
      <c r="S24" s="5"/>
      <c r="T24" s="104"/>
    </row>
    <row r="25" spans="1:20" s="90" customFormat="1" ht="33" x14ac:dyDescent="0.5">
      <c r="A25" s="90" t="str">
        <f>_xlfn.XLOOKUP(B25,'Paso 3 Redacción RA'!I4:I22,'Paso 3 Redacción RA'!C4:C22,,0,1)</f>
        <v>SaberSer</v>
      </c>
      <c r="B25" s="72" t="s">
        <v>103</v>
      </c>
      <c r="C25" s="153"/>
      <c r="D25" s="153"/>
      <c r="E25" s="177"/>
      <c r="F25" s="153"/>
      <c r="G25" s="153"/>
      <c r="H25" s="153"/>
      <c r="I25" s="153"/>
      <c r="J25" s="153"/>
      <c r="K25" s="153"/>
      <c r="L25" s="153"/>
      <c r="M25" s="153"/>
      <c r="N25" s="155"/>
      <c r="O25" s="155"/>
      <c r="P25" s="155"/>
      <c r="Q25" s="155"/>
      <c r="R25" s="5"/>
      <c r="S25" s="5"/>
      <c r="T25" s="104"/>
    </row>
    <row r="26" spans="1:20" s="90" customFormat="1" ht="33" x14ac:dyDescent="0.5">
      <c r="A26" s="90" t="str">
        <f>_xlfn.XLOOKUP(B26,'Paso 3 Redacción RA'!I5:I23,'Paso 3 Redacción RA'!C5:C23,,0,1)</f>
        <v>Saber</v>
      </c>
      <c r="B26" s="72" t="s">
        <v>107</v>
      </c>
      <c r="C26" s="153"/>
      <c r="D26" s="153"/>
      <c r="E26" s="177"/>
      <c r="F26" s="153"/>
      <c r="G26" s="153"/>
      <c r="H26" s="153"/>
      <c r="I26" s="153"/>
      <c r="J26" s="153"/>
      <c r="K26" s="153"/>
      <c r="L26" s="153"/>
      <c r="M26" s="153"/>
      <c r="N26" s="155"/>
      <c r="O26" s="155"/>
      <c r="P26" s="155"/>
      <c r="Q26" s="155"/>
      <c r="R26" s="5"/>
      <c r="S26" s="5"/>
      <c r="T26" s="104"/>
    </row>
    <row r="27" spans="1:20" s="90" customFormat="1" ht="33" x14ac:dyDescent="0.5">
      <c r="A27" s="90" t="str">
        <f>_xlfn.XLOOKUP(B27,'Paso 3 Redacción RA'!I3:I21,'Paso 3 Redacción RA'!C3:C21,,0,1)</f>
        <v>SaberHacer</v>
      </c>
      <c r="B27" s="72" t="s">
        <v>108</v>
      </c>
      <c r="C27" s="153"/>
      <c r="D27" s="153"/>
      <c r="E27" s="177"/>
      <c r="F27" s="153"/>
      <c r="G27" s="153"/>
      <c r="H27" s="153"/>
      <c r="I27" s="153"/>
      <c r="J27" s="153"/>
      <c r="K27" s="153"/>
      <c r="L27" s="153"/>
      <c r="M27" s="153"/>
      <c r="N27" s="155"/>
      <c r="O27" s="155"/>
      <c r="P27" s="155"/>
      <c r="Q27" s="155"/>
      <c r="R27" s="5"/>
      <c r="S27" s="5"/>
      <c r="T27" s="104"/>
    </row>
    <row r="28" spans="1:20" s="90" customFormat="1" ht="33" x14ac:dyDescent="0.5">
      <c r="A28" s="90" t="str">
        <f>_xlfn.XLOOKUP(B28,'Paso 3 Redacción RA'!I3:I21,'Paso 3 Redacción RA'!C3:C21,,0,1)</f>
        <v>SaberHacer</v>
      </c>
      <c r="B28" s="72" t="s">
        <v>110</v>
      </c>
      <c r="C28" s="153"/>
      <c r="D28" s="153"/>
      <c r="E28" s="177"/>
      <c r="F28" s="153"/>
      <c r="G28" s="153"/>
      <c r="H28" s="153"/>
      <c r="I28" s="153"/>
      <c r="J28" s="153"/>
      <c r="K28" s="153"/>
      <c r="L28" s="153"/>
      <c r="M28" s="153"/>
      <c r="N28" s="155"/>
      <c r="O28" s="155"/>
      <c r="P28" s="155"/>
      <c r="Q28" s="155"/>
      <c r="R28" s="5"/>
      <c r="S28" s="5"/>
      <c r="T28" s="104"/>
    </row>
    <row r="29" spans="1:20" s="90" customFormat="1" ht="17" thickBot="1" x14ac:dyDescent="0.55000000000000004">
      <c r="A29" s="91" t="str">
        <f>_xlfn.XLOOKUP(B29,'Paso 3 Redacción RA'!I3:I21,'Paso 3 Redacción RA'!C3:C21,,0,1)</f>
        <v>SaberHacer</v>
      </c>
      <c r="B29" s="87" t="s">
        <v>111</v>
      </c>
      <c r="C29" s="175"/>
      <c r="D29" s="175"/>
      <c r="E29" s="178"/>
      <c r="F29" s="175"/>
      <c r="G29" s="175"/>
      <c r="H29" s="175"/>
      <c r="I29" s="175"/>
      <c r="J29" s="175"/>
      <c r="K29" s="175"/>
      <c r="L29" s="175"/>
      <c r="M29" s="175"/>
      <c r="N29" s="173"/>
      <c r="O29" s="173"/>
      <c r="P29" s="173"/>
      <c r="Q29" s="173"/>
      <c r="R29" s="5"/>
      <c r="S29" s="5"/>
      <c r="T29" s="104"/>
    </row>
    <row r="30" spans="1:20" s="90" customFormat="1" ht="49.5" x14ac:dyDescent="0.5">
      <c r="A30" s="103" t="str">
        <f>_xlfn.XLOOKUP(B30,'Paso 3 Redacción RA'!I3:I21,'Paso 3 Redacción RA'!C3:C21,,0,1)</f>
        <v>Saber</v>
      </c>
      <c r="B30" s="5" t="s">
        <v>98</v>
      </c>
      <c r="C30" s="174">
        <v>2</v>
      </c>
      <c r="D30" s="174" t="s">
        <v>252</v>
      </c>
      <c r="E30" s="176" t="s">
        <v>253</v>
      </c>
      <c r="F30" s="174" t="s">
        <v>217</v>
      </c>
      <c r="G30" s="174"/>
      <c r="H30" s="174" t="s">
        <v>218</v>
      </c>
      <c r="I30" s="174"/>
      <c r="J30" s="174">
        <v>3</v>
      </c>
      <c r="K30" s="174">
        <f>12*J30</f>
        <v>36</v>
      </c>
      <c r="L30" s="174">
        <f>36*J30</f>
        <v>108</v>
      </c>
      <c r="M30" s="174">
        <f>SUM(K30:L30)</f>
        <v>144</v>
      </c>
      <c r="N30" s="172" t="s">
        <v>254</v>
      </c>
      <c r="O30" s="172" t="s">
        <v>231</v>
      </c>
      <c r="P30" s="172" t="s">
        <v>232</v>
      </c>
      <c r="Q30" s="172" t="s">
        <v>227</v>
      </c>
      <c r="R30" s="5"/>
      <c r="S30" s="5"/>
      <c r="T30" s="104"/>
    </row>
    <row r="31" spans="1:20" s="90" customFormat="1" ht="33" x14ac:dyDescent="0.5">
      <c r="A31" s="90" t="str">
        <f>_xlfn.XLOOKUP(B31,'Paso 3 Redacción RA'!I3:I21,'Paso 3 Redacción RA'!C3:C21,,0,1)</f>
        <v>SaberSer</v>
      </c>
      <c r="B31" s="5" t="s">
        <v>103</v>
      </c>
      <c r="C31" s="153"/>
      <c r="D31" s="153"/>
      <c r="E31" s="177"/>
      <c r="F31" s="153"/>
      <c r="G31" s="153"/>
      <c r="H31" s="153"/>
      <c r="I31" s="153"/>
      <c r="J31" s="153"/>
      <c r="K31" s="153"/>
      <c r="L31" s="153"/>
      <c r="M31" s="153"/>
      <c r="N31" s="155"/>
      <c r="O31" s="155"/>
      <c r="P31" s="155"/>
      <c r="Q31" s="155"/>
      <c r="R31" s="5"/>
      <c r="S31" s="5"/>
      <c r="T31" s="104"/>
    </row>
    <row r="32" spans="1:20" s="90" customFormat="1" ht="33" x14ac:dyDescent="0.5">
      <c r="A32" s="90" t="str">
        <f>_xlfn.XLOOKUP(B32,'Paso 3 Redacción RA'!I3:I21,'Paso 3 Redacción RA'!C3:C21,,0,1)</f>
        <v>Saber</v>
      </c>
      <c r="B32" s="72" t="s">
        <v>107</v>
      </c>
      <c r="C32" s="153"/>
      <c r="D32" s="153"/>
      <c r="E32" s="177"/>
      <c r="F32" s="153"/>
      <c r="G32" s="153"/>
      <c r="H32" s="153"/>
      <c r="I32" s="153"/>
      <c r="J32" s="153"/>
      <c r="K32" s="153"/>
      <c r="L32" s="153"/>
      <c r="M32" s="153"/>
      <c r="N32" s="155"/>
      <c r="O32" s="155"/>
      <c r="P32" s="155"/>
      <c r="Q32" s="155"/>
      <c r="R32" s="5"/>
      <c r="S32" s="5"/>
      <c r="T32" s="104"/>
    </row>
    <row r="33" spans="1:20" s="90" customFormat="1" ht="33.5" thickBot="1" x14ac:dyDescent="0.55000000000000004">
      <c r="A33" s="91" t="str">
        <f>_xlfn.XLOOKUP(B33,'Paso 3 Redacción RA'!I3:I21,'Paso 3 Redacción RA'!C3:C21,,0,1)</f>
        <v>SaberHacer</v>
      </c>
      <c r="B33" s="87" t="s">
        <v>110</v>
      </c>
      <c r="C33" s="175"/>
      <c r="D33" s="175"/>
      <c r="E33" s="177"/>
      <c r="F33" s="153"/>
      <c r="G33" s="153"/>
      <c r="H33" s="153"/>
      <c r="I33" s="153"/>
      <c r="J33" s="153"/>
      <c r="K33" s="175"/>
      <c r="L33" s="175"/>
      <c r="M33" s="175"/>
      <c r="N33" s="155"/>
      <c r="O33" s="155"/>
      <c r="P33" s="155"/>
      <c r="Q33" s="155"/>
      <c r="R33" s="5"/>
      <c r="S33" s="5"/>
      <c r="T33" s="104"/>
    </row>
    <row r="34" spans="1:20" s="90" customFormat="1" ht="49.5" x14ac:dyDescent="0.5">
      <c r="A34" s="103" t="str">
        <f>_xlfn.XLOOKUP(B34,'Paso 3 Redacción RA'!I3:I21,'Paso 3 Redacción RA'!C3:C21,,0,1)</f>
        <v>Saber</v>
      </c>
      <c r="B34" s="72" t="s">
        <v>98</v>
      </c>
      <c r="C34" s="174">
        <v>2</v>
      </c>
      <c r="D34" s="174" t="s">
        <v>255</v>
      </c>
      <c r="E34" s="176" t="s">
        <v>256</v>
      </c>
      <c r="F34" s="174" t="s">
        <v>217</v>
      </c>
      <c r="G34" s="174"/>
      <c r="H34" s="174" t="s">
        <v>218</v>
      </c>
      <c r="I34" s="174"/>
      <c r="J34" s="174">
        <v>3</v>
      </c>
      <c r="K34" s="174">
        <f>12*J34</f>
        <v>36</v>
      </c>
      <c r="L34" s="174">
        <f>36*J34</f>
        <v>108</v>
      </c>
      <c r="M34" s="174">
        <f>SUM(K34:L34)</f>
        <v>144</v>
      </c>
      <c r="N34" s="172" t="s">
        <v>257</v>
      </c>
      <c r="O34" s="172" t="s">
        <v>231</v>
      </c>
      <c r="P34" s="172" t="s">
        <v>232</v>
      </c>
      <c r="Q34" s="172" t="s">
        <v>227</v>
      </c>
      <c r="R34" s="5"/>
      <c r="S34" s="5"/>
      <c r="T34" s="104"/>
    </row>
    <row r="35" spans="1:20" s="90" customFormat="1" x14ac:dyDescent="0.5">
      <c r="A35" s="90" t="e">
        <f>_xlfn.XLOOKUP(B35,'Paso 3 Redacción RA'!I3:I21,'Paso 3 Redacción RA'!C3:C21,,0,1)</f>
        <v>#N/A</v>
      </c>
      <c r="B35" s="72" t="s">
        <v>153</v>
      </c>
      <c r="C35" s="153"/>
      <c r="D35" s="153"/>
      <c r="E35" s="177"/>
      <c r="F35" s="153"/>
      <c r="G35" s="153"/>
      <c r="H35" s="153"/>
      <c r="I35" s="153"/>
      <c r="J35" s="153"/>
      <c r="K35" s="153"/>
      <c r="L35" s="153"/>
      <c r="M35" s="153"/>
      <c r="N35" s="155"/>
      <c r="O35" s="155"/>
      <c r="P35" s="155"/>
      <c r="Q35" s="155"/>
      <c r="R35" s="5"/>
      <c r="S35" s="5"/>
      <c r="T35" s="104"/>
    </row>
    <row r="36" spans="1:20" s="90" customFormat="1" ht="33" x14ac:dyDescent="0.5">
      <c r="A36" s="90" t="str">
        <f>_xlfn.XLOOKUP(B36,'Paso 3 Redacción RA'!I3:I21,'Paso 3 Redacción RA'!C3:C21,,0,1)</f>
        <v>SaberSer</v>
      </c>
      <c r="B36" s="72" t="s">
        <v>103</v>
      </c>
      <c r="C36" s="153"/>
      <c r="D36" s="153"/>
      <c r="E36" s="177"/>
      <c r="F36" s="153"/>
      <c r="G36" s="153"/>
      <c r="H36" s="153"/>
      <c r="I36" s="153"/>
      <c r="J36" s="153"/>
      <c r="K36" s="153"/>
      <c r="L36" s="153"/>
      <c r="M36" s="153"/>
      <c r="N36" s="155"/>
      <c r="O36" s="155"/>
      <c r="P36" s="155"/>
      <c r="Q36" s="155"/>
      <c r="R36" s="5"/>
      <c r="S36" s="5"/>
      <c r="T36" s="104"/>
    </row>
    <row r="37" spans="1:20" s="90" customFormat="1" ht="49.5" x14ac:dyDescent="0.5">
      <c r="A37" s="90" t="str">
        <f>_xlfn.XLOOKUP(B37,'Paso 3 Redacción RA'!I3:I21,'Paso 3 Redacción RA'!C3:C21,,0,1)</f>
        <v>SaberHacer</v>
      </c>
      <c r="B37" s="72" t="s">
        <v>104</v>
      </c>
      <c r="C37" s="153"/>
      <c r="D37" s="153"/>
      <c r="E37" s="177"/>
      <c r="F37" s="153"/>
      <c r="G37" s="153"/>
      <c r="H37" s="153"/>
      <c r="I37" s="153"/>
      <c r="J37" s="153"/>
      <c r="K37" s="153"/>
      <c r="L37" s="153"/>
      <c r="M37" s="153"/>
      <c r="N37" s="155"/>
      <c r="O37" s="155"/>
      <c r="P37" s="155"/>
      <c r="Q37" s="155"/>
      <c r="R37" s="5"/>
      <c r="S37" s="5"/>
      <c r="T37" s="104"/>
    </row>
    <row r="38" spans="1:20" s="90" customFormat="1" ht="33" x14ac:dyDescent="0.5">
      <c r="A38" s="90" t="str">
        <f>_xlfn.XLOOKUP(B38,'Paso 3 Redacción RA'!I3:I21,'Paso 3 Redacción RA'!C3:C21,,0,1)</f>
        <v>Saber</v>
      </c>
      <c r="B38" s="72" t="s">
        <v>107</v>
      </c>
      <c r="C38" s="153"/>
      <c r="D38" s="153"/>
      <c r="E38" s="177"/>
      <c r="F38" s="153"/>
      <c r="G38" s="153"/>
      <c r="H38" s="153"/>
      <c r="I38" s="153"/>
      <c r="J38" s="153"/>
      <c r="K38" s="153"/>
      <c r="L38" s="153"/>
      <c r="M38" s="153"/>
      <c r="N38" s="155"/>
      <c r="O38" s="155"/>
      <c r="P38" s="155"/>
      <c r="Q38" s="155"/>
      <c r="R38" s="5"/>
      <c r="S38" s="5"/>
      <c r="T38" s="104"/>
    </row>
    <row r="39" spans="1:20" s="90" customFormat="1" ht="33" x14ac:dyDescent="0.5">
      <c r="A39" s="90" t="str">
        <f>_xlfn.XLOOKUP(B39,'Paso 3 Redacción RA'!I3:I21,'Paso 3 Redacción RA'!C3:C21,,0,1)</f>
        <v>SaberHacer</v>
      </c>
      <c r="B39" s="72" t="s">
        <v>108</v>
      </c>
      <c r="C39" s="153"/>
      <c r="D39" s="153"/>
      <c r="E39" s="177"/>
      <c r="F39" s="153"/>
      <c r="G39" s="153"/>
      <c r="H39" s="153"/>
      <c r="I39" s="153"/>
      <c r="J39" s="153"/>
      <c r="K39" s="153"/>
      <c r="L39" s="153"/>
      <c r="M39" s="153"/>
      <c r="N39" s="155"/>
      <c r="O39" s="155"/>
      <c r="P39" s="155"/>
      <c r="Q39" s="155"/>
      <c r="R39" s="5"/>
      <c r="S39" s="5"/>
      <c r="T39" s="104"/>
    </row>
    <row r="40" spans="1:20" s="90" customFormat="1" ht="33" x14ac:dyDescent="0.5">
      <c r="A40" s="90" t="str">
        <f>_xlfn.XLOOKUP(B40,'Paso 3 Redacción RA'!I3:I21,'Paso 3 Redacción RA'!C3:C21,,0,1)</f>
        <v>SaberHacer</v>
      </c>
      <c r="B40" s="72" t="s">
        <v>109</v>
      </c>
      <c r="C40" s="153"/>
      <c r="D40" s="153"/>
      <c r="E40" s="177"/>
      <c r="F40" s="153"/>
      <c r="G40" s="153"/>
      <c r="H40" s="153"/>
      <c r="I40" s="153"/>
      <c r="J40" s="153"/>
      <c r="K40" s="153"/>
      <c r="L40" s="153"/>
      <c r="M40" s="153"/>
      <c r="N40" s="155"/>
      <c r="O40" s="155"/>
      <c r="P40" s="155"/>
      <c r="Q40" s="155"/>
      <c r="R40" s="5"/>
      <c r="S40" s="5"/>
      <c r="T40" s="104"/>
    </row>
    <row r="41" spans="1:20" s="90" customFormat="1" ht="33.5" thickBot="1" x14ac:dyDescent="0.55000000000000004">
      <c r="A41" s="91" t="str">
        <f>_xlfn.XLOOKUP(B41,'Paso 3 Redacción RA'!I3:I21,'Paso 3 Redacción RA'!C3:C21,,0,1)</f>
        <v>SaberHacer</v>
      </c>
      <c r="B41" s="87" t="s">
        <v>110</v>
      </c>
      <c r="C41" s="175"/>
      <c r="D41" s="175"/>
      <c r="E41" s="177"/>
      <c r="F41" s="153"/>
      <c r="G41" s="153"/>
      <c r="H41" s="153"/>
      <c r="I41" s="153"/>
      <c r="J41" s="153"/>
      <c r="K41" s="175"/>
      <c r="L41" s="175"/>
      <c r="M41" s="175"/>
      <c r="N41" s="155"/>
      <c r="O41" s="155"/>
      <c r="P41" s="155"/>
      <c r="Q41" s="155"/>
      <c r="R41" s="5"/>
      <c r="S41" s="5"/>
      <c r="T41" s="104"/>
    </row>
    <row r="42" spans="1:20" s="90" customFormat="1" ht="264.5" thickBot="1" x14ac:dyDescent="0.55000000000000004">
      <c r="A42" s="97" t="str">
        <f>_xlfn.XLOOKUP(B42,'Paso 3 Redacción RA'!I3:I21,'Paso 3 Redacción RA'!C3:C21,,0,1)</f>
        <v>Saber</v>
      </c>
      <c r="B42" s="97" t="s">
        <v>112</v>
      </c>
      <c r="C42" s="96">
        <v>3</v>
      </c>
      <c r="D42" s="96" t="s">
        <v>258</v>
      </c>
      <c r="E42" s="97" t="s">
        <v>259</v>
      </c>
      <c r="F42" s="95" t="s">
        <v>217</v>
      </c>
      <c r="G42" s="96" t="s">
        <v>218</v>
      </c>
      <c r="H42" s="96"/>
      <c r="I42" s="96"/>
      <c r="J42" s="95">
        <v>3</v>
      </c>
      <c r="K42" s="95">
        <f>12*J42</f>
        <v>36</v>
      </c>
      <c r="L42" s="95">
        <f>36*J42</f>
        <v>108</v>
      </c>
      <c r="M42" s="95">
        <f>SUM(K42:L42)</f>
        <v>144</v>
      </c>
      <c r="N42" s="94" t="s">
        <v>260</v>
      </c>
      <c r="O42" s="97" t="s">
        <v>220</v>
      </c>
      <c r="P42" s="97" t="s">
        <v>261</v>
      </c>
      <c r="Q42" s="94" t="s">
        <v>227</v>
      </c>
      <c r="R42" s="5"/>
      <c r="S42" s="5"/>
      <c r="T42" s="104"/>
    </row>
    <row r="43" spans="1:20" s="90" customFormat="1" ht="247.5" x14ac:dyDescent="0.5">
      <c r="A43" s="97" t="str">
        <f>_xlfn.XLOOKUP(B43,'Paso 3 Redacción RA'!I3:I21,'Paso 3 Redacción RA'!C3:C21,,0,1)</f>
        <v>Saber</v>
      </c>
      <c r="B43" s="97" t="s">
        <v>112</v>
      </c>
      <c r="C43" s="96">
        <v>3</v>
      </c>
      <c r="D43" s="96" t="s">
        <v>262</v>
      </c>
      <c r="E43" s="97" t="s">
        <v>263</v>
      </c>
      <c r="F43" s="95" t="s">
        <v>217</v>
      </c>
      <c r="G43" s="95" t="s">
        <v>218</v>
      </c>
      <c r="H43" s="95"/>
      <c r="I43" s="95"/>
      <c r="J43" s="98">
        <v>3</v>
      </c>
      <c r="K43" s="95">
        <f>12*J43</f>
        <v>36</v>
      </c>
      <c r="L43" s="95">
        <f>36*J43</f>
        <v>108</v>
      </c>
      <c r="M43" s="95">
        <f>SUM(K43:L43)</f>
        <v>144</v>
      </c>
      <c r="N43" s="94" t="s">
        <v>264</v>
      </c>
      <c r="O43" s="94" t="s">
        <v>220</v>
      </c>
      <c r="P43" s="94" t="s">
        <v>265</v>
      </c>
      <c r="Q43" s="94" t="s">
        <v>227</v>
      </c>
      <c r="R43" s="5"/>
      <c r="S43" s="5"/>
      <c r="T43" s="104"/>
    </row>
    <row r="44" spans="1:20" s="90" customFormat="1" ht="49.5" x14ac:dyDescent="0.5">
      <c r="A44" s="103" t="str">
        <f>_xlfn.XLOOKUP(B44,'Paso 3 Redacción RA'!I3:I21,'Paso 3 Redacción RA'!C3:C21,,0,1)</f>
        <v>Saber</v>
      </c>
      <c r="B44" s="92" t="s">
        <v>98</v>
      </c>
      <c r="C44" s="174">
        <v>3</v>
      </c>
      <c r="D44" s="174" t="s">
        <v>266</v>
      </c>
      <c r="E44" s="176" t="s">
        <v>267</v>
      </c>
      <c r="F44" s="174" t="s">
        <v>217</v>
      </c>
      <c r="G44" s="174"/>
      <c r="H44" s="174" t="s">
        <v>218</v>
      </c>
      <c r="I44" s="174"/>
      <c r="J44" s="174">
        <v>3</v>
      </c>
      <c r="K44" s="174">
        <f>12*J44</f>
        <v>36</v>
      </c>
      <c r="L44" s="174">
        <f>36*J44</f>
        <v>108</v>
      </c>
      <c r="M44" s="174">
        <f>SUM(K44:L44)</f>
        <v>144</v>
      </c>
      <c r="N44" s="172" t="s">
        <v>268</v>
      </c>
      <c r="O44" s="172" t="s">
        <v>231</v>
      </c>
      <c r="P44" s="172" t="s">
        <v>232</v>
      </c>
      <c r="Q44" s="172" t="s">
        <v>227</v>
      </c>
      <c r="R44" s="5"/>
      <c r="S44" s="5"/>
      <c r="T44" s="104"/>
    </row>
    <row r="45" spans="1:20" s="90" customFormat="1" x14ac:dyDescent="0.5">
      <c r="A45" s="90" t="str">
        <f>_xlfn.XLOOKUP(B45,'Paso 3 Redacción RA'!I3:I21,'Paso 3 Redacción RA'!C3:C21,,0,1)</f>
        <v>SaberHacer</v>
      </c>
      <c r="B45" s="72" t="s">
        <v>101</v>
      </c>
      <c r="C45" s="153"/>
      <c r="D45" s="153"/>
      <c r="E45" s="177"/>
      <c r="F45" s="153"/>
      <c r="G45" s="153"/>
      <c r="H45" s="153"/>
      <c r="I45" s="153"/>
      <c r="J45" s="153"/>
      <c r="K45" s="153"/>
      <c r="L45" s="153"/>
      <c r="M45" s="153"/>
      <c r="N45" s="155"/>
      <c r="O45" s="155"/>
      <c r="P45" s="155"/>
      <c r="Q45" s="155"/>
      <c r="R45" s="5"/>
      <c r="S45" s="5"/>
      <c r="T45" s="104"/>
    </row>
    <row r="46" spans="1:20" s="90" customFormat="1" ht="33" x14ac:dyDescent="0.5">
      <c r="A46" s="90" t="str">
        <f>_xlfn.XLOOKUP(B46,'Paso 3 Redacción RA'!I3:I21,'Paso 3 Redacción RA'!C3:C21,,0,1)</f>
        <v>SaberSer</v>
      </c>
      <c r="B46" s="72" t="s">
        <v>103</v>
      </c>
      <c r="C46" s="153"/>
      <c r="D46" s="153"/>
      <c r="E46" s="177"/>
      <c r="F46" s="153"/>
      <c r="G46" s="153"/>
      <c r="H46" s="153"/>
      <c r="I46" s="153"/>
      <c r="J46" s="153"/>
      <c r="K46" s="153"/>
      <c r="L46" s="153"/>
      <c r="M46" s="153"/>
      <c r="N46" s="155"/>
      <c r="O46" s="155"/>
      <c r="P46" s="155"/>
      <c r="Q46" s="155"/>
      <c r="R46" s="5"/>
      <c r="S46" s="5"/>
      <c r="T46" s="104"/>
    </row>
    <row r="47" spans="1:20" s="90" customFormat="1" ht="49.5" x14ac:dyDescent="0.5">
      <c r="A47" s="90" t="str">
        <f>_xlfn.XLOOKUP(B47,'Paso 3 Redacción RA'!I3:I21,'Paso 3 Redacción RA'!C3:C21,,0,1)</f>
        <v>SaberHacer</v>
      </c>
      <c r="B47" s="72" t="s">
        <v>104</v>
      </c>
      <c r="C47" s="153"/>
      <c r="D47" s="153"/>
      <c r="E47" s="177"/>
      <c r="F47" s="153"/>
      <c r="G47" s="153"/>
      <c r="H47" s="153"/>
      <c r="I47" s="153"/>
      <c r="J47" s="153"/>
      <c r="K47" s="153"/>
      <c r="L47" s="153"/>
      <c r="M47" s="153"/>
      <c r="N47" s="155"/>
      <c r="O47" s="155"/>
      <c r="P47" s="155"/>
      <c r="Q47" s="155"/>
      <c r="R47" s="5"/>
      <c r="S47" s="5"/>
      <c r="T47" s="104"/>
    </row>
    <row r="48" spans="1:20" s="90" customFormat="1" ht="33" x14ac:dyDescent="0.5">
      <c r="A48" s="90" t="str">
        <f>_xlfn.XLOOKUP(B48,'Paso 3 Redacción RA'!I3:I21,'Paso 3 Redacción RA'!C3:C21,,0,1)</f>
        <v>Saber</v>
      </c>
      <c r="B48" s="72" t="s">
        <v>107</v>
      </c>
      <c r="C48" s="153"/>
      <c r="D48" s="153"/>
      <c r="E48" s="177"/>
      <c r="F48" s="153"/>
      <c r="G48" s="153"/>
      <c r="H48" s="153"/>
      <c r="I48" s="153"/>
      <c r="J48" s="153"/>
      <c r="K48" s="153"/>
      <c r="L48" s="153"/>
      <c r="M48" s="153"/>
      <c r="N48" s="155"/>
      <c r="O48" s="155"/>
      <c r="P48" s="155"/>
      <c r="Q48" s="155"/>
      <c r="R48" s="5"/>
      <c r="S48" s="5"/>
      <c r="T48" s="104"/>
    </row>
    <row r="49" spans="1:20" s="90" customFormat="1" ht="33" x14ac:dyDescent="0.5">
      <c r="A49" s="90" t="str">
        <f>_xlfn.XLOOKUP(B49,'Paso 3 Redacción RA'!I3:I21,'Paso 3 Redacción RA'!C3:C21,,0,1)</f>
        <v>SaberHacer</v>
      </c>
      <c r="B49" s="72" t="s">
        <v>108</v>
      </c>
      <c r="C49" s="153"/>
      <c r="D49" s="153"/>
      <c r="E49" s="177"/>
      <c r="F49" s="153"/>
      <c r="G49" s="153"/>
      <c r="H49" s="153"/>
      <c r="I49" s="153"/>
      <c r="J49" s="153"/>
      <c r="K49" s="153"/>
      <c r="L49" s="153"/>
      <c r="M49" s="153"/>
      <c r="N49" s="155"/>
      <c r="O49" s="155"/>
      <c r="P49" s="155"/>
      <c r="Q49" s="155"/>
      <c r="R49" s="5"/>
      <c r="S49" s="5"/>
      <c r="T49" s="104"/>
    </row>
    <row r="50" spans="1:20" s="90" customFormat="1" ht="33" x14ac:dyDescent="0.5">
      <c r="A50" s="90" t="str">
        <f>_xlfn.XLOOKUP(B50,'Paso 3 Redacción RA'!I3:I21,'Paso 3 Redacción RA'!C3:C21,,0,1)</f>
        <v>SaberHacer</v>
      </c>
      <c r="B50" s="72" t="s">
        <v>109</v>
      </c>
      <c r="C50" s="153"/>
      <c r="D50" s="153"/>
      <c r="E50" s="177"/>
      <c r="F50" s="153"/>
      <c r="G50" s="153"/>
      <c r="H50" s="153"/>
      <c r="I50" s="153"/>
      <c r="J50" s="153"/>
      <c r="K50" s="153"/>
      <c r="L50" s="153"/>
      <c r="M50" s="153"/>
      <c r="N50" s="155"/>
      <c r="O50" s="155"/>
      <c r="P50" s="155"/>
      <c r="Q50" s="155"/>
      <c r="R50" s="5"/>
      <c r="S50" s="5"/>
      <c r="T50" s="104"/>
    </row>
    <row r="51" spans="1:20" s="90" customFormat="1" ht="33" x14ac:dyDescent="0.5">
      <c r="A51" s="90" t="str">
        <f>_xlfn.XLOOKUP(B51,'Paso 3 Redacción RA'!I3:I21,'Paso 3 Redacción RA'!C3:C21,,0,1)</f>
        <v>SaberHacer</v>
      </c>
      <c r="B51" s="72" t="s">
        <v>110</v>
      </c>
      <c r="C51" s="153"/>
      <c r="D51" s="153"/>
      <c r="E51" s="177"/>
      <c r="F51" s="153"/>
      <c r="G51" s="153"/>
      <c r="H51" s="153"/>
      <c r="I51" s="153"/>
      <c r="J51" s="153"/>
      <c r="K51" s="153"/>
      <c r="L51" s="153"/>
      <c r="M51" s="153"/>
      <c r="N51" s="155"/>
      <c r="O51" s="155"/>
      <c r="P51" s="155"/>
      <c r="Q51" s="155"/>
      <c r="R51" s="5"/>
      <c r="S51" s="5"/>
      <c r="T51" s="104"/>
    </row>
    <row r="52" spans="1:20" s="90" customFormat="1" ht="17" thickBot="1" x14ac:dyDescent="0.55000000000000004">
      <c r="A52" s="91" t="str">
        <f>_xlfn.XLOOKUP(B52,'Paso 3 Redacción RA'!I3:I21,'Paso 3 Redacción RA'!C3:C21,,0,1)</f>
        <v>SaberHacer</v>
      </c>
      <c r="B52" s="87" t="s">
        <v>111</v>
      </c>
      <c r="C52" s="175"/>
      <c r="D52" s="175"/>
      <c r="E52" s="178"/>
      <c r="F52" s="175"/>
      <c r="G52" s="175"/>
      <c r="H52" s="175"/>
      <c r="I52" s="175"/>
      <c r="J52" s="175"/>
      <c r="K52" s="175"/>
      <c r="L52" s="175"/>
      <c r="M52" s="175"/>
      <c r="N52" s="173"/>
      <c r="O52" s="173"/>
      <c r="P52" s="173"/>
      <c r="Q52" s="173"/>
      <c r="R52" s="5"/>
      <c r="S52" s="5"/>
      <c r="T52" s="104"/>
    </row>
    <row r="53" spans="1:20" s="90" customFormat="1" ht="49.5" x14ac:dyDescent="0.5">
      <c r="A53" s="90" t="str">
        <f>_xlfn.XLOOKUP(B53,'Paso 3 Redacción RA'!I3:I21,'Paso 3 Redacción RA'!C3:C21,,0,1)</f>
        <v>Saber</v>
      </c>
      <c r="B53" s="92" t="s">
        <v>98</v>
      </c>
      <c r="C53" s="174">
        <v>3</v>
      </c>
      <c r="D53" s="174" t="s">
        <v>269</v>
      </c>
      <c r="E53" s="176" t="s">
        <v>270</v>
      </c>
      <c r="F53" s="174" t="s">
        <v>217</v>
      </c>
      <c r="G53" s="174"/>
      <c r="H53" s="174" t="s">
        <v>218</v>
      </c>
      <c r="I53" s="174"/>
      <c r="J53" s="174">
        <v>3</v>
      </c>
      <c r="K53" s="174">
        <f>12*J53</f>
        <v>36</v>
      </c>
      <c r="L53" s="174">
        <f>36*J53</f>
        <v>108</v>
      </c>
      <c r="M53" s="174">
        <f>SUM(K53:L53)</f>
        <v>144</v>
      </c>
      <c r="N53" s="172" t="s">
        <v>271</v>
      </c>
      <c r="O53" s="172" t="s">
        <v>231</v>
      </c>
      <c r="P53" s="172" t="s">
        <v>232</v>
      </c>
      <c r="Q53" s="172" t="s">
        <v>227</v>
      </c>
      <c r="R53" s="5"/>
      <c r="S53" s="5"/>
      <c r="T53" s="104"/>
    </row>
    <row r="54" spans="1:20" s="90" customFormat="1" x14ac:dyDescent="0.5">
      <c r="A54" s="90" t="str">
        <f>_xlfn.XLOOKUP(B54,'Paso 3 Redacción RA'!I4:I22,'Paso 3 Redacción RA'!C4:C22,,0,1)</f>
        <v>SaberHacer</v>
      </c>
      <c r="B54" s="72" t="s">
        <v>101</v>
      </c>
      <c r="C54" s="153"/>
      <c r="D54" s="153"/>
      <c r="E54" s="177"/>
      <c r="F54" s="153"/>
      <c r="G54" s="153"/>
      <c r="H54" s="153"/>
      <c r="I54" s="153"/>
      <c r="J54" s="153"/>
      <c r="K54" s="153"/>
      <c r="L54" s="153"/>
      <c r="M54" s="153"/>
      <c r="N54" s="155"/>
      <c r="O54" s="155"/>
      <c r="P54" s="155"/>
      <c r="Q54" s="155"/>
      <c r="R54" s="5"/>
      <c r="S54" s="5"/>
      <c r="T54" s="104"/>
    </row>
    <row r="55" spans="1:20" s="90" customFormat="1" ht="33" x14ac:dyDescent="0.5">
      <c r="A55" s="90" t="str">
        <f>_xlfn.XLOOKUP(B55,'Paso 3 Redacción RA'!I5:I23,'Paso 3 Redacción RA'!C5:C23,,0,1)</f>
        <v>SaberSer</v>
      </c>
      <c r="B55" s="72" t="s">
        <v>103</v>
      </c>
      <c r="C55" s="153"/>
      <c r="D55" s="153"/>
      <c r="E55" s="177"/>
      <c r="F55" s="153"/>
      <c r="G55" s="153"/>
      <c r="H55" s="153"/>
      <c r="I55" s="153"/>
      <c r="J55" s="153"/>
      <c r="K55" s="153"/>
      <c r="L55" s="153"/>
      <c r="M55" s="153"/>
      <c r="N55" s="155"/>
      <c r="O55" s="155"/>
      <c r="P55" s="155"/>
      <c r="Q55" s="155"/>
      <c r="R55" s="5"/>
      <c r="S55" s="5"/>
      <c r="T55" s="104"/>
    </row>
    <row r="56" spans="1:20" s="90" customFormat="1" ht="49.5" x14ac:dyDescent="0.5">
      <c r="A56" s="90" t="str">
        <f>_xlfn.XLOOKUP(B56,'Paso 3 Redacción RA'!I6:I24,'Paso 3 Redacción RA'!C6:C24,,0,1)</f>
        <v>SaberHacer</v>
      </c>
      <c r="B56" s="72" t="s">
        <v>104</v>
      </c>
      <c r="C56" s="153"/>
      <c r="D56" s="153"/>
      <c r="E56" s="177"/>
      <c r="F56" s="153"/>
      <c r="G56" s="153"/>
      <c r="H56" s="153"/>
      <c r="I56" s="153"/>
      <c r="J56" s="153"/>
      <c r="K56" s="153"/>
      <c r="L56" s="153"/>
      <c r="M56" s="153"/>
      <c r="N56" s="155"/>
      <c r="O56" s="155"/>
      <c r="P56" s="155"/>
      <c r="Q56" s="155"/>
      <c r="R56" s="5"/>
      <c r="S56" s="5"/>
      <c r="T56" s="104"/>
    </row>
    <row r="57" spans="1:20" s="90" customFormat="1" ht="33" x14ac:dyDescent="0.5">
      <c r="A57" s="90" t="str">
        <f>_xlfn.XLOOKUP(B57,'Paso 3 Redacción RA'!I7:I25,'Paso 3 Redacción RA'!C7:C25,,0,1)</f>
        <v>Saber</v>
      </c>
      <c r="B57" s="72" t="s">
        <v>107</v>
      </c>
      <c r="C57" s="153"/>
      <c r="D57" s="153"/>
      <c r="E57" s="177"/>
      <c r="F57" s="153"/>
      <c r="G57" s="153"/>
      <c r="H57" s="153"/>
      <c r="I57" s="153"/>
      <c r="J57" s="153"/>
      <c r="K57" s="153"/>
      <c r="L57" s="153"/>
      <c r="M57" s="153"/>
      <c r="N57" s="155"/>
      <c r="O57" s="155"/>
      <c r="P57" s="155"/>
      <c r="Q57" s="155"/>
      <c r="R57" s="5"/>
      <c r="S57" s="5"/>
      <c r="T57" s="104"/>
    </row>
    <row r="58" spans="1:20" s="90" customFormat="1" ht="33" x14ac:dyDescent="0.5">
      <c r="A58" s="90" t="str">
        <f>_xlfn.XLOOKUP(B58,'Paso 3 Redacción RA'!I8:I26,'Paso 3 Redacción RA'!C8:C26,,0,1)</f>
        <v>SaberHacer</v>
      </c>
      <c r="B58" s="72" t="s">
        <v>108</v>
      </c>
      <c r="C58" s="153"/>
      <c r="D58" s="153"/>
      <c r="E58" s="177"/>
      <c r="F58" s="153"/>
      <c r="G58" s="153"/>
      <c r="H58" s="153"/>
      <c r="I58" s="153"/>
      <c r="J58" s="153"/>
      <c r="K58" s="153"/>
      <c r="L58" s="153"/>
      <c r="M58" s="153"/>
      <c r="N58" s="155"/>
      <c r="O58" s="155"/>
      <c r="P58" s="155"/>
      <c r="Q58" s="155"/>
      <c r="R58" s="5"/>
      <c r="S58" s="5"/>
      <c r="T58" s="104"/>
    </row>
    <row r="59" spans="1:20" s="90" customFormat="1" ht="33" x14ac:dyDescent="0.5">
      <c r="A59" s="90" t="str">
        <f>_xlfn.XLOOKUP(B59,'Paso 3 Redacción RA'!I3:I21,'Paso 3 Redacción RA'!C3:C21,,0,1)</f>
        <v>SaberHacer</v>
      </c>
      <c r="B59" s="72" t="s">
        <v>109</v>
      </c>
      <c r="C59" s="153"/>
      <c r="D59" s="153"/>
      <c r="E59" s="177"/>
      <c r="F59" s="153"/>
      <c r="G59" s="153"/>
      <c r="H59" s="153"/>
      <c r="I59" s="153"/>
      <c r="J59" s="153"/>
      <c r="K59" s="153"/>
      <c r="L59" s="153"/>
      <c r="M59" s="153"/>
      <c r="N59" s="155"/>
      <c r="O59" s="155"/>
      <c r="P59" s="155"/>
      <c r="Q59" s="155"/>
      <c r="R59" s="5"/>
      <c r="S59" s="5"/>
      <c r="T59" s="104"/>
    </row>
    <row r="60" spans="1:20" s="90" customFormat="1" ht="33.5" thickBot="1" x14ac:dyDescent="0.55000000000000004">
      <c r="A60" s="91" t="str">
        <f>_xlfn.XLOOKUP(B60,'Paso 3 Redacción RA'!I3:I21,'Paso 3 Redacción RA'!C3:C21,,0,1)</f>
        <v>SaberHacer</v>
      </c>
      <c r="B60" s="87" t="s">
        <v>110</v>
      </c>
      <c r="C60" s="175"/>
      <c r="D60" s="175"/>
      <c r="E60" s="177"/>
      <c r="F60" s="153"/>
      <c r="G60" s="153"/>
      <c r="H60" s="153"/>
      <c r="I60" s="153"/>
      <c r="J60" s="153"/>
      <c r="K60" s="175"/>
      <c r="L60" s="175"/>
      <c r="M60" s="153"/>
      <c r="N60" s="155"/>
      <c r="O60" s="155"/>
      <c r="P60" s="155"/>
      <c r="Q60" s="155"/>
      <c r="R60" s="5"/>
      <c r="S60" s="5"/>
      <c r="T60" s="104"/>
    </row>
    <row r="61" spans="1:20" s="90" customFormat="1" ht="49.5" x14ac:dyDescent="0.5">
      <c r="A61" s="103" t="str">
        <f>_xlfn.XLOOKUP(B61,'Paso 3 Redacción RA'!I3:I21,'Paso 3 Redacción RA'!C3:C21,,0,1)</f>
        <v>Saber</v>
      </c>
      <c r="B61" s="92" t="s">
        <v>98</v>
      </c>
      <c r="C61" s="174">
        <v>3</v>
      </c>
      <c r="D61" s="174" t="s">
        <v>272</v>
      </c>
      <c r="E61" s="176" t="s">
        <v>273</v>
      </c>
      <c r="F61" s="174" t="s">
        <v>217</v>
      </c>
      <c r="G61" s="174"/>
      <c r="H61" s="174" t="s">
        <v>218</v>
      </c>
      <c r="I61" s="174"/>
      <c r="J61" s="174">
        <v>3</v>
      </c>
      <c r="K61" s="174">
        <f>12*J61</f>
        <v>36</v>
      </c>
      <c r="L61" s="174">
        <f>36*J61</f>
        <v>108</v>
      </c>
      <c r="M61" s="174">
        <f>SUM(K61:L61)</f>
        <v>144</v>
      </c>
      <c r="N61" s="172" t="s">
        <v>274</v>
      </c>
      <c r="O61" s="172" t="s">
        <v>231</v>
      </c>
      <c r="P61" s="172" t="s">
        <v>232</v>
      </c>
      <c r="Q61" s="172" t="s">
        <v>227</v>
      </c>
      <c r="R61" s="5"/>
      <c r="S61" s="5"/>
      <c r="T61" s="104"/>
    </row>
    <row r="62" spans="1:20" s="90" customFormat="1" ht="33" x14ac:dyDescent="0.5">
      <c r="B62" s="72" t="s">
        <v>103</v>
      </c>
      <c r="C62" s="153"/>
      <c r="D62" s="153"/>
      <c r="E62" s="177"/>
      <c r="F62" s="153"/>
      <c r="G62" s="153"/>
      <c r="H62" s="153"/>
      <c r="I62" s="153"/>
      <c r="J62" s="153"/>
      <c r="K62" s="153"/>
      <c r="L62" s="153"/>
      <c r="M62" s="153"/>
      <c r="N62" s="155"/>
      <c r="O62" s="155"/>
      <c r="P62" s="155"/>
      <c r="Q62" s="155"/>
      <c r="R62" s="5"/>
      <c r="S62" s="5"/>
      <c r="T62" s="104"/>
    </row>
    <row r="63" spans="1:20" s="90" customFormat="1" ht="49.5" x14ac:dyDescent="0.5">
      <c r="B63" s="72" t="s">
        <v>104</v>
      </c>
      <c r="C63" s="153"/>
      <c r="D63" s="153"/>
      <c r="E63" s="177"/>
      <c r="F63" s="153"/>
      <c r="G63" s="153"/>
      <c r="H63" s="153"/>
      <c r="I63" s="153"/>
      <c r="J63" s="153"/>
      <c r="K63" s="153"/>
      <c r="L63" s="153"/>
      <c r="M63" s="153"/>
      <c r="N63" s="155"/>
      <c r="O63" s="155"/>
      <c r="P63" s="155"/>
      <c r="Q63" s="155"/>
      <c r="R63" s="5"/>
      <c r="S63" s="5"/>
      <c r="T63" s="104"/>
    </row>
    <row r="64" spans="1:20" s="90" customFormat="1" ht="33" x14ac:dyDescent="0.5">
      <c r="B64" s="72" t="s">
        <v>107</v>
      </c>
      <c r="C64" s="153"/>
      <c r="D64" s="153"/>
      <c r="E64" s="177"/>
      <c r="F64" s="153"/>
      <c r="G64" s="153"/>
      <c r="H64" s="153"/>
      <c r="I64" s="153"/>
      <c r="J64" s="153"/>
      <c r="K64" s="153"/>
      <c r="L64" s="153"/>
      <c r="M64" s="153"/>
      <c r="N64" s="155"/>
      <c r="O64" s="155"/>
      <c r="P64" s="155"/>
      <c r="Q64" s="155"/>
      <c r="R64" s="5"/>
      <c r="S64" s="5"/>
      <c r="T64" s="104"/>
    </row>
    <row r="65" spans="1:20" s="90" customFormat="1" ht="33" x14ac:dyDescent="0.5">
      <c r="B65" s="72" t="s">
        <v>108</v>
      </c>
      <c r="C65" s="153"/>
      <c r="D65" s="153"/>
      <c r="E65" s="177"/>
      <c r="F65" s="153"/>
      <c r="G65" s="153"/>
      <c r="H65" s="153"/>
      <c r="I65" s="153"/>
      <c r="J65" s="153"/>
      <c r="K65" s="153"/>
      <c r="L65" s="153"/>
      <c r="M65" s="153"/>
      <c r="N65" s="155"/>
      <c r="O65" s="155"/>
      <c r="P65" s="155"/>
      <c r="Q65" s="155"/>
      <c r="R65" s="5"/>
      <c r="S65" s="5"/>
      <c r="T65" s="104"/>
    </row>
    <row r="66" spans="1:20" s="90" customFormat="1" ht="33" x14ac:dyDescent="0.5">
      <c r="A66" s="90" t="str">
        <f>_xlfn.XLOOKUP(B66,'Paso 3 Redacción RA'!I3:I21,'Paso 3 Redacción RA'!C3:C21,,0,1)</f>
        <v>SaberHacer</v>
      </c>
      <c r="B66" s="72" t="s">
        <v>109</v>
      </c>
      <c r="C66" s="153"/>
      <c r="D66" s="153"/>
      <c r="E66" s="177"/>
      <c r="F66" s="153"/>
      <c r="G66" s="153"/>
      <c r="H66" s="153"/>
      <c r="I66" s="153"/>
      <c r="J66" s="153"/>
      <c r="K66" s="153"/>
      <c r="L66" s="153"/>
      <c r="M66" s="153"/>
      <c r="N66" s="155"/>
      <c r="O66" s="155"/>
      <c r="P66" s="155"/>
      <c r="Q66" s="155"/>
      <c r="R66" s="5"/>
      <c r="S66" s="5"/>
      <c r="T66" s="104"/>
    </row>
    <row r="67" spans="1:20" s="90" customFormat="1" ht="33.5" thickBot="1" x14ac:dyDescent="0.55000000000000004">
      <c r="A67" s="91" t="str">
        <f>_xlfn.XLOOKUP(B67,'Paso 3 Redacción RA'!I3:I21,'Paso 3 Redacción RA'!C3:C21,,0,1)</f>
        <v>SaberHacer</v>
      </c>
      <c r="B67" s="87" t="s">
        <v>110</v>
      </c>
      <c r="C67" s="175"/>
      <c r="D67" s="175"/>
      <c r="E67" s="177"/>
      <c r="F67" s="153"/>
      <c r="G67" s="153"/>
      <c r="H67" s="153"/>
      <c r="I67" s="153"/>
      <c r="J67" s="153"/>
      <c r="K67" s="175"/>
      <c r="L67" s="175"/>
      <c r="M67" s="153"/>
      <c r="N67" s="155"/>
      <c r="O67" s="155"/>
      <c r="P67" s="155"/>
      <c r="Q67" s="155"/>
      <c r="R67" s="5"/>
      <c r="S67" s="5"/>
      <c r="T67" s="104"/>
    </row>
    <row r="68" spans="1:20" s="90" customFormat="1" ht="49.5" x14ac:dyDescent="0.5">
      <c r="A68" s="90" t="str">
        <f>_xlfn.XLOOKUP(B68,'Paso 3 Redacción RA'!I3:I21,'Paso 3 Redacción RA'!C3:C21,,0,1)</f>
        <v>Saber</v>
      </c>
      <c r="B68" s="92" t="s">
        <v>98</v>
      </c>
      <c r="C68" s="174">
        <v>3</v>
      </c>
      <c r="D68" s="174" t="s">
        <v>275</v>
      </c>
      <c r="E68" s="176" t="s">
        <v>276</v>
      </c>
      <c r="F68" s="174" t="s">
        <v>217</v>
      </c>
      <c r="G68" s="174"/>
      <c r="H68" s="174" t="s">
        <v>218</v>
      </c>
      <c r="I68" s="174"/>
      <c r="J68" s="174">
        <v>3</v>
      </c>
      <c r="K68" s="174">
        <f>12*J68</f>
        <v>36</v>
      </c>
      <c r="L68" s="174">
        <f>36*J68</f>
        <v>108</v>
      </c>
      <c r="M68" s="174">
        <f>SUM(K68:L68)</f>
        <v>144</v>
      </c>
      <c r="N68" s="172" t="s">
        <v>277</v>
      </c>
      <c r="O68" s="172" t="s">
        <v>231</v>
      </c>
      <c r="P68" s="172" t="s">
        <v>232</v>
      </c>
      <c r="Q68" s="172" t="s">
        <v>227</v>
      </c>
      <c r="R68" s="5"/>
      <c r="S68" s="5"/>
      <c r="T68" s="104"/>
    </row>
    <row r="69" spans="1:20" s="90" customFormat="1" ht="33" x14ac:dyDescent="0.5">
      <c r="A69" s="90" t="str">
        <f>_xlfn.XLOOKUP(B69,'Paso 3 Redacción RA'!I4:I22,'Paso 3 Redacción RA'!C4:C22,,0,1)</f>
        <v>SaberSer</v>
      </c>
      <c r="B69" s="72" t="s">
        <v>103</v>
      </c>
      <c r="C69" s="153"/>
      <c r="D69" s="153"/>
      <c r="E69" s="177"/>
      <c r="F69" s="153"/>
      <c r="G69" s="153"/>
      <c r="H69" s="153"/>
      <c r="I69" s="153"/>
      <c r="J69" s="153"/>
      <c r="K69" s="153"/>
      <c r="L69" s="153"/>
      <c r="M69" s="153"/>
      <c r="N69" s="155"/>
      <c r="O69" s="155"/>
      <c r="P69" s="155"/>
      <c r="Q69" s="155"/>
      <c r="R69" s="5"/>
      <c r="S69" s="5"/>
      <c r="T69" s="104"/>
    </row>
    <row r="70" spans="1:20" s="90" customFormat="1" ht="49.5" x14ac:dyDescent="0.5">
      <c r="A70" s="90" t="str">
        <f>_xlfn.XLOOKUP(B70,'Paso 3 Redacción RA'!I5:I23,'Paso 3 Redacción RA'!C5:C23,,0,1)</f>
        <v>SaberHacer</v>
      </c>
      <c r="B70" s="72" t="s">
        <v>104</v>
      </c>
      <c r="C70" s="153"/>
      <c r="D70" s="153"/>
      <c r="E70" s="177"/>
      <c r="F70" s="153"/>
      <c r="G70" s="153"/>
      <c r="H70" s="153"/>
      <c r="I70" s="153"/>
      <c r="J70" s="153"/>
      <c r="K70" s="153"/>
      <c r="L70" s="153"/>
      <c r="M70" s="153"/>
      <c r="N70" s="155"/>
      <c r="O70" s="155"/>
      <c r="P70" s="155"/>
      <c r="Q70" s="155"/>
      <c r="R70" s="5"/>
      <c r="S70" s="5"/>
      <c r="T70" s="104"/>
    </row>
    <row r="71" spans="1:20" s="90" customFormat="1" ht="33" x14ac:dyDescent="0.5">
      <c r="A71" s="90" t="str">
        <f>_xlfn.XLOOKUP(B71,'Paso 3 Redacción RA'!I6:I24,'Paso 3 Redacción RA'!C6:C24,,0,1)</f>
        <v>Saber</v>
      </c>
      <c r="B71" s="72" t="s">
        <v>107</v>
      </c>
      <c r="C71" s="153"/>
      <c r="D71" s="153"/>
      <c r="E71" s="177"/>
      <c r="F71" s="153"/>
      <c r="G71" s="153"/>
      <c r="H71" s="153"/>
      <c r="I71" s="153"/>
      <c r="J71" s="153"/>
      <c r="K71" s="153"/>
      <c r="L71" s="153"/>
      <c r="M71" s="153"/>
      <c r="N71" s="155"/>
      <c r="O71" s="155"/>
      <c r="P71" s="155"/>
      <c r="Q71" s="155"/>
      <c r="R71" s="5"/>
      <c r="S71" s="5"/>
      <c r="T71" s="104"/>
    </row>
    <row r="72" spans="1:20" s="90" customFormat="1" ht="33" x14ac:dyDescent="0.5">
      <c r="A72" s="90" t="str">
        <f>_xlfn.XLOOKUP(B72,'Paso 3 Redacción RA'!I7:I25,'Paso 3 Redacción RA'!C7:C25,,0,1)</f>
        <v>SaberHacer</v>
      </c>
      <c r="B72" s="72" t="s">
        <v>108</v>
      </c>
      <c r="C72" s="153"/>
      <c r="D72" s="153"/>
      <c r="E72" s="177"/>
      <c r="F72" s="153"/>
      <c r="G72" s="153"/>
      <c r="H72" s="153"/>
      <c r="I72" s="153"/>
      <c r="J72" s="153"/>
      <c r="K72" s="153"/>
      <c r="L72" s="153"/>
      <c r="M72" s="153"/>
      <c r="N72" s="155"/>
      <c r="O72" s="155"/>
      <c r="P72" s="155"/>
      <c r="Q72" s="155"/>
      <c r="R72" s="5"/>
      <c r="S72" s="5"/>
      <c r="T72" s="104"/>
    </row>
    <row r="73" spans="1:20" s="90" customFormat="1" ht="33" x14ac:dyDescent="0.5">
      <c r="A73" s="90" t="str">
        <f>_xlfn.XLOOKUP(B73,'Paso 3 Redacción RA'!I3:I21,'Paso 3 Redacción RA'!C3:C21,,0,1)</f>
        <v>SaberHacer</v>
      </c>
      <c r="B73" s="72" t="s">
        <v>110</v>
      </c>
      <c r="C73" s="153"/>
      <c r="D73" s="153"/>
      <c r="E73" s="177"/>
      <c r="F73" s="153"/>
      <c r="G73" s="153"/>
      <c r="H73" s="153"/>
      <c r="I73" s="153"/>
      <c r="J73" s="153"/>
      <c r="K73" s="153"/>
      <c r="L73" s="153"/>
      <c r="M73" s="153"/>
      <c r="N73" s="155"/>
      <c r="O73" s="155"/>
      <c r="P73" s="155"/>
      <c r="Q73" s="155"/>
      <c r="R73" s="5"/>
      <c r="S73" s="5"/>
      <c r="T73" s="104"/>
    </row>
    <row r="74" spans="1:20" s="90" customFormat="1" ht="17" thickBot="1" x14ac:dyDescent="0.55000000000000004">
      <c r="A74" s="91" t="str">
        <f>_xlfn.XLOOKUP(B74,'Paso 3 Redacción RA'!I3:I21,'Paso 3 Redacción RA'!C3:C21,,0,1)</f>
        <v>SaberHacer</v>
      </c>
      <c r="B74" s="87" t="s">
        <v>111</v>
      </c>
      <c r="C74" s="175"/>
      <c r="D74" s="175"/>
      <c r="E74" s="177"/>
      <c r="F74" s="153"/>
      <c r="G74" s="153"/>
      <c r="H74" s="153"/>
      <c r="I74" s="153"/>
      <c r="J74" s="153"/>
      <c r="K74" s="175"/>
      <c r="L74" s="175"/>
      <c r="M74" s="153"/>
      <c r="N74" s="155"/>
      <c r="O74" s="155"/>
      <c r="P74" s="155"/>
      <c r="Q74" s="155"/>
      <c r="R74" s="5"/>
      <c r="S74" s="5"/>
      <c r="T74" s="104"/>
    </row>
    <row r="75" spans="1:20" s="90" customFormat="1" ht="248" thickBot="1" x14ac:dyDescent="0.55000000000000004">
      <c r="A75" s="97" t="str">
        <f>_xlfn.XLOOKUP(B75,'Paso 3 Redacción RA'!I3:I21,'Paso 3 Redacción RA'!C3:C21,,0,1)</f>
        <v>Saber</v>
      </c>
      <c r="B75" s="97" t="s">
        <v>112</v>
      </c>
      <c r="C75" s="96">
        <v>4</v>
      </c>
      <c r="D75" s="96" t="s">
        <v>278</v>
      </c>
      <c r="E75" s="97" t="s">
        <v>279</v>
      </c>
      <c r="F75" s="95" t="s">
        <v>217</v>
      </c>
      <c r="G75" s="96" t="s">
        <v>218</v>
      </c>
      <c r="H75" s="96" t="s">
        <v>280</v>
      </c>
      <c r="I75" s="96"/>
      <c r="J75" s="96">
        <v>3</v>
      </c>
      <c r="K75" s="95">
        <f>12*J75</f>
        <v>36</v>
      </c>
      <c r="L75" s="95">
        <f>36*J75</f>
        <v>108</v>
      </c>
      <c r="M75" s="95">
        <f>SUM(K75:L75)</f>
        <v>144</v>
      </c>
      <c r="N75" s="97" t="s">
        <v>281</v>
      </c>
      <c r="O75" s="97" t="s">
        <v>220</v>
      </c>
      <c r="P75" s="97" t="s">
        <v>282</v>
      </c>
      <c r="Q75" s="94" t="s">
        <v>227</v>
      </c>
      <c r="R75" s="5"/>
      <c r="S75" s="5"/>
      <c r="T75" s="104"/>
    </row>
    <row r="76" spans="1:20" s="90" customFormat="1" ht="49.5" x14ac:dyDescent="0.5">
      <c r="A76" s="90" t="str">
        <f>_xlfn.XLOOKUP(B76,'Paso 3 Redacción RA'!I3:I21,'Paso 3 Redacción RA'!C3:C21,,0,1)</f>
        <v>Saber</v>
      </c>
      <c r="B76" s="92" t="s">
        <v>98</v>
      </c>
      <c r="C76" s="174">
        <v>4</v>
      </c>
      <c r="D76" s="174" t="s">
        <v>283</v>
      </c>
      <c r="E76" s="176" t="s">
        <v>284</v>
      </c>
      <c r="F76" s="174" t="s">
        <v>217</v>
      </c>
      <c r="G76" s="174"/>
      <c r="H76" s="174" t="s">
        <v>218</v>
      </c>
      <c r="I76" s="174"/>
      <c r="J76" s="174">
        <v>3</v>
      </c>
      <c r="K76" s="174">
        <f>12*J76</f>
        <v>36</v>
      </c>
      <c r="L76" s="174">
        <f>36*J76</f>
        <v>108</v>
      </c>
      <c r="M76" s="174">
        <f>SUM(K76:L76)</f>
        <v>144</v>
      </c>
      <c r="N76" s="172" t="s">
        <v>285</v>
      </c>
      <c r="O76" s="172" t="s">
        <v>231</v>
      </c>
      <c r="P76" s="172" t="s">
        <v>232</v>
      </c>
      <c r="Q76" s="172" t="s">
        <v>227</v>
      </c>
      <c r="R76" s="5"/>
      <c r="S76" s="5"/>
      <c r="T76" s="104"/>
    </row>
    <row r="77" spans="1:20" s="90" customFormat="1" ht="33" x14ac:dyDescent="0.5">
      <c r="A77" s="90" t="str">
        <f>_xlfn.XLOOKUP(B77,'Paso 3 Redacción RA'!I4:I22,'Paso 3 Redacción RA'!C4:C22,,0,1)</f>
        <v>SaberSer</v>
      </c>
      <c r="B77" s="72" t="s">
        <v>103</v>
      </c>
      <c r="C77" s="153"/>
      <c r="D77" s="153"/>
      <c r="E77" s="177"/>
      <c r="F77" s="153"/>
      <c r="G77" s="153"/>
      <c r="H77" s="153"/>
      <c r="I77" s="153"/>
      <c r="J77" s="153"/>
      <c r="K77" s="153"/>
      <c r="L77" s="153"/>
      <c r="M77" s="153"/>
      <c r="N77" s="155"/>
      <c r="O77" s="155"/>
      <c r="P77" s="155"/>
      <c r="Q77" s="155"/>
      <c r="R77" s="5"/>
      <c r="S77" s="5"/>
      <c r="T77" s="104"/>
    </row>
    <row r="78" spans="1:20" s="90" customFormat="1" ht="49.5" x14ac:dyDescent="0.5">
      <c r="A78" s="90" t="str">
        <f>_xlfn.XLOOKUP(B78,'Paso 3 Redacción RA'!I5:I23,'Paso 3 Redacción RA'!C5:C23,,0,1)</f>
        <v>SaberHacer</v>
      </c>
      <c r="B78" s="72" t="s">
        <v>104</v>
      </c>
      <c r="C78" s="153"/>
      <c r="D78" s="153"/>
      <c r="E78" s="177"/>
      <c r="F78" s="153"/>
      <c r="G78" s="153"/>
      <c r="H78" s="153"/>
      <c r="I78" s="153"/>
      <c r="J78" s="153"/>
      <c r="K78" s="153"/>
      <c r="L78" s="153"/>
      <c r="M78" s="153"/>
      <c r="N78" s="155"/>
      <c r="O78" s="155"/>
      <c r="P78" s="155"/>
      <c r="Q78" s="155"/>
      <c r="R78" s="5"/>
      <c r="S78" s="5"/>
      <c r="T78" s="104"/>
    </row>
    <row r="79" spans="1:20" s="90" customFormat="1" ht="33" x14ac:dyDescent="0.5">
      <c r="A79" s="90" t="str">
        <f>_xlfn.XLOOKUP(B79,'Paso 3 Redacción RA'!I6:I24,'Paso 3 Redacción RA'!C6:C24,,0,1)</f>
        <v>Saber</v>
      </c>
      <c r="B79" s="72" t="s">
        <v>107</v>
      </c>
      <c r="C79" s="153"/>
      <c r="D79" s="153"/>
      <c r="E79" s="177"/>
      <c r="F79" s="153"/>
      <c r="G79" s="153"/>
      <c r="H79" s="153"/>
      <c r="I79" s="153"/>
      <c r="J79" s="153"/>
      <c r="K79" s="153"/>
      <c r="L79" s="153"/>
      <c r="M79" s="153"/>
      <c r="N79" s="155"/>
      <c r="O79" s="155"/>
      <c r="P79" s="155"/>
      <c r="Q79" s="155"/>
      <c r="R79" s="5"/>
      <c r="S79" s="5"/>
      <c r="T79" s="104"/>
    </row>
    <row r="80" spans="1:20" s="90" customFormat="1" ht="33" x14ac:dyDescent="0.5">
      <c r="A80" s="90" t="str">
        <f>_xlfn.XLOOKUP(B80,'Paso 3 Redacción RA'!I7:I25,'Paso 3 Redacción RA'!C7:C25,,0,1)</f>
        <v>SaberHacer</v>
      </c>
      <c r="B80" s="72" t="s">
        <v>108</v>
      </c>
      <c r="C80" s="153"/>
      <c r="D80" s="153"/>
      <c r="E80" s="177"/>
      <c r="F80" s="153"/>
      <c r="G80" s="153"/>
      <c r="H80" s="153"/>
      <c r="I80" s="153"/>
      <c r="J80" s="153"/>
      <c r="K80" s="153"/>
      <c r="L80" s="153"/>
      <c r="M80" s="153"/>
      <c r="N80" s="155"/>
      <c r="O80" s="155"/>
      <c r="P80" s="155"/>
      <c r="Q80" s="155"/>
      <c r="R80" s="5"/>
      <c r="S80" s="5"/>
      <c r="T80" s="104"/>
    </row>
    <row r="81" spans="1:20" s="90" customFormat="1" ht="33" x14ac:dyDescent="0.5">
      <c r="A81" s="90" t="str">
        <f>_xlfn.XLOOKUP(B81,'Paso 3 Redacción RA'!I8:I26,'Paso 3 Redacción RA'!C8:C26,,0,1)</f>
        <v>SaberHacer</v>
      </c>
      <c r="B81" s="72" t="s">
        <v>109</v>
      </c>
      <c r="C81" s="153"/>
      <c r="D81" s="153"/>
      <c r="E81" s="177"/>
      <c r="F81" s="153"/>
      <c r="G81" s="153"/>
      <c r="H81" s="153"/>
      <c r="I81" s="153"/>
      <c r="J81" s="153"/>
      <c r="K81" s="153"/>
      <c r="L81" s="153"/>
      <c r="M81" s="153"/>
      <c r="N81" s="155"/>
      <c r="O81" s="155"/>
      <c r="P81" s="155"/>
      <c r="Q81" s="155"/>
      <c r="R81" s="5"/>
      <c r="S81" s="5"/>
      <c r="T81" s="104"/>
    </row>
    <row r="82" spans="1:20" s="90" customFormat="1" ht="33" x14ac:dyDescent="0.5">
      <c r="A82" s="90" t="str">
        <f>_xlfn.XLOOKUP(B82,'Paso 3 Redacción RA'!I3:I21,'Paso 3 Redacción RA'!C3:C21,,0,1)</f>
        <v>SaberHacer</v>
      </c>
      <c r="B82" s="72" t="s">
        <v>110</v>
      </c>
      <c r="C82" s="153"/>
      <c r="D82" s="153"/>
      <c r="E82" s="177"/>
      <c r="F82" s="153"/>
      <c r="G82" s="153"/>
      <c r="H82" s="153"/>
      <c r="I82" s="153"/>
      <c r="J82" s="153"/>
      <c r="K82" s="153"/>
      <c r="L82" s="153"/>
      <c r="M82" s="153"/>
      <c r="N82" s="155"/>
      <c r="O82" s="155"/>
      <c r="P82" s="155"/>
      <c r="Q82" s="155"/>
      <c r="R82" s="5"/>
      <c r="S82" s="5"/>
      <c r="T82" s="104"/>
    </row>
    <row r="83" spans="1:20" s="90" customFormat="1" ht="17" thickBot="1" x14ac:dyDescent="0.55000000000000004">
      <c r="A83" s="91" t="str">
        <f>_xlfn.XLOOKUP(B83,'Paso 3 Redacción RA'!I3:I21,'Paso 3 Redacción RA'!C3:C21,,0,1)</f>
        <v>SaberHacer</v>
      </c>
      <c r="B83" s="87" t="s">
        <v>111</v>
      </c>
      <c r="C83" s="175"/>
      <c r="D83" s="175"/>
      <c r="E83" s="178"/>
      <c r="F83" s="175"/>
      <c r="G83" s="175"/>
      <c r="H83" s="175"/>
      <c r="I83" s="175"/>
      <c r="J83" s="175"/>
      <c r="K83" s="175"/>
      <c r="L83" s="175"/>
      <c r="M83" s="175"/>
      <c r="N83" s="173"/>
      <c r="O83" s="173"/>
      <c r="P83" s="173"/>
      <c r="Q83" s="173"/>
      <c r="R83" s="5"/>
      <c r="S83" s="5"/>
      <c r="T83" s="104"/>
    </row>
    <row r="84" spans="1:20" s="90" customFormat="1" ht="49.5" x14ac:dyDescent="0.5">
      <c r="A84" s="90" t="str">
        <f>_xlfn.XLOOKUP(B84,'Paso 3 Redacción RA'!I3:I21,'Paso 3 Redacción RA'!C3:C21,,0,1)</f>
        <v>Saber</v>
      </c>
      <c r="B84" s="92" t="s">
        <v>98</v>
      </c>
      <c r="C84" s="174">
        <v>4</v>
      </c>
      <c r="D84" s="174" t="s">
        <v>286</v>
      </c>
      <c r="E84" s="176" t="s">
        <v>287</v>
      </c>
      <c r="F84" s="174" t="s">
        <v>217</v>
      </c>
      <c r="G84" s="174"/>
      <c r="H84" s="174" t="s">
        <v>218</v>
      </c>
      <c r="I84" s="174"/>
      <c r="J84" s="174">
        <v>3</v>
      </c>
      <c r="K84" s="174">
        <f>12*J84</f>
        <v>36</v>
      </c>
      <c r="L84" s="174">
        <f>36*J84</f>
        <v>108</v>
      </c>
      <c r="M84" s="174">
        <f>SUM(K84:L84)</f>
        <v>144</v>
      </c>
      <c r="N84" s="172" t="s">
        <v>288</v>
      </c>
      <c r="O84" s="172" t="s">
        <v>231</v>
      </c>
      <c r="P84" s="172" t="s">
        <v>232</v>
      </c>
      <c r="Q84" s="172" t="s">
        <v>227</v>
      </c>
      <c r="R84" s="5"/>
      <c r="S84" s="5"/>
      <c r="T84" s="104"/>
    </row>
    <row r="85" spans="1:20" s="90" customFormat="1" x14ac:dyDescent="0.5">
      <c r="A85" s="90" t="str">
        <f>_xlfn.XLOOKUP(B85,'Paso 3 Redacción RA'!I4:I22,'Paso 3 Redacción RA'!C4:C22,,0,1)</f>
        <v>SaberHacer</v>
      </c>
      <c r="B85" s="72" t="s">
        <v>101</v>
      </c>
      <c r="C85" s="153"/>
      <c r="D85" s="153"/>
      <c r="E85" s="177"/>
      <c r="F85" s="153"/>
      <c r="G85" s="153"/>
      <c r="H85" s="153"/>
      <c r="I85" s="153"/>
      <c r="J85" s="153"/>
      <c r="K85" s="153"/>
      <c r="L85" s="153"/>
      <c r="M85" s="153"/>
      <c r="N85" s="155"/>
      <c r="O85" s="155"/>
      <c r="P85" s="155"/>
      <c r="Q85" s="155"/>
      <c r="R85" s="5"/>
      <c r="S85" s="5"/>
      <c r="T85" s="104"/>
    </row>
    <row r="86" spans="1:20" s="90" customFormat="1" ht="33" x14ac:dyDescent="0.5">
      <c r="A86" s="90" t="str">
        <f>_xlfn.XLOOKUP(B86,'Paso 3 Redacción RA'!I5:I23,'Paso 3 Redacción RA'!C5:C23,,0,1)</f>
        <v>SaberSer</v>
      </c>
      <c r="B86" s="72" t="s">
        <v>103</v>
      </c>
      <c r="C86" s="153"/>
      <c r="D86" s="153"/>
      <c r="E86" s="177"/>
      <c r="F86" s="153"/>
      <c r="G86" s="153"/>
      <c r="H86" s="153"/>
      <c r="I86" s="153"/>
      <c r="J86" s="153"/>
      <c r="K86" s="153"/>
      <c r="L86" s="153"/>
      <c r="M86" s="153"/>
      <c r="N86" s="155"/>
      <c r="O86" s="155"/>
      <c r="P86" s="155"/>
      <c r="Q86" s="155"/>
      <c r="R86" s="5"/>
      <c r="S86" s="5"/>
      <c r="T86" s="104"/>
    </row>
    <row r="87" spans="1:20" s="90" customFormat="1" ht="49.5" x14ac:dyDescent="0.5">
      <c r="A87" s="90" t="str">
        <f>_xlfn.XLOOKUP(B87,'Paso 3 Redacción RA'!I6:I24,'Paso 3 Redacción RA'!C6:C24,,0,1)</f>
        <v>SaberHacer</v>
      </c>
      <c r="B87" s="72" t="s">
        <v>104</v>
      </c>
      <c r="C87" s="153"/>
      <c r="D87" s="153"/>
      <c r="E87" s="177"/>
      <c r="F87" s="153"/>
      <c r="G87" s="153"/>
      <c r="H87" s="153"/>
      <c r="I87" s="153"/>
      <c r="J87" s="153"/>
      <c r="K87" s="153"/>
      <c r="L87" s="153"/>
      <c r="M87" s="153"/>
      <c r="N87" s="155"/>
      <c r="O87" s="155"/>
      <c r="P87" s="155"/>
      <c r="Q87" s="155"/>
      <c r="R87" s="5"/>
      <c r="S87" s="5"/>
      <c r="T87" s="104"/>
    </row>
    <row r="88" spans="1:20" s="90" customFormat="1" ht="33" x14ac:dyDescent="0.5">
      <c r="A88" s="90" t="str">
        <f>_xlfn.XLOOKUP(B88,'Paso 3 Redacción RA'!I7:I25,'Paso 3 Redacción RA'!C7:C25,,0,1)</f>
        <v>Saber</v>
      </c>
      <c r="B88" s="72" t="s">
        <v>107</v>
      </c>
      <c r="C88" s="153"/>
      <c r="D88" s="153"/>
      <c r="E88" s="177"/>
      <c r="F88" s="153"/>
      <c r="G88" s="153"/>
      <c r="H88" s="153"/>
      <c r="I88" s="153"/>
      <c r="J88" s="153"/>
      <c r="K88" s="153"/>
      <c r="L88" s="153"/>
      <c r="M88" s="153"/>
      <c r="N88" s="155"/>
      <c r="O88" s="155"/>
      <c r="P88" s="155"/>
      <c r="Q88" s="155"/>
      <c r="R88" s="5"/>
      <c r="S88" s="5"/>
      <c r="T88" s="104"/>
    </row>
    <row r="89" spans="1:20" s="90" customFormat="1" ht="33" x14ac:dyDescent="0.5">
      <c r="A89" s="90" t="str">
        <f>_xlfn.XLOOKUP(B89,'Paso 3 Redacción RA'!I8:I26,'Paso 3 Redacción RA'!C8:C26,,0,1)</f>
        <v>SaberHacer</v>
      </c>
      <c r="B89" s="72" t="s">
        <v>108</v>
      </c>
      <c r="C89" s="153"/>
      <c r="D89" s="153"/>
      <c r="E89" s="177"/>
      <c r="F89" s="153"/>
      <c r="G89" s="153"/>
      <c r="H89" s="153"/>
      <c r="I89" s="153"/>
      <c r="J89" s="153"/>
      <c r="K89" s="153"/>
      <c r="L89" s="153"/>
      <c r="M89" s="153"/>
      <c r="N89" s="155"/>
      <c r="O89" s="155"/>
      <c r="P89" s="155"/>
      <c r="Q89" s="155"/>
      <c r="R89" s="5"/>
      <c r="S89" s="5"/>
      <c r="T89" s="104"/>
    </row>
    <row r="90" spans="1:20" s="90" customFormat="1" ht="33" x14ac:dyDescent="0.5">
      <c r="A90" s="90" t="str">
        <f>_xlfn.XLOOKUP(B90,'Paso 3 Redacción RA'!I9:I27,'Paso 3 Redacción RA'!C9:C27,,0,1)</f>
        <v>SaberHacer</v>
      </c>
      <c r="B90" s="72" t="s">
        <v>109</v>
      </c>
      <c r="C90" s="153"/>
      <c r="D90" s="153"/>
      <c r="E90" s="177"/>
      <c r="F90" s="153"/>
      <c r="G90" s="153"/>
      <c r="H90" s="153"/>
      <c r="I90" s="153"/>
      <c r="J90" s="153"/>
      <c r="K90" s="153"/>
      <c r="L90" s="153"/>
      <c r="M90" s="153"/>
      <c r="N90" s="155"/>
      <c r="O90" s="155"/>
      <c r="P90" s="155"/>
      <c r="Q90" s="155"/>
      <c r="R90" s="5"/>
      <c r="S90" s="5"/>
      <c r="T90" s="104"/>
    </row>
    <row r="91" spans="1:20" s="90" customFormat="1" ht="33" x14ac:dyDescent="0.5">
      <c r="A91" s="90" t="str">
        <f>_xlfn.XLOOKUP(B91,'Paso 3 Redacción RA'!I3:I21,'Paso 3 Redacción RA'!C3:C21,,0,1)</f>
        <v>SaberHacer</v>
      </c>
      <c r="B91" s="72" t="s">
        <v>110</v>
      </c>
      <c r="C91" s="153"/>
      <c r="D91" s="153"/>
      <c r="E91" s="177"/>
      <c r="F91" s="153"/>
      <c r="G91" s="153"/>
      <c r="H91" s="153"/>
      <c r="I91" s="153"/>
      <c r="J91" s="153"/>
      <c r="K91" s="153"/>
      <c r="L91" s="153"/>
      <c r="M91" s="153"/>
      <c r="N91" s="155"/>
      <c r="O91" s="155"/>
      <c r="P91" s="155"/>
      <c r="Q91" s="155"/>
      <c r="R91" s="5"/>
      <c r="S91" s="5"/>
      <c r="T91" s="104"/>
    </row>
    <row r="92" spans="1:20" s="90" customFormat="1" ht="17" thickBot="1" x14ac:dyDescent="0.55000000000000004">
      <c r="A92" s="91" t="str">
        <f>_xlfn.XLOOKUP(B92,'Paso 3 Redacción RA'!I3:I21,'Paso 3 Redacción RA'!C3:C21,,0,1)</f>
        <v>SaberHacer</v>
      </c>
      <c r="B92" s="87" t="s">
        <v>111</v>
      </c>
      <c r="C92" s="175"/>
      <c r="D92" s="175"/>
      <c r="E92" s="178"/>
      <c r="F92" s="175"/>
      <c r="G92" s="175"/>
      <c r="H92" s="175"/>
      <c r="I92" s="175"/>
      <c r="J92" s="175"/>
      <c r="K92" s="175"/>
      <c r="L92" s="175"/>
      <c r="M92" s="175"/>
      <c r="N92" s="173"/>
      <c r="O92" s="173"/>
      <c r="P92" s="173"/>
      <c r="Q92" s="173"/>
      <c r="R92" s="5"/>
      <c r="S92" s="5"/>
      <c r="T92" s="104"/>
    </row>
    <row r="93" spans="1:20" s="90" customFormat="1" ht="49.5" x14ac:dyDescent="0.5">
      <c r="A93" s="103" t="str">
        <f>_xlfn.XLOOKUP(B93,'Paso 3 Redacción RA'!I3:I21,'Paso 3 Redacción RA'!C3:C21,,0,1)</f>
        <v>Saber</v>
      </c>
      <c r="B93" s="92" t="s">
        <v>98</v>
      </c>
      <c r="C93" s="174">
        <v>4</v>
      </c>
      <c r="D93" s="174" t="s">
        <v>289</v>
      </c>
      <c r="E93" s="176" t="s">
        <v>290</v>
      </c>
      <c r="F93" s="174" t="s">
        <v>217</v>
      </c>
      <c r="G93" s="174"/>
      <c r="H93" s="174" t="s">
        <v>218</v>
      </c>
      <c r="I93" s="174"/>
      <c r="J93" s="174">
        <v>3</v>
      </c>
      <c r="K93" s="174">
        <f>12*J93</f>
        <v>36</v>
      </c>
      <c r="L93" s="174">
        <f>36*J93</f>
        <v>108</v>
      </c>
      <c r="M93" s="174">
        <f>SUM(K93:L93)</f>
        <v>144</v>
      </c>
      <c r="N93" s="172" t="s">
        <v>291</v>
      </c>
      <c r="O93" s="172" t="s">
        <v>231</v>
      </c>
      <c r="P93" s="172" t="s">
        <v>232</v>
      </c>
      <c r="Q93" s="172" t="s">
        <v>227</v>
      </c>
      <c r="R93" s="5"/>
      <c r="S93" s="5"/>
      <c r="T93" s="104"/>
    </row>
    <row r="94" spans="1:20" s="90" customFormat="1" ht="33" x14ac:dyDescent="0.5">
      <c r="A94" s="90" t="str">
        <f>_xlfn.XLOOKUP(B94,'Paso 3 Redacción RA'!I4:I22,'Paso 3 Redacción RA'!C4:C22,,0,1)</f>
        <v>SaberSer</v>
      </c>
      <c r="B94" s="72" t="s">
        <v>103</v>
      </c>
      <c r="C94" s="153"/>
      <c r="D94" s="153"/>
      <c r="E94" s="177"/>
      <c r="F94" s="153"/>
      <c r="G94" s="153"/>
      <c r="H94" s="153"/>
      <c r="I94" s="153"/>
      <c r="J94" s="153"/>
      <c r="K94" s="153"/>
      <c r="L94" s="153"/>
      <c r="M94" s="153"/>
      <c r="N94" s="155"/>
      <c r="O94" s="155"/>
      <c r="P94" s="155"/>
      <c r="Q94" s="155"/>
      <c r="R94" s="5"/>
      <c r="S94" s="5"/>
      <c r="T94" s="104"/>
    </row>
    <row r="95" spans="1:20" s="90" customFormat="1" ht="49.5" x14ac:dyDescent="0.5">
      <c r="A95" s="90" t="str">
        <f>_xlfn.XLOOKUP(B95,'Paso 3 Redacción RA'!I5:I23,'Paso 3 Redacción RA'!C5:C23,,0,1)</f>
        <v>SaberHacer</v>
      </c>
      <c r="B95" s="72" t="s">
        <v>104</v>
      </c>
      <c r="C95" s="153"/>
      <c r="D95" s="153"/>
      <c r="E95" s="177"/>
      <c r="F95" s="153"/>
      <c r="G95" s="153"/>
      <c r="H95" s="153"/>
      <c r="I95" s="153"/>
      <c r="J95" s="153"/>
      <c r="K95" s="153"/>
      <c r="L95" s="153"/>
      <c r="M95" s="153"/>
      <c r="N95" s="155"/>
      <c r="O95" s="155"/>
      <c r="P95" s="155"/>
      <c r="Q95" s="155"/>
      <c r="R95" s="5"/>
      <c r="S95" s="5"/>
      <c r="T95" s="104"/>
    </row>
    <row r="96" spans="1:20" s="90" customFormat="1" ht="33" x14ac:dyDescent="0.5">
      <c r="A96" s="90" t="str">
        <f>_xlfn.XLOOKUP(B96,'Paso 3 Redacción RA'!I6:I24,'Paso 3 Redacción RA'!C6:C24,,0,1)</f>
        <v>Saber</v>
      </c>
      <c r="B96" s="72" t="s">
        <v>107</v>
      </c>
      <c r="C96" s="153"/>
      <c r="D96" s="153"/>
      <c r="E96" s="177"/>
      <c r="F96" s="153"/>
      <c r="G96" s="153"/>
      <c r="H96" s="153"/>
      <c r="I96" s="153"/>
      <c r="J96" s="153"/>
      <c r="K96" s="153"/>
      <c r="L96" s="153"/>
      <c r="M96" s="153"/>
      <c r="N96" s="155"/>
      <c r="O96" s="155"/>
      <c r="P96" s="155"/>
      <c r="Q96" s="155"/>
      <c r="R96" s="5"/>
      <c r="S96" s="5"/>
      <c r="T96" s="104"/>
    </row>
    <row r="97" spans="1:20" s="90" customFormat="1" ht="33" x14ac:dyDescent="0.5">
      <c r="A97" s="90" t="str">
        <f>_xlfn.XLOOKUP(B97,'Paso 3 Redacción RA'!I7:I25,'Paso 3 Redacción RA'!C7:C25,,0,1)</f>
        <v>SaberHacer</v>
      </c>
      <c r="B97" s="72" t="s">
        <v>108</v>
      </c>
      <c r="C97" s="153"/>
      <c r="D97" s="153"/>
      <c r="E97" s="177"/>
      <c r="F97" s="153"/>
      <c r="G97" s="153"/>
      <c r="H97" s="153"/>
      <c r="I97" s="153"/>
      <c r="J97" s="153"/>
      <c r="K97" s="153"/>
      <c r="L97" s="153"/>
      <c r="M97" s="153"/>
      <c r="N97" s="155"/>
      <c r="O97" s="155"/>
      <c r="P97" s="155"/>
      <c r="Q97" s="155"/>
      <c r="R97" s="5"/>
      <c r="S97" s="5"/>
      <c r="T97" s="104"/>
    </row>
    <row r="98" spans="1:20" s="90" customFormat="1" ht="33" x14ac:dyDescent="0.5">
      <c r="A98" s="90" t="str">
        <f>_xlfn.XLOOKUP(B98,'Paso 3 Redacción RA'!I3:I21,'Paso 3 Redacción RA'!C3:C21,,0,1)</f>
        <v>SaberHacer</v>
      </c>
      <c r="B98" s="72" t="s">
        <v>109</v>
      </c>
      <c r="C98" s="153"/>
      <c r="D98" s="153"/>
      <c r="E98" s="177"/>
      <c r="F98" s="153"/>
      <c r="G98" s="153"/>
      <c r="H98" s="153"/>
      <c r="I98" s="153"/>
      <c r="J98" s="153"/>
      <c r="K98" s="153"/>
      <c r="L98" s="153"/>
      <c r="M98" s="153"/>
      <c r="N98" s="155"/>
      <c r="O98" s="155"/>
      <c r="P98" s="155"/>
      <c r="Q98" s="155"/>
      <c r="R98" s="5"/>
      <c r="S98" s="5"/>
      <c r="T98" s="104"/>
    </row>
    <row r="99" spans="1:20" s="90" customFormat="1" ht="33.5" thickBot="1" x14ac:dyDescent="0.55000000000000004">
      <c r="A99" s="91" t="str">
        <f>_xlfn.XLOOKUP(B99,'Paso 3 Redacción RA'!I3:I21,'Paso 3 Redacción RA'!C3:C21,,0,1)</f>
        <v>SaberHacer</v>
      </c>
      <c r="B99" s="87" t="s">
        <v>110</v>
      </c>
      <c r="C99" s="175"/>
      <c r="D99" s="175"/>
      <c r="E99" s="178"/>
      <c r="F99" s="175"/>
      <c r="G99" s="175"/>
      <c r="H99" s="175"/>
      <c r="I99" s="175"/>
      <c r="J99" s="175"/>
      <c r="K99" s="175"/>
      <c r="L99" s="175"/>
      <c r="M99" s="175"/>
      <c r="N99" s="173"/>
      <c r="O99" s="173"/>
      <c r="P99" s="173"/>
      <c r="Q99" s="173"/>
      <c r="R99" s="5"/>
      <c r="S99" s="5"/>
      <c r="T99" s="104"/>
    </row>
    <row r="100" spans="1:20" s="90" customFormat="1" ht="49.5" x14ac:dyDescent="0.5">
      <c r="A100" s="103" t="str">
        <f>_xlfn.XLOOKUP(B100,'Paso 3 Redacción RA'!I3:I21,'Paso 3 Redacción RA'!C3:C21,,0,1)</f>
        <v>Saber</v>
      </c>
      <c r="B100" s="92" t="s">
        <v>98</v>
      </c>
      <c r="C100" s="174">
        <v>4</v>
      </c>
      <c r="D100" s="174" t="s">
        <v>292</v>
      </c>
      <c r="E100" s="176" t="s">
        <v>293</v>
      </c>
      <c r="F100" s="174" t="s">
        <v>217</v>
      </c>
      <c r="G100" s="174"/>
      <c r="H100" s="174" t="s">
        <v>218</v>
      </c>
      <c r="I100" s="174"/>
      <c r="J100" s="174">
        <v>3</v>
      </c>
      <c r="K100" s="174">
        <f>12*J100</f>
        <v>36</v>
      </c>
      <c r="L100" s="174">
        <f>36*J100</f>
        <v>108</v>
      </c>
      <c r="M100" s="174">
        <f>SUM(K100:L100)</f>
        <v>144</v>
      </c>
      <c r="N100" s="172" t="s">
        <v>294</v>
      </c>
      <c r="O100" s="172" t="s">
        <v>231</v>
      </c>
      <c r="P100" s="172" t="s">
        <v>232</v>
      </c>
      <c r="Q100" s="172" t="s">
        <v>227</v>
      </c>
      <c r="R100" s="5"/>
      <c r="S100" s="5"/>
      <c r="T100" s="104"/>
    </row>
    <row r="101" spans="1:20" s="90" customFormat="1" x14ac:dyDescent="0.5">
      <c r="A101" s="90" t="str">
        <f>_xlfn.XLOOKUP(B101,'Paso 3 Redacción RA'!I4:I22,'Paso 3 Redacción RA'!C4:C22,,0,1)</f>
        <v>SaberHacer</v>
      </c>
      <c r="B101" s="72" t="s">
        <v>101</v>
      </c>
      <c r="C101" s="153"/>
      <c r="D101" s="153"/>
      <c r="E101" s="177"/>
      <c r="F101" s="153"/>
      <c r="G101" s="153"/>
      <c r="H101" s="153"/>
      <c r="I101" s="153"/>
      <c r="J101" s="153"/>
      <c r="K101" s="153"/>
      <c r="L101" s="153"/>
      <c r="M101" s="153"/>
      <c r="N101" s="155"/>
      <c r="O101" s="155"/>
      <c r="P101" s="155"/>
      <c r="Q101" s="155"/>
      <c r="R101" s="5"/>
      <c r="S101" s="5"/>
      <c r="T101" s="104"/>
    </row>
    <row r="102" spans="1:20" s="90" customFormat="1" ht="33" x14ac:dyDescent="0.5">
      <c r="A102" s="90" t="str">
        <f>_xlfn.XLOOKUP(B102,'Paso 3 Redacción RA'!I5:I23,'Paso 3 Redacción RA'!C5:C23,,0,1)</f>
        <v>SaberSer</v>
      </c>
      <c r="B102" s="72" t="s">
        <v>103</v>
      </c>
      <c r="C102" s="153"/>
      <c r="D102" s="153"/>
      <c r="E102" s="177"/>
      <c r="F102" s="153"/>
      <c r="G102" s="153"/>
      <c r="H102" s="153"/>
      <c r="I102" s="153"/>
      <c r="J102" s="153"/>
      <c r="K102" s="153"/>
      <c r="L102" s="153"/>
      <c r="M102" s="153"/>
      <c r="N102" s="155"/>
      <c r="O102" s="155"/>
      <c r="P102" s="155"/>
      <c r="Q102" s="155"/>
      <c r="R102" s="5"/>
      <c r="S102" s="5"/>
      <c r="T102" s="104"/>
    </row>
    <row r="103" spans="1:20" s="90" customFormat="1" ht="49.5" x14ac:dyDescent="0.5">
      <c r="A103" s="90" t="str">
        <f>_xlfn.XLOOKUP(B103,'Paso 3 Redacción RA'!I6:I24,'Paso 3 Redacción RA'!C6:C24,,0,1)</f>
        <v>SaberHacer</v>
      </c>
      <c r="B103" s="72" t="s">
        <v>104</v>
      </c>
      <c r="C103" s="153"/>
      <c r="D103" s="153"/>
      <c r="E103" s="177"/>
      <c r="F103" s="153"/>
      <c r="G103" s="153"/>
      <c r="H103" s="153"/>
      <c r="I103" s="153"/>
      <c r="J103" s="153"/>
      <c r="K103" s="153"/>
      <c r="L103" s="153"/>
      <c r="M103" s="153"/>
      <c r="N103" s="155"/>
      <c r="O103" s="155"/>
      <c r="P103" s="155"/>
      <c r="Q103" s="155"/>
      <c r="R103" s="5"/>
      <c r="S103" s="5"/>
      <c r="T103" s="104"/>
    </row>
    <row r="104" spans="1:20" s="90" customFormat="1" ht="33" x14ac:dyDescent="0.5">
      <c r="A104" s="90" t="str">
        <f>_xlfn.XLOOKUP(B104,'Paso 3 Redacción RA'!I7:I25,'Paso 3 Redacción RA'!C7:C25,,0,1)</f>
        <v>Saber</v>
      </c>
      <c r="B104" s="72" t="s">
        <v>107</v>
      </c>
      <c r="C104" s="153"/>
      <c r="D104" s="153"/>
      <c r="E104" s="177"/>
      <c r="F104" s="153"/>
      <c r="G104" s="153"/>
      <c r="H104" s="153"/>
      <c r="I104" s="153"/>
      <c r="J104" s="153"/>
      <c r="K104" s="153"/>
      <c r="L104" s="153"/>
      <c r="M104" s="153"/>
      <c r="N104" s="155"/>
      <c r="O104" s="155"/>
      <c r="P104" s="155"/>
      <c r="Q104" s="155"/>
      <c r="R104" s="5"/>
      <c r="S104" s="5"/>
      <c r="T104" s="104"/>
    </row>
    <row r="105" spans="1:20" s="90" customFormat="1" ht="33" x14ac:dyDescent="0.5">
      <c r="A105" s="90" t="str">
        <f>_xlfn.XLOOKUP(B105,'Paso 3 Redacción RA'!I8:I26,'Paso 3 Redacción RA'!C8:C26,,0,1)</f>
        <v>SaberHacer</v>
      </c>
      <c r="B105" s="72" t="s">
        <v>108</v>
      </c>
      <c r="C105" s="153"/>
      <c r="D105" s="153"/>
      <c r="E105" s="177"/>
      <c r="F105" s="153"/>
      <c r="G105" s="153"/>
      <c r="H105" s="153"/>
      <c r="I105" s="153"/>
      <c r="J105" s="153"/>
      <c r="K105" s="153"/>
      <c r="L105" s="153"/>
      <c r="M105" s="153"/>
      <c r="N105" s="155"/>
      <c r="O105" s="155"/>
      <c r="P105" s="155"/>
      <c r="Q105" s="155"/>
      <c r="R105" s="5"/>
      <c r="S105" s="5"/>
      <c r="T105" s="104"/>
    </row>
    <row r="106" spans="1:20" s="90" customFormat="1" ht="33" x14ac:dyDescent="0.5">
      <c r="A106" s="90" t="str">
        <f>_xlfn.XLOOKUP(B106,'Paso 3 Redacción RA'!I3:I21,'Paso 3 Redacción RA'!C3:C21,,0,1)</f>
        <v>SaberHacer</v>
      </c>
      <c r="B106" s="72" t="s">
        <v>109</v>
      </c>
      <c r="C106" s="153"/>
      <c r="D106" s="153"/>
      <c r="E106" s="177"/>
      <c r="F106" s="153"/>
      <c r="G106" s="153"/>
      <c r="H106" s="153"/>
      <c r="I106" s="153"/>
      <c r="J106" s="153"/>
      <c r="K106" s="153"/>
      <c r="L106" s="153"/>
      <c r="M106" s="153"/>
      <c r="N106" s="155"/>
      <c r="O106" s="155"/>
      <c r="P106" s="155"/>
      <c r="Q106" s="155"/>
      <c r="R106" s="5"/>
      <c r="S106" s="5"/>
      <c r="T106" s="104"/>
    </row>
    <row r="107" spans="1:20" s="90" customFormat="1" ht="33.5" thickBot="1" x14ac:dyDescent="0.55000000000000004">
      <c r="A107" s="91" t="str">
        <f>_xlfn.XLOOKUP(B107,'Paso 3 Redacción RA'!I3:I21,'Paso 3 Redacción RA'!C3:C21,,0,1)</f>
        <v>SaberHacer</v>
      </c>
      <c r="B107" s="87" t="s">
        <v>110</v>
      </c>
      <c r="C107" s="175"/>
      <c r="D107" s="175"/>
      <c r="E107" s="178"/>
      <c r="F107" s="175"/>
      <c r="G107" s="175"/>
      <c r="H107" s="175"/>
      <c r="I107" s="175"/>
      <c r="J107" s="175"/>
      <c r="K107" s="175"/>
      <c r="L107" s="175"/>
      <c r="M107" s="175"/>
      <c r="N107" s="173"/>
      <c r="O107" s="173"/>
      <c r="P107" s="173"/>
      <c r="Q107" s="173"/>
      <c r="R107" s="5"/>
      <c r="S107" s="5"/>
      <c r="T107" s="104"/>
    </row>
    <row r="108" spans="1:20" s="90" customFormat="1" ht="49.5" x14ac:dyDescent="0.5">
      <c r="A108" s="103" t="str">
        <f>_xlfn.XLOOKUP(B108,'Paso 3 Redacción RA'!I3:I21,'Paso 3 Redacción RA'!C3:C21,,0,1)</f>
        <v>Saber</v>
      </c>
      <c r="B108" s="92" t="s">
        <v>98</v>
      </c>
      <c r="C108" s="174">
        <v>4</v>
      </c>
      <c r="D108" s="174" t="s">
        <v>295</v>
      </c>
      <c r="E108" s="176" t="s">
        <v>296</v>
      </c>
      <c r="F108" s="174" t="s">
        <v>217</v>
      </c>
      <c r="G108" s="174"/>
      <c r="H108" s="174" t="s">
        <v>218</v>
      </c>
      <c r="I108" s="174"/>
      <c r="J108" s="174">
        <v>3</v>
      </c>
      <c r="K108" s="174">
        <f>12*J108</f>
        <v>36</v>
      </c>
      <c r="L108" s="174">
        <f>36*J108</f>
        <v>108</v>
      </c>
      <c r="M108" s="174">
        <f>SUM(K108:L108)</f>
        <v>144</v>
      </c>
      <c r="N108" s="172" t="s">
        <v>297</v>
      </c>
      <c r="O108" s="172" t="s">
        <v>231</v>
      </c>
      <c r="P108" s="172" t="s">
        <v>232</v>
      </c>
      <c r="Q108" s="172" t="s">
        <v>227</v>
      </c>
      <c r="R108" s="5"/>
      <c r="S108" s="5"/>
      <c r="T108" s="104"/>
    </row>
    <row r="109" spans="1:20" s="90" customFormat="1" ht="33" x14ac:dyDescent="0.5">
      <c r="A109" s="90" t="str">
        <f>_xlfn.XLOOKUP(B109,'Paso 3 Redacción RA'!I4:I22,'Paso 3 Redacción RA'!C4:C22,,0,1)</f>
        <v>SaberSer</v>
      </c>
      <c r="B109" s="72" t="s">
        <v>103</v>
      </c>
      <c r="C109" s="153"/>
      <c r="D109" s="153"/>
      <c r="E109" s="177"/>
      <c r="F109" s="153"/>
      <c r="G109" s="153"/>
      <c r="H109" s="153"/>
      <c r="I109" s="153"/>
      <c r="J109" s="153"/>
      <c r="K109" s="153"/>
      <c r="L109" s="153"/>
      <c r="M109" s="153"/>
      <c r="N109" s="155"/>
      <c r="O109" s="155"/>
      <c r="P109" s="155"/>
      <c r="Q109" s="155"/>
      <c r="R109" s="5"/>
      <c r="S109" s="5"/>
      <c r="T109" s="104"/>
    </row>
    <row r="110" spans="1:20" s="90" customFormat="1" ht="49.5" x14ac:dyDescent="0.5">
      <c r="A110" s="90" t="str">
        <f>_xlfn.XLOOKUP(B110,'Paso 3 Redacción RA'!I5:I23,'Paso 3 Redacción RA'!C5:C23,,0,1)</f>
        <v>SaberHacer</v>
      </c>
      <c r="B110" s="72" t="s">
        <v>104</v>
      </c>
      <c r="C110" s="153"/>
      <c r="D110" s="153"/>
      <c r="E110" s="177"/>
      <c r="F110" s="153"/>
      <c r="G110" s="153"/>
      <c r="H110" s="153"/>
      <c r="I110" s="153"/>
      <c r="J110" s="153"/>
      <c r="K110" s="153"/>
      <c r="L110" s="153"/>
      <c r="M110" s="153"/>
      <c r="N110" s="155"/>
      <c r="O110" s="155"/>
      <c r="P110" s="155"/>
      <c r="Q110" s="155"/>
      <c r="R110" s="5"/>
      <c r="S110" s="5"/>
      <c r="T110" s="104"/>
    </row>
    <row r="111" spans="1:20" s="90" customFormat="1" ht="33" x14ac:dyDescent="0.5">
      <c r="A111" s="90" t="str">
        <f>_xlfn.XLOOKUP(B111,'Paso 3 Redacción RA'!I6:I24,'Paso 3 Redacción RA'!C6:C24,,0,1)</f>
        <v>Saber</v>
      </c>
      <c r="B111" s="72" t="s">
        <v>107</v>
      </c>
      <c r="C111" s="153"/>
      <c r="D111" s="153"/>
      <c r="E111" s="177"/>
      <c r="F111" s="153"/>
      <c r="G111" s="153"/>
      <c r="H111" s="153"/>
      <c r="I111" s="153"/>
      <c r="J111" s="153"/>
      <c r="K111" s="153"/>
      <c r="L111" s="153"/>
      <c r="M111" s="153"/>
      <c r="N111" s="155"/>
      <c r="O111" s="155"/>
      <c r="P111" s="155"/>
      <c r="Q111" s="155"/>
      <c r="R111" s="5"/>
      <c r="S111" s="5"/>
      <c r="T111" s="104"/>
    </row>
    <row r="112" spans="1:20" s="90" customFormat="1" ht="33" x14ac:dyDescent="0.5">
      <c r="A112" s="90" t="str">
        <f>_xlfn.XLOOKUP(B112,'Paso 3 Redacción RA'!I7:I25,'Paso 3 Redacción RA'!C7:C25,,0,1)</f>
        <v>SaberHacer</v>
      </c>
      <c r="B112" s="72" t="s">
        <v>108</v>
      </c>
      <c r="C112" s="153"/>
      <c r="D112" s="153"/>
      <c r="E112" s="177"/>
      <c r="F112" s="153"/>
      <c r="G112" s="153"/>
      <c r="H112" s="153"/>
      <c r="I112" s="153"/>
      <c r="J112" s="153"/>
      <c r="K112" s="153"/>
      <c r="L112" s="153"/>
      <c r="M112" s="153"/>
      <c r="N112" s="155"/>
      <c r="O112" s="155"/>
      <c r="P112" s="155"/>
      <c r="Q112" s="155"/>
      <c r="R112" s="5"/>
      <c r="S112" s="5"/>
      <c r="T112" s="104"/>
    </row>
    <row r="113" spans="1:20" s="90" customFormat="1" ht="33" x14ac:dyDescent="0.5">
      <c r="A113" s="90" t="str">
        <f>_xlfn.XLOOKUP(B113,'Paso 3 Redacción RA'!I3:I21,'Paso 3 Redacción RA'!C3:C21,,0,1)</f>
        <v>SaberHacer</v>
      </c>
      <c r="B113" s="72" t="s">
        <v>110</v>
      </c>
      <c r="C113" s="153"/>
      <c r="D113" s="153"/>
      <c r="E113" s="177"/>
      <c r="F113" s="153"/>
      <c r="G113" s="153"/>
      <c r="H113" s="153"/>
      <c r="I113" s="153"/>
      <c r="J113" s="153"/>
      <c r="K113" s="153"/>
      <c r="L113" s="153"/>
      <c r="M113" s="153"/>
      <c r="N113" s="155"/>
      <c r="O113" s="155"/>
      <c r="P113" s="155"/>
      <c r="Q113" s="155"/>
      <c r="R113" s="5"/>
      <c r="S113" s="5"/>
      <c r="T113" s="104"/>
    </row>
    <row r="114" spans="1:20" s="90" customFormat="1" ht="17" thickBot="1" x14ac:dyDescent="0.55000000000000004">
      <c r="A114" s="91" t="str">
        <f>_xlfn.XLOOKUP(B114,'Paso 3 Redacción RA'!I3:I21,'Paso 3 Redacción RA'!C3:C21,,0,1)</f>
        <v>SaberHacer</v>
      </c>
      <c r="B114" s="87" t="s">
        <v>111</v>
      </c>
      <c r="C114" s="175"/>
      <c r="D114" s="175"/>
      <c r="E114" s="178"/>
      <c r="F114" s="153"/>
      <c r="G114" s="153"/>
      <c r="H114" s="153"/>
      <c r="I114" s="153"/>
      <c r="J114" s="153"/>
      <c r="K114" s="175"/>
      <c r="L114" s="175"/>
      <c r="M114" s="153"/>
      <c r="N114" s="155"/>
      <c r="O114" s="155"/>
      <c r="P114" s="155"/>
      <c r="Q114" s="155"/>
      <c r="R114" s="5"/>
      <c r="S114" s="5"/>
      <c r="T114" s="104"/>
    </row>
    <row r="115" spans="1:20" s="90" customFormat="1" ht="49.5" x14ac:dyDescent="0.5">
      <c r="A115" s="103" t="str">
        <f>_xlfn.XLOOKUP(B115,'Paso 3 Redacción RA'!I3:I21,'Paso 3 Redacción RA'!C3:C21,,0,1)</f>
        <v>Saber</v>
      </c>
      <c r="B115" s="92" t="s">
        <v>98</v>
      </c>
      <c r="C115" s="174">
        <v>5</v>
      </c>
      <c r="D115" s="174" t="s">
        <v>298</v>
      </c>
      <c r="E115" s="176" t="s">
        <v>299</v>
      </c>
      <c r="F115" s="174" t="s">
        <v>217</v>
      </c>
      <c r="G115" s="174"/>
      <c r="H115" s="174" t="s">
        <v>218</v>
      </c>
      <c r="I115" s="174"/>
      <c r="J115" s="174">
        <v>3</v>
      </c>
      <c r="K115" s="174">
        <f>12*J115</f>
        <v>36</v>
      </c>
      <c r="L115" s="174">
        <f>36*J115</f>
        <v>108</v>
      </c>
      <c r="M115" s="174">
        <f>SUM(K115:L115)</f>
        <v>144</v>
      </c>
      <c r="N115" s="172" t="s">
        <v>300</v>
      </c>
      <c r="O115" s="172" t="s">
        <v>231</v>
      </c>
      <c r="P115" s="172" t="s">
        <v>232</v>
      </c>
      <c r="Q115" s="172" t="s">
        <v>227</v>
      </c>
      <c r="R115" s="5"/>
      <c r="S115" s="5"/>
      <c r="T115" s="104"/>
    </row>
    <row r="116" spans="1:20" s="90" customFormat="1" ht="33" x14ac:dyDescent="0.5">
      <c r="A116" s="90" t="str">
        <f>_xlfn.XLOOKUP(B116,'Paso 3 Redacción RA'!I4:I22,'Paso 3 Redacción RA'!C4:C22,,0,1)</f>
        <v>SaberSer</v>
      </c>
      <c r="B116" s="72" t="s">
        <v>103</v>
      </c>
      <c r="C116" s="153"/>
      <c r="D116" s="153"/>
      <c r="E116" s="177"/>
      <c r="F116" s="153"/>
      <c r="G116" s="153"/>
      <c r="H116" s="153"/>
      <c r="I116" s="153"/>
      <c r="J116" s="153"/>
      <c r="K116" s="153"/>
      <c r="L116" s="153"/>
      <c r="M116" s="153"/>
      <c r="N116" s="155"/>
      <c r="O116" s="155"/>
      <c r="P116" s="155"/>
      <c r="Q116" s="155"/>
      <c r="R116" s="5"/>
      <c r="S116" s="5"/>
      <c r="T116" s="104"/>
    </row>
    <row r="117" spans="1:20" s="90" customFormat="1" ht="49.5" x14ac:dyDescent="0.5">
      <c r="A117" s="90" t="str">
        <f>_xlfn.XLOOKUP(B117,'Paso 3 Redacción RA'!I5:I23,'Paso 3 Redacción RA'!C5:C23,,0,1)</f>
        <v>SaberHacer</v>
      </c>
      <c r="B117" s="72" t="s">
        <v>104</v>
      </c>
      <c r="C117" s="153"/>
      <c r="D117" s="153"/>
      <c r="E117" s="177"/>
      <c r="F117" s="153"/>
      <c r="G117" s="153"/>
      <c r="H117" s="153"/>
      <c r="I117" s="153"/>
      <c r="J117" s="153"/>
      <c r="K117" s="153"/>
      <c r="L117" s="153"/>
      <c r="M117" s="153"/>
      <c r="N117" s="155"/>
      <c r="O117" s="155"/>
      <c r="P117" s="155"/>
      <c r="Q117" s="155"/>
      <c r="R117" s="5"/>
      <c r="S117" s="5"/>
      <c r="T117" s="104"/>
    </row>
    <row r="118" spans="1:20" s="90" customFormat="1" ht="33" x14ac:dyDescent="0.5">
      <c r="A118" s="90" t="str">
        <f>_xlfn.XLOOKUP(B118,'Paso 3 Redacción RA'!I6:I24,'Paso 3 Redacción RA'!C6:C24,,0,1)</f>
        <v>Saber</v>
      </c>
      <c r="B118" s="72" t="s">
        <v>107</v>
      </c>
      <c r="C118" s="153"/>
      <c r="D118" s="153"/>
      <c r="E118" s="177"/>
      <c r="F118" s="153"/>
      <c r="G118" s="153"/>
      <c r="H118" s="153"/>
      <c r="I118" s="153"/>
      <c r="J118" s="153"/>
      <c r="K118" s="153"/>
      <c r="L118" s="153"/>
      <c r="M118" s="153"/>
      <c r="N118" s="155"/>
      <c r="O118" s="155"/>
      <c r="P118" s="155"/>
      <c r="Q118" s="155"/>
      <c r="R118" s="5"/>
      <c r="S118" s="5"/>
      <c r="T118" s="104"/>
    </row>
    <row r="119" spans="1:20" s="90" customFormat="1" ht="33" x14ac:dyDescent="0.5">
      <c r="A119" s="90" t="str">
        <f>_xlfn.XLOOKUP(B119,'Paso 3 Redacción RA'!I7:I25,'Paso 3 Redacción RA'!C7:C25,,0,1)</f>
        <v>SaberHacer</v>
      </c>
      <c r="B119" s="72" t="s">
        <v>108</v>
      </c>
      <c r="C119" s="153"/>
      <c r="D119" s="153"/>
      <c r="E119" s="177"/>
      <c r="F119" s="153"/>
      <c r="G119" s="153"/>
      <c r="H119" s="153"/>
      <c r="I119" s="153"/>
      <c r="J119" s="153"/>
      <c r="K119" s="153"/>
      <c r="L119" s="153"/>
      <c r="M119" s="153"/>
      <c r="N119" s="155"/>
      <c r="O119" s="155"/>
      <c r="P119" s="155"/>
      <c r="Q119" s="155"/>
      <c r="R119" s="5"/>
      <c r="S119" s="5"/>
      <c r="T119" s="104"/>
    </row>
    <row r="120" spans="1:20" s="90" customFormat="1" ht="33" x14ac:dyDescent="0.5">
      <c r="A120" s="90" t="str">
        <f>_xlfn.XLOOKUP(B120,'Paso 3 Redacción RA'!I3:I21,'Paso 3 Redacción RA'!C3:C21,,0,1)</f>
        <v>SaberHacer</v>
      </c>
      <c r="B120" s="72" t="s">
        <v>109</v>
      </c>
      <c r="C120" s="153"/>
      <c r="D120" s="153"/>
      <c r="E120" s="177"/>
      <c r="F120" s="153"/>
      <c r="G120" s="153"/>
      <c r="H120" s="153"/>
      <c r="I120" s="153"/>
      <c r="J120" s="153"/>
      <c r="K120" s="153"/>
      <c r="L120" s="153"/>
      <c r="M120" s="153"/>
      <c r="N120" s="155"/>
      <c r="O120" s="155"/>
      <c r="P120" s="155"/>
      <c r="Q120" s="155"/>
      <c r="R120" s="5"/>
      <c r="S120" s="5"/>
      <c r="T120" s="104"/>
    </row>
    <row r="121" spans="1:20" s="90" customFormat="1" ht="33.5" thickBot="1" x14ac:dyDescent="0.55000000000000004">
      <c r="A121" s="91" t="str">
        <f>_xlfn.XLOOKUP(B121,'Paso 3 Redacción RA'!I3:I21,'Paso 3 Redacción RA'!C3:C21,,0,1)</f>
        <v>SaberHacer</v>
      </c>
      <c r="B121" s="87" t="s">
        <v>110</v>
      </c>
      <c r="C121" s="175"/>
      <c r="D121" s="175"/>
      <c r="E121" s="178"/>
      <c r="F121" s="175"/>
      <c r="G121" s="175"/>
      <c r="H121" s="175"/>
      <c r="I121" s="175"/>
      <c r="J121" s="175"/>
      <c r="K121" s="175"/>
      <c r="L121" s="175"/>
      <c r="M121" s="175"/>
      <c r="N121" s="173"/>
      <c r="O121" s="173"/>
      <c r="P121" s="173"/>
      <c r="Q121" s="173"/>
      <c r="R121" s="5"/>
      <c r="S121" s="5"/>
      <c r="T121" s="104"/>
    </row>
    <row r="122" spans="1:20" s="90" customFormat="1" ht="49.5" x14ac:dyDescent="0.5">
      <c r="A122" s="103" t="str">
        <f>_xlfn.XLOOKUP(B122,'Paso 3 Redacción RA'!I3:I21,'Paso 3 Redacción RA'!C3:C21,,0,1)</f>
        <v>Saber</v>
      </c>
      <c r="B122" s="92" t="s">
        <v>98</v>
      </c>
      <c r="C122" s="174">
        <v>5</v>
      </c>
      <c r="D122" s="174" t="s">
        <v>301</v>
      </c>
      <c r="E122" s="176" t="s">
        <v>302</v>
      </c>
      <c r="F122" s="174" t="s">
        <v>217</v>
      </c>
      <c r="G122" s="174"/>
      <c r="H122" s="174" t="s">
        <v>218</v>
      </c>
      <c r="I122" s="174"/>
      <c r="J122" s="174">
        <v>3</v>
      </c>
      <c r="K122" s="174">
        <f>12*J122</f>
        <v>36</v>
      </c>
      <c r="L122" s="174">
        <f>36*J122</f>
        <v>108</v>
      </c>
      <c r="M122" s="174">
        <f>SUM(K122:L122)</f>
        <v>144</v>
      </c>
      <c r="N122" s="172" t="s">
        <v>303</v>
      </c>
      <c r="O122" s="172" t="s">
        <v>231</v>
      </c>
      <c r="P122" s="172" t="s">
        <v>232</v>
      </c>
      <c r="Q122" s="172" t="s">
        <v>227</v>
      </c>
      <c r="R122" s="5"/>
      <c r="S122" s="5"/>
      <c r="T122" s="104"/>
    </row>
    <row r="123" spans="1:20" s="90" customFormat="1" x14ac:dyDescent="0.5">
      <c r="A123" s="90" t="str">
        <f>_xlfn.XLOOKUP(B123,'Paso 3 Redacción RA'!I4:I22,'Paso 3 Redacción RA'!C4:C22,,0,1)</f>
        <v>SaberHacer</v>
      </c>
      <c r="B123" s="72" t="s">
        <v>101</v>
      </c>
      <c r="C123" s="153"/>
      <c r="D123" s="153"/>
      <c r="E123" s="177"/>
      <c r="F123" s="153"/>
      <c r="G123" s="153"/>
      <c r="H123" s="153"/>
      <c r="I123" s="153"/>
      <c r="J123" s="153"/>
      <c r="K123" s="153"/>
      <c r="L123" s="153"/>
      <c r="M123" s="153"/>
      <c r="N123" s="155"/>
      <c r="O123" s="155"/>
      <c r="P123" s="155"/>
      <c r="Q123" s="155"/>
      <c r="R123" s="5"/>
      <c r="S123" s="5"/>
      <c r="T123" s="104"/>
    </row>
    <row r="124" spans="1:20" s="90" customFormat="1" ht="33" x14ac:dyDescent="0.5">
      <c r="A124" s="90" t="str">
        <f>_xlfn.XLOOKUP(B124,'Paso 3 Redacción RA'!I5:I23,'Paso 3 Redacción RA'!C5:C23,,0,1)</f>
        <v>SaberSer</v>
      </c>
      <c r="B124" s="72" t="s">
        <v>103</v>
      </c>
      <c r="C124" s="153"/>
      <c r="D124" s="153"/>
      <c r="E124" s="177"/>
      <c r="F124" s="153"/>
      <c r="G124" s="153"/>
      <c r="H124" s="153"/>
      <c r="I124" s="153"/>
      <c r="J124" s="153"/>
      <c r="K124" s="153"/>
      <c r="L124" s="153"/>
      <c r="M124" s="153"/>
      <c r="N124" s="155"/>
      <c r="O124" s="155"/>
      <c r="P124" s="155"/>
      <c r="Q124" s="155"/>
      <c r="R124" s="5"/>
      <c r="S124" s="5"/>
      <c r="T124" s="104"/>
    </row>
    <row r="125" spans="1:20" s="90" customFormat="1" ht="49.5" x14ac:dyDescent="0.5">
      <c r="A125" s="90" t="str">
        <f>_xlfn.XLOOKUP(B125,'Paso 3 Redacción RA'!I6:I24,'Paso 3 Redacción RA'!C6:C24,,0,1)</f>
        <v>SaberHacer</v>
      </c>
      <c r="B125" s="72" t="s">
        <v>104</v>
      </c>
      <c r="C125" s="153"/>
      <c r="D125" s="153"/>
      <c r="E125" s="177"/>
      <c r="F125" s="153"/>
      <c r="G125" s="153"/>
      <c r="H125" s="153"/>
      <c r="I125" s="153"/>
      <c r="J125" s="153"/>
      <c r="K125" s="153"/>
      <c r="L125" s="153"/>
      <c r="M125" s="153"/>
      <c r="N125" s="155"/>
      <c r="O125" s="155"/>
      <c r="P125" s="155"/>
      <c r="Q125" s="155"/>
      <c r="R125" s="5"/>
      <c r="S125" s="5"/>
      <c r="T125" s="104"/>
    </row>
    <row r="126" spans="1:20" s="90" customFormat="1" ht="33" x14ac:dyDescent="0.5">
      <c r="A126" s="90" t="str">
        <f>_xlfn.XLOOKUP(B126,'Paso 3 Redacción RA'!I7:I25,'Paso 3 Redacción RA'!C7:C25,,0,1)</f>
        <v>Saber</v>
      </c>
      <c r="B126" s="72" t="s">
        <v>107</v>
      </c>
      <c r="C126" s="153"/>
      <c r="D126" s="153"/>
      <c r="E126" s="177"/>
      <c r="F126" s="153"/>
      <c r="G126" s="153"/>
      <c r="H126" s="153"/>
      <c r="I126" s="153"/>
      <c r="J126" s="153"/>
      <c r="K126" s="153"/>
      <c r="L126" s="153"/>
      <c r="M126" s="153"/>
      <c r="N126" s="155"/>
      <c r="O126" s="155"/>
      <c r="P126" s="155"/>
      <c r="Q126" s="155"/>
      <c r="R126" s="5"/>
      <c r="S126" s="5"/>
      <c r="T126" s="104"/>
    </row>
    <row r="127" spans="1:20" s="90" customFormat="1" ht="33" x14ac:dyDescent="0.5">
      <c r="A127" s="90" t="str">
        <f>_xlfn.XLOOKUP(B127,'Paso 3 Redacción RA'!I3:I21,'Paso 3 Redacción RA'!C3:C21,,0,1)</f>
        <v>SaberHacer</v>
      </c>
      <c r="B127" s="72" t="s">
        <v>109</v>
      </c>
      <c r="C127" s="153"/>
      <c r="D127" s="153"/>
      <c r="E127" s="177"/>
      <c r="F127" s="153"/>
      <c r="G127" s="153"/>
      <c r="H127" s="153"/>
      <c r="I127" s="153"/>
      <c r="J127" s="153"/>
      <c r="K127" s="153"/>
      <c r="L127" s="153"/>
      <c r="M127" s="153"/>
      <c r="N127" s="155"/>
      <c r="O127" s="155"/>
      <c r="P127" s="155"/>
      <c r="Q127" s="155"/>
      <c r="R127" s="5"/>
      <c r="S127" s="5"/>
      <c r="T127" s="104"/>
    </row>
    <row r="128" spans="1:20" s="90" customFormat="1" ht="33.5" thickBot="1" x14ac:dyDescent="0.55000000000000004">
      <c r="A128" s="91" t="str">
        <f>_xlfn.XLOOKUP(B128,'Paso 3 Redacción RA'!I3:I21,'Paso 3 Redacción RA'!C3:C21,,0,1)</f>
        <v>SaberHacer</v>
      </c>
      <c r="B128" s="87" t="s">
        <v>110</v>
      </c>
      <c r="C128" s="175"/>
      <c r="D128" s="175"/>
      <c r="E128" s="178"/>
      <c r="F128" s="175"/>
      <c r="G128" s="175"/>
      <c r="H128" s="175"/>
      <c r="I128" s="175"/>
      <c r="J128" s="175"/>
      <c r="K128" s="175"/>
      <c r="L128" s="175"/>
      <c r="M128" s="175"/>
      <c r="N128" s="173"/>
      <c r="O128" s="173"/>
      <c r="P128" s="173"/>
      <c r="Q128" s="173"/>
      <c r="R128" s="5"/>
      <c r="S128" s="5"/>
      <c r="T128" s="104"/>
    </row>
    <row r="129" spans="1:20" s="90" customFormat="1" ht="49.5" x14ac:dyDescent="0.5">
      <c r="A129" s="103" t="str">
        <f>_xlfn.XLOOKUP(B129,'Paso 3 Redacción RA'!I3:I21,'Paso 3 Redacción RA'!C3:C21,,0,1)</f>
        <v>Saber</v>
      </c>
      <c r="B129" s="92" t="s">
        <v>98</v>
      </c>
      <c r="C129" s="174">
        <v>5</v>
      </c>
      <c r="D129" s="174" t="s">
        <v>304</v>
      </c>
      <c r="E129" s="176" t="s">
        <v>305</v>
      </c>
      <c r="F129" s="174" t="s">
        <v>217</v>
      </c>
      <c r="G129" s="174"/>
      <c r="H129" s="174" t="s">
        <v>218</v>
      </c>
      <c r="I129" s="174"/>
      <c r="J129" s="174">
        <v>3</v>
      </c>
      <c r="K129" s="174">
        <f>12*J129</f>
        <v>36</v>
      </c>
      <c r="L129" s="174">
        <f>36*J129</f>
        <v>108</v>
      </c>
      <c r="M129" s="174">
        <f>SUM(K129:L129)</f>
        <v>144</v>
      </c>
      <c r="N129" s="172" t="s">
        <v>306</v>
      </c>
      <c r="O129" s="172" t="s">
        <v>231</v>
      </c>
      <c r="P129" s="172" t="s">
        <v>232</v>
      </c>
      <c r="Q129" s="172" t="s">
        <v>227</v>
      </c>
      <c r="R129" s="5"/>
      <c r="S129" s="5"/>
      <c r="T129" s="104"/>
    </row>
    <row r="130" spans="1:20" s="90" customFormat="1" x14ac:dyDescent="0.5">
      <c r="A130" s="90" t="str">
        <f>_xlfn.XLOOKUP(B130,'Paso 3 Redacción RA'!I4:I22,'Paso 3 Redacción RA'!C4:C22,,0,1)</f>
        <v>SaberHacer</v>
      </c>
      <c r="B130" s="72" t="s">
        <v>101</v>
      </c>
      <c r="C130" s="153"/>
      <c r="D130" s="153"/>
      <c r="E130" s="177"/>
      <c r="F130" s="153"/>
      <c r="G130" s="153"/>
      <c r="H130" s="153"/>
      <c r="I130" s="153"/>
      <c r="J130" s="153"/>
      <c r="K130" s="153"/>
      <c r="L130" s="153"/>
      <c r="M130" s="153"/>
      <c r="N130" s="155"/>
      <c r="O130" s="155"/>
      <c r="P130" s="155"/>
      <c r="Q130" s="155"/>
      <c r="R130" s="5"/>
      <c r="S130" s="5"/>
      <c r="T130" s="104"/>
    </row>
    <row r="131" spans="1:20" s="90" customFormat="1" ht="33" x14ac:dyDescent="0.5">
      <c r="A131" s="90" t="str">
        <f>_xlfn.XLOOKUP(B131,'Paso 3 Redacción RA'!I5:I23,'Paso 3 Redacción RA'!C5:C23,,0,1)</f>
        <v>SaberSer</v>
      </c>
      <c r="B131" s="72" t="s">
        <v>103</v>
      </c>
      <c r="C131" s="153"/>
      <c r="D131" s="153"/>
      <c r="E131" s="177"/>
      <c r="F131" s="153"/>
      <c r="G131" s="153"/>
      <c r="H131" s="153"/>
      <c r="I131" s="153"/>
      <c r="J131" s="153"/>
      <c r="K131" s="153"/>
      <c r="L131" s="153"/>
      <c r="M131" s="153"/>
      <c r="N131" s="155"/>
      <c r="O131" s="155"/>
      <c r="P131" s="155"/>
      <c r="Q131" s="155"/>
      <c r="R131" s="5"/>
      <c r="S131" s="5"/>
      <c r="T131" s="104"/>
    </row>
    <row r="132" spans="1:20" s="90" customFormat="1" ht="49.5" x14ac:dyDescent="0.5">
      <c r="A132" s="90" t="str">
        <f>_xlfn.XLOOKUP(B132,'Paso 3 Redacción RA'!I6:I24,'Paso 3 Redacción RA'!C6:C24,,0,1)</f>
        <v>SaberHacer</v>
      </c>
      <c r="B132" s="72" t="s">
        <v>104</v>
      </c>
      <c r="C132" s="153"/>
      <c r="D132" s="153"/>
      <c r="E132" s="177"/>
      <c r="F132" s="153"/>
      <c r="G132" s="153"/>
      <c r="H132" s="153"/>
      <c r="I132" s="153"/>
      <c r="J132" s="153"/>
      <c r="K132" s="153"/>
      <c r="L132" s="153"/>
      <c r="M132" s="153"/>
      <c r="N132" s="155"/>
      <c r="O132" s="155"/>
      <c r="P132" s="155"/>
      <c r="Q132" s="155"/>
      <c r="R132" s="5"/>
      <c r="S132" s="5"/>
      <c r="T132" s="104"/>
    </row>
    <row r="133" spans="1:20" s="90" customFormat="1" ht="33" x14ac:dyDescent="0.5">
      <c r="A133" s="90" t="str">
        <f>_xlfn.XLOOKUP(B133,'Paso 3 Redacción RA'!I7:I25,'Paso 3 Redacción RA'!C7:C25,,0,1)</f>
        <v>Saber</v>
      </c>
      <c r="B133" s="72" t="s">
        <v>107</v>
      </c>
      <c r="C133" s="153"/>
      <c r="D133" s="153"/>
      <c r="E133" s="177"/>
      <c r="F133" s="153"/>
      <c r="G133" s="153"/>
      <c r="H133" s="153"/>
      <c r="I133" s="153"/>
      <c r="J133" s="153"/>
      <c r="K133" s="153"/>
      <c r="L133" s="153"/>
      <c r="M133" s="153"/>
      <c r="N133" s="155"/>
      <c r="O133" s="155"/>
      <c r="P133" s="155"/>
      <c r="Q133" s="155"/>
      <c r="R133" s="5"/>
      <c r="S133" s="5"/>
      <c r="T133" s="104"/>
    </row>
    <row r="134" spans="1:20" s="90" customFormat="1" ht="33" x14ac:dyDescent="0.5">
      <c r="A134" s="90" t="str">
        <f>_xlfn.XLOOKUP(B134,'Paso 3 Redacción RA'!I8:I26,'Paso 3 Redacción RA'!C8:C26,,0,1)</f>
        <v>SaberHacer</v>
      </c>
      <c r="B134" s="72" t="s">
        <v>108</v>
      </c>
      <c r="C134" s="153"/>
      <c r="D134" s="153"/>
      <c r="E134" s="177"/>
      <c r="F134" s="153"/>
      <c r="G134" s="153"/>
      <c r="H134" s="153"/>
      <c r="I134" s="153"/>
      <c r="J134" s="153"/>
      <c r="K134" s="153"/>
      <c r="L134" s="153"/>
      <c r="M134" s="153"/>
      <c r="N134" s="155"/>
      <c r="O134" s="155"/>
      <c r="P134" s="155"/>
      <c r="Q134" s="155"/>
      <c r="R134" s="5"/>
      <c r="S134" s="5"/>
      <c r="T134" s="104"/>
    </row>
    <row r="135" spans="1:20" s="90" customFormat="1" ht="33" x14ac:dyDescent="0.5">
      <c r="A135" s="90" t="str">
        <f>_xlfn.XLOOKUP(B135,'Paso 3 Redacción RA'!I3:I21,'Paso 3 Redacción RA'!C3:C21,,0,1)</f>
        <v>SaberHacer</v>
      </c>
      <c r="B135" s="72" t="s">
        <v>109</v>
      </c>
      <c r="C135" s="153"/>
      <c r="D135" s="153"/>
      <c r="E135" s="177"/>
      <c r="F135" s="153"/>
      <c r="G135" s="153"/>
      <c r="H135" s="153"/>
      <c r="I135" s="153"/>
      <c r="J135" s="153"/>
      <c r="K135" s="153"/>
      <c r="L135" s="153"/>
      <c r="M135" s="153"/>
      <c r="N135" s="155"/>
      <c r="O135" s="155"/>
      <c r="P135" s="155"/>
      <c r="Q135" s="155"/>
      <c r="R135" s="5"/>
      <c r="S135" s="5"/>
      <c r="T135" s="104"/>
    </row>
    <row r="136" spans="1:20" s="90" customFormat="1" ht="33.5" thickBot="1" x14ac:dyDescent="0.55000000000000004">
      <c r="A136" s="91" t="str">
        <f>_xlfn.XLOOKUP(B136,'Paso 3 Redacción RA'!I3:I21,'Paso 3 Redacción RA'!C3:C21,,0,1)</f>
        <v>SaberHacer</v>
      </c>
      <c r="B136" s="87" t="s">
        <v>110</v>
      </c>
      <c r="C136" s="175"/>
      <c r="D136" s="175"/>
      <c r="E136" s="178"/>
      <c r="F136" s="175"/>
      <c r="G136" s="175"/>
      <c r="H136" s="175"/>
      <c r="I136" s="175"/>
      <c r="J136" s="175"/>
      <c r="K136" s="175"/>
      <c r="L136" s="175"/>
      <c r="M136" s="175"/>
      <c r="N136" s="155"/>
      <c r="O136" s="155"/>
      <c r="P136" s="155"/>
      <c r="Q136" s="173"/>
      <c r="S136" s="5"/>
      <c r="T136" s="104"/>
    </row>
    <row r="137" spans="1:20" s="90" customFormat="1" ht="49.5" x14ac:dyDescent="0.5">
      <c r="A137" s="103" t="str">
        <f>_xlfn.XLOOKUP(B137,'Paso 3 Redacción RA'!I3:I21,'Paso 3 Redacción RA'!C3:C21,,0,1)</f>
        <v>Saber</v>
      </c>
      <c r="B137" s="92" t="s">
        <v>98</v>
      </c>
      <c r="C137" s="174">
        <v>5</v>
      </c>
      <c r="D137" s="174" t="s">
        <v>307</v>
      </c>
      <c r="E137" s="176" t="s">
        <v>308</v>
      </c>
      <c r="F137" s="174" t="s">
        <v>217</v>
      </c>
      <c r="G137" s="174"/>
      <c r="H137" s="174" t="s">
        <v>218</v>
      </c>
      <c r="I137" s="174"/>
      <c r="J137" s="174">
        <v>3</v>
      </c>
      <c r="K137" s="174">
        <f>12*J137</f>
        <v>36</v>
      </c>
      <c r="L137" s="174">
        <f>36*J137</f>
        <v>108</v>
      </c>
      <c r="M137" s="174">
        <f>SUM(K137:L137)</f>
        <v>144</v>
      </c>
      <c r="N137" s="172" t="s">
        <v>309</v>
      </c>
      <c r="O137" s="172" t="s">
        <v>231</v>
      </c>
      <c r="P137" s="172" t="s">
        <v>232</v>
      </c>
      <c r="Q137" s="172" t="s">
        <v>227</v>
      </c>
      <c r="R137" s="5"/>
      <c r="S137" s="5"/>
      <c r="T137" s="104"/>
    </row>
    <row r="138" spans="1:20" s="90" customFormat="1" ht="33" x14ac:dyDescent="0.5">
      <c r="A138" s="90" t="str">
        <f>_xlfn.XLOOKUP(B138,'Paso 3 Redacción RA'!I4:I22,'Paso 3 Redacción RA'!C4:C22,,0,1)</f>
        <v>SaberSer</v>
      </c>
      <c r="B138" s="72" t="s">
        <v>103</v>
      </c>
      <c r="C138" s="153"/>
      <c r="D138" s="153"/>
      <c r="E138" s="177"/>
      <c r="F138" s="153"/>
      <c r="G138" s="153"/>
      <c r="H138" s="153"/>
      <c r="I138" s="153"/>
      <c r="J138" s="153"/>
      <c r="K138" s="153"/>
      <c r="L138" s="153"/>
      <c r="M138" s="153"/>
      <c r="N138" s="155"/>
      <c r="O138" s="155"/>
      <c r="P138" s="155"/>
      <c r="Q138" s="155"/>
      <c r="R138" s="5"/>
      <c r="S138" s="5"/>
      <c r="T138" s="104"/>
    </row>
    <row r="139" spans="1:20" s="90" customFormat="1" ht="49.5" x14ac:dyDescent="0.5">
      <c r="A139" s="90" t="str">
        <f>_xlfn.XLOOKUP(B139,'Paso 3 Redacción RA'!I5:I23,'Paso 3 Redacción RA'!C5:C23,,0,1)</f>
        <v>SaberHacer</v>
      </c>
      <c r="B139" s="72" t="s">
        <v>104</v>
      </c>
      <c r="C139" s="153"/>
      <c r="D139" s="153"/>
      <c r="E139" s="177"/>
      <c r="F139" s="153"/>
      <c r="G139" s="153"/>
      <c r="H139" s="153"/>
      <c r="I139" s="153"/>
      <c r="J139" s="153"/>
      <c r="K139" s="153"/>
      <c r="L139" s="153"/>
      <c r="M139" s="153"/>
      <c r="N139" s="155"/>
      <c r="O139" s="155"/>
      <c r="P139" s="155"/>
      <c r="Q139" s="155"/>
      <c r="R139" s="5"/>
      <c r="S139" s="5"/>
      <c r="T139" s="104"/>
    </row>
    <row r="140" spans="1:20" s="90" customFormat="1" ht="33" x14ac:dyDescent="0.5">
      <c r="A140" s="90" t="str">
        <f>_xlfn.XLOOKUP(B140,'Paso 3 Redacción RA'!I6:I24,'Paso 3 Redacción RA'!C6:C24,,0,1)</f>
        <v>Saber</v>
      </c>
      <c r="B140" s="72" t="s">
        <v>107</v>
      </c>
      <c r="C140" s="153"/>
      <c r="D140" s="153"/>
      <c r="E140" s="177"/>
      <c r="F140" s="153"/>
      <c r="G140" s="153"/>
      <c r="H140" s="153"/>
      <c r="I140" s="153"/>
      <c r="J140" s="153"/>
      <c r="K140" s="153"/>
      <c r="L140" s="153"/>
      <c r="M140" s="153"/>
      <c r="N140" s="155"/>
      <c r="O140" s="155"/>
      <c r="P140" s="155"/>
      <c r="Q140" s="155"/>
      <c r="R140" s="5"/>
      <c r="S140" s="5"/>
      <c r="T140" s="104"/>
    </row>
    <row r="141" spans="1:20" s="90" customFormat="1" ht="33" x14ac:dyDescent="0.5">
      <c r="A141" s="90" t="str">
        <f>_xlfn.XLOOKUP(B141,'Paso 3 Redacción RA'!I7:I25,'Paso 3 Redacción RA'!C7:C25,,0,1)</f>
        <v>SaberHacer</v>
      </c>
      <c r="B141" s="72" t="s">
        <v>108</v>
      </c>
      <c r="C141" s="153"/>
      <c r="D141" s="153"/>
      <c r="E141" s="177"/>
      <c r="F141" s="153"/>
      <c r="G141" s="153"/>
      <c r="H141" s="153"/>
      <c r="I141" s="153"/>
      <c r="J141" s="153"/>
      <c r="K141" s="153"/>
      <c r="L141" s="153"/>
      <c r="M141" s="153"/>
      <c r="N141" s="155"/>
      <c r="O141" s="155"/>
      <c r="P141" s="155"/>
      <c r="Q141" s="155"/>
      <c r="R141" s="5"/>
      <c r="S141" s="5"/>
      <c r="T141" s="104"/>
    </row>
    <row r="142" spans="1:20" s="90" customFormat="1" ht="33" x14ac:dyDescent="0.5">
      <c r="A142" s="90" t="str">
        <f>_xlfn.XLOOKUP(B142,'Paso 3 Redacción RA'!I8:I26,'Paso 3 Redacción RA'!C8:C26,,0,1)</f>
        <v>SaberHacer</v>
      </c>
      <c r="B142" s="72" t="s">
        <v>109</v>
      </c>
      <c r="C142" s="153"/>
      <c r="D142" s="153"/>
      <c r="E142" s="177"/>
      <c r="F142" s="153"/>
      <c r="G142" s="153"/>
      <c r="H142" s="153"/>
      <c r="I142" s="153"/>
      <c r="J142" s="153"/>
      <c r="K142" s="153"/>
      <c r="L142" s="153"/>
      <c r="M142" s="153"/>
      <c r="N142" s="155"/>
      <c r="O142" s="155"/>
      <c r="P142" s="155"/>
      <c r="Q142" s="155"/>
      <c r="R142" s="5"/>
      <c r="S142" s="5"/>
      <c r="T142" s="104"/>
    </row>
    <row r="143" spans="1:20" s="90" customFormat="1" ht="33" x14ac:dyDescent="0.5">
      <c r="A143" s="90" t="str">
        <f>_xlfn.XLOOKUP(B143,'Paso 3 Redacción RA'!I3:I21,'Paso 3 Redacción RA'!C3:C21,,0,1)</f>
        <v>SaberHacer</v>
      </c>
      <c r="B143" s="72" t="s">
        <v>110</v>
      </c>
      <c r="C143" s="153"/>
      <c r="D143" s="153"/>
      <c r="E143" s="177"/>
      <c r="F143" s="153"/>
      <c r="G143" s="153"/>
      <c r="H143" s="153"/>
      <c r="I143" s="153"/>
      <c r="J143" s="153"/>
      <c r="K143" s="153"/>
      <c r="L143" s="153"/>
      <c r="M143" s="153"/>
      <c r="N143" s="155"/>
      <c r="O143" s="155"/>
      <c r="P143" s="155"/>
      <c r="Q143" s="155"/>
      <c r="R143" s="5"/>
      <c r="S143" s="5"/>
      <c r="T143" s="104"/>
    </row>
    <row r="144" spans="1:20" s="90" customFormat="1" ht="17" thickBot="1" x14ac:dyDescent="0.55000000000000004">
      <c r="A144" s="91" t="str">
        <f>_xlfn.XLOOKUP(B144,'Paso 3 Redacción RA'!I3:I21,'Paso 3 Redacción RA'!C3:C21,,0,1)</f>
        <v>SaberHacer</v>
      </c>
      <c r="B144" s="87" t="s">
        <v>111</v>
      </c>
      <c r="C144" s="175"/>
      <c r="D144" s="175"/>
      <c r="E144" s="178"/>
      <c r="F144" s="175"/>
      <c r="G144" s="175"/>
      <c r="H144" s="175"/>
      <c r="I144" s="175"/>
      <c r="J144" s="175"/>
      <c r="K144" s="175"/>
      <c r="L144" s="175"/>
      <c r="M144" s="175"/>
      <c r="N144" s="173"/>
      <c r="O144" s="173"/>
      <c r="P144" s="173"/>
      <c r="Q144" s="173"/>
      <c r="R144" s="5"/>
      <c r="S144" s="5"/>
      <c r="T144" s="104"/>
    </row>
    <row r="145" spans="1:20" s="90" customFormat="1" ht="49.5" x14ac:dyDescent="0.5">
      <c r="A145" s="103" t="str">
        <f>_xlfn.XLOOKUP(B145,'Paso 3 Redacción RA'!I3:I21,'Paso 3 Redacción RA'!C3:C21,,0,1)</f>
        <v>Saber</v>
      </c>
      <c r="B145" s="92" t="s">
        <v>98</v>
      </c>
      <c r="C145" s="174">
        <v>5</v>
      </c>
      <c r="D145" s="174" t="s">
        <v>310</v>
      </c>
      <c r="E145" s="176" t="s">
        <v>311</v>
      </c>
      <c r="F145" s="174" t="s">
        <v>217</v>
      </c>
      <c r="G145" s="174"/>
      <c r="H145" s="174" t="s">
        <v>218</v>
      </c>
      <c r="I145" s="174"/>
      <c r="J145" s="174">
        <v>3</v>
      </c>
      <c r="K145" s="174">
        <f>12*J145</f>
        <v>36</v>
      </c>
      <c r="L145" s="174">
        <f>36*J145</f>
        <v>108</v>
      </c>
      <c r="M145" s="174">
        <f>SUM(K145:L145)</f>
        <v>144</v>
      </c>
      <c r="N145" s="172" t="s">
        <v>312</v>
      </c>
      <c r="O145" s="172" t="s">
        <v>231</v>
      </c>
      <c r="P145" s="172" t="s">
        <v>232</v>
      </c>
      <c r="Q145" s="172" t="s">
        <v>227</v>
      </c>
      <c r="R145" s="5"/>
      <c r="S145" s="5"/>
      <c r="T145" s="104"/>
    </row>
    <row r="146" spans="1:20" s="90" customFormat="1" x14ac:dyDescent="0.5">
      <c r="A146" s="90" t="str">
        <f>_xlfn.XLOOKUP(B146,'Paso 3 Redacción RA'!I4:I22,'Paso 3 Redacción RA'!C4:C22,,0,1)</f>
        <v>SaberHacer</v>
      </c>
      <c r="B146" s="72" t="s">
        <v>101</v>
      </c>
      <c r="C146" s="153"/>
      <c r="D146" s="153"/>
      <c r="E146" s="177"/>
      <c r="F146" s="153"/>
      <c r="G146" s="153"/>
      <c r="H146" s="153"/>
      <c r="I146" s="153"/>
      <c r="J146" s="153"/>
      <c r="K146" s="153"/>
      <c r="L146" s="153"/>
      <c r="M146" s="153"/>
      <c r="N146" s="155"/>
      <c r="O146" s="155"/>
      <c r="P146" s="155"/>
      <c r="Q146" s="155"/>
      <c r="R146" s="5"/>
      <c r="S146" s="5"/>
      <c r="T146" s="104"/>
    </row>
    <row r="147" spans="1:20" s="90" customFormat="1" ht="33" x14ac:dyDescent="0.5">
      <c r="A147" s="90" t="str">
        <f>_xlfn.XLOOKUP(B147,'Paso 3 Redacción RA'!I5:I23,'Paso 3 Redacción RA'!C5:C23,,0,1)</f>
        <v>SaberSer</v>
      </c>
      <c r="B147" s="72" t="s">
        <v>103</v>
      </c>
      <c r="C147" s="153"/>
      <c r="D147" s="153"/>
      <c r="E147" s="177"/>
      <c r="F147" s="153"/>
      <c r="G147" s="153"/>
      <c r="H147" s="153"/>
      <c r="I147" s="153"/>
      <c r="J147" s="153"/>
      <c r="K147" s="153"/>
      <c r="L147" s="153"/>
      <c r="M147" s="153"/>
      <c r="N147" s="155"/>
      <c r="O147" s="155"/>
      <c r="P147" s="155"/>
      <c r="Q147" s="155"/>
      <c r="R147" s="5"/>
      <c r="S147" s="5"/>
      <c r="T147" s="104"/>
    </row>
    <row r="148" spans="1:20" s="90" customFormat="1" ht="49.5" x14ac:dyDescent="0.5">
      <c r="A148" s="90" t="str">
        <f>_xlfn.XLOOKUP(B148,'Paso 3 Redacción RA'!I6:I24,'Paso 3 Redacción RA'!C6:C24,,0,1)</f>
        <v>SaberHacer</v>
      </c>
      <c r="B148" s="72" t="s">
        <v>104</v>
      </c>
      <c r="C148" s="153"/>
      <c r="D148" s="153"/>
      <c r="E148" s="177"/>
      <c r="F148" s="153"/>
      <c r="G148" s="153"/>
      <c r="H148" s="153"/>
      <c r="I148" s="153"/>
      <c r="J148" s="153"/>
      <c r="K148" s="153"/>
      <c r="L148" s="153"/>
      <c r="M148" s="153"/>
      <c r="N148" s="155"/>
      <c r="O148" s="155"/>
      <c r="P148" s="155"/>
      <c r="Q148" s="155"/>
      <c r="R148" s="5"/>
      <c r="S148" s="5"/>
      <c r="T148" s="104"/>
    </row>
    <row r="149" spans="1:20" s="90" customFormat="1" ht="33" x14ac:dyDescent="0.5">
      <c r="A149" s="90" t="str">
        <f>_xlfn.XLOOKUP(B149,'Paso 3 Redacción RA'!I7:I25,'Paso 3 Redacción RA'!C7:C25,,0,1)</f>
        <v>Saber</v>
      </c>
      <c r="B149" s="72" t="s">
        <v>107</v>
      </c>
      <c r="C149" s="153"/>
      <c r="D149" s="153"/>
      <c r="E149" s="177"/>
      <c r="F149" s="153"/>
      <c r="G149" s="153"/>
      <c r="H149" s="153"/>
      <c r="I149" s="153"/>
      <c r="J149" s="153"/>
      <c r="K149" s="153"/>
      <c r="L149" s="153"/>
      <c r="M149" s="153"/>
      <c r="N149" s="155"/>
      <c r="O149" s="155"/>
      <c r="P149" s="155"/>
      <c r="Q149" s="155"/>
      <c r="R149" s="5"/>
      <c r="S149" s="5"/>
      <c r="T149" s="104"/>
    </row>
    <row r="150" spans="1:20" s="90" customFormat="1" ht="33" x14ac:dyDescent="0.5">
      <c r="A150" s="90" t="str">
        <f>_xlfn.XLOOKUP(B150,'Paso 3 Redacción RA'!I8:I26,'Paso 3 Redacción RA'!C8:C26,,0,1)</f>
        <v>SaberHacer</v>
      </c>
      <c r="B150" s="72" t="s">
        <v>108</v>
      </c>
      <c r="C150" s="153"/>
      <c r="D150" s="153"/>
      <c r="E150" s="177"/>
      <c r="F150" s="153"/>
      <c r="G150" s="153"/>
      <c r="H150" s="153"/>
      <c r="I150" s="153"/>
      <c r="J150" s="153"/>
      <c r="K150" s="153"/>
      <c r="L150" s="153"/>
      <c r="M150" s="153"/>
      <c r="N150" s="155"/>
      <c r="O150" s="155"/>
      <c r="P150" s="155"/>
      <c r="Q150" s="155"/>
      <c r="R150" s="5"/>
      <c r="S150" s="5"/>
      <c r="T150" s="104"/>
    </row>
    <row r="151" spans="1:20" s="90" customFormat="1" ht="33" x14ac:dyDescent="0.5">
      <c r="A151" s="90" t="str">
        <f>_xlfn.XLOOKUP(B151,'Paso 3 Redacción RA'!I9:I27,'Paso 3 Redacción RA'!C9:C27,,0,1)</f>
        <v>SaberHacer</v>
      </c>
      <c r="B151" s="72" t="s">
        <v>109</v>
      </c>
      <c r="C151" s="153"/>
      <c r="D151" s="153"/>
      <c r="E151" s="177"/>
      <c r="F151" s="153"/>
      <c r="G151" s="153"/>
      <c r="H151" s="153"/>
      <c r="I151" s="153"/>
      <c r="J151" s="153"/>
      <c r="K151" s="153"/>
      <c r="L151" s="153"/>
      <c r="M151" s="153"/>
      <c r="N151" s="155"/>
      <c r="O151" s="155"/>
      <c r="P151" s="155"/>
      <c r="Q151" s="155"/>
      <c r="R151" s="5"/>
      <c r="S151" s="5"/>
      <c r="T151" s="104"/>
    </row>
    <row r="152" spans="1:20" s="90" customFormat="1" ht="33" x14ac:dyDescent="0.5">
      <c r="A152" s="90" t="str">
        <f>_xlfn.XLOOKUP(B152,'Paso 3 Redacción RA'!I3:I21,'Paso 3 Redacción RA'!C3:C21,,0,1)</f>
        <v>SaberHacer</v>
      </c>
      <c r="B152" s="72" t="s">
        <v>110</v>
      </c>
      <c r="C152" s="153"/>
      <c r="D152" s="153"/>
      <c r="E152" s="177"/>
      <c r="F152" s="153"/>
      <c r="G152" s="153"/>
      <c r="H152" s="153"/>
      <c r="I152" s="153"/>
      <c r="J152" s="153"/>
      <c r="K152" s="153"/>
      <c r="L152" s="153"/>
      <c r="M152" s="153"/>
      <c r="N152" s="155"/>
      <c r="O152" s="155"/>
      <c r="P152" s="155"/>
      <c r="Q152" s="155"/>
      <c r="R152" s="5"/>
      <c r="S152" s="5"/>
      <c r="T152" s="104"/>
    </row>
    <row r="153" spans="1:20" s="90" customFormat="1" ht="17" thickBot="1" x14ac:dyDescent="0.55000000000000004">
      <c r="A153" s="91" t="str">
        <f>_xlfn.XLOOKUP(B153,'Paso 3 Redacción RA'!I3:I21,'Paso 3 Redacción RA'!C3:C21,,0,1)</f>
        <v>SaberHacer</v>
      </c>
      <c r="B153" s="87" t="s">
        <v>111</v>
      </c>
      <c r="C153" s="175"/>
      <c r="D153" s="175"/>
      <c r="E153" s="178"/>
      <c r="F153" s="175"/>
      <c r="G153" s="175"/>
      <c r="H153" s="175"/>
      <c r="I153" s="175"/>
      <c r="J153" s="175"/>
      <c r="K153" s="175"/>
      <c r="L153" s="175"/>
      <c r="M153" s="175"/>
      <c r="N153" s="173"/>
      <c r="O153" s="173"/>
      <c r="P153" s="173"/>
      <c r="Q153" s="173"/>
      <c r="R153" s="5"/>
      <c r="S153" s="5"/>
      <c r="T153" s="104"/>
    </row>
    <row r="154" spans="1:20" s="90" customFormat="1" ht="49.5" x14ac:dyDescent="0.5">
      <c r="A154" s="103" t="str">
        <f>_xlfn.XLOOKUP(B154,'Paso 3 Redacción RA'!I3:I21,'Paso 3 Redacción RA'!C3:C21,,0,1)</f>
        <v>Saber</v>
      </c>
      <c r="B154" s="92" t="s">
        <v>98</v>
      </c>
      <c r="C154" s="174">
        <v>6</v>
      </c>
      <c r="D154" s="174" t="s">
        <v>313</v>
      </c>
      <c r="E154" s="176" t="s">
        <v>314</v>
      </c>
      <c r="F154" s="174" t="s">
        <v>217</v>
      </c>
      <c r="G154" s="174"/>
      <c r="H154" s="174" t="s">
        <v>218</v>
      </c>
      <c r="I154" s="174"/>
      <c r="J154" s="174">
        <v>3</v>
      </c>
      <c r="K154" s="174">
        <f>12*J154</f>
        <v>36</v>
      </c>
      <c r="L154" s="174">
        <f>36*J154</f>
        <v>108</v>
      </c>
      <c r="M154" s="174">
        <f>SUM(K154:L154)</f>
        <v>144</v>
      </c>
      <c r="N154" s="172" t="s">
        <v>315</v>
      </c>
      <c r="O154" s="172" t="s">
        <v>231</v>
      </c>
      <c r="P154" s="172" t="s">
        <v>232</v>
      </c>
      <c r="Q154" s="172" t="s">
        <v>227</v>
      </c>
      <c r="R154" s="5"/>
      <c r="S154" s="5"/>
      <c r="T154" s="104"/>
    </row>
    <row r="155" spans="1:20" s="90" customFormat="1" ht="33" x14ac:dyDescent="0.5">
      <c r="A155" s="90" t="str">
        <f>_xlfn.XLOOKUP(B155,'Paso 3 Redacción RA'!I4:I22,'Paso 3 Redacción RA'!C4:C22,,0,1)</f>
        <v>SaberSer</v>
      </c>
      <c r="B155" s="72" t="s">
        <v>103</v>
      </c>
      <c r="C155" s="153"/>
      <c r="D155" s="153"/>
      <c r="E155" s="177"/>
      <c r="F155" s="153"/>
      <c r="G155" s="153"/>
      <c r="H155" s="153"/>
      <c r="I155" s="153"/>
      <c r="J155" s="153"/>
      <c r="K155" s="153"/>
      <c r="L155" s="153"/>
      <c r="M155" s="153"/>
      <c r="N155" s="155"/>
      <c r="O155" s="155"/>
      <c r="P155" s="155"/>
      <c r="Q155" s="155"/>
      <c r="R155" s="5"/>
      <c r="S155" s="5"/>
      <c r="T155" s="104"/>
    </row>
    <row r="156" spans="1:20" s="90" customFormat="1" ht="49.5" x14ac:dyDescent="0.5">
      <c r="A156" s="90" t="str">
        <f>_xlfn.XLOOKUP(B156,'Paso 3 Redacción RA'!I5:I23,'Paso 3 Redacción RA'!C5:C23,,0,1)</f>
        <v>SaberHacer</v>
      </c>
      <c r="B156" s="72" t="s">
        <v>104</v>
      </c>
      <c r="C156" s="153"/>
      <c r="D156" s="153"/>
      <c r="E156" s="177"/>
      <c r="F156" s="153"/>
      <c r="G156" s="153"/>
      <c r="H156" s="153"/>
      <c r="I156" s="153"/>
      <c r="J156" s="153"/>
      <c r="K156" s="153"/>
      <c r="L156" s="153"/>
      <c r="M156" s="153"/>
      <c r="N156" s="155"/>
      <c r="O156" s="155"/>
      <c r="P156" s="155"/>
      <c r="Q156" s="155"/>
      <c r="R156" s="5"/>
      <c r="S156" s="5"/>
      <c r="T156" s="104"/>
    </row>
    <row r="157" spans="1:20" s="90" customFormat="1" ht="33" x14ac:dyDescent="0.5">
      <c r="A157" s="90" t="str">
        <f>_xlfn.XLOOKUP(B157,'Paso 3 Redacción RA'!I6:I24,'Paso 3 Redacción RA'!C6:C24,,0,1)</f>
        <v>Saber</v>
      </c>
      <c r="B157" s="72" t="s">
        <v>107</v>
      </c>
      <c r="C157" s="153"/>
      <c r="D157" s="153"/>
      <c r="E157" s="177"/>
      <c r="F157" s="153"/>
      <c r="G157" s="153"/>
      <c r="H157" s="153"/>
      <c r="I157" s="153"/>
      <c r="J157" s="153"/>
      <c r="K157" s="153"/>
      <c r="L157" s="153"/>
      <c r="M157" s="153"/>
      <c r="N157" s="155"/>
      <c r="O157" s="155"/>
      <c r="P157" s="155"/>
      <c r="Q157" s="155"/>
      <c r="R157" s="5"/>
      <c r="S157" s="5"/>
      <c r="T157" s="104"/>
    </row>
    <row r="158" spans="1:20" s="90" customFormat="1" ht="33" x14ac:dyDescent="0.5">
      <c r="A158" s="90" t="str">
        <f>_xlfn.XLOOKUP(B158,'Paso 3 Redacción RA'!I7:I25,'Paso 3 Redacción RA'!C7:C25,,0,1)</f>
        <v>SaberHacer</v>
      </c>
      <c r="B158" s="72" t="s">
        <v>108</v>
      </c>
      <c r="C158" s="153"/>
      <c r="D158" s="153"/>
      <c r="E158" s="177"/>
      <c r="F158" s="153"/>
      <c r="G158" s="153"/>
      <c r="H158" s="153"/>
      <c r="I158" s="153"/>
      <c r="J158" s="153"/>
      <c r="K158" s="153"/>
      <c r="L158" s="153"/>
      <c r="M158" s="153"/>
      <c r="N158" s="155"/>
      <c r="O158" s="155"/>
      <c r="P158" s="155"/>
      <c r="Q158" s="155"/>
      <c r="R158" s="5"/>
      <c r="S158" s="5"/>
      <c r="T158" s="104"/>
    </row>
    <row r="159" spans="1:20" s="90" customFormat="1" ht="33" x14ac:dyDescent="0.5">
      <c r="A159" s="90" t="str">
        <f>_xlfn.XLOOKUP(B159,'Paso 3 Redacción RA'!I3:I21,'Paso 3 Redacción RA'!C3:C21,,0,1)</f>
        <v>SaberHacer</v>
      </c>
      <c r="B159" s="72" t="s">
        <v>110</v>
      </c>
      <c r="C159" s="153"/>
      <c r="D159" s="153"/>
      <c r="E159" s="177"/>
      <c r="F159" s="153"/>
      <c r="G159" s="153"/>
      <c r="H159" s="153"/>
      <c r="I159" s="153"/>
      <c r="J159" s="153"/>
      <c r="K159" s="153"/>
      <c r="L159" s="153"/>
      <c r="M159" s="153"/>
      <c r="N159" s="155"/>
      <c r="O159" s="155"/>
      <c r="P159" s="155"/>
      <c r="Q159" s="155"/>
      <c r="R159" s="5"/>
      <c r="S159" s="5"/>
      <c r="T159" s="104"/>
    </row>
    <row r="160" spans="1:20" s="90" customFormat="1" ht="17" thickBot="1" x14ac:dyDescent="0.55000000000000004">
      <c r="A160" s="91" t="str">
        <f>_xlfn.XLOOKUP(B160,'Paso 3 Redacción RA'!I3:I21,'Paso 3 Redacción RA'!C3:C21,,0,1)</f>
        <v>SaberHacer</v>
      </c>
      <c r="B160" s="87" t="s">
        <v>111</v>
      </c>
      <c r="C160" s="175"/>
      <c r="D160" s="175"/>
      <c r="E160" s="178"/>
      <c r="F160" s="175"/>
      <c r="G160" s="175"/>
      <c r="H160" s="175"/>
      <c r="I160" s="175"/>
      <c r="J160" s="175"/>
      <c r="K160" s="175"/>
      <c r="L160" s="175"/>
      <c r="M160" s="175"/>
      <c r="N160" s="173"/>
      <c r="O160" s="173"/>
      <c r="P160" s="173"/>
      <c r="Q160" s="173"/>
      <c r="R160" s="5"/>
      <c r="S160" s="5"/>
      <c r="T160" s="104"/>
    </row>
    <row r="161" spans="1:20" s="90" customFormat="1" ht="49.5" x14ac:dyDescent="0.5">
      <c r="A161" s="103" t="str">
        <f>_xlfn.XLOOKUP(B161,'Paso 3 Redacción RA'!I3:I21,'Paso 3 Redacción RA'!C3:C21,,0,1)</f>
        <v>Saber</v>
      </c>
      <c r="B161" s="92" t="s">
        <v>98</v>
      </c>
      <c r="C161" s="174">
        <v>6</v>
      </c>
      <c r="D161" s="174" t="s">
        <v>316</v>
      </c>
      <c r="E161" s="176" t="s">
        <v>317</v>
      </c>
      <c r="F161" s="174" t="s">
        <v>217</v>
      </c>
      <c r="G161" s="174"/>
      <c r="H161" s="174" t="s">
        <v>218</v>
      </c>
      <c r="I161" s="174"/>
      <c r="J161" s="174">
        <v>3</v>
      </c>
      <c r="K161" s="174">
        <f>12*J161</f>
        <v>36</v>
      </c>
      <c r="L161" s="174">
        <f>36*J161</f>
        <v>108</v>
      </c>
      <c r="M161" s="174">
        <f>SUM(K161:L161)</f>
        <v>144</v>
      </c>
      <c r="N161" s="172" t="s">
        <v>318</v>
      </c>
      <c r="O161" s="172" t="s">
        <v>231</v>
      </c>
      <c r="P161" s="172" t="s">
        <v>232</v>
      </c>
      <c r="Q161" s="172" t="s">
        <v>227</v>
      </c>
      <c r="R161" s="5"/>
      <c r="S161" s="5"/>
      <c r="T161" s="104"/>
    </row>
    <row r="162" spans="1:20" s="90" customFormat="1" x14ac:dyDescent="0.5">
      <c r="A162" s="90" t="str">
        <f>_xlfn.XLOOKUP(B162,'Paso 3 Redacción RA'!I4:I22,'Paso 3 Redacción RA'!C4:C22,,0,1)</f>
        <v>SaberHacer</v>
      </c>
      <c r="B162" s="72" t="s">
        <v>101</v>
      </c>
      <c r="C162" s="153"/>
      <c r="D162" s="153"/>
      <c r="E162" s="177"/>
      <c r="F162" s="153"/>
      <c r="G162" s="153"/>
      <c r="H162" s="153"/>
      <c r="I162" s="153"/>
      <c r="J162" s="153"/>
      <c r="K162" s="153"/>
      <c r="L162" s="153"/>
      <c r="M162" s="153"/>
      <c r="N162" s="155"/>
      <c r="O162" s="155"/>
      <c r="P162" s="155"/>
      <c r="Q162" s="155"/>
      <c r="R162" s="5"/>
      <c r="S162" s="5"/>
      <c r="T162" s="104"/>
    </row>
    <row r="163" spans="1:20" s="90" customFormat="1" ht="33" x14ac:dyDescent="0.5">
      <c r="A163" s="90" t="str">
        <f>_xlfn.XLOOKUP(B163,'Paso 3 Redacción RA'!I5:I23,'Paso 3 Redacción RA'!C5:C23,,0,1)</f>
        <v>SaberSer</v>
      </c>
      <c r="B163" s="72" t="s">
        <v>103</v>
      </c>
      <c r="C163" s="153"/>
      <c r="D163" s="153"/>
      <c r="E163" s="177"/>
      <c r="F163" s="153"/>
      <c r="G163" s="153"/>
      <c r="H163" s="153"/>
      <c r="I163" s="153"/>
      <c r="J163" s="153"/>
      <c r="K163" s="153"/>
      <c r="L163" s="153"/>
      <c r="M163" s="153"/>
      <c r="N163" s="155"/>
      <c r="O163" s="155"/>
      <c r="P163" s="155"/>
      <c r="Q163" s="155"/>
      <c r="R163" s="5"/>
      <c r="S163" s="5"/>
      <c r="T163" s="104"/>
    </row>
    <row r="164" spans="1:20" s="90" customFormat="1" ht="49.5" x14ac:dyDescent="0.5">
      <c r="A164" s="90" t="str">
        <f>_xlfn.XLOOKUP(B164,'Paso 3 Redacción RA'!I6:I24,'Paso 3 Redacción RA'!C6:C24,,0,1)</f>
        <v>SaberHacer</v>
      </c>
      <c r="B164" s="72" t="s">
        <v>104</v>
      </c>
      <c r="C164" s="153"/>
      <c r="D164" s="153"/>
      <c r="E164" s="177"/>
      <c r="F164" s="153"/>
      <c r="G164" s="153"/>
      <c r="H164" s="153"/>
      <c r="I164" s="153"/>
      <c r="J164" s="153"/>
      <c r="K164" s="153"/>
      <c r="L164" s="153"/>
      <c r="M164" s="153"/>
      <c r="N164" s="155"/>
      <c r="O164" s="155"/>
      <c r="P164" s="155"/>
      <c r="Q164" s="155"/>
      <c r="R164" s="5"/>
      <c r="S164" s="5"/>
      <c r="T164" s="104"/>
    </row>
    <row r="165" spans="1:20" s="90" customFormat="1" ht="33" x14ac:dyDescent="0.5">
      <c r="A165" s="90" t="str">
        <f>_xlfn.XLOOKUP(B165,'Paso 3 Redacción RA'!I7:I25,'Paso 3 Redacción RA'!C7:C25,,0,1)</f>
        <v>Saber</v>
      </c>
      <c r="B165" s="72" t="s">
        <v>107</v>
      </c>
      <c r="C165" s="153"/>
      <c r="D165" s="153"/>
      <c r="E165" s="177"/>
      <c r="F165" s="153"/>
      <c r="G165" s="153"/>
      <c r="H165" s="153"/>
      <c r="I165" s="153"/>
      <c r="J165" s="153"/>
      <c r="K165" s="153"/>
      <c r="L165" s="153"/>
      <c r="M165" s="153"/>
      <c r="N165" s="155"/>
      <c r="O165" s="155"/>
      <c r="P165" s="155"/>
      <c r="Q165" s="155"/>
      <c r="R165" s="5"/>
      <c r="S165" s="5"/>
      <c r="T165" s="104"/>
    </row>
    <row r="166" spans="1:20" s="90" customFormat="1" ht="33" x14ac:dyDescent="0.5">
      <c r="A166" s="90" t="str">
        <f>_xlfn.XLOOKUP(B166,'Paso 3 Redacción RA'!I8:I26,'Paso 3 Redacción RA'!C8:C26,,0,1)</f>
        <v>SaberHacer</v>
      </c>
      <c r="B166" s="72" t="s">
        <v>109</v>
      </c>
      <c r="C166" s="153"/>
      <c r="D166" s="153"/>
      <c r="E166" s="177"/>
      <c r="F166" s="153"/>
      <c r="G166" s="153"/>
      <c r="H166" s="153"/>
      <c r="I166" s="153"/>
      <c r="J166" s="153"/>
      <c r="K166" s="153"/>
      <c r="L166" s="153"/>
      <c r="M166" s="153"/>
      <c r="N166" s="155"/>
      <c r="O166" s="155"/>
      <c r="P166" s="155"/>
      <c r="Q166" s="155"/>
      <c r="R166" s="5"/>
      <c r="S166" s="5"/>
      <c r="T166" s="104"/>
    </row>
    <row r="167" spans="1:20" s="90" customFormat="1" ht="33" x14ac:dyDescent="0.5">
      <c r="A167" s="90" t="str">
        <f>_xlfn.XLOOKUP(B167,'Paso 3 Redacción RA'!I3:I21,'Paso 3 Redacción RA'!C3:C21,,0,1)</f>
        <v>SaberHacer</v>
      </c>
      <c r="B167" s="72" t="s">
        <v>110</v>
      </c>
      <c r="C167" s="153"/>
      <c r="D167" s="153"/>
      <c r="E167" s="177"/>
      <c r="F167" s="153"/>
      <c r="G167" s="153"/>
      <c r="H167" s="153"/>
      <c r="I167" s="153"/>
      <c r="J167" s="153"/>
      <c r="K167" s="153"/>
      <c r="L167" s="153"/>
      <c r="M167" s="153"/>
      <c r="N167" s="155"/>
      <c r="O167" s="155"/>
      <c r="P167" s="155"/>
      <c r="Q167" s="155"/>
      <c r="R167" s="5"/>
      <c r="S167" s="5"/>
      <c r="T167" s="104"/>
    </row>
    <row r="168" spans="1:20" s="90" customFormat="1" ht="17" thickBot="1" x14ac:dyDescent="0.55000000000000004">
      <c r="A168" s="91" t="str">
        <f>_xlfn.XLOOKUP(B168,'Paso 3 Redacción RA'!I3:I21,'Paso 3 Redacción RA'!C3:C21,,0,1)</f>
        <v>SaberHacer</v>
      </c>
      <c r="B168" s="87" t="s">
        <v>111</v>
      </c>
      <c r="C168" s="175"/>
      <c r="D168" s="175"/>
      <c r="E168" s="178"/>
      <c r="F168" s="153"/>
      <c r="G168" s="153"/>
      <c r="H168" s="153"/>
      <c r="I168" s="153"/>
      <c r="J168" s="153"/>
      <c r="K168" s="175"/>
      <c r="L168" s="175"/>
      <c r="M168" s="153"/>
      <c r="N168" s="173"/>
      <c r="O168" s="173"/>
      <c r="P168" s="173"/>
      <c r="Q168" s="155"/>
      <c r="R168" s="5"/>
      <c r="S168" s="5"/>
      <c r="T168" s="104"/>
    </row>
    <row r="169" spans="1:20" s="90" customFormat="1" ht="49.5" x14ac:dyDescent="0.5">
      <c r="A169" s="103" t="str">
        <f>_xlfn.XLOOKUP(B169,'Paso 3 Redacción RA'!I3:I21,'Paso 3 Redacción RA'!C3:C21,,0,1)</f>
        <v>Saber</v>
      </c>
      <c r="B169" s="92" t="s">
        <v>98</v>
      </c>
      <c r="C169" s="174">
        <v>6</v>
      </c>
      <c r="D169" s="174" t="s">
        <v>319</v>
      </c>
      <c r="E169" s="176" t="s">
        <v>320</v>
      </c>
      <c r="F169" s="174" t="s">
        <v>217</v>
      </c>
      <c r="G169" s="174"/>
      <c r="H169" s="174" t="s">
        <v>218</v>
      </c>
      <c r="I169" s="174"/>
      <c r="J169" s="174">
        <v>3</v>
      </c>
      <c r="K169" s="174">
        <f>12*J169</f>
        <v>36</v>
      </c>
      <c r="L169" s="174">
        <f>36*J169</f>
        <v>108</v>
      </c>
      <c r="M169" s="174">
        <f>SUM(K169:L169)</f>
        <v>144</v>
      </c>
      <c r="N169" s="168" t="s">
        <v>321</v>
      </c>
      <c r="O169" s="172" t="s">
        <v>231</v>
      </c>
      <c r="P169" s="172" t="s">
        <v>232</v>
      </c>
      <c r="Q169" s="172" t="s">
        <v>227</v>
      </c>
      <c r="R169" s="5"/>
      <c r="S169" s="5"/>
      <c r="T169" s="104"/>
    </row>
    <row r="170" spans="1:20" s="90" customFormat="1" ht="33" x14ac:dyDescent="0.5">
      <c r="A170" s="90" t="str">
        <f>_xlfn.XLOOKUP(B170,'Paso 3 Redacción RA'!I4:I22,'Paso 3 Redacción RA'!C4:C22,,0,1)</f>
        <v>SaberSer</v>
      </c>
      <c r="B170" s="72" t="s">
        <v>103</v>
      </c>
      <c r="C170" s="153"/>
      <c r="D170" s="153"/>
      <c r="E170" s="177"/>
      <c r="F170" s="153"/>
      <c r="G170" s="153"/>
      <c r="H170" s="153"/>
      <c r="I170" s="153"/>
      <c r="J170" s="153"/>
      <c r="K170" s="153"/>
      <c r="L170" s="153"/>
      <c r="M170" s="153"/>
      <c r="N170" s="151"/>
      <c r="O170" s="155"/>
      <c r="P170" s="155"/>
      <c r="Q170" s="155"/>
      <c r="R170" s="5"/>
      <c r="S170" s="5"/>
      <c r="T170" s="104"/>
    </row>
    <row r="171" spans="1:20" s="90" customFormat="1" ht="49.5" x14ac:dyDescent="0.5">
      <c r="A171" s="90" t="str">
        <f>_xlfn.XLOOKUP(B171,'Paso 3 Redacción RA'!I5:I23,'Paso 3 Redacción RA'!C5:C23,,0,1)</f>
        <v>SaberHacer</v>
      </c>
      <c r="B171" s="72" t="s">
        <v>104</v>
      </c>
      <c r="C171" s="153"/>
      <c r="D171" s="153"/>
      <c r="E171" s="177"/>
      <c r="F171" s="153"/>
      <c r="G171" s="153"/>
      <c r="H171" s="153"/>
      <c r="I171" s="153"/>
      <c r="J171" s="153"/>
      <c r="K171" s="153"/>
      <c r="L171" s="153"/>
      <c r="M171" s="153"/>
      <c r="N171" s="151"/>
      <c r="O171" s="155"/>
      <c r="P171" s="155"/>
      <c r="Q171" s="155"/>
      <c r="R171" s="5"/>
      <c r="S171" s="5"/>
      <c r="T171" s="104"/>
    </row>
    <row r="172" spans="1:20" s="90" customFormat="1" ht="33" x14ac:dyDescent="0.5">
      <c r="A172" s="90" t="str">
        <f>_xlfn.XLOOKUP(B172,'Paso 3 Redacción RA'!I6:I24,'Paso 3 Redacción RA'!C6:C24,,0,1)</f>
        <v>Saber</v>
      </c>
      <c r="B172" s="72" t="s">
        <v>107</v>
      </c>
      <c r="C172" s="153"/>
      <c r="D172" s="153"/>
      <c r="E172" s="177"/>
      <c r="F172" s="153"/>
      <c r="G172" s="153"/>
      <c r="H172" s="153"/>
      <c r="I172" s="153"/>
      <c r="J172" s="153"/>
      <c r="K172" s="153"/>
      <c r="L172" s="153"/>
      <c r="M172" s="153"/>
      <c r="N172" s="151"/>
      <c r="O172" s="155"/>
      <c r="P172" s="155"/>
      <c r="Q172" s="155"/>
      <c r="R172" s="5"/>
      <c r="S172" s="5"/>
      <c r="T172" s="104"/>
    </row>
    <row r="173" spans="1:20" s="90" customFormat="1" ht="33" x14ac:dyDescent="0.5">
      <c r="A173" s="90" t="str">
        <f>_xlfn.XLOOKUP(B173,'Paso 3 Redacción RA'!I7:I25,'Paso 3 Redacción RA'!C7:C25,,0,1)</f>
        <v>SaberHacer</v>
      </c>
      <c r="B173" s="72" t="s">
        <v>108</v>
      </c>
      <c r="C173" s="153"/>
      <c r="D173" s="153"/>
      <c r="E173" s="177"/>
      <c r="F173" s="153"/>
      <c r="G173" s="153"/>
      <c r="H173" s="153"/>
      <c r="I173" s="153"/>
      <c r="J173" s="153"/>
      <c r="K173" s="153"/>
      <c r="L173" s="153"/>
      <c r="M173" s="153"/>
      <c r="N173" s="151"/>
      <c r="O173" s="155"/>
      <c r="P173" s="155"/>
      <c r="Q173" s="155"/>
      <c r="R173" s="5"/>
      <c r="S173" s="5"/>
      <c r="T173" s="104"/>
    </row>
    <row r="174" spans="1:20" s="90" customFormat="1" ht="33" x14ac:dyDescent="0.5">
      <c r="A174" s="90" t="str">
        <f>_xlfn.XLOOKUP(B174,'Paso 3 Redacción RA'!I8:I26,'Paso 3 Redacción RA'!C8:C26,,0,1)</f>
        <v>SaberHacer</v>
      </c>
      <c r="B174" s="72" t="s">
        <v>109</v>
      </c>
      <c r="C174" s="153"/>
      <c r="D174" s="153"/>
      <c r="E174" s="177"/>
      <c r="F174" s="153"/>
      <c r="G174" s="153"/>
      <c r="H174" s="153"/>
      <c r="I174" s="153"/>
      <c r="J174" s="153"/>
      <c r="K174" s="153"/>
      <c r="L174" s="153"/>
      <c r="M174" s="153"/>
      <c r="N174" s="151"/>
      <c r="O174" s="155"/>
      <c r="P174" s="155"/>
      <c r="Q174" s="155"/>
      <c r="R174" s="5"/>
      <c r="S174" s="5"/>
      <c r="T174" s="104"/>
    </row>
    <row r="175" spans="1:20" s="90" customFormat="1" ht="33" x14ac:dyDescent="0.5">
      <c r="A175" s="90" t="str">
        <f>_xlfn.XLOOKUP(B175,'Paso 3 Redacción RA'!I3:I21,'Paso 3 Redacción RA'!C3:C21,,0,1)</f>
        <v>SaberHacer</v>
      </c>
      <c r="B175" s="72" t="s">
        <v>110</v>
      </c>
      <c r="C175" s="153"/>
      <c r="D175" s="153"/>
      <c r="E175" s="177"/>
      <c r="F175" s="153"/>
      <c r="G175" s="153"/>
      <c r="H175" s="153"/>
      <c r="I175" s="153"/>
      <c r="J175" s="153"/>
      <c r="K175" s="153"/>
      <c r="L175" s="153"/>
      <c r="M175" s="153"/>
      <c r="N175" s="151"/>
      <c r="O175" s="155"/>
      <c r="P175" s="155"/>
      <c r="Q175" s="155"/>
      <c r="R175" s="5"/>
      <c r="S175" s="5"/>
      <c r="T175" s="104"/>
    </row>
    <row r="176" spans="1:20" s="90" customFormat="1" ht="17" thickBot="1" x14ac:dyDescent="0.55000000000000004">
      <c r="A176" s="91" t="str">
        <f>_xlfn.XLOOKUP(B176,'Paso 3 Redacción RA'!I3:I21,'Paso 3 Redacción RA'!C3:C21,,0,1)</f>
        <v>SaberHacer</v>
      </c>
      <c r="B176" s="87" t="s">
        <v>111</v>
      </c>
      <c r="C176" s="175"/>
      <c r="D176" s="175"/>
      <c r="E176" s="178"/>
      <c r="F176" s="175"/>
      <c r="G176" s="175"/>
      <c r="H176" s="175"/>
      <c r="I176" s="175"/>
      <c r="J176" s="175"/>
      <c r="K176" s="175"/>
      <c r="L176" s="175"/>
      <c r="M176" s="175"/>
      <c r="N176" s="164"/>
      <c r="O176" s="173"/>
      <c r="P176" s="173"/>
      <c r="Q176" s="173"/>
      <c r="R176" s="5"/>
      <c r="S176" s="5"/>
      <c r="T176" s="104"/>
    </row>
    <row r="177" spans="1:20" s="90" customFormat="1" ht="49.5" x14ac:dyDescent="0.5">
      <c r="A177" s="103" t="str">
        <f>_xlfn.XLOOKUP(B177,'Paso 3 Redacción RA'!I3:I21,'Paso 3 Redacción RA'!C3:C21,,0,1)</f>
        <v>Saber</v>
      </c>
      <c r="B177" s="92" t="s">
        <v>98</v>
      </c>
      <c r="C177" s="174">
        <v>6</v>
      </c>
      <c r="D177" s="174" t="s">
        <v>322</v>
      </c>
      <c r="E177" s="176" t="s">
        <v>323</v>
      </c>
      <c r="F177" s="174" t="s">
        <v>217</v>
      </c>
      <c r="G177" s="174"/>
      <c r="H177" s="174" t="s">
        <v>218</v>
      </c>
      <c r="I177" s="174"/>
      <c r="J177" s="174">
        <v>3</v>
      </c>
      <c r="K177" s="174">
        <f>12*J177</f>
        <v>36</v>
      </c>
      <c r="L177" s="174">
        <f>36*J177</f>
        <v>108</v>
      </c>
      <c r="M177" s="174">
        <f>SUM(K177:L177)</f>
        <v>144</v>
      </c>
      <c r="N177" s="172" t="s">
        <v>324</v>
      </c>
      <c r="O177" s="172" t="s">
        <v>231</v>
      </c>
      <c r="P177" s="172" t="s">
        <v>232</v>
      </c>
      <c r="Q177" s="172" t="s">
        <v>227</v>
      </c>
      <c r="R177" s="5"/>
      <c r="S177" s="5"/>
      <c r="T177" s="104"/>
    </row>
    <row r="178" spans="1:20" s="90" customFormat="1" x14ac:dyDescent="0.5">
      <c r="A178" s="90" t="str">
        <f>_xlfn.XLOOKUP(B178,'Paso 3 Redacción RA'!I4:I22,'Paso 3 Redacción RA'!C4:C22,,0,1)</f>
        <v>SaberHacer</v>
      </c>
      <c r="B178" s="72" t="s">
        <v>101</v>
      </c>
      <c r="C178" s="153"/>
      <c r="D178" s="153"/>
      <c r="E178" s="177"/>
      <c r="F178" s="153"/>
      <c r="G178" s="153"/>
      <c r="H178" s="153"/>
      <c r="I178" s="153"/>
      <c r="J178" s="153"/>
      <c r="K178" s="153"/>
      <c r="L178" s="153"/>
      <c r="M178" s="153"/>
      <c r="N178" s="155"/>
      <c r="O178" s="155"/>
      <c r="P178" s="155"/>
      <c r="Q178" s="155"/>
      <c r="R178" s="5"/>
      <c r="S178" s="5"/>
      <c r="T178" s="104"/>
    </row>
    <row r="179" spans="1:20" s="90" customFormat="1" ht="33" x14ac:dyDescent="0.5">
      <c r="A179" s="90" t="str">
        <f>_xlfn.XLOOKUP(B179,'Paso 3 Redacción RA'!I5:I23,'Paso 3 Redacción RA'!C5:C23,,0,1)</f>
        <v>SaberSer</v>
      </c>
      <c r="B179" s="72" t="s">
        <v>103</v>
      </c>
      <c r="C179" s="153"/>
      <c r="D179" s="153"/>
      <c r="E179" s="177"/>
      <c r="F179" s="153"/>
      <c r="G179" s="153"/>
      <c r="H179" s="153"/>
      <c r="I179" s="153"/>
      <c r="J179" s="153"/>
      <c r="K179" s="153"/>
      <c r="L179" s="153"/>
      <c r="M179" s="153"/>
      <c r="N179" s="155"/>
      <c r="O179" s="155"/>
      <c r="P179" s="155"/>
      <c r="Q179" s="155"/>
      <c r="R179" s="5"/>
      <c r="S179" s="5"/>
      <c r="T179" s="104"/>
    </row>
    <row r="180" spans="1:20" s="90" customFormat="1" ht="49.5" x14ac:dyDescent="0.5">
      <c r="A180" s="90" t="str">
        <f>_xlfn.XLOOKUP(B180,'Paso 3 Redacción RA'!I6:I24,'Paso 3 Redacción RA'!C6:C24,,0,1)</f>
        <v>SaberHacer</v>
      </c>
      <c r="B180" s="72" t="s">
        <v>104</v>
      </c>
      <c r="C180" s="153"/>
      <c r="D180" s="153"/>
      <c r="E180" s="177"/>
      <c r="F180" s="153"/>
      <c r="G180" s="153"/>
      <c r="H180" s="153"/>
      <c r="I180" s="153"/>
      <c r="J180" s="153"/>
      <c r="K180" s="153"/>
      <c r="L180" s="153"/>
      <c r="M180" s="153"/>
      <c r="N180" s="155"/>
      <c r="O180" s="155"/>
      <c r="P180" s="155"/>
      <c r="Q180" s="155"/>
      <c r="R180" s="5"/>
      <c r="S180" s="5"/>
      <c r="T180" s="104"/>
    </row>
    <row r="181" spans="1:20" s="90" customFormat="1" ht="33" x14ac:dyDescent="0.5">
      <c r="A181" s="90" t="str">
        <f>_xlfn.XLOOKUP(B181,'Paso 3 Redacción RA'!I7:I25,'Paso 3 Redacción RA'!C7:C25,,0,1)</f>
        <v>Saber</v>
      </c>
      <c r="B181" s="72" t="s">
        <v>107</v>
      </c>
      <c r="C181" s="153"/>
      <c r="D181" s="153"/>
      <c r="E181" s="177"/>
      <c r="F181" s="153"/>
      <c r="G181" s="153"/>
      <c r="H181" s="153"/>
      <c r="I181" s="153"/>
      <c r="J181" s="153"/>
      <c r="K181" s="153"/>
      <c r="L181" s="153"/>
      <c r="M181" s="153"/>
      <c r="N181" s="155"/>
      <c r="O181" s="155"/>
      <c r="P181" s="155"/>
      <c r="Q181" s="155"/>
      <c r="R181" s="5"/>
      <c r="S181" s="5"/>
      <c r="T181" s="104"/>
    </row>
    <row r="182" spans="1:20" s="90" customFormat="1" ht="33" x14ac:dyDescent="0.5">
      <c r="A182" s="90" t="str">
        <f>_xlfn.XLOOKUP(B182,'Paso 3 Redacción RA'!I8:I26,'Paso 3 Redacción RA'!C8:C26,,0,1)</f>
        <v>SaberHacer</v>
      </c>
      <c r="B182" s="72" t="s">
        <v>108</v>
      </c>
      <c r="C182" s="153"/>
      <c r="D182" s="153"/>
      <c r="E182" s="177"/>
      <c r="F182" s="153"/>
      <c r="G182" s="153"/>
      <c r="H182" s="153"/>
      <c r="I182" s="153"/>
      <c r="J182" s="153"/>
      <c r="K182" s="153"/>
      <c r="L182" s="153"/>
      <c r="M182" s="153"/>
      <c r="N182" s="155"/>
      <c r="O182" s="155"/>
      <c r="P182" s="155"/>
      <c r="Q182" s="155"/>
      <c r="R182" s="5"/>
      <c r="S182" s="5"/>
      <c r="T182" s="104"/>
    </row>
    <row r="183" spans="1:20" s="90" customFormat="1" ht="33" x14ac:dyDescent="0.5">
      <c r="A183" s="90" t="str">
        <f>_xlfn.XLOOKUP(B183,'Paso 3 Redacción RA'!I9:I27,'Paso 3 Redacción RA'!C9:C27,,0,1)</f>
        <v>SaberHacer</v>
      </c>
      <c r="B183" s="72" t="s">
        <v>109</v>
      </c>
      <c r="C183" s="153"/>
      <c r="D183" s="153"/>
      <c r="E183" s="177"/>
      <c r="F183" s="153"/>
      <c r="G183" s="153"/>
      <c r="H183" s="153"/>
      <c r="I183" s="153"/>
      <c r="J183" s="153"/>
      <c r="K183" s="153"/>
      <c r="L183" s="153"/>
      <c r="M183" s="153"/>
      <c r="N183" s="155"/>
      <c r="O183" s="155"/>
      <c r="P183" s="155"/>
      <c r="Q183" s="155"/>
      <c r="R183" s="5"/>
      <c r="S183" s="5"/>
      <c r="T183" s="104"/>
    </row>
    <row r="184" spans="1:20" s="90" customFormat="1" ht="33" x14ac:dyDescent="0.5">
      <c r="A184" s="90" t="str">
        <f>_xlfn.XLOOKUP(B184,'Paso 3 Redacción RA'!I3:I21,'Paso 3 Redacción RA'!C3:C21,,0,1)</f>
        <v>SaberHacer</v>
      </c>
      <c r="B184" s="72" t="s">
        <v>110</v>
      </c>
      <c r="C184" s="153"/>
      <c r="D184" s="153"/>
      <c r="E184" s="177"/>
      <c r="F184" s="153"/>
      <c r="G184" s="153"/>
      <c r="H184" s="153"/>
      <c r="I184" s="153"/>
      <c r="J184" s="153"/>
      <c r="K184" s="153"/>
      <c r="L184" s="153"/>
      <c r="M184" s="153"/>
      <c r="N184" s="155"/>
      <c r="O184" s="155"/>
      <c r="P184" s="155"/>
      <c r="Q184" s="155"/>
      <c r="R184" s="5"/>
      <c r="S184" s="5"/>
      <c r="T184" s="104"/>
    </row>
    <row r="185" spans="1:20" s="90" customFormat="1" ht="17" thickBot="1" x14ac:dyDescent="0.55000000000000004">
      <c r="A185" s="91" t="str">
        <f>_xlfn.XLOOKUP(B185,'Paso 3 Redacción RA'!I3:I21,'Paso 3 Redacción RA'!C3:C21,,0,1)</f>
        <v>SaberHacer</v>
      </c>
      <c r="B185" s="87" t="s">
        <v>111</v>
      </c>
      <c r="C185" s="175"/>
      <c r="D185" s="175"/>
      <c r="E185" s="178"/>
      <c r="F185" s="175"/>
      <c r="G185" s="175"/>
      <c r="H185" s="175"/>
      <c r="I185" s="175"/>
      <c r="J185" s="175"/>
      <c r="K185" s="175"/>
      <c r="L185" s="175"/>
      <c r="M185" s="175"/>
      <c r="N185" s="173"/>
      <c r="O185" s="173"/>
      <c r="P185" s="173"/>
      <c r="Q185" s="173"/>
      <c r="R185" s="5"/>
      <c r="S185" s="5"/>
      <c r="T185" s="104"/>
    </row>
    <row r="186" spans="1:20" s="90" customFormat="1" ht="49.5" x14ac:dyDescent="0.5">
      <c r="A186" s="103" t="str">
        <f>_xlfn.XLOOKUP(B186,'Paso 3 Redacción RA'!I3:I21,'Paso 3 Redacción RA'!C3:C21,,0,1)</f>
        <v>Saber</v>
      </c>
      <c r="B186" s="92" t="s">
        <v>98</v>
      </c>
      <c r="C186" s="174">
        <v>6</v>
      </c>
      <c r="D186" s="174" t="s">
        <v>325</v>
      </c>
      <c r="E186" s="176" t="s">
        <v>326</v>
      </c>
      <c r="F186" s="174" t="s">
        <v>327</v>
      </c>
      <c r="G186" s="174"/>
      <c r="H186" s="174" t="s">
        <v>218</v>
      </c>
      <c r="I186" s="174"/>
      <c r="J186" s="174">
        <v>3</v>
      </c>
      <c r="K186" s="174">
        <f>12*J186</f>
        <v>36</v>
      </c>
      <c r="L186" s="174">
        <f>36*J186</f>
        <v>108</v>
      </c>
      <c r="M186" s="174">
        <f>SUM(K186:L186)</f>
        <v>144</v>
      </c>
      <c r="N186" s="172" t="s">
        <v>328</v>
      </c>
      <c r="O186" s="172" t="s">
        <v>231</v>
      </c>
      <c r="P186" s="172" t="s">
        <v>329</v>
      </c>
      <c r="Q186" s="172" t="s">
        <v>227</v>
      </c>
      <c r="R186" s="5"/>
      <c r="S186" s="5"/>
      <c r="T186" s="104"/>
    </row>
    <row r="187" spans="1:20" s="90" customFormat="1" x14ac:dyDescent="0.5">
      <c r="A187" s="90" t="str">
        <f>_xlfn.XLOOKUP(B187,'Paso 3 Redacción RA'!I4:I22,'Paso 3 Redacción RA'!C4:C22,,0,1)</f>
        <v>SaberHacer</v>
      </c>
      <c r="B187" s="72" t="s">
        <v>101</v>
      </c>
      <c r="C187" s="153"/>
      <c r="D187" s="153"/>
      <c r="E187" s="177"/>
      <c r="F187" s="153"/>
      <c r="G187" s="153"/>
      <c r="H187" s="153"/>
      <c r="I187" s="153"/>
      <c r="J187" s="153"/>
      <c r="K187" s="153"/>
      <c r="L187" s="153"/>
      <c r="M187" s="153"/>
      <c r="N187" s="155"/>
      <c r="O187" s="155"/>
      <c r="P187" s="155"/>
      <c r="Q187" s="155"/>
      <c r="R187" s="5"/>
      <c r="S187" s="5"/>
      <c r="T187" s="104"/>
    </row>
    <row r="188" spans="1:20" s="90" customFormat="1" ht="33" x14ac:dyDescent="0.5">
      <c r="A188" s="90" t="str">
        <f>_xlfn.XLOOKUP(B188,'Paso 3 Redacción RA'!I5:I23,'Paso 3 Redacción RA'!C5:C23,,0,1)</f>
        <v>SaberSer</v>
      </c>
      <c r="B188" s="72" t="s">
        <v>103</v>
      </c>
      <c r="C188" s="153"/>
      <c r="D188" s="153"/>
      <c r="E188" s="177"/>
      <c r="F188" s="153"/>
      <c r="G188" s="153"/>
      <c r="H188" s="153"/>
      <c r="I188" s="153"/>
      <c r="J188" s="153"/>
      <c r="K188" s="153"/>
      <c r="L188" s="153"/>
      <c r="M188" s="153"/>
      <c r="N188" s="155"/>
      <c r="O188" s="155"/>
      <c r="P188" s="155"/>
      <c r="Q188" s="155"/>
      <c r="R188" s="5"/>
      <c r="S188" s="5"/>
      <c r="T188" s="104"/>
    </row>
    <row r="189" spans="1:20" s="90" customFormat="1" ht="49.5" x14ac:dyDescent="0.5">
      <c r="A189" s="90" t="str">
        <f>_xlfn.XLOOKUP(B189,'Paso 3 Redacción RA'!I6:I24,'Paso 3 Redacción RA'!C6:C24,,0,1)</f>
        <v>SaberHacer</v>
      </c>
      <c r="B189" s="72" t="s">
        <v>104</v>
      </c>
      <c r="C189" s="153"/>
      <c r="D189" s="153"/>
      <c r="E189" s="177"/>
      <c r="F189" s="153"/>
      <c r="G189" s="153"/>
      <c r="H189" s="153"/>
      <c r="I189" s="153"/>
      <c r="J189" s="153"/>
      <c r="K189" s="153"/>
      <c r="L189" s="153"/>
      <c r="M189" s="153"/>
      <c r="N189" s="155"/>
      <c r="O189" s="155"/>
      <c r="P189" s="155"/>
      <c r="Q189" s="155"/>
      <c r="R189" s="5"/>
      <c r="S189" s="5"/>
      <c r="T189" s="104"/>
    </row>
    <row r="190" spans="1:20" s="90" customFormat="1" ht="33" x14ac:dyDescent="0.5">
      <c r="A190" s="90" t="str">
        <f>_xlfn.XLOOKUP(B190,'Paso 3 Redacción RA'!I7:I25,'Paso 3 Redacción RA'!C7:C25,,0,1)</f>
        <v>Saber</v>
      </c>
      <c r="B190" s="72" t="s">
        <v>107</v>
      </c>
      <c r="C190" s="153"/>
      <c r="D190" s="153"/>
      <c r="E190" s="177"/>
      <c r="F190" s="153"/>
      <c r="G190" s="153"/>
      <c r="H190" s="153"/>
      <c r="I190" s="153"/>
      <c r="J190" s="153"/>
      <c r="K190" s="153"/>
      <c r="L190" s="153"/>
      <c r="M190" s="153"/>
      <c r="N190" s="155"/>
      <c r="O190" s="155"/>
      <c r="P190" s="155"/>
      <c r="Q190" s="155"/>
      <c r="R190" s="5"/>
      <c r="S190" s="5"/>
      <c r="T190" s="104"/>
    </row>
    <row r="191" spans="1:20" s="90" customFormat="1" ht="33" x14ac:dyDescent="0.5">
      <c r="A191" s="90" t="str">
        <f>_xlfn.XLOOKUP(B191,'Paso 3 Redacción RA'!I8:I26,'Paso 3 Redacción RA'!C8:C26,,0,1)</f>
        <v>SaberHacer</v>
      </c>
      <c r="B191" s="72" t="s">
        <v>108</v>
      </c>
      <c r="C191" s="153"/>
      <c r="D191" s="153"/>
      <c r="E191" s="177"/>
      <c r="F191" s="153"/>
      <c r="G191" s="153"/>
      <c r="H191" s="153"/>
      <c r="I191" s="153"/>
      <c r="J191" s="153"/>
      <c r="K191" s="153"/>
      <c r="L191" s="153"/>
      <c r="M191" s="153"/>
      <c r="N191" s="155"/>
      <c r="O191" s="155"/>
      <c r="P191" s="155"/>
      <c r="Q191" s="155"/>
      <c r="R191" s="5"/>
      <c r="S191" s="5"/>
      <c r="T191" s="104"/>
    </row>
    <row r="192" spans="1:20" s="90" customFormat="1" ht="33" x14ac:dyDescent="0.5">
      <c r="A192" s="90" t="str">
        <f>_xlfn.XLOOKUP(B192,'Paso 3 Redacción RA'!I9:I27,'Paso 3 Redacción RA'!C9:C27,,0,1)</f>
        <v>SaberHacer</v>
      </c>
      <c r="B192" s="72" t="s">
        <v>109</v>
      </c>
      <c r="C192" s="153"/>
      <c r="D192" s="153"/>
      <c r="E192" s="177"/>
      <c r="F192" s="153"/>
      <c r="G192" s="153"/>
      <c r="H192" s="153"/>
      <c r="I192" s="153"/>
      <c r="J192" s="153"/>
      <c r="K192" s="153"/>
      <c r="L192" s="153"/>
      <c r="M192" s="153"/>
      <c r="N192" s="155"/>
      <c r="O192" s="155"/>
      <c r="P192" s="155"/>
      <c r="Q192" s="155"/>
      <c r="R192" s="5"/>
      <c r="S192" s="5"/>
      <c r="T192" s="104"/>
    </row>
    <row r="193" spans="1:20" s="90" customFormat="1" ht="33" x14ac:dyDescent="0.5">
      <c r="A193" s="90" t="str">
        <f>_xlfn.XLOOKUP(B193,'Paso 3 Redacción RA'!I3:I21,'Paso 3 Redacción RA'!C3:C21,,0,1)</f>
        <v>SaberHacer</v>
      </c>
      <c r="B193" s="72" t="s">
        <v>110</v>
      </c>
      <c r="C193" s="153"/>
      <c r="D193" s="153"/>
      <c r="E193" s="177"/>
      <c r="F193" s="153"/>
      <c r="G193" s="153"/>
      <c r="H193" s="153"/>
      <c r="I193" s="153"/>
      <c r="J193" s="153"/>
      <c r="K193" s="153"/>
      <c r="L193" s="153"/>
      <c r="M193" s="153"/>
      <c r="N193" s="155"/>
      <c r="O193" s="155"/>
      <c r="P193" s="155"/>
      <c r="Q193" s="155"/>
      <c r="R193" s="5"/>
      <c r="S193" s="5"/>
      <c r="T193" s="104"/>
    </row>
    <row r="194" spans="1:20" s="90" customFormat="1" ht="17" thickBot="1" x14ac:dyDescent="0.55000000000000004">
      <c r="A194" s="91" t="str">
        <f>_xlfn.XLOOKUP(B194,'Paso 3 Redacción RA'!I3:I21,'Paso 3 Redacción RA'!C3:C21,,0,1)</f>
        <v>SaberHacer</v>
      </c>
      <c r="B194" s="87" t="s">
        <v>111</v>
      </c>
      <c r="C194" s="175"/>
      <c r="D194" s="175"/>
      <c r="E194" s="178"/>
      <c r="F194" s="175"/>
      <c r="G194" s="175"/>
      <c r="H194" s="175"/>
      <c r="I194" s="175"/>
      <c r="J194" s="175"/>
      <c r="K194" s="175"/>
      <c r="L194" s="175"/>
      <c r="M194" s="175"/>
      <c r="N194" s="173"/>
      <c r="O194" s="173"/>
      <c r="P194" s="173"/>
      <c r="Q194" s="173"/>
      <c r="R194" s="5"/>
      <c r="S194" s="5"/>
      <c r="T194" s="104"/>
    </row>
    <row r="195" spans="1:20" s="90" customFormat="1" ht="49.5" x14ac:dyDescent="0.5">
      <c r="A195" s="90" t="str">
        <f>_xlfn.XLOOKUP(B195,'Paso 3 Redacción RA'!I3:I21,'Paso 3 Redacción RA'!C3:C21,,0,1)</f>
        <v>Saber</v>
      </c>
      <c r="B195" s="92" t="s">
        <v>98</v>
      </c>
      <c r="C195" s="174">
        <v>7</v>
      </c>
      <c r="D195" s="174" t="s">
        <v>330</v>
      </c>
      <c r="E195" s="176" t="s">
        <v>331</v>
      </c>
      <c r="F195" s="174" t="s">
        <v>217</v>
      </c>
      <c r="G195" s="174"/>
      <c r="H195" s="174" t="s">
        <v>218</v>
      </c>
      <c r="I195" s="174"/>
      <c r="J195" s="174">
        <v>3</v>
      </c>
      <c r="K195" s="174">
        <f>12*J195</f>
        <v>36</v>
      </c>
      <c r="L195" s="174">
        <f>36*J195</f>
        <v>108</v>
      </c>
      <c r="M195" s="174">
        <f>SUM(K195:L195)</f>
        <v>144</v>
      </c>
      <c r="N195" s="172" t="s">
        <v>332</v>
      </c>
      <c r="O195" s="172" t="s">
        <v>231</v>
      </c>
      <c r="P195" s="172" t="s">
        <v>232</v>
      </c>
      <c r="Q195" s="172" t="s">
        <v>227</v>
      </c>
      <c r="R195" s="5"/>
      <c r="S195" s="5"/>
      <c r="T195" s="104"/>
    </row>
    <row r="196" spans="1:20" s="90" customFormat="1" ht="33" x14ac:dyDescent="0.5">
      <c r="A196" s="90" t="str">
        <f>_xlfn.XLOOKUP(B196,'Paso 3 Redacción RA'!I4:I22,'Paso 3 Redacción RA'!C4:C22,,0,1)</f>
        <v>SaberSer</v>
      </c>
      <c r="B196" s="72" t="s">
        <v>103</v>
      </c>
      <c r="C196" s="153"/>
      <c r="D196" s="153"/>
      <c r="E196" s="177"/>
      <c r="F196" s="153"/>
      <c r="G196" s="153"/>
      <c r="H196" s="153"/>
      <c r="I196" s="153"/>
      <c r="J196" s="153"/>
      <c r="K196" s="153"/>
      <c r="L196" s="153"/>
      <c r="M196" s="153"/>
      <c r="N196" s="155"/>
      <c r="O196" s="155"/>
      <c r="P196" s="155"/>
      <c r="Q196" s="155"/>
      <c r="R196" s="5"/>
      <c r="S196" s="5"/>
      <c r="T196" s="104"/>
    </row>
    <row r="197" spans="1:20" s="90" customFormat="1" ht="49.5" x14ac:dyDescent="0.5">
      <c r="A197" s="90" t="str">
        <f>_xlfn.XLOOKUP(B197,'Paso 3 Redacción RA'!I5:I23,'Paso 3 Redacción RA'!C5:C23,,0,1)</f>
        <v>SaberHacer</v>
      </c>
      <c r="B197" s="72" t="s">
        <v>104</v>
      </c>
      <c r="C197" s="153"/>
      <c r="D197" s="153"/>
      <c r="E197" s="177"/>
      <c r="F197" s="153"/>
      <c r="G197" s="153"/>
      <c r="H197" s="153"/>
      <c r="I197" s="153"/>
      <c r="J197" s="153"/>
      <c r="K197" s="153"/>
      <c r="L197" s="153"/>
      <c r="M197" s="153"/>
      <c r="N197" s="155"/>
      <c r="O197" s="155"/>
      <c r="P197" s="155"/>
      <c r="Q197" s="155"/>
      <c r="R197" s="5"/>
      <c r="S197" s="5"/>
      <c r="T197" s="104"/>
    </row>
    <row r="198" spans="1:20" s="90" customFormat="1" ht="33" x14ac:dyDescent="0.5">
      <c r="A198" s="90" t="str">
        <f>_xlfn.XLOOKUP(B198,'Paso 3 Redacción RA'!I6:I24,'Paso 3 Redacción RA'!C6:C24,,0,1)</f>
        <v>Saber</v>
      </c>
      <c r="B198" s="72" t="s">
        <v>107</v>
      </c>
      <c r="C198" s="153"/>
      <c r="D198" s="153"/>
      <c r="E198" s="177"/>
      <c r="F198" s="153"/>
      <c r="G198" s="153"/>
      <c r="H198" s="153"/>
      <c r="I198" s="153"/>
      <c r="J198" s="153"/>
      <c r="K198" s="153"/>
      <c r="L198" s="153"/>
      <c r="M198" s="153"/>
      <c r="N198" s="155"/>
      <c r="O198" s="155"/>
      <c r="P198" s="155"/>
      <c r="Q198" s="155"/>
      <c r="R198" s="5"/>
      <c r="S198" s="5"/>
      <c r="T198" s="104"/>
    </row>
    <row r="199" spans="1:20" s="90" customFormat="1" ht="33" x14ac:dyDescent="0.5">
      <c r="A199" s="90" t="str">
        <f>_xlfn.XLOOKUP(B199,'Paso 3 Redacción RA'!I3:I21,'Paso 3 Redacción RA'!C3:C21,,0,1)</f>
        <v>SaberHacer</v>
      </c>
      <c r="B199" s="72" t="s">
        <v>108</v>
      </c>
      <c r="C199" s="153"/>
      <c r="D199" s="153"/>
      <c r="E199" s="177"/>
      <c r="F199" s="153"/>
      <c r="G199" s="153"/>
      <c r="H199" s="153"/>
      <c r="I199" s="153"/>
      <c r="J199" s="153"/>
      <c r="K199" s="153"/>
      <c r="L199" s="153"/>
      <c r="M199" s="153"/>
      <c r="N199" s="155"/>
      <c r="O199" s="155"/>
      <c r="P199" s="155"/>
      <c r="Q199" s="155"/>
      <c r="R199" s="5"/>
      <c r="S199" s="5"/>
      <c r="T199" s="104"/>
    </row>
    <row r="200" spans="1:20" s="90" customFormat="1" ht="33.5" thickBot="1" x14ac:dyDescent="0.55000000000000004">
      <c r="A200" s="91" t="str">
        <f>_xlfn.XLOOKUP(B200,'Paso 3 Redacción RA'!I3:I21,'Paso 3 Redacción RA'!C3:C21,,0,1)</f>
        <v>SaberHacer</v>
      </c>
      <c r="B200" s="87" t="s">
        <v>110</v>
      </c>
      <c r="C200" s="175"/>
      <c r="D200" s="175"/>
      <c r="E200" s="178"/>
      <c r="F200" s="175"/>
      <c r="G200" s="175"/>
      <c r="H200" s="175"/>
      <c r="I200" s="175"/>
      <c r="J200" s="175"/>
      <c r="K200" s="175"/>
      <c r="L200" s="175"/>
      <c r="M200" s="175"/>
      <c r="N200" s="173"/>
      <c r="O200" s="173"/>
      <c r="P200" s="173"/>
      <c r="Q200" s="173"/>
      <c r="S200" s="5"/>
      <c r="T200" s="104"/>
    </row>
    <row r="201" spans="1:20" s="90" customFormat="1" ht="49.5" x14ac:dyDescent="0.5">
      <c r="A201" s="103" t="str">
        <f>_xlfn.XLOOKUP(B201,'Paso 3 Redacción RA'!I3:I21,'Paso 3 Redacción RA'!C3:C21,,0,1)</f>
        <v>Saber</v>
      </c>
      <c r="B201" s="92" t="s">
        <v>98</v>
      </c>
      <c r="C201" s="174">
        <v>7</v>
      </c>
      <c r="D201" s="174" t="s">
        <v>333</v>
      </c>
      <c r="E201" s="176" t="s">
        <v>334</v>
      </c>
      <c r="F201" s="174" t="s">
        <v>217</v>
      </c>
      <c r="G201" s="174"/>
      <c r="H201" s="174" t="s">
        <v>218</v>
      </c>
      <c r="I201" s="174"/>
      <c r="J201" s="174">
        <v>3</v>
      </c>
      <c r="K201" s="174">
        <f>12*J201</f>
        <v>36</v>
      </c>
      <c r="L201" s="174">
        <f>36*J201</f>
        <v>108</v>
      </c>
      <c r="M201" s="174">
        <f>SUM(K201:L201)</f>
        <v>144</v>
      </c>
      <c r="N201" s="172" t="s">
        <v>335</v>
      </c>
      <c r="O201" s="172" t="s">
        <v>231</v>
      </c>
      <c r="P201" s="172" t="s">
        <v>232</v>
      </c>
      <c r="Q201" s="172" t="s">
        <v>227</v>
      </c>
      <c r="R201" s="5"/>
      <c r="S201" s="5"/>
      <c r="T201" s="104"/>
    </row>
    <row r="202" spans="1:20" s="90" customFormat="1" x14ac:dyDescent="0.5">
      <c r="A202" s="90" t="str">
        <f>_xlfn.XLOOKUP(B202,'Paso 3 Redacción RA'!I4:I22,'Paso 3 Redacción RA'!C4:C22,,0,1)</f>
        <v>SaberHacer</v>
      </c>
      <c r="B202" s="72" t="s">
        <v>101</v>
      </c>
      <c r="C202" s="153"/>
      <c r="D202" s="153"/>
      <c r="E202" s="177"/>
      <c r="F202" s="153"/>
      <c r="G202" s="153"/>
      <c r="H202" s="153"/>
      <c r="I202" s="153"/>
      <c r="J202" s="153"/>
      <c r="K202" s="153"/>
      <c r="L202" s="153"/>
      <c r="M202" s="153"/>
      <c r="N202" s="155"/>
      <c r="O202" s="155"/>
      <c r="P202" s="155"/>
      <c r="Q202" s="155"/>
      <c r="R202" s="5"/>
      <c r="S202" s="5"/>
      <c r="T202" s="104"/>
    </row>
    <row r="203" spans="1:20" s="90" customFormat="1" ht="33" x14ac:dyDescent="0.5">
      <c r="A203" s="90" t="str">
        <f>_xlfn.XLOOKUP(B203,'Paso 3 Redacción RA'!I5:I23,'Paso 3 Redacción RA'!C5:C23,,0,1)</f>
        <v>SaberSer</v>
      </c>
      <c r="B203" s="72" t="s">
        <v>103</v>
      </c>
      <c r="C203" s="153"/>
      <c r="D203" s="153"/>
      <c r="E203" s="177"/>
      <c r="F203" s="153"/>
      <c r="G203" s="153"/>
      <c r="H203" s="153"/>
      <c r="I203" s="153"/>
      <c r="J203" s="153"/>
      <c r="K203" s="153"/>
      <c r="L203" s="153"/>
      <c r="M203" s="153"/>
      <c r="N203" s="155"/>
      <c r="O203" s="155"/>
      <c r="P203" s="155"/>
      <c r="Q203" s="155"/>
      <c r="R203" s="5"/>
      <c r="S203" s="5"/>
      <c r="T203" s="104"/>
    </row>
    <row r="204" spans="1:20" s="90" customFormat="1" ht="49.5" x14ac:dyDescent="0.5">
      <c r="A204" s="90" t="str">
        <f>_xlfn.XLOOKUP(B204,'Paso 3 Redacción RA'!I6:I24,'Paso 3 Redacción RA'!C6:C24,,0,1)</f>
        <v>SaberHacer</v>
      </c>
      <c r="B204" s="72" t="s">
        <v>104</v>
      </c>
      <c r="C204" s="153"/>
      <c r="D204" s="153"/>
      <c r="E204" s="177"/>
      <c r="F204" s="153"/>
      <c r="G204" s="153"/>
      <c r="H204" s="153"/>
      <c r="I204" s="153"/>
      <c r="J204" s="153"/>
      <c r="K204" s="153"/>
      <c r="L204" s="153"/>
      <c r="M204" s="153"/>
      <c r="N204" s="155"/>
      <c r="O204" s="155"/>
      <c r="P204" s="155"/>
      <c r="Q204" s="155"/>
      <c r="R204" s="5"/>
      <c r="S204" s="5"/>
      <c r="T204" s="104"/>
    </row>
    <row r="205" spans="1:20" s="90" customFormat="1" ht="33" x14ac:dyDescent="0.5">
      <c r="A205" s="90" t="str">
        <f>_xlfn.XLOOKUP(B205,'Paso 3 Redacción RA'!I7:I25,'Paso 3 Redacción RA'!C7:C25,,0,1)</f>
        <v>Saber</v>
      </c>
      <c r="B205" s="72" t="s">
        <v>107</v>
      </c>
      <c r="C205" s="153"/>
      <c r="D205" s="153"/>
      <c r="E205" s="177"/>
      <c r="F205" s="153"/>
      <c r="G205" s="153"/>
      <c r="H205" s="153"/>
      <c r="I205" s="153"/>
      <c r="J205" s="153"/>
      <c r="K205" s="153"/>
      <c r="L205" s="153"/>
      <c r="M205" s="153"/>
      <c r="N205" s="155"/>
      <c r="O205" s="155"/>
      <c r="P205" s="155"/>
      <c r="Q205" s="155"/>
      <c r="R205" s="5"/>
      <c r="S205" s="5"/>
      <c r="T205" s="104"/>
    </row>
    <row r="206" spans="1:20" s="90" customFormat="1" ht="33" x14ac:dyDescent="0.5">
      <c r="A206" s="90" t="str">
        <f>_xlfn.XLOOKUP(B206,'Paso 3 Redacción RA'!I8:I26,'Paso 3 Redacción RA'!C8:C26,,0,1)</f>
        <v>SaberHacer</v>
      </c>
      <c r="B206" s="72" t="s">
        <v>108</v>
      </c>
      <c r="C206" s="153"/>
      <c r="D206" s="153"/>
      <c r="E206" s="177"/>
      <c r="F206" s="153"/>
      <c r="G206" s="153"/>
      <c r="H206" s="153"/>
      <c r="I206" s="153"/>
      <c r="J206" s="153"/>
      <c r="K206" s="153"/>
      <c r="L206" s="153"/>
      <c r="M206" s="153"/>
      <c r="N206" s="155"/>
      <c r="O206" s="155"/>
      <c r="P206" s="155"/>
      <c r="Q206" s="155"/>
      <c r="R206" s="5"/>
      <c r="S206" s="5"/>
      <c r="T206" s="104"/>
    </row>
    <row r="207" spans="1:20" s="90" customFormat="1" ht="33" x14ac:dyDescent="0.5">
      <c r="A207" s="90" t="str">
        <f>_xlfn.XLOOKUP(B207,'Paso 3 Redacción RA'!I3:I21,'Paso 3 Redacción RA'!C3:C21,,0,1)</f>
        <v>SaberHacer</v>
      </c>
      <c r="B207" s="72" t="s">
        <v>109</v>
      </c>
      <c r="C207" s="153"/>
      <c r="D207" s="153"/>
      <c r="E207" s="177"/>
      <c r="F207" s="153"/>
      <c r="G207" s="153"/>
      <c r="H207" s="153"/>
      <c r="I207" s="153"/>
      <c r="J207" s="153"/>
      <c r="K207" s="153"/>
      <c r="L207" s="153"/>
      <c r="M207" s="153"/>
      <c r="N207" s="155"/>
      <c r="O207" s="155"/>
      <c r="P207" s="155"/>
      <c r="Q207" s="155"/>
      <c r="R207" s="5"/>
      <c r="S207" s="5"/>
      <c r="T207" s="104"/>
    </row>
    <row r="208" spans="1:20" s="90" customFormat="1" ht="33.5" thickBot="1" x14ac:dyDescent="0.55000000000000004">
      <c r="A208" s="91" t="str">
        <f>_xlfn.XLOOKUP(B208,'Paso 3 Redacción RA'!I3:I21,'Paso 3 Redacción RA'!C3:C21,,0,1)</f>
        <v>SaberHacer</v>
      </c>
      <c r="B208" s="87" t="s">
        <v>110</v>
      </c>
      <c r="C208" s="175"/>
      <c r="D208" s="175"/>
      <c r="E208" s="178"/>
      <c r="F208" s="175"/>
      <c r="G208" s="175"/>
      <c r="H208" s="175"/>
      <c r="I208" s="175"/>
      <c r="J208" s="175"/>
      <c r="K208" s="175"/>
      <c r="L208" s="175"/>
      <c r="M208" s="175"/>
      <c r="N208" s="173"/>
      <c r="O208" s="173"/>
      <c r="P208" s="173"/>
      <c r="Q208" s="173"/>
      <c r="R208" s="5"/>
      <c r="S208" s="5"/>
      <c r="T208" s="104"/>
    </row>
    <row r="209" spans="1:20" s="90" customFormat="1" ht="49.5" customHeight="1" x14ac:dyDescent="0.5">
      <c r="A209" s="103" t="str">
        <f>_xlfn.XLOOKUP(B209,'Paso 3 Redacción RA'!I3:I21,'Paso 3 Redacción RA'!C3:C21,,0,1)</f>
        <v>Saber</v>
      </c>
      <c r="B209" s="92" t="s">
        <v>98</v>
      </c>
      <c r="C209" s="174">
        <v>7</v>
      </c>
      <c r="D209" s="174" t="s">
        <v>336</v>
      </c>
      <c r="E209" s="176" t="s">
        <v>337</v>
      </c>
      <c r="F209" s="174" t="s">
        <v>217</v>
      </c>
      <c r="G209" s="174"/>
      <c r="H209" s="174" t="s">
        <v>218</v>
      </c>
      <c r="I209" s="174"/>
      <c r="J209" s="174">
        <v>3</v>
      </c>
      <c r="K209" s="174">
        <f>12*J209</f>
        <v>36</v>
      </c>
      <c r="L209" s="174">
        <f>36*J209</f>
        <v>108</v>
      </c>
      <c r="M209" s="174">
        <f>SUM(K209:L209)</f>
        <v>144</v>
      </c>
      <c r="N209" s="172" t="s">
        <v>338</v>
      </c>
      <c r="O209" s="172" t="s">
        <v>231</v>
      </c>
      <c r="P209" s="172" t="s">
        <v>339</v>
      </c>
      <c r="Q209" s="172" t="s">
        <v>227</v>
      </c>
      <c r="R209" s="5"/>
      <c r="S209" s="5"/>
      <c r="T209" s="104"/>
    </row>
    <row r="210" spans="1:20" s="90" customFormat="1" x14ac:dyDescent="0.5">
      <c r="A210" s="90" t="str">
        <f>_xlfn.XLOOKUP(B210,'Paso 3 Redacción RA'!I4:I22,'Paso 3 Redacción RA'!C4:C22,,0,1)</f>
        <v>SaberHacer</v>
      </c>
      <c r="B210" s="72" t="s">
        <v>101</v>
      </c>
      <c r="C210" s="153"/>
      <c r="D210" s="153"/>
      <c r="E210" s="177"/>
      <c r="F210" s="153"/>
      <c r="G210" s="153"/>
      <c r="H210" s="153"/>
      <c r="I210" s="153"/>
      <c r="J210" s="153"/>
      <c r="K210" s="153"/>
      <c r="L210" s="153"/>
      <c r="M210" s="153"/>
      <c r="N210" s="155"/>
      <c r="O210" s="155"/>
      <c r="P210" s="155"/>
      <c r="Q210" s="155"/>
      <c r="R210" s="5"/>
      <c r="S210" s="5"/>
      <c r="T210" s="104"/>
    </row>
    <row r="211" spans="1:20" s="90" customFormat="1" ht="33" x14ac:dyDescent="0.5">
      <c r="A211" s="90" t="str">
        <f>_xlfn.XLOOKUP(B211,'Paso 3 Redacción RA'!I5:I23,'Paso 3 Redacción RA'!C5:C23,,0,1)</f>
        <v>SaberSer</v>
      </c>
      <c r="B211" s="72" t="s">
        <v>103</v>
      </c>
      <c r="C211" s="153"/>
      <c r="D211" s="153"/>
      <c r="E211" s="177"/>
      <c r="F211" s="153"/>
      <c r="G211" s="153"/>
      <c r="H211" s="153"/>
      <c r="I211" s="153"/>
      <c r="J211" s="153"/>
      <c r="K211" s="153"/>
      <c r="L211" s="153"/>
      <c r="M211" s="153"/>
      <c r="N211" s="155"/>
      <c r="O211" s="155"/>
      <c r="P211" s="155"/>
      <c r="Q211" s="155"/>
      <c r="R211" s="5"/>
      <c r="S211" s="5"/>
      <c r="T211" s="104"/>
    </row>
    <row r="212" spans="1:20" s="90" customFormat="1" ht="49.5" customHeight="1" x14ac:dyDescent="0.5">
      <c r="A212" s="90" t="str">
        <f>_xlfn.XLOOKUP(B212,'Paso 3 Redacción RA'!I6:I24,'Paso 3 Redacción RA'!C6:C24,,0,1)</f>
        <v>SaberHacer</v>
      </c>
      <c r="B212" s="72" t="s">
        <v>104</v>
      </c>
      <c r="C212" s="153"/>
      <c r="D212" s="153"/>
      <c r="E212" s="177"/>
      <c r="F212" s="153"/>
      <c r="G212" s="153"/>
      <c r="H212" s="153"/>
      <c r="I212" s="153"/>
      <c r="J212" s="153"/>
      <c r="K212" s="153"/>
      <c r="L212" s="153"/>
      <c r="M212" s="153"/>
      <c r="N212" s="155"/>
      <c r="O212" s="155"/>
      <c r="P212" s="155"/>
      <c r="Q212" s="155"/>
      <c r="R212" s="5"/>
      <c r="S212" s="5"/>
      <c r="T212" s="104"/>
    </row>
    <row r="213" spans="1:20" s="90" customFormat="1" ht="33" x14ac:dyDescent="0.5">
      <c r="A213" s="90" t="str">
        <f>_xlfn.XLOOKUP(B213,'Paso 3 Redacción RA'!I7:I25,'Paso 3 Redacción RA'!C7:C25,,0,1)</f>
        <v>Saber</v>
      </c>
      <c r="B213" s="72" t="s">
        <v>107</v>
      </c>
      <c r="C213" s="153"/>
      <c r="D213" s="153"/>
      <c r="E213" s="177"/>
      <c r="F213" s="153"/>
      <c r="G213" s="153"/>
      <c r="H213" s="153"/>
      <c r="I213" s="153"/>
      <c r="J213" s="153"/>
      <c r="K213" s="153"/>
      <c r="L213" s="153"/>
      <c r="M213" s="153"/>
      <c r="N213" s="155"/>
      <c r="O213" s="155"/>
      <c r="P213" s="155"/>
      <c r="Q213" s="155"/>
      <c r="R213" s="5"/>
      <c r="S213" s="5"/>
      <c r="T213" s="104"/>
    </row>
    <row r="214" spans="1:20" s="90" customFormat="1" ht="33" x14ac:dyDescent="0.5">
      <c r="A214" s="90" t="str">
        <f>_xlfn.XLOOKUP(B214,'Paso 3 Redacción RA'!I8:I26,'Paso 3 Redacción RA'!C8:C26,,0,1)</f>
        <v>SaberHacer</v>
      </c>
      <c r="B214" s="72" t="s">
        <v>108</v>
      </c>
      <c r="C214" s="153"/>
      <c r="D214" s="153"/>
      <c r="E214" s="177"/>
      <c r="F214" s="153"/>
      <c r="G214" s="153"/>
      <c r="H214" s="153"/>
      <c r="I214" s="153"/>
      <c r="J214" s="153"/>
      <c r="K214" s="153"/>
      <c r="L214" s="153"/>
      <c r="M214" s="153"/>
      <c r="N214" s="155"/>
      <c r="O214" s="155"/>
      <c r="P214" s="155"/>
      <c r="Q214" s="155"/>
      <c r="R214" s="5"/>
      <c r="S214" s="5"/>
      <c r="T214" s="104"/>
    </row>
    <row r="215" spans="1:20" s="90" customFormat="1" ht="33" customHeight="1" x14ac:dyDescent="0.5">
      <c r="A215" s="90" t="str">
        <f>_xlfn.XLOOKUP(B215,'Paso 3 Redacción RA'!I9:I27,'Paso 3 Redacción RA'!C9:C27,,0,1)</f>
        <v>SaberHacer</v>
      </c>
      <c r="B215" s="72" t="s">
        <v>109</v>
      </c>
      <c r="C215" s="153"/>
      <c r="D215" s="153"/>
      <c r="E215" s="177"/>
      <c r="F215" s="153"/>
      <c r="G215" s="153"/>
      <c r="H215" s="153"/>
      <c r="I215" s="153"/>
      <c r="J215" s="153"/>
      <c r="K215" s="153"/>
      <c r="L215" s="153"/>
      <c r="M215" s="153"/>
      <c r="N215" s="155"/>
      <c r="O215" s="155"/>
      <c r="P215" s="155"/>
      <c r="Q215" s="155"/>
      <c r="R215" s="5"/>
      <c r="S215" s="5"/>
      <c r="T215" s="104"/>
    </row>
    <row r="216" spans="1:20" s="90" customFormat="1" ht="33" x14ac:dyDescent="0.5">
      <c r="A216" s="90" t="str">
        <f>_xlfn.XLOOKUP(B216,'Paso 3 Redacción RA'!I3:I21,'Paso 3 Redacción RA'!C3:C21,,0,1)</f>
        <v>SaberHacer</v>
      </c>
      <c r="B216" s="72" t="s">
        <v>110</v>
      </c>
      <c r="C216" s="153"/>
      <c r="D216" s="153"/>
      <c r="E216" s="177"/>
      <c r="F216" s="153"/>
      <c r="G216" s="153"/>
      <c r="H216" s="153"/>
      <c r="I216" s="153"/>
      <c r="J216" s="153"/>
      <c r="K216" s="153"/>
      <c r="L216" s="153"/>
      <c r="M216" s="153"/>
      <c r="N216" s="155"/>
      <c r="O216" s="155"/>
      <c r="P216" s="155"/>
      <c r="Q216" s="155"/>
      <c r="R216" s="5"/>
      <c r="S216" s="5"/>
      <c r="T216" s="104"/>
    </row>
    <row r="217" spans="1:20" s="90" customFormat="1" ht="17" thickBot="1" x14ac:dyDescent="0.55000000000000004">
      <c r="A217" s="91" t="str">
        <f>_xlfn.XLOOKUP(B217,'Paso 3 Redacción RA'!I3:I21,'Paso 3 Redacción RA'!C3:C21,,0,1)</f>
        <v>SaberHacer</v>
      </c>
      <c r="B217" s="87" t="s">
        <v>111</v>
      </c>
      <c r="C217" s="175"/>
      <c r="D217" s="175"/>
      <c r="E217" s="178"/>
      <c r="F217" s="175"/>
      <c r="G217" s="175"/>
      <c r="H217" s="175"/>
      <c r="I217" s="175"/>
      <c r="J217" s="175"/>
      <c r="K217" s="175"/>
      <c r="L217" s="175"/>
      <c r="M217" s="175"/>
      <c r="N217" s="173"/>
      <c r="O217" s="173"/>
      <c r="P217" s="173"/>
      <c r="Q217" s="173"/>
      <c r="R217" s="5"/>
      <c r="S217" s="5"/>
      <c r="T217" s="104"/>
    </row>
    <row r="218" spans="1:20" s="90" customFormat="1" ht="49.5" x14ac:dyDescent="0.5">
      <c r="A218" s="103" t="str">
        <f>_xlfn.XLOOKUP(B218,'Paso 3 Redacción RA'!I3:I21,'Paso 3 Redacción RA'!C3:C21,,0,1)</f>
        <v>Saber</v>
      </c>
      <c r="B218" s="92" t="s">
        <v>98</v>
      </c>
      <c r="C218" s="174">
        <v>7</v>
      </c>
      <c r="D218" s="174" t="s">
        <v>340</v>
      </c>
      <c r="E218" s="176" t="s">
        <v>341</v>
      </c>
      <c r="F218" s="174" t="s">
        <v>217</v>
      </c>
      <c r="G218" s="174"/>
      <c r="H218" s="174" t="s">
        <v>218</v>
      </c>
      <c r="I218" s="174"/>
      <c r="J218" s="174">
        <v>3</v>
      </c>
      <c r="K218" s="174">
        <f>12*J218</f>
        <v>36</v>
      </c>
      <c r="L218" s="174">
        <f>36*J218</f>
        <v>108</v>
      </c>
      <c r="M218" s="174">
        <f>SUM(K218:L218)</f>
        <v>144</v>
      </c>
      <c r="N218" s="172" t="s">
        <v>342</v>
      </c>
      <c r="O218" s="172" t="s">
        <v>231</v>
      </c>
      <c r="P218" s="172" t="s">
        <v>232</v>
      </c>
      <c r="Q218" s="172" t="s">
        <v>227</v>
      </c>
      <c r="R218" s="5"/>
      <c r="S218" s="5"/>
      <c r="T218" s="104"/>
    </row>
    <row r="219" spans="1:20" s="90" customFormat="1" x14ac:dyDescent="0.5">
      <c r="A219" s="90" t="str">
        <f>_xlfn.XLOOKUP(B219,'Paso 3 Redacción RA'!I4:I22,'Paso 3 Redacción RA'!C4:C22,,0,1)</f>
        <v>SaberHacer</v>
      </c>
      <c r="B219" s="72" t="s">
        <v>101</v>
      </c>
      <c r="C219" s="153"/>
      <c r="D219" s="153"/>
      <c r="E219" s="177"/>
      <c r="F219" s="153"/>
      <c r="G219" s="153"/>
      <c r="H219" s="153"/>
      <c r="I219" s="153"/>
      <c r="J219" s="153"/>
      <c r="K219" s="153"/>
      <c r="L219" s="153"/>
      <c r="M219" s="153"/>
      <c r="N219" s="155"/>
      <c r="O219" s="155"/>
      <c r="P219" s="155"/>
      <c r="Q219" s="155"/>
      <c r="R219" s="5"/>
      <c r="S219" s="5"/>
      <c r="T219" s="104"/>
    </row>
    <row r="220" spans="1:20" s="90" customFormat="1" ht="33" x14ac:dyDescent="0.5">
      <c r="A220" s="90" t="str">
        <f>_xlfn.XLOOKUP(B220,'Paso 3 Redacción RA'!I5:I23,'Paso 3 Redacción RA'!C5:C23,,0,1)</f>
        <v>SaberSer</v>
      </c>
      <c r="B220" s="72" t="s">
        <v>103</v>
      </c>
      <c r="C220" s="153"/>
      <c r="D220" s="153"/>
      <c r="E220" s="177"/>
      <c r="F220" s="153"/>
      <c r="G220" s="153"/>
      <c r="H220" s="153"/>
      <c r="I220" s="153"/>
      <c r="J220" s="153"/>
      <c r="K220" s="153"/>
      <c r="L220" s="153"/>
      <c r="M220" s="153"/>
      <c r="N220" s="155"/>
      <c r="O220" s="155"/>
      <c r="P220" s="155"/>
      <c r="Q220" s="155"/>
      <c r="R220" s="5"/>
      <c r="S220" s="5"/>
      <c r="T220" s="104"/>
    </row>
    <row r="221" spans="1:20" s="90" customFormat="1" ht="49.5" x14ac:dyDescent="0.5">
      <c r="A221" s="90" t="str">
        <f>_xlfn.XLOOKUP(B221,'Paso 3 Redacción RA'!I6:I24,'Paso 3 Redacción RA'!C6:C24,,0,1)</f>
        <v>SaberHacer</v>
      </c>
      <c r="B221" s="72" t="s">
        <v>104</v>
      </c>
      <c r="C221" s="153"/>
      <c r="D221" s="153"/>
      <c r="E221" s="177"/>
      <c r="F221" s="153"/>
      <c r="G221" s="153"/>
      <c r="H221" s="153"/>
      <c r="I221" s="153"/>
      <c r="J221" s="153"/>
      <c r="K221" s="153"/>
      <c r="L221" s="153"/>
      <c r="M221" s="153"/>
      <c r="N221" s="155"/>
      <c r="O221" s="155"/>
      <c r="P221" s="155"/>
      <c r="Q221" s="155"/>
      <c r="R221" s="5"/>
      <c r="S221" s="5"/>
      <c r="T221" s="104"/>
    </row>
    <row r="222" spans="1:20" s="90" customFormat="1" ht="33" x14ac:dyDescent="0.5">
      <c r="A222" s="90" t="str">
        <f>_xlfn.XLOOKUP(B222,'Paso 3 Redacción RA'!I7:I25,'Paso 3 Redacción RA'!C7:C25,,0,1)</f>
        <v>Saber</v>
      </c>
      <c r="B222" s="72" t="s">
        <v>107</v>
      </c>
      <c r="C222" s="153"/>
      <c r="D222" s="153"/>
      <c r="E222" s="177"/>
      <c r="F222" s="153"/>
      <c r="G222" s="153"/>
      <c r="H222" s="153"/>
      <c r="I222" s="153"/>
      <c r="J222" s="153"/>
      <c r="K222" s="153"/>
      <c r="L222" s="153"/>
      <c r="M222" s="153"/>
      <c r="N222" s="155"/>
      <c r="O222" s="155"/>
      <c r="P222" s="155"/>
      <c r="Q222" s="155"/>
      <c r="R222" s="5"/>
      <c r="S222" s="5"/>
      <c r="T222" s="104"/>
    </row>
    <row r="223" spans="1:20" s="90" customFormat="1" ht="33" x14ac:dyDescent="0.5">
      <c r="A223" s="90" t="str">
        <f>_xlfn.XLOOKUP(B223,'Paso 3 Redacción RA'!I8:I26,'Paso 3 Redacción RA'!C8:C26,,0,1)</f>
        <v>SaberHacer</v>
      </c>
      <c r="B223" s="72" t="s">
        <v>108</v>
      </c>
      <c r="C223" s="153"/>
      <c r="D223" s="153"/>
      <c r="E223" s="177"/>
      <c r="F223" s="153"/>
      <c r="G223" s="153"/>
      <c r="H223" s="153"/>
      <c r="I223" s="153"/>
      <c r="J223" s="153"/>
      <c r="K223" s="153"/>
      <c r="L223" s="153"/>
      <c r="M223" s="153"/>
      <c r="N223" s="155"/>
      <c r="O223" s="155"/>
      <c r="P223" s="155"/>
      <c r="Q223" s="155"/>
      <c r="R223" s="5"/>
      <c r="S223" s="5"/>
      <c r="T223" s="104"/>
    </row>
    <row r="224" spans="1:20" s="90" customFormat="1" ht="33" x14ac:dyDescent="0.5">
      <c r="A224" s="90" t="str">
        <f>_xlfn.XLOOKUP(B224,'Paso 3 Redacción RA'!I9:I27,'Paso 3 Redacción RA'!C9:C27,,0,1)</f>
        <v>SaberHacer</v>
      </c>
      <c r="B224" s="72" t="s">
        <v>109</v>
      </c>
      <c r="C224" s="153"/>
      <c r="D224" s="153"/>
      <c r="E224" s="177"/>
      <c r="F224" s="153"/>
      <c r="G224" s="153"/>
      <c r="H224" s="153"/>
      <c r="I224" s="153"/>
      <c r="J224" s="153"/>
      <c r="K224" s="153"/>
      <c r="L224" s="153"/>
      <c r="M224" s="153"/>
      <c r="N224" s="155"/>
      <c r="O224" s="155"/>
      <c r="P224" s="155"/>
      <c r="Q224" s="155"/>
      <c r="R224" s="5"/>
      <c r="S224" s="5"/>
      <c r="T224" s="104"/>
    </row>
    <row r="225" spans="1:20" s="90" customFormat="1" ht="33" x14ac:dyDescent="0.5">
      <c r="A225" s="90" t="str">
        <f>_xlfn.XLOOKUP(B225,'Paso 3 Redacción RA'!I3:I21,'Paso 3 Redacción RA'!C3:C21,,0,1)</f>
        <v>SaberHacer</v>
      </c>
      <c r="B225" s="72" t="s">
        <v>110</v>
      </c>
      <c r="C225" s="153"/>
      <c r="D225" s="153"/>
      <c r="E225" s="177"/>
      <c r="F225" s="153"/>
      <c r="G225" s="153"/>
      <c r="H225" s="153"/>
      <c r="I225" s="153"/>
      <c r="J225" s="153"/>
      <c r="K225" s="153"/>
      <c r="L225" s="153"/>
      <c r="M225" s="153"/>
      <c r="N225" s="155"/>
      <c r="O225" s="155"/>
      <c r="P225" s="155"/>
      <c r="Q225" s="155"/>
      <c r="R225" s="5"/>
      <c r="S225" s="5"/>
      <c r="T225" s="104"/>
    </row>
    <row r="226" spans="1:20" s="90" customFormat="1" ht="17" thickBot="1" x14ac:dyDescent="0.55000000000000004">
      <c r="A226" s="91" t="str">
        <f>_xlfn.XLOOKUP(B226,'Paso 3 Redacción RA'!I3:I21,'Paso 3 Redacción RA'!C3:C21,,0,1)</f>
        <v>SaberHacer</v>
      </c>
      <c r="B226" s="87" t="s">
        <v>111</v>
      </c>
      <c r="C226" s="175"/>
      <c r="D226" s="175"/>
      <c r="E226" s="178"/>
      <c r="F226" s="175"/>
      <c r="G226" s="175"/>
      <c r="H226" s="175"/>
      <c r="I226" s="175"/>
      <c r="J226" s="175"/>
      <c r="K226" s="175"/>
      <c r="L226" s="175"/>
      <c r="M226" s="175"/>
      <c r="N226" s="173"/>
      <c r="O226" s="173"/>
      <c r="P226" s="173"/>
      <c r="Q226" s="173"/>
      <c r="R226" s="5"/>
      <c r="S226" s="5"/>
      <c r="T226" s="104"/>
    </row>
    <row r="227" spans="1:20" s="90" customFormat="1" ht="49.5" x14ac:dyDescent="0.5">
      <c r="A227" s="103" t="str">
        <f>_xlfn.XLOOKUP(B227,'Paso 3 Redacción RA'!I3:I21,'Paso 3 Redacción RA'!C3:C21,,0,1)</f>
        <v>Saber</v>
      </c>
      <c r="B227" s="92" t="s">
        <v>98</v>
      </c>
      <c r="C227" s="174">
        <v>7</v>
      </c>
      <c r="D227" s="174" t="s">
        <v>343</v>
      </c>
      <c r="E227" s="176" t="s">
        <v>344</v>
      </c>
      <c r="F227" s="174" t="s">
        <v>327</v>
      </c>
      <c r="G227" s="174"/>
      <c r="H227" s="174" t="s">
        <v>218</v>
      </c>
      <c r="I227" s="174"/>
      <c r="J227" s="174">
        <v>3</v>
      </c>
      <c r="K227" s="174">
        <f>12*J227</f>
        <v>36</v>
      </c>
      <c r="L227" s="174">
        <f>36*J227</f>
        <v>108</v>
      </c>
      <c r="M227" s="174">
        <f>SUM(K227:L227)</f>
        <v>144</v>
      </c>
      <c r="N227" s="172" t="s">
        <v>345</v>
      </c>
      <c r="O227" s="172" t="s">
        <v>231</v>
      </c>
      <c r="P227" s="172" t="s">
        <v>329</v>
      </c>
      <c r="Q227" s="172" t="s">
        <v>227</v>
      </c>
      <c r="R227" s="5"/>
      <c r="S227" s="5"/>
      <c r="T227" s="104"/>
    </row>
    <row r="228" spans="1:20" s="90" customFormat="1" x14ac:dyDescent="0.5">
      <c r="A228" s="90" t="str">
        <f>_xlfn.XLOOKUP(B228,'Paso 3 Redacción RA'!I4:I22,'Paso 3 Redacción RA'!C4:C22,,0,1)</f>
        <v>SaberHacer</v>
      </c>
      <c r="B228" s="72" t="s">
        <v>101</v>
      </c>
      <c r="C228" s="153"/>
      <c r="D228" s="153"/>
      <c r="E228" s="177"/>
      <c r="F228" s="153"/>
      <c r="G228" s="153"/>
      <c r="H228" s="153"/>
      <c r="I228" s="153"/>
      <c r="J228" s="153"/>
      <c r="K228" s="153"/>
      <c r="L228" s="153"/>
      <c r="M228" s="153"/>
      <c r="N228" s="155"/>
      <c r="O228" s="155"/>
      <c r="P228" s="155"/>
      <c r="Q228" s="155"/>
      <c r="R228" s="5"/>
      <c r="S228" s="5"/>
      <c r="T228" s="104"/>
    </row>
    <row r="229" spans="1:20" s="90" customFormat="1" ht="33" x14ac:dyDescent="0.5">
      <c r="A229" s="90" t="str">
        <f>_xlfn.XLOOKUP(B229,'Paso 3 Redacción RA'!I5:I23,'Paso 3 Redacción RA'!C5:C23,,0,1)</f>
        <v>SaberSer</v>
      </c>
      <c r="B229" s="72" t="s">
        <v>103</v>
      </c>
      <c r="C229" s="153"/>
      <c r="D229" s="153"/>
      <c r="E229" s="177"/>
      <c r="F229" s="153"/>
      <c r="G229" s="153"/>
      <c r="H229" s="153"/>
      <c r="I229" s="153"/>
      <c r="J229" s="153"/>
      <c r="K229" s="153"/>
      <c r="L229" s="153"/>
      <c r="M229" s="153"/>
      <c r="N229" s="155"/>
      <c r="O229" s="155"/>
      <c r="P229" s="155"/>
      <c r="Q229" s="155"/>
      <c r="R229" s="5"/>
      <c r="S229" s="5"/>
      <c r="T229" s="104"/>
    </row>
    <row r="230" spans="1:20" s="90" customFormat="1" ht="49.5" x14ac:dyDescent="0.5">
      <c r="A230" s="90" t="str">
        <f>_xlfn.XLOOKUP(B230,'Paso 3 Redacción RA'!I6:I24,'Paso 3 Redacción RA'!C6:C24,,0,1)</f>
        <v>SaberHacer</v>
      </c>
      <c r="B230" s="72" t="s">
        <v>104</v>
      </c>
      <c r="C230" s="153"/>
      <c r="D230" s="153"/>
      <c r="E230" s="177"/>
      <c r="F230" s="153"/>
      <c r="G230" s="153"/>
      <c r="H230" s="153"/>
      <c r="I230" s="153"/>
      <c r="J230" s="153"/>
      <c r="K230" s="153"/>
      <c r="L230" s="153"/>
      <c r="M230" s="153"/>
      <c r="N230" s="155"/>
      <c r="O230" s="155"/>
      <c r="P230" s="155"/>
      <c r="Q230" s="155"/>
      <c r="R230" s="5"/>
      <c r="S230" s="5"/>
      <c r="T230" s="104"/>
    </row>
    <row r="231" spans="1:20" s="90" customFormat="1" ht="33" x14ac:dyDescent="0.5">
      <c r="A231" s="90" t="str">
        <f>_xlfn.XLOOKUP(B231,'Paso 3 Redacción RA'!I7:I25,'Paso 3 Redacción RA'!C7:C25,,0,1)</f>
        <v>Saber</v>
      </c>
      <c r="B231" s="72" t="s">
        <v>107</v>
      </c>
      <c r="C231" s="153"/>
      <c r="D231" s="153"/>
      <c r="E231" s="177"/>
      <c r="F231" s="153"/>
      <c r="G231" s="153"/>
      <c r="H231" s="153"/>
      <c r="I231" s="153"/>
      <c r="J231" s="153"/>
      <c r="K231" s="153"/>
      <c r="L231" s="153"/>
      <c r="M231" s="153"/>
      <c r="N231" s="155"/>
      <c r="O231" s="155"/>
      <c r="P231" s="155"/>
      <c r="Q231" s="155"/>
      <c r="R231" s="5"/>
      <c r="S231" s="5"/>
      <c r="T231" s="104"/>
    </row>
    <row r="232" spans="1:20" s="90" customFormat="1" ht="33" x14ac:dyDescent="0.5">
      <c r="A232" s="90" t="str">
        <f>_xlfn.XLOOKUP(B232,'Paso 3 Redacción RA'!I8:I26,'Paso 3 Redacción RA'!C8:C26,,0,1)</f>
        <v>SaberHacer</v>
      </c>
      <c r="B232" s="72" t="s">
        <v>108</v>
      </c>
      <c r="C232" s="153"/>
      <c r="D232" s="153"/>
      <c r="E232" s="177"/>
      <c r="F232" s="153"/>
      <c r="G232" s="153"/>
      <c r="H232" s="153"/>
      <c r="I232" s="153"/>
      <c r="J232" s="153"/>
      <c r="K232" s="153"/>
      <c r="L232" s="153"/>
      <c r="M232" s="153"/>
      <c r="N232" s="155"/>
      <c r="O232" s="155"/>
      <c r="P232" s="155"/>
      <c r="Q232" s="155"/>
      <c r="R232" s="5"/>
      <c r="S232" s="5"/>
      <c r="T232" s="104"/>
    </row>
    <row r="233" spans="1:20" s="90" customFormat="1" ht="33" x14ac:dyDescent="0.5">
      <c r="A233" s="90" t="str">
        <f>_xlfn.XLOOKUP(B233,'Paso 3 Redacción RA'!I9:I27,'Paso 3 Redacción RA'!C9:C27,,0,1)</f>
        <v>SaberHacer</v>
      </c>
      <c r="B233" s="72" t="s">
        <v>109</v>
      </c>
      <c r="C233" s="153"/>
      <c r="D233" s="153"/>
      <c r="E233" s="177"/>
      <c r="F233" s="153"/>
      <c r="G233" s="153"/>
      <c r="H233" s="153"/>
      <c r="I233" s="153"/>
      <c r="J233" s="153"/>
      <c r="K233" s="153"/>
      <c r="L233" s="153"/>
      <c r="M233" s="153"/>
      <c r="N233" s="155"/>
      <c r="O233" s="155"/>
      <c r="P233" s="155"/>
      <c r="Q233" s="155"/>
      <c r="R233" s="5"/>
      <c r="S233" s="5"/>
      <c r="T233" s="104"/>
    </row>
    <row r="234" spans="1:20" s="90" customFormat="1" ht="33" x14ac:dyDescent="0.5">
      <c r="A234" s="90" t="str">
        <f>_xlfn.XLOOKUP(B234,'Paso 3 Redacción RA'!I3:I21,'Paso 3 Redacción RA'!C3:C21,,0,1)</f>
        <v>SaberHacer</v>
      </c>
      <c r="B234" s="72" t="s">
        <v>110</v>
      </c>
      <c r="C234" s="153"/>
      <c r="D234" s="153"/>
      <c r="E234" s="177"/>
      <c r="F234" s="153"/>
      <c r="G234" s="153"/>
      <c r="H234" s="153"/>
      <c r="I234" s="153"/>
      <c r="J234" s="153"/>
      <c r="K234" s="153"/>
      <c r="L234" s="153"/>
      <c r="M234" s="153"/>
      <c r="N234" s="155"/>
      <c r="O234" s="155"/>
      <c r="P234" s="155"/>
      <c r="Q234" s="155"/>
      <c r="R234" s="5"/>
      <c r="S234" s="5"/>
      <c r="T234" s="104"/>
    </row>
    <row r="235" spans="1:20" s="90" customFormat="1" ht="17" thickBot="1" x14ac:dyDescent="0.55000000000000004">
      <c r="A235" s="91" t="str">
        <f>_xlfn.XLOOKUP(B235,'Paso 3 Redacción RA'!I3:I21,'Paso 3 Redacción RA'!C3:C21,,0,1)</f>
        <v>SaberHacer</v>
      </c>
      <c r="B235" s="87" t="s">
        <v>111</v>
      </c>
      <c r="C235" s="175"/>
      <c r="D235" s="175"/>
      <c r="E235" s="178"/>
      <c r="F235" s="175"/>
      <c r="G235" s="175"/>
      <c r="H235" s="175"/>
      <c r="I235" s="175"/>
      <c r="J235" s="175"/>
      <c r="K235" s="175"/>
      <c r="L235" s="175"/>
      <c r="M235" s="175"/>
      <c r="N235" s="173"/>
      <c r="O235" s="173"/>
      <c r="P235" s="173"/>
      <c r="Q235" s="173"/>
      <c r="R235" s="5"/>
      <c r="S235" s="5"/>
      <c r="T235" s="104"/>
    </row>
    <row r="236" spans="1:20" s="90" customFormat="1" ht="49.5" x14ac:dyDescent="0.5">
      <c r="A236" s="103" t="str">
        <f>_xlfn.XLOOKUP(B236,'Paso 3 Redacción RA'!I3:I21,'Paso 3 Redacción RA'!C3:C21,,0,1)</f>
        <v>Saber</v>
      </c>
      <c r="B236" s="92" t="s">
        <v>98</v>
      </c>
      <c r="C236" s="174">
        <v>8</v>
      </c>
      <c r="D236" s="174" t="s">
        <v>346</v>
      </c>
      <c r="E236" s="176" t="s">
        <v>347</v>
      </c>
      <c r="F236" s="174" t="s">
        <v>217</v>
      </c>
      <c r="G236" s="174"/>
      <c r="H236" s="174" t="s">
        <v>218</v>
      </c>
      <c r="I236" s="174"/>
      <c r="J236" s="174">
        <v>3</v>
      </c>
      <c r="K236" s="174">
        <f>12*J236</f>
        <v>36</v>
      </c>
      <c r="L236" s="174">
        <f>36*J236</f>
        <v>108</v>
      </c>
      <c r="M236" s="174">
        <f>SUM(K236:L236)</f>
        <v>144</v>
      </c>
      <c r="N236" s="172" t="s">
        <v>348</v>
      </c>
      <c r="O236" s="172" t="s">
        <v>231</v>
      </c>
      <c r="P236" s="172" t="s">
        <v>232</v>
      </c>
      <c r="Q236" s="172" t="s">
        <v>227</v>
      </c>
      <c r="R236" s="5"/>
      <c r="S236" s="5"/>
      <c r="T236" s="104"/>
    </row>
    <row r="237" spans="1:20" s="90" customFormat="1" x14ac:dyDescent="0.5">
      <c r="A237" s="90" t="str">
        <f>_xlfn.XLOOKUP(B237,'Paso 3 Redacción RA'!I4:I22,'Paso 3 Redacción RA'!C4:C22,,0,1)</f>
        <v>SaberHacer</v>
      </c>
      <c r="B237" s="72" t="s">
        <v>101</v>
      </c>
      <c r="C237" s="153"/>
      <c r="D237" s="153"/>
      <c r="E237" s="177"/>
      <c r="F237" s="153"/>
      <c r="G237" s="153"/>
      <c r="H237" s="153"/>
      <c r="I237" s="153"/>
      <c r="J237" s="153"/>
      <c r="K237" s="153"/>
      <c r="L237" s="153"/>
      <c r="M237" s="153"/>
      <c r="N237" s="155"/>
      <c r="O237" s="155"/>
      <c r="P237" s="155"/>
      <c r="Q237" s="155"/>
      <c r="R237" s="5"/>
      <c r="S237" s="5"/>
      <c r="T237" s="104"/>
    </row>
    <row r="238" spans="1:20" s="90" customFormat="1" ht="33" x14ac:dyDescent="0.5">
      <c r="A238" s="90" t="str">
        <f>_xlfn.XLOOKUP(B238,'Paso 3 Redacción RA'!I5:I23,'Paso 3 Redacción RA'!C5:C23,,0,1)</f>
        <v>SaberSer</v>
      </c>
      <c r="B238" s="72" t="s">
        <v>103</v>
      </c>
      <c r="C238" s="153"/>
      <c r="D238" s="153"/>
      <c r="E238" s="177"/>
      <c r="F238" s="153"/>
      <c r="G238" s="153"/>
      <c r="H238" s="153"/>
      <c r="I238" s="153"/>
      <c r="J238" s="153"/>
      <c r="K238" s="153"/>
      <c r="L238" s="153"/>
      <c r="M238" s="153"/>
      <c r="N238" s="155"/>
      <c r="O238" s="155"/>
      <c r="P238" s="155"/>
      <c r="Q238" s="155"/>
      <c r="R238" s="5"/>
      <c r="S238" s="5"/>
      <c r="T238" s="104"/>
    </row>
    <row r="239" spans="1:20" s="90" customFormat="1" ht="49.5" x14ac:dyDescent="0.5">
      <c r="A239" s="90" t="str">
        <f>_xlfn.XLOOKUP(B239,'Paso 3 Redacción RA'!I6:I24,'Paso 3 Redacción RA'!C6:C24,,0,1)</f>
        <v>SaberHacer</v>
      </c>
      <c r="B239" s="72" t="s">
        <v>104</v>
      </c>
      <c r="C239" s="153"/>
      <c r="D239" s="153"/>
      <c r="E239" s="177"/>
      <c r="F239" s="153"/>
      <c r="G239" s="153"/>
      <c r="H239" s="153"/>
      <c r="I239" s="153"/>
      <c r="J239" s="153"/>
      <c r="K239" s="153"/>
      <c r="L239" s="153"/>
      <c r="M239" s="153"/>
      <c r="N239" s="155"/>
      <c r="O239" s="155"/>
      <c r="P239" s="155"/>
      <c r="Q239" s="155"/>
      <c r="R239" s="5"/>
      <c r="S239" s="5"/>
      <c r="T239" s="104"/>
    </row>
    <row r="240" spans="1:20" s="90" customFormat="1" ht="33" x14ac:dyDescent="0.5">
      <c r="A240" s="90" t="str">
        <f>_xlfn.XLOOKUP(B240,'Paso 3 Redacción RA'!I7:I25,'Paso 3 Redacción RA'!C7:C25,,0,1)</f>
        <v>Saber</v>
      </c>
      <c r="B240" s="72" t="s">
        <v>107</v>
      </c>
      <c r="C240" s="153"/>
      <c r="D240" s="153"/>
      <c r="E240" s="177"/>
      <c r="F240" s="153"/>
      <c r="G240" s="153"/>
      <c r="H240" s="153"/>
      <c r="I240" s="153"/>
      <c r="J240" s="153"/>
      <c r="K240" s="153"/>
      <c r="L240" s="153"/>
      <c r="M240" s="153"/>
      <c r="N240" s="155"/>
      <c r="O240" s="155"/>
      <c r="P240" s="155"/>
      <c r="Q240" s="155"/>
      <c r="R240" s="5"/>
      <c r="S240" s="5"/>
      <c r="T240" s="104"/>
    </row>
    <row r="241" spans="1:20" s="90" customFormat="1" ht="33" x14ac:dyDescent="0.5">
      <c r="A241" s="90" t="str">
        <f>_xlfn.XLOOKUP(B241,'Paso 3 Redacción RA'!I8:I26,'Paso 3 Redacción RA'!C8:C26,,0,1)</f>
        <v>SaberHacer</v>
      </c>
      <c r="B241" s="72" t="s">
        <v>108</v>
      </c>
      <c r="C241" s="153"/>
      <c r="D241" s="153"/>
      <c r="E241" s="177"/>
      <c r="F241" s="153"/>
      <c r="G241" s="153"/>
      <c r="H241" s="153"/>
      <c r="I241" s="153"/>
      <c r="J241" s="153"/>
      <c r="K241" s="153"/>
      <c r="L241" s="153"/>
      <c r="M241" s="153"/>
      <c r="N241" s="155"/>
      <c r="O241" s="155"/>
      <c r="P241" s="155"/>
      <c r="Q241" s="155"/>
      <c r="R241" s="5"/>
      <c r="S241" s="5"/>
      <c r="T241" s="104"/>
    </row>
    <row r="242" spans="1:20" s="90" customFormat="1" ht="33" x14ac:dyDescent="0.5">
      <c r="A242" s="90" t="str">
        <f>_xlfn.XLOOKUP(B242,'Paso 3 Redacción RA'!I9:I27,'Paso 3 Redacción RA'!C9:C27,,0,1)</f>
        <v>SaberHacer</v>
      </c>
      <c r="B242" s="72" t="s">
        <v>109</v>
      </c>
      <c r="C242" s="153"/>
      <c r="D242" s="153"/>
      <c r="E242" s="177"/>
      <c r="F242" s="153"/>
      <c r="G242" s="153"/>
      <c r="H242" s="153"/>
      <c r="I242" s="153"/>
      <c r="J242" s="153"/>
      <c r="K242" s="153"/>
      <c r="L242" s="153"/>
      <c r="M242" s="153"/>
      <c r="N242" s="155"/>
      <c r="O242" s="155"/>
      <c r="P242" s="155"/>
      <c r="Q242" s="155"/>
      <c r="R242" s="5"/>
      <c r="S242" s="5"/>
      <c r="T242" s="104"/>
    </row>
    <row r="243" spans="1:20" s="90" customFormat="1" ht="33" x14ac:dyDescent="0.5">
      <c r="A243" s="90" t="str">
        <f>_xlfn.XLOOKUP(B243,'Paso 3 Redacción RA'!I3:I21,'Paso 3 Redacción RA'!C3:C21,,0,1)</f>
        <v>SaberHacer</v>
      </c>
      <c r="B243" s="72" t="s">
        <v>110</v>
      </c>
      <c r="C243" s="153"/>
      <c r="D243" s="153"/>
      <c r="E243" s="177"/>
      <c r="F243" s="153"/>
      <c r="G243" s="153"/>
      <c r="H243" s="153"/>
      <c r="I243" s="153"/>
      <c r="J243" s="153"/>
      <c r="K243" s="153"/>
      <c r="L243" s="153"/>
      <c r="M243" s="153"/>
      <c r="N243" s="155"/>
      <c r="O243" s="155"/>
      <c r="P243" s="155"/>
      <c r="Q243" s="155"/>
      <c r="R243" s="5"/>
      <c r="S243" s="5"/>
      <c r="T243" s="104"/>
    </row>
    <row r="244" spans="1:20" s="90" customFormat="1" ht="17" thickBot="1" x14ac:dyDescent="0.55000000000000004">
      <c r="A244" s="91" t="str">
        <f>_xlfn.XLOOKUP(B244,'Paso 3 Redacción RA'!I3:I21,'Paso 3 Redacción RA'!C3:C21,,0,1)</f>
        <v>SaberHacer</v>
      </c>
      <c r="B244" s="87" t="s">
        <v>111</v>
      </c>
      <c r="C244" s="175"/>
      <c r="D244" s="175"/>
      <c r="E244" s="178"/>
      <c r="F244" s="175"/>
      <c r="G244" s="175"/>
      <c r="H244" s="175"/>
      <c r="I244" s="175"/>
      <c r="J244" s="175"/>
      <c r="K244" s="175"/>
      <c r="L244" s="175"/>
      <c r="M244" s="175"/>
      <c r="N244" s="173"/>
      <c r="O244" s="173"/>
      <c r="P244" s="173"/>
      <c r="Q244" s="173"/>
      <c r="R244" s="5"/>
      <c r="S244" s="5"/>
      <c r="T244" s="104"/>
    </row>
    <row r="245" spans="1:20" s="90" customFormat="1" ht="49.5" x14ac:dyDescent="0.5">
      <c r="A245" s="103" t="str">
        <f>_xlfn.XLOOKUP(B245,'Paso 3 Redacción RA'!I3:I21,'Paso 3 Redacción RA'!C3:C21,,0,1)</f>
        <v>Saber</v>
      </c>
      <c r="B245" s="92" t="s">
        <v>98</v>
      </c>
      <c r="C245" s="174">
        <v>8</v>
      </c>
      <c r="D245" s="174" t="s">
        <v>349</v>
      </c>
      <c r="E245" s="176" t="s">
        <v>350</v>
      </c>
      <c r="F245" s="174" t="s">
        <v>236</v>
      </c>
      <c r="G245" s="174"/>
      <c r="H245" s="174" t="s">
        <v>218</v>
      </c>
      <c r="I245" s="174"/>
      <c r="J245" s="174">
        <v>3</v>
      </c>
      <c r="K245" s="174">
        <f>12*J245</f>
        <v>36</v>
      </c>
      <c r="L245" s="174">
        <f>36*J245</f>
        <v>108</v>
      </c>
      <c r="M245" s="174">
        <f>SUM(K245:L245)</f>
        <v>144</v>
      </c>
      <c r="N245" s="172" t="s">
        <v>351</v>
      </c>
      <c r="O245" s="172" t="s">
        <v>231</v>
      </c>
      <c r="P245" s="172" t="s">
        <v>238</v>
      </c>
      <c r="Q245" s="172" t="s">
        <v>227</v>
      </c>
      <c r="R245" s="5"/>
      <c r="S245" s="5"/>
      <c r="T245" s="104"/>
    </row>
    <row r="246" spans="1:20" s="90" customFormat="1" x14ac:dyDescent="0.5">
      <c r="A246" s="90" t="str">
        <f>_xlfn.XLOOKUP(B246,'Paso 3 Redacción RA'!I4:I22,'Paso 3 Redacción RA'!C4:C22,,0,1)</f>
        <v>SaberHacer</v>
      </c>
      <c r="B246" s="72" t="s">
        <v>101</v>
      </c>
      <c r="C246" s="153"/>
      <c r="D246" s="153"/>
      <c r="E246" s="177"/>
      <c r="F246" s="153"/>
      <c r="G246" s="153"/>
      <c r="H246" s="153"/>
      <c r="I246" s="153"/>
      <c r="J246" s="153"/>
      <c r="K246" s="153"/>
      <c r="L246" s="153"/>
      <c r="M246" s="153"/>
      <c r="N246" s="155"/>
      <c r="O246" s="155"/>
      <c r="P246" s="155"/>
      <c r="Q246" s="155"/>
      <c r="R246" s="5"/>
      <c r="S246" s="5"/>
      <c r="T246" s="104"/>
    </row>
    <row r="247" spans="1:20" s="90" customFormat="1" ht="33" x14ac:dyDescent="0.5">
      <c r="A247" s="90" t="str">
        <f>_xlfn.XLOOKUP(B247,'Paso 3 Redacción RA'!I5:I23,'Paso 3 Redacción RA'!C5:C23,,0,1)</f>
        <v>SaberSer</v>
      </c>
      <c r="B247" s="72" t="s">
        <v>103</v>
      </c>
      <c r="C247" s="153"/>
      <c r="D247" s="153"/>
      <c r="E247" s="177"/>
      <c r="F247" s="153"/>
      <c r="G247" s="153"/>
      <c r="H247" s="153"/>
      <c r="I247" s="153"/>
      <c r="J247" s="153"/>
      <c r="K247" s="153"/>
      <c r="L247" s="153"/>
      <c r="M247" s="153"/>
      <c r="N247" s="155"/>
      <c r="O247" s="155"/>
      <c r="P247" s="155"/>
      <c r="Q247" s="155"/>
      <c r="R247" s="5"/>
      <c r="S247" s="5"/>
      <c r="T247" s="104"/>
    </row>
    <row r="248" spans="1:20" s="90" customFormat="1" ht="49.5" x14ac:dyDescent="0.5">
      <c r="A248" s="90" t="str">
        <f>_xlfn.XLOOKUP(B248,'Paso 3 Redacción RA'!I6:I24,'Paso 3 Redacción RA'!C6:C24,,0,1)</f>
        <v>SaberHacer</v>
      </c>
      <c r="B248" s="72" t="s">
        <v>104</v>
      </c>
      <c r="C248" s="153"/>
      <c r="D248" s="153"/>
      <c r="E248" s="177"/>
      <c r="F248" s="153"/>
      <c r="G248" s="153"/>
      <c r="H248" s="153"/>
      <c r="I248" s="153"/>
      <c r="J248" s="153"/>
      <c r="K248" s="153"/>
      <c r="L248" s="153"/>
      <c r="M248" s="153"/>
      <c r="N248" s="155"/>
      <c r="O248" s="155"/>
      <c r="P248" s="155"/>
      <c r="Q248" s="155"/>
      <c r="R248" s="5"/>
      <c r="S248" s="5"/>
      <c r="T248" s="104"/>
    </row>
    <row r="249" spans="1:20" s="90" customFormat="1" ht="33" x14ac:dyDescent="0.5">
      <c r="A249" s="90" t="str">
        <f>_xlfn.XLOOKUP(B249,'Paso 3 Redacción RA'!I7:I25,'Paso 3 Redacción RA'!C7:C25,,0,1)</f>
        <v>Saber</v>
      </c>
      <c r="B249" s="72" t="s">
        <v>107</v>
      </c>
      <c r="C249" s="153"/>
      <c r="D249" s="153"/>
      <c r="E249" s="177"/>
      <c r="F249" s="153"/>
      <c r="G249" s="153"/>
      <c r="H249" s="153"/>
      <c r="I249" s="153"/>
      <c r="J249" s="153"/>
      <c r="K249" s="153"/>
      <c r="L249" s="153"/>
      <c r="M249" s="153"/>
      <c r="N249" s="155"/>
      <c r="O249" s="155"/>
      <c r="P249" s="155"/>
      <c r="Q249" s="155"/>
      <c r="R249" s="5"/>
      <c r="S249" s="5"/>
      <c r="T249" s="104"/>
    </row>
    <row r="250" spans="1:20" s="90" customFormat="1" ht="33" x14ac:dyDescent="0.5">
      <c r="A250" s="90" t="str">
        <f>_xlfn.XLOOKUP(B250,'Paso 3 Redacción RA'!I8:I26,'Paso 3 Redacción RA'!C8:C26,,0,1)</f>
        <v>SaberHacer</v>
      </c>
      <c r="B250" s="72" t="s">
        <v>108</v>
      </c>
      <c r="C250" s="153"/>
      <c r="D250" s="153"/>
      <c r="E250" s="177"/>
      <c r="F250" s="153"/>
      <c r="G250" s="153"/>
      <c r="H250" s="153"/>
      <c r="I250" s="153"/>
      <c r="J250" s="153"/>
      <c r="K250" s="153"/>
      <c r="L250" s="153"/>
      <c r="M250" s="153"/>
      <c r="N250" s="155"/>
      <c r="O250" s="155"/>
      <c r="P250" s="155"/>
      <c r="Q250" s="155"/>
      <c r="R250" s="5"/>
      <c r="S250" s="5"/>
      <c r="T250" s="104"/>
    </row>
    <row r="251" spans="1:20" s="90" customFormat="1" ht="33" x14ac:dyDescent="0.5">
      <c r="A251" s="90" t="str">
        <f>_xlfn.XLOOKUP(B251,'Paso 3 Redacción RA'!I9:I27,'Paso 3 Redacción RA'!C9:C27,,0,1)</f>
        <v>SaberHacer</v>
      </c>
      <c r="B251" s="72" t="s">
        <v>109</v>
      </c>
      <c r="C251" s="153"/>
      <c r="D251" s="153"/>
      <c r="E251" s="177"/>
      <c r="F251" s="153"/>
      <c r="G251" s="153"/>
      <c r="H251" s="153"/>
      <c r="I251" s="153"/>
      <c r="J251" s="153"/>
      <c r="K251" s="153"/>
      <c r="L251" s="153"/>
      <c r="M251" s="153"/>
      <c r="N251" s="155"/>
      <c r="O251" s="155"/>
      <c r="P251" s="155"/>
      <c r="Q251" s="155"/>
      <c r="R251" s="5"/>
      <c r="S251" s="5"/>
      <c r="T251" s="104"/>
    </row>
    <row r="252" spans="1:20" s="90" customFormat="1" ht="33" x14ac:dyDescent="0.5">
      <c r="A252" s="90" t="str">
        <f>_xlfn.XLOOKUP(B252,'Paso 3 Redacción RA'!I3:I21,'Paso 3 Redacción RA'!C3:C21,,0,1)</f>
        <v>SaberHacer</v>
      </c>
      <c r="B252" s="72" t="s">
        <v>110</v>
      </c>
      <c r="C252" s="153"/>
      <c r="D252" s="153"/>
      <c r="E252" s="177"/>
      <c r="F252" s="153"/>
      <c r="G252" s="153"/>
      <c r="H252" s="153"/>
      <c r="I252" s="153"/>
      <c r="J252" s="153"/>
      <c r="K252" s="153"/>
      <c r="L252" s="153"/>
      <c r="M252" s="153"/>
      <c r="N252" s="155"/>
      <c r="O252" s="155"/>
      <c r="P252" s="155"/>
      <c r="Q252" s="155"/>
      <c r="R252" s="5"/>
      <c r="S252" s="5"/>
      <c r="T252" s="104"/>
    </row>
    <row r="253" spans="1:20" s="90" customFormat="1" ht="17" thickBot="1" x14ac:dyDescent="0.55000000000000004">
      <c r="A253" s="91" t="str">
        <f>_xlfn.XLOOKUP(B253,'Paso 3 Redacción RA'!I3:I21,'Paso 3 Redacción RA'!C3:C21,,0,1)</f>
        <v>SaberHacer</v>
      </c>
      <c r="B253" s="87" t="s">
        <v>111</v>
      </c>
      <c r="C253" s="175"/>
      <c r="D253" s="175"/>
      <c r="E253" s="178"/>
      <c r="F253" s="175"/>
      <c r="G253" s="175"/>
      <c r="H253" s="175"/>
      <c r="I253" s="175"/>
      <c r="J253" s="175"/>
      <c r="K253" s="175"/>
      <c r="L253" s="175"/>
      <c r="M253" s="175"/>
      <c r="N253" s="173"/>
      <c r="O253" s="173"/>
      <c r="P253" s="173"/>
      <c r="Q253" s="173"/>
      <c r="R253" s="5"/>
      <c r="S253" s="5"/>
      <c r="T253" s="104"/>
    </row>
    <row r="254" spans="1:20" s="90" customFormat="1" ht="49.5" x14ac:dyDescent="0.5">
      <c r="A254" s="103" t="str">
        <f>_xlfn.XLOOKUP(B254,'Paso 3 Redacción RA'!I3:I21,'Paso 3 Redacción RA'!C3:C21,,0,1)</f>
        <v>Saber</v>
      </c>
      <c r="B254" s="92" t="s">
        <v>98</v>
      </c>
      <c r="C254" s="174">
        <v>8</v>
      </c>
      <c r="D254" s="174" t="s">
        <v>352</v>
      </c>
      <c r="E254" s="176" t="s">
        <v>353</v>
      </c>
      <c r="F254" s="174" t="s">
        <v>327</v>
      </c>
      <c r="G254" s="174"/>
      <c r="H254" s="174" t="s">
        <v>218</v>
      </c>
      <c r="I254" s="174"/>
      <c r="J254" s="174">
        <v>3</v>
      </c>
      <c r="K254" s="174">
        <f>12*J254</f>
        <v>36</v>
      </c>
      <c r="L254" s="174">
        <f>36*J254</f>
        <v>108</v>
      </c>
      <c r="M254" s="174">
        <f>SUM(K254:L254)</f>
        <v>144</v>
      </c>
      <c r="N254" s="172" t="s">
        <v>354</v>
      </c>
      <c r="O254" s="172" t="s">
        <v>231</v>
      </c>
      <c r="P254" s="172" t="s">
        <v>329</v>
      </c>
      <c r="Q254" s="172" t="s">
        <v>227</v>
      </c>
      <c r="R254" s="5"/>
      <c r="S254" s="5"/>
      <c r="T254" s="104"/>
    </row>
    <row r="255" spans="1:20" s="90" customFormat="1" x14ac:dyDescent="0.5">
      <c r="A255" s="90" t="str">
        <f>_xlfn.XLOOKUP(B255,'Paso 3 Redacción RA'!I4:I22,'Paso 3 Redacción RA'!C4:C22,,0,1)</f>
        <v>SaberHacer</v>
      </c>
      <c r="B255" s="72" t="s">
        <v>101</v>
      </c>
      <c r="C255" s="153"/>
      <c r="D255" s="153"/>
      <c r="E255" s="177"/>
      <c r="F255" s="153"/>
      <c r="G255" s="153"/>
      <c r="H255" s="153"/>
      <c r="I255" s="153"/>
      <c r="J255" s="153"/>
      <c r="K255" s="153"/>
      <c r="L255" s="153"/>
      <c r="M255" s="153"/>
      <c r="N255" s="155"/>
      <c r="O255" s="155"/>
      <c r="P255" s="155"/>
      <c r="Q255" s="155"/>
      <c r="R255" s="5"/>
      <c r="S255" s="5"/>
      <c r="T255" s="104"/>
    </row>
    <row r="256" spans="1:20" s="90" customFormat="1" ht="33" x14ac:dyDescent="0.5">
      <c r="A256" s="90" t="str">
        <f>_xlfn.XLOOKUP(B256,'Paso 3 Redacción RA'!I5:I23,'Paso 3 Redacción RA'!C5:C23,,0,1)</f>
        <v>SaberSer</v>
      </c>
      <c r="B256" s="72" t="s">
        <v>103</v>
      </c>
      <c r="C256" s="153"/>
      <c r="D256" s="153"/>
      <c r="E256" s="177"/>
      <c r="F256" s="153"/>
      <c r="G256" s="153"/>
      <c r="H256" s="153"/>
      <c r="I256" s="153"/>
      <c r="J256" s="153"/>
      <c r="K256" s="153"/>
      <c r="L256" s="153"/>
      <c r="M256" s="153"/>
      <c r="N256" s="155"/>
      <c r="O256" s="155"/>
      <c r="P256" s="155"/>
      <c r="Q256" s="155"/>
      <c r="R256" s="5"/>
      <c r="S256" s="5"/>
      <c r="T256" s="104"/>
    </row>
    <row r="257" spans="1:20" s="90" customFormat="1" ht="49.5" x14ac:dyDescent="0.5">
      <c r="A257" s="90" t="str">
        <f>_xlfn.XLOOKUP(B257,'Paso 3 Redacción RA'!I6:I24,'Paso 3 Redacción RA'!C6:C24,,0,1)</f>
        <v>SaberHacer</v>
      </c>
      <c r="B257" s="72" t="s">
        <v>104</v>
      </c>
      <c r="C257" s="153"/>
      <c r="D257" s="153"/>
      <c r="E257" s="177"/>
      <c r="F257" s="153"/>
      <c r="G257" s="153"/>
      <c r="H257" s="153"/>
      <c r="I257" s="153"/>
      <c r="J257" s="153"/>
      <c r="K257" s="153"/>
      <c r="L257" s="153"/>
      <c r="M257" s="153"/>
      <c r="N257" s="155"/>
      <c r="O257" s="155"/>
      <c r="P257" s="155"/>
      <c r="Q257" s="155"/>
      <c r="R257" s="5"/>
      <c r="S257" s="5"/>
      <c r="T257" s="104"/>
    </row>
    <row r="258" spans="1:20" s="90" customFormat="1" ht="33" x14ac:dyDescent="0.5">
      <c r="A258" s="90" t="str">
        <f>_xlfn.XLOOKUP(B258,'Paso 3 Redacción RA'!I7:I25,'Paso 3 Redacción RA'!C7:C25,,0,1)</f>
        <v>Saber</v>
      </c>
      <c r="B258" s="72" t="s">
        <v>107</v>
      </c>
      <c r="C258" s="153"/>
      <c r="D258" s="153"/>
      <c r="E258" s="177"/>
      <c r="F258" s="153"/>
      <c r="G258" s="153"/>
      <c r="H258" s="153"/>
      <c r="I258" s="153"/>
      <c r="J258" s="153"/>
      <c r="K258" s="153"/>
      <c r="L258" s="153"/>
      <c r="M258" s="153"/>
      <c r="N258" s="155"/>
      <c r="O258" s="155"/>
      <c r="P258" s="155"/>
      <c r="Q258" s="155"/>
      <c r="R258" s="5"/>
      <c r="S258" s="5"/>
      <c r="T258" s="104"/>
    </row>
    <row r="259" spans="1:20" s="90" customFormat="1" ht="33" x14ac:dyDescent="0.5">
      <c r="A259" s="90" t="str">
        <f>_xlfn.XLOOKUP(B259,'Paso 3 Redacción RA'!I8:I26,'Paso 3 Redacción RA'!C8:C26,,0,1)</f>
        <v>SaberHacer</v>
      </c>
      <c r="B259" s="72" t="s">
        <v>108</v>
      </c>
      <c r="C259" s="153"/>
      <c r="D259" s="153"/>
      <c r="E259" s="177"/>
      <c r="F259" s="153"/>
      <c r="G259" s="153"/>
      <c r="H259" s="153"/>
      <c r="I259" s="153"/>
      <c r="J259" s="153"/>
      <c r="K259" s="153"/>
      <c r="L259" s="153"/>
      <c r="M259" s="153"/>
      <c r="N259" s="155"/>
      <c r="O259" s="155"/>
      <c r="P259" s="155"/>
      <c r="Q259" s="155"/>
      <c r="R259" s="5"/>
      <c r="S259" s="5"/>
      <c r="T259" s="104"/>
    </row>
    <row r="260" spans="1:20" s="90" customFormat="1" ht="33" x14ac:dyDescent="0.5">
      <c r="A260" s="90" t="str">
        <f>_xlfn.XLOOKUP(B260,'Paso 3 Redacción RA'!I9:I27,'Paso 3 Redacción RA'!C9:C27,,0,1)</f>
        <v>SaberHacer</v>
      </c>
      <c r="B260" s="72" t="s">
        <v>109</v>
      </c>
      <c r="C260" s="153"/>
      <c r="D260" s="153"/>
      <c r="E260" s="177"/>
      <c r="F260" s="153"/>
      <c r="G260" s="153"/>
      <c r="H260" s="153"/>
      <c r="I260" s="153"/>
      <c r="J260" s="153"/>
      <c r="K260" s="153"/>
      <c r="L260" s="153"/>
      <c r="M260" s="153"/>
      <c r="N260" s="155"/>
      <c r="O260" s="155"/>
      <c r="P260" s="155"/>
      <c r="Q260" s="155"/>
      <c r="R260" s="5"/>
      <c r="S260" s="5"/>
      <c r="T260" s="104"/>
    </row>
    <row r="261" spans="1:20" s="90" customFormat="1" ht="33" x14ac:dyDescent="0.5">
      <c r="A261" s="90" t="str">
        <f>_xlfn.XLOOKUP(B261,'Paso 3 Redacción RA'!I3:I21,'Paso 3 Redacción RA'!C3:C21,,0,1)</f>
        <v>SaberHacer</v>
      </c>
      <c r="B261" s="72" t="s">
        <v>110</v>
      </c>
      <c r="C261" s="153"/>
      <c r="D261" s="153"/>
      <c r="E261" s="177"/>
      <c r="F261" s="153"/>
      <c r="G261" s="153"/>
      <c r="H261" s="153"/>
      <c r="I261" s="153"/>
      <c r="J261" s="153"/>
      <c r="K261" s="153"/>
      <c r="L261" s="153"/>
      <c r="M261" s="153"/>
      <c r="N261" s="155"/>
      <c r="O261" s="155"/>
      <c r="P261" s="155"/>
      <c r="Q261" s="155"/>
      <c r="R261" s="5"/>
      <c r="S261" s="5"/>
      <c r="T261" s="104"/>
    </row>
    <row r="262" spans="1:20" s="90" customFormat="1" ht="17" thickBot="1" x14ac:dyDescent="0.55000000000000004">
      <c r="A262" s="91" t="str">
        <f>_xlfn.XLOOKUP(B262,'Paso 3 Redacción RA'!I3:I21,'Paso 3 Redacción RA'!C3:C21,,0,1)</f>
        <v>SaberHacer</v>
      </c>
      <c r="B262" s="87" t="s">
        <v>111</v>
      </c>
      <c r="C262" s="175"/>
      <c r="D262" s="175"/>
      <c r="E262" s="178"/>
      <c r="F262" s="175"/>
      <c r="G262" s="175"/>
      <c r="H262" s="175"/>
      <c r="I262" s="175"/>
      <c r="J262" s="175"/>
      <c r="K262" s="175"/>
      <c r="L262" s="175"/>
      <c r="M262" s="175"/>
      <c r="N262" s="173"/>
      <c r="O262" s="173"/>
      <c r="P262" s="173"/>
      <c r="Q262" s="173"/>
      <c r="R262" s="5"/>
      <c r="S262" s="5"/>
      <c r="T262" s="104"/>
    </row>
    <row r="263" spans="1:20" s="90" customFormat="1" ht="17" thickBot="1" x14ac:dyDescent="0.55000000000000004">
      <c r="A263" s="105"/>
      <c r="B263" s="100"/>
      <c r="C263" s="106">
        <v>8</v>
      </c>
      <c r="D263" s="107" t="s">
        <v>355</v>
      </c>
      <c r="E263" s="100"/>
      <c r="F263" s="105"/>
      <c r="G263" s="109"/>
      <c r="H263" s="109"/>
      <c r="I263" s="109" t="s">
        <v>218</v>
      </c>
      <c r="J263" s="106">
        <v>3</v>
      </c>
      <c r="K263" s="107">
        <f>12*J263</f>
        <v>36</v>
      </c>
      <c r="L263" s="107">
        <f>36*J263</f>
        <v>108</v>
      </c>
      <c r="M263" s="106">
        <f>SUM(K263:L263)</f>
        <v>144</v>
      </c>
      <c r="N263" s="108"/>
      <c r="O263" s="108"/>
      <c r="P263" s="108"/>
      <c r="Q263" s="108"/>
      <c r="R263" s="5"/>
      <c r="S263" s="5"/>
      <c r="T263" s="104"/>
    </row>
    <row r="264" spans="1:20" s="90" customFormat="1" ht="17" thickBot="1" x14ac:dyDescent="0.55000000000000004">
      <c r="A264" s="105"/>
      <c r="B264" s="100"/>
      <c r="C264" s="106">
        <v>8</v>
      </c>
      <c r="D264" s="107" t="s">
        <v>356</v>
      </c>
      <c r="E264" s="100"/>
      <c r="F264" s="105"/>
      <c r="G264" s="109"/>
      <c r="H264" s="109"/>
      <c r="I264" s="109" t="s">
        <v>218</v>
      </c>
      <c r="J264" s="106">
        <v>3</v>
      </c>
      <c r="K264" s="107">
        <f>12*J264</f>
        <v>36</v>
      </c>
      <c r="L264" s="107">
        <f>36*J264</f>
        <v>108</v>
      </c>
      <c r="M264" s="106">
        <f>SUM(K264:L264)</f>
        <v>144</v>
      </c>
      <c r="N264" s="108"/>
      <c r="O264" s="108"/>
      <c r="P264" s="108"/>
      <c r="Q264" s="108"/>
      <c r="R264" s="5"/>
      <c r="S264" s="5"/>
      <c r="T264" s="104"/>
    </row>
    <row r="265" spans="1:20" s="90" customFormat="1" ht="49.5" x14ac:dyDescent="0.5">
      <c r="A265" s="103" t="str">
        <f>_xlfn.XLOOKUP(B265,'Paso 3 Redacción RA'!I3:I21,'Paso 3 Redacción RA'!C3:C21,,0,1)</f>
        <v>Saber</v>
      </c>
      <c r="B265" s="92" t="s">
        <v>98</v>
      </c>
      <c r="C265" s="174">
        <v>9</v>
      </c>
      <c r="D265" s="174" t="s">
        <v>357</v>
      </c>
      <c r="E265" s="176" t="s">
        <v>358</v>
      </c>
      <c r="F265" s="174" t="s">
        <v>217</v>
      </c>
      <c r="G265" s="174"/>
      <c r="H265" s="174" t="s">
        <v>218</v>
      </c>
      <c r="I265" s="174"/>
      <c r="J265" s="174">
        <v>3</v>
      </c>
      <c r="K265" s="174">
        <f>12*J265</f>
        <v>36</v>
      </c>
      <c r="L265" s="174">
        <f>36*J265</f>
        <v>108</v>
      </c>
      <c r="M265" s="174">
        <f>SUM(K265:L265)</f>
        <v>144</v>
      </c>
      <c r="N265" s="172" t="s">
        <v>359</v>
      </c>
      <c r="O265" s="172" t="s">
        <v>231</v>
      </c>
      <c r="P265" s="172" t="s">
        <v>232</v>
      </c>
      <c r="Q265" s="172" t="s">
        <v>227</v>
      </c>
      <c r="R265" s="5"/>
      <c r="S265" s="5"/>
      <c r="T265" s="104"/>
    </row>
    <row r="266" spans="1:20" s="90" customFormat="1" x14ac:dyDescent="0.5">
      <c r="A266" s="90" t="str">
        <f>_xlfn.XLOOKUP(B266,'Paso 3 Redacción RA'!I4:I22,'Paso 3 Redacción RA'!C4:C22,,0,1)</f>
        <v>SaberHacer</v>
      </c>
      <c r="B266" s="72" t="s">
        <v>101</v>
      </c>
      <c r="C266" s="153"/>
      <c r="D266" s="153"/>
      <c r="E266" s="177"/>
      <c r="F266" s="153"/>
      <c r="G266" s="153"/>
      <c r="H266" s="153"/>
      <c r="I266" s="153"/>
      <c r="J266" s="153"/>
      <c r="K266" s="153"/>
      <c r="L266" s="153"/>
      <c r="M266" s="153"/>
      <c r="N266" s="155"/>
      <c r="O266" s="155"/>
      <c r="P266" s="155"/>
      <c r="Q266" s="155"/>
      <c r="R266" s="5"/>
      <c r="S266" s="5"/>
      <c r="T266" s="104"/>
    </row>
    <row r="267" spans="1:20" s="90" customFormat="1" ht="33" x14ac:dyDescent="0.5">
      <c r="A267" s="90" t="str">
        <f>_xlfn.XLOOKUP(B267,'Paso 3 Redacción RA'!I5:I23,'Paso 3 Redacción RA'!C5:C23,,0,1)</f>
        <v>SaberSer</v>
      </c>
      <c r="B267" s="72" t="s">
        <v>103</v>
      </c>
      <c r="C267" s="153"/>
      <c r="D267" s="153"/>
      <c r="E267" s="177"/>
      <c r="F267" s="153"/>
      <c r="G267" s="153"/>
      <c r="H267" s="153"/>
      <c r="I267" s="153"/>
      <c r="J267" s="153"/>
      <c r="K267" s="153"/>
      <c r="L267" s="153"/>
      <c r="M267" s="153"/>
      <c r="N267" s="155"/>
      <c r="O267" s="155"/>
      <c r="P267" s="155"/>
      <c r="Q267" s="155"/>
      <c r="R267" s="5"/>
      <c r="S267" s="5"/>
      <c r="T267" s="104"/>
    </row>
    <row r="268" spans="1:20" s="90" customFormat="1" ht="49.5" x14ac:dyDescent="0.5">
      <c r="A268" s="90" t="str">
        <f>_xlfn.XLOOKUP(B268,'Paso 3 Redacción RA'!I6:I24,'Paso 3 Redacción RA'!C6:C24,,0,1)</f>
        <v>SaberHacer</v>
      </c>
      <c r="B268" s="72" t="s">
        <v>104</v>
      </c>
      <c r="C268" s="153"/>
      <c r="D268" s="153"/>
      <c r="E268" s="177"/>
      <c r="F268" s="153"/>
      <c r="G268" s="153"/>
      <c r="H268" s="153"/>
      <c r="I268" s="153"/>
      <c r="J268" s="153"/>
      <c r="K268" s="153"/>
      <c r="L268" s="153"/>
      <c r="M268" s="153"/>
      <c r="N268" s="155"/>
      <c r="O268" s="155"/>
      <c r="P268" s="155"/>
      <c r="Q268" s="155"/>
      <c r="R268" s="5"/>
      <c r="S268" s="5"/>
      <c r="T268" s="104"/>
    </row>
    <row r="269" spans="1:20" s="90" customFormat="1" ht="33" x14ac:dyDescent="0.5">
      <c r="A269" s="90" t="str">
        <f>_xlfn.XLOOKUP(B269,'Paso 3 Redacción RA'!I7:I25,'Paso 3 Redacción RA'!C7:C25,,0,1)</f>
        <v>Saber</v>
      </c>
      <c r="B269" s="72" t="s">
        <v>107</v>
      </c>
      <c r="C269" s="153"/>
      <c r="D269" s="153"/>
      <c r="E269" s="177"/>
      <c r="F269" s="153"/>
      <c r="G269" s="153"/>
      <c r="H269" s="153"/>
      <c r="I269" s="153"/>
      <c r="J269" s="153"/>
      <c r="K269" s="153"/>
      <c r="L269" s="153"/>
      <c r="M269" s="153"/>
      <c r="N269" s="155"/>
      <c r="O269" s="155"/>
      <c r="P269" s="155"/>
      <c r="Q269" s="155"/>
      <c r="R269" s="5"/>
      <c r="S269" s="5"/>
      <c r="T269" s="104"/>
    </row>
    <row r="270" spans="1:20" s="90" customFormat="1" ht="33" x14ac:dyDescent="0.5">
      <c r="A270" s="90" t="str">
        <f>_xlfn.XLOOKUP(B270,'Paso 3 Redacción RA'!I8:I26,'Paso 3 Redacción RA'!C8:C26,,0,1)</f>
        <v>SaberHacer</v>
      </c>
      <c r="B270" s="72" t="s">
        <v>108</v>
      </c>
      <c r="C270" s="153"/>
      <c r="D270" s="153"/>
      <c r="E270" s="177"/>
      <c r="F270" s="153"/>
      <c r="G270" s="153"/>
      <c r="H270" s="153"/>
      <c r="I270" s="153"/>
      <c r="J270" s="153"/>
      <c r="K270" s="153"/>
      <c r="L270" s="153"/>
      <c r="M270" s="153"/>
      <c r="N270" s="155"/>
      <c r="O270" s="155"/>
      <c r="P270" s="155"/>
      <c r="Q270" s="155"/>
      <c r="R270" s="5"/>
      <c r="S270" s="5"/>
      <c r="T270" s="104"/>
    </row>
    <row r="271" spans="1:20" s="90" customFormat="1" ht="33" x14ac:dyDescent="0.5">
      <c r="A271" s="90" t="str">
        <f>_xlfn.XLOOKUP(B271,'Paso 3 Redacción RA'!I9:I27,'Paso 3 Redacción RA'!C9:C27,,0,1)</f>
        <v>SaberHacer</v>
      </c>
      <c r="B271" s="72" t="s">
        <v>109</v>
      </c>
      <c r="C271" s="153"/>
      <c r="D271" s="153"/>
      <c r="E271" s="177"/>
      <c r="F271" s="153"/>
      <c r="G271" s="153"/>
      <c r="H271" s="153"/>
      <c r="I271" s="153"/>
      <c r="J271" s="153"/>
      <c r="K271" s="153"/>
      <c r="L271" s="153"/>
      <c r="M271" s="153"/>
      <c r="N271" s="155"/>
      <c r="O271" s="155"/>
      <c r="P271" s="155"/>
      <c r="Q271" s="155"/>
      <c r="R271" s="5"/>
      <c r="S271" s="5"/>
      <c r="T271" s="104"/>
    </row>
    <row r="272" spans="1:20" s="90" customFormat="1" ht="33" x14ac:dyDescent="0.5">
      <c r="A272" s="90" t="str">
        <f>_xlfn.XLOOKUP(B272,'Paso 3 Redacción RA'!I3:I21,'Paso 3 Redacción RA'!C3:C21,,0,1)</f>
        <v>SaberHacer</v>
      </c>
      <c r="B272" s="72" t="s">
        <v>110</v>
      </c>
      <c r="C272" s="153"/>
      <c r="D272" s="153"/>
      <c r="E272" s="177"/>
      <c r="F272" s="153"/>
      <c r="G272" s="153"/>
      <c r="H272" s="153"/>
      <c r="I272" s="153"/>
      <c r="J272" s="153"/>
      <c r="K272" s="153"/>
      <c r="L272" s="153"/>
      <c r="M272" s="153"/>
      <c r="N272" s="155"/>
      <c r="O272" s="155"/>
      <c r="P272" s="155"/>
      <c r="Q272" s="155"/>
      <c r="R272" s="5"/>
      <c r="S272" s="5"/>
      <c r="T272" s="104"/>
    </row>
    <row r="273" spans="1:20" s="90" customFormat="1" ht="17" thickBot="1" x14ac:dyDescent="0.55000000000000004">
      <c r="A273" s="91" t="str">
        <f>_xlfn.XLOOKUP(B273,'Paso 3 Redacción RA'!I3:I21,'Paso 3 Redacción RA'!C3:C21,,0,1)</f>
        <v>SaberHacer</v>
      </c>
      <c r="B273" s="87" t="s">
        <v>111</v>
      </c>
      <c r="C273" s="175"/>
      <c r="D273" s="175"/>
      <c r="E273" s="178"/>
      <c r="F273" s="175"/>
      <c r="G273" s="175"/>
      <c r="H273" s="175"/>
      <c r="I273" s="175"/>
      <c r="J273" s="175"/>
      <c r="K273" s="175"/>
      <c r="L273" s="175"/>
      <c r="M273" s="175"/>
      <c r="N273" s="173"/>
      <c r="O273" s="173"/>
      <c r="P273" s="173"/>
      <c r="Q273" s="173"/>
      <c r="S273" s="5"/>
      <c r="T273" s="104"/>
    </row>
    <row r="274" spans="1:20" s="90" customFormat="1" ht="49.5" x14ac:dyDescent="0.5">
      <c r="A274" s="103" t="str">
        <f>_xlfn.XLOOKUP(B274,'Paso 3 Redacción RA'!I3:I21,'Paso 3 Redacción RA'!C3:C21,,0,1)</f>
        <v>Saber</v>
      </c>
      <c r="B274" s="92" t="s">
        <v>98</v>
      </c>
      <c r="C274" s="174">
        <v>9</v>
      </c>
      <c r="D274" s="174" t="s">
        <v>360</v>
      </c>
      <c r="E274" s="176" t="s">
        <v>361</v>
      </c>
      <c r="F274" s="174" t="s">
        <v>236</v>
      </c>
      <c r="G274" s="174"/>
      <c r="H274" s="174" t="s">
        <v>218</v>
      </c>
      <c r="I274" s="174"/>
      <c r="J274" s="174">
        <v>3</v>
      </c>
      <c r="K274" s="174">
        <f>12*J274</f>
        <v>36</v>
      </c>
      <c r="L274" s="174">
        <f>36*J274</f>
        <v>108</v>
      </c>
      <c r="M274" s="174">
        <f>SUM(K274:L274)</f>
        <v>144</v>
      </c>
      <c r="N274" s="172" t="s">
        <v>362</v>
      </c>
      <c r="O274" s="172" t="s">
        <v>231</v>
      </c>
      <c r="P274" s="172" t="s">
        <v>238</v>
      </c>
      <c r="Q274" s="172" t="s">
        <v>227</v>
      </c>
      <c r="R274" s="5"/>
      <c r="S274" s="5"/>
      <c r="T274" s="104"/>
    </row>
    <row r="275" spans="1:20" s="90" customFormat="1" x14ac:dyDescent="0.5">
      <c r="A275" s="90" t="str">
        <f>_xlfn.XLOOKUP(B275,'Paso 3 Redacción RA'!I4:I22,'Paso 3 Redacción RA'!C4:C22,,0,1)</f>
        <v>SaberHacer</v>
      </c>
      <c r="B275" s="72" t="s">
        <v>101</v>
      </c>
      <c r="C275" s="153"/>
      <c r="D275" s="153"/>
      <c r="E275" s="177"/>
      <c r="F275" s="153"/>
      <c r="G275" s="153"/>
      <c r="H275" s="153"/>
      <c r="I275" s="153"/>
      <c r="J275" s="153"/>
      <c r="K275" s="153"/>
      <c r="L275" s="153"/>
      <c r="M275" s="153"/>
      <c r="N275" s="155"/>
      <c r="O275" s="155"/>
      <c r="P275" s="155"/>
      <c r="Q275" s="155"/>
      <c r="R275" s="5"/>
      <c r="S275" s="5"/>
      <c r="T275" s="104"/>
    </row>
    <row r="276" spans="1:20" s="90" customFormat="1" ht="33" x14ac:dyDescent="0.5">
      <c r="A276" s="90" t="str">
        <f>_xlfn.XLOOKUP(B276,'Paso 3 Redacción RA'!I5:I23,'Paso 3 Redacción RA'!C5:C23,,0,1)</f>
        <v>SaberSer</v>
      </c>
      <c r="B276" s="72" t="s">
        <v>103</v>
      </c>
      <c r="C276" s="153"/>
      <c r="D276" s="153"/>
      <c r="E276" s="177"/>
      <c r="F276" s="153"/>
      <c r="G276" s="153"/>
      <c r="H276" s="153"/>
      <c r="I276" s="153"/>
      <c r="J276" s="153"/>
      <c r="K276" s="153"/>
      <c r="L276" s="153"/>
      <c r="M276" s="153"/>
      <c r="N276" s="155"/>
      <c r="O276" s="155"/>
      <c r="P276" s="155"/>
      <c r="Q276" s="155"/>
      <c r="R276" s="5"/>
      <c r="S276" s="5"/>
      <c r="T276" s="104"/>
    </row>
    <row r="277" spans="1:20" s="90" customFormat="1" ht="49.5" x14ac:dyDescent="0.5">
      <c r="A277" s="90" t="str">
        <f>_xlfn.XLOOKUP(B277,'Paso 3 Redacción RA'!I6:I24,'Paso 3 Redacción RA'!C6:C24,,0,1)</f>
        <v>SaberHacer</v>
      </c>
      <c r="B277" s="72" t="s">
        <v>104</v>
      </c>
      <c r="C277" s="153"/>
      <c r="D277" s="153"/>
      <c r="E277" s="177"/>
      <c r="F277" s="153"/>
      <c r="G277" s="153"/>
      <c r="H277" s="153"/>
      <c r="I277" s="153"/>
      <c r="J277" s="153"/>
      <c r="K277" s="153"/>
      <c r="L277" s="153"/>
      <c r="M277" s="153"/>
      <c r="N277" s="155"/>
      <c r="O277" s="155"/>
      <c r="P277" s="155"/>
      <c r="Q277" s="155"/>
      <c r="R277" s="5"/>
      <c r="S277" s="5"/>
      <c r="T277" s="104"/>
    </row>
    <row r="278" spans="1:20" s="90" customFormat="1" ht="33" x14ac:dyDescent="0.5">
      <c r="A278" s="90" t="str">
        <f>_xlfn.XLOOKUP(B278,'Paso 3 Redacción RA'!I7:I25,'Paso 3 Redacción RA'!C7:C25,,0,1)</f>
        <v>Saber</v>
      </c>
      <c r="B278" s="72" t="s">
        <v>107</v>
      </c>
      <c r="C278" s="153"/>
      <c r="D278" s="153"/>
      <c r="E278" s="177"/>
      <c r="F278" s="153"/>
      <c r="G278" s="153"/>
      <c r="H278" s="153"/>
      <c r="I278" s="153"/>
      <c r="J278" s="153"/>
      <c r="K278" s="153"/>
      <c r="L278" s="153"/>
      <c r="M278" s="153"/>
      <c r="N278" s="155"/>
      <c r="O278" s="155"/>
      <c r="P278" s="155"/>
      <c r="Q278" s="155"/>
      <c r="R278" s="5"/>
      <c r="S278" s="5"/>
      <c r="T278" s="104"/>
    </row>
    <row r="279" spans="1:20" s="90" customFormat="1" ht="33" x14ac:dyDescent="0.5">
      <c r="A279" s="90" t="str">
        <f>_xlfn.XLOOKUP(B279,'Paso 3 Redacción RA'!I8:I26,'Paso 3 Redacción RA'!C8:C26,,0,1)</f>
        <v>SaberHacer</v>
      </c>
      <c r="B279" s="72" t="s">
        <v>108</v>
      </c>
      <c r="C279" s="153"/>
      <c r="D279" s="153"/>
      <c r="E279" s="177"/>
      <c r="F279" s="153"/>
      <c r="G279" s="153"/>
      <c r="H279" s="153"/>
      <c r="I279" s="153"/>
      <c r="J279" s="153"/>
      <c r="K279" s="153"/>
      <c r="L279" s="153"/>
      <c r="M279" s="153"/>
      <c r="N279" s="155"/>
      <c r="O279" s="155"/>
      <c r="P279" s="155"/>
      <c r="Q279" s="155"/>
      <c r="R279" s="5"/>
      <c r="S279" s="5"/>
      <c r="T279" s="104"/>
    </row>
    <row r="280" spans="1:20" s="90" customFormat="1" ht="33" x14ac:dyDescent="0.5">
      <c r="A280" s="90" t="str">
        <f>_xlfn.XLOOKUP(B280,'Paso 3 Redacción RA'!I9:I27,'Paso 3 Redacción RA'!C9:C27,,0,1)</f>
        <v>SaberHacer</v>
      </c>
      <c r="B280" s="72" t="s">
        <v>109</v>
      </c>
      <c r="C280" s="153"/>
      <c r="D280" s="153"/>
      <c r="E280" s="177"/>
      <c r="F280" s="153"/>
      <c r="G280" s="153"/>
      <c r="H280" s="153"/>
      <c r="I280" s="153"/>
      <c r="J280" s="153"/>
      <c r="K280" s="153"/>
      <c r="L280" s="153"/>
      <c r="M280" s="153"/>
      <c r="N280" s="155"/>
      <c r="O280" s="155"/>
      <c r="P280" s="155"/>
      <c r="Q280" s="155"/>
      <c r="R280" s="5"/>
      <c r="S280" s="5"/>
      <c r="T280" s="104"/>
    </row>
    <row r="281" spans="1:20" s="90" customFormat="1" ht="33" x14ac:dyDescent="0.5">
      <c r="A281" s="90" t="str">
        <f>_xlfn.XLOOKUP(B281,'Paso 3 Redacción RA'!I3:I21,'Paso 3 Redacción RA'!C3:C21,,0,1)</f>
        <v>SaberHacer</v>
      </c>
      <c r="B281" s="72" t="s">
        <v>110</v>
      </c>
      <c r="C281" s="153"/>
      <c r="D281" s="153"/>
      <c r="E281" s="177"/>
      <c r="F281" s="153"/>
      <c r="G281" s="153"/>
      <c r="H281" s="153"/>
      <c r="I281" s="153"/>
      <c r="J281" s="153"/>
      <c r="K281" s="153"/>
      <c r="L281" s="153"/>
      <c r="M281" s="153"/>
      <c r="N281" s="155"/>
      <c r="O281" s="155"/>
      <c r="P281" s="155"/>
      <c r="Q281" s="155"/>
      <c r="R281" s="5"/>
      <c r="S281" s="5"/>
      <c r="T281" s="104"/>
    </row>
    <row r="282" spans="1:20" s="90" customFormat="1" ht="17" thickBot="1" x14ac:dyDescent="0.55000000000000004">
      <c r="A282" s="91" t="str">
        <f>_xlfn.XLOOKUP(B282,'Paso 3 Redacción RA'!I3:I21,'Paso 3 Redacción RA'!C3:C21,,0,1)</f>
        <v>SaberHacer</v>
      </c>
      <c r="B282" s="87" t="s">
        <v>111</v>
      </c>
      <c r="C282" s="175"/>
      <c r="D282" s="175"/>
      <c r="E282" s="178"/>
      <c r="F282" s="175"/>
      <c r="G282" s="175"/>
      <c r="H282" s="175"/>
      <c r="I282" s="175"/>
      <c r="J282" s="175"/>
      <c r="K282" s="175"/>
      <c r="L282" s="175"/>
      <c r="M282" s="175"/>
      <c r="N282" s="173"/>
      <c r="O282" s="173"/>
      <c r="P282" s="173"/>
      <c r="Q282" s="173"/>
      <c r="R282" s="5"/>
      <c r="S282" s="5"/>
      <c r="T282" s="104"/>
    </row>
    <row r="283" spans="1:20" s="90" customFormat="1" ht="49.5" x14ac:dyDescent="0.5">
      <c r="A283" s="103" t="str">
        <f>_xlfn.XLOOKUP(B283,'Paso 3 Redacción RA'!I3:I21,'Paso 3 Redacción RA'!C3:C21,,0,1)</f>
        <v>Saber</v>
      </c>
      <c r="B283" s="92" t="s">
        <v>98</v>
      </c>
      <c r="C283" s="174">
        <v>9</v>
      </c>
      <c r="D283" s="174" t="s">
        <v>363</v>
      </c>
      <c r="E283" s="176" t="s">
        <v>364</v>
      </c>
      <c r="F283" s="174" t="s">
        <v>327</v>
      </c>
      <c r="G283" s="174"/>
      <c r="H283" s="174" t="s">
        <v>218</v>
      </c>
      <c r="I283" s="174"/>
      <c r="J283" s="174">
        <v>3</v>
      </c>
      <c r="K283" s="174">
        <f>12*J283</f>
        <v>36</v>
      </c>
      <c r="L283" s="174">
        <f>36*J283</f>
        <v>108</v>
      </c>
      <c r="M283" s="174">
        <f>SUM(K283:L283)</f>
        <v>144</v>
      </c>
      <c r="N283" s="172" t="s">
        <v>365</v>
      </c>
      <c r="O283" s="172" t="s">
        <v>231</v>
      </c>
      <c r="P283" s="172" t="s">
        <v>329</v>
      </c>
      <c r="Q283" s="172" t="s">
        <v>227</v>
      </c>
      <c r="R283" s="5"/>
      <c r="S283" s="5"/>
      <c r="T283" s="104"/>
    </row>
    <row r="284" spans="1:20" s="90" customFormat="1" x14ac:dyDescent="0.5">
      <c r="A284" s="90" t="str">
        <f>_xlfn.XLOOKUP(B284,'Paso 3 Redacción RA'!I4:I22,'Paso 3 Redacción RA'!C4:C22,,0,1)</f>
        <v>SaberHacer</v>
      </c>
      <c r="B284" s="72" t="s">
        <v>101</v>
      </c>
      <c r="C284" s="153"/>
      <c r="D284" s="153"/>
      <c r="E284" s="177"/>
      <c r="F284" s="153"/>
      <c r="G284" s="153"/>
      <c r="H284" s="153"/>
      <c r="I284" s="153"/>
      <c r="J284" s="153"/>
      <c r="K284" s="153"/>
      <c r="L284" s="153"/>
      <c r="M284" s="153"/>
      <c r="N284" s="155"/>
      <c r="O284" s="155"/>
      <c r="P284" s="155"/>
      <c r="Q284" s="155"/>
      <c r="R284" s="5"/>
      <c r="S284" s="5"/>
      <c r="T284" s="104"/>
    </row>
    <row r="285" spans="1:20" s="90" customFormat="1" ht="33" x14ac:dyDescent="0.5">
      <c r="A285" s="90" t="str">
        <f>_xlfn.XLOOKUP(B285,'Paso 3 Redacción RA'!I5:I23,'Paso 3 Redacción RA'!C5:C23,,0,1)</f>
        <v>SaberSer</v>
      </c>
      <c r="B285" s="72" t="s">
        <v>103</v>
      </c>
      <c r="C285" s="153"/>
      <c r="D285" s="153"/>
      <c r="E285" s="177"/>
      <c r="F285" s="153"/>
      <c r="G285" s="153"/>
      <c r="H285" s="153"/>
      <c r="I285" s="153"/>
      <c r="J285" s="153"/>
      <c r="K285" s="153"/>
      <c r="L285" s="153"/>
      <c r="M285" s="153"/>
      <c r="N285" s="155"/>
      <c r="O285" s="155"/>
      <c r="P285" s="155"/>
      <c r="Q285" s="155"/>
      <c r="R285" s="5"/>
      <c r="S285" s="5"/>
      <c r="T285" s="104"/>
    </row>
    <row r="286" spans="1:20" s="90" customFormat="1" ht="49.5" x14ac:dyDescent="0.5">
      <c r="A286" s="90" t="str">
        <f>_xlfn.XLOOKUP(B286,'Paso 3 Redacción RA'!I6:I24,'Paso 3 Redacción RA'!C6:C24,,0,1)</f>
        <v>SaberHacer</v>
      </c>
      <c r="B286" s="72" t="s">
        <v>104</v>
      </c>
      <c r="C286" s="153"/>
      <c r="D286" s="153"/>
      <c r="E286" s="177"/>
      <c r="F286" s="153"/>
      <c r="G286" s="153"/>
      <c r="H286" s="153"/>
      <c r="I286" s="153"/>
      <c r="J286" s="153"/>
      <c r="K286" s="153"/>
      <c r="L286" s="153"/>
      <c r="M286" s="153"/>
      <c r="N286" s="155"/>
      <c r="O286" s="155"/>
      <c r="P286" s="155"/>
      <c r="Q286" s="155"/>
      <c r="R286" s="5"/>
      <c r="S286" s="5"/>
      <c r="T286" s="104"/>
    </row>
    <row r="287" spans="1:20" s="90" customFormat="1" ht="33" x14ac:dyDescent="0.5">
      <c r="A287" s="90" t="str">
        <f>_xlfn.XLOOKUP(B287,'Paso 3 Redacción RA'!I7:I25,'Paso 3 Redacción RA'!C7:C25,,0,1)</f>
        <v>Saber</v>
      </c>
      <c r="B287" s="72" t="s">
        <v>107</v>
      </c>
      <c r="C287" s="153"/>
      <c r="D287" s="153"/>
      <c r="E287" s="177"/>
      <c r="F287" s="153"/>
      <c r="G287" s="153"/>
      <c r="H287" s="153"/>
      <c r="I287" s="153"/>
      <c r="J287" s="153"/>
      <c r="K287" s="153"/>
      <c r="L287" s="153"/>
      <c r="M287" s="153"/>
      <c r="N287" s="155"/>
      <c r="O287" s="155"/>
      <c r="P287" s="155"/>
      <c r="Q287" s="155"/>
      <c r="R287" s="5"/>
      <c r="S287" s="5"/>
      <c r="T287" s="104"/>
    </row>
    <row r="288" spans="1:20" s="90" customFormat="1" ht="33" x14ac:dyDescent="0.5">
      <c r="A288" s="90" t="str">
        <f>_xlfn.XLOOKUP(B288,'Paso 3 Redacción RA'!I8:I26,'Paso 3 Redacción RA'!C8:C26,,0,1)</f>
        <v>SaberHacer</v>
      </c>
      <c r="B288" s="72" t="s">
        <v>108</v>
      </c>
      <c r="C288" s="153"/>
      <c r="D288" s="153"/>
      <c r="E288" s="177"/>
      <c r="F288" s="153"/>
      <c r="G288" s="153"/>
      <c r="H288" s="153"/>
      <c r="I288" s="153"/>
      <c r="J288" s="153"/>
      <c r="K288" s="153"/>
      <c r="L288" s="153"/>
      <c r="M288" s="153"/>
      <c r="N288" s="155"/>
      <c r="O288" s="155"/>
      <c r="P288" s="155"/>
      <c r="Q288" s="155"/>
      <c r="R288" s="5"/>
      <c r="S288" s="5"/>
      <c r="T288" s="104"/>
    </row>
    <row r="289" spans="1:20" s="90" customFormat="1" ht="33" x14ac:dyDescent="0.5">
      <c r="A289" s="90" t="str">
        <f>_xlfn.XLOOKUP(B289,'Paso 3 Redacción RA'!I9:I27,'Paso 3 Redacción RA'!C9:C27,,0,1)</f>
        <v>SaberHacer</v>
      </c>
      <c r="B289" s="72" t="s">
        <v>109</v>
      </c>
      <c r="C289" s="153"/>
      <c r="D289" s="153"/>
      <c r="E289" s="177"/>
      <c r="F289" s="153"/>
      <c r="G289" s="153"/>
      <c r="H289" s="153"/>
      <c r="I289" s="153"/>
      <c r="J289" s="153"/>
      <c r="K289" s="153"/>
      <c r="L289" s="153"/>
      <c r="M289" s="153"/>
      <c r="N289" s="155"/>
      <c r="O289" s="155"/>
      <c r="P289" s="155"/>
      <c r="Q289" s="155"/>
      <c r="R289" s="5"/>
      <c r="S289" s="5"/>
      <c r="T289" s="104"/>
    </row>
    <row r="290" spans="1:20" s="90" customFormat="1" ht="33" x14ac:dyDescent="0.5">
      <c r="A290" s="90" t="str">
        <f>_xlfn.XLOOKUP(B290,'Paso 3 Redacción RA'!I3:I21,'Paso 3 Redacción RA'!C3:C21,,0,1)</f>
        <v>SaberHacer</v>
      </c>
      <c r="B290" s="72" t="s">
        <v>110</v>
      </c>
      <c r="C290" s="153"/>
      <c r="D290" s="153"/>
      <c r="E290" s="177"/>
      <c r="F290" s="153"/>
      <c r="G290" s="153"/>
      <c r="H290" s="153"/>
      <c r="I290" s="153"/>
      <c r="J290" s="153"/>
      <c r="K290" s="153"/>
      <c r="L290" s="153"/>
      <c r="M290" s="153"/>
      <c r="N290" s="155"/>
      <c r="O290" s="155"/>
      <c r="P290" s="155"/>
      <c r="Q290" s="155"/>
      <c r="R290" s="5"/>
      <c r="S290" s="5"/>
      <c r="T290" s="104"/>
    </row>
    <row r="291" spans="1:20" s="90" customFormat="1" ht="17" thickBot="1" x14ac:dyDescent="0.55000000000000004">
      <c r="A291" s="91" t="str">
        <f>_xlfn.XLOOKUP(B291,'Paso 3 Redacción RA'!I3:I21,'Paso 3 Redacción RA'!C3:C21,,0,1)</f>
        <v>SaberHacer</v>
      </c>
      <c r="B291" s="87" t="s">
        <v>111</v>
      </c>
      <c r="C291" s="175"/>
      <c r="D291" s="175"/>
      <c r="E291" s="178"/>
      <c r="F291" s="175"/>
      <c r="G291" s="175"/>
      <c r="H291" s="175"/>
      <c r="I291" s="175"/>
      <c r="J291" s="175"/>
      <c r="K291" s="175"/>
      <c r="L291" s="175"/>
      <c r="M291" s="175"/>
      <c r="N291" s="173"/>
      <c r="O291" s="173"/>
      <c r="P291" s="173"/>
      <c r="Q291" s="173"/>
      <c r="R291" s="5"/>
      <c r="S291" s="5"/>
      <c r="T291" s="104"/>
    </row>
    <row r="292" spans="1:20" s="90" customFormat="1" ht="17" thickBot="1" x14ac:dyDescent="0.55000000000000004">
      <c r="A292" s="105"/>
      <c r="B292" s="100"/>
      <c r="C292" s="106">
        <v>9</v>
      </c>
      <c r="D292" s="107" t="s">
        <v>366</v>
      </c>
      <c r="E292" s="100"/>
      <c r="F292" s="105"/>
      <c r="G292" s="109"/>
      <c r="H292" s="109"/>
      <c r="I292" s="109" t="s">
        <v>218</v>
      </c>
      <c r="J292" s="106">
        <v>3</v>
      </c>
      <c r="K292" s="107">
        <f>12*J292</f>
        <v>36</v>
      </c>
      <c r="L292" s="107">
        <f>36*J292</f>
        <v>108</v>
      </c>
      <c r="M292" s="106">
        <f>SUM(K292:L292)</f>
        <v>144</v>
      </c>
      <c r="N292" s="108"/>
      <c r="O292" s="108"/>
      <c r="P292" s="108"/>
      <c r="Q292" s="108"/>
      <c r="R292" s="5"/>
      <c r="S292" s="5"/>
      <c r="T292" s="104"/>
    </row>
    <row r="293" spans="1:20" s="90" customFormat="1" ht="17" thickBot="1" x14ac:dyDescent="0.55000000000000004">
      <c r="A293" s="105"/>
      <c r="B293" s="100"/>
      <c r="C293" s="139">
        <v>9</v>
      </c>
      <c r="D293" s="107" t="s">
        <v>367</v>
      </c>
      <c r="E293" s="108"/>
      <c r="F293" s="105"/>
      <c r="G293" s="109"/>
      <c r="H293" s="109"/>
      <c r="I293" s="109" t="s">
        <v>218</v>
      </c>
      <c r="J293" s="106">
        <v>3</v>
      </c>
      <c r="K293" s="107">
        <f>12*J293</f>
        <v>36</v>
      </c>
      <c r="L293" s="107">
        <f>36*J293</f>
        <v>108</v>
      </c>
      <c r="M293" s="106">
        <f>SUM(K293:L293)</f>
        <v>144</v>
      </c>
      <c r="N293" s="108"/>
      <c r="O293" s="108"/>
      <c r="P293" s="108"/>
      <c r="Q293" s="108"/>
      <c r="R293" s="5"/>
      <c r="S293" s="5"/>
      <c r="T293" s="104"/>
    </row>
    <row r="294" spans="1:20" s="112" customFormat="1" ht="32" x14ac:dyDescent="0.5">
      <c r="A294" s="110"/>
      <c r="B294" s="111"/>
      <c r="C294" s="140" t="s">
        <v>368</v>
      </c>
      <c r="D294" s="144">
        <f>COUNTA(D3:D293)</f>
        <v>47</v>
      </c>
      <c r="E294" s="143"/>
      <c r="F294" s="114"/>
      <c r="G294" s="114"/>
      <c r="H294" s="114"/>
      <c r="I294" s="145" t="s">
        <v>369</v>
      </c>
      <c r="J294" s="146">
        <f>SUM(J3:J293)</f>
        <v>141</v>
      </c>
      <c r="K294" s="117"/>
      <c r="L294" s="39"/>
      <c r="M294" s="114"/>
      <c r="N294" s="113"/>
      <c r="O294" s="113"/>
      <c r="P294" s="113"/>
      <c r="Q294" s="113"/>
      <c r="R294" s="113"/>
      <c r="S294" s="113"/>
      <c r="T294" s="115"/>
    </row>
    <row r="295" spans="1:20" s="112" customFormat="1" ht="48" x14ac:dyDescent="0.5">
      <c r="A295" s="110"/>
      <c r="B295" s="111"/>
      <c r="C295" s="114"/>
      <c r="D295" s="114"/>
      <c r="E295" s="142"/>
      <c r="F295" s="114"/>
      <c r="G295" s="114"/>
      <c r="H295" s="114"/>
      <c r="I295" s="147" t="s">
        <v>370</v>
      </c>
      <c r="J295" s="148">
        <f>SUMIF(G3:G293,"X",J3:J293)</f>
        <v>18</v>
      </c>
      <c r="K295" s="117"/>
      <c r="L295" s="114"/>
      <c r="M295" s="114"/>
      <c r="N295" s="113"/>
      <c r="O295" s="113"/>
      <c r="P295" s="113"/>
      <c r="Q295" s="113"/>
      <c r="R295" s="113"/>
      <c r="S295" s="113"/>
      <c r="T295" s="115"/>
    </row>
    <row r="296" spans="1:20" s="112" customFormat="1" ht="48" x14ac:dyDescent="0.5">
      <c r="A296" s="116"/>
      <c r="B296" s="111"/>
      <c r="C296" s="114"/>
      <c r="D296" s="114"/>
      <c r="E296" s="113"/>
      <c r="F296" s="114"/>
      <c r="G296" s="114"/>
      <c r="H296" s="114"/>
      <c r="I296" s="147" t="s">
        <v>371</v>
      </c>
      <c r="J296" s="148">
        <f>SUMIF(H3:H293,"X",J3:J293)</f>
        <v>111</v>
      </c>
      <c r="K296" s="117"/>
      <c r="L296" s="114"/>
      <c r="M296" s="114"/>
      <c r="N296" s="113"/>
      <c r="O296" s="113"/>
      <c r="P296" s="113"/>
      <c r="Q296" s="113"/>
      <c r="R296" s="113"/>
      <c r="S296" s="113"/>
      <c r="T296" s="115"/>
    </row>
    <row r="297" spans="1:20" s="112" customFormat="1" ht="32" x14ac:dyDescent="0.5">
      <c r="A297" s="116"/>
      <c r="B297" s="111"/>
      <c r="C297" s="114"/>
      <c r="D297" s="114"/>
      <c r="F297" s="114"/>
      <c r="G297" s="114"/>
      <c r="H297" s="114"/>
      <c r="I297" s="147" t="s">
        <v>372</v>
      </c>
      <c r="J297" s="148">
        <f>SUMIF(I3:I293,"X",J3:J293)</f>
        <v>12</v>
      </c>
      <c r="K297" s="118"/>
      <c r="L297" s="114"/>
      <c r="M297" s="114"/>
      <c r="N297" s="113"/>
      <c r="O297" s="113"/>
      <c r="P297" s="113"/>
      <c r="Q297" s="113"/>
      <c r="R297" s="113"/>
      <c r="S297" s="113"/>
      <c r="T297" s="115"/>
    </row>
    <row r="298" spans="1:20" x14ac:dyDescent="0.5">
      <c r="C298" s="6"/>
      <c r="F298" s="6"/>
      <c r="G298" s="6"/>
      <c r="H298" s="6"/>
      <c r="I298" s="6"/>
      <c r="J298" s="6"/>
      <c r="K298" s="6"/>
      <c r="L298" s="6"/>
      <c r="M298" s="6"/>
    </row>
    <row r="299" spans="1:20" x14ac:dyDescent="0.5">
      <c r="C299" s="6"/>
      <c r="F299" s="6"/>
      <c r="G299" s="6"/>
      <c r="H299" s="6"/>
      <c r="I299" s="6"/>
      <c r="J299" s="6"/>
      <c r="K299" s="6"/>
      <c r="L299" s="6"/>
      <c r="M299" s="6"/>
    </row>
    <row r="300" spans="1:20" x14ac:dyDescent="0.5">
      <c r="C300" s="6"/>
      <c r="F300" s="6"/>
      <c r="G300" s="6"/>
      <c r="H300" s="6"/>
      <c r="I300" s="6"/>
      <c r="J300" s="6"/>
      <c r="K300" s="6"/>
      <c r="L300" s="6"/>
      <c r="M300" s="6"/>
    </row>
    <row r="301" spans="1:20" x14ac:dyDescent="0.5">
      <c r="C301" s="6"/>
      <c r="F301" s="6"/>
      <c r="G301" s="6"/>
      <c r="H301" s="6"/>
      <c r="I301" s="6"/>
      <c r="J301" s="6"/>
      <c r="K301" s="6"/>
      <c r="L301" s="6"/>
      <c r="M301" s="6"/>
    </row>
    <row r="302" spans="1:20" x14ac:dyDescent="0.5">
      <c r="C302" s="6"/>
      <c r="F302" s="6"/>
      <c r="G302" s="6"/>
      <c r="H302" s="6"/>
      <c r="I302" s="6"/>
      <c r="J302" s="6"/>
      <c r="K302" s="6"/>
      <c r="L302" s="6"/>
      <c r="M302" s="6"/>
    </row>
    <row r="303" spans="1:20" x14ac:dyDescent="0.5">
      <c r="C303" s="6"/>
      <c r="F303" s="6"/>
      <c r="G303" s="6"/>
      <c r="H303" s="6"/>
      <c r="I303" s="6"/>
      <c r="J303" s="6"/>
      <c r="K303" s="6"/>
      <c r="L303" s="6"/>
      <c r="M303" s="6"/>
    </row>
    <row r="304" spans="1:20" x14ac:dyDescent="0.5">
      <c r="C304" s="6"/>
      <c r="F304" s="6"/>
      <c r="G304" s="6"/>
      <c r="H304" s="6"/>
      <c r="I304" s="6"/>
      <c r="J304" s="6"/>
      <c r="K304" s="6"/>
      <c r="L304" s="6"/>
      <c r="M304" s="6"/>
    </row>
    <row r="306" spans="5:5" x14ac:dyDescent="0.5">
      <c r="E306" s="113"/>
    </row>
  </sheetData>
  <mergeCells count="556">
    <mergeCell ref="G1:I1"/>
    <mergeCell ref="C5:C9"/>
    <mergeCell ref="D5:D9"/>
    <mergeCell ref="E5:E9"/>
    <mergeCell ref="F5:F9"/>
    <mergeCell ref="G5:G9"/>
    <mergeCell ref="H5:H9"/>
    <mergeCell ref="O5:O9"/>
    <mergeCell ref="P5:P9"/>
    <mergeCell ref="Q5:Q9"/>
    <mergeCell ref="C10:C14"/>
    <mergeCell ref="D10:D14"/>
    <mergeCell ref="E10:E14"/>
    <mergeCell ref="F10:F14"/>
    <mergeCell ref="G10:G14"/>
    <mergeCell ref="I5:I9"/>
    <mergeCell ref="J5:J9"/>
    <mergeCell ref="K5:K9"/>
    <mergeCell ref="L5:L9"/>
    <mergeCell ref="M5:M9"/>
    <mergeCell ref="N5:N9"/>
    <mergeCell ref="N10:N14"/>
    <mergeCell ref="O10:O14"/>
    <mergeCell ref="P10:P14"/>
    <mergeCell ref="Q10:Q14"/>
    <mergeCell ref="K10:K14"/>
    <mergeCell ref="L10:L14"/>
    <mergeCell ref="M10:M14"/>
    <mergeCell ref="C15:C18"/>
    <mergeCell ref="D15:D18"/>
    <mergeCell ref="E15:E18"/>
    <mergeCell ref="F15:F18"/>
    <mergeCell ref="H10:H14"/>
    <mergeCell ref="I10:I14"/>
    <mergeCell ref="J10:J14"/>
    <mergeCell ref="M15:M18"/>
    <mergeCell ref="N15:N18"/>
    <mergeCell ref="O15:O18"/>
    <mergeCell ref="P15:P18"/>
    <mergeCell ref="Q15:Q18"/>
    <mergeCell ref="G15:G18"/>
    <mergeCell ref="H15:H18"/>
    <mergeCell ref="I15:I18"/>
    <mergeCell ref="J15:J18"/>
    <mergeCell ref="K15:K18"/>
    <mergeCell ref="L15:L18"/>
    <mergeCell ref="P20:P23"/>
    <mergeCell ref="Q20:Q23"/>
    <mergeCell ref="C24:C29"/>
    <mergeCell ref="D24:D29"/>
    <mergeCell ref="E24:E29"/>
    <mergeCell ref="G20:G23"/>
    <mergeCell ref="H20:H23"/>
    <mergeCell ref="I20:I23"/>
    <mergeCell ref="J20:J23"/>
    <mergeCell ref="K20:K23"/>
    <mergeCell ref="L20:L23"/>
    <mergeCell ref="C20:C23"/>
    <mergeCell ref="D20:D23"/>
    <mergeCell ref="E20:E23"/>
    <mergeCell ref="F20:F23"/>
    <mergeCell ref="O24:O29"/>
    <mergeCell ref="P24:P29"/>
    <mergeCell ref="Q24:Q29"/>
    <mergeCell ref="F24:F29"/>
    <mergeCell ref="G24:G29"/>
    <mergeCell ref="H24:H29"/>
    <mergeCell ref="C30:C33"/>
    <mergeCell ref="D30:D33"/>
    <mergeCell ref="E30:E33"/>
    <mergeCell ref="F30:F33"/>
    <mergeCell ref="L24:L29"/>
    <mergeCell ref="M24:M29"/>
    <mergeCell ref="M20:M23"/>
    <mergeCell ref="N20:N23"/>
    <mergeCell ref="O20:O23"/>
    <mergeCell ref="N24:N29"/>
    <mergeCell ref="I24:I29"/>
    <mergeCell ref="J24:J29"/>
    <mergeCell ref="K24:K29"/>
    <mergeCell ref="P34:P41"/>
    <mergeCell ref="Q34:Q41"/>
    <mergeCell ref="F34:F41"/>
    <mergeCell ref="G34:G41"/>
    <mergeCell ref="H34:H41"/>
    <mergeCell ref="I34:I41"/>
    <mergeCell ref="J34:J41"/>
    <mergeCell ref="K34:K41"/>
    <mergeCell ref="M30:M33"/>
    <mergeCell ref="N30:N33"/>
    <mergeCell ref="O30:O33"/>
    <mergeCell ref="P30:P33"/>
    <mergeCell ref="Q30:Q33"/>
    <mergeCell ref="G30:G33"/>
    <mergeCell ref="H30:H33"/>
    <mergeCell ref="I30:I33"/>
    <mergeCell ref="J30:J33"/>
    <mergeCell ref="K30:K33"/>
    <mergeCell ref="L30:L33"/>
    <mergeCell ref="C44:C52"/>
    <mergeCell ref="D44:D52"/>
    <mergeCell ref="E44:E52"/>
    <mergeCell ref="L34:L41"/>
    <mergeCell ref="M34:M41"/>
    <mergeCell ref="N34:N41"/>
    <mergeCell ref="O34:O41"/>
    <mergeCell ref="C34:C41"/>
    <mergeCell ref="D34:D41"/>
    <mergeCell ref="E34:E41"/>
    <mergeCell ref="L44:L52"/>
    <mergeCell ref="M44:M52"/>
    <mergeCell ref="N44:N52"/>
    <mergeCell ref="O44:O52"/>
    <mergeCell ref="P44:P52"/>
    <mergeCell ref="Q44:Q52"/>
    <mergeCell ref="F44:F52"/>
    <mergeCell ref="G44:G52"/>
    <mergeCell ref="H44:H52"/>
    <mergeCell ref="I44:I52"/>
    <mergeCell ref="J44:J52"/>
    <mergeCell ref="K44:K52"/>
    <mergeCell ref="M53:M60"/>
    <mergeCell ref="N53:N60"/>
    <mergeCell ref="O53:O60"/>
    <mergeCell ref="P53:P60"/>
    <mergeCell ref="Q53:Q60"/>
    <mergeCell ref="K53:K60"/>
    <mergeCell ref="L53:L60"/>
    <mergeCell ref="C68:C74"/>
    <mergeCell ref="D68:D74"/>
    <mergeCell ref="E68:E74"/>
    <mergeCell ref="G53:G60"/>
    <mergeCell ref="H53:H60"/>
    <mergeCell ref="I53:I60"/>
    <mergeCell ref="J53:J60"/>
    <mergeCell ref="C53:C60"/>
    <mergeCell ref="D53:D60"/>
    <mergeCell ref="E53:E60"/>
    <mergeCell ref="F53:F60"/>
    <mergeCell ref="C61:C67"/>
    <mergeCell ref="D61:D67"/>
    <mergeCell ref="E61:E67"/>
    <mergeCell ref="L68:L74"/>
    <mergeCell ref="M68:M74"/>
    <mergeCell ref="N68:N74"/>
    <mergeCell ref="O68:O74"/>
    <mergeCell ref="P68:P74"/>
    <mergeCell ref="Q68:Q74"/>
    <mergeCell ref="F68:F74"/>
    <mergeCell ref="G68:G74"/>
    <mergeCell ref="H68:H74"/>
    <mergeCell ref="I68:I74"/>
    <mergeCell ref="J68:J74"/>
    <mergeCell ref="K68:K74"/>
    <mergeCell ref="M76:M83"/>
    <mergeCell ref="N76:N83"/>
    <mergeCell ref="O76:O83"/>
    <mergeCell ref="P76:P83"/>
    <mergeCell ref="Q76:Q83"/>
    <mergeCell ref="C84:C92"/>
    <mergeCell ref="D84:D92"/>
    <mergeCell ref="E84:E92"/>
    <mergeCell ref="G76:G83"/>
    <mergeCell ref="H76:H83"/>
    <mergeCell ref="I76:I83"/>
    <mergeCell ref="J76:J83"/>
    <mergeCell ref="K76:K83"/>
    <mergeCell ref="L76:L83"/>
    <mergeCell ref="C76:C83"/>
    <mergeCell ref="D76:D83"/>
    <mergeCell ref="E76:E83"/>
    <mergeCell ref="F76:F83"/>
    <mergeCell ref="L84:L92"/>
    <mergeCell ref="M84:M92"/>
    <mergeCell ref="N84:N92"/>
    <mergeCell ref="O84:O92"/>
    <mergeCell ref="P84:P92"/>
    <mergeCell ref="Q84:Q92"/>
    <mergeCell ref="F84:F92"/>
    <mergeCell ref="G84:G92"/>
    <mergeCell ref="H84:H92"/>
    <mergeCell ref="I84:I92"/>
    <mergeCell ref="J84:J92"/>
    <mergeCell ref="K84:K92"/>
    <mergeCell ref="M93:M99"/>
    <mergeCell ref="N93:N99"/>
    <mergeCell ref="O93:O99"/>
    <mergeCell ref="P93:P99"/>
    <mergeCell ref="Q93:Q99"/>
    <mergeCell ref="C100:C107"/>
    <mergeCell ref="D100:D107"/>
    <mergeCell ref="E100:E107"/>
    <mergeCell ref="G93:G99"/>
    <mergeCell ref="H93:H99"/>
    <mergeCell ref="I93:I99"/>
    <mergeCell ref="J93:J99"/>
    <mergeCell ref="K93:K99"/>
    <mergeCell ref="L93:L99"/>
    <mergeCell ref="C93:C99"/>
    <mergeCell ref="D93:D99"/>
    <mergeCell ref="E93:E99"/>
    <mergeCell ref="F93:F99"/>
    <mergeCell ref="L100:L107"/>
    <mergeCell ref="M100:M107"/>
    <mergeCell ref="N100:N107"/>
    <mergeCell ref="O100:O107"/>
    <mergeCell ref="P100:P107"/>
    <mergeCell ref="Q100:Q107"/>
    <mergeCell ref="F100:F107"/>
    <mergeCell ref="G100:G107"/>
    <mergeCell ref="H100:H107"/>
    <mergeCell ref="I100:I107"/>
    <mergeCell ref="J100:J107"/>
    <mergeCell ref="K100:K107"/>
    <mergeCell ref="M108:M114"/>
    <mergeCell ref="N108:N114"/>
    <mergeCell ref="O108:O114"/>
    <mergeCell ref="P108:P114"/>
    <mergeCell ref="Q108:Q114"/>
    <mergeCell ref="C115:C121"/>
    <mergeCell ref="D115:D121"/>
    <mergeCell ref="E115:E121"/>
    <mergeCell ref="G108:G114"/>
    <mergeCell ref="H108:H114"/>
    <mergeCell ref="I108:I114"/>
    <mergeCell ref="J108:J114"/>
    <mergeCell ref="K108:K114"/>
    <mergeCell ref="L108:L114"/>
    <mergeCell ref="C108:C114"/>
    <mergeCell ref="D108:D114"/>
    <mergeCell ref="E108:E114"/>
    <mergeCell ref="F108:F114"/>
    <mergeCell ref="L115:L121"/>
    <mergeCell ref="M115:M121"/>
    <mergeCell ref="N115:N121"/>
    <mergeCell ref="O115:O121"/>
    <mergeCell ref="P115:P121"/>
    <mergeCell ref="Q115:Q121"/>
    <mergeCell ref="F115:F121"/>
    <mergeCell ref="G115:G121"/>
    <mergeCell ref="H115:H121"/>
    <mergeCell ref="I115:I121"/>
    <mergeCell ref="J115:J121"/>
    <mergeCell ref="K115:K121"/>
    <mergeCell ref="P122:P128"/>
    <mergeCell ref="Q122:Q128"/>
    <mergeCell ref="C129:C136"/>
    <mergeCell ref="D129:D136"/>
    <mergeCell ref="E129:E136"/>
    <mergeCell ref="G122:G128"/>
    <mergeCell ref="H122:H128"/>
    <mergeCell ref="I122:I128"/>
    <mergeCell ref="J122:J128"/>
    <mergeCell ref="K122:K128"/>
    <mergeCell ref="L122:L128"/>
    <mergeCell ref="C122:C128"/>
    <mergeCell ref="D122:D128"/>
    <mergeCell ref="E122:E128"/>
    <mergeCell ref="F122:F128"/>
    <mergeCell ref="O129:O136"/>
    <mergeCell ref="P129:P136"/>
    <mergeCell ref="Q129:Q136"/>
    <mergeCell ref="F129:F136"/>
    <mergeCell ref="G129:G136"/>
    <mergeCell ref="H129:H136"/>
    <mergeCell ref="C137:C144"/>
    <mergeCell ref="D137:D144"/>
    <mergeCell ref="E137:E144"/>
    <mergeCell ref="F137:F144"/>
    <mergeCell ref="L129:L136"/>
    <mergeCell ref="M129:M136"/>
    <mergeCell ref="M122:M128"/>
    <mergeCell ref="N122:N128"/>
    <mergeCell ref="O122:O128"/>
    <mergeCell ref="N129:N136"/>
    <mergeCell ref="I129:I136"/>
    <mergeCell ref="J129:J136"/>
    <mergeCell ref="K129:K136"/>
    <mergeCell ref="P161:P168"/>
    <mergeCell ref="Q161:Q168"/>
    <mergeCell ref="F161:F168"/>
    <mergeCell ref="G161:G168"/>
    <mergeCell ref="H161:H168"/>
    <mergeCell ref="I161:I168"/>
    <mergeCell ref="J161:J168"/>
    <mergeCell ref="K161:K168"/>
    <mergeCell ref="M137:M144"/>
    <mergeCell ref="N137:N144"/>
    <mergeCell ref="O137:O144"/>
    <mergeCell ref="P137:P144"/>
    <mergeCell ref="Q137:Q144"/>
    <mergeCell ref="G137:G144"/>
    <mergeCell ref="H137:H144"/>
    <mergeCell ref="I137:I144"/>
    <mergeCell ref="J137:J144"/>
    <mergeCell ref="K137:K144"/>
    <mergeCell ref="L137:L144"/>
    <mergeCell ref="P154:P160"/>
    <mergeCell ref="Q154:Q160"/>
    <mergeCell ref="M145:M153"/>
    <mergeCell ref="N145:N153"/>
    <mergeCell ref="O145:O153"/>
    <mergeCell ref="C154:C160"/>
    <mergeCell ref="D154:D160"/>
    <mergeCell ref="E154:E160"/>
    <mergeCell ref="L161:L168"/>
    <mergeCell ref="M161:M168"/>
    <mergeCell ref="N161:N168"/>
    <mergeCell ref="O161:O168"/>
    <mergeCell ref="C161:C168"/>
    <mergeCell ref="D161:D168"/>
    <mergeCell ref="E161:E168"/>
    <mergeCell ref="L154:L160"/>
    <mergeCell ref="M154:M160"/>
    <mergeCell ref="N154:N160"/>
    <mergeCell ref="O154:O160"/>
    <mergeCell ref="F154:F160"/>
    <mergeCell ref="G154:G160"/>
    <mergeCell ref="H154:H160"/>
    <mergeCell ref="I154:I160"/>
    <mergeCell ref="J154:J160"/>
    <mergeCell ref="K154:K160"/>
    <mergeCell ref="P145:P153"/>
    <mergeCell ref="Q145:Q153"/>
    <mergeCell ref="K145:K153"/>
    <mergeCell ref="L145:L153"/>
    <mergeCell ref="C169:C176"/>
    <mergeCell ref="D169:D176"/>
    <mergeCell ref="E169:E176"/>
    <mergeCell ref="G145:G153"/>
    <mergeCell ref="H145:H153"/>
    <mergeCell ref="I145:I153"/>
    <mergeCell ref="J145:J153"/>
    <mergeCell ref="C145:C153"/>
    <mergeCell ref="D145:D153"/>
    <mergeCell ref="E145:E153"/>
    <mergeCell ref="F145:F153"/>
    <mergeCell ref="L169:L176"/>
    <mergeCell ref="M169:M176"/>
    <mergeCell ref="N169:N176"/>
    <mergeCell ref="O169:O176"/>
    <mergeCell ref="P169:P176"/>
    <mergeCell ref="Q169:Q176"/>
    <mergeCell ref="F169:F176"/>
    <mergeCell ref="G169:G176"/>
    <mergeCell ref="H169:H176"/>
    <mergeCell ref="I169:I176"/>
    <mergeCell ref="J169:J176"/>
    <mergeCell ref="K169:K176"/>
    <mergeCell ref="M177:M185"/>
    <mergeCell ref="N177:N185"/>
    <mergeCell ref="O177:O185"/>
    <mergeCell ref="P177:P185"/>
    <mergeCell ref="Q177:Q185"/>
    <mergeCell ref="C186:C194"/>
    <mergeCell ref="D186:D194"/>
    <mergeCell ref="E186:E194"/>
    <mergeCell ref="G177:G185"/>
    <mergeCell ref="H177:H185"/>
    <mergeCell ref="I177:I185"/>
    <mergeCell ref="J177:J185"/>
    <mergeCell ref="K177:K185"/>
    <mergeCell ref="L177:L185"/>
    <mergeCell ref="C177:C185"/>
    <mergeCell ref="D177:D185"/>
    <mergeCell ref="E177:E185"/>
    <mergeCell ref="F177:F185"/>
    <mergeCell ref="L186:L194"/>
    <mergeCell ref="M186:M194"/>
    <mergeCell ref="N186:N194"/>
    <mergeCell ref="O186:O194"/>
    <mergeCell ref="P186:P194"/>
    <mergeCell ref="Q186:Q194"/>
    <mergeCell ref="O195:O200"/>
    <mergeCell ref="P195:P200"/>
    <mergeCell ref="Q195:Q200"/>
    <mergeCell ref="F195:F200"/>
    <mergeCell ref="G195:G200"/>
    <mergeCell ref="H195:H200"/>
    <mergeCell ref="I195:I200"/>
    <mergeCell ref="J195:J200"/>
    <mergeCell ref="K195:K200"/>
    <mergeCell ref="L195:L200"/>
    <mergeCell ref="M195:M200"/>
    <mergeCell ref="N195:N200"/>
    <mergeCell ref="C195:C200"/>
    <mergeCell ref="D195:D200"/>
    <mergeCell ref="E195:E200"/>
    <mergeCell ref="F186:F194"/>
    <mergeCell ref="G186:G194"/>
    <mergeCell ref="H186:H194"/>
    <mergeCell ref="I186:I194"/>
    <mergeCell ref="J186:J194"/>
    <mergeCell ref="K186:K194"/>
    <mergeCell ref="M201:M208"/>
    <mergeCell ref="N201:N208"/>
    <mergeCell ref="O201:O208"/>
    <mergeCell ref="P201:P208"/>
    <mergeCell ref="Q201:Q208"/>
    <mergeCell ref="G209:G217"/>
    <mergeCell ref="C201:C208"/>
    <mergeCell ref="D201:D208"/>
    <mergeCell ref="E201:E208"/>
    <mergeCell ref="F201:F208"/>
    <mergeCell ref="E254:E262"/>
    <mergeCell ref="G201:G208"/>
    <mergeCell ref="H201:H208"/>
    <mergeCell ref="I201:I208"/>
    <mergeCell ref="J201:J208"/>
    <mergeCell ref="K201:K208"/>
    <mergeCell ref="L201:L208"/>
    <mergeCell ref="J245:J253"/>
    <mergeCell ref="K245:K253"/>
    <mergeCell ref="L245:L253"/>
    <mergeCell ref="I236:I244"/>
    <mergeCell ref="J236:J244"/>
    <mergeCell ref="K236:K244"/>
    <mergeCell ref="F236:F244"/>
    <mergeCell ref="G227:G235"/>
    <mergeCell ref="H227:H235"/>
    <mergeCell ref="I227:I235"/>
    <mergeCell ref="J227:J235"/>
    <mergeCell ref="K227:K235"/>
    <mergeCell ref="L227:L235"/>
    <mergeCell ref="G236:G244"/>
    <mergeCell ref="H236:H244"/>
    <mergeCell ref="L236:L244"/>
    <mergeCell ref="P254:P262"/>
    <mergeCell ref="Q254:Q262"/>
    <mergeCell ref="Q265:Q273"/>
    <mergeCell ref="M274:M282"/>
    <mergeCell ref="N274:N282"/>
    <mergeCell ref="O274:O282"/>
    <mergeCell ref="M209:M217"/>
    <mergeCell ref="N209:N217"/>
    <mergeCell ref="O209:O217"/>
    <mergeCell ref="P209:P217"/>
    <mergeCell ref="Q209:Q217"/>
    <mergeCell ref="Q218:Q226"/>
    <mergeCell ref="M236:M244"/>
    <mergeCell ref="N236:N244"/>
    <mergeCell ref="M245:M253"/>
    <mergeCell ref="N245:N253"/>
    <mergeCell ref="O227:O235"/>
    <mergeCell ref="P227:P235"/>
    <mergeCell ref="Q227:Q235"/>
    <mergeCell ref="O236:O244"/>
    <mergeCell ref="P236:P244"/>
    <mergeCell ref="N227:N235"/>
    <mergeCell ref="Q236:Q244"/>
    <mergeCell ref="M265:M273"/>
    <mergeCell ref="L61:L67"/>
    <mergeCell ref="M61:M67"/>
    <mergeCell ref="N61:N67"/>
    <mergeCell ref="O61:O67"/>
    <mergeCell ref="P61:P67"/>
    <mergeCell ref="Q61:Q67"/>
    <mergeCell ref="F61:F67"/>
    <mergeCell ref="G61:G67"/>
    <mergeCell ref="H61:H67"/>
    <mergeCell ref="I61:I67"/>
    <mergeCell ref="J61:J67"/>
    <mergeCell ref="K61:K67"/>
    <mergeCell ref="C218:C226"/>
    <mergeCell ref="D218:D226"/>
    <mergeCell ref="E218:E226"/>
    <mergeCell ref="C209:C217"/>
    <mergeCell ref="D209:D217"/>
    <mergeCell ref="E209:E217"/>
    <mergeCell ref="F209:F217"/>
    <mergeCell ref="O218:O226"/>
    <mergeCell ref="P218:P226"/>
    <mergeCell ref="F218:F226"/>
    <mergeCell ref="G218:G226"/>
    <mergeCell ref="H218:H226"/>
    <mergeCell ref="I218:I226"/>
    <mergeCell ref="J218:J226"/>
    <mergeCell ref="K218:K226"/>
    <mergeCell ref="H209:H217"/>
    <mergeCell ref="I209:I217"/>
    <mergeCell ref="J209:J217"/>
    <mergeCell ref="K209:K217"/>
    <mergeCell ref="L209:L217"/>
    <mergeCell ref="L218:L226"/>
    <mergeCell ref="M218:M226"/>
    <mergeCell ref="N218:N226"/>
    <mergeCell ref="N265:N273"/>
    <mergeCell ref="O265:O273"/>
    <mergeCell ref="C227:C235"/>
    <mergeCell ref="D227:D235"/>
    <mergeCell ref="E227:E235"/>
    <mergeCell ref="F227:F235"/>
    <mergeCell ref="C274:C282"/>
    <mergeCell ref="D274:D282"/>
    <mergeCell ref="E274:E282"/>
    <mergeCell ref="G265:G273"/>
    <mergeCell ref="H265:H273"/>
    <mergeCell ref="I265:I273"/>
    <mergeCell ref="J265:J273"/>
    <mergeCell ref="K265:K273"/>
    <mergeCell ref="L265:L273"/>
    <mergeCell ref="C265:C273"/>
    <mergeCell ref="D265:D273"/>
    <mergeCell ref="E265:E273"/>
    <mergeCell ref="C236:C244"/>
    <mergeCell ref="D236:D244"/>
    <mergeCell ref="E236:E244"/>
    <mergeCell ref="F265:F273"/>
    <mergeCell ref="M227:M235"/>
    <mergeCell ref="L274:L282"/>
    <mergeCell ref="G283:G291"/>
    <mergeCell ref="H283:H291"/>
    <mergeCell ref="I283:I291"/>
    <mergeCell ref="J283:J291"/>
    <mergeCell ref="K283:K291"/>
    <mergeCell ref="L283:L291"/>
    <mergeCell ref="C283:C291"/>
    <mergeCell ref="D283:D291"/>
    <mergeCell ref="E283:E291"/>
    <mergeCell ref="F283:F291"/>
    <mergeCell ref="F274:F282"/>
    <mergeCell ref="G274:G282"/>
    <mergeCell ref="H274:H282"/>
    <mergeCell ref="F254:F262"/>
    <mergeCell ref="G254:G262"/>
    <mergeCell ref="H254:H262"/>
    <mergeCell ref="I254:I262"/>
    <mergeCell ref="J254:J262"/>
    <mergeCell ref="K254:K262"/>
    <mergeCell ref="K274:K282"/>
    <mergeCell ref="I274:I282"/>
    <mergeCell ref="J274:J282"/>
    <mergeCell ref="Q245:Q253"/>
    <mergeCell ref="G245:G253"/>
    <mergeCell ref="H245:H253"/>
    <mergeCell ref="I245:I253"/>
    <mergeCell ref="C245:C253"/>
    <mergeCell ref="D245:D253"/>
    <mergeCell ref="E245:E253"/>
    <mergeCell ref="F245:F253"/>
    <mergeCell ref="M283:M291"/>
    <mergeCell ref="N283:N291"/>
    <mergeCell ref="O283:O291"/>
    <mergeCell ref="P283:P291"/>
    <mergeCell ref="L254:L262"/>
    <mergeCell ref="M254:M262"/>
    <mergeCell ref="N254:N262"/>
    <mergeCell ref="O254:O262"/>
    <mergeCell ref="O245:O253"/>
    <mergeCell ref="P245:P253"/>
    <mergeCell ref="Q283:Q291"/>
    <mergeCell ref="P274:P282"/>
    <mergeCell ref="Q274:Q282"/>
    <mergeCell ref="C254:C262"/>
    <mergeCell ref="D254:D262"/>
    <mergeCell ref="P265:P273"/>
  </mergeCells>
  <dataValidations count="1">
    <dataValidation type="list" allowBlank="1" showInputMessage="1" showErrorMessage="1" sqref="E15:E18" xr:uid="{4EE7D65F-3F69-49E7-B092-7272D91469BC}">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FA2316-A067-480A-879A-79065E3BF567}">
          <x14:formula1>
            <xm:f>'Paso 3 Redacción RA'!$I$3:$I$21</xm:f>
          </x14:formula1>
          <xm:sqref>B3:B153 B154:B293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B31" sqref="B31"/>
    </sheetView>
  </sheetViews>
  <sheetFormatPr baseColWidth="10" defaultColWidth="9.1796875" defaultRowHeight="14.5" x14ac:dyDescent="0.35"/>
  <cols>
    <col min="2" max="2" width="29.26953125" customWidth="1"/>
  </cols>
  <sheetData>
    <row r="1" spans="2:2" ht="16.5" x14ac:dyDescent="0.5">
      <c r="B1" s="1" t="s">
        <v>373</v>
      </c>
    </row>
    <row r="2" spans="2:2" ht="16.5" x14ac:dyDescent="0.5">
      <c r="B2" s="1" t="s">
        <v>374</v>
      </c>
    </row>
    <row r="3" spans="2:2" ht="16.5" x14ac:dyDescent="0.5">
      <c r="B3" s="1" t="s">
        <v>375</v>
      </c>
    </row>
    <row r="4" spans="2:2" ht="16.5" x14ac:dyDescent="0.5">
      <c r="B4" s="1" t="s">
        <v>376</v>
      </c>
    </row>
    <row r="5" spans="2:2" ht="16.5" x14ac:dyDescent="0.5">
      <c r="B5" s="1" t="s">
        <v>377</v>
      </c>
    </row>
    <row r="6" spans="2:2" ht="16.5" x14ac:dyDescent="0.5">
      <c r="B6" s="1" t="s">
        <v>378</v>
      </c>
    </row>
    <row r="7" spans="2:2" ht="16.5" x14ac:dyDescent="0.5">
      <c r="B7" s="1" t="s">
        <v>379</v>
      </c>
    </row>
    <row r="8" spans="2:2" ht="16.5" x14ac:dyDescent="0.5">
      <c r="B8" s="1" t="s">
        <v>380</v>
      </c>
    </row>
    <row r="9" spans="2:2" ht="16.5" x14ac:dyDescent="0.5">
      <c r="B9" s="1" t="s">
        <v>66</v>
      </c>
    </row>
    <row r="10" spans="2:2" ht="16.5" x14ac:dyDescent="0.5">
      <c r="B10" s="1" t="s">
        <v>381</v>
      </c>
    </row>
    <row r="11" spans="2:2" ht="16.5" x14ac:dyDescent="0.5">
      <c r="B11" s="1" t="s">
        <v>382</v>
      </c>
    </row>
    <row r="12" spans="2:2" ht="16.5" x14ac:dyDescent="0.5">
      <c r="B12" s="1" t="s">
        <v>383</v>
      </c>
    </row>
    <row r="13" spans="2:2" ht="16.5" x14ac:dyDescent="0.5">
      <c r="B13" s="1" t="s">
        <v>384</v>
      </c>
    </row>
    <row r="14" spans="2:2" ht="16.5" x14ac:dyDescent="0.5">
      <c r="B14" s="1" t="s">
        <v>385</v>
      </c>
    </row>
    <row r="15" spans="2:2" ht="16.5" x14ac:dyDescent="0.5">
      <c r="B15" s="1" t="s">
        <v>62</v>
      </c>
    </row>
    <row r="16" spans="2:2" ht="16.5" x14ac:dyDescent="0.5">
      <c r="B16" s="1" t="s">
        <v>386</v>
      </c>
    </row>
    <row r="17" spans="2:2" ht="16.5" x14ac:dyDescent="0.5">
      <c r="B17" s="1" t="s">
        <v>387</v>
      </c>
    </row>
    <row r="18" spans="2:2" ht="16.5" x14ac:dyDescent="0.5">
      <c r="B18" s="1" t="s">
        <v>388</v>
      </c>
    </row>
    <row r="19" spans="2:2" ht="16.5" x14ac:dyDescent="0.5">
      <c r="B19" s="1" t="s">
        <v>389</v>
      </c>
    </row>
    <row r="20" spans="2:2" ht="16.5" x14ac:dyDescent="0.5">
      <c r="B20" s="1" t="s">
        <v>390</v>
      </c>
    </row>
    <row r="21" spans="2:2" ht="16.5" x14ac:dyDescent="0.5">
      <c r="B21" s="1" t="s">
        <v>391</v>
      </c>
    </row>
    <row r="22" spans="2:2" ht="16.5" x14ac:dyDescent="0.5">
      <c r="B22" s="1" t="s">
        <v>392</v>
      </c>
    </row>
    <row r="23" spans="2:2" ht="16.5" x14ac:dyDescent="0.5">
      <c r="B23" s="1" t="s">
        <v>393</v>
      </c>
    </row>
    <row r="24" spans="2:2" ht="16.5" x14ac:dyDescent="0.5">
      <c r="B24" s="1" t="s">
        <v>394</v>
      </c>
    </row>
    <row r="25" spans="2:2" ht="16.5" x14ac:dyDescent="0.5">
      <c r="B25" s="1" t="s">
        <v>395</v>
      </c>
    </row>
    <row r="26" spans="2:2" ht="16.5" x14ac:dyDescent="0.5">
      <c r="B26" s="1" t="s">
        <v>396</v>
      </c>
    </row>
    <row r="27" spans="2:2" ht="16.5" x14ac:dyDescent="0.5">
      <c r="B27" s="1" t="s">
        <v>397</v>
      </c>
    </row>
    <row r="28" spans="2:2" ht="16.5" x14ac:dyDescent="0.5">
      <c r="B28" s="1" t="s">
        <v>398</v>
      </c>
    </row>
    <row r="29" spans="2:2" ht="16.5" x14ac:dyDescent="0.5">
      <c r="B29" s="1" t="s">
        <v>399</v>
      </c>
    </row>
    <row r="30" spans="2:2" ht="16.5" x14ac:dyDescent="0.5">
      <c r="B30" s="1" t="s">
        <v>400</v>
      </c>
    </row>
    <row r="31" spans="2:2" ht="16.5" x14ac:dyDescent="0.5">
      <c r="B31" s="1" t="s">
        <v>401</v>
      </c>
    </row>
    <row r="32" spans="2:2" ht="16.5" x14ac:dyDescent="0.5">
      <c r="B32" s="1" t="s">
        <v>402</v>
      </c>
    </row>
    <row r="33" spans="2:2" ht="16.5" x14ac:dyDescent="0.5">
      <c r="B33" s="1" t="s">
        <v>403</v>
      </c>
    </row>
    <row r="34" spans="2:2" ht="16.5" x14ac:dyDescent="0.5">
      <c r="B34" s="1" t="s">
        <v>404</v>
      </c>
    </row>
    <row r="35" spans="2:2" ht="16.5" x14ac:dyDescent="0.5">
      <c r="B35" s="1" t="s">
        <v>405</v>
      </c>
    </row>
    <row r="36" spans="2:2" ht="16.5" x14ac:dyDescent="0.5">
      <c r="B36" s="1" t="s">
        <v>406</v>
      </c>
    </row>
    <row r="37" spans="2:2" ht="16.5" x14ac:dyDescent="0.5">
      <c r="B37" s="1" t="s">
        <v>407</v>
      </c>
    </row>
    <row r="38" spans="2:2" ht="16.5" x14ac:dyDescent="0.5">
      <c r="B38" s="1" t="s">
        <v>97</v>
      </c>
    </row>
    <row r="39" spans="2:2" ht="16.5" x14ac:dyDescent="0.5">
      <c r="B39" s="1" t="s">
        <v>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zoomScale="70" zoomScaleNormal="70" workbookViewId="0">
      <selection activeCell="AD45" sqref="AD45"/>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86" t="s">
        <v>408</v>
      </c>
      <c r="T1" s="186"/>
      <c r="U1" s="186"/>
      <c r="V1" s="186"/>
      <c r="W1" s="186"/>
      <c r="X1" s="186"/>
      <c r="Y1" s="186"/>
      <c r="Z1" s="186"/>
      <c r="AA1" s="186"/>
      <c r="AB1" s="186"/>
      <c r="AC1" s="186"/>
      <c r="AD1" s="186"/>
      <c r="AE1" s="186"/>
      <c r="AF1" s="186"/>
      <c r="AG1" s="186"/>
      <c r="AH1" s="14"/>
      <c r="AI1" s="14"/>
      <c r="AJ1" s="14"/>
      <c r="AK1" s="1"/>
      <c r="AL1" s="187" t="s">
        <v>409</v>
      </c>
      <c r="AM1" s="187"/>
      <c r="AN1" s="187"/>
      <c r="AO1" s="187"/>
      <c r="AP1" s="187"/>
      <c r="AQ1" s="187"/>
      <c r="AR1" s="14"/>
      <c r="AS1" s="14"/>
      <c r="AT1" s="187" t="s">
        <v>410</v>
      </c>
      <c r="AU1" s="187"/>
      <c r="AV1" s="187"/>
      <c r="AW1" s="187"/>
      <c r="AX1" s="187"/>
      <c r="AY1" s="187"/>
      <c r="AZ1" s="14"/>
      <c r="BA1" s="1"/>
      <c r="BB1" s="1"/>
      <c r="BC1" s="14"/>
    </row>
    <row r="2" spans="1:55" x14ac:dyDescent="0.5">
      <c r="A2" s="1"/>
      <c r="B2" s="1"/>
      <c r="C2" s="1"/>
      <c r="D2" s="1"/>
      <c r="E2" s="1"/>
      <c r="F2" s="1"/>
      <c r="G2" s="1"/>
      <c r="H2" s="1"/>
      <c r="I2" s="1"/>
      <c r="J2" s="1"/>
      <c r="K2" s="1"/>
      <c r="L2" s="186" t="s">
        <v>411</v>
      </c>
      <c r="M2" s="186"/>
      <c r="N2" s="186"/>
      <c r="O2" s="186"/>
      <c r="P2" s="186"/>
      <c r="Q2" s="186"/>
      <c r="R2" s="1"/>
      <c r="S2" s="188" t="s">
        <v>412</v>
      </c>
      <c r="T2" s="189"/>
      <c r="U2" s="189"/>
      <c r="V2" s="189"/>
      <c r="W2" s="189"/>
      <c r="X2" s="190"/>
      <c r="Y2" s="191" t="s">
        <v>413</v>
      </c>
      <c r="Z2" s="192"/>
      <c r="AA2" s="192"/>
      <c r="AB2" s="193"/>
      <c r="AC2" s="191" t="s">
        <v>414</v>
      </c>
      <c r="AD2" s="192"/>
      <c r="AE2" s="192"/>
      <c r="AF2" s="192"/>
      <c r="AG2" s="194"/>
      <c r="AH2" s="14"/>
      <c r="AI2" s="14"/>
      <c r="AJ2" s="14"/>
      <c r="AK2" s="1"/>
      <c r="AL2" s="187"/>
      <c r="AM2" s="187"/>
      <c r="AN2" s="187"/>
      <c r="AO2" s="187"/>
      <c r="AP2" s="187"/>
      <c r="AQ2" s="187"/>
      <c r="AR2" s="14"/>
      <c r="AS2" s="14"/>
      <c r="AT2" s="14"/>
      <c r="AU2" s="14"/>
      <c r="AV2" s="14"/>
      <c r="AW2" s="14"/>
      <c r="AX2" s="14"/>
      <c r="AY2" s="14"/>
      <c r="AZ2" s="14"/>
      <c r="BA2" s="1"/>
      <c r="BB2" s="1"/>
      <c r="BC2" s="14"/>
    </row>
    <row r="3" spans="1:55" x14ac:dyDescent="0.5">
      <c r="A3" s="1" t="s">
        <v>415</v>
      </c>
      <c r="B3" s="1"/>
      <c r="C3" s="1" t="s">
        <v>115</v>
      </c>
      <c r="D3" s="1" t="s">
        <v>416</v>
      </c>
      <c r="E3" s="1" t="s">
        <v>417</v>
      </c>
      <c r="F3" s="1"/>
      <c r="G3" s="1" t="s">
        <v>95</v>
      </c>
      <c r="H3" s="1" t="s">
        <v>99</v>
      </c>
      <c r="I3" s="1" t="s">
        <v>102</v>
      </c>
      <c r="J3" s="1"/>
      <c r="K3" s="1"/>
      <c r="L3" s="1" t="s">
        <v>418</v>
      </c>
      <c r="M3" s="1" t="s">
        <v>105</v>
      </c>
      <c r="N3" s="1" t="s">
        <v>100</v>
      </c>
      <c r="O3" s="1" t="s">
        <v>96</v>
      </c>
      <c r="P3" s="1" t="s">
        <v>419</v>
      </c>
      <c r="Q3" s="1" t="s">
        <v>420</v>
      </c>
      <c r="R3" s="1"/>
      <c r="S3" s="65" t="s">
        <v>421</v>
      </c>
      <c r="T3" s="1" t="s">
        <v>117</v>
      </c>
      <c r="U3" s="1" t="s">
        <v>422</v>
      </c>
      <c r="V3" s="1" t="s">
        <v>423</v>
      </c>
      <c r="W3" s="1" t="s">
        <v>424</v>
      </c>
      <c r="X3" s="1" t="s">
        <v>425</v>
      </c>
      <c r="Y3" s="65" t="s">
        <v>426</v>
      </c>
      <c r="Z3" s="1" t="s">
        <v>121</v>
      </c>
      <c r="AA3" s="1" t="s">
        <v>427</v>
      </c>
      <c r="AB3" s="1" t="s">
        <v>428</v>
      </c>
      <c r="AC3" s="65" t="s">
        <v>429</v>
      </c>
      <c r="AD3" s="1" t="s">
        <v>430</v>
      </c>
      <c r="AE3" s="1" t="s">
        <v>125</v>
      </c>
      <c r="AF3" s="1" t="s">
        <v>431</v>
      </c>
      <c r="AG3" s="66" t="s">
        <v>432</v>
      </c>
      <c r="AH3" s="1"/>
      <c r="AI3" s="1"/>
      <c r="AJ3" s="1"/>
      <c r="AK3" s="1"/>
      <c r="AL3" s="183" t="s">
        <v>433</v>
      </c>
      <c r="AM3" s="183"/>
      <c r="AN3" s="183"/>
      <c r="AO3" s="183" t="s">
        <v>434</v>
      </c>
      <c r="AP3" s="183"/>
      <c r="AQ3" s="183"/>
      <c r="AR3" s="15"/>
      <c r="AS3" s="15"/>
      <c r="AT3" s="15"/>
      <c r="AU3" s="15"/>
      <c r="AV3" s="15"/>
      <c r="AW3" s="15"/>
      <c r="AX3" s="15"/>
      <c r="AY3" s="15"/>
      <c r="AZ3" s="15"/>
      <c r="BA3" s="1"/>
      <c r="BB3" s="1"/>
      <c r="BC3" s="15"/>
    </row>
    <row r="4" spans="1:55" x14ac:dyDescent="0.5">
      <c r="A4" s="1" t="s">
        <v>94</v>
      </c>
      <c r="B4" s="1"/>
      <c r="C4" s="1" t="s">
        <v>116</v>
      </c>
      <c r="D4" s="1" t="s">
        <v>435</v>
      </c>
      <c r="E4" s="1" t="s">
        <v>436</v>
      </c>
      <c r="F4" s="1"/>
      <c r="G4" s="1" t="s">
        <v>418</v>
      </c>
      <c r="H4" s="1" t="s">
        <v>418</v>
      </c>
      <c r="I4" s="1" t="s">
        <v>418</v>
      </c>
      <c r="J4" s="1"/>
      <c r="K4" s="1"/>
      <c r="L4" s="1" t="s">
        <v>437</v>
      </c>
      <c r="M4" s="1" t="s">
        <v>378</v>
      </c>
      <c r="N4" s="1" t="s">
        <v>68</v>
      </c>
      <c r="O4" s="1" t="s">
        <v>438</v>
      </c>
      <c r="P4" s="1" t="s">
        <v>439</v>
      </c>
      <c r="Q4" s="1" t="s">
        <v>440</v>
      </c>
      <c r="R4" s="1"/>
      <c r="S4" s="65" t="s">
        <v>437</v>
      </c>
      <c r="T4" s="1" t="s">
        <v>378</v>
      </c>
      <c r="U4" s="1" t="s">
        <v>68</v>
      </c>
      <c r="V4" s="1" t="s">
        <v>438</v>
      </c>
      <c r="W4" s="1" t="s">
        <v>439</v>
      </c>
      <c r="X4" s="1" t="s">
        <v>440</v>
      </c>
      <c r="Y4" s="65" t="s">
        <v>441</v>
      </c>
      <c r="Z4" s="1" t="s">
        <v>442</v>
      </c>
      <c r="AA4" s="1" t="s">
        <v>443</v>
      </c>
      <c r="AB4" s="1" t="s">
        <v>444</v>
      </c>
      <c r="AC4" s="65" t="s">
        <v>445</v>
      </c>
      <c r="AD4" s="1" t="s">
        <v>441</v>
      </c>
      <c r="AE4" s="1" t="s">
        <v>445</v>
      </c>
      <c r="AF4" s="1" t="s">
        <v>446</v>
      </c>
      <c r="AG4" s="66" t="s">
        <v>447</v>
      </c>
      <c r="AH4" s="1"/>
      <c r="AI4" s="1"/>
      <c r="AJ4" s="1"/>
      <c r="AK4" s="1"/>
      <c r="AL4" s="16" t="s">
        <v>448</v>
      </c>
      <c r="AM4" s="16" t="s">
        <v>449</v>
      </c>
      <c r="AN4" s="16" t="s">
        <v>450</v>
      </c>
      <c r="AO4" s="16" t="s">
        <v>451</v>
      </c>
      <c r="AP4" s="17" t="s">
        <v>452</v>
      </c>
      <c r="AQ4" s="16" t="s">
        <v>453</v>
      </c>
      <c r="AR4" s="15"/>
      <c r="AS4" s="15"/>
      <c r="AT4" s="1" t="s">
        <v>454</v>
      </c>
      <c r="AU4" s="1" t="s">
        <v>455</v>
      </c>
      <c r="AV4" s="1" t="s">
        <v>456</v>
      </c>
      <c r="AW4" s="1" t="s">
        <v>457</v>
      </c>
      <c r="AX4" s="1" t="s">
        <v>458</v>
      </c>
      <c r="AY4" s="1" t="s">
        <v>459</v>
      </c>
      <c r="AZ4" s="15"/>
      <c r="BA4" s="1"/>
      <c r="BB4" s="1"/>
      <c r="BC4" s="15"/>
    </row>
    <row r="5" spans="1:55" x14ac:dyDescent="0.5">
      <c r="A5" s="1" t="s">
        <v>115</v>
      </c>
      <c r="B5" s="1"/>
      <c r="C5" s="1" t="s">
        <v>120</v>
      </c>
      <c r="D5" s="1" t="s">
        <v>460</v>
      </c>
      <c r="E5" s="1" t="s">
        <v>461</v>
      </c>
      <c r="F5" s="1"/>
      <c r="G5" s="1" t="s">
        <v>105</v>
      </c>
      <c r="H5" s="1" t="s">
        <v>105</v>
      </c>
      <c r="I5" s="1" t="s">
        <v>105</v>
      </c>
      <c r="J5" s="1"/>
      <c r="K5" s="1"/>
      <c r="L5" s="1" t="s">
        <v>462</v>
      </c>
      <c r="M5" s="1" t="s">
        <v>463</v>
      </c>
      <c r="N5" s="1" t="s">
        <v>464</v>
      </c>
      <c r="O5" s="1" t="s">
        <v>72</v>
      </c>
      <c r="P5" s="1" t="s">
        <v>375</v>
      </c>
      <c r="Q5" s="1" t="s">
        <v>465</v>
      </c>
      <c r="R5" s="1"/>
      <c r="S5" s="65" t="s">
        <v>462</v>
      </c>
      <c r="T5" s="1" t="s">
        <v>463</v>
      </c>
      <c r="U5" s="1" t="s">
        <v>464</v>
      </c>
      <c r="V5" s="1" t="s">
        <v>72</v>
      </c>
      <c r="W5" s="1" t="s">
        <v>375</v>
      </c>
      <c r="X5" s="1" t="s">
        <v>465</v>
      </c>
      <c r="Y5" s="65" t="s">
        <v>439</v>
      </c>
      <c r="Z5" s="1" t="s">
        <v>438</v>
      </c>
      <c r="AA5" s="1" t="s">
        <v>466</v>
      </c>
      <c r="AB5" s="1" t="s">
        <v>467</v>
      </c>
      <c r="AC5" s="65" t="s">
        <v>468</v>
      </c>
      <c r="AD5" s="1" t="s">
        <v>469</v>
      </c>
      <c r="AE5" s="67" t="s">
        <v>470</v>
      </c>
      <c r="AF5" s="1" t="s">
        <v>471</v>
      </c>
      <c r="AG5" s="66" t="s">
        <v>472</v>
      </c>
      <c r="AH5" s="1"/>
      <c r="AI5" s="1"/>
      <c r="AJ5" s="1"/>
      <c r="AK5" s="1"/>
      <c r="AL5" s="18" t="s">
        <v>473</v>
      </c>
      <c r="AM5" s="18" t="s">
        <v>474</v>
      </c>
      <c r="AN5" s="18" t="s">
        <v>466</v>
      </c>
      <c r="AO5" s="18" t="s">
        <v>475</v>
      </c>
      <c r="AP5" s="18" t="s">
        <v>439</v>
      </c>
      <c r="AQ5" s="18" t="s">
        <v>383</v>
      </c>
      <c r="AR5" s="18"/>
      <c r="AS5" s="18"/>
      <c r="AT5" s="19" t="s">
        <v>473</v>
      </c>
      <c r="AU5" s="20" t="s">
        <v>378</v>
      </c>
      <c r="AV5" s="19" t="s">
        <v>475</v>
      </c>
      <c r="AW5" s="19" t="s">
        <v>466</v>
      </c>
      <c r="AX5" s="20" t="s">
        <v>445</v>
      </c>
      <c r="AY5" s="20" t="s">
        <v>445</v>
      </c>
      <c r="AZ5" s="18"/>
      <c r="BA5" s="1"/>
      <c r="BB5" s="1"/>
      <c r="BC5" s="18"/>
    </row>
    <row r="6" spans="1:55" x14ac:dyDescent="0.5">
      <c r="A6" s="1" t="s">
        <v>416</v>
      </c>
      <c r="B6" s="1"/>
      <c r="C6" s="1" t="s">
        <v>124</v>
      </c>
      <c r="D6" s="1" t="s">
        <v>476</v>
      </c>
      <c r="E6" s="1" t="s">
        <v>477</v>
      </c>
      <c r="F6" s="1"/>
      <c r="G6" s="1" t="s">
        <v>100</v>
      </c>
      <c r="H6" s="1" t="s">
        <v>100</v>
      </c>
      <c r="I6" s="1" t="s">
        <v>100</v>
      </c>
      <c r="J6" s="1"/>
      <c r="K6" s="1"/>
      <c r="L6" s="1" t="s">
        <v>478</v>
      </c>
      <c r="M6" s="1" t="s">
        <v>479</v>
      </c>
      <c r="N6" s="1" t="s">
        <v>480</v>
      </c>
      <c r="O6" s="1" t="s">
        <v>481</v>
      </c>
      <c r="P6" s="1" t="s">
        <v>444</v>
      </c>
      <c r="Q6" s="1" t="s">
        <v>482</v>
      </c>
      <c r="R6" s="1"/>
      <c r="S6" s="65" t="s">
        <v>478</v>
      </c>
      <c r="T6" s="125" t="s">
        <v>479</v>
      </c>
      <c r="U6" s="125" t="s">
        <v>480</v>
      </c>
      <c r="V6" s="125" t="s">
        <v>481</v>
      </c>
      <c r="W6" s="125" t="s">
        <v>444</v>
      </c>
      <c r="X6" s="125" t="s">
        <v>482</v>
      </c>
      <c r="Y6" s="126" t="s">
        <v>483</v>
      </c>
      <c r="Z6" s="125" t="s">
        <v>483</v>
      </c>
      <c r="AA6" s="125" t="s">
        <v>439</v>
      </c>
      <c r="AB6" s="125" t="s">
        <v>474</v>
      </c>
      <c r="AC6" s="126" t="s">
        <v>484</v>
      </c>
      <c r="AD6" s="125" t="s">
        <v>473</v>
      </c>
      <c r="AE6" s="125" t="s">
        <v>473</v>
      </c>
      <c r="AF6" s="125" t="s">
        <v>444</v>
      </c>
      <c r="AG6" s="127" t="s">
        <v>485</v>
      </c>
      <c r="AH6" s="1"/>
      <c r="AI6" s="1"/>
      <c r="AJ6" s="1"/>
      <c r="AK6" s="1"/>
      <c r="AL6" s="18" t="s">
        <v>478</v>
      </c>
      <c r="AM6" s="18" t="s">
        <v>486</v>
      </c>
      <c r="AN6" s="18" t="s">
        <v>475</v>
      </c>
      <c r="AO6" s="18" t="s">
        <v>438</v>
      </c>
      <c r="AP6" s="18" t="s">
        <v>487</v>
      </c>
      <c r="AQ6" s="18" t="s">
        <v>488</v>
      </c>
      <c r="AR6" s="18"/>
      <c r="AS6" s="18"/>
      <c r="AT6" s="21" t="s">
        <v>478</v>
      </c>
      <c r="AU6" s="22" t="s">
        <v>463</v>
      </c>
      <c r="AV6" s="20" t="s">
        <v>438</v>
      </c>
      <c r="AW6" s="21" t="s">
        <v>475</v>
      </c>
      <c r="AX6" s="22" t="s">
        <v>446</v>
      </c>
      <c r="AY6" s="20" t="s">
        <v>470</v>
      </c>
      <c r="AZ6" s="18"/>
      <c r="BA6" s="1"/>
      <c r="BB6" s="1"/>
      <c r="BC6" s="18"/>
    </row>
    <row r="7" spans="1:55" x14ac:dyDescent="0.5">
      <c r="A7" s="1" t="s">
        <v>417</v>
      </c>
      <c r="B7" s="1"/>
      <c r="C7" s="1"/>
      <c r="D7" s="1" t="s">
        <v>489</v>
      </c>
      <c r="E7" s="1"/>
      <c r="F7" s="1"/>
      <c r="G7" s="1" t="s">
        <v>96</v>
      </c>
      <c r="H7" s="1" t="s">
        <v>96</v>
      </c>
      <c r="I7" s="1" t="s">
        <v>96</v>
      </c>
      <c r="J7" s="1"/>
      <c r="K7" s="1"/>
      <c r="L7" s="1" t="s">
        <v>490</v>
      </c>
      <c r="M7" s="1" t="s">
        <v>379</v>
      </c>
      <c r="N7" s="1" t="s">
        <v>491</v>
      </c>
      <c r="O7" s="1" t="s">
        <v>492</v>
      </c>
      <c r="P7" s="1" t="s">
        <v>444</v>
      </c>
      <c r="Q7" s="1" t="s">
        <v>493</v>
      </c>
      <c r="R7" s="1"/>
      <c r="S7" s="65" t="s">
        <v>490</v>
      </c>
      <c r="T7" s="125" t="s">
        <v>379</v>
      </c>
      <c r="U7" s="125" t="s">
        <v>491</v>
      </c>
      <c r="V7" s="125" t="s">
        <v>492</v>
      </c>
      <c r="W7" s="125" t="s">
        <v>444</v>
      </c>
      <c r="X7" s="125" t="s">
        <v>493</v>
      </c>
      <c r="Y7" s="126" t="s">
        <v>493</v>
      </c>
      <c r="Z7" s="125" t="s">
        <v>494</v>
      </c>
      <c r="AA7" s="125" t="s">
        <v>483</v>
      </c>
      <c r="AB7" s="125" t="s">
        <v>495</v>
      </c>
      <c r="AC7" s="126" t="s">
        <v>68</v>
      </c>
      <c r="AD7" s="125" t="s">
        <v>496</v>
      </c>
      <c r="AE7" s="125" t="s">
        <v>497</v>
      </c>
      <c r="AF7" s="125" t="s">
        <v>498</v>
      </c>
      <c r="AG7" s="127" t="s">
        <v>499</v>
      </c>
      <c r="AH7" s="1"/>
      <c r="AI7" s="1"/>
      <c r="AJ7" s="1"/>
      <c r="AK7" s="1"/>
      <c r="AL7" s="18" t="s">
        <v>500</v>
      </c>
      <c r="AM7" s="18" t="s">
        <v>501</v>
      </c>
      <c r="AN7" s="18" t="s">
        <v>481</v>
      </c>
      <c r="AO7" s="18" t="s">
        <v>502</v>
      </c>
      <c r="AP7" s="18" t="s">
        <v>485</v>
      </c>
      <c r="AQ7" s="18" t="s">
        <v>503</v>
      </c>
      <c r="AR7" s="18"/>
      <c r="AS7" s="18"/>
      <c r="AT7" s="19" t="s">
        <v>500</v>
      </c>
      <c r="AU7" s="1" t="s">
        <v>474</v>
      </c>
      <c r="AV7" s="22" t="s">
        <v>72</v>
      </c>
      <c r="AW7" s="20" t="s">
        <v>68</v>
      </c>
      <c r="AX7" s="20" t="s">
        <v>470</v>
      </c>
      <c r="AY7" s="20" t="s">
        <v>472</v>
      </c>
      <c r="AZ7" s="18"/>
      <c r="BA7" s="1"/>
      <c r="BB7" s="1"/>
      <c r="BC7" s="18"/>
    </row>
    <row r="8" spans="1:55" x14ac:dyDescent="0.5">
      <c r="A8" s="1"/>
      <c r="B8" s="1"/>
      <c r="C8" s="1"/>
      <c r="D8" s="1"/>
      <c r="E8" s="1"/>
      <c r="F8" s="1"/>
      <c r="G8" s="1" t="s">
        <v>419</v>
      </c>
      <c r="H8" s="1" t="s">
        <v>419</v>
      </c>
      <c r="I8" s="1" t="s">
        <v>419</v>
      </c>
      <c r="J8" s="1"/>
      <c r="K8" s="1"/>
      <c r="L8" s="1" t="s">
        <v>504</v>
      </c>
      <c r="M8" s="1" t="s">
        <v>505</v>
      </c>
      <c r="N8" s="1" t="s">
        <v>380</v>
      </c>
      <c r="O8" s="1" t="s">
        <v>486</v>
      </c>
      <c r="P8" s="1" t="s">
        <v>506</v>
      </c>
      <c r="Q8" s="1" t="s">
        <v>507</v>
      </c>
      <c r="R8" s="1"/>
      <c r="S8" s="65" t="s">
        <v>504</v>
      </c>
      <c r="T8" s="125" t="s">
        <v>505</v>
      </c>
      <c r="U8" s="125" t="s">
        <v>380</v>
      </c>
      <c r="V8" s="125" t="s">
        <v>486</v>
      </c>
      <c r="W8" s="125" t="s">
        <v>506</v>
      </c>
      <c r="X8" s="125" t="s">
        <v>507</v>
      </c>
      <c r="Y8" s="126" t="s">
        <v>72</v>
      </c>
      <c r="Z8" s="125" t="s">
        <v>68</v>
      </c>
      <c r="AA8" s="125" t="s">
        <v>508</v>
      </c>
      <c r="AB8" s="125" t="s">
        <v>509</v>
      </c>
      <c r="AC8" s="126" t="s">
        <v>510</v>
      </c>
      <c r="AD8" s="128" t="s">
        <v>376</v>
      </c>
      <c r="AE8" s="125" t="s">
        <v>511</v>
      </c>
      <c r="AF8" s="125" t="s">
        <v>512</v>
      </c>
      <c r="AG8" s="127" t="s">
        <v>492</v>
      </c>
      <c r="AH8" s="1"/>
      <c r="AI8" s="1"/>
      <c r="AJ8" s="1"/>
      <c r="AK8" s="1"/>
      <c r="AL8" s="18" t="s">
        <v>504</v>
      </c>
      <c r="AM8" s="18" t="s">
        <v>513</v>
      </c>
      <c r="AN8" s="18" t="s">
        <v>492</v>
      </c>
      <c r="AO8" s="18" t="s">
        <v>514</v>
      </c>
      <c r="AP8" s="18" t="s">
        <v>515</v>
      </c>
      <c r="AQ8" s="18" t="s">
        <v>516</v>
      </c>
      <c r="AR8" s="18"/>
      <c r="AS8" s="18"/>
      <c r="AT8" s="21" t="s">
        <v>504</v>
      </c>
      <c r="AU8" s="20" t="s">
        <v>479</v>
      </c>
      <c r="AV8" s="20" t="s">
        <v>68</v>
      </c>
      <c r="AW8" s="19" t="s">
        <v>481</v>
      </c>
      <c r="AX8" s="22" t="s">
        <v>472</v>
      </c>
      <c r="AY8" s="20" t="s">
        <v>497</v>
      </c>
      <c r="AZ8" s="18"/>
      <c r="BA8" s="1"/>
      <c r="BB8" s="1"/>
      <c r="BC8" s="18"/>
    </row>
    <row r="9" spans="1:55" x14ac:dyDescent="0.5">
      <c r="A9" s="1"/>
      <c r="B9" s="1"/>
      <c r="C9" s="1"/>
      <c r="D9" s="1"/>
      <c r="E9" s="1"/>
      <c r="F9" s="1"/>
      <c r="G9" s="1" t="s">
        <v>420</v>
      </c>
      <c r="H9" s="1" t="s">
        <v>420</v>
      </c>
      <c r="I9" s="1" t="s">
        <v>420</v>
      </c>
      <c r="J9" s="1"/>
      <c r="K9" s="1"/>
      <c r="L9" s="1" t="s">
        <v>382</v>
      </c>
      <c r="M9" s="1" t="s">
        <v>517</v>
      </c>
      <c r="N9" s="1" t="s">
        <v>518</v>
      </c>
      <c r="O9" s="1" t="s">
        <v>512</v>
      </c>
      <c r="P9" s="1" t="s">
        <v>519</v>
      </c>
      <c r="Q9" s="1" t="s">
        <v>376</v>
      </c>
      <c r="R9" s="1"/>
      <c r="S9" s="65" t="s">
        <v>382</v>
      </c>
      <c r="T9" s="125" t="s">
        <v>517</v>
      </c>
      <c r="U9" s="128" t="s">
        <v>518</v>
      </c>
      <c r="V9" s="125" t="s">
        <v>512</v>
      </c>
      <c r="W9" s="125" t="s">
        <v>519</v>
      </c>
      <c r="X9" s="125" t="s">
        <v>376</v>
      </c>
      <c r="Y9" s="126" t="s">
        <v>68</v>
      </c>
      <c r="Z9" s="125" t="s">
        <v>444</v>
      </c>
      <c r="AA9" s="125" t="s">
        <v>520</v>
      </c>
      <c r="AB9" s="125" t="s">
        <v>491</v>
      </c>
      <c r="AC9" s="126" t="s">
        <v>510</v>
      </c>
      <c r="AD9" s="125" t="s">
        <v>521</v>
      </c>
      <c r="AE9" s="125" t="s">
        <v>522</v>
      </c>
      <c r="AF9" s="125" t="s">
        <v>523</v>
      </c>
      <c r="AG9" s="127" t="s">
        <v>524</v>
      </c>
      <c r="AH9" s="1"/>
      <c r="AI9" s="1"/>
      <c r="AJ9" s="1"/>
      <c r="AK9" s="1"/>
      <c r="AL9" s="18" t="s">
        <v>382</v>
      </c>
      <c r="AM9" s="18" t="s">
        <v>525</v>
      </c>
      <c r="AN9" s="18" t="s">
        <v>498</v>
      </c>
      <c r="AO9" s="18" t="s">
        <v>492</v>
      </c>
      <c r="AP9" s="18" t="s">
        <v>526</v>
      </c>
      <c r="AQ9" s="18" t="s">
        <v>527</v>
      </c>
      <c r="AR9" s="18"/>
      <c r="AS9" s="18"/>
      <c r="AT9" s="19" t="s">
        <v>382</v>
      </c>
      <c r="AU9" s="21" t="s">
        <v>486</v>
      </c>
      <c r="AV9" s="20" t="s">
        <v>502</v>
      </c>
      <c r="AW9" s="22" t="s">
        <v>464</v>
      </c>
      <c r="AX9" s="22" t="s">
        <v>473</v>
      </c>
      <c r="AY9" s="22" t="s">
        <v>511</v>
      </c>
      <c r="AZ9" s="18"/>
      <c r="BA9" s="1"/>
      <c r="BB9" s="1"/>
      <c r="BC9" s="18"/>
    </row>
    <row r="10" spans="1:55" x14ac:dyDescent="0.5">
      <c r="A10" s="1"/>
      <c r="B10" s="1"/>
      <c r="C10" s="1"/>
      <c r="D10" s="1"/>
      <c r="E10" s="1"/>
      <c r="F10" s="1"/>
      <c r="G10" s="1"/>
      <c r="H10" s="1"/>
      <c r="I10" s="1"/>
      <c r="J10" s="1"/>
      <c r="K10" s="1"/>
      <c r="L10" s="1" t="s">
        <v>528</v>
      </c>
      <c r="M10" s="1" t="s">
        <v>529</v>
      </c>
      <c r="N10" s="1" t="s">
        <v>513</v>
      </c>
      <c r="O10" s="1" t="s">
        <v>501</v>
      </c>
      <c r="P10" s="1" t="s">
        <v>481</v>
      </c>
      <c r="Q10" s="1" t="s">
        <v>377</v>
      </c>
      <c r="R10" s="1"/>
      <c r="S10" s="65" t="s">
        <v>528</v>
      </c>
      <c r="T10" s="125" t="s">
        <v>529</v>
      </c>
      <c r="U10" s="125" t="s">
        <v>513</v>
      </c>
      <c r="V10" s="125" t="s">
        <v>501</v>
      </c>
      <c r="W10" s="125" t="s">
        <v>481</v>
      </c>
      <c r="X10" s="125" t="s">
        <v>377</v>
      </c>
      <c r="Y10" s="126" t="s">
        <v>530</v>
      </c>
      <c r="Z10" s="125" t="s">
        <v>509</v>
      </c>
      <c r="AA10" s="125" t="s">
        <v>509</v>
      </c>
      <c r="AB10" s="125" t="s">
        <v>380</v>
      </c>
      <c r="AC10" s="126" t="s">
        <v>531</v>
      </c>
      <c r="AD10" s="125" t="s">
        <v>474</v>
      </c>
      <c r="AE10" s="125" t="s">
        <v>485</v>
      </c>
      <c r="AF10" s="125" t="s">
        <v>532</v>
      </c>
      <c r="AG10" s="127" t="s">
        <v>533</v>
      </c>
      <c r="AH10" s="1"/>
      <c r="AI10" s="1"/>
      <c r="AJ10" s="1"/>
      <c r="AK10" s="1"/>
      <c r="AL10" s="18" t="s">
        <v>528</v>
      </c>
      <c r="AM10" s="18" t="s">
        <v>534</v>
      </c>
      <c r="AN10" s="18" t="s">
        <v>535</v>
      </c>
      <c r="AO10" s="18" t="s">
        <v>536</v>
      </c>
      <c r="AP10" s="18" t="s">
        <v>480</v>
      </c>
      <c r="AQ10" s="18" t="s">
        <v>395</v>
      </c>
      <c r="AR10" s="18"/>
      <c r="AS10" s="18"/>
      <c r="AT10" s="21" t="s">
        <v>528</v>
      </c>
      <c r="AU10" s="22" t="s">
        <v>379</v>
      </c>
      <c r="AV10" s="22" t="s">
        <v>514</v>
      </c>
      <c r="AW10" s="21" t="s">
        <v>492</v>
      </c>
      <c r="AX10" s="22" t="s">
        <v>497</v>
      </c>
      <c r="AY10" s="20" t="s">
        <v>522</v>
      </c>
      <c r="AZ10" s="18"/>
      <c r="BA10" s="1"/>
      <c r="BB10" s="1"/>
      <c r="BC10" s="18"/>
    </row>
    <row r="11" spans="1:55" x14ac:dyDescent="0.5">
      <c r="A11" s="1"/>
      <c r="B11" s="1"/>
      <c r="C11" s="1"/>
      <c r="D11" s="1"/>
      <c r="E11" s="1"/>
      <c r="F11" s="1"/>
      <c r="G11" s="1" t="s">
        <v>435</v>
      </c>
      <c r="H11" s="1" t="s">
        <v>460</v>
      </c>
      <c r="I11" s="1" t="s">
        <v>537</v>
      </c>
      <c r="J11" s="1" t="s">
        <v>489</v>
      </c>
      <c r="K11" s="1"/>
      <c r="L11" s="1" t="s">
        <v>513</v>
      </c>
      <c r="M11" s="1" t="s">
        <v>538</v>
      </c>
      <c r="N11" s="1" t="s">
        <v>539</v>
      </c>
      <c r="O11" s="1" t="s">
        <v>517</v>
      </c>
      <c r="P11" s="1" t="s">
        <v>491</v>
      </c>
      <c r="Q11" s="1" t="s">
        <v>540</v>
      </c>
      <c r="R11" s="1"/>
      <c r="S11" s="65" t="s">
        <v>513</v>
      </c>
      <c r="T11" s="125" t="s">
        <v>538</v>
      </c>
      <c r="U11" s="125" t="s">
        <v>539</v>
      </c>
      <c r="V11" s="125" t="s">
        <v>517</v>
      </c>
      <c r="W11" s="125" t="s">
        <v>491</v>
      </c>
      <c r="X11" s="125" t="s">
        <v>540</v>
      </c>
      <c r="Y11" s="126" t="s">
        <v>444</v>
      </c>
      <c r="Z11" s="125" t="s">
        <v>380</v>
      </c>
      <c r="AA11" s="125" t="s">
        <v>541</v>
      </c>
      <c r="AB11" s="125" t="s">
        <v>542</v>
      </c>
      <c r="AC11" s="129" t="s">
        <v>499</v>
      </c>
      <c r="AD11" s="125" t="s">
        <v>524</v>
      </c>
      <c r="AE11" s="125" t="s">
        <v>510</v>
      </c>
      <c r="AF11" s="128" t="s">
        <v>382</v>
      </c>
      <c r="AG11" s="127" t="s">
        <v>543</v>
      </c>
      <c r="AH11" s="1"/>
      <c r="AI11" s="1"/>
      <c r="AJ11" s="1"/>
      <c r="AK11" s="1"/>
      <c r="AL11" s="18" t="s">
        <v>544</v>
      </c>
      <c r="AM11" s="18" t="s">
        <v>545</v>
      </c>
      <c r="AN11" s="18" t="s">
        <v>513</v>
      </c>
      <c r="AO11" s="18" t="s">
        <v>486</v>
      </c>
      <c r="AP11" s="18" t="s">
        <v>486</v>
      </c>
      <c r="AQ11" s="18" t="s">
        <v>546</v>
      </c>
      <c r="AR11" s="18"/>
      <c r="AS11" s="18"/>
      <c r="AT11" s="19" t="s">
        <v>544</v>
      </c>
      <c r="AU11" s="19" t="s">
        <v>501</v>
      </c>
      <c r="AV11" s="20" t="s">
        <v>481</v>
      </c>
      <c r="AW11" s="20" t="s">
        <v>480</v>
      </c>
      <c r="AX11" s="22" t="s">
        <v>511</v>
      </c>
      <c r="AY11" s="20" t="s">
        <v>471</v>
      </c>
      <c r="AZ11" s="18"/>
      <c r="BA11" s="1"/>
      <c r="BB11" s="1"/>
      <c r="BC11" s="18"/>
    </row>
    <row r="12" spans="1:55" x14ac:dyDescent="0.5">
      <c r="A12" s="1"/>
      <c r="B12" s="1"/>
      <c r="C12" s="1"/>
      <c r="D12" s="1"/>
      <c r="E12" s="1"/>
      <c r="F12" s="1"/>
      <c r="G12" s="1" t="s">
        <v>448</v>
      </c>
      <c r="H12" s="1" t="s">
        <v>448</v>
      </c>
      <c r="I12" s="1" t="s">
        <v>448</v>
      </c>
      <c r="J12" s="1" t="s">
        <v>448</v>
      </c>
      <c r="K12" s="1"/>
      <c r="L12" s="1" t="s">
        <v>547</v>
      </c>
      <c r="M12" s="1" t="s">
        <v>547</v>
      </c>
      <c r="N12" s="1" t="s">
        <v>548</v>
      </c>
      <c r="O12" s="1" t="s">
        <v>523</v>
      </c>
      <c r="P12" s="1" t="s">
        <v>549</v>
      </c>
      <c r="Q12" s="1" t="s">
        <v>481</v>
      </c>
      <c r="R12" s="1"/>
      <c r="S12" s="65" t="s">
        <v>547</v>
      </c>
      <c r="T12" s="125" t="s">
        <v>547</v>
      </c>
      <c r="U12" s="125" t="s">
        <v>548</v>
      </c>
      <c r="V12" s="125" t="s">
        <v>523</v>
      </c>
      <c r="W12" s="125" t="s">
        <v>549</v>
      </c>
      <c r="X12" s="125" t="s">
        <v>481</v>
      </c>
      <c r="Y12" s="126" t="s">
        <v>376</v>
      </c>
      <c r="Z12" s="125" t="s">
        <v>550</v>
      </c>
      <c r="AA12" s="125" t="s">
        <v>551</v>
      </c>
      <c r="AB12" s="125" t="s">
        <v>552</v>
      </c>
      <c r="AC12" s="126" t="s">
        <v>474</v>
      </c>
      <c r="AD12" s="125" t="s">
        <v>379</v>
      </c>
      <c r="AE12" s="125" t="s">
        <v>496</v>
      </c>
      <c r="AF12" s="128" t="s">
        <v>553</v>
      </c>
      <c r="AG12" s="127" t="s">
        <v>380</v>
      </c>
      <c r="AH12" s="1"/>
      <c r="AI12" s="1"/>
      <c r="AJ12" s="1"/>
      <c r="AK12" s="1"/>
      <c r="AL12" s="18" t="s">
        <v>554</v>
      </c>
      <c r="AM12" s="18" t="s">
        <v>555</v>
      </c>
      <c r="AN12" s="18" t="s">
        <v>383</v>
      </c>
      <c r="AO12" s="18" t="s">
        <v>556</v>
      </c>
      <c r="AP12" s="18" t="s">
        <v>557</v>
      </c>
      <c r="AQ12" s="18" t="s">
        <v>558</v>
      </c>
      <c r="AR12" s="18"/>
      <c r="AS12" s="18"/>
      <c r="AT12" s="21" t="s">
        <v>554</v>
      </c>
      <c r="AU12" s="20" t="s">
        <v>505</v>
      </c>
      <c r="AV12" s="22" t="s">
        <v>464</v>
      </c>
      <c r="AW12" s="22" t="s">
        <v>491</v>
      </c>
      <c r="AX12" s="20" t="s">
        <v>522</v>
      </c>
      <c r="AY12" s="22" t="s">
        <v>510</v>
      </c>
      <c r="AZ12" s="18"/>
      <c r="BA12" s="1"/>
      <c r="BB12" s="1"/>
      <c r="BC12" s="18"/>
    </row>
    <row r="13" spans="1:55" x14ac:dyDescent="0.5">
      <c r="A13" s="1"/>
      <c r="B13" s="1"/>
      <c r="C13" s="1"/>
      <c r="D13" s="1"/>
      <c r="E13" s="1"/>
      <c r="F13" s="1"/>
      <c r="G13" s="1" t="s">
        <v>449</v>
      </c>
      <c r="H13" s="1" t="s">
        <v>449</v>
      </c>
      <c r="I13" s="1" t="s">
        <v>449</v>
      </c>
      <c r="J13" s="1" t="s">
        <v>449</v>
      </c>
      <c r="K13" s="1"/>
      <c r="L13" s="1" t="s">
        <v>554</v>
      </c>
      <c r="M13" s="1" t="s">
        <v>553</v>
      </c>
      <c r="N13" s="1" t="s">
        <v>559</v>
      </c>
      <c r="O13" s="1" t="s">
        <v>538</v>
      </c>
      <c r="P13" s="1" t="s">
        <v>560</v>
      </c>
      <c r="Q13" s="1" t="s">
        <v>561</v>
      </c>
      <c r="R13" s="1"/>
      <c r="S13" s="65" t="s">
        <v>554</v>
      </c>
      <c r="T13" s="125" t="s">
        <v>553</v>
      </c>
      <c r="U13" s="125" t="s">
        <v>559</v>
      </c>
      <c r="V13" s="125" t="s">
        <v>538</v>
      </c>
      <c r="W13" s="125" t="s">
        <v>560</v>
      </c>
      <c r="X13" s="125" t="s">
        <v>561</v>
      </c>
      <c r="Y13" s="126" t="s">
        <v>562</v>
      </c>
      <c r="Z13" s="125" t="s">
        <v>548</v>
      </c>
      <c r="AA13" s="125" t="s">
        <v>563</v>
      </c>
      <c r="AB13" s="125" t="s">
        <v>564</v>
      </c>
      <c r="AC13" s="126" t="s">
        <v>380</v>
      </c>
      <c r="AD13" s="125" t="s">
        <v>66</v>
      </c>
      <c r="AE13" s="125" t="s">
        <v>565</v>
      </c>
      <c r="AF13" s="128" t="s">
        <v>539</v>
      </c>
      <c r="AG13" s="127" t="s">
        <v>566</v>
      </c>
      <c r="AH13" s="1"/>
      <c r="AI13" s="1"/>
      <c r="AJ13" s="1"/>
      <c r="AK13" s="1"/>
      <c r="AL13" s="18" t="s">
        <v>567</v>
      </c>
      <c r="AM13" s="18" t="s">
        <v>568</v>
      </c>
      <c r="AN13" s="18" t="s">
        <v>569</v>
      </c>
      <c r="AO13" s="18" t="s">
        <v>570</v>
      </c>
      <c r="AP13" s="18" t="s">
        <v>491</v>
      </c>
      <c r="AQ13" s="18" t="s">
        <v>571</v>
      </c>
      <c r="AR13" s="18"/>
      <c r="AS13" s="18"/>
      <c r="AT13" s="19" t="s">
        <v>567</v>
      </c>
      <c r="AU13" s="22" t="s">
        <v>517</v>
      </c>
      <c r="AV13" s="22" t="s">
        <v>492</v>
      </c>
      <c r="AW13" s="20" t="s">
        <v>380</v>
      </c>
      <c r="AX13" s="22" t="s">
        <v>471</v>
      </c>
      <c r="AY13" s="20" t="s">
        <v>496</v>
      </c>
      <c r="AZ13" s="18"/>
      <c r="BA13" s="1"/>
      <c r="BB13" s="1"/>
      <c r="BC13" s="18"/>
    </row>
    <row r="14" spans="1:55" x14ac:dyDescent="0.5">
      <c r="A14" s="1"/>
      <c r="B14" s="1"/>
      <c r="C14" s="1"/>
      <c r="D14" s="1"/>
      <c r="E14" s="1"/>
      <c r="F14" s="1"/>
      <c r="G14" s="1" t="s">
        <v>450</v>
      </c>
      <c r="H14" s="1" t="s">
        <v>450</v>
      </c>
      <c r="I14" s="1" t="s">
        <v>450</v>
      </c>
      <c r="J14" s="1" t="s">
        <v>450</v>
      </c>
      <c r="K14" s="1"/>
      <c r="L14" s="1" t="s">
        <v>572</v>
      </c>
      <c r="M14" s="1" t="s">
        <v>548</v>
      </c>
      <c r="N14" s="1" t="s">
        <v>385</v>
      </c>
      <c r="O14" s="1" t="s">
        <v>573</v>
      </c>
      <c r="P14" s="1" t="s">
        <v>498</v>
      </c>
      <c r="Q14" s="1" t="s">
        <v>574</v>
      </c>
      <c r="R14" s="1"/>
      <c r="S14" s="65" t="s">
        <v>572</v>
      </c>
      <c r="T14" s="125" t="s">
        <v>548</v>
      </c>
      <c r="U14" s="128" t="s">
        <v>385</v>
      </c>
      <c r="V14" s="125" t="s">
        <v>573</v>
      </c>
      <c r="W14" s="125" t="s">
        <v>498</v>
      </c>
      <c r="X14" s="125" t="s">
        <v>574</v>
      </c>
      <c r="Y14" s="126" t="s">
        <v>526</v>
      </c>
      <c r="Z14" s="125" t="s">
        <v>575</v>
      </c>
      <c r="AA14" s="125" t="s">
        <v>576</v>
      </c>
      <c r="AB14" s="125" t="s">
        <v>575</v>
      </c>
      <c r="AC14" s="126" t="s">
        <v>563</v>
      </c>
      <c r="AD14" s="125" t="s">
        <v>577</v>
      </c>
      <c r="AE14" s="125" t="s">
        <v>578</v>
      </c>
      <c r="AF14" s="125" t="s">
        <v>579</v>
      </c>
      <c r="AG14" s="127" t="s">
        <v>580</v>
      </c>
      <c r="AH14" s="1"/>
      <c r="AI14" s="1"/>
      <c r="AJ14" s="1"/>
      <c r="AK14" s="1"/>
      <c r="AL14" s="18" t="s">
        <v>581</v>
      </c>
      <c r="AM14" s="18" t="s">
        <v>582</v>
      </c>
      <c r="AN14" s="18" t="s">
        <v>554</v>
      </c>
      <c r="AO14" s="18" t="s">
        <v>583</v>
      </c>
      <c r="AP14" s="18" t="s">
        <v>518</v>
      </c>
      <c r="AQ14" s="18" t="s">
        <v>584</v>
      </c>
      <c r="AR14" s="18"/>
      <c r="AS14" s="18"/>
      <c r="AT14" s="21" t="s">
        <v>581</v>
      </c>
      <c r="AU14" s="20" t="s">
        <v>529</v>
      </c>
      <c r="AV14" s="21" t="s">
        <v>536</v>
      </c>
      <c r="AW14" s="19" t="s">
        <v>498</v>
      </c>
      <c r="AX14" s="22" t="s">
        <v>485</v>
      </c>
      <c r="AY14" s="20" t="s">
        <v>565</v>
      </c>
      <c r="AZ14" s="18"/>
      <c r="BA14" s="1"/>
      <c r="BB14" s="1"/>
      <c r="BC14" s="18"/>
    </row>
    <row r="15" spans="1:55" x14ac:dyDescent="0.5">
      <c r="A15" s="1"/>
      <c r="B15" s="1"/>
      <c r="C15" s="1"/>
      <c r="D15" s="1"/>
      <c r="E15" s="1"/>
      <c r="F15" s="1"/>
      <c r="G15" s="1" t="s">
        <v>451</v>
      </c>
      <c r="H15" s="1" t="s">
        <v>451</v>
      </c>
      <c r="I15" s="1" t="s">
        <v>451</v>
      </c>
      <c r="J15" s="1" t="s">
        <v>451</v>
      </c>
      <c r="K15" s="1"/>
      <c r="L15" s="1" t="s">
        <v>567</v>
      </c>
      <c r="M15" s="1" t="s">
        <v>525</v>
      </c>
      <c r="N15" s="1" t="s">
        <v>569</v>
      </c>
      <c r="O15" s="1" t="s">
        <v>383</v>
      </c>
      <c r="P15" s="1" t="s">
        <v>518</v>
      </c>
      <c r="Q15" s="1" t="s">
        <v>474</v>
      </c>
      <c r="R15" s="1"/>
      <c r="S15" s="65" t="s">
        <v>567</v>
      </c>
      <c r="T15" s="125" t="s">
        <v>525</v>
      </c>
      <c r="U15" s="125" t="s">
        <v>569</v>
      </c>
      <c r="V15" s="125" t="s">
        <v>383</v>
      </c>
      <c r="W15" s="125" t="s">
        <v>518</v>
      </c>
      <c r="X15" s="125" t="s">
        <v>474</v>
      </c>
      <c r="Y15" s="126" t="s">
        <v>486</v>
      </c>
      <c r="Z15" s="125" t="s">
        <v>384</v>
      </c>
      <c r="AA15" s="125" t="s">
        <v>384</v>
      </c>
      <c r="AB15" s="128" t="s">
        <v>385</v>
      </c>
      <c r="AC15" s="126" t="s">
        <v>504</v>
      </c>
      <c r="AD15" s="125" t="s">
        <v>585</v>
      </c>
      <c r="AE15" s="125" t="s">
        <v>499</v>
      </c>
      <c r="AF15" s="125" t="s">
        <v>586</v>
      </c>
      <c r="AG15" s="130" t="s">
        <v>587</v>
      </c>
      <c r="AH15" s="1"/>
      <c r="AI15" s="1"/>
      <c r="AJ15" s="1"/>
      <c r="AK15" s="1"/>
      <c r="AL15" s="18" t="s">
        <v>588</v>
      </c>
      <c r="AM15" s="18" t="s">
        <v>589</v>
      </c>
      <c r="AN15" s="18" t="s">
        <v>126</v>
      </c>
      <c r="AO15" s="18" t="s">
        <v>590</v>
      </c>
      <c r="AP15" s="18" t="s">
        <v>591</v>
      </c>
      <c r="AQ15" s="18" t="s">
        <v>592</v>
      </c>
      <c r="AR15" s="18"/>
      <c r="AS15" s="18"/>
      <c r="AT15" s="19" t="s">
        <v>588</v>
      </c>
      <c r="AU15" s="22" t="s">
        <v>538</v>
      </c>
      <c r="AV15" s="20" t="s">
        <v>480</v>
      </c>
      <c r="AW15" s="22" t="s">
        <v>518</v>
      </c>
      <c r="AX15" s="22" t="s">
        <v>510</v>
      </c>
      <c r="AY15" s="20" t="s">
        <v>578</v>
      </c>
      <c r="AZ15" s="18"/>
      <c r="BA15" s="1"/>
      <c r="BB15" s="1"/>
      <c r="BC15" s="18"/>
    </row>
    <row r="16" spans="1:55" x14ac:dyDescent="0.5">
      <c r="A16" s="1"/>
      <c r="B16" s="1"/>
      <c r="C16" s="1"/>
      <c r="D16" s="1"/>
      <c r="E16" s="1"/>
      <c r="F16" s="1"/>
      <c r="G16" s="1" t="s">
        <v>452</v>
      </c>
      <c r="H16" s="1" t="s">
        <v>452</v>
      </c>
      <c r="I16" s="1" t="s">
        <v>452</v>
      </c>
      <c r="J16" s="1" t="s">
        <v>452</v>
      </c>
      <c r="K16" s="1"/>
      <c r="L16" s="1" t="s">
        <v>386</v>
      </c>
      <c r="M16" s="1" t="s">
        <v>385</v>
      </c>
      <c r="N16" s="1" t="s">
        <v>593</v>
      </c>
      <c r="O16" s="1" t="s">
        <v>594</v>
      </c>
      <c r="P16" s="1" t="s">
        <v>595</v>
      </c>
      <c r="Q16" s="1" t="s">
        <v>549</v>
      </c>
      <c r="R16" s="1"/>
      <c r="S16" s="65" t="s">
        <v>386</v>
      </c>
      <c r="T16" s="125" t="s">
        <v>385</v>
      </c>
      <c r="U16" s="125" t="s">
        <v>593</v>
      </c>
      <c r="V16" s="125" t="s">
        <v>594</v>
      </c>
      <c r="W16" s="128" t="s">
        <v>595</v>
      </c>
      <c r="X16" s="125" t="s">
        <v>549</v>
      </c>
      <c r="Y16" s="126" t="s">
        <v>596</v>
      </c>
      <c r="Z16" s="125" t="s">
        <v>597</v>
      </c>
      <c r="AA16" s="125" t="s">
        <v>598</v>
      </c>
      <c r="AB16" s="125" t="s">
        <v>599</v>
      </c>
      <c r="AC16" s="126" t="s">
        <v>594</v>
      </c>
      <c r="AD16" s="125" t="s">
        <v>504</v>
      </c>
      <c r="AE16" s="125" t="s">
        <v>600</v>
      </c>
      <c r="AF16" s="125" t="s">
        <v>601</v>
      </c>
      <c r="AG16" s="127" t="s">
        <v>585</v>
      </c>
      <c r="AH16" s="1"/>
      <c r="AI16" s="1"/>
      <c r="AJ16" s="1"/>
      <c r="AK16" s="1"/>
      <c r="AL16" s="18" t="s">
        <v>602</v>
      </c>
      <c r="AM16" s="18" t="s">
        <v>603</v>
      </c>
      <c r="AN16" s="18" t="s">
        <v>572</v>
      </c>
      <c r="AO16" s="18" t="s">
        <v>604</v>
      </c>
      <c r="AP16" s="18" t="s">
        <v>595</v>
      </c>
      <c r="AQ16" s="18" t="s">
        <v>605</v>
      </c>
      <c r="AR16" s="18"/>
      <c r="AS16" s="18"/>
      <c r="AT16" s="21" t="s">
        <v>602</v>
      </c>
      <c r="AU16" s="21" t="s">
        <v>513</v>
      </c>
      <c r="AV16" s="20" t="s">
        <v>486</v>
      </c>
      <c r="AW16" s="19" t="s">
        <v>513</v>
      </c>
      <c r="AX16" s="22" t="s">
        <v>496</v>
      </c>
      <c r="AY16" s="20" t="s">
        <v>499</v>
      </c>
      <c r="AZ16" s="18"/>
      <c r="BA16" s="1"/>
      <c r="BB16" s="1"/>
      <c r="BC16" s="18"/>
    </row>
    <row r="17" spans="7:55" x14ac:dyDescent="0.5">
      <c r="G17" s="1" t="s">
        <v>453</v>
      </c>
      <c r="H17" s="1" t="s">
        <v>453</v>
      </c>
      <c r="I17" s="1" t="s">
        <v>453</v>
      </c>
      <c r="J17" s="1" t="s">
        <v>453</v>
      </c>
      <c r="K17" s="1"/>
      <c r="L17" s="1" t="s">
        <v>606</v>
      </c>
      <c r="M17" s="1" t="s">
        <v>386</v>
      </c>
      <c r="N17" s="1" t="s">
        <v>554</v>
      </c>
      <c r="O17" s="1" t="s">
        <v>607</v>
      </c>
      <c r="P17" s="1" t="s">
        <v>608</v>
      </c>
      <c r="Q17" s="1" t="s">
        <v>560</v>
      </c>
      <c r="R17" s="1"/>
      <c r="S17" s="65" t="s">
        <v>606</v>
      </c>
      <c r="T17" s="128" t="s">
        <v>386</v>
      </c>
      <c r="U17" s="125" t="s">
        <v>554</v>
      </c>
      <c r="V17" s="128" t="s">
        <v>607</v>
      </c>
      <c r="W17" s="125" t="s">
        <v>608</v>
      </c>
      <c r="X17" s="125" t="s">
        <v>560</v>
      </c>
      <c r="Y17" s="126" t="s">
        <v>609</v>
      </c>
      <c r="Z17" s="125" t="s">
        <v>569</v>
      </c>
      <c r="AA17" s="125" t="s">
        <v>604</v>
      </c>
      <c r="AB17" s="125" t="s">
        <v>610</v>
      </c>
      <c r="AC17" s="126" t="s">
        <v>575</v>
      </c>
      <c r="AD17" s="125" t="s">
        <v>513</v>
      </c>
      <c r="AE17" s="125" t="s">
        <v>474</v>
      </c>
      <c r="AF17" s="125" t="s">
        <v>611</v>
      </c>
      <c r="AG17" s="127" t="s">
        <v>563</v>
      </c>
      <c r="AH17" s="1"/>
      <c r="AI17" s="1"/>
      <c r="AJ17" s="1"/>
      <c r="AK17" s="1"/>
      <c r="AL17" s="18" t="s">
        <v>612</v>
      </c>
      <c r="AM17" s="18" t="s">
        <v>613</v>
      </c>
      <c r="AN17" s="18" t="s">
        <v>614</v>
      </c>
      <c r="AO17" s="18" t="s">
        <v>554</v>
      </c>
      <c r="AP17" s="18" t="s">
        <v>517</v>
      </c>
      <c r="AQ17" s="18" t="s">
        <v>615</v>
      </c>
      <c r="AR17" s="18"/>
      <c r="AS17" s="18"/>
      <c r="AT17" s="19" t="s">
        <v>612</v>
      </c>
      <c r="AU17" s="20" t="s">
        <v>547</v>
      </c>
      <c r="AV17" s="22" t="s">
        <v>491</v>
      </c>
      <c r="AW17" s="21" t="s">
        <v>383</v>
      </c>
      <c r="AX17" s="22" t="s">
        <v>444</v>
      </c>
      <c r="AY17" s="20" t="s">
        <v>492</v>
      </c>
      <c r="AZ17" s="18"/>
      <c r="BA17" s="1"/>
      <c r="BB17" s="1"/>
      <c r="BC17" s="18"/>
    </row>
    <row r="18" spans="7:55" x14ac:dyDescent="0.5">
      <c r="G18" s="1"/>
      <c r="H18" s="1"/>
      <c r="I18" s="1"/>
      <c r="J18" s="1"/>
      <c r="K18" s="1"/>
      <c r="L18" s="1" t="s">
        <v>616</v>
      </c>
      <c r="M18" s="1" t="s">
        <v>616</v>
      </c>
      <c r="N18" s="1" t="s">
        <v>617</v>
      </c>
      <c r="O18" s="1" t="s">
        <v>583</v>
      </c>
      <c r="P18" s="1" t="s">
        <v>573</v>
      </c>
      <c r="Q18" s="1" t="s">
        <v>618</v>
      </c>
      <c r="R18" s="1"/>
      <c r="S18" s="65" t="s">
        <v>616</v>
      </c>
      <c r="T18" s="125" t="s">
        <v>616</v>
      </c>
      <c r="U18" s="125" t="s">
        <v>617</v>
      </c>
      <c r="V18" s="125" t="s">
        <v>583</v>
      </c>
      <c r="W18" s="125" t="s">
        <v>573</v>
      </c>
      <c r="X18" s="125" t="s">
        <v>618</v>
      </c>
      <c r="Y18" s="126" t="s">
        <v>380</v>
      </c>
      <c r="Z18" s="125" t="s">
        <v>610</v>
      </c>
      <c r="AA18" s="125" t="s">
        <v>610</v>
      </c>
      <c r="AB18" s="125" t="s">
        <v>619</v>
      </c>
      <c r="AC18" s="126" t="s">
        <v>384</v>
      </c>
      <c r="AD18" s="125" t="s">
        <v>525</v>
      </c>
      <c r="AE18" s="125" t="s">
        <v>620</v>
      </c>
      <c r="AF18" s="125" t="s">
        <v>389</v>
      </c>
      <c r="AG18" s="127" t="s">
        <v>559</v>
      </c>
      <c r="AH18" s="1"/>
      <c r="AI18" s="1"/>
      <c r="AJ18" s="1"/>
      <c r="AK18" s="1"/>
      <c r="AL18" s="18" t="s">
        <v>621</v>
      </c>
      <c r="AM18" s="18" t="s">
        <v>407</v>
      </c>
      <c r="AN18" s="18" t="s">
        <v>622</v>
      </c>
      <c r="AO18" s="18" t="s">
        <v>623</v>
      </c>
      <c r="AP18" s="18" t="s">
        <v>538</v>
      </c>
      <c r="AQ18" s="18" t="s">
        <v>624</v>
      </c>
      <c r="AR18" s="18"/>
      <c r="AS18" s="18"/>
      <c r="AT18" s="21" t="s">
        <v>621</v>
      </c>
      <c r="AU18" s="22" t="s">
        <v>553</v>
      </c>
      <c r="AV18" s="20" t="s">
        <v>380</v>
      </c>
      <c r="AW18" s="19" t="s">
        <v>539</v>
      </c>
      <c r="AX18" s="22" t="s">
        <v>565</v>
      </c>
      <c r="AY18" s="20" t="s">
        <v>474</v>
      </c>
      <c r="AZ18" s="18"/>
      <c r="BA18" s="1"/>
      <c r="BB18" s="1"/>
      <c r="BC18" s="18"/>
    </row>
    <row r="19" spans="7:55" x14ac:dyDescent="0.5">
      <c r="G19" s="1" t="s">
        <v>436</v>
      </c>
      <c r="H19" s="1" t="s">
        <v>625</v>
      </c>
      <c r="I19" s="1" t="s">
        <v>477</v>
      </c>
      <c r="J19" s="1"/>
      <c r="K19" s="1"/>
      <c r="L19" s="1" t="s">
        <v>616</v>
      </c>
      <c r="M19" s="1" t="s">
        <v>555</v>
      </c>
      <c r="N19" s="1" t="s">
        <v>126</v>
      </c>
      <c r="O19" s="1" t="s">
        <v>579</v>
      </c>
      <c r="P19" s="1" t="s">
        <v>626</v>
      </c>
      <c r="Q19" s="1" t="s">
        <v>627</v>
      </c>
      <c r="R19" s="1"/>
      <c r="S19" s="65" t="s">
        <v>616</v>
      </c>
      <c r="T19" s="125" t="s">
        <v>555</v>
      </c>
      <c r="U19" s="125" t="s">
        <v>126</v>
      </c>
      <c r="V19" s="125" t="s">
        <v>579</v>
      </c>
      <c r="W19" s="125" t="s">
        <v>626</v>
      </c>
      <c r="X19" s="125" t="s">
        <v>627</v>
      </c>
      <c r="Y19" s="129" t="s">
        <v>518</v>
      </c>
      <c r="Z19" s="125" t="s">
        <v>628</v>
      </c>
      <c r="AA19" s="125" t="s">
        <v>629</v>
      </c>
      <c r="AB19" s="125" t="s">
        <v>126</v>
      </c>
      <c r="AC19" s="126" t="s">
        <v>590</v>
      </c>
      <c r="AD19" s="125" t="s">
        <v>590</v>
      </c>
      <c r="AE19" s="128" t="s">
        <v>630</v>
      </c>
      <c r="AF19" s="128" t="s">
        <v>106</v>
      </c>
      <c r="AG19" s="127" t="s">
        <v>590</v>
      </c>
      <c r="AH19" s="1"/>
      <c r="AI19" s="1"/>
      <c r="AJ19" s="1"/>
      <c r="AK19" s="1"/>
      <c r="AL19" s="18" t="s">
        <v>631</v>
      </c>
      <c r="AM19" s="18" t="s">
        <v>621</v>
      </c>
      <c r="AN19" s="18" t="s">
        <v>106</v>
      </c>
      <c r="AO19" s="18" t="s">
        <v>632</v>
      </c>
      <c r="AP19" s="18" t="s">
        <v>608</v>
      </c>
      <c r="AQ19" s="18" t="s">
        <v>633</v>
      </c>
      <c r="AR19" s="18"/>
      <c r="AS19" s="18"/>
      <c r="AT19" s="19" t="s">
        <v>631</v>
      </c>
      <c r="AU19" s="20" t="s">
        <v>548</v>
      </c>
      <c r="AV19" s="22" t="s">
        <v>512</v>
      </c>
      <c r="AW19" s="19" t="s">
        <v>548</v>
      </c>
      <c r="AX19" s="20" t="s">
        <v>578</v>
      </c>
      <c r="AY19" s="20" t="s">
        <v>533</v>
      </c>
      <c r="AZ19" s="18"/>
      <c r="BA19" s="1"/>
      <c r="BB19" s="1"/>
      <c r="BC19" s="18"/>
    </row>
    <row r="20" spans="7:55" x14ac:dyDescent="0.5">
      <c r="G20" s="1" t="s">
        <v>454</v>
      </c>
      <c r="H20" s="1" t="s">
        <v>454</v>
      </c>
      <c r="I20" s="1" t="s">
        <v>454</v>
      </c>
      <c r="J20" s="1"/>
      <c r="K20" s="1"/>
      <c r="L20" s="1" t="s">
        <v>634</v>
      </c>
      <c r="M20" s="1" t="s">
        <v>635</v>
      </c>
      <c r="N20" s="1" t="s">
        <v>545</v>
      </c>
      <c r="O20" s="1" t="s">
        <v>559</v>
      </c>
      <c r="P20" s="1" t="s">
        <v>383</v>
      </c>
      <c r="Q20" s="1" t="s">
        <v>636</v>
      </c>
      <c r="R20" s="1"/>
      <c r="S20" s="65" t="s">
        <v>634</v>
      </c>
      <c r="T20" s="125" t="s">
        <v>635</v>
      </c>
      <c r="U20" s="125" t="s">
        <v>545</v>
      </c>
      <c r="V20" s="125" t="s">
        <v>559</v>
      </c>
      <c r="W20" s="125" t="s">
        <v>383</v>
      </c>
      <c r="X20" s="125" t="s">
        <v>636</v>
      </c>
      <c r="Y20" s="126" t="s">
        <v>577</v>
      </c>
      <c r="Z20" s="125" t="s">
        <v>637</v>
      </c>
      <c r="AA20" s="125" t="s">
        <v>638</v>
      </c>
      <c r="AB20" s="125" t="s">
        <v>639</v>
      </c>
      <c r="AC20" s="126" t="s">
        <v>554</v>
      </c>
      <c r="AD20" s="125" t="s">
        <v>554</v>
      </c>
      <c r="AE20" s="125" t="s">
        <v>640</v>
      </c>
      <c r="AF20" s="125" t="s">
        <v>641</v>
      </c>
      <c r="AG20" s="127" t="s">
        <v>629</v>
      </c>
      <c r="AH20" s="1"/>
      <c r="AI20" s="1"/>
      <c r="AJ20" s="1"/>
      <c r="AK20" s="1"/>
      <c r="AL20" s="18" t="s">
        <v>642</v>
      </c>
      <c r="AM20" s="18" t="s">
        <v>642</v>
      </c>
      <c r="AN20" s="18" t="s">
        <v>407</v>
      </c>
      <c r="AO20" s="18" t="s">
        <v>386</v>
      </c>
      <c r="AP20" s="18" t="s">
        <v>573</v>
      </c>
      <c r="AQ20" s="18" t="s">
        <v>403</v>
      </c>
      <c r="AR20" s="18"/>
      <c r="AS20" s="18"/>
      <c r="AT20" s="21" t="s">
        <v>642</v>
      </c>
      <c r="AU20" s="19" t="s">
        <v>525</v>
      </c>
      <c r="AV20" s="22" t="s">
        <v>518</v>
      </c>
      <c r="AW20" s="19" t="s">
        <v>559</v>
      </c>
      <c r="AX20" s="20" t="s">
        <v>499</v>
      </c>
      <c r="AY20" s="20" t="s">
        <v>630</v>
      </c>
      <c r="AZ20" s="18"/>
      <c r="BA20" s="1"/>
      <c r="BB20" s="1"/>
      <c r="BC20" s="18"/>
    </row>
    <row r="21" spans="7:55" x14ac:dyDescent="0.5">
      <c r="G21" s="1" t="s">
        <v>455</v>
      </c>
      <c r="H21" s="1" t="s">
        <v>455</v>
      </c>
      <c r="I21" s="1" t="s">
        <v>455</v>
      </c>
      <c r="J21" s="1"/>
      <c r="K21" s="1"/>
      <c r="L21" s="1" t="s">
        <v>392</v>
      </c>
      <c r="M21" s="1" t="s">
        <v>568</v>
      </c>
      <c r="N21" s="1" t="s">
        <v>643</v>
      </c>
      <c r="O21" s="1" t="s">
        <v>590</v>
      </c>
      <c r="P21" s="1" t="s">
        <v>547</v>
      </c>
      <c r="Q21" s="1" t="s">
        <v>587</v>
      </c>
      <c r="R21" s="1"/>
      <c r="S21" s="68" t="s">
        <v>392</v>
      </c>
      <c r="T21" s="125" t="s">
        <v>568</v>
      </c>
      <c r="U21" s="125" t="s">
        <v>643</v>
      </c>
      <c r="V21" s="125" t="s">
        <v>590</v>
      </c>
      <c r="W21" s="125" t="s">
        <v>547</v>
      </c>
      <c r="X21" s="125" t="s">
        <v>587</v>
      </c>
      <c r="Y21" s="126" t="s">
        <v>501</v>
      </c>
      <c r="Z21" s="125" t="s">
        <v>572</v>
      </c>
      <c r="AA21" s="125" t="s">
        <v>638</v>
      </c>
      <c r="AB21" s="125" t="s">
        <v>644</v>
      </c>
      <c r="AC21" s="129" t="s">
        <v>126</v>
      </c>
      <c r="AD21" s="125" t="s">
        <v>645</v>
      </c>
      <c r="AE21" s="125" t="s">
        <v>646</v>
      </c>
      <c r="AF21" s="125" t="s">
        <v>647</v>
      </c>
      <c r="AG21" s="127" t="s">
        <v>648</v>
      </c>
      <c r="AH21" s="1"/>
      <c r="AI21" s="1"/>
      <c r="AJ21" s="1"/>
      <c r="AK21" s="1"/>
      <c r="AL21" s="18" t="s">
        <v>649</v>
      </c>
      <c r="AM21" s="18" t="s">
        <v>650</v>
      </c>
      <c r="AN21" s="18" t="s">
        <v>651</v>
      </c>
      <c r="AO21" s="18" t="s">
        <v>616</v>
      </c>
      <c r="AP21" s="18" t="s">
        <v>532</v>
      </c>
      <c r="AQ21" s="18" t="s">
        <v>652</v>
      </c>
      <c r="AR21" s="18"/>
      <c r="AS21" s="18"/>
      <c r="AT21" s="19" t="s">
        <v>649</v>
      </c>
      <c r="AU21" s="20" t="s">
        <v>385</v>
      </c>
      <c r="AV21" s="20" t="s">
        <v>501</v>
      </c>
      <c r="AW21" s="19" t="s">
        <v>385</v>
      </c>
      <c r="AX21" s="22" t="s">
        <v>600</v>
      </c>
      <c r="AY21" s="20" t="s">
        <v>380</v>
      </c>
      <c r="AZ21" s="18"/>
      <c r="BA21" s="1"/>
      <c r="BB21" s="1"/>
      <c r="BC21" s="18"/>
    </row>
    <row r="22" spans="7:55" x14ac:dyDescent="0.5">
      <c r="G22" s="1" t="s">
        <v>456</v>
      </c>
      <c r="H22" s="1" t="s">
        <v>456</v>
      </c>
      <c r="I22" s="1" t="s">
        <v>456</v>
      </c>
      <c r="J22" s="1"/>
      <c r="K22" s="1"/>
      <c r="L22" s="1" t="s">
        <v>106</v>
      </c>
      <c r="M22" s="1" t="s">
        <v>601</v>
      </c>
      <c r="N22" s="1" t="s">
        <v>653</v>
      </c>
      <c r="O22" s="1" t="s">
        <v>653</v>
      </c>
      <c r="P22" s="1" t="s">
        <v>654</v>
      </c>
      <c r="Q22" s="1" t="s">
        <v>655</v>
      </c>
      <c r="R22" s="1"/>
      <c r="S22" s="65" t="s">
        <v>106</v>
      </c>
      <c r="T22" s="125" t="s">
        <v>601</v>
      </c>
      <c r="U22" s="125" t="s">
        <v>653</v>
      </c>
      <c r="V22" s="128" t="s">
        <v>653</v>
      </c>
      <c r="W22" s="125" t="s">
        <v>654</v>
      </c>
      <c r="X22" s="125" t="s">
        <v>655</v>
      </c>
      <c r="Y22" s="126" t="s">
        <v>587</v>
      </c>
      <c r="Z22" s="125" t="s">
        <v>616</v>
      </c>
      <c r="AA22" s="125" t="s">
        <v>656</v>
      </c>
      <c r="AB22" s="125" t="s">
        <v>648</v>
      </c>
      <c r="AC22" s="126" t="s">
        <v>657</v>
      </c>
      <c r="AD22" s="125" t="s">
        <v>657</v>
      </c>
      <c r="AE22" s="125" t="s">
        <v>658</v>
      </c>
      <c r="AF22" s="125" t="s">
        <v>659</v>
      </c>
      <c r="AG22" s="127" t="s">
        <v>660</v>
      </c>
      <c r="AH22" s="1"/>
      <c r="AI22" s="1"/>
      <c r="AJ22" s="1"/>
      <c r="AK22" s="1"/>
      <c r="AL22" s="18" t="s">
        <v>661</v>
      </c>
      <c r="AM22" s="18" t="s">
        <v>662</v>
      </c>
      <c r="AN22" s="18" t="s">
        <v>663</v>
      </c>
      <c r="AO22" s="18" t="s">
        <v>603</v>
      </c>
      <c r="AP22" s="18" t="s">
        <v>513</v>
      </c>
      <c r="AQ22" s="1"/>
      <c r="AR22" s="1"/>
      <c r="AS22" s="1"/>
      <c r="AT22" s="19" t="s">
        <v>650</v>
      </c>
      <c r="AU22" s="20" t="s">
        <v>534</v>
      </c>
      <c r="AV22" s="22" t="s">
        <v>556</v>
      </c>
      <c r="AW22" s="19" t="s">
        <v>569</v>
      </c>
      <c r="AX22" s="22" t="s">
        <v>492</v>
      </c>
      <c r="AY22" s="20" t="s">
        <v>498</v>
      </c>
      <c r="AZ22" s="1"/>
      <c r="BA22" s="1"/>
      <c r="BB22" s="1"/>
      <c r="BC22" s="1"/>
    </row>
    <row r="23" spans="7:55" x14ac:dyDescent="0.5">
      <c r="G23" s="1" t="s">
        <v>457</v>
      </c>
      <c r="H23" s="1" t="s">
        <v>457</v>
      </c>
      <c r="I23" s="1" t="s">
        <v>457</v>
      </c>
      <c r="J23" s="1"/>
      <c r="K23" s="1"/>
      <c r="L23" s="1" t="s">
        <v>589</v>
      </c>
      <c r="M23" s="1" t="s">
        <v>582</v>
      </c>
      <c r="N23" s="1" t="s">
        <v>653</v>
      </c>
      <c r="O23" s="1" t="s">
        <v>616</v>
      </c>
      <c r="P23" s="1" t="s">
        <v>384</v>
      </c>
      <c r="Q23" s="1" t="s">
        <v>517</v>
      </c>
      <c r="R23" s="1"/>
      <c r="S23" s="65" t="s">
        <v>589</v>
      </c>
      <c r="T23" s="125" t="s">
        <v>582</v>
      </c>
      <c r="U23" s="125" t="s">
        <v>653</v>
      </c>
      <c r="V23" s="125" t="s">
        <v>616</v>
      </c>
      <c r="W23" s="125" t="s">
        <v>384</v>
      </c>
      <c r="X23" s="125" t="s">
        <v>517</v>
      </c>
      <c r="Y23" s="126" t="s">
        <v>381</v>
      </c>
      <c r="Z23" s="125" t="s">
        <v>664</v>
      </c>
      <c r="AA23" s="125" t="s">
        <v>623</v>
      </c>
      <c r="AB23" s="125" t="s">
        <v>665</v>
      </c>
      <c r="AC23" s="126" t="s">
        <v>666</v>
      </c>
      <c r="AD23" s="125" t="s">
        <v>667</v>
      </c>
      <c r="AE23" s="125" t="s">
        <v>668</v>
      </c>
      <c r="AF23" s="128" t="s">
        <v>571</v>
      </c>
      <c r="AG23" s="127" t="s">
        <v>669</v>
      </c>
      <c r="AH23" s="1"/>
      <c r="AI23" s="1"/>
      <c r="AJ23" s="1"/>
      <c r="AK23" s="1"/>
      <c r="AL23" s="18" t="s">
        <v>670</v>
      </c>
      <c r="AM23" s="18" t="s">
        <v>647</v>
      </c>
      <c r="AN23" s="18" t="s">
        <v>397</v>
      </c>
      <c r="AO23" s="18" t="s">
        <v>671</v>
      </c>
      <c r="AP23" s="18" t="s">
        <v>672</v>
      </c>
      <c r="AQ23" s="1"/>
      <c r="AR23" s="1"/>
      <c r="AS23" s="1"/>
      <c r="AT23" s="21" t="s">
        <v>661</v>
      </c>
      <c r="AU23" s="20" t="s">
        <v>545</v>
      </c>
      <c r="AV23" s="22" t="s">
        <v>517</v>
      </c>
      <c r="AW23" s="20" t="s">
        <v>593</v>
      </c>
      <c r="AX23" s="20" t="s">
        <v>474</v>
      </c>
      <c r="AY23" s="20" t="s">
        <v>512</v>
      </c>
      <c r="AZ23" s="1"/>
      <c r="BA23" s="1"/>
      <c r="BB23" s="1"/>
      <c r="BC23" s="1"/>
    </row>
    <row r="24" spans="7:55" x14ac:dyDescent="0.5">
      <c r="G24" s="1" t="s">
        <v>458</v>
      </c>
      <c r="H24" s="1" t="s">
        <v>458</v>
      </c>
      <c r="I24" s="1" t="s">
        <v>458</v>
      </c>
      <c r="J24" s="1"/>
      <c r="K24" s="1"/>
      <c r="L24" s="1" t="s">
        <v>588</v>
      </c>
      <c r="M24" s="1" t="s">
        <v>392</v>
      </c>
      <c r="N24" s="1" t="s">
        <v>387</v>
      </c>
      <c r="O24" s="1" t="s">
        <v>673</v>
      </c>
      <c r="P24" s="1" t="s">
        <v>385</v>
      </c>
      <c r="Q24" s="1" t="s">
        <v>523</v>
      </c>
      <c r="R24" s="1"/>
      <c r="S24" s="65" t="s">
        <v>588</v>
      </c>
      <c r="T24" s="125" t="s">
        <v>392</v>
      </c>
      <c r="U24" s="125" t="s">
        <v>387</v>
      </c>
      <c r="V24" s="125" t="s">
        <v>673</v>
      </c>
      <c r="W24" s="128" t="s">
        <v>385</v>
      </c>
      <c r="X24" s="125" t="s">
        <v>523</v>
      </c>
      <c r="Y24" s="126" t="s">
        <v>551</v>
      </c>
      <c r="Z24" s="125" t="s">
        <v>568</v>
      </c>
      <c r="AA24" s="125" t="s">
        <v>674</v>
      </c>
      <c r="AB24" s="125" t="s">
        <v>675</v>
      </c>
      <c r="AC24" s="126" t="s">
        <v>643</v>
      </c>
      <c r="AD24" s="125" t="s">
        <v>392</v>
      </c>
      <c r="AE24" s="125" t="s">
        <v>554</v>
      </c>
      <c r="AF24" s="125" t="s">
        <v>676</v>
      </c>
      <c r="AG24" s="127" t="s">
        <v>677</v>
      </c>
      <c r="AH24" s="1"/>
      <c r="AI24" s="1"/>
      <c r="AJ24" s="1"/>
      <c r="AK24" s="1"/>
      <c r="AL24" s="18" t="s">
        <v>97</v>
      </c>
      <c r="AM24" s="18" t="s">
        <v>678</v>
      </c>
      <c r="AN24" s="18" t="s">
        <v>679</v>
      </c>
      <c r="AO24" s="18" t="s">
        <v>680</v>
      </c>
      <c r="AP24" s="18" t="s">
        <v>385</v>
      </c>
      <c r="AQ24" s="1"/>
      <c r="AR24" s="1"/>
      <c r="AS24" s="1"/>
      <c r="AT24" s="19" t="s">
        <v>670</v>
      </c>
      <c r="AU24" s="20" t="s">
        <v>386</v>
      </c>
      <c r="AV24" s="20" t="s">
        <v>523</v>
      </c>
      <c r="AW24" s="21" t="s">
        <v>554</v>
      </c>
      <c r="AX24" s="20" t="s">
        <v>524</v>
      </c>
      <c r="AY24" s="20" t="s">
        <v>566</v>
      </c>
      <c r="AZ24" s="1"/>
      <c r="BA24" s="1"/>
      <c r="BB24" s="1"/>
      <c r="BC24" s="1"/>
    </row>
    <row r="25" spans="7:55" x14ac:dyDescent="0.5">
      <c r="G25" s="1" t="s">
        <v>681</v>
      </c>
      <c r="H25" s="1" t="s">
        <v>681</v>
      </c>
      <c r="I25" s="1" t="s">
        <v>681</v>
      </c>
      <c r="J25" s="1"/>
      <c r="K25" s="1"/>
      <c r="L25" s="1" t="s">
        <v>682</v>
      </c>
      <c r="M25" s="1" t="s">
        <v>106</v>
      </c>
      <c r="N25" s="1" t="s">
        <v>673</v>
      </c>
      <c r="O25" s="1" t="s">
        <v>671</v>
      </c>
      <c r="P25" s="1" t="s">
        <v>629</v>
      </c>
      <c r="Q25" s="1" t="s">
        <v>683</v>
      </c>
      <c r="R25" s="1"/>
      <c r="S25" s="65" t="s">
        <v>682</v>
      </c>
      <c r="T25" s="125" t="s">
        <v>106</v>
      </c>
      <c r="U25" s="125" t="s">
        <v>673</v>
      </c>
      <c r="V25" s="125" t="s">
        <v>671</v>
      </c>
      <c r="W25" s="125" t="s">
        <v>629</v>
      </c>
      <c r="X25" s="125" t="s">
        <v>683</v>
      </c>
      <c r="Y25" s="126" t="s">
        <v>684</v>
      </c>
      <c r="Z25" s="125" t="s">
        <v>601</v>
      </c>
      <c r="AA25" s="125" t="s">
        <v>685</v>
      </c>
      <c r="AB25" s="125" t="s">
        <v>686</v>
      </c>
      <c r="AC25" s="126" t="s">
        <v>387</v>
      </c>
      <c r="AD25" s="125" t="s">
        <v>687</v>
      </c>
      <c r="AE25" s="125" t="s">
        <v>126</v>
      </c>
      <c r="AF25" s="125" t="s">
        <v>97</v>
      </c>
      <c r="AG25" s="127" t="s">
        <v>396</v>
      </c>
      <c r="AH25" s="1"/>
      <c r="AI25" s="1"/>
      <c r="AJ25" s="1"/>
      <c r="AK25" s="1"/>
      <c r="AL25" s="18" t="s">
        <v>678</v>
      </c>
      <c r="AM25" s="18" t="s">
        <v>688</v>
      </c>
      <c r="AN25" s="18" t="s">
        <v>400</v>
      </c>
      <c r="AO25" s="18" t="s">
        <v>689</v>
      </c>
      <c r="AP25" s="18" t="s">
        <v>643</v>
      </c>
      <c r="AQ25" s="1"/>
      <c r="AR25" s="1"/>
      <c r="AS25" s="1"/>
      <c r="AT25" s="21" t="s">
        <v>97</v>
      </c>
      <c r="AU25" s="20" t="s">
        <v>616</v>
      </c>
      <c r="AV25" s="22" t="s">
        <v>538</v>
      </c>
      <c r="AW25" s="20" t="s">
        <v>617</v>
      </c>
      <c r="AX25" s="20" t="s">
        <v>620</v>
      </c>
      <c r="AY25" s="20" t="s">
        <v>580</v>
      </c>
      <c r="AZ25" s="1"/>
      <c r="BA25" s="1"/>
      <c r="BB25" s="1"/>
      <c r="BC25" s="1"/>
    </row>
    <row r="26" spans="7:55" x14ac:dyDescent="0.5">
      <c r="G26" s="1"/>
      <c r="H26" s="1"/>
      <c r="I26" s="1"/>
      <c r="J26" s="1"/>
      <c r="K26" s="1"/>
      <c r="L26" s="1" t="s">
        <v>631</v>
      </c>
      <c r="M26" s="1" t="s">
        <v>687</v>
      </c>
      <c r="N26" s="1" t="s">
        <v>589</v>
      </c>
      <c r="O26" s="1" t="s">
        <v>690</v>
      </c>
      <c r="P26" s="1" t="s">
        <v>691</v>
      </c>
      <c r="Q26" s="1" t="s">
        <v>538</v>
      </c>
      <c r="R26" s="1"/>
      <c r="S26" s="65" t="s">
        <v>631</v>
      </c>
      <c r="T26" s="125" t="s">
        <v>687</v>
      </c>
      <c r="U26" s="125" t="s">
        <v>589</v>
      </c>
      <c r="V26" s="125" t="s">
        <v>690</v>
      </c>
      <c r="W26" s="125" t="s">
        <v>691</v>
      </c>
      <c r="X26" s="125" t="s">
        <v>538</v>
      </c>
      <c r="Y26" s="126" t="s">
        <v>513</v>
      </c>
      <c r="Z26" s="125" t="s">
        <v>692</v>
      </c>
      <c r="AA26" s="125" t="s">
        <v>386</v>
      </c>
      <c r="AB26" s="125" t="s">
        <v>392</v>
      </c>
      <c r="AC26" s="126" t="s">
        <v>616</v>
      </c>
      <c r="AD26" s="125" t="s">
        <v>693</v>
      </c>
      <c r="AE26" s="125" t="s">
        <v>691</v>
      </c>
      <c r="AF26" s="125" t="s">
        <v>678</v>
      </c>
      <c r="AG26" s="127" t="s">
        <v>694</v>
      </c>
      <c r="AH26" s="1"/>
      <c r="AI26" s="1"/>
      <c r="AJ26" s="1"/>
      <c r="AK26" s="1"/>
      <c r="AL26" s="18" t="s">
        <v>678</v>
      </c>
      <c r="AM26" s="18" t="s">
        <v>695</v>
      </c>
      <c r="AN26" s="18" t="s">
        <v>688</v>
      </c>
      <c r="AO26" s="18" t="s">
        <v>642</v>
      </c>
      <c r="AP26" s="18" t="s">
        <v>387</v>
      </c>
      <c r="AQ26" s="1"/>
      <c r="AR26" s="1"/>
      <c r="AS26" s="1"/>
      <c r="AT26" s="19" t="s">
        <v>678</v>
      </c>
      <c r="AU26" s="20" t="s">
        <v>555</v>
      </c>
      <c r="AV26" s="20" t="s">
        <v>573</v>
      </c>
      <c r="AW26" s="22" t="s">
        <v>126</v>
      </c>
      <c r="AX26" s="20" t="s">
        <v>533</v>
      </c>
      <c r="AY26" s="20" t="s">
        <v>523</v>
      </c>
      <c r="AZ26" s="1"/>
      <c r="BA26" s="1"/>
      <c r="BB26" s="1"/>
      <c r="BC26" s="1"/>
    </row>
    <row r="27" spans="7:55" x14ac:dyDescent="0.5">
      <c r="G27" s="1"/>
      <c r="H27" s="1"/>
      <c r="I27" s="1"/>
      <c r="J27" s="1"/>
      <c r="K27" s="1"/>
      <c r="L27" s="1" t="s">
        <v>696</v>
      </c>
      <c r="M27" s="1" t="s">
        <v>603</v>
      </c>
      <c r="N27" s="1" t="s">
        <v>687</v>
      </c>
      <c r="O27" s="1" t="s">
        <v>680</v>
      </c>
      <c r="P27" s="1" t="s">
        <v>567</v>
      </c>
      <c r="Q27" s="1" t="s">
        <v>608</v>
      </c>
      <c r="R27" s="1"/>
      <c r="S27" s="65" t="s">
        <v>696</v>
      </c>
      <c r="T27" s="125" t="s">
        <v>603</v>
      </c>
      <c r="U27" s="125" t="s">
        <v>687</v>
      </c>
      <c r="V27" s="125" t="s">
        <v>680</v>
      </c>
      <c r="W27" s="125" t="s">
        <v>567</v>
      </c>
      <c r="X27" s="125" t="s">
        <v>608</v>
      </c>
      <c r="Y27" s="126" t="s">
        <v>594</v>
      </c>
      <c r="Z27" s="125" t="s">
        <v>392</v>
      </c>
      <c r="AA27" s="125" t="s">
        <v>697</v>
      </c>
      <c r="AB27" s="128" t="s">
        <v>393</v>
      </c>
      <c r="AC27" s="126" t="s">
        <v>692</v>
      </c>
      <c r="AD27" s="125" t="s">
        <v>698</v>
      </c>
      <c r="AE27" s="125" t="s">
        <v>657</v>
      </c>
      <c r="AF27" s="125" t="s">
        <v>699</v>
      </c>
      <c r="AG27" s="130" t="s">
        <v>700</v>
      </c>
      <c r="AH27" s="1"/>
      <c r="AI27" s="1"/>
      <c r="AJ27" s="1"/>
      <c r="AK27" s="1"/>
      <c r="AL27" s="18" t="s">
        <v>701</v>
      </c>
      <c r="AM27" s="18" t="s">
        <v>702</v>
      </c>
      <c r="AN27" s="18" t="s">
        <v>703</v>
      </c>
      <c r="AO27" s="18" t="s">
        <v>704</v>
      </c>
      <c r="AP27" s="18" t="s">
        <v>673</v>
      </c>
      <c r="AQ27" s="1"/>
      <c r="AR27" s="1"/>
      <c r="AS27" s="1"/>
      <c r="AT27" s="23" t="s">
        <v>701</v>
      </c>
      <c r="AU27" s="20" t="s">
        <v>635</v>
      </c>
      <c r="AV27" s="20" t="s">
        <v>513</v>
      </c>
      <c r="AW27" s="21" t="s">
        <v>572</v>
      </c>
      <c r="AX27" s="22" t="s">
        <v>543</v>
      </c>
      <c r="AY27" s="20" t="s">
        <v>668</v>
      </c>
      <c r="AZ27" s="1"/>
      <c r="BA27" s="1"/>
      <c r="BB27" s="1"/>
      <c r="BC27" s="1"/>
    </row>
    <row r="28" spans="7:55" x14ac:dyDescent="0.5">
      <c r="G28" s="1"/>
      <c r="H28" s="1"/>
      <c r="I28" s="1"/>
      <c r="J28" s="1"/>
      <c r="K28" s="1"/>
      <c r="L28" s="1" t="s">
        <v>642</v>
      </c>
      <c r="M28" s="1" t="s">
        <v>407</v>
      </c>
      <c r="N28" s="1" t="s">
        <v>407</v>
      </c>
      <c r="O28" s="1" t="s">
        <v>588</v>
      </c>
      <c r="P28" s="1" t="s">
        <v>386</v>
      </c>
      <c r="Q28" s="1" t="s">
        <v>573</v>
      </c>
      <c r="R28" s="1"/>
      <c r="S28" s="65" t="s">
        <v>642</v>
      </c>
      <c r="T28" s="125" t="s">
        <v>407</v>
      </c>
      <c r="U28" s="125" t="s">
        <v>407</v>
      </c>
      <c r="V28" s="125" t="s">
        <v>588</v>
      </c>
      <c r="W28" s="125" t="s">
        <v>386</v>
      </c>
      <c r="X28" s="125" t="s">
        <v>573</v>
      </c>
      <c r="Y28" s="126" t="s">
        <v>575</v>
      </c>
      <c r="Z28" s="125" t="s">
        <v>106</v>
      </c>
      <c r="AA28" s="125" t="s">
        <v>705</v>
      </c>
      <c r="AB28" s="125" t="s">
        <v>706</v>
      </c>
      <c r="AC28" s="129" t="s">
        <v>392</v>
      </c>
      <c r="AD28" s="125" t="s">
        <v>707</v>
      </c>
      <c r="AE28" s="125" t="s">
        <v>643</v>
      </c>
      <c r="AF28" s="125" t="s">
        <v>688</v>
      </c>
      <c r="AG28" s="127" t="s">
        <v>708</v>
      </c>
      <c r="AH28" s="1"/>
      <c r="AI28" s="1"/>
      <c r="AJ28" s="1"/>
      <c r="AK28" s="1"/>
      <c r="AL28" s="18"/>
      <c r="AM28" s="18"/>
      <c r="AN28" s="18" t="s">
        <v>709</v>
      </c>
      <c r="AO28" s="18" t="s">
        <v>647</v>
      </c>
      <c r="AP28" s="18" t="s">
        <v>555</v>
      </c>
      <c r="AQ28" s="1"/>
      <c r="AR28" s="1"/>
      <c r="AS28" s="1"/>
      <c r="AT28" s="23"/>
      <c r="AU28" s="20" t="s">
        <v>568</v>
      </c>
      <c r="AV28" s="22" t="s">
        <v>383</v>
      </c>
      <c r="AW28" s="19" t="s">
        <v>614</v>
      </c>
      <c r="AX28" s="20" t="s">
        <v>630</v>
      </c>
      <c r="AY28" s="20" t="s">
        <v>563</v>
      </c>
      <c r="AZ28" s="1"/>
      <c r="BA28" s="1"/>
      <c r="BB28" s="1"/>
      <c r="BC28" s="1"/>
    </row>
    <row r="29" spans="7:55" x14ac:dyDescent="0.5">
      <c r="G29" s="1"/>
      <c r="H29" s="1"/>
      <c r="I29" s="1"/>
      <c r="J29" s="1"/>
      <c r="K29" s="1"/>
      <c r="L29" s="1" t="s">
        <v>710</v>
      </c>
      <c r="M29" s="1" t="s">
        <v>690</v>
      </c>
      <c r="N29" s="1" t="s">
        <v>680</v>
      </c>
      <c r="O29" s="1" t="s">
        <v>711</v>
      </c>
      <c r="P29" s="1" t="s">
        <v>712</v>
      </c>
      <c r="Q29" s="1" t="s">
        <v>532</v>
      </c>
      <c r="R29" s="1"/>
      <c r="S29" s="65" t="s">
        <v>710</v>
      </c>
      <c r="T29" s="125" t="s">
        <v>690</v>
      </c>
      <c r="U29" s="125" t="s">
        <v>680</v>
      </c>
      <c r="V29" s="125" t="s">
        <v>711</v>
      </c>
      <c r="W29" s="125" t="s">
        <v>712</v>
      </c>
      <c r="X29" s="125" t="s">
        <v>532</v>
      </c>
      <c r="Y29" s="126" t="s">
        <v>598</v>
      </c>
      <c r="Z29" s="125" t="s">
        <v>671</v>
      </c>
      <c r="AA29" s="125" t="s">
        <v>601</v>
      </c>
      <c r="AB29" s="125" t="s">
        <v>671</v>
      </c>
      <c r="AC29" s="126" t="s">
        <v>713</v>
      </c>
      <c r="AD29" s="125" t="s">
        <v>670</v>
      </c>
      <c r="AE29" s="125" t="s">
        <v>705</v>
      </c>
      <c r="AF29" s="125" t="s">
        <v>714</v>
      </c>
      <c r="AG29" s="130" t="s">
        <v>405</v>
      </c>
      <c r="AH29" s="1"/>
      <c r="AI29" s="1"/>
      <c r="AJ29" s="1"/>
      <c r="AK29" s="1"/>
      <c r="AL29" s="18"/>
      <c r="AM29" s="1"/>
      <c r="AN29" s="18" t="s">
        <v>715</v>
      </c>
      <c r="AO29" s="18" t="s">
        <v>716</v>
      </c>
      <c r="AP29" s="18" t="s">
        <v>675</v>
      </c>
      <c r="AQ29" s="1"/>
      <c r="AR29" s="1"/>
      <c r="AS29" s="1"/>
      <c r="AT29" s="1"/>
      <c r="AU29" s="20" t="s">
        <v>601</v>
      </c>
      <c r="AV29" s="20" t="s">
        <v>570</v>
      </c>
      <c r="AW29" s="20" t="s">
        <v>545</v>
      </c>
      <c r="AX29" s="20" t="s">
        <v>380</v>
      </c>
      <c r="AY29" s="20" t="s">
        <v>532</v>
      </c>
      <c r="AZ29" s="1"/>
      <c r="BA29" s="1"/>
      <c r="BB29" s="1"/>
      <c r="BC29" s="1"/>
    </row>
    <row r="30" spans="7:55" x14ac:dyDescent="0.5">
      <c r="G30" s="1"/>
      <c r="H30" s="1"/>
      <c r="I30" s="1"/>
      <c r="J30" s="1"/>
      <c r="K30" s="1"/>
      <c r="L30" s="1" t="s">
        <v>704</v>
      </c>
      <c r="M30" s="1" t="s">
        <v>602</v>
      </c>
      <c r="N30" s="1" t="s">
        <v>588</v>
      </c>
      <c r="O30" s="1" t="s">
        <v>397</v>
      </c>
      <c r="P30" s="1" t="s">
        <v>717</v>
      </c>
      <c r="Q30" s="1" t="s">
        <v>532</v>
      </c>
      <c r="R30" s="1"/>
      <c r="S30" s="65" t="s">
        <v>704</v>
      </c>
      <c r="T30" s="125" t="s">
        <v>602</v>
      </c>
      <c r="U30" s="125" t="s">
        <v>588</v>
      </c>
      <c r="V30" s="125" t="s">
        <v>397</v>
      </c>
      <c r="W30" s="125" t="s">
        <v>717</v>
      </c>
      <c r="X30" s="125" t="s">
        <v>532</v>
      </c>
      <c r="Y30" s="126" t="s">
        <v>718</v>
      </c>
      <c r="Z30" s="125" t="s">
        <v>719</v>
      </c>
      <c r="AA30" s="125" t="s">
        <v>720</v>
      </c>
      <c r="AB30" s="125" t="s">
        <v>721</v>
      </c>
      <c r="AC30" s="129" t="s">
        <v>722</v>
      </c>
      <c r="AD30" s="125" t="s">
        <v>723</v>
      </c>
      <c r="AE30" s="125" t="s">
        <v>396</v>
      </c>
      <c r="AF30" s="125"/>
      <c r="AG30" s="127" t="s">
        <v>616</v>
      </c>
      <c r="AH30" s="1"/>
      <c r="AI30" s="1"/>
      <c r="AJ30" s="1"/>
      <c r="AK30" s="1"/>
      <c r="AL30" s="18"/>
      <c r="AM30" s="1"/>
      <c r="AN30" s="18" t="s">
        <v>724</v>
      </c>
      <c r="AO30" s="18" t="s">
        <v>725</v>
      </c>
      <c r="AP30" s="18" t="s">
        <v>389</v>
      </c>
      <c r="AQ30" s="1"/>
      <c r="AR30" s="1"/>
      <c r="AS30" s="1"/>
      <c r="AT30" s="1"/>
      <c r="AU30" s="20" t="s">
        <v>582</v>
      </c>
      <c r="AV30" s="20" t="s">
        <v>594</v>
      </c>
      <c r="AW30" s="22" t="s">
        <v>643</v>
      </c>
      <c r="AX30" s="22" t="s">
        <v>498</v>
      </c>
      <c r="AY30" s="20" t="s">
        <v>539</v>
      </c>
      <c r="AZ30" s="1"/>
      <c r="BA30" s="1"/>
      <c r="BB30" s="1"/>
      <c r="BC30" s="1"/>
    </row>
    <row r="31" spans="7:55" x14ac:dyDescent="0.5">
      <c r="G31" s="1"/>
      <c r="H31" s="1"/>
      <c r="I31" s="1"/>
      <c r="J31" s="1"/>
      <c r="K31" s="1"/>
      <c r="L31" s="1" t="s">
        <v>663</v>
      </c>
      <c r="M31" s="1" t="s">
        <v>698</v>
      </c>
      <c r="N31" s="1" t="s">
        <v>651</v>
      </c>
      <c r="O31" s="1" t="s">
        <v>647</v>
      </c>
      <c r="P31" s="1" t="s">
        <v>389</v>
      </c>
      <c r="Q31" s="1" t="s">
        <v>539</v>
      </c>
      <c r="R31" s="1"/>
      <c r="S31" s="65" t="s">
        <v>663</v>
      </c>
      <c r="T31" s="125" t="s">
        <v>698</v>
      </c>
      <c r="U31" s="125" t="s">
        <v>651</v>
      </c>
      <c r="V31" s="125" t="s">
        <v>647</v>
      </c>
      <c r="W31" s="125" t="s">
        <v>389</v>
      </c>
      <c r="X31" s="125" t="s">
        <v>539</v>
      </c>
      <c r="Y31" s="126" t="s">
        <v>691</v>
      </c>
      <c r="Z31" s="125" t="s">
        <v>690</v>
      </c>
      <c r="AA31" s="125" t="s">
        <v>391</v>
      </c>
      <c r="AB31" s="125" t="s">
        <v>722</v>
      </c>
      <c r="AC31" s="126" t="s">
        <v>642</v>
      </c>
      <c r="AD31" s="125" t="s">
        <v>699</v>
      </c>
      <c r="AE31" s="125" t="s">
        <v>726</v>
      </c>
      <c r="AF31" s="125"/>
      <c r="AG31" s="127"/>
      <c r="AH31" s="1"/>
      <c r="AI31" s="1"/>
      <c r="AJ31" s="1"/>
      <c r="AK31" s="1"/>
      <c r="AL31" s="18"/>
      <c r="AM31" s="1"/>
      <c r="AN31" s="18" t="s">
        <v>727</v>
      </c>
      <c r="AO31" s="18" t="s">
        <v>728</v>
      </c>
      <c r="AP31" s="18" t="s">
        <v>729</v>
      </c>
      <c r="AQ31" s="1"/>
      <c r="AR31" s="1"/>
      <c r="AS31" s="1"/>
      <c r="AT31" s="1"/>
      <c r="AU31" s="20" t="s">
        <v>392</v>
      </c>
      <c r="AV31" s="22" t="s">
        <v>539</v>
      </c>
      <c r="AW31" s="20" t="s">
        <v>653</v>
      </c>
      <c r="AX31" s="22" t="s">
        <v>512</v>
      </c>
      <c r="AY31" s="20" t="s">
        <v>579</v>
      </c>
      <c r="AZ31" s="1"/>
      <c r="BA31" s="1"/>
      <c r="BB31" s="1"/>
      <c r="BC31" s="1"/>
    </row>
    <row r="32" spans="7:55" x14ac:dyDescent="0.5">
      <c r="G32" s="1"/>
      <c r="H32" s="1"/>
      <c r="I32" s="1"/>
      <c r="J32" s="1"/>
      <c r="K32" s="1"/>
      <c r="L32" s="1" t="s">
        <v>647</v>
      </c>
      <c r="M32" s="1" t="s">
        <v>650</v>
      </c>
      <c r="N32" s="1" t="s">
        <v>395</v>
      </c>
      <c r="O32" s="1" t="s">
        <v>725</v>
      </c>
      <c r="P32" s="1" t="s">
        <v>390</v>
      </c>
      <c r="Q32" s="1" t="s">
        <v>525</v>
      </c>
      <c r="R32" s="1"/>
      <c r="S32" s="65" t="s">
        <v>647</v>
      </c>
      <c r="T32" s="125" t="s">
        <v>650</v>
      </c>
      <c r="U32" s="125" t="s">
        <v>395</v>
      </c>
      <c r="V32" s="125" t="s">
        <v>725</v>
      </c>
      <c r="W32" s="125" t="s">
        <v>390</v>
      </c>
      <c r="X32" s="125" t="s">
        <v>525</v>
      </c>
      <c r="Y32" s="126" t="s">
        <v>657</v>
      </c>
      <c r="Z32" s="125" t="s">
        <v>722</v>
      </c>
      <c r="AA32" s="125" t="s">
        <v>634</v>
      </c>
      <c r="AB32" s="125" t="s">
        <v>730</v>
      </c>
      <c r="AC32" s="126" t="s">
        <v>731</v>
      </c>
      <c r="AD32" s="128" t="s">
        <v>400</v>
      </c>
      <c r="AE32" s="125" t="s">
        <v>732</v>
      </c>
      <c r="AF32" s="125"/>
      <c r="AG32" s="127"/>
      <c r="AH32" s="1"/>
      <c r="AI32" s="1"/>
      <c r="AJ32" s="1"/>
      <c r="AK32" s="1"/>
      <c r="AL32" s="18"/>
      <c r="AM32" s="1"/>
      <c r="AN32" s="1"/>
      <c r="AO32" s="18" t="s">
        <v>733</v>
      </c>
      <c r="AP32" s="18" t="s">
        <v>734</v>
      </c>
      <c r="AQ32" s="1"/>
      <c r="AR32" s="1"/>
      <c r="AS32" s="1"/>
      <c r="AT32" s="1"/>
      <c r="AU32" s="20" t="s">
        <v>106</v>
      </c>
      <c r="AV32" s="22" t="s">
        <v>607</v>
      </c>
      <c r="AW32" s="20" t="s">
        <v>387</v>
      </c>
      <c r="AX32" s="20" t="s">
        <v>566</v>
      </c>
      <c r="AY32" s="20" t="s">
        <v>559</v>
      </c>
      <c r="AZ32" s="1"/>
      <c r="BA32" s="1"/>
      <c r="BB32" s="1"/>
      <c r="BC32" s="1"/>
    </row>
    <row r="33" spans="12:51" x14ac:dyDescent="0.5">
      <c r="L33" s="1" t="s">
        <v>735</v>
      </c>
      <c r="M33" s="1" t="s">
        <v>735</v>
      </c>
      <c r="N33" s="1" t="s">
        <v>736</v>
      </c>
      <c r="O33" s="1" t="s">
        <v>97</v>
      </c>
      <c r="P33" s="1" t="s">
        <v>391</v>
      </c>
      <c r="Q33" s="1" t="s">
        <v>554</v>
      </c>
      <c r="R33" s="1"/>
      <c r="S33" s="68" t="s">
        <v>735</v>
      </c>
      <c r="T33" s="125" t="s">
        <v>735</v>
      </c>
      <c r="U33" s="125" t="s">
        <v>736</v>
      </c>
      <c r="V33" s="125" t="s">
        <v>97</v>
      </c>
      <c r="W33" s="128" t="s">
        <v>391</v>
      </c>
      <c r="X33" s="125" t="s">
        <v>554</v>
      </c>
      <c r="Y33" s="126" t="s">
        <v>737</v>
      </c>
      <c r="Z33" s="125" t="s">
        <v>738</v>
      </c>
      <c r="AA33" s="125" t="s">
        <v>392</v>
      </c>
      <c r="AB33" s="125" t="s">
        <v>739</v>
      </c>
      <c r="AC33" s="126" t="s">
        <v>647</v>
      </c>
      <c r="AD33" s="125" t="s">
        <v>703</v>
      </c>
      <c r="AE33" s="125" t="s">
        <v>740</v>
      </c>
      <c r="AF33" s="125"/>
      <c r="AG33" s="127"/>
      <c r="AH33" s="1"/>
      <c r="AI33" s="1"/>
      <c r="AJ33" s="1"/>
      <c r="AK33" s="1"/>
      <c r="AL33" s="1"/>
      <c r="AM33" s="1"/>
      <c r="AN33" s="1"/>
      <c r="AO33" s="18" t="s">
        <v>741</v>
      </c>
      <c r="AP33" s="18" t="s">
        <v>742</v>
      </c>
      <c r="AQ33" s="1"/>
      <c r="AR33" s="1"/>
      <c r="AS33" s="1"/>
      <c r="AT33" s="1"/>
      <c r="AU33" s="20" t="s">
        <v>589</v>
      </c>
      <c r="AV33" s="20" t="s">
        <v>548</v>
      </c>
      <c r="AW33" s="22" t="s">
        <v>673</v>
      </c>
      <c r="AX33" s="20" t="s">
        <v>580</v>
      </c>
      <c r="AY33" s="20" t="s">
        <v>590</v>
      </c>
    </row>
    <row r="34" spans="12:51" x14ac:dyDescent="0.5">
      <c r="L34" s="1" t="s">
        <v>725</v>
      </c>
      <c r="M34" s="1" t="s">
        <v>699</v>
      </c>
      <c r="N34" s="1" t="s">
        <v>663</v>
      </c>
      <c r="O34" s="1" t="s">
        <v>678</v>
      </c>
      <c r="P34" s="1" t="s">
        <v>392</v>
      </c>
      <c r="Q34" s="1" t="s">
        <v>691</v>
      </c>
      <c r="R34" s="1"/>
      <c r="S34" s="65" t="s">
        <v>725</v>
      </c>
      <c r="T34" s="125" t="s">
        <v>699</v>
      </c>
      <c r="U34" s="125" t="s">
        <v>663</v>
      </c>
      <c r="V34" s="125" t="s">
        <v>678</v>
      </c>
      <c r="W34" s="125" t="s">
        <v>392</v>
      </c>
      <c r="X34" s="125" t="s">
        <v>691</v>
      </c>
      <c r="Y34" s="129" t="s">
        <v>391</v>
      </c>
      <c r="Z34" s="125" t="s">
        <v>651</v>
      </c>
      <c r="AA34" s="125" t="s">
        <v>743</v>
      </c>
      <c r="AB34" s="125" t="s">
        <v>704</v>
      </c>
      <c r="AC34" s="126" t="s">
        <v>744</v>
      </c>
      <c r="AD34" s="125"/>
      <c r="AE34" s="125" t="s">
        <v>745</v>
      </c>
      <c r="AF34" s="125"/>
      <c r="AG34" s="127"/>
      <c r="AH34" s="1"/>
      <c r="AI34" s="1"/>
      <c r="AJ34" s="1"/>
      <c r="AK34" s="1"/>
      <c r="AL34" s="1"/>
      <c r="AM34" s="1"/>
      <c r="AN34" s="1"/>
      <c r="AO34" s="18" t="s">
        <v>746</v>
      </c>
      <c r="AP34" s="18" t="s">
        <v>747</v>
      </c>
      <c r="AQ34" s="1"/>
      <c r="AR34" s="1"/>
      <c r="AS34" s="1"/>
      <c r="AT34" s="1"/>
      <c r="AU34" s="20" t="s">
        <v>687</v>
      </c>
      <c r="AV34" s="20" t="s">
        <v>583</v>
      </c>
      <c r="AW34" s="21" t="s">
        <v>622</v>
      </c>
      <c r="AX34" s="20" t="s">
        <v>640</v>
      </c>
      <c r="AY34" s="20" t="s">
        <v>629</v>
      </c>
    </row>
    <row r="35" spans="12:51" x14ac:dyDescent="0.5">
      <c r="L35" s="1" t="s">
        <v>748</v>
      </c>
      <c r="M35" s="1" t="s">
        <v>749</v>
      </c>
      <c r="N35" s="1" t="s">
        <v>750</v>
      </c>
      <c r="O35" s="1" t="s">
        <v>746</v>
      </c>
      <c r="P35" s="1" t="s">
        <v>603</v>
      </c>
      <c r="Q35" s="1" t="s">
        <v>657</v>
      </c>
      <c r="R35" s="1"/>
      <c r="S35" s="65" t="s">
        <v>748</v>
      </c>
      <c r="T35" s="125" t="s">
        <v>749</v>
      </c>
      <c r="U35" s="125" t="s">
        <v>750</v>
      </c>
      <c r="V35" s="125" t="s">
        <v>746</v>
      </c>
      <c r="W35" s="125" t="s">
        <v>603</v>
      </c>
      <c r="X35" s="125" t="s">
        <v>657</v>
      </c>
      <c r="Y35" s="126" t="s">
        <v>392</v>
      </c>
      <c r="Z35" s="125" t="s">
        <v>516</v>
      </c>
      <c r="AA35" s="125" t="s">
        <v>751</v>
      </c>
      <c r="AB35" s="125" t="s">
        <v>752</v>
      </c>
      <c r="AC35" s="129" t="s">
        <v>748</v>
      </c>
      <c r="AD35" s="125"/>
      <c r="AE35" s="125" t="s">
        <v>703</v>
      </c>
      <c r="AF35" s="125"/>
      <c r="AG35" s="127"/>
      <c r="AH35" s="1"/>
      <c r="AI35" s="1"/>
      <c r="AJ35" s="1"/>
      <c r="AK35" s="1"/>
      <c r="AL35" s="1"/>
      <c r="AM35" s="1"/>
      <c r="AN35" s="1"/>
      <c r="AO35" s="18" t="s">
        <v>592</v>
      </c>
      <c r="AP35" s="18" t="s">
        <v>660</v>
      </c>
      <c r="AQ35" s="1"/>
      <c r="AR35" s="1"/>
      <c r="AS35" s="1"/>
      <c r="AT35" s="1"/>
      <c r="AU35" s="20" t="s">
        <v>603</v>
      </c>
      <c r="AV35" s="22" t="s">
        <v>579</v>
      </c>
      <c r="AW35" s="19" t="s">
        <v>106</v>
      </c>
      <c r="AX35" s="22" t="s">
        <v>587</v>
      </c>
      <c r="AY35" s="20" t="s">
        <v>554</v>
      </c>
    </row>
    <row r="36" spans="12:51" x14ac:dyDescent="0.5">
      <c r="L36" s="1" t="s">
        <v>97</v>
      </c>
      <c r="M36" s="1" t="s">
        <v>688</v>
      </c>
      <c r="N36" s="1" t="s">
        <v>679</v>
      </c>
      <c r="O36" s="1" t="s">
        <v>753</v>
      </c>
      <c r="P36" s="1" t="s">
        <v>719</v>
      </c>
      <c r="Q36" s="1" t="s">
        <v>386</v>
      </c>
      <c r="R36" s="1"/>
      <c r="S36" s="65" t="s">
        <v>97</v>
      </c>
      <c r="T36" s="125" t="s">
        <v>688</v>
      </c>
      <c r="U36" s="125" t="s">
        <v>679</v>
      </c>
      <c r="V36" s="125" t="s">
        <v>753</v>
      </c>
      <c r="W36" s="125" t="s">
        <v>719</v>
      </c>
      <c r="X36" s="128" t="s">
        <v>386</v>
      </c>
      <c r="Y36" s="126" t="s">
        <v>671</v>
      </c>
      <c r="Z36" s="125" t="s">
        <v>754</v>
      </c>
      <c r="AA36" s="125" t="s">
        <v>755</v>
      </c>
      <c r="AB36" s="125" t="s">
        <v>647</v>
      </c>
      <c r="AC36" s="126" t="s">
        <v>703</v>
      </c>
      <c r="AD36" s="125"/>
      <c r="AE36" s="125" t="s">
        <v>756</v>
      </c>
      <c r="AF36" s="125"/>
      <c r="AG36" s="127"/>
      <c r="AH36" s="1"/>
      <c r="AI36" s="1"/>
      <c r="AJ36" s="1"/>
      <c r="AK36" s="1"/>
      <c r="AL36" s="1"/>
      <c r="AM36" s="1"/>
      <c r="AN36" s="1"/>
      <c r="AO36" s="1"/>
      <c r="AP36" s="18" t="s">
        <v>711</v>
      </c>
      <c r="AQ36" s="1"/>
      <c r="AR36" s="1"/>
      <c r="AS36" s="1"/>
      <c r="AT36" s="1"/>
      <c r="AU36" s="20" t="s">
        <v>613</v>
      </c>
      <c r="AV36" s="20" t="s">
        <v>559</v>
      </c>
      <c r="AW36" s="20" t="s">
        <v>589</v>
      </c>
      <c r="AX36" s="22" t="s">
        <v>646</v>
      </c>
      <c r="AY36" s="20" t="s">
        <v>657</v>
      </c>
    </row>
    <row r="37" spans="12:51" x14ac:dyDescent="0.5">
      <c r="L37" s="1" t="s">
        <v>757</v>
      </c>
      <c r="M37" s="1" t="s">
        <v>695</v>
      </c>
      <c r="N37" s="1" t="s">
        <v>758</v>
      </c>
      <c r="O37" s="1"/>
      <c r="P37" s="1" t="s">
        <v>407</v>
      </c>
      <c r="Q37" s="1" t="s">
        <v>643</v>
      </c>
      <c r="R37" s="1"/>
      <c r="S37" s="65" t="s">
        <v>757</v>
      </c>
      <c r="T37" s="125" t="s">
        <v>695</v>
      </c>
      <c r="U37" s="125" t="s">
        <v>758</v>
      </c>
      <c r="V37" s="125"/>
      <c r="W37" s="125" t="s">
        <v>407</v>
      </c>
      <c r="X37" s="125" t="s">
        <v>643</v>
      </c>
      <c r="Y37" s="126" t="s">
        <v>759</v>
      </c>
      <c r="Z37" s="125" t="s">
        <v>760</v>
      </c>
      <c r="AA37" s="125" t="s">
        <v>407</v>
      </c>
      <c r="AB37" s="125" t="s">
        <v>725</v>
      </c>
      <c r="AC37" s="126" t="s">
        <v>694</v>
      </c>
      <c r="AD37" s="125"/>
      <c r="AE37" s="125" t="s">
        <v>700</v>
      </c>
      <c r="AF37" s="125"/>
      <c r="AG37" s="127"/>
      <c r="AH37" s="1"/>
      <c r="AI37" s="1"/>
      <c r="AJ37" s="1"/>
      <c r="AK37" s="1"/>
      <c r="AL37" s="1"/>
      <c r="AM37" s="1"/>
      <c r="AN37" s="1"/>
      <c r="AO37" s="1"/>
      <c r="AP37" s="18" t="s">
        <v>761</v>
      </c>
      <c r="AQ37" s="1"/>
      <c r="AR37" s="1"/>
      <c r="AS37" s="1"/>
      <c r="AT37" s="1"/>
      <c r="AU37" s="20" t="s">
        <v>407</v>
      </c>
      <c r="AV37" s="20" t="s">
        <v>385</v>
      </c>
      <c r="AW37" s="22" t="s">
        <v>687</v>
      </c>
      <c r="AX37" s="22" t="s">
        <v>585</v>
      </c>
      <c r="AY37" s="20" t="s">
        <v>643</v>
      </c>
    </row>
    <row r="38" spans="12:51" x14ac:dyDescent="0.5">
      <c r="L38" s="1" t="s">
        <v>762</v>
      </c>
      <c r="M38" s="1" t="s">
        <v>703</v>
      </c>
      <c r="N38" s="1" t="s">
        <v>678</v>
      </c>
      <c r="O38" s="1"/>
      <c r="P38" s="1" t="s">
        <v>763</v>
      </c>
      <c r="Q38" s="1" t="s">
        <v>387</v>
      </c>
      <c r="R38" s="1"/>
      <c r="S38" s="65" t="s">
        <v>762</v>
      </c>
      <c r="T38" s="125" t="s">
        <v>703</v>
      </c>
      <c r="U38" s="125" t="s">
        <v>678</v>
      </c>
      <c r="V38" s="125"/>
      <c r="W38" s="125" t="s">
        <v>763</v>
      </c>
      <c r="X38" s="125" t="s">
        <v>387</v>
      </c>
      <c r="Y38" s="126" t="s">
        <v>764</v>
      </c>
      <c r="Z38" s="125" t="s">
        <v>97</v>
      </c>
      <c r="AA38" s="125" t="s">
        <v>765</v>
      </c>
      <c r="AB38" s="125" t="s">
        <v>766</v>
      </c>
      <c r="AC38" s="126" t="s">
        <v>767</v>
      </c>
      <c r="AD38" s="125"/>
      <c r="AE38" s="125" t="s">
        <v>767</v>
      </c>
      <c r="AF38" s="125"/>
      <c r="AG38" s="127"/>
      <c r="AH38" s="1"/>
      <c r="AI38" s="1"/>
      <c r="AJ38" s="1"/>
      <c r="AK38" s="1"/>
      <c r="AL38" s="1"/>
      <c r="AM38" s="1"/>
      <c r="AN38" s="1"/>
      <c r="AO38" s="1"/>
      <c r="AP38" s="18" t="s">
        <v>768</v>
      </c>
      <c r="AQ38" s="1"/>
      <c r="AR38" s="1"/>
      <c r="AS38" s="1"/>
      <c r="AT38" s="1"/>
      <c r="AU38" s="20" t="s">
        <v>690</v>
      </c>
      <c r="AV38" s="19" t="s">
        <v>590</v>
      </c>
      <c r="AW38" s="19" t="s">
        <v>407</v>
      </c>
      <c r="AX38" s="22" t="s">
        <v>658</v>
      </c>
      <c r="AY38" s="20" t="s">
        <v>705</v>
      </c>
    </row>
    <row r="39" spans="12:51" x14ac:dyDescent="0.5">
      <c r="L39" s="1" t="s">
        <v>678</v>
      </c>
      <c r="M39" s="1" t="s">
        <v>746</v>
      </c>
      <c r="N39" s="1" t="s">
        <v>749</v>
      </c>
      <c r="O39" s="1"/>
      <c r="P39" s="1" t="s">
        <v>769</v>
      </c>
      <c r="Q39" s="1" t="s">
        <v>387</v>
      </c>
      <c r="R39" s="1"/>
      <c r="S39" s="65" t="s">
        <v>678</v>
      </c>
      <c r="T39" s="125" t="s">
        <v>746</v>
      </c>
      <c r="U39" s="125" t="s">
        <v>749</v>
      </c>
      <c r="V39" s="125"/>
      <c r="W39" s="125" t="s">
        <v>769</v>
      </c>
      <c r="X39" s="125" t="s">
        <v>387</v>
      </c>
      <c r="Y39" s="126" t="s">
        <v>770</v>
      </c>
      <c r="Z39" s="125" t="s">
        <v>762</v>
      </c>
      <c r="AA39" s="125" t="s">
        <v>602</v>
      </c>
      <c r="AB39" s="125" t="s">
        <v>97</v>
      </c>
      <c r="AC39" s="126" t="s">
        <v>727</v>
      </c>
      <c r="AD39" s="125"/>
      <c r="AE39" s="125" t="s">
        <v>724</v>
      </c>
      <c r="AF39" s="125"/>
      <c r="AG39" s="127"/>
      <c r="AH39" s="1"/>
      <c r="AI39" s="1"/>
      <c r="AJ39" s="1"/>
      <c r="AK39" s="1"/>
      <c r="AL39" s="1"/>
      <c r="AM39" s="1"/>
      <c r="AN39" s="1"/>
      <c r="AO39" s="1"/>
      <c r="AP39" s="18" t="s">
        <v>641</v>
      </c>
      <c r="AQ39" s="1"/>
      <c r="AR39" s="1"/>
      <c r="AS39" s="1"/>
      <c r="AT39" s="1"/>
      <c r="AU39" s="20" t="s">
        <v>602</v>
      </c>
      <c r="AV39" s="21" t="s">
        <v>604</v>
      </c>
      <c r="AW39" s="22" t="s">
        <v>680</v>
      </c>
      <c r="AX39" s="22" t="s">
        <v>523</v>
      </c>
      <c r="AY39" s="20" t="s">
        <v>586</v>
      </c>
    </row>
    <row r="40" spans="12:51" ht="17" thickBot="1" x14ac:dyDescent="0.55000000000000004">
      <c r="L40" s="1" t="s">
        <v>699</v>
      </c>
      <c r="M40" s="1" t="s">
        <v>702</v>
      </c>
      <c r="N40" s="1" t="s">
        <v>400</v>
      </c>
      <c r="O40" s="1"/>
      <c r="P40" s="1" t="s">
        <v>759</v>
      </c>
      <c r="Q40" s="1" t="s">
        <v>771</v>
      </c>
      <c r="R40" s="1"/>
      <c r="S40" s="65" t="s">
        <v>699</v>
      </c>
      <c r="T40" s="125" t="s">
        <v>702</v>
      </c>
      <c r="U40" s="128" t="s">
        <v>400</v>
      </c>
      <c r="V40" s="125"/>
      <c r="W40" s="125" t="s">
        <v>759</v>
      </c>
      <c r="X40" s="125" t="s">
        <v>771</v>
      </c>
      <c r="Y40" s="126" t="s">
        <v>770</v>
      </c>
      <c r="Z40" s="125" t="s">
        <v>695</v>
      </c>
      <c r="AA40" s="125" t="s">
        <v>722</v>
      </c>
      <c r="AB40" s="125" t="s">
        <v>772</v>
      </c>
      <c r="AC40" s="131" t="s">
        <v>773</v>
      </c>
      <c r="AD40" s="132"/>
      <c r="AE40" s="132"/>
      <c r="AF40" s="132"/>
      <c r="AG40" s="133"/>
      <c r="AH40" s="1"/>
      <c r="AI40" s="1"/>
      <c r="AJ40" s="1"/>
      <c r="AK40" s="1"/>
      <c r="AL40" s="1"/>
      <c r="AM40" s="1"/>
      <c r="AN40" s="1"/>
      <c r="AO40" s="1"/>
      <c r="AP40" s="18" t="s">
        <v>774</v>
      </c>
      <c r="AQ40" s="1"/>
      <c r="AR40" s="1"/>
      <c r="AS40" s="1"/>
      <c r="AT40" s="1"/>
      <c r="AU40" s="20" t="s">
        <v>621</v>
      </c>
      <c r="AV40" s="22" t="s">
        <v>569</v>
      </c>
      <c r="AW40" s="20" t="s">
        <v>588</v>
      </c>
      <c r="AX40" s="22" t="s">
        <v>668</v>
      </c>
      <c r="AY40" s="20" t="s">
        <v>601</v>
      </c>
    </row>
    <row r="41" spans="12:51" x14ac:dyDescent="0.5">
      <c r="L41" s="1" t="s">
        <v>775</v>
      </c>
      <c r="M41" s="1" t="s">
        <v>403</v>
      </c>
      <c r="N41" s="1" t="s">
        <v>715</v>
      </c>
      <c r="O41" s="1"/>
      <c r="P41" s="1" t="s">
        <v>651</v>
      </c>
      <c r="Q41" s="1" t="s">
        <v>776</v>
      </c>
      <c r="R41" s="1"/>
      <c r="S41" s="65" t="s">
        <v>775</v>
      </c>
      <c r="T41" s="125" t="s">
        <v>403</v>
      </c>
      <c r="U41" s="125" t="s">
        <v>715</v>
      </c>
      <c r="V41" s="125"/>
      <c r="W41" s="125" t="s">
        <v>651</v>
      </c>
      <c r="X41" s="125" t="s">
        <v>776</v>
      </c>
      <c r="Y41" s="126" t="s">
        <v>704</v>
      </c>
      <c r="Z41" s="125" t="s">
        <v>777</v>
      </c>
      <c r="AA41" s="125" t="s">
        <v>738</v>
      </c>
      <c r="AB41" s="127" t="s">
        <v>778</v>
      </c>
      <c r="AC41" s="125"/>
      <c r="AD41" s="125"/>
      <c r="AE41" s="125"/>
      <c r="AF41" s="125"/>
      <c r="AG41" s="125"/>
      <c r="AH41" s="1"/>
      <c r="AI41" s="1"/>
      <c r="AJ41" s="1"/>
      <c r="AK41" s="1"/>
      <c r="AL41" s="1"/>
      <c r="AM41" s="1"/>
      <c r="AN41" s="1"/>
      <c r="AO41" s="1"/>
      <c r="AP41" s="18" t="s">
        <v>779</v>
      </c>
      <c r="AQ41" s="1"/>
      <c r="AR41" s="1"/>
      <c r="AS41" s="1"/>
      <c r="AT41" s="1"/>
      <c r="AU41" s="20" t="s">
        <v>698</v>
      </c>
      <c r="AV41" s="20" t="s">
        <v>593</v>
      </c>
      <c r="AW41" s="22" t="s">
        <v>651</v>
      </c>
      <c r="AX41" s="20" t="s">
        <v>563</v>
      </c>
      <c r="AY41" s="20" t="s">
        <v>389</v>
      </c>
    </row>
    <row r="42" spans="12:51" x14ac:dyDescent="0.5">
      <c r="L42" s="1" t="s">
        <v>695</v>
      </c>
      <c r="M42" s="1" t="s">
        <v>780</v>
      </c>
      <c r="N42" s="1" t="s">
        <v>727</v>
      </c>
      <c r="O42" s="1"/>
      <c r="P42" s="1" t="s">
        <v>516</v>
      </c>
      <c r="Q42" s="1" t="s">
        <v>747</v>
      </c>
      <c r="R42" s="1"/>
      <c r="S42" s="65" t="s">
        <v>695</v>
      </c>
      <c r="T42" s="125" t="s">
        <v>780</v>
      </c>
      <c r="U42" s="125" t="s">
        <v>727</v>
      </c>
      <c r="V42" s="125"/>
      <c r="W42" s="125" t="s">
        <v>516</v>
      </c>
      <c r="X42" s="125" t="s">
        <v>747</v>
      </c>
      <c r="Y42" s="126" t="s">
        <v>663</v>
      </c>
      <c r="Z42" s="125"/>
      <c r="AA42" s="125" t="s">
        <v>651</v>
      </c>
      <c r="AB42" s="127" t="s">
        <v>781</v>
      </c>
      <c r="AC42" s="125"/>
      <c r="AD42" s="125"/>
      <c r="AE42" s="125"/>
      <c r="AF42" s="125"/>
      <c r="AG42" s="125"/>
      <c r="AH42" s="1"/>
      <c r="AI42" s="1"/>
      <c r="AJ42" s="1"/>
      <c r="AK42" s="1"/>
      <c r="AL42" s="1"/>
      <c r="AM42" s="1"/>
      <c r="AN42" s="1"/>
      <c r="AO42" s="1"/>
      <c r="AP42" s="18" t="s">
        <v>725</v>
      </c>
      <c r="AQ42" s="1"/>
      <c r="AR42" s="1"/>
      <c r="AS42" s="1"/>
      <c r="AT42" s="1"/>
      <c r="AU42" s="20" t="s">
        <v>642</v>
      </c>
      <c r="AV42" s="19" t="s">
        <v>554</v>
      </c>
      <c r="AW42" s="20" t="s">
        <v>395</v>
      </c>
      <c r="AX42" s="22" t="s">
        <v>532</v>
      </c>
      <c r="AY42" s="20" t="s">
        <v>106</v>
      </c>
    </row>
    <row r="43" spans="12:51" x14ac:dyDescent="0.5">
      <c r="L43" s="1" t="s">
        <v>782</v>
      </c>
      <c r="M43" s="1"/>
      <c r="N43" s="1" t="s">
        <v>773</v>
      </c>
      <c r="O43" s="1"/>
      <c r="P43" s="1" t="s">
        <v>770</v>
      </c>
      <c r="Q43" s="1" t="s">
        <v>660</v>
      </c>
      <c r="R43" s="1"/>
      <c r="S43" s="65" t="s">
        <v>782</v>
      </c>
      <c r="T43" s="125"/>
      <c r="U43" s="125" t="s">
        <v>773</v>
      </c>
      <c r="V43" s="125"/>
      <c r="W43" s="125" t="s">
        <v>770</v>
      </c>
      <c r="X43" s="125" t="s">
        <v>660</v>
      </c>
      <c r="Y43" s="126" t="s">
        <v>783</v>
      </c>
      <c r="Z43" s="125"/>
      <c r="AA43" s="125" t="s">
        <v>711</v>
      </c>
      <c r="AB43" s="127" t="s">
        <v>784</v>
      </c>
      <c r="AC43" s="125"/>
      <c r="AD43" s="125"/>
      <c r="AE43" s="125"/>
      <c r="AF43" s="125"/>
      <c r="AG43" s="125"/>
      <c r="AH43" s="1"/>
      <c r="AI43" s="1"/>
      <c r="AJ43" s="1"/>
      <c r="AK43" s="1"/>
      <c r="AL43" s="1"/>
      <c r="AM43" s="1"/>
      <c r="AN43" s="1"/>
      <c r="AO43" s="1"/>
      <c r="AP43" s="18" t="s">
        <v>785</v>
      </c>
      <c r="AQ43" s="1"/>
      <c r="AR43" s="1"/>
      <c r="AS43" s="1"/>
      <c r="AT43" s="1"/>
      <c r="AU43" s="20" t="s">
        <v>662</v>
      </c>
      <c r="AV43" s="20" t="s">
        <v>617</v>
      </c>
      <c r="AW43" s="22" t="s">
        <v>736</v>
      </c>
      <c r="AX43" s="22" t="s">
        <v>382</v>
      </c>
      <c r="AY43" s="20" t="s">
        <v>660</v>
      </c>
    </row>
    <row r="44" spans="12:51" x14ac:dyDescent="0.5">
      <c r="L44" s="1" t="s">
        <v>703</v>
      </c>
      <c r="M44" s="1"/>
      <c r="N44" s="1"/>
      <c r="O44" s="1"/>
      <c r="P44" s="1" t="s">
        <v>696</v>
      </c>
      <c r="Q44" s="1" t="s">
        <v>786</v>
      </c>
      <c r="R44" s="1"/>
      <c r="S44" s="68" t="s">
        <v>703</v>
      </c>
      <c r="T44" s="125"/>
      <c r="U44" s="125"/>
      <c r="V44" s="125"/>
      <c r="W44" s="125" t="s">
        <v>696</v>
      </c>
      <c r="X44" s="125" t="s">
        <v>786</v>
      </c>
      <c r="Y44" s="126" t="s">
        <v>725</v>
      </c>
      <c r="Z44" s="125"/>
      <c r="AA44" s="125" t="s">
        <v>787</v>
      </c>
      <c r="AB44" s="127" t="s">
        <v>775</v>
      </c>
      <c r="AC44" s="125"/>
      <c r="AD44" s="125"/>
      <c r="AE44" s="125"/>
      <c r="AF44" s="125"/>
      <c r="AG44" s="125"/>
      <c r="AH44" s="1"/>
      <c r="AI44" s="1"/>
      <c r="AJ44" s="1"/>
      <c r="AK44" s="1"/>
      <c r="AL44" s="1"/>
      <c r="AM44" s="1"/>
      <c r="AN44" s="1"/>
      <c r="AO44" s="1"/>
      <c r="AP44" s="18" t="s">
        <v>703</v>
      </c>
      <c r="AQ44" s="1"/>
      <c r="AR44" s="1"/>
      <c r="AS44" s="1"/>
      <c r="AT44" s="1"/>
      <c r="AU44" s="20" t="s">
        <v>647</v>
      </c>
      <c r="AV44" s="22" t="s">
        <v>126</v>
      </c>
      <c r="AW44" s="20" t="s">
        <v>663</v>
      </c>
      <c r="AX44" s="22" t="s">
        <v>553</v>
      </c>
      <c r="AY44" s="20" t="s">
        <v>669</v>
      </c>
    </row>
    <row r="45" spans="12:51" x14ac:dyDescent="0.5">
      <c r="L45" s="1" t="s">
        <v>788</v>
      </c>
      <c r="M45" s="1"/>
      <c r="N45" s="1"/>
      <c r="O45" s="1"/>
      <c r="P45" s="1" t="s">
        <v>710</v>
      </c>
      <c r="Q45" s="1" t="s">
        <v>786</v>
      </c>
      <c r="R45" s="1"/>
      <c r="S45" s="65" t="s">
        <v>788</v>
      </c>
      <c r="T45" s="125"/>
      <c r="U45" s="125"/>
      <c r="V45" s="125"/>
      <c r="W45" s="125" t="s">
        <v>710</v>
      </c>
      <c r="X45" s="125" t="s">
        <v>786</v>
      </c>
      <c r="Y45" s="126" t="s">
        <v>789</v>
      </c>
      <c r="Z45" s="125"/>
      <c r="AA45" s="125" t="s">
        <v>790</v>
      </c>
      <c r="AB45" s="127" t="s">
        <v>400</v>
      </c>
      <c r="AC45" s="125"/>
      <c r="AD45" s="125"/>
      <c r="AE45" s="125"/>
      <c r="AF45" s="125"/>
      <c r="AG45" s="125"/>
      <c r="AH45" s="1"/>
      <c r="AI45" s="1"/>
      <c r="AJ45" s="1"/>
      <c r="AK45" s="1"/>
      <c r="AL45" s="1"/>
      <c r="AM45" s="1"/>
      <c r="AN45" s="1"/>
      <c r="AO45" s="1"/>
      <c r="AP45" s="18" t="s">
        <v>633</v>
      </c>
      <c r="AQ45" s="1"/>
      <c r="AR45" s="1"/>
      <c r="AS45" s="1"/>
      <c r="AT45" s="1"/>
      <c r="AU45" s="20" t="s">
        <v>735</v>
      </c>
      <c r="AV45" s="21" t="s">
        <v>623</v>
      </c>
      <c r="AW45" s="22" t="s">
        <v>750</v>
      </c>
      <c r="AX45" s="20" t="s">
        <v>539</v>
      </c>
      <c r="AY45" s="20" t="s">
        <v>677</v>
      </c>
    </row>
    <row r="46" spans="12:51" x14ac:dyDescent="0.5">
      <c r="L46" s="1"/>
      <c r="M46" s="1"/>
      <c r="N46" s="1"/>
      <c r="O46" s="1"/>
      <c r="P46" s="1" t="s">
        <v>704</v>
      </c>
      <c r="Q46" s="1" t="s">
        <v>711</v>
      </c>
      <c r="R46" s="1"/>
      <c r="S46" s="65"/>
      <c r="T46" s="125"/>
      <c r="U46" s="125"/>
      <c r="V46" s="125"/>
      <c r="W46" s="125" t="s">
        <v>704</v>
      </c>
      <c r="X46" s="125" t="s">
        <v>711</v>
      </c>
      <c r="Y46" s="126" t="s">
        <v>758</v>
      </c>
      <c r="Z46" s="125"/>
      <c r="AA46" s="125" t="s">
        <v>770</v>
      </c>
      <c r="AB46" s="127" t="s">
        <v>791</v>
      </c>
      <c r="AC46" s="125"/>
      <c r="AD46" s="125"/>
      <c r="AE46" s="125"/>
      <c r="AF46" s="125"/>
      <c r="AG46" s="125"/>
      <c r="AH46" s="1"/>
      <c r="AI46" s="1"/>
      <c r="AJ46" s="1"/>
      <c r="AK46" s="1"/>
      <c r="AL46" s="1"/>
      <c r="AM46" s="1"/>
      <c r="AN46" s="1"/>
      <c r="AO46" s="1"/>
      <c r="AP46" s="18" t="s">
        <v>773</v>
      </c>
      <c r="AQ46" s="1"/>
      <c r="AR46" s="1"/>
      <c r="AS46" s="1"/>
      <c r="AT46" s="1"/>
      <c r="AU46" s="20" t="s">
        <v>678</v>
      </c>
      <c r="AV46" s="19" t="s">
        <v>632</v>
      </c>
      <c r="AW46" s="19" t="s">
        <v>397</v>
      </c>
      <c r="AX46" s="20" t="s">
        <v>579</v>
      </c>
      <c r="AY46" s="20" t="s">
        <v>396</v>
      </c>
    </row>
    <row r="47" spans="12:51" x14ac:dyDescent="0.5">
      <c r="L47" s="1"/>
      <c r="M47" s="1"/>
      <c r="N47" s="1"/>
      <c r="O47" s="1"/>
      <c r="P47" s="1" t="s">
        <v>663</v>
      </c>
      <c r="Q47" s="1" t="s">
        <v>770</v>
      </c>
      <c r="R47" s="1"/>
      <c r="S47" s="65"/>
      <c r="T47" s="125"/>
      <c r="U47" s="125"/>
      <c r="V47" s="125"/>
      <c r="W47" s="125" t="s">
        <v>663</v>
      </c>
      <c r="X47" s="125" t="s">
        <v>770</v>
      </c>
      <c r="Y47" s="126" t="s">
        <v>792</v>
      </c>
      <c r="Z47" s="125"/>
      <c r="AA47" s="125" t="s">
        <v>739</v>
      </c>
      <c r="AB47" s="127" t="s">
        <v>695</v>
      </c>
      <c r="AC47" s="125"/>
      <c r="AD47" s="125"/>
      <c r="AE47" s="125"/>
      <c r="AF47" s="125"/>
      <c r="AG47" s="125"/>
      <c r="AH47" s="1"/>
      <c r="AI47" s="1"/>
      <c r="AJ47" s="1"/>
      <c r="AK47" s="1"/>
      <c r="AL47" s="1"/>
      <c r="AM47" s="1"/>
      <c r="AN47" s="1"/>
      <c r="AO47" s="1"/>
      <c r="AP47" s="18"/>
      <c r="AQ47" s="1"/>
      <c r="AR47" s="1"/>
      <c r="AS47" s="1"/>
      <c r="AT47" s="1"/>
      <c r="AU47" s="20" t="s">
        <v>699</v>
      </c>
      <c r="AV47" s="20" t="s">
        <v>545</v>
      </c>
      <c r="AW47" s="20" t="s">
        <v>679</v>
      </c>
      <c r="AX47" s="22" t="s">
        <v>559</v>
      </c>
      <c r="AY47" s="20" t="s">
        <v>641</v>
      </c>
    </row>
    <row r="48" spans="12:51" x14ac:dyDescent="0.5">
      <c r="L48" s="1"/>
      <c r="M48" s="1"/>
      <c r="N48" s="1"/>
      <c r="O48" s="1"/>
      <c r="P48" s="1" t="s">
        <v>663</v>
      </c>
      <c r="Q48" s="1" t="s">
        <v>696</v>
      </c>
      <c r="R48" s="1"/>
      <c r="S48" s="65"/>
      <c r="T48" s="1"/>
      <c r="U48" s="1"/>
      <c r="V48" s="1"/>
      <c r="W48" s="1" t="s">
        <v>663</v>
      </c>
      <c r="X48" s="1" t="s">
        <v>696</v>
      </c>
      <c r="Y48" s="65" t="s">
        <v>793</v>
      </c>
      <c r="Z48" s="1"/>
      <c r="AA48" s="1" t="s">
        <v>669</v>
      </c>
      <c r="AB48" s="66" t="s">
        <v>794</v>
      </c>
      <c r="AC48" s="1"/>
      <c r="AD48" s="1"/>
      <c r="AE48" s="1"/>
      <c r="AF48" s="1"/>
      <c r="AG48" s="1"/>
      <c r="AH48" s="1"/>
      <c r="AI48" s="1"/>
      <c r="AJ48" s="1"/>
      <c r="AK48" s="1"/>
      <c r="AL48" s="1"/>
      <c r="AM48" s="1"/>
      <c r="AN48" s="1"/>
      <c r="AO48" s="1"/>
      <c r="AP48" s="1"/>
      <c r="AQ48" s="1"/>
      <c r="AR48" s="1"/>
      <c r="AS48" s="1"/>
      <c r="AT48" s="1"/>
      <c r="AU48" s="20" t="s">
        <v>749</v>
      </c>
      <c r="AV48" s="21" t="s">
        <v>386</v>
      </c>
      <c r="AW48" s="22" t="s">
        <v>758</v>
      </c>
      <c r="AX48" s="20" t="s">
        <v>590</v>
      </c>
      <c r="AY48" s="20" t="s">
        <v>647</v>
      </c>
    </row>
    <row r="49" spans="16:51" x14ac:dyDescent="0.5">
      <c r="P49" s="1" t="s">
        <v>795</v>
      </c>
      <c r="Q49" s="1" t="s">
        <v>796</v>
      </c>
      <c r="R49" s="1"/>
      <c r="S49" s="65"/>
      <c r="T49" s="1"/>
      <c r="U49" s="1"/>
      <c r="V49" s="1"/>
      <c r="W49" s="1" t="s">
        <v>795</v>
      </c>
      <c r="X49" s="1" t="s">
        <v>796</v>
      </c>
      <c r="Y49" s="65" t="s">
        <v>797</v>
      </c>
      <c r="Z49" s="1"/>
      <c r="AA49" s="1" t="s">
        <v>736</v>
      </c>
      <c r="AB49" s="66" t="s">
        <v>694</v>
      </c>
      <c r="AC49" s="1"/>
      <c r="AD49" s="1"/>
      <c r="AE49" s="1"/>
      <c r="AF49" s="1"/>
      <c r="AG49" s="1"/>
      <c r="AH49" s="1"/>
      <c r="AI49" s="1"/>
      <c r="AJ49" s="1"/>
      <c r="AK49" s="1"/>
      <c r="AL49" s="1"/>
      <c r="AM49" s="1"/>
      <c r="AN49" s="1"/>
      <c r="AO49" s="1"/>
      <c r="AP49" s="1"/>
      <c r="AQ49" s="1"/>
      <c r="AR49" s="1"/>
      <c r="AS49" s="1"/>
      <c r="AT49" s="1"/>
      <c r="AU49" s="20" t="s">
        <v>688</v>
      </c>
      <c r="AV49" s="22" t="s">
        <v>643</v>
      </c>
      <c r="AW49" s="20" t="s">
        <v>678</v>
      </c>
      <c r="AX49" s="22" t="s">
        <v>629</v>
      </c>
      <c r="AY49" s="20" t="s">
        <v>659</v>
      </c>
    </row>
    <row r="50" spans="16:51" x14ac:dyDescent="0.5">
      <c r="P50" s="1" t="s">
        <v>397</v>
      </c>
      <c r="Q50" s="1" t="s">
        <v>662</v>
      </c>
      <c r="R50" s="1"/>
      <c r="S50" s="65"/>
      <c r="T50" s="1"/>
      <c r="U50" s="1"/>
      <c r="V50" s="1"/>
      <c r="W50" s="1" t="s">
        <v>397</v>
      </c>
      <c r="X50" s="1" t="s">
        <v>662</v>
      </c>
      <c r="Y50" s="65" t="s">
        <v>403</v>
      </c>
      <c r="Z50" s="1"/>
      <c r="AA50" s="1" t="s">
        <v>704</v>
      </c>
      <c r="AB50" s="66" t="s">
        <v>798</v>
      </c>
      <c r="AC50" s="1"/>
      <c r="AD50" s="1"/>
      <c r="AE50" s="1"/>
      <c r="AF50" s="1"/>
      <c r="AG50" s="1"/>
      <c r="AH50" s="1"/>
      <c r="AI50" s="1"/>
      <c r="AJ50" s="1"/>
      <c r="AK50" s="1"/>
      <c r="AL50" s="1"/>
      <c r="AM50" s="1"/>
      <c r="AN50" s="1"/>
      <c r="AO50" s="1"/>
      <c r="AP50" s="1"/>
      <c r="AQ50" s="1"/>
      <c r="AR50" s="1"/>
      <c r="AS50" s="1"/>
      <c r="AT50" s="1"/>
      <c r="AU50" s="20" t="s">
        <v>695</v>
      </c>
      <c r="AV50" s="20" t="s">
        <v>653</v>
      </c>
      <c r="AW50" s="22" t="s">
        <v>749</v>
      </c>
      <c r="AX50" s="22" t="s">
        <v>554</v>
      </c>
      <c r="AY50" s="20" t="s">
        <v>571</v>
      </c>
    </row>
    <row r="51" spans="16:51" x14ac:dyDescent="0.5">
      <c r="P51" s="1" t="s">
        <v>799</v>
      </c>
      <c r="Q51" s="1" t="s">
        <v>800</v>
      </c>
      <c r="R51" s="1"/>
      <c r="S51" s="65"/>
      <c r="T51" s="1"/>
      <c r="U51" s="1"/>
      <c r="V51" s="1"/>
      <c r="W51" s="1" t="s">
        <v>799</v>
      </c>
      <c r="X51" s="1" t="s">
        <v>800</v>
      </c>
      <c r="Y51" s="65" t="s">
        <v>777</v>
      </c>
      <c r="Z51" s="1"/>
      <c r="AA51" s="1" t="s">
        <v>663</v>
      </c>
      <c r="AB51" s="66" t="s">
        <v>801</v>
      </c>
      <c r="AC51" s="1"/>
      <c r="AD51" s="1"/>
      <c r="AE51" s="1"/>
      <c r="AF51" s="1"/>
      <c r="AG51" s="1"/>
      <c r="AH51" s="1"/>
      <c r="AI51" s="1"/>
      <c r="AJ51" s="1"/>
      <c r="AK51" s="1"/>
      <c r="AL51" s="1"/>
      <c r="AM51" s="1"/>
      <c r="AN51" s="1"/>
      <c r="AO51" s="1"/>
      <c r="AP51" s="1"/>
      <c r="AQ51" s="1"/>
      <c r="AR51" s="1"/>
      <c r="AS51" s="1"/>
      <c r="AT51" s="1"/>
      <c r="AU51" s="20" t="s">
        <v>703</v>
      </c>
      <c r="AV51" s="20" t="s">
        <v>387</v>
      </c>
      <c r="AW51" s="20" t="s">
        <v>400</v>
      </c>
      <c r="AX51" s="22" t="s">
        <v>691</v>
      </c>
      <c r="AY51" s="20" t="s">
        <v>732</v>
      </c>
    </row>
    <row r="52" spans="16:51" x14ac:dyDescent="0.5">
      <c r="P52" s="1" t="s">
        <v>760</v>
      </c>
      <c r="Q52" s="1" t="s">
        <v>785</v>
      </c>
      <c r="R52" s="1"/>
      <c r="S52" s="65"/>
      <c r="T52" s="1"/>
      <c r="U52" s="1"/>
      <c r="V52" s="1"/>
      <c r="W52" s="1" t="s">
        <v>760</v>
      </c>
      <c r="X52" s="1" t="s">
        <v>785</v>
      </c>
      <c r="Y52" s="65" t="s">
        <v>405</v>
      </c>
      <c r="Z52" s="1"/>
      <c r="AA52" s="1" t="s">
        <v>802</v>
      </c>
      <c r="AB52" s="66" t="s">
        <v>803</v>
      </c>
      <c r="AC52" s="1"/>
      <c r="AD52" s="1"/>
      <c r="AE52" s="1"/>
      <c r="AF52" s="1"/>
      <c r="AG52" s="1"/>
      <c r="AH52" s="1"/>
      <c r="AI52" s="1"/>
      <c r="AJ52" s="1"/>
      <c r="AK52" s="1"/>
      <c r="AL52" s="1"/>
      <c r="AM52" s="1"/>
      <c r="AN52" s="1"/>
      <c r="AO52" s="1"/>
      <c r="AP52" s="1"/>
      <c r="AQ52" s="1"/>
      <c r="AR52" s="1"/>
      <c r="AS52" s="1"/>
      <c r="AT52" s="1"/>
      <c r="AU52" s="20" t="s">
        <v>746</v>
      </c>
      <c r="AV52" s="19" t="s">
        <v>616</v>
      </c>
      <c r="AW52" s="21" t="s">
        <v>688</v>
      </c>
      <c r="AX52" s="20" t="s">
        <v>648</v>
      </c>
      <c r="AY52" s="20" t="s">
        <v>740</v>
      </c>
    </row>
    <row r="53" spans="16:51" x14ac:dyDescent="0.5">
      <c r="P53" s="1" t="s">
        <v>662</v>
      </c>
      <c r="Q53" s="1" t="s">
        <v>804</v>
      </c>
      <c r="R53" s="1"/>
      <c r="S53" s="65"/>
      <c r="T53" s="1"/>
      <c r="U53" s="1"/>
      <c r="V53" s="1"/>
      <c r="W53" s="1" t="s">
        <v>662</v>
      </c>
      <c r="X53" s="1" t="s">
        <v>804</v>
      </c>
      <c r="Y53" s="65"/>
      <c r="Z53" s="1"/>
      <c r="AA53" s="1" t="s">
        <v>397</v>
      </c>
      <c r="AB53" s="66" t="s">
        <v>615</v>
      </c>
      <c r="AC53" s="1"/>
      <c r="AD53" s="1"/>
      <c r="AE53" s="1"/>
      <c r="AF53" s="1"/>
      <c r="AG53" s="1"/>
      <c r="AH53" s="1"/>
      <c r="AI53" s="1"/>
      <c r="AJ53" s="1"/>
      <c r="AK53" s="1"/>
      <c r="AL53" s="1"/>
      <c r="AM53" s="1"/>
      <c r="AN53" s="1"/>
      <c r="AO53" s="1"/>
      <c r="AP53" s="1"/>
      <c r="AQ53" s="1"/>
      <c r="AR53" s="1"/>
      <c r="AS53" s="1"/>
      <c r="AT53" s="1"/>
      <c r="AU53" s="20" t="s">
        <v>702</v>
      </c>
      <c r="AV53" s="20" t="s">
        <v>673</v>
      </c>
      <c r="AW53" s="19" t="s">
        <v>703</v>
      </c>
      <c r="AX53" s="22" t="s">
        <v>657</v>
      </c>
      <c r="AY53" s="20" t="s">
        <v>97</v>
      </c>
    </row>
    <row r="54" spans="16:51" x14ac:dyDescent="0.5">
      <c r="P54" s="1" t="s">
        <v>783</v>
      </c>
      <c r="Q54" s="1" t="s">
        <v>400</v>
      </c>
      <c r="R54" s="1"/>
      <c r="S54" s="65"/>
      <c r="T54" s="1"/>
      <c r="U54" s="1"/>
      <c r="V54" s="1"/>
      <c r="W54" s="1" t="s">
        <v>783</v>
      </c>
      <c r="X54" s="67" t="s">
        <v>400</v>
      </c>
      <c r="Y54" s="65"/>
      <c r="Z54" s="1"/>
      <c r="AA54" s="1" t="s">
        <v>805</v>
      </c>
      <c r="AB54" s="66" t="s">
        <v>806</v>
      </c>
      <c r="AC54" s="1"/>
      <c r="AD54" s="1"/>
      <c r="AE54" s="1"/>
      <c r="AF54" s="1"/>
      <c r="AG54" s="1"/>
      <c r="AH54" s="1"/>
      <c r="AI54" s="1"/>
      <c r="AJ54" s="1"/>
      <c r="AK54" s="1"/>
      <c r="AL54" s="1"/>
      <c r="AM54" s="1"/>
      <c r="AN54" s="1"/>
      <c r="AO54" s="1"/>
      <c r="AP54" s="1"/>
      <c r="AQ54" s="1"/>
      <c r="AR54" s="1"/>
      <c r="AS54" s="1"/>
      <c r="AT54" s="1"/>
      <c r="AU54" s="20" t="s">
        <v>403</v>
      </c>
      <c r="AV54" s="20" t="s">
        <v>589</v>
      </c>
      <c r="AW54" s="21" t="s">
        <v>709</v>
      </c>
      <c r="AX54" s="20" t="s">
        <v>643</v>
      </c>
      <c r="AY54" s="20" t="s">
        <v>678</v>
      </c>
    </row>
    <row r="55" spans="16:51" x14ac:dyDescent="0.5">
      <c r="P55" s="1" t="s">
        <v>399</v>
      </c>
      <c r="Q55" s="1" t="s">
        <v>793</v>
      </c>
      <c r="R55" s="1"/>
      <c r="S55" s="65"/>
      <c r="T55" s="1"/>
      <c r="U55" s="1"/>
      <c r="V55" s="1"/>
      <c r="W55" s="1" t="s">
        <v>399</v>
      </c>
      <c r="X55" s="1" t="s">
        <v>793</v>
      </c>
      <c r="Y55" s="65"/>
      <c r="Z55" s="1"/>
      <c r="AA55" s="1" t="s">
        <v>679</v>
      </c>
      <c r="AB55" s="66" t="s">
        <v>702</v>
      </c>
      <c r="AC55" s="1"/>
      <c r="AD55" s="1"/>
      <c r="AE55" s="1"/>
      <c r="AF55" s="1"/>
      <c r="AG55" s="1"/>
      <c r="AH55" s="1"/>
      <c r="AI55" s="1"/>
      <c r="AJ55" s="1"/>
      <c r="AK55" s="1"/>
      <c r="AL55" s="1"/>
      <c r="AM55" s="1"/>
      <c r="AN55" s="1"/>
      <c r="AO55" s="1"/>
      <c r="AP55" s="1"/>
      <c r="AQ55" s="1"/>
      <c r="AR55" s="1"/>
      <c r="AS55" s="1"/>
      <c r="AT55" s="1"/>
      <c r="AU55" s="20" t="s">
        <v>780</v>
      </c>
      <c r="AV55" s="22" t="s">
        <v>687</v>
      </c>
      <c r="AW55" s="22" t="s">
        <v>715</v>
      </c>
      <c r="AX55" s="22" t="s">
        <v>705</v>
      </c>
      <c r="AY55" s="20" t="s">
        <v>688</v>
      </c>
    </row>
    <row r="56" spans="16:51" x14ac:dyDescent="0.5">
      <c r="P56" s="1" t="s">
        <v>571</v>
      </c>
      <c r="Q56" s="1" t="s">
        <v>695</v>
      </c>
      <c r="R56" s="1"/>
      <c r="S56" s="65"/>
      <c r="T56" s="1"/>
      <c r="U56" s="1"/>
      <c r="V56" s="1"/>
      <c r="W56" s="1" t="s">
        <v>571</v>
      </c>
      <c r="X56" s="1" t="s">
        <v>695</v>
      </c>
      <c r="Y56" s="65"/>
      <c r="Z56" s="1"/>
      <c r="AA56" s="1" t="s">
        <v>735</v>
      </c>
      <c r="AB56" s="66" t="s">
        <v>807</v>
      </c>
      <c r="AC56" s="1"/>
      <c r="AD56" s="1"/>
      <c r="AE56" s="1"/>
      <c r="AF56" s="1"/>
      <c r="AG56" s="1"/>
      <c r="AH56" s="1"/>
      <c r="AI56" s="1"/>
      <c r="AJ56" s="1"/>
      <c r="AK56" s="1"/>
      <c r="AL56" s="1"/>
      <c r="AM56" s="1"/>
      <c r="AN56" s="1"/>
      <c r="AO56" s="1"/>
      <c r="AP56" s="1"/>
      <c r="AQ56" s="1"/>
      <c r="AR56" s="1"/>
      <c r="AS56" s="1"/>
      <c r="AT56" s="1"/>
      <c r="AU56" s="24"/>
      <c r="AV56" s="21" t="s">
        <v>603</v>
      </c>
      <c r="AW56" s="21" t="s">
        <v>724</v>
      </c>
      <c r="AX56" s="20" t="s">
        <v>586</v>
      </c>
      <c r="AY56" s="20" t="s">
        <v>703</v>
      </c>
    </row>
    <row r="57" spans="16:51" x14ac:dyDescent="0.5">
      <c r="P57" s="1" t="s">
        <v>808</v>
      </c>
      <c r="Q57" s="1" t="s">
        <v>703</v>
      </c>
      <c r="R57" s="1"/>
      <c r="S57" s="65"/>
      <c r="T57" s="1"/>
      <c r="U57" s="1"/>
      <c r="V57" s="1"/>
      <c r="W57" s="1" t="s">
        <v>808</v>
      </c>
      <c r="X57" s="1" t="s">
        <v>703</v>
      </c>
      <c r="Y57" s="65"/>
      <c r="Z57" s="1"/>
      <c r="AA57" s="1" t="s">
        <v>399</v>
      </c>
      <c r="AB57" s="66" t="s">
        <v>809</v>
      </c>
      <c r="AC57" s="1"/>
      <c r="AD57" s="1"/>
      <c r="AE57" s="1"/>
      <c r="AF57" s="1"/>
      <c r="AG57" s="1"/>
      <c r="AH57" s="1"/>
      <c r="AI57" s="1"/>
      <c r="AJ57" s="1"/>
      <c r="AK57" s="1"/>
      <c r="AL57" s="1"/>
      <c r="AM57" s="1"/>
      <c r="AN57" s="1"/>
      <c r="AO57" s="1"/>
      <c r="AP57" s="1"/>
      <c r="AQ57" s="1"/>
      <c r="AR57" s="1"/>
      <c r="AS57" s="1"/>
      <c r="AT57" s="1"/>
      <c r="AU57" s="1"/>
      <c r="AV57" s="22" t="s">
        <v>671</v>
      </c>
      <c r="AW57" s="20" t="s">
        <v>727</v>
      </c>
      <c r="AX57" s="20" t="s">
        <v>601</v>
      </c>
      <c r="AY57" s="20" t="s">
        <v>756</v>
      </c>
    </row>
    <row r="58" spans="16:51" x14ac:dyDescent="0.5">
      <c r="P58" s="1" t="s">
        <v>400</v>
      </c>
      <c r="Q58" s="1" t="s">
        <v>401</v>
      </c>
      <c r="R58" s="1"/>
      <c r="S58" s="65"/>
      <c r="T58" s="1"/>
      <c r="U58" s="1"/>
      <c r="V58" s="1"/>
      <c r="W58" s="1" t="s">
        <v>400</v>
      </c>
      <c r="X58" s="1" t="s">
        <v>401</v>
      </c>
      <c r="Y58" s="65"/>
      <c r="Z58" s="1"/>
      <c r="AA58" s="1" t="s">
        <v>810</v>
      </c>
      <c r="AB58" s="66" t="s">
        <v>780</v>
      </c>
      <c r="AC58" s="1"/>
      <c r="AD58" s="1"/>
      <c r="AE58" s="1"/>
      <c r="AF58" s="1"/>
      <c r="AG58" s="1"/>
      <c r="AH58" s="1"/>
      <c r="AI58" s="1"/>
      <c r="AJ58" s="1"/>
      <c r="AK58" s="1"/>
      <c r="AL58" s="1"/>
      <c r="AM58" s="1"/>
      <c r="AN58" s="1"/>
      <c r="AO58" s="1"/>
      <c r="AP58" s="1"/>
      <c r="AQ58" s="1"/>
      <c r="AR58" s="1"/>
      <c r="AS58" s="1"/>
      <c r="AT58" s="1"/>
      <c r="AU58" s="1"/>
      <c r="AV58" s="20" t="s">
        <v>407</v>
      </c>
      <c r="AW58" s="19"/>
      <c r="AX58" s="20" t="s">
        <v>611</v>
      </c>
      <c r="AY58" s="20" t="s">
        <v>724</v>
      </c>
    </row>
    <row r="59" spans="16:51" x14ac:dyDescent="0.5">
      <c r="P59" s="1" t="s">
        <v>793</v>
      </c>
      <c r="Q59" s="1" t="s">
        <v>811</v>
      </c>
      <c r="R59" s="1"/>
      <c r="S59" s="65"/>
      <c r="T59" s="1"/>
      <c r="U59" s="1"/>
      <c r="V59" s="1"/>
      <c r="W59" s="1" t="s">
        <v>793</v>
      </c>
      <c r="X59" s="1" t="s">
        <v>811</v>
      </c>
      <c r="Y59" s="65"/>
      <c r="Z59" s="1"/>
      <c r="AA59" s="1" t="s">
        <v>748</v>
      </c>
      <c r="AB59" s="66" t="s">
        <v>727</v>
      </c>
      <c r="AC59" s="1"/>
      <c r="AD59" s="1"/>
      <c r="AE59" s="1"/>
      <c r="AF59" s="1"/>
      <c r="AG59" s="1"/>
      <c r="AH59" s="1"/>
      <c r="AI59" s="1"/>
      <c r="AJ59" s="1"/>
      <c r="AK59" s="1"/>
      <c r="AL59" s="1"/>
      <c r="AM59" s="1"/>
      <c r="AN59" s="1"/>
      <c r="AO59" s="1"/>
      <c r="AP59" s="1"/>
      <c r="AQ59" s="1"/>
      <c r="AR59" s="1"/>
      <c r="AS59" s="1"/>
      <c r="AT59" s="1"/>
      <c r="AU59" s="18"/>
      <c r="AV59" s="20" t="s">
        <v>690</v>
      </c>
      <c r="AW59" s="19"/>
      <c r="AX59" s="20" t="s">
        <v>389</v>
      </c>
      <c r="AY59" s="20" t="s">
        <v>773</v>
      </c>
    </row>
    <row r="60" spans="16:51" x14ac:dyDescent="0.5">
      <c r="P60" s="1" t="s">
        <v>797</v>
      </c>
      <c r="Q60" s="1" t="s">
        <v>767</v>
      </c>
      <c r="R60" s="1"/>
      <c r="S60" s="65"/>
      <c r="T60" s="1"/>
      <c r="U60" s="1"/>
      <c r="V60" s="1"/>
      <c r="W60" s="1" t="s">
        <v>797</v>
      </c>
      <c r="X60" s="1" t="s">
        <v>767</v>
      </c>
      <c r="Y60" s="65"/>
      <c r="Z60" s="1"/>
      <c r="AA60" s="1" t="s">
        <v>812</v>
      </c>
      <c r="AB60" s="66" t="s">
        <v>813</v>
      </c>
      <c r="AC60" s="1"/>
      <c r="AD60" s="1"/>
      <c r="AE60" s="1"/>
      <c r="AF60" s="1"/>
      <c r="AG60" s="1"/>
      <c r="AH60" s="1"/>
      <c r="AI60" s="1"/>
      <c r="AJ60" s="1"/>
      <c r="AK60" s="1"/>
      <c r="AL60" s="1"/>
      <c r="AM60" s="1"/>
      <c r="AN60" s="1"/>
      <c r="AO60" s="1"/>
      <c r="AP60" s="1"/>
      <c r="AQ60" s="1"/>
      <c r="AR60" s="1"/>
      <c r="AS60" s="1"/>
      <c r="AT60" s="1"/>
      <c r="AU60" s="1"/>
      <c r="AV60" s="22" t="s">
        <v>680</v>
      </c>
      <c r="AW60" s="19"/>
      <c r="AX60" s="20" t="s">
        <v>106</v>
      </c>
      <c r="AY60" s="20"/>
    </row>
    <row r="61" spans="16:51" x14ac:dyDescent="0.5">
      <c r="P61" s="1" t="s">
        <v>592</v>
      </c>
      <c r="Q61" s="1" t="s">
        <v>708</v>
      </c>
      <c r="R61" s="1"/>
      <c r="S61" s="65"/>
      <c r="T61" s="1"/>
      <c r="U61" s="1"/>
      <c r="V61" s="1"/>
      <c r="W61" s="1" t="s">
        <v>592</v>
      </c>
      <c r="X61" s="1" t="s">
        <v>708</v>
      </c>
      <c r="Y61" s="65"/>
      <c r="Z61" s="1"/>
      <c r="AA61" s="1" t="s">
        <v>804</v>
      </c>
      <c r="AB61" s="66" t="s">
        <v>404</v>
      </c>
      <c r="AC61" s="1"/>
      <c r="AD61" s="1"/>
      <c r="AE61" s="1"/>
      <c r="AF61" s="1"/>
      <c r="AG61" s="1"/>
      <c r="AH61" s="1"/>
      <c r="AI61" s="1"/>
      <c r="AJ61" s="1"/>
      <c r="AK61" s="1"/>
      <c r="AL61" s="1"/>
      <c r="AM61" s="1"/>
      <c r="AN61" s="1"/>
      <c r="AO61" s="1"/>
      <c r="AP61" s="1"/>
      <c r="AQ61" s="1"/>
      <c r="AR61" s="1"/>
      <c r="AS61" s="1"/>
      <c r="AT61" s="1"/>
      <c r="AU61" s="1"/>
      <c r="AV61" s="20" t="s">
        <v>588</v>
      </c>
      <c r="AW61" s="19"/>
      <c r="AX61" s="20" t="s">
        <v>660</v>
      </c>
      <c r="AY61" s="20"/>
    </row>
    <row r="62" spans="16:51" x14ac:dyDescent="0.5">
      <c r="P62" s="1" t="s">
        <v>753</v>
      </c>
      <c r="Q62" s="1" t="s">
        <v>724</v>
      </c>
      <c r="R62" s="1"/>
      <c r="S62" s="65"/>
      <c r="T62" s="1"/>
      <c r="U62" s="1"/>
      <c r="V62" s="1"/>
      <c r="W62" s="1" t="s">
        <v>753</v>
      </c>
      <c r="X62" s="1" t="s">
        <v>724</v>
      </c>
      <c r="Y62" s="65"/>
      <c r="Z62" s="1"/>
      <c r="AA62" s="1" t="s">
        <v>814</v>
      </c>
      <c r="AB62" s="66" t="s">
        <v>405</v>
      </c>
      <c r="AC62" s="1"/>
      <c r="AD62" s="1"/>
      <c r="AE62" s="1"/>
      <c r="AF62" s="1"/>
      <c r="AG62" s="1"/>
      <c r="AH62" s="1"/>
      <c r="AI62" s="1"/>
      <c r="AJ62" s="1"/>
      <c r="AK62" s="1"/>
      <c r="AL62" s="1"/>
      <c r="AM62" s="1"/>
      <c r="AN62" s="1"/>
      <c r="AO62" s="1"/>
      <c r="AP62" s="1"/>
      <c r="AQ62" s="1"/>
      <c r="AR62" s="1"/>
      <c r="AS62" s="1"/>
      <c r="AT62" s="1"/>
      <c r="AU62" s="1"/>
      <c r="AV62" s="22" t="s">
        <v>651</v>
      </c>
      <c r="AW62" s="19"/>
      <c r="AX62" s="20" t="s">
        <v>669</v>
      </c>
      <c r="AY62" s="20"/>
    </row>
    <row r="63" spans="16:51" x14ac:dyDescent="0.5">
      <c r="P63" s="1" t="s">
        <v>605</v>
      </c>
      <c r="Q63" s="1" t="s">
        <v>404</v>
      </c>
      <c r="R63" s="1"/>
      <c r="S63" s="65"/>
      <c r="T63" s="1"/>
      <c r="U63" s="1"/>
      <c r="V63" s="1"/>
      <c r="W63" s="1" t="s">
        <v>605</v>
      </c>
      <c r="X63" s="1" t="s">
        <v>404</v>
      </c>
      <c r="Y63" s="65"/>
      <c r="Z63" s="1"/>
      <c r="AA63" s="1" t="s">
        <v>815</v>
      </c>
      <c r="AB63" s="66"/>
      <c r="AC63" s="1"/>
      <c r="AD63" s="1"/>
      <c r="AE63" s="1"/>
      <c r="AF63" s="1"/>
      <c r="AG63" s="1"/>
      <c r="AH63" s="1"/>
      <c r="AI63" s="1"/>
      <c r="AJ63" s="1"/>
      <c r="AK63" s="1"/>
      <c r="AL63" s="1"/>
      <c r="AM63" s="1"/>
      <c r="AN63" s="1"/>
      <c r="AO63" s="1"/>
      <c r="AP63" s="1"/>
      <c r="AQ63" s="1"/>
      <c r="AR63" s="1"/>
      <c r="AS63" s="1"/>
      <c r="AT63" s="1"/>
      <c r="AU63" s="18"/>
      <c r="AV63" s="22" t="s">
        <v>711</v>
      </c>
      <c r="AW63" s="19"/>
      <c r="AX63" s="22" t="s">
        <v>677</v>
      </c>
      <c r="AY63" s="20"/>
    </row>
    <row r="64" spans="16:51" x14ac:dyDescent="0.5">
      <c r="P64" s="1"/>
      <c r="Q64" s="1" t="s">
        <v>773</v>
      </c>
      <c r="R64" s="1"/>
      <c r="S64" s="65"/>
      <c r="T64" s="1"/>
      <c r="U64" s="1"/>
      <c r="V64" s="1"/>
      <c r="W64" s="1"/>
      <c r="X64" s="1" t="s">
        <v>773</v>
      </c>
      <c r="Y64" s="65"/>
      <c r="Z64" s="1"/>
      <c r="AA64" s="1" t="s">
        <v>695</v>
      </c>
      <c r="AB64" s="66"/>
      <c r="AC64" s="1"/>
      <c r="AD64" s="1"/>
      <c r="AE64" s="1"/>
      <c r="AF64" s="1"/>
      <c r="AG64" s="1"/>
      <c r="AH64" s="1"/>
      <c r="AI64" s="1"/>
      <c r="AJ64" s="1"/>
      <c r="AK64" s="1"/>
      <c r="AL64" s="1"/>
      <c r="AM64" s="1"/>
      <c r="AN64" s="1"/>
      <c r="AO64" s="1"/>
      <c r="AP64" s="1"/>
      <c r="AQ64" s="1"/>
      <c r="AR64" s="1"/>
      <c r="AS64" s="1"/>
      <c r="AT64" s="1"/>
      <c r="AU64" s="1"/>
      <c r="AV64" s="20" t="s">
        <v>395</v>
      </c>
      <c r="AW64" s="19"/>
      <c r="AX64" s="20" t="s">
        <v>396</v>
      </c>
      <c r="AY64" s="20"/>
    </row>
    <row r="65" spans="17:51" x14ac:dyDescent="0.5">
      <c r="Q65" s="1" t="s">
        <v>405</v>
      </c>
      <c r="R65" s="1"/>
      <c r="S65" s="65"/>
      <c r="T65" s="1"/>
      <c r="U65" s="1"/>
      <c r="V65" s="1"/>
      <c r="W65" s="1"/>
      <c r="X65" s="1" t="s">
        <v>405</v>
      </c>
      <c r="Y65" s="65"/>
      <c r="Z65" s="1"/>
      <c r="AA65" s="1" t="s">
        <v>816</v>
      </c>
      <c r="AB65" s="66"/>
      <c r="AC65" s="1"/>
      <c r="AD65" s="1"/>
      <c r="AE65" s="1"/>
      <c r="AF65" s="1"/>
      <c r="AG65" s="1"/>
      <c r="AH65" s="1"/>
      <c r="AI65" s="1"/>
      <c r="AJ65" s="1"/>
      <c r="AK65" s="1"/>
      <c r="AL65" s="1"/>
      <c r="AM65" s="1"/>
      <c r="AN65" s="1"/>
      <c r="AO65" s="1"/>
      <c r="AP65" s="1"/>
      <c r="AQ65" s="1"/>
      <c r="AR65" s="1"/>
      <c r="AS65" s="1"/>
      <c r="AT65" s="1"/>
      <c r="AU65" s="1"/>
      <c r="AV65" s="19" t="s">
        <v>689</v>
      </c>
      <c r="AW65" s="19"/>
      <c r="AX65" s="22" t="s">
        <v>641</v>
      </c>
      <c r="AY65" s="20"/>
    </row>
    <row r="66" spans="17:51" ht="17" thickBot="1" x14ac:dyDescent="0.55000000000000004">
      <c r="Q66" s="1" t="s">
        <v>817</v>
      </c>
      <c r="R66" s="1"/>
      <c r="S66" s="69"/>
      <c r="T66" s="70"/>
      <c r="U66" s="70"/>
      <c r="V66" s="70"/>
      <c r="W66" s="70"/>
      <c r="X66" s="70" t="s">
        <v>817</v>
      </c>
      <c r="Y66" s="65"/>
      <c r="Z66" s="1"/>
      <c r="AA66" s="1" t="s">
        <v>818</v>
      </c>
      <c r="AB66" s="66"/>
      <c r="AC66" s="1"/>
      <c r="AD66" s="1"/>
      <c r="AE66" s="1"/>
      <c r="AF66" s="1"/>
      <c r="AG66" s="1"/>
      <c r="AH66" s="1"/>
      <c r="AI66" s="1"/>
      <c r="AJ66" s="1"/>
      <c r="AK66" s="1"/>
      <c r="AL66" s="1"/>
      <c r="AM66" s="1"/>
      <c r="AN66" s="1"/>
      <c r="AO66" s="1"/>
      <c r="AP66" s="1"/>
      <c r="AQ66" s="1"/>
      <c r="AR66" s="1"/>
      <c r="AS66" s="1"/>
      <c r="AT66" s="1"/>
      <c r="AU66" s="1"/>
      <c r="AV66" s="21" t="s">
        <v>642</v>
      </c>
      <c r="AW66" s="19"/>
      <c r="AX66" s="20" t="s">
        <v>647</v>
      </c>
      <c r="AY66" s="20"/>
    </row>
    <row r="67" spans="17:51" x14ac:dyDescent="0.5">
      <c r="Q67" s="1"/>
      <c r="R67" s="1"/>
      <c r="S67" s="1"/>
      <c r="T67" s="1"/>
      <c r="U67" s="1"/>
      <c r="V67" s="1"/>
      <c r="W67" s="1"/>
      <c r="X67" s="1"/>
      <c r="Y67" s="65"/>
      <c r="Z67" s="1"/>
      <c r="AA67" s="1" t="s">
        <v>819</v>
      </c>
      <c r="AB67" s="66"/>
      <c r="AC67" s="1"/>
      <c r="AD67" s="1"/>
      <c r="AE67" s="1"/>
      <c r="AF67" s="1"/>
      <c r="AG67" s="1"/>
      <c r="AH67" s="1"/>
      <c r="AI67" s="1"/>
      <c r="AJ67" s="1"/>
      <c r="AK67" s="1"/>
      <c r="AL67" s="1"/>
      <c r="AM67" s="1"/>
      <c r="AN67" s="1"/>
      <c r="AO67" s="1"/>
      <c r="AP67" s="1"/>
      <c r="AQ67" s="1"/>
      <c r="AR67" s="1"/>
      <c r="AS67" s="1"/>
      <c r="AT67" s="1"/>
      <c r="AU67" s="1"/>
      <c r="AV67" s="22" t="s">
        <v>736</v>
      </c>
      <c r="AW67" s="19"/>
      <c r="AX67" s="20" t="s">
        <v>726</v>
      </c>
      <c r="AY67" s="20"/>
    </row>
    <row r="68" spans="17:51" x14ac:dyDescent="0.5">
      <c r="Q68" s="1"/>
      <c r="R68" s="1"/>
      <c r="S68" s="1"/>
      <c r="T68" s="1"/>
      <c r="U68" s="1"/>
      <c r="V68" s="1"/>
      <c r="W68" s="1"/>
      <c r="X68" s="1"/>
      <c r="Y68" s="65"/>
      <c r="Z68" s="1"/>
      <c r="AA68" s="1" t="s">
        <v>820</v>
      </c>
      <c r="AB68" s="66"/>
      <c r="AC68" s="1"/>
      <c r="AD68" s="1"/>
      <c r="AE68" s="1"/>
      <c r="AF68" s="1"/>
      <c r="AG68" s="1"/>
      <c r="AH68" s="1"/>
      <c r="AI68" s="1"/>
      <c r="AJ68" s="1"/>
      <c r="AK68" s="1"/>
      <c r="AL68" s="1"/>
      <c r="AM68" s="1"/>
      <c r="AN68" s="1"/>
      <c r="AO68" s="1"/>
      <c r="AP68" s="1"/>
      <c r="AQ68" s="1"/>
      <c r="AR68" s="1"/>
      <c r="AS68" s="1"/>
      <c r="AT68" s="1"/>
      <c r="AU68" s="1"/>
      <c r="AV68" s="19" t="s">
        <v>704</v>
      </c>
      <c r="AW68" s="19"/>
      <c r="AX68" s="20" t="s">
        <v>659</v>
      </c>
      <c r="AY68" s="20"/>
    </row>
    <row r="69" spans="17:51" ht="17" thickBot="1" x14ac:dyDescent="0.55000000000000004">
      <c r="Q69" s="1"/>
      <c r="R69" s="1"/>
      <c r="S69" s="1"/>
      <c r="T69" s="1"/>
      <c r="U69" s="1"/>
      <c r="V69" s="1"/>
      <c r="W69" s="1"/>
      <c r="X69" s="1"/>
      <c r="Y69" s="69"/>
      <c r="Z69" s="70"/>
      <c r="AA69" s="70" t="s">
        <v>780</v>
      </c>
      <c r="AB69" s="71"/>
      <c r="AC69" s="1"/>
      <c r="AD69" s="1"/>
      <c r="AE69" s="1"/>
      <c r="AF69" s="1"/>
      <c r="AG69" s="1"/>
      <c r="AH69" s="1"/>
      <c r="AI69" s="1"/>
      <c r="AJ69" s="1"/>
      <c r="AK69" s="1"/>
      <c r="AL69" s="1"/>
      <c r="AM69" s="1"/>
      <c r="AN69" s="1"/>
      <c r="AO69" s="1"/>
      <c r="AP69" s="1"/>
      <c r="AQ69" s="1"/>
      <c r="AR69" s="1"/>
      <c r="AS69" s="1"/>
      <c r="AT69" s="1"/>
      <c r="AU69" s="1"/>
      <c r="AV69" s="20" t="s">
        <v>663</v>
      </c>
      <c r="AW69" s="19"/>
      <c r="AX69" s="20" t="s">
        <v>571</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750</v>
      </c>
      <c r="AW70" s="23"/>
      <c r="AX70" s="20" t="s">
        <v>732</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397</v>
      </c>
      <c r="AW71" s="1"/>
      <c r="AX71" s="20" t="s">
        <v>676</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679</v>
      </c>
      <c r="AW72" s="1"/>
      <c r="AX72" s="22" t="s">
        <v>740</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647</v>
      </c>
      <c r="AW73" s="1"/>
      <c r="AX73" s="20" t="s">
        <v>745</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716</v>
      </c>
      <c r="AW74" s="1"/>
      <c r="AX74" s="22" t="s">
        <v>97</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725</v>
      </c>
      <c r="AW75" s="1"/>
      <c r="AX75" s="20" t="s">
        <v>678</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728</v>
      </c>
      <c r="AW76" s="1"/>
      <c r="AX76" s="20" t="s">
        <v>699</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758</v>
      </c>
      <c r="AW77" s="1"/>
      <c r="AX77" s="22" t="s">
        <v>688</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97</v>
      </c>
      <c r="AW78" s="1"/>
      <c r="AX78" s="22" t="s">
        <v>714</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678</v>
      </c>
      <c r="AW79" s="1"/>
      <c r="AX79" s="20" t="s">
        <v>703</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733</v>
      </c>
      <c r="AW80" s="1"/>
      <c r="AX80" s="20" t="s">
        <v>756</v>
      </c>
      <c r="AY80" s="20"/>
    </row>
    <row r="81" spans="48:51" x14ac:dyDescent="0.5">
      <c r="AV81" s="22" t="s">
        <v>749</v>
      </c>
      <c r="AW81" s="1"/>
      <c r="AX81" s="22" t="s">
        <v>694</v>
      </c>
      <c r="AY81" s="22"/>
    </row>
    <row r="82" spans="48:51" x14ac:dyDescent="0.5">
      <c r="AV82" s="19" t="s">
        <v>741</v>
      </c>
      <c r="AW82" s="1"/>
      <c r="AX82" s="20" t="s">
        <v>700</v>
      </c>
      <c r="AY82" s="20"/>
    </row>
    <row r="83" spans="48:51" x14ac:dyDescent="0.5">
      <c r="AV83" s="20" t="s">
        <v>400</v>
      </c>
      <c r="AW83" s="1"/>
      <c r="AX83" s="22" t="s">
        <v>767</v>
      </c>
      <c r="AY83" s="22"/>
    </row>
    <row r="84" spans="48:51" x14ac:dyDescent="0.5">
      <c r="AV84" s="22" t="s">
        <v>746</v>
      </c>
      <c r="AW84" s="1"/>
      <c r="AX84" s="22" t="s">
        <v>708</v>
      </c>
      <c r="AY84" s="20"/>
    </row>
    <row r="85" spans="48:51" x14ac:dyDescent="0.5">
      <c r="AV85" s="19" t="s">
        <v>592</v>
      </c>
      <c r="AW85" s="1"/>
      <c r="AX85" s="20" t="s">
        <v>724</v>
      </c>
      <c r="AY85" s="20"/>
    </row>
    <row r="86" spans="48:51" x14ac:dyDescent="0.5">
      <c r="AV86" s="20" t="s">
        <v>753</v>
      </c>
      <c r="AW86" s="1"/>
      <c r="AX86" s="25" t="s">
        <v>773</v>
      </c>
      <c r="AY86" s="20"/>
    </row>
    <row r="87" spans="48:51" x14ac:dyDescent="0.5">
      <c r="AV87" s="22" t="s">
        <v>715</v>
      </c>
      <c r="AW87" s="1"/>
      <c r="AX87" s="22" t="s">
        <v>405</v>
      </c>
      <c r="AY87" s="25"/>
    </row>
    <row r="88" spans="48:51" x14ac:dyDescent="0.5">
      <c r="AV88" s="20" t="s">
        <v>727</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06A8A84B-26D3-4501-B011-F6FD64AA42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'Paso 5 Estrategias micro'!RA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