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comments7.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poligran-my.sharepoint.com/personal/micortes_poligran_edu_co/Documents/Escritorio/FORMATOS RA CICLO UNO RC/"/>
    </mc:Choice>
  </mc:AlternateContent>
  <xr:revisionPtr revIDLastSave="34" documentId="13_ncr:1_{4501AB5B-5285-4774-A349-D459CD5C1193}" xr6:coauthVersionLast="47" xr6:coauthVersionMax="47" xr10:uidLastSave="{CA8F7DB6-C3B3-44FB-874C-ABC910226229}"/>
  <bookViews>
    <workbookView xWindow="-110" yWindow="-110" windowWidth="19420" windowHeight="10300" tabRatio="673" firstSheet="2" activeTab="5" xr2:uid="{BD68381A-4EB3-42BA-ADD5-D7B5B6C7E498}"/>
  </bookViews>
  <sheets>
    <sheet name="Paso1 Analisis perfil egreso" sheetId="1" r:id="rId1"/>
    <sheet name="Paso 2 Redacción competen" sheetId="6" r:id="rId2"/>
    <sheet name="Paso 3 Redacción RA" sheetId="15" r:id="rId3"/>
    <sheet name="Paso 3 Redacción RA - Backup " sheetId="5" state="hidden" r:id="rId4"/>
    <sheet name="Paso 4 Estrategias mesocurricu" sheetId="8" r:id="rId5"/>
    <sheet name="Paso 5 Estrategias micro" sheetId="14" r:id="rId6"/>
    <sheet name="Taxonomía para competencias" sheetId="10" r:id="rId7"/>
    <sheet name="Taxonomias para RA" sheetId="7" r:id="rId8"/>
  </sheets>
  <externalReferences>
    <externalReference r:id="rId9"/>
    <externalReference r:id="rId10"/>
  </externalReferences>
  <definedNames>
    <definedName name="_xlnm._FilterDatabase" localSheetId="2" hidden="1">'Paso 3 Redacción RA'!$A$2:$K$12</definedName>
    <definedName name="_xlnm._FilterDatabase" localSheetId="3" hidden="1">'Paso 3 Redacción RA - Backup '!$A$2:$K$12</definedName>
    <definedName name="_xlnm._FilterDatabase" localSheetId="4" hidden="1">'Paso 4 Estrategias mesocurricu'!$A$1:$F$20</definedName>
    <definedName name="_xlnm._FilterDatabase" localSheetId="5" hidden="1">'Paso 5 Estrategias micro'!$A$2:$R$184</definedName>
    <definedName name="ActitudinalBAK">'Taxonomias para RA'!$AC$3:$AG$3</definedName>
    <definedName name="Bloom">'Taxonomias para RA'!$G$3:$I$3</definedName>
    <definedName name="Celda_Creditos_por_materia">'[1]Malla con formulas'!$E$19,'[1]Malla con formulas'!$L$19,'[1]Malla con formulas'!$R$23,'[1]Malla con formulas'!$X$23,'[1]Malla con formulas'!$AD$23,'[1]Malla con formulas'!$AK$23,'[1]Malla con formulas'!$G$31,'[1]Malla con formulas'!$M$31,'[1]Malla con formulas'!$R$31,'[1]Malla con formulas'!$X$31,'[1]Malla con formulas'!$AD$31,'[1]Malla con formulas'!$AK$31,'[1]Malla con formulas'!$G$38,'[1]Malla con formulas'!$N$38,'[1]Malla con formulas'!$R$38,'[1]Malla con formulas'!$X$38,'[1]Malla con formulas'!$AD$38,'[1]Malla con formulas'!$G$45,'[1]Malla con formulas'!$M$45,'[1]Malla con formulas'!$R$45,'[1]Malla con formulas'!$X$45,'[1]Malla con formulas'!$AD$45,'[1]Malla con formulas'!$AK$45,'[1]Malla con formulas'!$G$52,'[1]Malla con formulas'!$M$52,'[1]Malla con formulas'!$R$52,'[1]Malla con formulas'!$X$52,'[1]Malla con formulas'!$AD$52,'[1]Malla con formulas'!$G$59,'[1]Malla con formulas'!$M$59,'[1]Malla con formulas'!$R$59,'[1]Malla con formulas'!$X$59,'[1]Malla con formulas'!$AD$59,'[1]Malla con formulas'!$G$66,'[1]Malla con formulas'!$M$66,'[1]Malla con formulas'!$R$66,'[1]Malla con formulas'!$X$66,'[1]Malla con formulas'!$AD$66,'[1]Malla con formulas'!$G$73</definedName>
    <definedName name="Circutos">'Paso 2 Redacción competen'!$F$4</definedName>
    <definedName name="Codigo_de_materia">'[1]Malla con formulas'!$D$23,'[1]Malla con formulas'!$K$23,'[1]Malla con formulas'!$Q$23,'[1]Malla con formulas'!$W$23,'[1]Malla con formulas'!$AC$23,'[1]Malla con formulas'!$AI$23,'[1]Malla con formulas'!$D$31,'[1]Malla con formulas'!$K$31,'[1]Malla con formulas'!$Q$31,'[1]Malla con formulas'!$W$31,'[1]Malla con formulas'!$AC$31,'[1]Malla con formulas'!$AI$31,'[1]Malla con formulas'!$D$38,'[1]Malla con formulas'!$K$38,'[1]Malla con formulas'!$Q$38,'[1]Malla con formulas'!$W$38,'[1]Malla con formulas'!$AC$38,'[1]Malla con formulas'!$D$45,'[1]Malla con formulas'!$K$45,'[1]Malla con formulas'!$Q$45,'[1]Malla con formulas'!$W$45,'[1]Malla con formulas'!$AC$45,'[1]Malla con formulas'!$AI$45,'[1]Malla con formulas'!$D$52,'[1]Malla con formulas'!$K$52,'[1]Malla con formulas'!$Q$52,'[1]Malla con formulas'!$W$52,'[1]Malla con formulas'!$AC$52,'[1]Malla con formulas'!$D$59,'[1]Malla con formulas'!$K$59,'[1]Malla con formulas'!$Q$59,'[1]Malla con formulas'!$W$59,'[1]Malla con formulas'!$AC$59,'[1]Malla con formulas'!$D$66,'[1]Malla con formulas'!$K$66,'[1]Malla con formulas'!$Q$66,'[1]Malla con formulas'!$W$66,'[1]Malla con formulas'!$AC$66,'[1]Malla con formulas'!$D$73</definedName>
    <definedName name="CognitivoBAK">'Taxonomias para RA'!$S$3:$X$3</definedName>
    <definedName name="CompetenciaEspecifica1">'Paso 2 Redacción competen'!$F$4</definedName>
    <definedName name="ComponentesCompetencias">'Paso1 Analisis perfil egreso'!$E$2:$G$2</definedName>
    <definedName name="Creditos">'[1]Malla con formulas'!$AN$90,'[1]Malla con formulas'!#REF!,'[1]Malla con formulas'!$AN$66,'[1]Malla con formulas'!$AN$59,'[1]Malla con formulas'!$AG$52,'[1]Malla con formulas'!$AN$38,'[1]Malla con formulas'!$AN$31,'[1]Malla con formulas'!$AN$23,'[1]Malla con formulas'!$AN$45</definedName>
    <definedName name="FACULTADES">#REF!</definedName>
    <definedName name="Nombre">'[1]Malla con formulas'!$D$22:$G$22,'[1]Malla con formulas'!$K$22:$M$22,'[1]Malla con formulas'!$P$22:$R$22,'[1]Malla con formulas'!$V$22:$X$22,'[1]Malla con formulas'!$AB$22:$AD$22,'[1]Malla con formulas'!$AG$22:$AK$22,'[1]Malla con formulas'!$C$30:$G$30,'[1]Malla con formulas'!$J$30:$M$30,'[1]Malla con formulas'!$P$30:$R$30,'[1]Malla con formulas'!$V$30:$X$30,'[1]Malla con formulas'!$AB$30:$AD$30,'[1]Malla con formulas'!$AG$30:$AK$30,'[1]Malla con formulas'!$C$37:$G$37,'[1]Malla con formulas'!$J$37:$M$37,'[1]Malla con formulas'!$P$37:$R$37,'[1]Malla con formulas'!$V$37:$X$37,'[1]Malla con formulas'!$AB$37:$AD$37,'[1]Malla con formulas'!$C$44:$G$44,'[1]Malla con formulas'!$J$44:$M$44,'[1]Malla con formulas'!$P$44:$R$44,'[1]Malla con formulas'!$V$44:$X$44,'[1]Malla con formulas'!$AB$44:$AD$44,'[1]Malla con formulas'!$AG$44:$AK$44,'[1]Malla con formulas'!$C$51:$G$51,'[1]Malla con formulas'!$J$51:$M$51,'[1]Malla con formulas'!$P$51:$R$51,'[1]Malla con formulas'!$V$51:$X$51,'[1]Malla con formulas'!$AB$51:$AD$51,'[1]Malla con formulas'!$C$58:$G$58,'[1]Malla con formulas'!$J$58:$M$58,'[1]Malla con formulas'!$P$58:$R$58,'[1]Malla con formulas'!$V$58:$X$58,'[1]Malla con formulas'!$AB$58:$AD$58,'[1]Malla con formulas'!$C$65:$G$65,'[1]Malla con formulas'!$J$65:$M$65,'[1]Malla con formulas'!$P$65:$R$65,'[1]Malla con formulas'!$V$65:$X$65,'[1]Malla con formulas'!$AB$65:$AD$65,'[1]Malla con formulas'!$C$72:$G$72,'[1]Malla con formulas'!$J$72:$M$72,'[1]Malla con formulas'!$P$72:$R$72,'[1]Malla con formulas'!$V$72:$X$72,'[1]Malla con formulas'!$AB$72:$AD$72,'[1]Malla con formulas'!#REF!,'[1]Malla con formulas'!#REF!,'[1]Malla con formulas'!$V$89:$V$89,'[1]Malla con formulas'!#REF!,'[1]Malla con formulas'!$L$88:$L$88</definedName>
    <definedName name="ProcedimentalBAK">'Taxonomias para RA'!$Y$3:$AB$3</definedName>
    <definedName name="RA">'Paso 5 Estrategias micro'!$B$9</definedName>
    <definedName name="resultadoaprendizaje">'[2]Paso 3 Redacción RA '!$I$2:$I$21</definedName>
    <definedName name="Saber">'Paso1 Analisis perfil egreso'!$E$3:$E$6</definedName>
    <definedName name="Saberhacer">'Paso1 Analisis perfil egreso'!$F$3:$F$6</definedName>
    <definedName name="Saberser">'Paso1 Analisis perfil egreso'!$G$3:$G$6</definedName>
    <definedName name="TIC">'Paso 2 Redacción competen'!#REF!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67" i="14" l="1"/>
  <c r="R180" i="14"/>
  <c r="S180" i="14"/>
  <c r="R19" i="14"/>
  <c r="S181" i="14"/>
  <c r="R181" i="14"/>
  <c r="S167" i="14"/>
  <c r="S142" i="14"/>
  <c r="R142" i="14"/>
  <c r="S113" i="14"/>
  <c r="R113" i="14"/>
  <c r="S88" i="14"/>
  <c r="R88" i="14"/>
  <c r="S67" i="14"/>
  <c r="R67" i="14"/>
  <c r="S45" i="14"/>
  <c r="R45" i="14"/>
  <c r="S19" i="14"/>
  <c r="J183" i="14"/>
  <c r="D181" i="14"/>
  <c r="J181" i="14"/>
  <c r="M177" i="14"/>
  <c r="J184" i="14"/>
  <c r="J182" i="14"/>
  <c r="A134" i="14" l="1"/>
  <c r="A178" i="14"/>
  <c r="A179" i="14"/>
  <c r="A180" i="14"/>
  <c r="A177" i="14"/>
  <c r="A170" i="14"/>
  <c r="A158" i="14"/>
  <c r="A124" i="14"/>
  <c r="A101" i="14"/>
  <c r="A22" i="14"/>
  <c r="A11" i="14"/>
  <c r="A7" i="14"/>
  <c r="A123" i="14" l="1"/>
  <c r="A151" i="14"/>
  <c r="A152" i="14"/>
  <c r="A157" i="14"/>
  <c r="A163" i="14"/>
  <c r="A9" i="14"/>
  <c r="A10" i="14"/>
  <c r="A4" i="14"/>
  <c r="A144" i="14"/>
  <c r="A145" i="14"/>
  <c r="A146" i="14"/>
  <c r="A60" i="14"/>
  <c r="A139" i="14"/>
  <c r="A140" i="14"/>
  <c r="A115" i="14"/>
  <c r="A116" i="14"/>
  <c r="A110" i="14"/>
  <c r="A111" i="14"/>
  <c r="A90" i="14"/>
  <c r="A91" i="14"/>
  <c r="A85" i="14"/>
  <c r="A86" i="14"/>
  <c r="A75" i="14"/>
  <c r="A76" i="14"/>
  <c r="A70" i="14"/>
  <c r="A71" i="14"/>
  <c r="A65" i="14"/>
  <c r="A58" i="14"/>
  <c r="A59" i="14"/>
  <c r="A53" i="14"/>
  <c r="A47" i="14"/>
  <c r="A48" i="14"/>
  <c r="A36" i="14"/>
  <c r="A37" i="14"/>
  <c r="A42" i="14"/>
  <c r="A43" i="14"/>
  <c r="A44" i="14"/>
  <c r="A32" i="14"/>
  <c r="A26" i="14"/>
  <c r="A27" i="14"/>
  <c r="A28" i="14"/>
  <c r="A17" i="14"/>
  <c r="A18" i="14"/>
  <c r="L177" i="14"/>
  <c r="K177" i="14"/>
  <c r="L176" i="14"/>
  <c r="K176" i="14"/>
  <c r="L175" i="14"/>
  <c r="K175" i="14"/>
  <c r="L174" i="14"/>
  <c r="K174" i="14"/>
  <c r="L149" i="14"/>
  <c r="K149" i="14"/>
  <c r="L143" i="14"/>
  <c r="K143" i="14"/>
  <c r="L168" i="14"/>
  <c r="K168" i="14"/>
  <c r="L162" i="14"/>
  <c r="K162" i="14"/>
  <c r="L137" i="14"/>
  <c r="K137" i="14"/>
  <c r="L126" i="14"/>
  <c r="K126" i="14"/>
  <c r="L114" i="14"/>
  <c r="K114" i="14"/>
  <c r="L109" i="14"/>
  <c r="K109" i="14"/>
  <c r="L104" i="14"/>
  <c r="K104" i="14"/>
  <c r="L94" i="14"/>
  <c r="K94" i="14"/>
  <c r="L89" i="14"/>
  <c r="K89" i="14"/>
  <c r="L84" i="14"/>
  <c r="K84" i="14"/>
  <c r="L79" i="14"/>
  <c r="K79" i="14"/>
  <c r="L74" i="14"/>
  <c r="K74" i="14"/>
  <c r="L69" i="14"/>
  <c r="K69" i="14"/>
  <c r="L63" i="14"/>
  <c r="K63" i="14"/>
  <c r="L57" i="14"/>
  <c r="K57" i="14"/>
  <c r="L51" i="14"/>
  <c r="K51" i="14"/>
  <c r="L46" i="14"/>
  <c r="K46" i="14"/>
  <c r="L41" i="14"/>
  <c r="K41" i="14"/>
  <c r="L35" i="14"/>
  <c r="K35" i="14"/>
  <c r="L25" i="14"/>
  <c r="K25" i="14"/>
  <c r="L20" i="14"/>
  <c r="K20" i="14"/>
  <c r="L156" i="14"/>
  <c r="K156" i="14"/>
  <c r="L150" i="14"/>
  <c r="K150" i="14"/>
  <c r="L132" i="14"/>
  <c r="K132" i="14"/>
  <c r="L120" i="14"/>
  <c r="K120" i="14"/>
  <c r="L99" i="14"/>
  <c r="K99" i="14"/>
  <c r="L30" i="14"/>
  <c r="K30" i="14"/>
  <c r="L15" i="14"/>
  <c r="K15" i="14"/>
  <c r="L9" i="14"/>
  <c r="K9" i="14"/>
  <c r="L4" i="14"/>
  <c r="K4" i="14"/>
  <c r="L68" i="14"/>
  <c r="K68" i="14"/>
  <c r="L62" i="14"/>
  <c r="K62" i="14"/>
  <c r="L56" i="14"/>
  <c r="K56" i="14"/>
  <c r="L40" i="14"/>
  <c r="K40" i="14"/>
  <c r="L14" i="14"/>
  <c r="K14" i="14"/>
  <c r="L3" i="14"/>
  <c r="K3" i="14"/>
  <c r="M14" i="14" l="1"/>
  <c r="M68" i="14"/>
  <c r="M62" i="14"/>
  <c r="M40" i="14"/>
  <c r="M56" i="14"/>
  <c r="M4" i="14"/>
  <c r="A15" i="14"/>
  <c r="A16" i="14"/>
  <c r="A169" i="14"/>
  <c r="A171" i="14"/>
  <c r="A164" i="14"/>
  <c r="A165" i="14"/>
  <c r="A159" i="14"/>
  <c r="A153" i="14"/>
  <c r="A133" i="14"/>
  <c r="A127" i="14"/>
  <c r="A129" i="14"/>
  <c r="A121" i="14"/>
  <c r="A105" i="14"/>
  <c r="A106" i="14"/>
  <c r="A100" i="14"/>
  <c r="A95" i="14"/>
  <c r="A96" i="14"/>
  <c r="A80" i="14"/>
  <c r="A81" i="14"/>
  <c r="A64" i="14"/>
  <c r="A52" i="14"/>
  <c r="A21" i="14"/>
  <c r="A23" i="14"/>
  <c r="A5" i="14"/>
  <c r="M63" i="14" l="1"/>
  <c r="A67" i="14"/>
  <c r="A66" i="14"/>
  <c r="A63" i="14"/>
  <c r="M174" i="14" l="1"/>
  <c r="M149" i="14"/>
  <c r="A33" i="14" l="1"/>
  <c r="A83" i="14"/>
  <c r="A82" i="14"/>
  <c r="A79" i="14"/>
  <c r="A119" i="14"/>
  <c r="A118" i="14"/>
  <c r="A114" i="14"/>
  <c r="A93" i="14"/>
  <c r="A92" i="14"/>
  <c r="A89" i="14"/>
  <c r="A61" i="14"/>
  <c r="A57" i="14"/>
  <c r="A55" i="14"/>
  <c r="A54" i="14"/>
  <c r="A51" i="14"/>
  <c r="A45" i="14"/>
  <c r="A41" i="14"/>
  <c r="A40" i="14"/>
  <c r="A39" i="14"/>
  <c r="A38" i="14"/>
  <c r="A35" i="14"/>
  <c r="A34" i="14"/>
  <c r="A30" i="14"/>
  <c r="A29" i="14"/>
  <c r="A25" i="14"/>
  <c r="A19" i="14"/>
  <c r="A20" i="14"/>
  <c r="M57" i="14" l="1"/>
  <c r="M51" i="14"/>
  <c r="M20" i="14"/>
  <c r="A3" i="14" l="1"/>
  <c r="A12" i="14"/>
  <c r="A13" i="14"/>
  <c r="A6" i="14"/>
  <c r="A8" i="14"/>
  <c r="A24" i="14"/>
  <c r="A14" i="14"/>
  <c r="A46" i="14"/>
  <c r="A49" i="14"/>
  <c r="A50" i="14"/>
  <c r="A74" i="14"/>
  <c r="A77" i="14"/>
  <c r="A78" i="14"/>
  <c r="A62" i="14"/>
  <c r="A69" i="14"/>
  <c r="A72" i="14"/>
  <c r="A73" i="14"/>
  <c r="A68" i="14"/>
  <c r="A56" i="14"/>
  <c r="A84" i="14"/>
  <c r="A87" i="14"/>
  <c r="A88" i="14"/>
  <c r="A137" i="14"/>
  <c r="A141" i="14"/>
  <c r="A142" i="14"/>
  <c r="A99" i="14"/>
  <c r="A102" i="14"/>
  <c r="A103" i="14"/>
  <c r="A109" i="14"/>
  <c r="A112" i="14"/>
  <c r="A113" i="14"/>
  <c r="A94" i="14"/>
  <c r="A97" i="14"/>
  <c r="A98" i="14"/>
  <c r="A104" i="14"/>
  <c r="A107" i="14"/>
  <c r="A108" i="14"/>
  <c r="A132" i="14"/>
  <c r="A135" i="14"/>
  <c r="A136" i="14"/>
  <c r="A126" i="14"/>
  <c r="A130" i="14"/>
  <c r="A131" i="14"/>
  <c r="A120" i="14"/>
  <c r="A122" i="14"/>
  <c r="A125" i="14"/>
  <c r="A156" i="14"/>
  <c r="A160" i="14"/>
  <c r="A161" i="14"/>
  <c r="A150" i="14"/>
  <c r="A154" i="14"/>
  <c r="A155" i="14"/>
  <c r="A143" i="14"/>
  <c r="A147" i="14"/>
  <c r="A148" i="14"/>
  <c r="A162" i="14"/>
  <c r="A166" i="14"/>
  <c r="A167" i="14"/>
  <c r="A168" i="14"/>
  <c r="A172" i="14"/>
  <c r="A173" i="14"/>
  <c r="M41" i="14" l="1"/>
  <c r="M35" i="14"/>
  <c r="M30" i="14"/>
  <c r="M3" i="14"/>
  <c r="M25" i="14"/>
  <c r="M94" i="14"/>
  <c r="M126" i="14"/>
  <c r="M156" i="14"/>
  <c r="M162" i="14"/>
  <c r="M114" i="14"/>
  <c r="M9" i="14"/>
  <c r="M137" i="14"/>
  <c r="M120" i="14"/>
  <c r="M150" i="14"/>
  <c r="M89" i="14"/>
  <c r="M69" i="14"/>
  <c r="M46" i="14"/>
  <c r="M104" i="14"/>
  <c r="M175" i="14"/>
  <c r="M84" i="14"/>
  <c r="M74" i="14"/>
  <c r="M99" i="14"/>
  <c r="M15" i="14"/>
  <c r="M109" i="14"/>
  <c r="M132" i="14"/>
  <c r="M176" i="14"/>
  <c r="M168" i="14"/>
  <c r="M143" i="14"/>
  <c r="M79"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218BD88B-F04D-48BC-8E64-039B164B6A20}">
      <text>
        <r>
          <rPr>
            <b/>
            <sz val="9"/>
            <color indexed="81"/>
            <rFont val="Tahoma"/>
            <family val="2"/>
          </rPr>
          <t>Dir. Currículo:</t>
        </r>
        <r>
          <rPr>
            <sz val="9"/>
            <color indexed="81"/>
            <rFont val="Tahoma"/>
            <family val="2"/>
          </rPr>
          <t xml:space="preserve">
Escriba el perfil del egresado que tiene el programa en su documento maestro o el que se haya ajustado de acuerdo con las tendencias o necesidades del entorno que lo hayan generado.</t>
        </r>
      </text>
    </comment>
    <comment ref="C2" authorId="0" shapeId="0" xr:uid="{1E9ADF6B-E7FE-46F9-A416-83B5EEE1C33F}">
      <text>
        <r>
          <rPr>
            <b/>
            <sz val="9"/>
            <color indexed="81"/>
            <rFont val="Tahoma"/>
            <family val="2"/>
          </rPr>
          <t>Dir. Currículo:</t>
        </r>
        <r>
          <rPr>
            <sz val="9"/>
            <color indexed="81"/>
            <rFont val="Tahoma"/>
            <family val="2"/>
          </rPr>
          <t xml:space="preserve">
Escriba el perfil del egresado que tiene el programa en su documento maestro o el que se haya ajustado de acuerdo con las tendencias o necesidades del entorno que lo hayan generado.</t>
        </r>
      </text>
    </comment>
    <comment ref="E2" authorId="0" shapeId="0" xr:uid="{8DF8FF82-47F7-4410-B4E7-CB5780418179}">
      <text>
        <r>
          <rPr>
            <b/>
            <sz val="9"/>
            <color indexed="81"/>
            <rFont val="Tahoma"/>
            <family val="2"/>
          </rPr>
          <t>Dir. Currículo:</t>
        </r>
        <r>
          <rPr>
            <sz val="9"/>
            <color indexed="81"/>
            <rFont val="Tahoma"/>
            <family val="2"/>
          </rPr>
          <t xml:space="preserve">
Son los conocimientos generales que caracterizan el saber del egresado.</t>
        </r>
      </text>
    </comment>
    <comment ref="F2" authorId="0" shapeId="0" xr:uid="{066C8682-E9AB-4C94-83D5-BDABD3C9751A}">
      <text>
        <r>
          <rPr>
            <b/>
            <sz val="9"/>
            <color indexed="81"/>
            <rFont val="Tahoma"/>
            <family val="2"/>
          </rPr>
          <t>Dir. Currículo:</t>
        </r>
        <r>
          <rPr>
            <sz val="9"/>
            <color indexed="81"/>
            <rFont val="Tahoma"/>
            <family val="2"/>
          </rPr>
          <t xml:space="preserve">
Es el conocimiento referente a la ejecución de estrategias, técnicas, habilidades, métodos y procedimientos; implican fuerza, rapidez y precisión; hacen referencia a saber cómo hacer y saber hacer.</t>
        </r>
      </text>
    </comment>
    <comment ref="G2" authorId="0" shapeId="0" xr:uid="{607FF329-B1BA-4E60-897A-6011F6BE0B48}">
      <text>
        <r>
          <rPr>
            <b/>
            <sz val="9"/>
            <color indexed="81"/>
            <rFont val="Tahoma"/>
            <family val="2"/>
          </rPr>
          <t>Dir. Currículo:</t>
        </r>
        <r>
          <rPr>
            <sz val="9"/>
            <color indexed="81"/>
            <rFont val="Tahoma"/>
            <family val="2"/>
          </rPr>
          <t xml:space="preserve">
Se refiere a cómo debe ser el egresado en el contexto profesional, abarca los principios, normas, condiciones de contexto y reglas, entre otros.</t>
        </r>
      </text>
    </comment>
    <comment ref="H2" authorId="0" shapeId="0" xr:uid="{4C8FD7BF-69F3-4EE3-BF00-86DAE4C95B59}">
      <text>
        <r>
          <rPr>
            <b/>
            <sz val="9"/>
            <color indexed="81"/>
            <rFont val="Tahoma"/>
            <family val="2"/>
          </rPr>
          <t>Dir. Currículo:</t>
        </r>
        <r>
          <rPr>
            <sz val="9"/>
            <color indexed="81"/>
            <rFont val="Tahoma"/>
            <family val="2"/>
          </rPr>
          <t xml:space="preserve">
Áreas en las que podrá laborar el profesional.</t>
        </r>
      </text>
    </comment>
    <comment ref="I2" authorId="0" shapeId="0" xr:uid="{D80561B2-9238-40B1-BCAC-A2900C16BB2A}">
      <text>
        <r>
          <rPr>
            <b/>
            <sz val="9"/>
            <color indexed="81"/>
            <rFont val="Tahoma"/>
            <family val="2"/>
          </rPr>
          <t>Dir. Currículo:</t>
        </r>
        <r>
          <rPr>
            <sz val="9"/>
            <color indexed="81"/>
            <rFont val="Tahoma"/>
            <family val="2"/>
          </rPr>
          <t xml:space="preserve">
Tareas potenciales que hará el profesional.</t>
        </r>
      </text>
    </comment>
    <comment ref="J2" authorId="0" shapeId="0" xr:uid="{910BAA13-07A6-4EFE-A19E-F083161C96F3}">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BABE39E6-C0DA-47B6-A10D-ECA03B3BA910}">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AE119CD1-D0D7-4F88-8CD5-00081530DC87}">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2" authorId="0" shapeId="0" xr:uid="{A8E80D42-94C0-4781-8FCE-3D3530E25D52}">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2" authorId="0" shapeId="0" xr:uid="{F4110995-1467-4D20-B839-29023BFAEBFF}">
      <text>
        <r>
          <rPr>
            <b/>
            <sz val="9"/>
            <color indexed="81"/>
            <rFont val="Tahoma"/>
            <family val="2"/>
          </rPr>
          <t>Dir. Currículo:</t>
        </r>
        <r>
          <rPr>
            <sz val="9"/>
            <color indexed="81"/>
            <rFont val="Tahoma"/>
            <family val="2"/>
          </rPr>
          <t xml:space="preserve">
Recuerde que el objeto conceptual hace referencia a qué debe saber (conocimientos, hechos, teorías) el egresado cuando termine su formación profesional.</t>
        </r>
      </text>
    </comment>
    <comment ref="D2" authorId="0" shapeId="0" xr:uid="{4E14A77D-E3A8-4B7B-B617-3C89D59C2DC3}">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elementos del componente ocupacional pueden ayudar a declarar la finalidad. Se listaron en la hoja Paso 1.</t>
        </r>
      </text>
    </comment>
    <comment ref="E2" authorId="0" shapeId="0" xr:uid="{60DC37CE-D668-474D-8A19-C4AF0EAA5C5A}">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establecido en el perfil, en el contexto donde se desenvolverá el egresado? </t>
        </r>
      </text>
    </comment>
    <comment ref="F2" authorId="0" shapeId="0" xr:uid="{8003939F-4001-4AFA-B7C4-32352928747B}">
      <text>
        <r>
          <rPr>
            <b/>
            <sz val="9"/>
            <color indexed="81"/>
            <rFont val="Tahoma"/>
            <family val="2"/>
          </rPr>
          <t>Dir. Currículo:</t>
        </r>
        <r>
          <rPr>
            <sz val="9"/>
            <color indexed="81"/>
            <rFont val="Tahoma"/>
            <family val="2"/>
          </rPr>
          <t xml:space="preserve">
Tenga en cuenta que la competencia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9438B058-DB6C-4283-8905-4056D954190F}">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14FB4C41-FF3C-44C5-95C1-8A4EE311743B}">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EFD61953-6209-4CEE-9F36-7150401928E6}">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F6FF8774-B45E-4C88-9403-3210A2925AA7}">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7E689BBA-8C09-4929-8692-0ADD44D3FE56}">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5F8F8C73-2ED9-43ED-BD56-F53184EE0D4B}">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38295FED-0624-4265-A5C1-6FA511157A6F}">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64D8F347-8090-4B7B-A6D7-1CF5339305BE}">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37B46A44-2897-4E74-8832-74035C2B809F}">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25311C46-2FC3-42D4-A3B5-88FB3744D009}">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sabr hacer y sabe ser en un contexto determinado.</t>
        </r>
      </text>
    </comment>
    <comment ref="B2" authorId="0" shapeId="0" xr:uid="{7140CF9E-D100-4E5C-90C3-42313D04E6B1}">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71C91D79-1C70-4973-8345-EC0D06B65442}">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4EA1BD48-9072-4F8B-8C17-7A54409F3A6B}">
      <text>
        <r>
          <rPr>
            <b/>
            <sz val="9"/>
            <color indexed="81"/>
            <rFont val="Tahoma"/>
            <family val="2"/>
          </rPr>
          <t>Dir. Currículo:</t>
        </r>
        <r>
          <rPr>
            <sz val="9"/>
            <color indexed="81"/>
            <rFont val="Tahoma"/>
            <family val="2"/>
          </rPr>
          <t xml:space="preserve">
El llistado despliega, según el saber elegido en la columna C, lo que se escribió en el paso 1 para ese tipo de saber.</t>
        </r>
      </text>
    </comment>
    <comment ref="E2" authorId="0" shapeId="0" xr:uid="{189C3EC2-1514-4019-89E2-899E92CD0DB4}">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3C6787FC-5463-4833-8BE4-AF8F90510697}">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reerencia al dominio procedimental y el saber ser al dominio actitudinal.</t>
        </r>
      </text>
    </comment>
    <comment ref="G2" authorId="0" shapeId="0" xr:uid="{9224DA72-3F2C-4C5C-BF71-F42A4DB09567}">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AC4EFDC9-F052-42E3-B096-C8C6DA737167}">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6C037D87-33E8-4C70-A592-AA6328FE8FC5}">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37C83751-6000-4757-A6C7-3A73119E4A5B}">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 ref="D2" authorId="0" shapeId="0" xr:uid="{B9C7F80E-8B23-4629-8207-1D899FEE9EE0}">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E1" authorId="0" shapeId="0" xr:uid="{5DE96D98-6AD3-44BE-9DD5-AB5F84B66625}">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Y4" authorId="0" shapeId="0" xr:uid="{F9EA092C-8F61-4197-8E6C-64F779A26A75}">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omponentesCompetencias" description="Conexión a la consulta 'ComponentesCompetencias' en el libro." type="5" refreshedVersion="0" background="1" saveData="1">
    <dbPr connection="Provider=Microsoft.Mashup.OleDb.1;Data Source=$Workbook$;Location=ComponentesCompetencias;Extended Properties=&quot;&quot;" command="SELECT * FROM [ComponentesCompetencias]"/>
  </connection>
</connections>
</file>

<file path=xl/sharedStrings.xml><?xml version="1.0" encoding="utf-8"?>
<sst xmlns="http://schemas.openxmlformats.org/spreadsheetml/2006/main" count="2510" uniqueCount="785">
  <si>
    <t>[Escribir el nombre del programa]</t>
  </si>
  <si>
    <t>[Escribir la modalidad: presencial o virtual]</t>
  </si>
  <si>
    <t>[Escribir el perfil profesional del egresado.]</t>
  </si>
  <si>
    <t>[Escribir el perfil ocupacional del egresado.]</t>
  </si>
  <si>
    <r>
      <rPr>
        <b/>
        <sz val="8"/>
        <color theme="0"/>
        <rFont val="Gill Sans MT"/>
        <family val="2"/>
      </rPr>
      <t>Componentes fundamentales aplicables a la solución de problemas en la vida profesional</t>
    </r>
    <r>
      <rPr>
        <sz val="8"/>
        <color theme="0"/>
        <rFont val="Gill Sans MT"/>
        <family val="2"/>
      </rPr>
      <t xml:space="preserve">
[Listar, según lo escrito en el perfil profesional, qué debe saber el egresado en las categorías de Saber -conocimientos, hechos, teorías-, Saber hacer -técnicas, procedimientos, metodologías-, y Saber ser -valores, condiciones, etc.]</t>
    </r>
  </si>
  <si>
    <r>
      <rPr>
        <b/>
        <sz val="8"/>
        <color theme="0"/>
        <rFont val="Gill Sans MT"/>
        <family val="2"/>
      </rPr>
      <t>Componentes fundamentales de la ocupación laboral del profesional</t>
    </r>
    <r>
      <rPr>
        <sz val="8"/>
        <color theme="0"/>
        <rFont val="Gill Sans MT"/>
        <family val="2"/>
      </rPr>
      <t xml:space="preserve">
[Listar, según lo escrito en el perfil ocupacional, en qué áreas, qué tareas potenciales y en qué poblaciones o contextos podrá laborar el profesional.]</t>
    </r>
  </si>
  <si>
    <r>
      <rPr>
        <b/>
        <sz val="8"/>
        <color theme="0"/>
        <rFont val="Gill Sans MT"/>
        <family val="2"/>
      </rPr>
      <t>Diferencial (valor agregado) del profesional</t>
    </r>
    <r>
      <rPr>
        <sz val="8"/>
        <color theme="0"/>
        <rFont val="Gill Sans MT"/>
        <family val="2"/>
      </rPr>
      <t xml:space="preserve">
[Listar, según lo escrito en los perfiles, los elementos que son diferenciales y generan un valor agregado al egresado.]</t>
    </r>
  </si>
  <si>
    <t>Programa</t>
  </si>
  <si>
    <t>Modalidad</t>
  </si>
  <si>
    <t>Perfil profesional</t>
  </si>
  <si>
    <t>Perfil ocupacional</t>
  </si>
  <si>
    <t>Saber</t>
  </si>
  <si>
    <t>SaberHacer</t>
  </si>
  <si>
    <t>SaberSer</t>
  </si>
  <si>
    <t>Áreas profesionales</t>
  </si>
  <si>
    <t>Tareas profesionales</t>
  </si>
  <si>
    <t>Poblaciones actuación</t>
  </si>
  <si>
    <t>Valor agregado</t>
  </si>
  <si>
    <t>Administración Pública</t>
  </si>
  <si>
    <t>Virtual</t>
  </si>
  <si>
    <t>El Administrador Público del Politécnico Grancolombiano domina la gestión estratégica de lo público, el funcionamiento del Estado y su marco jurídico, y la articulación de políticas públicas en contextos territoriales, para planear, liderar y transformar instituciones estatales y organizaciones que interactúan con el sector público, garantizando legalidad, eficiencia y resultados de valor colectivo. Se caracteriza por su compromiso ético y responsabilidad con el interés público, en escenarios diversos, intersectoriales y a todos los niveles del Estado.</t>
  </si>
  <si>
    <t>El egresado en Administración Pública del Politécnico Grancolombiano está preparado para gestionar procesos en entidades estatales, mediante la formulación, ejecución y seguimiento de proyectos públicos; la coordinación de planes de desarrollo territorial; la administración de recursos; y la aplicación del marco normativo en áreas como contratación, empleo público y servicios del Estado.
Puede desempeñarse en organizaciones que se relacionan con el sector público, aportando en la gestión de información para la toma de decisiones, el fortalecimiento institucional, y la articulación entre niveles de gobierno y actores sociales. También puede intervenir en espacios de análisis, docencia o acompañamiento técnico vinculados a la gestión pública y los asuntos del Estado.</t>
  </si>
  <si>
    <t>Gestión estratégica</t>
  </si>
  <si>
    <t>planear, liderar y transformar instituciones del Estado</t>
  </si>
  <si>
    <t>con visión institucional, criterio público, responsabilidad ética y orientación a resultados de valor colectivo.</t>
  </si>
  <si>
    <t>Planeación institucional y territorial/Presupuesto y finanzas públicas/Contratación pública y compras estatales/Gestión de proyectos de inversión pública/Gestión de servicios públicos/Gestión del talento humano en el sector público/Atención al ciudadano y participación ciudadana/Sistema Integrado de Gestión (calidad, riesgo, mejora continua)/Gestión documental y administración del archivo/Relaciones interinstitucionales e internacionales/Gobierno local y desarrollo comunitario</t>
  </si>
  <si>
    <t>Formular y estructurar planes estratégicos en entidades del Estado / coordinar procesos de mejoramiento institucional y control interno / supervisar la implementación de sistemas integrados de gestión / organizar estructuras y procedimientos administrativos conforme a la normatividad / elaborar y ejecutar presupuestos públicos / formular, hacer seguimiento y evaluar proyectos de inversión pública / administrar contratos y procesos de compras estatales / consolidar informes financieros y de gestión / construir y acompañar planes de desarrollo territorial / facilitar espacios de diálogo con actores sociales / coordinar acciones intergubernamentales / promover mecanismos de participación ciudadana / recoger, sistematizar y analizar datos institucionales / elaborar diagnósticos y documentos técnicos / evaluar resultados de políticas o programas públicos / implementar herramientas digitales de análisis / gestionar alianzas entre sectores / representar técnicamente a instituciones públicas / coordinar proyectos de cooperación / asesorar procesos de articulación público-privada.</t>
  </si>
  <si>
    <t>Entidades del Estado (nacional, departamental, municipal)/Organismos autónomos y de control/Empresas del Estado o de economía mixta/Organizaciones no gubernamentales con incidencia pública/Entidades privadas con relación contractual o regulatoria con el Estado/Organismos internacionales con programas públicos o cooperación</t>
  </si>
  <si>
    <t>El programa de Administración Pública del Politécnico Grancolombiano se diferencia por integrar formación en análisis de datos, visualización de información y herramientas de inteligencia de negocios aplicadas al sector público. Además, articula contenidos de finanzas públicas, presupuesto, contratación y gestión territorial con un enfoque técnico-operativo, lo que permite al egresado intervenir directamente en procesos reales del Estado.</t>
  </si>
  <si>
    <t>El Estado y su marco jurídico</t>
  </si>
  <si>
    <t>garantizar el cumplimiento del marco normativo que regula la función pública y la organización estatal</t>
  </si>
  <si>
    <t>con respeto por la legalidad y compromiso con los principios del Estado social de derecho.</t>
  </si>
  <si>
    <t>Políticas públicas y territorio</t>
  </si>
  <si>
    <t>conducir procesos públicos orientados a la formulación, articulación y evaluación de políticas con enfoque territorial</t>
  </si>
  <si>
    <t>con pertinencia social, responsabilidad institucional y sensibilidad frente a las dinámicas del territorio.</t>
  </si>
  <si>
    <t>Fenómenos contemporáneos</t>
  </si>
  <si>
    <t>reconocer sus afectaciones o contribuciones en el marco de las ciudadanías globales y de una sociedad responsable y sostenible.</t>
  </si>
  <si>
    <t>desde una perspectiva global, soportada en datos, con una mirada ética y crítica.</t>
  </si>
  <si>
    <t>Elementos para redactar las competencias que desarrollará el programa</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</si>
  <si>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</si>
  <si>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</si>
  <si>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</si>
  <si>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</si>
  <si>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</si>
  <si>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</si>
  <si>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</si>
  <si>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</si>
  <si>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</si>
  <si>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</si>
  <si>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</si>
  <si>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</si>
  <si>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</si>
  <si>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de competencia</t>
  </si>
  <si>
    <t>Ejercer</t>
  </si>
  <si>
    <t>Ejercer la gestión estratégica para planear, liderar y transformar instituciones del Estado, con visión institucional, criterio público, responsabilidad ética y orientación a resultados de valor colectivo.</t>
  </si>
  <si>
    <t>Específica</t>
  </si>
  <si>
    <t>Dominar</t>
  </si>
  <si>
    <t>Dominar el conocimiento del Estado y su marco jurídico para garantizar el cumplimiento del régimen normativo que regula la función pública y la organización estatal, con respeto por la legalidad y compromiso con los principios del Estado social de derecho.</t>
  </si>
  <si>
    <t>Liderar</t>
  </si>
  <si>
    <t>Liderar procesos públicos en contextos institucionales y sociales para gestionar políticas públicas, que generen valor y garanticen los derechos constitucionales y legales.</t>
  </si>
  <si>
    <t>Analizar</t>
  </si>
  <si>
    <t>desde una perspectiva global, soportada en datos, con una mirada ética y crítica</t>
  </si>
  <si>
    <t>Analizar los fenómenos contemporáneos desde una perspectiva glocal, soportada en datos, con una mirada ética y crítica, para reconocer sus afectaciones o contribuciones en el marco de las ciudadanías globales y de una sociedad responsable y sostenible.</t>
  </si>
  <si>
    <t>Genérica</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</si>
  <si>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</si>
  <si>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</si>
  <si>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</si>
  <si>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</si>
  <si>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</si>
  <si>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</si>
  <si>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</si>
  <si>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</si>
  <si>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</si>
  <si>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</si>
  <si>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</si>
  <si>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</si>
  <si>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</si>
  <si>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</si>
  <si>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</si>
  <si>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</si>
  <si>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</si>
  <si>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</si>
  <si>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BAK</t>
  </si>
  <si>
    <t>CognitivoBAK</t>
  </si>
  <si>
    <t>AnálisisBAK</t>
  </si>
  <si>
    <t>Analiza los fundamentos conceptuales, jurídicos y estratégicos de la administración pública para caracterizar las dinámicas del Estado y otros actores institucionales en su relación con las múltiples dimensiones del entorno público.</t>
  </si>
  <si>
    <t>ProcedimentalBAK</t>
  </si>
  <si>
    <t>PrecisiónBAK</t>
  </si>
  <si>
    <t>Diseñar</t>
  </si>
  <si>
    <t>Diseña propuestas de mejora en la gestión, fundamentadas en principios estratégicos y legales, para proyectar soluciones a problemáticas públicas, en el marco del Estado social de derecho.</t>
  </si>
  <si>
    <t>ActitudinalBAK</t>
  </si>
  <si>
    <t>ValorarBAK</t>
  </si>
  <si>
    <t>Evaluar</t>
  </si>
  <si>
    <t>Evalúa situaciones del contexto público para establecer elementos estratégicos, normativos y territoriales que orienten la toma de decisiones con criterios de legalidad, responsabilidad institucional y generación de valor colectivo.</t>
  </si>
  <si>
    <t>Analiza principios normativos, técnicas administrativas y elementos del financiamiento público para establecer relaciones entre causas, actores y recursos implicados en situaciones o problemáticas públicas.</t>
  </si>
  <si>
    <t>Aplicar</t>
  </si>
  <si>
    <t>Aplica el régimen jurídico de la función pública en situaciones del sector público para formular propuestas de verificación y evaluación del cumplimiento normativo en la organización estatal.</t>
  </si>
  <si>
    <t>Aplica el régimen jurídico de la función pública en situación o contextos del sector para formular propuestas de verificación y evaluación que permitan validar el cumplimiento normativo en el contexto estatal.</t>
  </si>
  <si>
    <t>Diseña propuestas para la articulación y evaluación de políticas públicas, integrando criterios normativos, sociales y territoriales, para estructurar rutas de acción frente a necesidades, problemáticas u objetivos del contexto institucional.</t>
  </si>
  <si>
    <t>Bloom</t>
  </si>
  <si>
    <t>CognitivoB</t>
  </si>
  <si>
    <t>ComprensiónB</t>
  </si>
  <si>
    <t>Identificar</t>
  </si>
  <si>
    <t>Identifica fenómenos contemporáneos y su relación con la profesión, para determinar sus impactos e influencia en la sociedad, de forma responsable y crítica.</t>
  </si>
  <si>
    <t>Dominar los elementos de teoría de circuitos y transmisión de información para diseñar, implementar o administrar la infraestructura eléctrica y los dispositivos electrónicos que dan soporte a los sistemas de telecomunicaciones alineado con prácticas basadas en estándares del sector y la normatividad vigente, teniendo en cuenta las condiciones, restricciones y requerimientos técnicos del entorno.</t>
  </si>
  <si>
    <t xml:space="preserve"> los elementos de teoría de circuitos y transmisión de información</t>
  </si>
  <si>
    <t>ComprensiónBAK</t>
  </si>
  <si>
    <r>
      <rPr>
        <b/>
        <sz val="11"/>
        <color rgb="FF000000"/>
        <rFont val="Gill Sans MT"/>
        <family val="2"/>
      </rPr>
      <t>Identifica</t>
    </r>
    <r>
      <rPr>
        <sz val="11"/>
        <color rgb="FF000000"/>
        <rFont val="Gill Sans MT"/>
        <family val="2"/>
      </rPr>
      <t xml:space="preserve"> los elementos de teoría de circuitos, de transmisión de información, de seguridad de la información, de redes de comunicaciones, de sistemas de cómputo, de estandares y marcos de referencia que hacen parte de la gestión de proyectos como del desarrollo de actividades relacionadas a las infraestructuras de TIC, </t>
    </r>
    <r>
      <rPr>
        <b/>
        <sz val="11"/>
        <color rgb="FF000000"/>
        <rFont val="Gill Sans MT"/>
        <family val="2"/>
      </rPr>
      <t xml:space="preserve">para explicar </t>
    </r>
    <r>
      <rPr>
        <sz val="11"/>
        <color rgb="FF000000"/>
        <rFont val="Gill Sans MT"/>
        <family val="2"/>
      </rPr>
      <t>soluciones de diseño, administración o implementación a problemáticas del sector, desde un abordaje teórico-práctico, a través de herramientas de simulación, análisis de casos prácticos y uso de equipos de laboratorio.</t>
    </r>
  </si>
  <si>
    <t xml:space="preserve"> para diseñar, implementar o administrar la infraestructura eléctrica y los dispositivos electrónicos que dan soporte a los sistemas de telecomunicaciones</t>
  </si>
  <si>
    <t>ManipulaciónBAK</t>
  </si>
  <si>
    <r>
      <rPr>
        <b/>
        <sz val="11"/>
        <color rgb="FF000000"/>
        <rFont val="Gill Sans MT"/>
        <family val="2"/>
      </rPr>
      <t>Aplica</t>
    </r>
    <r>
      <rPr>
        <sz val="11"/>
        <color rgb="FF000000"/>
        <rFont val="Gill Sans MT"/>
        <family val="2"/>
      </rPr>
      <t xml:space="preserve"> los elementos de teoría de circuitos, de transmisión de información, de seguridad de la información, de redes de comunicaciones, de sistemas de cómputo, de estandares tecnológicos y marcos de referencia que hacen parte de la gestión de proyectos como del desarrollo de actividades relacionadas a las infraestructuras de TIC, </t>
    </r>
    <r>
      <rPr>
        <b/>
        <sz val="11"/>
        <color rgb="FF000000"/>
        <rFont val="Gill Sans MT"/>
        <family val="2"/>
      </rPr>
      <t xml:space="preserve">para construir </t>
    </r>
    <r>
      <rPr>
        <sz val="11"/>
        <color rgb="FF000000"/>
        <rFont val="Gill Sans MT"/>
        <family val="2"/>
      </rPr>
      <t>propuestas de diseño, implementación o administración de infraestructura eléctrica, dispositivos electrónicos, servicios de comunicaciones en nube o en sitio, sistemas de telecomunicaciones, a través de herramientas de simulación, análisis de casos prácticos y uso de equipos de laboratorio.</t>
    </r>
  </si>
  <si>
    <t xml:space="preserve"> alineado con prácticas basadas en estándares del sector y la normatividad vigente, teniendo en cuenta las condiciones, restricciones y requerimientos técnicos del entorno.</t>
  </si>
  <si>
    <t>Emplear</t>
  </si>
  <si>
    <r>
      <rPr>
        <b/>
        <sz val="11"/>
        <color rgb="FF000000"/>
        <rFont val="Gill Sans MT"/>
        <family val="2"/>
      </rPr>
      <t>Emplea</t>
    </r>
    <r>
      <rPr>
        <sz val="11"/>
        <color rgb="FF000000"/>
        <rFont val="Gill Sans MT"/>
        <family val="2"/>
      </rPr>
      <t xml:space="preserve"> las buenas prácticas de teoría de circuitos y transmisión, y de seguridad de la información, redes y sistemas de cómputo basadas en estándares del sector y la normatividad vigente, teniendo en cuenta las condiciones, restricciones y requerimientos técnicos de un proyecto, </t>
    </r>
    <r>
      <rPr>
        <b/>
        <sz val="11"/>
        <color rgb="FF000000"/>
        <rFont val="Gill Sans MT"/>
        <family val="2"/>
      </rPr>
      <t xml:space="preserve">para formular </t>
    </r>
    <r>
      <rPr>
        <sz val="11"/>
        <color rgb="FF000000"/>
        <rFont val="Gill Sans MT"/>
        <family val="2"/>
      </rPr>
      <t>soluciones en infraestructuras TIC o del área de las telecomunicaciones.</t>
    </r>
  </si>
  <si>
    <t>Dominar los elementos de seguridad de la información, redes de comunicaciones y sistemas de cómputo que hacen parte de infraestructuras TIC para diseñar, implementar o administrar infraestructuras y servicios de comunicaciones en sitio o en nube alineado con prácticas basadas en estándares del sector y la normatividad vigente, teniendo en cuenta las condiciones, restricciones y requerimientos técnicos del entorno.</t>
  </si>
  <si>
    <t xml:space="preserve"> los elementos de seguridad de la información, redes de comunicaciones y sistemas de cómputo que hacen parte de infraestructuras TIC</t>
  </si>
  <si>
    <r>
      <rPr>
        <b/>
        <sz val="11"/>
        <color rgb="FF000000"/>
        <rFont val="Gill Sans MT"/>
        <family val="2"/>
      </rPr>
      <t>Identifica</t>
    </r>
    <r>
      <rPr>
        <sz val="11"/>
        <color rgb="FF000000"/>
        <rFont val="Gill Sans MT"/>
        <family val="2"/>
      </rPr>
      <t xml:space="preserve"> los elementos de teoría de circuitos, de transmisión de información, de seguridad de la información, de redes de comunicaciones, de sistemas de cómputo, de estandares y marcos de referencia que hacen parte de la gestión de proyectos como del desarrollo de actividades relacionadas a las infraestructuras de TIC, </t>
    </r>
    <r>
      <rPr>
        <b/>
        <sz val="11"/>
        <color rgb="FF000000"/>
        <rFont val="Gill Sans MT"/>
        <family val="2"/>
      </rPr>
      <t>para evaluar</t>
    </r>
    <r>
      <rPr>
        <sz val="11"/>
        <color rgb="FF000000"/>
        <rFont val="Gill Sans MT"/>
        <family val="2"/>
      </rPr>
      <t xml:space="preserve"> soluciones a problemáticas del sector, desde un abordaje teórico-práctico, a través de herramientas de simulación, análisis de casos prácticos y uso de equipos de laboratorio.</t>
    </r>
  </si>
  <si>
    <t xml:space="preserve"> para diseñar, implementar o administrar infraestructuras y servicios de comunicaciones en sitio o en nube</t>
  </si>
  <si>
    <t>Conocer los estándares y marcos de referencia asociados tanto a la gestión de proyectos como al desarrollo de actividades relacionadas a las tecnologías de la información para diseñar, implementar o administrar soluciones del área de las telecomunicaciones, la seguridad de la información y la infraestructura TIC manteniendo una postura socialmente responsable, autónoma, teniendo en cuenta las condiciones, restricciones y requerimientos técnicos del entorno.</t>
  </si>
  <si>
    <t xml:space="preserve"> los estándares y marcos de referencia asociados tanto a la gestión de proyectos como al desarrollo de actividades relacionadas a las tecnologías de la información</t>
  </si>
  <si>
    <t xml:space="preserve"> para diseñar, implementar o administrar soluciones del área de las telecomunicaciones, la seguridad de la información y la infraestructura TIC</t>
  </si>
  <si>
    <t xml:space="preserve"> manteniendo una postura socialmente responsable, autónoma, teniendo en cuenta las condiciones, restricciones y requerimientos técnicos del entorno.</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</si>
  <si>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</si>
  <si>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</si>
  <si>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</si>
  <si>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</si>
  <si>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</si>
  <si>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</si>
  <si>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</si>
  <si>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</si>
  <si>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</si>
  <si>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</si>
  <si>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</si>
  <si>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</si>
  <si>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Centro de Liderazgo 360</t>
  </si>
  <si>
    <t>El programa se articula con el Centro de Liderazgo 360 para recibir charlas o participar en eventos de autoconomiento en habilidades poderosas de liderazgo personal, social y organizacional,  a través de los cuales se invita a pensar, actuar y reaccionar diferente en los escenarios de desempeño con el acompañamiento de mentores y coaches.</t>
  </si>
  <si>
    <t>Número de veces que se realiza la estrategia por periodo académico.</t>
  </si>
  <si>
    <t>Formar: para fortalecer habilidades personales, sociales y organizacionales que potencien el liderazgo ético y transformador en contextos públicos.
Ayudar a decidir: al orientar a los estudiantes en el reconocimiento de su perfil de liderazgo y su proyección en escenarios de toma de decisiones.</t>
  </si>
  <si>
    <t>Informe o Reporte.</t>
  </si>
  <si>
    <t>Número de estudiantes que participan en la estrategia por periodo académico.</t>
  </si>
  <si>
    <t>Listados de participación.</t>
  </si>
  <si>
    <t>Valoración del nivel de aporte de la estrategia a los resultados de aprendizaje del programa.</t>
  </si>
  <si>
    <t>Encuesta de valoración.</t>
  </si>
  <si>
    <t>Participación en eventos académicos (Cátedra de Actualización en Administración Pública)</t>
  </si>
  <si>
    <t>La Cátedra de Actualización en Administración Pública es un espacio académico en el que diferentes expertos comparten conocimientos especializados sobre temas coyunturales del orden nacional o internacional de la gestión pública.</t>
  </si>
  <si>
    <t>Formar: para ampliar los saberes en administración pública mediante el análisis de casos reales y discusiones expertas sobre coyunturas nacionales e internacionales.
Informar: sobre tendencias, reformas o situaciones de impacto en el sector público que puedan incidir en la formación profesional del estudiante.</t>
  </si>
  <si>
    <t>Número de productos académicos derivados (ensayos, reflexiones, etc.).</t>
  </si>
  <si>
    <t>Programa radial (Esfera Pública)</t>
  </si>
  <si>
    <t>Estrategia divulgativa para el fortalecimiento del conocimiento a través de poliradio y plataformas digitales. En este espacio radial  se presentan y debaten temas coyunturales de la Administración Pública</t>
  </si>
  <si>
    <t>Número de estudiantes que participan en la estrategia.</t>
  </si>
  <si>
    <t>Formar: para desarrollar pensamiento crítico y habilidades de análisis a través del debate y la reflexión sobre temas actuales de la administración pública.
Prevenir: la desvinculación con el entorno sociopolítico mediante la exposición continua a problemáticas reales desde una mirada académica y comunicativa.</t>
  </si>
  <si>
    <t>Número de temas coyunturales abordados alineados con la administración pública.</t>
  </si>
  <si>
    <t>Experiencias de Internacionalización (Movilidad, Participación en redes , Clases espejo, English Week, Masterclass, entre otros)</t>
  </si>
  <si>
    <t>Las estrategias pedagógicas del proceso enseñanza - aprendizaje de internacionalización se llevan a cabo mediante actividades como la movilidad internacional que permite la observación in situ de diferentes contextos, otras actividades como clases espejo, masterclass y participación en redes propicia el intercambio con estudiantes y profesores de otros lugares dentro y fuera del pais.</t>
  </si>
  <si>
    <t>Formar: para potenciar la comprensión de dinámicas globales de gestión pública y fomentar competencias interculturales.
Ayudar a decidir: al ofrecer referentes internacionales que orientan la elección de rutas académicas, de práctica o investigación.</t>
  </si>
  <si>
    <t>Número de actividades de internacionalización realizadas por semestre.</t>
  </si>
  <si>
    <t>Número de países o instituciones vinculadas.</t>
  </si>
  <si>
    <t>Prueba estandarizada (simulacro pruebas saber pro)</t>
  </si>
  <si>
    <t>El proyecto ser pro es un proyecto en el cual la escuela de administracion y competitividad realiza actividades en cuatro frentes. El primero es la capacitacion de docentes en la elaboracion de preguntas por competencias, el segundo es la elaboracion de simulacros de presentacion de pruebas saber pro, en especial en el componente especifico de nucleo básico del conocimiento, el tercero son los talleres de refuerzo para que los estudiantes mejoren sus competencias en la presentacion de las pruebas de estado y por ultimo, en el cuarto frente se encuentra el desarrollo de concursos institucionales e interinstitucionales sustentados en la metodologia de preguntas saber pro.</t>
  </si>
  <si>
    <t>Formar: para reforzar las competencias evaluadas en la prueba Saber Pro mediante actividades estructuradas y simulaciones académicas.
Prevenir: dificultades de desempeño académico mediante el diagnóstico temprano de debilidades y el acompañamiento formativo en su fortalecimiento.</t>
  </si>
  <si>
    <t>Variación en los puntajes antes/después de los talleres de refuerzo./ Porcentaje de estudiantes que alcanzan o superan los niveles de desempeño esperados.</t>
  </si>
  <si>
    <t>Semilleros de investigación</t>
  </si>
  <si>
    <t>Estrategia que busca integrar saberes, promover el pensamiento crítico y vincular a los estudiantes con problemas reales del contexto, favoreciendo su participación en proyectos, eventos académicos y prácticas investigativas básicas.</t>
  </si>
  <si>
    <t>Formar: para fomentar el pensamiento crítico, el rigor investigativo y la producción de conocimiento desde la gestión pública.
Ayudar a decidir: al permitir que los estudiantes exploren áreas temáticas y metodológicas que pueden orientar su trabajo de grado o futuro académico.
Formar: para consolidar habilidades de divulgación, síntesis y reflexión crítica en escenarios académicos.
Informar: sobre tendencias investigativas y problemáticas públicas que se están abordando desde la academia y la sociedad.</t>
  </si>
  <si>
    <t>Listas de participación.</t>
  </si>
  <si>
    <t>Número de proyectos de investigación desarrollados o en curso./Participación en eventos científicos o publicaciones.</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</si>
  <si>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</si>
  <si>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</si>
  <si>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</si>
  <si>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</si>
  <si>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</si>
  <si>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</si>
  <si>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</si>
  <si>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</si>
  <si>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</si>
  <si>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</si>
  <si>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</si>
  <si>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</si>
  <si>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</si>
  <si>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</si>
  <si>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</si>
  <si>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</si>
  <si>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</si>
  <si>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asignatura o módulo</t>
  </si>
  <si>
    <t>Indicadores de logro asignatura o módulo</t>
  </si>
  <si>
    <t>Tipología</t>
  </si>
  <si>
    <t>B.Institucional</t>
  </si>
  <si>
    <t>B.Disciplinar</t>
  </si>
  <si>
    <t>B.Electivo</t>
  </si>
  <si>
    <t>Créditos</t>
  </si>
  <si>
    <t>Número de horas trabajo directo</t>
  </si>
  <si>
    <t>Número de horas trabajo independiente</t>
  </si>
  <si>
    <t>Total de horas</t>
  </si>
  <si>
    <t>Núcleos temáticos</t>
  </si>
  <si>
    <t>Actividades de aprendizaje</t>
  </si>
  <si>
    <t>Actividades de evaluación</t>
  </si>
  <si>
    <t>Acciones de retroalimentación</t>
  </si>
  <si>
    <t>Razonamiento Cuantitativo</t>
  </si>
  <si>
    <t>Analiza datos numéricos presentados en tablas, gráficos o textos para proponer soluciones informadas a situaciones problema del contexto.</t>
  </si>
  <si>
    <t>TP</t>
  </si>
  <si>
    <t>X</t>
  </si>
  <si>
    <t>1. Pensamiento Numérico. Interpretación y Representación de Información Numérica
2. Pensamiento Algebraico. Desde la Representación de Regularidades y Patrones
3. Pensamiento Algebraico. Desde las Relaciones de Comparación entre Cantidades o Expresiones Numéricas
4. Pensamiento Geométrico. Propiedades, Formas y Relaciones Espaciales</t>
  </si>
  <si>
    <t>Trabajo directo:
Ecuentros sincrónicos
Mensajería interna
Anuncios
Trabajo independiente:
Lecturas fundamentales y complementarias
Material de trabajo
Participación en foros</t>
  </si>
  <si>
    <t xml:space="preserve">Evaluación diagnóstica (semana 1- Cuestionario inicial de, mínimo, cinco preguntas, que recopila información sobre el conocimiento previo o las habilidades del estudiante). 
Actividad formativa (semana 2 - Foro individual o grupal, creado para que el estudiante participe activamente en la construcción de su conocimiento y desarrollo de habilidades. Varía entre una actividad entregable y la participación en un foro). 
Actividad de entrega 1 (semana 4 - Actividad individual o grupal, diseñada para evaluar de manera integral el nivel de conocimiento, comprensión y el desempeño de los indicadores de logro. Varía entre entregas independientes o secuenciales). 
Actividad formativa (semana 5 - Foro individual o grupal, creado para que el estudiante participe activamente en la construcción de su conocimiento y desarrollo de habilidades. Varía entre una actividad entregable y la participación en un foro). 
Actividad evaluativa (semana 6 - Cuestionario de mínimo cinco preguntas, que da cuenta del desarrollo total o parcial de los indicadores de logro y el desarrollo de los temas vistos hasta la unidad 3). 
Actividad de entrega 2 (semana 7 - Actividad individual o grupal, diseñada para evaluar de manera integral el nivel de conocimiento, comprensión y el desempeño de los indicadores de logro. Varía entre entregas independientes o secuenciales). 
Autoevaluación (semana 8 - Cuestionario final de, mínimo, cinco preguntas, en el cual el estudiante reflexiona sobre su propio desempeño, habilidades y resultados en un contexto específico). </t>
  </si>
  <si>
    <t>Las acciones de retroalimentación giran en torno a las siguientes.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t>
  </si>
  <si>
    <t>Teoría de las Organizaciones</t>
  </si>
  <si>
    <t>Reconoce la evolución de las organizaciones y las escuelas del pensamiento administrativo, para identificar las transformaciones que han dado lugar a las tendencias contemporáneas en la administración de negocios.</t>
  </si>
  <si>
    <t>T</t>
  </si>
  <si>
    <t>1. Evolución de las organizaciones Parte I 
2. Evolución de las organizaciones Parte II 
3. Escuelas del Pensamiento Estratégico de la Administración 
4. Tendencias contemporáneas de la administración</t>
  </si>
  <si>
    <t>Entrega proyecto 1 (semana 3 - Entrega previa del proyecto de carácter grupal, que está referenciada en las actividades evaluativas). 
Entrega proyecto 2 (semana 5 - Entrega previa del proyecto de carácter grupal, que está referenciada en las actividades evaluativas). 
Entrega final (semana 7 - Entrega del proyecto de carácter grupal, que está referenciada en las actividades evaluativas). 
Sustentación (semana 8 - Presentación del proyecto).</t>
  </si>
  <si>
    <t>I</t>
  </si>
  <si>
    <t>Contabilidad General</t>
  </si>
  <si>
    <t>Elabora el registro de las operaciones, conforme a la normatividad vigente y la técnica contable a partir del objeto social de una organización, teniendo en cuenta el marco conceptual de las normas internacionales de información financiera para elaborar los estados financieros.</t>
  </si>
  <si>
    <t>1. Fundamentación teórica y técnica contable
2. Elementos de los Estados Financieros y sus características
3. Transacciones comerciales y operaciones con cuentas de resultado
4. Estructura de los Estados Financieros</t>
  </si>
  <si>
    <t xml:space="preserve">Actividad de puntos evaluables (semana 2 – Cuestionario de 5 preguntas). 
Entrega previa 1 (semana 3 - Laboratorio, taller, ejercicios, resolución de casos o de problemas, desarrollo de procesos o ejecución de propuestas. Entrega de forma individual o grupal, según indicaciones del profesor). 
Parcial (semana 4 - Cuestionarios de entre 15 y 20 preguntas). 
Entrega previa 2 (semana 5 - Laboratorio, taller, ejercicios, resolución de casos o de problemas, desarrollo de procesos o ejecución de propuestas. Entrega de forma individual o grupal, según indicaciones dadas por el profesor). 
Entrega final (semana 7 - Laboratorio, taller, ejercicios, resolución de casos o de problemas, desarrollo de procesos o ejecución de propuestas. Entrega de forma individual o grupal, según indicaciones dadas por el profesor). 
Evaluación final (semana 8 - Cuestionario de entre 15 y 20 preguntas). </t>
  </si>
  <si>
    <t>Cultura, Política y Sociedad</t>
  </si>
  <si>
    <t>Reconoce las problemáticas, escenarios y mecanismos de participación ciudadana en el marco de sociedades de información y digitales para abordarlas desde iniciativas investigativas. 
Identifica los objetivos de desarrollo sostenible para la comprensión de problemáticas sociales, ambientales y culturales. 
Reflexiona los impactos de avances tecnológicos en su contexto profesional y ciudadano para el análisis de contextos situados.</t>
  </si>
  <si>
    <t>1. ODS, Problemas Locales: una mirada a Colombia, territorio en búsqueda de la consolidación de la Paz.   
2. Ciudadanía y su Lugar: relaciones, dinámicas, construcción, expresión y mecanismos de participación.  
3. Ecosistemas Digitales: relaciones, dinámicas, construcción, expresión e impactos en el contexto profesional.  
4. Narrativas y Contenidos Digitales: análisis de contextos situados.</t>
  </si>
  <si>
    <t>Pensamiento Administrativo Público</t>
  </si>
  <si>
    <t>Reconoce la evolución del pensamiento administrativo público y sus relaciones con las ciencias sociales, para analizar los principios que orientan el ejercicio de la función pública en distintos contextos.</t>
  </si>
  <si>
    <t xml:space="preserve">1. Conceptos básicos y relación entre la Administración Pública y otras disciplinas sociales  
2. La Administración Pública desde la antigüedad hasta el Estado absolutista 
3. El Pensamiento administrativo público en el Estado liberal de Derecho en Francia y Colombia en el Siglo Xix 
4. El Pensamiento administrativo público en Europa y Estados Unidos en el Siglo XIX </t>
  </si>
  <si>
    <t>Quiz (semana 2 - Cuestionario de 5 preguntas). 
Entrega inicial (semana 3 – Ensayo, artículo, cuadro comparativo, revisión documental, entre otros). 
Foro analítico o argumentativo (semanas 5 y 6 – Participación en el espacio correspondiente del aula). 
Entrega final (semana 7 – Ensayo, artículo, cuadro comparativo, revisión documental, entre otros). 
Evaluación final (semana 8 – Cuestionario de entre 15 y 20 preguntas).</t>
  </si>
  <si>
    <t>Razonamiento Variacional</t>
  </si>
  <si>
    <t xml:space="preserve">Aplica el pensamiento variacional y acumulativo para interpretar, modelar y resolver problemas de cambio y acumulación, relacionados con su contexto profesional y personal, mediante el uso reflexivo de las propiedades y aplicaciones de las derivadas e integrales. </t>
  </si>
  <si>
    <t>1. Fundamentos del Pensamiento Variacional 
2. Análisis del Cambio y Dinámica 
3. Acumulación y Modelado Integral 
4. Aplicaciones Avanzadas y Modelización</t>
  </si>
  <si>
    <t>Proceso Administrativo</t>
  </si>
  <si>
    <t>Reconoce las etapas del proceso administrativo (planeación, organización, dirección y control) para aplicarlas en situaciones organizacionales.</t>
  </si>
  <si>
    <t>1. Planeación
2. Organización
3. Dirección:  Integración de Personal - Motivación – liderazgo y comunicación
4. Control</t>
  </si>
  <si>
    <t>Teorías y Enfoques del Desarrollo</t>
  </si>
  <si>
    <t>Reconoce los los principales enfoques del desarrollo económico, social y ambiental, para analizar problemáticas contemporáneas sobre crecimiento y bienestar.</t>
  </si>
  <si>
    <t xml:space="preserve">1. Discusiones contemporáneas del desarrollo 
2. El desarrollo económico 
3. Desarrollo social 
4. Desarrollo ambiental </t>
  </si>
  <si>
    <t>Macroeconomía</t>
  </si>
  <si>
    <t>Interpreta las variables macroeconómicas y su impacto en el equilibrio, para desarrollar análisis del comportamiento del mercado de bienes y servicios y de las políticas fiscal, monetaria y cambiaria.</t>
  </si>
  <si>
    <t>1. Generalidades de la macroeconomía, funcionamiento del sistema económico y de las cuentas nacionales
2. Mercado de bienes y servicios y estabilidad macroeconómica
3. Modelo IS-LM
4. La balanza de pagos y el equilibrio general</t>
  </si>
  <si>
    <t>Análisis y Visualización de Datos</t>
  </si>
  <si>
    <t>Identifica conceptos básicos relacionados con el análisis y visualización de datos con el propósito de comunicar información relevante de manera efectiva en diversos contextos. 
Utiliza herramientas para realizar análisis y transformación de datos que garanticen una visualización sencilla y eficiente. 
Utiliza asistentes virtuales para realizar tareas prácticas y resolver problemas en su campo de estudio. 
Evalúa la presencia de sesgos y cuestiones éticas en el análisis y tratamiento de dato para garantizar que su uso esté desprovisto de efectos negativos en el entorno.</t>
  </si>
  <si>
    <t xml:space="preserve">1. Contextualización 
2. Análisis de Datos y Visualización 
3. Usos de la Inteligencia Artificial 
4. Casos de Estudio </t>
  </si>
  <si>
    <t>Organización del Estado</t>
  </si>
  <si>
    <t>Reconoce la estructura del Estado colombiano, para identificar el funcionamiento básico de sus ramas y órganos en distintos contextos ciudadanos.</t>
  </si>
  <si>
    <t xml:space="preserve">1. Aproximación al Concepto de Estado y sus elementos 
2. Tipos de Estado 
3.Organización del Estado Colombiano. Rama Legislativa y Rama Ejecutiva del Poder Público 
4. Organización del Estado Colombiano.  Rama Judicial y Otros Órganos Autónomos e Independientes </t>
  </si>
  <si>
    <t>Análisis Descriptivo de Datos</t>
  </si>
  <si>
    <t>Aplica herramientas tecnológicas y modelos probabilístico, para representar procesos, aleatorios y determinar valores de probabilidad en diferentes escenarios.
Aplica conceptos de probabilidad elemental y distribuciones como la normal y la binomial, para sustentar decisiones en diversos contextos.</t>
  </si>
  <si>
    <t>1. Estadística descriptiva
2. Teoría de la probabilidad 
3. Variables aleatorias y distribuciones de probabilidad
4. Distribuciones de probabilidad discretas y continuas</t>
  </si>
  <si>
    <t>Gestión Estratégica</t>
  </si>
  <si>
    <t>Reconoce los conceptos asociados a la formulación de objetivos, indicadores, metas y planes de acción para formular estrategias en contextos relacionados con estructuras organizacionales y procesos internos de las empresas.</t>
  </si>
  <si>
    <t>1. Cuadro De Mando Integral
2. Medición De La Gestión
3. Control Y Seguimiento
4. Gestión De Riesgos</t>
  </si>
  <si>
    <t>Oportunidades para Emprender</t>
  </si>
  <si>
    <t>Propone soluciones a los problemas, frustraciones y expectativas de un grupo de personas en su comunidad para idear productos o servicios con valor agregado dentro de su campo de acción profesional.
Diseña una idea de negocio que represente una oportunidad de mercado teniendo en cuenta sus habilidades para emprender y el análisis del entorno.</t>
  </si>
  <si>
    <t>1. Empatía y Comprensión del Usuario   
2. Co-creación con los Usuarios   
3. Enfoque en la Experiencia del Usuario   
4. Diseño del Modelo de Negocio</t>
  </si>
  <si>
    <t>Finanzas Públicas</t>
  </si>
  <si>
    <t>Reconoce los componentes de las finanzas públicas para identificar su presencia y función en casos de gestión estatal en los diferentes niveles de gobierno.</t>
  </si>
  <si>
    <t xml:space="preserve">1. Introducción al estudio de las finanzas públicas 
2. Descentralización y federalismo fiscal 
3. Ingresos Públicos
4. Gasto público </t>
  </si>
  <si>
    <t>Pensamiento Crítico y Ciudadanías Activas</t>
  </si>
  <si>
    <t xml:space="preserve">Identifica los Derechos y Deberes consignados en la Constitución 1991 en relación con la ciudadanía de manera local y global para la comprensión de inmersiones sociales éticas. 
Comprende los impactos de la investigación- acción sin daño en los espacios académicos y los territorios para el abordaje desde proyectos de investigación formativa. 
Elabora el diseño de planes detallados desde abordajes investigativos e inmersiones creativas para divulgar hallazgos en el ámbito académico. </t>
  </si>
  <si>
    <t>1. Pacto social colombiano y marco de referencias de DDHH internacionales
2. Planes detallados e inmersiones sociales desde procesos participativos, acciones sociales e iniciativas ciudadanas como respuesta a problemas glocales
3. Perspectivas para la participación ciudadana en los territorios
4. Los avances tecnológicos y su impacto en lo social, cultural y ambiental en el marco de las sociedades de información</t>
  </si>
  <si>
    <t>Habilidades de Negociación y Manejo de Conflictos</t>
  </si>
  <si>
    <t>Analiza las nociones de conflicto, negociación, así como los diferentes mecanismos que componen la resolución de conflictos para establecer la mejor estrategia de solución desde la perspectiva jurídica y socio humanística.</t>
  </si>
  <si>
    <t xml:space="preserve">1. El conflicto y las controversias jurídicas.  
2. Técnicas y habilidades de negociación.  
3. Mecanismos alternativos de solución de conflictos autocompositivos.  
4. Mecanismos alternativos de solución de conflictos hetero compositivos. </t>
  </si>
  <si>
    <t>Desarrollo Sostenible</t>
  </si>
  <si>
    <t>Identifica ejemplos de problemas ambientales, sociales y económicos en la sociedad contemporánea para analizar sus causas y efectos desde el enfoque del desarrollo sostenible a escala local y global. 
Compara enfoques y aproximaciones tanto privados como público/colectivos desde la sostenibilidad y otras visiones alternativas para proponer ideas de solución que respondan a los desafíos contemporáneos.</t>
  </si>
  <si>
    <t> </t>
  </si>
  <si>
    <t xml:space="preserve">1. Análisis de la Era del Antropoceno 
2. Otras Alternativas al Desarrollo Sostenible 
3. Ciudadanía y Políticas Públicas para el Desarrollo Sostenible 
4. El Aporte de Negocios para la Búsqueda del Desarrollo Sostenible </t>
  </si>
  <si>
    <t>Administrativo General</t>
  </si>
  <si>
    <t>Explica la función administrativa y la función pública, en la organización del estado desde su fundamentación normativa, para diferenciar los procedimientos contenciosos administrativos, así como los conceptos básicos de la contratación estatal a partir del estatuto de la contratación pública.</t>
  </si>
  <si>
    <t xml:space="preserve">1. Fundamentos constitucionales y administrativos del derecho administrativo. 
2. Función administrativa y función pública, su noción y fundamentación normativa.  
3. Teoría del acto administrativo, y actuaciones administrativas. 
4. Procedimientos contenciosos administrativos y conceptos básicos de la contratación estatal. </t>
  </si>
  <si>
    <t>Estadística Predictiva</t>
  </si>
  <si>
    <t>Aplica conceptos de distribuciones muestrales, intervalos de confianza, pruebas de hipótesis y modelos de regresión lineal para estimar parámetros poblacionales orientados a la predicción del comportamiento de una variable en diferentes escenarios.</t>
  </si>
  <si>
    <t xml:space="preserve">1. Muestreo y distribuciones muestrales
2. Teoría de la estimación. Estimación de parámetros
3. Pruebas de hipótesis
4. Regresión lineal simple </t>
  </si>
  <si>
    <t>Taller Financiero Aplicado a BI</t>
  </si>
  <si>
    <t>Utiliza la minería de datos, visualización de datos y tableros de control para realizar reportes financieros que permiten orientar la tomar decisiones y eliminar las ineficiencias basadas en una visión integral en los datos.</t>
  </si>
  <si>
    <t>1. Principales Herramientas de Matemáticas Financieras 
2. Diagnóstico Financiero y análisis de la información 
3. Introducción a herramientas BI 
4. Análisis de información financiera con herramientas BI</t>
  </si>
  <si>
    <t>Contratación Estatal y Gestión Contractual del Estado</t>
  </si>
  <si>
    <t>Identifica los elementos distintivos de la contratación estatal y el contrato como actuación administrativa especial y herramienta para verificar el cumplimiento de los fines del Estado mediante la gestión de recursos públicos.
Reconoce cada una de las etapas en las que se desarrolla la gestión de la contratación estatal a partir de los marcos regulatorios pertinentes, para determinar la legalidad de las actuaciones y actos desplegados en cada una de dichas etapas.</t>
  </si>
  <si>
    <t xml:space="preserve">1. Fundamentos y marco jurídico de la contratación estatal
2. El Contrato Estatal
3. Gestión precontractual y contractual del Estado
4. Gestión pos contractual del Estado
</t>
  </si>
  <si>
    <t xml:space="preserve">Evaluación diagnóstica (semana 1- Cuestionario inicial de, mínimo, cinco preguntas, que recopila información sobre el conocimiento previo y las habilidades del estudiante). 
Actividad formativa (semana 2 - Foro individual o grupal, creado para que el estudiante participe activamente en la construcción de su conocimiento y desarrollo de habilidades. Varía entre una actividad entregable y la participación en un foro). 
Actividades de entrega (semana 4 - Actividad individual o grupal, diseñada para evaluar de manera integral el nivel de conocimiento, comprensión y el desempeño de los indicadores de logro. Varía entre entregas independientes o secuenciales. Al ser un módulo teórico, ésta es la única actividad de entrega). 
Actividad formativa (semana 5 - Foro individual o grupal, creado para que el estudiante participe activamente en la construcción de su conocimiento y desarrollo de habilidades. Varía entre una actividad entregable y la participación en un foro). 
Actividad evaluativa (semana 6 - Cuestionario de, mínimo, cinco preguntas, que da cuenta del desarrollo total o parcial de los indicadores de logro y el desarrollo de los temas vistos hasta la unidad 3). 
Examen final (semana 8 - Cuestionario de, mínimo, quince preguntas, que da cuenta del desarrollo total o parcial de los indicadores de logro y el desarrollo de los temas vistos en el módulo). 
Autoevaluación (semana 8 - Cuestionario final de, mínimo, cinco preguntas, en el cual el estudiante reflexiona sobre su propio desempeño, habilidades y resultados en un contexto específico). </t>
  </si>
  <si>
    <t>Relaciones y Cooperacion Internacional</t>
  </si>
  <si>
    <t>Aplica el análisis de las dinámicas de las relaciones internacionales para formular propuestas o estrategias orientadas a la cooperación internacional en el ámbito de lo público.</t>
  </si>
  <si>
    <t>1. Introducción a las Relaciones Internacionales
2. Teorías de las Relaciones Internacionales
3. Fundamentos y dinámicas de la cooperación internacional
4. Cooperación internacional en Colombia: estrategias y gestión</t>
  </si>
  <si>
    <t>Evaluación diagnóstica (semana 1- Cuestionario inicial de, mínimo, cinco preguntas, que recopila información sobre el conocimiento previo y las habilidades del estudiante.)
Actividad formativa (semana 2 - Foro individual o grupal, creado para que el estudiante participe activamente en la construcción de su conocimiento y desarrollo de habilidades. Varía entre una actividad entregable y la participación en un foro.)
Actividades de entrega I (semana 4 - Actividad individual o grupal, diseñada para evaluar de manera integral el nivel de conocimiento, comprensión y el desempeño de los indicadores de logro. Varía entre entregas independientes o secuenciales. Al ser un módulo teórico, ésta es la única actividad de entrega.)
Actividad formativa (semana 5 - Foro individual o grupal, creado para que el estudiante participe activamente en la construcción de su conocimiento y desarrollo de habilidades. Varía entre una actividad entregable y la participación en un foro.)
Actividades de entrega 2 (semana 6 - Actividad individual o grupal, diseñada para evaluar de manera integral el nivel de conocimiento, comprensión y el desempeño de los indicadores de logro. Varía entre entregas independientes o secuenciales. Al ser un módulo teórico, ésta es la única actividad de entrega.)
Autoevaluación (semana 8 - Cuestionario final de, mínimo, cinco preguntas, en el cual el estudiante reflexiona sobre su propio desempeño, habilidades y resultados en un contexto específico.)</t>
  </si>
  <si>
    <t>Políticas Públicas</t>
  </si>
  <si>
    <t>Reconoce el ciclo de las políticas públicas a partir de sus actores, procesos de decisión, diseño, implementación y evaluación, para analizar problemáticas públicas.</t>
  </si>
  <si>
    <t>1. Introducción al estudio de las políticas públicas
2. Actores y agendas en las políticas públicas
3. La decisión pública y el diseño de políticas
4. Implementación y evaluación en el ciclo de las políticas públicas</t>
  </si>
  <si>
    <t>Las estrategias pueden variar entre estas u otras:
Trabajo directo
Clase magistral activa/Análisis o Estudio de casos/Resolución de problemas/Talleres prácticos
Trabajo independiente
Lecturas relacionadas o de materiales complementarios/Resolución de problemas/Ejercicios aplicados/Desarrollo de proyectos/Talleres grupales o individuales/Análisis o Estudio de casos/Elaboración de informes o documentos técnicos</t>
  </si>
  <si>
    <t>Política Economónica y Social</t>
  </si>
  <si>
    <t>Identifica los elementos de la política económica y social para analizarlos en casos de intervención estatal.</t>
  </si>
  <si>
    <t>1. Política económica parte I 
2. Política económica parte II 
3. Política social parte I
4. Política social parte II</t>
  </si>
  <si>
    <t>Desarrollo Organizacional Público</t>
  </si>
  <si>
    <t>Analiza los procesos de reforma y modernización del Estado, aplicando metodologías básicas de diagnóstico organizacional, para elaborar propuestas de rediseño organizacional en entidades públicas.</t>
  </si>
  <si>
    <t xml:space="preserve">1. La reforma y modernización del Estado: conceptos, principios y procesos en América Latina 
2. La reforma y modernización del Estado en Colombia 
3.Procesos y metodologías para el diagnóstico organizacional 
4. La elaboración de propuestas de rediseño organizacional </t>
  </si>
  <si>
    <t>Empleo Público</t>
  </si>
  <si>
    <t>Identifica los elementos del empleo público —organización administrativa, carrera, régimen disciplinario y delitos contra la administración pública— para analizar casos diferenciando tipos de vinculación, faltas disciplinarias y conductas punibles en el sector público.</t>
  </si>
  <si>
    <t xml:space="preserve">1. La organización de la administración pública en Colombia 
2. Sistemas de carrera administrativa 
3. Régimen disciplinario único (ley 1952 de 2019) 
4. Delitos contra la administración pública </t>
  </si>
  <si>
    <t>Articulaciones Público-Privadas</t>
  </si>
  <si>
    <t>Analiza las articulaciones público-privadas, incluyendo APP y modalidades de contratación estatal, para aplicarlas en casos de cooperación entre el Estado y el sector privado a nivel nacional e internacional.</t>
  </si>
  <si>
    <t xml:space="preserve">1. Asociaciones Público-privadas – APP 
2. Las APP y la contratación estatal 
3.Clases y modalidades en la contratación estatal 
4. Contratación pública internacional </t>
  </si>
  <si>
    <t>Presupuesto Público</t>
  </si>
  <si>
    <t>Aplica los elementos del sistema y ciclo presupuestal colombiano para elaborar presupuestos en contextos de gestión pública.</t>
  </si>
  <si>
    <t xml:space="preserve">1. Introducción
2. Aspectos generales de presupuesto público en Colombia 
3. Sistema Presupuestal  colombiano 
4. Ciclo presupuestal en Colombia  </t>
  </si>
  <si>
    <t>Proyectos de Inversión Pública</t>
  </si>
  <si>
    <t>Aplica los elementos de formulación, evaluación social y seguimiento para estructurar proyectos de inversión pública orientados a necesidades del ámbito nacional y territorial.</t>
  </si>
  <si>
    <t xml:space="preserve">1. Introducción al estudio de los proyectos de desarrollo 
2. Formulación de proyectos 
3. Evaluación social y programación de proyectos 
4. Seguimiento del proyecto </t>
  </si>
  <si>
    <t>Marketing Político</t>
  </si>
  <si>
    <t>Reconoce las estrategias y técnicas de campaña política para identificar su efectividad en diferentes contextos electorales y sociales.
Aplica herramientas de marketing político digital para desarrollar propuestas de comunicación que influyan en la opinión pública, considerando la segmentación y el uso de plataformas digitales.</t>
  </si>
  <si>
    <t>1. Fundamentos del marketing político
2. Estrategias y técnicas de campaña
3. Marketing político digital
4. Comunicación, difusión y opinión pública</t>
  </si>
  <si>
    <t>Administración Local y Desarrollo Municipal</t>
  </si>
  <si>
    <t>Analiza la organización territorial, las funciones y los recursos de las entidades territoriales, aplicando herramientas de gestión local para proponer alternativas de desarrollo municipal.</t>
  </si>
  <si>
    <t>1. Organización territorial del Estado y conceptos clave de administración pública 
2. Funciones de las entidades territoriales 
3. Herramientas de la gestión territorial y autoridades territoriales 
4. Recursos de las entidades territoriales y esquemas de asociatividad territorial</t>
  </si>
  <si>
    <t>Modelos de Gestión y Control Interno</t>
  </si>
  <si>
    <t>Analiza los modelos de gestión y control interno —Sistema de Gestión de la Calidad, Desarrollo Administrativo y MECI— para aplicarlos en el diagnóstico de una entidad pública simulada o un caso, según los requerimientos que se tengan.</t>
  </si>
  <si>
    <t xml:space="preserve">1. Sistema de Gestión de la Calidad 
2. Sistema de Desarrollo Administrativo 
3. Componentes estructurales del MECI   
4. Requerimientos para la adecuada implementación del MECI en una entidad pública </t>
  </si>
  <si>
    <t>Electiva I</t>
  </si>
  <si>
    <t>Servicios Públicos</t>
  </si>
  <si>
    <t>Analiza los fundamentos normativos, administrativos, de calidad y de gestión financiera y ambiental de los servicios públicos, para caracterizar su organización y operación en un contexto determinado.</t>
  </si>
  <si>
    <t xml:space="preserve">1. Fundamentación teórica, conceptual y normativa de los servicios públicos 
2. Gestión administrativa de los servicios públicos 
3. Calidad de los servicios públicos 
4. Gestión financiera y medio ambiental de los servicios públicos </t>
  </si>
  <si>
    <t>Contabilidad Pública</t>
  </si>
  <si>
    <t>Aplica el Régimen de Contabilidad Pública para elaborar estados contables en contextos del sector público.</t>
  </si>
  <si>
    <t>1. Marco normativo de la contabilidad pública
2. Registro de hechos económicos públicos
3. Estados contables del sector público
4. Análisis de información contable pública</t>
  </si>
  <si>
    <t>Actividad formativa (semana 2 - Foro individual o grupal, creado para que el estudiante participe activamente en la construcción de su conocimiento y desarrollo de habilidades. Varía entre una actividad entregable y la participación en un foro.)
Actividades de entrega I (semana 4 - Actividad individual o grupal, diseñada para evaluar de manera integral el nivel de conocimiento, comprensión y el desempeño de los indicadores de logro. Varía entre entregas independientes o secuenciales. Al ser un módulo teórico, ésta es la única actividad de entrega.)
Actividad formativa (semana 5 - Foro individual o grupal, creado para que el estudiante participe activamente en la construcción de su conocimiento y desarrollo de habilidades. Varía entre una actividad entregable y la participación en un foro.)
Actividades de entrega 2 (semana 6 - Actividad individual o grupal, diseñada para evaluar de manera integral el nivel de conocimiento, comprensión y el desempeño de los indicadores de logro. Varía entre entregas independientes o secuenciales. Al ser un módulo teórico, ésta es la única actividad de entrega.)
Autoevaluación (semana 8 - Cuestionario final de, mínimo, cinco preguntas, en el cual el estudiante reflexiona sobre su propio desempeño, habilidades y resultados en un contexto específico.)</t>
  </si>
  <si>
    <t>Gestión y Administración Territorial</t>
  </si>
  <si>
    <t>Aplica los enfoques de desarrollo y las herramientas de planeación y ordenamiento territorial, para estructurar un plan de desarrollo territorial en contextos locales o regionales.</t>
  </si>
  <si>
    <t xml:space="preserve">1. Teorías del desarrollo económico y papel del estado en su consolidación 
2. Enfoques de desarrollo alternativos en torno al medio ambiente y el concepto de territorio 
3. Herramientas de planeación y gestión territorial del desarrollo desde el papel del Estado y la Administración Pública en Colombia 
4. Ordenamiento Territorial en Colombia y actores de la planeación territorial </t>
  </si>
  <si>
    <t>Trabajo directo:
Ecuentros sincrónicos
Mensajería interna
Anuncios
Trabajo independiente:
Lecturas fundamentales y complementarias
Material de trabajo
Participación en foros+</t>
  </si>
  <si>
    <t>Fundamentos de la Innovación Pública</t>
  </si>
  <si>
    <t>Conoce los principios de la innovación para exlicar la importancia de la generación de valor público considerando las condiciones institucionales y la participación de múltiples actores en el ámbito organizacional y los territorios.</t>
  </si>
  <si>
    <t xml:space="preserve">1. Instrumentos de Política Pública 
2. Generalidades de la innovación pública 
3. Fases del ciclo de la innovación 
4. Ecosistemas de innovación </t>
  </si>
  <si>
    <t>Electiva 2</t>
  </si>
  <si>
    <t>Electiva 3</t>
  </si>
  <si>
    <t>Electiva 4</t>
  </si>
  <si>
    <t>Liderazgo y Pensamiento Estratégico</t>
  </si>
  <si>
    <t xml:space="preserve">Analiza los principios de liderazgo personal y organizacional, para proponer acciones de desarrollo humano y de equipos de trabajo en contextos organizacionales. </t>
  </si>
  <si>
    <t xml:space="preserve">1. Líder como persona 
2. Desarrollo del liderazgo en equipos 
3. Desarrollo del liderazgo en la Organización 
4. El líder como agente del cambio y del desarrollo organizacional </t>
  </si>
  <si>
    <t>Total módulos del programa</t>
  </si>
  <si>
    <t>Total créditos programa</t>
  </si>
  <si>
    <t>Total créditos bloque institucional</t>
  </si>
  <si>
    <t>Total créditos bloque disciplinar</t>
  </si>
  <si>
    <t>Total créditos bloque electivo</t>
  </si>
  <si>
    <t>Verbos Competencias</t>
  </si>
  <si>
    <t>Actualizar</t>
  </si>
  <si>
    <t>Administrar</t>
  </si>
  <si>
    <t>Asegurar</t>
  </si>
  <si>
    <t>Asesorar</t>
  </si>
  <si>
    <t>Auditar</t>
  </si>
  <si>
    <t>Comunicar</t>
  </si>
  <si>
    <t>Conducir</t>
  </si>
  <si>
    <t>Conocer</t>
  </si>
  <si>
    <t>Coordinar</t>
  </si>
  <si>
    <t>Definir</t>
  </si>
  <si>
    <t>Desarrollar</t>
  </si>
  <si>
    <t>Dirigir</t>
  </si>
  <si>
    <t>Ejecutar</t>
  </si>
  <si>
    <t>Establecer</t>
  </si>
  <si>
    <t>Fiscalizar</t>
  </si>
  <si>
    <t>Formular</t>
  </si>
  <si>
    <t>Garantizar</t>
  </si>
  <si>
    <t>Generar</t>
  </si>
  <si>
    <t>Gestionar</t>
  </si>
  <si>
    <t>Hacer</t>
  </si>
  <si>
    <t>Implementar</t>
  </si>
  <si>
    <t>Integrar</t>
  </si>
  <si>
    <t>Interpretar</t>
  </si>
  <si>
    <t>Modelar</t>
  </si>
  <si>
    <t>Participar</t>
  </si>
  <si>
    <t>Planear</t>
  </si>
  <si>
    <t>Presidir</t>
  </si>
  <si>
    <t>Producir</t>
  </si>
  <si>
    <t>Reconocer</t>
  </si>
  <si>
    <t>Resolver</t>
  </si>
  <si>
    <t>Sistematizar</t>
  </si>
  <si>
    <t>Supervisar</t>
  </si>
  <si>
    <t>Transformar</t>
  </si>
  <si>
    <t>Utilizar</t>
  </si>
  <si>
    <t>Validar</t>
  </si>
  <si>
    <t>Verificar</t>
  </si>
  <si>
    <t>Articular</t>
  </si>
  <si>
    <t>Taxonomía de Bloom Adaptada bajo las ideas de Anderson y Krathwohl</t>
  </si>
  <si>
    <t>Taxonomía de Bloom adaptada bajo las ideas de Lorin y Krathwohl (LK)</t>
  </si>
  <si>
    <t>Taxonomía de Bloom adaptada bajo las ideas de Anderson y Kendal (AK)</t>
  </si>
  <si>
    <t>Taxonomía de Bloom</t>
  </si>
  <si>
    <t>Cognitivo(BAK)</t>
  </si>
  <si>
    <t>Procedimental(BAK)</t>
  </si>
  <si>
    <t>Actitudinal(BAK)</t>
  </si>
  <si>
    <t>Taxonomías</t>
  </si>
  <si>
    <t>LK</t>
  </si>
  <si>
    <t>AK</t>
  </si>
  <si>
    <t>ProcedimentalB</t>
  </si>
  <si>
    <t>ActitudinalB</t>
  </si>
  <si>
    <t>ConocimientoB</t>
  </si>
  <si>
    <t>AplicaciónB</t>
  </si>
  <si>
    <t>AnálisisB</t>
  </si>
  <si>
    <t>SíntesisB</t>
  </si>
  <si>
    <t>EvaluaciónB</t>
  </si>
  <si>
    <t>ConocimientoBAK</t>
  </si>
  <si>
    <t>AplicaciónBAK</t>
  </si>
  <si>
    <t>SíntesisBAK</t>
  </si>
  <si>
    <t>EvaluaciónBAK</t>
  </si>
  <si>
    <t>ImitaciónBAK</t>
  </si>
  <si>
    <t>ControlBAK</t>
  </si>
  <si>
    <t>PercepciónBAK</t>
  </si>
  <si>
    <t>ResponderBAK</t>
  </si>
  <si>
    <t>OrganizarBAK</t>
  </si>
  <si>
    <t>CaracterizarBAK</t>
  </si>
  <si>
    <t>Procesos cognitivos de orden inferior</t>
  </si>
  <si>
    <t>Procesos cognitivos de orden superior</t>
  </si>
  <si>
    <t>HechosLK</t>
  </si>
  <si>
    <t>InformaciónAK</t>
  </si>
  <si>
    <t>Adquirir</t>
  </si>
  <si>
    <t>Aislar</t>
  </si>
  <si>
    <t>Adaptar</t>
  </si>
  <si>
    <t>Aconsejar</t>
  </si>
  <si>
    <t>Acordar</t>
  </si>
  <si>
    <t>Acceder</t>
  </si>
  <si>
    <t>Abrir</t>
  </si>
  <si>
    <t>Arreglar</t>
  </si>
  <si>
    <t>Aceptar</t>
  </si>
  <si>
    <t>Adelantar</t>
  </si>
  <si>
    <t>Acabar</t>
  </si>
  <si>
    <t>RecordarLK</t>
  </si>
  <si>
    <t>ComprenderLK</t>
  </si>
  <si>
    <t>AplicarLK</t>
  </si>
  <si>
    <t>AnalizarLK</t>
  </si>
  <si>
    <t>EvaluarLK</t>
  </si>
  <si>
    <t>CrearLK</t>
  </si>
  <si>
    <t>RecuperaciónAK</t>
  </si>
  <si>
    <t>ComprensiónAK</t>
  </si>
  <si>
    <t>AnálisisAK</t>
  </si>
  <si>
    <t>UsoConocimientoAK</t>
  </si>
  <si>
    <t>MetacogniciónAK</t>
  </si>
  <si>
    <t>SistemadelYoAK</t>
  </si>
  <si>
    <t>ConceptosLK</t>
  </si>
  <si>
    <t>ProcesosMentalesAK</t>
  </si>
  <si>
    <t>Buscar</t>
  </si>
  <si>
    <t>Bosquejar</t>
  </si>
  <si>
    <t>Calisificar</t>
  </si>
  <si>
    <t>Adjuntar</t>
  </si>
  <si>
    <t>Actuar</t>
  </si>
  <si>
    <t>Balancear</t>
  </si>
  <si>
    <t>Admitir</t>
  </si>
  <si>
    <t>Actuar recíprocamente</t>
  </si>
  <si>
    <t>Adoptar</t>
  </si>
  <si>
    <t>Anticipar</t>
  </si>
  <si>
    <t>Afinar</t>
  </si>
  <si>
    <t>Afirmar</t>
  </si>
  <si>
    <t>Clasificar</t>
  </si>
  <si>
    <t>Agrupar</t>
  </si>
  <si>
    <t>ProcedimientoslLK</t>
  </si>
  <si>
    <t>PsicomotorAK</t>
  </si>
  <si>
    <t>Citar</t>
  </si>
  <si>
    <t>Comentar</t>
  </si>
  <si>
    <t>Combinar</t>
  </si>
  <si>
    <t>Calcular</t>
  </si>
  <si>
    <t>Agregar</t>
  </si>
  <si>
    <t>Ajustar</t>
  </si>
  <si>
    <t>Anotar</t>
  </si>
  <si>
    <t>Apoyar</t>
  </si>
  <si>
    <t>Comparar</t>
  </si>
  <si>
    <t>Añadir</t>
  </si>
  <si>
    <t>Elaborar</t>
  </si>
  <si>
    <t>MetacogniciónLK</t>
  </si>
  <si>
    <t>Consignar</t>
  </si>
  <si>
    <t>Componer</t>
  </si>
  <si>
    <t>Categorizar</t>
  </si>
  <si>
    <t>Alinear</t>
  </si>
  <si>
    <t>Ampliar</t>
  </si>
  <si>
    <t>Codificar</t>
  </si>
  <si>
    <t>Aprobar</t>
  </si>
  <si>
    <t>Agradecer</t>
  </si>
  <si>
    <t>Conectar</t>
  </si>
  <si>
    <t>Atender</t>
  </si>
  <si>
    <t>Copiar</t>
  </si>
  <si>
    <t>Contrastar</t>
  </si>
  <si>
    <t>Asumir</t>
  </si>
  <si>
    <t>Maximizar</t>
  </si>
  <si>
    <t>Decir</t>
  </si>
  <si>
    <t>Convertir</t>
  </si>
  <si>
    <t>Arbitrar</t>
  </si>
  <si>
    <t>Apalancar</t>
  </si>
  <si>
    <t>Colocar</t>
  </si>
  <si>
    <t>Apreciar</t>
  </si>
  <si>
    <t>Ambicionar</t>
  </si>
  <si>
    <t>Considerar</t>
  </si>
  <si>
    <t>Demostrar</t>
  </si>
  <si>
    <t>Buscar similitudes</t>
  </si>
  <si>
    <t>Argumentar</t>
  </si>
  <si>
    <t>Mejorar</t>
  </si>
  <si>
    <t>Criticar</t>
  </si>
  <si>
    <t>Construir</t>
  </si>
  <si>
    <t>Aumentar</t>
  </si>
  <si>
    <t>Bajar</t>
  </si>
  <si>
    <t>Autorizar</t>
  </si>
  <si>
    <t>Anhelar</t>
  </si>
  <si>
    <t>Cuestionar</t>
  </si>
  <si>
    <t>Colaborar</t>
  </si>
  <si>
    <t>Discutir</t>
  </si>
  <si>
    <t>Cambiar</t>
  </si>
  <si>
    <t>Minimizar</t>
  </si>
  <si>
    <t>Deletrear</t>
  </si>
  <si>
    <t>Dar ejemplos</t>
  </si>
  <si>
    <t>Armar</t>
  </si>
  <si>
    <t>Asisitir</t>
  </si>
  <si>
    <t>Defender</t>
  </si>
  <si>
    <t>Completar</t>
  </si>
  <si>
    <t>Ejemplificar</t>
  </si>
  <si>
    <t xml:space="preserve">Construir </t>
  </si>
  <si>
    <t>Centrarse</t>
  </si>
  <si>
    <t>ProcedimientosLK</t>
  </si>
  <si>
    <t>Debatir</t>
  </si>
  <si>
    <t>Determinar</t>
  </si>
  <si>
    <t>Atar</t>
  </si>
  <si>
    <t>Comenzar</t>
  </si>
  <si>
    <t>Correr</t>
  </si>
  <si>
    <t>Comportarse bajo condiciones</t>
  </si>
  <si>
    <t xml:space="preserve">Duplicar </t>
  </si>
  <si>
    <t>Esquematizar</t>
  </si>
  <si>
    <t>Pensar</t>
  </si>
  <si>
    <t>Describir</t>
  </si>
  <si>
    <t>Dibujar</t>
  </si>
  <si>
    <t>Computar</t>
  </si>
  <si>
    <t>Desmontar</t>
  </si>
  <si>
    <t>Cortar</t>
  </si>
  <si>
    <t>Coser</t>
  </si>
  <si>
    <t>Desplegar</t>
  </si>
  <si>
    <t>Elegir</t>
  </si>
  <si>
    <t>Explicar</t>
  </si>
  <si>
    <t>Correlacionar</t>
  </si>
  <si>
    <t>Compilar</t>
  </si>
  <si>
    <t xml:space="preserve">Planear </t>
  </si>
  <si>
    <t>Discriminar</t>
  </si>
  <si>
    <t>Concluir</t>
  </si>
  <si>
    <t>Calificar</t>
  </si>
  <si>
    <t>Bailar</t>
  </si>
  <si>
    <t>Cumplir</t>
  </si>
  <si>
    <t>Difundir</t>
  </si>
  <si>
    <t>Asistir</t>
  </si>
  <si>
    <t>Constatar</t>
  </si>
  <si>
    <t>Escribir</t>
  </si>
  <si>
    <t>Expresar</t>
  </si>
  <si>
    <t>Dramatizar</t>
  </si>
  <si>
    <t>Descomponer</t>
  </si>
  <si>
    <t>Proponer</t>
  </si>
  <si>
    <t>Enseñar</t>
  </si>
  <si>
    <t>Deducir</t>
  </si>
  <si>
    <t>Censurar</t>
  </si>
  <si>
    <t>Direccionar</t>
  </si>
  <si>
    <t>Destapar</t>
  </si>
  <si>
    <t>Contar</t>
  </si>
  <si>
    <t>Aspirar</t>
  </si>
  <si>
    <t>Discernir</t>
  </si>
  <si>
    <t>Contextualizar</t>
  </si>
  <si>
    <t>Leer</t>
  </si>
  <si>
    <t>Generalizar</t>
  </si>
  <si>
    <t>Diferenciar</t>
  </si>
  <si>
    <t>Reescribir</t>
  </si>
  <si>
    <t>Cooperar</t>
  </si>
  <si>
    <t>Exteriorizar</t>
  </si>
  <si>
    <t>Controlar</t>
  </si>
  <si>
    <t>Listar</t>
  </si>
  <si>
    <t>Ilustrar</t>
  </si>
  <si>
    <t>Distinguir</t>
  </si>
  <si>
    <t>Convencer</t>
  </si>
  <si>
    <t>Simplificar</t>
  </si>
  <si>
    <t>Duplicar</t>
  </si>
  <si>
    <t>Detectar</t>
  </si>
  <si>
    <t>Crear</t>
  </si>
  <si>
    <t>Comprobar</t>
  </si>
  <si>
    <t>Docificar</t>
  </si>
  <si>
    <t>Disponer</t>
  </si>
  <si>
    <t>Disipar</t>
  </si>
  <si>
    <t>Aunar</t>
  </si>
  <si>
    <t>Extraer</t>
  </si>
  <si>
    <t>Localizar</t>
  </si>
  <si>
    <t>Inferir</t>
  </si>
  <si>
    <t>Dividir</t>
  </si>
  <si>
    <t>Suponer</t>
  </si>
  <si>
    <t>Etiquetar</t>
  </si>
  <si>
    <t>Diagramar</t>
  </si>
  <si>
    <t>Decidir</t>
  </si>
  <si>
    <t>Concretar</t>
  </si>
  <si>
    <t>Fomentar</t>
  </si>
  <si>
    <t>Memorizar</t>
  </si>
  <si>
    <t xml:space="preserve">Informar </t>
  </si>
  <si>
    <t>Entrevistar</t>
  </si>
  <si>
    <t>Sustituir</t>
  </si>
  <si>
    <t>Examinar</t>
  </si>
  <si>
    <t>Emparejar</t>
  </si>
  <si>
    <t>Conformar</t>
  </si>
  <si>
    <t>Eliminar</t>
  </si>
  <si>
    <t>Compartir</t>
  </si>
  <si>
    <t>Mostrar</t>
  </si>
  <si>
    <t>Hacer uso</t>
  </si>
  <si>
    <t>Encontrar</t>
  </si>
  <si>
    <t>Teorizar</t>
  </si>
  <si>
    <t>ProcesosAK</t>
  </si>
  <si>
    <t>Derivar</t>
  </si>
  <si>
    <t>Constrastar</t>
  </si>
  <si>
    <t>Ejercitar</t>
  </si>
  <si>
    <t>Comprender</t>
  </si>
  <si>
    <t>Nombrar</t>
  </si>
  <si>
    <t>Encuestar</t>
  </si>
  <si>
    <t>Testar</t>
  </si>
  <si>
    <t>Grabar</t>
  </si>
  <si>
    <t>Exponer</t>
  </si>
  <si>
    <t>Contabilizar</t>
  </si>
  <si>
    <t>Encajar</t>
  </si>
  <si>
    <t>Emitir</t>
  </si>
  <si>
    <t>Ensanchar</t>
  </si>
  <si>
    <t>Contribuir</t>
  </si>
  <si>
    <t>Percibir</t>
  </si>
  <si>
    <t>Observar</t>
  </si>
  <si>
    <t>Estimar</t>
  </si>
  <si>
    <t>Entallar</t>
  </si>
  <si>
    <t>Enumerar</t>
  </si>
  <si>
    <t>Convocar</t>
  </si>
  <si>
    <t>Preguntar</t>
  </si>
  <si>
    <t>Entregar</t>
  </si>
  <si>
    <t>Omitir</t>
  </si>
  <si>
    <t>Parafrasear</t>
  </si>
  <si>
    <t>Manipular</t>
  </si>
  <si>
    <t>Visualizar</t>
  </si>
  <si>
    <t>Estructurar</t>
  </si>
  <si>
    <t>Desempeñar</t>
  </si>
  <si>
    <t>Corregir</t>
  </si>
  <si>
    <t>Empaquetar</t>
  </si>
  <si>
    <t>Escoger</t>
  </si>
  <si>
    <t>Creer</t>
  </si>
  <si>
    <t>Promover</t>
  </si>
  <si>
    <t>Juzgar</t>
  </si>
  <si>
    <t>Rastrear</t>
  </si>
  <si>
    <t>Predecir</t>
  </si>
  <si>
    <t>Organizar</t>
  </si>
  <si>
    <t>Explorar</t>
  </si>
  <si>
    <t>Esculpir</t>
  </si>
  <si>
    <t>Escuchar</t>
  </si>
  <si>
    <t>Hablar</t>
  </si>
  <si>
    <t>Cuidar</t>
  </si>
  <si>
    <t>Negociar</t>
  </si>
  <si>
    <t>Recitar</t>
  </si>
  <si>
    <t>Inspeccionar</t>
  </si>
  <si>
    <t>Descubrir</t>
  </si>
  <si>
    <t>Experimentar</t>
  </si>
  <si>
    <t>Entrenar</t>
  </si>
  <si>
    <t>Extender</t>
  </si>
  <si>
    <t>Proteger</t>
  </si>
  <si>
    <t>Ofrecer</t>
  </si>
  <si>
    <t>Relacionar</t>
  </si>
  <si>
    <t>Practicar</t>
  </si>
  <si>
    <t>Investigar</t>
  </si>
  <si>
    <t>AutoSistemaAK</t>
  </si>
  <si>
    <t>Mostar</t>
  </si>
  <si>
    <t>Culminar</t>
  </si>
  <si>
    <t>Cotejar</t>
  </si>
  <si>
    <t>Envasar</t>
  </si>
  <si>
    <t>Extirpar</t>
  </si>
  <si>
    <t>Indicar</t>
  </si>
  <si>
    <t>Resumir</t>
  </si>
  <si>
    <t>Motivar</t>
  </si>
  <si>
    <t>Inventariar</t>
  </si>
  <si>
    <t>Ensamblar</t>
  </si>
  <si>
    <t>Guiar</t>
  </si>
  <si>
    <t>Informar</t>
  </si>
  <si>
    <t>Servir</t>
  </si>
  <si>
    <t>Revisar</t>
  </si>
  <si>
    <t>Numerar</t>
  </si>
  <si>
    <t>Estampar</t>
  </si>
  <si>
    <t>Narrar</t>
  </si>
  <si>
    <t>Relatar</t>
  </si>
  <si>
    <t>Soportar</t>
  </si>
  <si>
    <t>Repetir</t>
  </si>
  <si>
    <t>Traducir</t>
  </si>
  <si>
    <t>Seleccionar</t>
  </si>
  <si>
    <t>Ordenar</t>
  </si>
  <si>
    <t>Estimular</t>
  </si>
  <si>
    <t>Industrializar</t>
  </si>
  <si>
    <t>Obrar recíprocamente</t>
  </si>
  <si>
    <t>Terminar</t>
  </si>
  <si>
    <t>Simular</t>
  </si>
  <si>
    <t>Obtener</t>
  </si>
  <si>
    <t>Medir</t>
  </si>
  <si>
    <t>Estudiar</t>
  </si>
  <si>
    <t>Interrogar</t>
  </si>
  <si>
    <t>Revelar</t>
  </si>
  <si>
    <t>Transferir</t>
  </si>
  <si>
    <t>Priorizar</t>
  </si>
  <si>
    <t>Figurar</t>
  </si>
  <si>
    <t>Edificar</t>
  </si>
  <si>
    <t>Instalar</t>
  </si>
  <si>
    <t>Fabricar</t>
  </si>
  <si>
    <t>Llevar</t>
  </si>
  <si>
    <t>Manejar</t>
  </si>
  <si>
    <t>Referir</t>
  </si>
  <si>
    <t>Unir</t>
  </si>
  <si>
    <t>Probar</t>
  </si>
  <si>
    <t>Preocuparse de o por</t>
  </si>
  <si>
    <t>Usar</t>
  </si>
  <si>
    <t>Razonar</t>
  </si>
  <si>
    <t>Hipotetizar</t>
  </si>
  <si>
    <t>Mecanizar</t>
  </si>
  <si>
    <t>Ocupar</t>
  </si>
  <si>
    <t>Proporcionar</t>
  </si>
  <si>
    <t>Reorganizar</t>
  </si>
  <si>
    <t>Influir</t>
  </si>
  <si>
    <t>Presentar</t>
  </si>
  <si>
    <t>Operar</t>
  </si>
  <si>
    <t>Filtrar</t>
  </si>
  <si>
    <t>Maniobrar</t>
  </si>
  <si>
    <t>Mover</t>
  </si>
  <si>
    <t>Provocar</t>
  </si>
  <si>
    <t>Resaltar</t>
  </si>
  <si>
    <t>Innovar</t>
  </si>
  <si>
    <t>Hallar</t>
  </si>
  <si>
    <t>Publicar</t>
  </si>
  <si>
    <t>Ratificar</t>
  </si>
  <si>
    <t>Separar</t>
  </si>
  <si>
    <t>Justificar</t>
  </si>
  <si>
    <t>Realizar</t>
  </si>
  <si>
    <t>Reportar</t>
  </si>
  <si>
    <t>Patronar</t>
  </si>
  <si>
    <t>Imprimir</t>
  </si>
  <si>
    <t>Ponderar</t>
  </si>
  <si>
    <t>Subdividir</t>
  </si>
  <si>
    <t>Perforar</t>
  </si>
  <si>
    <t>Impulsar</t>
  </si>
  <si>
    <t>Ser partidario de</t>
  </si>
  <si>
    <t>Recordar</t>
  </si>
  <si>
    <t>Recoger</t>
  </si>
  <si>
    <t>Juntar</t>
  </si>
  <si>
    <t>Poner</t>
  </si>
  <si>
    <t>Opinar</t>
  </si>
  <si>
    <t>Registrar</t>
  </si>
  <si>
    <t>Introducir</t>
  </si>
  <si>
    <t>Limpiar</t>
  </si>
  <si>
    <t>Levantar</t>
  </si>
  <si>
    <t>Quitar</t>
  </si>
  <si>
    <t>Tasar</t>
  </si>
  <si>
    <t>Originar</t>
  </si>
  <si>
    <t>Inventar</t>
  </si>
  <si>
    <t>Modificar</t>
  </si>
  <si>
    <t>Finalizar</t>
  </si>
  <si>
    <t>Reemplazar</t>
  </si>
  <si>
    <t>Valorar</t>
  </si>
  <si>
    <t>Persuadir</t>
  </si>
  <si>
    <t>Reproducir</t>
  </si>
  <si>
    <t>Formar</t>
  </si>
  <si>
    <t>Trazar</t>
  </si>
  <si>
    <t>Remover</t>
  </si>
  <si>
    <t>Premiar</t>
  </si>
  <si>
    <t>Ubicar</t>
  </si>
  <si>
    <t>Reparar</t>
  </si>
  <si>
    <t>Rotular</t>
  </si>
  <si>
    <t>Preparar</t>
  </si>
  <si>
    <t>Reponer</t>
  </si>
  <si>
    <t>Recomendar</t>
  </si>
  <si>
    <t>Marcar</t>
  </si>
  <si>
    <t>Mezclar</t>
  </si>
  <si>
    <t>Subrayar</t>
  </si>
  <si>
    <t>Recaudar</t>
  </si>
  <si>
    <t>Mitigar</t>
  </si>
  <si>
    <t>Retirar</t>
  </si>
  <si>
    <t>Recortar</t>
  </si>
  <si>
    <t>Reunir</t>
  </si>
  <si>
    <t>Seguir</t>
  </si>
  <si>
    <t>Perfeccionar</t>
  </si>
  <si>
    <t>Peritar</t>
  </si>
  <si>
    <t>Señalar</t>
  </si>
  <si>
    <t>Sincronizar</t>
  </si>
  <si>
    <t>Planificar</t>
  </si>
  <si>
    <t>Pronosticar</t>
  </si>
  <si>
    <t>Soldar</t>
  </si>
  <si>
    <t>Pintar</t>
  </si>
  <si>
    <t>Suprimir</t>
  </si>
  <si>
    <t>Repartir</t>
  </si>
  <si>
    <t>Porcionar</t>
  </si>
  <si>
    <t>Tapizar</t>
  </si>
  <si>
    <t>Transmitir</t>
  </si>
  <si>
    <t>Proyectar</t>
  </si>
  <si>
    <t>Trasladar</t>
  </si>
  <si>
    <t>Racionar</t>
  </si>
  <si>
    <t>Sugerir</t>
  </si>
  <si>
    <t>Reducir</t>
  </si>
  <si>
    <t>Repasar</t>
  </si>
  <si>
    <t>Representar</t>
  </si>
  <si>
    <t>Sacar</t>
  </si>
  <si>
    <t>Vincular</t>
  </si>
  <si>
    <t>Separer</t>
  </si>
  <si>
    <t>Situar</t>
  </si>
  <si>
    <t>Tocar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</si>
</sst>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1"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b/>
      <sz val="11"/>
      <color theme="0"/>
      <name val="Gill Sans MT"/>
      <family val="2"/>
    </font>
    <font>
      <sz val="11"/>
      <color theme="0"/>
      <name val="Gill Sans MT"/>
      <family val="2"/>
    </font>
    <font>
      <b/>
      <sz val="11"/>
      <name val="Gill Sans MT"/>
      <family val="2"/>
    </font>
    <font>
      <b/>
      <sz val="11"/>
      <color theme="1"/>
      <name val="Gill Sans MT"/>
      <family val="2"/>
    </font>
    <font>
      <sz val="12"/>
      <color rgb="FF000000"/>
      <name val="Tahoma"/>
      <family val="2"/>
    </font>
    <font>
      <sz val="14"/>
      <color theme="1"/>
      <name val="Gill Sans MT"/>
      <family val="2"/>
    </font>
    <font>
      <sz val="11"/>
      <color theme="1"/>
      <name val="Gill Sans MT"/>
      <family val="2"/>
    </font>
    <font>
      <sz val="11"/>
      <color rgb="FF000000"/>
      <name val="Gill Sans MT"/>
      <family val="2"/>
    </font>
    <font>
      <sz val="11"/>
      <name val="Calibri"/>
      <family val="2"/>
      <scheme val="minor"/>
    </font>
    <font>
      <sz val="11"/>
      <name val="Gill Sans MT"/>
      <family val="2"/>
    </font>
    <font>
      <sz val="8"/>
      <color theme="0"/>
      <name val="Gill Sans MT"/>
      <family val="2"/>
    </font>
    <font>
      <sz val="11"/>
      <color rgb="FF444444"/>
      <name val="Calibri"/>
      <family val="2"/>
      <charset val="1"/>
    </font>
    <font>
      <sz val="12"/>
      <color rgb="FF000000"/>
      <name val="Arial"/>
      <family val="2"/>
    </font>
    <font>
      <u/>
      <sz val="11"/>
      <color theme="10"/>
      <name val="Calibri"/>
      <family val="2"/>
      <scheme val="minor"/>
    </font>
    <font>
      <b/>
      <sz val="11"/>
      <color rgb="FF000000"/>
      <name val="Gill Sans MT"/>
      <family val="2"/>
    </font>
    <font>
      <sz val="8"/>
      <color rgb="FFFFFFFF"/>
      <name val="Gill Sans MT"/>
      <family val="2"/>
    </font>
    <font>
      <b/>
      <sz val="8"/>
      <color theme="0"/>
      <name val="Gill Sans MT"/>
      <family val="2"/>
    </font>
    <font>
      <b/>
      <sz val="11"/>
      <color rgb="FFFFFFFF"/>
      <name val="Gill Sans MT"/>
      <family val="2"/>
    </font>
    <font>
      <sz val="8"/>
      <color rgb="FF000000"/>
      <name val="Gill Sans MT"/>
      <family val="2"/>
    </font>
    <font>
      <sz val="8"/>
      <color theme="1"/>
      <name val="Gill Sans MT"/>
      <family val="2"/>
    </font>
    <font>
      <sz val="8"/>
      <name val="Gill Sans MT"/>
      <family val="2"/>
    </font>
    <font>
      <b/>
      <sz val="11"/>
      <color rgb="FFFF0000"/>
      <name val="Gill Sans MT"/>
      <family val="2"/>
    </font>
    <font>
      <sz val="10"/>
      <color theme="1"/>
      <name val="Gill Sans MT"/>
      <family val="2"/>
    </font>
    <font>
      <sz val="10"/>
      <color rgb="FF000000"/>
      <name val="Gill Sans MT"/>
      <family val="2"/>
    </font>
    <font>
      <b/>
      <sz val="10"/>
      <color rgb="FFFFFFFF"/>
      <name val="Gill Sans MT"/>
      <family val="2"/>
    </font>
    <font>
      <b/>
      <sz val="10"/>
      <color rgb="FF000000"/>
      <name val="Gill Sans MT"/>
      <family val="2"/>
    </font>
    <font>
      <b/>
      <sz val="10"/>
      <color theme="1"/>
      <name val="Gill Sans MT"/>
      <family val="2"/>
    </font>
  </fonts>
  <fills count="13">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theme="7" tint="-0.249977111117893"/>
        <bgColor indexed="64"/>
      </patternFill>
    </fill>
    <fill>
      <patternFill patternType="solid">
        <fgColor theme="7" tint="0.79998168889431442"/>
        <bgColor indexed="64"/>
      </patternFill>
    </fill>
    <fill>
      <patternFill patternType="solid">
        <fgColor rgb="FFFFFF00"/>
        <bgColor indexed="64"/>
      </patternFill>
    </fill>
    <fill>
      <patternFill patternType="solid">
        <fgColor rgb="FF0F385A"/>
        <bgColor rgb="FF000000"/>
      </patternFill>
    </fill>
    <fill>
      <patternFill patternType="solid">
        <fgColor rgb="FFDDEBF7"/>
        <bgColor rgb="FF000000"/>
      </patternFill>
    </fill>
    <fill>
      <patternFill patternType="solid">
        <fgColor rgb="FF1FB2DE"/>
        <bgColor rgb="FF000000"/>
      </patternFill>
    </fill>
    <fill>
      <patternFill patternType="solid">
        <fgColor theme="4" tint="0.79998168889431442"/>
        <bgColor indexed="64"/>
      </patternFill>
    </fill>
  </fills>
  <borders count="23">
    <border>
      <left/>
      <right/>
      <top/>
      <bottom/>
      <diagonal/>
    </border>
    <border>
      <left style="thin">
        <color rgb="FF1FB2DE"/>
      </left>
      <right/>
      <top/>
      <bottom/>
      <diagonal/>
    </border>
    <border>
      <left style="thin">
        <color auto="1"/>
      </left>
      <right style="thin">
        <color auto="1"/>
      </right>
      <top style="thin">
        <color auto="1"/>
      </top>
      <bottom style="thin">
        <color auto="1"/>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right/>
      <top style="medium">
        <color rgb="FF000000"/>
      </top>
      <bottom/>
      <diagonal/>
    </border>
    <border>
      <left/>
      <right/>
      <top/>
      <bottom style="medium">
        <color rgb="FF000000"/>
      </bottom>
      <diagonal/>
    </border>
    <border>
      <left style="thin">
        <color indexed="64"/>
      </left>
      <right style="thin">
        <color indexed="64"/>
      </right>
      <top style="thin">
        <color indexed="64"/>
      </top>
      <bottom/>
      <diagonal/>
    </border>
    <border>
      <left/>
      <right/>
      <top/>
      <bottom style="medium">
        <color indexed="64"/>
      </bottom>
      <diagonal/>
    </border>
    <border>
      <left/>
      <right/>
      <top style="thin">
        <color auto="1"/>
      </top>
      <bottom/>
      <diagonal/>
    </border>
    <border>
      <left style="thin">
        <color rgb="FF1FB2DE"/>
      </left>
      <right/>
      <top style="thin">
        <color auto="1"/>
      </top>
      <bottom/>
      <diagonal/>
    </border>
    <border>
      <left style="medium">
        <color rgb="FF505050"/>
      </left>
      <right style="thin">
        <color auto="1"/>
      </right>
      <top style="medium">
        <color rgb="FF505050"/>
      </top>
      <bottom style="thin">
        <color auto="1"/>
      </bottom>
      <diagonal/>
    </border>
    <border>
      <left style="thin">
        <color auto="1"/>
      </left>
      <right style="thin">
        <color auto="1"/>
      </right>
      <top style="medium">
        <color rgb="FF505050"/>
      </top>
      <bottom style="thin">
        <color auto="1"/>
      </bottom>
      <diagonal/>
    </border>
    <border>
      <left style="thin">
        <color auto="1"/>
      </left>
      <right style="medium">
        <color rgb="FF505050"/>
      </right>
      <top style="medium">
        <color rgb="FF505050"/>
      </top>
      <bottom style="thin">
        <color auto="1"/>
      </bottom>
      <diagonal/>
    </border>
    <border>
      <left style="medium">
        <color rgb="FF505050"/>
      </left>
      <right/>
      <top/>
      <bottom/>
      <diagonal/>
    </border>
    <border>
      <left/>
      <right style="medium">
        <color rgb="FF505050"/>
      </right>
      <top/>
      <bottom/>
      <diagonal/>
    </border>
    <border>
      <left style="medium">
        <color rgb="FF505050"/>
      </left>
      <right/>
      <top/>
      <bottom style="medium">
        <color rgb="FF505050"/>
      </bottom>
      <diagonal/>
    </border>
    <border>
      <left/>
      <right/>
      <top/>
      <bottom style="medium">
        <color rgb="FF505050"/>
      </bottom>
      <diagonal/>
    </border>
    <border>
      <left/>
      <right style="medium">
        <color rgb="FF505050"/>
      </right>
      <top/>
      <bottom style="medium">
        <color rgb="FF505050"/>
      </bottom>
      <diagonal/>
    </border>
    <border>
      <left style="thin">
        <color auto="1"/>
      </left>
      <right/>
      <top style="medium">
        <color rgb="FF505050"/>
      </top>
      <bottom style="thin">
        <color auto="1"/>
      </bottom>
      <diagonal/>
    </border>
    <border>
      <left/>
      <right/>
      <top style="medium">
        <color indexed="64"/>
      </top>
      <bottom/>
      <diagonal/>
    </border>
    <border>
      <left/>
      <right/>
      <top style="medium">
        <color indexed="64"/>
      </top>
      <bottom style="medium">
        <color indexed="64"/>
      </bottom>
      <diagonal/>
    </border>
    <border>
      <left style="thin">
        <color auto="1"/>
      </left>
      <right style="thin">
        <color auto="1"/>
      </right>
      <top/>
      <bottom style="thin">
        <color auto="1"/>
      </bottom>
      <diagonal/>
    </border>
  </borders>
  <cellStyleXfs count="2">
    <xf numFmtId="0" fontId="0" fillId="0" borderId="0"/>
    <xf numFmtId="0" fontId="17" fillId="0" borderId="0" applyNumberFormat="0" applyFill="0" applyBorder="0" applyAlignment="0" applyProtection="0"/>
  </cellStyleXfs>
  <cellXfs count="189">
    <xf numFmtId="0" fontId="0" fillId="0" borderId="0" xfId="0"/>
    <xf numFmtId="0" fontId="3" fillId="0" borderId="0" xfId="0" applyFont="1"/>
    <xf numFmtId="0" fontId="3" fillId="0" borderId="0" xfId="0" applyFont="1" applyAlignment="1">
      <alignment wrapText="1"/>
    </xf>
    <xf numFmtId="0" fontId="3" fillId="0" borderId="0" xfId="0" applyFont="1" applyAlignment="1">
      <alignment horizontal="left" wrapText="1"/>
    </xf>
    <xf numFmtId="0" fontId="3" fillId="0" borderId="0" xfId="0" applyFont="1" applyAlignment="1">
      <alignmen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8" fillId="0" borderId="0" xfId="0" applyFont="1" applyAlignment="1">
      <alignment horizontal="justify" vertical="center"/>
    </xf>
    <xf numFmtId="0" fontId="0" fillId="0" borderId="0" xfId="0" applyAlignment="1">
      <alignment vertical="center"/>
    </xf>
    <xf numFmtId="0" fontId="8" fillId="0" borderId="0" xfId="0" applyFont="1" applyAlignment="1">
      <alignment horizontal="justify" vertical="center" wrapText="1"/>
    </xf>
    <xf numFmtId="0" fontId="12" fillId="0" borderId="0" xfId="0" applyFont="1" applyAlignment="1">
      <alignment wrapText="1"/>
    </xf>
    <xf numFmtId="0" fontId="10" fillId="0" borderId="0" xfId="0" applyFont="1"/>
    <xf numFmtId="0" fontId="3" fillId="0" borderId="0" xfId="0" applyFont="1" applyAlignment="1">
      <alignment horizontal="center"/>
    </xf>
    <xf numFmtId="0" fontId="11" fillId="0" borderId="0" xfId="0" applyFont="1" applyAlignment="1">
      <alignment horizontal="center" vertical="center"/>
    </xf>
    <xf numFmtId="0" fontId="5" fillId="0" borderId="0" xfId="0" applyFont="1" applyAlignment="1">
      <alignment horizontal="center" vertical="center"/>
    </xf>
    <xf numFmtId="0" fontId="5" fillId="0" borderId="0" xfId="0" applyFont="1" applyAlignment="1">
      <alignment vertical="center"/>
    </xf>
    <xf numFmtId="0" fontId="11" fillId="0" borderId="0" xfId="0" applyFont="1" applyAlignment="1">
      <alignment vertical="center"/>
    </xf>
    <xf numFmtId="0" fontId="11" fillId="5" borderId="3" xfId="0" applyFont="1" applyFill="1" applyBorder="1" applyAlignment="1">
      <alignment vertical="center"/>
    </xf>
    <xf numFmtId="0" fontId="3" fillId="5" borderId="3" xfId="0" applyFont="1" applyFill="1" applyBorder="1"/>
    <xf numFmtId="0" fontId="11" fillId="0" borderId="3" xfId="0" applyFont="1" applyBorder="1" applyAlignment="1">
      <alignment vertical="center"/>
    </xf>
    <xf numFmtId="0" fontId="3" fillId="0" borderId="3" xfId="0" applyFont="1" applyBorder="1"/>
    <xf numFmtId="0" fontId="11" fillId="5" borderId="4" xfId="0" applyFont="1" applyFill="1" applyBorder="1" applyAlignment="1">
      <alignment vertical="center"/>
    </xf>
    <xf numFmtId="0" fontId="3" fillId="5" borderId="4" xfId="0" applyFont="1" applyFill="1" applyBorder="1"/>
    <xf numFmtId="0" fontId="3" fillId="0" borderId="4" xfId="0" applyFont="1" applyBorder="1"/>
    <xf numFmtId="0" fontId="0" fillId="0" borderId="0" xfId="0" applyAlignment="1">
      <alignment horizontal="left" vertical="center" wrapText="1"/>
    </xf>
    <xf numFmtId="0" fontId="9" fillId="0" borderId="0" xfId="0" applyFont="1" applyAlignment="1">
      <alignment vertical="center" wrapText="1"/>
    </xf>
    <xf numFmtId="0" fontId="3" fillId="0" borderId="0" xfId="0" applyFont="1" applyAlignment="1">
      <alignment horizontal="center" wrapText="1"/>
    </xf>
    <xf numFmtId="0" fontId="16" fillId="0" borderId="0" xfId="0" applyFont="1" applyAlignment="1">
      <alignment horizontal="center" vertical="center" wrapText="1"/>
    </xf>
    <xf numFmtId="0" fontId="11" fillId="0" borderId="0" xfId="0" applyFont="1" applyAlignment="1">
      <alignment horizontal="center" vertical="center" wrapText="1"/>
    </xf>
    <xf numFmtId="0" fontId="15" fillId="0" borderId="0" xfId="0" applyFont="1" applyAlignment="1">
      <alignment horizontal="left" vertical="center" wrapText="1"/>
    </xf>
    <xf numFmtId="0" fontId="11" fillId="0" borderId="0" xfId="0" applyFont="1" applyAlignment="1">
      <alignment horizontal="left" vertical="center"/>
    </xf>
    <xf numFmtId="0" fontId="11" fillId="0" borderId="0" xfId="0" applyFont="1" applyAlignment="1">
      <alignment vertical="center" wrapText="1"/>
    </xf>
    <xf numFmtId="0" fontId="14" fillId="0" borderId="0" xfId="0" applyFont="1" applyAlignment="1">
      <alignment horizontal="center" vertical="center" wrapText="1"/>
    </xf>
    <xf numFmtId="0" fontId="22" fillId="10" borderId="2" xfId="0" applyFont="1" applyFill="1" applyBorder="1" applyAlignment="1">
      <alignment horizontal="center" vertical="center" wrapText="1"/>
    </xf>
    <xf numFmtId="0" fontId="22" fillId="11" borderId="2" xfId="0" applyFont="1" applyFill="1" applyBorder="1" applyAlignment="1">
      <alignment horizontal="center" vertical="center" wrapText="1"/>
    </xf>
    <xf numFmtId="0" fontId="14" fillId="2" borderId="2" xfId="0" applyFont="1" applyFill="1" applyBorder="1" applyAlignment="1">
      <alignment horizontal="center" vertical="center" wrapText="1"/>
    </xf>
    <xf numFmtId="0" fontId="23" fillId="0" borderId="0" xfId="0" applyFont="1" applyAlignment="1">
      <alignment horizontal="center" vertical="center" wrapText="1"/>
    </xf>
    <xf numFmtId="0" fontId="4" fillId="2" borderId="2" xfId="0" applyFont="1" applyFill="1" applyBorder="1" applyAlignment="1">
      <alignment horizontal="center" vertical="center" wrapText="1"/>
    </xf>
    <xf numFmtId="0" fontId="7" fillId="0" borderId="0" xfId="0" applyFont="1" applyAlignment="1">
      <alignment wrapText="1"/>
    </xf>
    <xf numFmtId="0" fontId="3" fillId="0" borderId="6" xfId="0" applyFont="1" applyBorder="1" applyAlignment="1">
      <alignment horizontal="center" vertical="center" wrapText="1"/>
    </xf>
    <xf numFmtId="0" fontId="3" fillId="0" borderId="6" xfId="0" applyFont="1" applyBorder="1" applyAlignment="1">
      <alignment horizontal="left" vertical="center" wrapText="1"/>
    </xf>
    <xf numFmtId="0" fontId="19" fillId="9" borderId="0" xfId="0" applyFont="1" applyFill="1" applyAlignment="1">
      <alignment horizontal="center" vertical="center" wrapText="1"/>
    </xf>
    <xf numFmtId="0" fontId="22" fillId="0" borderId="0" xfId="0" applyFont="1" applyAlignment="1">
      <alignment horizontal="left" vertical="center" wrapText="1"/>
    </xf>
    <xf numFmtId="0" fontId="21" fillId="2" borderId="2" xfId="0" applyFont="1" applyFill="1" applyBorder="1" applyAlignment="1">
      <alignment horizontal="center" vertical="center" wrapText="1"/>
    </xf>
    <xf numFmtId="0" fontId="6"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11" fillId="0" borderId="0" xfId="0" applyFont="1"/>
    <xf numFmtId="0" fontId="4" fillId="2" borderId="7" xfId="0" applyFont="1" applyFill="1" applyBorder="1" applyAlignment="1">
      <alignment horizontal="center" vertical="center" wrapText="1"/>
    </xf>
    <xf numFmtId="0" fontId="3" fillId="0" borderId="9" xfId="0" applyFont="1" applyBorder="1" applyAlignment="1">
      <alignment horizontal="left" vertical="center" wrapText="1"/>
    </xf>
    <xf numFmtId="0" fontId="22" fillId="11" borderId="0" xfId="0" applyFont="1" applyFill="1" applyAlignment="1">
      <alignment horizontal="center" vertical="center" wrapText="1"/>
    </xf>
    <xf numFmtId="0" fontId="24" fillId="11" borderId="0" xfId="0" applyFont="1" applyFill="1" applyAlignment="1">
      <alignment horizontal="center" vertical="center" wrapText="1"/>
    </xf>
    <xf numFmtId="0" fontId="6" fillId="11" borderId="0" xfId="0" applyFont="1" applyFill="1" applyAlignment="1">
      <alignment horizontal="center" vertical="center" wrapText="1"/>
    </xf>
    <xf numFmtId="0" fontId="11" fillId="0" borderId="0" xfId="0" applyFont="1" applyAlignment="1">
      <alignment wrapText="1"/>
    </xf>
    <xf numFmtId="0" fontId="3" fillId="0" borderId="6" xfId="0" applyFont="1" applyBorder="1" applyAlignment="1">
      <alignment vertical="center" wrapText="1"/>
    </xf>
    <xf numFmtId="0" fontId="0" fillId="0" borderId="6" xfId="0" applyBorder="1" applyAlignment="1">
      <alignment vertical="center"/>
    </xf>
    <xf numFmtId="0" fontId="13" fillId="0" borderId="0" xfId="0" applyFont="1" applyAlignment="1">
      <alignment horizontal="left" vertical="center" wrapText="1"/>
    </xf>
    <xf numFmtId="0" fontId="21" fillId="9" borderId="0" xfId="0" applyFont="1" applyFill="1" applyAlignment="1">
      <alignment horizontal="center" vertical="center" wrapText="1"/>
    </xf>
    <xf numFmtId="0" fontId="18" fillId="10" borderId="2" xfId="0" applyFont="1" applyFill="1" applyBorder="1" applyAlignment="1">
      <alignment horizontal="center" vertical="center" wrapText="1"/>
    </xf>
    <xf numFmtId="0" fontId="18" fillId="11" borderId="2" xfId="0" applyFont="1" applyFill="1" applyBorder="1" applyAlignment="1">
      <alignment horizontal="center" vertical="center" wrapText="1"/>
    </xf>
    <xf numFmtId="0" fontId="21" fillId="9" borderId="10" xfId="0" applyFont="1" applyFill="1" applyBorder="1" applyAlignment="1">
      <alignment horizontal="center" vertical="center" wrapText="1"/>
    </xf>
    <xf numFmtId="0" fontId="18" fillId="11" borderId="0" xfId="0" applyFont="1" applyFill="1" applyAlignment="1">
      <alignment horizontal="center" vertical="center" wrapText="1"/>
    </xf>
    <xf numFmtId="0" fontId="18" fillId="0" borderId="0" xfId="0" applyFont="1" applyAlignment="1">
      <alignment horizontal="left" vertical="center" wrapText="1"/>
    </xf>
    <xf numFmtId="0" fontId="3" fillId="0" borderId="14" xfId="0" applyFont="1" applyBorder="1"/>
    <xf numFmtId="0" fontId="3" fillId="0" borderId="15" xfId="0" applyFont="1" applyBorder="1"/>
    <xf numFmtId="0" fontId="7" fillId="0" borderId="0" xfId="0" applyFont="1"/>
    <xf numFmtId="0" fontId="7" fillId="8" borderId="0" xfId="0" applyFont="1" applyFill="1"/>
    <xf numFmtId="0" fontId="7" fillId="0" borderId="14" xfId="0" applyFont="1" applyBorder="1"/>
    <xf numFmtId="0" fontId="7" fillId="0" borderId="15" xfId="0" applyFont="1" applyBorder="1"/>
    <xf numFmtId="0" fontId="3" fillId="0" borderId="16" xfId="0" applyFont="1" applyBorder="1"/>
    <xf numFmtId="0" fontId="3" fillId="0" borderId="17" xfId="0" applyFont="1" applyBorder="1"/>
    <xf numFmtId="0" fontId="3" fillId="0" borderId="18" xfId="0" applyFont="1" applyBorder="1"/>
    <xf numFmtId="0" fontId="3" fillId="6" borderId="0" xfId="0" applyFont="1" applyFill="1"/>
    <xf numFmtId="0" fontId="7" fillId="8" borderId="14" xfId="0" applyFont="1" applyFill="1" applyBorder="1"/>
    <xf numFmtId="0" fontId="3" fillId="7" borderId="0" xfId="0" applyFont="1" applyFill="1"/>
    <xf numFmtId="0" fontId="7" fillId="6" borderId="0" xfId="0" applyFont="1" applyFill="1"/>
    <xf numFmtId="0" fontId="25" fillId="8" borderId="0" xfId="0" applyFont="1" applyFill="1"/>
    <xf numFmtId="0" fontId="7" fillId="8" borderId="15" xfId="0" applyFont="1" applyFill="1" applyBorder="1"/>
    <xf numFmtId="0" fontId="11" fillId="0" borderId="0" xfId="0" applyFont="1" applyAlignment="1">
      <alignment horizontal="left" vertical="center" wrapText="1"/>
    </xf>
    <xf numFmtId="0" fontId="19" fillId="9" borderId="2" xfId="0" applyFont="1" applyFill="1" applyBorder="1" applyAlignment="1">
      <alignment horizontal="center" vertical="center" wrapText="1"/>
    </xf>
    <xf numFmtId="0" fontId="24" fillId="11" borderId="2" xfId="0" applyFont="1" applyFill="1" applyBorder="1" applyAlignment="1">
      <alignment horizontal="center" vertical="center" wrapText="1"/>
    </xf>
    <xf numFmtId="0" fontId="23" fillId="0" borderId="0" xfId="0" applyFont="1" applyAlignment="1">
      <alignment horizontal="left" vertical="center" wrapText="1"/>
    </xf>
    <xf numFmtId="0" fontId="21" fillId="9" borderId="2" xfId="0" applyFont="1" applyFill="1" applyBorder="1" applyAlignment="1">
      <alignment horizontal="center" vertical="center" wrapText="1"/>
    </xf>
    <xf numFmtId="0" fontId="6" fillId="11" borderId="2" xfId="0" applyFont="1" applyFill="1" applyBorder="1" applyAlignment="1">
      <alignment horizontal="center" vertical="center" wrapText="1"/>
    </xf>
    <xf numFmtId="0" fontId="7" fillId="0" borderId="0" xfId="0" applyFont="1" applyAlignment="1">
      <alignment horizontal="left" vertical="center" wrapText="1"/>
    </xf>
    <xf numFmtId="0" fontId="3" fillId="0" borderId="8" xfId="0" applyFont="1" applyBorder="1" applyAlignment="1">
      <alignment horizontal="left" vertical="center" wrapText="1"/>
    </xf>
    <xf numFmtId="0" fontId="3" fillId="0" borderId="8" xfId="0" applyFont="1" applyBorder="1" applyAlignment="1">
      <alignment horizontal="center" vertical="center" wrapText="1"/>
    </xf>
    <xf numFmtId="0" fontId="12" fillId="0" borderId="0" xfId="0" applyFont="1" applyAlignment="1">
      <alignment vertical="center" wrapText="1"/>
    </xf>
    <xf numFmtId="0" fontId="3" fillId="0" borderId="0" xfId="0" applyFont="1" applyAlignment="1">
      <alignment vertical="center"/>
    </xf>
    <xf numFmtId="0" fontId="13" fillId="0" borderId="9" xfId="0" applyFont="1" applyBorder="1" applyAlignment="1">
      <alignment horizontal="left" vertical="center" wrapText="1"/>
    </xf>
    <xf numFmtId="0" fontId="11" fillId="0" borderId="9" xfId="0" applyFont="1" applyBorder="1" applyAlignment="1">
      <alignment vertical="center" wrapText="1"/>
    </xf>
    <xf numFmtId="0" fontId="11" fillId="0" borderId="8" xfId="0" applyFont="1" applyBorder="1" applyAlignment="1">
      <alignment vertical="center" wrapText="1"/>
    </xf>
    <xf numFmtId="0" fontId="13" fillId="0" borderId="8" xfId="0" applyFont="1" applyBorder="1" applyAlignment="1">
      <alignment horizontal="left" vertical="center" wrapText="1"/>
    </xf>
    <xf numFmtId="0" fontId="11" fillId="0" borderId="8" xfId="0" applyFont="1" applyBorder="1" applyAlignment="1">
      <alignment horizontal="left" vertical="center" wrapText="1"/>
    </xf>
    <xf numFmtId="0" fontId="13" fillId="0" borderId="20" xfId="0" applyFont="1" applyBorder="1" applyAlignment="1">
      <alignment horizontal="left" vertical="center" wrapText="1"/>
    </xf>
    <xf numFmtId="0" fontId="11" fillId="0" borderId="20" xfId="0" applyFont="1" applyBorder="1" applyAlignment="1">
      <alignment vertical="center" wrapText="1"/>
    </xf>
    <xf numFmtId="0" fontId="3" fillId="0" borderId="0" xfId="0" applyFont="1" applyAlignment="1">
      <alignment horizontal="left" vertical="center"/>
    </xf>
    <xf numFmtId="0" fontId="3" fillId="0" borderId="8" xfId="0" applyFont="1" applyBorder="1" applyAlignment="1">
      <alignment horizontal="left" vertical="center"/>
    </xf>
    <xf numFmtId="0" fontId="11" fillId="0" borderId="20" xfId="0" applyFont="1" applyBorder="1" applyAlignment="1">
      <alignment horizontal="left" vertical="center" wrapText="1"/>
    </xf>
    <xf numFmtId="0" fontId="11" fillId="0" borderId="6" xfId="0" applyFont="1" applyBorder="1" applyAlignment="1">
      <alignment vertical="center" wrapText="1"/>
    </xf>
    <xf numFmtId="0" fontId="13" fillId="0" borderId="6" xfId="0" applyFont="1" applyBorder="1" applyAlignment="1">
      <alignment horizontal="left" vertical="center" wrapText="1"/>
    </xf>
    <xf numFmtId="0" fontId="3" fillId="7" borderId="21" xfId="0" applyFont="1" applyFill="1" applyBorder="1" applyAlignment="1">
      <alignment horizontal="left" vertical="center" wrapText="1"/>
    </xf>
    <xf numFmtId="0" fontId="3" fillId="7" borderId="21" xfId="0" applyFont="1" applyFill="1" applyBorder="1" applyAlignment="1">
      <alignment horizontal="center" vertical="center" wrapText="1"/>
    </xf>
    <xf numFmtId="0" fontId="11" fillId="7" borderId="21" xfId="0" applyFont="1" applyFill="1" applyBorder="1" applyAlignment="1">
      <alignment horizontal="center" vertical="center" wrapText="1"/>
    </xf>
    <xf numFmtId="0" fontId="11" fillId="7" borderId="21" xfId="0" applyFont="1" applyFill="1" applyBorder="1" applyAlignment="1">
      <alignment horizontal="left" vertical="center" wrapText="1"/>
    </xf>
    <xf numFmtId="0" fontId="3" fillId="7" borderId="21" xfId="0" applyFont="1" applyFill="1" applyBorder="1" applyAlignment="1">
      <alignment horizontal="center" vertical="center"/>
    </xf>
    <xf numFmtId="49" fontId="3" fillId="7" borderId="21" xfId="0" applyNumberFormat="1" applyFont="1" applyFill="1" applyBorder="1" applyAlignment="1">
      <alignment horizontal="left" vertical="center" wrapText="1"/>
    </xf>
    <xf numFmtId="0" fontId="11" fillId="12" borderId="21" xfId="0" applyFont="1" applyFill="1" applyBorder="1" applyAlignment="1">
      <alignment horizontal="left" vertical="center" wrapText="1"/>
    </xf>
    <xf numFmtId="0" fontId="19" fillId="0" borderId="0" xfId="0" applyFont="1" applyAlignment="1">
      <alignment horizontal="center" vertical="center" wrapText="1"/>
    </xf>
    <xf numFmtId="0" fontId="21" fillId="0" borderId="0" xfId="0" applyFont="1" applyAlignment="1">
      <alignment horizontal="center" vertical="center" wrapText="1"/>
    </xf>
    <xf numFmtId="0" fontId="3" fillId="0" borderId="20" xfId="0" applyFont="1" applyBorder="1" applyAlignment="1">
      <alignment horizontal="left" vertical="center"/>
    </xf>
    <xf numFmtId="0" fontId="3" fillId="0" borderId="0" xfId="0" applyFont="1" applyAlignment="1">
      <alignment horizontal="left"/>
    </xf>
    <xf numFmtId="0" fontId="3" fillId="12" borderId="21" xfId="0" applyFont="1" applyFill="1" applyBorder="1" applyAlignment="1">
      <alignment horizontal="left" vertical="center"/>
    </xf>
    <xf numFmtId="0" fontId="3" fillId="12" borderId="21" xfId="0" applyFont="1" applyFill="1" applyBorder="1" applyAlignment="1">
      <alignment horizontal="center" vertical="center"/>
    </xf>
    <xf numFmtId="0" fontId="3" fillId="12" borderId="21" xfId="0" applyFont="1" applyFill="1" applyBorder="1" applyAlignment="1">
      <alignment horizontal="center" vertical="center" wrapText="1"/>
    </xf>
    <xf numFmtId="0" fontId="3" fillId="12" borderId="21" xfId="0" applyFont="1" applyFill="1" applyBorder="1" applyAlignment="1">
      <alignment horizontal="left" vertical="center" wrapText="1"/>
    </xf>
    <xf numFmtId="0" fontId="11" fillId="12" borderId="21" xfId="0" applyFont="1" applyFill="1" applyBorder="1" applyAlignment="1">
      <alignment horizontal="center" vertical="center"/>
    </xf>
    <xf numFmtId="0" fontId="27" fillId="0" borderId="0" xfId="0" applyFont="1" applyAlignment="1">
      <alignment horizontal="left" vertical="center" wrapText="1"/>
    </xf>
    <xf numFmtId="0" fontId="26" fillId="0" borderId="0" xfId="0" applyFont="1" applyAlignment="1">
      <alignment horizontal="center" vertical="center"/>
    </xf>
    <xf numFmtId="0" fontId="26" fillId="0" borderId="0" xfId="0" applyFont="1" applyAlignment="1">
      <alignment horizontal="left" vertical="center" wrapText="1"/>
    </xf>
    <xf numFmtId="0" fontId="26" fillId="0" borderId="0" xfId="0" applyFont="1" applyAlignment="1">
      <alignment horizontal="center" vertical="center" wrapText="1"/>
    </xf>
    <xf numFmtId="0" fontId="28" fillId="9" borderId="22" xfId="0" applyFont="1" applyFill="1" applyBorder="1" applyAlignment="1">
      <alignment horizontal="center" vertical="center" wrapText="1"/>
    </xf>
    <xf numFmtId="0" fontId="26" fillId="0" borderId="0" xfId="0" applyFont="1" applyAlignment="1">
      <alignment horizontal="center"/>
    </xf>
    <xf numFmtId="0" fontId="28" fillId="9" borderId="2" xfId="0" applyFont="1" applyFill="1" applyBorder="1" applyAlignment="1">
      <alignment horizontal="center" vertical="center" wrapText="1"/>
    </xf>
    <xf numFmtId="0" fontId="26" fillId="0" borderId="0" xfId="0" applyFont="1"/>
    <xf numFmtId="0" fontId="24" fillId="0" borderId="0" xfId="0" applyFont="1" applyAlignment="1">
      <alignment horizontal="center" vertical="center" wrapText="1"/>
    </xf>
    <xf numFmtId="0" fontId="22" fillId="0" borderId="0" xfId="0" applyFont="1" applyAlignment="1">
      <alignment horizontal="center" vertical="center" wrapText="1"/>
    </xf>
    <xf numFmtId="0" fontId="13" fillId="0" borderId="0" xfId="0" applyFont="1" applyAlignment="1">
      <alignment vertical="center" wrapText="1"/>
    </xf>
    <xf numFmtId="0" fontId="6" fillId="3" borderId="7" xfId="0" applyFont="1" applyFill="1" applyBorder="1" applyAlignment="1">
      <alignment horizontal="center" vertical="center" wrapText="1"/>
    </xf>
    <xf numFmtId="0" fontId="3" fillId="0" borderId="9" xfId="0" applyFont="1" applyBorder="1" applyAlignment="1">
      <alignment vertical="center" wrapText="1"/>
    </xf>
    <xf numFmtId="0" fontId="29" fillId="0" borderId="0" xfId="0" applyFont="1" applyAlignment="1">
      <alignment horizontal="center" vertical="center" wrapText="1"/>
    </xf>
    <xf numFmtId="0" fontId="11" fillId="7" borderId="8" xfId="0" applyFont="1" applyFill="1" applyBorder="1" applyAlignment="1">
      <alignment horizontal="left" vertical="center" wrapText="1"/>
    </xf>
    <xf numFmtId="0" fontId="11" fillId="7" borderId="8" xfId="0" applyFont="1" applyFill="1" applyBorder="1" applyAlignment="1">
      <alignment horizontal="center" vertical="center" wrapText="1"/>
    </xf>
    <xf numFmtId="0" fontId="3" fillId="7" borderId="8" xfId="0" applyFont="1" applyFill="1" applyBorder="1" applyAlignment="1">
      <alignment horizontal="center" vertical="center" wrapText="1"/>
    </xf>
    <xf numFmtId="0" fontId="3" fillId="7" borderId="8" xfId="0" applyFont="1" applyFill="1" applyBorder="1" applyAlignment="1">
      <alignment horizontal="left" vertical="center" wrapText="1"/>
    </xf>
    <xf numFmtId="0" fontId="27" fillId="0" borderId="0" xfId="0" applyFont="1" applyAlignment="1">
      <alignment horizontal="center" vertical="center" wrapText="1"/>
    </xf>
    <xf numFmtId="0" fontId="28" fillId="0" borderId="0" xfId="0" applyFont="1" applyAlignment="1">
      <alignment horizontal="center" vertical="center" wrapText="1"/>
    </xf>
    <xf numFmtId="0" fontId="3" fillId="0" borderId="8" xfId="0" applyFont="1" applyBorder="1" applyAlignment="1">
      <alignment vertical="center"/>
    </xf>
    <xf numFmtId="0" fontId="30" fillId="0" borderId="0" xfId="0" applyFont="1" applyAlignment="1">
      <alignment horizontal="center" vertical="center"/>
    </xf>
    <xf numFmtId="0" fontId="3" fillId="0" borderId="9" xfId="0" applyFont="1" applyBorder="1" applyAlignment="1">
      <alignment horizontal="center" vertical="center" wrapText="1"/>
    </xf>
    <xf numFmtId="0" fontId="3" fillId="0" borderId="0" xfId="0" applyFont="1" applyAlignment="1">
      <alignment horizontal="center" vertical="center" wrapText="1"/>
    </xf>
    <xf numFmtId="0" fontId="14" fillId="2" borderId="2" xfId="0" applyFont="1" applyFill="1" applyBorder="1" applyAlignment="1">
      <alignment horizontal="center" vertical="center" wrapText="1"/>
    </xf>
    <xf numFmtId="0" fontId="3" fillId="0" borderId="9" xfId="0" applyFont="1" applyBorder="1" applyAlignment="1">
      <alignment horizontal="left" vertical="center" wrapText="1"/>
    </xf>
    <xf numFmtId="0" fontId="3" fillId="0" borderId="0" xfId="0" applyFont="1" applyAlignment="1">
      <alignment horizontal="left" vertical="center" wrapText="1"/>
    </xf>
    <xf numFmtId="0" fontId="21" fillId="9" borderId="1" xfId="0" applyFont="1" applyFill="1" applyBorder="1" applyAlignment="1">
      <alignment horizontal="center" vertical="center" wrapText="1"/>
    </xf>
    <xf numFmtId="0" fontId="21" fillId="9" borderId="0" xfId="0" applyFont="1" applyFill="1" applyAlignment="1">
      <alignment horizontal="center" vertical="center" wrapText="1"/>
    </xf>
    <xf numFmtId="0" fontId="3" fillId="0" borderId="20" xfId="0" applyFont="1" applyBorder="1" applyAlignment="1">
      <alignment horizontal="left" vertical="center" wrapText="1"/>
    </xf>
    <xf numFmtId="0" fontId="3" fillId="0" borderId="8" xfId="0" applyFont="1" applyBorder="1" applyAlignment="1">
      <alignment horizontal="left" vertical="center" wrapText="1"/>
    </xf>
    <xf numFmtId="0" fontId="3" fillId="0" borderId="0" xfId="0" applyFont="1" applyAlignment="1">
      <alignment horizontal="left" vertical="center"/>
    </xf>
    <xf numFmtId="0" fontId="3" fillId="0" borderId="8" xfId="0" applyFont="1" applyBorder="1" applyAlignment="1">
      <alignment horizontal="left" vertical="center"/>
    </xf>
    <xf numFmtId="0" fontId="11" fillId="0" borderId="5" xfId="0" applyFont="1" applyBorder="1" applyAlignment="1">
      <alignment horizontal="left" vertical="center" wrapText="1"/>
    </xf>
    <xf numFmtId="0" fontId="11" fillId="0" borderId="0" xfId="0" applyFont="1" applyAlignment="1">
      <alignment horizontal="left" vertical="center" wrapText="1"/>
    </xf>
    <xf numFmtId="0" fontId="11" fillId="0" borderId="6" xfId="0" applyFont="1" applyBorder="1" applyAlignment="1">
      <alignment horizontal="left" vertical="center" wrapText="1"/>
    </xf>
    <xf numFmtId="0" fontId="11" fillId="0" borderId="0" xfId="0" applyFont="1" applyAlignment="1">
      <alignment horizontal="center" vertical="center" wrapText="1"/>
    </xf>
    <xf numFmtId="0" fontId="11" fillId="0" borderId="0" xfId="0" applyFont="1" applyAlignment="1">
      <alignment horizontal="center" vertical="center"/>
    </xf>
    <xf numFmtId="0" fontId="11" fillId="0" borderId="6" xfId="0" applyFont="1" applyBorder="1" applyAlignment="1">
      <alignment horizontal="center" vertical="center"/>
    </xf>
    <xf numFmtId="0" fontId="11" fillId="0" borderId="9" xfId="0" applyFont="1" applyBorder="1" applyAlignment="1">
      <alignment horizontal="left" vertical="center" wrapText="1"/>
    </xf>
    <xf numFmtId="0" fontId="13" fillId="0" borderId="9" xfId="0" applyFont="1" applyBorder="1" applyAlignment="1">
      <alignment horizontal="left" vertical="center" wrapText="1"/>
    </xf>
    <xf numFmtId="0" fontId="13" fillId="0" borderId="0" xfId="0" applyFont="1" applyAlignment="1">
      <alignment horizontal="left" vertical="center" wrapText="1"/>
    </xf>
    <xf numFmtId="0" fontId="13" fillId="0" borderId="9" xfId="0" applyFont="1" applyBorder="1" applyAlignment="1">
      <alignment horizontal="center" vertical="center" wrapText="1"/>
    </xf>
    <xf numFmtId="0" fontId="13" fillId="0" borderId="0" xfId="0" applyFont="1" applyAlignment="1">
      <alignment horizontal="center" vertical="center" wrapText="1"/>
    </xf>
    <xf numFmtId="0" fontId="11" fillId="12" borderId="20" xfId="0" applyFont="1" applyFill="1" applyBorder="1" applyAlignment="1">
      <alignment horizontal="center" vertical="center"/>
    </xf>
    <xf numFmtId="0" fontId="11" fillId="12" borderId="0" xfId="0" applyFont="1" applyFill="1" applyAlignment="1">
      <alignment horizontal="center" vertical="center"/>
    </xf>
    <xf numFmtId="0" fontId="11" fillId="12" borderId="8" xfId="0" applyFont="1" applyFill="1" applyBorder="1" applyAlignment="1">
      <alignment horizontal="center" vertical="center"/>
    </xf>
    <xf numFmtId="0" fontId="11" fillId="0" borderId="20" xfId="0" applyFont="1" applyBorder="1" applyAlignment="1">
      <alignment horizontal="left" vertical="center" wrapText="1"/>
    </xf>
    <xf numFmtId="0" fontId="11" fillId="0" borderId="8" xfId="0" applyFont="1" applyBorder="1" applyAlignment="1">
      <alignment horizontal="left" vertical="center" wrapText="1"/>
    </xf>
    <xf numFmtId="0" fontId="11" fillId="0" borderId="20" xfId="0" applyFont="1" applyBorder="1" applyAlignment="1">
      <alignment horizontal="center" vertical="center" wrapText="1"/>
    </xf>
    <xf numFmtId="0" fontId="11" fillId="0" borderId="8" xfId="0" applyFont="1" applyBorder="1" applyAlignment="1">
      <alignment horizontal="center" vertical="center" wrapText="1"/>
    </xf>
    <xf numFmtId="0" fontId="13" fillId="0" borderId="20" xfId="0" applyFont="1" applyBorder="1" applyAlignment="1">
      <alignment horizontal="left" vertical="center" wrapText="1"/>
    </xf>
    <xf numFmtId="0" fontId="13" fillId="0" borderId="8" xfId="0" applyFont="1" applyBorder="1" applyAlignment="1">
      <alignment horizontal="left" vertical="center" wrapText="1"/>
    </xf>
    <xf numFmtId="0" fontId="3" fillId="0" borderId="20" xfId="0" applyFont="1" applyBorder="1" applyAlignment="1">
      <alignment horizontal="center" vertical="center" wrapText="1"/>
    </xf>
    <xf numFmtId="0" fontId="3" fillId="0" borderId="8" xfId="0" applyFont="1" applyBorder="1" applyAlignment="1">
      <alignment horizontal="center" vertical="center" wrapText="1"/>
    </xf>
    <xf numFmtId="0" fontId="3" fillId="0" borderId="20" xfId="0" applyFont="1" applyBorder="1" applyAlignment="1">
      <alignment horizontal="center" vertical="center"/>
    </xf>
    <xf numFmtId="0" fontId="3" fillId="0" borderId="0" xfId="0" applyFont="1" applyAlignment="1">
      <alignment horizontal="center" vertical="center"/>
    </xf>
    <xf numFmtId="0" fontId="3" fillId="0" borderId="8" xfId="0" applyFont="1" applyBorder="1" applyAlignment="1">
      <alignment horizontal="center" vertical="center"/>
    </xf>
    <xf numFmtId="0" fontId="11" fillId="0" borderId="20" xfId="0" applyFont="1" applyBorder="1" applyAlignment="1">
      <alignment horizontal="center" vertical="center"/>
    </xf>
    <xf numFmtId="0" fontId="11" fillId="0" borderId="8" xfId="0" applyFont="1" applyBorder="1" applyAlignment="1">
      <alignment horizontal="center" vertical="center"/>
    </xf>
    <xf numFmtId="0" fontId="13" fillId="0" borderId="20" xfId="0" applyFont="1" applyBorder="1" applyAlignment="1">
      <alignment horizontal="center" vertical="center" wrapText="1"/>
    </xf>
    <xf numFmtId="0" fontId="13" fillId="0" borderId="8" xfId="0" applyFont="1" applyBorder="1" applyAlignment="1">
      <alignment horizontal="center" vertical="center" wrapText="1"/>
    </xf>
    <xf numFmtId="0" fontId="3" fillId="0" borderId="6" xfId="0" applyFont="1" applyBorder="1" applyAlignment="1">
      <alignment horizontal="center" vertical="center" wrapText="1"/>
    </xf>
    <xf numFmtId="0" fontId="19" fillId="9" borderId="2" xfId="0" applyFont="1" applyFill="1" applyBorder="1" applyAlignment="1">
      <alignment horizontal="center" vertical="center" wrapText="1"/>
    </xf>
    <xf numFmtId="0" fontId="3" fillId="0" borderId="0" xfId="0" applyFont="1" applyAlignment="1">
      <alignment horizontal="center"/>
    </xf>
    <xf numFmtId="0" fontId="5" fillId="4" borderId="11" xfId="0" applyFont="1" applyFill="1" applyBorder="1" applyAlignment="1">
      <alignment horizontal="center"/>
    </xf>
    <xf numFmtId="0" fontId="5" fillId="4" borderId="12" xfId="0" applyFont="1" applyFill="1" applyBorder="1" applyAlignment="1">
      <alignment horizontal="center"/>
    </xf>
    <xf numFmtId="0" fontId="5" fillId="4" borderId="19" xfId="0" applyFont="1" applyFill="1" applyBorder="1" applyAlignment="1">
      <alignment horizontal="center"/>
    </xf>
    <xf numFmtId="0" fontId="4" fillId="4" borderId="11" xfId="0" applyFont="1" applyFill="1" applyBorder="1" applyAlignment="1">
      <alignment horizontal="center"/>
    </xf>
    <xf numFmtId="0" fontId="4" fillId="4" borderId="12" xfId="0" applyFont="1" applyFill="1" applyBorder="1" applyAlignment="1">
      <alignment horizontal="center"/>
    </xf>
    <xf numFmtId="0" fontId="4" fillId="4" borderId="19" xfId="0" applyFont="1" applyFill="1" applyBorder="1" applyAlignment="1">
      <alignment horizontal="center"/>
    </xf>
    <xf numFmtId="0" fontId="4" fillId="4" borderId="13" xfId="0" applyFont="1" applyFill="1" applyBorder="1" applyAlignment="1">
      <alignment horizontal="center"/>
    </xf>
  </cellXfs>
  <cellStyles count="2">
    <cellStyle name="Hyperlink" xfId="1" xr:uid="{00000000-000B-0000-0000-000008000000}"/>
    <cellStyle name="Normal" xfId="0" builtinId="0"/>
  </cellStyles>
  <dxfs count="152">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151"/>
    </tableStyle>
    <tableStyle name="Estilo de tabla 2" pivot="0" count="1" xr9:uid="{C6F8D6C6-DD7E-42E8-8328-19C722F9F97F}">
      <tableStyleElement type="wholeTable" dxfId="150"/>
    </tableStyle>
    <tableStyle name="Estilo de tabla 3" pivot="0" count="1" xr9:uid="{BD8219D8-F95E-4ADD-BD98-5883EDA7E91C}">
      <tableStyleElement type="headerRow" dxfId="149"/>
    </tableStyle>
  </tableStyles>
  <colors>
    <mruColors>
      <color rgb="FF1FB2DE"/>
      <color rgb="FF0F385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rgomezva_poligran_edu_co/Documents/2023-2/Reforzamiento%202023/05.Formato%20programas%20reforzamiento%20-%20Pregrado%20Ing%20Telecomunicaciones.xlsx" TargetMode="External"/><Relationship Id="rId2" Type="http://schemas.openxmlformats.org/officeDocument/2006/relationships/externalLinkPath" Target="https://poligran-my.sharepoint.com/personal/rgomezva_poligran_edu_co/Documents/2023-2/Reforzamiento%202023/05.Formato%20programas%20reforzamiento%20-%20Pregrado%20Ing%20Telecomunicaciones.xlsx" TargetMode="External"/><Relationship Id="rId1" Type="http://schemas.openxmlformats.org/officeDocument/2006/relationships/externalLinkPath" Target="/personal/rgomezva_poligran_edu_co/Documents/2023-2/Reforzamiento%202023/05.Formato%20programas%20reforzamiento%20-%20Pregrado%20Ing%20Telecomunicaciones.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jalrodriguezc_poligran_edu_co/Documents/Archivos%20de%20chat%20de%20Microsoft%20Teams/FormatoRA_IngSistemas_PBOG.xlsx" TargetMode="External"/><Relationship Id="rId2" Type="http://schemas.microsoft.com/office/2006/relationships/xlExternalLinkPath/xlPathMissing" Target="FormatoRA_IngSistemas_PBOG.xlsx" TargetMode="External"/><Relationship Id="rId1" Type="http://schemas.openxmlformats.org/officeDocument/2006/relationships/externalLinkPath" Target="/personal/jalrodriguezc_poligran_edu_co/Documents/Archivos%20de%20chat%20de%20Microsoft%20Teams/FormatoRA_IngSistemas_PBO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alla - Listado"/>
      <sheetName val="Malla - Gráfica"/>
      <sheetName val="Hoja1"/>
      <sheetName val="Malla con formulas"/>
      <sheetName val="Malla Definitiva "/>
    </sheetNames>
    <sheetDataSet>
      <sheetData sheetId="0"/>
      <sheetData sheetId="1"/>
      <sheetData sheetId="2"/>
      <sheetData sheetId="3"/>
      <sheetData sheetId="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Paso1 Analisis perfil egreso"/>
      <sheetName val="Paso 2 Redacción competen"/>
      <sheetName val="Paso 3 Redacción RA "/>
      <sheetName val="Paso 4 Estrategias mesocurricu"/>
      <sheetName val="Paso 5 Estrategias microcurricu"/>
      <sheetName val="Taxonomias para RA"/>
      <sheetName val="Taxonomía para competencias"/>
    </sheetNames>
    <sheetDataSet>
      <sheetData sheetId="0"/>
      <sheetData sheetId="1"/>
      <sheetData sheetId="2">
        <row r="2">
          <cell r="I2" t="str">
            <v>Aplica los conocimientos de gestión de proyectos en la solución de problemas informáticos.</v>
          </cell>
        </row>
        <row r="3">
          <cell r="I3" t="str">
            <v>Aplica metodologías y técnicas para la implementación de proyectos informáticos de acuerdo con buenas prácticas y estándares aplicables a la industria.</v>
          </cell>
        </row>
        <row r="4">
          <cell r="I4" t="str">
            <v>Construye sistemas de Tecnología de Información y Comunicaciones aplicando diferentes metodologías de Ingeniería de Software, con el fin de garantizar una infraestructura útil.</v>
          </cell>
        </row>
        <row r="5">
          <cell r="I5" t="str">
            <v>Define planes y estrategias adecuados para brindar soluciones y soporte en áreas de tecnología en diferentes tipos de organizaciones.</v>
          </cell>
        </row>
        <row r="6">
          <cell r="I6" t="str">
            <v>Describe el comportamiento de objetos del mundo real, utilizando herramientas formales de lógica matemática y algoritmia para la construcción de modelos computacionales.</v>
          </cell>
        </row>
        <row r="7">
          <cell r="I7" t="str">
            <v>Determina los requerimientos de hardware y software para dar respuesta a las necesidades presentes y futuras en los departamentos de TI que atiendan a los objetivos organizacionales.</v>
          </cell>
        </row>
        <row r="8">
          <cell r="I8" t="str">
            <v>Determina los requerimientos de hardware y software para dar respuesta a las necesidades presentes y futuras en los departamentos de TI que atiendan a objetivos organizacionales.</v>
          </cell>
        </row>
        <row r="9">
          <cell r="I9" t="str">
            <v xml:space="preserve">Diseña sistemas de información mediante el uso de herramientas de análisis y simulación para la comprensión y el dimensionamiento de problemáticas del sector TIC </v>
          </cell>
        </row>
        <row r="10">
          <cell r="I10" t="str">
            <v>Escoge estándares de tecnología, buenas prácticas, patrones de arquitectura de software y patrones de diseño de software para contribuir con efectividad al desarrollo de las organizaciones.</v>
          </cell>
        </row>
        <row r="11">
          <cell r="I11" t="str">
            <v>Gestiona equipos para el diseño e implementación de proyectos informáticos de acuerdo con buenas prácticas y estándares aplicables a la industria.</v>
          </cell>
        </row>
        <row r="12">
          <cell r="I12" t="str">
            <v>Identifica alternativas de solución algorítmica a problemas,  acordes con el contexto organizacional.</v>
          </cell>
        </row>
        <row r="13">
          <cell r="I13" t="str">
            <v xml:space="preserve">Representa conjuntos de datos en estructuras de información que permitan manipularlos de manera eficiente. </v>
          </cell>
        </row>
        <row r="19">
          <cell r="I19"/>
        </row>
        <row r="20">
          <cell r="I20"/>
        </row>
        <row r="21">
          <cell r="I21"/>
        </row>
      </sheetData>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62A7F4C-394D-4A63-8C31-6F5A9FA00CF6}" name="VerbCompetencias" displayName="VerbCompetencias" ref="B1:B44" totalsRowShown="0" headerRowDxfId="148" dataDxfId="147">
  <autoFilter ref="B1:B44" xr:uid="{362A7F4C-394D-4A63-8C31-6F5A9FA00CF6}"/>
  <sortState xmlns:xlrd2="http://schemas.microsoft.com/office/spreadsheetml/2017/richdata2" ref="B2:B42">
    <sortCondition ref="B1:B42"/>
  </sortState>
  <tableColumns count="1">
    <tableColumn id="1" xr3:uid="{C53878DF-DD9D-4BBB-AA09-333631D819CF}" name="Verbos Competencias" dataDxfId="1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3FC897C-51A8-40FA-8A6D-16607E1D9337}" name="Taxonomías" displayName="Taxonomías" ref="A3:A7" totalsRowShown="0" headerRowDxfId="145" dataDxfId="144">
  <autoFilter ref="A3:A7" xr:uid="{A3FC897C-51A8-40FA-8A6D-16607E1D9337}"/>
  <tableColumns count="1">
    <tableColumn id="1" xr3:uid="{9C710A73-5A6C-4D74-8D35-0922144756C8}" name="Taxonomías" dataDxfId="143"/>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86ADC35-7E11-47CD-8C4E-82C0161878CB}" name="RecordarLK" displayName="RecordarLK" ref="AL4:AL32" totalsRowShown="0" headerRowDxfId="142" dataDxfId="141">
  <autoFilter ref="AL4:AL32" xr:uid="{A86ADC35-7E11-47CD-8C4E-82C0161878CB}"/>
  <sortState xmlns:xlrd2="http://schemas.microsoft.com/office/spreadsheetml/2017/richdata2" ref="AL5:AL32">
    <sortCondition ref="AL5:AL32"/>
  </sortState>
  <tableColumns count="1">
    <tableColumn id="1" xr3:uid="{F7B2547F-39DF-4AD1-9376-DD71A4B15A3A}" name="RecordarLK" dataDxfId="14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7C141AD-DB0A-405B-97B0-CD0559E3B18F}" name="ComprenderLK" displayName="ComprenderLK" ref="AM4:AM28" totalsRowShown="0" headerRowDxfId="139" dataDxfId="138">
  <autoFilter ref="AM4:AM28" xr:uid="{E7C141AD-DB0A-405B-97B0-CD0559E3B18F}"/>
  <sortState xmlns:xlrd2="http://schemas.microsoft.com/office/spreadsheetml/2017/richdata2" ref="AM5:AM28">
    <sortCondition ref="AM5:AM28"/>
  </sortState>
  <tableColumns count="1">
    <tableColumn id="1" xr3:uid="{E2F2B0BD-0E45-4150-BBD9-45A498927A6E}" name="ComprenderLK" dataDxfId="13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111ABA6-04F8-4D19-92A4-BCB2EC5874FA}" name="AplicarLK" displayName="AplicarLK" ref="AN4:AN31" totalsRowShown="0" headerRowDxfId="136" dataDxfId="135">
  <autoFilter ref="AN4:AN31" xr:uid="{2111ABA6-04F8-4D19-92A4-BCB2EC5874FA}"/>
  <sortState xmlns:xlrd2="http://schemas.microsoft.com/office/spreadsheetml/2017/richdata2" ref="AN5:AN31">
    <sortCondition ref="AN5:AN31"/>
  </sortState>
  <tableColumns count="1">
    <tableColumn id="1" xr3:uid="{9C17BB53-94FB-40C6-97C9-CFE593630CE7}" name="AplicarLK" dataDxfId="13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D6D0D10-1ACF-4417-AA9F-28C39B98EEDD}" name="AnalizarLK" displayName="AnalizarLK" ref="AO4:AO35" totalsRowShown="0" headerRowDxfId="133" dataDxfId="132">
  <autoFilter ref="AO4:AO35" xr:uid="{ED6D0D10-1ACF-4417-AA9F-28C39B98EEDD}"/>
  <sortState xmlns:xlrd2="http://schemas.microsoft.com/office/spreadsheetml/2017/richdata2" ref="AO5:AO35">
    <sortCondition ref="AO5:AO35"/>
  </sortState>
  <tableColumns count="1">
    <tableColumn id="1" xr3:uid="{94CE16FD-AAEE-43D4-8FDC-0CD1A9802B14}" name="AnalizarLK" dataDxfId="13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B2C1126-FD42-4594-A570-542F3A42FFD5}" name="EvaluarLK" displayName="EvaluarLK" ref="AP4:AP47" totalsRowShown="0" headerRowDxfId="130" dataDxfId="129">
  <autoFilter ref="AP4:AP47" xr:uid="{5B2C1126-FD42-4594-A570-542F3A42FFD5}"/>
  <sortState xmlns:xlrd2="http://schemas.microsoft.com/office/spreadsheetml/2017/richdata2" ref="AP5:AP47">
    <sortCondition ref="AP5:AP47"/>
  </sortState>
  <tableColumns count="1">
    <tableColumn id="1" xr3:uid="{5A7D999A-3B24-4D10-8776-8F637A11BBBF}" name="EvaluarLK" dataDxfId="12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73356E8-0DA4-4537-A605-40B50EECA942}" name="CrearLK" displayName="CrearLK" ref="AQ4:AQ21" totalsRowShown="0" headerRowDxfId="127" dataDxfId="126">
  <autoFilter ref="AQ4:AQ21" xr:uid="{F73356E8-0DA4-4537-A605-40B50EECA942}"/>
  <sortState xmlns:xlrd2="http://schemas.microsoft.com/office/spreadsheetml/2017/richdata2" ref="AQ5:AQ21">
    <sortCondition ref="AQ5:AQ21"/>
  </sortState>
  <tableColumns count="1">
    <tableColumn id="1" xr3:uid="{0D6225FB-BB47-4165-A4D8-001C96460B99}" name="CrearLK" dataDxfId="125"/>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4D19CD0-B599-49C2-A5DC-A5B35B366BB9}" name="ConocimientoBAK" displayName="ConocimientoBAK" ref="S3:S45" totalsRowShown="0" headerRowDxfId="124" dataDxfId="123">
  <autoFilter ref="S3:S45" xr:uid="{94D19CD0-B599-49C2-A5DC-A5B35B366BB9}"/>
  <sortState xmlns:xlrd2="http://schemas.microsoft.com/office/spreadsheetml/2017/richdata2" ref="S4:S45">
    <sortCondition ref="S4:S45"/>
  </sortState>
  <tableColumns count="1">
    <tableColumn id="1" xr3:uid="{131C3550-9554-4706-A797-0E23C5069E07}" name="ConocimientoBAK" dataDxfId="12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CF8B977-19BC-44A6-930F-A6E27DBBDC2F}" name="ComprensiónBAK" displayName="ComprensiónBAK" ref="T3:T43" totalsRowShown="0" headerRowDxfId="121" dataDxfId="120">
  <autoFilter ref="T3:T43" xr:uid="{1CF8B977-19BC-44A6-930F-A6E27DBBDC2F}"/>
  <sortState xmlns:xlrd2="http://schemas.microsoft.com/office/spreadsheetml/2017/richdata2" ref="T4:T42">
    <sortCondition ref="T4:T42"/>
  </sortState>
  <tableColumns count="1">
    <tableColumn id="1" xr3:uid="{7E430ABA-F727-4AFC-88F2-73710AC2929A}" name="ComprensiónBAK" dataDxfId="119"/>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EF83ADD-CD41-4B24-825B-649C1D09C25F}" name="AplicaciónBAK" displayName="AplicaciónBAK" ref="U3:U43" totalsRowShown="0" headerRowDxfId="118" dataDxfId="117">
  <autoFilter ref="U3:U43" xr:uid="{BEF83ADD-CD41-4B24-825B-649C1D09C25F}"/>
  <sortState xmlns:xlrd2="http://schemas.microsoft.com/office/spreadsheetml/2017/richdata2" ref="U4:U43">
    <sortCondition ref="U4:U43"/>
  </sortState>
  <tableColumns count="1">
    <tableColumn id="1" xr3:uid="{5649DA10-9D37-4451-99F0-CD424DCBDB33}" name="AplicaciónBAK" dataDxfId="11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8F4B4DA5-2E6A-4AE6-935A-CC2B94779B96}" name="AnálisisBAK" displayName="AnálisisBAK" ref="V3:V36" totalsRowShown="0" headerRowDxfId="115" dataDxfId="114">
  <autoFilter ref="V3:V36" xr:uid="{8F4B4DA5-2E6A-4AE6-935A-CC2B94779B96}"/>
  <sortState xmlns:xlrd2="http://schemas.microsoft.com/office/spreadsheetml/2017/richdata2" ref="V4:V36">
    <sortCondition ref="V4:V36"/>
  </sortState>
  <tableColumns count="1">
    <tableColumn id="1" xr3:uid="{CCC11A10-1947-4C0A-9C7D-D3B6BF7B42D9}" name="AnálisisBAK" dataDxfId="113"/>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4D7CAFB-C9DC-44C7-82F9-0E1668B4F0C6}" name="SínstesisBAK" displayName="SínstesisBAK" ref="W3:W63" totalsRowShown="0" headerRowDxfId="112" dataDxfId="111">
  <autoFilter ref="W3:W63" xr:uid="{74D7CAFB-C9DC-44C7-82F9-0E1668B4F0C6}"/>
  <sortState xmlns:xlrd2="http://schemas.microsoft.com/office/spreadsheetml/2017/richdata2" ref="W4:W63">
    <sortCondition ref="W4:W63"/>
  </sortState>
  <tableColumns count="1">
    <tableColumn id="1" xr3:uid="{1DB7FA75-F99E-4305-BD04-E226B0A55E29}" name="SíntesisBAK" dataDxfId="11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4AB64C5-4D59-4C9B-AF8C-AD1D4E5D7E22}" name="EvaluaciónBAK" displayName="EvaluaciónBAK" ref="X3:X66" totalsRowShown="0" headerRowDxfId="109" dataDxfId="108">
  <autoFilter ref="X3:X66" xr:uid="{24AB64C5-4D59-4C9B-AF8C-AD1D4E5D7E22}"/>
  <sortState xmlns:xlrd2="http://schemas.microsoft.com/office/spreadsheetml/2017/richdata2" ref="X4:X66">
    <sortCondition ref="X4:X66"/>
  </sortState>
  <tableColumns count="1">
    <tableColumn id="1" xr3:uid="{ED282AAC-9004-4897-896F-CA9DCE0CC881}" name="EvaluaciónBAK" dataDxfId="107"/>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DAA654B-9F18-418A-B316-13C4C29B9840}" name="ImitaciónBAK" displayName="ImitaciónBAK" ref="Y3:Y52" totalsRowShown="0" headerRowDxfId="106" dataDxfId="105">
  <autoFilter ref="Y3:Y52" xr:uid="{4DAA654B-9F18-418A-B316-13C4C29B9840}"/>
  <sortState xmlns:xlrd2="http://schemas.microsoft.com/office/spreadsheetml/2017/richdata2" ref="Y4:Y52">
    <sortCondition ref="Y3:Y52"/>
  </sortState>
  <tableColumns count="1">
    <tableColumn id="1" xr3:uid="{57E849C6-3555-48E7-9FEC-3992A09995E2}" name="ImitaciónBAK" dataDxfId="10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CC53E0E-533C-40E8-9B1D-08F34978407F}" name="ManipulaciónBAK" displayName="ManipulaciónBAK" ref="Z3:Z41" totalsRowShown="0" headerRowDxfId="103" dataDxfId="102">
  <autoFilter ref="Z3:Z41" xr:uid="{8CC53E0E-533C-40E8-9B1D-08F34978407F}"/>
  <sortState xmlns:xlrd2="http://schemas.microsoft.com/office/spreadsheetml/2017/richdata2" ref="Z4:Z41">
    <sortCondition ref="Z3:Z41"/>
  </sortState>
  <tableColumns count="1">
    <tableColumn id="1" xr3:uid="{1A118719-2487-4815-89D9-51C305E7853F}" name="ManipulaciónBAK" dataDxfId="101"/>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45E75E9-31C0-47B7-9849-772A7E35082A}" name="PrecisiónBAK" displayName="PrecisiónBAK" ref="AA3:AA70" totalsRowShown="0" headerRowDxfId="100" dataDxfId="99">
  <autoFilter ref="AA3:AA70" xr:uid="{A45E75E9-31C0-47B7-9849-772A7E35082A}"/>
  <sortState xmlns:xlrd2="http://schemas.microsoft.com/office/spreadsheetml/2017/richdata2" ref="AA4:AA69">
    <sortCondition ref="AA3:AA69"/>
  </sortState>
  <tableColumns count="1">
    <tableColumn id="1" xr3:uid="{D7343BF8-7739-4634-B69A-0FF2146C9C6B}" name="PrecisiónBAK" dataDxfId="98"/>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2575D95E-8398-49F7-A64E-BAED96B75C10}" name="ControlBAK" displayName="ControlBAK" ref="AB3:AB62" totalsRowShown="0" headerRowDxfId="97" dataDxfId="96">
  <autoFilter ref="AB3:AB62" xr:uid="{2575D95E-8398-49F7-A64E-BAED96B75C10}"/>
  <sortState xmlns:xlrd2="http://schemas.microsoft.com/office/spreadsheetml/2017/richdata2" ref="AB4:AB62">
    <sortCondition ref="AB3:AB62"/>
  </sortState>
  <tableColumns count="1">
    <tableColumn id="1" xr3:uid="{390682D2-CC9B-447C-9FE3-EF387B9B0F97}" name="ControlBAK" dataDxfId="95"/>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459AF7E-D61B-47EF-A78A-788A77BBFA5E}" name="PercepciónBAK" displayName="PercepciónBAK" ref="AC3:AC43" totalsRowShown="0" headerRowDxfId="94" dataDxfId="93">
  <autoFilter ref="AC3:AC43" xr:uid="{F459AF7E-D61B-47EF-A78A-788A77BBFA5E}"/>
  <sortState xmlns:xlrd2="http://schemas.microsoft.com/office/spreadsheetml/2017/richdata2" ref="AC4:AC43">
    <sortCondition ref="AC3:AC43"/>
  </sortState>
  <tableColumns count="1">
    <tableColumn id="1" xr3:uid="{E597DFB6-3416-47A7-B153-FC1DA0E36AB7}" name="PercepciónBAK" dataDxfId="92"/>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EC35434-BE6C-411F-8AAE-73E3CFC3CA78}" name="ResponderBAK" displayName="ResponderBAK" ref="AD3:AD33" totalsRowShown="0" headerRowDxfId="91" dataDxfId="90">
  <autoFilter ref="AD3:AD33" xr:uid="{3EC35434-BE6C-411F-8AAE-73E3CFC3CA78}"/>
  <sortState xmlns:xlrd2="http://schemas.microsoft.com/office/spreadsheetml/2017/richdata2" ref="AD4:AD33">
    <sortCondition ref="AD3:AD33"/>
  </sortState>
  <tableColumns count="1">
    <tableColumn id="1" xr3:uid="{0EE8E37C-6F50-46FC-B79B-C7B27BAD3C2B}" name="ResponderBAK" dataDxfId="8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9344631-8A85-4D95-9EA7-1E2C9FA2E476}" name="ValorarBAK" displayName="ValorarBAK" ref="AE3:AE40" totalsRowShown="0" headerRowDxfId="88" dataDxfId="87">
  <autoFilter ref="AE3:AE40" xr:uid="{19344631-8A85-4D95-9EA7-1E2C9FA2E476}"/>
  <sortState xmlns:xlrd2="http://schemas.microsoft.com/office/spreadsheetml/2017/richdata2" ref="AE4:AE39">
    <sortCondition ref="AE3:AE39"/>
  </sortState>
  <tableColumns count="1">
    <tableColumn id="1" xr3:uid="{0A087805-6D7E-496C-A05E-DA355F0095CB}" name="ValorarBAK" dataDxfId="8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B714438-F124-4D81-8C72-575D6C7ACE44}" name="OrganizarBAK" displayName="OrganizarBAK" ref="AF3:AF29" totalsRowShown="0" headerRowDxfId="85" dataDxfId="84">
  <autoFilter ref="AF3:AF29" xr:uid="{6B714438-F124-4D81-8C72-575D6C7ACE44}"/>
  <sortState xmlns:xlrd2="http://schemas.microsoft.com/office/spreadsheetml/2017/richdata2" ref="AF4:AF29">
    <sortCondition ref="AF3:AF29"/>
  </sortState>
  <tableColumns count="1">
    <tableColumn id="1" xr3:uid="{C5529011-A2C8-433F-8569-8D1E7E575682}" name="OrganizarBAK" dataDxfId="8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621CDAF3-C514-4DAF-8AF4-F1594B99BB24}" name="CaracterizarBAK" displayName="CaracterizarBAK" ref="AG3:AG30" totalsRowShown="0" headerRowDxfId="82" dataDxfId="81">
  <autoFilter ref="AG3:AG30" xr:uid="{621CDAF3-C514-4DAF-8AF4-F1594B99BB24}"/>
  <sortState xmlns:xlrd2="http://schemas.microsoft.com/office/spreadsheetml/2017/richdata2" ref="AG4:AG29">
    <sortCondition ref="AG3:AG29"/>
  </sortState>
  <tableColumns count="1">
    <tableColumn id="1" xr3:uid="{706DA6CE-EB91-496D-BFFE-56AF4683EC52}" name="CaracterizarBAK" dataDxfId="80"/>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C8904B1-8D3B-4FF1-8646-69A8D3170D84}" name="ConocimientoB" displayName="ConocimientoB" ref="L3:L45" totalsRowShown="0" headerRowDxfId="79" dataDxfId="78">
  <autoFilter ref="L3:L45" xr:uid="{7C8904B1-8D3B-4FF1-8646-69A8D3170D84}"/>
  <sortState xmlns:xlrd2="http://schemas.microsoft.com/office/spreadsheetml/2017/richdata2" ref="L4:L45">
    <sortCondition ref="L4:L45"/>
  </sortState>
  <tableColumns count="1">
    <tableColumn id="1" xr3:uid="{2D5405CD-0CB8-4C58-A15B-F109C33FC9E6}" name="ConocimientoB" dataDxfId="77"/>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F0005291-B463-4A9B-8C09-DE8AC9A3EC79}" name="ComprensiónB" displayName="ComprensiónB" ref="M3:M43" totalsRowShown="0" headerRowDxfId="76" dataDxfId="75">
  <autoFilter ref="M3:M43" xr:uid="{F0005291-B463-4A9B-8C09-DE8AC9A3EC79}"/>
  <sortState xmlns:xlrd2="http://schemas.microsoft.com/office/spreadsheetml/2017/richdata2" ref="M4:M42">
    <sortCondition ref="M4:M42"/>
  </sortState>
  <tableColumns count="1">
    <tableColumn id="1" xr3:uid="{E6E77B1E-8AE8-436C-87A4-5FB485834702}" name="ComprensiónB" dataDxfId="74"/>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A30BCC7-420C-4D45-B6B6-70195C3538DA}" name="AplicaciónB" displayName="AplicaciónB" ref="N3:N44" totalsRowShown="0" headerRowDxfId="73" dataDxfId="72">
  <autoFilter ref="N3:N44" xr:uid="{6A30BCC7-420C-4D45-B6B6-70195C3538DA}"/>
  <sortState xmlns:xlrd2="http://schemas.microsoft.com/office/spreadsheetml/2017/richdata2" ref="N4:N43">
    <sortCondition ref="N4:N43"/>
  </sortState>
  <tableColumns count="1">
    <tableColumn id="1" xr3:uid="{E0EA56E0-F032-4CC9-AB57-4DE6D1598D57}" name="AplicaciónB" dataDxfId="7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224BB24-5619-49C4-94FB-96AB72EE5650}" name="AnálisisB" displayName="AnálisisB" ref="O3:O36" totalsRowShown="0" headerRowDxfId="70" dataDxfId="69">
  <autoFilter ref="O3:O36" xr:uid="{2224BB24-5619-49C4-94FB-96AB72EE5650}"/>
  <sortState xmlns:xlrd2="http://schemas.microsoft.com/office/spreadsheetml/2017/richdata2" ref="O4:O36">
    <sortCondition ref="O4:O36"/>
  </sortState>
  <tableColumns count="1">
    <tableColumn id="1" xr3:uid="{3FBB4F1F-ACA5-49B6-A37D-E5FDFD13ECCD}" name="AnálisisB" dataDxfId="68"/>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53E3557D-51F5-4386-93E4-FD0D818D053F}" name="SíntesisB" displayName="SíntesisB" ref="P3:P63" totalsRowShown="0" headerRowDxfId="67" dataDxfId="66">
  <autoFilter ref="P3:P63" xr:uid="{53E3557D-51F5-4386-93E4-FD0D818D053F}"/>
  <sortState xmlns:xlrd2="http://schemas.microsoft.com/office/spreadsheetml/2017/richdata2" ref="P4:P63">
    <sortCondition ref="P4:P63"/>
  </sortState>
  <tableColumns count="1">
    <tableColumn id="1" xr3:uid="{9FB3624B-E64E-47DA-9EAA-88AF038A2D7F}" name="SíntesisB" dataDxfId="65"/>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7124FB3-BDFD-4B6E-BBAF-C6598A6D53D7}" name="EvaluaciónB" displayName="EvaluaciónB" ref="Q3:Q66" totalsRowShown="0" headerRowDxfId="64" dataDxfId="63">
  <autoFilter ref="Q3:Q66" xr:uid="{C7124FB3-BDFD-4B6E-BBAF-C6598A6D53D7}"/>
  <sortState xmlns:xlrd2="http://schemas.microsoft.com/office/spreadsheetml/2017/richdata2" ref="Q4:Q66">
    <sortCondition ref="Q4:Q66"/>
  </sortState>
  <tableColumns count="1">
    <tableColumn id="1" xr3:uid="{1FA17810-5C9D-44CF-93A5-72EEB62A99C9}" name="EvaluaciónB" dataDxfId="62"/>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57EE39A7-1440-4041-A08A-18F25F4968FB}" name="AK" displayName="AK" ref="E3:E6" totalsRowShown="0" headerRowDxfId="61" dataDxfId="60">
  <autoFilter ref="E3:E6" xr:uid="{57EE39A7-1440-4041-A08A-18F25F4968FB}"/>
  <tableColumns count="1">
    <tableColumn id="1" xr3:uid="{2F23B31E-C779-49F9-A954-245BE4177AC0}" name="AK" dataDxfId="59"/>
  </tableColumns>
  <tableStyleInfo name="Estilo de tabla 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5438B67-D634-41E1-84F1-39AE403A058D}" name="LK" displayName="LK" ref="D3:D7" totalsRowShown="0" headerRowDxfId="58" dataDxfId="57">
  <autoFilter ref="D3:D7" xr:uid="{35438B67-D634-41E1-84F1-39AE403A058D}"/>
  <tableColumns count="1">
    <tableColumn id="1" xr3:uid="{C1C9568F-A125-4329-B453-A058FD8FF630}" name="LK" dataDxfId="56"/>
  </tableColumns>
  <tableStyleInfo name="Estilo de tabla 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8DBD34B-11EF-4749-B2BB-FB22AA7E5F89}" name="BAK" displayName="BAK" ref="C3:C6" totalsRowShown="0" headerRowDxfId="55" dataDxfId="54">
  <autoFilter ref="C3:C6" xr:uid="{28DBD34B-11EF-4749-B2BB-FB22AA7E5F89}"/>
  <tableColumns count="1">
    <tableColumn id="1" xr3:uid="{ACA65BC2-3FD7-48E3-B265-633D5CD395F6}" name="BAK" dataDxfId="53"/>
  </tableColumns>
  <tableStyleInfo name="Estilo de tabla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85F4526F-E70A-4B01-8F8D-33369EFB479E}" name="ActitudinalB" displayName="ActitudinalB" ref="I3:I9" totalsRowShown="0" headerRowDxfId="52" dataDxfId="51">
  <autoFilter ref="I3:I9" xr:uid="{85F4526F-E70A-4B01-8F8D-33369EFB479E}"/>
  <tableColumns count="1">
    <tableColumn id="1" xr3:uid="{7511FDFB-CBBA-4DB3-8C4D-FF68B9279AD7}" name="ActitudinalB" dataDxfId="50"/>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DFAA4E58-0E3D-4C38-B134-AE73F0FC0197}" name="ProcedimentalB" displayName="ProcedimentalB" ref="H3:H9" totalsRowShown="0" headerRowDxfId="49" dataDxfId="48">
  <autoFilter ref="H3:H9" xr:uid="{DFAA4E58-0E3D-4C38-B134-AE73F0FC0197}"/>
  <tableColumns count="1">
    <tableColumn id="1" xr3:uid="{4ED00E54-4F14-49B9-B701-FF2F463188CD}" name="ProcedimentalB" dataDxfId="47"/>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C8B3717-DAFD-4E37-8005-349E9A602EC5}" name="CognitivoB" displayName="CognitivoB" ref="G3:G9" totalsRowShown="0" headerRowDxfId="46" dataDxfId="45">
  <autoFilter ref="G3:G9" xr:uid="{0C8B3717-DAFD-4E37-8005-349E9A602EC5}"/>
  <tableColumns count="1">
    <tableColumn id="1" xr3:uid="{E2C7916C-66F2-431E-9B93-D7BAED80FC3A}" name="CognitivoB" dataDxfId="44"/>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8A1C521C-B4CD-4DF4-8C25-A075B7B48FD5}" name="HechosLK" displayName="HechosLK" ref="G11:G17" totalsRowShown="0" headerRowDxfId="43" dataDxfId="42">
  <autoFilter ref="G11:G17" xr:uid="{8A1C521C-B4CD-4DF4-8C25-A075B7B48FD5}"/>
  <tableColumns count="1">
    <tableColumn id="1" xr3:uid="{F205DD3F-58DC-49F6-8DF7-A9FDFA78E901}" name="HechosLK" dataDxfId="41"/>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EAE1057-104B-4F9B-AE6B-F5F60D430995}" name="ConceptosLK" displayName="ConceptosLK" ref="H11:H17" totalsRowShown="0" headerRowDxfId="40" dataDxfId="39">
  <autoFilter ref="H11:H17" xr:uid="{0EAE1057-104B-4F9B-AE6B-F5F60D430995}"/>
  <tableColumns count="1">
    <tableColumn id="1" xr3:uid="{ED8EB327-17D6-4CBD-BF96-91954DB19DA4}" name="ConceptosLK" dataDxfId="38"/>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C5704CC1-8D1D-4541-8B3E-782D4827E87D}" name="ProcedimientosLK" displayName="ProcedimientosLK" ref="I11:I17" totalsRowShown="0" headerRowDxfId="37" dataDxfId="36">
  <autoFilter ref="I11:I17" xr:uid="{C5704CC1-8D1D-4541-8B3E-782D4827E87D}"/>
  <tableColumns count="1">
    <tableColumn id="1" xr3:uid="{75915474-E335-4868-8B24-B84F8C9C1C63}" name="ProcedimientosLK" dataDxfId="35"/>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3F9CFB80-8732-4087-B330-0AFF949ED28A}" name="MetacogniciónLK" displayName="MetacogniciónLK" ref="J11:J17" totalsRowShown="0" headerRowDxfId="34" dataDxfId="33">
  <autoFilter ref="J11:J17" xr:uid="{3F9CFB80-8732-4087-B330-0AFF949ED28A}"/>
  <tableColumns count="1">
    <tableColumn id="1" xr3:uid="{18FBF9DB-382A-4F40-9D18-10877C008AF3}" name="MetacogniciónLK" dataDxfId="32"/>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7470927-1E85-4463-AA7C-1D450FA03673}" name="InformaciónAK" displayName="InformaciónAK" ref="G19:G25" totalsRowShown="0" headerRowDxfId="31" dataDxfId="30">
  <autoFilter ref="G19:G25" xr:uid="{87470927-1E85-4463-AA7C-1D450FA03673}"/>
  <tableColumns count="1">
    <tableColumn id="1" xr3:uid="{4C03EFC8-95AD-4135-A064-59ED0A2972A4}" name="InformaciónAK" dataDxfId="29"/>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3FAB6C65-145F-49A1-9056-95330E603DB4}" name="ProcesosAK" displayName="ProcesosAK" ref="H19:H25" totalsRowShown="0" headerRowDxfId="28" dataDxfId="27">
  <autoFilter ref="H19:H25" xr:uid="{3FAB6C65-145F-49A1-9056-95330E603DB4}"/>
  <tableColumns count="1">
    <tableColumn id="1" xr3:uid="{67C2A4B2-C2BB-4461-9673-21341948DA03}" name="ProcesosAK" dataDxfId="26"/>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7E2DB0D1-A63C-4278-BB90-797F375B1009}" name="PsicomotorAK" displayName="PsicomotorAK" ref="I19:I25" totalsRowShown="0" headerRowDxfId="25" dataDxfId="24">
  <autoFilter ref="I19:I25" xr:uid="{7E2DB0D1-A63C-4278-BB90-797F375B1009}"/>
  <tableColumns count="1">
    <tableColumn id="1" xr3:uid="{C11CE8E5-4283-43E3-97B8-F84DDC504C64}" name="PsicomotorAK" dataDxfId="23"/>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6ECA4D98-E956-4A04-B3B0-0A93F4884397}" name="RecuperaciónAK" displayName="RecuperaciónAK" ref="AT4:AT28" totalsRowShown="0" headerRowDxfId="22" dataDxfId="21" tableBorderDxfId="20">
  <autoFilter ref="AT4:AT28" xr:uid="{6ECA4D98-E956-4A04-B3B0-0A93F4884397}"/>
  <sortState xmlns:xlrd2="http://schemas.microsoft.com/office/spreadsheetml/2017/richdata2" ref="AT5:AT28">
    <sortCondition ref="AT5:AT28"/>
  </sortState>
  <tableColumns count="1">
    <tableColumn id="1" xr3:uid="{6B19F25F-6B18-4C47-BB8D-501A8EEAECC7}" name="RecuperaciónAK" dataDxfId="19"/>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4EE26191-22A3-4D10-AA50-5279EAFE5FF4}" name="ComprensiónAK" displayName="ComprensiónAK" ref="AU4:AU56" totalsRowShown="0" headerRowDxfId="18" dataDxfId="17">
  <autoFilter ref="AU4:AU56" xr:uid="{4EE26191-22A3-4D10-AA50-5279EAFE5FF4}"/>
  <sortState xmlns:xlrd2="http://schemas.microsoft.com/office/spreadsheetml/2017/richdata2" ref="AU5:AU56">
    <sortCondition ref="AU5:AU56"/>
  </sortState>
  <tableColumns count="1">
    <tableColumn id="1" xr3:uid="{20C03E72-5945-4010-ACE3-EE6E3F8AF3C1}" name="ComprensiónAK" dataDxfId="16"/>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7ECF6306-D599-4224-81C8-4E19CA353A6C}" name="AnálisisAK" displayName="AnálisisAK" ref="AV4:AV108" totalsRowShown="0" headerRowDxfId="15" dataDxfId="14" tableBorderDxfId="13">
  <autoFilter ref="AV4:AV108" xr:uid="{7ECF6306-D599-4224-81C8-4E19CA353A6C}"/>
  <sortState xmlns:xlrd2="http://schemas.microsoft.com/office/spreadsheetml/2017/richdata2" ref="AV5:AV108">
    <sortCondition ref="AV5:AV108"/>
  </sortState>
  <tableColumns count="1">
    <tableColumn id="1" xr3:uid="{7A61C7F0-05AD-4DBC-BE6E-D8DBB2716C7D}" name="AnálisisAK" dataDxfId="12"/>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48A9992D-187E-4D64-B1EE-2F797AE41033}" name="UsoConocimientoAK" displayName="UsoConocimientoAK" ref="AW4:AW70" totalsRowShown="0" headerRowDxfId="11" dataDxfId="10" tableBorderDxfId="9">
  <autoFilter ref="AW4:AW70" xr:uid="{48A9992D-187E-4D64-B1EE-2F797AE41033}"/>
  <sortState xmlns:xlrd2="http://schemas.microsoft.com/office/spreadsheetml/2017/richdata2" ref="AW5:AW70">
    <sortCondition ref="AW5:AW70"/>
  </sortState>
  <tableColumns count="1">
    <tableColumn id="1" xr3:uid="{3D5ABE44-0593-435A-B322-A7E32ABD45A0}" name="UsoConocimientoAK" dataDxfId="8"/>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C11DED42-A500-4180-8D74-D70BFEB5AA24}" name="MetacogniciónAK" displayName="MetacogniciónAK" ref="AX4:AX92" totalsRowShown="0" headerRowDxfId="7" dataDxfId="6" tableBorderDxfId="5">
  <autoFilter ref="AX4:AX92" xr:uid="{C11DED42-A500-4180-8D74-D70BFEB5AA24}"/>
  <sortState xmlns:xlrd2="http://schemas.microsoft.com/office/spreadsheetml/2017/richdata2" ref="AX5:AX92">
    <sortCondition ref="AX5:AX92"/>
  </sortState>
  <tableColumns count="1">
    <tableColumn id="1" xr3:uid="{4D90B4AA-1252-483D-B411-7F96C5754ECE}" name="MetacogniciónAK" dataDxfId="4"/>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7DEA9F2E-0ED7-409B-99EE-B0425CBC1A14}" name="SistemadelYoAK" displayName="SistemadelYoAK" ref="AY4:AY87" totalsRowShown="0" headerRowDxfId="3" dataDxfId="2" tableBorderDxfId="1">
  <autoFilter ref="AY4:AY87" xr:uid="{7DEA9F2E-0ED7-409B-99EE-B0425CBC1A14}"/>
  <tableColumns count="1">
    <tableColumn id="1" xr3:uid="{4D5E8ACA-4170-445D-BE28-EA8C4DAEEBDB}" name="SistemadelYo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comments" Target="../comments7.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4" Type="http://schemas.openxmlformats.org/officeDocument/2006/relationships/table" Target="../tables/table44.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20" Type="http://schemas.openxmlformats.org/officeDocument/2006/relationships/table" Target="../tables/table20.xml"/><Relationship Id="rId41" Type="http://schemas.openxmlformats.org/officeDocument/2006/relationships/table" Target="../tables/table41.xml"/><Relationship Id="rId1" Type="http://schemas.openxmlformats.org/officeDocument/2006/relationships/vmlDrawing" Target="../drawings/vmlDrawing7.vml"/><Relationship Id="rId6"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21"/>
  <sheetViews>
    <sheetView topLeftCell="A6" zoomScaleNormal="100" workbookViewId="0">
      <selection activeCell="D3" sqref="D3:D6"/>
    </sheetView>
  </sheetViews>
  <sheetFormatPr baseColWidth="10" defaultColWidth="76.26953125" defaultRowHeight="16.5" x14ac:dyDescent="0.5"/>
  <cols>
    <col min="1" max="1" width="21.1796875" style="2" customWidth="1"/>
    <col min="2" max="2" width="16.7265625" style="2" customWidth="1"/>
    <col min="3" max="3" width="51.54296875" style="2" customWidth="1"/>
    <col min="4" max="4" width="73" style="2" customWidth="1"/>
    <col min="5" max="5" width="32.54296875" style="2" bestFit="1" customWidth="1"/>
    <col min="6" max="6" width="49.453125" customWidth="1"/>
    <col min="7" max="7" width="50.26953125" bestFit="1" customWidth="1"/>
    <col min="8" max="8" width="45.81640625" style="2" customWidth="1"/>
    <col min="9" max="9" width="85.26953125" style="2" customWidth="1"/>
    <col min="10" max="10" width="35.1796875" style="2" customWidth="1"/>
    <col min="11" max="11" width="45.54296875" style="2" customWidth="1"/>
    <col min="12" max="16384" width="76.26953125" style="2"/>
  </cols>
  <sheetData>
    <row r="1" spans="1:11" s="33" customFormat="1" ht="39" x14ac:dyDescent="0.35">
      <c r="A1" s="36" t="s">
        <v>0</v>
      </c>
      <c r="B1" s="36" t="s">
        <v>1</v>
      </c>
      <c r="C1" s="36" t="s">
        <v>2</v>
      </c>
      <c r="D1" s="36" t="s">
        <v>3</v>
      </c>
      <c r="E1" s="141" t="s">
        <v>4</v>
      </c>
      <c r="F1" s="141"/>
      <c r="G1" s="141"/>
      <c r="H1" s="141" t="s">
        <v>5</v>
      </c>
      <c r="I1" s="141"/>
      <c r="J1" s="141"/>
      <c r="K1" s="36" t="s">
        <v>6</v>
      </c>
    </row>
    <row r="2" spans="1:11" s="27" customFormat="1" x14ac:dyDescent="0.5">
      <c r="A2" s="38" t="s">
        <v>7</v>
      </c>
      <c r="B2" s="38" t="s">
        <v>8</v>
      </c>
      <c r="C2" s="38" t="s">
        <v>9</v>
      </c>
      <c r="D2" s="44" t="s">
        <v>10</v>
      </c>
      <c r="E2" s="45" t="s">
        <v>11</v>
      </c>
      <c r="F2" s="128" t="s">
        <v>12</v>
      </c>
      <c r="G2" s="128" t="s">
        <v>13</v>
      </c>
      <c r="H2" s="46" t="s">
        <v>14</v>
      </c>
      <c r="I2" s="46" t="s">
        <v>15</v>
      </c>
      <c r="J2" s="46" t="s">
        <v>16</v>
      </c>
      <c r="K2" s="45" t="s">
        <v>17</v>
      </c>
    </row>
    <row r="3" spans="1:11" s="4" customFormat="1" ht="33" x14ac:dyDescent="0.35">
      <c r="A3" s="139" t="s">
        <v>18</v>
      </c>
      <c r="B3" s="139" t="s">
        <v>19</v>
      </c>
      <c r="C3" s="142" t="s">
        <v>20</v>
      </c>
      <c r="D3" s="142" t="s">
        <v>21</v>
      </c>
      <c r="E3" s="5" t="s">
        <v>22</v>
      </c>
      <c r="F3" s="129" t="s">
        <v>23</v>
      </c>
      <c r="G3" s="129" t="s">
        <v>24</v>
      </c>
      <c r="H3" s="142" t="s">
        <v>25</v>
      </c>
      <c r="I3" s="142" t="s">
        <v>26</v>
      </c>
      <c r="J3" s="142" t="s">
        <v>27</v>
      </c>
      <c r="K3" s="139" t="s">
        <v>28</v>
      </c>
    </row>
    <row r="4" spans="1:11" s="4" customFormat="1" ht="33" x14ac:dyDescent="0.35">
      <c r="A4" s="140"/>
      <c r="B4" s="140"/>
      <c r="C4" s="143"/>
      <c r="D4" s="143"/>
      <c r="E4" s="5" t="s">
        <v>29</v>
      </c>
      <c r="F4" s="4" t="s">
        <v>30</v>
      </c>
      <c r="G4" s="4" t="s">
        <v>31</v>
      </c>
      <c r="H4" s="143"/>
      <c r="I4" s="143"/>
      <c r="J4" s="143"/>
      <c r="K4" s="140"/>
    </row>
    <row r="5" spans="1:11" s="4" customFormat="1" ht="50" thickBot="1" x14ac:dyDescent="0.4">
      <c r="A5" s="140"/>
      <c r="B5" s="140"/>
      <c r="C5" s="143"/>
      <c r="D5" s="143"/>
      <c r="E5" s="5" t="s">
        <v>32</v>
      </c>
      <c r="F5" s="32" t="s">
        <v>33</v>
      </c>
      <c r="G5" s="32" t="s">
        <v>34</v>
      </c>
      <c r="H5" s="143"/>
      <c r="I5" s="143"/>
      <c r="J5" s="143"/>
      <c r="K5" s="140"/>
    </row>
    <row r="6" spans="1:11" s="4" customFormat="1" ht="64" customHeight="1" x14ac:dyDescent="0.35">
      <c r="A6" s="140"/>
      <c r="B6" s="140"/>
      <c r="C6" s="143"/>
      <c r="D6" s="143"/>
      <c r="E6" s="95" t="s">
        <v>35</v>
      </c>
      <c r="F6" s="95" t="s">
        <v>36</v>
      </c>
      <c r="G6" s="95" t="s">
        <v>37</v>
      </c>
      <c r="H6" s="143"/>
      <c r="I6" s="143"/>
      <c r="J6" s="143"/>
      <c r="K6" s="140"/>
    </row>
    <row r="7" spans="1:11" s="4" customFormat="1" x14ac:dyDescent="0.35">
      <c r="C7" s="32"/>
      <c r="D7" s="127"/>
      <c r="E7" s="32"/>
      <c r="F7" s="32"/>
      <c r="G7" s="32"/>
      <c r="H7" s="5"/>
    </row>
    <row r="8" spans="1:11" ht="21" x14ac:dyDescent="0.5">
      <c r="D8" s="26"/>
      <c r="E8" s="8"/>
      <c r="F8" s="8"/>
      <c r="H8" s="3"/>
    </row>
    <row r="9" spans="1:11" ht="21" x14ac:dyDescent="0.5">
      <c r="D9" s="26"/>
      <c r="E9" s="8"/>
      <c r="F9" s="8"/>
      <c r="H9" s="3"/>
    </row>
    <row r="10" spans="1:11" ht="21" x14ac:dyDescent="0.5">
      <c r="C10" s="28"/>
      <c r="D10" s="26"/>
      <c r="E10" s="28"/>
      <c r="F10" s="28"/>
      <c r="H10" s="3"/>
    </row>
    <row r="11" spans="1:11" ht="21" x14ac:dyDescent="0.5">
      <c r="D11" s="26"/>
      <c r="E11" s="8"/>
      <c r="F11" s="8"/>
      <c r="H11" s="3"/>
    </row>
    <row r="12" spans="1:11" ht="21" x14ac:dyDescent="0.5">
      <c r="C12" s="4"/>
      <c r="D12" s="26"/>
      <c r="E12" s="10"/>
      <c r="F12" s="2"/>
      <c r="H12" s="3"/>
    </row>
    <row r="13" spans="1:11" ht="21" x14ac:dyDescent="0.5">
      <c r="D13" s="26"/>
      <c r="E13" s="8"/>
    </row>
    <row r="14" spans="1:11" ht="21" x14ac:dyDescent="0.5">
      <c r="D14" s="26"/>
    </row>
    <row r="15" spans="1:11" ht="21" x14ac:dyDescent="0.5">
      <c r="D15" s="26"/>
    </row>
    <row r="16" spans="1:11" ht="21" x14ac:dyDescent="0.5">
      <c r="D16" s="26"/>
    </row>
    <row r="17" spans="4:4" ht="21" x14ac:dyDescent="0.5">
      <c r="D17" s="26"/>
    </row>
    <row r="18" spans="4:4" ht="21" x14ac:dyDescent="0.5">
      <c r="D18" s="26"/>
    </row>
    <row r="19" spans="4:4" ht="21" x14ac:dyDescent="0.5">
      <c r="D19" s="26"/>
    </row>
    <row r="20" spans="4:4" ht="21" x14ac:dyDescent="0.5">
      <c r="D20" s="26"/>
    </row>
    <row r="21" spans="4:4" ht="21" x14ac:dyDescent="0.5">
      <c r="D21" s="26"/>
    </row>
  </sheetData>
  <mergeCells count="10">
    <mergeCell ref="K3:K6"/>
    <mergeCell ref="E1:G1"/>
    <mergeCell ref="H1:J1"/>
    <mergeCell ref="A3:A6"/>
    <mergeCell ref="B3:B6"/>
    <mergeCell ref="C3:C6"/>
    <mergeCell ref="D3:D6"/>
    <mergeCell ref="H3:H6"/>
    <mergeCell ref="I3:I6"/>
    <mergeCell ref="J3:J6"/>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15"/>
  <sheetViews>
    <sheetView zoomScaleNormal="100" workbookViewId="0">
      <selection sqref="A1:G1"/>
    </sheetView>
  </sheetViews>
  <sheetFormatPr baseColWidth="10" defaultColWidth="11.453125" defaultRowHeight="16.5" x14ac:dyDescent="0.35"/>
  <cols>
    <col min="1" max="1" width="19" style="6" customWidth="1"/>
    <col min="2" max="2" width="23" style="6" customWidth="1"/>
    <col min="3" max="3" width="27" style="6" customWidth="1"/>
    <col min="4" max="4" width="29.26953125" style="6" customWidth="1"/>
    <col min="5" max="5" width="41.81640625" style="6" customWidth="1"/>
    <col min="6" max="6" width="78.54296875" style="6" customWidth="1"/>
    <col min="7" max="7" width="24" style="6" customWidth="1"/>
    <col min="8" max="16384" width="11.453125" style="6"/>
  </cols>
  <sheetData>
    <row r="1" spans="1:7" s="2" customFormat="1" x14ac:dyDescent="0.5">
      <c r="A1" s="144" t="s">
        <v>38</v>
      </c>
      <c r="B1" s="145"/>
      <c r="C1" s="145"/>
      <c r="D1" s="145"/>
      <c r="E1" s="145"/>
      <c r="F1" s="145"/>
      <c r="G1" s="145"/>
    </row>
    <row r="2" spans="1:7" s="37" customFormat="1" ht="78" x14ac:dyDescent="0.35">
      <c r="A2" s="34" t="s">
        <v>39</v>
      </c>
      <c r="B2" s="35" t="s">
        <v>40</v>
      </c>
      <c r="C2" s="35" t="s">
        <v>41</v>
      </c>
      <c r="D2" s="35" t="s">
        <v>42</v>
      </c>
      <c r="E2" s="35" t="s">
        <v>43</v>
      </c>
      <c r="F2" s="36" t="s">
        <v>44</v>
      </c>
      <c r="G2" s="36" t="s">
        <v>45</v>
      </c>
    </row>
    <row r="3" spans="1:7" s="39" customFormat="1" x14ac:dyDescent="0.5">
      <c r="A3" s="58" t="s">
        <v>46</v>
      </c>
      <c r="B3" s="59" t="s">
        <v>47</v>
      </c>
      <c r="C3" s="59" t="s">
        <v>48</v>
      </c>
      <c r="D3" s="59" t="s">
        <v>49</v>
      </c>
      <c r="E3" s="59" t="s">
        <v>50</v>
      </c>
      <c r="F3" s="48" t="s">
        <v>51</v>
      </c>
      <c r="G3" s="48" t="s">
        <v>52</v>
      </c>
    </row>
    <row r="4" spans="1:7" ht="49.5" x14ac:dyDescent="0.35">
      <c r="A4" s="6">
        <v>1</v>
      </c>
      <c r="B4" s="5" t="s">
        <v>53</v>
      </c>
      <c r="C4" s="5" t="s">
        <v>22</v>
      </c>
      <c r="D4" s="129" t="s">
        <v>23</v>
      </c>
      <c r="E4" s="129" t="s">
        <v>24</v>
      </c>
      <c r="F4" s="49" t="s">
        <v>54</v>
      </c>
      <c r="G4" s="6" t="s">
        <v>55</v>
      </c>
    </row>
    <row r="5" spans="1:7" ht="66" x14ac:dyDescent="0.35">
      <c r="A5" s="6">
        <v>2</v>
      </c>
      <c r="B5" s="5" t="s">
        <v>56</v>
      </c>
      <c r="C5" s="5" t="s">
        <v>29</v>
      </c>
      <c r="D5" s="4" t="s">
        <v>30</v>
      </c>
      <c r="E5" s="4" t="s">
        <v>31</v>
      </c>
      <c r="F5" s="5" t="s">
        <v>57</v>
      </c>
      <c r="G5" s="6" t="s">
        <v>55</v>
      </c>
    </row>
    <row r="6" spans="1:7" ht="66.5" thickBot="1" x14ac:dyDescent="0.4">
      <c r="A6" s="86">
        <v>3</v>
      </c>
      <c r="B6" s="85" t="s">
        <v>58</v>
      </c>
      <c r="C6" s="85" t="s">
        <v>32</v>
      </c>
      <c r="D6" s="91" t="s">
        <v>33</v>
      </c>
      <c r="E6" s="91" t="s">
        <v>34</v>
      </c>
      <c r="F6" s="85" t="s">
        <v>59</v>
      </c>
      <c r="G6" s="86" t="s">
        <v>55</v>
      </c>
    </row>
    <row r="7" spans="1:7" ht="66" x14ac:dyDescent="0.35">
      <c r="A7" s="6">
        <v>4</v>
      </c>
      <c r="B7" s="32" t="s">
        <v>60</v>
      </c>
      <c r="C7" s="5" t="s">
        <v>35</v>
      </c>
      <c r="D7" s="32" t="s">
        <v>36</v>
      </c>
      <c r="E7" s="32" t="s">
        <v>61</v>
      </c>
      <c r="F7" s="32" t="s">
        <v>62</v>
      </c>
      <c r="G7" s="6" t="s">
        <v>63</v>
      </c>
    </row>
    <row r="8" spans="1:7" x14ac:dyDescent="0.35">
      <c r="B8" s="5"/>
      <c r="C8" s="30"/>
      <c r="D8" s="31"/>
      <c r="E8" s="31"/>
      <c r="F8" s="5"/>
    </row>
    <row r="9" spans="1:7" x14ac:dyDescent="0.35">
      <c r="C9" s="29"/>
      <c r="D9" s="29"/>
      <c r="E9" s="29"/>
    </row>
    <row r="13" spans="1:7" x14ac:dyDescent="0.35">
      <c r="C13" s="29"/>
      <c r="D13" s="14"/>
      <c r="E13" s="14"/>
    </row>
    <row r="14" spans="1:7" x14ac:dyDescent="0.35">
      <c r="C14" s="29"/>
      <c r="D14" s="14"/>
      <c r="E14" s="14"/>
    </row>
    <row r="15" spans="1:7" x14ac:dyDescent="0.35">
      <c r="C15" s="29"/>
      <c r="D15" s="14"/>
      <c r="E15" s="14"/>
    </row>
  </sheetData>
  <mergeCells count="1">
    <mergeCell ref="A1:G1"/>
  </mergeCells>
  <dataValidations count="1">
    <dataValidation type="list" allowBlank="1" showInputMessage="1" showErrorMessage="1" sqref="B7:B11" xr:uid="{7FF6EE86-2F70-4AF5-821E-634C08680A10}">
      <formula1>Verboscompetencias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67CCD9FD-C355-4093-9DBF-5B728297BE25}">
          <x14:formula1>
            <xm:f>'Taxonomía para competencias'!$B$2:$B$58</xm:f>
          </x14:formula1>
          <xm:sqref>B12</xm:sqref>
        </x14:dataValidation>
        <x14:dataValidation type="list" allowBlank="1" showInputMessage="1" showErrorMessage="1" xr:uid="{27BB9EA1-A522-436A-B320-3844B1FF49FC}">
          <x14:formula1>
            <xm:f>'Taxonomía para competencias'!$B$2:$B$49</xm:f>
          </x14:formula1>
          <xm:sqref>B4:B6</xm:sqref>
        </x14:dataValidation>
        <x14:dataValidation type="list" allowBlank="1" showInputMessage="1" showErrorMessage="1" xr:uid="{5EADCC8E-A021-41D2-A781-82D42FE181E0}">
          <x14:formula1>
            <xm:f>'Paso1 Analisis perfil egreso'!$E$3:$E$7</xm:f>
          </x14:formula1>
          <xm:sqref>C7</xm:sqref>
        </x14:dataValidation>
        <x14:dataValidation type="list" allowBlank="1" showInputMessage="1" showErrorMessage="1" xr:uid="{33DE93D0-28B9-435A-9EE1-5F80FDE293A1}">
          <x14:formula1>
            <xm:f>'Paso1 Analisis perfil egreso'!$E$3:$E$5</xm:f>
          </x14:formula1>
          <xm:sqref>C4:C6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7B830-823B-DB48-96CD-EBD5F6A2AA93}">
  <dimension ref="A1:J25"/>
  <sheetViews>
    <sheetView zoomScaleNormal="100" workbookViewId="0"/>
  </sheetViews>
  <sheetFormatPr baseColWidth="10" defaultColWidth="11.453125" defaultRowHeight="16.5" x14ac:dyDescent="0.35"/>
  <cols>
    <col min="1" max="1" width="93.26953125" style="5" customWidth="1"/>
    <col min="2" max="2" width="23.1796875" style="6" customWidth="1"/>
    <col min="3" max="3" width="25" style="5" customWidth="1"/>
    <col min="4" max="4" width="29.26953125" style="5" customWidth="1"/>
    <col min="5" max="5" width="26.453125" style="5" customWidth="1"/>
    <col min="6" max="6" width="21.26953125" style="5" customWidth="1"/>
    <col min="7" max="7" width="21.26953125" style="7" customWidth="1"/>
    <col min="8" max="8" width="21.26953125" style="88" customWidth="1"/>
    <col min="9" max="9" width="80" style="9" customWidth="1"/>
    <col min="10" max="10" width="97.1796875" style="5" customWidth="1"/>
    <col min="11" max="16384" width="11.453125" style="5"/>
  </cols>
  <sheetData>
    <row r="1" spans="1:10" s="81" customFormat="1" ht="52" x14ac:dyDescent="0.35">
      <c r="A1" s="79" t="s">
        <v>64</v>
      </c>
      <c r="B1" s="79" t="s">
        <v>65</v>
      </c>
      <c r="C1" s="35" t="s">
        <v>66</v>
      </c>
      <c r="D1" s="80" t="s">
        <v>67</v>
      </c>
      <c r="E1" s="80" t="s">
        <v>68</v>
      </c>
      <c r="F1" s="35" t="s">
        <v>69</v>
      </c>
      <c r="G1" s="35" t="s">
        <v>70</v>
      </c>
      <c r="H1" s="35" t="s">
        <v>71</v>
      </c>
      <c r="I1" s="79" t="s">
        <v>72</v>
      </c>
    </row>
    <row r="2" spans="1:10" s="84" customFormat="1" x14ac:dyDescent="0.35">
      <c r="A2" s="82" t="s">
        <v>73</v>
      </c>
      <c r="B2" s="82" t="s">
        <v>74</v>
      </c>
      <c r="C2" s="59" t="s">
        <v>75</v>
      </c>
      <c r="D2" s="83" t="s">
        <v>76</v>
      </c>
      <c r="E2" s="83" t="s">
        <v>77</v>
      </c>
      <c r="F2" s="59" t="s">
        <v>78</v>
      </c>
      <c r="G2" s="59" t="s">
        <v>79</v>
      </c>
      <c r="H2" s="59" t="s">
        <v>80</v>
      </c>
      <c r="I2" s="82" t="s">
        <v>81</v>
      </c>
    </row>
    <row r="3" spans="1:10" ht="49.5" x14ac:dyDescent="0.35">
      <c r="A3" s="5" t="s">
        <v>54</v>
      </c>
      <c r="B3" s="6">
        <v>1</v>
      </c>
      <c r="C3" s="5" t="s">
        <v>11</v>
      </c>
      <c r="D3" s="5" t="s">
        <v>22</v>
      </c>
      <c r="E3" s="5" t="s">
        <v>82</v>
      </c>
      <c r="F3" s="88" t="s">
        <v>83</v>
      </c>
      <c r="G3" s="88" t="s">
        <v>84</v>
      </c>
      <c r="H3" s="5" t="s">
        <v>60</v>
      </c>
      <c r="I3" s="32" t="s">
        <v>85</v>
      </c>
    </row>
    <row r="4" spans="1:10" ht="33" x14ac:dyDescent="0.35">
      <c r="A4" s="5" t="s">
        <v>54</v>
      </c>
      <c r="B4" s="6">
        <v>4</v>
      </c>
      <c r="C4" s="5" t="s">
        <v>12</v>
      </c>
      <c r="D4" s="5" t="s">
        <v>23</v>
      </c>
      <c r="E4" s="5" t="s">
        <v>82</v>
      </c>
      <c r="F4" s="88" t="s">
        <v>86</v>
      </c>
      <c r="G4" s="88" t="s">
        <v>87</v>
      </c>
      <c r="H4" s="5" t="s">
        <v>88</v>
      </c>
      <c r="I4" s="32" t="s">
        <v>89</v>
      </c>
    </row>
    <row r="5" spans="1:10" ht="66.5" thickBot="1" x14ac:dyDescent="0.4">
      <c r="A5" s="85" t="s">
        <v>54</v>
      </c>
      <c r="B5" s="86">
        <v>7</v>
      </c>
      <c r="C5" s="85" t="s">
        <v>13</v>
      </c>
      <c r="D5" s="85" t="s">
        <v>24</v>
      </c>
      <c r="E5" s="85" t="s">
        <v>82</v>
      </c>
      <c r="F5" s="137" t="s">
        <v>90</v>
      </c>
      <c r="G5" s="137" t="s">
        <v>91</v>
      </c>
      <c r="H5" s="85" t="s">
        <v>92</v>
      </c>
      <c r="I5" s="91" t="s">
        <v>93</v>
      </c>
    </row>
    <row r="6" spans="1:10" ht="49.5" x14ac:dyDescent="0.35">
      <c r="A6" s="5" t="s">
        <v>57</v>
      </c>
      <c r="B6" s="6">
        <v>2</v>
      </c>
      <c r="C6" s="5" t="s">
        <v>11</v>
      </c>
      <c r="D6" s="5" t="s">
        <v>29</v>
      </c>
      <c r="E6" s="5" t="s">
        <v>82</v>
      </c>
      <c r="F6" s="88" t="s">
        <v>83</v>
      </c>
      <c r="G6" s="88" t="s">
        <v>84</v>
      </c>
      <c r="H6" s="5" t="s">
        <v>60</v>
      </c>
      <c r="I6" s="32" t="s">
        <v>94</v>
      </c>
    </row>
    <row r="7" spans="1:10" ht="66" x14ac:dyDescent="0.35">
      <c r="A7" s="5" t="s">
        <v>57</v>
      </c>
      <c r="B7" s="6">
        <v>5</v>
      </c>
      <c r="C7" s="5" t="s">
        <v>12</v>
      </c>
      <c r="D7" s="5" t="s">
        <v>30</v>
      </c>
      <c r="E7" s="5" t="s">
        <v>82</v>
      </c>
      <c r="F7" s="88" t="s">
        <v>86</v>
      </c>
      <c r="G7" s="88" t="s">
        <v>87</v>
      </c>
      <c r="H7" s="5" t="s">
        <v>95</v>
      </c>
      <c r="I7" s="32" t="s">
        <v>96</v>
      </c>
      <c r="J7" s="5" t="s">
        <v>97</v>
      </c>
    </row>
    <row r="8" spans="1:10" ht="50" thickBot="1" x14ac:dyDescent="0.4">
      <c r="A8" s="85" t="s">
        <v>57</v>
      </c>
      <c r="B8" s="86">
        <v>7</v>
      </c>
      <c r="C8" s="85" t="s">
        <v>13</v>
      </c>
      <c r="D8" s="85" t="s">
        <v>31</v>
      </c>
      <c r="E8" s="85" t="s">
        <v>82</v>
      </c>
      <c r="F8" s="137" t="s">
        <v>90</v>
      </c>
      <c r="G8" s="137" t="s">
        <v>91</v>
      </c>
      <c r="H8" s="85" t="s">
        <v>92</v>
      </c>
      <c r="I8" s="91" t="s">
        <v>93</v>
      </c>
      <c r="J8" s="127"/>
    </row>
    <row r="9" spans="1:10" ht="49.5" x14ac:dyDescent="0.35">
      <c r="A9" s="5" t="s">
        <v>59</v>
      </c>
      <c r="B9" s="6">
        <v>2</v>
      </c>
      <c r="C9" s="5" t="s">
        <v>11</v>
      </c>
      <c r="D9" s="5" t="s">
        <v>32</v>
      </c>
      <c r="E9" s="5" t="s">
        <v>82</v>
      </c>
      <c r="F9" s="88" t="s">
        <v>83</v>
      </c>
      <c r="G9" s="88" t="s">
        <v>84</v>
      </c>
      <c r="H9" s="5" t="s">
        <v>60</v>
      </c>
      <c r="I9" s="32" t="s">
        <v>94</v>
      </c>
    </row>
    <row r="10" spans="1:10" ht="66" x14ac:dyDescent="0.35">
      <c r="A10" s="5" t="s">
        <v>59</v>
      </c>
      <c r="B10" s="6">
        <v>6</v>
      </c>
      <c r="C10" s="5" t="s">
        <v>12</v>
      </c>
      <c r="D10" s="5" t="s">
        <v>33</v>
      </c>
      <c r="E10" s="5" t="s">
        <v>82</v>
      </c>
      <c r="F10" s="88" t="s">
        <v>86</v>
      </c>
      <c r="G10" s="88" t="s">
        <v>87</v>
      </c>
      <c r="H10" s="5" t="s">
        <v>88</v>
      </c>
      <c r="I10" s="32" t="s">
        <v>98</v>
      </c>
    </row>
    <row r="11" spans="1:10" ht="66.5" thickBot="1" x14ac:dyDescent="0.4">
      <c r="A11" s="85" t="s">
        <v>59</v>
      </c>
      <c r="B11" s="86">
        <v>7</v>
      </c>
      <c r="C11" s="85" t="s">
        <v>13</v>
      </c>
      <c r="D11" s="85" t="s">
        <v>34</v>
      </c>
      <c r="E11" s="85" t="s">
        <v>82</v>
      </c>
      <c r="F11" s="137" t="s">
        <v>90</v>
      </c>
      <c r="G11" s="137" t="s">
        <v>91</v>
      </c>
      <c r="H11" s="85" t="s">
        <v>92</v>
      </c>
      <c r="I11" s="91" t="s">
        <v>93</v>
      </c>
      <c r="J11" s="127"/>
    </row>
    <row r="12" spans="1:10" ht="49.5" x14ac:dyDescent="0.35">
      <c r="A12" s="5" t="s">
        <v>62</v>
      </c>
      <c r="B12" s="6">
        <v>3</v>
      </c>
      <c r="C12" s="5" t="s">
        <v>11</v>
      </c>
      <c r="D12" s="5" t="s">
        <v>35</v>
      </c>
      <c r="E12" s="5" t="s">
        <v>99</v>
      </c>
      <c r="F12" s="88" t="s">
        <v>100</v>
      </c>
      <c r="G12" s="88" t="s">
        <v>101</v>
      </c>
      <c r="H12" s="5" t="s">
        <v>102</v>
      </c>
      <c r="I12" s="32" t="s">
        <v>103</v>
      </c>
      <c r="J12" s="127"/>
    </row>
    <row r="13" spans="1:10" x14ac:dyDescent="0.35">
      <c r="A13" s="4"/>
      <c r="F13" s="9"/>
      <c r="G13" s="9"/>
      <c r="H13" s="5"/>
      <c r="I13" s="4"/>
      <c r="J13" s="87"/>
    </row>
    <row r="14" spans="1:10" x14ac:dyDescent="0.35">
      <c r="A14" s="4"/>
      <c r="F14" s="9"/>
      <c r="G14" s="9"/>
      <c r="H14" s="5"/>
      <c r="I14" s="4"/>
    </row>
    <row r="15" spans="1:10" x14ac:dyDescent="0.35">
      <c r="A15" s="4"/>
      <c r="F15" s="9"/>
      <c r="G15" s="9"/>
      <c r="H15" s="5"/>
      <c r="I15" s="4"/>
    </row>
    <row r="16" spans="1:10" x14ac:dyDescent="0.35">
      <c r="A16" s="4"/>
      <c r="F16" s="9"/>
      <c r="G16" s="9"/>
      <c r="H16" s="5"/>
      <c r="I16" s="4"/>
    </row>
    <row r="17" spans="1:9" x14ac:dyDescent="0.35">
      <c r="A17" s="4"/>
      <c r="F17" s="9"/>
      <c r="G17" s="9"/>
      <c r="H17" s="5"/>
      <c r="I17" s="4"/>
    </row>
    <row r="18" spans="1:9" x14ac:dyDescent="0.35">
      <c r="A18" s="4"/>
      <c r="F18" s="9"/>
      <c r="G18" s="9"/>
      <c r="H18" s="5"/>
      <c r="I18" s="4"/>
    </row>
    <row r="19" spans="1:9" x14ac:dyDescent="0.35">
      <c r="A19" s="4"/>
      <c r="H19" s="5"/>
      <c r="I19" s="4"/>
    </row>
    <row r="20" spans="1:9" x14ac:dyDescent="0.35">
      <c r="A20" s="4"/>
      <c r="I20" s="4"/>
    </row>
    <row r="21" spans="1:9" x14ac:dyDescent="0.35">
      <c r="A21" s="4"/>
      <c r="I21" s="4"/>
    </row>
    <row r="22" spans="1:9" x14ac:dyDescent="0.35">
      <c r="A22" s="4"/>
    </row>
    <row r="23" spans="1:9" x14ac:dyDescent="0.35">
      <c r="A23" s="4"/>
    </row>
    <row r="24" spans="1:9" x14ac:dyDescent="0.35">
      <c r="A24" s="4"/>
    </row>
    <row r="25" spans="1:9" x14ac:dyDescent="0.35">
      <c r="A25" s="4"/>
    </row>
  </sheetData>
  <autoFilter ref="A2:K12" xr:uid="{94AAF649-42F4-466A-BE11-44357078F961}"/>
  <dataValidations count="5">
    <dataValidation type="list" allowBlank="1" showInputMessage="1" showErrorMessage="1" sqref="H3:H12" xr:uid="{EF7E0087-1A07-4340-9A8A-E18F2705EAA5}">
      <formula1>INDIRECT($G3)</formula1>
    </dataValidation>
    <dataValidation type="list" allowBlank="1" showInputMessage="1" showErrorMessage="1" sqref="G3:G12" xr:uid="{C824F632-68FF-A845-8310-1160831D753F}">
      <formula1>INDIRECT($F3)</formula1>
    </dataValidation>
    <dataValidation type="list" allowBlank="1" showInputMessage="1" showErrorMessage="1" sqref="F3:F12" xr:uid="{A432778F-7D53-8543-B7B7-9CEB372333AB}">
      <formula1>INDIRECT($E3)</formula1>
    </dataValidation>
    <dataValidation type="list" allowBlank="1" showInputMessage="1" showErrorMessage="1" sqref="D3:D12" xr:uid="{7E1D182A-6AF9-A04C-9AFE-674494F658A5}">
      <formula1>INDIRECT($C3)</formula1>
    </dataValidation>
    <dataValidation type="list" allowBlank="1" showInputMessage="1" showErrorMessage="1" sqref="C3:C12" xr:uid="{75684620-131C-F04B-80D8-C75EA8359587}">
      <formula1>ComponentesCompetencias</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345BD5CC-7544-FC43-BCE7-641772B9359A}">
          <x14:formula1>
            <xm:f>'Taxonomias para RA'!$A$4:$A$7</xm:f>
          </x14:formula1>
          <xm:sqref>E3:E12</xm:sqref>
        </x14:dataValidation>
        <x14:dataValidation type="list" allowBlank="1" showInputMessage="1" showErrorMessage="1" xr:uid="{98578F6C-C527-A048-93A4-A8514981207B}">
          <x14:formula1>
            <xm:f>'Paso 2 Redacción competen'!$F$4:$F$7</xm:f>
          </x14:formula1>
          <xm:sqref>A3:A12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sheetPr filterMode="1"/>
  <dimension ref="A1:K31"/>
  <sheetViews>
    <sheetView zoomScale="130" zoomScaleNormal="130" workbookViewId="0">
      <selection activeCell="A6" sqref="A6"/>
    </sheetView>
  </sheetViews>
  <sheetFormatPr baseColWidth="10" defaultColWidth="11.453125" defaultRowHeight="70.900000000000006" customHeight="1" x14ac:dyDescent="0.5"/>
  <cols>
    <col min="1" max="1" width="93.26953125" style="5" customWidth="1"/>
    <col min="2" max="2" width="23.1796875" style="6" customWidth="1"/>
    <col min="3" max="3" width="25" style="5" customWidth="1"/>
    <col min="4" max="4" width="36.81640625" style="5" customWidth="1"/>
    <col min="5" max="5" width="30.7265625" style="5" customWidth="1"/>
    <col min="6" max="6" width="21.81640625" style="5" customWidth="1"/>
    <col min="7" max="7" width="27.453125" style="7" customWidth="1"/>
    <col min="8" max="8" width="22.54296875" style="1" customWidth="1"/>
    <col min="9" max="9" width="80" customWidth="1"/>
    <col min="10" max="10" width="97.1796875" style="5" customWidth="1"/>
    <col min="11" max="16384" width="11.453125" style="5"/>
  </cols>
  <sheetData>
    <row r="1" spans="1:11" ht="52" x14ac:dyDescent="0.35">
      <c r="A1" s="42" t="s">
        <v>64</v>
      </c>
      <c r="B1" s="42" t="s">
        <v>65</v>
      </c>
      <c r="C1" s="50" t="s">
        <v>66</v>
      </c>
      <c r="D1" s="51" t="s">
        <v>67</v>
      </c>
      <c r="E1" s="51" t="s">
        <v>68</v>
      </c>
      <c r="F1" s="50" t="s">
        <v>69</v>
      </c>
      <c r="G1" s="50" t="s">
        <v>70</v>
      </c>
      <c r="H1" s="50" t="s">
        <v>71</v>
      </c>
      <c r="I1" s="42" t="s">
        <v>72</v>
      </c>
      <c r="J1" s="43"/>
    </row>
    <row r="2" spans="1:11" ht="16.5" x14ac:dyDescent="0.35">
      <c r="A2" s="60" t="s">
        <v>73</v>
      </c>
      <c r="B2" s="57" t="s">
        <v>74</v>
      </c>
      <c r="C2" s="61" t="s">
        <v>75</v>
      </c>
      <c r="D2" s="52" t="s">
        <v>76</v>
      </c>
      <c r="E2" s="52" t="s">
        <v>77</v>
      </c>
      <c r="F2" s="61" t="s">
        <v>78</v>
      </c>
      <c r="G2" s="61" t="s">
        <v>79</v>
      </c>
      <c r="H2" s="61" t="s">
        <v>80</v>
      </c>
      <c r="I2" s="57" t="s">
        <v>81</v>
      </c>
      <c r="J2" s="62"/>
    </row>
    <row r="3" spans="1:11" ht="136.5" hidden="1" customHeight="1" x14ac:dyDescent="0.35">
      <c r="A3" s="4" t="s">
        <v>104</v>
      </c>
      <c r="B3" s="6">
        <v>1</v>
      </c>
      <c r="C3" s="5" t="s">
        <v>11</v>
      </c>
      <c r="D3" s="5" t="s">
        <v>105</v>
      </c>
      <c r="E3" s="5" t="s">
        <v>82</v>
      </c>
      <c r="F3" s="9" t="s">
        <v>83</v>
      </c>
      <c r="G3" s="9" t="s">
        <v>106</v>
      </c>
      <c r="H3" s="5" t="s">
        <v>102</v>
      </c>
      <c r="I3" s="32" t="s">
        <v>107</v>
      </c>
      <c r="J3" s="25"/>
    </row>
    <row r="4" spans="1:11" ht="142.5" hidden="1" customHeight="1" x14ac:dyDescent="0.35">
      <c r="A4" s="4" t="s">
        <v>104</v>
      </c>
      <c r="B4" s="6">
        <v>4</v>
      </c>
      <c r="C4" s="5" t="s">
        <v>12</v>
      </c>
      <c r="D4" s="5" t="s">
        <v>108</v>
      </c>
      <c r="E4" s="5" t="s">
        <v>82</v>
      </c>
      <c r="F4" s="9" t="s">
        <v>86</v>
      </c>
      <c r="G4" s="9" t="s">
        <v>109</v>
      </c>
      <c r="H4" s="5" t="s">
        <v>95</v>
      </c>
      <c r="I4" s="32" t="s">
        <v>110</v>
      </c>
    </row>
    <row r="5" spans="1:11" ht="126" hidden="1" customHeight="1" x14ac:dyDescent="0.35">
      <c r="A5" s="4" t="s">
        <v>104</v>
      </c>
      <c r="B5" s="6">
        <v>7</v>
      </c>
      <c r="C5" s="5" t="s">
        <v>13</v>
      </c>
      <c r="D5" s="5" t="s">
        <v>111</v>
      </c>
      <c r="E5" s="5" t="s">
        <v>82</v>
      </c>
      <c r="F5" s="9" t="s">
        <v>90</v>
      </c>
      <c r="G5" s="9" t="s">
        <v>91</v>
      </c>
      <c r="H5" s="5" t="s">
        <v>112</v>
      </c>
      <c r="I5" s="32" t="s">
        <v>113</v>
      </c>
    </row>
    <row r="6" spans="1:11" ht="99" x14ac:dyDescent="0.35">
      <c r="A6" s="4" t="s">
        <v>114</v>
      </c>
      <c r="B6" s="6">
        <v>1</v>
      </c>
      <c r="C6" s="5" t="s">
        <v>11</v>
      </c>
      <c r="D6" s="5" t="s">
        <v>115</v>
      </c>
      <c r="E6" s="5" t="s">
        <v>82</v>
      </c>
      <c r="F6" s="9" t="s">
        <v>83</v>
      </c>
      <c r="G6" s="9" t="s">
        <v>106</v>
      </c>
      <c r="H6" s="5" t="s">
        <v>102</v>
      </c>
      <c r="I6" s="32" t="s">
        <v>116</v>
      </c>
    </row>
    <row r="7" spans="1:11" ht="115.5" x14ac:dyDescent="0.35">
      <c r="A7" s="4" t="s">
        <v>114</v>
      </c>
      <c r="B7" s="6">
        <v>5</v>
      </c>
      <c r="C7" s="5" t="s">
        <v>12</v>
      </c>
      <c r="D7" s="5" t="s">
        <v>117</v>
      </c>
      <c r="E7" s="5" t="s">
        <v>82</v>
      </c>
      <c r="F7" s="9" t="s">
        <v>86</v>
      </c>
      <c r="G7" s="9" t="s">
        <v>109</v>
      </c>
      <c r="H7" s="5" t="s">
        <v>95</v>
      </c>
      <c r="I7" s="32" t="s">
        <v>110</v>
      </c>
    </row>
    <row r="8" spans="1:11" ht="82.5" x14ac:dyDescent="0.35">
      <c r="A8" s="4" t="s">
        <v>114</v>
      </c>
      <c r="B8" s="6">
        <v>7</v>
      </c>
      <c r="C8" s="5" t="s">
        <v>13</v>
      </c>
      <c r="D8" s="5" t="s">
        <v>111</v>
      </c>
      <c r="E8" s="5" t="s">
        <v>82</v>
      </c>
      <c r="F8" s="9" t="s">
        <v>90</v>
      </c>
      <c r="G8" s="9" t="s">
        <v>91</v>
      </c>
      <c r="H8" s="5" t="s">
        <v>112</v>
      </c>
      <c r="I8" s="32" t="s">
        <v>113</v>
      </c>
      <c r="J8" s="11"/>
    </row>
    <row r="9" spans="1:11" ht="99" hidden="1" x14ac:dyDescent="0.35">
      <c r="A9" s="4" t="s">
        <v>118</v>
      </c>
      <c r="B9" s="6">
        <v>2</v>
      </c>
      <c r="C9" s="5" t="s">
        <v>11</v>
      </c>
      <c r="D9" s="5" t="s">
        <v>119</v>
      </c>
      <c r="E9" s="5" t="s">
        <v>82</v>
      </c>
      <c r="F9" s="9" t="s">
        <v>83</v>
      </c>
      <c r="G9" s="9" t="s">
        <v>106</v>
      </c>
      <c r="H9" s="5" t="s">
        <v>102</v>
      </c>
      <c r="I9" s="32" t="s">
        <v>116</v>
      </c>
      <c r="J9" s="11"/>
    </row>
    <row r="10" spans="1:11" ht="115.5" hidden="1" x14ac:dyDescent="0.35">
      <c r="A10" s="4" t="s">
        <v>118</v>
      </c>
      <c r="B10" s="6">
        <v>6</v>
      </c>
      <c r="C10" s="5" t="s">
        <v>12</v>
      </c>
      <c r="D10" s="5" t="s">
        <v>120</v>
      </c>
      <c r="E10" s="5" t="s">
        <v>82</v>
      </c>
      <c r="F10" s="9" t="s">
        <v>86</v>
      </c>
      <c r="G10" s="9" t="s">
        <v>109</v>
      </c>
      <c r="H10" s="5" t="s">
        <v>95</v>
      </c>
      <c r="I10" s="32" t="s">
        <v>110</v>
      </c>
    </row>
    <row r="11" spans="1:11" ht="82.5" hidden="1" x14ac:dyDescent="0.5">
      <c r="A11" s="54" t="s">
        <v>118</v>
      </c>
      <c r="B11" s="40">
        <v>7</v>
      </c>
      <c r="C11" s="41" t="s">
        <v>13</v>
      </c>
      <c r="D11" s="5" t="s">
        <v>121</v>
      </c>
      <c r="E11" s="41" t="s">
        <v>82</v>
      </c>
      <c r="F11" s="55" t="s">
        <v>90</v>
      </c>
      <c r="G11" s="55" t="s">
        <v>91</v>
      </c>
      <c r="H11" s="41" t="s">
        <v>112</v>
      </c>
      <c r="I11" s="32" t="s">
        <v>113</v>
      </c>
      <c r="J11" s="54"/>
      <c r="K11" s="47"/>
    </row>
    <row r="12" spans="1:11" ht="49.5" hidden="1" x14ac:dyDescent="0.5">
      <c r="A12" s="4" t="s">
        <v>62</v>
      </c>
      <c r="B12" s="6">
        <v>3</v>
      </c>
      <c r="C12" s="5" t="s">
        <v>11</v>
      </c>
      <c r="D12" s="5" t="s">
        <v>35</v>
      </c>
      <c r="E12" s="5" t="s">
        <v>99</v>
      </c>
      <c r="F12" s="9" t="s">
        <v>100</v>
      </c>
      <c r="G12" s="9" t="s">
        <v>101</v>
      </c>
      <c r="H12" s="5" t="s">
        <v>102</v>
      </c>
      <c r="I12" s="53" t="s">
        <v>103</v>
      </c>
      <c r="J12" s="11"/>
    </row>
    <row r="13" spans="1:11" ht="16.5" x14ac:dyDescent="0.35">
      <c r="A13" s="4"/>
      <c r="F13"/>
      <c r="G13"/>
      <c r="H13" s="5"/>
      <c r="I13" s="4"/>
      <c r="J13" s="11"/>
    </row>
    <row r="14" spans="1:11" ht="16.5" x14ac:dyDescent="0.35">
      <c r="A14" s="4"/>
      <c r="F14"/>
      <c r="G14"/>
      <c r="H14" s="5"/>
      <c r="I14" s="4"/>
    </row>
    <row r="15" spans="1:11" ht="16.5" x14ac:dyDescent="0.35">
      <c r="A15" s="4"/>
      <c r="F15"/>
      <c r="G15"/>
      <c r="H15" s="5"/>
      <c r="I15" s="4"/>
    </row>
    <row r="16" spans="1:11" ht="16.5" x14ac:dyDescent="0.35">
      <c r="A16" s="4"/>
      <c r="F16"/>
      <c r="G16"/>
      <c r="H16" s="5"/>
      <c r="I16" s="4"/>
    </row>
    <row r="17" spans="1:9" ht="16.5" x14ac:dyDescent="0.35">
      <c r="A17" s="4"/>
      <c r="F17"/>
      <c r="G17"/>
      <c r="H17" s="5"/>
      <c r="I17" s="4"/>
    </row>
    <row r="18" spans="1:9" ht="16.5" x14ac:dyDescent="0.35">
      <c r="A18" s="4"/>
      <c r="F18"/>
      <c r="G18"/>
      <c r="H18" s="5"/>
      <c r="I18" s="4"/>
    </row>
    <row r="19" spans="1:9" ht="16.5" x14ac:dyDescent="0.35">
      <c r="A19" s="4"/>
      <c r="H19" s="5"/>
      <c r="I19" s="4"/>
    </row>
    <row r="20" spans="1:9" ht="16.5" x14ac:dyDescent="0.5">
      <c r="A20" s="4"/>
      <c r="I20" s="4"/>
    </row>
    <row r="21" spans="1:9" ht="16.5" x14ac:dyDescent="0.5">
      <c r="A21" s="4"/>
      <c r="I21" s="4"/>
    </row>
    <row r="22" spans="1:9" ht="16.5" x14ac:dyDescent="0.5">
      <c r="A22" s="4"/>
    </row>
    <row r="23" spans="1:9" ht="16.5" x14ac:dyDescent="0.5">
      <c r="A23" s="4"/>
    </row>
    <row r="24" spans="1:9" ht="16.5" x14ac:dyDescent="0.5">
      <c r="A24" s="4"/>
    </row>
    <row r="25" spans="1:9" ht="16.5" x14ac:dyDescent="0.5">
      <c r="A25" s="4"/>
    </row>
    <row r="26" spans="1:9" ht="16.5" x14ac:dyDescent="0.5"/>
    <row r="27" spans="1:9" ht="16.5" x14ac:dyDescent="0.5"/>
    <row r="28" spans="1:9" ht="16.5" x14ac:dyDescent="0.5"/>
    <row r="29" spans="1:9" ht="16.5" x14ac:dyDescent="0.5"/>
    <row r="30" spans="1:9" ht="16.5" x14ac:dyDescent="0.5"/>
    <row r="31" spans="1:9" ht="16.5" x14ac:dyDescent="0.5"/>
  </sheetData>
  <autoFilter xmlns:x14="http://schemas.microsoft.com/office/spreadsheetml/2009/9/main" ref="A2:K12" xr:uid="{94AAF649-42F4-466A-BE11-44357078F961}">
    <filterColumn colId="0">
      <mc:AlternateContent xmlns:mc="http://schemas.openxmlformats.org/markup-compatibility/2006">
        <mc:Choice Requires="x14">
          <filters>
            <x14:filter val="Dominar los elementos de seguridad de la información, redes de comunicaciones y sistemas de cómputo que hacen parte de infraestructuras TIC para diseñar, implementar o administrar infraestructuras y servicios de comunicaciones en sitio o en nube alineado con prácticas basadas en estándares del sector y la normatividad vigente, teniendo en cuenta las condiciones, restricciones y requerimientos técnicos del entorno."/>
          </filters>
        </mc:Choice>
        <mc:Fallback>
          <customFilters>
            <customFilter val=""/>
            <customFilter operator="notEqual" val=" "/>
          </customFilters>
        </mc:Fallback>
      </mc:AlternateContent>
    </filterColumn>
  </autoFilter>
  <dataValidations count="5">
    <dataValidation type="list" allowBlank="1" showInputMessage="1" showErrorMessage="1" sqref="C3:C12" xr:uid="{FFA6D22D-3D22-422C-9E4B-9DF41FFB0D1A}">
      <formula1>ComponentesCompetencias</formula1>
    </dataValidation>
    <dataValidation type="list" allowBlank="1" showInputMessage="1" showErrorMessage="1" sqref="D3:D12" xr:uid="{9AA6F2BA-0C3A-40DD-AD22-0938F849E8C8}">
      <formula1>INDIRECT($C3)</formula1>
    </dataValidation>
    <dataValidation type="list" allowBlank="1" showInputMessage="1" showErrorMessage="1" sqref="F3:F12" xr:uid="{ADE492A9-9311-4C66-8809-49C51DCA3157}">
      <formula1>INDIRECT($E3)</formula1>
    </dataValidation>
    <dataValidation type="list" allowBlank="1" showInputMessage="1" showErrorMessage="1" sqref="G3:G12" xr:uid="{B5B6CC5B-EEB4-499F-8DFB-1C865BA84EBE}">
      <formula1>INDIRECT($F3)</formula1>
    </dataValidation>
    <dataValidation type="list" allowBlank="1" showInputMessage="1" showErrorMessage="1" sqref="H3:H12" xr:uid="{7387A2BF-425F-402D-8212-A970461E8629}">
      <formula1>INDIRECT($G3)</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1E0EDF5A-A1A8-49EE-80CA-8A45EBE16B4F}">
          <x14:formula1>
            <xm:f>'Taxonomias para RA'!$A$4:$A$7</xm:f>
          </x14:formula1>
          <xm:sqref>E3:E12</xm:sqref>
        </x14:dataValidation>
        <x14:dataValidation type="list" allowBlank="1" showInputMessage="1" showErrorMessage="1" xr:uid="{21CB2337-8D31-4329-A03E-63CC0DEF8C59}">
          <x14:formula1>
            <xm:f>'Paso 2 Redacción competen'!$F$4:$F$7</xm:f>
          </x14:formula1>
          <xm:sqref>A3:A12</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D2FE2-9619-401A-8888-2C861DBCAC9F}">
  <dimension ref="A1:F37"/>
  <sheetViews>
    <sheetView zoomScale="90" zoomScaleNormal="90" workbookViewId="0"/>
  </sheetViews>
  <sheetFormatPr baseColWidth="10" defaultColWidth="10.7265625" defaultRowHeight="16.5" x14ac:dyDescent="0.35"/>
  <cols>
    <col min="1" max="1" width="57.54296875" style="7" customWidth="1"/>
    <col min="2" max="2" width="51.26953125" style="7" customWidth="1"/>
    <col min="3" max="3" width="54.7265625" style="5" customWidth="1"/>
    <col min="4" max="5" width="46.453125" style="96" customWidth="1"/>
    <col min="6" max="6" width="38.26953125" style="96" customWidth="1"/>
    <col min="7" max="7" width="10.7265625" style="7"/>
    <col min="8" max="9" width="31.54296875" style="7" customWidth="1"/>
    <col min="10" max="16384" width="10.7265625" style="7"/>
  </cols>
  <sheetData>
    <row r="1" spans="1:6" s="88" customFormat="1" ht="52" x14ac:dyDescent="0.35">
      <c r="A1" s="79" t="s">
        <v>122</v>
      </c>
      <c r="B1" s="79" t="s">
        <v>123</v>
      </c>
      <c r="C1" s="79" t="s">
        <v>124</v>
      </c>
      <c r="D1" s="79" t="s">
        <v>125</v>
      </c>
      <c r="E1" s="79" t="s">
        <v>126</v>
      </c>
      <c r="F1" s="79" t="s">
        <v>127</v>
      </c>
    </row>
    <row r="2" spans="1:6" s="88" customFormat="1" ht="33" x14ac:dyDescent="0.35">
      <c r="A2" s="82" t="s">
        <v>128</v>
      </c>
      <c r="B2" s="82" t="s">
        <v>129</v>
      </c>
      <c r="C2" s="82" t="s">
        <v>130</v>
      </c>
      <c r="D2" s="82" t="s">
        <v>131</v>
      </c>
      <c r="E2" s="82" t="s">
        <v>132</v>
      </c>
      <c r="F2" s="82" t="s">
        <v>133</v>
      </c>
    </row>
    <row r="3" spans="1:6" ht="49.5" x14ac:dyDescent="0.35">
      <c r="A3" s="32" t="s">
        <v>89</v>
      </c>
      <c r="B3" s="159" t="s">
        <v>134</v>
      </c>
      <c r="C3" s="157" t="s">
        <v>135</v>
      </c>
      <c r="D3" s="89" t="s">
        <v>136</v>
      </c>
      <c r="E3" s="156" t="s">
        <v>137</v>
      </c>
      <c r="F3" s="90" t="s">
        <v>138</v>
      </c>
    </row>
    <row r="4" spans="1:6" ht="66" x14ac:dyDescent="0.35">
      <c r="A4" s="32" t="s">
        <v>93</v>
      </c>
      <c r="B4" s="160"/>
      <c r="C4" s="158"/>
      <c r="D4" s="56" t="s">
        <v>139</v>
      </c>
      <c r="E4" s="151"/>
      <c r="F4" s="4" t="s">
        <v>140</v>
      </c>
    </row>
    <row r="5" spans="1:6" ht="33.5" thickBot="1" x14ac:dyDescent="0.4">
      <c r="A5" s="91"/>
      <c r="B5" s="160"/>
      <c r="C5" s="158"/>
      <c r="D5" s="56" t="s">
        <v>141</v>
      </c>
      <c r="E5" s="151"/>
      <c r="F5" s="4" t="s">
        <v>142</v>
      </c>
    </row>
    <row r="6" spans="1:6" ht="66" x14ac:dyDescent="0.35">
      <c r="A6" s="32" t="s">
        <v>85</v>
      </c>
      <c r="B6" s="166" t="s">
        <v>143</v>
      </c>
      <c r="C6" s="168" t="s">
        <v>144</v>
      </c>
      <c r="D6" s="94" t="s">
        <v>139</v>
      </c>
      <c r="E6" s="146" t="s">
        <v>145</v>
      </c>
      <c r="F6" s="95" t="s">
        <v>140</v>
      </c>
    </row>
    <row r="7" spans="1:6" ht="49.5" x14ac:dyDescent="0.35">
      <c r="A7" s="32" t="s">
        <v>89</v>
      </c>
      <c r="B7" s="153"/>
      <c r="C7" s="158"/>
      <c r="D7" s="56" t="s">
        <v>136</v>
      </c>
      <c r="E7" s="143"/>
      <c r="F7" s="32" t="s">
        <v>138</v>
      </c>
    </row>
    <row r="8" spans="1:6" ht="66" x14ac:dyDescent="0.35">
      <c r="A8" s="32" t="s">
        <v>94</v>
      </c>
      <c r="B8" s="153"/>
      <c r="C8" s="158"/>
      <c r="D8" s="56" t="s">
        <v>141</v>
      </c>
      <c r="E8" s="143"/>
      <c r="F8" s="32" t="s">
        <v>142</v>
      </c>
    </row>
    <row r="9" spans="1:6" ht="66.5" thickBot="1" x14ac:dyDescent="0.4">
      <c r="A9" s="91" t="s">
        <v>98</v>
      </c>
      <c r="B9" s="167"/>
      <c r="C9" s="169"/>
      <c r="D9" s="92" t="s">
        <v>146</v>
      </c>
      <c r="E9" s="147"/>
      <c r="F9" s="91" t="s">
        <v>138</v>
      </c>
    </row>
    <row r="10" spans="1:6" ht="66" x14ac:dyDescent="0.35">
      <c r="A10" s="32" t="s">
        <v>85</v>
      </c>
      <c r="B10" s="153" t="s">
        <v>147</v>
      </c>
      <c r="C10" s="168" t="s">
        <v>148</v>
      </c>
      <c r="D10" s="56" t="s">
        <v>149</v>
      </c>
      <c r="E10" s="146" t="s">
        <v>150</v>
      </c>
      <c r="F10" s="78" t="s">
        <v>140</v>
      </c>
    </row>
    <row r="11" spans="1:6" ht="66" x14ac:dyDescent="0.35">
      <c r="A11" s="32" t="s">
        <v>93</v>
      </c>
      <c r="B11" s="153"/>
      <c r="C11" s="158"/>
      <c r="D11" s="56" t="s">
        <v>151</v>
      </c>
      <c r="E11" s="143"/>
      <c r="F11" s="78" t="s">
        <v>138</v>
      </c>
    </row>
    <row r="12" spans="1:6" ht="66.5" thickBot="1" x14ac:dyDescent="0.4">
      <c r="A12" s="91" t="s">
        <v>98</v>
      </c>
      <c r="B12" s="153"/>
      <c r="C12" s="169"/>
      <c r="D12" s="56" t="s">
        <v>141</v>
      </c>
      <c r="E12" s="147"/>
      <c r="F12" s="78" t="s">
        <v>142</v>
      </c>
    </row>
    <row r="13" spans="1:6" ht="66" x14ac:dyDescent="0.35">
      <c r="A13" s="32" t="s">
        <v>85</v>
      </c>
      <c r="B13" s="166" t="s">
        <v>152</v>
      </c>
      <c r="C13" s="168" t="s">
        <v>153</v>
      </c>
      <c r="D13" s="94" t="s">
        <v>139</v>
      </c>
      <c r="E13" s="146" t="s">
        <v>154</v>
      </c>
      <c r="F13" s="95" t="s">
        <v>140</v>
      </c>
    </row>
    <row r="14" spans="1:6" ht="49.5" x14ac:dyDescent="0.35">
      <c r="A14" s="32" t="s">
        <v>89</v>
      </c>
      <c r="B14" s="153"/>
      <c r="C14" s="158"/>
      <c r="D14" s="56" t="s">
        <v>155</v>
      </c>
      <c r="E14" s="143"/>
      <c r="F14" s="32" t="s">
        <v>138</v>
      </c>
    </row>
    <row r="15" spans="1:6" ht="66" x14ac:dyDescent="0.35">
      <c r="A15" s="32" t="s">
        <v>93</v>
      </c>
      <c r="B15" s="153"/>
      <c r="C15" s="158"/>
      <c r="D15" s="78" t="s">
        <v>141</v>
      </c>
      <c r="E15" s="143"/>
      <c r="F15" s="32" t="s">
        <v>142</v>
      </c>
    </row>
    <row r="16" spans="1:6" ht="66.5" thickBot="1" x14ac:dyDescent="0.4">
      <c r="A16" s="91" t="s">
        <v>98</v>
      </c>
      <c r="B16" s="153"/>
      <c r="C16" s="158"/>
      <c r="D16" s="56" t="s">
        <v>156</v>
      </c>
      <c r="E16" s="147"/>
      <c r="F16" s="32" t="s">
        <v>138</v>
      </c>
    </row>
    <row r="17" spans="1:6" ht="66" x14ac:dyDescent="0.35">
      <c r="A17" s="32" t="s">
        <v>85</v>
      </c>
      <c r="B17" s="161" t="s">
        <v>157</v>
      </c>
      <c r="C17" s="164" t="s">
        <v>158</v>
      </c>
      <c r="D17" s="94" t="s">
        <v>139</v>
      </c>
      <c r="E17" s="146" t="s">
        <v>159</v>
      </c>
      <c r="F17" s="95" t="s">
        <v>140</v>
      </c>
    </row>
    <row r="18" spans="1:6" ht="66" x14ac:dyDescent="0.35">
      <c r="A18" s="32" t="s">
        <v>93</v>
      </c>
      <c r="B18" s="162"/>
      <c r="C18" s="151"/>
      <c r="D18" s="56" t="s">
        <v>136</v>
      </c>
      <c r="E18" s="148"/>
      <c r="F18" s="32" t="s">
        <v>138</v>
      </c>
    </row>
    <row r="19" spans="1:6" ht="66" x14ac:dyDescent="0.35">
      <c r="A19" s="32" t="s">
        <v>94</v>
      </c>
      <c r="B19" s="162"/>
      <c r="C19" s="151"/>
      <c r="D19" s="56" t="s">
        <v>141</v>
      </c>
      <c r="E19" s="148"/>
      <c r="F19" s="32" t="s">
        <v>142</v>
      </c>
    </row>
    <row r="20" spans="1:6" ht="50" thickBot="1" x14ac:dyDescent="0.4">
      <c r="A20" s="91" t="s">
        <v>96</v>
      </c>
      <c r="B20" s="163"/>
      <c r="C20" s="165"/>
      <c r="D20" s="92" t="s">
        <v>160</v>
      </c>
      <c r="E20" s="149"/>
      <c r="F20" s="91" t="s">
        <v>138</v>
      </c>
    </row>
    <row r="21" spans="1:6" ht="66" x14ac:dyDescent="0.35">
      <c r="A21" s="32" t="s">
        <v>85</v>
      </c>
      <c r="B21" s="153" t="s">
        <v>161</v>
      </c>
      <c r="C21" s="151" t="s">
        <v>162</v>
      </c>
      <c r="D21" s="78" t="s">
        <v>139</v>
      </c>
      <c r="E21" s="150" t="s">
        <v>163</v>
      </c>
      <c r="F21" s="32" t="s">
        <v>164</v>
      </c>
    </row>
    <row r="22" spans="1:6" ht="49.5" x14ac:dyDescent="0.35">
      <c r="A22" s="32" t="s">
        <v>89</v>
      </c>
      <c r="B22" s="153"/>
      <c r="C22" s="151"/>
      <c r="D22" s="78" t="s">
        <v>136</v>
      </c>
      <c r="E22" s="151"/>
      <c r="F22" s="32" t="s">
        <v>138</v>
      </c>
    </row>
    <row r="23" spans="1:6" ht="66" x14ac:dyDescent="0.35">
      <c r="A23" s="32" t="s">
        <v>94</v>
      </c>
      <c r="B23" s="154"/>
      <c r="C23" s="151"/>
      <c r="D23" s="78" t="s">
        <v>141</v>
      </c>
      <c r="E23" s="151"/>
      <c r="F23" s="32" t="s">
        <v>142</v>
      </c>
    </row>
    <row r="24" spans="1:6" ht="66" x14ac:dyDescent="0.35">
      <c r="A24" s="32" t="s">
        <v>93</v>
      </c>
      <c r="B24" s="154"/>
      <c r="C24" s="151"/>
      <c r="D24" s="78" t="s">
        <v>165</v>
      </c>
      <c r="E24" s="151"/>
      <c r="F24" s="32"/>
    </row>
    <row r="25" spans="1:6" ht="49.5" x14ac:dyDescent="0.35">
      <c r="A25" s="32" t="s">
        <v>96</v>
      </c>
      <c r="B25" s="154"/>
      <c r="C25" s="151"/>
      <c r="D25" s="78"/>
      <c r="E25" s="151"/>
      <c r="F25" s="32"/>
    </row>
    <row r="26" spans="1:6" ht="66.5" thickBot="1" x14ac:dyDescent="0.4">
      <c r="A26" s="91" t="s">
        <v>98</v>
      </c>
      <c r="B26" s="155"/>
      <c r="C26" s="152"/>
      <c r="D26" s="100"/>
      <c r="E26" s="152"/>
      <c r="F26" s="99"/>
    </row>
    <row r="27" spans="1:6" x14ac:dyDescent="0.35">
      <c r="A27" s="32"/>
    </row>
    <row r="28" spans="1:6" x14ac:dyDescent="0.35">
      <c r="A28" s="32"/>
    </row>
    <row r="29" spans="1:6" x14ac:dyDescent="0.35">
      <c r="A29" s="32"/>
    </row>
    <row r="30" spans="1:6" x14ac:dyDescent="0.35">
      <c r="A30" s="32"/>
    </row>
    <row r="31" spans="1:6" x14ac:dyDescent="0.35">
      <c r="A31" s="32"/>
    </row>
    <row r="32" spans="1:6" x14ac:dyDescent="0.35">
      <c r="A32" s="32"/>
    </row>
    <row r="33" spans="1:1" x14ac:dyDescent="0.35">
      <c r="A33" s="32"/>
    </row>
    <row r="34" spans="1:1" x14ac:dyDescent="0.35">
      <c r="A34" s="32"/>
    </row>
    <row r="35" spans="1:1" x14ac:dyDescent="0.35">
      <c r="A35" s="32"/>
    </row>
    <row r="36" spans="1:1" x14ac:dyDescent="0.35">
      <c r="A36" s="32"/>
    </row>
    <row r="37" spans="1:1" x14ac:dyDescent="0.35">
      <c r="A37" s="32"/>
    </row>
  </sheetData>
  <mergeCells count="18">
    <mergeCell ref="E3:E5"/>
    <mergeCell ref="C3:C5"/>
    <mergeCell ref="B3:B5"/>
    <mergeCell ref="B17:B20"/>
    <mergeCell ref="C17:C20"/>
    <mergeCell ref="B6:B9"/>
    <mergeCell ref="C6:C9"/>
    <mergeCell ref="B10:B12"/>
    <mergeCell ref="B13:B16"/>
    <mergeCell ref="C13:C16"/>
    <mergeCell ref="C10:C12"/>
    <mergeCell ref="E6:E9"/>
    <mergeCell ref="E10:E12"/>
    <mergeCell ref="E13:E16"/>
    <mergeCell ref="E17:E20"/>
    <mergeCell ref="E21:E26"/>
    <mergeCell ref="B21:B26"/>
    <mergeCell ref="C21:C26"/>
  </mergeCell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76D4CE67-AD66-4854-B38B-39F44C18D0BA}">
          <x14:formula1>
            <xm:f>'Paso 3 Redacción RA'!$I$3:$I$12</xm:f>
          </x14:formula1>
          <xm:sqref>A3:A37</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EE195A-FBC9-4847-94C9-3ADDAD335674}">
  <dimension ref="A1:T193"/>
  <sheetViews>
    <sheetView tabSelected="1" zoomScale="52" zoomScaleNormal="100" workbookViewId="0">
      <pane ySplit="2" topLeftCell="A179" activePane="bottomLeft" state="frozen"/>
      <selection activeCell="B1" sqref="B1"/>
      <selection pane="bottomLeft" activeCell="F183" sqref="F183"/>
    </sheetView>
  </sheetViews>
  <sheetFormatPr baseColWidth="10" defaultColWidth="14.7265625" defaultRowHeight="16.5" x14ac:dyDescent="0.5"/>
  <cols>
    <col min="1" max="1" width="14.7265625" style="1"/>
    <col min="2" max="2" width="71.81640625" style="5" customWidth="1"/>
    <col min="3" max="3" width="18.453125" style="7" customWidth="1"/>
    <col min="4" max="4" width="33.7265625" style="6" bestFit="1" customWidth="1"/>
    <col min="5" max="5" width="76.7265625" style="5" customWidth="1"/>
    <col min="6" max="6" width="14" style="7" customWidth="1"/>
    <col min="7" max="9" width="15.453125" style="7" customWidth="1"/>
    <col min="10" max="10" width="13.1796875" style="7" customWidth="1"/>
    <col min="11" max="11" width="23.81640625" style="7" customWidth="1"/>
    <col min="12" max="12" width="23.54296875" style="7" customWidth="1"/>
    <col min="13" max="13" width="13.1796875" style="7" customWidth="1"/>
    <col min="14" max="14" width="38.81640625" style="5" customWidth="1"/>
    <col min="15" max="15" width="44" style="5" customWidth="1"/>
    <col min="16" max="16" width="42.54296875" style="5" customWidth="1"/>
    <col min="17" max="17" width="48" style="5" customWidth="1"/>
    <col min="18" max="18" width="4.1796875" style="5" bestFit="1" customWidth="1"/>
    <col min="19" max="19" width="3.1796875" style="5" bestFit="1" customWidth="1"/>
    <col min="20" max="20" width="14.7265625" style="13" customWidth="1"/>
    <col min="21" max="16384" width="14.7265625" style="7"/>
  </cols>
  <sheetData>
    <row r="1" spans="1:20" s="88" customFormat="1" ht="52" x14ac:dyDescent="0.35">
      <c r="A1" s="79" t="s">
        <v>166</v>
      </c>
      <c r="B1" s="79" t="s">
        <v>167</v>
      </c>
      <c r="C1" s="79" t="s">
        <v>168</v>
      </c>
      <c r="D1" s="79" t="s">
        <v>169</v>
      </c>
      <c r="E1" s="79" t="s">
        <v>170</v>
      </c>
      <c r="F1" s="79" t="s">
        <v>171</v>
      </c>
      <c r="G1" s="180" t="s">
        <v>172</v>
      </c>
      <c r="H1" s="180"/>
      <c r="I1" s="180"/>
      <c r="J1" s="79" t="s">
        <v>173</v>
      </c>
      <c r="K1" s="79" t="s">
        <v>174</v>
      </c>
      <c r="L1" s="79" t="s">
        <v>175</v>
      </c>
      <c r="M1" s="79" t="s">
        <v>176</v>
      </c>
      <c r="N1" s="79" t="s">
        <v>177</v>
      </c>
      <c r="O1" s="79" t="s">
        <v>178</v>
      </c>
      <c r="P1" s="79" t="s">
        <v>179</v>
      </c>
      <c r="Q1" s="79" t="s">
        <v>180</v>
      </c>
      <c r="R1" s="108"/>
      <c r="S1" s="108"/>
    </row>
    <row r="2" spans="1:20" s="88" customFormat="1" ht="33.5" thickBot="1" x14ac:dyDescent="0.4">
      <c r="A2" s="82" t="s">
        <v>181</v>
      </c>
      <c r="B2" s="82" t="s">
        <v>128</v>
      </c>
      <c r="C2" s="82" t="s">
        <v>182</v>
      </c>
      <c r="D2" s="82" t="s">
        <v>183</v>
      </c>
      <c r="E2" s="82" t="s">
        <v>184</v>
      </c>
      <c r="F2" s="82" t="s">
        <v>185</v>
      </c>
      <c r="G2" s="82" t="s">
        <v>186</v>
      </c>
      <c r="H2" s="82" t="s">
        <v>187</v>
      </c>
      <c r="I2" s="82" t="s">
        <v>188</v>
      </c>
      <c r="J2" s="82" t="s">
        <v>189</v>
      </c>
      <c r="K2" s="82" t="s">
        <v>190</v>
      </c>
      <c r="L2" s="82" t="s">
        <v>191</v>
      </c>
      <c r="M2" s="82" t="s">
        <v>192</v>
      </c>
      <c r="N2" s="82" t="s">
        <v>193</v>
      </c>
      <c r="O2" s="82" t="s">
        <v>194</v>
      </c>
      <c r="P2" s="82" t="s">
        <v>195</v>
      </c>
      <c r="Q2" s="82" t="s">
        <v>196</v>
      </c>
      <c r="R2" s="109"/>
      <c r="S2" s="109"/>
    </row>
    <row r="3" spans="1:20" s="88" customFormat="1" ht="409.5" x14ac:dyDescent="0.35">
      <c r="A3" s="101" t="str">
        <f>_xlfn.XLOOKUP(B3,'Paso 3 Redacción RA'!I$3:I$12,'Paso 3 Redacción RA'!C$3:C$12,,0,1)</f>
        <v>Saber</v>
      </c>
      <c r="B3" s="101" t="s">
        <v>103</v>
      </c>
      <c r="C3" s="102">
        <v>1</v>
      </c>
      <c r="D3" s="103" t="s">
        <v>197</v>
      </c>
      <c r="E3" s="104" t="s">
        <v>198</v>
      </c>
      <c r="F3" s="102" t="s">
        <v>199</v>
      </c>
      <c r="G3" s="102" t="s">
        <v>200</v>
      </c>
      <c r="H3" s="102"/>
      <c r="I3" s="102"/>
      <c r="J3" s="102">
        <v>3</v>
      </c>
      <c r="K3" s="102">
        <f>J3*12</f>
        <v>36</v>
      </c>
      <c r="L3" s="102">
        <f>J3*36</f>
        <v>108</v>
      </c>
      <c r="M3" s="102">
        <f>SUM(K3:L3)</f>
        <v>144</v>
      </c>
      <c r="N3" s="106" t="s">
        <v>201</v>
      </c>
      <c r="O3" s="101" t="s">
        <v>202</v>
      </c>
      <c r="P3" s="104" t="s">
        <v>203</v>
      </c>
      <c r="Q3" s="101" t="s">
        <v>204</v>
      </c>
      <c r="R3" s="5"/>
      <c r="S3" s="5"/>
      <c r="T3" s="7"/>
    </row>
    <row r="4" spans="1:20" s="96" customFormat="1" ht="42.75" customHeight="1" x14ac:dyDescent="0.5">
      <c r="A4" s="96" t="str">
        <f>_xlfn.XLOOKUP(B4,'Paso 3 Redacción RA'!I$3:I$12,'Paso 3 Redacción RA'!C$3:C$12,,0,1)</f>
        <v>Saber</v>
      </c>
      <c r="B4" s="78" t="s">
        <v>85</v>
      </c>
      <c r="C4" s="154">
        <v>1</v>
      </c>
      <c r="D4" s="140" t="s">
        <v>205</v>
      </c>
      <c r="E4" s="143" t="s">
        <v>206</v>
      </c>
      <c r="F4" s="140" t="s">
        <v>207</v>
      </c>
      <c r="G4" s="140"/>
      <c r="H4" s="140" t="s">
        <v>200</v>
      </c>
      <c r="I4" s="140"/>
      <c r="J4" s="140">
        <v>3</v>
      </c>
      <c r="K4" s="170">
        <f>J4*12</f>
        <v>36</v>
      </c>
      <c r="L4" s="170">
        <f>J4*36</f>
        <v>108</v>
      </c>
      <c r="M4" s="170">
        <f>SUM(K4:L4)</f>
        <v>144</v>
      </c>
      <c r="N4" s="143" t="s">
        <v>208</v>
      </c>
      <c r="O4" s="143" t="s">
        <v>202</v>
      </c>
      <c r="P4" s="143" t="s">
        <v>209</v>
      </c>
      <c r="Q4" s="143" t="s">
        <v>204</v>
      </c>
      <c r="R4" s="5"/>
      <c r="S4" s="5"/>
      <c r="T4" s="111"/>
    </row>
    <row r="5" spans="1:20" s="96" customFormat="1" ht="33" customHeight="1" x14ac:dyDescent="0.5">
      <c r="A5" s="96" t="str">
        <f>_xlfn.XLOOKUP(B5,'Paso 3 Redacción RA'!I$3:I$12,'Paso 3 Redacción RA'!C$3:C$12,,0,1)</f>
        <v>SaberHacer</v>
      </c>
      <c r="B5" s="78" t="s">
        <v>89</v>
      </c>
      <c r="C5" s="154"/>
      <c r="D5" s="140"/>
      <c r="E5" s="143"/>
      <c r="F5" s="140"/>
      <c r="G5" s="140"/>
      <c r="H5" s="140"/>
      <c r="I5" s="140"/>
      <c r="J5" s="140"/>
      <c r="K5" s="140"/>
      <c r="L5" s="140"/>
      <c r="M5" s="140"/>
      <c r="N5" s="143"/>
      <c r="O5" s="143"/>
      <c r="P5" s="143"/>
      <c r="Q5" s="143"/>
      <c r="R5" s="5"/>
      <c r="S5" s="5"/>
      <c r="T5" s="111"/>
    </row>
    <row r="6" spans="1:20" s="96" customFormat="1" ht="49.5" customHeight="1" x14ac:dyDescent="0.5">
      <c r="A6" s="96" t="str">
        <f>_xlfn.XLOOKUP(B6,'Paso 3 Redacción RA'!I$3:I$12,'Paso 3 Redacción RA'!C$3:C$12,,0,1)</f>
        <v>SaberSer</v>
      </c>
      <c r="B6" s="78" t="s">
        <v>93</v>
      </c>
      <c r="C6" s="154"/>
      <c r="D6" s="140"/>
      <c r="E6" s="143"/>
      <c r="F6" s="140"/>
      <c r="G6" s="140"/>
      <c r="H6" s="140"/>
      <c r="I6" s="140"/>
      <c r="J6" s="140"/>
      <c r="K6" s="140"/>
      <c r="L6" s="140"/>
      <c r="M6" s="140"/>
      <c r="N6" s="143"/>
      <c r="O6" s="143"/>
      <c r="P6" s="143"/>
      <c r="Q6" s="143"/>
      <c r="R6" s="5"/>
      <c r="S6" s="5"/>
      <c r="T6" s="111"/>
    </row>
    <row r="7" spans="1:20" s="96" customFormat="1" ht="33" customHeight="1" x14ac:dyDescent="0.5">
      <c r="A7" s="96" t="str">
        <f>_xlfn.XLOOKUP(B7,'Paso 3 Redacción RA'!I$3:I$12,'Paso 3 Redacción RA'!C$3:C$12,,0,1)</f>
        <v>Saber</v>
      </c>
      <c r="B7" s="78" t="s">
        <v>94</v>
      </c>
      <c r="C7" s="154"/>
      <c r="D7" s="140"/>
      <c r="E7" s="143"/>
      <c r="F7" s="140"/>
      <c r="G7" s="140"/>
      <c r="H7" s="140"/>
      <c r="I7" s="140"/>
      <c r="J7" s="140"/>
      <c r="K7" s="140"/>
      <c r="L7" s="140"/>
      <c r="M7" s="140"/>
      <c r="N7" s="143"/>
      <c r="O7" s="143"/>
      <c r="P7" s="143"/>
      <c r="Q7" s="143"/>
      <c r="R7" s="5"/>
      <c r="S7" s="5"/>
      <c r="T7" s="111"/>
    </row>
    <row r="8" spans="1:20" s="96" customFormat="1" ht="50.15" customHeight="1" x14ac:dyDescent="0.5">
      <c r="A8" s="97" t="str">
        <f>_xlfn.XLOOKUP(B8,'Paso 3 Redacción RA'!I$3:I$12,'Paso 3 Redacción RA'!C$3:C$12,,0,1)</f>
        <v>SaberHacer</v>
      </c>
      <c r="B8" s="93" t="s">
        <v>98</v>
      </c>
      <c r="C8" s="176"/>
      <c r="D8" s="171"/>
      <c r="E8" s="147"/>
      <c r="F8" s="171"/>
      <c r="G8" s="171"/>
      <c r="H8" s="171"/>
      <c r="I8" s="171"/>
      <c r="J8" s="171"/>
      <c r="K8" s="171"/>
      <c r="L8" s="171"/>
      <c r="M8" s="171"/>
      <c r="N8" s="147"/>
      <c r="O8" s="147"/>
      <c r="P8" s="147"/>
      <c r="Q8" s="147"/>
      <c r="R8" s="5"/>
      <c r="S8" s="5"/>
      <c r="T8" s="111"/>
    </row>
    <row r="9" spans="1:20" s="96" customFormat="1" ht="49.5" x14ac:dyDescent="0.5">
      <c r="A9" s="96" t="str">
        <f>_xlfn.XLOOKUP(B9,'Paso 3 Redacción RA'!I$3:I$12,'Paso 3 Redacción RA'!C$3:C$12,,0,1)</f>
        <v>Saber</v>
      </c>
      <c r="B9" s="98" t="s">
        <v>85</v>
      </c>
      <c r="C9" s="175" t="s">
        <v>210</v>
      </c>
      <c r="D9" s="170" t="s">
        <v>211</v>
      </c>
      <c r="E9" s="164" t="s">
        <v>212</v>
      </c>
      <c r="F9" s="170" t="s">
        <v>199</v>
      </c>
      <c r="G9" s="170"/>
      <c r="H9" s="170" t="s">
        <v>200</v>
      </c>
      <c r="I9" s="170"/>
      <c r="J9" s="170">
        <v>3</v>
      </c>
      <c r="K9" s="170">
        <f>J9*12</f>
        <v>36</v>
      </c>
      <c r="L9" s="170">
        <f>J9*36</f>
        <v>108</v>
      </c>
      <c r="M9" s="170">
        <f>SUM(K9:L9)</f>
        <v>144</v>
      </c>
      <c r="N9" s="146" t="s">
        <v>213</v>
      </c>
      <c r="O9" s="146" t="s">
        <v>202</v>
      </c>
      <c r="P9" s="146" t="s">
        <v>214</v>
      </c>
      <c r="Q9" s="146" t="s">
        <v>204</v>
      </c>
      <c r="R9" s="5"/>
      <c r="S9" s="5"/>
      <c r="T9" s="111"/>
    </row>
    <row r="10" spans="1:20" s="96" customFormat="1" ht="49.5" x14ac:dyDescent="0.5">
      <c r="A10" s="96" t="str">
        <f>_xlfn.XLOOKUP(B10,'Paso 3 Redacción RA'!I$3:I$12,'Paso 3 Redacción RA'!C$3:C$12,,0,1)</f>
        <v>SaberHacer</v>
      </c>
      <c r="B10" s="78" t="s">
        <v>89</v>
      </c>
      <c r="C10" s="154"/>
      <c r="D10" s="140"/>
      <c r="E10" s="151"/>
      <c r="F10" s="140"/>
      <c r="G10" s="140"/>
      <c r="H10" s="140"/>
      <c r="I10" s="140"/>
      <c r="J10" s="140"/>
      <c r="K10" s="140"/>
      <c r="L10" s="140"/>
      <c r="M10" s="140"/>
      <c r="N10" s="143"/>
      <c r="O10" s="143"/>
      <c r="P10" s="143"/>
      <c r="Q10" s="143"/>
      <c r="R10" s="5"/>
      <c r="S10" s="5"/>
      <c r="T10" s="111"/>
    </row>
    <row r="11" spans="1:20" s="96" customFormat="1" ht="49.5" x14ac:dyDescent="0.5">
      <c r="A11" s="96" t="str">
        <f>_xlfn.XLOOKUP(B11,'Paso 3 Redacción RA'!I$3:I$12,'Paso 3 Redacción RA'!C$3:C$12,,0,1)</f>
        <v>SaberSer</v>
      </c>
      <c r="B11" s="78" t="s">
        <v>93</v>
      </c>
      <c r="C11" s="154"/>
      <c r="D11" s="140"/>
      <c r="E11" s="151"/>
      <c r="F11" s="140"/>
      <c r="G11" s="140"/>
      <c r="H11" s="140"/>
      <c r="I11" s="140"/>
      <c r="J11" s="140"/>
      <c r="K11" s="140"/>
      <c r="L11" s="140"/>
      <c r="M11" s="140"/>
      <c r="N11" s="143"/>
      <c r="O11" s="143"/>
      <c r="P11" s="143"/>
      <c r="Q11" s="143"/>
      <c r="R11" s="5"/>
      <c r="S11" s="5"/>
      <c r="T11" s="111"/>
    </row>
    <row r="12" spans="1:20" s="96" customFormat="1" ht="49.5" x14ac:dyDescent="0.5">
      <c r="A12" s="96" t="str">
        <f>_xlfn.XLOOKUP(B12,'Paso 3 Redacción RA'!I$3:I$12,'Paso 3 Redacción RA'!C$3:C$12,,0,1)</f>
        <v>Saber</v>
      </c>
      <c r="B12" s="78" t="s">
        <v>94</v>
      </c>
      <c r="C12" s="154"/>
      <c r="D12" s="140"/>
      <c r="E12" s="151"/>
      <c r="F12" s="140"/>
      <c r="G12" s="140"/>
      <c r="H12" s="140"/>
      <c r="I12" s="140"/>
      <c r="J12" s="140"/>
      <c r="K12" s="140"/>
      <c r="L12" s="140"/>
      <c r="M12" s="140"/>
      <c r="N12" s="143"/>
      <c r="O12" s="143"/>
      <c r="P12" s="143"/>
      <c r="Q12" s="143"/>
      <c r="R12" s="5"/>
      <c r="S12" s="5"/>
      <c r="T12" s="111"/>
    </row>
    <row r="13" spans="1:20" s="96" customFormat="1" ht="50" thickBot="1" x14ac:dyDescent="0.55000000000000004">
      <c r="A13" s="97" t="str">
        <f>_xlfn.XLOOKUP(B13,'Paso 3 Redacción RA'!I$3:I$12,'Paso 3 Redacción RA'!C$3:C$12,,0,1)</f>
        <v>SaberHacer</v>
      </c>
      <c r="B13" s="93" t="s">
        <v>96</v>
      </c>
      <c r="C13" s="176"/>
      <c r="D13" s="171"/>
      <c r="E13" s="165"/>
      <c r="F13" s="171"/>
      <c r="G13" s="171"/>
      <c r="H13" s="171"/>
      <c r="I13" s="171"/>
      <c r="J13" s="171"/>
      <c r="K13" s="171"/>
      <c r="L13" s="171"/>
      <c r="M13" s="171"/>
      <c r="N13" s="147"/>
      <c r="O13" s="147"/>
      <c r="P13" s="147"/>
      <c r="Q13" s="147"/>
      <c r="R13" s="5"/>
      <c r="S13" s="5"/>
      <c r="T13" s="111"/>
    </row>
    <row r="14" spans="1:20" s="96" customFormat="1" ht="409.6" thickBot="1" x14ac:dyDescent="0.55000000000000004">
      <c r="A14" s="104" t="str">
        <f>_xlfn.XLOOKUP(B14,'Paso 3 Redacción RA'!I$3:I$12,'Paso 3 Redacción RA'!C$3:C$12,,0,1)</f>
        <v>Saber</v>
      </c>
      <c r="B14" s="104" t="s">
        <v>103</v>
      </c>
      <c r="C14" s="103">
        <v>1</v>
      </c>
      <c r="D14" s="103" t="s">
        <v>215</v>
      </c>
      <c r="E14" s="104" t="s">
        <v>216</v>
      </c>
      <c r="F14" s="103" t="s">
        <v>199</v>
      </c>
      <c r="G14" s="102" t="s">
        <v>200</v>
      </c>
      <c r="H14" s="102"/>
      <c r="I14" s="102"/>
      <c r="J14" s="102">
        <v>3</v>
      </c>
      <c r="K14" s="102">
        <f>J14*12</f>
        <v>36</v>
      </c>
      <c r="L14" s="102">
        <f>J14*36</f>
        <v>108</v>
      </c>
      <c r="M14" s="102">
        <f>SUM(K14:L14)</f>
        <v>144</v>
      </c>
      <c r="N14" s="101" t="s">
        <v>217</v>
      </c>
      <c r="O14" s="101" t="s">
        <v>202</v>
      </c>
      <c r="P14" s="101" t="s">
        <v>203</v>
      </c>
      <c r="Q14" s="101" t="s">
        <v>204</v>
      </c>
      <c r="R14" s="5"/>
      <c r="S14" s="5"/>
      <c r="T14" s="111"/>
    </row>
    <row r="15" spans="1:20" s="5" customFormat="1" ht="49.5" x14ac:dyDescent="0.5">
      <c r="A15" s="96" t="str">
        <f>_xlfn.XLOOKUP(B15,'Paso 3 Redacción RA'!I$3:I$12,'Paso 3 Redacción RA'!C$3:C$12,,0,1)</f>
        <v>Saber</v>
      </c>
      <c r="B15" s="78" t="s">
        <v>85</v>
      </c>
      <c r="C15" s="166" t="s">
        <v>210</v>
      </c>
      <c r="D15" s="166" t="s">
        <v>218</v>
      </c>
      <c r="E15" s="151" t="s">
        <v>219</v>
      </c>
      <c r="F15" s="153" t="s">
        <v>207</v>
      </c>
      <c r="G15" s="153"/>
      <c r="H15" s="153" t="s">
        <v>200</v>
      </c>
      <c r="I15" s="153"/>
      <c r="J15" s="153">
        <v>4</v>
      </c>
      <c r="K15" s="170">
        <f>J15*12</f>
        <v>48</v>
      </c>
      <c r="L15" s="170">
        <f>J15*36</f>
        <v>144</v>
      </c>
      <c r="M15" s="153">
        <f>SUM(K15:L15)</f>
        <v>192</v>
      </c>
      <c r="N15" s="151" t="s">
        <v>220</v>
      </c>
      <c r="O15" s="151" t="s">
        <v>202</v>
      </c>
      <c r="P15" s="151" t="s">
        <v>221</v>
      </c>
      <c r="Q15" s="151" t="s">
        <v>204</v>
      </c>
      <c r="R15" s="78"/>
      <c r="S15" s="78"/>
      <c r="T15" s="3"/>
    </row>
    <row r="16" spans="1:20" s="5" customFormat="1" ht="49.5" x14ac:dyDescent="0.5">
      <c r="A16" s="96" t="str">
        <f>_xlfn.XLOOKUP(B16,'Paso 3 Redacción RA'!I$3:I$12,'Paso 3 Redacción RA'!C$3:C$12,,0,1)</f>
        <v>SaberHacer</v>
      </c>
      <c r="B16" s="78" t="s">
        <v>89</v>
      </c>
      <c r="C16" s="153"/>
      <c r="D16" s="153"/>
      <c r="E16" s="151"/>
      <c r="F16" s="153"/>
      <c r="G16" s="153"/>
      <c r="H16" s="153"/>
      <c r="I16" s="153"/>
      <c r="J16" s="153"/>
      <c r="K16" s="140"/>
      <c r="L16" s="140"/>
      <c r="M16" s="153"/>
      <c r="N16" s="151"/>
      <c r="O16" s="151"/>
      <c r="P16" s="151"/>
      <c r="Q16" s="151"/>
      <c r="R16" s="78"/>
      <c r="S16" s="78"/>
      <c r="T16" s="3"/>
    </row>
    <row r="17" spans="1:20" s="5" customFormat="1" ht="49.5" x14ac:dyDescent="0.5">
      <c r="A17" s="96" t="str">
        <f>_xlfn.XLOOKUP(B17,'Paso 3 Redacción RA'!I$3:I$12,'Paso 3 Redacción RA'!C$3:C$12,,0,1)</f>
        <v>SaberSer</v>
      </c>
      <c r="B17" s="78" t="s">
        <v>93</v>
      </c>
      <c r="C17" s="153"/>
      <c r="D17" s="153"/>
      <c r="E17" s="151"/>
      <c r="F17" s="153"/>
      <c r="G17" s="153"/>
      <c r="H17" s="153"/>
      <c r="I17" s="153"/>
      <c r="J17" s="153"/>
      <c r="K17" s="140"/>
      <c r="L17" s="140"/>
      <c r="M17" s="153"/>
      <c r="N17" s="151"/>
      <c r="O17" s="151"/>
      <c r="P17" s="151"/>
      <c r="Q17" s="151"/>
      <c r="R17" s="78"/>
      <c r="S17" s="78"/>
      <c r="T17" s="3"/>
    </row>
    <row r="18" spans="1:20" s="5" customFormat="1" ht="49.5" x14ac:dyDescent="0.5">
      <c r="A18" s="96" t="str">
        <f>_xlfn.XLOOKUP(B18,'Paso 3 Redacción RA'!I$3:I$12,'Paso 3 Redacción RA'!C$3:C$12,,0,1)</f>
        <v>Saber</v>
      </c>
      <c r="B18" s="78" t="s">
        <v>94</v>
      </c>
      <c r="C18" s="153"/>
      <c r="D18" s="153"/>
      <c r="E18" s="151"/>
      <c r="F18" s="153"/>
      <c r="G18" s="153"/>
      <c r="H18" s="153"/>
      <c r="I18" s="153"/>
      <c r="J18" s="153"/>
      <c r="K18" s="140"/>
      <c r="L18" s="140"/>
      <c r="M18" s="153"/>
      <c r="N18" s="151"/>
      <c r="O18" s="151"/>
      <c r="P18" s="151"/>
      <c r="Q18" s="151"/>
      <c r="R18" s="78"/>
      <c r="S18" s="78"/>
      <c r="T18" s="3"/>
    </row>
    <row r="19" spans="1:20" s="5" customFormat="1" ht="50" thickBot="1" x14ac:dyDescent="0.55000000000000004">
      <c r="A19" s="97" t="str">
        <f>_xlfn.XLOOKUP(B19,'Paso 3 Redacción RA'!I$3:I$12,'Paso 3 Redacción RA'!C$3:C$12,,0,1)</f>
        <v>SaberHacer</v>
      </c>
      <c r="B19" s="93" t="s">
        <v>98</v>
      </c>
      <c r="C19" s="167"/>
      <c r="D19" s="167"/>
      <c r="E19" s="151"/>
      <c r="F19" s="153"/>
      <c r="G19" s="153"/>
      <c r="H19" s="153"/>
      <c r="I19" s="153"/>
      <c r="J19" s="153"/>
      <c r="K19" s="171"/>
      <c r="L19" s="171"/>
      <c r="M19" s="153"/>
      <c r="N19" s="151"/>
      <c r="O19" s="151"/>
      <c r="P19" s="151"/>
      <c r="Q19" s="151"/>
      <c r="R19" s="78">
        <f>SUM(J3:J19)</f>
        <v>16</v>
      </c>
      <c r="S19" s="78">
        <f>COUNTA(D3:D19)</f>
        <v>5</v>
      </c>
      <c r="T19" s="3"/>
    </row>
    <row r="20" spans="1:20" ht="49.5" x14ac:dyDescent="0.5">
      <c r="A20" s="110" t="str">
        <f>_xlfn.XLOOKUP(B20,'Paso 3 Redacción RA'!I$3:I$12,'Paso 3 Redacción RA'!C$3:C$12,,0,1)</f>
        <v>Saber</v>
      </c>
      <c r="B20" s="78" t="s">
        <v>85</v>
      </c>
      <c r="C20" s="170">
        <v>2</v>
      </c>
      <c r="D20" s="170" t="s">
        <v>222</v>
      </c>
      <c r="E20" s="164" t="s">
        <v>223</v>
      </c>
      <c r="F20" s="170" t="s">
        <v>199</v>
      </c>
      <c r="G20" s="170"/>
      <c r="H20" s="170" t="s">
        <v>200</v>
      </c>
      <c r="I20" s="170"/>
      <c r="J20" s="170">
        <v>3</v>
      </c>
      <c r="K20" s="170">
        <f>J20*12</f>
        <v>36</v>
      </c>
      <c r="L20" s="170">
        <f>J20*36</f>
        <v>108</v>
      </c>
      <c r="M20" s="170">
        <f>SUM(K20:L20)</f>
        <v>144</v>
      </c>
      <c r="N20" s="146" t="s">
        <v>224</v>
      </c>
      <c r="O20" s="146" t="s">
        <v>202</v>
      </c>
      <c r="P20" s="146" t="s">
        <v>214</v>
      </c>
      <c r="Q20" s="146" t="s">
        <v>204</v>
      </c>
      <c r="T20" s="111"/>
    </row>
    <row r="21" spans="1:20" ht="49.5" x14ac:dyDescent="0.5">
      <c r="A21" s="96" t="str">
        <f>_xlfn.XLOOKUP(B21,'Paso 3 Redacción RA'!I$3:I$12,'Paso 3 Redacción RA'!C$3:C$12,,0,1)</f>
        <v>SaberHacer</v>
      </c>
      <c r="B21" s="78" t="s">
        <v>89</v>
      </c>
      <c r="C21" s="140"/>
      <c r="D21" s="140"/>
      <c r="E21" s="151"/>
      <c r="F21" s="140"/>
      <c r="G21" s="140"/>
      <c r="H21" s="140"/>
      <c r="I21" s="140"/>
      <c r="J21" s="140"/>
      <c r="K21" s="140"/>
      <c r="L21" s="140"/>
      <c r="M21" s="140"/>
      <c r="N21" s="143"/>
      <c r="O21" s="143"/>
      <c r="P21" s="143"/>
      <c r="Q21" s="143"/>
      <c r="T21" s="111"/>
    </row>
    <row r="22" spans="1:20" ht="49.5" x14ac:dyDescent="0.5">
      <c r="A22" s="96" t="str">
        <f>_xlfn.XLOOKUP(B22,'Paso 3 Redacción RA'!I$3:I$12,'Paso 3 Redacción RA'!C$3:C$12,,0,1)</f>
        <v>SaberSer</v>
      </c>
      <c r="B22" s="78" t="s">
        <v>93</v>
      </c>
      <c r="C22" s="140"/>
      <c r="D22" s="140"/>
      <c r="E22" s="151"/>
      <c r="F22" s="140"/>
      <c r="G22" s="140"/>
      <c r="H22" s="140"/>
      <c r="I22" s="140"/>
      <c r="J22" s="140"/>
      <c r="K22" s="140"/>
      <c r="L22" s="140"/>
      <c r="M22" s="140"/>
      <c r="N22" s="143"/>
      <c r="O22" s="143"/>
      <c r="P22" s="143"/>
      <c r="Q22" s="143"/>
      <c r="T22" s="111"/>
    </row>
    <row r="23" spans="1:20" ht="49.5" x14ac:dyDescent="0.5">
      <c r="A23" s="96" t="str">
        <f>_xlfn.XLOOKUP(B23,'Paso 3 Redacción RA'!I$3:I$12,'Paso 3 Redacción RA'!C$3:C$12,,0,1)</f>
        <v>Saber</v>
      </c>
      <c r="B23" s="78" t="s">
        <v>94</v>
      </c>
      <c r="C23" s="140"/>
      <c r="D23" s="140"/>
      <c r="E23" s="151"/>
      <c r="F23" s="140"/>
      <c r="G23" s="140"/>
      <c r="H23" s="140"/>
      <c r="I23" s="140"/>
      <c r="J23" s="140"/>
      <c r="K23" s="140"/>
      <c r="L23" s="140"/>
      <c r="M23" s="140"/>
      <c r="N23" s="143"/>
      <c r="O23" s="143"/>
      <c r="P23" s="143"/>
      <c r="Q23" s="143"/>
      <c r="T23" s="111"/>
    </row>
    <row r="24" spans="1:20" ht="50" thickBot="1" x14ac:dyDescent="0.55000000000000004">
      <c r="A24" s="97" t="str">
        <f>_xlfn.XLOOKUP(B24,'Paso 3 Redacción RA'!I$3:I$12,'Paso 3 Redacción RA'!C$3:C$12,,0,1)</f>
        <v>SaberHacer</v>
      </c>
      <c r="B24" s="93" t="s">
        <v>98</v>
      </c>
      <c r="C24" s="171"/>
      <c r="D24" s="171"/>
      <c r="E24" s="165"/>
      <c r="F24" s="171"/>
      <c r="G24" s="171"/>
      <c r="H24" s="171"/>
      <c r="I24" s="171"/>
      <c r="J24" s="171"/>
      <c r="K24" s="171"/>
      <c r="L24" s="171"/>
      <c r="M24" s="171"/>
      <c r="N24" s="147"/>
      <c r="O24" s="147"/>
      <c r="P24" s="147"/>
      <c r="Q24" s="147"/>
      <c r="T24" s="111"/>
    </row>
    <row r="25" spans="1:20" s="96" customFormat="1" ht="49.5" x14ac:dyDescent="0.5">
      <c r="A25" s="110" t="str">
        <f>_xlfn.XLOOKUP(B25,'Paso 3 Redacción RA'!I$3:I$12,'Paso 3 Redacción RA'!C$3:C$12,,0,1)</f>
        <v>Saber</v>
      </c>
      <c r="B25" s="78" t="s">
        <v>85</v>
      </c>
      <c r="C25" s="170">
        <v>2</v>
      </c>
      <c r="D25" s="170" t="s">
        <v>225</v>
      </c>
      <c r="E25" s="164" t="s">
        <v>226</v>
      </c>
      <c r="F25" s="170" t="s">
        <v>199</v>
      </c>
      <c r="G25" s="170"/>
      <c r="H25" s="170" t="s">
        <v>200</v>
      </c>
      <c r="I25" s="170"/>
      <c r="J25" s="170">
        <v>3</v>
      </c>
      <c r="K25" s="170">
        <f>J25*12</f>
        <v>36</v>
      </c>
      <c r="L25" s="170">
        <f>J25*36</f>
        <v>108</v>
      </c>
      <c r="M25" s="170">
        <f>SUM(K25:L25)</f>
        <v>144</v>
      </c>
      <c r="N25" s="146" t="s">
        <v>227</v>
      </c>
      <c r="O25" s="146" t="s">
        <v>202</v>
      </c>
      <c r="P25" s="146" t="s">
        <v>214</v>
      </c>
      <c r="Q25" s="146" t="s">
        <v>204</v>
      </c>
      <c r="R25" s="5"/>
      <c r="S25" s="5"/>
      <c r="T25" s="111"/>
    </row>
    <row r="26" spans="1:20" s="96" customFormat="1" ht="49.5" x14ac:dyDescent="0.5">
      <c r="A26" s="96" t="str">
        <f>_xlfn.XLOOKUP(B26,'Paso 3 Redacción RA'!I$3:I$12,'Paso 3 Redacción RA'!C$3:C$12,,0,1)</f>
        <v>SaberHacer</v>
      </c>
      <c r="B26" s="78" t="s">
        <v>89</v>
      </c>
      <c r="C26" s="140"/>
      <c r="D26" s="140"/>
      <c r="E26" s="151"/>
      <c r="F26" s="140"/>
      <c r="G26" s="140"/>
      <c r="H26" s="140"/>
      <c r="I26" s="140"/>
      <c r="J26" s="140"/>
      <c r="K26" s="140"/>
      <c r="L26" s="140"/>
      <c r="M26" s="140"/>
      <c r="N26" s="143"/>
      <c r="O26" s="143"/>
      <c r="P26" s="143"/>
      <c r="Q26" s="143"/>
      <c r="R26" s="5"/>
      <c r="S26" s="5"/>
      <c r="T26" s="111"/>
    </row>
    <row r="27" spans="1:20" s="96" customFormat="1" ht="49.5" x14ac:dyDescent="0.5">
      <c r="A27" s="96" t="str">
        <f>_xlfn.XLOOKUP(B27,'Paso 3 Redacción RA'!I$3:I$12,'Paso 3 Redacción RA'!C$3:C$12,,0,1)</f>
        <v>SaberSer</v>
      </c>
      <c r="B27" s="78" t="s">
        <v>93</v>
      </c>
      <c r="C27" s="140"/>
      <c r="D27" s="140"/>
      <c r="E27" s="151"/>
      <c r="F27" s="140"/>
      <c r="G27" s="140"/>
      <c r="H27" s="140"/>
      <c r="I27" s="140"/>
      <c r="J27" s="140"/>
      <c r="K27" s="140"/>
      <c r="L27" s="140"/>
      <c r="M27" s="140"/>
      <c r="N27" s="143"/>
      <c r="O27" s="143"/>
      <c r="P27" s="143"/>
      <c r="Q27" s="143"/>
      <c r="R27" s="5"/>
      <c r="S27" s="5"/>
      <c r="T27" s="111"/>
    </row>
    <row r="28" spans="1:20" s="96" customFormat="1" ht="49.5" x14ac:dyDescent="0.5">
      <c r="A28" s="96" t="str">
        <f>_xlfn.XLOOKUP(B28,'Paso 3 Redacción RA'!I$3:I$12,'Paso 3 Redacción RA'!C$3:C$12,,0,1)</f>
        <v>Saber</v>
      </c>
      <c r="B28" s="78" t="s">
        <v>94</v>
      </c>
      <c r="C28" s="140"/>
      <c r="D28" s="140"/>
      <c r="E28" s="151"/>
      <c r="F28" s="140"/>
      <c r="G28" s="140"/>
      <c r="H28" s="140"/>
      <c r="I28" s="140"/>
      <c r="J28" s="140"/>
      <c r="K28" s="140"/>
      <c r="L28" s="140"/>
      <c r="M28" s="140"/>
      <c r="N28" s="143"/>
      <c r="O28" s="143"/>
      <c r="P28" s="143"/>
      <c r="Q28" s="143"/>
      <c r="R28" s="5"/>
      <c r="S28" s="5"/>
      <c r="T28" s="111"/>
    </row>
    <row r="29" spans="1:20" s="96" customFormat="1" ht="50" thickBot="1" x14ac:dyDescent="0.55000000000000004">
      <c r="A29" s="97" t="str">
        <f>_xlfn.XLOOKUP(B29,'Paso 3 Redacción RA'!I$3:I$12,'Paso 3 Redacción RA'!C$3:C$12,,0,1)</f>
        <v>SaberHacer</v>
      </c>
      <c r="B29" s="93" t="s">
        <v>98</v>
      </c>
      <c r="C29" s="171"/>
      <c r="D29" s="171"/>
      <c r="E29" s="165"/>
      <c r="F29" s="171"/>
      <c r="G29" s="171"/>
      <c r="H29" s="171"/>
      <c r="I29" s="171"/>
      <c r="J29" s="171"/>
      <c r="K29" s="171"/>
      <c r="L29" s="171"/>
      <c r="M29" s="171"/>
      <c r="N29" s="147"/>
      <c r="O29" s="147"/>
      <c r="P29" s="147"/>
      <c r="Q29" s="147"/>
      <c r="R29" s="5"/>
      <c r="S29" s="5"/>
      <c r="T29" s="111"/>
    </row>
    <row r="30" spans="1:20" s="96" customFormat="1" ht="49.5" x14ac:dyDescent="0.5">
      <c r="A30" s="110" t="str">
        <f>_xlfn.XLOOKUP(B33,'Paso 3 Redacción RA'!I$3:I$12,'Paso 3 Redacción RA'!C$3:C$12,,0,1)</f>
        <v>Saber</v>
      </c>
      <c r="B30" s="78" t="s">
        <v>85</v>
      </c>
      <c r="C30" s="170">
        <v>2</v>
      </c>
      <c r="D30" s="170" t="s">
        <v>228</v>
      </c>
      <c r="E30" s="164" t="s">
        <v>229</v>
      </c>
      <c r="F30" s="170" t="s">
        <v>207</v>
      </c>
      <c r="G30" s="170"/>
      <c r="H30" s="170" t="s">
        <v>200</v>
      </c>
      <c r="I30" s="170"/>
      <c r="J30" s="170">
        <v>3</v>
      </c>
      <c r="K30" s="170">
        <f>J30*12</f>
        <v>36</v>
      </c>
      <c r="L30" s="170">
        <f>J30*36</f>
        <v>108</v>
      </c>
      <c r="M30" s="170">
        <f>SUM(K30:L30)</f>
        <v>144</v>
      </c>
      <c r="N30" s="146" t="s">
        <v>230</v>
      </c>
      <c r="O30" s="146" t="s">
        <v>202</v>
      </c>
      <c r="P30" s="146" t="s">
        <v>221</v>
      </c>
      <c r="Q30" s="146" t="s">
        <v>204</v>
      </c>
      <c r="R30" s="5"/>
      <c r="S30" s="5"/>
      <c r="T30" s="111"/>
    </row>
    <row r="31" spans="1:20" s="96" customFormat="1" ht="49.5" x14ac:dyDescent="0.5">
      <c r="B31" s="78" t="s">
        <v>89</v>
      </c>
      <c r="C31" s="140"/>
      <c r="D31" s="140"/>
      <c r="E31" s="151"/>
      <c r="F31" s="140"/>
      <c r="G31" s="140"/>
      <c r="H31" s="140"/>
      <c r="I31" s="140"/>
      <c r="J31" s="140"/>
      <c r="K31" s="140"/>
      <c r="L31" s="140"/>
      <c r="M31" s="140"/>
      <c r="N31" s="143"/>
      <c r="O31" s="143"/>
      <c r="P31" s="143"/>
      <c r="Q31" s="143"/>
      <c r="R31" s="5"/>
      <c r="S31" s="5"/>
      <c r="T31" s="111"/>
    </row>
    <row r="32" spans="1:20" s="96" customFormat="1" ht="49.5" x14ac:dyDescent="0.5">
      <c r="A32" s="96" t="str">
        <f>_xlfn.XLOOKUP(B34,'Paso 3 Redacción RA'!I$3:I$12,'Paso 3 Redacción RA'!C$3:C$12,,0,1)</f>
        <v>SaberHacer</v>
      </c>
      <c r="B32" s="78" t="s">
        <v>93</v>
      </c>
      <c r="C32" s="140"/>
      <c r="D32" s="140"/>
      <c r="E32" s="151"/>
      <c r="F32" s="140"/>
      <c r="G32" s="140"/>
      <c r="H32" s="140"/>
      <c r="I32" s="140"/>
      <c r="J32" s="140"/>
      <c r="K32" s="140"/>
      <c r="L32" s="140"/>
      <c r="M32" s="140"/>
      <c r="N32" s="143"/>
      <c r="O32" s="143"/>
      <c r="P32" s="143"/>
      <c r="Q32" s="143"/>
      <c r="R32" s="5"/>
      <c r="S32" s="5"/>
      <c r="T32" s="111"/>
    </row>
    <row r="33" spans="1:20" s="96" customFormat="1" ht="49.5" x14ac:dyDescent="0.5">
      <c r="A33" s="96" t="str">
        <f>_xlfn.XLOOKUP(B33,'Paso 3 Redacción RA'!I$3:I$12,'Paso 3 Redacción RA'!C$3:C$12,,0,1)</f>
        <v>Saber</v>
      </c>
      <c r="B33" s="78" t="s">
        <v>94</v>
      </c>
      <c r="C33" s="140"/>
      <c r="D33" s="140"/>
      <c r="E33" s="151"/>
      <c r="F33" s="140"/>
      <c r="G33" s="140"/>
      <c r="H33" s="140"/>
      <c r="I33" s="140"/>
      <c r="J33" s="140"/>
      <c r="K33" s="140"/>
      <c r="L33" s="140"/>
      <c r="M33" s="140"/>
      <c r="N33" s="143"/>
      <c r="O33" s="143"/>
      <c r="P33" s="143"/>
      <c r="Q33" s="143"/>
      <c r="R33" s="5"/>
      <c r="S33" s="5"/>
      <c r="T33" s="111"/>
    </row>
    <row r="34" spans="1:20" s="96" customFormat="1" ht="50" thickBot="1" x14ac:dyDescent="0.55000000000000004">
      <c r="A34" s="97" t="str">
        <f>_xlfn.XLOOKUP(B34,'Paso 3 Redacción RA'!I$3:I$12,'Paso 3 Redacción RA'!C$3:C$12,,0,1)</f>
        <v>SaberHacer</v>
      </c>
      <c r="B34" s="93" t="s">
        <v>98</v>
      </c>
      <c r="C34" s="171"/>
      <c r="D34" s="171"/>
      <c r="E34" s="151"/>
      <c r="F34" s="140"/>
      <c r="G34" s="140"/>
      <c r="H34" s="140"/>
      <c r="I34" s="140"/>
      <c r="J34" s="140"/>
      <c r="K34" s="171"/>
      <c r="L34" s="171"/>
      <c r="M34" s="171"/>
      <c r="N34" s="143"/>
      <c r="O34" s="143"/>
      <c r="P34" s="143"/>
      <c r="Q34" s="143"/>
      <c r="R34" s="5"/>
      <c r="S34" s="5"/>
      <c r="T34" s="111"/>
    </row>
    <row r="35" spans="1:20" s="96" customFormat="1" ht="49.5" x14ac:dyDescent="0.5">
      <c r="A35" s="110" t="str">
        <f>_xlfn.XLOOKUP(B35,'Paso 3 Redacción RA'!I$3:I$12,'Paso 3 Redacción RA'!C$3:C$12,,0,1)</f>
        <v>Saber</v>
      </c>
      <c r="B35" s="78" t="s">
        <v>85</v>
      </c>
      <c r="C35" s="170">
        <v>2</v>
      </c>
      <c r="D35" s="170" t="s">
        <v>231</v>
      </c>
      <c r="E35" s="164" t="s">
        <v>232</v>
      </c>
      <c r="F35" s="170" t="s">
        <v>199</v>
      </c>
      <c r="G35" s="170"/>
      <c r="H35" s="170" t="s">
        <v>200</v>
      </c>
      <c r="I35" s="170"/>
      <c r="J35" s="170">
        <v>3</v>
      </c>
      <c r="K35" s="170">
        <f>J35*12</f>
        <v>36</v>
      </c>
      <c r="L35" s="170">
        <f>J35*36</f>
        <v>108</v>
      </c>
      <c r="M35" s="170">
        <f>SUM(K35:L35)</f>
        <v>144</v>
      </c>
      <c r="N35" s="146" t="s">
        <v>233</v>
      </c>
      <c r="O35" s="146" t="s">
        <v>202</v>
      </c>
      <c r="P35" s="146" t="s">
        <v>214</v>
      </c>
      <c r="Q35" s="146" t="s">
        <v>204</v>
      </c>
      <c r="R35" s="5"/>
      <c r="S35" s="5"/>
      <c r="T35" s="111"/>
    </row>
    <row r="36" spans="1:20" s="96" customFormat="1" ht="49.5" x14ac:dyDescent="0.5">
      <c r="A36" s="96" t="str">
        <f>_xlfn.XLOOKUP(B36,'Paso 3 Redacción RA'!I$3:I$12,'Paso 3 Redacción RA'!C$3:C$12,,0,1)</f>
        <v>SaberHacer</v>
      </c>
      <c r="B36" s="78" t="s">
        <v>89</v>
      </c>
      <c r="C36" s="140"/>
      <c r="D36" s="140"/>
      <c r="E36" s="151"/>
      <c r="F36" s="140"/>
      <c r="G36" s="140"/>
      <c r="H36" s="140"/>
      <c r="I36" s="140"/>
      <c r="J36" s="140"/>
      <c r="K36" s="140"/>
      <c r="L36" s="140"/>
      <c r="M36" s="140"/>
      <c r="N36" s="143"/>
      <c r="O36" s="143"/>
      <c r="P36" s="143"/>
      <c r="Q36" s="143"/>
      <c r="R36" s="5"/>
      <c r="S36" s="5"/>
      <c r="T36" s="111"/>
    </row>
    <row r="37" spans="1:20" s="96" customFormat="1" ht="49.5" x14ac:dyDescent="0.5">
      <c r="A37" s="96" t="str">
        <f>_xlfn.XLOOKUP(B37,'Paso 3 Redacción RA'!I$3:I$12,'Paso 3 Redacción RA'!C$3:C$12,,0,1)</f>
        <v>SaberSer</v>
      </c>
      <c r="B37" s="78" t="s">
        <v>93</v>
      </c>
      <c r="C37" s="140"/>
      <c r="D37" s="140"/>
      <c r="E37" s="151"/>
      <c r="F37" s="140"/>
      <c r="G37" s="140"/>
      <c r="H37" s="140"/>
      <c r="I37" s="140"/>
      <c r="J37" s="140"/>
      <c r="K37" s="140"/>
      <c r="L37" s="140"/>
      <c r="M37" s="140"/>
      <c r="N37" s="143"/>
      <c r="O37" s="143"/>
      <c r="P37" s="143"/>
      <c r="Q37" s="143"/>
      <c r="R37" s="5"/>
      <c r="S37" s="5"/>
      <c r="T37" s="111"/>
    </row>
    <row r="38" spans="1:20" s="96" customFormat="1" ht="49.5" x14ac:dyDescent="0.5">
      <c r="A38" s="96" t="str">
        <f>_xlfn.XLOOKUP(B38,'Paso 3 Redacción RA'!I$3:I$12,'Paso 3 Redacción RA'!C$3:C$12,,0,1)</f>
        <v>Saber</v>
      </c>
      <c r="B38" s="78" t="s">
        <v>94</v>
      </c>
      <c r="C38" s="140"/>
      <c r="D38" s="140"/>
      <c r="E38" s="151"/>
      <c r="F38" s="140"/>
      <c r="G38" s="140"/>
      <c r="H38" s="140"/>
      <c r="I38" s="140"/>
      <c r="J38" s="140"/>
      <c r="K38" s="140"/>
      <c r="L38" s="140"/>
      <c r="M38" s="140"/>
      <c r="N38" s="143"/>
      <c r="O38" s="143"/>
      <c r="P38" s="143"/>
      <c r="Q38" s="143"/>
      <c r="R38" s="5"/>
      <c r="S38" s="5"/>
      <c r="T38" s="111"/>
    </row>
    <row r="39" spans="1:20" s="96" customFormat="1" ht="50" thickBot="1" x14ac:dyDescent="0.55000000000000004">
      <c r="A39" s="97" t="str">
        <f>_xlfn.XLOOKUP(B39,'Paso 3 Redacción RA'!I$3:I$12,'Paso 3 Redacción RA'!C$3:C$12,,0,1)</f>
        <v>SaberHacer</v>
      </c>
      <c r="B39" s="93" t="s">
        <v>98</v>
      </c>
      <c r="C39" s="171"/>
      <c r="D39" s="171"/>
      <c r="E39" s="151"/>
      <c r="F39" s="140"/>
      <c r="G39" s="140"/>
      <c r="H39" s="140"/>
      <c r="I39" s="140"/>
      <c r="J39" s="140"/>
      <c r="K39" s="171"/>
      <c r="L39" s="171"/>
      <c r="M39" s="171"/>
      <c r="N39" s="143"/>
      <c r="O39" s="143"/>
      <c r="P39" s="143"/>
      <c r="Q39" s="143"/>
      <c r="R39" s="5"/>
      <c r="S39" s="5"/>
      <c r="T39" s="111"/>
    </row>
    <row r="40" spans="1:20" s="96" customFormat="1" ht="409.6" thickBot="1" x14ac:dyDescent="0.55000000000000004">
      <c r="A40" s="104" t="str">
        <f>_xlfn.XLOOKUP(B40,'Paso 3 Redacción RA'!I$3:I$12,'Paso 3 Redacción RA'!C$3:C$12,,0,1)</f>
        <v>Saber</v>
      </c>
      <c r="B40" s="104" t="s">
        <v>103</v>
      </c>
      <c r="C40" s="103">
        <v>2</v>
      </c>
      <c r="D40" s="103" t="s">
        <v>234</v>
      </c>
      <c r="E40" s="104" t="s">
        <v>235</v>
      </c>
      <c r="F40" s="102" t="s">
        <v>199</v>
      </c>
      <c r="G40" s="103" t="s">
        <v>200</v>
      </c>
      <c r="H40" s="103"/>
      <c r="I40" s="103"/>
      <c r="J40" s="102">
        <v>3</v>
      </c>
      <c r="K40" s="102">
        <f>J40*12</f>
        <v>36</v>
      </c>
      <c r="L40" s="102">
        <f>J40*36</f>
        <v>108</v>
      </c>
      <c r="M40" s="102">
        <f>SUM(K40:L40)</f>
        <v>144</v>
      </c>
      <c r="N40" s="104" t="s">
        <v>236</v>
      </c>
      <c r="O40" s="104" t="s">
        <v>202</v>
      </c>
      <c r="P40" s="104" t="s">
        <v>203</v>
      </c>
      <c r="Q40" s="101" t="s">
        <v>204</v>
      </c>
      <c r="R40" s="5"/>
      <c r="S40" s="5"/>
      <c r="T40" s="111"/>
    </row>
    <row r="41" spans="1:20" s="96" customFormat="1" ht="49.5" x14ac:dyDescent="0.5">
      <c r="A41" s="110" t="str">
        <f>_xlfn.XLOOKUP(B41,'Paso 3 Redacción RA'!I$3:I$12,'Paso 3 Redacción RA'!C$3:C$12,,0,1)</f>
        <v>Saber</v>
      </c>
      <c r="B41" s="98" t="s">
        <v>85</v>
      </c>
      <c r="C41" s="170">
        <v>2</v>
      </c>
      <c r="D41" s="170" t="s">
        <v>237</v>
      </c>
      <c r="E41" s="164" t="s">
        <v>238</v>
      </c>
      <c r="F41" s="170" t="s">
        <v>207</v>
      </c>
      <c r="G41" s="170"/>
      <c r="H41" s="170" t="s">
        <v>200</v>
      </c>
      <c r="I41" s="170"/>
      <c r="J41" s="170">
        <v>3</v>
      </c>
      <c r="K41" s="170">
        <f>J41*12</f>
        <v>36</v>
      </c>
      <c r="L41" s="170">
        <f>J41*36</f>
        <v>108</v>
      </c>
      <c r="M41" s="170">
        <f>SUM(K41:L41)</f>
        <v>144</v>
      </c>
      <c r="N41" s="146" t="s">
        <v>239</v>
      </c>
      <c r="O41" s="146" t="s">
        <v>202</v>
      </c>
      <c r="P41" s="146" t="s">
        <v>214</v>
      </c>
      <c r="Q41" s="146" t="s">
        <v>204</v>
      </c>
      <c r="R41" s="5"/>
      <c r="S41" s="5"/>
      <c r="T41" s="111"/>
    </row>
    <row r="42" spans="1:20" s="96" customFormat="1" ht="49.5" x14ac:dyDescent="0.5">
      <c r="A42" s="96" t="str">
        <f>_xlfn.XLOOKUP(B42,'Paso 3 Redacción RA'!I$3:I$12,'Paso 3 Redacción RA'!C$3:C$12,,0,1)</f>
        <v>SaberSer</v>
      </c>
      <c r="B42" s="78" t="s">
        <v>93</v>
      </c>
      <c r="C42" s="140"/>
      <c r="D42" s="140"/>
      <c r="E42" s="151"/>
      <c r="F42" s="140"/>
      <c r="G42" s="140"/>
      <c r="H42" s="140"/>
      <c r="I42" s="140"/>
      <c r="J42" s="140"/>
      <c r="K42" s="140"/>
      <c r="L42" s="140"/>
      <c r="M42" s="140"/>
      <c r="N42" s="143"/>
      <c r="O42" s="143"/>
      <c r="P42" s="143"/>
      <c r="Q42" s="143"/>
      <c r="R42" s="5"/>
      <c r="S42" s="5"/>
      <c r="T42" s="111"/>
    </row>
    <row r="43" spans="1:20" s="96" customFormat="1" ht="49.5" x14ac:dyDescent="0.5">
      <c r="A43" s="96" t="str">
        <f>_xlfn.XLOOKUP(B43,'Paso 3 Redacción RA'!I$3:I$12,'Paso 3 Redacción RA'!C$3:C$12,,0,1)</f>
        <v>Saber</v>
      </c>
      <c r="B43" s="78" t="s">
        <v>94</v>
      </c>
      <c r="C43" s="140"/>
      <c r="D43" s="140"/>
      <c r="E43" s="151"/>
      <c r="F43" s="140"/>
      <c r="G43" s="140"/>
      <c r="H43" s="140"/>
      <c r="I43" s="140"/>
      <c r="J43" s="140"/>
      <c r="K43" s="140"/>
      <c r="L43" s="140"/>
      <c r="M43" s="140"/>
      <c r="N43" s="143"/>
      <c r="O43" s="143"/>
      <c r="P43" s="143"/>
      <c r="Q43" s="143"/>
      <c r="R43" s="5"/>
      <c r="S43" s="5"/>
      <c r="T43" s="111"/>
    </row>
    <row r="44" spans="1:20" s="96" customFormat="1" ht="49.5" x14ac:dyDescent="0.5">
      <c r="A44" s="96" t="str">
        <f>_xlfn.XLOOKUP(B44,'Paso 3 Redacción RA'!I$3:I$12,'Paso 3 Redacción RA'!C$3:C$12,,0,1)</f>
        <v>SaberHacer</v>
      </c>
      <c r="B44" s="78" t="s">
        <v>96</v>
      </c>
      <c r="C44" s="140"/>
      <c r="D44" s="140"/>
      <c r="E44" s="151"/>
      <c r="F44" s="140"/>
      <c r="G44" s="140"/>
      <c r="H44" s="140"/>
      <c r="I44" s="140"/>
      <c r="J44" s="140"/>
      <c r="K44" s="140"/>
      <c r="L44" s="140"/>
      <c r="M44" s="140"/>
      <c r="N44" s="143"/>
      <c r="O44" s="143"/>
      <c r="P44" s="143"/>
      <c r="Q44" s="143"/>
      <c r="R44" s="5"/>
      <c r="S44" s="5"/>
      <c r="T44" s="111"/>
    </row>
    <row r="45" spans="1:20" s="96" customFormat="1" ht="50" thickBot="1" x14ac:dyDescent="0.55000000000000004">
      <c r="A45" s="97" t="str">
        <f>_xlfn.XLOOKUP(B45,'Paso 3 Redacción RA'!I$3:I$12,'Paso 3 Redacción RA'!C$3:C$12,,0,1)</f>
        <v>SaberHacer</v>
      </c>
      <c r="B45" s="93" t="s">
        <v>98</v>
      </c>
      <c r="C45" s="171"/>
      <c r="D45" s="171"/>
      <c r="E45" s="151"/>
      <c r="F45" s="140"/>
      <c r="G45" s="140"/>
      <c r="H45" s="140"/>
      <c r="I45" s="140"/>
      <c r="J45" s="140"/>
      <c r="K45" s="171"/>
      <c r="L45" s="171"/>
      <c r="M45" s="171"/>
      <c r="N45" s="143"/>
      <c r="O45" s="143"/>
      <c r="P45" s="143"/>
      <c r="Q45" s="143"/>
      <c r="R45" s="5">
        <f>SUM(J20:J45)</f>
        <v>18</v>
      </c>
      <c r="S45" s="5">
        <f>COUNTA(D20:D45)</f>
        <v>6</v>
      </c>
      <c r="T45" s="111"/>
    </row>
    <row r="46" spans="1:20" s="96" customFormat="1" ht="49.5" x14ac:dyDescent="0.5">
      <c r="A46" s="110" t="str">
        <f>_xlfn.XLOOKUP(B46,'Paso 3 Redacción RA'!I$3:I$12,'Paso 3 Redacción RA'!C$3:C$12,,0,1)</f>
        <v>Saber</v>
      </c>
      <c r="B46" s="98" t="s">
        <v>85</v>
      </c>
      <c r="C46" s="170">
        <v>3</v>
      </c>
      <c r="D46" s="170" t="s">
        <v>240</v>
      </c>
      <c r="E46" s="164" t="s">
        <v>241</v>
      </c>
      <c r="F46" s="170" t="s">
        <v>199</v>
      </c>
      <c r="G46" s="170"/>
      <c r="H46" s="170" t="s">
        <v>200</v>
      </c>
      <c r="I46" s="170"/>
      <c r="J46" s="170">
        <v>3</v>
      </c>
      <c r="K46" s="170">
        <f>J46*12</f>
        <v>36</v>
      </c>
      <c r="L46" s="170">
        <f>J46*36</f>
        <v>108</v>
      </c>
      <c r="M46" s="170">
        <f>SUM(K46:L46)</f>
        <v>144</v>
      </c>
      <c r="N46" s="146" t="s">
        <v>242</v>
      </c>
      <c r="O46" s="146" t="s">
        <v>202</v>
      </c>
      <c r="P46" s="146" t="s">
        <v>214</v>
      </c>
      <c r="Q46" s="146" t="s">
        <v>204</v>
      </c>
      <c r="R46" s="5"/>
      <c r="S46" s="5"/>
      <c r="T46" s="111"/>
    </row>
    <row r="47" spans="1:20" s="96" customFormat="1" ht="49.5" x14ac:dyDescent="0.5">
      <c r="A47" s="96" t="str">
        <f>_xlfn.XLOOKUP(B47,'Paso 3 Redacción RA'!I$3:I$12,'Paso 3 Redacción RA'!C$3:C$12,,0,1)</f>
        <v>SaberHacer</v>
      </c>
      <c r="B47" s="78" t="s">
        <v>89</v>
      </c>
      <c r="C47" s="140"/>
      <c r="D47" s="140"/>
      <c r="E47" s="151"/>
      <c r="F47" s="140"/>
      <c r="G47" s="140"/>
      <c r="H47" s="140"/>
      <c r="I47" s="140"/>
      <c r="J47" s="140"/>
      <c r="K47" s="140"/>
      <c r="L47" s="140"/>
      <c r="M47" s="140"/>
      <c r="N47" s="143"/>
      <c r="O47" s="143"/>
      <c r="P47" s="143"/>
      <c r="Q47" s="143"/>
      <c r="R47" s="5"/>
      <c r="S47" s="5"/>
      <c r="T47" s="111"/>
    </row>
    <row r="48" spans="1:20" s="96" customFormat="1" ht="49.5" x14ac:dyDescent="0.5">
      <c r="A48" s="96" t="str">
        <f>_xlfn.XLOOKUP(B48,'Paso 3 Redacción RA'!I$3:I$12,'Paso 3 Redacción RA'!C$3:C$12,,0,1)</f>
        <v>SaberSer</v>
      </c>
      <c r="B48" s="78" t="s">
        <v>93</v>
      </c>
      <c r="C48" s="140"/>
      <c r="D48" s="140"/>
      <c r="E48" s="151"/>
      <c r="F48" s="140"/>
      <c r="G48" s="140"/>
      <c r="H48" s="140"/>
      <c r="I48" s="140"/>
      <c r="J48" s="140"/>
      <c r="K48" s="140"/>
      <c r="L48" s="140"/>
      <c r="M48" s="140"/>
      <c r="N48" s="143"/>
      <c r="O48" s="143"/>
      <c r="P48" s="143"/>
      <c r="Q48" s="143"/>
      <c r="R48" s="5"/>
      <c r="S48" s="5"/>
      <c r="T48" s="111"/>
    </row>
    <row r="49" spans="1:20" s="96" customFormat="1" ht="49.5" x14ac:dyDescent="0.5">
      <c r="A49" s="96" t="str">
        <f>_xlfn.XLOOKUP(B49,'Paso 3 Redacción RA'!I$3:I$12,'Paso 3 Redacción RA'!C$3:C$12,,0,1)</f>
        <v>Saber</v>
      </c>
      <c r="B49" s="78" t="s">
        <v>94</v>
      </c>
      <c r="C49" s="140"/>
      <c r="D49" s="140"/>
      <c r="E49" s="151"/>
      <c r="F49" s="140"/>
      <c r="G49" s="140"/>
      <c r="H49" s="140"/>
      <c r="I49" s="140"/>
      <c r="J49" s="140"/>
      <c r="K49" s="140"/>
      <c r="L49" s="140"/>
      <c r="M49" s="140"/>
      <c r="N49" s="143"/>
      <c r="O49" s="143"/>
      <c r="P49" s="143"/>
      <c r="Q49" s="143"/>
      <c r="R49" s="5"/>
      <c r="S49" s="5"/>
      <c r="T49" s="111"/>
    </row>
    <row r="50" spans="1:20" s="96" customFormat="1" ht="50" thickBot="1" x14ac:dyDescent="0.55000000000000004">
      <c r="A50" s="97" t="str">
        <f>_xlfn.XLOOKUP(B50,'Paso 3 Redacción RA'!I$3:I$12,'Paso 3 Redacción RA'!C$3:C$12,,0,1)</f>
        <v>SaberHacer</v>
      </c>
      <c r="B50" s="93" t="s">
        <v>98</v>
      </c>
      <c r="C50" s="171"/>
      <c r="D50" s="171"/>
      <c r="E50" s="165"/>
      <c r="F50" s="171"/>
      <c r="G50" s="171"/>
      <c r="H50" s="171"/>
      <c r="I50" s="171"/>
      <c r="J50" s="171"/>
      <c r="K50" s="171"/>
      <c r="L50" s="171"/>
      <c r="M50" s="171"/>
      <c r="N50" s="147"/>
      <c r="O50" s="147"/>
      <c r="P50" s="147"/>
      <c r="Q50" s="147"/>
      <c r="R50" s="5"/>
      <c r="S50" s="5"/>
      <c r="T50" s="111"/>
    </row>
    <row r="51" spans="1:20" s="96" customFormat="1" ht="49.5" x14ac:dyDescent="0.5">
      <c r="A51" s="110" t="str">
        <f>_xlfn.XLOOKUP(B51,'Paso 3 Redacción RA'!I$3:I$12,'Paso 3 Redacción RA'!C$3:C$12,,0,1)</f>
        <v>Saber</v>
      </c>
      <c r="B51" s="98" t="s">
        <v>85</v>
      </c>
      <c r="C51" s="170">
        <v>3</v>
      </c>
      <c r="D51" s="177" t="s">
        <v>243</v>
      </c>
      <c r="E51" s="164" t="s">
        <v>244</v>
      </c>
      <c r="F51" s="170" t="s">
        <v>199</v>
      </c>
      <c r="G51" s="170"/>
      <c r="H51" s="170" t="s">
        <v>200</v>
      </c>
      <c r="I51" s="170"/>
      <c r="J51" s="170">
        <v>3</v>
      </c>
      <c r="K51" s="170">
        <f>J51*12</f>
        <v>36</v>
      </c>
      <c r="L51" s="170">
        <f>J51*36</f>
        <v>108</v>
      </c>
      <c r="M51" s="170">
        <f>SUM(K51:L55)</f>
        <v>144</v>
      </c>
      <c r="N51" s="146" t="s">
        <v>245</v>
      </c>
      <c r="O51" s="146" t="s">
        <v>202</v>
      </c>
      <c r="P51" s="146" t="s">
        <v>214</v>
      </c>
      <c r="Q51" s="146" t="s">
        <v>204</v>
      </c>
      <c r="R51" s="5"/>
      <c r="S51" s="5"/>
      <c r="T51" s="111"/>
    </row>
    <row r="52" spans="1:20" s="96" customFormat="1" ht="49.5" x14ac:dyDescent="0.5">
      <c r="A52" s="96" t="str">
        <f>_xlfn.XLOOKUP(B52,'Paso 3 Redacción RA'!I$3:I$12,'Paso 3 Redacción RA'!C$3:C$12,,0,1)</f>
        <v>SaberHacer</v>
      </c>
      <c r="B52" s="78" t="s">
        <v>89</v>
      </c>
      <c r="C52" s="140"/>
      <c r="D52" s="160"/>
      <c r="E52" s="151"/>
      <c r="F52" s="140"/>
      <c r="G52" s="140"/>
      <c r="H52" s="140"/>
      <c r="I52" s="140"/>
      <c r="J52" s="140"/>
      <c r="K52" s="140"/>
      <c r="L52" s="140"/>
      <c r="M52" s="140"/>
      <c r="N52" s="143"/>
      <c r="O52" s="143"/>
      <c r="P52" s="143"/>
      <c r="Q52" s="143"/>
      <c r="R52" s="5"/>
      <c r="S52" s="5"/>
      <c r="T52" s="111"/>
    </row>
    <row r="53" spans="1:20" s="96" customFormat="1" ht="49.5" x14ac:dyDescent="0.5">
      <c r="A53" s="96" t="str">
        <f>_xlfn.XLOOKUP(B53,'Paso 3 Redacción RA'!I$3:I$12,'Paso 3 Redacción RA'!C$3:C$12,,0,1)</f>
        <v>SaberSer</v>
      </c>
      <c r="B53" s="78" t="s">
        <v>93</v>
      </c>
      <c r="C53" s="140"/>
      <c r="D53" s="160"/>
      <c r="E53" s="151"/>
      <c r="F53" s="140"/>
      <c r="G53" s="140"/>
      <c r="H53" s="140"/>
      <c r="I53" s="140"/>
      <c r="J53" s="140"/>
      <c r="K53" s="140"/>
      <c r="L53" s="140"/>
      <c r="M53" s="140"/>
      <c r="N53" s="143"/>
      <c r="O53" s="143"/>
      <c r="P53" s="143"/>
      <c r="Q53" s="143"/>
      <c r="R53" s="5"/>
      <c r="S53" s="5"/>
      <c r="T53" s="111"/>
    </row>
    <row r="54" spans="1:20" s="96" customFormat="1" ht="49.5" x14ac:dyDescent="0.5">
      <c r="A54" s="96" t="str">
        <f>_xlfn.XLOOKUP(B54,'Paso 3 Redacción RA'!I$3:I$12,'Paso 3 Redacción RA'!C$3:C$12,,0,1)</f>
        <v>Saber</v>
      </c>
      <c r="B54" s="78" t="s">
        <v>94</v>
      </c>
      <c r="C54" s="140"/>
      <c r="D54" s="160"/>
      <c r="E54" s="151"/>
      <c r="F54" s="140"/>
      <c r="G54" s="140"/>
      <c r="H54" s="140"/>
      <c r="I54" s="140"/>
      <c r="J54" s="140"/>
      <c r="K54" s="140"/>
      <c r="L54" s="140"/>
      <c r="M54" s="140"/>
      <c r="N54" s="143"/>
      <c r="O54" s="143"/>
      <c r="P54" s="143"/>
      <c r="Q54" s="143"/>
      <c r="R54" s="5"/>
      <c r="S54" s="5"/>
      <c r="T54" s="111"/>
    </row>
    <row r="55" spans="1:20" s="96" customFormat="1" ht="50" thickBot="1" x14ac:dyDescent="0.55000000000000004">
      <c r="A55" s="97" t="str">
        <f>_xlfn.XLOOKUP(B55,'Paso 3 Redacción RA'!I$3:I$12,'Paso 3 Redacción RA'!C$3:C$12,,0,1)</f>
        <v>SaberHacer</v>
      </c>
      <c r="B55" s="93" t="s">
        <v>98</v>
      </c>
      <c r="C55" s="171"/>
      <c r="D55" s="178"/>
      <c r="E55" s="151"/>
      <c r="F55" s="140"/>
      <c r="G55" s="140"/>
      <c r="H55" s="140"/>
      <c r="I55" s="140"/>
      <c r="J55" s="140"/>
      <c r="K55" s="171"/>
      <c r="L55" s="171"/>
      <c r="M55" s="140"/>
      <c r="N55" s="143"/>
      <c r="O55" s="143"/>
      <c r="P55" s="143"/>
      <c r="Q55" s="143"/>
      <c r="R55" s="5"/>
      <c r="S55" s="5"/>
      <c r="T55" s="111"/>
    </row>
    <row r="56" spans="1:20" s="96" customFormat="1" ht="409.6" thickBot="1" x14ac:dyDescent="0.55000000000000004">
      <c r="A56" s="104" t="str">
        <f>_xlfn.XLOOKUP(B56,'Paso 3 Redacción RA'!I$3:I$12,'Paso 3 Redacción RA'!C$3:C$12,,0,1)</f>
        <v>Saber</v>
      </c>
      <c r="B56" s="104" t="s">
        <v>103</v>
      </c>
      <c r="C56" s="103">
        <v>3</v>
      </c>
      <c r="D56" s="103" t="s">
        <v>246</v>
      </c>
      <c r="E56" s="104" t="s">
        <v>247</v>
      </c>
      <c r="F56" s="102" t="s">
        <v>199</v>
      </c>
      <c r="G56" s="103" t="s">
        <v>200</v>
      </c>
      <c r="H56" s="103"/>
      <c r="I56" s="103"/>
      <c r="J56" s="102">
        <v>3</v>
      </c>
      <c r="K56" s="102">
        <f>J56*12</f>
        <v>36</v>
      </c>
      <c r="L56" s="102">
        <f>J56*36</f>
        <v>108</v>
      </c>
      <c r="M56" s="102">
        <f>SUM(K56:L56)</f>
        <v>144</v>
      </c>
      <c r="N56" s="101" t="s">
        <v>248</v>
      </c>
      <c r="O56" s="104" t="s">
        <v>202</v>
      </c>
      <c r="P56" s="104" t="s">
        <v>203</v>
      </c>
      <c r="Q56" s="101" t="s">
        <v>204</v>
      </c>
      <c r="R56" s="5"/>
      <c r="S56" s="5"/>
      <c r="T56" s="111"/>
    </row>
    <row r="57" spans="1:20" s="96" customFormat="1" ht="49.5" x14ac:dyDescent="0.5">
      <c r="A57" s="110" t="str">
        <f>_xlfn.XLOOKUP(B57,'Paso 3 Redacción RA'!I$3:I$12,'Paso 3 Redacción RA'!C$3:C$12,,0,1)</f>
        <v>Saber</v>
      </c>
      <c r="B57" s="98" t="s">
        <v>85</v>
      </c>
      <c r="C57" s="170">
        <v>3</v>
      </c>
      <c r="D57" s="170" t="s">
        <v>249</v>
      </c>
      <c r="E57" s="164" t="s">
        <v>250</v>
      </c>
      <c r="F57" s="170" t="s">
        <v>199</v>
      </c>
      <c r="G57" s="170"/>
      <c r="H57" s="170" t="s">
        <v>200</v>
      </c>
      <c r="I57" s="170"/>
      <c r="J57" s="170">
        <v>3</v>
      </c>
      <c r="K57" s="170">
        <f>J57*12</f>
        <v>36</v>
      </c>
      <c r="L57" s="170">
        <f>J57*36</f>
        <v>108</v>
      </c>
      <c r="M57" s="170">
        <f>SUM(K57:L61)</f>
        <v>144</v>
      </c>
      <c r="N57" s="146" t="s">
        <v>251</v>
      </c>
      <c r="O57" s="146" t="s">
        <v>202</v>
      </c>
      <c r="P57" s="146" t="s">
        <v>214</v>
      </c>
      <c r="Q57" s="146" t="s">
        <v>204</v>
      </c>
      <c r="R57" s="5"/>
      <c r="S57" s="5"/>
      <c r="T57" s="111"/>
    </row>
    <row r="58" spans="1:20" s="96" customFormat="1" ht="49.5" x14ac:dyDescent="0.5">
      <c r="A58" s="96" t="str">
        <f>_xlfn.XLOOKUP(B58,'Paso 3 Redacción RA'!I$3:I$12,'Paso 3 Redacción RA'!C$3:C$12,,0,1)</f>
        <v>SaberHacer</v>
      </c>
      <c r="B58" s="78" t="s">
        <v>89</v>
      </c>
      <c r="C58" s="140"/>
      <c r="D58" s="140"/>
      <c r="E58" s="151"/>
      <c r="F58" s="140"/>
      <c r="G58" s="140"/>
      <c r="H58" s="140"/>
      <c r="I58" s="140"/>
      <c r="J58" s="140"/>
      <c r="K58" s="140"/>
      <c r="L58" s="140"/>
      <c r="M58" s="140"/>
      <c r="N58" s="143"/>
      <c r="O58" s="143"/>
      <c r="P58" s="143"/>
      <c r="Q58" s="143"/>
      <c r="R58" s="5"/>
      <c r="S58" s="5"/>
      <c r="T58" s="111"/>
    </row>
    <row r="59" spans="1:20" s="96" customFormat="1" ht="49.5" x14ac:dyDescent="0.5">
      <c r="A59" s="96" t="str">
        <f>_xlfn.XLOOKUP(B59,'Paso 3 Redacción RA'!I$3:I$12,'Paso 3 Redacción RA'!C$3:C$12,,0,1)</f>
        <v>SaberSer</v>
      </c>
      <c r="B59" s="78" t="s">
        <v>93</v>
      </c>
      <c r="C59" s="140"/>
      <c r="D59" s="140"/>
      <c r="E59" s="151"/>
      <c r="F59" s="140"/>
      <c r="G59" s="140"/>
      <c r="H59" s="140"/>
      <c r="I59" s="140"/>
      <c r="J59" s="140"/>
      <c r="K59" s="140"/>
      <c r="L59" s="140"/>
      <c r="M59" s="140"/>
      <c r="N59" s="143"/>
      <c r="O59" s="143"/>
      <c r="P59" s="143"/>
      <c r="Q59" s="143"/>
      <c r="R59" s="5"/>
      <c r="S59" s="5"/>
      <c r="T59" s="111"/>
    </row>
    <row r="60" spans="1:20" s="96" customFormat="1" ht="49.5" x14ac:dyDescent="0.5">
      <c r="A60" s="96" t="str">
        <f>_xlfn.XLOOKUP(B60,'Paso 3 Redacción RA'!I$3:I$12,'Paso 3 Redacción RA'!C$3:C$12,,0,1)</f>
        <v>Saber</v>
      </c>
      <c r="B60" s="78" t="s">
        <v>94</v>
      </c>
      <c r="C60" s="140"/>
      <c r="D60" s="140"/>
      <c r="E60" s="151"/>
      <c r="F60" s="140"/>
      <c r="G60" s="140"/>
      <c r="H60" s="140"/>
      <c r="I60" s="140"/>
      <c r="J60" s="140"/>
      <c r="K60" s="140"/>
      <c r="L60" s="140"/>
      <c r="M60" s="140"/>
      <c r="N60" s="143"/>
      <c r="O60" s="143"/>
      <c r="P60" s="143"/>
      <c r="Q60" s="143"/>
      <c r="R60" s="5"/>
      <c r="S60" s="5"/>
      <c r="T60" s="111"/>
    </row>
    <row r="61" spans="1:20" s="96" customFormat="1" ht="50" thickBot="1" x14ac:dyDescent="0.55000000000000004">
      <c r="A61" s="97" t="str">
        <f>_xlfn.XLOOKUP(B61,'Paso 3 Redacción RA'!I$3:I$12,'Paso 3 Redacción RA'!C$3:C$12,,0,1)</f>
        <v>SaberHacer</v>
      </c>
      <c r="B61" s="78" t="s">
        <v>98</v>
      </c>
      <c r="C61" s="171"/>
      <c r="D61" s="171"/>
      <c r="E61" s="165"/>
      <c r="F61" s="171"/>
      <c r="G61" s="171"/>
      <c r="H61" s="171"/>
      <c r="I61" s="171"/>
      <c r="J61" s="171"/>
      <c r="K61" s="171"/>
      <c r="L61" s="171"/>
      <c r="M61" s="140"/>
      <c r="N61" s="147"/>
      <c r="O61" s="147"/>
      <c r="P61" s="147"/>
      <c r="Q61" s="147"/>
      <c r="R61" s="5"/>
      <c r="S61" s="5"/>
      <c r="T61" s="111"/>
    </row>
    <row r="62" spans="1:20" s="96" customFormat="1" ht="409.6" thickBot="1" x14ac:dyDescent="0.55000000000000004">
      <c r="A62" s="104" t="str">
        <f>_xlfn.XLOOKUP(B62,'Paso 3 Redacción RA'!I$3:I$12,'Paso 3 Redacción RA'!C$3:C$12,,0,1)</f>
        <v>Saber</v>
      </c>
      <c r="B62" s="104" t="s">
        <v>103</v>
      </c>
      <c r="C62" s="103">
        <v>3</v>
      </c>
      <c r="D62" s="103" t="s">
        <v>252</v>
      </c>
      <c r="E62" s="104" t="s">
        <v>253</v>
      </c>
      <c r="F62" s="102" t="s">
        <v>199</v>
      </c>
      <c r="G62" s="102" t="s">
        <v>200</v>
      </c>
      <c r="H62" s="102"/>
      <c r="I62" s="102"/>
      <c r="J62" s="105">
        <v>3</v>
      </c>
      <c r="K62" s="102">
        <f>J62*12</f>
        <v>36</v>
      </c>
      <c r="L62" s="102">
        <f>J62*36</f>
        <v>108</v>
      </c>
      <c r="M62" s="102">
        <f>SUM(K62:L62)</f>
        <v>144</v>
      </c>
      <c r="N62" s="101" t="s">
        <v>254</v>
      </c>
      <c r="O62" s="101" t="s">
        <v>202</v>
      </c>
      <c r="P62" s="101" t="s">
        <v>203</v>
      </c>
      <c r="Q62" s="101" t="s">
        <v>204</v>
      </c>
      <c r="R62" s="5"/>
      <c r="S62" s="5"/>
      <c r="T62" s="111"/>
    </row>
    <row r="63" spans="1:20" s="96" customFormat="1" ht="49.5" x14ac:dyDescent="0.5">
      <c r="A63" s="110" t="str">
        <f>_xlfn.XLOOKUP(B63,'Paso 3 Redacción RA'!I$3:I$12,'Paso 3 Redacción RA'!C$3:C$12,,0,1)</f>
        <v>Saber</v>
      </c>
      <c r="B63" s="98" t="s">
        <v>85</v>
      </c>
      <c r="C63" s="170">
        <v>3</v>
      </c>
      <c r="D63" s="170" t="s">
        <v>255</v>
      </c>
      <c r="E63" s="164" t="s">
        <v>256</v>
      </c>
      <c r="F63" s="170" t="s">
        <v>199</v>
      </c>
      <c r="G63" s="170"/>
      <c r="H63" s="170" t="s">
        <v>200</v>
      </c>
      <c r="I63" s="170"/>
      <c r="J63" s="170">
        <v>3</v>
      </c>
      <c r="K63" s="170">
        <f>J63*12</f>
        <v>36</v>
      </c>
      <c r="L63" s="170">
        <f>J63*36</f>
        <v>108</v>
      </c>
      <c r="M63" s="170">
        <f>SUM(K63:L67)</f>
        <v>144</v>
      </c>
      <c r="N63" s="146" t="s">
        <v>257</v>
      </c>
      <c r="O63" s="146" t="s">
        <v>202</v>
      </c>
      <c r="P63" s="146" t="s">
        <v>214</v>
      </c>
      <c r="Q63" s="146" t="s">
        <v>204</v>
      </c>
      <c r="R63" s="5"/>
      <c r="S63" s="5"/>
      <c r="T63" s="111"/>
    </row>
    <row r="64" spans="1:20" s="96" customFormat="1" ht="49.5" x14ac:dyDescent="0.5">
      <c r="A64" s="96" t="str">
        <f>_xlfn.XLOOKUP(B64,'Paso 3 Redacción RA'!I$3:I$12,'Paso 3 Redacción RA'!C$3:C$12,,0,1)</f>
        <v>SaberHacer</v>
      </c>
      <c r="B64" s="78" t="s">
        <v>89</v>
      </c>
      <c r="C64" s="140"/>
      <c r="D64" s="140"/>
      <c r="E64" s="151"/>
      <c r="F64" s="140"/>
      <c r="G64" s="140"/>
      <c r="H64" s="140"/>
      <c r="I64" s="140"/>
      <c r="J64" s="140"/>
      <c r="K64" s="140"/>
      <c r="L64" s="140"/>
      <c r="M64" s="140"/>
      <c r="N64" s="143"/>
      <c r="O64" s="143"/>
      <c r="P64" s="143"/>
      <c r="Q64" s="143"/>
      <c r="R64" s="5"/>
      <c r="S64" s="5"/>
      <c r="T64" s="111"/>
    </row>
    <row r="65" spans="1:20" s="96" customFormat="1" ht="49.5" x14ac:dyDescent="0.5">
      <c r="A65" s="96" t="str">
        <f>_xlfn.XLOOKUP(B65,'Paso 3 Redacción RA'!I$3:I$12,'Paso 3 Redacción RA'!C$3:C$12,,0,1)</f>
        <v>SaberSer</v>
      </c>
      <c r="B65" s="78" t="s">
        <v>93</v>
      </c>
      <c r="C65" s="140"/>
      <c r="D65" s="140"/>
      <c r="E65" s="151"/>
      <c r="F65" s="140"/>
      <c r="G65" s="140"/>
      <c r="H65" s="140"/>
      <c r="I65" s="140"/>
      <c r="J65" s="140"/>
      <c r="K65" s="140"/>
      <c r="L65" s="140"/>
      <c r="M65" s="140"/>
      <c r="N65" s="143"/>
      <c r="O65" s="143"/>
      <c r="P65" s="143"/>
      <c r="Q65" s="143"/>
      <c r="R65" s="5"/>
      <c r="S65" s="5"/>
      <c r="T65" s="111"/>
    </row>
    <row r="66" spans="1:20" s="96" customFormat="1" ht="49.5" x14ac:dyDescent="0.5">
      <c r="A66" s="96" t="str">
        <f>_xlfn.XLOOKUP(B66,'Paso 3 Redacción RA'!I$3:I$12,'Paso 3 Redacción RA'!C$3:C$12,,0,1)</f>
        <v>Saber</v>
      </c>
      <c r="B66" s="78" t="s">
        <v>94</v>
      </c>
      <c r="C66" s="140"/>
      <c r="D66" s="140"/>
      <c r="E66" s="151"/>
      <c r="F66" s="140"/>
      <c r="G66" s="140"/>
      <c r="H66" s="140"/>
      <c r="I66" s="140"/>
      <c r="J66" s="140"/>
      <c r="K66" s="140"/>
      <c r="L66" s="140"/>
      <c r="M66" s="140"/>
      <c r="N66" s="143"/>
      <c r="O66" s="143"/>
      <c r="P66" s="143"/>
      <c r="Q66" s="143"/>
      <c r="R66" s="5"/>
      <c r="S66" s="5"/>
      <c r="T66" s="111"/>
    </row>
    <row r="67" spans="1:20" s="96" customFormat="1" ht="50" thickBot="1" x14ac:dyDescent="0.55000000000000004">
      <c r="A67" s="97" t="str">
        <f>_xlfn.XLOOKUP(B67,'Paso 3 Redacción RA'!I$3:I$12,'Paso 3 Redacción RA'!C$3:C$12,,0,1)</f>
        <v>SaberHacer</v>
      </c>
      <c r="B67" s="93" t="s">
        <v>98</v>
      </c>
      <c r="C67" s="171"/>
      <c r="D67" s="171"/>
      <c r="E67" s="165"/>
      <c r="F67" s="171"/>
      <c r="G67" s="171"/>
      <c r="H67" s="171"/>
      <c r="I67" s="171"/>
      <c r="J67" s="171"/>
      <c r="K67" s="171"/>
      <c r="L67" s="171"/>
      <c r="M67" s="179"/>
      <c r="N67" s="147"/>
      <c r="O67" s="147"/>
      <c r="P67" s="147"/>
      <c r="Q67" s="147"/>
      <c r="R67" s="5">
        <f>SUM(J46:J67)</f>
        <v>18</v>
      </c>
      <c r="S67" s="5">
        <f>COUNTA(D46:D67)</f>
        <v>6</v>
      </c>
      <c r="T67" s="111"/>
    </row>
    <row r="68" spans="1:20" s="96" customFormat="1" ht="409.6" thickBot="1" x14ac:dyDescent="0.55000000000000004">
      <c r="A68" s="131" t="str">
        <f>_xlfn.XLOOKUP(B68,'Paso 3 Redacción RA'!I$3:I$12,'Paso 3 Redacción RA'!C$3:C$12,,0,1)</f>
        <v>Saber</v>
      </c>
      <c r="B68" s="131" t="s">
        <v>103</v>
      </c>
      <c r="C68" s="132">
        <v>4</v>
      </c>
      <c r="D68" s="132" t="s">
        <v>258</v>
      </c>
      <c r="E68" s="131" t="s">
        <v>259</v>
      </c>
      <c r="F68" s="133" t="s">
        <v>199</v>
      </c>
      <c r="G68" s="132" t="s">
        <v>200</v>
      </c>
      <c r="H68" s="132" t="s">
        <v>260</v>
      </c>
      <c r="I68" s="132"/>
      <c r="J68" s="132">
        <v>3</v>
      </c>
      <c r="K68" s="102">
        <f>J68*12</f>
        <v>36</v>
      </c>
      <c r="L68" s="102">
        <f>J68*36</f>
        <v>108</v>
      </c>
      <c r="M68" s="102">
        <f>SUM(K68:L68)</f>
        <v>144</v>
      </c>
      <c r="N68" s="131" t="s">
        <v>261</v>
      </c>
      <c r="O68" s="131" t="s">
        <v>202</v>
      </c>
      <c r="P68" s="131" t="s">
        <v>203</v>
      </c>
      <c r="Q68" s="134" t="s">
        <v>204</v>
      </c>
      <c r="R68" s="5"/>
      <c r="S68" s="5"/>
      <c r="T68" s="111"/>
    </row>
    <row r="69" spans="1:20" s="96" customFormat="1" ht="49.5" x14ac:dyDescent="0.5">
      <c r="A69" s="110" t="str">
        <f>_xlfn.XLOOKUP(B69,'Paso 3 Redacción RA'!I$3:I$12,'Paso 3 Redacción RA'!C$3:C$12,,0,1)</f>
        <v>Saber</v>
      </c>
      <c r="B69" s="98" t="s">
        <v>85</v>
      </c>
      <c r="C69" s="170">
        <v>4</v>
      </c>
      <c r="D69" s="170" t="s">
        <v>262</v>
      </c>
      <c r="E69" s="164" t="s">
        <v>263</v>
      </c>
      <c r="F69" s="170" t="s">
        <v>199</v>
      </c>
      <c r="G69" s="170"/>
      <c r="H69" s="170" t="s">
        <v>200</v>
      </c>
      <c r="I69" s="170"/>
      <c r="J69" s="170">
        <v>3</v>
      </c>
      <c r="K69" s="170">
        <f>J69*12</f>
        <v>36</v>
      </c>
      <c r="L69" s="170">
        <f>J69*36</f>
        <v>108</v>
      </c>
      <c r="M69" s="170">
        <f>SUM(K69:L69)</f>
        <v>144</v>
      </c>
      <c r="N69" s="146" t="s">
        <v>264</v>
      </c>
      <c r="O69" s="146" t="s">
        <v>202</v>
      </c>
      <c r="P69" s="146" t="s">
        <v>209</v>
      </c>
      <c r="Q69" s="146" t="s">
        <v>204</v>
      </c>
      <c r="R69" s="5"/>
      <c r="S69" s="5"/>
      <c r="T69" s="111"/>
    </row>
    <row r="70" spans="1:20" s="96" customFormat="1" ht="49.5" x14ac:dyDescent="0.5">
      <c r="A70" s="96" t="str">
        <f>_xlfn.XLOOKUP(B70,'Paso 3 Redacción RA'!I$3:I$12,'Paso 3 Redacción RA'!C$3:C$12,,0,1)</f>
        <v>SaberSer</v>
      </c>
      <c r="B70" s="78" t="s">
        <v>93</v>
      </c>
      <c r="C70" s="140"/>
      <c r="D70" s="140"/>
      <c r="E70" s="151"/>
      <c r="F70" s="140"/>
      <c r="G70" s="140"/>
      <c r="H70" s="140"/>
      <c r="I70" s="140"/>
      <c r="J70" s="140"/>
      <c r="K70" s="140"/>
      <c r="L70" s="140"/>
      <c r="M70" s="140"/>
      <c r="N70" s="143"/>
      <c r="O70" s="143"/>
      <c r="P70" s="143"/>
      <c r="Q70" s="143"/>
      <c r="R70" s="5"/>
      <c r="S70" s="5"/>
      <c r="T70" s="111"/>
    </row>
    <row r="71" spans="1:20" s="96" customFormat="1" ht="49.5" x14ac:dyDescent="0.5">
      <c r="A71" s="96" t="str">
        <f>_xlfn.XLOOKUP(B71,'Paso 3 Redacción RA'!I$3:I$12,'Paso 3 Redacción RA'!C$3:C$12,,0,1)</f>
        <v>Saber</v>
      </c>
      <c r="B71" s="78" t="s">
        <v>94</v>
      </c>
      <c r="C71" s="140"/>
      <c r="D71" s="140"/>
      <c r="E71" s="151"/>
      <c r="F71" s="140"/>
      <c r="G71" s="140"/>
      <c r="H71" s="140"/>
      <c r="I71" s="140"/>
      <c r="J71" s="140"/>
      <c r="K71" s="140"/>
      <c r="L71" s="140"/>
      <c r="M71" s="140"/>
      <c r="N71" s="143"/>
      <c r="O71" s="143"/>
      <c r="P71" s="143"/>
      <c r="Q71" s="143"/>
      <c r="R71" s="5"/>
      <c r="S71" s="5"/>
      <c r="T71" s="111"/>
    </row>
    <row r="72" spans="1:20" s="96" customFormat="1" ht="49.5" x14ac:dyDescent="0.5">
      <c r="A72" s="96" t="str">
        <f>_xlfn.XLOOKUP(B72,'Paso 3 Redacción RA'!I$3:I$12,'Paso 3 Redacción RA'!C$3:C$12,,0,1)</f>
        <v>SaberHacer</v>
      </c>
      <c r="B72" s="78" t="s">
        <v>96</v>
      </c>
      <c r="C72" s="140"/>
      <c r="D72" s="140"/>
      <c r="E72" s="151"/>
      <c r="F72" s="140"/>
      <c r="G72" s="140"/>
      <c r="H72" s="140"/>
      <c r="I72" s="140"/>
      <c r="J72" s="140"/>
      <c r="K72" s="140"/>
      <c r="L72" s="140"/>
      <c r="M72" s="140"/>
      <c r="N72" s="143"/>
      <c r="O72" s="143"/>
      <c r="P72" s="143"/>
      <c r="Q72" s="143"/>
      <c r="R72" s="5"/>
      <c r="S72" s="5"/>
      <c r="T72" s="111"/>
    </row>
    <row r="73" spans="1:20" s="96" customFormat="1" ht="50" thickBot="1" x14ac:dyDescent="0.55000000000000004">
      <c r="A73" s="97" t="str">
        <f>_xlfn.XLOOKUP(B73,'Paso 3 Redacción RA'!I$3:I$12,'Paso 3 Redacción RA'!C$3:C$12,,0,1)</f>
        <v>SaberHacer</v>
      </c>
      <c r="B73" s="93" t="s">
        <v>98</v>
      </c>
      <c r="C73" s="171"/>
      <c r="D73" s="171"/>
      <c r="E73" s="165"/>
      <c r="F73" s="171"/>
      <c r="G73" s="171"/>
      <c r="H73" s="171"/>
      <c r="I73" s="171"/>
      <c r="J73" s="171"/>
      <c r="K73" s="171"/>
      <c r="L73" s="171"/>
      <c r="M73" s="171"/>
      <c r="N73" s="147"/>
      <c r="O73" s="147"/>
      <c r="P73" s="147"/>
      <c r="Q73" s="147"/>
      <c r="R73" s="5"/>
      <c r="S73" s="5"/>
      <c r="T73" s="111"/>
    </row>
    <row r="74" spans="1:20" s="96" customFormat="1" ht="49.5" x14ac:dyDescent="0.5">
      <c r="A74" s="110" t="str">
        <f>_xlfn.XLOOKUP(B74,'Paso 3 Redacción RA'!I$3:I$12,'Paso 3 Redacción RA'!C$3:C$12,,0,1)</f>
        <v>Saber</v>
      </c>
      <c r="B74" s="98" t="s">
        <v>85</v>
      </c>
      <c r="C74" s="170">
        <v>4</v>
      </c>
      <c r="D74" s="170" t="s">
        <v>265</v>
      </c>
      <c r="E74" s="164" t="s">
        <v>266</v>
      </c>
      <c r="F74" s="170" t="s">
        <v>199</v>
      </c>
      <c r="G74" s="170"/>
      <c r="H74" s="170" t="s">
        <v>200</v>
      </c>
      <c r="I74" s="170"/>
      <c r="J74" s="170">
        <v>3</v>
      </c>
      <c r="K74" s="170">
        <f>J74*12</f>
        <v>36</v>
      </c>
      <c r="L74" s="170">
        <f>J74*36</f>
        <v>108</v>
      </c>
      <c r="M74" s="170">
        <f>SUM(K74:L74)</f>
        <v>144</v>
      </c>
      <c r="N74" s="146" t="s">
        <v>267</v>
      </c>
      <c r="O74" s="146" t="s">
        <v>202</v>
      </c>
      <c r="P74" s="146" t="s">
        <v>214</v>
      </c>
      <c r="Q74" s="146" t="s">
        <v>204</v>
      </c>
      <c r="R74" s="5"/>
      <c r="S74" s="5"/>
      <c r="T74" s="111"/>
    </row>
    <row r="75" spans="1:20" s="96" customFormat="1" ht="49.5" x14ac:dyDescent="0.5">
      <c r="A75" s="96" t="str">
        <f>_xlfn.XLOOKUP(B75,'Paso 3 Redacción RA'!I$3:I$12,'Paso 3 Redacción RA'!C$3:C$12,,0,1)</f>
        <v>SaberHacer</v>
      </c>
      <c r="B75" s="78" t="s">
        <v>89</v>
      </c>
      <c r="C75" s="140"/>
      <c r="D75" s="140"/>
      <c r="E75" s="151"/>
      <c r="F75" s="140"/>
      <c r="G75" s="140"/>
      <c r="H75" s="140"/>
      <c r="I75" s="140"/>
      <c r="J75" s="140"/>
      <c r="K75" s="140"/>
      <c r="L75" s="140"/>
      <c r="M75" s="140"/>
      <c r="N75" s="143"/>
      <c r="O75" s="143"/>
      <c r="P75" s="143"/>
      <c r="Q75" s="143"/>
      <c r="R75" s="5"/>
      <c r="S75" s="5"/>
      <c r="T75" s="111"/>
    </row>
    <row r="76" spans="1:20" s="96" customFormat="1" ht="49.5" x14ac:dyDescent="0.5">
      <c r="A76" s="96" t="str">
        <f>_xlfn.XLOOKUP(B76,'Paso 3 Redacción RA'!I$3:I$12,'Paso 3 Redacción RA'!C$3:C$12,,0,1)</f>
        <v>SaberSer</v>
      </c>
      <c r="B76" s="78" t="s">
        <v>93</v>
      </c>
      <c r="C76" s="140"/>
      <c r="D76" s="140"/>
      <c r="E76" s="151"/>
      <c r="F76" s="140"/>
      <c r="G76" s="140"/>
      <c r="H76" s="140"/>
      <c r="I76" s="140"/>
      <c r="J76" s="140"/>
      <c r="K76" s="140"/>
      <c r="L76" s="140"/>
      <c r="M76" s="140"/>
      <c r="N76" s="143"/>
      <c r="O76" s="143"/>
      <c r="P76" s="143"/>
      <c r="Q76" s="143"/>
      <c r="R76" s="5"/>
      <c r="S76" s="5"/>
      <c r="T76" s="111"/>
    </row>
    <row r="77" spans="1:20" s="96" customFormat="1" ht="49.5" x14ac:dyDescent="0.5">
      <c r="A77" s="96" t="str">
        <f>_xlfn.XLOOKUP(B77,'Paso 3 Redacción RA'!I$3:I$12,'Paso 3 Redacción RA'!C$3:C$12,,0,1)</f>
        <v>Saber</v>
      </c>
      <c r="B77" s="78" t="s">
        <v>94</v>
      </c>
      <c r="C77" s="140"/>
      <c r="D77" s="140"/>
      <c r="E77" s="151"/>
      <c r="F77" s="140"/>
      <c r="G77" s="140"/>
      <c r="H77" s="140"/>
      <c r="I77" s="140"/>
      <c r="J77" s="140"/>
      <c r="K77" s="140"/>
      <c r="L77" s="140"/>
      <c r="M77" s="140"/>
      <c r="N77" s="143"/>
      <c r="O77" s="143"/>
      <c r="P77" s="143"/>
      <c r="Q77" s="143"/>
      <c r="R77" s="5"/>
      <c r="S77" s="5"/>
      <c r="T77" s="111"/>
    </row>
    <row r="78" spans="1:20" s="96" customFormat="1" ht="50" thickBot="1" x14ac:dyDescent="0.55000000000000004">
      <c r="A78" s="97" t="str">
        <f>_xlfn.XLOOKUP(B78,'Paso 3 Redacción RA'!I$3:I$12,'Paso 3 Redacción RA'!C$3:C$12,,0,1)</f>
        <v>SaberHacer</v>
      </c>
      <c r="B78" s="93" t="s">
        <v>98</v>
      </c>
      <c r="C78" s="171"/>
      <c r="D78" s="171"/>
      <c r="E78" s="165"/>
      <c r="F78" s="171"/>
      <c r="G78" s="171"/>
      <c r="H78" s="171"/>
      <c r="I78" s="171"/>
      <c r="J78" s="171"/>
      <c r="K78" s="171"/>
      <c r="L78" s="171"/>
      <c r="M78" s="171"/>
      <c r="N78" s="147"/>
      <c r="O78" s="147"/>
      <c r="P78" s="147"/>
      <c r="Q78" s="147"/>
      <c r="R78" s="5"/>
      <c r="S78" s="5"/>
      <c r="T78" s="111"/>
    </row>
    <row r="79" spans="1:20" s="96" customFormat="1" ht="49.5" x14ac:dyDescent="0.5">
      <c r="A79" s="110" t="str">
        <f>_xlfn.XLOOKUP(B79,'Paso 3 Redacción RA'!I$3:I$12,'Paso 3 Redacción RA'!C$3:C$12,,0,1)</f>
        <v>Saber</v>
      </c>
      <c r="B79" s="98" t="s">
        <v>85</v>
      </c>
      <c r="C79" s="170">
        <v>4</v>
      </c>
      <c r="D79" s="170" t="s">
        <v>268</v>
      </c>
      <c r="E79" s="168" t="s">
        <v>269</v>
      </c>
      <c r="F79" s="170" t="s">
        <v>199</v>
      </c>
      <c r="G79" s="170"/>
      <c r="H79" s="170" t="s">
        <v>200</v>
      </c>
      <c r="I79" s="170"/>
      <c r="J79" s="170">
        <v>4</v>
      </c>
      <c r="K79" s="170">
        <f>J79*12</f>
        <v>48</v>
      </c>
      <c r="L79" s="170">
        <f>J79*36</f>
        <v>144</v>
      </c>
      <c r="M79" s="170">
        <f>SUM(K79:L79)</f>
        <v>192</v>
      </c>
      <c r="N79" s="146" t="s">
        <v>270</v>
      </c>
      <c r="O79" s="146" t="s">
        <v>202</v>
      </c>
      <c r="P79" s="146" t="s">
        <v>214</v>
      </c>
      <c r="Q79" s="146" t="s">
        <v>204</v>
      </c>
      <c r="R79" s="5"/>
      <c r="S79" s="5"/>
      <c r="T79" s="111"/>
    </row>
    <row r="80" spans="1:20" s="96" customFormat="1" ht="49.5" x14ac:dyDescent="0.5">
      <c r="A80" s="96" t="str">
        <f>_xlfn.XLOOKUP(B80,'Paso 3 Redacción RA'!I$3:I$12,'Paso 3 Redacción RA'!C$3:C$12,,0,1)</f>
        <v>SaberHacer</v>
      </c>
      <c r="B80" s="78" t="s">
        <v>89</v>
      </c>
      <c r="C80" s="140"/>
      <c r="D80" s="140"/>
      <c r="E80" s="158"/>
      <c r="F80" s="140"/>
      <c r="G80" s="140"/>
      <c r="H80" s="140"/>
      <c r="I80" s="140"/>
      <c r="J80" s="140"/>
      <c r="K80" s="140"/>
      <c r="L80" s="140"/>
      <c r="M80" s="140"/>
      <c r="N80" s="143"/>
      <c r="O80" s="143"/>
      <c r="P80" s="143"/>
      <c r="Q80" s="143"/>
      <c r="R80" s="5"/>
      <c r="S80" s="5"/>
      <c r="T80" s="111"/>
    </row>
    <row r="81" spans="1:20" s="96" customFormat="1" ht="49.5" x14ac:dyDescent="0.5">
      <c r="A81" s="96" t="str">
        <f>_xlfn.XLOOKUP(B81,'Paso 3 Redacción RA'!I$3:I$12,'Paso 3 Redacción RA'!C$3:C$12,,0,1)</f>
        <v>SaberSer</v>
      </c>
      <c r="B81" s="78" t="s">
        <v>93</v>
      </c>
      <c r="C81" s="140"/>
      <c r="D81" s="140"/>
      <c r="E81" s="158"/>
      <c r="F81" s="140"/>
      <c r="G81" s="140"/>
      <c r="H81" s="140"/>
      <c r="I81" s="140"/>
      <c r="J81" s="140"/>
      <c r="K81" s="140"/>
      <c r="L81" s="140"/>
      <c r="M81" s="140"/>
      <c r="N81" s="143"/>
      <c r="O81" s="143"/>
      <c r="P81" s="143"/>
      <c r="Q81" s="143"/>
      <c r="R81" s="5"/>
      <c r="S81" s="5"/>
      <c r="T81" s="111"/>
    </row>
    <row r="82" spans="1:20" s="96" customFormat="1" ht="49.5" x14ac:dyDescent="0.5">
      <c r="A82" s="96" t="str">
        <f>_xlfn.XLOOKUP(B82,'Paso 3 Redacción RA'!I$3:I$12,'Paso 3 Redacción RA'!C$3:C$12,,0,1)</f>
        <v>Saber</v>
      </c>
      <c r="B82" s="78" t="s">
        <v>94</v>
      </c>
      <c r="C82" s="140"/>
      <c r="D82" s="140"/>
      <c r="E82" s="158"/>
      <c r="F82" s="140"/>
      <c r="G82" s="140"/>
      <c r="H82" s="140"/>
      <c r="I82" s="140"/>
      <c r="J82" s="140"/>
      <c r="K82" s="140"/>
      <c r="L82" s="140"/>
      <c r="M82" s="140"/>
      <c r="N82" s="143"/>
      <c r="O82" s="143"/>
      <c r="P82" s="143"/>
      <c r="Q82" s="143"/>
      <c r="R82" s="5"/>
      <c r="S82" s="5"/>
      <c r="T82" s="111"/>
    </row>
    <row r="83" spans="1:20" s="96" customFormat="1" ht="50" thickBot="1" x14ac:dyDescent="0.55000000000000004">
      <c r="A83" s="97" t="str">
        <f>_xlfn.XLOOKUP(B83,'Paso 3 Redacción RA'!I$3:I$12,'Paso 3 Redacción RA'!C$3:C$12,,0,1)</f>
        <v>SaberHacer</v>
      </c>
      <c r="B83" s="93" t="s">
        <v>98</v>
      </c>
      <c r="C83" s="171"/>
      <c r="D83" s="171"/>
      <c r="E83" s="169"/>
      <c r="F83" s="171"/>
      <c r="G83" s="171"/>
      <c r="H83" s="171"/>
      <c r="I83" s="171"/>
      <c r="J83" s="171"/>
      <c r="K83" s="171"/>
      <c r="L83" s="171"/>
      <c r="M83" s="171"/>
      <c r="N83" s="147"/>
      <c r="O83" s="147"/>
      <c r="P83" s="147"/>
      <c r="Q83" s="147"/>
      <c r="R83" s="5"/>
      <c r="S83" s="5"/>
      <c r="T83" s="111"/>
    </row>
    <row r="84" spans="1:20" s="96" customFormat="1" ht="49.5" x14ac:dyDescent="0.5">
      <c r="A84" s="110" t="str">
        <f>_xlfn.XLOOKUP(B84,'Paso 3 Redacción RA'!I$3:I$12,'Paso 3 Redacción RA'!C$3:C$12,,0,1)</f>
        <v>SaberHacer</v>
      </c>
      <c r="B84" s="98" t="s">
        <v>89</v>
      </c>
      <c r="C84" s="170">
        <v>4</v>
      </c>
      <c r="D84" s="177" t="s">
        <v>271</v>
      </c>
      <c r="E84" s="164" t="s">
        <v>272</v>
      </c>
      <c r="F84" s="170" t="s">
        <v>207</v>
      </c>
      <c r="G84" s="170"/>
      <c r="H84" s="170" t="s">
        <v>200</v>
      </c>
      <c r="I84" s="170"/>
      <c r="J84" s="170">
        <v>4</v>
      </c>
      <c r="K84" s="170">
        <f>J84*12</f>
        <v>48</v>
      </c>
      <c r="L84" s="170">
        <f>J84*36</f>
        <v>144</v>
      </c>
      <c r="M84" s="170">
        <f>SUM(K84:L84)</f>
        <v>192</v>
      </c>
      <c r="N84" s="146" t="s">
        <v>273</v>
      </c>
      <c r="O84" s="146" t="s">
        <v>202</v>
      </c>
      <c r="P84" s="146" t="s">
        <v>274</v>
      </c>
      <c r="Q84" s="146" t="s">
        <v>204</v>
      </c>
      <c r="R84" s="5"/>
      <c r="S84" s="5"/>
      <c r="T84" s="111"/>
    </row>
    <row r="85" spans="1:20" s="96" customFormat="1" ht="49.5" x14ac:dyDescent="0.5">
      <c r="A85" s="96" t="str">
        <f>_xlfn.XLOOKUP(B85,'Paso 3 Redacción RA'!I$3:I$12,'Paso 3 Redacción RA'!C$3:C$12,,0,1)</f>
        <v>SaberSer</v>
      </c>
      <c r="B85" s="78" t="s">
        <v>93</v>
      </c>
      <c r="C85" s="140"/>
      <c r="D85" s="160"/>
      <c r="E85" s="151"/>
      <c r="F85" s="140"/>
      <c r="G85" s="140"/>
      <c r="H85" s="140"/>
      <c r="I85" s="140"/>
      <c r="J85" s="140"/>
      <c r="K85" s="140"/>
      <c r="L85" s="140"/>
      <c r="M85" s="140"/>
      <c r="N85" s="143"/>
      <c r="O85" s="143"/>
      <c r="P85" s="143"/>
      <c r="Q85" s="143"/>
      <c r="R85" s="5"/>
      <c r="S85" s="5"/>
      <c r="T85" s="111"/>
    </row>
    <row r="86" spans="1:20" s="96" customFormat="1" ht="49.5" x14ac:dyDescent="0.5">
      <c r="A86" s="96" t="str">
        <f>_xlfn.XLOOKUP(B86,'Paso 3 Redacción RA'!I$3:I$12,'Paso 3 Redacción RA'!C$3:C$12,,0,1)</f>
        <v>Saber</v>
      </c>
      <c r="B86" s="78" t="s">
        <v>94</v>
      </c>
      <c r="C86" s="140"/>
      <c r="D86" s="160"/>
      <c r="E86" s="151"/>
      <c r="F86" s="140"/>
      <c r="G86" s="140"/>
      <c r="H86" s="140"/>
      <c r="I86" s="140"/>
      <c r="J86" s="140"/>
      <c r="K86" s="140"/>
      <c r="L86" s="140"/>
      <c r="M86" s="140"/>
      <c r="N86" s="143"/>
      <c r="O86" s="143"/>
      <c r="P86" s="143"/>
      <c r="Q86" s="143"/>
      <c r="R86" s="5"/>
      <c r="S86" s="5"/>
      <c r="T86" s="111"/>
    </row>
    <row r="87" spans="1:20" s="96" customFormat="1" ht="49.5" x14ac:dyDescent="0.5">
      <c r="A87" s="96" t="str">
        <f>_xlfn.XLOOKUP(B87,'Paso 3 Redacción RA'!I$3:I$12,'Paso 3 Redacción RA'!C$3:C$12,,0,1)</f>
        <v>SaberHacer</v>
      </c>
      <c r="B87" s="78" t="s">
        <v>96</v>
      </c>
      <c r="C87" s="140"/>
      <c r="D87" s="160"/>
      <c r="E87" s="151"/>
      <c r="F87" s="140"/>
      <c r="G87" s="140"/>
      <c r="H87" s="140"/>
      <c r="I87" s="140"/>
      <c r="J87" s="140"/>
      <c r="K87" s="140"/>
      <c r="L87" s="140"/>
      <c r="M87" s="140"/>
      <c r="N87" s="143"/>
      <c r="O87" s="143"/>
      <c r="P87" s="143"/>
      <c r="Q87" s="143"/>
      <c r="R87" s="5"/>
      <c r="S87" s="5"/>
      <c r="T87" s="111"/>
    </row>
    <row r="88" spans="1:20" s="96" customFormat="1" ht="50" thickBot="1" x14ac:dyDescent="0.55000000000000004">
      <c r="A88" s="97" t="str">
        <f>_xlfn.XLOOKUP(B88,'Paso 3 Redacción RA'!I$3:I$12,'Paso 3 Redacción RA'!C$3:C$12,,0,1)</f>
        <v>SaberHacer</v>
      </c>
      <c r="B88" s="93" t="s">
        <v>98</v>
      </c>
      <c r="C88" s="171"/>
      <c r="D88" s="178"/>
      <c r="E88" s="165"/>
      <c r="F88" s="171"/>
      <c r="G88" s="171"/>
      <c r="H88" s="171"/>
      <c r="I88" s="171"/>
      <c r="J88" s="171"/>
      <c r="K88" s="171"/>
      <c r="L88" s="171"/>
      <c r="M88" s="171"/>
      <c r="N88" s="147"/>
      <c r="O88" s="147"/>
      <c r="P88" s="147"/>
      <c r="Q88" s="147"/>
      <c r="R88" s="5">
        <f>SUM(J68:J88)</f>
        <v>17</v>
      </c>
      <c r="S88" s="5">
        <f>COUNTA(D68:D88)</f>
        <v>5</v>
      </c>
      <c r="T88" s="111"/>
    </row>
    <row r="89" spans="1:20" s="96" customFormat="1" ht="49.5" x14ac:dyDescent="0.5">
      <c r="A89" s="110" t="str">
        <f>_xlfn.XLOOKUP(B89,'Paso 3 Redacción RA'!I$3:I$12,'Paso 3 Redacción RA'!C$3:C$12,,0,1)</f>
        <v>Saber</v>
      </c>
      <c r="B89" s="98" t="s">
        <v>85</v>
      </c>
      <c r="C89" s="170">
        <v>5</v>
      </c>
      <c r="D89" s="170" t="s">
        <v>275</v>
      </c>
      <c r="E89" s="164" t="s">
        <v>276</v>
      </c>
      <c r="F89" s="170" t="s">
        <v>199</v>
      </c>
      <c r="G89" s="170"/>
      <c r="H89" s="170" t="s">
        <v>200</v>
      </c>
      <c r="I89" s="170"/>
      <c r="J89" s="170">
        <v>3</v>
      </c>
      <c r="K89" s="170">
        <f>J89*12</f>
        <v>36</v>
      </c>
      <c r="L89" s="170">
        <f>J89*36</f>
        <v>108</v>
      </c>
      <c r="M89" s="170">
        <f>SUM(K89:L93)</f>
        <v>144</v>
      </c>
      <c r="N89" s="146" t="s">
        <v>277</v>
      </c>
      <c r="O89" s="146" t="s">
        <v>202</v>
      </c>
      <c r="P89" s="146" t="s">
        <v>278</v>
      </c>
      <c r="Q89" s="146" t="s">
        <v>204</v>
      </c>
      <c r="R89" s="5"/>
      <c r="S89" s="5"/>
      <c r="T89" s="111"/>
    </row>
    <row r="90" spans="1:20" s="96" customFormat="1" ht="49.5" x14ac:dyDescent="0.5">
      <c r="A90" s="96" t="str">
        <f>_xlfn.XLOOKUP(B90,'Paso 3 Redacción RA'!I$3:I$12,'Paso 3 Redacción RA'!C$3:C$12,,0,1)</f>
        <v>SaberHacer</v>
      </c>
      <c r="B90" s="78" t="s">
        <v>89</v>
      </c>
      <c r="C90" s="140"/>
      <c r="D90" s="140"/>
      <c r="E90" s="151"/>
      <c r="F90" s="140"/>
      <c r="G90" s="140"/>
      <c r="H90" s="140"/>
      <c r="I90" s="140"/>
      <c r="J90" s="140"/>
      <c r="K90" s="140"/>
      <c r="L90" s="140"/>
      <c r="M90" s="140"/>
      <c r="N90" s="143"/>
      <c r="O90" s="143"/>
      <c r="P90" s="143"/>
      <c r="Q90" s="143"/>
      <c r="R90" s="5"/>
      <c r="S90" s="5"/>
      <c r="T90" s="111"/>
    </row>
    <row r="91" spans="1:20" s="96" customFormat="1" ht="49.5" x14ac:dyDescent="0.5">
      <c r="A91" s="96" t="str">
        <f>_xlfn.XLOOKUP(B91,'Paso 3 Redacción RA'!I$3:I$12,'Paso 3 Redacción RA'!C$3:C$12,,0,1)</f>
        <v>SaberSer</v>
      </c>
      <c r="B91" s="78" t="s">
        <v>93</v>
      </c>
      <c r="C91" s="140"/>
      <c r="D91" s="140"/>
      <c r="E91" s="151"/>
      <c r="F91" s="140"/>
      <c r="G91" s="140"/>
      <c r="H91" s="140"/>
      <c r="I91" s="140"/>
      <c r="J91" s="140"/>
      <c r="K91" s="140"/>
      <c r="L91" s="140"/>
      <c r="M91" s="140"/>
      <c r="N91" s="143"/>
      <c r="O91" s="143"/>
      <c r="P91" s="143"/>
      <c r="Q91" s="143"/>
      <c r="R91" s="5"/>
      <c r="S91" s="5"/>
      <c r="T91" s="111"/>
    </row>
    <row r="92" spans="1:20" s="96" customFormat="1" ht="49.5" x14ac:dyDescent="0.5">
      <c r="A92" s="96" t="str">
        <f>_xlfn.XLOOKUP(B92,'Paso 3 Redacción RA'!I$3:I$12,'Paso 3 Redacción RA'!C$3:C$12,,0,1)</f>
        <v>Saber</v>
      </c>
      <c r="B92" s="78" t="s">
        <v>94</v>
      </c>
      <c r="C92" s="140"/>
      <c r="D92" s="140"/>
      <c r="E92" s="151"/>
      <c r="F92" s="140"/>
      <c r="G92" s="140"/>
      <c r="H92" s="140"/>
      <c r="I92" s="140"/>
      <c r="J92" s="140"/>
      <c r="K92" s="140"/>
      <c r="L92" s="140"/>
      <c r="M92" s="140"/>
      <c r="N92" s="143"/>
      <c r="O92" s="143"/>
      <c r="P92" s="143"/>
      <c r="Q92" s="143"/>
      <c r="R92" s="5"/>
      <c r="S92" s="5"/>
      <c r="T92" s="111"/>
    </row>
    <row r="93" spans="1:20" s="96" customFormat="1" ht="50" thickBot="1" x14ac:dyDescent="0.55000000000000004">
      <c r="A93" s="97" t="str">
        <f>_xlfn.XLOOKUP(B93,'Paso 3 Redacción RA'!I$3:I$12,'Paso 3 Redacción RA'!C$3:C$12,,0,1)</f>
        <v>SaberHacer</v>
      </c>
      <c r="B93" s="93" t="s">
        <v>98</v>
      </c>
      <c r="C93" s="171"/>
      <c r="D93" s="171"/>
      <c r="E93" s="165"/>
      <c r="F93" s="140"/>
      <c r="G93" s="140"/>
      <c r="H93" s="140"/>
      <c r="I93" s="140"/>
      <c r="J93" s="140"/>
      <c r="K93" s="171"/>
      <c r="L93" s="171"/>
      <c r="M93" s="140"/>
      <c r="N93" s="143"/>
      <c r="O93" s="143"/>
      <c r="P93" s="143"/>
      <c r="Q93" s="143"/>
      <c r="R93" s="5"/>
      <c r="S93" s="5"/>
      <c r="T93" s="111"/>
    </row>
    <row r="94" spans="1:20" s="96" customFormat="1" ht="49.5" x14ac:dyDescent="0.5">
      <c r="A94" s="110" t="str">
        <f>_xlfn.XLOOKUP(B94,'Paso 3 Redacción RA'!I$3:I$12,'Paso 3 Redacción RA'!C$3:C$12,,0,1)</f>
        <v>Saber</v>
      </c>
      <c r="B94" s="98" t="s">
        <v>85</v>
      </c>
      <c r="C94" s="170">
        <v>5</v>
      </c>
      <c r="D94" s="170" t="s">
        <v>279</v>
      </c>
      <c r="E94" s="168" t="s">
        <v>280</v>
      </c>
      <c r="F94" s="170" t="s">
        <v>207</v>
      </c>
      <c r="G94" s="170"/>
      <c r="H94" s="170" t="s">
        <v>200</v>
      </c>
      <c r="I94" s="170"/>
      <c r="J94" s="170">
        <v>3</v>
      </c>
      <c r="K94" s="170">
        <f>J94*12</f>
        <v>36</v>
      </c>
      <c r="L94" s="170">
        <f>J94*36</f>
        <v>108</v>
      </c>
      <c r="M94" s="170">
        <f>SUM(K94:L94)</f>
        <v>144</v>
      </c>
      <c r="N94" s="146" t="s">
        <v>281</v>
      </c>
      <c r="O94" s="146" t="s">
        <v>282</v>
      </c>
      <c r="P94" s="146" t="s">
        <v>221</v>
      </c>
      <c r="Q94" s="146" t="s">
        <v>204</v>
      </c>
      <c r="R94" s="5"/>
      <c r="S94" s="5"/>
      <c r="T94" s="111"/>
    </row>
    <row r="95" spans="1:20" s="96" customFormat="1" ht="49.5" x14ac:dyDescent="0.5">
      <c r="A95" s="96" t="str">
        <f>_xlfn.XLOOKUP(B95,'Paso 3 Redacción RA'!I$3:I$12,'Paso 3 Redacción RA'!C$3:C$12,,0,1)</f>
        <v>SaberHacer</v>
      </c>
      <c r="B95" s="78" t="s">
        <v>89</v>
      </c>
      <c r="C95" s="140"/>
      <c r="D95" s="140"/>
      <c r="E95" s="158"/>
      <c r="F95" s="140"/>
      <c r="G95" s="140"/>
      <c r="H95" s="140"/>
      <c r="I95" s="140"/>
      <c r="J95" s="140"/>
      <c r="K95" s="140"/>
      <c r="L95" s="140"/>
      <c r="M95" s="140"/>
      <c r="N95" s="143"/>
      <c r="O95" s="143"/>
      <c r="P95" s="143"/>
      <c r="Q95" s="143"/>
      <c r="R95" s="5"/>
      <c r="S95" s="5"/>
      <c r="T95" s="111"/>
    </row>
    <row r="96" spans="1:20" s="96" customFormat="1" ht="49.5" x14ac:dyDescent="0.5">
      <c r="A96" s="96" t="str">
        <f>_xlfn.XLOOKUP(B96,'Paso 3 Redacción RA'!I$3:I$12,'Paso 3 Redacción RA'!C$3:C$12,,0,1)</f>
        <v>SaberSer</v>
      </c>
      <c r="B96" s="78" t="s">
        <v>93</v>
      </c>
      <c r="C96" s="140"/>
      <c r="D96" s="140"/>
      <c r="E96" s="158"/>
      <c r="F96" s="140"/>
      <c r="G96" s="140"/>
      <c r="H96" s="140"/>
      <c r="I96" s="140"/>
      <c r="J96" s="140"/>
      <c r="K96" s="140"/>
      <c r="L96" s="140"/>
      <c r="M96" s="140"/>
      <c r="N96" s="143"/>
      <c r="O96" s="143"/>
      <c r="P96" s="143"/>
      <c r="Q96" s="143"/>
      <c r="R96" s="5"/>
      <c r="S96" s="5"/>
      <c r="T96" s="111"/>
    </row>
    <row r="97" spans="1:20" s="96" customFormat="1" ht="49.5" x14ac:dyDescent="0.5">
      <c r="A97" s="96" t="str">
        <f>_xlfn.XLOOKUP(B97,'Paso 3 Redacción RA'!I$3:I$12,'Paso 3 Redacción RA'!C$3:C$12,,0,1)</f>
        <v>Saber</v>
      </c>
      <c r="B97" s="78" t="s">
        <v>94</v>
      </c>
      <c r="C97" s="140"/>
      <c r="D97" s="140"/>
      <c r="E97" s="158"/>
      <c r="F97" s="140"/>
      <c r="G97" s="140"/>
      <c r="H97" s="140"/>
      <c r="I97" s="140"/>
      <c r="J97" s="140"/>
      <c r="K97" s="140"/>
      <c r="L97" s="140"/>
      <c r="M97" s="140"/>
      <c r="N97" s="143"/>
      <c r="O97" s="143"/>
      <c r="P97" s="143"/>
      <c r="Q97" s="143"/>
      <c r="R97" s="5"/>
      <c r="S97" s="5"/>
      <c r="T97" s="111"/>
    </row>
    <row r="98" spans="1:20" s="96" customFormat="1" ht="50" thickBot="1" x14ac:dyDescent="0.55000000000000004">
      <c r="A98" s="97" t="str">
        <f>_xlfn.XLOOKUP(B98,'Paso 3 Redacción RA'!I$3:I$12,'Paso 3 Redacción RA'!C$3:C$12,,0,1)</f>
        <v>SaberHacer</v>
      </c>
      <c r="B98" s="93" t="s">
        <v>98</v>
      </c>
      <c r="C98" s="171"/>
      <c r="D98" s="171"/>
      <c r="E98" s="169"/>
      <c r="F98" s="171"/>
      <c r="G98" s="171"/>
      <c r="H98" s="171"/>
      <c r="I98" s="171"/>
      <c r="J98" s="171"/>
      <c r="K98" s="171"/>
      <c r="L98" s="171"/>
      <c r="M98" s="171"/>
      <c r="N98" s="147"/>
      <c r="O98" s="147"/>
      <c r="P98" s="147"/>
      <c r="Q98" s="147"/>
      <c r="R98" s="5"/>
      <c r="S98" s="5"/>
      <c r="T98" s="111"/>
    </row>
    <row r="99" spans="1:20" s="96" customFormat="1" ht="49.5" x14ac:dyDescent="0.5">
      <c r="A99" s="110" t="str">
        <f>_xlfn.XLOOKUP(B99,'Paso 3 Redacción RA'!I$3:I$12,'Paso 3 Redacción RA'!C$3:C$12,,0,1)</f>
        <v>Saber</v>
      </c>
      <c r="B99" s="98" t="s">
        <v>85</v>
      </c>
      <c r="C99" s="170">
        <v>5</v>
      </c>
      <c r="D99" s="170" t="s">
        <v>283</v>
      </c>
      <c r="E99" s="164" t="s">
        <v>284</v>
      </c>
      <c r="F99" s="170" t="s">
        <v>207</v>
      </c>
      <c r="G99" s="170"/>
      <c r="H99" s="170" t="s">
        <v>200</v>
      </c>
      <c r="I99" s="170"/>
      <c r="J99" s="170">
        <v>3</v>
      </c>
      <c r="K99" s="170">
        <f>J99*12</f>
        <v>36</v>
      </c>
      <c r="L99" s="170">
        <f>J99*36</f>
        <v>108</v>
      </c>
      <c r="M99" s="170">
        <f>SUM(K99:L99)</f>
        <v>144</v>
      </c>
      <c r="N99" s="146" t="s">
        <v>285</v>
      </c>
      <c r="O99" s="146" t="s">
        <v>202</v>
      </c>
      <c r="P99" s="146" t="s">
        <v>221</v>
      </c>
      <c r="Q99" s="146" t="s">
        <v>204</v>
      </c>
      <c r="R99" s="5"/>
      <c r="S99" s="5"/>
      <c r="T99" s="111"/>
    </row>
    <row r="100" spans="1:20" s="96" customFormat="1" ht="49.5" x14ac:dyDescent="0.5">
      <c r="A100" s="96" t="str">
        <f>_xlfn.XLOOKUP(B100,'Paso 3 Redacción RA'!I$3:I$12,'Paso 3 Redacción RA'!C$3:C$12,,0,1)</f>
        <v>SaberHacer</v>
      </c>
      <c r="B100" s="78" t="s">
        <v>89</v>
      </c>
      <c r="C100" s="140"/>
      <c r="D100" s="140"/>
      <c r="E100" s="151"/>
      <c r="F100" s="140"/>
      <c r="G100" s="140"/>
      <c r="H100" s="140"/>
      <c r="I100" s="140"/>
      <c r="J100" s="140"/>
      <c r="K100" s="140"/>
      <c r="L100" s="140"/>
      <c r="M100" s="140"/>
      <c r="N100" s="143"/>
      <c r="O100" s="143"/>
      <c r="P100" s="143"/>
      <c r="Q100" s="143"/>
      <c r="R100" s="5"/>
      <c r="S100" s="5"/>
      <c r="T100" s="111"/>
    </row>
    <row r="101" spans="1:20" s="96" customFormat="1" ht="49.5" x14ac:dyDescent="0.5">
      <c r="A101" s="96" t="str">
        <f>_xlfn.XLOOKUP(B101,'Paso 3 Redacción RA'!I$3:I$12,'Paso 3 Redacción RA'!C$3:C$12,,0,1)</f>
        <v>SaberSer</v>
      </c>
      <c r="B101" s="78" t="s">
        <v>93</v>
      </c>
      <c r="C101" s="140"/>
      <c r="D101" s="140"/>
      <c r="E101" s="151"/>
      <c r="F101" s="140"/>
      <c r="G101" s="140"/>
      <c r="H101" s="140"/>
      <c r="I101" s="140"/>
      <c r="J101" s="140"/>
      <c r="K101" s="140"/>
      <c r="L101" s="140"/>
      <c r="M101" s="140"/>
      <c r="N101" s="143"/>
      <c r="O101" s="143"/>
      <c r="P101" s="143"/>
      <c r="Q101" s="143"/>
      <c r="R101" s="5"/>
      <c r="S101" s="5"/>
      <c r="T101" s="111"/>
    </row>
    <row r="102" spans="1:20" s="96" customFormat="1" ht="49.5" x14ac:dyDescent="0.5">
      <c r="A102" s="96" t="str">
        <f>_xlfn.XLOOKUP(B102,'Paso 3 Redacción RA'!I$3:I$12,'Paso 3 Redacción RA'!C$3:C$12,,0,1)</f>
        <v>Saber</v>
      </c>
      <c r="B102" s="78" t="s">
        <v>94</v>
      </c>
      <c r="C102" s="140"/>
      <c r="D102" s="140"/>
      <c r="E102" s="151"/>
      <c r="F102" s="140"/>
      <c r="G102" s="140"/>
      <c r="H102" s="140"/>
      <c r="I102" s="140"/>
      <c r="J102" s="140"/>
      <c r="K102" s="140"/>
      <c r="L102" s="140"/>
      <c r="M102" s="140"/>
      <c r="N102" s="143"/>
      <c r="O102" s="143"/>
      <c r="P102" s="143"/>
      <c r="Q102" s="143"/>
      <c r="R102" s="5"/>
      <c r="S102" s="5"/>
      <c r="T102" s="111"/>
    </row>
    <row r="103" spans="1:20" s="96" customFormat="1" ht="50" thickBot="1" x14ac:dyDescent="0.55000000000000004">
      <c r="A103" s="97" t="str">
        <f>_xlfn.XLOOKUP(B103,'Paso 3 Redacción RA'!I$3:I$12,'Paso 3 Redacción RA'!C$3:C$12,,0,1)</f>
        <v>SaberHacer</v>
      </c>
      <c r="B103" s="93" t="s">
        <v>98</v>
      </c>
      <c r="C103" s="171"/>
      <c r="D103" s="171"/>
      <c r="E103" s="165"/>
      <c r="F103" s="171"/>
      <c r="G103" s="171"/>
      <c r="H103" s="171"/>
      <c r="I103" s="171"/>
      <c r="J103" s="171"/>
      <c r="K103" s="171"/>
      <c r="L103" s="171"/>
      <c r="M103" s="171"/>
      <c r="N103" s="147"/>
      <c r="O103" s="147"/>
      <c r="P103" s="147"/>
      <c r="Q103" s="147"/>
      <c r="R103" s="5"/>
      <c r="S103" s="5"/>
      <c r="T103" s="111"/>
    </row>
    <row r="104" spans="1:20" s="96" customFormat="1" ht="49.5" x14ac:dyDescent="0.5">
      <c r="A104" s="110" t="e">
        <f>_xlfn.XLOOKUP(#REF!,'Paso 3 Redacción RA'!I$3:I$12,'Paso 3 Redacción RA'!C$3:C$12,,0,1)</f>
        <v>#REF!</v>
      </c>
      <c r="B104" s="98" t="s">
        <v>85</v>
      </c>
      <c r="C104" s="170">
        <v>5</v>
      </c>
      <c r="D104" s="170" t="s">
        <v>286</v>
      </c>
      <c r="E104" s="168" t="s">
        <v>287</v>
      </c>
      <c r="F104" s="170" t="s">
        <v>199</v>
      </c>
      <c r="G104" s="170"/>
      <c r="H104" s="170" t="s">
        <v>200</v>
      </c>
      <c r="I104" s="170"/>
      <c r="J104" s="170">
        <v>4</v>
      </c>
      <c r="K104" s="170">
        <f>J104*12</f>
        <v>48</v>
      </c>
      <c r="L104" s="170">
        <f>J104*36</f>
        <v>144</v>
      </c>
      <c r="M104" s="170">
        <f>SUM(K104:L104)</f>
        <v>192</v>
      </c>
      <c r="N104" s="146" t="s">
        <v>288</v>
      </c>
      <c r="O104" s="146" t="s">
        <v>202</v>
      </c>
      <c r="P104" s="146" t="s">
        <v>209</v>
      </c>
      <c r="Q104" s="146" t="s">
        <v>204</v>
      </c>
      <c r="R104" s="5"/>
      <c r="S104" s="5"/>
      <c r="T104" s="111"/>
    </row>
    <row r="105" spans="1:20" s="96" customFormat="1" ht="49.5" x14ac:dyDescent="0.5">
      <c r="A105" s="96" t="str">
        <f>_xlfn.XLOOKUP(B104,'Paso 3 Redacción RA'!I$3:I$12,'Paso 3 Redacción RA'!C$3:C$12,,0,1)</f>
        <v>Saber</v>
      </c>
      <c r="B105" s="78" t="s">
        <v>89</v>
      </c>
      <c r="C105" s="140"/>
      <c r="D105" s="140"/>
      <c r="E105" s="158"/>
      <c r="F105" s="140"/>
      <c r="G105" s="140"/>
      <c r="H105" s="140"/>
      <c r="I105" s="140"/>
      <c r="J105" s="140"/>
      <c r="K105" s="140"/>
      <c r="L105" s="140"/>
      <c r="M105" s="140"/>
      <c r="N105" s="143"/>
      <c r="O105" s="143"/>
      <c r="P105" s="143"/>
      <c r="Q105" s="143"/>
      <c r="R105" s="5"/>
      <c r="S105" s="5"/>
      <c r="T105" s="111"/>
    </row>
    <row r="106" spans="1:20" s="96" customFormat="1" ht="49.5" x14ac:dyDescent="0.5">
      <c r="A106" s="96" t="str">
        <f>_xlfn.XLOOKUP(B106,'Paso 3 Redacción RA'!I$3:I$12,'Paso 3 Redacción RA'!C$3:C$12,,0,1)</f>
        <v>SaberSer</v>
      </c>
      <c r="B106" s="78" t="s">
        <v>93</v>
      </c>
      <c r="C106" s="140"/>
      <c r="D106" s="140"/>
      <c r="E106" s="158"/>
      <c r="F106" s="140"/>
      <c r="G106" s="140"/>
      <c r="H106" s="140"/>
      <c r="I106" s="140"/>
      <c r="J106" s="140"/>
      <c r="K106" s="140"/>
      <c r="L106" s="140"/>
      <c r="M106" s="140"/>
      <c r="N106" s="143"/>
      <c r="O106" s="143"/>
      <c r="P106" s="143"/>
      <c r="Q106" s="143"/>
      <c r="R106" s="5"/>
      <c r="S106" s="5"/>
      <c r="T106" s="111"/>
    </row>
    <row r="107" spans="1:20" s="96" customFormat="1" ht="49.5" x14ac:dyDescent="0.5">
      <c r="A107" s="96" t="str">
        <f>_xlfn.XLOOKUP(B107,'Paso 3 Redacción RA'!I$3:I$12,'Paso 3 Redacción RA'!C$3:C$12,,0,1)</f>
        <v>Saber</v>
      </c>
      <c r="B107" s="78" t="s">
        <v>94</v>
      </c>
      <c r="C107" s="140"/>
      <c r="D107" s="140"/>
      <c r="E107" s="158"/>
      <c r="F107" s="140"/>
      <c r="G107" s="140"/>
      <c r="H107" s="140"/>
      <c r="I107" s="140"/>
      <c r="J107" s="140"/>
      <c r="K107" s="140"/>
      <c r="L107" s="140"/>
      <c r="M107" s="140"/>
      <c r="N107" s="143"/>
      <c r="O107" s="143"/>
      <c r="P107" s="143"/>
      <c r="Q107" s="143"/>
      <c r="R107" s="5"/>
      <c r="S107" s="5"/>
      <c r="T107" s="111"/>
    </row>
    <row r="108" spans="1:20" s="96" customFormat="1" ht="50" thickBot="1" x14ac:dyDescent="0.55000000000000004">
      <c r="A108" s="97" t="str">
        <f>_xlfn.XLOOKUP(B108,'Paso 3 Redacción RA'!I$3:I$12,'Paso 3 Redacción RA'!C$3:C$12,,0,1)</f>
        <v>SaberHacer</v>
      </c>
      <c r="B108" s="93" t="s">
        <v>98</v>
      </c>
      <c r="C108" s="171"/>
      <c r="D108" s="171"/>
      <c r="E108" s="169"/>
      <c r="F108" s="171"/>
      <c r="G108" s="171"/>
      <c r="H108" s="171"/>
      <c r="I108" s="171"/>
      <c r="J108" s="171"/>
      <c r="K108" s="171"/>
      <c r="L108" s="171"/>
      <c r="M108" s="171"/>
      <c r="N108" s="147"/>
      <c r="O108" s="147"/>
      <c r="P108" s="147"/>
      <c r="Q108" s="147"/>
      <c r="S108" s="5"/>
      <c r="T108" s="111"/>
    </row>
    <row r="109" spans="1:20" s="96" customFormat="1" ht="49.5" x14ac:dyDescent="0.5">
      <c r="A109" s="110" t="str">
        <f>_xlfn.XLOOKUP(B109,'Paso 3 Redacción RA'!I$3:I$12,'Paso 3 Redacción RA'!C$3:C$12,,0,1)</f>
        <v>SaberHacer</v>
      </c>
      <c r="B109" s="98" t="s">
        <v>89</v>
      </c>
      <c r="C109" s="170">
        <v>5</v>
      </c>
      <c r="D109" s="170" t="s">
        <v>289</v>
      </c>
      <c r="E109" s="164" t="s">
        <v>290</v>
      </c>
      <c r="F109" s="170" t="s">
        <v>207</v>
      </c>
      <c r="G109" s="170"/>
      <c r="H109" s="170" t="s">
        <v>200</v>
      </c>
      <c r="I109" s="170"/>
      <c r="J109" s="170">
        <v>4</v>
      </c>
      <c r="K109" s="170">
        <f>J109*12</f>
        <v>48</v>
      </c>
      <c r="L109" s="170">
        <f>J109*36</f>
        <v>144</v>
      </c>
      <c r="M109" s="170">
        <f>SUM(K109:L109)</f>
        <v>192</v>
      </c>
      <c r="N109" s="146" t="s">
        <v>291</v>
      </c>
      <c r="O109" s="146" t="s">
        <v>202</v>
      </c>
      <c r="P109" s="146" t="s">
        <v>278</v>
      </c>
      <c r="Q109" s="146" t="s">
        <v>204</v>
      </c>
      <c r="R109" s="5"/>
      <c r="S109" s="5"/>
      <c r="T109" s="111"/>
    </row>
    <row r="110" spans="1:20" s="96" customFormat="1" ht="49.5" x14ac:dyDescent="0.5">
      <c r="A110" s="96" t="str">
        <f>_xlfn.XLOOKUP(B110,'Paso 3 Redacción RA'!I$3:I$12,'Paso 3 Redacción RA'!C$3:C$12,,0,1)</f>
        <v>SaberSer</v>
      </c>
      <c r="B110" s="78" t="s">
        <v>93</v>
      </c>
      <c r="C110" s="140"/>
      <c r="D110" s="140"/>
      <c r="E110" s="151"/>
      <c r="F110" s="140"/>
      <c r="G110" s="140"/>
      <c r="H110" s="140"/>
      <c r="I110" s="140"/>
      <c r="J110" s="140"/>
      <c r="K110" s="140"/>
      <c r="L110" s="140"/>
      <c r="M110" s="140"/>
      <c r="N110" s="143"/>
      <c r="O110" s="143"/>
      <c r="P110" s="143"/>
      <c r="Q110" s="143"/>
      <c r="R110" s="5"/>
      <c r="S110" s="5"/>
      <c r="T110" s="111"/>
    </row>
    <row r="111" spans="1:20" s="96" customFormat="1" ht="49.5" x14ac:dyDescent="0.5">
      <c r="A111" s="96" t="str">
        <f>_xlfn.XLOOKUP(B111,'Paso 3 Redacción RA'!I$3:I$12,'Paso 3 Redacción RA'!C$3:C$12,,0,1)</f>
        <v>Saber</v>
      </c>
      <c r="B111" s="78" t="s">
        <v>94</v>
      </c>
      <c r="C111" s="140"/>
      <c r="D111" s="140"/>
      <c r="E111" s="151"/>
      <c r="F111" s="140"/>
      <c r="G111" s="140"/>
      <c r="H111" s="140"/>
      <c r="I111" s="140"/>
      <c r="J111" s="140"/>
      <c r="K111" s="140"/>
      <c r="L111" s="140"/>
      <c r="M111" s="140"/>
      <c r="N111" s="143"/>
      <c r="O111" s="143"/>
      <c r="P111" s="143"/>
      <c r="Q111" s="143"/>
      <c r="R111" s="5"/>
      <c r="S111" s="5"/>
      <c r="T111" s="111"/>
    </row>
    <row r="112" spans="1:20" s="96" customFormat="1" ht="49.5" x14ac:dyDescent="0.5">
      <c r="A112" s="96" t="str">
        <f>_xlfn.XLOOKUP(B112,'Paso 3 Redacción RA'!I$3:I$12,'Paso 3 Redacción RA'!C$3:C$12,,0,1)</f>
        <v>SaberHacer</v>
      </c>
      <c r="B112" s="78" t="s">
        <v>96</v>
      </c>
      <c r="C112" s="140"/>
      <c r="D112" s="140"/>
      <c r="E112" s="151"/>
      <c r="F112" s="140"/>
      <c r="G112" s="140"/>
      <c r="H112" s="140"/>
      <c r="I112" s="140"/>
      <c r="J112" s="140"/>
      <c r="K112" s="140"/>
      <c r="L112" s="140"/>
      <c r="M112" s="140"/>
      <c r="N112" s="143"/>
      <c r="O112" s="143"/>
      <c r="P112" s="143"/>
      <c r="Q112" s="143"/>
      <c r="R112" s="5"/>
      <c r="S112" s="5"/>
      <c r="T112" s="111"/>
    </row>
    <row r="113" spans="1:20" s="96" customFormat="1" ht="50" thickBot="1" x14ac:dyDescent="0.55000000000000004">
      <c r="A113" s="97" t="str">
        <f>_xlfn.XLOOKUP(B113,'Paso 3 Redacción RA'!I$3:I$12,'Paso 3 Redacción RA'!C$3:C$12,,0,1)</f>
        <v>SaberHacer</v>
      </c>
      <c r="B113" s="93" t="s">
        <v>98</v>
      </c>
      <c r="C113" s="171"/>
      <c r="D113" s="171"/>
      <c r="E113" s="165"/>
      <c r="F113" s="171"/>
      <c r="G113" s="171"/>
      <c r="H113" s="171"/>
      <c r="I113" s="171"/>
      <c r="J113" s="171"/>
      <c r="K113" s="171"/>
      <c r="L113" s="171"/>
      <c r="M113" s="171"/>
      <c r="N113" s="147"/>
      <c r="O113" s="147"/>
      <c r="P113" s="147"/>
      <c r="Q113" s="147"/>
      <c r="R113" s="5">
        <f>SUM(J89:J113)</f>
        <v>17</v>
      </c>
      <c r="S113" s="5">
        <f>COUNTA(D89:D113)</f>
        <v>5</v>
      </c>
      <c r="T113" s="111"/>
    </row>
    <row r="114" spans="1:20" s="96" customFormat="1" ht="49.5" x14ac:dyDescent="0.5">
      <c r="A114" s="110" t="str">
        <f>_xlfn.XLOOKUP(B114,'Paso 3 Redacción RA'!I$3:I$12,'Paso 3 Redacción RA'!C$3:C$12,,0,1)</f>
        <v>Saber</v>
      </c>
      <c r="B114" s="98" t="s">
        <v>85</v>
      </c>
      <c r="C114" s="170">
        <v>6</v>
      </c>
      <c r="D114" s="177" t="s">
        <v>292</v>
      </c>
      <c r="E114" s="164" t="s">
        <v>293</v>
      </c>
      <c r="F114" s="170" t="s">
        <v>199</v>
      </c>
      <c r="G114" s="170"/>
      <c r="H114" s="170" t="s">
        <v>200</v>
      </c>
      <c r="I114" s="170"/>
      <c r="J114" s="170">
        <v>4</v>
      </c>
      <c r="K114" s="170">
        <f>J114*12</f>
        <v>48</v>
      </c>
      <c r="L114" s="170">
        <f>J114*36</f>
        <v>144</v>
      </c>
      <c r="M114" s="170">
        <f>SUM(K114:L114)</f>
        <v>192</v>
      </c>
      <c r="N114" s="146" t="s">
        <v>294</v>
      </c>
      <c r="O114" s="146" t="s">
        <v>202</v>
      </c>
      <c r="P114" s="146" t="s">
        <v>209</v>
      </c>
      <c r="Q114" s="146" t="s">
        <v>204</v>
      </c>
      <c r="R114" s="5"/>
      <c r="S114" s="5"/>
      <c r="T114" s="111"/>
    </row>
    <row r="115" spans="1:20" s="96" customFormat="1" ht="49.5" x14ac:dyDescent="0.5">
      <c r="A115" s="96" t="str">
        <f>_xlfn.XLOOKUP(B115,'Paso 3 Redacción RA'!I$3:I$12,'Paso 3 Redacción RA'!C$3:C$12,,0,1)</f>
        <v>SaberHacer</v>
      </c>
      <c r="B115" s="78" t="s">
        <v>89</v>
      </c>
      <c r="C115" s="140"/>
      <c r="D115" s="160"/>
      <c r="E115" s="151"/>
      <c r="F115" s="140"/>
      <c r="G115" s="140"/>
      <c r="H115" s="140"/>
      <c r="I115" s="140"/>
      <c r="J115" s="140"/>
      <c r="K115" s="140"/>
      <c r="L115" s="140"/>
      <c r="M115" s="140"/>
      <c r="N115" s="143"/>
      <c r="O115" s="143"/>
      <c r="P115" s="143"/>
      <c r="Q115" s="143"/>
      <c r="R115" s="5"/>
      <c r="S115" s="5"/>
      <c r="T115" s="111"/>
    </row>
    <row r="116" spans="1:20" s="96" customFormat="1" ht="49.5" x14ac:dyDescent="0.5">
      <c r="A116" s="96" t="str">
        <f>_xlfn.XLOOKUP(B116,'Paso 3 Redacción RA'!I$3:I$12,'Paso 3 Redacción RA'!C$3:C$12,,0,1)</f>
        <v>SaberSer</v>
      </c>
      <c r="B116" s="78" t="s">
        <v>93</v>
      </c>
      <c r="C116" s="140"/>
      <c r="D116" s="160"/>
      <c r="E116" s="151"/>
      <c r="F116" s="140"/>
      <c r="G116" s="140"/>
      <c r="H116" s="140"/>
      <c r="I116" s="140"/>
      <c r="J116" s="140"/>
      <c r="K116" s="140"/>
      <c r="L116" s="140"/>
      <c r="M116" s="140"/>
      <c r="N116" s="143"/>
      <c r="O116" s="143"/>
      <c r="P116" s="143"/>
      <c r="Q116" s="143"/>
      <c r="R116" s="5"/>
      <c r="S116" s="5"/>
      <c r="T116" s="111"/>
    </row>
    <row r="117" spans="1:20" s="96" customFormat="1" ht="49.5" x14ac:dyDescent="0.5">
      <c r="B117" s="78" t="s">
        <v>94</v>
      </c>
      <c r="C117" s="140"/>
      <c r="D117" s="160"/>
      <c r="E117" s="151"/>
      <c r="F117" s="140"/>
      <c r="G117" s="140"/>
      <c r="H117" s="140"/>
      <c r="I117" s="140"/>
      <c r="J117" s="140"/>
      <c r="K117" s="140"/>
      <c r="L117" s="140"/>
      <c r="M117" s="140"/>
      <c r="N117" s="143"/>
      <c r="O117" s="143"/>
      <c r="P117" s="143"/>
      <c r="Q117" s="143"/>
      <c r="R117" s="5"/>
      <c r="S117" s="5"/>
      <c r="T117" s="111"/>
    </row>
    <row r="118" spans="1:20" s="96" customFormat="1" ht="49.5" x14ac:dyDescent="0.5">
      <c r="A118" s="96" t="str">
        <f>_xlfn.XLOOKUP(B118,'Paso 3 Redacción RA'!I$3:I$12,'Paso 3 Redacción RA'!C$3:C$12,,0,1)</f>
        <v>SaberHacer</v>
      </c>
      <c r="B118" s="78" t="s">
        <v>96</v>
      </c>
      <c r="C118" s="140"/>
      <c r="D118" s="160"/>
      <c r="E118" s="151"/>
      <c r="F118" s="140"/>
      <c r="G118" s="140"/>
      <c r="H118" s="140"/>
      <c r="I118" s="140"/>
      <c r="J118" s="140"/>
      <c r="K118" s="140"/>
      <c r="L118" s="140"/>
      <c r="M118" s="140"/>
      <c r="N118" s="143"/>
      <c r="O118" s="143"/>
      <c r="P118" s="143"/>
      <c r="Q118" s="143"/>
      <c r="R118" s="5"/>
      <c r="S118" s="5"/>
      <c r="T118" s="111"/>
    </row>
    <row r="119" spans="1:20" s="96" customFormat="1" ht="50" thickBot="1" x14ac:dyDescent="0.55000000000000004">
      <c r="A119" s="97" t="str">
        <f>_xlfn.XLOOKUP(B119,'Paso 3 Redacción RA'!I$3:I$12,'Paso 3 Redacción RA'!C$3:C$12,,0,1)</f>
        <v>SaberHacer</v>
      </c>
      <c r="B119" s="93" t="s">
        <v>98</v>
      </c>
      <c r="C119" s="171"/>
      <c r="D119" s="178"/>
      <c r="E119" s="165"/>
      <c r="F119" s="140"/>
      <c r="G119" s="140"/>
      <c r="H119" s="140"/>
      <c r="I119" s="140"/>
      <c r="J119" s="140"/>
      <c r="K119" s="171"/>
      <c r="L119" s="171"/>
      <c r="M119" s="140"/>
      <c r="N119" s="143"/>
      <c r="O119" s="143"/>
      <c r="P119" s="143"/>
      <c r="Q119" s="143"/>
      <c r="R119" s="5"/>
      <c r="S119" s="5"/>
      <c r="T119" s="111"/>
    </row>
    <row r="120" spans="1:20" s="96" customFormat="1" ht="49.5" x14ac:dyDescent="0.5">
      <c r="A120" s="110" t="str">
        <f>_xlfn.XLOOKUP(B120,'Paso 3 Redacción RA'!I$3:I$12,'Paso 3 Redacción RA'!C$3:C$12,,0,1)</f>
        <v>Saber</v>
      </c>
      <c r="B120" s="98" t="s">
        <v>85</v>
      </c>
      <c r="C120" s="170">
        <v>6</v>
      </c>
      <c r="D120" s="170" t="s">
        <v>295</v>
      </c>
      <c r="E120" s="168" t="s">
        <v>296</v>
      </c>
      <c r="F120" s="170" t="s">
        <v>199</v>
      </c>
      <c r="G120" s="170"/>
      <c r="H120" s="170" t="s">
        <v>200</v>
      </c>
      <c r="I120" s="170"/>
      <c r="J120" s="170">
        <v>3</v>
      </c>
      <c r="K120" s="170">
        <f>J120*12</f>
        <v>36</v>
      </c>
      <c r="L120" s="170">
        <f>J120*36</f>
        <v>108</v>
      </c>
      <c r="M120" s="170">
        <f>SUM(K120:L120)</f>
        <v>144</v>
      </c>
      <c r="N120" s="146" t="s">
        <v>297</v>
      </c>
      <c r="O120" s="146" t="s">
        <v>202</v>
      </c>
      <c r="P120" s="146" t="s">
        <v>214</v>
      </c>
      <c r="Q120" s="146" t="s">
        <v>204</v>
      </c>
      <c r="R120" s="5"/>
      <c r="S120" s="5"/>
      <c r="T120" s="111"/>
    </row>
    <row r="121" spans="1:20" s="96" customFormat="1" ht="49.5" x14ac:dyDescent="0.5">
      <c r="A121" s="96" t="str">
        <f>_xlfn.XLOOKUP(B121,'Paso 3 Redacción RA'!I$3:I$12,'Paso 3 Redacción RA'!C$3:C$12,,0,1)</f>
        <v>SaberHacer</v>
      </c>
      <c r="B121" s="78" t="s">
        <v>89</v>
      </c>
      <c r="C121" s="140"/>
      <c r="D121" s="140"/>
      <c r="E121" s="158"/>
      <c r="F121" s="140"/>
      <c r="G121" s="140"/>
      <c r="H121" s="140"/>
      <c r="I121" s="140"/>
      <c r="J121" s="140"/>
      <c r="K121" s="140"/>
      <c r="L121" s="140"/>
      <c r="M121" s="140"/>
      <c r="N121" s="143"/>
      <c r="O121" s="143"/>
      <c r="P121" s="143"/>
      <c r="Q121" s="143"/>
      <c r="R121" s="5"/>
      <c r="S121" s="5"/>
      <c r="T121" s="111"/>
    </row>
    <row r="122" spans="1:20" s="96" customFormat="1" ht="49.5" x14ac:dyDescent="0.5">
      <c r="A122" s="96" t="str">
        <f>_xlfn.XLOOKUP(B122,'Paso 3 Redacción RA'!I$3:I$12,'Paso 3 Redacción RA'!C$3:C$12,,0,1)</f>
        <v>SaberSer</v>
      </c>
      <c r="B122" s="78" t="s">
        <v>93</v>
      </c>
      <c r="C122" s="140"/>
      <c r="D122" s="140"/>
      <c r="E122" s="158"/>
      <c r="F122" s="140"/>
      <c r="G122" s="140"/>
      <c r="H122" s="140"/>
      <c r="I122" s="140"/>
      <c r="J122" s="140"/>
      <c r="K122" s="140"/>
      <c r="L122" s="140"/>
      <c r="M122" s="140"/>
      <c r="N122" s="143"/>
      <c r="O122" s="143"/>
      <c r="P122" s="143"/>
      <c r="Q122" s="143"/>
      <c r="R122" s="5"/>
      <c r="S122" s="5"/>
      <c r="T122" s="111"/>
    </row>
    <row r="123" spans="1:20" s="96" customFormat="1" ht="49.5" x14ac:dyDescent="0.5">
      <c r="A123" s="96" t="str">
        <f>_xlfn.XLOOKUP(B123,'Paso 3 Redacción RA'!I$3:I$12,'Paso 3 Redacción RA'!C$3:C$12,,0,1)</f>
        <v>Saber</v>
      </c>
      <c r="B123" s="78" t="s">
        <v>94</v>
      </c>
      <c r="C123" s="140"/>
      <c r="D123" s="140"/>
      <c r="E123" s="158"/>
      <c r="F123" s="140"/>
      <c r="G123" s="140"/>
      <c r="H123" s="140"/>
      <c r="I123" s="140"/>
      <c r="J123" s="140"/>
      <c r="K123" s="140"/>
      <c r="L123" s="140"/>
      <c r="M123" s="140"/>
      <c r="N123" s="143"/>
      <c r="O123" s="143"/>
      <c r="P123" s="143"/>
      <c r="Q123" s="143"/>
      <c r="R123" s="5"/>
      <c r="S123" s="5"/>
      <c r="T123" s="111"/>
    </row>
    <row r="124" spans="1:20" s="96" customFormat="1" ht="49.5" x14ac:dyDescent="0.5">
      <c r="A124" s="96" t="str">
        <f>_xlfn.XLOOKUP(B124,'Paso 3 Redacción RA'!I$3:I$12,'Paso 3 Redacción RA'!C$3:C$12,,0,1)</f>
        <v>SaberHacer</v>
      </c>
      <c r="B124" s="78" t="s">
        <v>96</v>
      </c>
      <c r="C124" s="140"/>
      <c r="D124" s="140"/>
      <c r="E124" s="158"/>
      <c r="F124" s="140"/>
      <c r="G124" s="140"/>
      <c r="H124" s="140"/>
      <c r="I124" s="140"/>
      <c r="J124" s="140"/>
      <c r="K124" s="140"/>
      <c r="L124" s="140"/>
      <c r="M124" s="140"/>
      <c r="N124" s="143"/>
      <c r="O124" s="143"/>
      <c r="P124" s="143"/>
      <c r="Q124" s="143"/>
      <c r="R124" s="5"/>
      <c r="S124" s="5"/>
      <c r="T124" s="111"/>
    </row>
    <row r="125" spans="1:20" s="96" customFormat="1" ht="50" thickBot="1" x14ac:dyDescent="0.55000000000000004">
      <c r="A125" s="97" t="str">
        <f>_xlfn.XLOOKUP(B125,'Paso 3 Redacción RA'!I$3:I$12,'Paso 3 Redacción RA'!C$3:C$12,,0,1)</f>
        <v>SaberHacer</v>
      </c>
      <c r="B125" s="78" t="s">
        <v>98</v>
      </c>
      <c r="C125" s="171"/>
      <c r="D125" s="171"/>
      <c r="E125" s="169"/>
      <c r="F125" s="171"/>
      <c r="G125" s="171"/>
      <c r="H125" s="171"/>
      <c r="I125" s="171"/>
      <c r="J125" s="171"/>
      <c r="K125" s="171"/>
      <c r="L125" s="171"/>
      <c r="M125" s="171"/>
      <c r="N125" s="147"/>
      <c r="O125" s="147"/>
      <c r="P125" s="147"/>
      <c r="Q125" s="147"/>
      <c r="R125" s="5"/>
      <c r="S125" s="5"/>
      <c r="T125" s="111"/>
    </row>
    <row r="126" spans="1:20" s="96" customFormat="1" ht="49.5" x14ac:dyDescent="0.5">
      <c r="A126" s="110" t="str">
        <f>_xlfn.XLOOKUP(B126,'Paso 3 Redacción RA'!I$3:I$12,'Paso 3 Redacción RA'!C$3:C$12,,0,1)</f>
        <v>Saber</v>
      </c>
      <c r="B126" s="98" t="s">
        <v>85</v>
      </c>
      <c r="C126" s="170">
        <v>6</v>
      </c>
      <c r="D126" s="170" t="s">
        <v>298</v>
      </c>
      <c r="E126" s="168" t="s">
        <v>299</v>
      </c>
      <c r="F126" s="170" t="s">
        <v>199</v>
      </c>
      <c r="G126" s="170"/>
      <c r="H126" s="170" t="s">
        <v>200</v>
      </c>
      <c r="I126" s="170"/>
      <c r="J126" s="170">
        <v>4</v>
      </c>
      <c r="K126" s="170">
        <f>J126*12</f>
        <v>48</v>
      </c>
      <c r="L126" s="170">
        <f>J126*36</f>
        <v>144</v>
      </c>
      <c r="M126" s="170">
        <f>SUM(K126:L126)</f>
        <v>192</v>
      </c>
      <c r="N126" s="146" t="s">
        <v>300</v>
      </c>
      <c r="O126" s="146" t="s">
        <v>202</v>
      </c>
      <c r="P126" s="146" t="s">
        <v>209</v>
      </c>
      <c r="Q126" s="146" t="s">
        <v>204</v>
      </c>
      <c r="R126" s="5"/>
      <c r="S126" s="5"/>
      <c r="T126" s="111"/>
    </row>
    <row r="127" spans="1:20" s="96" customFormat="1" ht="49.5" x14ac:dyDescent="0.5">
      <c r="A127" s="96" t="str">
        <f>_xlfn.XLOOKUP(B127,'Paso 3 Redacción RA'!I$3:I$12,'Paso 3 Redacción RA'!C$3:C$12,,0,1)</f>
        <v>SaberHacer</v>
      </c>
      <c r="B127" s="78" t="s">
        <v>89</v>
      </c>
      <c r="C127" s="140"/>
      <c r="D127" s="140"/>
      <c r="E127" s="158"/>
      <c r="F127" s="140"/>
      <c r="G127" s="140"/>
      <c r="H127" s="140"/>
      <c r="I127" s="140"/>
      <c r="J127" s="140"/>
      <c r="K127" s="140"/>
      <c r="L127" s="140"/>
      <c r="M127" s="140"/>
      <c r="N127" s="143"/>
      <c r="O127" s="143"/>
      <c r="P127" s="143"/>
      <c r="Q127" s="143"/>
      <c r="R127" s="5"/>
      <c r="S127" s="5"/>
      <c r="T127" s="111"/>
    </row>
    <row r="128" spans="1:20" s="96" customFormat="1" ht="49.5" x14ac:dyDescent="0.5">
      <c r="B128" s="78" t="s">
        <v>93</v>
      </c>
      <c r="C128" s="140"/>
      <c r="D128" s="140"/>
      <c r="E128" s="158"/>
      <c r="F128" s="140"/>
      <c r="G128" s="140"/>
      <c r="H128" s="140"/>
      <c r="I128" s="140"/>
      <c r="J128" s="140"/>
      <c r="K128" s="140"/>
      <c r="L128" s="140"/>
      <c r="M128" s="140"/>
      <c r="N128" s="143"/>
      <c r="O128" s="143"/>
      <c r="P128" s="143"/>
      <c r="Q128" s="143"/>
      <c r="R128" s="5"/>
      <c r="S128" s="5"/>
      <c r="T128" s="111"/>
    </row>
    <row r="129" spans="1:20" s="96" customFormat="1" ht="49.5" x14ac:dyDescent="0.5">
      <c r="A129" s="96" t="str">
        <f>_xlfn.XLOOKUP(B129,'Paso 3 Redacción RA'!I$3:I$12,'Paso 3 Redacción RA'!C$3:C$12,,0,1)</f>
        <v>Saber</v>
      </c>
      <c r="B129" s="78" t="s">
        <v>94</v>
      </c>
      <c r="C129" s="140"/>
      <c r="D129" s="140"/>
      <c r="E129" s="158"/>
      <c r="F129" s="140"/>
      <c r="G129" s="140"/>
      <c r="H129" s="140"/>
      <c r="I129" s="140"/>
      <c r="J129" s="140"/>
      <c r="K129" s="140"/>
      <c r="L129" s="140"/>
      <c r="M129" s="140"/>
      <c r="N129" s="143"/>
      <c r="O129" s="143"/>
      <c r="P129" s="143"/>
      <c r="Q129" s="143"/>
      <c r="R129" s="5"/>
      <c r="S129" s="5"/>
      <c r="T129" s="111"/>
    </row>
    <row r="130" spans="1:20" s="96" customFormat="1" ht="49.5" x14ac:dyDescent="0.5">
      <c r="A130" s="96" t="str">
        <f>_xlfn.XLOOKUP(B130,'Paso 3 Redacción RA'!I$3:I$12,'Paso 3 Redacción RA'!C$3:C$12,,0,1)</f>
        <v>SaberHacer</v>
      </c>
      <c r="B130" s="78" t="s">
        <v>96</v>
      </c>
      <c r="C130" s="140"/>
      <c r="D130" s="140"/>
      <c r="E130" s="158"/>
      <c r="F130" s="140"/>
      <c r="G130" s="140"/>
      <c r="H130" s="140"/>
      <c r="I130" s="140"/>
      <c r="J130" s="140"/>
      <c r="K130" s="140"/>
      <c r="L130" s="140"/>
      <c r="M130" s="140"/>
      <c r="N130" s="143"/>
      <c r="O130" s="143"/>
      <c r="P130" s="143"/>
      <c r="Q130" s="143"/>
      <c r="R130" s="5"/>
      <c r="S130" s="5"/>
      <c r="T130" s="111"/>
    </row>
    <row r="131" spans="1:20" s="96" customFormat="1" ht="50" thickBot="1" x14ac:dyDescent="0.55000000000000004">
      <c r="A131" s="97" t="str">
        <f>_xlfn.XLOOKUP(B131,'Paso 3 Redacción RA'!I$3:I$12,'Paso 3 Redacción RA'!C$3:C$12,,0,1)</f>
        <v>SaberHacer</v>
      </c>
      <c r="B131" s="78" t="s">
        <v>98</v>
      </c>
      <c r="C131" s="171"/>
      <c r="D131" s="171"/>
      <c r="E131" s="169"/>
      <c r="F131" s="171"/>
      <c r="G131" s="171"/>
      <c r="H131" s="171"/>
      <c r="I131" s="171"/>
      <c r="J131" s="171"/>
      <c r="K131" s="171"/>
      <c r="L131" s="171"/>
      <c r="M131" s="171"/>
      <c r="N131" s="147"/>
      <c r="O131" s="147"/>
      <c r="P131" s="147"/>
      <c r="Q131" s="147"/>
      <c r="R131" s="5"/>
      <c r="S131" s="5"/>
      <c r="T131" s="111"/>
    </row>
    <row r="132" spans="1:20" s="96" customFormat="1" ht="49.5" x14ac:dyDescent="0.5">
      <c r="A132" s="110" t="str">
        <f>_xlfn.XLOOKUP(B132,'Paso 3 Redacción RA'!I$3:I$12,'Paso 3 Redacción RA'!C$3:C$12,,0,1)</f>
        <v>Saber</v>
      </c>
      <c r="B132" s="98" t="s">
        <v>85</v>
      </c>
      <c r="C132" s="170">
        <v>6</v>
      </c>
      <c r="D132" s="170" t="s">
        <v>301</v>
      </c>
      <c r="E132" s="168" t="s">
        <v>302</v>
      </c>
      <c r="F132" s="170" t="s">
        <v>199</v>
      </c>
      <c r="G132" s="170"/>
      <c r="H132" s="170" t="s">
        <v>200</v>
      </c>
      <c r="I132" s="170"/>
      <c r="J132" s="170">
        <v>3</v>
      </c>
      <c r="K132" s="170">
        <f>J132*12</f>
        <v>36</v>
      </c>
      <c r="L132" s="170">
        <f>J132*36</f>
        <v>108</v>
      </c>
      <c r="M132" s="170">
        <f>SUM(K132:L132)</f>
        <v>144</v>
      </c>
      <c r="N132" s="146" t="s">
        <v>303</v>
      </c>
      <c r="O132" s="146" t="s">
        <v>202</v>
      </c>
      <c r="P132" s="146" t="s">
        <v>278</v>
      </c>
      <c r="Q132" s="146" t="s">
        <v>204</v>
      </c>
      <c r="R132" s="5"/>
      <c r="S132" s="5"/>
      <c r="T132" s="111"/>
    </row>
    <row r="133" spans="1:20" s="96" customFormat="1" ht="49.5" x14ac:dyDescent="0.5">
      <c r="A133" s="96" t="str">
        <f>_xlfn.XLOOKUP(B133,'Paso 3 Redacción RA'!I$3:I$12,'Paso 3 Redacción RA'!C$3:C$12,,0,1)</f>
        <v>SaberHacer</v>
      </c>
      <c r="B133" s="78" t="s">
        <v>89</v>
      </c>
      <c r="C133" s="140"/>
      <c r="D133" s="140"/>
      <c r="E133" s="158"/>
      <c r="F133" s="140"/>
      <c r="G133" s="140"/>
      <c r="H133" s="140"/>
      <c r="I133" s="140"/>
      <c r="J133" s="140"/>
      <c r="K133" s="140"/>
      <c r="L133" s="140"/>
      <c r="M133" s="140"/>
      <c r="N133" s="143"/>
      <c r="O133" s="143"/>
      <c r="P133" s="143"/>
      <c r="Q133" s="143"/>
      <c r="R133" s="5"/>
      <c r="S133" s="5"/>
      <c r="T133" s="111"/>
    </row>
    <row r="134" spans="1:20" s="96" customFormat="1" ht="49.5" x14ac:dyDescent="0.5">
      <c r="A134" s="96" t="str">
        <f>_xlfn.XLOOKUP(B134,'Paso 3 Redacción RA'!I$3:I$12,'Paso 3 Redacción RA'!C$3:C$12,,0,1)</f>
        <v>SaberSer</v>
      </c>
      <c r="B134" s="78" t="s">
        <v>93</v>
      </c>
      <c r="C134" s="140"/>
      <c r="D134" s="140"/>
      <c r="E134" s="158"/>
      <c r="F134" s="140"/>
      <c r="G134" s="140"/>
      <c r="H134" s="140"/>
      <c r="I134" s="140"/>
      <c r="J134" s="140"/>
      <c r="K134" s="140"/>
      <c r="L134" s="140"/>
      <c r="M134" s="140"/>
      <c r="N134" s="143"/>
      <c r="O134" s="143"/>
      <c r="P134" s="143"/>
      <c r="Q134" s="143"/>
      <c r="R134" s="5"/>
      <c r="S134" s="5"/>
      <c r="T134" s="111"/>
    </row>
    <row r="135" spans="1:20" s="96" customFormat="1" ht="49.5" x14ac:dyDescent="0.5">
      <c r="A135" s="96" t="str">
        <f>_xlfn.XLOOKUP(B135,'Paso 3 Redacción RA'!I$3:I$12,'Paso 3 Redacción RA'!C$3:C$12,,0,1)</f>
        <v>SaberHacer</v>
      </c>
      <c r="B135" s="78" t="s">
        <v>96</v>
      </c>
      <c r="C135" s="140"/>
      <c r="D135" s="140"/>
      <c r="E135" s="158"/>
      <c r="F135" s="140"/>
      <c r="G135" s="140"/>
      <c r="H135" s="140"/>
      <c r="I135" s="140"/>
      <c r="J135" s="140"/>
      <c r="K135" s="140"/>
      <c r="L135" s="140"/>
      <c r="M135" s="140"/>
      <c r="N135" s="143"/>
      <c r="O135" s="143"/>
      <c r="P135" s="143"/>
      <c r="Q135" s="143"/>
      <c r="R135" s="5"/>
      <c r="S135" s="5"/>
      <c r="T135" s="111"/>
    </row>
    <row r="136" spans="1:20" s="96" customFormat="1" ht="50" thickBot="1" x14ac:dyDescent="0.55000000000000004">
      <c r="A136" s="97" t="str">
        <f>_xlfn.XLOOKUP(B136,'Paso 3 Redacción RA'!I$3:I$12,'Paso 3 Redacción RA'!C$3:C$12,,0,1)</f>
        <v>SaberHacer</v>
      </c>
      <c r="B136" s="93" t="s">
        <v>98</v>
      </c>
      <c r="C136" s="171"/>
      <c r="D136" s="171"/>
      <c r="E136" s="169"/>
      <c r="F136" s="171"/>
      <c r="G136" s="171"/>
      <c r="H136" s="171"/>
      <c r="I136" s="171"/>
      <c r="J136" s="171"/>
      <c r="K136" s="171"/>
      <c r="L136" s="171"/>
      <c r="M136" s="171"/>
      <c r="N136" s="147"/>
      <c r="O136" s="147"/>
      <c r="P136" s="147"/>
      <c r="Q136" s="147"/>
      <c r="R136" s="5"/>
      <c r="S136" s="5"/>
      <c r="T136" s="111"/>
    </row>
    <row r="137" spans="1:20" s="96" customFormat="1" ht="49.5" x14ac:dyDescent="0.5">
      <c r="A137" s="110" t="str">
        <f>_xlfn.XLOOKUP(B137,'Paso 3 Redacción RA'!I$3:I$12,'Paso 3 Redacción RA'!C$3:C$12,,0,1)</f>
        <v>Saber</v>
      </c>
      <c r="B137" s="98" t="s">
        <v>85</v>
      </c>
      <c r="C137" s="170">
        <v>6</v>
      </c>
      <c r="D137" s="170" t="s">
        <v>304</v>
      </c>
      <c r="E137" s="164" t="s">
        <v>305</v>
      </c>
      <c r="F137" s="170" t="s">
        <v>199</v>
      </c>
      <c r="G137" s="170"/>
      <c r="H137" s="170" t="s">
        <v>200</v>
      </c>
      <c r="I137" s="170"/>
      <c r="J137" s="170">
        <v>3</v>
      </c>
      <c r="K137" s="170">
        <f>J137*12</f>
        <v>36</v>
      </c>
      <c r="L137" s="170">
        <f>J137*36</f>
        <v>108</v>
      </c>
      <c r="M137" s="170">
        <f>SUM(K137:L137)</f>
        <v>144</v>
      </c>
      <c r="N137" s="146" t="s">
        <v>306</v>
      </c>
      <c r="O137" s="146" t="s">
        <v>202</v>
      </c>
      <c r="P137" s="146" t="s">
        <v>209</v>
      </c>
      <c r="Q137" s="146" t="s">
        <v>204</v>
      </c>
      <c r="R137" s="5"/>
      <c r="S137" s="5"/>
      <c r="T137" s="111"/>
    </row>
    <row r="138" spans="1:20" s="96" customFormat="1" ht="49.5" x14ac:dyDescent="0.5">
      <c r="B138" s="78" t="s">
        <v>89</v>
      </c>
      <c r="C138" s="140"/>
      <c r="D138" s="140"/>
      <c r="E138" s="151"/>
      <c r="F138" s="140"/>
      <c r="G138" s="140"/>
      <c r="H138" s="140"/>
      <c r="I138" s="140"/>
      <c r="J138" s="140"/>
      <c r="K138" s="140"/>
      <c r="L138" s="140"/>
      <c r="M138" s="140"/>
      <c r="N138" s="143"/>
      <c r="O138" s="143"/>
      <c r="P138" s="143"/>
      <c r="Q138" s="143"/>
      <c r="R138" s="5"/>
      <c r="S138" s="5"/>
      <c r="T138" s="111"/>
    </row>
    <row r="139" spans="1:20" s="96" customFormat="1" ht="49.5" x14ac:dyDescent="0.5">
      <c r="A139" s="96" t="str">
        <f>_xlfn.XLOOKUP(B139,'Paso 3 Redacción RA'!I$3:I$12,'Paso 3 Redacción RA'!C$3:C$12,,0,1)</f>
        <v>SaberSer</v>
      </c>
      <c r="B139" s="78" t="s">
        <v>93</v>
      </c>
      <c r="C139" s="140"/>
      <c r="D139" s="140"/>
      <c r="E139" s="151"/>
      <c r="F139" s="140"/>
      <c r="G139" s="140"/>
      <c r="H139" s="140"/>
      <c r="I139" s="140"/>
      <c r="J139" s="140"/>
      <c r="K139" s="140"/>
      <c r="L139" s="140"/>
      <c r="M139" s="140"/>
      <c r="N139" s="143"/>
      <c r="O139" s="143"/>
      <c r="P139" s="143"/>
      <c r="Q139" s="143"/>
      <c r="R139" s="5"/>
      <c r="S139" s="5"/>
      <c r="T139" s="111"/>
    </row>
    <row r="140" spans="1:20" s="96" customFormat="1" ht="49.5" x14ac:dyDescent="0.5">
      <c r="A140" s="96" t="str">
        <f>_xlfn.XLOOKUP(B140,'Paso 3 Redacción RA'!I$3:I$12,'Paso 3 Redacción RA'!C$3:C$12,,0,1)</f>
        <v>Saber</v>
      </c>
      <c r="B140" s="78" t="s">
        <v>94</v>
      </c>
      <c r="C140" s="140"/>
      <c r="D140" s="140"/>
      <c r="E140" s="151"/>
      <c r="F140" s="140"/>
      <c r="G140" s="140"/>
      <c r="H140" s="140"/>
      <c r="I140" s="140"/>
      <c r="J140" s="140"/>
      <c r="K140" s="140"/>
      <c r="L140" s="140"/>
      <c r="M140" s="140"/>
      <c r="N140" s="143"/>
      <c r="O140" s="143"/>
      <c r="P140" s="143"/>
      <c r="Q140" s="143"/>
      <c r="R140" s="5"/>
      <c r="S140" s="5"/>
      <c r="T140" s="111"/>
    </row>
    <row r="141" spans="1:20" s="96" customFormat="1" ht="49.5" x14ac:dyDescent="0.5">
      <c r="A141" s="96" t="str">
        <f>_xlfn.XLOOKUP(B141,'Paso 3 Redacción RA'!I$3:I$12,'Paso 3 Redacción RA'!C$3:C$12,,0,1)</f>
        <v>SaberHacer</v>
      </c>
      <c r="B141" s="78" t="s">
        <v>96</v>
      </c>
      <c r="C141" s="140"/>
      <c r="D141" s="140"/>
      <c r="E141" s="151"/>
      <c r="F141" s="140"/>
      <c r="G141" s="140"/>
      <c r="H141" s="140"/>
      <c r="I141" s="140"/>
      <c r="J141" s="140"/>
      <c r="K141" s="140"/>
      <c r="L141" s="140"/>
      <c r="M141" s="140"/>
      <c r="N141" s="143"/>
      <c r="O141" s="143"/>
      <c r="P141" s="143"/>
      <c r="Q141" s="143"/>
      <c r="R141" s="5"/>
      <c r="S141" s="5"/>
      <c r="T141" s="111"/>
    </row>
    <row r="142" spans="1:20" s="96" customFormat="1" ht="50" thickBot="1" x14ac:dyDescent="0.55000000000000004">
      <c r="A142" s="97" t="str">
        <f>_xlfn.XLOOKUP(B142,'Paso 3 Redacción RA'!I$3:I$12,'Paso 3 Redacción RA'!C$3:C$12,,0,1)</f>
        <v>SaberHacer</v>
      </c>
      <c r="B142" s="78" t="s">
        <v>98</v>
      </c>
      <c r="C142" s="171"/>
      <c r="D142" s="171"/>
      <c r="E142" s="165"/>
      <c r="F142" s="171"/>
      <c r="G142" s="171"/>
      <c r="H142" s="171"/>
      <c r="I142" s="171"/>
      <c r="J142" s="171"/>
      <c r="K142" s="171"/>
      <c r="L142" s="171"/>
      <c r="M142" s="171"/>
      <c r="N142" s="147"/>
      <c r="O142" s="147"/>
      <c r="P142" s="147"/>
      <c r="Q142" s="147"/>
      <c r="R142" s="5">
        <f>SUM(J114:J142)</f>
        <v>17</v>
      </c>
      <c r="S142" s="5">
        <f>COUNTA(D114:D142)</f>
        <v>5</v>
      </c>
      <c r="T142" s="111"/>
    </row>
    <row r="143" spans="1:20" s="96" customFormat="1" ht="49.5" x14ac:dyDescent="0.5">
      <c r="A143" s="110" t="str">
        <f>_xlfn.XLOOKUP(B143,'Paso 3 Redacción RA'!I$3:I$12,'Paso 3 Redacción RA'!C$3:C$12,,0,1)</f>
        <v>Saber</v>
      </c>
      <c r="B143" s="98" t="s">
        <v>85</v>
      </c>
      <c r="C143" s="170">
        <v>7</v>
      </c>
      <c r="D143" s="170" t="s">
        <v>307</v>
      </c>
      <c r="E143" s="164" t="s">
        <v>308</v>
      </c>
      <c r="F143" s="170" t="s">
        <v>199</v>
      </c>
      <c r="G143" s="170"/>
      <c r="H143" s="170" t="s">
        <v>200</v>
      </c>
      <c r="I143" s="170"/>
      <c r="J143" s="170">
        <v>3</v>
      </c>
      <c r="K143" s="170">
        <f>J143*12</f>
        <v>36</v>
      </c>
      <c r="L143" s="170">
        <f>J143*36</f>
        <v>108</v>
      </c>
      <c r="M143" s="170">
        <f>SUM(K143:L143)</f>
        <v>144</v>
      </c>
      <c r="N143" s="146" t="s">
        <v>309</v>
      </c>
      <c r="O143" s="146" t="s">
        <v>202</v>
      </c>
      <c r="P143" s="146" t="s">
        <v>214</v>
      </c>
      <c r="Q143" s="146" t="s">
        <v>204</v>
      </c>
      <c r="R143" s="5"/>
      <c r="S143" s="5"/>
      <c r="T143" s="111"/>
    </row>
    <row r="144" spans="1:20" s="96" customFormat="1" ht="49.5" x14ac:dyDescent="0.5">
      <c r="A144" s="96" t="str">
        <f>_xlfn.XLOOKUP(B144,'Paso 3 Redacción RA'!I$3:I$12,'Paso 3 Redacción RA'!C$3:C$12,,0,1)</f>
        <v>SaberHacer</v>
      </c>
      <c r="B144" s="78" t="s">
        <v>89</v>
      </c>
      <c r="C144" s="140"/>
      <c r="D144" s="140"/>
      <c r="E144" s="151"/>
      <c r="F144" s="140"/>
      <c r="G144" s="140"/>
      <c r="H144" s="140"/>
      <c r="I144" s="140"/>
      <c r="J144" s="140"/>
      <c r="K144" s="140"/>
      <c r="L144" s="140"/>
      <c r="M144" s="140"/>
      <c r="N144" s="143"/>
      <c r="O144" s="143"/>
      <c r="P144" s="143"/>
      <c r="Q144" s="143"/>
      <c r="R144" s="5"/>
      <c r="S144" s="5"/>
      <c r="T144" s="111"/>
    </row>
    <row r="145" spans="1:20" s="96" customFormat="1" ht="49.5" x14ac:dyDescent="0.5">
      <c r="A145" s="96" t="str">
        <f>_xlfn.XLOOKUP(B145,'Paso 3 Redacción RA'!I$3:I$12,'Paso 3 Redacción RA'!C$3:C$12,,0,1)</f>
        <v>SaberSer</v>
      </c>
      <c r="B145" s="78" t="s">
        <v>93</v>
      </c>
      <c r="C145" s="140"/>
      <c r="D145" s="140"/>
      <c r="E145" s="151"/>
      <c r="F145" s="140"/>
      <c r="G145" s="140"/>
      <c r="H145" s="140"/>
      <c r="I145" s="140"/>
      <c r="J145" s="140"/>
      <c r="K145" s="140"/>
      <c r="L145" s="140"/>
      <c r="M145" s="140"/>
      <c r="N145" s="143"/>
      <c r="O145" s="143"/>
      <c r="P145" s="143"/>
      <c r="Q145" s="143"/>
      <c r="R145" s="5"/>
      <c r="S145" s="5"/>
      <c r="T145" s="111"/>
    </row>
    <row r="146" spans="1:20" s="96" customFormat="1" ht="49.5" x14ac:dyDescent="0.5">
      <c r="A146" s="96" t="str">
        <f>_xlfn.XLOOKUP(B146,'Paso 3 Redacción RA'!I$3:I$12,'Paso 3 Redacción RA'!C$3:C$12,,0,1)</f>
        <v>Saber</v>
      </c>
      <c r="B146" s="78" t="s">
        <v>94</v>
      </c>
      <c r="C146" s="140"/>
      <c r="D146" s="140"/>
      <c r="E146" s="151"/>
      <c r="F146" s="140"/>
      <c r="G146" s="140"/>
      <c r="H146" s="140"/>
      <c r="I146" s="140"/>
      <c r="J146" s="140"/>
      <c r="K146" s="140"/>
      <c r="L146" s="140"/>
      <c r="M146" s="140"/>
      <c r="N146" s="143"/>
      <c r="O146" s="143"/>
      <c r="P146" s="143"/>
      <c r="Q146" s="143"/>
      <c r="R146" s="5"/>
      <c r="S146" s="5"/>
      <c r="T146" s="111"/>
    </row>
    <row r="147" spans="1:20" s="96" customFormat="1" ht="49.5" x14ac:dyDescent="0.5">
      <c r="A147" s="96" t="str">
        <f>_xlfn.XLOOKUP(B147,'Paso 3 Redacción RA'!I$3:I$12,'Paso 3 Redacción RA'!C$3:C$12,,0,1)</f>
        <v>SaberHacer</v>
      </c>
      <c r="B147" s="78" t="s">
        <v>96</v>
      </c>
      <c r="C147" s="140"/>
      <c r="D147" s="140"/>
      <c r="E147" s="151"/>
      <c r="F147" s="140"/>
      <c r="G147" s="140"/>
      <c r="H147" s="140"/>
      <c r="I147" s="140"/>
      <c r="J147" s="140"/>
      <c r="K147" s="140"/>
      <c r="L147" s="140"/>
      <c r="M147" s="140"/>
      <c r="N147" s="143"/>
      <c r="O147" s="143"/>
      <c r="P147" s="143"/>
      <c r="Q147" s="143"/>
      <c r="R147" s="5"/>
      <c r="S147" s="5"/>
      <c r="T147" s="111"/>
    </row>
    <row r="148" spans="1:20" s="96" customFormat="1" ht="50" thickBot="1" x14ac:dyDescent="0.55000000000000004">
      <c r="A148" s="97" t="str">
        <f>_xlfn.XLOOKUP(B148,'Paso 3 Redacción RA'!I$3:I$12,'Paso 3 Redacción RA'!C$3:C$12,,0,1)</f>
        <v>SaberHacer</v>
      </c>
      <c r="B148" s="78" t="s">
        <v>98</v>
      </c>
      <c r="C148" s="171"/>
      <c r="D148" s="171"/>
      <c r="E148" s="165"/>
      <c r="F148" s="171"/>
      <c r="G148" s="171"/>
      <c r="H148" s="171"/>
      <c r="I148" s="171"/>
      <c r="J148" s="171"/>
      <c r="K148" s="171"/>
      <c r="L148" s="171"/>
      <c r="M148" s="171"/>
      <c r="N148" s="147"/>
      <c r="O148" s="147"/>
      <c r="P148" s="147"/>
      <c r="Q148" s="147"/>
      <c r="R148" s="5"/>
      <c r="S148" s="5"/>
      <c r="T148" s="111"/>
    </row>
    <row r="149" spans="1:20" s="96" customFormat="1" ht="17" thickBot="1" x14ac:dyDescent="0.55000000000000004">
      <c r="A149" s="112"/>
      <c r="B149" s="107"/>
      <c r="C149" s="113">
        <v>7</v>
      </c>
      <c r="D149" s="114" t="s">
        <v>310</v>
      </c>
      <c r="E149" s="107"/>
      <c r="F149" s="112"/>
      <c r="G149" s="116"/>
      <c r="H149" s="116"/>
      <c r="I149" s="116" t="s">
        <v>200</v>
      </c>
      <c r="J149" s="113">
        <v>3</v>
      </c>
      <c r="K149" s="114">
        <f>J149*12</f>
        <v>36</v>
      </c>
      <c r="L149" s="114">
        <f>J149*36</f>
        <v>108</v>
      </c>
      <c r="M149" s="113">
        <f>SUM(K149:L149)</f>
        <v>144</v>
      </c>
      <c r="N149" s="115"/>
      <c r="O149" s="115"/>
      <c r="P149" s="115"/>
      <c r="Q149" s="115"/>
      <c r="R149" s="5"/>
      <c r="S149" s="5"/>
      <c r="T149" s="111"/>
    </row>
    <row r="150" spans="1:20" s="96" customFormat="1" ht="49.5" x14ac:dyDescent="0.5">
      <c r="A150" s="110" t="str">
        <f>_xlfn.XLOOKUP(B150,'Paso 3 Redacción RA'!I$3:I$12,'Paso 3 Redacción RA'!C$3:C$12,,0,1)</f>
        <v>Saber</v>
      </c>
      <c r="B150" s="98" t="s">
        <v>85</v>
      </c>
      <c r="C150" s="170">
        <v>7</v>
      </c>
      <c r="D150" s="170" t="s">
        <v>311</v>
      </c>
      <c r="E150" s="168" t="s">
        <v>312</v>
      </c>
      <c r="F150" s="170" t="s">
        <v>207</v>
      </c>
      <c r="G150" s="170"/>
      <c r="H150" s="170" t="s">
        <v>200</v>
      </c>
      <c r="I150" s="170"/>
      <c r="J150" s="170">
        <v>3</v>
      </c>
      <c r="K150" s="170">
        <f>J150*12</f>
        <v>36</v>
      </c>
      <c r="L150" s="170">
        <f>J150*36</f>
        <v>108</v>
      </c>
      <c r="M150" s="170">
        <f>SUM(K150:L150)</f>
        <v>144</v>
      </c>
      <c r="N150" s="146" t="s">
        <v>313</v>
      </c>
      <c r="O150" s="146" t="s">
        <v>202</v>
      </c>
      <c r="P150" s="146" t="s">
        <v>214</v>
      </c>
      <c r="Q150" s="146" t="s">
        <v>204</v>
      </c>
      <c r="R150" s="5"/>
      <c r="S150" s="5"/>
      <c r="T150" s="111"/>
    </row>
    <row r="151" spans="1:20" s="96" customFormat="1" ht="49.5" x14ac:dyDescent="0.5">
      <c r="A151" s="96" t="str">
        <f>_xlfn.XLOOKUP(B151,'Paso 3 Redacción RA'!I$3:I$12,'Paso 3 Redacción RA'!C$3:C$12,,0,1)</f>
        <v>SaberHacer</v>
      </c>
      <c r="B151" s="78" t="s">
        <v>89</v>
      </c>
      <c r="C151" s="140"/>
      <c r="D151" s="140"/>
      <c r="E151" s="158"/>
      <c r="F151" s="140"/>
      <c r="G151" s="140"/>
      <c r="H151" s="140"/>
      <c r="I151" s="140"/>
      <c r="J151" s="140"/>
      <c r="K151" s="140"/>
      <c r="L151" s="140"/>
      <c r="M151" s="140"/>
      <c r="N151" s="143"/>
      <c r="O151" s="143"/>
      <c r="P151" s="143"/>
      <c r="Q151" s="143"/>
      <c r="R151" s="5"/>
      <c r="S151" s="5"/>
      <c r="T151" s="111"/>
    </row>
    <row r="152" spans="1:20" s="96" customFormat="1" ht="49.5" x14ac:dyDescent="0.5">
      <c r="A152" s="96" t="str">
        <f>_xlfn.XLOOKUP(B152,'Paso 3 Redacción RA'!I$3:I$12,'Paso 3 Redacción RA'!C$3:C$12,,0,1)</f>
        <v>SaberSer</v>
      </c>
      <c r="B152" s="78" t="s">
        <v>93</v>
      </c>
      <c r="C152" s="140"/>
      <c r="D152" s="140"/>
      <c r="E152" s="158"/>
      <c r="F152" s="140"/>
      <c r="G152" s="140"/>
      <c r="H152" s="140"/>
      <c r="I152" s="140"/>
      <c r="J152" s="140"/>
      <c r="K152" s="140"/>
      <c r="L152" s="140"/>
      <c r="M152" s="140"/>
      <c r="N152" s="143"/>
      <c r="O152" s="143"/>
      <c r="P152" s="143"/>
      <c r="Q152" s="143"/>
      <c r="R152" s="5"/>
      <c r="S152" s="5"/>
      <c r="T152" s="111"/>
    </row>
    <row r="153" spans="1:20" s="96" customFormat="1" ht="49.5" x14ac:dyDescent="0.5">
      <c r="A153" s="96" t="str">
        <f>_xlfn.XLOOKUP(B153,'Paso 3 Redacción RA'!I$3:I$12,'Paso 3 Redacción RA'!C$3:C$12,,0,1)</f>
        <v>Saber</v>
      </c>
      <c r="B153" s="78" t="s">
        <v>94</v>
      </c>
      <c r="C153" s="140"/>
      <c r="D153" s="140"/>
      <c r="E153" s="158"/>
      <c r="F153" s="140"/>
      <c r="G153" s="140"/>
      <c r="H153" s="140"/>
      <c r="I153" s="140"/>
      <c r="J153" s="140"/>
      <c r="K153" s="140"/>
      <c r="L153" s="140"/>
      <c r="M153" s="140"/>
      <c r="N153" s="143"/>
      <c r="O153" s="143"/>
      <c r="P153" s="143"/>
      <c r="Q153" s="143"/>
      <c r="R153" s="5"/>
      <c r="S153" s="5"/>
      <c r="T153" s="111"/>
    </row>
    <row r="154" spans="1:20" s="96" customFormat="1" ht="49.5" x14ac:dyDescent="0.5">
      <c r="A154" s="96" t="str">
        <f>_xlfn.XLOOKUP(B154,'Paso 3 Redacción RA'!I$3:I$12,'Paso 3 Redacción RA'!C$3:C$12,,0,1)</f>
        <v>SaberHacer</v>
      </c>
      <c r="B154" s="78" t="s">
        <v>96</v>
      </c>
      <c r="C154" s="140"/>
      <c r="D154" s="140"/>
      <c r="E154" s="158"/>
      <c r="F154" s="140"/>
      <c r="G154" s="140"/>
      <c r="H154" s="140"/>
      <c r="I154" s="140"/>
      <c r="J154" s="140"/>
      <c r="K154" s="140"/>
      <c r="L154" s="140"/>
      <c r="M154" s="140"/>
      <c r="N154" s="143"/>
      <c r="O154" s="143"/>
      <c r="P154" s="143"/>
      <c r="Q154" s="143"/>
      <c r="R154" s="5"/>
      <c r="S154" s="5"/>
      <c r="T154" s="111"/>
    </row>
    <row r="155" spans="1:20" s="96" customFormat="1" ht="50" thickBot="1" x14ac:dyDescent="0.55000000000000004">
      <c r="A155" s="97" t="str">
        <f>_xlfn.XLOOKUP(B155,'Paso 3 Redacción RA'!I$3:I$12,'Paso 3 Redacción RA'!C$3:C$12,,0,1)</f>
        <v>SaberHacer</v>
      </c>
      <c r="B155" s="78" t="s">
        <v>98</v>
      </c>
      <c r="C155" s="171"/>
      <c r="D155" s="171"/>
      <c r="E155" s="169"/>
      <c r="F155" s="171"/>
      <c r="G155" s="171"/>
      <c r="H155" s="171"/>
      <c r="I155" s="171"/>
      <c r="J155" s="171"/>
      <c r="K155" s="171"/>
      <c r="L155" s="171"/>
      <c r="M155" s="171"/>
      <c r="N155" s="147"/>
      <c r="O155" s="147"/>
      <c r="P155" s="147"/>
      <c r="Q155" s="147"/>
      <c r="R155" s="5"/>
      <c r="S155" s="5"/>
      <c r="T155" s="111"/>
    </row>
    <row r="156" spans="1:20" s="96" customFormat="1" ht="49.5" x14ac:dyDescent="0.5">
      <c r="A156" s="110" t="str">
        <f>_xlfn.XLOOKUP(B156,'Paso 3 Redacción RA'!I$3:I$12,'Paso 3 Redacción RA'!C$3:C$12,,0,1)</f>
        <v>Saber</v>
      </c>
      <c r="B156" s="98" t="s">
        <v>85</v>
      </c>
      <c r="C156" s="170">
        <v>7</v>
      </c>
      <c r="D156" s="170" t="s">
        <v>314</v>
      </c>
      <c r="E156" s="168" t="s">
        <v>315</v>
      </c>
      <c r="F156" s="170" t="s">
        <v>199</v>
      </c>
      <c r="G156" s="170"/>
      <c r="H156" s="170" t="s">
        <v>200</v>
      </c>
      <c r="I156" s="170"/>
      <c r="J156" s="170">
        <v>4</v>
      </c>
      <c r="K156" s="170">
        <f>J156*12</f>
        <v>48</v>
      </c>
      <c r="L156" s="170">
        <f>J156*36</f>
        <v>144</v>
      </c>
      <c r="M156" s="170">
        <f>SUM(K156:L156)</f>
        <v>192</v>
      </c>
      <c r="N156" s="146" t="s">
        <v>316</v>
      </c>
      <c r="O156" s="146" t="s">
        <v>202</v>
      </c>
      <c r="P156" s="146" t="s">
        <v>317</v>
      </c>
      <c r="Q156" s="146" t="s">
        <v>204</v>
      </c>
      <c r="R156" s="5"/>
      <c r="S156" s="5"/>
      <c r="T156" s="111"/>
    </row>
    <row r="157" spans="1:20" s="96" customFormat="1" ht="49.5" x14ac:dyDescent="0.5">
      <c r="A157" s="96" t="str">
        <f>_xlfn.XLOOKUP(B157,'Paso 3 Redacción RA'!I$3:I$12,'Paso 3 Redacción RA'!C$3:C$12,,0,1)</f>
        <v>SaberHacer</v>
      </c>
      <c r="B157" s="78" t="s">
        <v>89</v>
      </c>
      <c r="C157" s="140"/>
      <c r="D157" s="140"/>
      <c r="E157" s="158"/>
      <c r="F157" s="140"/>
      <c r="G157" s="140"/>
      <c r="H157" s="140"/>
      <c r="I157" s="140"/>
      <c r="J157" s="140"/>
      <c r="K157" s="140"/>
      <c r="L157" s="140"/>
      <c r="M157" s="140"/>
      <c r="N157" s="143"/>
      <c r="O157" s="143"/>
      <c r="P157" s="143"/>
      <c r="Q157" s="143"/>
      <c r="R157" s="5"/>
      <c r="S157" s="5"/>
      <c r="T157" s="111"/>
    </row>
    <row r="158" spans="1:20" s="96" customFormat="1" ht="49.5" x14ac:dyDescent="0.5">
      <c r="A158" s="96" t="str">
        <f>_xlfn.XLOOKUP(B158,'Paso 3 Redacción RA'!I$3:I$12,'Paso 3 Redacción RA'!C$3:C$12,,0,1)</f>
        <v>SaberSer</v>
      </c>
      <c r="B158" s="78" t="s">
        <v>93</v>
      </c>
      <c r="C158" s="140"/>
      <c r="D158" s="140"/>
      <c r="E158" s="158"/>
      <c r="F158" s="140"/>
      <c r="G158" s="140"/>
      <c r="H158" s="140"/>
      <c r="I158" s="140"/>
      <c r="J158" s="140"/>
      <c r="K158" s="140"/>
      <c r="L158" s="140"/>
      <c r="M158" s="140"/>
      <c r="N158" s="143"/>
      <c r="O158" s="143"/>
      <c r="P158" s="143"/>
      <c r="Q158" s="143"/>
      <c r="R158" s="5"/>
      <c r="S158" s="5"/>
      <c r="T158" s="111"/>
    </row>
    <row r="159" spans="1:20" s="96" customFormat="1" ht="49.5" x14ac:dyDescent="0.5">
      <c r="A159" s="96" t="str">
        <f>_xlfn.XLOOKUP(B159,'Paso 3 Redacción RA'!I$3:I$12,'Paso 3 Redacción RA'!C$3:C$12,,0,1)</f>
        <v>Saber</v>
      </c>
      <c r="B159" s="78" t="s">
        <v>94</v>
      </c>
      <c r="C159" s="140"/>
      <c r="D159" s="140"/>
      <c r="E159" s="158"/>
      <c r="F159" s="140"/>
      <c r="G159" s="140"/>
      <c r="H159" s="140"/>
      <c r="I159" s="140"/>
      <c r="J159" s="140"/>
      <c r="K159" s="140"/>
      <c r="L159" s="140"/>
      <c r="M159" s="140"/>
      <c r="N159" s="143"/>
      <c r="O159" s="143"/>
      <c r="P159" s="143"/>
      <c r="Q159" s="143"/>
      <c r="R159" s="5"/>
      <c r="S159" s="5"/>
      <c r="T159" s="111"/>
    </row>
    <row r="160" spans="1:20" s="96" customFormat="1" ht="49.5" x14ac:dyDescent="0.5">
      <c r="A160" s="96" t="str">
        <f>_xlfn.XLOOKUP(B160,'Paso 3 Redacción RA'!I$3:I$12,'Paso 3 Redacción RA'!C$3:C$12,,0,1)</f>
        <v>SaberHacer</v>
      </c>
      <c r="B160" s="78" t="s">
        <v>96</v>
      </c>
      <c r="C160" s="140"/>
      <c r="D160" s="140"/>
      <c r="E160" s="158"/>
      <c r="F160" s="140"/>
      <c r="G160" s="140"/>
      <c r="H160" s="140"/>
      <c r="I160" s="140"/>
      <c r="J160" s="140"/>
      <c r="K160" s="140"/>
      <c r="L160" s="140"/>
      <c r="M160" s="140"/>
      <c r="N160" s="143"/>
      <c r="O160" s="143"/>
      <c r="P160" s="143"/>
      <c r="Q160" s="143"/>
      <c r="R160" s="5"/>
      <c r="S160" s="5"/>
      <c r="T160" s="111"/>
    </row>
    <row r="161" spans="1:20" s="96" customFormat="1" ht="50" thickBot="1" x14ac:dyDescent="0.55000000000000004">
      <c r="A161" s="97" t="str">
        <f>_xlfn.XLOOKUP(B161,'Paso 3 Redacción RA'!I$3:I$12,'Paso 3 Redacción RA'!C$3:C$12,,0,1)</f>
        <v>SaberHacer</v>
      </c>
      <c r="B161" s="78" t="s">
        <v>98</v>
      </c>
      <c r="C161" s="171"/>
      <c r="D161" s="171"/>
      <c r="E161" s="169"/>
      <c r="F161" s="171"/>
      <c r="G161" s="171"/>
      <c r="H161" s="171"/>
      <c r="I161" s="171"/>
      <c r="J161" s="171"/>
      <c r="K161" s="171"/>
      <c r="L161" s="171"/>
      <c r="M161" s="171"/>
      <c r="N161" s="147"/>
      <c r="O161" s="147"/>
      <c r="P161" s="147"/>
      <c r="Q161" s="147"/>
      <c r="R161" s="5"/>
      <c r="S161" s="5"/>
      <c r="T161" s="111"/>
    </row>
    <row r="162" spans="1:20" s="96" customFormat="1" ht="49.5" x14ac:dyDescent="0.5">
      <c r="A162" s="110" t="str">
        <f>_xlfn.XLOOKUP(B162,'Paso 3 Redacción RA'!I$3:I$12,'Paso 3 Redacción RA'!C$3:C$12,,0,1)</f>
        <v>Saber</v>
      </c>
      <c r="B162" s="98" t="s">
        <v>85</v>
      </c>
      <c r="C162" s="170">
        <v>7</v>
      </c>
      <c r="D162" s="170" t="s">
        <v>318</v>
      </c>
      <c r="E162" s="168" t="s">
        <v>319</v>
      </c>
      <c r="F162" s="170" t="s">
        <v>199</v>
      </c>
      <c r="G162" s="170"/>
      <c r="H162" s="170" t="s">
        <v>200</v>
      </c>
      <c r="I162" s="170"/>
      <c r="J162" s="170">
        <v>4</v>
      </c>
      <c r="K162" s="170">
        <f>J162*12</f>
        <v>48</v>
      </c>
      <c r="L162" s="170">
        <f>J162*36</f>
        <v>144</v>
      </c>
      <c r="M162" s="170">
        <f>SUM(K162:L162)</f>
        <v>192</v>
      </c>
      <c r="N162" s="146" t="s">
        <v>320</v>
      </c>
      <c r="O162" s="146" t="s">
        <v>321</v>
      </c>
      <c r="P162" s="146" t="s">
        <v>214</v>
      </c>
      <c r="Q162" s="146" t="s">
        <v>204</v>
      </c>
      <c r="R162" s="5"/>
      <c r="S162" s="5"/>
      <c r="T162" s="111"/>
    </row>
    <row r="163" spans="1:20" s="96" customFormat="1" ht="49.5" x14ac:dyDescent="0.5">
      <c r="A163" s="96" t="str">
        <f>_xlfn.XLOOKUP(B163,'Paso 3 Redacción RA'!I$3:I$12,'Paso 3 Redacción RA'!C$3:C$12,,0,1)</f>
        <v>SaberHacer</v>
      </c>
      <c r="B163" s="78" t="s">
        <v>89</v>
      </c>
      <c r="C163" s="140"/>
      <c r="D163" s="140"/>
      <c r="E163" s="158"/>
      <c r="F163" s="140"/>
      <c r="G163" s="140"/>
      <c r="H163" s="140"/>
      <c r="I163" s="140"/>
      <c r="J163" s="140"/>
      <c r="K163" s="140"/>
      <c r="L163" s="140"/>
      <c r="M163" s="140"/>
      <c r="N163" s="143"/>
      <c r="O163" s="143"/>
      <c r="P163" s="143"/>
      <c r="Q163" s="143"/>
      <c r="R163" s="5"/>
      <c r="S163" s="5"/>
      <c r="T163" s="111"/>
    </row>
    <row r="164" spans="1:20" s="96" customFormat="1" ht="49.5" x14ac:dyDescent="0.5">
      <c r="A164" s="96" t="str">
        <f>_xlfn.XLOOKUP(B164,'Paso 3 Redacción RA'!I$3:I$12,'Paso 3 Redacción RA'!C$3:C$12,,0,1)</f>
        <v>SaberSer</v>
      </c>
      <c r="B164" s="78" t="s">
        <v>93</v>
      </c>
      <c r="C164" s="140"/>
      <c r="D164" s="140"/>
      <c r="E164" s="158"/>
      <c r="F164" s="140"/>
      <c r="G164" s="140"/>
      <c r="H164" s="140"/>
      <c r="I164" s="140"/>
      <c r="J164" s="140"/>
      <c r="K164" s="140"/>
      <c r="L164" s="140"/>
      <c r="M164" s="140"/>
      <c r="N164" s="143"/>
      <c r="O164" s="143"/>
      <c r="P164" s="143"/>
      <c r="Q164" s="143"/>
      <c r="R164" s="5"/>
      <c r="S164" s="5"/>
      <c r="T164" s="111"/>
    </row>
    <row r="165" spans="1:20" s="96" customFormat="1" ht="49.5" x14ac:dyDescent="0.5">
      <c r="A165" s="96" t="str">
        <f>_xlfn.XLOOKUP(B165,'Paso 3 Redacción RA'!I$3:I$12,'Paso 3 Redacción RA'!C$3:C$12,,0,1)</f>
        <v>Saber</v>
      </c>
      <c r="B165" s="78" t="s">
        <v>94</v>
      </c>
      <c r="C165" s="140"/>
      <c r="D165" s="140"/>
      <c r="E165" s="158"/>
      <c r="F165" s="140"/>
      <c r="G165" s="140"/>
      <c r="H165" s="140"/>
      <c r="I165" s="140"/>
      <c r="J165" s="140"/>
      <c r="K165" s="140"/>
      <c r="L165" s="140"/>
      <c r="M165" s="140"/>
      <c r="N165" s="143"/>
      <c r="O165" s="143"/>
      <c r="P165" s="143"/>
      <c r="Q165" s="143"/>
      <c r="R165" s="5"/>
      <c r="S165" s="5"/>
      <c r="T165" s="111"/>
    </row>
    <row r="166" spans="1:20" s="96" customFormat="1" ht="49.5" x14ac:dyDescent="0.5">
      <c r="A166" s="96" t="str">
        <f>_xlfn.XLOOKUP(B166,'Paso 3 Redacción RA'!I$3:I$12,'Paso 3 Redacción RA'!C$3:C$12,,0,1)</f>
        <v>SaberHacer</v>
      </c>
      <c r="B166" s="78" t="s">
        <v>96</v>
      </c>
      <c r="C166" s="140"/>
      <c r="D166" s="140"/>
      <c r="E166" s="158"/>
      <c r="F166" s="140"/>
      <c r="G166" s="140"/>
      <c r="H166" s="140"/>
      <c r="I166" s="140"/>
      <c r="J166" s="140"/>
      <c r="K166" s="140"/>
      <c r="L166" s="140"/>
      <c r="M166" s="140"/>
      <c r="N166" s="143"/>
      <c r="O166" s="143"/>
      <c r="P166" s="143"/>
      <c r="Q166" s="143"/>
      <c r="R166" s="5"/>
      <c r="S166" s="5"/>
      <c r="T166" s="111"/>
    </row>
    <row r="167" spans="1:20" s="96" customFormat="1" ht="50" thickBot="1" x14ac:dyDescent="0.55000000000000004">
      <c r="A167" s="97" t="str">
        <f>_xlfn.XLOOKUP(B167,'Paso 3 Redacción RA'!I$3:I$12,'Paso 3 Redacción RA'!C$3:C$12,,0,1)</f>
        <v>SaberHacer</v>
      </c>
      <c r="B167" s="78" t="s">
        <v>98</v>
      </c>
      <c r="C167" s="171"/>
      <c r="D167" s="171"/>
      <c r="E167" s="169"/>
      <c r="F167" s="171"/>
      <c r="G167" s="171"/>
      <c r="H167" s="171"/>
      <c r="I167" s="171"/>
      <c r="J167" s="171"/>
      <c r="K167" s="171"/>
      <c r="L167" s="171"/>
      <c r="M167" s="171"/>
      <c r="N167" s="147"/>
      <c r="O167" s="147"/>
      <c r="P167" s="147"/>
      <c r="Q167" s="147"/>
      <c r="R167" s="5">
        <f>SUM(J143:J167)</f>
        <v>17</v>
      </c>
      <c r="S167" s="5">
        <f>COUNTA(D143:D167)</f>
        <v>5</v>
      </c>
      <c r="T167" s="111"/>
    </row>
    <row r="168" spans="1:20" s="96" customFormat="1" ht="49.5" x14ac:dyDescent="0.5">
      <c r="A168" s="110" t="str">
        <f>_xlfn.XLOOKUP(B168,'Paso 3 Redacción RA'!I$3:I$12,'Paso 3 Redacción RA'!C$3:C$12,,0,1)</f>
        <v>Saber</v>
      </c>
      <c r="B168" s="98" t="s">
        <v>85</v>
      </c>
      <c r="C168" s="170">
        <v>8</v>
      </c>
      <c r="D168" s="170" t="s">
        <v>322</v>
      </c>
      <c r="E168" s="168" t="s">
        <v>323</v>
      </c>
      <c r="F168" s="170" t="s">
        <v>207</v>
      </c>
      <c r="G168" s="170"/>
      <c r="H168" s="170" t="s">
        <v>200</v>
      </c>
      <c r="I168" s="170"/>
      <c r="J168" s="170">
        <v>3</v>
      </c>
      <c r="K168" s="170">
        <f>J168*12</f>
        <v>36</v>
      </c>
      <c r="L168" s="170">
        <f>J168*36</f>
        <v>108</v>
      </c>
      <c r="M168" s="170">
        <f>SUM(K168:L168)</f>
        <v>144</v>
      </c>
      <c r="N168" s="146" t="s">
        <v>324</v>
      </c>
      <c r="O168" s="146" t="s">
        <v>202</v>
      </c>
      <c r="P168" s="146" t="s">
        <v>214</v>
      </c>
      <c r="Q168" s="146" t="s">
        <v>204</v>
      </c>
      <c r="R168" s="5"/>
      <c r="S168" s="5"/>
      <c r="T168" s="111"/>
    </row>
    <row r="169" spans="1:20" s="96" customFormat="1" ht="49.5" x14ac:dyDescent="0.5">
      <c r="A169" s="96" t="str">
        <f>_xlfn.XLOOKUP(B169,'Paso 3 Redacción RA'!I$3:I$12,'Paso 3 Redacción RA'!C$3:C$12,,0,1)</f>
        <v>SaberHacer</v>
      </c>
      <c r="B169" s="78" t="s">
        <v>89</v>
      </c>
      <c r="C169" s="140"/>
      <c r="D169" s="140"/>
      <c r="E169" s="158"/>
      <c r="F169" s="140"/>
      <c r="G169" s="140"/>
      <c r="H169" s="140"/>
      <c r="I169" s="140"/>
      <c r="J169" s="140"/>
      <c r="K169" s="140"/>
      <c r="L169" s="140"/>
      <c r="M169" s="140"/>
      <c r="N169" s="143"/>
      <c r="O169" s="143"/>
      <c r="P169" s="143"/>
      <c r="Q169" s="143"/>
      <c r="R169" s="5"/>
      <c r="S169" s="5"/>
      <c r="T169" s="111"/>
    </row>
    <row r="170" spans="1:20" s="96" customFormat="1" ht="49.5" x14ac:dyDescent="0.5">
      <c r="A170" s="96" t="str">
        <f>_xlfn.XLOOKUP(B170,'Paso 3 Redacción RA'!I$3:I$12,'Paso 3 Redacción RA'!C$3:C$12,,0,1)</f>
        <v>SaberSer</v>
      </c>
      <c r="B170" s="78" t="s">
        <v>93</v>
      </c>
      <c r="C170" s="140"/>
      <c r="D170" s="140"/>
      <c r="E170" s="158"/>
      <c r="F170" s="140"/>
      <c r="G170" s="140"/>
      <c r="H170" s="140"/>
      <c r="I170" s="140"/>
      <c r="J170" s="140"/>
      <c r="K170" s="140"/>
      <c r="L170" s="140"/>
      <c r="M170" s="140"/>
      <c r="N170" s="143"/>
      <c r="O170" s="143"/>
      <c r="P170" s="143"/>
      <c r="Q170" s="143"/>
      <c r="R170" s="5"/>
      <c r="S170" s="5"/>
      <c r="T170" s="111"/>
    </row>
    <row r="171" spans="1:20" s="96" customFormat="1" ht="49.5" x14ac:dyDescent="0.5">
      <c r="A171" s="96" t="str">
        <f>_xlfn.XLOOKUP(B171,'Paso 3 Redacción RA'!I$3:I$12,'Paso 3 Redacción RA'!C$3:C$12,,0,1)</f>
        <v>Saber</v>
      </c>
      <c r="B171" s="78" t="s">
        <v>94</v>
      </c>
      <c r="C171" s="140"/>
      <c r="D171" s="140"/>
      <c r="E171" s="158"/>
      <c r="F171" s="140"/>
      <c r="G171" s="140"/>
      <c r="H171" s="140"/>
      <c r="I171" s="140"/>
      <c r="J171" s="140"/>
      <c r="K171" s="140"/>
      <c r="L171" s="140"/>
      <c r="M171" s="140"/>
      <c r="N171" s="143"/>
      <c r="O171" s="143"/>
      <c r="P171" s="143"/>
      <c r="Q171" s="143"/>
      <c r="R171" s="5"/>
      <c r="S171" s="5"/>
      <c r="T171" s="111"/>
    </row>
    <row r="172" spans="1:20" s="96" customFormat="1" ht="49.5" x14ac:dyDescent="0.5">
      <c r="A172" s="96" t="str">
        <f>_xlfn.XLOOKUP(B172,'Paso 3 Redacción RA'!I$3:I$12,'Paso 3 Redacción RA'!C$3:C$12,,0,1)</f>
        <v>SaberHacer</v>
      </c>
      <c r="B172" s="78" t="s">
        <v>96</v>
      </c>
      <c r="C172" s="140"/>
      <c r="D172" s="140"/>
      <c r="E172" s="158"/>
      <c r="F172" s="140"/>
      <c r="G172" s="140"/>
      <c r="H172" s="140"/>
      <c r="I172" s="140"/>
      <c r="J172" s="140"/>
      <c r="K172" s="140"/>
      <c r="L172" s="140"/>
      <c r="M172" s="140"/>
      <c r="N172" s="143"/>
      <c r="O172" s="143"/>
      <c r="P172" s="143"/>
      <c r="Q172" s="143"/>
      <c r="R172" s="5"/>
      <c r="S172" s="5"/>
      <c r="T172" s="111"/>
    </row>
    <row r="173" spans="1:20" s="96" customFormat="1" ht="50" thickBot="1" x14ac:dyDescent="0.55000000000000004">
      <c r="A173" s="97" t="str">
        <f>_xlfn.XLOOKUP(B173,'Paso 3 Redacción RA'!I$3:I$12,'Paso 3 Redacción RA'!C$3:C$12,,0,1)</f>
        <v>SaberHacer</v>
      </c>
      <c r="B173" s="78" t="s">
        <v>98</v>
      </c>
      <c r="C173" s="171"/>
      <c r="D173" s="171"/>
      <c r="E173" s="169"/>
      <c r="F173" s="171"/>
      <c r="G173" s="171"/>
      <c r="H173" s="171"/>
      <c r="I173" s="171"/>
      <c r="J173" s="171"/>
      <c r="K173" s="171"/>
      <c r="L173" s="171"/>
      <c r="M173" s="171"/>
      <c r="N173" s="147"/>
      <c r="O173" s="147"/>
      <c r="P173" s="147"/>
      <c r="Q173" s="147"/>
      <c r="S173" s="5"/>
      <c r="T173" s="111"/>
    </row>
    <row r="174" spans="1:20" s="96" customFormat="1" ht="17" thickBot="1" x14ac:dyDescent="0.55000000000000004">
      <c r="A174" s="112"/>
      <c r="B174" s="107"/>
      <c r="C174" s="113">
        <v>8</v>
      </c>
      <c r="D174" s="114" t="s">
        <v>325</v>
      </c>
      <c r="E174" s="107"/>
      <c r="F174" s="112"/>
      <c r="G174" s="116"/>
      <c r="H174" s="116"/>
      <c r="I174" s="116" t="s">
        <v>200</v>
      </c>
      <c r="J174" s="113">
        <v>3</v>
      </c>
      <c r="K174" s="114">
        <f>J174*12</f>
        <v>36</v>
      </c>
      <c r="L174" s="114">
        <f>J174*36</f>
        <v>108</v>
      </c>
      <c r="M174" s="113">
        <f>SUM(K174:L174)</f>
        <v>144</v>
      </c>
      <c r="N174" s="115"/>
      <c r="O174" s="115"/>
      <c r="P174" s="115"/>
      <c r="Q174" s="115"/>
      <c r="R174" s="5"/>
      <c r="S174" s="5"/>
      <c r="T174" s="111"/>
    </row>
    <row r="175" spans="1:20" s="96" customFormat="1" ht="17" thickBot="1" x14ac:dyDescent="0.55000000000000004">
      <c r="A175" s="112"/>
      <c r="B175" s="107"/>
      <c r="C175" s="113">
        <v>8</v>
      </c>
      <c r="D175" s="114" t="s">
        <v>326</v>
      </c>
      <c r="E175" s="107"/>
      <c r="F175" s="112"/>
      <c r="G175" s="116"/>
      <c r="H175" s="116"/>
      <c r="I175" s="116" t="s">
        <v>200</v>
      </c>
      <c r="J175" s="113">
        <v>3</v>
      </c>
      <c r="K175" s="114">
        <f>J175*12</f>
        <v>36</v>
      </c>
      <c r="L175" s="114">
        <f>J175*36</f>
        <v>108</v>
      </c>
      <c r="M175" s="113">
        <f>SUM(K175:L175)</f>
        <v>144</v>
      </c>
      <c r="N175" s="115"/>
      <c r="O175" s="115"/>
      <c r="P175" s="115"/>
      <c r="Q175" s="115"/>
      <c r="R175" s="5"/>
      <c r="S175" s="5"/>
      <c r="T175" s="111"/>
    </row>
    <row r="176" spans="1:20" s="96" customFormat="1" ht="17" thickBot="1" x14ac:dyDescent="0.55000000000000004">
      <c r="A176" s="112"/>
      <c r="B176" s="107"/>
      <c r="C176" s="113">
        <v>8</v>
      </c>
      <c r="D176" s="114" t="s">
        <v>327</v>
      </c>
      <c r="E176" s="107"/>
      <c r="F176" s="112"/>
      <c r="G176" s="116"/>
      <c r="H176" s="116"/>
      <c r="I176" s="116" t="s">
        <v>200</v>
      </c>
      <c r="J176" s="113">
        <v>3</v>
      </c>
      <c r="K176" s="114">
        <f>J176*12</f>
        <v>36</v>
      </c>
      <c r="L176" s="114">
        <f>J176*36</f>
        <v>108</v>
      </c>
      <c r="M176" s="113">
        <f>SUM(K176:L176)</f>
        <v>144</v>
      </c>
      <c r="N176" s="115"/>
      <c r="O176" s="115"/>
      <c r="P176" s="115"/>
      <c r="Q176" s="115"/>
      <c r="R176" s="5"/>
      <c r="S176" s="5"/>
      <c r="T176" s="111"/>
    </row>
    <row r="177" spans="1:20" s="96" customFormat="1" ht="49.5" x14ac:dyDescent="0.5">
      <c r="A177" s="96" t="str">
        <f>_xlfn.XLOOKUP(B177,'Paso 3 Redacción RA'!I$3:I$12,'Paso 3 Redacción RA'!C$3:C$12,,0,1)</f>
        <v>Saber</v>
      </c>
      <c r="B177" s="78" t="s">
        <v>85</v>
      </c>
      <c r="C177" s="172">
        <v>8</v>
      </c>
      <c r="D177" s="170" t="s">
        <v>328</v>
      </c>
      <c r="E177" s="164" t="s">
        <v>329</v>
      </c>
      <c r="F177" s="172" t="s">
        <v>199</v>
      </c>
      <c r="G177" s="172"/>
      <c r="H177" s="172" t="s">
        <v>200</v>
      </c>
      <c r="I177" s="175"/>
      <c r="J177" s="172">
        <v>3</v>
      </c>
      <c r="K177" s="170">
        <f>J177*12</f>
        <v>36</v>
      </c>
      <c r="L177" s="170">
        <f>J177*36</f>
        <v>108</v>
      </c>
      <c r="M177" s="172">
        <f>SUM(K177:L180)</f>
        <v>144</v>
      </c>
      <c r="N177" s="146" t="s">
        <v>330</v>
      </c>
      <c r="O177" s="146" t="s">
        <v>202</v>
      </c>
      <c r="P177" s="146" t="s">
        <v>214</v>
      </c>
      <c r="Q177" s="146" t="s">
        <v>204</v>
      </c>
      <c r="R177" s="5"/>
      <c r="S177" s="5"/>
      <c r="T177" s="111"/>
    </row>
    <row r="178" spans="1:20" s="96" customFormat="1" ht="49.5" x14ac:dyDescent="0.5">
      <c r="A178" s="96" t="str">
        <f>_xlfn.XLOOKUP(B178,'Paso 3 Redacción RA'!I$3:I$12,'Paso 3 Redacción RA'!C$3:C$12,,0,1)</f>
        <v>SaberHacer</v>
      </c>
      <c r="B178" s="78" t="s">
        <v>89</v>
      </c>
      <c r="C178" s="173"/>
      <c r="D178" s="140"/>
      <c r="E178" s="151"/>
      <c r="F178" s="173"/>
      <c r="G178" s="173"/>
      <c r="H178" s="173"/>
      <c r="I178" s="154"/>
      <c r="J178" s="173"/>
      <c r="K178" s="140"/>
      <c r="L178" s="140"/>
      <c r="M178" s="173"/>
      <c r="N178" s="143"/>
      <c r="O178" s="143"/>
      <c r="P178" s="143"/>
      <c r="Q178" s="143"/>
      <c r="R178" s="5"/>
      <c r="S178" s="5"/>
      <c r="T178" s="111"/>
    </row>
    <row r="179" spans="1:20" s="96" customFormat="1" ht="49.5" x14ac:dyDescent="0.5">
      <c r="A179" s="96" t="str">
        <f>_xlfn.XLOOKUP(B179,'Paso 3 Redacción RA'!I$3:I$12,'Paso 3 Redacción RA'!C$3:C$12,,0,1)</f>
        <v>SaberSer</v>
      </c>
      <c r="B179" s="78" t="s">
        <v>93</v>
      </c>
      <c r="C179" s="173"/>
      <c r="D179" s="140"/>
      <c r="E179" s="151"/>
      <c r="F179" s="173"/>
      <c r="G179" s="173"/>
      <c r="H179" s="173"/>
      <c r="I179" s="154"/>
      <c r="J179" s="173"/>
      <c r="K179" s="140"/>
      <c r="L179" s="140"/>
      <c r="M179" s="173"/>
      <c r="N179" s="143"/>
      <c r="O179" s="143"/>
      <c r="P179" s="143"/>
      <c r="Q179" s="143"/>
      <c r="R179" s="5"/>
      <c r="S179" s="5"/>
      <c r="T179" s="111"/>
    </row>
    <row r="180" spans="1:20" s="96" customFormat="1" ht="50" thickBot="1" x14ac:dyDescent="0.55000000000000004">
      <c r="A180" s="97" t="str">
        <f>_xlfn.XLOOKUP(B180,'Paso 3 Redacción RA'!I$3:I$12,'Paso 3 Redacción RA'!C$3:C$12,,0,1)</f>
        <v>SaberHacer</v>
      </c>
      <c r="B180" s="93" t="s">
        <v>98</v>
      </c>
      <c r="C180" s="174"/>
      <c r="D180" s="171"/>
      <c r="E180" s="165"/>
      <c r="F180" s="174"/>
      <c r="G180" s="174"/>
      <c r="H180" s="174" t="s">
        <v>200</v>
      </c>
      <c r="I180" s="176"/>
      <c r="J180" s="174"/>
      <c r="K180" s="171"/>
      <c r="L180" s="171"/>
      <c r="M180" s="174"/>
      <c r="N180" s="147"/>
      <c r="O180" s="147"/>
      <c r="P180" s="147"/>
      <c r="Q180" s="147"/>
      <c r="R180" s="5">
        <f>SUM(J168:J180)</f>
        <v>15</v>
      </c>
      <c r="S180" s="5">
        <f>COUNTA(J168:J180)</f>
        <v>5</v>
      </c>
      <c r="T180" s="111"/>
    </row>
    <row r="181" spans="1:20" s="118" customFormat="1" ht="32" x14ac:dyDescent="0.5">
      <c r="A181" s="96"/>
      <c r="B181" s="117"/>
      <c r="C181" s="121" t="s">
        <v>331</v>
      </c>
      <c r="D181" s="138">
        <f>COUNTA(D3:D180)</f>
        <v>42</v>
      </c>
      <c r="E181" s="136"/>
      <c r="F181" s="120"/>
      <c r="G181" s="120"/>
      <c r="H181" s="120"/>
      <c r="I181" s="121" t="s">
        <v>332</v>
      </c>
      <c r="J181" s="130">
        <f>SUM(J3:J180)</f>
        <v>135</v>
      </c>
      <c r="K181" s="125"/>
      <c r="L181" s="37"/>
      <c r="M181" s="120"/>
      <c r="N181" s="119"/>
      <c r="O181" s="119"/>
      <c r="P181" s="119"/>
      <c r="Q181" s="119"/>
      <c r="R181" s="119">
        <f>SUM(R3:R180)</f>
        <v>135</v>
      </c>
      <c r="S181" s="119">
        <f>SUM(S3:S180)</f>
        <v>42</v>
      </c>
      <c r="T181" s="122"/>
    </row>
    <row r="182" spans="1:20" s="118" customFormat="1" ht="48" x14ac:dyDescent="0.5">
      <c r="A182" s="96"/>
      <c r="B182" s="117"/>
      <c r="C182" s="120"/>
      <c r="D182" s="120"/>
      <c r="E182" s="136"/>
      <c r="F182" s="120"/>
      <c r="G182" s="120"/>
      <c r="H182" s="120"/>
      <c r="I182" s="123" t="s">
        <v>333</v>
      </c>
      <c r="J182" s="135">
        <f>SUM(J3,J14,J40,J56,J62,J68)</f>
        <v>18</v>
      </c>
      <c r="K182" s="125"/>
      <c r="L182" s="120"/>
      <c r="M182" s="120"/>
      <c r="N182" s="119"/>
      <c r="O182" s="119"/>
      <c r="P182" s="119"/>
      <c r="Q182" s="119"/>
      <c r="R182" s="119"/>
      <c r="S182" s="119"/>
      <c r="T182" s="122"/>
    </row>
    <row r="183" spans="1:20" s="118" customFormat="1" ht="48" x14ac:dyDescent="0.5">
      <c r="A183" s="96"/>
      <c r="B183" s="117"/>
      <c r="C183" s="120"/>
      <c r="D183" s="120"/>
      <c r="E183" s="119"/>
      <c r="F183" s="120"/>
      <c r="G183" s="120"/>
      <c r="H183" s="120"/>
      <c r="I183" s="123" t="s">
        <v>334</v>
      </c>
      <c r="J183" s="135">
        <f>SUM(J4:J13,J15:J39,J41:J55,J57,J63,J69:J148,J150:J173,J177)</f>
        <v>105</v>
      </c>
      <c r="K183" s="125"/>
      <c r="L183" s="120"/>
      <c r="M183" s="120"/>
      <c r="N183" s="119"/>
      <c r="O183" s="119"/>
      <c r="P183" s="119"/>
      <c r="Q183" s="119"/>
      <c r="R183" s="119"/>
      <c r="S183" s="119"/>
      <c r="T183" s="122"/>
    </row>
    <row r="184" spans="1:20" s="118" customFormat="1" ht="32" x14ac:dyDescent="0.5">
      <c r="A184" s="124"/>
      <c r="B184" s="117"/>
      <c r="C184" s="120"/>
      <c r="D184" s="120"/>
      <c r="F184" s="120"/>
      <c r="G184" s="120"/>
      <c r="H184" s="120"/>
      <c r="I184" s="123" t="s">
        <v>335</v>
      </c>
      <c r="J184" s="120">
        <f>SUM(J149,J174:J176)</f>
        <v>12</v>
      </c>
      <c r="K184" s="126"/>
      <c r="L184" s="120"/>
      <c r="M184" s="120"/>
      <c r="N184" s="119"/>
      <c r="O184" s="119"/>
      <c r="P184" s="119"/>
      <c r="Q184" s="119"/>
      <c r="R184" s="119"/>
      <c r="S184" s="119"/>
      <c r="T184" s="122"/>
    </row>
    <row r="185" spans="1:20" x14ac:dyDescent="0.5">
      <c r="C185" s="6"/>
      <c r="F185" s="6"/>
      <c r="G185" s="6"/>
      <c r="H185" s="6"/>
      <c r="I185" s="6"/>
      <c r="J185" s="6"/>
      <c r="K185" s="6"/>
      <c r="L185" s="6"/>
      <c r="M185" s="6"/>
    </row>
    <row r="186" spans="1:20" x14ac:dyDescent="0.5">
      <c r="C186" s="6"/>
      <c r="F186" s="6"/>
      <c r="G186" s="6"/>
      <c r="H186" s="6"/>
      <c r="I186" s="6"/>
      <c r="J186" s="6"/>
      <c r="K186" s="6"/>
      <c r="L186" s="6"/>
      <c r="M186" s="6"/>
    </row>
    <row r="187" spans="1:20" x14ac:dyDescent="0.5">
      <c r="C187" s="6"/>
      <c r="F187" s="6"/>
      <c r="G187" s="6"/>
      <c r="H187" s="6"/>
      <c r="I187" s="6"/>
      <c r="J187" s="6"/>
      <c r="K187" s="6"/>
      <c r="L187" s="6"/>
      <c r="M187" s="6"/>
    </row>
    <row r="188" spans="1:20" x14ac:dyDescent="0.5">
      <c r="C188" s="6"/>
      <c r="F188" s="6"/>
      <c r="G188" s="6"/>
      <c r="H188" s="6"/>
      <c r="I188" s="6"/>
      <c r="J188" s="6"/>
      <c r="K188" s="6"/>
      <c r="L188" s="6"/>
      <c r="M188" s="6"/>
    </row>
    <row r="189" spans="1:20" x14ac:dyDescent="0.5">
      <c r="C189" s="6"/>
      <c r="F189" s="6"/>
      <c r="G189" s="6"/>
      <c r="H189" s="6"/>
      <c r="I189" s="6"/>
      <c r="J189" s="6"/>
      <c r="K189" s="6"/>
      <c r="L189" s="6"/>
      <c r="M189" s="6"/>
    </row>
    <row r="190" spans="1:20" x14ac:dyDescent="0.5">
      <c r="C190" s="6"/>
      <c r="F190" s="6"/>
      <c r="G190" s="6"/>
      <c r="H190" s="6"/>
      <c r="I190" s="6"/>
      <c r="J190" s="6"/>
      <c r="K190" s="6"/>
      <c r="L190" s="6"/>
      <c r="M190" s="6"/>
    </row>
    <row r="191" spans="1:20" x14ac:dyDescent="0.5">
      <c r="C191" s="6"/>
      <c r="F191" s="6"/>
      <c r="G191" s="6"/>
      <c r="H191" s="6"/>
      <c r="I191" s="6"/>
      <c r="J191" s="6"/>
      <c r="K191" s="6"/>
      <c r="L191" s="6"/>
      <c r="M191" s="6"/>
    </row>
    <row r="193" spans="5:5" x14ac:dyDescent="0.5">
      <c r="E193" s="119"/>
    </row>
  </sheetData>
  <autoFilter ref="A2:R184" xr:uid="{F0EE195A-FBC9-4847-94C9-3ADDAD335674}"/>
  <mergeCells count="481">
    <mergeCell ref="F63:F67"/>
    <mergeCell ref="G63:G67"/>
    <mergeCell ref="H63:H67"/>
    <mergeCell ref="I63:I67"/>
    <mergeCell ref="Q74:Q78"/>
    <mergeCell ref="L74:L78"/>
    <mergeCell ref="G1:I1"/>
    <mergeCell ref="P15:P19"/>
    <mergeCell ref="P4:P8"/>
    <mergeCell ref="M9:M13"/>
    <mergeCell ref="N9:N13"/>
    <mergeCell ref="O9:O13"/>
    <mergeCell ref="L63:L67"/>
    <mergeCell ref="L57:L61"/>
    <mergeCell ref="H46:H50"/>
    <mergeCell ref="I46:I50"/>
    <mergeCell ref="J46:J50"/>
    <mergeCell ref="K46:K50"/>
    <mergeCell ref="L46:L50"/>
    <mergeCell ref="Q4:Q8"/>
    <mergeCell ref="H4:H8"/>
    <mergeCell ref="I4:I8"/>
    <mergeCell ref="J4:J8"/>
    <mergeCell ref="K4:K8"/>
    <mergeCell ref="L4:L8"/>
    <mergeCell ref="P9:P13"/>
    <mergeCell ref="Q9:Q13"/>
    <mergeCell ref="Q15:Q19"/>
    <mergeCell ref="H15:H19"/>
    <mergeCell ref="I15:I19"/>
    <mergeCell ref="J15:J19"/>
    <mergeCell ref="K15:K19"/>
    <mergeCell ref="L15:L19"/>
    <mergeCell ref="M15:M19"/>
    <mergeCell ref="M4:M8"/>
    <mergeCell ref="N4:N8"/>
    <mergeCell ref="O4:O8"/>
    <mergeCell ref="H9:H13"/>
    <mergeCell ref="I9:I13"/>
    <mergeCell ref="J9:J13"/>
    <mergeCell ref="K9:K13"/>
    <mergeCell ref="L9:L13"/>
    <mergeCell ref="N15:N19"/>
    <mergeCell ref="C4:C8"/>
    <mergeCell ref="E4:E8"/>
    <mergeCell ref="F4:F8"/>
    <mergeCell ref="G4:G8"/>
    <mergeCell ref="C9:C13"/>
    <mergeCell ref="G9:G13"/>
    <mergeCell ref="F25:F29"/>
    <mergeCell ref="G25:G29"/>
    <mergeCell ref="D9:D13"/>
    <mergeCell ref="D4:D8"/>
    <mergeCell ref="E9:E13"/>
    <mergeCell ref="F9:F13"/>
    <mergeCell ref="C25:C29"/>
    <mergeCell ref="D25:D29"/>
    <mergeCell ref="E25:E29"/>
    <mergeCell ref="E15:E19"/>
    <mergeCell ref="F15:F19"/>
    <mergeCell ref="G15:G19"/>
    <mergeCell ref="Q41:Q45"/>
    <mergeCell ref="D35:D39"/>
    <mergeCell ref="E35:E39"/>
    <mergeCell ref="F35:F39"/>
    <mergeCell ref="G35:G39"/>
    <mergeCell ref="C35:C39"/>
    <mergeCell ref="G30:G34"/>
    <mergeCell ref="C30:C34"/>
    <mergeCell ref="D30:D34"/>
    <mergeCell ref="E30:E34"/>
    <mergeCell ref="F30:F34"/>
    <mergeCell ref="M35:M39"/>
    <mergeCell ref="H35:H39"/>
    <mergeCell ref="P30:P34"/>
    <mergeCell ref="I30:I34"/>
    <mergeCell ref="J30:J34"/>
    <mergeCell ref="K30:K34"/>
    <mergeCell ref="L30:L34"/>
    <mergeCell ref="M30:M34"/>
    <mergeCell ref="N30:N34"/>
    <mergeCell ref="O30:O34"/>
    <mergeCell ref="Q25:Q29"/>
    <mergeCell ref="N35:N39"/>
    <mergeCell ref="O35:O39"/>
    <mergeCell ref="P35:P39"/>
    <mergeCell ref="Q35:Q39"/>
    <mergeCell ref="H25:H29"/>
    <mergeCell ref="I25:I29"/>
    <mergeCell ref="J25:J29"/>
    <mergeCell ref="K25:K29"/>
    <mergeCell ref="L25:L29"/>
    <mergeCell ref="I35:I39"/>
    <mergeCell ref="J35:J39"/>
    <mergeCell ref="K35:K39"/>
    <mergeCell ref="L35:L39"/>
    <mergeCell ref="Q30:Q34"/>
    <mergeCell ref="H30:H34"/>
    <mergeCell ref="M25:M29"/>
    <mergeCell ref="N25:N29"/>
    <mergeCell ref="O25:O29"/>
    <mergeCell ref="P25:P29"/>
    <mergeCell ref="M46:M50"/>
    <mergeCell ref="N46:N50"/>
    <mergeCell ref="O46:O50"/>
    <mergeCell ref="P46:P50"/>
    <mergeCell ref="C41:C45"/>
    <mergeCell ref="D41:D45"/>
    <mergeCell ref="E41:E45"/>
    <mergeCell ref="F41:F45"/>
    <mergeCell ref="G41:G45"/>
    <mergeCell ref="F46:F50"/>
    <mergeCell ref="G46:G50"/>
    <mergeCell ref="C46:C50"/>
    <mergeCell ref="D46:D50"/>
    <mergeCell ref="E46:E50"/>
    <mergeCell ref="M41:M45"/>
    <mergeCell ref="N41:N45"/>
    <mergeCell ref="O41:O45"/>
    <mergeCell ref="P41:P45"/>
    <mergeCell ref="H41:H45"/>
    <mergeCell ref="I41:I45"/>
    <mergeCell ref="J41:J45"/>
    <mergeCell ref="K41:K45"/>
    <mergeCell ref="L41:L45"/>
    <mergeCell ref="Q57:Q61"/>
    <mergeCell ref="M74:M78"/>
    <mergeCell ref="I74:I78"/>
    <mergeCell ref="J74:J78"/>
    <mergeCell ref="K74:K78"/>
    <mergeCell ref="P74:P78"/>
    <mergeCell ref="C57:C61"/>
    <mergeCell ref="D57:D61"/>
    <mergeCell ref="E57:E61"/>
    <mergeCell ref="F57:F61"/>
    <mergeCell ref="G57:G61"/>
    <mergeCell ref="H57:H61"/>
    <mergeCell ref="I57:I61"/>
    <mergeCell ref="J57:J61"/>
    <mergeCell ref="P63:P67"/>
    <mergeCell ref="C69:C73"/>
    <mergeCell ref="D69:D73"/>
    <mergeCell ref="E69:E73"/>
    <mergeCell ref="F69:F73"/>
    <mergeCell ref="G69:G73"/>
    <mergeCell ref="Q63:Q67"/>
    <mergeCell ref="C63:C67"/>
    <mergeCell ref="D63:D67"/>
    <mergeCell ref="E63:E67"/>
    <mergeCell ref="I69:I73"/>
    <mergeCell ref="J69:J73"/>
    <mergeCell ref="K69:K73"/>
    <mergeCell ref="L69:L73"/>
    <mergeCell ref="M69:M73"/>
    <mergeCell ref="N69:N73"/>
    <mergeCell ref="O69:O73"/>
    <mergeCell ref="P69:P73"/>
    <mergeCell ref="L51:L55"/>
    <mergeCell ref="M51:M55"/>
    <mergeCell ref="N51:N55"/>
    <mergeCell ref="O51:O55"/>
    <mergeCell ref="M63:M67"/>
    <mergeCell ref="N63:N67"/>
    <mergeCell ref="O63:O67"/>
    <mergeCell ref="K57:K61"/>
    <mergeCell ref="M57:M61"/>
    <mergeCell ref="N57:N61"/>
    <mergeCell ref="O57:O61"/>
    <mergeCell ref="P57:P61"/>
    <mergeCell ref="Q46:Q50"/>
    <mergeCell ref="J63:J67"/>
    <mergeCell ref="K63:K67"/>
    <mergeCell ref="H51:H55"/>
    <mergeCell ref="N74:N78"/>
    <mergeCell ref="O74:O78"/>
    <mergeCell ref="C74:C78"/>
    <mergeCell ref="D74:D78"/>
    <mergeCell ref="E74:E78"/>
    <mergeCell ref="F74:F78"/>
    <mergeCell ref="G74:G78"/>
    <mergeCell ref="H74:H78"/>
    <mergeCell ref="P51:P55"/>
    <mergeCell ref="C51:C55"/>
    <mergeCell ref="D51:D55"/>
    <mergeCell ref="E51:E55"/>
    <mergeCell ref="F51:F55"/>
    <mergeCell ref="G51:G55"/>
    <mergeCell ref="I51:I55"/>
    <mergeCell ref="J51:J55"/>
    <mergeCell ref="K51:K55"/>
    <mergeCell ref="Q51:Q55"/>
    <mergeCell ref="Q69:Q73"/>
    <mergeCell ref="H69:H73"/>
    <mergeCell ref="C89:C93"/>
    <mergeCell ref="D89:D93"/>
    <mergeCell ref="E89:E93"/>
    <mergeCell ref="F89:F93"/>
    <mergeCell ref="G89:G93"/>
    <mergeCell ref="C84:C88"/>
    <mergeCell ref="D84:D88"/>
    <mergeCell ref="E84:E88"/>
    <mergeCell ref="F84:F88"/>
    <mergeCell ref="G84:G88"/>
    <mergeCell ref="M84:M88"/>
    <mergeCell ref="N84:N88"/>
    <mergeCell ref="O84:O88"/>
    <mergeCell ref="P84:P88"/>
    <mergeCell ref="Q89:Q93"/>
    <mergeCell ref="H89:H93"/>
    <mergeCell ref="I89:I93"/>
    <mergeCell ref="J89:J93"/>
    <mergeCell ref="K89:K93"/>
    <mergeCell ref="L89:L93"/>
    <mergeCell ref="H84:H88"/>
    <mergeCell ref="I84:I88"/>
    <mergeCell ref="J84:J88"/>
    <mergeCell ref="K84:K88"/>
    <mergeCell ref="L84:L88"/>
    <mergeCell ref="M89:M93"/>
    <mergeCell ref="N89:N93"/>
    <mergeCell ref="O89:O93"/>
    <mergeCell ref="P89:P93"/>
    <mergeCell ref="Q84:Q88"/>
    <mergeCell ref="C137:C142"/>
    <mergeCell ref="D137:D142"/>
    <mergeCell ref="G99:G103"/>
    <mergeCell ref="C132:C136"/>
    <mergeCell ref="D132:D136"/>
    <mergeCell ref="E132:E136"/>
    <mergeCell ref="F132:F136"/>
    <mergeCell ref="G132:G136"/>
    <mergeCell ref="E99:E103"/>
    <mergeCell ref="F99:F103"/>
    <mergeCell ref="C126:C131"/>
    <mergeCell ref="D126:D131"/>
    <mergeCell ref="E126:E131"/>
    <mergeCell ref="F126:F131"/>
    <mergeCell ref="G126:G131"/>
    <mergeCell ref="C120:C125"/>
    <mergeCell ref="D120:D125"/>
    <mergeCell ref="E120:E125"/>
    <mergeCell ref="Q114:Q119"/>
    <mergeCell ref="H114:H119"/>
    <mergeCell ref="I114:I119"/>
    <mergeCell ref="J114:J119"/>
    <mergeCell ref="K114:K119"/>
    <mergeCell ref="L114:L119"/>
    <mergeCell ref="E137:E142"/>
    <mergeCell ref="F137:F142"/>
    <mergeCell ref="G137:G142"/>
    <mergeCell ref="F114:F119"/>
    <mergeCell ref="G114:G119"/>
    <mergeCell ref="E114:E119"/>
    <mergeCell ref="Q137:Q142"/>
    <mergeCell ref="H137:H142"/>
    <mergeCell ref="I137:I142"/>
    <mergeCell ref="J137:J142"/>
    <mergeCell ref="K137:K142"/>
    <mergeCell ref="L137:L142"/>
    <mergeCell ref="M137:M142"/>
    <mergeCell ref="N137:N142"/>
    <mergeCell ref="O137:O142"/>
    <mergeCell ref="P137:P142"/>
    <mergeCell ref="N120:N125"/>
    <mergeCell ref="O120:O125"/>
    <mergeCell ref="Q109:Q113"/>
    <mergeCell ref="H109:H113"/>
    <mergeCell ref="I109:I113"/>
    <mergeCell ref="J109:J113"/>
    <mergeCell ref="K109:K113"/>
    <mergeCell ref="L109:L113"/>
    <mergeCell ref="Q94:Q98"/>
    <mergeCell ref="H94:H98"/>
    <mergeCell ref="I94:I98"/>
    <mergeCell ref="J94:J98"/>
    <mergeCell ref="K94:K98"/>
    <mergeCell ref="L94:L98"/>
    <mergeCell ref="M94:M98"/>
    <mergeCell ref="N94:N98"/>
    <mergeCell ref="O94:O98"/>
    <mergeCell ref="P94:P98"/>
    <mergeCell ref="M99:M103"/>
    <mergeCell ref="N99:N103"/>
    <mergeCell ref="O99:O103"/>
    <mergeCell ref="P99:P103"/>
    <mergeCell ref="M109:M113"/>
    <mergeCell ref="N109:N113"/>
    <mergeCell ref="Q104:Q108"/>
    <mergeCell ref="H104:H108"/>
    <mergeCell ref="Q99:Q103"/>
    <mergeCell ref="H99:H103"/>
    <mergeCell ref="I99:I103"/>
    <mergeCell ref="J99:J103"/>
    <mergeCell ref="K99:K103"/>
    <mergeCell ref="L99:L103"/>
    <mergeCell ref="C99:C103"/>
    <mergeCell ref="D99:D103"/>
    <mergeCell ref="C94:C98"/>
    <mergeCell ref="D94:D98"/>
    <mergeCell ref="E94:E98"/>
    <mergeCell ref="F94:F98"/>
    <mergeCell ref="G94:G98"/>
    <mergeCell ref="Q79:Q83"/>
    <mergeCell ref="H79:H83"/>
    <mergeCell ref="I79:I83"/>
    <mergeCell ref="J79:J83"/>
    <mergeCell ref="K79:K83"/>
    <mergeCell ref="L79:L83"/>
    <mergeCell ref="C79:C83"/>
    <mergeCell ref="D79:D83"/>
    <mergeCell ref="E79:E83"/>
    <mergeCell ref="F79:F83"/>
    <mergeCell ref="G79:G83"/>
    <mergeCell ref="M79:M83"/>
    <mergeCell ref="N79:N83"/>
    <mergeCell ref="O79:O83"/>
    <mergeCell ref="P79:P83"/>
    <mergeCell ref="M104:M108"/>
    <mergeCell ref="N104:N108"/>
    <mergeCell ref="O104:O108"/>
    <mergeCell ref="P104:P108"/>
    <mergeCell ref="C109:C113"/>
    <mergeCell ref="D109:D113"/>
    <mergeCell ref="E109:E113"/>
    <mergeCell ref="F109:F113"/>
    <mergeCell ref="G109:G113"/>
    <mergeCell ref="O109:O113"/>
    <mergeCell ref="P109:P113"/>
    <mergeCell ref="I104:I108"/>
    <mergeCell ref="J104:J108"/>
    <mergeCell ref="K104:K108"/>
    <mergeCell ref="L104:L108"/>
    <mergeCell ref="C104:C108"/>
    <mergeCell ref="D104:D108"/>
    <mergeCell ref="E104:E108"/>
    <mergeCell ref="F104:F108"/>
    <mergeCell ref="G104:G108"/>
    <mergeCell ref="P120:P125"/>
    <mergeCell ref="M114:M119"/>
    <mergeCell ref="N114:N119"/>
    <mergeCell ref="O114:O119"/>
    <mergeCell ref="P114:P119"/>
    <mergeCell ref="C114:C119"/>
    <mergeCell ref="D114:D119"/>
    <mergeCell ref="F120:F125"/>
    <mergeCell ref="G120:G125"/>
    <mergeCell ref="Q132:Q136"/>
    <mergeCell ref="H132:H136"/>
    <mergeCell ref="I132:I136"/>
    <mergeCell ref="J132:J136"/>
    <mergeCell ref="K132:K136"/>
    <mergeCell ref="L132:L136"/>
    <mergeCell ref="Q126:Q131"/>
    <mergeCell ref="H126:H131"/>
    <mergeCell ref="I126:I131"/>
    <mergeCell ref="J126:J131"/>
    <mergeCell ref="K126:K131"/>
    <mergeCell ref="L126:L131"/>
    <mergeCell ref="M126:M131"/>
    <mergeCell ref="N126:N131"/>
    <mergeCell ref="O126:O131"/>
    <mergeCell ref="P126:P131"/>
    <mergeCell ref="M132:M136"/>
    <mergeCell ref="N132:N136"/>
    <mergeCell ref="O132:O136"/>
    <mergeCell ref="P132:P136"/>
    <mergeCell ref="Q120:Q125"/>
    <mergeCell ref="H120:H125"/>
    <mergeCell ref="I120:I125"/>
    <mergeCell ref="J120:J125"/>
    <mergeCell ref="K120:K125"/>
    <mergeCell ref="L120:L125"/>
    <mergeCell ref="M120:M125"/>
    <mergeCell ref="H156:H161"/>
    <mergeCell ref="I156:I161"/>
    <mergeCell ref="J156:J161"/>
    <mergeCell ref="K156:K161"/>
    <mergeCell ref="L156:L161"/>
    <mergeCell ref="Q156:Q161"/>
    <mergeCell ref="Q150:Q155"/>
    <mergeCell ref="H150:H155"/>
    <mergeCell ref="I150:I155"/>
    <mergeCell ref="J150:J155"/>
    <mergeCell ref="K150:K155"/>
    <mergeCell ref="L150:L155"/>
    <mergeCell ref="M150:M155"/>
    <mergeCell ref="N150:N155"/>
    <mergeCell ref="O150:O155"/>
    <mergeCell ref="P150:P155"/>
    <mergeCell ref="M143:M148"/>
    <mergeCell ref="C156:C161"/>
    <mergeCell ref="D156:D161"/>
    <mergeCell ref="E156:E161"/>
    <mergeCell ref="F156:F161"/>
    <mergeCell ref="G156:G161"/>
    <mergeCell ref="M156:M161"/>
    <mergeCell ref="N156:N161"/>
    <mergeCell ref="O156:O161"/>
    <mergeCell ref="P156:P161"/>
    <mergeCell ref="E150:E155"/>
    <mergeCell ref="F150:F155"/>
    <mergeCell ref="G150:G155"/>
    <mergeCell ref="C143:C148"/>
    <mergeCell ref="D143:D148"/>
    <mergeCell ref="E143:E148"/>
    <mergeCell ref="F143:F148"/>
    <mergeCell ref="G143:G148"/>
    <mergeCell ref="C150:C155"/>
    <mergeCell ref="D150:D155"/>
    <mergeCell ref="N143:N148"/>
    <mergeCell ref="O143:O148"/>
    <mergeCell ref="P143:P148"/>
    <mergeCell ref="Q143:Q148"/>
    <mergeCell ref="H143:H148"/>
    <mergeCell ref="I143:I148"/>
    <mergeCell ref="J143:J148"/>
    <mergeCell ref="K143:K148"/>
    <mergeCell ref="L143:L148"/>
    <mergeCell ref="M162:M167"/>
    <mergeCell ref="N162:N167"/>
    <mergeCell ref="O162:O167"/>
    <mergeCell ref="P162:P167"/>
    <mergeCell ref="P168:P173"/>
    <mergeCell ref="Q162:Q167"/>
    <mergeCell ref="M168:M173"/>
    <mergeCell ref="N168:N173"/>
    <mergeCell ref="O168:O173"/>
    <mergeCell ref="Q168:Q173"/>
    <mergeCell ref="H168:H173"/>
    <mergeCell ref="I168:I173"/>
    <mergeCell ref="J168:J173"/>
    <mergeCell ref="K168:K173"/>
    <mergeCell ref="L168:L173"/>
    <mergeCell ref="C168:C173"/>
    <mergeCell ref="D168:D173"/>
    <mergeCell ref="E168:E173"/>
    <mergeCell ref="F168:F173"/>
    <mergeCell ref="G168:G173"/>
    <mergeCell ref="H162:H167"/>
    <mergeCell ref="I162:I167"/>
    <mergeCell ref="J162:J167"/>
    <mergeCell ref="K162:K167"/>
    <mergeCell ref="L162:L167"/>
    <mergeCell ref="C162:C167"/>
    <mergeCell ref="D162:D167"/>
    <mergeCell ref="E162:E167"/>
    <mergeCell ref="F162:F167"/>
    <mergeCell ref="G162:G167"/>
    <mergeCell ref="Q20:Q24"/>
    <mergeCell ref="P20:P24"/>
    <mergeCell ref="O20:O24"/>
    <mergeCell ref="N20:N24"/>
    <mergeCell ref="M20:M24"/>
    <mergeCell ref="L20:L24"/>
    <mergeCell ref="K20:K24"/>
    <mergeCell ref="C15:C19"/>
    <mergeCell ref="D15:D19"/>
    <mergeCell ref="C20:C24"/>
    <mergeCell ref="D20:D24"/>
    <mergeCell ref="E20:E24"/>
    <mergeCell ref="F20:F24"/>
    <mergeCell ref="G20:G24"/>
    <mergeCell ref="O15:O19"/>
    <mergeCell ref="J20:J24"/>
    <mergeCell ref="I20:I24"/>
    <mergeCell ref="H20:H24"/>
    <mergeCell ref="K177:K180"/>
    <mergeCell ref="L177:L180"/>
    <mergeCell ref="M177:M180"/>
    <mergeCell ref="N177:N180"/>
    <mergeCell ref="O177:O180"/>
    <mergeCell ref="P177:P180"/>
    <mergeCell ref="Q177:Q180"/>
    <mergeCell ref="C177:C180"/>
    <mergeCell ref="D177:D180"/>
    <mergeCell ref="E177:E180"/>
    <mergeCell ref="F177:F180"/>
    <mergeCell ref="G177:G180"/>
    <mergeCell ref="H177:H180"/>
    <mergeCell ref="I177:I180"/>
    <mergeCell ref="J177:J180"/>
  </mergeCells>
  <dataValidations count="1">
    <dataValidation type="list" allowBlank="1" showInputMessage="1" showErrorMessage="1" sqref="E15:E39" xr:uid="{0B61168A-C40C-4B9E-BA44-A5BAADC80F6D}">
      <formula1>resultadoaprendizaje</formula1>
    </dataValidation>
  </dataValidations>
  <pageMargins left="0.7" right="0.7" top="0.75" bottom="0.75" header="0.3" footer="0.3"/>
  <pageSetup paperSize="9" orientation="portrait" r:id="rId1"/>
  <ignoredErrors>
    <ignoredError sqref="M89" formula="1"/>
  </ignoredErrors>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FB58D49-D1C0-4270-ACFB-03A7341BCCED}">
          <x14:formula1>
            <xm:f>'Paso 3 Redacción RA'!$I$3:$I$12</xm:f>
          </x14:formula1>
          <xm:sqref>B3:B184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F0260-EDC1-4342-B86F-EF528A8E771B}">
  <dimension ref="B1:B44"/>
  <sheetViews>
    <sheetView topLeftCell="A29" workbookViewId="0">
      <selection activeCell="B45" sqref="B45"/>
    </sheetView>
  </sheetViews>
  <sheetFormatPr baseColWidth="10" defaultColWidth="9.1796875" defaultRowHeight="14.5" x14ac:dyDescent="0.35"/>
  <cols>
    <col min="2" max="2" width="29.26953125" customWidth="1"/>
  </cols>
  <sheetData>
    <row r="1" spans="2:2" ht="16.5" x14ac:dyDescent="0.5">
      <c r="B1" s="1" t="s">
        <v>336</v>
      </c>
    </row>
    <row r="2" spans="2:2" ht="16.5" x14ac:dyDescent="0.5">
      <c r="B2" s="1" t="s">
        <v>337</v>
      </c>
    </row>
    <row r="3" spans="2:2" ht="16.5" x14ac:dyDescent="0.5">
      <c r="B3" s="1" t="s">
        <v>338</v>
      </c>
    </row>
    <row r="4" spans="2:2" ht="16.5" x14ac:dyDescent="0.5">
      <c r="B4" s="1" t="s">
        <v>95</v>
      </c>
    </row>
    <row r="5" spans="2:2" ht="16.5" x14ac:dyDescent="0.5">
      <c r="B5" s="1" t="s">
        <v>339</v>
      </c>
    </row>
    <row r="6" spans="2:2" ht="16.5" x14ac:dyDescent="0.5">
      <c r="B6" s="1" t="s">
        <v>340</v>
      </c>
    </row>
    <row r="7" spans="2:2" ht="16.5" x14ac:dyDescent="0.5">
      <c r="B7" s="1" t="s">
        <v>341</v>
      </c>
    </row>
    <row r="8" spans="2:2" ht="16.5" x14ac:dyDescent="0.5">
      <c r="B8" s="1" t="s">
        <v>342</v>
      </c>
    </row>
    <row r="9" spans="2:2" ht="16.5" x14ac:dyDescent="0.5">
      <c r="B9" s="1" t="s">
        <v>343</v>
      </c>
    </row>
    <row r="10" spans="2:2" ht="16.5" x14ac:dyDescent="0.5">
      <c r="B10" s="1" t="s">
        <v>344</v>
      </c>
    </row>
    <row r="11" spans="2:2" ht="16.5" x14ac:dyDescent="0.5">
      <c r="B11" s="1" t="s">
        <v>345</v>
      </c>
    </row>
    <row r="12" spans="2:2" ht="16.5" x14ac:dyDescent="0.5">
      <c r="B12" s="1" t="s">
        <v>346</v>
      </c>
    </row>
    <row r="13" spans="2:2" ht="16.5" x14ac:dyDescent="0.5">
      <c r="B13" s="1" t="s">
        <v>347</v>
      </c>
    </row>
    <row r="14" spans="2:2" ht="16.5" x14ac:dyDescent="0.5">
      <c r="B14" s="1" t="s">
        <v>348</v>
      </c>
    </row>
    <row r="15" spans="2:2" ht="16.5" x14ac:dyDescent="0.5">
      <c r="B15" s="1" t="s">
        <v>88</v>
      </c>
    </row>
    <row r="16" spans="2:2" ht="16.5" x14ac:dyDescent="0.5">
      <c r="B16" s="1" t="s">
        <v>56</v>
      </c>
    </row>
    <row r="17" spans="2:2" ht="16.5" x14ac:dyDescent="0.5">
      <c r="B17" s="1" t="s">
        <v>349</v>
      </c>
    </row>
    <row r="18" spans="2:2" ht="16.5" x14ac:dyDescent="0.5">
      <c r="B18" s="1" t="s">
        <v>350</v>
      </c>
    </row>
    <row r="19" spans="2:2" ht="16.5" x14ac:dyDescent="0.5">
      <c r="B19" s="1" t="s">
        <v>92</v>
      </c>
    </row>
    <row r="20" spans="2:2" ht="16.5" x14ac:dyDescent="0.5">
      <c r="B20" s="1" t="s">
        <v>351</v>
      </c>
    </row>
    <row r="21" spans="2:2" ht="16.5" x14ac:dyDescent="0.5">
      <c r="B21" s="1" t="s">
        <v>352</v>
      </c>
    </row>
    <row r="22" spans="2:2" ht="16.5" x14ac:dyDescent="0.5">
      <c r="B22" s="1" t="s">
        <v>353</v>
      </c>
    </row>
    <row r="23" spans="2:2" ht="16.5" x14ac:dyDescent="0.5">
      <c r="B23" s="1" t="s">
        <v>354</v>
      </c>
    </row>
    <row r="24" spans="2:2" ht="16.5" x14ac:dyDescent="0.5">
      <c r="B24" s="1" t="s">
        <v>355</v>
      </c>
    </row>
    <row r="25" spans="2:2" ht="16.5" x14ac:dyDescent="0.5">
      <c r="B25" s="1" t="s">
        <v>356</v>
      </c>
    </row>
    <row r="26" spans="2:2" ht="16.5" x14ac:dyDescent="0.5">
      <c r="B26" s="1" t="s">
        <v>357</v>
      </c>
    </row>
    <row r="27" spans="2:2" ht="16.5" x14ac:dyDescent="0.5">
      <c r="B27" s="1" t="s">
        <v>358</v>
      </c>
    </row>
    <row r="28" spans="2:2" ht="16.5" x14ac:dyDescent="0.5">
      <c r="B28" s="1" t="s">
        <v>359</v>
      </c>
    </row>
    <row r="29" spans="2:2" ht="16.5" x14ac:dyDescent="0.5">
      <c r="B29" s="1" t="s">
        <v>58</v>
      </c>
    </row>
    <row r="30" spans="2:2" ht="16.5" x14ac:dyDescent="0.5">
      <c r="B30" s="1" t="s">
        <v>360</v>
      </c>
    </row>
    <row r="31" spans="2:2" ht="16.5" x14ac:dyDescent="0.5">
      <c r="B31" s="1" t="s">
        <v>361</v>
      </c>
    </row>
    <row r="32" spans="2:2" ht="16.5" x14ac:dyDescent="0.5">
      <c r="B32" s="1" t="s">
        <v>362</v>
      </c>
    </row>
    <row r="33" spans="2:2" ht="16.5" x14ac:dyDescent="0.5">
      <c r="B33" s="1" t="s">
        <v>363</v>
      </c>
    </row>
    <row r="34" spans="2:2" ht="16.5" x14ac:dyDescent="0.5">
      <c r="B34" s="1" t="s">
        <v>364</v>
      </c>
    </row>
    <row r="35" spans="2:2" ht="16.5" x14ac:dyDescent="0.5">
      <c r="B35" s="1" t="s">
        <v>365</v>
      </c>
    </row>
    <row r="36" spans="2:2" ht="16.5" x14ac:dyDescent="0.5">
      <c r="B36" s="1" t="s">
        <v>366</v>
      </c>
    </row>
    <row r="37" spans="2:2" ht="16.5" x14ac:dyDescent="0.5">
      <c r="B37" s="1" t="s">
        <v>367</v>
      </c>
    </row>
    <row r="38" spans="2:2" ht="16.5" x14ac:dyDescent="0.5">
      <c r="B38" s="1" t="s">
        <v>368</v>
      </c>
    </row>
    <row r="39" spans="2:2" ht="16.5" x14ac:dyDescent="0.5">
      <c r="B39" s="1" t="s">
        <v>369</v>
      </c>
    </row>
    <row r="40" spans="2:2" ht="16.5" x14ac:dyDescent="0.5">
      <c r="B40" s="1" t="s">
        <v>370</v>
      </c>
    </row>
    <row r="41" spans="2:2" ht="16.5" x14ac:dyDescent="0.5">
      <c r="B41" s="1" t="s">
        <v>371</v>
      </c>
    </row>
    <row r="42" spans="2:2" ht="16.5" x14ac:dyDescent="0.5">
      <c r="B42" s="1" t="s">
        <v>372</v>
      </c>
    </row>
    <row r="43" spans="2:2" ht="16.5" x14ac:dyDescent="0.5">
      <c r="B43" s="1" t="s">
        <v>53</v>
      </c>
    </row>
    <row r="44" spans="2:2" ht="16.5" x14ac:dyDescent="0.5">
      <c r="B44" s="1" t="s">
        <v>373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95D89-8C61-400E-A937-B3D914084581}">
  <dimension ref="A1:BC108"/>
  <sheetViews>
    <sheetView topLeftCell="U12" zoomScale="145" zoomScaleNormal="145" workbookViewId="0">
      <selection activeCell="AE41" sqref="AE41"/>
    </sheetView>
  </sheetViews>
  <sheetFormatPr baseColWidth="10" defaultColWidth="9.1796875" defaultRowHeight="16.5" x14ac:dyDescent="0.5"/>
  <cols>
    <col min="1" max="1" width="20.453125" style="12" customWidth="1"/>
    <col min="2" max="2" width="14.453125" style="12" customWidth="1"/>
    <col min="3" max="3" width="22.26953125" style="12" customWidth="1"/>
    <col min="4" max="4" width="21.54296875" style="12" customWidth="1"/>
    <col min="5" max="5" width="20.7265625" style="12" customWidth="1"/>
    <col min="6" max="6" width="16.7265625" style="12" customWidth="1"/>
    <col min="7" max="7" width="21.7265625" style="12" customWidth="1"/>
    <col min="8" max="8" width="26.26953125" style="12" customWidth="1"/>
    <col min="9" max="9" width="25.26953125" style="12" customWidth="1"/>
    <col min="10" max="10" width="24.453125" style="12" customWidth="1"/>
    <col min="11" max="11" width="15.26953125" style="12" customWidth="1"/>
    <col min="12" max="17" width="17.7265625" style="12" customWidth="1"/>
    <col min="18" max="18" width="22.54296875" style="12" customWidth="1"/>
    <col min="19" max="19" width="15.54296875" style="12" customWidth="1"/>
    <col min="20" max="20" width="14.81640625" style="12" customWidth="1"/>
    <col min="21" max="25" width="13.26953125" style="12" customWidth="1"/>
    <col min="26" max="26" width="16.54296875" style="12" customWidth="1"/>
    <col min="27" max="27" width="13.26953125" style="12" customWidth="1"/>
    <col min="28" max="28" width="16" style="12" customWidth="1"/>
    <col min="29" max="29" width="19.54296875" style="12" customWidth="1"/>
    <col min="30" max="30" width="21.7265625" style="12" bestFit="1" customWidth="1"/>
    <col min="31" max="31" width="13.26953125" style="12" customWidth="1"/>
    <col min="32" max="32" width="13.81640625" style="12" customWidth="1"/>
    <col min="33" max="33" width="30.7265625" style="12" customWidth="1"/>
    <col min="34" max="36" width="13.26953125" style="12" customWidth="1"/>
    <col min="37" max="37" width="14.54296875" style="12" customWidth="1"/>
    <col min="38" max="43" width="16.7265625" style="12" customWidth="1"/>
    <col min="44" max="45" width="13.26953125" style="12" customWidth="1"/>
    <col min="46" max="46" width="23.7265625" style="12" customWidth="1"/>
    <col min="47" max="47" width="22.54296875" style="12" customWidth="1"/>
    <col min="48" max="48" width="24.26953125" style="12" customWidth="1"/>
    <col min="49" max="49" width="27.7265625" style="12" customWidth="1"/>
    <col min="50" max="50" width="24.7265625" style="12" customWidth="1"/>
    <col min="51" max="51" width="22.54296875" style="12" customWidth="1"/>
    <col min="52" max="55" width="13.26953125" style="12" customWidth="1"/>
    <col min="56" max="16384" width="9.1796875" style="12"/>
  </cols>
  <sheetData>
    <row r="1" spans="1:55" ht="17" thickBot="1" x14ac:dyDescent="0.55000000000000004">
      <c r="A1" s="1"/>
      <c r="B1" s="1"/>
      <c r="C1" s="1"/>
      <c r="D1" s="1"/>
      <c r="E1" s="1"/>
      <c r="F1" s="1"/>
      <c r="G1" s="1"/>
      <c r="H1" s="1"/>
      <c r="I1" s="1"/>
      <c r="J1" s="1"/>
      <c r="K1" s="1"/>
      <c r="L1" s="1"/>
      <c r="M1" s="1"/>
      <c r="N1" s="1"/>
      <c r="O1" s="1"/>
      <c r="P1" s="1"/>
      <c r="Q1" s="1"/>
      <c r="R1" s="1"/>
      <c r="S1" s="181" t="s">
        <v>374</v>
      </c>
      <c r="T1" s="181"/>
      <c r="U1" s="181"/>
      <c r="V1" s="181"/>
      <c r="W1" s="181"/>
      <c r="X1" s="181"/>
      <c r="Y1" s="181"/>
      <c r="Z1" s="181"/>
      <c r="AA1" s="181"/>
      <c r="AB1" s="181"/>
      <c r="AC1" s="181"/>
      <c r="AD1" s="181"/>
      <c r="AE1" s="181"/>
      <c r="AF1" s="181"/>
      <c r="AG1" s="181"/>
      <c r="AH1" s="13"/>
      <c r="AI1" s="13"/>
      <c r="AJ1" s="13"/>
      <c r="AK1" s="1"/>
      <c r="AL1" s="181" t="s">
        <v>375</v>
      </c>
      <c r="AM1" s="181"/>
      <c r="AN1" s="181"/>
      <c r="AO1" s="181"/>
      <c r="AP1" s="181"/>
      <c r="AQ1" s="181"/>
      <c r="AR1" s="13"/>
      <c r="AS1" s="13"/>
      <c r="AT1" s="181" t="s">
        <v>376</v>
      </c>
      <c r="AU1" s="181"/>
      <c r="AV1" s="181"/>
      <c r="AW1" s="181"/>
      <c r="AX1" s="181"/>
      <c r="AY1" s="181"/>
      <c r="AZ1" s="13"/>
      <c r="BA1" s="1"/>
      <c r="BB1" s="1"/>
      <c r="BC1" s="13"/>
    </row>
    <row r="2" spans="1:55" x14ac:dyDescent="0.5">
      <c r="A2" s="1"/>
      <c r="B2" s="1"/>
      <c r="C2" s="1"/>
      <c r="D2" s="1"/>
      <c r="E2" s="1"/>
      <c r="F2" s="1"/>
      <c r="G2" s="1"/>
      <c r="H2" s="1"/>
      <c r="I2" s="1"/>
      <c r="J2" s="1"/>
      <c r="K2" s="1"/>
      <c r="L2" s="181" t="s">
        <v>377</v>
      </c>
      <c r="M2" s="181"/>
      <c r="N2" s="181"/>
      <c r="O2" s="181"/>
      <c r="P2" s="181"/>
      <c r="Q2" s="181"/>
      <c r="R2" s="1"/>
      <c r="S2" s="182" t="s">
        <v>378</v>
      </c>
      <c r="T2" s="183"/>
      <c r="U2" s="183"/>
      <c r="V2" s="183"/>
      <c r="W2" s="183"/>
      <c r="X2" s="184"/>
      <c r="Y2" s="185" t="s">
        <v>379</v>
      </c>
      <c r="Z2" s="186"/>
      <c r="AA2" s="186"/>
      <c r="AB2" s="187"/>
      <c r="AC2" s="185" t="s">
        <v>380</v>
      </c>
      <c r="AD2" s="186"/>
      <c r="AE2" s="186"/>
      <c r="AF2" s="186"/>
      <c r="AG2" s="188"/>
      <c r="AH2" s="13"/>
      <c r="AI2" s="13"/>
      <c r="AJ2" s="13"/>
      <c r="AK2" s="1"/>
      <c r="AL2" s="181"/>
      <c r="AM2" s="181"/>
      <c r="AN2" s="181"/>
      <c r="AO2" s="181"/>
      <c r="AP2" s="181"/>
      <c r="AQ2" s="181"/>
      <c r="AR2" s="13"/>
      <c r="AS2" s="13"/>
      <c r="AT2" s="13"/>
      <c r="AU2" s="13"/>
      <c r="AV2" s="13"/>
      <c r="AW2" s="13"/>
      <c r="AX2" s="13"/>
      <c r="AY2" s="13"/>
      <c r="AZ2" s="13"/>
      <c r="BA2" s="1"/>
      <c r="BB2" s="1"/>
      <c r="BC2" s="13"/>
    </row>
    <row r="3" spans="1:55" x14ac:dyDescent="0.5">
      <c r="A3" s="1" t="s">
        <v>381</v>
      </c>
      <c r="B3" s="1"/>
      <c r="C3" s="1" t="s">
        <v>82</v>
      </c>
      <c r="D3" s="1" t="s">
        <v>382</v>
      </c>
      <c r="E3" s="1" t="s">
        <v>383</v>
      </c>
      <c r="F3" s="1"/>
      <c r="G3" s="1" t="s">
        <v>100</v>
      </c>
      <c r="H3" s="1" t="s">
        <v>384</v>
      </c>
      <c r="I3" s="1" t="s">
        <v>385</v>
      </c>
      <c r="J3" s="1"/>
      <c r="K3" s="1"/>
      <c r="L3" s="1" t="s">
        <v>386</v>
      </c>
      <c r="M3" s="1" t="s">
        <v>101</v>
      </c>
      <c r="N3" s="1" t="s">
        <v>387</v>
      </c>
      <c r="O3" s="1" t="s">
        <v>388</v>
      </c>
      <c r="P3" s="1" t="s">
        <v>389</v>
      </c>
      <c r="Q3" s="1" t="s">
        <v>390</v>
      </c>
      <c r="R3" s="1"/>
      <c r="S3" s="63" t="s">
        <v>391</v>
      </c>
      <c r="T3" s="1" t="s">
        <v>106</v>
      </c>
      <c r="U3" s="1" t="s">
        <v>392</v>
      </c>
      <c r="V3" s="1" t="s">
        <v>84</v>
      </c>
      <c r="W3" s="1" t="s">
        <v>393</v>
      </c>
      <c r="X3" s="1" t="s">
        <v>394</v>
      </c>
      <c r="Y3" s="63" t="s">
        <v>395</v>
      </c>
      <c r="Z3" s="1" t="s">
        <v>109</v>
      </c>
      <c r="AA3" s="1" t="s">
        <v>87</v>
      </c>
      <c r="AB3" s="1" t="s">
        <v>396</v>
      </c>
      <c r="AC3" s="63" t="s">
        <v>397</v>
      </c>
      <c r="AD3" s="1" t="s">
        <v>398</v>
      </c>
      <c r="AE3" s="1" t="s">
        <v>91</v>
      </c>
      <c r="AF3" s="1" t="s">
        <v>399</v>
      </c>
      <c r="AG3" s="64" t="s">
        <v>400</v>
      </c>
      <c r="AH3" s="1"/>
      <c r="AI3" s="1"/>
      <c r="AJ3" s="1"/>
      <c r="AK3" s="1"/>
      <c r="AL3" s="154" t="s">
        <v>401</v>
      </c>
      <c r="AM3" s="154"/>
      <c r="AN3" s="154"/>
      <c r="AO3" s="154" t="s">
        <v>402</v>
      </c>
      <c r="AP3" s="154"/>
      <c r="AQ3" s="154"/>
      <c r="AR3" s="14"/>
      <c r="AS3" s="14"/>
      <c r="AT3" s="14"/>
      <c r="AU3" s="14"/>
      <c r="AV3" s="14"/>
      <c r="AW3" s="14"/>
      <c r="AX3" s="14"/>
      <c r="AY3" s="14"/>
      <c r="AZ3" s="14"/>
      <c r="BA3" s="1"/>
      <c r="BB3" s="1"/>
      <c r="BC3" s="14"/>
    </row>
    <row r="4" spans="1:55" x14ac:dyDescent="0.5">
      <c r="A4" s="1" t="s">
        <v>99</v>
      </c>
      <c r="B4" s="1"/>
      <c r="C4" s="1" t="s">
        <v>83</v>
      </c>
      <c r="D4" s="1" t="s">
        <v>403</v>
      </c>
      <c r="E4" s="1" t="s">
        <v>404</v>
      </c>
      <c r="F4" s="1"/>
      <c r="G4" s="1" t="s">
        <v>386</v>
      </c>
      <c r="H4" s="1" t="s">
        <v>386</v>
      </c>
      <c r="I4" s="1" t="s">
        <v>386</v>
      </c>
      <c r="J4" s="1"/>
      <c r="K4" s="1"/>
      <c r="L4" s="1" t="s">
        <v>405</v>
      </c>
      <c r="M4" s="1" t="s">
        <v>341</v>
      </c>
      <c r="N4" s="1" t="s">
        <v>95</v>
      </c>
      <c r="O4" s="1" t="s">
        <v>406</v>
      </c>
      <c r="P4" s="1" t="s">
        <v>407</v>
      </c>
      <c r="Q4" s="1" t="s">
        <v>408</v>
      </c>
      <c r="R4" s="1"/>
      <c r="S4" s="63" t="s">
        <v>405</v>
      </c>
      <c r="T4" s="1" t="s">
        <v>341</v>
      </c>
      <c r="U4" s="1" t="s">
        <v>95</v>
      </c>
      <c r="V4" s="1" t="s">
        <v>406</v>
      </c>
      <c r="W4" s="1" t="s">
        <v>407</v>
      </c>
      <c r="X4" s="1" t="s">
        <v>408</v>
      </c>
      <c r="Y4" s="63" t="s">
        <v>409</v>
      </c>
      <c r="Z4" s="1" t="s">
        <v>410</v>
      </c>
      <c r="AA4" s="1" t="s">
        <v>411</v>
      </c>
      <c r="AB4" s="1" t="s">
        <v>412</v>
      </c>
      <c r="AC4" s="63" t="s">
        <v>413</v>
      </c>
      <c r="AD4" s="1" t="s">
        <v>409</v>
      </c>
      <c r="AE4" s="1" t="s">
        <v>413</v>
      </c>
      <c r="AF4" s="1" t="s">
        <v>414</v>
      </c>
      <c r="AG4" s="64" t="s">
        <v>415</v>
      </c>
      <c r="AH4" s="1"/>
      <c r="AI4" s="1"/>
      <c r="AJ4" s="1"/>
      <c r="AK4" s="1"/>
      <c r="AL4" s="15" t="s">
        <v>416</v>
      </c>
      <c r="AM4" s="15" t="s">
        <v>417</v>
      </c>
      <c r="AN4" s="15" t="s">
        <v>418</v>
      </c>
      <c r="AO4" s="15" t="s">
        <v>419</v>
      </c>
      <c r="AP4" s="16" t="s">
        <v>420</v>
      </c>
      <c r="AQ4" s="15" t="s">
        <v>421</v>
      </c>
      <c r="AR4" s="14"/>
      <c r="AS4" s="14"/>
      <c r="AT4" s="1" t="s">
        <v>422</v>
      </c>
      <c r="AU4" s="1" t="s">
        <v>423</v>
      </c>
      <c r="AV4" s="1" t="s">
        <v>424</v>
      </c>
      <c r="AW4" s="1" t="s">
        <v>425</v>
      </c>
      <c r="AX4" s="1" t="s">
        <v>426</v>
      </c>
      <c r="AY4" s="1" t="s">
        <v>427</v>
      </c>
      <c r="AZ4" s="14"/>
      <c r="BA4" s="1"/>
      <c r="BB4" s="1"/>
      <c r="BC4" s="14"/>
    </row>
    <row r="5" spans="1:55" x14ac:dyDescent="0.5">
      <c r="A5" s="1" t="s">
        <v>82</v>
      </c>
      <c r="B5" s="1"/>
      <c r="C5" s="1" t="s">
        <v>86</v>
      </c>
      <c r="D5" s="1" t="s">
        <v>428</v>
      </c>
      <c r="E5" s="1" t="s">
        <v>429</v>
      </c>
      <c r="F5" s="1"/>
      <c r="G5" s="1" t="s">
        <v>101</v>
      </c>
      <c r="H5" s="1" t="s">
        <v>101</v>
      </c>
      <c r="I5" s="1" t="s">
        <v>101</v>
      </c>
      <c r="J5" s="1"/>
      <c r="K5" s="1"/>
      <c r="L5" s="1" t="s">
        <v>430</v>
      </c>
      <c r="M5" s="1" t="s">
        <v>431</v>
      </c>
      <c r="N5" s="1" t="s">
        <v>432</v>
      </c>
      <c r="O5" s="1" t="s">
        <v>60</v>
      </c>
      <c r="P5" s="1" t="s">
        <v>338</v>
      </c>
      <c r="Q5" s="1" t="s">
        <v>433</v>
      </c>
      <c r="R5" s="1"/>
      <c r="S5" s="63" t="s">
        <v>430</v>
      </c>
      <c r="T5" s="1" t="s">
        <v>431</v>
      </c>
      <c r="U5" s="1" t="s">
        <v>432</v>
      </c>
      <c r="V5" s="1" t="s">
        <v>60</v>
      </c>
      <c r="W5" s="1" t="s">
        <v>338</v>
      </c>
      <c r="X5" s="1" t="s">
        <v>433</v>
      </c>
      <c r="Y5" s="63" t="s">
        <v>407</v>
      </c>
      <c r="Z5" s="1" t="s">
        <v>406</v>
      </c>
      <c r="AA5" s="1" t="s">
        <v>434</v>
      </c>
      <c r="AB5" s="1" t="s">
        <v>435</v>
      </c>
      <c r="AC5" s="63" t="s">
        <v>436</v>
      </c>
      <c r="AD5" s="1" t="s">
        <v>437</v>
      </c>
      <c r="AE5" s="65" t="s">
        <v>438</v>
      </c>
      <c r="AF5" s="1" t="s">
        <v>439</v>
      </c>
      <c r="AG5" s="64" t="s">
        <v>440</v>
      </c>
      <c r="AH5" s="1"/>
      <c r="AI5" s="1"/>
      <c r="AJ5" s="1"/>
      <c r="AK5" s="1"/>
      <c r="AL5" s="17" t="s">
        <v>441</v>
      </c>
      <c r="AM5" s="17" t="s">
        <v>442</v>
      </c>
      <c r="AN5" s="17" t="s">
        <v>434</v>
      </c>
      <c r="AO5" s="17" t="s">
        <v>443</v>
      </c>
      <c r="AP5" s="17" t="s">
        <v>407</v>
      </c>
      <c r="AQ5" s="17" t="s">
        <v>347</v>
      </c>
      <c r="AR5" s="17"/>
      <c r="AS5" s="17"/>
      <c r="AT5" s="18" t="s">
        <v>441</v>
      </c>
      <c r="AU5" s="19" t="s">
        <v>341</v>
      </c>
      <c r="AV5" s="18" t="s">
        <v>443</v>
      </c>
      <c r="AW5" s="18" t="s">
        <v>434</v>
      </c>
      <c r="AX5" s="19" t="s">
        <v>413</v>
      </c>
      <c r="AY5" s="19" t="s">
        <v>413</v>
      </c>
      <c r="AZ5" s="17"/>
      <c r="BA5" s="1"/>
      <c r="BB5" s="1"/>
      <c r="BC5" s="17"/>
    </row>
    <row r="6" spans="1:55" x14ac:dyDescent="0.5">
      <c r="A6" s="1" t="s">
        <v>382</v>
      </c>
      <c r="B6" s="1"/>
      <c r="C6" s="1" t="s">
        <v>90</v>
      </c>
      <c r="D6" s="1" t="s">
        <v>444</v>
      </c>
      <c r="E6" s="1" t="s">
        <v>445</v>
      </c>
      <c r="F6" s="1"/>
      <c r="G6" s="1" t="s">
        <v>387</v>
      </c>
      <c r="H6" s="1" t="s">
        <v>387</v>
      </c>
      <c r="I6" s="1" t="s">
        <v>387</v>
      </c>
      <c r="J6" s="1"/>
      <c r="K6" s="1"/>
      <c r="L6" s="1" t="s">
        <v>446</v>
      </c>
      <c r="M6" s="1" t="s">
        <v>447</v>
      </c>
      <c r="N6" s="1" t="s">
        <v>448</v>
      </c>
      <c r="O6" s="1" t="s">
        <v>449</v>
      </c>
      <c r="P6" s="1" t="s">
        <v>412</v>
      </c>
      <c r="Q6" s="1" t="s">
        <v>450</v>
      </c>
      <c r="R6" s="1"/>
      <c r="S6" s="63" t="s">
        <v>446</v>
      </c>
      <c r="T6" s="1" t="s">
        <v>447</v>
      </c>
      <c r="U6" s="1" t="s">
        <v>448</v>
      </c>
      <c r="V6" s="1" t="s">
        <v>449</v>
      </c>
      <c r="W6" s="1" t="s">
        <v>412</v>
      </c>
      <c r="X6" s="1" t="s">
        <v>450</v>
      </c>
      <c r="Y6" s="63" t="s">
        <v>451</v>
      </c>
      <c r="Z6" s="1" t="s">
        <v>451</v>
      </c>
      <c r="AA6" s="1" t="s">
        <v>407</v>
      </c>
      <c r="AB6" s="1" t="s">
        <v>442</v>
      </c>
      <c r="AC6" s="63" t="s">
        <v>452</v>
      </c>
      <c r="AD6" s="1" t="s">
        <v>441</v>
      </c>
      <c r="AE6" s="1" t="s">
        <v>441</v>
      </c>
      <c r="AF6" s="1" t="s">
        <v>412</v>
      </c>
      <c r="AG6" s="64" t="s">
        <v>453</v>
      </c>
      <c r="AH6" s="1"/>
      <c r="AI6" s="1"/>
      <c r="AJ6" s="1"/>
      <c r="AK6" s="1"/>
      <c r="AL6" s="17" t="s">
        <v>446</v>
      </c>
      <c r="AM6" s="17" t="s">
        <v>454</v>
      </c>
      <c r="AN6" s="17" t="s">
        <v>443</v>
      </c>
      <c r="AO6" s="17" t="s">
        <v>406</v>
      </c>
      <c r="AP6" s="17" t="s">
        <v>455</v>
      </c>
      <c r="AQ6" s="17" t="s">
        <v>456</v>
      </c>
      <c r="AR6" s="17"/>
      <c r="AS6" s="17"/>
      <c r="AT6" s="20" t="s">
        <v>446</v>
      </c>
      <c r="AU6" s="21" t="s">
        <v>431</v>
      </c>
      <c r="AV6" s="19" t="s">
        <v>406</v>
      </c>
      <c r="AW6" s="20" t="s">
        <v>443</v>
      </c>
      <c r="AX6" s="21" t="s">
        <v>414</v>
      </c>
      <c r="AY6" s="19" t="s">
        <v>438</v>
      </c>
      <c r="AZ6" s="17"/>
      <c r="BA6" s="1"/>
      <c r="BB6" s="1"/>
      <c r="BC6" s="17"/>
    </row>
    <row r="7" spans="1:55" x14ac:dyDescent="0.5">
      <c r="A7" s="1" t="s">
        <v>383</v>
      </c>
      <c r="B7" s="1"/>
      <c r="C7" s="1"/>
      <c r="D7" s="1" t="s">
        <v>457</v>
      </c>
      <c r="E7" s="1"/>
      <c r="F7" s="1"/>
      <c r="G7" s="1" t="s">
        <v>388</v>
      </c>
      <c r="H7" s="1" t="s">
        <v>388</v>
      </c>
      <c r="I7" s="1" t="s">
        <v>388</v>
      </c>
      <c r="J7" s="1"/>
      <c r="K7" s="1"/>
      <c r="L7" s="1" t="s">
        <v>458</v>
      </c>
      <c r="M7" s="1" t="s">
        <v>342</v>
      </c>
      <c r="N7" s="1" t="s">
        <v>459</v>
      </c>
      <c r="O7" s="1" t="s">
        <v>460</v>
      </c>
      <c r="P7" s="1" t="s">
        <v>412</v>
      </c>
      <c r="Q7" s="1" t="s">
        <v>461</v>
      </c>
      <c r="R7" s="1"/>
      <c r="S7" s="63" t="s">
        <v>458</v>
      </c>
      <c r="T7" s="1" t="s">
        <v>342</v>
      </c>
      <c r="U7" s="1" t="s">
        <v>459</v>
      </c>
      <c r="V7" s="1" t="s">
        <v>460</v>
      </c>
      <c r="W7" s="1" t="s">
        <v>412</v>
      </c>
      <c r="X7" s="1" t="s">
        <v>461</v>
      </c>
      <c r="Y7" s="63" t="s">
        <v>461</v>
      </c>
      <c r="Z7" s="1" t="s">
        <v>462</v>
      </c>
      <c r="AA7" s="1" t="s">
        <v>451</v>
      </c>
      <c r="AB7" s="1" t="s">
        <v>463</v>
      </c>
      <c r="AC7" s="63" t="s">
        <v>95</v>
      </c>
      <c r="AD7" s="1" t="s">
        <v>464</v>
      </c>
      <c r="AE7" s="1" t="s">
        <v>465</v>
      </c>
      <c r="AF7" s="1" t="s">
        <v>466</v>
      </c>
      <c r="AG7" s="64" t="s">
        <v>467</v>
      </c>
      <c r="AH7" s="1"/>
      <c r="AI7" s="1"/>
      <c r="AJ7" s="1"/>
      <c r="AK7" s="1"/>
      <c r="AL7" s="17" t="s">
        <v>468</v>
      </c>
      <c r="AM7" s="17" t="s">
        <v>469</v>
      </c>
      <c r="AN7" s="17" t="s">
        <v>449</v>
      </c>
      <c r="AO7" s="17" t="s">
        <v>470</v>
      </c>
      <c r="AP7" s="17" t="s">
        <v>453</v>
      </c>
      <c r="AQ7" s="17" t="s">
        <v>471</v>
      </c>
      <c r="AR7" s="17"/>
      <c r="AS7" s="17"/>
      <c r="AT7" s="18" t="s">
        <v>468</v>
      </c>
      <c r="AU7" s="1" t="s">
        <v>442</v>
      </c>
      <c r="AV7" s="21" t="s">
        <v>60</v>
      </c>
      <c r="AW7" s="19" t="s">
        <v>95</v>
      </c>
      <c r="AX7" s="19" t="s">
        <v>438</v>
      </c>
      <c r="AY7" s="19" t="s">
        <v>440</v>
      </c>
      <c r="AZ7" s="17"/>
      <c r="BA7" s="1"/>
      <c r="BB7" s="1"/>
      <c r="BC7" s="17"/>
    </row>
    <row r="8" spans="1:55" x14ac:dyDescent="0.5">
      <c r="A8" s="1"/>
      <c r="B8" s="1"/>
      <c r="C8" s="1"/>
      <c r="D8" s="1"/>
      <c r="E8" s="1"/>
      <c r="F8" s="1"/>
      <c r="G8" s="1" t="s">
        <v>389</v>
      </c>
      <c r="H8" s="1" t="s">
        <v>389</v>
      </c>
      <c r="I8" s="1" t="s">
        <v>389</v>
      </c>
      <c r="J8" s="1"/>
      <c r="K8" s="1"/>
      <c r="L8" s="1" t="s">
        <v>472</v>
      </c>
      <c r="M8" s="1" t="s">
        <v>473</v>
      </c>
      <c r="N8" s="1" t="s">
        <v>343</v>
      </c>
      <c r="O8" s="1" t="s">
        <v>454</v>
      </c>
      <c r="P8" s="1" t="s">
        <v>373</v>
      </c>
      <c r="Q8" s="1" t="s">
        <v>474</v>
      </c>
      <c r="R8" s="1"/>
      <c r="S8" s="63" t="s">
        <v>472</v>
      </c>
      <c r="T8" s="1" t="s">
        <v>473</v>
      </c>
      <c r="U8" s="1" t="s">
        <v>343</v>
      </c>
      <c r="V8" s="1" t="s">
        <v>454</v>
      </c>
      <c r="W8" s="1" t="s">
        <v>373</v>
      </c>
      <c r="X8" s="1" t="s">
        <v>474</v>
      </c>
      <c r="Y8" s="63" t="s">
        <v>60</v>
      </c>
      <c r="Z8" s="1" t="s">
        <v>95</v>
      </c>
      <c r="AA8" s="1" t="s">
        <v>475</v>
      </c>
      <c r="AB8" s="1" t="s">
        <v>476</v>
      </c>
      <c r="AC8" s="63" t="s">
        <v>477</v>
      </c>
      <c r="AD8" s="65" t="s">
        <v>339</v>
      </c>
      <c r="AE8" s="1" t="s">
        <v>478</v>
      </c>
      <c r="AF8" s="1" t="s">
        <v>479</v>
      </c>
      <c r="AG8" s="64" t="s">
        <v>460</v>
      </c>
      <c r="AH8" s="1"/>
      <c r="AI8" s="1"/>
      <c r="AJ8" s="1"/>
      <c r="AK8" s="1"/>
      <c r="AL8" s="17" t="s">
        <v>472</v>
      </c>
      <c r="AM8" s="17" t="s">
        <v>480</v>
      </c>
      <c r="AN8" s="17" t="s">
        <v>460</v>
      </c>
      <c r="AO8" s="17" t="s">
        <v>481</v>
      </c>
      <c r="AP8" s="17" t="s">
        <v>482</v>
      </c>
      <c r="AQ8" s="17" t="s">
        <v>483</v>
      </c>
      <c r="AR8" s="17"/>
      <c r="AS8" s="17"/>
      <c r="AT8" s="20" t="s">
        <v>472</v>
      </c>
      <c r="AU8" s="19" t="s">
        <v>447</v>
      </c>
      <c r="AV8" s="19" t="s">
        <v>95</v>
      </c>
      <c r="AW8" s="18" t="s">
        <v>449</v>
      </c>
      <c r="AX8" s="21" t="s">
        <v>440</v>
      </c>
      <c r="AY8" s="19" t="s">
        <v>465</v>
      </c>
      <c r="AZ8" s="17"/>
      <c r="BA8" s="1"/>
      <c r="BB8" s="1"/>
      <c r="BC8" s="17"/>
    </row>
    <row r="9" spans="1:55" x14ac:dyDescent="0.5">
      <c r="A9" s="1"/>
      <c r="B9" s="1"/>
      <c r="C9" s="1"/>
      <c r="D9" s="1"/>
      <c r="E9" s="1"/>
      <c r="F9" s="1"/>
      <c r="G9" s="1" t="s">
        <v>390</v>
      </c>
      <c r="H9" s="1" t="s">
        <v>390</v>
      </c>
      <c r="I9" s="1" t="s">
        <v>390</v>
      </c>
      <c r="J9" s="1"/>
      <c r="K9" s="1"/>
      <c r="L9" s="1" t="s">
        <v>346</v>
      </c>
      <c r="M9" s="1" t="s">
        <v>484</v>
      </c>
      <c r="N9" s="1" t="s">
        <v>485</v>
      </c>
      <c r="O9" s="1" t="s">
        <v>479</v>
      </c>
      <c r="P9" s="1" t="s">
        <v>486</v>
      </c>
      <c r="Q9" s="1" t="s">
        <v>339</v>
      </c>
      <c r="R9" s="1"/>
      <c r="S9" s="63" t="s">
        <v>346</v>
      </c>
      <c r="T9" s="1" t="s">
        <v>484</v>
      </c>
      <c r="U9" s="65" t="s">
        <v>485</v>
      </c>
      <c r="V9" s="1" t="s">
        <v>479</v>
      </c>
      <c r="W9" s="1" t="s">
        <v>486</v>
      </c>
      <c r="X9" s="1" t="s">
        <v>339</v>
      </c>
      <c r="Y9" s="63" t="s">
        <v>95</v>
      </c>
      <c r="Z9" s="1" t="s">
        <v>412</v>
      </c>
      <c r="AA9" s="1" t="s">
        <v>487</v>
      </c>
      <c r="AB9" s="1" t="s">
        <v>459</v>
      </c>
      <c r="AC9" s="63" t="s">
        <v>477</v>
      </c>
      <c r="AD9" s="1" t="s">
        <v>488</v>
      </c>
      <c r="AE9" s="1" t="s">
        <v>489</v>
      </c>
      <c r="AF9" s="1" t="s">
        <v>490</v>
      </c>
      <c r="AG9" s="64" t="s">
        <v>491</v>
      </c>
      <c r="AH9" s="1"/>
      <c r="AI9" s="1"/>
      <c r="AJ9" s="1"/>
      <c r="AK9" s="1"/>
      <c r="AL9" s="17" t="s">
        <v>346</v>
      </c>
      <c r="AM9" s="17" t="s">
        <v>492</v>
      </c>
      <c r="AN9" s="17" t="s">
        <v>466</v>
      </c>
      <c r="AO9" s="17" t="s">
        <v>460</v>
      </c>
      <c r="AP9" s="17" t="s">
        <v>493</v>
      </c>
      <c r="AQ9" s="17" t="s">
        <v>494</v>
      </c>
      <c r="AR9" s="17"/>
      <c r="AS9" s="17"/>
      <c r="AT9" s="18" t="s">
        <v>346</v>
      </c>
      <c r="AU9" s="20" t="s">
        <v>454</v>
      </c>
      <c r="AV9" s="19" t="s">
        <v>470</v>
      </c>
      <c r="AW9" s="21" t="s">
        <v>432</v>
      </c>
      <c r="AX9" s="21" t="s">
        <v>441</v>
      </c>
      <c r="AY9" s="21" t="s">
        <v>478</v>
      </c>
      <c r="AZ9" s="17"/>
      <c r="BA9" s="1"/>
      <c r="BB9" s="1"/>
      <c r="BC9" s="17"/>
    </row>
    <row r="10" spans="1:55" x14ac:dyDescent="0.5">
      <c r="A10" s="1"/>
      <c r="B10" s="1"/>
      <c r="C10" s="1"/>
      <c r="D10" s="1"/>
      <c r="E10" s="1"/>
      <c r="F10" s="1"/>
      <c r="G10" s="1"/>
      <c r="H10" s="1"/>
      <c r="I10" s="1"/>
      <c r="J10" s="1"/>
      <c r="K10" s="1"/>
      <c r="L10" s="1" t="s">
        <v>495</v>
      </c>
      <c r="M10" s="1" t="s">
        <v>496</v>
      </c>
      <c r="N10" s="1" t="s">
        <v>480</v>
      </c>
      <c r="O10" s="1" t="s">
        <v>469</v>
      </c>
      <c r="P10" s="1" t="s">
        <v>449</v>
      </c>
      <c r="Q10" s="1" t="s">
        <v>340</v>
      </c>
      <c r="R10" s="1"/>
      <c r="S10" s="63" t="s">
        <v>495</v>
      </c>
      <c r="T10" s="1" t="s">
        <v>496</v>
      </c>
      <c r="U10" s="1" t="s">
        <v>480</v>
      </c>
      <c r="V10" s="1" t="s">
        <v>469</v>
      </c>
      <c r="W10" s="1" t="s">
        <v>449</v>
      </c>
      <c r="X10" s="1" t="s">
        <v>340</v>
      </c>
      <c r="Y10" s="63" t="s">
        <v>497</v>
      </c>
      <c r="Z10" s="1" t="s">
        <v>476</v>
      </c>
      <c r="AA10" s="1" t="s">
        <v>476</v>
      </c>
      <c r="AB10" s="1" t="s">
        <v>343</v>
      </c>
      <c r="AC10" s="63" t="s">
        <v>498</v>
      </c>
      <c r="AD10" s="1" t="s">
        <v>442</v>
      </c>
      <c r="AE10" s="1" t="s">
        <v>453</v>
      </c>
      <c r="AF10" s="1" t="s">
        <v>499</v>
      </c>
      <c r="AG10" s="64" t="s">
        <v>500</v>
      </c>
      <c r="AH10" s="1"/>
      <c r="AI10" s="1"/>
      <c r="AJ10" s="1"/>
      <c r="AK10" s="1"/>
      <c r="AL10" s="17" t="s">
        <v>495</v>
      </c>
      <c r="AM10" s="17" t="s">
        <v>501</v>
      </c>
      <c r="AN10" s="17" t="s">
        <v>502</v>
      </c>
      <c r="AO10" s="17" t="s">
        <v>503</v>
      </c>
      <c r="AP10" s="17" t="s">
        <v>448</v>
      </c>
      <c r="AQ10" s="17" t="s">
        <v>360</v>
      </c>
      <c r="AR10" s="17"/>
      <c r="AS10" s="17"/>
      <c r="AT10" s="20" t="s">
        <v>495</v>
      </c>
      <c r="AU10" s="21" t="s">
        <v>342</v>
      </c>
      <c r="AV10" s="21" t="s">
        <v>481</v>
      </c>
      <c r="AW10" s="20" t="s">
        <v>460</v>
      </c>
      <c r="AX10" s="21" t="s">
        <v>465</v>
      </c>
      <c r="AY10" s="19" t="s">
        <v>489</v>
      </c>
      <c r="AZ10" s="17"/>
      <c r="BA10" s="1"/>
      <c r="BB10" s="1"/>
      <c r="BC10" s="17"/>
    </row>
    <row r="11" spans="1:55" x14ac:dyDescent="0.5">
      <c r="A11" s="1"/>
      <c r="B11" s="1"/>
      <c r="C11" s="1"/>
      <c r="D11" s="1"/>
      <c r="E11" s="1"/>
      <c r="F11" s="1"/>
      <c r="G11" s="1" t="s">
        <v>403</v>
      </c>
      <c r="H11" s="1" t="s">
        <v>428</v>
      </c>
      <c r="I11" s="1" t="s">
        <v>504</v>
      </c>
      <c r="J11" s="1" t="s">
        <v>457</v>
      </c>
      <c r="K11" s="1"/>
      <c r="L11" s="1" t="s">
        <v>480</v>
      </c>
      <c r="M11" s="1" t="s">
        <v>505</v>
      </c>
      <c r="N11" s="1" t="s">
        <v>506</v>
      </c>
      <c r="O11" s="1" t="s">
        <v>484</v>
      </c>
      <c r="P11" s="1" t="s">
        <v>459</v>
      </c>
      <c r="Q11" s="1" t="s">
        <v>507</v>
      </c>
      <c r="R11" s="1"/>
      <c r="S11" s="63" t="s">
        <v>480</v>
      </c>
      <c r="T11" s="1" t="s">
        <v>505</v>
      </c>
      <c r="U11" s="1" t="s">
        <v>506</v>
      </c>
      <c r="V11" s="1" t="s">
        <v>484</v>
      </c>
      <c r="W11" s="1" t="s">
        <v>459</v>
      </c>
      <c r="X11" s="1" t="s">
        <v>507</v>
      </c>
      <c r="Y11" s="63" t="s">
        <v>412</v>
      </c>
      <c r="Z11" s="1" t="s">
        <v>343</v>
      </c>
      <c r="AA11" s="1" t="s">
        <v>508</v>
      </c>
      <c r="AB11" s="1" t="s">
        <v>509</v>
      </c>
      <c r="AC11" s="73" t="s">
        <v>467</v>
      </c>
      <c r="AD11" s="1" t="s">
        <v>491</v>
      </c>
      <c r="AE11" s="1" t="s">
        <v>477</v>
      </c>
      <c r="AF11" s="66" t="s">
        <v>346</v>
      </c>
      <c r="AG11" s="64" t="s">
        <v>510</v>
      </c>
      <c r="AH11" s="1"/>
      <c r="AI11" s="1"/>
      <c r="AJ11" s="1"/>
      <c r="AK11" s="1"/>
      <c r="AL11" s="17" t="s">
        <v>511</v>
      </c>
      <c r="AM11" s="17" t="s">
        <v>512</v>
      </c>
      <c r="AN11" s="17" t="s">
        <v>480</v>
      </c>
      <c r="AO11" s="17" t="s">
        <v>454</v>
      </c>
      <c r="AP11" s="17" t="s">
        <v>454</v>
      </c>
      <c r="AQ11" s="17" t="s">
        <v>513</v>
      </c>
      <c r="AR11" s="17"/>
      <c r="AS11" s="17"/>
      <c r="AT11" s="18" t="s">
        <v>511</v>
      </c>
      <c r="AU11" s="18" t="s">
        <v>469</v>
      </c>
      <c r="AV11" s="19" t="s">
        <v>449</v>
      </c>
      <c r="AW11" s="19" t="s">
        <v>448</v>
      </c>
      <c r="AX11" s="21" t="s">
        <v>478</v>
      </c>
      <c r="AY11" s="19" t="s">
        <v>439</v>
      </c>
      <c r="AZ11" s="17"/>
      <c r="BA11" s="1"/>
      <c r="BB11" s="1"/>
      <c r="BC11" s="17"/>
    </row>
    <row r="12" spans="1:55" x14ac:dyDescent="0.5">
      <c r="A12" s="1"/>
      <c r="B12" s="1"/>
      <c r="C12" s="1"/>
      <c r="D12" s="1"/>
      <c r="E12" s="1"/>
      <c r="F12" s="1"/>
      <c r="G12" s="1" t="s">
        <v>416</v>
      </c>
      <c r="H12" s="1" t="s">
        <v>416</v>
      </c>
      <c r="I12" s="1" t="s">
        <v>416</v>
      </c>
      <c r="J12" s="1" t="s">
        <v>416</v>
      </c>
      <c r="K12" s="1"/>
      <c r="L12" s="1" t="s">
        <v>514</v>
      </c>
      <c r="M12" s="1" t="s">
        <v>514</v>
      </c>
      <c r="N12" s="1" t="s">
        <v>515</v>
      </c>
      <c r="O12" s="1" t="s">
        <v>490</v>
      </c>
      <c r="P12" s="1" t="s">
        <v>516</v>
      </c>
      <c r="Q12" s="1" t="s">
        <v>449</v>
      </c>
      <c r="R12" s="1"/>
      <c r="S12" s="63" t="s">
        <v>514</v>
      </c>
      <c r="T12" s="1" t="s">
        <v>514</v>
      </c>
      <c r="U12" s="1" t="s">
        <v>515</v>
      </c>
      <c r="V12" s="1" t="s">
        <v>490</v>
      </c>
      <c r="W12" s="1" t="s">
        <v>516</v>
      </c>
      <c r="X12" s="1" t="s">
        <v>449</v>
      </c>
      <c r="Y12" s="63" t="s">
        <v>339</v>
      </c>
      <c r="Z12" s="1" t="s">
        <v>517</v>
      </c>
      <c r="AA12" s="1" t="s">
        <v>518</v>
      </c>
      <c r="AB12" s="1" t="s">
        <v>519</v>
      </c>
      <c r="AC12" s="63" t="s">
        <v>442</v>
      </c>
      <c r="AD12" s="1" t="s">
        <v>342</v>
      </c>
      <c r="AE12" s="1" t="s">
        <v>464</v>
      </c>
      <c r="AF12" s="66" t="s">
        <v>520</v>
      </c>
      <c r="AG12" s="64" t="s">
        <v>343</v>
      </c>
      <c r="AH12" s="1"/>
      <c r="AI12" s="1"/>
      <c r="AJ12" s="1"/>
      <c r="AK12" s="1"/>
      <c r="AL12" s="17" t="s">
        <v>521</v>
      </c>
      <c r="AM12" s="17" t="s">
        <v>522</v>
      </c>
      <c r="AN12" s="17" t="s">
        <v>347</v>
      </c>
      <c r="AO12" s="17" t="s">
        <v>523</v>
      </c>
      <c r="AP12" s="17" t="s">
        <v>524</v>
      </c>
      <c r="AQ12" s="17" t="s">
        <v>525</v>
      </c>
      <c r="AR12" s="17"/>
      <c r="AS12" s="17"/>
      <c r="AT12" s="20" t="s">
        <v>521</v>
      </c>
      <c r="AU12" s="19" t="s">
        <v>473</v>
      </c>
      <c r="AV12" s="21" t="s">
        <v>432</v>
      </c>
      <c r="AW12" s="21" t="s">
        <v>459</v>
      </c>
      <c r="AX12" s="19" t="s">
        <v>489</v>
      </c>
      <c r="AY12" s="21" t="s">
        <v>477</v>
      </c>
      <c r="AZ12" s="17"/>
      <c r="BA12" s="1"/>
      <c r="BB12" s="1"/>
      <c r="BC12" s="17"/>
    </row>
    <row r="13" spans="1:55" x14ac:dyDescent="0.5">
      <c r="A13" s="1"/>
      <c r="B13" s="1"/>
      <c r="C13" s="1"/>
      <c r="D13" s="1"/>
      <c r="E13" s="1"/>
      <c r="F13" s="1"/>
      <c r="G13" s="1" t="s">
        <v>417</v>
      </c>
      <c r="H13" s="1" t="s">
        <v>417</v>
      </c>
      <c r="I13" s="1" t="s">
        <v>417</v>
      </c>
      <c r="J13" s="1" t="s">
        <v>417</v>
      </c>
      <c r="K13" s="1"/>
      <c r="L13" s="1" t="s">
        <v>521</v>
      </c>
      <c r="M13" s="1" t="s">
        <v>520</v>
      </c>
      <c r="N13" s="1" t="s">
        <v>526</v>
      </c>
      <c r="O13" s="1" t="s">
        <v>505</v>
      </c>
      <c r="P13" s="1" t="s">
        <v>527</v>
      </c>
      <c r="Q13" s="1" t="s">
        <v>528</v>
      </c>
      <c r="R13" s="1"/>
      <c r="S13" s="63" t="s">
        <v>521</v>
      </c>
      <c r="T13" s="1" t="s">
        <v>520</v>
      </c>
      <c r="U13" s="1" t="s">
        <v>526</v>
      </c>
      <c r="V13" s="1" t="s">
        <v>505</v>
      </c>
      <c r="W13" s="1" t="s">
        <v>527</v>
      </c>
      <c r="X13" s="1" t="s">
        <v>528</v>
      </c>
      <c r="Y13" s="63" t="s">
        <v>529</v>
      </c>
      <c r="Z13" s="1" t="s">
        <v>515</v>
      </c>
      <c r="AA13" s="1" t="s">
        <v>530</v>
      </c>
      <c r="AB13" s="1" t="s">
        <v>531</v>
      </c>
      <c r="AC13" s="63" t="s">
        <v>343</v>
      </c>
      <c r="AD13" s="1" t="s">
        <v>344</v>
      </c>
      <c r="AE13" s="1" t="s">
        <v>532</v>
      </c>
      <c r="AF13" s="66" t="s">
        <v>506</v>
      </c>
      <c r="AG13" s="64" t="s">
        <v>533</v>
      </c>
      <c r="AH13" s="1"/>
      <c r="AI13" s="1"/>
      <c r="AJ13" s="1"/>
      <c r="AK13" s="1"/>
      <c r="AL13" s="17" t="s">
        <v>534</v>
      </c>
      <c r="AM13" s="17" t="s">
        <v>535</v>
      </c>
      <c r="AN13" s="17" t="s">
        <v>536</v>
      </c>
      <c r="AO13" s="17" t="s">
        <v>537</v>
      </c>
      <c r="AP13" s="17" t="s">
        <v>459</v>
      </c>
      <c r="AQ13" s="17" t="s">
        <v>538</v>
      </c>
      <c r="AR13" s="17"/>
      <c r="AS13" s="17"/>
      <c r="AT13" s="18" t="s">
        <v>534</v>
      </c>
      <c r="AU13" s="21" t="s">
        <v>484</v>
      </c>
      <c r="AV13" s="21" t="s">
        <v>460</v>
      </c>
      <c r="AW13" s="19" t="s">
        <v>343</v>
      </c>
      <c r="AX13" s="21" t="s">
        <v>439</v>
      </c>
      <c r="AY13" s="19" t="s">
        <v>464</v>
      </c>
      <c r="AZ13" s="17"/>
      <c r="BA13" s="1"/>
      <c r="BB13" s="1"/>
      <c r="BC13" s="17"/>
    </row>
    <row r="14" spans="1:55" x14ac:dyDescent="0.5">
      <c r="A14" s="1"/>
      <c r="B14" s="1"/>
      <c r="C14" s="1"/>
      <c r="D14" s="1"/>
      <c r="E14" s="1"/>
      <c r="F14" s="1"/>
      <c r="G14" s="1" t="s">
        <v>418</v>
      </c>
      <c r="H14" s="1" t="s">
        <v>418</v>
      </c>
      <c r="I14" s="1" t="s">
        <v>418</v>
      </c>
      <c r="J14" s="1" t="s">
        <v>418</v>
      </c>
      <c r="K14" s="1"/>
      <c r="L14" s="1" t="s">
        <v>539</v>
      </c>
      <c r="M14" s="1" t="s">
        <v>515</v>
      </c>
      <c r="N14" s="1" t="s">
        <v>88</v>
      </c>
      <c r="O14" s="1" t="s">
        <v>540</v>
      </c>
      <c r="P14" s="1" t="s">
        <v>466</v>
      </c>
      <c r="Q14" s="1" t="s">
        <v>541</v>
      </c>
      <c r="R14" s="1"/>
      <c r="S14" s="63" t="s">
        <v>539</v>
      </c>
      <c r="T14" s="1" t="s">
        <v>515</v>
      </c>
      <c r="U14" s="76" t="s">
        <v>88</v>
      </c>
      <c r="V14" s="1" t="s">
        <v>540</v>
      </c>
      <c r="W14" s="1" t="s">
        <v>466</v>
      </c>
      <c r="X14" s="1" t="s">
        <v>541</v>
      </c>
      <c r="Y14" s="63" t="s">
        <v>493</v>
      </c>
      <c r="Z14" s="1" t="s">
        <v>542</v>
      </c>
      <c r="AA14" s="1" t="s">
        <v>543</v>
      </c>
      <c r="AB14" s="1" t="s">
        <v>542</v>
      </c>
      <c r="AC14" s="63" t="s">
        <v>530</v>
      </c>
      <c r="AD14" s="1" t="s">
        <v>544</v>
      </c>
      <c r="AE14" s="1" t="s">
        <v>545</v>
      </c>
      <c r="AF14" s="1" t="s">
        <v>546</v>
      </c>
      <c r="AG14" s="64" t="s">
        <v>547</v>
      </c>
      <c r="AH14" s="1"/>
      <c r="AI14" s="1"/>
      <c r="AJ14" s="1"/>
      <c r="AK14" s="1"/>
      <c r="AL14" s="17" t="s">
        <v>548</v>
      </c>
      <c r="AM14" s="17" t="s">
        <v>549</v>
      </c>
      <c r="AN14" s="17" t="s">
        <v>521</v>
      </c>
      <c r="AO14" s="17" t="s">
        <v>550</v>
      </c>
      <c r="AP14" s="17" t="s">
        <v>485</v>
      </c>
      <c r="AQ14" s="17" t="s">
        <v>551</v>
      </c>
      <c r="AR14" s="17"/>
      <c r="AS14" s="17"/>
      <c r="AT14" s="20" t="s">
        <v>548</v>
      </c>
      <c r="AU14" s="19" t="s">
        <v>496</v>
      </c>
      <c r="AV14" s="20" t="s">
        <v>503</v>
      </c>
      <c r="AW14" s="18" t="s">
        <v>466</v>
      </c>
      <c r="AX14" s="21" t="s">
        <v>453</v>
      </c>
      <c r="AY14" s="19" t="s">
        <v>532</v>
      </c>
      <c r="AZ14" s="17"/>
      <c r="BA14" s="1"/>
      <c r="BB14" s="1"/>
      <c r="BC14" s="17"/>
    </row>
    <row r="15" spans="1:55" x14ac:dyDescent="0.5">
      <c r="A15" s="1"/>
      <c r="B15" s="1"/>
      <c r="C15" s="1"/>
      <c r="D15" s="1"/>
      <c r="E15" s="1"/>
      <c r="F15" s="1"/>
      <c r="G15" s="1" t="s">
        <v>419</v>
      </c>
      <c r="H15" s="1" t="s">
        <v>419</v>
      </c>
      <c r="I15" s="1" t="s">
        <v>419</v>
      </c>
      <c r="J15" s="1" t="s">
        <v>419</v>
      </c>
      <c r="K15" s="1"/>
      <c r="L15" s="1" t="s">
        <v>534</v>
      </c>
      <c r="M15" s="1" t="s">
        <v>492</v>
      </c>
      <c r="N15" s="1" t="s">
        <v>536</v>
      </c>
      <c r="O15" s="1" t="s">
        <v>347</v>
      </c>
      <c r="P15" s="1" t="s">
        <v>485</v>
      </c>
      <c r="Q15" s="1" t="s">
        <v>442</v>
      </c>
      <c r="R15" s="1"/>
      <c r="S15" s="63" t="s">
        <v>534</v>
      </c>
      <c r="T15" s="1" t="s">
        <v>492</v>
      </c>
      <c r="U15" s="1" t="s">
        <v>536</v>
      </c>
      <c r="V15" s="1" t="s">
        <v>347</v>
      </c>
      <c r="W15" s="1" t="s">
        <v>485</v>
      </c>
      <c r="X15" s="1" t="s">
        <v>442</v>
      </c>
      <c r="Y15" s="63" t="s">
        <v>454</v>
      </c>
      <c r="Z15" s="72" t="s">
        <v>348</v>
      </c>
      <c r="AA15" s="1" t="s">
        <v>348</v>
      </c>
      <c r="AB15" s="66" t="s">
        <v>88</v>
      </c>
      <c r="AC15" s="63" t="s">
        <v>472</v>
      </c>
      <c r="AD15" s="1" t="s">
        <v>552</v>
      </c>
      <c r="AE15" s="1" t="s">
        <v>467</v>
      </c>
      <c r="AF15" s="1" t="s">
        <v>553</v>
      </c>
      <c r="AG15" s="77" t="s">
        <v>554</v>
      </c>
      <c r="AH15" s="1"/>
      <c r="AI15" s="1"/>
      <c r="AJ15" s="1"/>
      <c r="AK15" s="1"/>
      <c r="AL15" s="17" t="s">
        <v>555</v>
      </c>
      <c r="AM15" s="17" t="s">
        <v>556</v>
      </c>
      <c r="AN15" s="17" t="s">
        <v>112</v>
      </c>
      <c r="AO15" s="17" t="s">
        <v>557</v>
      </c>
      <c r="AP15" s="17" t="s">
        <v>558</v>
      </c>
      <c r="AQ15" s="17" t="s">
        <v>559</v>
      </c>
      <c r="AR15" s="17"/>
      <c r="AS15" s="17"/>
      <c r="AT15" s="18" t="s">
        <v>555</v>
      </c>
      <c r="AU15" s="21" t="s">
        <v>505</v>
      </c>
      <c r="AV15" s="19" t="s">
        <v>448</v>
      </c>
      <c r="AW15" s="21" t="s">
        <v>485</v>
      </c>
      <c r="AX15" s="21" t="s">
        <v>477</v>
      </c>
      <c r="AY15" s="19" t="s">
        <v>545</v>
      </c>
      <c r="AZ15" s="17"/>
      <c r="BA15" s="1"/>
      <c r="BB15" s="1"/>
      <c r="BC15" s="17"/>
    </row>
    <row r="16" spans="1:55" x14ac:dyDescent="0.5">
      <c r="A16" s="1"/>
      <c r="B16" s="1"/>
      <c r="C16" s="1"/>
      <c r="D16" s="1"/>
      <c r="E16" s="1"/>
      <c r="F16" s="1"/>
      <c r="G16" s="1" t="s">
        <v>420</v>
      </c>
      <c r="H16" s="1" t="s">
        <v>420</v>
      </c>
      <c r="I16" s="1" t="s">
        <v>420</v>
      </c>
      <c r="J16" s="1" t="s">
        <v>420</v>
      </c>
      <c r="K16" s="1"/>
      <c r="L16" s="1" t="s">
        <v>350</v>
      </c>
      <c r="M16" s="1" t="s">
        <v>88</v>
      </c>
      <c r="N16" s="1" t="s">
        <v>560</v>
      </c>
      <c r="O16" s="1" t="s">
        <v>561</v>
      </c>
      <c r="P16" s="1" t="s">
        <v>562</v>
      </c>
      <c r="Q16" s="1" t="s">
        <v>516</v>
      </c>
      <c r="R16" s="1"/>
      <c r="S16" s="63" t="s">
        <v>350</v>
      </c>
      <c r="T16" s="1" t="s">
        <v>88</v>
      </c>
      <c r="U16" s="1" t="s">
        <v>560</v>
      </c>
      <c r="V16" s="1" t="s">
        <v>561</v>
      </c>
      <c r="W16" s="65" t="s">
        <v>562</v>
      </c>
      <c r="X16" s="1" t="s">
        <v>516</v>
      </c>
      <c r="Y16" s="63" t="s">
        <v>563</v>
      </c>
      <c r="Z16" s="1" t="s">
        <v>564</v>
      </c>
      <c r="AA16" s="1" t="s">
        <v>565</v>
      </c>
      <c r="AB16" s="1" t="s">
        <v>566</v>
      </c>
      <c r="AC16" s="63" t="s">
        <v>561</v>
      </c>
      <c r="AD16" s="1" t="s">
        <v>472</v>
      </c>
      <c r="AE16" s="1" t="s">
        <v>567</v>
      </c>
      <c r="AF16" s="1" t="s">
        <v>568</v>
      </c>
      <c r="AG16" s="64" t="s">
        <v>552</v>
      </c>
      <c r="AH16" s="1"/>
      <c r="AI16" s="1"/>
      <c r="AJ16" s="1"/>
      <c r="AK16" s="1"/>
      <c r="AL16" s="17" t="s">
        <v>569</v>
      </c>
      <c r="AM16" s="17" t="s">
        <v>570</v>
      </c>
      <c r="AN16" s="17" t="s">
        <v>539</v>
      </c>
      <c r="AO16" s="17" t="s">
        <v>571</v>
      </c>
      <c r="AP16" s="17" t="s">
        <v>562</v>
      </c>
      <c r="AQ16" s="17" t="s">
        <v>572</v>
      </c>
      <c r="AR16" s="17"/>
      <c r="AS16" s="17"/>
      <c r="AT16" s="20" t="s">
        <v>569</v>
      </c>
      <c r="AU16" s="20" t="s">
        <v>480</v>
      </c>
      <c r="AV16" s="19" t="s">
        <v>454</v>
      </c>
      <c r="AW16" s="18" t="s">
        <v>480</v>
      </c>
      <c r="AX16" s="21" t="s">
        <v>464</v>
      </c>
      <c r="AY16" s="19" t="s">
        <v>467</v>
      </c>
      <c r="AZ16" s="17"/>
      <c r="BA16" s="1"/>
      <c r="BB16" s="1"/>
      <c r="BC16" s="17"/>
    </row>
    <row r="17" spans="7:55" x14ac:dyDescent="0.5">
      <c r="G17" s="1" t="s">
        <v>421</v>
      </c>
      <c r="H17" s="1" t="s">
        <v>421</v>
      </c>
      <c r="I17" s="1" t="s">
        <v>421</v>
      </c>
      <c r="J17" s="1" t="s">
        <v>421</v>
      </c>
      <c r="K17" s="1"/>
      <c r="L17" s="1" t="s">
        <v>573</v>
      </c>
      <c r="M17" s="1" t="s">
        <v>350</v>
      </c>
      <c r="N17" s="1" t="s">
        <v>521</v>
      </c>
      <c r="O17" s="1" t="s">
        <v>574</v>
      </c>
      <c r="P17" s="1" t="s">
        <v>575</v>
      </c>
      <c r="Q17" s="1" t="s">
        <v>527</v>
      </c>
      <c r="R17" s="1"/>
      <c r="S17" s="63" t="s">
        <v>573</v>
      </c>
      <c r="T17" s="65" t="s">
        <v>350</v>
      </c>
      <c r="U17" s="1" t="s">
        <v>521</v>
      </c>
      <c r="V17" s="65" t="s">
        <v>574</v>
      </c>
      <c r="W17" s="1" t="s">
        <v>575</v>
      </c>
      <c r="X17" s="1" t="s">
        <v>527</v>
      </c>
      <c r="Y17" s="63" t="s">
        <v>576</v>
      </c>
      <c r="Z17" s="1" t="s">
        <v>536</v>
      </c>
      <c r="AA17" s="1" t="s">
        <v>571</v>
      </c>
      <c r="AB17" s="1" t="s">
        <v>349</v>
      </c>
      <c r="AC17" s="63" t="s">
        <v>542</v>
      </c>
      <c r="AD17" s="1" t="s">
        <v>480</v>
      </c>
      <c r="AE17" s="1" t="s">
        <v>442</v>
      </c>
      <c r="AF17" s="1" t="s">
        <v>577</v>
      </c>
      <c r="AG17" s="64" t="s">
        <v>530</v>
      </c>
      <c r="AH17" s="1"/>
      <c r="AI17" s="1"/>
      <c r="AJ17" s="1"/>
      <c r="AK17" s="1"/>
      <c r="AL17" s="17" t="s">
        <v>578</v>
      </c>
      <c r="AM17" s="17" t="s">
        <v>579</v>
      </c>
      <c r="AN17" s="17" t="s">
        <v>580</v>
      </c>
      <c r="AO17" s="17" t="s">
        <v>521</v>
      </c>
      <c r="AP17" s="17" t="s">
        <v>484</v>
      </c>
      <c r="AQ17" s="17" t="s">
        <v>581</v>
      </c>
      <c r="AR17" s="17"/>
      <c r="AS17" s="17"/>
      <c r="AT17" s="18" t="s">
        <v>578</v>
      </c>
      <c r="AU17" s="19" t="s">
        <v>514</v>
      </c>
      <c r="AV17" s="21" t="s">
        <v>459</v>
      </c>
      <c r="AW17" s="20" t="s">
        <v>347</v>
      </c>
      <c r="AX17" s="21" t="s">
        <v>412</v>
      </c>
      <c r="AY17" s="19" t="s">
        <v>460</v>
      </c>
      <c r="AZ17" s="17"/>
      <c r="BA17" s="1"/>
      <c r="BB17" s="1"/>
      <c r="BC17" s="17"/>
    </row>
    <row r="18" spans="7:55" x14ac:dyDescent="0.5">
      <c r="G18" s="1"/>
      <c r="H18" s="1"/>
      <c r="I18" s="1"/>
      <c r="J18" s="1"/>
      <c r="K18" s="1"/>
      <c r="L18" s="1" t="s">
        <v>582</v>
      </c>
      <c r="M18" s="1" t="s">
        <v>582</v>
      </c>
      <c r="N18" s="1" t="s">
        <v>583</v>
      </c>
      <c r="O18" s="1" t="s">
        <v>550</v>
      </c>
      <c r="P18" s="1" t="s">
        <v>540</v>
      </c>
      <c r="Q18" s="1" t="s">
        <v>584</v>
      </c>
      <c r="R18" s="1"/>
      <c r="S18" s="63" t="s">
        <v>582</v>
      </c>
      <c r="T18" s="1" t="s">
        <v>582</v>
      </c>
      <c r="U18" s="1" t="s">
        <v>583</v>
      </c>
      <c r="V18" s="1" t="s">
        <v>550</v>
      </c>
      <c r="W18" s="1" t="s">
        <v>540</v>
      </c>
      <c r="X18" s="1" t="s">
        <v>584</v>
      </c>
      <c r="Y18" s="63" t="s">
        <v>343</v>
      </c>
      <c r="Z18" s="1" t="s">
        <v>349</v>
      </c>
      <c r="AA18" s="1" t="s">
        <v>349</v>
      </c>
      <c r="AB18" s="1" t="s">
        <v>585</v>
      </c>
      <c r="AC18" s="63" t="s">
        <v>348</v>
      </c>
      <c r="AD18" s="1" t="s">
        <v>492</v>
      </c>
      <c r="AE18" s="1" t="s">
        <v>586</v>
      </c>
      <c r="AF18" s="1" t="s">
        <v>352</v>
      </c>
      <c r="AG18" s="64" t="s">
        <v>526</v>
      </c>
      <c r="AH18" s="1"/>
      <c r="AI18" s="1"/>
      <c r="AJ18" s="1"/>
      <c r="AK18" s="1"/>
      <c r="AL18" s="17" t="s">
        <v>587</v>
      </c>
      <c r="AM18" s="17" t="s">
        <v>359</v>
      </c>
      <c r="AN18" s="17" t="s">
        <v>588</v>
      </c>
      <c r="AO18" s="17" t="s">
        <v>589</v>
      </c>
      <c r="AP18" s="17" t="s">
        <v>505</v>
      </c>
      <c r="AQ18" s="17" t="s">
        <v>590</v>
      </c>
      <c r="AR18" s="17"/>
      <c r="AS18" s="17"/>
      <c r="AT18" s="20" t="s">
        <v>587</v>
      </c>
      <c r="AU18" s="21" t="s">
        <v>520</v>
      </c>
      <c r="AV18" s="19" t="s">
        <v>343</v>
      </c>
      <c r="AW18" s="18" t="s">
        <v>506</v>
      </c>
      <c r="AX18" s="21" t="s">
        <v>532</v>
      </c>
      <c r="AY18" s="19" t="s">
        <v>442</v>
      </c>
      <c r="AZ18" s="17"/>
      <c r="BA18" s="1"/>
      <c r="BB18" s="1"/>
      <c r="BC18" s="17"/>
    </row>
    <row r="19" spans="7:55" x14ac:dyDescent="0.5">
      <c r="G19" s="1" t="s">
        <v>404</v>
      </c>
      <c r="H19" s="1" t="s">
        <v>591</v>
      </c>
      <c r="I19" s="1" t="s">
        <v>445</v>
      </c>
      <c r="J19" s="1"/>
      <c r="K19" s="1"/>
      <c r="L19" s="1" t="s">
        <v>582</v>
      </c>
      <c r="M19" s="1" t="s">
        <v>522</v>
      </c>
      <c r="N19" s="1" t="s">
        <v>112</v>
      </c>
      <c r="O19" s="1" t="s">
        <v>546</v>
      </c>
      <c r="P19" s="1" t="s">
        <v>592</v>
      </c>
      <c r="Q19" s="1" t="s">
        <v>593</v>
      </c>
      <c r="R19" s="1"/>
      <c r="S19" s="63" t="s">
        <v>582</v>
      </c>
      <c r="T19" s="1" t="s">
        <v>522</v>
      </c>
      <c r="U19" s="1" t="s">
        <v>112</v>
      </c>
      <c r="V19" s="1" t="s">
        <v>546</v>
      </c>
      <c r="W19" s="1" t="s">
        <v>592</v>
      </c>
      <c r="X19" s="1" t="s">
        <v>593</v>
      </c>
      <c r="Y19" s="73" t="s">
        <v>485</v>
      </c>
      <c r="Z19" s="1" t="s">
        <v>594</v>
      </c>
      <c r="AA19" s="1" t="s">
        <v>53</v>
      </c>
      <c r="AB19" s="1" t="s">
        <v>112</v>
      </c>
      <c r="AC19" s="63" t="s">
        <v>557</v>
      </c>
      <c r="AD19" s="1" t="s">
        <v>557</v>
      </c>
      <c r="AE19" s="65" t="s">
        <v>595</v>
      </c>
      <c r="AF19" s="75" t="s">
        <v>102</v>
      </c>
      <c r="AG19" s="64" t="s">
        <v>557</v>
      </c>
      <c r="AH19" s="1"/>
      <c r="AI19" s="1"/>
      <c r="AJ19" s="1"/>
      <c r="AK19" s="1"/>
      <c r="AL19" s="17" t="s">
        <v>596</v>
      </c>
      <c r="AM19" s="17" t="s">
        <v>587</v>
      </c>
      <c r="AN19" s="17" t="s">
        <v>102</v>
      </c>
      <c r="AO19" s="17" t="s">
        <v>597</v>
      </c>
      <c r="AP19" s="17" t="s">
        <v>575</v>
      </c>
      <c r="AQ19" s="17" t="s">
        <v>598</v>
      </c>
      <c r="AR19" s="17"/>
      <c r="AS19" s="17"/>
      <c r="AT19" s="18" t="s">
        <v>596</v>
      </c>
      <c r="AU19" s="19" t="s">
        <v>515</v>
      </c>
      <c r="AV19" s="21" t="s">
        <v>479</v>
      </c>
      <c r="AW19" s="18" t="s">
        <v>515</v>
      </c>
      <c r="AX19" s="19" t="s">
        <v>545</v>
      </c>
      <c r="AY19" s="19" t="s">
        <v>500</v>
      </c>
      <c r="AZ19" s="17"/>
      <c r="BA19" s="1"/>
      <c r="BB19" s="1"/>
      <c r="BC19" s="17"/>
    </row>
    <row r="20" spans="7:55" x14ac:dyDescent="0.5">
      <c r="G20" s="1" t="s">
        <v>422</v>
      </c>
      <c r="H20" s="1" t="s">
        <v>422</v>
      </c>
      <c r="I20" s="1" t="s">
        <v>422</v>
      </c>
      <c r="J20" s="1"/>
      <c r="K20" s="1"/>
      <c r="L20" s="1" t="s">
        <v>599</v>
      </c>
      <c r="M20" s="1" t="s">
        <v>600</v>
      </c>
      <c r="N20" s="1" t="s">
        <v>512</v>
      </c>
      <c r="O20" s="1" t="s">
        <v>526</v>
      </c>
      <c r="P20" s="1" t="s">
        <v>347</v>
      </c>
      <c r="Q20" s="1" t="s">
        <v>601</v>
      </c>
      <c r="R20" s="1"/>
      <c r="S20" s="63" t="s">
        <v>599</v>
      </c>
      <c r="T20" s="1" t="s">
        <v>600</v>
      </c>
      <c r="U20" s="1" t="s">
        <v>512</v>
      </c>
      <c r="V20" s="1" t="s">
        <v>526</v>
      </c>
      <c r="W20" s="1" t="s">
        <v>347</v>
      </c>
      <c r="X20" s="1" t="s">
        <v>601</v>
      </c>
      <c r="Y20" s="63" t="s">
        <v>544</v>
      </c>
      <c r="Z20" s="1" t="s">
        <v>602</v>
      </c>
      <c r="AA20" s="1" t="s">
        <v>603</v>
      </c>
      <c r="AB20" s="1" t="s">
        <v>604</v>
      </c>
      <c r="AC20" s="63" t="s">
        <v>521</v>
      </c>
      <c r="AD20" s="1" t="s">
        <v>521</v>
      </c>
      <c r="AE20" s="1" t="s">
        <v>605</v>
      </c>
      <c r="AF20" s="1" t="s">
        <v>606</v>
      </c>
      <c r="AG20" s="64" t="s">
        <v>53</v>
      </c>
      <c r="AH20" s="1"/>
      <c r="AI20" s="1"/>
      <c r="AJ20" s="1"/>
      <c r="AK20" s="1"/>
      <c r="AL20" s="17" t="s">
        <v>607</v>
      </c>
      <c r="AM20" s="17" t="s">
        <v>607</v>
      </c>
      <c r="AN20" s="17" t="s">
        <v>359</v>
      </c>
      <c r="AO20" s="17" t="s">
        <v>350</v>
      </c>
      <c r="AP20" s="17" t="s">
        <v>540</v>
      </c>
      <c r="AQ20" s="17" t="s">
        <v>369</v>
      </c>
      <c r="AR20" s="17"/>
      <c r="AS20" s="17"/>
      <c r="AT20" s="20" t="s">
        <v>607</v>
      </c>
      <c r="AU20" s="18" t="s">
        <v>492</v>
      </c>
      <c r="AV20" s="21" t="s">
        <v>485</v>
      </c>
      <c r="AW20" s="18" t="s">
        <v>526</v>
      </c>
      <c r="AX20" s="19" t="s">
        <v>467</v>
      </c>
      <c r="AY20" s="19" t="s">
        <v>595</v>
      </c>
      <c r="AZ20" s="17"/>
      <c r="BA20" s="1"/>
      <c r="BB20" s="1"/>
      <c r="BC20" s="17"/>
    </row>
    <row r="21" spans="7:55" x14ac:dyDescent="0.5">
      <c r="G21" s="1" t="s">
        <v>423</v>
      </c>
      <c r="H21" s="1" t="s">
        <v>423</v>
      </c>
      <c r="I21" s="1" t="s">
        <v>423</v>
      </c>
      <c r="J21" s="1"/>
      <c r="K21" s="1"/>
      <c r="L21" s="1" t="s">
        <v>356</v>
      </c>
      <c r="M21" s="1" t="s">
        <v>535</v>
      </c>
      <c r="N21" s="1" t="s">
        <v>608</v>
      </c>
      <c r="O21" s="1" t="s">
        <v>557</v>
      </c>
      <c r="P21" s="1" t="s">
        <v>514</v>
      </c>
      <c r="Q21" s="1" t="s">
        <v>554</v>
      </c>
      <c r="R21" s="1"/>
      <c r="S21" s="67" t="s">
        <v>356</v>
      </c>
      <c r="T21" s="1" t="s">
        <v>535</v>
      </c>
      <c r="U21" s="1" t="s">
        <v>608</v>
      </c>
      <c r="V21" s="1" t="s">
        <v>557</v>
      </c>
      <c r="W21" s="1" t="s">
        <v>514</v>
      </c>
      <c r="X21" s="1" t="s">
        <v>554</v>
      </c>
      <c r="Y21" s="63" t="s">
        <v>469</v>
      </c>
      <c r="Z21" s="1" t="s">
        <v>539</v>
      </c>
      <c r="AA21" s="1" t="s">
        <v>603</v>
      </c>
      <c r="AB21" s="1" t="s">
        <v>609</v>
      </c>
      <c r="AC21" s="67" t="s">
        <v>112</v>
      </c>
      <c r="AD21" s="1" t="s">
        <v>610</v>
      </c>
      <c r="AE21" s="1" t="s">
        <v>611</v>
      </c>
      <c r="AF21" s="1" t="s">
        <v>612</v>
      </c>
      <c r="AG21" s="64" t="s">
        <v>613</v>
      </c>
      <c r="AH21" s="1"/>
      <c r="AI21" s="1"/>
      <c r="AJ21" s="1"/>
      <c r="AK21" s="1"/>
      <c r="AL21" s="17" t="s">
        <v>614</v>
      </c>
      <c r="AM21" s="17" t="s">
        <v>615</v>
      </c>
      <c r="AN21" s="17" t="s">
        <v>616</v>
      </c>
      <c r="AO21" s="17" t="s">
        <v>582</v>
      </c>
      <c r="AP21" s="17" t="s">
        <v>499</v>
      </c>
      <c r="AQ21" s="17" t="s">
        <v>617</v>
      </c>
      <c r="AR21" s="17"/>
      <c r="AS21" s="17"/>
      <c r="AT21" s="18" t="s">
        <v>614</v>
      </c>
      <c r="AU21" s="19" t="s">
        <v>88</v>
      </c>
      <c r="AV21" s="19" t="s">
        <v>469</v>
      </c>
      <c r="AW21" s="18" t="s">
        <v>88</v>
      </c>
      <c r="AX21" s="21" t="s">
        <v>567</v>
      </c>
      <c r="AY21" s="19" t="s">
        <v>343</v>
      </c>
      <c r="AZ21" s="17"/>
      <c r="BA21" s="1"/>
      <c r="BB21" s="1"/>
      <c r="BC21" s="17"/>
    </row>
    <row r="22" spans="7:55" x14ac:dyDescent="0.5">
      <c r="G22" s="1" t="s">
        <v>424</v>
      </c>
      <c r="H22" s="1" t="s">
        <v>424</v>
      </c>
      <c r="I22" s="1" t="s">
        <v>424</v>
      </c>
      <c r="J22" s="1"/>
      <c r="K22" s="1"/>
      <c r="L22" s="1" t="s">
        <v>102</v>
      </c>
      <c r="M22" s="1" t="s">
        <v>568</v>
      </c>
      <c r="N22" s="1" t="s">
        <v>618</v>
      </c>
      <c r="O22" s="1" t="s">
        <v>618</v>
      </c>
      <c r="P22" s="1" t="s">
        <v>619</v>
      </c>
      <c r="Q22" s="1" t="s">
        <v>620</v>
      </c>
      <c r="R22" s="1"/>
      <c r="S22" s="63" t="s">
        <v>102</v>
      </c>
      <c r="T22" s="1" t="s">
        <v>568</v>
      </c>
      <c r="U22" s="1" t="s">
        <v>618</v>
      </c>
      <c r="V22" s="65" t="s">
        <v>618</v>
      </c>
      <c r="W22" s="1" t="s">
        <v>619</v>
      </c>
      <c r="X22" s="1" t="s">
        <v>620</v>
      </c>
      <c r="Y22" s="63" t="s">
        <v>554</v>
      </c>
      <c r="Z22" s="1" t="s">
        <v>582</v>
      </c>
      <c r="AA22" s="1" t="s">
        <v>621</v>
      </c>
      <c r="AB22" s="1" t="s">
        <v>613</v>
      </c>
      <c r="AC22" s="63" t="s">
        <v>622</v>
      </c>
      <c r="AD22" s="1" t="s">
        <v>622</v>
      </c>
      <c r="AE22" s="1" t="s">
        <v>623</v>
      </c>
      <c r="AF22" s="1" t="s">
        <v>624</v>
      </c>
      <c r="AG22" s="64" t="s">
        <v>625</v>
      </c>
      <c r="AH22" s="1"/>
      <c r="AI22" s="1"/>
      <c r="AJ22" s="1"/>
      <c r="AK22" s="1"/>
      <c r="AL22" s="17" t="s">
        <v>626</v>
      </c>
      <c r="AM22" s="17" t="s">
        <v>627</v>
      </c>
      <c r="AN22" s="17" t="s">
        <v>628</v>
      </c>
      <c r="AO22" s="17" t="s">
        <v>570</v>
      </c>
      <c r="AP22" s="17" t="s">
        <v>480</v>
      </c>
      <c r="AQ22" s="1"/>
      <c r="AR22" s="1"/>
      <c r="AS22" s="1"/>
      <c r="AT22" s="18" t="s">
        <v>615</v>
      </c>
      <c r="AU22" s="19" t="s">
        <v>501</v>
      </c>
      <c r="AV22" s="21" t="s">
        <v>523</v>
      </c>
      <c r="AW22" s="18" t="s">
        <v>536</v>
      </c>
      <c r="AX22" s="21" t="s">
        <v>460</v>
      </c>
      <c r="AY22" s="19" t="s">
        <v>466</v>
      </c>
      <c r="AZ22" s="1"/>
      <c r="BA22" s="1"/>
      <c r="BB22" s="1"/>
      <c r="BC22" s="1"/>
    </row>
    <row r="23" spans="7:55" x14ac:dyDescent="0.5">
      <c r="G23" s="1" t="s">
        <v>425</v>
      </c>
      <c r="H23" s="1" t="s">
        <v>425</v>
      </c>
      <c r="I23" s="1" t="s">
        <v>425</v>
      </c>
      <c r="J23" s="1"/>
      <c r="K23" s="1"/>
      <c r="L23" s="1" t="s">
        <v>556</v>
      </c>
      <c r="M23" s="1" t="s">
        <v>549</v>
      </c>
      <c r="N23" s="1" t="s">
        <v>618</v>
      </c>
      <c r="O23" s="1" t="s">
        <v>582</v>
      </c>
      <c r="P23" s="1" t="s">
        <v>348</v>
      </c>
      <c r="Q23" s="1" t="s">
        <v>484</v>
      </c>
      <c r="R23" s="1"/>
      <c r="S23" s="63" t="s">
        <v>556</v>
      </c>
      <c r="T23" s="1" t="s">
        <v>549</v>
      </c>
      <c r="U23" s="1" t="s">
        <v>618</v>
      </c>
      <c r="V23" s="1" t="s">
        <v>582</v>
      </c>
      <c r="W23" s="1" t="s">
        <v>348</v>
      </c>
      <c r="X23" s="1" t="s">
        <v>484</v>
      </c>
      <c r="Y23" s="63" t="s">
        <v>345</v>
      </c>
      <c r="Z23" s="74" t="s">
        <v>629</v>
      </c>
      <c r="AA23" s="1" t="s">
        <v>589</v>
      </c>
      <c r="AB23" s="1" t="s">
        <v>630</v>
      </c>
      <c r="AC23" s="63" t="s">
        <v>631</v>
      </c>
      <c r="AD23" s="1" t="s">
        <v>632</v>
      </c>
      <c r="AE23" s="1" t="s">
        <v>633</v>
      </c>
      <c r="AF23" s="66" t="s">
        <v>538</v>
      </c>
      <c r="AG23" s="64" t="s">
        <v>634</v>
      </c>
      <c r="AH23" s="1"/>
      <c r="AI23" s="1"/>
      <c r="AJ23" s="1"/>
      <c r="AK23" s="1"/>
      <c r="AL23" s="17" t="s">
        <v>635</v>
      </c>
      <c r="AM23" s="17" t="s">
        <v>612</v>
      </c>
      <c r="AN23" s="17" t="s">
        <v>362</v>
      </c>
      <c r="AO23" s="17" t="s">
        <v>636</v>
      </c>
      <c r="AP23" s="17" t="s">
        <v>637</v>
      </c>
      <c r="AQ23" s="1"/>
      <c r="AR23" s="1"/>
      <c r="AS23" s="1"/>
      <c r="AT23" s="20" t="s">
        <v>626</v>
      </c>
      <c r="AU23" s="19" t="s">
        <v>512</v>
      </c>
      <c r="AV23" s="21" t="s">
        <v>484</v>
      </c>
      <c r="AW23" s="19" t="s">
        <v>560</v>
      </c>
      <c r="AX23" s="19" t="s">
        <v>442</v>
      </c>
      <c r="AY23" s="19" t="s">
        <v>479</v>
      </c>
      <c r="AZ23" s="1"/>
      <c r="BA23" s="1"/>
      <c r="BB23" s="1"/>
      <c r="BC23" s="1"/>
    </row>
    <row r="24" spans="7:55" x14ac:dyDescent="0.5">
      <c r="G24" s="1" t="s">
        <v>426</v>
      </c>
      <c r="H24" s="1" t="s">
        <v>426</v>
      </c>
      <c r="I24" s="1" t="s">
        <v>426</v>
      </c>
      <c r="J24" s="1"/>
      <c r="K24" s="1"/>
      <c r="L24" s="1" t="s">
        <v>555</v>
      </c>
      <c r="M24" s="1" t="s">
        <v>356</v>
      </c>
      <c r="N24" s="1" t="s">
        <v>92</v>
      </c>
      <c r="O24" s="1" t="s">
        <v>638</v>
      </c>
      <c r="P24" s="1" t="s">
        <v>88</v>
      </c>
      <c r="Q24" s="1" t="s">
        <v>490</v>
      </c>
      <c r="R24" s="1"/>
      <c r="S24" s="63" t="s">
        <v>555</v>
      </c>
      <c r="T24" s="1" t="s">
        <v>356</v>
      </c>
      <c r="U24" s="1" t="s">
        <v>92</v>
      </c>
      <c r="V24" s="1" t="s">
        <v>638</v>
      </c>
      <c r="W24" s="65" t="s">
        <v>88</v>
      </c>
      <c r="X24" s="1" t="s">
        <v>490</v>
      </c>
      <c r="Y24" s="63" t="s">
        <v>518</v>
      </c>
      <c r="Z24" s="1" t="s">
        <v>535</v>
      </c>
      <c r="AA24" s="1" t="s">
        <v>639</v>
      </c>
      <c r="AB24" s="1" t="s">
        <v>640</v>
      </c>
      <c r="AC24" s="63" t="s">
        <v>608</v>
      </c>
      <c r="AD24" s="1" t="s">
        <v>356</v>
      </c>
      <c r="AE24" s="1" t="s">
        <v>521</v>
      </c>
      <c r="AF24" s="1" t="s">
        <v>641</v>
      </c>
      <c r="AG24" s="64" t="s">
        <v>642</v>
      </c>
      <c r="AH24" s="1"/>
      <c r="AI24" s="1"/>
      <c r="AJ24" s="1"/>
      <c r="AK24" s="1"/>
      <c r="AL24" s="17" t="s">
        <v>365</v>
      </c>
      <c r="AM24" s="17" t="s">
        <v>643</v>
      </c>
      <c r="AN24" s="17" t="s">
        <v>644</v>
      </c>
      <c r="AO24" s="17" t="s">
        <v>645</v>
      </c>
      <c r="AP24" s="17" t="s">
        <v>88</v>
      </c>
      <c r="AQ24" s="1"/>
      <c r="AR24" s="1"/>
      <c r="AS24" s="1"/>
      <c r="AT24" s="18" t="s">
        <v>635</v>
      </c>
      <c r="AU24" s="19" t="s">
        <v>350</v>
      </c>
      <c r="AV24" s="19" t="s">
        <v>490</v>
      </c>
      <c r="AW24" s="20" t="s">
        <v>521</v>
      </c>
      <c r="AX24" s="19" t="s">
        <v>491</v>
      </c>
      <c r="AY24" s="19" t="s">
        <v>533</v>
      </c>
      <c r="AZ24" s="1"/>
      <c r="BA24" s="1"/>
      <c r="BB24" s="1"/>
      <c r="BC24" s="1"/>
    </row>
    <row r="25" spans="7:55" x14ac:dyDescent="0.5">
      <c r="G25" s="1" t="s">
        <v>646</v>
      </c>
      <c r="H25" s="1" t="s">
        <v>646</v>
      </c>
      <c r="I25" s="1" t="s">
        <v>646</v>
      </c>
      <c r="J25" s="1"/>
      <c r="K25" s="1"/>
      <c r="L25" s="1" t="s">
        <v>647</v>
      </c>
      <c r="M25" s="1" t="s">
        <v>102</v>
      </c>
      <c r="N25" s="1" t="s">
        <v>638</v>
      </c>
      <c r="O25" s="1" t="s">
        <v>636</v>
      </c>
      <c r="P25" s="1" t="s">
        <v>53</v>
      </c>
      <c r="Q25" s="1" t="s">
        <v>648</v>
      </c>
      <c r="R25" s="1"/>
      <c r="S25" s="63" t="s">
        <v>647</v>
      </c>
      <c r="T25" s="1" t="s">
        <v>102</v>
      </c>
      <c r="U25" s="1" t="s">
        <v>638</v>
      </c>
      <c r="V25" s="1" t="s">
        <v>636</v>
      </c>
      <c r="W25" s="1" t="s">
        <v>53</v>
      </c>
      <c r="X25" s="1" t="s">
        <v>648</v>
      </c>
      <c r="Y25" s="63" t="s">
        <v>649</v>
      </c>
      <c r="Z25" s="1" t="s">
        <v>568</v>
      </c>
      <c r="AA25" s="1" t="s">
        <v>650</v>
      </c>
      <c r="AB25" s="1" t="s">
        <v>651</v>
      </c>
      <c r="AC25" s="63" t="s">
        <v>92</v>
      </c>
      <c r="AD25" s="1" t="s">
        <v>652</v>
      </c>
      <c r="AE25" s="1" t="s">
        <v>112</v>
      </c>
      <c r="AF25" s="1" t="s">
        <v>365</v>
      </c>
      <c r="AG25" s="64" t="s">
        <v>361</v>
      </c>
      <c r="AH25" s="1"/>
      <c r="AI25" s="1"/>
      <c r="AJ25" s="1"/>
      <c r="AK25" s="1"/>
      <c r="AL25" s="17" t="s">
        <v>643</v>
      </c>
      <c r="AM25" s="17" t="s">
        <v>653</v>
      </c>
      <c r="AN25" s="17" t="s">
        <v>366</v>
      </c>
      <c r="AO25" s="17" t="s">
        <v>654</v>
      </c>
      <c r="AP25" s="17" t="s">
        <v>608</v>
      </c>
      <c r="AQ25" s="1"/>
      <c r="AR25" s="1"/>
      <c r="AS25" s="1"/>
      <c r="AT25" s="20" t="s">
        <v>365</v>
      </c>
      <c r="AU25" s="19" t="s">
        <v>582</v>
      </c>
      <c r="AV25" s="21" t="s">
        <v>505</v>
      </c>
      <c r="AW25" s="19" t="s">
        <v>583</v>
      </c>
      <c r="AX25" s="19" t="s">
        <v>586</v>
      </c>
      <c r="AY25" s="19" t="s">
        <v>547</v>
      </c>
      <c r="AZ25" s="1"/>
      <c r="BA25" s="1"/>
      <c r="BB25" s="1"/>
      <c r="BC25" s="1"/>
    </row>
    <row r="26" spans="7:55" x14ac:dyDescent="0.5">
      <c r="G26" s="1"/>
      <c r="H26" s="1"/>
      <c r="I26" s="1"/>
      <c r="J26" s="1"/>
      <c r="K26" s="1"/>
      <c r="L26" s="1" t="s">
        <v>596</v>
      </c>
      <c r="M26" s="1" t="s">
        <v>652</v>
      </c>
      <c r="N26" s="1" t="s">
        <v>556</v>
      </c>
      <c r="O26" s="1" t="s">
        <v>655</v>
      </c>
      <c r="P26" s="1" t="s">
        <v>656</v>
      </c>
      <c r="Q26" s="1" t="s">
        <v>505</v>
      </c>
      <c r="R26" s="1"/>
      <c r="S26" s="63" t="s">
        <v>596</v>
      </c>
      <c r="T26" s="1" t="s">
        <v>652</v>
      </c>
      <c r="U26" s="1" t="s">
        <v>556</v>
      </c>
      <c r="V26" s="1" t="s">
        <v>655</v>
      </c>
      <c r="W26" s="1" t="s">
        <v>656</v>
      </c>
      <c r="X26" s="1" t="s">
        <v>505</v>
      </c>
      <c r="Y26" s="63" t="s">
        <v>480</v>
      </c>
      <c r="Z26" s="74" t="s">
        <v>657</v>
      </c>
      <c r="AA26" s="1" t="s">
        <v>350</v>
      </c>
      <c r="AB26" s="1" t="s">
        <v>356</v>
      </c>
      <c r="AC26" s="63" t="s">
        <v>582</v>
      </c>
      <c r="AD26" s="1" t="s">
        <v>658</v>
      </c>
      <c r="AE26" s="1" t="s">
        <v>656</v>
      </c>
      <c r="AF26" s="1" t="s">
        <v>643</v>
      </c>
      <c r="AG26" s="64" t="s">
        <v>659</v>
      </c>
      <c r="AH26" s="1"/>
      <c r="AI26" s="1"/>
      <c r="AJ26" s="1"/>
      <c r="AK26" s="1"/>
      <c r="AL26" s="17" t="s">
        <v>643</v>
      </c>
      <c r="AM26" s="17" t="s">
        <v>660</v>
      </c>
      <c r="AN26" s="17" t="s">
        <v>653</v>
      </c>
      <c r="AO26" s="17" t="s">
        <v>607</v>
      </c>
      <c r="AP26" s="17" t="s">
        <v>92</v>
      </c>
      <c r="AQ26" s="1"/>
      <c r="AR26" s="1"/>
      <c r="AS26" s="1"/>
      <c r="AT26" s="18" t="s">
        <v>643</v>
      </c>
      <c r="AU26" s="19" t="s">
        <v>522</v>
      </c>
      <c r="AV26" s="19" t="s">
        <v>540</v>
      </c>
      <c r="AW26" s="21" t="s">
        <v>112</v>
      </c>
      <c r="AX26" s="19" t="s">
        <v>500</v>
      </c>
      <c r="AY26" s="19" t="s">
        <v>490</v>
      </c>
      <c r="AZ26" s="1"/>
      <c r="BA26" s="1"/>
      <c r="BB26" s="1"/>
      <c r="BC26" s="1"/>
    </row>
    <row r="27" spans="7:55" x14ac:dyDescent="0.5">
      <c r="G27" s="1"/>
      <c r="H27" s="1"/>
      <c r="I27" s="1"/>
      <c r="J27" s="1"/>
      <c r="K27" s="1"/>
      <c r="L27" s="1" t="s">
        <v>661</v>
      </c>
      <c r="M27" s="1" t="s">
        <v>570</v>
      </c>
      <c r="N27" s="1" t="s">
        <v>652</v>
      </c>
      <c r="O27" s="1" t="s">
        <v>645</v>
      </c>
      <c r="P27" s="1" t="s">
        <v>534</v>
      </c>
      <c r="Q27" s="1" t="s">
        <v>575</v>
      </c>
      <c r="R27" s="1"/>
      <c r="S27" s="63" t="s">
        <v>661</v>
      </c>
      <c r="T27" s="1" t="s">
        <v>570</v>
      </c>
      <c r="U27" s="1" t="s">
        <v>652</v>
      </c>
      <c r="V27" s="1" t="s">
        <v>645</v>
      </c>
      <c r="W27" s="1" t="s">
        <v>534</v>
      </c>
      <c r="X27" s="1" t="s">
        <v>575</v>
      </c>
      <c r="Y27" s="63" t="s">
        <v>561</v>
      </c>
      <c r="Z27" s="1" t="s">
        <v>356</v>
      </c>
      <c r="AA27" s="1" t="s">
        <v>662</v>
      </c>
      <c r="AB27" s="76" t="s">
        <v>357</v>
      </c>
      <c r="AC27" s="63" t="s">
        <v>657</v>
      </c>
      <c r="AD27" s="1" t="s">
        <v>663</v>
      </c>
      <c r="AE27" s="1" t="s">
        <v>622</v>
      </c>
      <c r="AF27" s="1" t="s">
        <v>664</v>
      </c>
      <c r="AG27" s="68" t="s">
        <v>665</v>
      </c>
      <c r="AH27" s="1"/>
      <c r="AI27" s="1"/>
      <c r="AJ27" s="1"/>
      <c r="AK27" s="1"/>
      <c r="AL27" s="17" t="s">
        <v>666</v>
      </c>
      <c r="AM27" s="17" t="s">
        <v>667</v>
      </c>
      <c r="AN27" s="17" t="s">
        <v>668</v>
      </c>
      <c r="AO27" s="17" t="s">
        <v>669</v>
      </c>
      <c r="AP27" s="17" t="s">
        <v>638</v>
      </c>
      <c r="AQ27" s="1"/>
      <c r="AR27" s="1"/>
      <c r="AS27" s="1"/>
      <c r="AT27" s="22" t="s">
        <v>666</v>
      </c>
      <c r="AU27" s="19" t="s">
        <v>600</v>
      </c>
      <c r="AV27" s="19" t="s">
        <v>480</v>
      </c>
      <c r="AW27" s="20" t="s">
        <v>539</v>
      </c>
      <c r="AX27" s="21" t="s">
        <v>510</v>
      </c>
      <c r="AY27" s="19" t="s">
        <v>633</v>
      </c>
      <c r="AZ27" s="1"/>
      <c r="BA27" s="1"/>
      <c r="BB27" s="1"/>
      <c r="BC27" s="1"/>
    </row>
    <row r="28" spans="7:55" x14ac:dyDescent="0.5">
      <c r="G28" s="1"/>
      <c r="H28" s="1"/>
      <c r="I28" s="1"/>
      <c r="J28" s="1"/>
      <c r="K28" s="1"/>
      <c r="L28" s="1" t="s">
        <v>607</v>
      </c>
      <c r="M28" s="1" t="s">
        <v>359</v>
      </c>
      <c r="N28" s="1" t="s">
        <v>359</v>
      </c>
      <c r="O28" s="1" t="s">
        <v>555</v>
      </c>
      <c r="P28" s="1" t="s">
        <v>350</v>
      </c>
      <c r="Q28" s="1" t="s">
        <v>540</v>
      </c>
      <c r="R28" s="1"/>
      <c r="S28" s="63" t="s">
        <v>607</v>
      </c>
      <c r="T28" s="1" t="s">
        <v>359</v>
      </c>
      <c r="U28" s="1" t="s">
        <v>359</v>
      </c>
      <c r="V28" s="1" t="s">
        <v>555</v>
      </c>
      <c r="W28" s="1" t="s">
        <v>350</v>
      </c>
      <c r="X28" s="1" t="s">
        <v>540</v>
      </c>
      <c r="Y28" s="63" t="s">
        <v>542</v>
      </c>
      <c r="Z28" s="1" t="s">
        <v>102</v>
      </c>
      <c r="AA28" s="1" t="s">
        <v>670</v>
      </c>
      <c r="AB28" s="1" t="s">
        <v>671</v>
      </c>
      <c r="AC28" s="67" t="s">
        <v>356</v>
      </c>
      <c r="AD28" s="1" t="s">
        <v>672</v>
      </c>
      <c r="AE28" s="1" t="s">
        <v>608</v>
      </c>
      <c r="AF28" s="1" t="s">
        <v>653</v>
      </c>
      <c r="AG28" s="64" t="s">
        <v>673</v>
      </c>
      <c r="AH28" s="1"/>
      <c r="AI28" s="1"/>
      <c r="AJ28" s="1"/>
      <c r="AK28" s="1"/>
      <c r="AL28" s="17"/>
      <c r="AM28" s="17"/>
      <c r="AN28" s="17" t="s">
        <v>674</v>
      </c>
      <c r="AO28" s="17" t="s">
        <v>612</v>
      </c>
      <c r="AP28" s="17" t="s">
        <v>522</v>
      </c>
      <c r="AQ28" s="1"/>
      <c r="AR28" s="1"/>
      <c r="AS28" s="1"/>
      <c r="AT28" s="22"/>
      <c r="AU28" s="19" t="s">
        <v>535</v>
      </c>
      <c r="AV28" s="21" t="s">
        <v>347</v>
      </c>
      <c r="AW28" s="18" t="s">
        <v>580</v>
      </c>
      <c r="AX28" s="19" t="s">
        <v>595</v>
      </c>
      <c r="AY28" s="19" t="s">
        <v>530</v>
      </c>
      <c r="AZ28" s="1"/>
      <c r="BA28" s="1"/>
      <c r="BB28" s="1"/>
      <c r="BC28" s="1"/>
    </row>
    <row r="29" spans="7:55" x14ac:dyDescent="0.5">
      <c r="G29" s="1"/>
      <c r="H29" s="1"/>
      <c r="I29" s="1"/>
      <c r="J29" s="1"/>
      <c r="K29" s="1"/>
      <c r="L29" s="1" t="s">
        <v>675</v>
      </c>
      <c r="M29" s="1" t="s">
        <v>655</v>
      </c>
      <c r="N29" s="1" t="s">
        <v>645</v>
      </c>
      <c r="O29" s="1" t="s">
        <v>676</v>
      </c>
      <c r="P29" s="1" t="s">
        <v>677</v>
      </c>
      <c r="Q29" s="1" t="s">
        <v>499</v>
      </c>
      <c r="R29" s="1"/>
      <c r="S29" s="63" t="s">
        <v>675</v>
      </c>
      <c r="T29" s="1" t="s">
        <v>655</v>
      </c>
      <c r="U29" s="1" t="s">
        <v>645</v>
      </c>
      <c r="V29" s="1" t="s">
        <v>676</v>
      </c>
      <c r="W29" s="1" t="s">
        <v>677</v>
      </c>
      <c r="X29" s="1" t="s">
        <v>499</v>
      </c>
      <c r="Y29" s="63" t="s">
        <v>565</v>
      </c>
      <c r="Z29" s="1" t="s">
        <v>636</v>
      </c>
      <c r="AA29" s="1" t="s">
        <v>568</v>
      </c>
      <c r="AB29" s="1" t="s">
        <v>636</v>
      </c>
      <c r="AC29" s="63" t="s">
        <v>678</v>
      </c>
      <c r="AD29" s="1" t="s">
        <v>635</v>
      </c>
      <c r="AE29" s="1" t="s">
        <v>670</v>
      </c>
      <c r="AF29" s="1" t="s">
        <v>679</v>
      </c>
      <c r="AG29" s="68" t="s">
        <v>372</v>
      </c>
      <c r="AH29" s="1"/>
      <c r="AI29" s="1"/>
      <c r="AJ29" s="1"/>
      <c r="AK29" s="1"/>
      <c r="AL29" s="17"/>
      <c r="AM29" s="1"/>
      <c r="AN29" s="17" t="s">
        <v>680</v>
      </c>
      <c r="AO29" s="17" t="s">
        <v>681</v>
      </c>
      <c r="AP29" s="17" t="s">
        <v>640</v>
      </c>
      <c r="AQ29" s="1"/>
      <c r="AR29" s="1"/>
      <c r="AS29" s="1"/>
      <c r="AT29" s="1"/>
      <c r="AU29" s="19" t="s">
        <v>568</v>
      </c>
      <c r="AV29" s="19" t="s">
        <v>537</v>
      </c>
      <c r="AW29" s="19" t="s">
        <v>512</v>
      </c>
      <c r="AX29" s="19" t="s">
        <v>343</v>
      </c>
      <c r="AY29" s="19" t="s">
        <v>499</v>
      </c>
      <c r="AZ29" s="1"/>
      <c r="BA29" s="1"/>
      <c r="BB29" s="1"/>
      <c r="BC29" s="1"/>
    </row>
    <row r="30" spans="7:55" x14ac:dyDescent="0.5">
      <c r="G30" s="1"/>
      <c r="H30" s="1"/>
      <c r="I30" s="1"/>
      <c r="J30" s="1"/>
      <c r="K30" s="1"/>
      <c r="L30" s="1" t="s">
        <v>669</v>
      </c>
      <c r="M30" s="1" t="s">
        <v>569</v>
      </c>
      <c r="N30" s="1" t="s">
        <v>555</v>
      </c>
      <c r="O30" s="1" t="s">
        <v>362</v>
      </c>
      <c r="P30" s="1" t="s">
        <v>682</v>
      </c>
      <c r="Q30" s="1" t="s">
        <v>499</v>
      </c>
      <c r="R30" s="1"/>
      <c r="S30" s="63" t="s">
        <v>669</v>
      </c>
      <c r="T30" s="1" t="s">
        <v>569</v>
      </c>
      <c r="U30" s="1" t="s">
        <v>555</v>
      </c>
      <c r="V30" s="1" t="s">
        <v>362</v>
      </c>
      <c r="W30" s="1" t="s">
        <v>682</v>
      </c>
      <c r="X30" s="1" t="s">
        <v>499</v>
      </c>
      <c r="Y30" s="63" t="s">
        <v>683</v>
      </c>
      <c r="Z30" s="1" t="s">
        <v>684</v>
      </c>
      <c r="AA30" s="1" t="s">
        <v>685</v>
      </c>
      <c r="AB30" s="1" t="s">
        <v>686</v>
      </c>
      <c r="AC30" s="67" t="s">
        <v>687</v>
      </c>
      <c r="AD30" s="1" t="s">
        <v>688</v>
      </c>
      <c r="AE30" s="1" t="s">
        <v>361</v>
      </c>
      <c r="AF30" s="1"/>
      <c r="AG30" s="64" t="s">
        <v>582</v>
      </c>
      <c r="AH30" s="1"/>
      <c r="AI30" s="1"/>
      <c r="AJ30" s="1"/>
      <c r="AK30" s="1"/>
      <c r="AL30" s="17"/>
      <c r="AM30" s="1"/>
      <c r="AN30" s="17" t="s">
        <v>689</v>
      </c>
      <c r="AO30" s="17" t="s">
        <v>690</v>
      </c>
      <c r="AP30" s="17" t="s">
        <v>352</v>
      </c>
      <c r="AQ30" s="1"/>
      <c r="AR30" s="1"/>
      <c r="AS30" s="1"/>
      <c r="AT30" s="1"/>
      <c r="AU30" s="19" t="s">
        <v>549</v>
      </c>
      <c r="AV30" s="19" t="s">
        <v>561</v>
      </c>
      <c r="AW30" s="21" t="s">
        <v>608</v>
      </c>
      <c r="AX30" s="21" t="s">
        <v>466</v>
      </c>
      <c r="AY30" s="19" t="s">
        <v>506</v>
      </c>
      <c r="AZ30" s="1"/>
      <c r="BA30" s="1"/>
      <c r="BB30" s="1"/>
      <c r="BC30" s="1"/>
    </row>
    <row r="31" spans="7:55" x14ac:dyDescent="0.5">
      <c r="G31" s="1"/>
      <c r="H31" s="1"/>
      <c r="I31" s="1"/>
      <c r="J31" s="1"/>
      <c r="K31" s="1"/>
      <c r="L31" s="1" t="s">
        <v>628</v>
      </c>
      <c r="M31" s="1" t="s">
        <v>663</v>
      </c>
      <c r="N31" s="1" t="s">
        <v>616</v>
      </c>
      <c r="O31" s="1" t="s">
        <v>612</v>
      </c>
      <c r="P31" s="1" t="s">
        <v>352</v>
      </c>
      <c r="Q31" s="1" t="s">
        <v>506</v>
      </c>
      <c r="R31" s="1"/>
      <c r="S31" s="63" t="s">
        <v>628</v>
      </c>
      <c r="T31" s="1" t="s">
        <v>663</v>
      </c>
      <c r="U31" s="1" t="s">
        <v>616</v>
      </c>
      <c r="V31" s="1" t="s">
        <v>612</v>
      </c>
      <c r="W31" s="1" t="s">
        <v>352</v>
      </c>
      <c r="X31" s="1" t="s">
        <v>506</v>
      </c>
      <c r="Y31" s="63" t="s">
        <v>656</v>
      </c>
      <c r="Z31" s="1" t="s">
        <v>655</v>
      </c>
      <c r="AA31" s="1" t="s">
        <v>355</v>
      </c>
      <c r="AB31" s="1" t="s">
        <v>687</v>
      </c>
      <c r="AC31" s="63" t="s">
        <v>607</v>
      </c>
      <c r="AD31" s="1" t="s">
        <v>664</v>
      </c>
      <c r="AE31" s="1" t="s">
        <v>691</v>
      </c>
      <c r="AF31" s="1"/>
      <c r="AG31" s="64"/>
      <c r="AH31" s="1"/>
      <c r="AI31" s="1"/>
      <c r="AJ31" s="1"/>
      <c r="AK31" s="1"/>
      <c r="AL31" s="17"/>
      <c r="AM31" s="1"/>
      <c r="AN31" s="17" t="s">
        <v>692</v>
      </c>
      <c r="AO31" s="17" t="s">
        <v>693</v>
      </c>
      <c r="AP31" s="17" t="s">
        <v>694</v>
      </c>
      <c r="AQ31" s="1"/>
      <c r="AR31" s="1"/>
      <c r="AS31" s="1"/>
      <c r="AT31" s="1"/>
      <c r="AU31" s="19" t="s">
        <v>356</v>
      </c>
      <c r="AV31" s="21" t="s">
        <v>506</v>
      </c>
      <c r="AW31" s="19" t="s">
        <v>618</v>
      </c>
      <c r="AX31" s="21" t="s">
        <v>479</v>
      </c>
      <c r="AY31" s="19" t="s">
        <v>546</v>
      </c>
      <c r="AZ31" s="1"/>
      <c r="BA31" s="1"/>
      <c r="BB31" s="1"/>
      <c r="BC31" s="1"/>
    </row>
    <row r="32" spans="7:55" x14ac:dyDescent="0.5">
      <c r="G32" s="1"/>
      <c r="H32" s="1"/>
      <c r="I32" s="1"/>
      <c r="J32" s="1"/>
      <c r="K32" s="1"/>
      <c r="L32" s="1" t="s">
        <v>612</v>
      </c>
      <c r="M32" s="1" t="s">
        <v>615</v>
      </c>
      <c r="N32" s="1" t="s">
        <v>360</v>
      </c>
      <c r="O32" s="1" t="s">
        <v>690</v>
      </c>
      <c r="P32" s="1" t="s">
        <v>354</v>
      </c>
      <c r="Q32" s="1" t="s">
        <v>492</v>
      </c>
      <c r="R32" s="1"/>
      <c r="S32" s="63" t="s">
        <v>612</v>
      </c>
      <c r="T32" s="1" t="s">
        <v>615</v>
      </c>
      <c r="U32" s="1" t="s">
        <v>360</v>
      </c>
      <c r="V32" s="1" t="s">
        <v>690</v>
      </c>
      <c r="W32" s="1" t="s">
        <v>354</v>
      </c>
      <c r="X32" s="1" t="s">
        <v>492</v>
      </c>
      <c r="Y32" s="63" t="s">
        <v>622</v>
      </c>
      <c r="Z32" s="1" t="s">
        <v>687</v>
      </c>
      <c r="AA32" s="1" t="s">
        <v>599</v>
      </c>
      <c r="AB32" s="1" t="s">
        <v>695</v>
      </c>
      <c r="AC32" s="63" t="s">
        <v>696</v>
      </c>
      <c r="AD32" s="76" t="s">
        <v>366</v>
      </c>
      <c r="AE32" s="1" t="s">
        <v>697</v>
      </c>
      <c r="AF32" s="1"/>
      <c r="AG32" s="64"/>
      <c r="AH32" s="1"/>
      <c r="AI32" s="1"/>
      <c r="AJ32" s="1"/>
      <c r="AK32" s="1"/>
      <c r="AL32" s="17"/>
      <c r="AM32" s="1"/>
      <c r="AN32" s="1"/>
      <c r="AO32" s="17" t="s">
        <v>698</v>
      </c>
      <c r="AP32" s="17" t="s">
        <v>699</v>
      </c>
      <c r="AQ32" s="1"/>
      <c r="AR32" s="1"/>
      <c r="AS32" s="1"/>
      <c r="AT32" s="1"/>
      <c r="AU32" s="19" t="s">
        <v>102</v>
      </c>
      <c r="AV32" s="21" t="s">
        <v>574</v>
      </c>
      <c r="AW32" s="19" t="s">
        <v>92</v>
      </c>
      <c r="AX32" s="19" t="s">
        <v>533</v>
      </c>
      <c r="AY32" s="19" t="s">
        <v>526</v>
      </c>
      <c r="AZ32" s="1"/>
      <c r="BA32" s="1"/>
      <c r="BB32" s="1"/>
      <c r="BC32" s="1"/>
    </row>
    <row r="33" spans="12:51" x14ac:dyDescent="0.5">
      <c r="L33" s="1" t="s">
        <v>700</v>
      </c>
      <c r="M33" s="1" t="s">
        <v>700</v>
      </c>
      <c r="N33" s="1" t="s">
        <v>701</v>
      </c>
      <c r="O33" s="1" t="s">
        <v>365</v>
      </c>
      <c r="P33" s="1" t="s">
        <v>355</v>
      </c>
      <c r="Q33" s="1" t="s">
        <v>521</v>
      </c>
      <c r="R33" s="1"/>
      <c r="S33" s="67" t="s">
        <v>700</v>
      </c>
      <c r="T33" s="1" t="s">
        <v>700</v>
      </c>
      <c r="U33" s="1" t="s">
        <v>701</v>
      </c>
      <c r="V33" s="1" t="s">
        <v>365</v>
      </c>
      <c r="W33" s="66" t="s">
        <v>355</v>
      </c>
      <c r="X33" s="1" t="s">
        <v>521</v>
      </c>
      <c r="Y33" s="63" t="s">
        <v>702</v>
      </c>
      <c r="Z33" s="1" t="s">
        <v>703</v>
      </c>
      <c r="AA33" s="1" t="s">
        <v>356</v>
      </c>
      <c r="AB33" s="1" t="s">
        <v>704</v>
      </c>
      <c r="AC33" s="63" t="s">
        <v>612</v>
      </c>
      <c r="AD33" s="1" t="s">
        <v>668</v>
      </c>
      <c r="AE33" s="1" t="s">
        <v>705</v>
      </c>
      <c r="AF33" s="1"/>
      <c r="AG33" s="64"/>
      <c r="AH33" s="1"/>
      <c r="AI33" s="1"/>
      <c r="AJ33" s="1"/>
      <c r="AK33" s="1"/>
      <c r="AL33" s="1"/>
      <c r="AM33" s="1"/>
      <c r="AN33" s="1"/>
      <c r="AO33" s="17" t="s">
        <v>706</v>
      </c>
      <c r="AP33" s="17" t="s">
        <v>707</v>
      </c>
      <c r="AQ33" s="1"/>
      <c r="AR33" s="1"/>
      <c r="AS33" s="1"/>
      <c r="AT33" s="1"/>
      <c r="AU33" s="19" t="s">
        <v>556</v>
      </c>
      <c r="AV33" s="19" t="s">
        <v>515</v>
      </c>
      <c r="AW33" s="21" t="s">
        <v>638</v>
      </c>
      <c r="AX33" s="19" t="s">
        <v>547</v>
      </c>
      <c r="AY33" s="19" t="s">
        <v>557</v>
      </c>
    </row>
    <row r="34" spans="12:51" x14ac:dyDescent="0.5">
      <c r="L34" s="1" t="s">
        <v>690</v>
      </c>
      <c r="M34" s="1" t="s">
        <v>664</v>
      </c>
      <c r="N34" s="1" t="s">
        <v>628</v>
      </c>
      <c r="O34" s="1" t="s">
        <v>643</v>
      </c>
      <c r="P34" s="1" t="s">
        <v>356</v>
      </c>
      <c r="Q34" s="1" t="s">
        <v>656</v>
      </c>
      <c r="R34" s="1"/>
      <c r="S34" s="63" t="s">
        <v>690</v>
      </c>
      <c r="T34" s="1" t="s">
        <v>664</v>
      </c>
      <c r="U34" s="1" t="s">
        <v>628</v>
      </c>
      <c r="V34" s="1" t="s">
        <v>643</v>
      </c>
      <c r="W34" s="1" t="s">
        <v>356</v>
      </c>
      <c r="X34" s="1" t="s">
        <v>656</v>
      </c>
      <c r="Y34" s="73" t="s">
        <v>355</v>
      </c>
      <c r="Z34" s="1" t="s">
        <v>616</v>
      </c>
      <c r="AA34" s="1" t="s">
        <v>708</v>
      </c>
      <c r="AB34" s="1" t="s">
        <v>669</v>
      </c>
      <c r="AC34" s="63" t="s">
        <v>709</v>
      </c>
      <c r="AD34" s="1"/>
      <c r="AE34" s="1" t="s">
        <v>710</v>
      </c>
      <c r="AF34" s="1"/>
      <c r="AG34" s="64"/>
      <c r="AH34" s="1"/>
      <c r="AI34" s="1"/>
      <c r="AJ34" s="1"/>
      <c r="AK34" s="1"/>
      <c r="AL34" s="1"/>
      <c r="AM34" s="1"/>
      <c r="AN34" s="1"/>
      <c r="AO34" s="17" t="s">
        <v>711</v>
      </c>
      <c r="AP34" s="17" t="s">
        <v>712</v>
      </c>
      <c r="AQ34" s="1"/>
      <c r="AR34" s="1"/>
      <c r="AS34" s="1"/>
      <c r="AT34" s="1"/>
      <c r="AU34" s="19" t="s">
        <v>652</v>
      </c>
      <c r="AV34" s="19" t="s">
        <v>550</v>
      </c>
      <c r="AW34" s="20" t="s">
        <v>588</v>
      </c>
      <c r="AX34" s="19" t="s">
        <v>605</v>
      </c>
      <c r="AY34" s="19" t="s">
        <v>53</v>
      </c>
    </row>
    <row r="35" spans="12:51" x14ac:dyDescent="0.5">
      <c r="L35" s="1" t="s">
        <v>713</v>
      </c>
      <c r="M35" s="1" t="s">
        <v>714</v>
      </c>
      <c r="N35" s="1" t="s">
        <v>715</v>
      </c>
      <c r="O35" s="1" t="s">
        <v>711</v>
      </c>
      <c r="P35" s="1" t="s">
        <v>570</v>
      </c>
      <c r="Q35" s="1" t="s">
        <v>622</v>
      </c>
      <c r="R35" s="1"/>
      <c r="S35" s="63" t="s">
        <v>713</v>
      </c>
      <c r="T35" s="1" t="s">
        <v>714</v>
      </c>
      <c r="U35" s="1" t="s">
        <v>715</v>
      </c>
      <c r="V35" s="1" t="s">
        <v>711</v>
      </c>
      <c r="W35" s="1" t="s">
        <v>570</v>
      </c>
      <c r="X35" s="1" t="s">
        <v>622</v>
      </c>
      <c r="Y35" s="63" t="s">
        <v>356</v>
      </c>
      <c r="Z35" s="1" t="s">
        <v>483</v>
      </c>
      <c r="AA35" s="1" t="s">
        <v>716</v>
      </c>
      <c r="AB35" s="1" t="s">
        <v>717</v>
      </c>
      <c r="AC35" s="67" t="s">
        <v>713</v>
      </c>
      <c r="AD35" s="1"/>
      <c r="AE35" s="1" t="s">
        <v>668</v>
      </c>
      <c r="AF35" s="1"/>
      <c r="AG35" s="64"/>
      <c r="AH35" s="1"/>
      <c r="AI35" s="1"/>
      <c r="AJ35" s="1"/>
      <c r="AK35" s="1"/>
      <c r="AL35" s="1"/>
      <c r="AM35" s="1"/>
      <c r="AN35" s="1"/>
      <c r="AO35" s="17" t="s">
        <v>559</v>
      </c>
      <c r="AP35" s="17" t="s">
        <v>625</v>
      </c>
      <c r="AQ35" s="1"/>
      <c r="AR35" s="1"/>
      <c r="AS35" s="1"/>
      <c r="AT35" s="1"/>
      <c r="AU35" s="19" t="s">
        <v>570</v>
      </c>
      <c r="AV35" s="21" t="s">
        <v>546</v>
      </c>
      <c r="AW35" s="18" t="s">
        <v>102</v>
      </c>
      <c r="AX35" s="21" t="s">
        <v>554</v>
      </c>
      <c r="AY35" s="19" t="s">
        <v>521</v>
      </c>
    </row>
    <row r="36" spans="12:51" x14ac:dyDescent="0.5">
      <c r="L36" s="1" t="s">
        <v>365</v>
      </c>
      <c r="M36" s="1" t="s">
        <v>653</v>
      </c>
      <c r="N36" s="1" t="s">
        <v>644</v>
      </c>
      <c r="O36" s="1" t="s">
        <v>718</v>
      </c>
      <c r="P36" s="1" t="s">
        <v>684</v>
      </c>
      <c r="Q36" s="1" t="s">
        <v>350</v>
      </c>
      <c r="R36" s="1"/>
      <c r="S36" s="63" t="s">
        <v>365</v>
      </c>
      <c r="T36" s="1" t="s">
        <v>653</v>
      </c>
      <c r="U36" s="1" t="s">
        <v>644</v>
      </c>
      <c r="V36" s="1" t="s">
        <v>718</v>
      </c>
      <c r="W36" s="1" t="s">
        <v>684</v>
      </c>
      <c r="X36" s="65" t="s">
        <v>350</v>
      </c>
      <c r="Y36" s="63" t="s">
        <v>636</v>
      </c>
      <c r="Z36" s="1" t="s">
        <v>719</v>
      </c>
      <c r="AA36" s="1" t="s">
        <v>720</v>
      </c>
      <c r="AB36" s="1" t="s">
        <v>612</v>
      </c>
      <c r="AC36" s="63" t="s">
        <v>668</v>
      </c>
      <c r="AD36" s="1"/>
      <c r="AE36" s="1" t="s">
        <v>721</v>
      </c>
      <c r="AF36" s="1"/>
      <c r="AG36" s="64"/>
      <c r="AH36" s="1"/>
      <c r="AI36" s="1"/>
      <c r="AJ36" s="1"/>
      <c r="AK36" s="1"/>
      <c r="AL36" s="1"/>
      <c r="AM36" s="1"/>
      <c r="AN36" s="1"/>
      <c r="AO36" s="1"/>
      <c r="AP36" s="17" t="s">
        <v>676</v>
      </c>
      <c r="AQ36" s="1"/>
      <c r="AR36" s="1"/>
      <c r="AS36" s="1"/>
      <c r="AT36" s="1"/>
      <c r="AU36" s="19" t="s">
        <v>579</v>
      </c>
      <c r="AV36" s="19" t="s">
        <v>526</v>
      </c>
      <c r="AW36" s="19" t="s">
        <v>556</v>
      </c>
      <c r="AX36" s="21" t="s">
        <v>611</v>
      </c>
      <c r="AY36" s="19" t="s">
        <v>622</v>
      </c>
    </row>
    <row r="37" spans="12:51" x14ac:dyDescent="0.5">
      <c r="L37" s="1" t="s">
        <v>722</v>
      </c>
      <c r="M37" s="1" t="s">
        <v>660</v>
      </c>
      <c r="N37" s="1" t="s">
        <v>723</v>
      </c>
      <c r="O37" s="1"/>
      <c r="P37" s="1" t="s">
        <v>359</v>
      </c>
      <c r="Q37" s="1" t="s">
        <v>608</v>
      </c>
      <c r="R37" s="1"/>
      <c r="S37" s="63" t="s">
        <v>722</v>
      </c>
      <c r="T37" s="1" t="s">
        <v>660</v>
      </c>
      <c r="U37" s="1" t="s">
        <v>723</v>
      </c>
      <c r="V37" s="1"/>
      <c r="W37" s="1" t="s">
        <v>359</v>
      </c>
      <c r="X37" s="1" t="s">
        <v>608</v>
      </c>
      <c r="Y37" s="63" t="s">
        <v>724</v>
      </c>
      <c r="Z37" s="1" t="s">
        <v>725</v>
      </c>
      <c r="AA37" s="1" t="s">
        <v>359</v>
      </c>
      <c r="AB37" s="1" t="s">
        <v>690</v>
      </c>
      <c r="AC37" s="63" t="s">
        <v>659</v>
      </c>
      <c r="AD37" s="1"/>
      <c r="AE37" s="1" t="s">
        <v>665</v>
      </c>
      <c r="AF37" s="1"/>
      <c r="AG37" s="64"/>
      <c r="AH37" s="1"/>
      <c r="AI37" s="1"/>
      <c r="AJ37" s="1"/>
      <c r="AK37" s="1"/>
      <c r="AL37" s="1"/>
      <c r="AM37" s="1"/>
      <c r="AN37" s="1"/>
      <c r="AO37" s="1"/>
      <c r="AP37" s="17" t="s">
        <v>726</v>
      </c>
      <c r="AQ37" s="1"/>
      <c r="AR37" s="1"/>
      <c r="AS37" s="1"/>
      <c r="AT37" s="1"/>
      <c r="AU37" s="19" t="s">
        <v>359</v>
      </c>
      <c r="AV37" s="19" t="s">
        <v>88</v>
      </c>
      <c r="AW37" s="21" t="s">
        <v>652</v>
      </c>
      <c r="AX37" s="21" t="s">
        <v>552</v>
      </c>
      <c r="AY37" s="19" t="s">
        <v>608</v>
      </c>
    </row>
    <row r="38" spans="12:51" x14ac:dyDescent="0.5">
      <c r="L38" s="1" t="s">
        <v>727</v>
      </c>
      <c r="M38" s="1" t="s">
        <v>668</v>
      </c>
      <c r="N38" s="1" t="s">
        <v>643</v>
      </c>
      <c r="O38" s="1"/>
      <c r="P38" s="1" t="s">
        <v>728</v>
      </c>
      <c r="Q38" s="1" t="s">
        <v>92</v>
      </c>
      <c r="R38" s="1"/>
      <c r="S38" s="63" t="s">
        <v>727</v>
      </c>
      <c r="T38" s="1" t="s">
        <v>668</v>
      </c>
      <c r="U38" s="1" t="s">
        <v>643</v>
      </c>
      <c r="V38" s="1"/>
      <c r="W38" s="1" t="s">
        <v>728</v>
      </c>
      <c r="X38" s="1" t="s">
        <v>92</v>
      </c>
      <c r="Y38" s="63" t="s">
        <v>729</v>
      </c>
      <c r="Z38" s="74" t="s">
        <v>365</v>
      </c>
      <c r="AA38" s="1" t="s">
        <v>730</v>
      </c>
      <c r="AB38" s="1" t="s">
        <v>731</v>
      </c>
      <c r="AC38" s="63" t="s">
        <v>732</v>
      </c>
      <c r="AD38" s="1"/>
      <c r="AE38" s="1" t="s">
        <v>732</v>
      </c>
      <c r="AF38" s="1"/>
      <c r="AG38" s="64"/>
      <c r="AH38" s="1"/>
      <c r="AI38" s="1"/>
      <c r="AJ38" s="1"/>
      <c r="AK38" s="1"/>
      <c r="AL38" s="1"/>
      <c r="AM38" s="1"/>
      <c r="AN38" s="1"/>
      <c r="AO38" s="1"/>
      <c r="AP38" s="17" t="s">
        <v>733</v>
      </c>
      <c r="AQ38" s="1"/>
      <c r="AR38" s="1"/>
      <c r="AS38" s="1"/>
      <c r="AT38" s="1"/>
      <c r="AU38" s="19" t="s">
        <v>655</v>
      </c>
      <c r="AV38" s="18" t="s">
        <v>557</v>
      </c>
      <c r="AW38" s="18" t="s">
        <v>359</v>
      </c>
      <c r="AX38" s="21" t="s">
        <v>623</v>
      </c>
      <c r="AY38" s="19" t="s">
        <v>670</v>
      </c>
    </row>
    <row r="39" spans="12:51" x14ac:dyDescent="0.5">
      <c r="L39" s="1" t="s">
        <v>643</v>
      </c>
      <c r="M39" s="1" t="s">
        <v>711</v>
      </c>
      <c r="N39" s="1" t="s">
        <v>714</v>
      </c>
      <c r="O39" s="1"/>
      <c r="P39" s="1" t="s">
        <v>734</v>
      </c>
      <c r="Q39" s="1" t="s">
        <v>92</v>
      </c>
      <c r="R39" s="1"/>
      <c r="S39" s="63" t="s">
        <v>643</v>
      </c>
      <c r="T39" s="1" t="s">
        <v>711</v>
      </c>
      <c r="U39" s="1" t="s">
        <v>714</v>
      </c>
      <c r="V39" s="1"/>
      <c r="W39" s="1" t="s">
        <v>734</v>
      </c>
      <c r="X39" s="1" t="s">
        <v>92</v>
      </c>
      <c r="Y39" s="63" t="s">
        <v>735</v>
      </c>
      <c r="Z39" s="1" t="s">
        <v>727</v>
      </c>
      <c r="AA39" s="1" t="s">
        <v>569</v>
      </c>
      <c r="AB39" s="1" t="s">
        <v>365</v>
      </c>
      <c r="AC39" s="63" t="s">
        <v>692</v>
      </c>
      <c r="AD39" s="1"/>
      <c r="AE39" s="1" t="s">
        <v>689</v>
      </c>
      <c r="AF39" s="1"/>
      <c r="AG39" s="64"/>
      <c r="AH39" s="1"/>
      <c r="AI39" s="1"/>
      <c r="AJ39" s="1"/>
      <c r="AK39" s="1"/>
      <c r="AL39" s="1"/>
      <c r="AM39" s="1"/>
      <c r="AN39" s="1"/>
      <c r="AO39" s="1"/>
      <c r="AP39" s="17" t="s">
        <v>606</v>
      </c>
      <c r="AQ39" s="1"/>
      <c r="AR39" s="1"/>
      <c r="AS39" s="1"/>
      <c r="AT39" s="1"/>
      <c r="AU39" s="19" t="s">
        <v>569</v>
      </c>
      <c r="AV39" s="20" t="s">
        <v>571</v>
      </c>
      <c r="AW39" s="21" t="s">
        <v>645</v>
      </c>
      <c r="AX39" s="21" t="s">
        <v>490</v>
      </c>
      <c r="AY39" s="19" t="s">
        <v>553</v>
      </c>
    </row>
    <row r="40" spans="12:51" ht="17" thickBot="1" x14ac:dyDescent="0.55000000000000004">
      <c r="L40" s="1" t="s">
        <v>664</v>
      </c>
      <c r="M40" s="1" t="s">
        <v>667</v>
      </c>
      <c r="N40" s="1" t="s">
        <v>366</v>
      </c>
      <c r="O40" s="1"/>
      <c r="P40" s="1" t="s">
        <v>724</v>
      </c>
      <c r="Q40" s="1" t="s">
        <v>736</v>
      </c>
      <c r="R40" s="1"/>
      <c r="S40" s="63" t="s">
        <v>664</v>
      </c>
      <c r="T40" s="1" t="s">
        <v>667</v>
      </c>
      <c r="U40" s="65" t="s">
        <v>366</v>
      </c>
      <c r="V40" s="1"/>
      <c r="W40" s="1" t="s">
        <v>724</v>
      </c>
      <c r="X40" s="1" t="s">
        <v>736</v>
      </c>
      <c r="Y40" s="63" t="s">
        <v>735</v>
      </c>
      <c r="Z40" s="1" t="s">
        <v>660</v>
      </c>
      <c r="AA40" s="1" t="s">
        <v>687</v>
      </c>
      <c r="AB40" s="1" t="s">
        <v>737</v>
      </c>
      <c r="AC40" s="69" t="s">
        <v>738</v>
      </c>
      <c r="AD40" s="70"/>
      <c r="AE40" s="1" t="s">
        <v>92</v>
      </c>
      <c r="AF40" s="70"/>
      <c r="AG40" s="71"/>
      <c r="AH40" s="1"/>
      <c r="AI40" s="1"/>
      <c r="AJ40" s="1"/>
      <c r="AK40" s="1"/>
      <c r="AL40" s="1"/>
      <c r="AM40" s="1"/>
      <c r="AN40" s="1"/>
      <c r="AO40" s="1"/>
      <c r="AP40" s="17" t="s">
        <v>739</v>
      </c>
      <c r="AQ40" s="1"/>
      <c r="AR40" s="1"/>
      <c r="AS40" s="1"/>
      <c r="AT40" s="1"/>
      <c r="AU40" s="19" t="s">
        <v>587</v>
      </c>
      <c r="AV40" s="21" t="s">
        <v>536</v>
      </c>
      <c r="AW40" s="19" t="s">
        <v>555</v>
      </c>
      <c r="AX40" s="21" t="s">
        <v>633</v>
      </c>
      <c r="AY40" s="19" t="s">
        <v>568</v>
      </c>
    </row>
    <row r="41" spans="12:51" x14ac:dyDescent="0.5">
      <c r="L41" s="1" t="s">
        <v>740</v>
      </c>
      <c r="M41" s="1" t="s">
        <v>369</v>
      </c>
      <c r="N41" s="1" t="s">
        <v>680</v>
      </c>
      <c r="O41" s="1"/>
      <c r="P41" s="1" t="s">
        <v>616</v>
      </c>
      <c r="Q41" s="1" t="s">
        <v>741</v>
      </c>
      <c r="R41" s="1"/>
      <c r="S41" s="63" t="s">
        <v>740</v>
      </c>
      <c r="T41" s="1" t="s">
        <v>369</v>
      </c>
      <c r="U41" s="1" t="s">
        <v>680</v>
      </c>
      <c r="V41" s="1"/>
      <c r="W41" s="1" t="s">
        <v>616</v>
      </c>
      <c r="X41" s="1" t="s">
        <v>741</v>
      </c>
      <c r="Y41" s="63" t="s">
        <v>669</v>
      </c>
      <c r="Z41" s="1" t="s">
        <v>742</v>
      </c>
      <c r="AA41" s="1" t="s">
        <v>703</v>
      </c>
      <c r="AB41" s="64" t="s">
        <v>743</v>
      </c>
      <c r="AC41" s="1"/>
      <c r="AD41" s="1"/>
      <c r="AE41" s="1"/>
      <c r="AF41" s="1"/>
      <c r="AG41" s="1"/>
      <c r="AH41" s="1"/>
      <c r="AI41" s="1"/>
      <c r="AJ41" s="1"/>
      <c r="AK41" s="1"/>
      <c r="AL41" s="1"/>
      <c r="AM41" s="1"/>
      <c r="AN41" s="1"/>
      <c r="AO41" s="1"/>
      <c r="AP41" s="17" t="s">
        <v>744</v>
      </c>
      <c r="AQ41" s="1"/>
      <c r="AR41" s="1"/>
      <c r="AS41" s="1"/>
      <c r="AT41" s="1"/>
      <c r="AU41" s="19" t="s">
        <v>663</v>
      </c>
      <c r="AV41" s="19" t="s">
        <v>560</v>
      </c>
      <c r="AW41" s="21" t="s">
        <v>616</v>
      </c>
      <c r="AX41" s="19" t="s">
        <v>530</v>
      </c>
      <c r="AY41" s="19" t="s">
        <v>352</v>
      </c>
    </row>
    <row r="42" spans="12:51" x14ac:dyDescent="0.5">
      <c r="L42" s="1" t="s">
        <v>660</v>
      </c>
      <c r="M42" s="1" t="s">
        <v>745</v>
      </c>
      <c r="N42" s="1" t="s">
        <v>692</v>
      </c>
      <c r="O42" s="1"/>
      <c r="P42" s="1" t="s">
        <v>483</v>
      </c>
      <c r="Q42" s="1" t="s">
        <v>712</v>
      </c>
      <c r="R42" s="1"/>
      <c r="S42" s="63" t="s">
        <v>660</v>
      </c>
      <c r="T42" s="1" t="s">
        <v>745</v>
      </c>
      <c r="U42" s="1" t="s">
        <v>692</v>
      </c>
      <c r="V42" s="1"/>
      <c r="W42" s="1" t="s">
        <v>483</v>
      </c>
      <c r="X42" s="1" t="s">
        <v>712</v>
      </c>
      <c r="Y42" s="63" t="s">
        <v>628</v>
      </c>
      <c r="Z42" s="1"/>
      <c r="AA42" s="1" t="s">
        <v>616</v>
      </c>
      <c r="AB42" s="64" t="s">
        <v>746</v>
      </c>
      <c r="AC42" s="1"/>
      <c r="AD42" s="1"/>
      <c r="AE42" s="1"/>
      <c r="AF42" s="1"/>
      <c r="AG42" s="1"/>
      <c r="AH42" s="1"/>
      <c r="AI42" s="1"/>
      <c r="AJ42" s="1"/>
      <c r="AK42" s="1"/>
      <c r="AL42" s="1"/>
      <c r="AM42" s="1"/>
      <c r="AN42" s="1"/>
      <c r="AO42" s="1"/>
      <c r="AP42" s="17" t="s">
        <v>690</v>
      </c>
      <c r="AQ42" s="1"/>
      <c r="AR42" s="1"/>
      <c r="AS42" s="1"/>
      <c r="AT42" s="1"/>
      <c r="AU42" s="19" t="s">
        <v>607</v>
      </c>
      <c r="AV42" s="18" t="s">
        <v>521</v>
      </c>
      <c r="AW42" s="19" t="s">
        <v>360</v>
      </c>
      <c r="AX42" s="21" t="s">
        <v>499</v>
      </c>
      <c r="AY42" s="19" t="s">
        <v>102</v>
      </c>
    </row>
    <row r="43" spans="12:51" x14ac:dyDescent="0.5">
      <c r="L43" s="1" t="s">
        <v>747</v>
      </c>
      <c r="M43" s="1" t="s">
        <v>643</v>
      </c>
      <c r="N43" s="1" t="s">
        <v>738</v>
      </c>
      <c r="O43" s="1"/>
      <c r="P43" s="1" t="s">
        <v>735</v>
      </c>
      <c r="Q43" s="1" t="s">
        <v>625</v>
      </c>
      <c r="R43" s="1"/>
      <c r="S43" s="63" t="s">
        <v>747</v>
      </c>
      <c r="T43" s="1" t="s">
        <v>643</v>
      </c>
      <c r="U43" s="1" t="s">
        <v>738</v>
      </c>
      <c r="V43" s="1"/>
      <c r="W43" s="1" t="s">
        <v>735</v>
      </c>
      <c r="X43" s="1" t="s">
        <v>625</v>
      </c>
      <c r="Y43" s="63" t="s">
        <v>748</v>
      </c>
      <c r="Z43" s="1"/>
      <c r="AA43" s="1" t="s">
        <v>676</v>
      </c>
      <c r="AB43" s="64" t="s">
        <v>749</v>
      </c>
      <c r="AC43" s="1"/>
      <c r="AD43" s="1"/>
      <c r="AE43" s="1"/>
      <c r="AF43" s="1"/>
      <c r="AG43" s="1"/>
      <c r="AH43" s="1"/>
      <c r="AI43" s="1"/>
      <c r="AJ43" s="1"/>
      <c r="AK43" s="1"/>
      <c r="AL43" s="1"/>
      <c r="AM43" s="1"/>
      <c r="AN43" s="1"/>
      <c r="AO43" s="1"/>
      <c r="AP43" s="17" t="s">
        <v>750</v>
      </c>
      <c r="AQ43" s="1"/>
      <c r="AR43" s="1"/>
      <c r="AS43" s="1"/>
      <c r="AT43" s="1"/>
      <c r="AU43" s="19" t="s">
        <v>627</v>
      </c>
      <c r="AV43" s="19" t="s">
        <v>583</v>
      </c>
      <c r="AW43" s="21" t="s">
        <v>701</v>
      </c>
      <c r="AX43" s="21" t="s">
        <v>346</v>
      </c>
      <c r="AY43" s="19" t="s">
        <v>625</v>
      </c>
    </row>
    <row r="44" spans="12:51" x14ac:dyDescent="0.5">
      <c r="L44" s="1" t="s">
        <v>668</v>
      </c>
      <c r="M44" s="1"/>
      <c r="N44" s="1" t="s">
        <v>370</v>
      </c>
      <c r="O44" s="1"/>
      <c r="P44" s="1" t="s">
        <v>661</v>
      </c>
      <c r="Q44" s="1" t="s">
        <v>751</v>
      </c>
      <c r="R44" s="1"/>
      <c r="S44" s="67" t="s">
        <v>668</v>
      </c>
      <c r="T44" s="1"/>
      <c r="U44" s="1"/>
      <c r="V44" s="1"/>
      <c r="W44" s="1" t="s">
        <v>661</v>
      </c>
      <c r="X44" s="1" t="s">
        <v>751</v>
      </c>
      <c r="Y44" s="63" t="s">
        <v>690</v>
      </c>
      <c r="Z44" s="1"/>
      <c r="AA44" s="1" t="s">
        <v>752</v>
      </c>
      <c r="AB44" s="64" t="s">
        <v>740</v>
      </c>
      <c r="AC44" s="1"/>
      <c r="AD44" s="1"/>
      <c r="AE44" s="1"/>
      <c r="AF44" s="1"/>
      <c r="AG44" s="1"/>
      <c r="AH44" s="1"/>
      <c r="AI44" s="1"/>
      <c r="AJ44" s="1"/>
      <c r="AK44" s="1"/>
      <c r="AL44" s="1"/>
      <c r="AM44" s="1"/>
      <c r="AN44" s="1"/>
      <c r="AO44" s="1"/>
      <c r="AP44" s="17" t="s">
        <v>668</v>
      </c>
      <c r="AQ44" s="1"/>
      <c r="AR44" s="1"/>
      <c r="AS44" s="1"/>
      <c r="AT44" s="1"/>
      <c r="AU44" s="19" t="s">
        <v>612</v>
      </c>
      <c r="AV44" s="21" t="s">
        <v>112</v>
      </c>
      <c r="AW44" s="19" t="s">
        <v>628</v>
      </c>
      <c r="AX44" s="21" t="s">
        <v>520</v>
      </c>
      <c r="AY44" s="19" t="s">
        <v>634</v>
      </c>
    </row>
    <row r="45" spans="12:51" x14ac:dyDescent="0.5">
      <c r="L45" s="1" t="s">
        <v>753</v>
      </c>
      <c r="M45" s="1"/>
      <c r="N45" s="1"/>
      <c r="O45" s="1"/>
      <c r="P45" s="1" t="s">
        <v>675</v>
      </c>
      <c r="Q45" s="1" t="s">
        <v>751</v>
      </c>
      <c r="R45" s="1"/>
      <c r="S45" s="63" t="s">
        <v>753</v>
      </c>
      <c r="T45" s="1"/>
      <c r="U45" s="1"/>
      <c r="V45" s="1"/>
      <c r="W45" s="1" t="s">
        <v>675</v>
      </c>
      <c r="X45" s="1" t="s">
        <v>751</v>
      </c>
      <c r="Y45" s="63" t="s">
        <v>754</v>
      </c>
      <c r="Z45" s="1"/>
      <c r="AA45" s="1" t="s">
        <v>755</v>
      </c>
      <c r="AB45" s="64" t="s">
        <v>366</v>
      </c>
      <c r="AC45" s="1"/>
      <c r="AD45" s="1"/>
      <c r="AE45" s="1"/>
      <c r="AF45" s="1"/>
      <c r="AG45" s="1"/>
      <c r="AH45" s="1"/>
      <c r="AI45" s="1"/>
      <c r="AJ45" s="1"/>
      <c r="AK45" s="1"/>
      <c r="AL45" s="1"/>
      <c r="AM45" s="1"/>
      <c r="AN45" s="1"/>
      <c r="AO45" s="1"/>
      <c r="AP45" s="17" t="s">
        <v>598</v>
      </c>
      <c r="AQ45" s="1"/>
      <c r="AR45" s="1"/>
      <c r="AS45" s="1"/>
      <c r="AT45" s="1"/>
      <c r="AU45" s="19" t="s">
        <v>700</v>
      </c>
      <c r="AV45" s="20" t="s">
        <v>589</v>
      </c>
      <c r="AW45" s="21" t="s">
        <v>715</v>
      </c>
      <c r="AX45" s="19" t="s">
        <v>506</v>
      </c>
      <c r="AY45" s="19" t="s">
        <v>642</v>
      </c>
    </row>
    <row r="46" spans="12:51" x14ac:dyDescent="0.5">
      <c r="L46" s="1"/>
      <c r="M46" s="1"/>
      <c r="N46" s="1"/>
      <c r="O46" s="1"/>
      <c r="P46" s="1" t="s">
        <v>669</v>
      </c>
      <c r="Q46" s="1" t="s">
        <v>676</v>
      </c>
      <c r="R46" s="1"/>
      <c r="S46" s="63"/>
      <c r="T46" s="1"/>
      <c r="U46" s="1"/>
      <c r="V46" s="1"/>
      <c r="W46" s="1" t="s">
        <v>669</v>
      </c>
      <c r="X46" s="1" t="s">
        <v>676</v>
      </c>
      <c r="Y46" s="63" t="s">
        <v>723</v>
      </c>
      <c r="Z46" s="1"/>
      <c r="AA46" s="1" t="s">
        <v>735</v>
      </c>
      <c r="AB46" s="64" t="s">
        <v>756</v>
      </c>
      <c r="AC46" s="1"/>
      <c r="AD46" s="1"/>
      <c r="AE46" s="1"/>
      <c r="AF46" s="1"/>
      <c r="AG46" s="1"/>
      <c r="AH46" s="1"/>
      <c r="AI46" s="1"/>
      <c r="AJ46" s="1"/>
      <c r="AK46" s="1"/>
      <c r="AL46" s="1"/>
      <c r="AM46" s="1"/>
      <c r="AN46" s="1"/>
      <c r="AO46" s="1"/>
      <c r="AP46" s="17" t="s">
        <v>738</v>
      </c>
      <c r="AQ46" s="1"/>
      <c r="AR46" s="1"/>
      <c r="AS46" s="1"/>
      <c r="AT46" s="1"/>
      <c r="AU46" s="19" t="s">
        <v>643</v>
      </c>
      <c r="AV46" s="18" t="s">
        <v>597</v>
      </c>
      <c r="AW46" s="18" t="s">
        <v>362</v>
      </c>
      <c r="AX46" s="19" t="s">
        <v>546</v>
      </c>
      <c r="AY46" s="19" t="s">
        <v>361</v>
      </c>
    </row>
    <row r="47" spans="12:51" x14ac:dyDescent="0.5">
      <c r="L47" s="1"/>
      <c r="M47" s="1"/>
      <c r="N47" s="1"/>
      <c r="O47" s="1"/>
      <c r="P47" s="1" t="s">
        <v>628</v>
      </c>
      <c r="Q47" s="1" t="s">
        <v>735</v>
      </c>
      <c r="R47" s="1"/>
      <c r="S47" s="63"/>
      <c r="T47" s="1"/>
      <c r="U47" s="1"/>
      <c r="V47" s="1"/>
      <c r="W47" s="1" t="s">
        <v>628</v>
      </c>
      <c r="X47" s="1" t="s">
        <v>735</v>
      </c>
      <c r="Y47" s="63" t="s">
        <v>757</v>
      </c>
      <c r="Z47" s="1"/>
      <c r="AA47" s="1" t="s">
        <v>704</v>
      </c>
      <c r="AB47" s="64" t="s">
        <v>660</v>
      </c>
      <c r="AC47" s="1"/>
      <c r="AD47" s="1"/>
      <c r="AE47" s="1"/>
      <c r="AF47" s="1"/>
      <c r="AG47" s="1"/>
      <c r="AH47" s="1"/>
      <c r="AI47" s="1"/>
      <c r="AJ47" s="1"/>
      <c r="AK47" s="1"/>
      <c r="AL47" s="1"/>
      <c r="AM47" s="1"/>
      <c r="AN47" s="1"/>
      <c r="AO47" s="1"/>
      <c r="AP47" s="17"/>
      <c r="AQ47" s="1"/>
      <c r="AR47" s="1"/>
      <c r="AS47" s="1"/>
      <c r="AT47" s="1"/>
      <c r="AU47" s="19" t="s">
        <v>664</v>
      </c>
      <c r="AV47" s="19" t="s">
        <v>512</v>
      </c>
      <c r="AW47" s="19" t="s">
        <v>644</v>
      </c>
      <c r="AX47" s="21" t="s">
        <v>526</v>
      </c>
      <c r="AY47" s="19" t="s">
        <v>606</v>
      </c>
    </row>
    <row r="48" spans="12:51" x14ac:dyDescent="0.5">
      <c r="L48" s="1"/>
      <c r="M48" s="1"/>
      <c r="N48" s="1"/>
      <c r="O48" s="1"/>
      <c r="P48" s="1" t="s">
        <v>628</v>
      </c>
      <c r="Q48" s="1" t="s">
        <v>661</v>
      </c>
      <c r="R48" s="1"/>
      <c r="S48" s="63"/>
      <c r="T48" s="1"/>
      <c r="U48" s="1"/>
      <c r="V48" s="1"/>
      <c r="W48" s="1" t="s">
        <v>628</v>
      </c>
      <c r="X48" s="1" t="s">
        <v>661</v>
      </c>
      <c r="Y48" s="63" t="s">
        <v>758</v>
      </c>
      <c r="Z48" s="1"/>
      <c r="AA48" s="1" t="s">
        <v>634</v>
      </c>
      <c r="AB48" s="64" t="s">
        <v>759</v>
      </c>
      <c r="AC48" s="1"/>
      <c r="AD48" s="1"/>
      <c r="AE48" s="1"/>
      <c r="AF48" s="1"/>
      <c r="AG48" s="1"/>
      <c r="AH48" s="1"/>
      <c r="AI48" s="1"/>
      <c r="AJ48" s="1"/>
      <c r="AK48" s="1"/>
      <c r="AL48" s="1"/>
      <c r="AM48" s="1"/>
      <c r="AN48" s="1"/>
      <c r="AO48" s="1"/>
      <c r="AP48" s="1"/>
      <c r="AQ48" s="1"/>
      <c r="AR48" s="1"/>
      <c r="AS48" s="1"/>
      <c r="AT48" s="1"/>
      <c r="AU48" s="19" t="s">
        <v>714</v>
      </c>
      <c r="AV48" s="20" t="s">
        <v>350</v>
      </c>
      <c r="AW48" s="21" t="s">
        <v>723</v>
      </c>
      <c r="AX48" s="19" t="s">
        <v>557</v>
      </c>
      <c r="AY48" s="19" t="s">
        <v>612</v>
      </c>
    </row>
    <row r="49" spans="16:51" x14ac:dyDescent="0.5">
      <c r="P49" s="1" t="s">
        <v>760</v>
      </c>
      <c r="Q49" s="1" t="s">
        <v>761</v>
      </c>
      <c r="R49" s="1"/>
      <c r="S49" s="63"/>
      <c r="T49" s="1"/>
      <c r="U49" s="1"/>
      <c r="V49" s="1"/>
      <c r="W49" s="1" t="s">
        <v>760</v>
      </c>
      <c r="X49" s="1" t="s">
        <v>761</v>
      </c>
      <c r="Y49" s="63" t="s">
        <v>762</v>
      </c>
      <c r="Z49" s="1"/>
      <c r="AA49" s="1" t="s">
        <v>701</v>
      </c>
      <c r="AB49" s="64" t="s">
        <v>659</v>
      </c>
      <c r="AC49" s="1"/>
      <c r="AD49" s="1"/>
      <c r="AE49" s="1"/>
      <c r="AF49" s="1"/>
      <c r="AG49" s="1"/>
      <c r="AH49" s="1"/>
      <c r="AI49" s="1"/>
      <c r="AJ49" s="1"/>
      <c r="AK49" s="1"/>
      <c r="AL49" s="1"/>
      <c r="AM49" s="1"/>
      <c r="AN49" s="1"/>
      <c r="AO49" s="1"/>
      <c r="AP49" s="1"/>
      <c r="AQ49" s="1"/>
      <c r="AR49" s="1"/>
      <c r="AS49" s="1"/>
      <c r="AT49" s="1"/>
      <c r="AU49" s="19" t="s">
        <v>653</v>
      </c>
      <c r="AV49" s="21" t="s">
        <v>608</v>
      </c>
      <c r="AW49" s="19" t="s">
        <v>643</v>
      </c>
      <c r="AX49" s="21" t="s">
        <v>53</v>
      </c>
      <c r="AY49" s="19" t="s">
        <v>624</v>
      </c>
    </row>
    <row r="50" spans="16:51" x14ac:dyDescent="0.5">
      <c r="P50" s="1" t="s">
        <v>362</v>
      </c>
      <c r="Q50" s="1" t="s">
        <v>627</v>
      </c>
      <c r="R50" s="1"/>
      <c r="S50" s="63"/>
      <c r="T50" s="1"/>
      <c r="U50" s="1"/>
      <c r="V50" s="1"/>
      <c r="W50" s="1" t="s">
        <v>362</v>
      </c>
      <c r="X50" s="1" t="s">
        <v>627</v>
      </c>
      <c r="Y50" s="63" t="s">
        <v>369</v>
      </c>
      <c r="Z50" s="1"/>
      <c r="AA50" s="1" t="s">
        <v>669</v>
      </c>
      <c r="AB50" s="64" t="s">
        <v>763</v>
      </c>
      <c r="AC50" s="1"/>
      <c r="AD50" s="1"/>
      <c r="AE50" s="1"/>
      <c r="AF50" s="1"/>
      <c r="AG50" s="1"/>
      <c r="AH50" s="1"/>
      <c r="AI50" s="1"/>
      <c r="AJ50" s="1"/>
      <c r="AK50" s="1"/>
      <c r="AL50" s="1"/>
      <c r="AM50" s="1"/>
      <c r="AN50" s="1"/>
      <c r="AO50" s="1"/>
      <c r="AP50" s="1"/>
      <c r="AQ50" s="1"/>
      <c r="AR50" s="1"/>
      <c r="AS50" s="1"/>
      <c r="AT50" s="1"/>
      <c r="AU50" s="19" t="s">
        <v>660</v>
      </c>
      <c r="AV50" s="19" t="s">
        <v>618</v>
      </c>
      <c r="AW50" s="21" t="s">
        <v>714</v>
      </c>
      <c r="AX50" s="21" t="s">
        <v>521</v>
      </c>
      <c r="AY50" s="19" t="s">
        <v>538</v>
      </c>
    </row>
    <row r="51" spans="16:51" x14ac:dyDescent="0.5">
      <c r="P51" s="1" t="s">
        <v>764</v>
      </c>
      <c r="Q51" s="1" t="s">
        <v>765</v>
      </c>
      <c r="R51" s="1"/>
      <c r="S51" s="63"/>
      <c r="T51" s="1"/>
      <c r="U51" s="1"/>
      <c r="V51" s="1"/>
      <c r="W51" s="1" t="s">
        <v>764</v>
      </c>
      <c r="X51" s="1" t="s">
        <v>765</v>
      </c>
      <c r="Y51" s="63" t="s">
        <v>742</v>
      </c>
      <c r="Z51" s="1"/>
      <c r="AA51" s="1" t="s">
        <v>628</v>
      </c>
      <c r="AB51" s="64" t="s">
        <v>766</v>
      </c>
      <c r="AC51" s="1"/>
      <c r="AD51" s="1"/>
      <c r="AE51" s="1"/>
      <c r="AF51" s="1"/>
      <c r="AG51" s="1"/>
      <c r="AH51" s="1"/>
      <c r="AI51" s="1"/>
      <c r="AJ51" s="1"/>
      <c r="AK51" s="1"/>
      <c r="AL51" s="1"/>
      <c r="AM51" s="1"/>
      <c r="AN51" s="1"/>
      <c r="AO51" s="1"/>
      <c r="AP51" s="1"/>
      <c r="AQ51" s="1"/>
      <c r="AR51" s="1"/>
      <c r="AS51" s="1"/>
      <c r="AT51" s="1"/>
      <c r="AU51" s="19" t="s">
        <v>668</v>
      </c>
      <c r="AV51" s="19" t="s">
        <v>92</v>
      </c>
      <c r="AW51" s="19" t="s">
        <v>366</v>
      </c>
      <c r="AX51" s="21" t="s">
        <v>656</v>
      </c>
      <c r="AY51" s="19" t="s">
        <v>697</v>
      </c>
    </row>
    <row r="52" spans="16:51" x14ac:dyDescent="0.5">
      <c r="P52" s="1" t="s">
        <v>725</v>
      </c>
      <c r="Q52" s="1" t="s">
        <v>750</v>
      </c>
      <c r="R52" s="1"/>
      <c r="S52" s="63"/>
      <c r="T52" s="1"/>
      <c r="U52" s="1"/>
      <c r="V52" s="1"/>
      <c r="W52" s="1" t="s">
        <v>725</v>
      </c>
      <c r="X52" s="1" t="s">
        <v>750</v>
      </c>
      <c r="Y52" s="63" t="s">
        <v>372</v>
      </c>
      <c r="Z52" s="1"/>
      <c r="AA52" s="1" t="s">
        <v>767</v>
      </c>
      <c r="AB52" s="64" t="s">
        <v>768</v>
      </c>
      <c r="AC52" s="1"/>
      <c r="AD52" s="1"/>
      <c r="AE52" s="1"/>
      <c r="AF52" s="1"/>
      <c r="AG52" s="1"/>
      <c r="AH52" s="1"/>
      <c r="AI52" s="1"/>
      <c r="AJ52" s="1"/>
      <c r="AK52" s="1"/>
      <c r="AL52" s="1"/>
      <c r="AM52" s="1"/>
      <c r="AN52" s="1"/>
      <c r="AO52" s="1"/>
      <c r="AP52" s="1"/>
      <c r="AQ52" s="1"/>
      <c r="AR52" s="1"/>
      <c r="AS52" s="1"/>
      <c r="AT52" s="1"/>
      <c r="AU52" s="19" t="s">
        <v>711</v>
      </c>
      <c r="AV52" s="18" t="s">
        <v>582</v>
      </c>
      <c r="AW52" s="20" t="s">
        <v>653</v>
      </c>
      <c r="AX52" s="19" t="s">
        <v>613</v>
      </c>
      <c r="AY52" s="19" t="s">
        <v>705</v>
      </c>
    </row>
    <row r="53" spans="16:51" x14ac:dyDescent="0.5">
      <c r="P53" s="1" t="s">
        <v>627</v>
      </c>
      <c r="Q53" s="1" t="s">
        <v>769</v>
      </c>
      <c r="R53" s="1"/>
      <c r="S53" s="63"/>
      <c r="T53" s="1"/>
      <c r="U53" s="1"/>
      <c r="V53" s="1"/>
      <c r="W53" s="1" t="s">
        <v>627</v>
      </c>
      <c r="X53" s="1" t="s">
        <v>769</v>
      </c>
      <c r="Y53" s="63"/>
      <c r="Z53" s="1"/>
      <c r="AA53" s="1" t="s">
        <v>362</v>
      </c>
      <c r="AB53" s="64" t="s">
        <v>581</v>
      </c>
      <c r="AC53" s="1"/>
      <c r="AD53" s="1"/>
      <c r="AE53" s="1"/>
      <c r="AF53" s="1"/>
      <c r="AG53" s="1"/>
      <c r="AH53" s="1"/>
      <c r="AI53" s="1"/>
      <c r="AJ53" s="1"/>
      <c r="AK53" s="1"/>
      <c r="AL53" s="1"/>
      <c r="AM53" s="1"/>
      <c r="AN53" s="1"/>
      <c r="AO53" s="1"/>
      <c r="AP53" s="1"/>
      <c r="AQ53" s="1"/>
      <c r="AR53" s="1"/>
      <c r="AS53" s="1"/>
      <c r="AT53" s="1"/>
      <c r="AU53" s="19" t="s">
        <v>667</v>
      </c>
      <c r="AV53" s="19" t="s">
        <v>638</v>
      </c>
      <c r="AW53" s="18" t="s">
        <v>668</v>
      </c>
      <c r="AX53" s="21" t="s">
        <v>622</v>
      </c>
      <c r="AY53" s="19" t="s">
        <v>365</v>
      </c>
    </row>
    <row r="54" spans="16:51" x14ac:dyDescent="0.5">
      <c r="P54" s="1" t="s">
        <v>748</v>
      </c>
      <c r="Q54" s="1" t="s">
        <v>366</v>
      </c>
      <c r="R54" s="1"/>
      <c r="S54" s="63"/>
      <c r="T54" s="1"/>
      <c r="U54" s="1"/>
      <c r="V54" s="1"/>
      <c r="W54" s="1" t="s">
        <v>748</v>
      </c>
      <c r="X54" s="65" t="s">
        <v>366</v>
      </c>
      <c r="Y54" s="63"/>
      <c r="Z54" s="1"/>
      <c r="AA54" s="1" t="s">
        <v>770</v>
      </c>
      <c r="AB54" s="64" t="s">
        <v>771</v>
      </c>
      <c r="AC54" s="1"/>
      <c r="AD54" s="1"/>
      <c r="AE54" s="1"/>
      <c r="AF54" s="1"/>
      <c r="AG54" s="1"/>
      <c r="AH54" s="1"/>
      <c r="AI54" s="1"/>
      <c r="AJ54" s="1"/>
      <c r="AK54" s="1"/>
      <c r="AL54" s="1"/>
      <c r="AM54" s="1"/>
      <c r="AN54" s="1"/>
      <c r="AO54" s="1"/>
      <c r="AP54" s="1"/>
      <c r="AQ54" s="1"/>
      <c r="AR54" s="1"/>
      <c r="AS54" s="1"/>
      <c r="AT54" s="1"/>
      <c r="AU54" s="19" t="s">
        <v>369</v>
      </c>
      <c r="AV54" s="19" t="s">
        <v>556</v>
      </c>
      <c r="AW54" s="20" t="s">
        <v>674</v>
      </c>
      <c r="AX54" s="19" t="s">
        <v>608</v>
      </c>
      <c r="AY54" s="19" t="s">
        <v>643</v>
      </c>
    </row>
    <row r="55" spans="16:51" x14ac:dyDescent="0.5">
      <c r="P55" s="1" t="s">
        <v>364</v>
      </c>
      <c r="Q55" s="1" t="s">
        <v>758</v>
      </c>
      <c r="R55" s="1"/>
      <c r="S55" s="63"/>
      <c r="T55" s="1"/>
      <c r="U55" s="1"/>
      <c r="V55" s="1"/>
      <c r="W55" s="1" t="s">
        <v>364</v>
      </c>
      <c r="X55" s="1" t="s">
        <v>758</v>
      </c>
      <c r="Y55" s="63"/>
      <c r="Z55" s="1"/>
      <c r="AA55" s="1" t="s">
        <v>644</v>
      </c>
      <c r="AB55" s="64" t="s">
        <v>667</v>
      </c>
      <c r="AC55" s="1"/>
      <c r="AD55" s="1"/>
      <c r="AE55" s="1"/>
      <c r="AF55" s="1"/>
      <c r="AG55" s="1"/>
      <c r="AH55" s="1"/>
      <c r="AI55" s="1"/>
      <c r="AJ55" s="1"/>
      <c r="AK55" s="1"/>
      <c r="AL55" s="1"/>
      <c r="AM55" s="1"/>
      <c r="AN55" s="1"/>
      <c r="AO55" s="1"/>
      <c r="AP55" s="1"/>
      <c r="AQ55" s="1"/>
      <c r="AR55" s="1"/>
      <c r="AS55" s="1"/>
      <c r="AT55" s="1"/>
      <c r="AU55" s="19" t="s">
        <v>745</v>
      </c>
      <c r="AV55" s="21" t="s">
        <v>652</v>
      </c>
      <c r="AW55" s="21" t="s">
        <v>680</v>
      </c>
      <c r="AX55" s="21" t="s">
        <v>670</v>
      </c>
      <c r="AY55" s="19" t="s">
        <v>653</v>
      </c>
    </row>
    <row r="56" spans="16:51" x14ac:dyDescent="0.5">
      <c r="P56" s="1" t="s">
        <v>538</v>
      </c>
      <c r="Q56" s="1" t="s">
        <v>660</v>
      </c>
      <c r="R56" s="1"/>
      <c r="S56" s="63"/>
      <c r="T56" s="1"/>
      <c r="U56" s="1"/>
      <c r="V56" s="1"/>
      <c r="W56" s="1" t="s">
        <v>538</v>
      </c>
      <c r="X56" s="1" t="s">
        <v>660</v>
      </c>
      <c r="Y56" s="63"/>
      <c r="Z56" s="1"/>
      <c r="AA56" s="1" t="s">
        <v>700</v>
      </c>
      <c r="AB56" s="64" t="s">
        <v>772</v>
      </c>
      <c r="AC56" s="1"/>
      <c r="AD56" s="1"/>
      <c r="AE56" s="1"/>
      <c r="AF56" s="1"/>
      <c r="AG56" s="1"/>
      <c r="AH56" s="1"/>
      <c r="AI56" s="1"/>
      <c r="AJ56" s="1"/>
      <c r="AK56" s="1"/>
      <c r="AL56" s="1"/>
      <c r="AM56" s="1"/>
      <c r="AN56" s="1"/>
      <c r="AO56" s="1"/>
      <c r="AP56" s="1"/>
      <c r="AQ56" s="1"/>
      <c r="AR56" s="1"/>
      <c r="AS56" s="1"/>
      <c r="AT56" s="1"/>
      <c r="AU56" s="23"/>
      <c r="AV56" s="20" t="s">
        <v>570</v>
      </c>
      <c r="AW56" s="20" t="s">
        <v>689</v>
      </c>
      <c r="AX56" s="19" t="s">
        <v>553</v>
      </c>
      <c r="AY56" s="19" t="s">
        <v>668</v>
      </c>
    </row>
    <row r="57" spans="16:51" x14ac:dyDescent="0.5">
      <c r="P57" s="1" t="s">
        <v>773</v>
      </c>
      <c r="Q57" s="1" t="s">
        <v>668</v>
      </c>
      <c r="R57" s="1"/>
      <c r="S57" s="63"/>
      <c r="T57" s="1"/>
      <c r="U57" s="1"/>
      <c r="V57" s="1"/>
      <c r="W57" s="1" t="s">
        <v>773</v>
      </c>
      <c r="X57" s="1" t="s">
        <v>668</v>
      </c>
      <c r="Y57" s="63"/>
      <c r="Z57" s="1"/>
      <c r="AA57" s="1" t="s">
        <v>364</v>
      </c>
      <c r="AB57" s="64" t="s">
        <v>774</v>
      </c>
      <c r="AC57" s="1"/>
      <c r="AD57" s="1"/>
      <c r="AE57" s="1"/>
      <c r="AF57" s="1"/>
      <c r="AG57" s="1"/>
      <c r="AH57" s="1"/>
      <c r="AI57" s="1"/>
      <c r="AJ57" s="1"/>
      <c r="AK57" s="1"/>
      <c r="AL57" s="1"/>
      <c r="AM57" s="1"/>
      <c r="AN57" s="1"/>
      <c r="AO57" s="1"/>
      <c r="AP57" s="1"/>
      <c r="AQ57" s="1"/>
      <c r="AR57" s="1"/>
      <c r="AS57" s="1"/>
      <c r="AT57" s="1"/>
      <c r="AU57" s="1"/>
      <c r="AV57" s="21" t="s">
        <v>636</v>
      </c>
      <c r="AW57" s="19" t="s">
        <v>692</v>
      </c>
      <c r="AX57" s="19" t="s">
        <v>568</v>
      </c>
      <c r="AY57" s="19" t="s">
        <v>721</v>
      </c>
    </row>
    <row r="58" spans="16:51" x14ac:dyDescent="0.5">
      <c r="P58" s="1" t="s">
        <v>366</v>
      </c>
      <c r="Q58" s="1" t="s">
        <v>367</v>
      </c>
      <c r="R58" s="1"/>
      <c r="S58" s="63"/>
      <c r="T58" s="1"/>
      <c r="U58" s="1"/>
      <c r="V58" s="1"/>
      <c r="W58" s="1" t="s">
        <v>366</v>
      </c>
      <c r="X58" s="1" t="s">
        <v>367</v>
      </c>
      <c r="Y58" s="63"/>
      <c r="Z58" s="1"/>
      <c r="AA58" s="1" t="s">
        <v>775</v>
      </c>
      <c r="AB58" s="64" t="s">
        <v>745</v>
      </c>
      <c r="AC58" s="1"/>
      <c r="AD58" s="1"/>
      <c r="AE58" s="1"/>
      <c r="AF58" s="1"/>
      <c r="AG58" s="1"/>
      <c r="AH58" s="1"/>
      <c r="AI58" s="1"/>
      <c r="AJ58" s="1"/>
      <c r="AK58" s="1"/>
      <c r="AL58" s="1"/>
      <c r="AM58" s="1"/>
      <c r="AN58" s="1"/>
      <c r="AO58" s="1"/>
      <c r="AP58" s="1"/>
      <c r="AQ58" s="1"/>
      <c r="AR58" s="1"/>
      <c r="AS58" s="1"/>
      <c r="AT58" s="1"/>
      <c r="AU58" s="1"/>
      <c r="AV58" s="19" t="s">
        <v>359</v>
      </c>
      <c r="AW58" s="18"/>
      <c r="AX58" s="19" t="s">
        <v>577</v>
      </c>
      <c r="AY58" s="19" t="s">
        <v>689</v>
      </c>
    </row>
    <row r="59" spans="16:51" x14ac:dyDescent="0.5">
      <c r="P59" s="1" t="s">
        <v>758</v>
      </c>
      <c r="Q59" s="1" t="s">
        <v>776</v>
      </c>
      <c r="R59" s="1"/>
      <c r="S59" s="63"/>
      <c r="T59" s="1"/>
      <c r="U59" s="1"/>
      <c r="V59" s="1"/>
      <c r="W59" s="1" t="s">
        <v>758</v>
      </c>
      <c r="X59" s="1" t="s">
        <v>776</v>
      </c>
      <c r="Y59" s="63"/>
      <c r="Z59" s="1"/>
      <c r="AA59" s="1" t="s">
        <v>713</v>
      </c>
      <c r="AB59" s="64" t="s">
        <v>692</v>
      </c>
      <c r="AC59" s="1"/>
      <c r="AD59" s="1"/>
      <c r="AE59" s="1"/>
      <c r="AF59" s="1"/>
      <c r="AG59" s="1"/>
      <c r="AH59" s="1"/>
      <c r="AI59" s="1"/>
      <c r="AJ59" s="1"/>
      <c r="AK59" s="1"/>
      <c r="AL59" s="1"/>
      <c r="AM59" s="1"/>
      <c r="AN59" s="1"/>
      <c r="AO59" s="1"/>
      <c r="AP59" s="1"/>
      <c r="AQ59" s="1"/>
      <c r="AR59" s="1"/>
      <c r="AS59" s="1"/>
      <c r="AT59" s="1"/>
      <c r="AU59" s="17"/>
      <c r="AV59" s="19" t="s">
        <v>655</v>
      </c>
      <c r="AW59" s="18"/>
      <c r="AX59" s="19" t="s">
        <v>352</v>
      </c>
      <c r="AY59" s="19" t="s">
        <v>738</v>
      </c>
    </row>
    <row r="60" spans="16:51" x14ac:dyDescent="0.5">
      <c r="P60" s="1" t="s">
        <v>762</v>
      </c>
      <c r="Q60" s="1" t="s">
        <v>732</v>
      </c>
      <c r="R60" s="1"/>
      <c r="S60" s="63"/>
      <c r="T60" s="1"/>
      <c r="U60" s="1"/>
      <c r="V60" s="1"/>
      <c r="W60" s="1" t="s">
        <v>762</v>
      </c>
      <c r="X60" s="1" t="s">
        <v>732</v>
      </c>
      <c r="Y60" s="63"/>
      <c r="Z60" s="1"/>
      <c r="AA60" s="1" t="s">
        <v>777</v>
      </c>
      <c r="AB60" s="64" t="s">
        <v>370</v>
      </c>
      <c r="AC60" s="1"/>
      <c r="AD60" s="1"/>
      <c r="AE60" s="1"/>
      <c r="AF60" s="1"/>
      <c r="AG60" s="1"/>
      <c r="AH60" s="1"/>
      <c r="AI60" s="1"/>
      <c r="AJ60" s="1"/>
      <c r="AK60" s="1"/>
      <c r="AL60" s="1"/>
      <c r="AM60" s="1"/>
      <c r="AN60" s="1"/>
      <c r="AO60" s="1"/>
      <c r="AP60" s="1"/>
      <c r="AQ60" s="1"/>
      <c r="AR60" s="1"/>
      <c r="AS60" s="1"/>
      <c r="AT60" s="1"/>
      <c r="AU60" s="1"/>
      <c r="AV60" s="21" t="s">
        <v>645</v>
      </c>
      <c r="AW60" s="18"/>
      <c r="AX60" s="19" t="s">
        <v>102</v>
      </c>
      <c r="AY60" s="19"/>
    </row>
    <row r="61" spans="16:51" x14ac:dyDescent="0.5">
      <c r="P61" s="1" t="s">
        <v>559</v>
      </c>
      <c r="Q61" s="1" t="s">
        <v>673</v>
      </c>
      <c r="R61" s="1"/>
      <c r="S61" s="63"/>
      <c r="T61" s="1"/>
      <c r="U61" s="1"/>
      <c r="V61" s="1"/>
      <c r="W61" s="1" t="s">
        <v>559</v>
      </c>
      <c r="X61" s="1" t="s">
        <v>673</v>
      </c>
      <c r="Y61" s="63"/>
      <c r="Z61" s="1"/>
      <c r="AA61" s="1" t="s">
        <v>769</v>
      </c>
      <c r="AB61" s="64" t="s">
        <v>371</v>
      </c>
      <c r="AC61" s="1"/>
      <c r="AD61" s="1"/>
      <c r="AE61" s="1"/>
      <c r="AF61" s="1"/>
      <c r="AG61" s="1"/>
      <c r="AH61" s="1"/>
      <c r="AI61" s="1"/>
      <c r="AJ61" s="1"/>
      <c r="AK61" s="1"/>
      <c r="AL61" s="1"/>
      <c r="AM61" s="1"/>
      <c r="AN61" s="1"/>
      <c r="AO61" s="1"/>
      <c r="AP61" s="1"/>
      <c r="AQ61" s="1"/>
      <c r="AR61" s="1"/>
      <c r="AS61" s="1"/>
      <c r="AT61" s="1"/>
      <c r="AU61" s="1"/>
      <c r="AV61" s="19" t="s">
        <v>555</v>
      </c>
      <c r="AW61" s="18"/>
      <c r="AX61" s="19" t="s">
        <v>625</v>
      </c>
      <c r="AY61" s="19"/>
    </row>
    <row r="62" spans="16:51" x14ac:dyDescent="0.5">
      <c r="P62" s="1" t="s">
        <v>718</v>
      </c>
      <c r="Q62" s="1" t="s">
        <v>689</v>
      </c>
      <c r="R62" s="1"/>
      <c r="S62" s="63"/>
      <c r="T62" s="1"/>
      <c r="U62" s="1"/>
      <c r="V62" s="1"/>
      <c r="W62" s="1" t="s">
        <v>718</v>
      </c>
      <c r="X62" s="1" t="s">
        <v>689</v>
      </c>
      <c r="Y62" s="63"/>
      <c r="Z62" s="1"/>
      <c r="AA62" s="1" t="s">
        <v>778</v>
      </c>
      <c r="AB62" s="64" t="s">
        <v>372</v>
      </c>
      <c r="AC62" s="1"/>
      <c r="AD62" s="1"/>
      <c r="AE62" s="1"/>
      <c r="AF62" s="1"/>
      <c r="AG62" s="1"/>
      <c r="AH62" s="1"/>
      <c r="AI62" s="1"/>
      <c r="AJ62" s="1"/>
      <c r="AK62" s="1"/>
      <c r="AL62" s="1"/>
      <c r="AM62" s="1"/>
      <c r="AN62" s="1"/>
      <c r="AO62" s="1"/>
      <c r="AP62" s="1"/>
      <c r="AQ62" s="1"/>
      <c r="AR62" s="1"/>
      <c r="AS62" s="1"/>
      <c r="AT62" s="1"/>
      <c r="AU62" s="1"/>
      <c r="AV62" s="21" t="s">
        <v>616</v>
      </c>
      <c r="AW62" s="18"/>
      <c r="AX62" s="19" t="s">
        <v>634</v>
      </c>
      <c r="AY62" s="19"/>
    </row>
    <row r="63" spans="16:51" x14ac:dyDescent="0.5">
      <c r="P63" s="1" t="s">
        <v>572</v>
      </c>
      <c r="Q63" s="1" t="s">
        <v>371</v>
      </c>
      <c r="R63" s="1"/>
      <c r="S63" s="63"/>
      <c r="T63" s="1"/>
      <c r="U63" s="1"/>
      <c r="V63" s="1"/>
      <c r="W63" s="1" t="s">
        <v>572</v>
      </c>
      <c r="X63" s="1" t="s">
        <v>371</v>
      </c>
      <c r="Y63" s="63"/>
      <c r="Z63" s="1"/>
      <c r="AA63" s="1" t="s">
        <v>779</v>
      </c>
      <c r="AB63" s="64"/>
      <c r="AC63" s="1"/>
      <c r="AD63" s="1"/>
      <c r="AE63" s="1"/>
      <c r="AF63" s="1"/>
      <c r="AG63" s="1"/>
      <c r="AH63" s="1"/>
      <c r="AI63" s="1"/>
      <c r="AJ63" s="1"/>
      <c r="AK63" s="1"/>
      <c r="AL63" s="1"/>
      <c r="AM63" s="1"/>
      <c r="AN63" s="1"/>
      <c r="AO63" s="1"/>
      <c r="AP63" s="1"/>
      <c r="AQ63" s="1"/>
      <c r="AR63" s="1"/>
      <c r="AS63" s="1"/>
      <c r="AT63" s="1"/>
      <c r="AU63" s="17"/>
      <c r="AV63" s="21" t="s">
        <v>676</v>
      </c>
      <c r="AW63" s="18"/>
      <c r="AX63" s="21" t="s">
        <v>642</v>
      </c>
      <c r="AY63" s="19"/>
    </row>
    <row r="64" spans="16:51" x14ac:dyDescent="0.5">
      <c r="P64" s="1"/>
      <c r="Q64" s="1" t="s">
        <v>738</v>
      </c>
      <c r="R64" s="1"/>
      <c r="S64" s="63"/>
      <c r="T64" s="1"/>
      <c r="U64" s="1"/>
      <c r="V64" s="1"/>
      <c r="W64" s="1"/>
      <c r="X64" s="1" t="s">
        <v>738</v>
      </c>
      <c r="Y64" s="63"/>
      <c r="Z64" s="1"/>
      <c r="AA64" s="1" t="s">
        <v>660</v>
      </c>
      <c r="AB64" s="64"/>
      <c r="AC64" s="1"/>
      <c r="AD64" s="1"/>
      <c r="AE64" s="1"/>
      <c r="AF64" s="1"/>
      <c r="AG64" s="1"/>
      <c r="AH64" s="1"/>
      <c r="AI64" s="1"/>
      <c r="AJ64" s="1"/>
      <c r="AK64" s="1"/>
      <c r="AL64" s="1"/>
      <c r="AM64" s="1"/>
      <c r="AN64" s="1"/>
      <c r="AO64" s="1"/>
      <c r="AP64" s="1"/>
      <c r="AQ64" s="1"/>
      <c r="AR64" s="1"/>
      <c r="AS64" s="1"/>
      <c r="AT64" s="1"/>
      <c r="AU64" s="1"/>
      <c r="AV64" s="19" t="s">
        <v>360</v>
      </c>
      <c r="AW64" s="18"/>
      <c r="AX64" s="19" t="s">
        <v>361</v>
      </c>
      <c r="AY64" s="19"/>
    </row>
    <row r="65" spans="17:51" x14ac:dyDescent="0.5">
      <c r="Q65" s="1" t="s">
        <v>372</v>
      </c>
      <c r="R65" s="1"/>
      <c r="S65" s="63"/>
      <c r="T65" s="1"/>
      <c r="U65" s="1"/>
      <c r="V65" s="1"/>
      <c r="W65" s="1"/>
      <c r="X65" s="1" t="s">
        <v>372</v>
      </c>
      <c r="Y65" s="63"/>
      <c r="Z65" s="1"/>
      <c r="AA65" s="1" t="s">
        <v>780</v>
      </c>
      <c r="AB65" s="64"/>
      <c r="AC65" s="1"/>
      <c r="AD65" s="1"/>
      <c r="AE65" s="1"/>
      <c r="AF65" s="1"/>
      <c r="AG65" s="1"/>
      <c r="AH65" s="1"/>
      <c r="AI65" s="1"/>
      <c r="AJ65" s="1"/>
      <c r="AK65" s="1"/>
      <c r="AL65" s="1"/>
      <c r="AM65" s="1"/>
      <c r="AN65" s="1"/>
      <c r="AO65" s="1"/>
      <c r="AP65" s="1"/>
      <c r="AQ65" s="1"/>
      <c r="AR65" s="1"/>
      <c r="AS65" s="1"/>
      <c r="AT65" s="1"/>
      <c r="AU65" s="1"/>
      <c r="AV65" s="18" t="s">
        <v>654</v>
      </c>
      <c r="AW65" s="18"/>
      <c r="AX65" s="21" t="s">
        <v>606</v>
      </c>
      <c r="AY65" s="19"/>
    </row>
    <row r="66" spans="17:51" ht="17" thickBot="1" x14ac:dyDescent="0.55000000000000004">
      <c r="Q66" s="1" t="s">
        <v>781</v>
      </c>
      <c r="R66" s="1"/>
      <c r="S66" s="69"/>
      <c r="T66" s="70"/>
      <c r="U66" s="70"/>
      <c r="V66" s="70"/>
      <c r="W66" s="70"/>
      <c r="X66" s="70" t="s">
        <v>781</v>
      </c>
      <c r="Y66" s="63"/>
      <c r="Z66" s="1"/>
      <c r="AA66" s="1" t="s">
        <v>782</v>
      </c>
      <c r="AB66" s="64"/>
      <c r="AC66" s="1"/>
      <c r="AD66" s="1"/>
      <c r="AE66" s="1"/>
      <c r="AF66" s="1"/>
      <c r="AG66" s="1"/>
      <c r="AH66" s="1"/>
      <c r="AI66" s="1"/>
      <c r="AJ66" s="1"/>
      <c r="AK66" s="1"/>
      <c r="AL66" s="1"/>
      <c r="AM66" s="1"/>
      <c r="AN66" s="1"/>
      <c r="AO66" s="1"/>
      <c r="AP66" s="1"/>
      <c r="AQ66" s="1"/>
      <c r="AR66" s="1"/>
      <c r="AS66" s="1"/>
      <c r="AT66" s="1"/>
      <c r="AU66" s="1"/>
      <c r="AV66" s="20" t="s">
        <v>607</v>
      </c>
      <c r="AW66" s="18"/>
      <c r="AX66" s="19" t="s">
        <v>612</v>
      </c>
      <c r="AY66" s="19"/>
    </row>
    <row r="67" spans="17:51" x14ac:dyDescent="0.5">
      <c r="Q67" s="1"/>
      <c r="R67" s="1"/>
      <c r="S67" s="1"/>
      <c r="T67" s="1"/>
      <c r="U67" s="1"/>
      <c r="V67" s="1"/>
      <c r="W67" s="1"/>
      <c r="X67" s="1"/>
      <c r="Y67" s="63"/>
      <c r="Z67" s="1"/>
      <c r="AA67" s="1" t="s">
        <v>783</v>
      </c>
      <c r="AB67" s="64"/>
      <c r="AC67" s="1"/>
      <c r="AD67" s="1"/>
      <c r="AE67" s="1"/>
      <c r="AF67" s="1"/>
      <c r="AG67" s="1"/>
      <c r="AH67" s="1"/>
      <c r="AI67" s="1"/>
      <c r="AJ67" s="1"/>
      <c r="AK67" s="1"/>
      <c r="AL67" s="1"/>
      <c r="AM67" s="1"/>
      <c r="AN67" s="1"/>
      <c r="AO67" s="1"/>
      <c r="AP67" s="1"/>
      <c r="AQ67" s="1"/>
      <c r="AR67" s="1"/>
      <c r="AS67" s="1"/>
      <c r="AT67" s="1"/>
      <c r="AU67" s="1"/>
      <c r="AV67" s="21" t="s">
        <v>701</v>
      </c>
      <c r="AW67" s="18"/>
      <c r="AX67" s="19" t="s">
        <v>691</v>
      </c>
      <c r="AY67" s="19"/>
    </row>
    <row r="68" spans="17:51" x14ac:dyDescent="0.5">
      <c r="Q68" s="1"/>
      <c r="R68" s="1"/>
      <c r="S68" s="1"/>
      <c r="T68" s="1"/>
      <c r="U68" s="1"/>
      <c r="V68" s="1"/>
      <c r="W68" s="1"/>
      <c r="X68" s="1"/>
      <c r="Y68" s="63"/>
      <c r="Z68" s="1"/>
      <c r="AA68" s="1" t="s">
        <v>784</v>
      </c>
      <c r="AB68" s="64"/>
      <c r="AC68" s="1"/>
      <c r="AD68" s="1"/>
      <c r="AE68" s="1"/>
      <c r="AF68" s="1"/>
      <c r="AG68" s="1"/>
      <c r="AH68" s="1"/>
      <c r="AI68" s="1"/>
      <c r="AJ68" s="1"/>
      <c r="AK68" s="1"/>
      <c r="AL68" s="1"/>
      <c r="AM68" s="1"/>
      <c r="AN68" s="1"/>
      <c r="AO68" s="1"/>
      <c r="AP68" s="1"/>
      <c r="AQ68" s="1"/>
      <c r="AR68" s="1"/>
      <c r="AS68" s="1"/>
      <c r="AT68" s="1"/>
      <c r="AU68" s="1"/>
      <c r="AV68" s="18" t="s">
        <v>669</v>
      </c>
      <c r="AW68" s="18"/>
      <c r="AX68" s="19" t="s">
        <v>624</v>
      </c>
      <c r="AY68" s="19"/>
    </row>
    <row r="69" spans="17:51" ht="17" thickBot="1" x14ac:dyDescent="0.55000000000000004">
      <c r="Q69" s="1"/>
      <c r="R69" s="1"/>
      <c r="S69" s="1"/>
      <c r="T69" s="1"/>
      <c r="U69" s="1"/>
      <c r="V69" s="1"/>
      <c r="W69" s="1"/>
      <c r="X69" s="1"/>
      <c r="Y69" s="69"/>
      <c r="Z69" s="70"/>
      <c r="AA69" s="70" t="s">
        <v>745</v>
      </c>
      <c r="AB69" s="71"/>
      <c r="AC69" s="1"/>
      <c r="AD69" s="1"/>
      <c r="AE69" s="1"/>
      <c r="AF69" s="1"/>
      <c r="AG69" s="1"/>
      <c r="AH69" s="1"/>
      <c r="AI69" s="1"/>
      <c r="AJ69" s="1"/>
      <c r="AK69" s="1"/>
      <c r="AL69" s="1"/>
      <c r="AM69" s="1"/>
      <c r="AN69" s="1"/>
      <c r="AO69" s="1"/>
      <c r="AP69" s="1"/>
      <c r="AQ69" s="1"/>
      <c r="AR69" s="1"/>
      <c r="AS69" s="1"/>
      <c r="AT69" s="1"/>
      <c r="AU69" s="1"/>
      <c r="AV69" s="19" t="s">
        <v>628</v>
      </c>
      <c r="AW69" s="18"/>
      <c r="AX69" s="19" t="s">
        <v>538</v>
      </c>
      <c r="AY69" s="19"/>
    </row>
    <row r="70" spans="17:51" x14ac:dyDescent="0.5">
      <c r="Q70" s="1"/>
      <c r="R70" s="1"/>
      <c r="S70" s="1"/>
      <c r="T70" s="1"/>
      <c r="U70" s="1"/>
      <c r="V70" s="1"/>
      <c r="W70" s="1"/>
      <c r="X70" s="1"/>
      <c r="Y70" s="1"/>
      <c r="Z70" s="1"/>
      <c r="AA70" s="1" t="s">
        <v>88</v>
      </c>
      <c r="AB70" s="1"/>
      <c r="AC70" s="1"/>
      <c r="AD70" s="1"/>
      <c r="AE70" s="1"/>
      <c r="AF70" s="1"/>
      <c r="AG70" s="1"/>
      <c r="AH70" s="1"/>
      <c r="AI70" s="1"/>
      <c r="AJ70" s="1"/>
      <c r="AK70" s="1"/>
      <c r="AL70" s="1"/>
      <c r="AM70" s="1"/>
      <c r="AN70" s="1"/>
      <c r="AO70" s="1"/>
      <c r="AP70" s="1"/>
      <c r="AQ70" s="1"/>
      <c r="AR70" s="1"/>
      <c r="AS70" s="1"/>
      <c r="AT70" s="1"/>
      <c r="AU70" s="1"/>
      <c r="AV70" s="21" t="s">
        <v>715</v>
      </c>
      <c r="AW70" s="22"/>
      <c r="AX70" s="19" t="s">
        <v>697</v>
      </c>
      <c r="AY70" s="19"/>
    </row>
    <row r="71" spans="17:51" x14ac:dyDescent="0.5">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9" t="s">
        <v>362</v>
      </c>
      <c r="AW71" s="1"/>
      <c r="AX71" s="19" t="s">
        <v>641</v>
      </c>
      <c r="AY71" s="19"/>
    </row>
    <row r="72" spans="17:51" x14ac:dyDescent="0.5">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9" t="s">
        <v>644</v>
      </c>
      <c r="AW72" s="1"/>
      <c r="AX72" s="21" t="s">
        <v>705</v>
      </c>
      <c r="AY72" s="19"/>
    </row>
    <row r="73" spans="17:51" x14ac:dyDescent="0.5">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21" t="s">
        <v>612</v>
      </c>
      <c r="AW73" s="1"/>
      <c r="AX73" s="19" t="s">
        <v>710</v>
      </c>
      <c r="AY73" s="19"/>
    </row>
    <row r="74" spans="17:51" x14ac:dyDescent="0.5">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8" t="s">
        <v>681</v>
      </c>
      <c r="AW74" s="1"/>
      <c r="AX74" s="21" t="s">
        <v>365</v>
      </c>
      <c r="AY74" s="19"/>
    </row>
    <row r="75" spans="17:51" x14ac:dyDescent="0.5">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20" t="s">
        <v>690</v>
      </c>
      <c r="AW75" s="1"/>
      <c r="AX75" s="19" t="s">
        <v>643</v>
      </c>
      <c r="AY75" s="19"/>
    </row>
    <row r="76" spans="17:51" x14ac:dyDescent="0.5">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8" t="s">
        <v>693</v>
      </c>
      <c r="AW76" s="1"/>
      <c r="AX76" s="19" t="s">
        <v>664</v>
      </c>
      <c r="AY76" s="19"/>
    </row>
    <row r="77" spans="17:51" x14ac:dyDescent="0.5">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21" t="s">
        <v>723</v>
      </c>
      <c r="AW77" s="1"/>
      <c r="AX77" s="21" t="s">
        <v>653</v>
      </c>
      <c r="AY77" s="19"/>
    </row>
    <row r="78" spans="17:51" x14ac:dyDescent="0.5">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21" t="s">
        <v>365</v>
      </c>
      <c r="AW78" s="1"/>
      <c r="AX78" s="21" t="s">
        <v>679</v>
      </c>
      <c r="AY78" s="19"/>
    </row>
    <row r="79" spans="17:51" x14ac:dyDescent="0.5">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9" t="s">
        <v>643</v>
      </c>
      <c r="AW79" s="1"/>
      <c r="AX79" s="19" t="s">
        <v>668</v>
      </c>
      <c r="AY79" s="19"/>
    </row>
    <row r="80" spans="17:51" x14ac:dyDescent="0.5">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20" t="s">
        <v>698</v>
      </c>
      <c r="AW80" s="1"/>
      <c r="AX80" s="19" t="s">
        <v>721</v>
      </c>
      <c r="AY80" s="19"/>
    </row>
    <row r="81" spans="48:51" x14ac:dyDescent="0.5">
      <c r="AV81" s="21" t="s">
        <v>714</v>
      </c>
      <c r="AW81" s="1"/>
      <c r="AX81" s="21" t="s">
        <v>659</v>
      </c>
      <c r="AY81" s="21"/>
    </row>
    <row r="82" spans="48:51" x14ac:dyDescent="0.5">
      <c r="AV82" s="18" t="s">
        <v>706</v>
      </c>
      <c r="AW82" s="1"/>
      <c r="AX82" s="19" t="s">
        <v>665</v>
      </c>
      <c r="AY82" s="19"/>
    </row>
    <row r="83" spans="48:51" x14ac:dyDescent="0.5">
      <c r="AV83" s="19" t="s">
        <v>366</v>
      </c>
      <c r="AW83" s="1"/>
      <c r="AX83" s="21" t="s">
        <v>732</v>
      </c>
      <c r="AY83" s="21"/>
    </row>
    <row r="84" spans="48:51" x14ac:dyDescent="0.5">
      <c r="AV84" s="21" t="s">
        <v>711</v>
      </c>
      <c r="AW84" s="1"/>
      <c r="AX84" s="21" t="s">
        <v>673</v>
      </c>
      <c r="AY84" s="19"/>
    </row>
    <row r="85" spans="48:51" x14ac:dyDescent="0.5">
      <c r="AV85" s="18" t="s">
        <v>559</v>
      </c>
      <c r="AW85" s="1"/>
      <c r="AX85" s="19" t="s">
        <v>689</v>
      </c>
      <c r="AY85" s="19"/>
    </row>
    <row r="86" spans="48:51" x14ac:dyDescent="0.5">
      <c r="AV86" s="19" t="s">
        <v>718</v>
      </c>
      <c r="AW86" s="1"/>
      <c r="AX86" s="24" t="s">
        <v>738</v>
      </c>
      <c r="AY86" s="19"/>
    </row>
    <row r="87" spans="48:51" x14ac:dyDescent="0.5">
      <c r="AV87" s="21" t="s">
        <v>680</v>
      </c>
      <c r="AW87" s="1"/>
      <c r="AX87" s="21" t="s">
        <v>372</v>
      </c>
      <c r="AY87" s="24"/>
    </row>
    <row r="88" spans="48:51" x14ac:dyDescent="0.5">
      <c r="AV88" s="19" t="s">
        <v>692</v>
      </c>
      <c r="AW88" s="1"/>
      <c r="AX88" s="21"/>
      <c r="AY88" s="1"/>
    </row>
    <row r="89" spans="48:51" x14ac:dyDescent="0.5">
      <c r="AV89" s="21"/>
      <c r="AW89" s="1"/>
      <c r="AX89" s="21"/>
      <c r="AY89" s="1"/>
    </row>
    <row r="90" spans="48:51" x14ac:dyDescent="0.5">
      <c r="AV90" s="21"/>
      <c r="AW90" s="1"/>
      <c r="AX90" s="21"/>
      <c r="AY90" s="1"/>
    </row>
    <row r="91" spans="48:51" x14ac:dyDescent="0.5">
      <c r="AV91" s="19"/>
      <c r="AW91" s="1"/>
      <c r="AX91" s="21"/>
      <c r="AY91" s="1"/>
    </row>
    <row r="92" spans="48:51" x14ac:dyDescent="0.5">
      <c r="AV92" s="21"/>
      <c r="AW92" s="1"/>
      <c r="AX92" s="24"/>
      <c r="AY92" s="1"/>
    </row>
    <row r="93" spans="48:51" x14ac:dyDescent="0.5">
      <c r="AV93" s="21"/>
      <c r="AW93" s="1"/>
      <c r="AX93" s="1"/>
      <c r="AY93" s="1"/>
    </row>
    <row r="94" spans="48:51" x14ac:dyDescent="0.5">
      <c r="AV94" s="21"/>
      <c r="AW94" s="1"/>
      <c r="AX94" s="1"/>
      <c r="AY94" s="1"/>
    </row>
    <row r="95" spans="48:51" x14ac:dyDescent="0.5">
      <c r="AV95" s="21"/>
      <c r="AW95" s="1"/>
      <c r="AX95" s="1"/>
      <c r="AY95" s="1"/>
    </row>
    <row r="96" spans="48:51" x14ac:dyDescent="0.5">
      <c r="AV96" s="21"/>
      <c r="AW96" s="1"/>
      <c r="AX96" s="1"/>
      <c r="AY96" s="1"/>
    </row>
    <row r="97" spans="48:48" x14ac:dyDescent="0.5">
      <c r="AV97" s="19"/>
    </row>
    <row r="98" spans="48:48" x14ac:dyDescent="0.5">
      <c r="AV98" s="21"/>
    </row>
    <row r="99" spans="48:48" x14ac:dyDescent="0.5">
      <c r="AV99" s="21"/>
    </row>
    <row r="100" spans="48:48" x14ac:dyDescent="0.5">
      <c r="AV100" s="21"/>
    </row>
    <row r="101" spans="48:48" x14ac:dyDescent="0.5">
      <c r="AV101" s="21"/>
    </row>
    <row r="102" spans="48:48" x14ac:dyDescent="0.5">
      <c r="AV102" s="21"/>
    </row>
    <row r="103" spans="48:48" x14ac:dyDescent="0.5">
      <c r="AV103" s="20"/>
    </row>
    <row r="104" spans="48:48" x14ac:dyDescent="0.5">
      <c r="AV104" s="21"/>
    </row>
    <row r="105" spans="48:48" x14ac:dyDescent="0.5">
      <c r="AV105" s="21"/>
    </row>
    <row r="106" spans="48:48" x14ac:dyDescent="0.5">
      <c r="AV106" s="21"/>
    </row>
    <row r="107" spans="48:48" x14ac:dyDescent="0.5">
      <c r="AV107" s="21"/>
    </row>
    <row r="108" spans="48:48" x14ac:dyDescent="0.5">
      <c r="AV108" s="24"/>
    </row>
  </sheetData>
  <mergeCells count="10">
    <mergeCell ref="AL3:AN3"/>
    <mergeCell ref="AO3:AQ3"/>
    <mergeCell ref="S1:AG1"/>
    <mergeCell ref="AL1:AQ1"/>
    <mergeCell ref="AT1:AY1"/>
    <mergeCell ref="L2:Q2"/>
    <mergeCell ref="S2:X2"/>
    <mergeCell ref="Y2:AB2"/>
    <mergeCell ref="AC2:AG2"/>
    <mergeCell ref="AL2:AQ2"/>
  </mergeCells>
  <pageMargins left="0.7" right="0.7" top="0.75" bottom="0.75" header="0.3" footer="0.3"/>
  <legacyDrawing r:id="rId1"/>
  <tableParts count="4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CB1A98D2066F30438A381D4FE44CE3A2" ma:contentTypeVersion="4" ma:contentTypeDescription="Crear nuevo documento." ma:contentTypeScope="" ma:versionID="7432a343c9520d9089daf0409b8f723e">
  <xsd:schema xmlns:xsd="http://www.w3.org/2001/XMLSchema" xmlns:xs="http://www.w3.org/2001/XMLSchema" xmlns:p="http://schemas.microsoft.com/office/2006/metadata/properties" xmlns:ns2="a4562c49-b45c-4362-b20c-f58ba12cde2f" xmlns:ns3="ffa1b9b5-8217-4ebe-90c5-3f2196c49a4f" targetNamespace="http://schemas.microsoft.com/office/2006/metadata/properties" ma:root="true" ma:fieldsID="a9831a0ee939c9e3a94af062f92b87b9" ns2:_="" ns3:_="">
    <xsd:import namespace="a4562c49-b45c-4362-b20c-f58ba12cde2f"/>
    <xsd:import namespace="ffa1b9b5-8217-4ebe-90c5-3f2196c49a4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4562c49-b45c-4362-b20c-f58ba12cde2f" elementFormDefault="qualified">
    <xsd:import namespace="http://schemas.microsoft.com/office/2006/documentManagement/types"/>
    <xsd:import namespace="http://schemas.microsoft.com/office/infopath/2007/PartnerControls"/>
    <xsd:element name="MediaServiceMetadata" ma:index="8" nillable="true" ma:displayName="MediaServiceMetadata" ma:description="" ma:hidden="true" ma:internalName="MediaServiceMetadata" ma:readOnly="true">
      <xsd:simpleType>
        <xsd:restriction base="dms:Note"/>
      </xsd:simpleType>
    </xsd:element>
    <xsd:element name="MediaServiceFastMetadata" ma:index="9" nillable="true" ma:displayName="MediaServiceFastMetadata" ma:description=""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fa1b9b5-8217-4ebe-90c5-3f2196c49a4f"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9A8CC42-3498-4AB9-83FD-168387E0E379}">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43398591-DCD4-4E84-81B6-C225C92B987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4562c49-b45c-4362-b20c-f58ba12cde2f"/>
    <ds:schemaRef ds:uri="ffa1b9b5-8217-4ebe-90c5-3f2196c49a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93507B7-C361-46E0-AF44-6194D8191CB1}">
  <ds:schemaRefs>
    <ds:schemaRef ds:uri="http://schemas.microsoft.com/DataMashup"/>
  </ds:schemaRefs>
</ds:datastoreItem>
</file>

<file path=customXml/itemProps4.xml><?xml version="1.0" encoding="utf-8"?>
<ds:datastoreItem xmlns:ds="http://schemas.openxmlformats.org/officeDocument/2006/customXml" ds:itemID="{F86D18D9-0B6E-411F-93FD-BE55E800AD0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11</vt:i4>
      </vt:variant>
    </vt:vector>
  </HeadingPairs>
  <TitlesOfParts>
    <vt:vector size="19" baseType="lpstr">
      <vt:lpstr>Paso1 Analisis perfil egreso</vt:lpstr>
      <vt:lpstr>Paso 2 Redacción competen</vt:lpstr>
      <vt:lpstr>Paso 3 Redacción RA</vt:lpstr>
      <vt:lpstr>Paso 3 Redacción RA - Backup </vt:lpstr>
      <vt:lpstr>Paso 4 Estrategias mesocurricu</vt:lpstr>
      <vt:lpstr>Paso 5 Estrategias micro</vt:lpstr>
      <vt:lpstr>Taxonomía para competencias</vt:lpstr>
      <vt:lpstr>Taxonomias para RA</vt:lpstr>
      <vt:lpstr>ActitudinalBAK</vt:lpstr>
      <vt:lpstr>Bloom</vt:lpstr>
      <vt:lpstr>Circutos</vt:lpstr>
      <vt:lpstr>CognitivoBAK</vt:lpstr>
      <vt:lpstr>CompetenciaEspecifica1</vt:lpstr>
      <vt:lpstr>ComponentesCompetencias</vt:lpstr>
      <vt:lpstr>ProcedimentalBAK</vt:lpstr>
      <vt:lpstr>RA</vt:lpstr>
      <vt:lpstr>Saber</vt:lpstr>
      <vt:lpstr>Saberhacer</vt:lpstr>
      <vt:lpstr>Saberser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Maria Isabel Cortes Cortes</cp:lastModifiedBy>
  <cp:revision/>
  <dcterms:created xsi:type="dcterms:W3CDTF">2021-03-03T13:22:18Z</dcterms:created>
  <dcterms:modified xsi:type="dcterms:W3CDTF">2026-05-11T15:02:44Z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0x010100CB1A98D2066F30438A381D4FE44CE3A2</vt:lpwstr>
  </property>
</Properties>
</file>