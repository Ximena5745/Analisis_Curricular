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poligran-my.sharepoint.com/personal/jalrodriguezc_poligran_edu_co/Documents/FSCC_Reforma_Curricular/ECAVD/03_Comunicacion_Social-Periodismo_PBOG/VF_Comunicacion_Social-Periodismo_PBOG/"/>
    </mc:Choice>
  </mc:AlternateContent>
  <xr:revisionPtr revIDLastSave="1754" documentId="8_{B30BA61C-87F2-423F-9FA4-86F7F4A2C1E0}" xr6:coauthVersionLast="47" xr6:coauthVersionMax="47" xr10:uidLastSave="{86A3F9C9-8D4E-4D86-BC9D-E2AD1EA6F07D}"/>
  <bookViews>
    <workbookView xWindow="28680" yWindow="-120" windowWidth="29040" windowHeight="1572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mesocurricu'!$A$1:$F$53</definedName>
    <definedName name="_xlnm._FilterDatabase" localSheetId="5" hidden="1">'Paso 5 Estrategias micro'!$A$2:$Q$117</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micro'!$B$8</definedName>
    <definedName name="resultadoaprendizaje">#REF!</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8" i="14" l="1"/>
  <c r="A109" i="14"/>
  <c r="A110" i="14"/>
  <c r="A24" i="14"/>
  <c r="J117" i="14" l="1"/>
  <c r="J116" i="14" l="1"/>
  <c r="J114" i="14" l="1"/>
  <c r="J115" i="14" l="1"/>
  <c r="A46" i="14" l="1"/>
  <c r="A45" i="14"/>
  <c r="L44" i="14"/>
  <c r="K44" i="14"/>
  <c r="A44" i="14"/>
  <c r="D114" i="14" l="1"/>
  <c r="A25" i="14"/>
  <c r="A56" i="14"/>
  <c r="A55" i="14"/>
  <c r="A54" i="14"/>
  <c r="A77" i="14"/>
  <c r="A76" i="14"/>
  <c r="A75" i="14"/>
  <c r="A62" i="14"/>
  <c r="A61" i="14"/>
  <c r="A60" i="14"/>
  <c r="A43" i="14"/>
  <c r="A42" i="14"/>
  <c r="A41" i="14"/>
  <c r="A40" i="14"/>
  <c r="A39" i="14"/>
  <c r="A38" i="14"/>
  <c r="A32" i="14"/>
  <c r="A31" i="14"/>
  <c r="A30" i="14"/>
  <c r="A17" i="14"/>
  <c r="A29" i="14"/>
  <c r="A28" i="14"/>
  <c r="A27" i="14"/>
  <c r="A26" i="14"/>
  <c r="A23" i="14"/>
  <c r="A22" i="14"/>
  <c r="A21" i="14"/>
  <c r="A16" i="14"/>
  <c r="A15" i="14"/>
  <c r="A14" i="14"/>
  <c r="A13" i="14"/>
  <c r="A12" i="14"/>
  <c r="A11" i="14"/>
  <c r="A18" i="14"/>
  <c r="K18" i="14"/>
  <c r="L18" i="14"/>
  <c r="M18" i="14" l="1"/>
  <c r="L75" i="14" l="1"/>
  <c r="K75" i="14"/>
  <c r="L60" i="14"/>
  <c r="K60" i="14"/>
  <c r="L24" i="14"/>
  <c r="K24" i="14"/>
  <c r="L33" i="14"/>
  <c r="K33" i="14"/>
  <c r="L47" i="14"/>
  <c r="K47" i="14"/>
  <c r="L34" i="14"/>
  <c r="K34" i="14"/>
  <c r="L38" i="14"/>
  <c r="K38" i="14"/>
  <c r="L41" i="14"/>
  <c r="K41" i="14"/>
  <c r="K48" i="14"/>
  <c r="L48" i="14"/>
  <c r="L17" i="14"/>
  <c r="K17" i="14"/>
  <c r="L4" i="14"/>
  <c r="K4" i="14"/>
  <c r="L30" i="14"/>
  <c r="K30" i="14"/>
  <c r="L27" i="14"/>
  <c r="K27" i="14"/>
  <c r="L107" i="14"/>
  <c r="K107" i="14"/>
  <c r="L113" i="14"/>
  <c r="K113" i="14"/>
  <c r="L106" i="14"/>
  <c r="K106" i="14"/>
  <c r="L90" i="14"/>
  <c r="K90" i="14"/>
  <c r="L96" i="14"/>
  <c r="K96" i="14"/>
  <c r="L93" i="14"/>
  <c r="K93" i="14"/>
  <c r="L102" i="14"/>
  <c r="K102" i="14"/>
  <c r="L112" i="14"/>
  <c r="K112" i="14"/>
  <c r="L105" i="14"/>
  <c r="K105" i="14"/>
  <c r="L78" i="14"/>
  <c r="K78" i="14"/>
  <c r="L81" i="14"/>
  <c r="K81" i="14"/>
  <c r="L84" i="14"/>
  <c r="K84" i="14"/>
  <c r="L54" i="14"/>
  <c r="K54" i="14"/>
  <c r="L69" i="14"/>
  <c r="K69" i="14"/>
  <c r="L63" i="14"/>
  <c r="K63" i="14"/>
  <c r="L72" i="14"/>
  <c r="K72" i="14"/>
  <c r="L66" i="14"/>
  <c r="K66" i="14"/>
  <c r="L87" i="14"/>
  <c r="K87" i="14"/>
  <c r="L99" i="14"/>
  <c r="K99" i="14"/>
  <c r="L57" i="14"/>
  <c r="K57" i="14"/>
  <c r="L51" i="14"/>
  <c r="K51" i="14"/>
  <c r="L35" i="14"/>
  <c r="K35" i="14"/>
  <c r="L21" i="14"/>
  <c r="K21" i="14"/>
  <c r="L5" i="14"/>
  <c r="K5" i="14"/>
  <c r="L8" i="14"/>
  <c r="K8" i="14"/>
  <c r="L14" i="14"/>
  <c r="K14" i="14"/>
  <c r="L11" i="14"/>
  <c r="K11" i="14"/>
  <c r="A3" i="14"/>
  <c r="A8" i="14"/>
  <c r="A9" i="14"/>
  <c r="A10" i="14"/>
  <c r="L3" i="14"/>
  <c r="K3" i="14"/>
  <c r="A5" i="14"/>
  <c r="A6" i="14"/>
  <c r="A7" i="14"/>
  <c r="A19" i="14"/>
  <c r="A20" i="14"/>
  <c r="A4" i="14"/>
  <c r="A35" i="14"/>
  <c r="A36" i="14"/>
  <c r="A37" i="14"/>
  <c r="A51" i="14"/>
  <c r="A52" i="14"/>
  <c r="A53" i="14"/>
  <c r="A34" i="14"/>
  <c r="A48" i="14"/>
  <c r="A49" i="14"/>
  <c r="A50" i="14"/>
  <c r="A47" i="14"/>
  <c r="A33" i="14"/>
  <c r="A57" i="14"/>
  <c r="A58" i="14"/>
  <c r="A59" i="14"/>
  <c r="A99" i="14"/>
  <c r="A100" i="14"/>
  <c r="A101" i="14"/>
  <c r="A87" i="14"/>
  <c r="A88" i="14"/>
  <c r="A89" i="14"/>
  <c r="A66" i="14"/>
  <c r="A67" i="14"/>
  <c r="A68" i="14"/>
  <c r="A72" i="14"/>
  <c r="A73" i="14"/>
  <c r="A74" i="14"/>
  <c r="A63" i="14"/>
  <c r="A64" i="14"/>
  <c r="A65" i="14"/>
  <c r="A69" i="14"/>
  <c r="A70" i="14"/>
  <c r="A71" i="14"/>
  <c r="A84" i="14"/>
  <c r="A85" i="14"/>
  <c r="A86" i="14"/>
  <c r="A81" i="14"/>
  <c r="A82" i="14"/>
  <c r="A83" i="14"/>
  <c r="A78" i="14"/>
  <c r="A79" i="14"/>
  <c r="A80" i="14"/>
  <c r="A102" i="14"/>
  <c r="A103" i="14"/>
  <c r="A104" i="14"/>
  <c r="A93" i="14"/>
  <c r="A94" i="14"/>
  <c r="A95" i="14"/>
  <c r="A96" i="14"/>
  <c r="A97" i="14"/>
  <c r="A98" i="14"/>
  <c r="A90" i="14"/>
  <c r="A91" i="14"/>
  <c r="A92" i="14"/>
  <c r="A107" i="14"/>
  <c r="A111" i="14"/>
  <c r="M60" i="14" l="1"/>
  <c r="M30" i="14"/>
  <c r="M27" i="14"/>
  <c r="M24" i="14"/>
  <c r="M3" i="14"/>
  <c r="M14" i="14"/>
  <c r="M21" i="14"/>
  <c r="M99" i="14"/>
  <c r="M63" i="14"/>
  <c r="M81" i="14"/>
  <c r="M102" i="14"/>
  <c r="M47" i="14"/>
  <c r="M75" i="14"/>
  <c r="M8" i="14"/>
  <c r="M87" i="14"/>
  <c r="M78" i="14"/>
  <c r="M106" i="14"/>
  <c r="M33" i="14"/>
  <c r="M96" i="14"/>
  <c r="M113" i="14"/>
  <c r="M4" i="14"/>
  <c r="M48" i="14"/>
  <c r="M35" i="14"/>
  <c r="M69" i="14"/>
  <c r="M93" i="14"/>
  <c r="M105" i="14"/>
  <c r="M34" i="14"/>
  <c r="M57" i="14"/>
  <c r="M5" i="14"/>
  <c r="M51" i="14"/>
  <c r="M66" i="14"/>
  <c r="M11" i="14"/>
  <c r="M72" i="14"/>
  <c r="M84" i="14"/>
  <c r="M112" i="14"/>
  <c r="M107" i="14"/>
  <c r="M17" i="14"/>
  <c r="M90" i="14"/>
  <c r="M5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<sst xmlns="http://schemas.openxmlformats.org/spreadsheetml/2006/main" count="2582" uniqueCount="876">
  <si>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</si>
  <si>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</si>
  <si>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</si>
  <si>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</si>
  <si>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</si>
  <si>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</si>
  <si>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</si>
  <si>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</si>
  <si>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</si>
  <si>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</si>
  <si>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</si>
  <si>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</si>
  <si>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</si>
  <si>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</si>
  <si>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</si>
  <si>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</si>
  <si>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</si>
  <si>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</si>
  <si>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Comunicación Social-Periodismo</t>
  </si>
  <si>
    <t>Presencial</t>
  </si>
  <si>
    <t>El egresado de Comunicación Social – Periodismo del Politécnico Grancolombiano aplica marcos conceptuales de la comunicación, las teorías mediáticas y el análisis de audiencias que orientan su ejercicio profesional en entornos digitales y multiplataforma. Desarrolla procesos de producción de contenidos escritos, sonoros, visuales y transmedia mediante herramientas de diseño digital, narrativas audiovisuales, estrategias digitales y análisis de datos. Participa en dinámicas colaborativas de creación y circulación de mensajes, con capacidad para desempeñarse en medios de comunicación, organizaciones sociales, plataformas digitales y espacios de comunicación estratégica orientados por la comprensión de contextos y públicos específicos.</t>
  </si>
  <si>
    <t>El egresado de Comunicación Social – Periodismo del Politécnico Grancolombiano se desempeña en medios de comunicación, agencias de contenido, áreas de comunicación organizacional, plataformas digitales y proyectos transmedia. Planifica contenidos periodísticos y corporativos ajustados a los requerimientos del medio, el formato y el público; implementa estrategias de producción multimedia y organiza procesos editoriales orientados a la circulación efectiva de información, así como el diseño de proyectos aplicados a las necesidades de grupos sociales. Participa en equipos multidisciplinarios para gestionar contenidos noticiosos, institucionales o sociales, atendiendo a las dinámicas de los públicos y los entornos digitales. Desarrolla programas de comunicación pública, iniciativas comunitarias, plataformas de información y espacios digitales donde se requiera análisis de contexto, planificación de contenidos y gestión de procesos comunicativos integrales desde una perspectiva crítica y estratégica.</t>
  </si>
  <si>
    <t>Fenómenos sociales, políticos y culturales a partir de marcos conceptuales de la comunicación y métodos de análisis de los discursos mediáticos y sociales</t>
  </si>
  <si>
    <t>estructurar enfoques temáticos y líneas argumentativas en la producción de mensajes</t>
  </si>
  <si>
    <t>mediante la organización contextual de la información según las condiciones del entorno comunicativo profesional</t>
  </si>
  <si>
    <r>
      <t>Redactor periodístico/Editor de contenidos digitales/Reportero multimedia/Periodista web/Editor de video y audio informativo/Coordinador de contenidos noticiosos/Gestor de boletines informativos/Productor de crónicas o especiales periodísticos/Gestor de contenidos digitales/Coordinador de redes sociales/Administrador de plataformas informativas/Planificador de contenidos multiformato/Coordinador de medios digitales/Investigador de contenidos periodísticos/Analista de medios/Profesional de análisis de audiencias/Investigador social aplicado a medios/Verificador de datos (</t>
    </r>
    <r>
      <rPr>
        <i/>
        <sz val="11"/>
        <color theme="1"/>
        <rFont val="Gill Sans MT"/>
        <family val="2"/>
      </rPr>
      <t>fact-checker</t>
    </r>
    <r>
      <rPr>
        <sz val="11"/>
        <color theme="1"/>
        <rFont val="Gill Sans MT"/>
        <family val="2"/>
      </rPr>
      <t>)/Coordinador de monitoreo informativo/Coordinador de proyectos de comunicación/Planificador de estrategias informativas/Supervisor de producción editorial/Coordinador de laboratorios de comunicación/Asesor en planificación comunicativa/Gestor de programas de comunicación comunitaria</t>
    </r>
  </si>
  <si>
    <t>Redactar notas informativas, crónicas, reportajes y entrevistas ajustadas a criterios periodísticos y editoriales/Editar y adecuar textos periodísticos para su publicación en distintos formatos y plataformas/Planificar líneas temáticas y coberturas noticiosas según la agenda mediática y el análisis de contexto/Coordinar y supervisar procesos de producción informativa con equipos multidisciplinarios/Verificar datos y contrastar fuentes como parte del proceso de validación de contenidos/Realizar investigaciones documentales y de campo para sustentar contenidos periodísticos/Sistematizar información periodística o social en función de objetivos comunicativos definidos/Elaborar informes, reportes y dossiers informativos a partir de la recolección y análisis de información/Crear y adaptar contenidos multiformato (texto, imagen, video, audio) para medios y entornos digitales/Analizar datos e indicadores de desempeño comunicativo o digital para orientar decisiones editoriales/Coordinar campañas o proyectos de difusión de contenidos en medios y entornos digitales/Evaluar el impacto y los resultados de estrategias informativas o proyectos periodísticos</t>
  </si>
  <si>
    <t>Prensa escrita (periódicos, revistas)/Emisoras de radio y canales de televisión/Portales informativos digitales y agencias de noticias/Empresas privadas de todos los sectores/Entidades del gobierno local, regional o nacional/Instituciones educativas, culturales o de salud/Cámaras de comercio y gremios empresariales/Corporaciones y fundaciones sin ánimo de lucro (ONG)/Plataformas de redes sociales y comunidades digitales/Agencias de marketing digital y contenido transmedia/Startups de tecnología, innovación o medios/Productoras de contenidos para web, streaming o podcast/Espacios de divulgación en ciencia, cultura o educación digital/Organizaciones sociales y comunitarias/Proyectos de comunicación para el desarrollo/Iniciativas de participación ciudadana o memoria histórica/Programas de alfabetización mediática o educación popular/Medios comunitarios y alternativos/Consultorías en comunicación estratégica o digital/Emprendimientos de contenidos y medios propios/Asesorías en imagen y posicionamiento comunicacional/Producción freelance de contenidos especializados/Proyectos periodísticos o comunicativos independientes</t>
  </si>
  <si>
    <t>El programa de Comunicación Social – Periodismo del Politécnico Grancolombiano integra espacios formativos no convencionales como laboratorios de narrativas, unidades de investigación aplicada y plataformas de experimentación digital, los cuales permiten al estudiante vincular producción, análisis y estrategia desde etapas intermedias. Esta estructura curricular extendida trasciende el aula tradicional al incorporar entornos reales de creación periodística, organizacional y comunicativa, lo que fortalece su capacidad para construir mensajes pertinentes, manejar herramientas multiformato y tomar decisiones comunicativas con base en datos y contextos. Esta articulación entre análisis crítico, producción y circulación mediática representa una ventaja tangible en su preparación profesional frente a los retos de las industrias culturales y digitales.</t>
  </si>
  <si>
    <t>Productos comunicativos convergentes que integren elementos narrativos, técnicos y editoriales</t>
  </si>
  <si>
    <t>producir mensajes ajustados a los requerimientos técnicos y comunicativos de formatos, audiencias y objetivos específicos</t>
  </si>
  <si>
    <t>con aplicación integrada de herramientas, recursos narrativos y lenguajes propios de los entornos profesionales de circulación</t>
  </si>
  <si>
    <t>Procesos de comunicación digital con base en segmentación de audiencias, análisis de datos y planificación multicanal</t>
  </si>
  <si>
    <t>ejecutar acciones de circulación de contenidos en plataformas digitales según objetivos comunicativos definidos</t>
  </si>
  <si>
    <t>aplicando criterios técnicos y herramientas digitales en función de las dinámicas del entorno mediático</t>
  </si>
  <si>
    <t>Proyectos de comunicación periodística, organizacional y comunitaria con base en objetivos, cronogramas y recursos definidos</t>
  </si>
  <si>
    <t>ejecutar procesos técnicos y organizativos de producción comunicativa</t>
  </si>
  <si>
    <t>a través del seguimiento operativo de equipos, tiempos y recursos según las condiciones del entorno profesional</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</si>
  <si>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</si>
  <si>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</si>
  <si>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</si>
  <si>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</si>
  <si>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</si>
  <si>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</si>
  <si>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</si>
  <si>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</si>
  <si>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</si>
  <si>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</si>
  <si>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</si>
  <si>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</si>
  <si>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</si>
  <si>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</si>
  <si>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</si>
  <si>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</si>
  <si>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</si>
  <si>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</si>
  <si>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</si>
  <si>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fenómenos sociales, políticos y culturales a partir de marcos conceptuales de la comunicación y métodos de análisis de los discursos mediáticos y sociales, para estructurar enfoques temáticos y líneas argumentativas en la producción de mensajes, mediante la organización contextual de la información según las condiciones del entorno comunicativo profesional.</t>
  </si>
  <si>
    <t>Específica</t>
  </si>
  <si>
    <t>Diseñar</t>
  </si>
  <si>
    <t>Diseñar productos comunicativos convergentes que integren elementos narrativos, técnicos y editoriales, para producir mensajes ajustados a los requerimientos técnicos y comunicativos de formatos, audiencias y objetivos específicos, con aplicación integrada de herramientas, recursos narrativos y lenguajes propios de los entornos profesionales de circulación.</t>
  </si>
  <si>
    <t>Desarrollar</t>
  </si>
  <si>
    <t>Desarrollar procesos de comunicación digital con base en segmentación de audiencias, análisis de datos y planificación multicanal, para ejecutar acciones de circulación de contenidos en plataformas digitales según objetivos comunicativos definidos, aplicando criterios técnicos y herramientas digitales en función de las dinámicas del entorno mediático.</t>
  </si>
  <si>
    <t>Coordinar</t>
  </si>
  <si>
    <t xml:space="preserve">Coordinar proyectos de comunicación periodística, organizacional y comunitaria con base en objetivos, cronogramas y recursos definidos, para ejecutar procesos técnicos y organizativos de producción comunicativa, a través del seguimiento operativo de equipos, tiempos y recursos según las condiciones del entorno profesional.
 </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</si>
  <si>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</si>
  <si>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</si>
  <si>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</si>
  <si>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</si>
  <si>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</si>
  <si>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</si>
  <si>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</si>
  <si>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</si>
  <si>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</si>
  <si>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</si>
  <si>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</si>
  <si>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</si>
  <si>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</si>
  <si>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</si>
  <si>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</si>
  <si>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</si>
  <si>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</si>
  <si>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</si>
  <si>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</si>
  <si>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</si>
  <si>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</si>
  <si>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</si>
  <si>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</si>
  <si>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</si>
  <si>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fenómenos sociales, políticos y culturales mediante teorías de la comunicación y fundamentos narrativos, técnicos y editoriales, para explicar su integración en la producción de mensajes convergentes e informativos.</t>
  </si>
  <si>
    <t>ProcedimentalBAK</t>
  </si>
  <si>
    <t>ControlBAK</t>
  </si>
  <si>
    <t>Diseña mensajes comunicativos multiformato a partir de enfoques temáticos, líneas argumentativas y fundamentos narrativos, técnicos y editoriales, para producir contenidos ajustados a formatos, audiencias y objetivos en distintos entornos de circulación.</t>
  </si>
  <si>
    <t>ActitudinalBAK</t>
  </si>
  <si>
    <t>PercepciónBAK</t>
  </si>
  <si>
    <t>Evaluar</t>
  </si>
  <si>
    <t>Evalúa la pertinencia de los criterios técnicos, narrativos y contextuales que emplea en el desarrollo de acciones comunicativas, para reconocer la coherencia y calidad de los productos comunicativos.</t>
  </si>
  <si>
    <t>Analiza segmentación de audiencias, planificación convergente, objetivos, cronogramas y recursos en proyectos de comunicación digital, periodística, organizacional y comunitaria, para explicar su integración en los procesos de producción y circulación de contenidos.</t>
  </si>
  <si>
    <t>Diseña procesos de comunicación digital, periodística, organizacional y comunitaria mediante segmentación de audiencias, planificación convergente, objetivos, cronogramas y recursos, para desarrollar acciones articuladas de producción y circulación en escenarios comunicativos diversos.</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</si>
  <si>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</si>
  <si>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</si>
  <si>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</si>
  <si>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</si>
  <si>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</si>
  <si>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</si>
  <si>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</si>
  <si>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</si>
  <si>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</si>
  <si>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</si>
  <si>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</si>
  <si>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</si>
  <si>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</si>
  <si>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</si>
  <si>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</si>
  <si>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</si>
  <si>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</si>
  <si>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</si>
  <si>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</si>
  <si>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</si>
  <si>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</si>
  <si>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</si>
  <si>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</si>
  <si>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</si>
  <si>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</si>
  <si>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</si>
  <si>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</si>
  <si>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</si>
  <si>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</si>
  <si>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</si>
  <si>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</si>
  <si>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</si>
  <si>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</si>
  <si>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</si>
  <si>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</si>
  <si>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</si>
  <si>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</si>
  <si>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Unidad de Investigación Periodística (UIP)</t>
  </si>
  <si>
    <t>Unidad de práctica en la que los estudiantes desarrollan investigaciones de largo aliento enfocadas en temáticas de derechos humanos. Las investigaciones cuentan con el apoyo de docentes de la facultad y practicantes de diferentes programas. Además, se generan alianzas con medios de comunicación nacionales y organizaciones internacionales para la publicación de los trabajos.</t>
  </si>
  <si>
    <t>Número de veces que se realiza la estrategia por periodo académico.</t>
  </si>
  <si>
    <t>Informar y formar en investigación periodística y narrativas digitales, con el fin de fortalecer la capacidad de análisis de la realidad, el trabajo de reportería y el diseño de narrativas.</t>
  </si>
  <si>
    <t>Informe o Reporte.</t>
  </si>
  <si>
    <t>Número de estudiantes que participan en la estrategia por periodo académico.</t>
  </si>
  <si>
    <t>Listados de participación.</t>
  </si>
  <si>
    <t>Número de proyectos que se desarrollan en el periodo de tiempo establecido por el programa.</t>
  </si>
  <si>
    <t>Valoración del nivel de aporte de la estrategia a los resultados de aprendizaje del programa.</t>
  </si>
  <si>
    <t>Encuesta de valoración.</t>
  </si>
  <si>
    <t>Polideportes</t>
  </si>
  <si>
    <t>Unidad académica de periodismo especializado en deportes. Realiza un ejercicio diario de publicación con un enfoque en deportes diferentes al fútbol, sin dejar de lado este último, y busca visibilizar el deporte paralímpico. Además de las publicaciones diarias, se desarrollan entrevistas, especiales y reportajes.</t>
  </si>
  <si>
    <t>Número de estudiantes que participan en la estrategia en el periodo de tiempo establecido por el programa.</t>
  </si>
  <si>
    <t>Formar en redacción digital y multimedial aplicada al periodismo deportivo, apoyando la toma de decisiones en el manejo de la información.</t>
  </si>
  <si>
    <t>Número de reportajes, especiales, entrevistas y notas diarias.</t>
  </si>
  <si>
    <t>Número de publicaciones en medios locales en la estrategia en el periodo de tiempo establecido por el programa.</t>
  </si>
  <si>
    <t>Artículo 20 Lab</t>
  </si>
  <si>
    <t>Espacio pedagógico de prácticas que permite construir estrategias y narrativas periodísticas a partir del uso de diferentes tecnologías y plataformas digitales, generando impacto social. Este laboratorio acerca a los futuros periodistas al quehacer profesional y al uso de tecnologías de punta aplicadas al periodismo, así como a enfoques de trabajo como el periodismo de datos o de soluciones. Desde miradas diversas se abre el camino para narrar historias y contar la vida que nos rodea.</t>
  </si>
  <si>
    <t>Número de estudiantes que participan en la estrategia.</t>
  </si>
  <si>
    <t>Formar en la construcción de narrativas en diversos formatos que aborden temáticas del acontecer nacional.
Informar sobre la realidad nacional en distintos temas de interés para las audiencias.
Ayudar a decidir sobre la pertinencia, las fuentes y el contenido de la información en los proyectos periodísticos.</t>
  </si>
  <si>
    <t>Número de escritos periodísticos publicados en el portal https://articulo20.poligran.edu.co/</t>
  </si>
  <si>
    <t>Número de programas radiales de Voces del Territorio, un proyecto de Artículo 20.</t>
  </si>
  <si>
    <t>Proyecto Cuento Ilustrado</t>
  </si>
  <si>
    <t>Proyecto de trabajo colaborativo entre los estudiantes de Taller de Redacción de la Escuela de Comunicación, Artes Visuales y Digitales, y los de Ilustración II de la Escuela de Diseño. El objetivo es que los estudiantes de Redacción escriban un cuento corto y los de Ilustración produzcan un libro físico ilustrado a partir del cuento asignado.</t>
  </si>
  <si>
    <t>Número de estudiantes que participan en la estrategia por el periodo de tiempo establecido por el programa.</t>
  </si>
  <si>
    <t>Formar en la planeación, redacción y edición de cuentos cortos, acompañando la toma de decisiones sobre los procesos de escritura.</t>
  </si>
  <si>
    <t>Número de libros que se producen en el aula de clase por semestre.</t>
  </si>
  <si>
    <t>Número de libros del Proyecto Cuento ilustrado que se publican anualmente por parte de la Editorial de Politécnico Grancolombiano.</t>
  </si>
  <si>
    <t>Likan</t>
  </si>
  <si>
    <t>Likan se define como un portavoz de historias vinculadas a la moda, una oportunidad para quienes deciden emprender el viaje en este mundo. El campo periodístico, moda, gráfico y fotográfico se une de la mano de mentores y de la Institución Universitaria Politécnico Grancolombiano para incentivar un hábito de esparcimiento y educación.</t>
  </si>
  <si>
    <t>Formar en la realización de entrevistas y en la redacción de artículos periodísticos.</t>
  </si>
  <si>
    <t>Número de revistas publicadas tanto físicamente como en digital por el periodo de tiempo establecido por el programa.</t>
  </si>
  <si>
    <t>Semilleros de Investigación</t>
  </si>
  <si>
    <t>Escenarios de iniciación formativa donde los estudiantes realizan ejercicios de lectura, diseño de instrumentos para la investigación social y aplicada, recolección de datos y diseño de productos comunicativos en diversos formatos a partir de los resultados recolectados.</t>
  </si>
  <si>
    <t>Número de estudiantes de programas y escuelas que se vinculan a proyectos IA, IC, y  a convocatorias de semilleros.</t>
  </si>
  <si>
    <t>Formar en procesos de iniciación científica, promoviendo el uso de métodos y herramientas básicas de investigación.</t>
  </si>
  <si>
    <t>Listas de participación.</t>
  </si>
  <si>
    <t>Número de evidencias que aporten los estudiantes participantes.</t>
  </si>
  <si>
    <t>Número de ponencias enviadas a eventos de semilleros u otras modalidades (concursos, reconocimientos).</t>
  </si>
  <si>
    <t>Clases Espejo</t>
  </si>
  <si>
    <t>Recurso académico que utiliza una plataforma digital compartida entre profesores y estudiantes de dos o más universidades, para participar en el desarrollo sincrónico de una sesión de curso. La estrategia parte de la participación de un profesor extranjero para ampliar la visión académica del estudiante frente a la asignatura que cursa.</t>
  </si>
  <si>
    <t>Formar en temas específicos de la profesión a través de clases dictadas por profesores extranjeros, que amplíen la visión académica y profesional.</t>
  </si>
  <si>
    <t xml:space="preserve">CELEO - Centro de Lectura, Escritura, Oralidad y Apropiación de la Ciencia </t>
  </si>
  <si>
    <t>Centro de pensamiento multidisciplinar, especializado en el desarrollo de servicios, programas y actividades lúdicas y formativas que fomentan las habilidades, competencias y el disfrute de la lectura, la escritura y la oralidad por parte de toda la comunidad del Poli.</t>
  </si>
  <si>
    <t>Formar en prácticas de lectura, escritura y oralidad, informando sobre las fortalezas y debilidades identificadas en cada estudiante, y prevenir dificultades en la comprensión y producción textual.</t>
  </si>
  <si>
    <t>Número de actividades lúdicas y formativas que se desarrollan y/o se apoyan por semestre.</t>
  </si>
  <si>
    <t>Número de asesorías en escritura, lectura u oralidad, dirigidas a la Comunidad Poli, que se llevan a cabo por semestre.</t>
  </si>
  <si>
    <t>Conferencias en Temas de Comunicación</t>
  </si>
  <si>
    <t>Espacios de diálogo y exposición de temáticas que amplían el análisis y la comprensión de la comunicación en escenarios como los medios de comunicación y las organizaciones públicas y privadas.</t>
  </si>
  <si>
    <t>Informar y formar en temas de actualidad y coyuntura, así como en la ejecución de proyectos colaborativos de carácter intercultural.</t>
  </si>
  <si>
    <t>Proyecto COIL - Collaborative Online International Learning</t>
  </si>
  <si>
    <t>Estrategia institucional de internacionalización en casa que promueve el trabajo colaborativo en línea entre estudiantes y docentes del Politécnico Grancolombiano y de universidades extranjeras. A través de la planificación conjunta entre profesores de ambas instituciones, se desarrollan actividades y proyectos integrados al currículo que permiten la interacción intercultural, el uso de tecnologías digitales y la producción de contenidos académicos compartidos. Esta experiencia favorece la formación en competencias globales, digitales y colaborativas, fortaleciendo la visión internacional de los estudiantes sin necesidad de movilidad física.</t>
  </si>
  <si>
    <t>Ayudar a los estudiantes en la toma de decisiones durante las fases de planeación y desarrollo del proyecto colaborativo, y prevenir dificultades derivadas del trabajo intercultural y del uso de tecnologías digitales, orientándolos en la gestión de tiempos, recursos y comunicación efectiva.</t>
  </si>
  <si>
    <t>Poli Radio</t>
  </si>
  <si>
    <t>Emisora institucional del Politécnico Grancolombiano y miembro de la Red de Radio Universitaria de Colombia (RRUC), que se configura como un espacio educativo y formativo. A través de PoliRadio, estudiantes, docentes, graduados y miembros de la comunidad universitaria producen y difunden contenidos sonoros en distintos formatos, fortaleciendo competencias comunicativas, técnicas y narrativas. La emisora fomenta la experimentación creativa, la práctica profesional y la proyección de ideas hacia audiencias locales e internacionales mediante la radio en línea.</t>
  </si>
  <si>
    <t>Número de estudiantes y docentes que participan en la estrategia por periodo académico.</t>
  </si>
  <si>
    <t xml:space="preserve">Ayudar a tomar decisiones para la realización de los formatos adecuados, y formar en el lenguaje radial propicio para difundir el mensaje.  </t>
  </si>
  <si>
    <t>Número de programas emitidos y número de intercambios de programación con emisoras universitarias e instituciones por semestre académico.</t>
  </si>
  <si>
    <t>Número de participaciones en el encuentro de la Red de Radio Universitaria de Colombia.</t>
  </si>
  <si>
    <t>Cine Club La Moviola</t>
  </si>
  <si>
    <t>Estrategia cultural dedicada a la exhibición de películas con valor cinematográfico y estético, de autores que a lo largo de la historia y en diferentes lugares del mundo han contribuido a conformar diversos lenguajes y relatos cinematográficos. Gracias a la inmensa producción cinematográfica mundial, La Moviola ofrece encuentros con múltiples perspectivas cinematográficas y documentales.</t>
  </si>
  <si>
    <t>Informar y formar en torno a diversos lenguajes cinematográficos, que amplíen la comprensión y el análisis audiovisual.</t>
  </si>
  <si>
    <t>Número de películas proyectadas y de publicaciones relacionadas con la programación por periodo académico.</t>
  </si>
  <si>
    <t>Número de piezas de campaña de promoción que se realizan por ciclo.</t>
  </si>
  <si>
    <t>Unidad de Práctica Sala de Contacto</t>
  </si>
  <si>
    <t>Unidad generadora de contenidos escritos y audiovisuales de alta calidad para los medios de comunicación internos y externos del Politécnico Grancolombiano. Además, ha trabajado con clientes significativos del sector público y privado.</t>
  </si>
  <si>
    <t>Número de estudiantes que hacen práctica en la productora por periodo académico.</t>
  </si>
  <si>
    <t>Formar en temas específicos de la profesión mediante la realización de proyectos para clientes internos y externos, con el acompañamiento de docentes de la Escuela.</t>
  </si>
  <si>
    <t>Número de publicaciones y / o contenidos en medios de comunicación tradicionales, digitales y redes  por periodo académico.</t>
  </si>
  <si>
    <t>Participación en Redes Académicas</t>
  </si>
  <si>
    <t>Estrategia de vinculación que promueve la interacción del programa con asociaciones y redes académicas nacionales e internacionales, como redes de semilleros de investigación, facultades y programas de comunicación, redes de investigación en comunicación y la redes de radios universitarias. A través de esta participación se fortalecen la investigación, la formación y la extensión, favoreciendo el intercambio de conocimientos, la cooperación en proyectos conjuntos y la visibilidad académica del programa en escenarios locales y globales.</t>
  </si>
  <si>
    <t>Formar a los estudiantes en la interacción académica y profesional dentro de redes especializadas, orientándolos en la construcción de vínculos colaborativos y en la toma de decisiones sobre la pertinencia de su participación en proyectos, eventos y comunidades de aprendizaje.</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</si>
  <si>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</si>
  <si>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</si>
  <si>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</si>
  <si>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</si>
  <si>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</si>
  <si>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</si>
  <si>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</si>
  <si>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</si>
  <si>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</si>
  <si>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</si>
  <si>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</si>
  <si>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</si>
  <si>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</si>
  <si>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</si>
  <si>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</si>
  <si>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</si>
  <si>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</si>
  <si>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</si>
  <si>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</si>
  <si>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</si>
  <si>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</si>
  <si>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</si>
  <si>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</si>
  <si>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</si>
  <si>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</si>
  <si>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</si>
  <si>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</si>
  <si>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</si>
  <si>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</si>
  <si>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</si>
  <si>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</si>
  <si>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</si>
  <si>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</si>
  <si>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</si>
  <si>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</si>
  <si>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</si>
  <si>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</si>
  <si>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</si>
  <si>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</si>
  <si>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</si>
  <si>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</si>
  <si>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</si>
  <si>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</si>
  <si>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</si>
  <si>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Procesos de Comunicación</t>
  </si>
  <si>
    <t>Analiza los procesos de comunicación en distintos contextos socioculturales de los siglos XX y XXI, para interpretar sus transformaciones en la historia reciente.</t>
  </si>
  <si>
    <t>T</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</si>
  <si>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</si>
  <si>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Las estrategias pueden variar entre estas u otras:
Trabajo directo
Clase magistral activa/Análisis o Estudio de casos/Resolución de problemas
Trabajo independiente
Lecturas relacionadas o de materiales complementarios/Resolución de problemas/Talleres grupales o individuales/Análisis o Estudio de casos/Elaboración de informes o documentos técnicos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</si>
  <si>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</si>
  <si>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I</t>
  </si>
  <si>
    <t>Lenguaje y Pensamiento</t>
  </si>
  <si>
    <t>Identifica relaciones entre lenguaje y pensamiento en diferentes escuelas y teorías, para aplicar referentes conceptuales en el análisis de discursos presentes en entornos comunicativos diversos.</t>
  </si>
  <si>
    <t>1. El origen del lenguaje
2. Habilidades del pensamiento
3. Aplicaciones en diferentes discursos                       
4. Lenguaje y pensamiento en entornos digitales</t>
  </si>
  <si>
    <t>Las estrategias pueden variar entre estas u otras:
Trabajo directo
Exposiciones magistrales/Lecturas/Talleres
Trabajo independiente
Lecturas/Talleres/Identificación de problemas</t>
  </si>
  <si>
    <t>Las actividades pueden varias entre estas u otras:
Formativas
Preguntas intercaladas/Talleres pre-parciales
Sumativas
Proyecto/Exposiciones/Talleres</t>
  </si>
  <si>
    <t>Técnicas de Expresión</t>
  </si>
  <si>
    <t>Aplica técnicas de expresión oral y recursos visuales, para realizar presentaciones orales coherentes con los objetivos, el público y el contexto comunicativo.</t>
  </si>
  <si>
    <t>1. Tipos de presentaciones 
2. Expresión verbal y no verbal
3. Diseño de recursos
4. Planeación y ejecución de una presentación</t>
  </si>
  <si>
    <t>Las estrategias pueden variar entre estas u otras:
Trabajo directo
Aprendizaje basado en el juego/Simulación/Exposiciones/Análisis de material sonoro y audiovisual
Trabajo independiente
Lecturas/Talleres/Análisis y desarrollo de material sonoro y audiovisual</t>
  </si>
  <si>
    <t>Las actividades pueden varias entre estas u otras:
Formativas
Preguntas intercaladas/Talleres
Sumativas
Planeación y ejecución de presentaciones orales</t>
  </si>
  <si>
    <t>Fundamentos de Redacción</t>
  </si>
  <si>
    <t>Redacta textos narrativos y descriptivos con coherencia y cohesión, para construir relatos de ficción que respondan a las exigencias del ámbito comunicativo.</t>
  </si>
  <si>
    <t>1. Coherencia y cohesión en la construcción del texto
2. Estructuras descriptivas
3. Estructura narrativa
4. Cuento corto</t>
  </si>
  <si>
    <t>Las estrategias pueden variar entre estas u otras:
Trabajo directo
Exposiciones magistrales/Lecturas/Talleres
Trabajo independiente
Lecturas/Talleres/Proyectos de cuento</t>
  </si>
  <si>
    <t>Las actividades pueden varias entre estas u otras:
Formativas
Preguntas intercaladas/Talleres
Sumativas
Talleres/Escritura de textos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</si>
  <si>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</si>
  <si>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</si>
  <si>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</si>
  <si>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</si>
  <si>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</si>
  <si>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Taller de Producción Escrita</t>
  </si>
  <si>
    <t>Redacta textos comunicacionales con estructuras claras, para desarrollar mensajes ajustados a su finalidad, tipo discursivo y características del medio, usando reglas de ortografía, gramática y organización textual.</t>
  </si>
  <si>
    <t>1. Ortografía
2. Gramática: La oración y el párrafo
3. Tipologías y caracterización de textos (Periodísticos, publicaciones en redes sociales, textos corporativos)
4. Planeación y estructuración de textos</t>
  </si>
  <si>
    <t>Las estrategias pueden variar entre estas u otras:
Trabajo directo
Exposiciones magistrales/Construcción básica de textos periodísticos/Talleres/Análisis de textos 
Trabajo  independiente
Lecturas/Talleres/Desarrollo de proyecto</t>
  </si>
  <si>
    <t>Las actividades pueden varias entre estas u otras:
Formativas
Talleres/Análisis de escritura de textos
Sumativas
Talleres/Elaboración de textos</t>
  </si>
  <si>
    <t>Historia Contemporánea</t>
  </si>
  <si>
    <t>Relaciona transformaciones políticas, sociales y mediáticas del siglo XX y XXI con fenómenos actuales, para aplicar criterios históricos en la comprensión de discursos comunicativos contemporáneos.</t>
  </si>
  <si>
    <t>1. Las guerras mundiales y las dictaduras en América Latina (Siglo XX)
2. Violencias y búsquedas de paz en Colombia (Siglos XX-XXI)
3. La revolución digital y las nuevas violencias (Siglo XXI)                                                                        4. Democracia, populismo y autoritarismos en la era digital</t>
  </si>
  <si>
    <t>Las estrategias pueden variar entre estas u otras:
Trabajo directo
Exposiciones magistrales/Talleres/Identificación y análisis de problemas 
Trabajo  independiente
Lecturas/Talleres/Identificación y análisis de problemas</t>
  </si>
  <si>
    <t>Las actividades pueden varias entre estas u otras:
Formativas
Preguntas intercaladas/Talleres pre-parciales/Socialización de lecturas
Sumativas
Exposiciones/Talleres/Parciales</t>
  </si>
  <si>
    <t>Fundamentos de Comunicación en las Organizaciones</t>
  </si>
  <si>
    <t>Analiza prácticas comunicativas organizacionales internas, para relacionar procesos de información, cultura organizacional y dinámicas grupales mediante una propuesta de intervención comunicativa.</t>
  </si>
  <si>
    <t>1. Comunicación, información y organización 
2. Cultura organizacional y comunicación
3. El individuo y los grupos en la organización 
4. Formación, campos profesionales y retos en comunicación organizacional</t>
  </si>
  <si>
    <t>Las estrategias pueden variar entre estas u otras:
Trabajo directo
Exposiciones magistrales/Aprendizaje con lecturas/Talleres   
Trabajo  independiente
Lecturas/Talleres/Identificar problemas/Analizar contenidos/Realizar mapa</t>
  </si>
  <si>
    <t>Las actividades pueden varias entre estas u otras:
Formativas
Debates/Talleres
Sumativas
Exposiciones/Estudios de caso</t>
  </si>
  <si>
    <t>Teorías de la Comunicación</t>
  </si>
  <si>
    <t>Reconoce los conceptos, modelos y metodologías del campo epistemológico de la comunicación, para describir las perspectivas teóricas que explican la comunicación en distintos contextos socioculturales desde el siglo XX.</t>
  </si>
  <si>
    <t>1. Funcionalismo a una visión de la teoría crítica 
2. Estudios culturales: ingleses, norteamericanos y latinoamericanos 
3. La comunicación de masas y los estudios de recepción en América Latina
4. Perspectivas comunicacionales actuales</t>
  </si>
  <si>
    <t>Las estrategias pueden variar entre estas u otras:
Trabajo directo
Exposiciones magistrales/Talleres/Identificación de problemas/Análisis de contenidos.
Trabajo independiente
Lecturas/Talleres/Identificación de problemas</t>
  </si>
  <si>
    <t>Las actividades pueden varias entre estas u otras:
Formativas
Preguntas intercaladas/Talleres pre-parciales
Sumativas
Exposiciones/Talleres/Proyecto</t>
  </si>
  <si>
    <t>Fundamentos de Periodismo</t>
  </si>
  <si>
    <t>Analiza los fundamentos del quehacer periodístico, para aplicar criterios básicos del proceso de producción informativa en ejercicios de exploración de escenarios, formatos y desafíos actuales del periodismo.</t>
  </si>
  <si>
    <t>1. Nociones generales del periodismo
2. El proceso de producción periodística
3. Las transformaciones del periodismo
4. Desafíos del periodismo</t>
  </si>
  <si>
    <t>Las estrategias pueden variar entre estas u otras:
Trabajo directo
Exposiciones magistrales/Aprendizaje con mapas/Lecturas/Talleres/Identificación de problemas/Preguntas intercaladas
Trabajo independiente
Talleres/Lecturas/Entrevistas a periodistas</t>
  </si>
  <si>
    <t>Las actividades pueden varias entre estas u otras:
Formativas
Participación en los debates de clase/Exposición de preguntas temáticas
Sumativas
Exposiciones/Talleres/Proyecto</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</si>
  <si>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</si>
  <si>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</si>
  <si>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</si>
  <si>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</si>
  <si>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</si>
  <si>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</si>
  <si>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</si>
  <si>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</si>
  <si>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</si>
  <si>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</si>
  <si>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</si>
  <si>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</si>
  <si>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Las estrategias pueden variar entre estas u otras:
Trabajo directo
Clases magistrales/Talleres/Laboratorios/Uso de herramientas computacionales/Uso de herramientas para fotografía/Resolución de problemas
Trabajo independiente
Lecturas/Resolución de problemas/Uso de herramientas computacionales/Uso de herramientas para fotografía</t>
  </si>
  <si>
    <t>Las actividades pueden variar entre estas u otras:
Formativas
Resolución de problemas/Uso de herramientas computacionales/Proyectos
Sumativas
Taller/Laboratorios/Presentación y sustentación de proyectos/Piezas fotográficas</t>
  </si>
  <si>
    <t>Narrativas Sonoras</t>
  </si>
  <si>
    <t>Desarrolla productos sonoros mediante el lenguaje radiofónico, para comunicar ideas, emociones o historias en contextos narrativos sonoros.</t>
  </si>
  <si>
    <t>1. Sonido
2. Plataformas de edición y difusión
3. Narrativa sonora
4. Producción sonora</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</si>
  <si>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</si>
  <si>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Géneros Informativos</t>
  </si>
  <si>
    <t>Aplica estructuras narrativas propias de los géneros informativos, para desarrollar ejercicios de producción de noticias y entrevistas ajustados a criterios básicos de actualidad, veracidad y formato en entornos digitales o análogos.</t>
  </si>
  <si>
    <t>1. Los géneros periodísticos
2. La noticia 
3. La entrevista
4. La hibridación y nuevas plataformas</t>
  </si>
  <si>
    <t>Las estrategias pueden variar entre estas u otras:
Trabajo directo
Simulación de roles (reporteros-editores)/Ejecución de proyectos/Talleres/Lecturas
Trabajo independiente
Estudio de fuentes de información/Lecturas/Análisis de estructuras de redacción</t>
  </si>
  <si>
    <t>Las actividades pueden varias entre estas u otras:
Formativas
Corrección de redacción durante el desarrollo de productos periodísticos/Preguntas de conceptos temáticos para aclarar dudas
Sumativas
Redacción de textos/Sustentación de investigaciones/Talleres de actualidad</t>
  </si>
  <si>
    <t>Taller de Diseño Digital</t>
  </si>
  <si>
    <t>Aplica principios del diseño gráfico y de la comunicación visual, para elaborar piezas digitales que articulen composición, tipografía, color e interacción en función de propósitos comunicativos definidos.</t>
  </si>
  <si>
    <t>1. Composición
2. Tipografía 
3. Color
4. Diseño e interacción</t>
  </si>
  <si>
    <t>Las estrategias pueden variar entre estas u otras:
Trabajo directo
Exposiciones magistrales/Lecturas/Talleres/Identificación de problemas
Trabajo independiente
Lecturas/Talleres</t>
  </si>
  <si>
    <t xml:space="preserve">Las actividades pueden varias entre estas u otras:
Formativas
Talleres/Preguntas intercaladas
Sumativas
Exposiciones/Talleres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</si>
  <si>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</si>
  <si>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</si>
  <si>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</si>
  <si>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</si>
  <si>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Narrativas Audiovisuales</t>
  </si>
  <si>
    <t>Produce contenidos audiovisuales que integren principios del lenguaje televisivo y técnicas de realización, para comunicar narrativas pertinentes a distintos formatos y audiencias.</t>
  </si>
  <si>
    <t>1. Narrativa audiovisual  
2. Argumental
3. Audiovisual publicitario
4. Realización digital</t>
  </si>
  <si>
    <t>Las actividades pueden varias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</si>
  <si>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Géneros Interpretativos</t>
  </si>
  <si>
    <t>Aplica estructuras narrativas de los géneros interpretativos, para desarrollar ejercicios de escritura de crónicas y reportajes que integren fuentes, estilos y formatos en contextos mediáticos actuales.</t>
  </si>
  <si>
    <t>1. La crónica
2. El reportaje
3. La opinión
4. La hibridación y las nuevas plataformas</t>
  </si>
  <si>
    <t>Las actividades pueden varias entre estas u otras:
Formativas
Corrección de redacción durante su desarrollo/Preguntas de conceptos temáticos para aclarar dudas
Sumativas
Redacción de textos/Sustentación de investigaciones/Talleres de actualidad</t>
  </si>
  <si>
    <t>Taller de Producción Editorial</t>
  </si>
  <si>
    <t>Desarrolla procesos básicos de producción editorial para estructurar publicaciones análogas o digitales que integren contenidos informativos y organizacionales según criterios de formato, lenguaje y circulación.</t>
  </si>
  <si>
    <t>1. La prensa escrita, historia y conceptos (periódicos, revistas impresas)
2. Características de la prensa escrita, estructura y producción de periódicos, revistas impresas y/o publicaciones en las organizaciones
3. Características y creación de un medio de comunicación electrónico y/o digital (periódico, revista y/o publicaciones organizacionales)                                 
4. Difusión y promoción de productos editoriales</t>
  </si>
  <si>
    <t>Las estrategias pueden variar entre estas u otras:
Trabajo directo
Exposiciones magistrales/Talleres/Simulación (Juego de roles)
Trabajo independiente
Lecturas/Talleres/Simulación (Juego de roles)</t>
  </si>
  <si>
    <t>Las actividades pueden varias entre estas u otras:
Formativas
Preguntas intercaladas/Asesorías/Talleres
Sumativas
Exposiciones/Talleres/Parciales/Proyecto (Juego de roles)</t>
  </si>
  <si>
    <t>Comunicación Digital</t>
  </si>
  <si>
    <t>Diseña contenidos digitales utilizando herramientas de colaboración en línea para desarrollar estrategias comunicativas acordes con las necesidades de las audiencias.</t>
  </si>
  <si>
    <t>1. Las TIC y su evolución                                            
2. La liberación del usuario                         
3. Contenidos colaborativos                                       
4. Diseño y producción de contenidos en el marco de la comunicación digital</t>
  </si>
  <si>
    <t>Las estrategias pueden variar entre estas u otras:
Trabajo directo
Exposiciones magistrales/Talleres/Análisis de casos
Trabajo independiente
Talleres/Lecturas/Entrevistas a expertos</t>
  </si>
  <si>
    <t>Las actividades pueden varias entre estas u otras:
Formativas
Talleres pre-parciales
Sumativas
Exposiciones/Talleres/Parciales</t>
  </si>
  <si>
    <t>Comunicación y Sociedad</t>
  </si>
  <si>
    <t>Analiza perspectivas socioculturales sobre la relación entre comunicación y sociedad, para explicar cómo las transformaciones digitales, culturales y de control inciden en las dinámicas sociales contemporáneas.</t>
  </si>
  <si>
    <t>1. La perspectiva sociocultural en la relación comunicación-sociedad.
2. Sociedad Red – Cultura, identidad y globalización.
3. Sociedades de control y sociedad del riesgo.
4. La digitalización y su impacto social.</t>
  </si>
  <si>
    <t>Las estrategias pueden variar entre estas u otras:
Trabajo directo
Exposiciones magistrales/Aprendizaje con análisis de casos/Lecturas/Talleres/Ejercicios de roles
Trabajo independiente
Lecturas/Talleres/Identificación de problemas</t>
  </si>
  <si>
    <t>Las actividades pueden varias entre estas u otras:
Formativas
Preguntas intercaladas/Talleres/Pre-parciales
Sumativas
Sustentaciones/Talleres/Proyecto</t>
  </si>
  <si>
    <t>Narrativa Transmedia</t>
  </si>
  <si>
    <t>Diseña propuestas narrativas transmediales sustentadas en un tema informativo, para aplicar lenguajes digitales y recursos multiplataforma acordes al contexto comunicativo.</t>
  </si>
  <si>
    <t>1. Narrativas transmedia
2. Características transmediales
3. Contenidos transmediales 
4. Estrategia, ética e impacto de las narrativas transmedia</t>
  </si>
  <si>
    <t>Las actividades pueden varias entre estas u otras:
Formativas
Preguntas intercaladas/Talleres/Exposiciones
Sumativas
Proyecto transmedia/Talleres/Producciones transmedia/Exposiciones (Pitch)</t>
  </si>
  <si>
    <t>Programación Web</t>
  </si>
  <si>
    <t>Desarrolla contenidos y estructuras para páginas web, integrando lenguajes, herramientas y fundamentos de programación, para implementar proyectos digitales accesibles y seguros.</t>
  </si>
  <si>
    <t>1. Fundamentos de la web y construcción de estructura básica
2. Multimedia y estilización de contenidos web
3. Gestión de sitios web y creación de e-commerce
4. Seguridad y buenas prácticas en el desarrollo web</t>
  </si>
  <si>
    <t>Semiótica Audiovisual</t>
  </si>
  <si>
    <t>Interpreta códigos verbales y no verbales en sistemas de significación del lenguaje y la cultura, para construir narrativas audiovisuales con intencionalidad comunicativa y enfoque semiótico.</t>
  </si>
  <si>
    <t>1. Signo, Interpretante y Axiología
2. Elementos semióticos en la narrativa
3. Semiótica de audiencias de la información informática 
4. Semiótica aplicada a la creación de productos audiovisuales</t>
  </si>
  <si>
    <t>Comunicación Estratégica</t>
  </si>
  <si>
    <t>Formula acciones de comunicación estratégica a partir de los fundamentos conceptuales y operativos del campo, para diseñar intervenciones comunicativas acordes con objetivos, recursos y condiciones institucionales.</t>
  </si>
  <si>
    <t>1. Concepto de comunicación estratégica
2. Funcionamiento de la comunicación estratégica
3. La comunicación organizacional, estrategias y tácticas
4. Fundamentos de la planeación estratégica</t>
  </si>
  <si>
    <t>Las estrategias pueden variar entre estas u otras:
Trabajo directo
Exposiciones magistrales/Lecturas/Talleres/Identificación de problemas
Trabajo independiente
Lecturas/Talleres/Identificación de problemas/visita a empresa</t>
  </si>
  <si>
    <t>Análisis de Audiencias</t>
  </si>
  <si>
    <t>Caracteriza perfiles de audiencias digitales a partir del análisis de métricas cuantitativas y cualitativas, para seleccionar criterios de contenido aplicables en ejercicios comunicativos.</t>
  </si>
  <si>
    <t xml:space="preserve">1. Introducción al estudio de las audiencias y caracterización de audiencias digitales: mass media, audiencias prosumidoras, influencers
2. Analítica web, cualificación y cuantificación para la interpretación de datos
3. Métricas para estudios de audiencias: SurveyMonkey, Google Analytics, Adobe Site Catalyst y Chartbeat
4. Audiencias en un plan de comunicación: aplicación y casos </t>
  </si>
  <si>
    <t>Las estrategias pueden variar entre estas u otras:
Trabajo directo
Exposiciones magistrales/Talleres/Análisis de casos/Resolución de problemas
Trabajo independiente
Talleres/Proyecto</t>
  </si>
  <si>
    <t>Las actividades pueden varias entre estas u otras:
Formativas
Preguntas intercaladas/Talleres/Asesorías
Sumativas
Exposiciones/Talleres/Pre-entregas del proyecto/Proyecto</t>
  </si>
  <si>
    <t>Estrategias Digitales</t>
  </si>
  <si>
    <t>Selecciona recursos y plataformas digitales a partir del estudio del ecosistema de comunicación, para elaborar propuestas de publicación ajustadas a objetivos digitales y características del público.</t>
  </si>
  <si>
    <t>1. Ecosistemas digitales de comunicación
2. Formulación de una estrategia digital de la  comunicación
3. Herramientas digitales para la comunicación digital
4. Evaluación, optimización y sostenibilidad de estrategias digitales</t>
  </si>
  <si>
    <t>Las estrategias pueden variar entre estas u otras:
Trabajo directo
Exposiciones magistrales/Talleres/Análisis de casos
Trabajo independiente
Lecturas</t>
  </si>
  <si>
    <t>Las actividades pueden varias entre estas u otras:
Formativas
Talleres/Asesorías
Sumativas
Exposiciones/Proyecto</t>
  </si>
  <si>
    <t>Psicología de la Comunicación</t>
  </si>
  <si>
    <t>Analiza los fundamentos de la comunicación humana y microsocial, para explicar su incidencia en la construcción de prácticas comunicativas pertinentes en contextos sociales.</t>
  </si>
  <si>
    <t xml:space="preserve">1. El sistema de la comunicación humana 
2. De lo informacional a lo comunicacional  
3. La interacción social 
4. La microsociología </t>
  </si>
  <si>
    <t xml:space="preserve">Las estrategias pueden variar entre estas u otras:
Trabajo directo
Exposiciones magistrales/Aprendizaje con análisis de casos/Lecturas/Talleres/Ejercicios de roles
Trabajo independiente
Lecturas/Talleres/Identificación de problemas </t>
  </si>
  <si>
    <t>Análisis de Coyuntura</t>
  </si>
  <si>
    <t>Aplica métodos de análisis de coyuntura para identificar relaciones causales en fenómenos actuales de los contextos sociales, políticos o económicos de Colombia y América Latina.</t>
  </si>
  <si>
    <t>1. Estructuras de poder políticas y económicas que influyen en Colombia y América Latina 
2. Métodos para el análisis de coyuntura  
3. Análisis de fenómenos coyunturales                          
4. Comunicación, narrativas mediáticas y digitales en la disputa de sentido en las coyunturas</t>
  </si>
  <si>
    <t>Las estrategias pueden variar entre estas u otras:
Trabajo directo
Exposiciones magistrales/Lecturas/Talleres/Identificación de problemas/Análisis de contenidos
Trabajo independiente
Lecturas/Talleres/Identificación de problemas</t>
  </si>
  <si>
    <t>Comunicaciones Integradas de Marketing</t>
  </si>
  <si>
    <t>Aplica herramientas de comunicación integradas para estructurar mensajes dirigidos a públicos internos y externos, ajustados a objetivos y contextos definidos.</t>
  </si>
  <si>
    <t>1. Conceptualización de las Comunicaciones Integradas de Mercadeo - CIM
2. Herramientas de las Comunicaciones Integradas de Mercadeo - CIM
3. Análisis y diseño del Plan Estratégico de Comunicación integrado al mercadeo - PEC
4. Implementación y evaluación del Plan Estratégico de Comunicación integrado al mercadeo - PEC</t>
  </si>
  <si>
    <t>Laboratorio Diseño de Proyectos Digitales</t>
  </si>
  <si>
    <t>Diseña proyectos de comunicación digital con enfoque en los Objetivos de Desarrollo Sostenible, a partir del análisis de una problemática contextual, para aplicar estrategias de intervención acordes con las condiciones del entorno.</t>
  </si>
  <si>
    <t>1.Contexto y reconocimiento de la problemática
2. Proyectos integrados con enfoque en ODS  
3. Formulación del proyecto
4. Trabajo de campo</t>
  </si>
  <si>
    <t xml:space="preserve">Las estrategias pueden variar entre estas u otras:
Trabajo directo
Exposiciones magistrales/Diseño de proyectos/Asesorías grupales/Aprender sirviendo
Trabajo independiente
Lecturas/Trabajo de campo para formulación de proyectos </t>
  </si>
  <si>
    <t>Las actividades pueden varias entre estas u otras:
Formativas
Asesorías/Presentaciones de avances de diseño de proyecto
Sumativas
Avance en etapas de proyecto/Participación en seminarios</t>
  </si>
  <si>
    <t>Liderazgo y Comunicación Gerencial</t>
  </si>
  <si>
    <t>Relaciona principios de liderazgo y comunicación gerencial en contextos organizacionales, para proponer alternativas de acción frente a dinámicas de interacción y coordinación en equipos de trabajo.</t>
  </si>
  <si>
    <t>1. Destrezas gerenciales
2. El papel gerencia y estilos de dirección
3. La figura del DIRCOM
4. Desarrollo y construcción de indicadores y términos de referencia para la conformación de equipos</t>
  </si>
  <si>
    <t>Las estrategias pueden variar entre estas u otras:
Trabajo directo
Exposiciones magistrales/Análisis de casos
Trabajo independiente
Lecturas/Talleres/Identificación de problemas</t>
  </si>
  <si>
    <t>Ética de la Comunicación</t>
  </si>
  <si>
    <t>Aplica fundamentos éticos y aborda dilemas profesionales en la comunicación, para diseñar propuestas de resolución que integren implicaciones normativas y responsabilidades del ejercicio periodístico o institucional en contextos diversos.</t>
  </si>
  <si>
    <t>1. El marco ético
2. La ética periodística
3. Acceso a la información y secreto profesional 
4. La moral y el derecho</t>
  </si>
  <si>
    <t>Análisis y Big Data</t>
  </si>
  <si>
    <t>Organiza conjuntos de datos cuantitativos y cualitativos mediante herramientas básicas de análisis digital, para elaborar representaciones narrativas que den cuenta de fenómenos sociales identificados en entornos de datos masivos.</t>
  </si>
  <si>
    <t>1. Manejo de datos
2. Storytelling
3. Big Data. Periodismo de datos 
4. Ética y responsabilidad en el manejo de datos</t>
  </si>
  <si>
    <t>Laboratorio de Estrategias Digitales</t>
  </si>
  <si>
    <t>Aplica criterios técnicos de diseño digital a partir del análisis de un entorno comunicativo, para estructurar propuestas comunicativas ajustadas al contexto digital.</t>
  </si>
  <si>
    <t>1. Diseño de proyecto  
2. Análisis de resultados
3. Elaboración del producto final
4. Gestión, validación y difusión del producto comunicativo</t>
  </si>
  <si>
    <t>Las estrategias pueden variar entre estas u otras:
Trabajo directo
Exposiciones magistrales/Seminarios/Mesas redondas/Ejecución de proyectos/Asesorías grupales
Trabajo independiente
Lecturas/Trabajo de campo para ejecución de proyectos</t>
  </si>
  <si>
    <t>Las actividades pueden varias entre estas u otras:
Formativas
Asesorías/Presentaciones de avances de ejecución de proyecto 
Sumativas
Avance en etapas de proyecto/Participación en seminarios</t>
  </si>
  <si>
    <t>Electiva I</t>
  </si>
  <si>
    <t>Electiva II</t>
  </si>
  <si>
    <t>Práctica Aplicada</t>
  </si>
  <si>
    <t>Desarrolla proyectos periodísticos a partir del análisis de problemáticas comunicativas, para producir contenidos informativos pertinentes a las condiciones y dinámicas de un contexto específico.</t>
  </si>
  <si>
    <t>P</t>
  </si>
  <si>
    <t>1. Observación
2. Formulación
3. Ejecución
4. Análisis de resultados con muestra final</t>
  </si>
  <si>
    <t>Las estrategias pueden variar entre estas u otras:
Trabajo directo
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</si>
  <si>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Electiva III</t>
  </si>
  <si>
    <t>Electiva IV</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</si>
  <si>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</si>
  <si>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</si>
  <si>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</si>
  <si>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</si>
  <si>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</si>
  <si>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</si>
  <si>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</si>
  <si>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</si>
  <si>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</si>
  <si>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</si>
  <si>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</si>
  <si>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</si>
  <si>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</si>
  <si>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</si>
  <si>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Definir</t>
  </si>
  <si>
    <t>Dirigir</t>
  </si>
  <si>
    <t>Dominar</t>
  </si>
  <si>
    <t>Establecer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</si>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</sst>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sz val="10"/>
      <color rgb="FF000000"/>
      <name val="Gill Sans MT"/>
      <family val="2"/>
    </font>
    <font>
      <b/>
      <sz val="10"/>
      <color rgb="FFFFFFFF"/>
      <name val="Gill Sans MT"/>
      <family val="2"/>
    </font>
    <font>
      <b/>
      <sz val="10"/>
      <name val="Gill Sans MT"/>
      <family val="2"/>
    </font>
    <font>
      <b/>
      <sz val="10"/>
      <color rgb="FF000000"/>
      <name val="Gill Sans MT"/>
      <family val="2"/>
    </font>
    <font>
      <b/>
      <sz val="10"/>
      <color theme="1"/>
      <name val="Gill Sans MT"/>
      <family val="2"/>
    </font>
    <font>
      <i/>
      <sz val="11"/>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6">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right style="hair">
        <color theme="1" tint="0.499984740745262"/>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s>
  <cellStyleXfs count="2">
    <xf numFmtId="0" fontId="0" fillId="0" borderId="0"/>
    <xf numFmtId="0" fontId="17" fillId="0" borderId="0" applyNumberFormat="0" applyFill="0" applyBorder="0" applyAlignment="0" applyProtection="0"/>
  </cellStyleXfs>
  <cellXfs count="178">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15"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6" borderId="21" xfId="0" applyFont="1" applyFill="1" applyBorder="1" applyAlignment="1">
      <alignment horizontal="left" vertical="center" wrapText="1"/>
    </xf>
    <xf numFmtId="0" fontId="3" fillId="6" borderId="21"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1" xfId="0" applyFont="1" applyFill="1" applyBorder="1" applyAlignment="1">
      <alignment horizontal="left" vertical="center" wrapText="1"/>
    </xf>
    <xf numFmtId="0" fontId="3" fillId="6" borderId="21" xfId="0" applyFont="1" applyFill="1" applyBorder="1" applyAlignment="1">
      <alignment horizontal="center" vertical="center"/>
    </xf>
    <xf numFmtId="49" fontId="3" fillId="6" borderId="21" xfId="0" applyNumberFormat="1" applyFont="1" applyFill="1" applyBorder="1" applyAlignment="1">
      <alignment horizontal="left" vertical="center" wrapText="1"/>
    </xf>
    <xf numFmtId="0" fontId="11" fillId="10"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0" borderId="21" xfId="0" applyFont="1" applyFill="1" applyBorder="1" applyAlignment="1">
      <alignment horizontal="left" vertical="center"/>
    </xf>
    <xf numFmtId="0" fontId="3" fillId="10" borderId="21" xfId="0" applyFont="1" applyFill="1" applyBorder="1" applyAlignment="1">
      <alignment horizontal="center" vertical="center"/>
    </xf>
    <xf numFmtId="0" fontId="3" fillId="10" borderId="21" xfId="0" applyFont="1" applyFill="1" applyBorder="1" applyAlignment="1">
      <alignment horizontal="center" vertical="center" wrapText="1"/>
    </xf>
    <xf numFmtId="0" fontId="3" fillId="10" borderId="21" xfId="0" applyFont="1" applyFill="1" applyBorder="1" applyAlignment="1">
      <alignment horizontal="left" vertical="center" wrapText="1"/>
    </xf>
    <xf numFmtId="0" fontId="11" fillId="10" borderId="21" xfId="0" applyFont="1" applyFill="1" applyBorder="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xf>
    <xf numFmtId="0" fontId="25"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3" fillId="0" borderId="14" xfId="0" applyFont="1" applyBorder="1"/>
    <xf numFmtId="0" fontId="13" fillId="0" borderId="0" xfId="0" applyFont="1"/>
    <xf numFmtId="0" fontId="6" fillId="0" borderId="0" xfId="0" applyFont="1"/>
    <xf numFmtId="0" fontId="6" fillId="0" borderId="14" xfId="0" applyFont="1" applyBorder="1"/>
    <xf numFmtId="0" fontId="13" fillId="0" borderId="16" xfId="0" applyFont="1" applyBorder="1"/>
    <xf numFmtId="0" fontId="13" fillId="0" borderId="17" xfId="0" applyFont="1" applyBorder="1"/>
    <xf numFmtId="0" fontId="13" fillId="0" borderId="15" xfId="0" applyFont="1" applyBorder="1"/>
    <xf numFmtId="0" fontId="13" fillId="0" borderId="18" xfId="0" applyFont="1" applyBorder="1"/>
    <xf numFmtId="0" fontId="13" fillId="0" borderId="8" xfId="0" applyFont="1" applyBorder="1" applyAlignment="1">
      <alignment vertical="center" wrapText="1"/>
    </xf>
    <xf numFmtId="0" fontId="27" fillId="7" borderId="20" xfId="0" applyFont="1" applyFill="1" applyBorder="1" applyAlignment="1">
      <alignment horizontal="center" vertical="center" wrapText="1"/>
    </xf>
    <xf numFmtId="0" fontId="28" fillId="11" borderId="0" xfId="0" applyFont="1" applyFill="1" applyAlignment="1">
      <alignment horizontal="center" vertical="center"/>
    </xf>
    <xf numFmtId="0" fontId="27" fillId="7" borderId="22" xfId="0" applyFont="1" applyFill="1" applyBorder="1" applyAlignment="1">
      <alignment horizontal="center" vertical="center" wrapText="1"/>
    </xf>
    <xf numFmtId="0" fontId="27" fillId="7" borderId="24" xfId="0" applyFont="1" applyFill="1" applyBorder="1" applyAlignment="1">
      <alignment horizontal="center" vertical="center" wrapText="1"/>
    </xf>
    <xf numFmtId="0" fontId="29" fillId="11" borderId="23" xfId="0" applyFont="1" applyFill="1" applyBorder="1" applyAlignment="1">
      <alignment horizontal="center" vertical="center" wrapText="1"/>
    </xf>
    <xf numFmtId="0" fontId="29" fillId="11" borderId="25" xfId="0" applyFont="1" applyFill="1" applyBorder="1" applyAlignment="1">
      <alignment horizontal="center" vertical="center" wrapText="1"/>
    </xf>
    <xf numFmtId="0" fontId="30" fillId="11" borderId="25"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11" fillId="0" borderId="5"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3" fillId="0" borderId="5"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1" fillId="0" borderId="20" xfId="0" applyFont="1" applyBorder="1" applyAlignment="1">
      <alignment horizontal="left" vertical="center" wrapText="1"/>
    </xf>
    <xf numFmtId="0" fontId="11" fillId="0" borderId="6" xfId="0" applyFont="1" applyBorder="1" applyAlignment="1">
      <alignment horizontal="left" vertical="center" wrapText="1"/>
    </xf>
    <xf numFmtId="0" fontId="13" fillId="0" borderId="9" xfId="0" applyFont="1" applyBorder="1" applyAlignment="1">
      <alignment horizontal="left" vertical="center" wrapText="1"/>
    </xf>
    <xf numFmtId="0" fontId="13" fillId="0" borderId="9" xfId="0" applyFont="1" applyBorder="1" applyAlignment="1">
      <alignment horizontal="center" vertical="center" wrapText="1"/>
    </xf>
    <xf numFmtId="0" fontId="13" fillId="0" borderId="20"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xf>
    <xf numFmtId="0" fontId="19" fillId="7" borderId="2" xfId="0" applyFont="1" applyFill="1" applyBorder="1" applyAlignment="1">
      <alignment horizontal="center" vertical="center" wrapText="1"/>
    </xf>
    <xf numFmtId="0" fontId="7" fillId="0" borderId="0" xfId="0" applyFont="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6">
    <sortCondition ref="B2:B37"/>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3: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abSelected="1" zoomScaleNormal="100" workbookViewId="0"/>
  </sheetViews>
  <sheetFormatPr defaultColWidth="76.28515625" defaultRowHeight="16.5"/>
  <cols>
    <col min="1" max="1" width="21.140625" style="2" customWidth="1"/>
    <col min="2" max="2" width="16.7109375" style="2" customWidth="1"/>
    <col min="3" max="4" width="70.140625" style="2" customWidth="1"/>
    <col min="5" max="5" width="44.42578125" style="2" customWidth="1"/>
    <col min="6" max="6" width="50.28515625" customWidth="1"/>
    <col min="7" max="7" width="51.28515625" customWidth="1"/>
    <col min="8" max="10" width="71.7109375" style="2" customWidth="1"/>
    <col min="11" max="11" width="74.42578125" style="2" customWidth="1"/>
    <col min="12" max="16384" width="76.28515625" style="2"/>
  </cols>
  <sheetData>
    <row r="1" spans="1:11" s="35" customFormat="1" ht="26.1">
      <c r="A1" s="38" t="s">
        <v>0</v>
      </c>
      <c r="B1" s="38" t="s">
        <v>1</v>
      </c>
      <c r="C1" s="38" t="s">
        <v>2</v>
      </c>
      <c r="D1" s="38" t="s">
        <v>3</v>
      </c>
      <c r="E1" s="137" t="s">
        <v>4</v>
      </c>
      <c r="F1" s="137"/>
      <c r="G1" s="137"/>
      <c r="H1" s="137" t="s">
        <v>5</v>
      </c>
      <c r="I1" s="137"/>
      <c r="J1" s="137"/>
      <c r="K1" s="38" t="s">
        <v>6</v>
      </c>
    </row>
    <row r="2" spans="1:11" s="29" customFormat="1">
      <c r="A2" s="40" t="s">
        <v>7</v>
      </c>
      <c r="B2" s="40" t="s">
        <v>8</v>
      </c>
      <c r="C2" s="40" t="s">
        <v>9</v>
      </c>
      <c r="D2" s="46" t="s">
        <v>10</v>
      </c>
      <c r="E2" s="119" t="s">
        <v>11</v>
      </c>
      <c r="F2" s="119" t="s">
        <v>12</v>
      </c>
      <c r="G2" s="119" t="s">
        <v>13</v>
      </c>
      <c r="H2" s="48" t="s">
        <v>14</v>
      </c>
      <c r="I2" s="48" t="s">
        <v>15</v>
      </c>
      <c r="J2" s="48" t="s">
        <v>16</v>
      </c>
      <c r="K2" s="47" t="s">
        <v>17</v>
      </c>
    </row>
    <row r="3" spans="1:11" s="4" customFormat="1" ht="49.5">
      <c r="A3" s="140" t="s">
        <v>18</v>
      </c>
      <c r="B3" s="140" t="s">
        <v>19</v>
      </c>
      <c r="C3" s="138" t="s">
        <v>20</v>
      </c>
      <c r="D3" s="138" t="s">
        <v>21</v>
      </c>
      <c r="E3" s="120" t="s">
        <v>22</v>
      </c>
      <c r="F3" s="120" t="s">
        <v>23</v>
      </c>
      <c r="G3" s="120" t="s">
        <v>24</v>
      </c>
      <c r="H3" s="138" t="s">
        <v>25</v>
      </c>
      <c r="I3" s="138" t="s">
        <v>26</v>
      </c>
      <c r="J3" s="138" t="s">
        <v>27</v>
      </c>
      <c r="K3" s="138" t="s">
        <v>28</v>
      </c>
    </row>
    <row r="4" spans="1:11" s="4" customFormat="1" ht="49.5">
      <c r="A4" s="141"/>
      <c r="B4" s="141"/>
      <c r="C4" s="139"/>
      <c r="D4" s="139"/>
      <c r="E4" s="118" t="s">
        <v>29</v>
      </c>
      <c r="F4" s="4" t="s">
        <v>30</v>
      </c>
      <c r="G4" s="4" t="s">
        <v>31</v>
      </c>
      <c r="H4" s="139"/>
      <c r="I4" s="139"/>
      <c r="J4" s="139"/>
      <c r="K4" s="139"/>
    </row>
    <row r="5" spans="1:11" s="4" customFormat="1" ht="49.5">
      <c r="A5" s="141"/>
      <c r="B5" s="141"/>
      <c r="C5" s="139"/>
      <c r="D5" s="139"/>
      <c r="E5" s="34" t="s">
        <v>32</v>
      </c>
      <c r="F5" s="34" t="s">
        <v>33</v>
      </c>
      <c r="G5" s="34" t="s">
        <v>34</v>
      </c>
      <c r="H5" s="139"/>
      <c r="I5" s="139"/>
      <c r="J5" s="139"/>
      <c r="K5" s="139"/>
    </row>
    <row r="6" spans="1:11" s="4" customFormat="1" ht="50.1" thickBot="1">
      <c r="A6" s="141"/>
      <c r="B6" s="141"/>
      <c r="C6" s="139"/>
      <c r="D6" s="139"/>
      <c r="E6" s="118" t="s">
        <v>35</v>
      </c>
      <c r="F6" s="34" t="s">
        <v>36</v>
      </c>
      <c r="G6" s="34" t="s">
        <v>37</v>
      </c>
      <c r="H6" s="139"/>
      <c r="I6" s="139"/>
      <c r="J6" s="139"/>
      <c r="K6" s="139"/>
    </row>
    <row r="7" spans="1:11" s="4" customFormat="1" ht="49.5">
      <c r="A7" s="141"/>
      <c r="B7" s="141"/>
      <c r="C7" s="139"/>
      <c r="D7" s="139"/>
      <c r="E7" s="87" t="s">
        <v>38</v>
      </c>
      <c r="F7" s="87" t="s">
        <v>39</v>
      </c>
      <c r="G7" s="87" t="s">
        <v>40</v>
      </c>
      <c r="H7" s="5"/>
    </row>
    <row r="8" spans="1:11" s="4" customFormat="1">
      <c r="C8" s="34"/>
      <c r="D8" s="118"/>
      <c r="E8" s="34"/>
      <c r="F8" s="34"/>
      <c r="G8" s="34"/>
      <c r="H8" s="5"/>
    </row>
    <row r="9" spans="1:11" ht="21">
      <c r="D9" s="28"/>
      <c r="E9" s="8"/>
      <c r="F9" s="8"/>
      <c r="H9" s="3"/>
    </row>
    <row r="10" spans="1:11" ht="21">
      <c r="D10" s="28"/>
      <c r="E10" s="8"/>
      <c r="F10" s="8"/>
      <c r="H10" s="3"/>
    </row>
    <row r="11" spans="1:11" ht="21">
      <c r="C11" s="30"/>
      <c r="D11" s="28"/>
      <c r="E11" s="30"/>
      <c r="F11" s="30"/>
      <c r="H11" s="3"/>
    </row>
    <row r="12" spans="1:11" ht="21">
      <c r="D12" s="28"/>
      <c r="E12" s="8"/>
      <c r="F12" s="8"/>
      <c r="H12" s="3"/>
    </row>
    <row r="13" spans="1:11" ht="21">
      <c r="C13" s="4"/>
      <c r="D13" s="28"/>
      <c r="E13" s="10"/>
      <c r="F13" s="2"/>
      <c r="H13" s="3"/>
    </row>
    <row r="14" spans="1:11" ht="21">
      <c r="D14" s="28"/>
      <c r="E14" s="8"/>
    </row>
    <row r="15" spans="1:11" ht="21">
      <c r="D15" s="28"/>
    </row>
    <row r="16" spans="1:11" ht="21">
      <c r="D16" s="28"/>
    </row>
    <row r="17" spans="4:4" ht="21">
      <c r="D17" s="28"/>
    </row>
    <row r="18" spans="4:4" ht="21">
      <c r="D18" s="28"/>
    </row>
    <row r="19" spans="4:4" ht="21">
      <c r="D19" s="28"/>
    </row>
    <row r="20" spans="4:4" ht="21">
      <c r="D20" s="28"/>
    </row>
    <row r="21" spans="4:4" ht="21">
      <c r="D21" s="28"/>
    </row>
    <row r="22" spans="4:4" ht="21">
      <c r="D22" s="28"/>
    </row>
  </sheetData>
  <mergeCells count="10">
    <mergeCell ref="E1:G1"/>
    <mergeCell ref="K3:K6"/>
    <mergeCell ref="H1:J1"/>
    <mergeCell ref="A3:A7"/>
    <mergeCell ref="B3:B7"/>
    <mergeCell ref="C3:C7"/>
    <mergeCell ref="D3:D7"/>
    <mergeCell ref="H3:H6"/>
    <mergeCell ref="I3:I6"/>
    <mergeCell ref="J3:J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defaultColWidth="11.42578125" defaultRowHeight="16.5"/>
  <cols>
    <col min="1" max="1" width="19" style="6" customWidth="1"/>
    <col min="2" max="2" width="23" style="6" customWidth="1"/>
    <col min="3" max="3" width="32.85546875" style="6" customWidth="1"/>
    <col min="4" max="4" width="36.5703125" style="6" customWidth="1"/>
    <col min="5" max="5" width="41.85546875" style="6" customWidth="1"/>
    <col min="6" max="6" width="78.5703125" style="6" customWidth="1"/>
    <col min="7" max="7" width="24" style="6" customWidth="1"/>
    <col min="8" max="16384" width="11.42578125" style="6"/>
  </cols>
  <sheetData>
    <row r="1" spans="1:7" s="2" customFormat="1">
      <c r="A1" s="142" t="s">
        <v>41</v>
      </c>
      <c r="B1" s="143"/>
      <c r="C1" s="143"/>
      <c r="D1" s="143"/>
      <c r="E1" s="143"/>
      <c r="F1" s="143"/>
      <c r="G1" s="143"/>
    </row>
    <row r="2" spans="1:7" s="39" customFormat="1" ht="78">
      <c r="A2" s="36" t="s">
        <v>42</v>
      </c>
      <c r="B2" s="37" t="s">
        <v>43</v>
      </c>
      <c r="C2" s="37" t="s">
        <v>44</v>
      </c>
      <c r="D2" s="37" t="s">
        <v>45</v>
      </c>
      <c r="E2" s="37" t="s">
        <v>46</v>
      </c>
      <c r="F2" s="38" t="s">
        <v>47</v>
      </c>
      <c r="G2" s="38" t="s">
        <v>48</v>
      </c>
    </row>
    <row r="3" spans="1:7" s="41" customFormat="1">
      <c r="A3" s="60" t="s">
        <v>49</v>
      </c>
      <c r="B3" s="61" t="s">
        <v>50</v>
      </c>
      <c r="C3" s="61" t="s">
        <v>51</v>
      </c>
      <c r="D3" s="61" t="s">
        <v>52</v>
      </c>
      <c r="E3" s="61" t="s">
        <v>53</v>
      </c>
      <c r="F3" s="50" t="s">
        <v>54</v>
      </c>
      <c r="G3" s="50" t="s">
        <v>55</v>
      </c>
    </row>
    <row r="4" spans="1:7" ht="82.5">
      <c r="A4" s="6">
        <v>1</v>
      </c>
      <c r="B4" s="5" t="s">
        <v>56</v>
      </c>
      <c r="C4" s="5" t="s">
        <v>22</v>
      </c>
      <c r="D4" s="5" t="s">
        <v>23</v>
      </c>
      <c r="E4" s="5" t="s">
        <v>24</v>
      </c>
      <c r="F4" s="51" t="s">
        <v>57</v>
      </c>
      <c r="G4" s="6" t="s">
        <v>58</v>
      </c>
    </row>
    <row r="5" spans="1:7" ht="66">
      <c r="A5" s="6">
        <v>2</v>
      </c>
      <c r="B5" s="5" t="s">
        <v>59</v>
      </c>
      <c r="C5" s="5" t="s">
        <v>29</v>
      </c>
      <c r="D5" s="5" t="s">
        <v>30</v>
      </c>
      <c r="E5" s="5" t="s">
        <v>31</v>
      </c>
      <c r="F5" s="5" t="s">
        <v>60</v>
      </c>
      <c r="G5" s="6" t="s">
        <v>58</v>
      </c>
    </row>
    <row r="6" spans="1:7" ht="66">
      <c r="A6" s="6">
        <v>3</v>
      </c>
      <c r="B6" s="5" t="s">
        <v>61</v>
      </c>
      <c r="C6" s="5" t="s">
        <v>32</v>
      </c>
      <c r="D6" s="5" t="s">
        <v>33</v>
      </c>
      <c r="E6" s="5" t="s">
        <v>34</v>
      </c>
      <c r="F6" s="5" t="s">
        <v>62</v>
      </c>
      <c r="G6" s="6" t="s">
        <v>58</v>
      </c>
    </row>
    <row r="7" spans="1:7" ht="83.1" thickBot="1">
      <c r="A7" s="77">
        <v>4</v>
      </c>
      <c r="B7" s="76" t="s">
        <v>63</v>
      </c>
      <c r="C7" s="76" t="s">
        <v>35</v>
      </c>
      <c r="D7" s="76" t="s">
        <v>36</v>
      </c>
      <c r="E7" s="76" t="s">
        <v>37</v>
      </c>
      <c r="F7" s="76" t="s">
        <v>64</v>
      </c>
      <c r="G7" s="77" t="s">
        <v>58</v>
      </c>
    </row>
    <row r="8" spans="1:7" ht="66">
      <c r="A8" s="6">
        <v>5</v>
      </c>
      <c r="B8" s="34" t="s">
        <v>56</v>
      </c>
      <c r="C8" s="5" t="s">
        <v>38</v>
      </c>
      <c r="D8" s="34" t="s">
        <v>39</v>
      </c>
      <c r="E8" s="34" t="s">
        <v>65</v>
      </c>
      <c r="F8" s="34" t="s">
        <v>66</v>
      </c>
      <c r="G8" s="6" t="s">
        <v>67</v>
      </c>
    </row>
    <row r="9" spans="1:7">
      <c r="B9" s="5"/>
      <c r="C9" s="32"/>
      <c r="D9" s="33"/>
      <c r="E9" s="33"/>
      <c r="F9" s="5"/>
    </row>
    <row r="10" spans="1:7">
      <c r="C10" s="31"/>
      <c r="D10" s="31"/>
      <c r="E10" s="31"/>
    </row>
    <row r="14" spans="1:7">
      <c r="C14" s="31"/>
      <c r="D14" s="15"/>
      <c r="E14" s="15"/>
    </row>
    <row r="15" spans="1:7">
      <c r="C15" s="31"/>
      <c r="D15" s="15"/>
      <c r="E15" s="15"/>
    </row>
    <row r="16" spans="1:7">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 type="list" allowBlank="1" showInputMessage="1" showErrorMessage="1" xr:uid="{67CCD9FD-C355-4093-9DBF-5B728297BE25}">
          <x14:formula1>
            <xm:f>'Taxonomía para competencias'!$B$2:$B$59</xm:f>
          </x14:formula1>
          <xm:sqref>B13</xm:sqref>
        </x14:dataValidation>
        <x14:dataValidation type="list" allowBlank="1" showInputMessage="1" showErrorMessage="1" xr:uid="{27BB9EA1-A522-436A-B320-3844B1FF49FC}">
          <x14:formula1>
            <xm:f>'Taxonomía para competencias'!$B$2:$B$50</xm:f>
          </x14:formula1>
          <xm:sqref>B4:B7</xm:sqref>
        </x14:dataValidation>
        <x14:dataValidation type="list" allowBlank="1" showInputMessage="1" showErrorMessage="1" xr:uid="{E6987486-7846-4D31-B7A2-141184DC3327}">
          <x14:formula1>
            <xm:f>'Paso1 Analisis perfil egreso'!$F$3:$F$6</xm:f>
          </x14:formula1>
          <xm:sqref>D4:D7</xm:sqref>
        </x14:dataValidation>
        <x14:dataValidation type="list" allowBlank="1" showInputMessage="1" showErrorMessage="1" xr:uid="{0BBA3213-7EE6-4292-AFD0-62745CD3EFB1}">
          <x14:formula1>
            <xm:f>'Paso1 Analisis perfil egreso'!$G$3:$G$6</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6"/>
  <sheetViews>
    <sheetView zoomScaleNormal="100" workbookViewId="0"/>
  </sheetViews>
  <sheetFormatPr defaultColWidth="11.42578125" defaultRowHeight="16.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80" customWidth="1"/>
    <col min="9" max="9" width="80" style="9" customWidth="1"/>
    <col min="10" max="10" width="97.140625" style="5" customWidth="1"/>
    <col min="11" max="16384" width="11.42578125" style="5"/>
  </cols>
  <sheetData>
    <row r="1" spans="1:10" s="72" customFormat="1" ht="51.95">
      <c r="A1" s="70" t="s">
        <v>68</v>
      </c>
      <c r="B1" s="70" t="s">
        <v>69</v>
      </c>
      <c r="C1" s="37" t="s">
        <v>70</v>
      </c>
      <c r="D1" s="71" t="s">
        <v>71</v>
      </c>
      <c r="E1" s="71" t="s">
        <v>72</v>
      </c>
      <c r="F1" s="37" t="s">
        <v>73</v>
      </c>
      <c r="G1" s="37" t="s">
        <v>74</v>
      </c>
      <c r="H1" s="37" t="s">
        <v>75</v>
      </c>
      <c r="I1" s="70" t="s">
        <v>76</v>
      </c>
    </row>
    <row r="2" spans="1:10" s="75" customFormat="1">
      <c r="A2" s="73" t="s">
        <v>77</v>
      </c>
      <c r="B2" s="73" t="s">
        <v>78</v>
      </c>
      <c r="C2" s="61" t="s">
        <v>79</v>
      </c>
      <c r="D2" s="74" t="s">
        <v>80</v>
      </c>
      <c r="E2" s="74" t="s">
        <v>81</v>
      </c>
      <c r="F2" s="61" t="s">
        <v>82</v>
      </c>
      <c r="G2" s="61" t="s">
        <v>83</v>
      </c>
      <c r="H2" s="61" t="s">
        <v>84</v>
      </c>
      <c r="I2" s="73" t="s">
        <v>85</v>
      </c>
    </row>
    <row r="3" spans="1:10" ht="82.5">
      <c r="A3" s="5" t="s">
        <v>57</v>
      </c>
      <c r="B3" s="6">
        <v>1</v>
      </c>
      <c r="C3" s="5" t="s">
        <v>11</v>
      </c>
      <c r="D3" s="5" t="s">
        <v>22</v>
      </c>
      <c r="E3" s="5" t="s">
        <v>86</v>
      </c>
      <c r="F3" s="9" t="s">
        <v>87</v>
      </c>
      <c r="G3" s="9" t="s">
        <v>88</v>
      </c>
      <c r="H3" s="5" t="s">
        <v>56</v>
      </c>
      <c r="I3" s="34" t="s">
        <v>89</v>
      </c>
      <c r="J3" s="27"/>
    </row>
    <row r="4" spans="1:10" ht="66">
      <c r="A4" s="5" t="s">
        <v>57</v>
      </c>
      <c r="B4" s="6">
        <v>3</v>
      </c>
      <c r="C4" s="5" t="s">
        <v>12</v>
      </c>
      <c r="D4" s="5" t="s">
        <v>23</v>
      </c>
      <c r="E4" s="5" t="s">
        <v>86</v>
      </c>
      <c r="F4" s="9" t="s">
        <v>90</v>
      </c>
      <c r="G4" s="9" t="s">
        <v>91</v>
      </c>
      <c r="H4" s="5" t="s">
        <v>59</v>
      </c>
      <c r="I4" s="34" t="s">
        <v>92</v>
      </c>
    </row>
    <row r="5" spans="1:10" ht="66.599999999999994" thickBot="1">
      <c r="A5" s="76" t="s">
        <v>57</v>
      </c>
      <c r="B5" s="77">
        <v>5</v>
      </c>
      <c r="C5" s="76" t="s">
        <v>13</v>
      </c>
      <c r="D5" s="76" t="s">
        <v>24</v>
      </c>
      <c r="E5" s="76" t="s">
        <v>86</v>
      </c>
      <c r="F5" s="78" t="s">
        <v>93</v>
      </c>
      <c r="G5" s="78" t="s">
        <v>94</v>
      </c>
      <c r="H5" s="76" t="s">
        <v>95</v>
      </c>
      <c r="I5" s="83" t="s">
        <v>96</v>
      </c>
    </row>
    <row r="6" spans="1:10" ht="66">
      <c r="A6" s="5" t="s">
        <v>60</v>
      </c>
      <c r="B6" s="6">
        <v>1</v>
      </c>
      <c r="C6" s="5" t="s">
        <v>11</v>
      </c>
      <c r="D6" s="5" t="s">
        <v>29</v>
      </c>
      <c r="E6" s="5" t="s">
        <v>86</v>
      </c>
      <c r="F6" s="9" t="s">
        <v>87</v>
      </c>
      <c r="G6" s="9" t="s">
        <v>88</v>
      </c>
      <c r="H6" s="5" t="s">
        <v>56</v>
      </c>
      <c r="I6" s="34" t="s">
        <v>89</v>
      </c>
    </row>
    <row r="7" spans="1:10" ht="66">
      <c r="A7" s="5" t="s">
        <v>60</v>
      </c>
      <c r="B7" s="6">
        <v>3</v>
      </c>
      <c r="C7" s="5" t="s">
        <v>12</v>
      </c>
      <c r="D7" s="5" t="s">
        <v>30</v>
      </c>
      <c r="E7" s="5" t="s">
        <v>86</v>
      </c>
      <c r="F7" s="9" t="s">
        <v>90</v>
      </c>
      <c r="G7" s="9" t="s">
        <v>91</v>
      </c>
      <c r="H7" s="5" t="s">
        <v>59</v>
      </c>
      <c r="I7" s="34" t="s">
        <v>92</v>
      </c>
    </row>
    <row r="8" spans="1:10" ht="83.1" thickBot="1">
      <c r="A8" s="76" t="s">
        <v>60</v>
      </c>
      <c r="B8" s="77">
        <v>5</v>
      </c>
      <c r="C8" s="76" t="s">
        <v>13</v>
      </c>
      <c r="D8" s="76" t="s">
        <v>31</v>
      </c>
      <c r="E8" s="76" t="s">
        <v>86</v>
      </c>
      <c r="F8" s="78" t="s">
        <v>93</v>
      </c>
      <c r="G8" s="78" t="s">
        <v>94</v>
      </c>
      <c r="H8" s="76" t="s">
        <v>95</v>
      </c>
      <c r="I8" s="83" t="s">
        <v>96</v>
      </c>
      <c r="J8" s="79"/>
    </row>
    <row r="9" spans="1:10" ht="66">
      <c r="A9" s="5" t="s">
        <v>62</v>
      </c>
      <c r="B9" s="6">
        <v>2</v>
      </c>
      <c r="C9" s="5" t="s">
        <v>11</v>
      </c>
      <c r="D9" s="5" t="s">
        <v>32</v>
      </c>
      <c r="E9" s="5" t="s">
        <v>86</v>
      </c>
      <c r="F9" s="9" t="s">
        <v>87</v>
      </c>
      <c r="G9" s="9" t="s">
        <v>88</v>
      </c>
      <c r="H9" s="5" t="s">
        <v>56</v>
      </c>
      <c r="I9" s="34" t="s">
        <v>97</v>
      </c>
    </row>
    <row r="10" spans="1:10" ht="66">
      <c r="A10" s="5" t="s">
        <v>62</v>
      </c>
      <c r="B10" s="6">
        <v>4</v>
      </c>
      <c r="C10" s="5" t="s">
        <v>12</v>
      </c>
      <c r="D10" s="5" t="s">
        <v>33</v>
      </c>
      <c r="E10" s="5" t="s">
        <v>86</v>
      </c>
      <c r="F10" s="9" t="s">
        <v>90</v>
      </c>
      <c r="G10" s="9" t="s">
        <v>91</v>
      </c>
      <c r="H10" s="5" t="s">
        <v>59</v>
      </c>
      <c r="I10" s="118" t="s">
        <v>98</v>
      </c>
    </row>
    <row r="11" spans="1:10" ht="66.599999999999994" thickBot="1">
      <c r="A11" s="76" t="s">
        <v>62</v>
      </c>
      <c r="B11" s="77">
        <v>5</v>
      </c>
      <c r="C11" s="76" t="s">
        <v>13</v>
      </c>
      <c r="D11" s="76" t="s">
        <v>34</v>
      </c>
      <c r="E11" s="76" t="s">
        <v>86</v>
      </c>
      <c r="F11" s="78" t="s">
        <v>93</v>
      </c>
      <c r="G11" s="78" t="s">
        <v>94</v>
      </c>
      <c r="H11" s="76" t="s">
        <v>95</v>
      </c>
      <c r="I11" s="83" t="s">
        <v>96</v>
      </c>
      <c r="J11" s="79"/>
    </row>
    <row r="12" spans="1:10" ht="82.5">
      <c r="A12" s="5" t="s">
        <v>64</v>
      </c>
      <c r="B12" s="6">
        <v>2</v>
      </c>
      <c r="C12" s="5" t="s">
        <v>11</v>
      </c>
      <c r="D12" s="5" t="s">
        <v>35</v>
      </c>
      <c r="E12" s="5" t="s">
        <v>86</v>
      </c>
      <c r="F12" s="9" t="s">
        <v>87</v>
      </c>
      <c r="G12" s="9" t="s">
        <v>88</v>
      </c>
      <c r="H12" s="5" t="s">
        <v>56</v>
      </c>
      <c r="I12" s="34" t="s">
        <v>97</v>
      </c>
    </row>
    <row r="13" spans="1:10" ht="82.5">
      <c r="A13" s="5" t="s">
        <v>64</v>
      </c>
      <c r="B13" s="6">
        <v>4</v>
      </c>
      <c r="C13" s="5" t="s">
        <v>12</v>
      </c>
      <c r="D13" s="5" t="s">
        <v>36</v>
      </c>
      <c r="E13" s="5" t="s">
        <v>86</v>
      </c>
      <c r="F13" s="9" t="s">
        <v>90</v>
      </c>
      <c r="G13" s="9" t="s">
        <v>91</v>
      </c>
      <c r="H13" s="5" t="s">
        <v>59</v>
      </c>
      <c r="I13" s="118" t="s">
        <v>98</v>
      </c>
    </row>
    <row r="14" spans="1:10" ht="83.1" thickBot="1">
      <c r="A14" s="76" t="s">
        <v>64</v>
      </c>
      <c r="B14" s="77">
        <v>5</v>
      </c>
      <c r="C14" s="76" t="s">
        <v>13</v>
      </c>
      <c r="D14" s="76" t="s">
        <v>37</v>
      </c>
      <c r="E14" s="76" t="s">
        <v>86</v>
      </c>
      <c r="F14" s="78" t="s">
        <v>93</v>
      </c>
      <c r="G14" s="78" t="s">
        <v>94</v>
      </c>
      <c r="H14" s="76" t="s">
        <v>95</v>
      </c>
      <c r="I14" s="83" t="s">
        <v>96</v>
      </c>
      <c r="J14" s="79"/>
    </row>
    <row r="15" spans="1:10" ht="49.5">
      <c r="A15" s="5" t="s">
        <v>66</v>
      </c>
      <c r="B15" s="6">
        <v>6</v>
      </c>
      <c r="C15" s="5" t="s">
        <v>11</v>
      </c>
      <c r="D15" s="5" t="s">
        <v>38</v>
      </c>
      <c r="E15" s="5" t="s">
        <v>99</v>
      </c>
      <c r="F15" s="9" t="s">
        <v>100</v>
      </c>
      <c r="G15" s="9" t="s">
        <v>101</v>
      </c>
      <c r="H15" s="5" t="s">
        <v>102</v>
      </c>
      <c r="I15" s="34" t="s">
        <v>103</v>
      </c>
      <c r="J15" s="79"/>
    </row>
    <row r="16" spans="1:10">
      <c r="A16" s="4"/>
      <c r="F16" s="9"/>
      <c r="G16" s="9"/>
      <c r="H16" s="5"/>
      <c r="I16" s="4"/>
    </row>
    <row r="17" spans="1:9">
      <c r="A17" s="4"/>
      <c r="F17" s="9"/>
      <c r="G17" s="9"/>
      <c r="H17" s="5"/>
      <c r="I17" s="4"/>
    </row>
    <row r="18" spans="1:9">
      <c r="A18" s="4"/>
      <c r="F18" s="9"/>
      <c r="G18" s="9"/>
      <c r="H18" s="5"/>
      <c r="I18" s="4"/>
    </row>
    <row r="19" spans="1:9">
      <c r="A19" s="4"/>
      <c r="F19" s="9"/>
      <c r="G19" s="9"/>
      <c r="H19" s="5"/>
      <c r="I19" s="4"/>
    </row>
    <row r="20" spans="1:9">
      <c r="A20" s="4"/>
      <c r="H20" s="5"/>
      <c r="I20" s="4"/>
    </row>
    <row r="21" spans="1:9">
      <c r="A21" s="4"/>
      <c r="I21" s="4"/>
    </row>
    <row r="22" spans="1:9">
      <c r="A22" s="4"/>
      <c r="I22" s="4"/>
    </row>
    <row r="23" spans="1:9">
      <c r="A23" s="4"/>
    </row>
    <row r="24" spans="1:9">
      <c r="A24" s="4"/>
    </row>
    <row r="25" spans="1:9">
      <c r="A25" s="4"/>
    </row>
    <row r="26" spans="1:9">
      <c r="A26"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15" xr:uid="{7E1D182A-6AF9-A04C-9AFE-674494F658A5}">
      <formula1>INDIRECT($C15)</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 type="list" allowBlank="1" showInputMessage="1" showErrorMessage="1" xr:uid="{06BCC0E7-9937-4D11-BDE6-A3CE7F6F6CC6}">
          <x14:formula1>
            <xm:f>'Paso 2 Redacción competen'!$C$4:$C$8</xm:f>
          </x14:formula1>
          <xm:sqref>D3 D6 D9 D12</xm:sqref>
        </x14:dataValidation>
        <x14:dataValidation type="list" allowBlank="1" showInputMessage="1" showErrorMessage="1" xr:uid="{BF34A4BB-3FEE-453F-AD02-3F4BE4E79CB0}">
          <x14:formula1>
            <xm:f>'Paso 2 Redacción competen'!$D$4:$D$8</xm:f>
          </x14:formula1>
          <xm:sqref>D4 D7 D10 D13</xm:sqref>
        </x14:dataValidation>
        <x14:dataValidation type="list" allowBlank="1" showInputMessage="1" showErrorMessage="1" xr:uid="{86FAD985-1CC5-46AE-B09A-9BC686E26880}">
          <x14:formula1>
            <xm:f>'Paso 2 Redacción competen'!$E$4:$E$8</xm:f>
          </x14:formula1>
          <xm:sqref>D5 D8 D11 D14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68</v>
      </c>
      <c r="B1" s="44" t="s">
        <v>69</v>
      </c>
      <c r="C1" s="52" t="s">
        <v>70</v>
      </c>
      <c r="D1" s="53" t="s">
        <v>71</v>
      </c>
      <c r="E1" s="53" t="s">
        <v>72</v>
      </c>
      <c r="F1" s="52" t="s">
        <v>73</v>
      </c>
      <c r="G1" s="52" t="s">
        <v>74</v>
      </c>
      <c r="H1" s="52" t="s">
        <v>75</v>
      </c>
      <c r="I1" s="44" t="s">
        <v>76</v>
      </c>
      <c r="J1" s="45"/>
    </row>
    <row r="2" spans="1:11" ht="16.5">
      <c r="A2" s="62" t="s">
        <v>77</v>
      </c>
      <c r="B2" s="59" t="s">
        <v>78</v>
      </c>
      <c r="C2" s="63" t="s">
        <v>79</v>
      </c>
      <c r="D2" s="54" t="s">
        <v>80</v>
      </c>
      <c r="E2" s="54" t="s">
        <v>81</v>
      </c>
      <c r="F2" s="63" t="s">
        <v>82</v>
      </c>
      <c r="G2" s="63" t="s">
        <v>83</v>
      </c>
      <c r="H2" s="63" t="s">
        <v>84</v>
      </c>
      <c r="I2" s="59" t="s">
        <v>85</v>
      </c>
      <c r="J2" s="64"/>
    </row>
    <row r="3" spans="1:11" ht="136.5" hidden="1" customHeight="1">
      <c r="A3" s="4" t="s">
        <v>104</v>
      </c>
      <c r="B3" s="6">
        <v>1</v>
      </c>
      <c r="C3" s="5" t="s">
        <v>11</v>
      </c>
      <c r="D3" s="5" t="s">
        <v>105</v>
      </c>
      <c r="E3" s="5" t="s">
        <v>86</v>
      </c>
      <c r="F3" s="9" t="s">
        <v>87</v>
      </c>
      <c r="G3" s="9" t="s">
        <v>106</v>
      </c>
      <c r="H3" s="5" t="s">
        <v>102</v>
      </c>
      <c r="I3" s="34" t="s">
        <v>107</v>
      </c>
      <c r="J3" s="27"/>
    </row>
    <row r="4" spans="1:11" ht="142.5" hidden="1" customHeight="1">
      <c r="A4" s="4" t="s">
        <v>104</v>
      </c>
      <c r="B4" s="6">
        <v>4</v>
      </c>
      <c r="C4" s="5" t="s">
        <v>12</v>
      </c>
      <c r="D4" s="5" t="s">
        <v>108</v>
      </c>
      <c r="E4" s="5" t="s">
        <v>86</v>
      </c>
      <c r="F4" s="9" t="s">
        <v>90</v>
      </c>
      <c r="G4" s="9" t="s">
        <v>109</v>
      </c>
      <c r="H4" s="5" t="s">
        <v>110</v>
      </c>
      <c r="I4" s="34" t="s">
        <v>111</v>
      </c>
    </row>
    <row r="5" spans="1:11" ht="126" hidden="1" customHeight="1">
      <c r="A5" s="4" t="s">
        <v>104</v>
      </c>
      <c r="B5" s="6">
        <v>7</v>
      </c>
      <c r="C5" s="5" t="s">
        <v>13</v>
      </c>
      <c r="D5" s="5" t="s">
        <v>112</v>
      </c>
      <c r="E5" s="5" t="s">
        <v>86</v>
      </c>
      <c r="F5" s="9" t="s">
        <v>93</v>
      </c>
      <c r="G5" s="9" t="s">
        <v>113</v>
      </c>
      <c r="H5" s="5" t="s">
        <v>114</v>
      </c>
      <c r="I5" s="34" t="s">
        <v>115</v>
      </c>
    </row>
    <row r="6" spans="1:11" ht="99">
      <c r="A6" s="4" t="s">
        <v>116</v>
      </c>
      <c r="B6" s="6">
        <v>1</v>
      </c>
      <c r="C6" s="5" t="s">
        <v>11</v>
      </c>
      <c r="D6" s="5" t="s">
        <v>117</v>
      </c>
      <c r="E6" s="5" t="s">
        <v>86</v>
      </c>
      <c r="F6" s="9" t="s">
        <v>87</v>
      </c>
      <c r="G6" s="9" t="s">
        <v>106</v>
      </c>
      <c r="H6" s="5" t="s">
        <v>102</v>
      </c>
      <c r="I6" s="34" t="s">
        <v>118</v>
      </c>
    </row>
    <row r="7" spans="1:11" ht="115.5">
      <c r="A7" s="4" t="s">
        <v>116</v>
      </c>
      <c r="B7" s="6">
        <v>5</v>
      </c>
      <c r="C7" s="5" t="s">
        <v>12</v>
      </c>
      <c r="D7" s="5" t="s">
        <v>119</v>
      </c>
      <c r="E7" s="5" t="s">
        <v>86</v>
      </c>
      <c r="F7" s="9" t="s">
        <v>90</v>
      </c>
      <c r="G7" s="9" t="s">
        <v>109</v>
      </c>
      <c r="H7" s="5" t="s">
        <v>110</v>
      </c>
      <c r="I7" s="34" t="s">
        <v>111</v>
      </c>
    </row>
    <row r="8" spans="1:11" ht="82.5">
      <c r="A8" s="4" t="s">
        <v>116</v>
      </c>
      <c r="B8" s="6">
        <v>7</v>
      </c>
      <c r="C8" s="5" t="s">
        <v>13</v>
      </c>
      <c r="D8" s="5" t="s">
        <v>112</v>
      </c>
      <c r="E8" s="5" t="s">
        <v>86</v>
      </c>
      <c r="F8" s="9" t="s">
        <v>93</v>
      </c>
      <c r="G8" s="9" t="s">
        <v>113</v>
      </c>
      <c r="H8" s="5" t="s">
        <v>114</v>
      </c>
      <c r="I8" s="34" t="s">
        <v>115</v>
      </c>
      <c r="J8" s="11"/>
    </row>
    <row r="9" spans="1:11" ht="99" hidden="1">
      <c r="A9" s="4" t="s">
        <v>120</v>
      </c>
      <c r="B9" s="6">
        <v>2</v>
      </c>
      <c r="C9" s="5" t="s">
        <v>11</v>
      </c>
      <c r="D9" s="5" t="s">
        <v>121</v>
      </c>
      <c r="E9" s="5" t="s">
        <v>86</v>
      </c>
      <c r="F9" s="9" t="s">
        <v>87</v>
      </c>
      <c r="G9" s="9" t="s">
        <v>106</v>
      </c>
      <c r="H9" s="5" t="s">
        <v>102</v>
      </c>
      <c r="I9" s="34" t="s">
        <v>118</v>
      </c>
      <c r="J9" s="11"/>
    </row>
    <row r="10" spans="1:11" ht="115.5" hidden="1">
      <c r="A10" s="4" t="s">
        <v>120</v>
      </c>
      <c r="B10" s="6">
        <v>6</v>
      </c>
      <c r="C10" s="5" t="s">
        <v>12</v>
      </c>
      <c r="D10" s="5" t="s">
        <v>122</v>
      </c>
      <c r="E10" s="5" t="s">
        <v>86</v>
      </c>
      <c r="F10" s="9" t="s">
        <v>90</v>
      </c>
      <c r="G10" s="9" t="s">
        <v>109</v>
      </c>
      <c r="H10" s="5" t="s">
        <v>110</v>
      </c>
      <c r="I10" s="34" t="s">
        <v>111</v>
      </c>
    </row>
    <row r="11" spans="1:11" ht="82.5" hidden="1">
      <c r="A11" s="56" t="s">
        <v>120</v>
      </c>
      <c r="B11" s="42">
        <v>7</v>
      </c>
      <c r="C11" s="43" t="s">
        <v>13</v>
      </c>
      <c r="D11" s="5" t="s">
        <v>123</v>
      </c>
      <c r="E11" s="43" t="s">
        <v>86</v>
      </c>
      <c r="F11" s="57" t="s">
        <v>93</v>
      </c>
      <c r="G11" s="57" t="s">
        <v>113</v>
      </c>
      <c r="H11" s="43" t="s">
        <v>114</v>
      </c>
      <c r="I11" s="34" t="s">
        <v>115</v>
      </c>
      <c r="J11" s="56"/>
      <c r="K11" s="49"/>
    </row>
    <row r="12" spans="1:11" ht="49.5" hidden="1">
      <c r="A12" s="4" t="s">
        <v>66</v>
      </c>
      <c r="B12" s="6">
        <v>3</v>
      </c>
      <c r="C12" s="5" t="s">
        <v>11</v>
      </c>
      <c r="D12" s="5" t="s">
        <v>38</v>
      </c>
      <c r="E12" s="5" t="s">
        <v>99</v>
      </c>
      <c r="F12" s="9" t="s">
        <v>100</v>
      </c>
      <c r="G12" s="9" t="s">
        <v>101</v>
      </c>
      <c r="H12" s="5" t="s">
        <v>102</v>
      </c>
      <c r="I12" s="55" t="s">
        <v>103</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72"/>
  <sheetViews>
    <sheetView topLeftCell="B1" zoomScaleNormal="100" workbookViewId="0">
      <selection activeCell="B1" sqref="B1"/>
    </sheetView>
  </sheetViews>
  <sheetFormatPr defaultColWidth="10.7109375" defaultRowHeight="14.45"/>
  <cols>
    <col min="1" max="1" width="76.5703125" style="13" customWidth="1"/>
    <col min="2" max="2" width="45" style="13" customWidth="1"/>
    <col min="3" max="4" width="59.42578125" style="26" customWidth="1"/>
    <col min="5" max="5" width="47.42578125" style="26" customWidth="1"/>
    <col min="6" max="6" width="38.28515625" style="26" customWidth="1"/>
    <col min="7" max="16384" width="10.7109375" style="13"/>
  </cols>
  <sheetData>
    <row r="1" spans="1:6" s="80" customFormat="1" ht="65.099999999999994">
      <c r="A1" s="70" t="s">
        <v>124</v>
      </c>
      <c r="B1" s="70" t="s">
        <v>125</v>
      </c>
      <c r="C1" s="70" t="s">
        <v>126</v>
      </c>
      <c r="D1" s="70" t="s">
        <v>127</v>
      </c>
      <c r="E1" s="70" t="s">
        <v>128</v>
      </c>
      <c r="F1" s="70" t="s">
        <v>129</v>
      </c>
    </row>
    <row r="2" spans="1:6" s="80" customFormat="1" ht="33">
      <c r="A2" s="73" t="s">
        <v>130</v>
      </c>
      <c r="B2" s="73" t="s">
        <v>131</v>
      </c>
      <c r="C2" s="73" t="s">
        <v>132</v>
      </c>
      <c r="D2" s="73" t="s">
        <v>133</v>
      </c>
      <c r="E2" s="73" t="s">
        <v>134</v>
      </c>
      <c r="F2" s="73" t="s">
        <v>135</v>
      </c>
    </row>
    <row r="3" spans="1:6" ht="49.5">
      <c r="A3" s="34" t="s">
        <v>89</v>
      </c>
      <c r="B3" s="164" t="s">
        <v>136</v>
      </c>
      <c r="C3" s="163" t="s">
        <v>137</v>
      </c>
      <c r="D3" s="81" t="s">
        <v>138</v>
      </c>
      <c r="E3" s="152" t="s">
        <v>139</v>
      </c>
      <c r="F3" s="82" t="s">
        <v>140</v>
      </c>
    </row>
    <row r="4" spans="1:6" ht="49.5">
      <c r="A4" s="34" t="s">
        <v>92</v>
      </c>
      <c r="B4" s="145"/>
      <c r="C4" s="159"/>
      <c r="D4" s="58" t="s">
        <v>141</v>
      </c>
      <c r="E4" s="148"/>
      <c r="F4" s="4" t="s">
        <v>142</v>
      </c>
    </row>
    <row r="5" spans="1:6" ht="66">
      <c r="A5" s="34" t="s">
        <v>98</v>
      </c>
      <c r="B5" s="145"/>
      <c r="C5" s="159"/>
      <c r="D5" s="58" t="s">
        <v>143</v>
      </c>
      <c r="E5" s="148"/>
      <c r="F5" s="118" t="s">
        <v>140</v>
      </c>
    </row>
    <row r="6" spans="1:6" ht="50.1" thickBot="1">
      <c r="A6" s="83" t="s">
        <v>96</v>
      </c>
      <c r="B6" s="146"/>
      <c r="C6" s="160"/>
      <c r="D6" s="58" t="s">
        <v>144</v>
      </c>
      <c r="E6" s="151"/>
      <c r="F6" s="34" t="s">
        <v>145</v>
      </c>
    </row>
    <row r="7" spans="1:6" ht="49.5">
      <c r="A7" s="34" t="s">
        <v>89</v>
      </c>
      <c r="B7" s="147" t="s">
        <v>146</v>
      </c>
      <c r="C7" s="165" t="s">
        <v>147</v>
      </c>
      <c r="D7" s="86" t="s">
        <v>148</v>
      </c>
      <c r="E7" s="153" t="s">
        <v>149</v>
      </c>
      <c r="F7" s="87" t="s">
        <v>142</v>
      </c>
    </row>
    <row r="8" spans="1:6" ht="49.5">
      <c r="A8" s="34" t="s">
        <v>97</v>
      </c>
      <c r="B8" s="148"/>
      <c r="C8" s="159"/>
      <c r="D8" s="58" t="s">
        <v>150</v>
      </c>
      <c r="E8" s="141"/>
      <c r="F8" s="4" t="s">
        <v>140</v>
      </c>
    </row>
    <row r="9" spans="1:6" ht="49.5">
      <c r="A9" s="34" t="s">
        <v>92</v>
      </c>
      <c r="B9" s="148"/>
      <c r="C9" s="159"/>
      <c r="D9" s="58" t="s">
        <v>151</v>
      </c>
      <c r="E9" s="141"/>
      <c r="F9" s="118" t="s">
        <v>140</v>
      </c>
    </row>
    <row r="10" spans="1:6" ht="50.1" thickBot="1">
      <c r="A10" s="83" t="s">
        <v>96</v>
      </c>
      <c r="B10" s="151"/>
      <c r="C10" s="160"/>
      <c r="D10" s="84" t="s">
        <v>144</v>
      </c>
      <c r="E10" s="154"/>
      <c r="F10" s="83" t="s">
        <v>145</v>
      </c>
    </row>
    <row r="11" spans="1:6" ht="49.5">
      <c r="A11" s="34" t="s">
        <v>97</v>
      </c>
      <c r="B11" s="148" t="s">
        <v>152</v>
      </c>
      <c r="C11" s="165" t="s">
        <v>153</v>
      </c>
      <c r="D11" s="58" t="s">
        <v>154</v>
      </c>
      <c r="E11" s="153" t="s">
        <v>155</v>
      </c>
      <c r="F11" s="69" t="s">
        <v>142</v>
      </c>
    </row>
    <row r="12" spans="1:6" ht="49.5">
      <c r="A12" s="34" t="s">
        <v>92</v>
      </c>
      <c r="B12" s="148"/>
      <c r="C12" s="159"/>
      <c r="D12" s="58" t="s">
        <v>156</v>
      </c>
      <c r="E12" s="141"/>
      <c r="F12" s="69" t="s">
        <v>140</v>
      </c>
    </row>
    <row r="13" spans="1:6" ht="66">
      <c r="A13" s="34" t="s">
        <v>98</v>
      </c>
      <c r="B13" s="148"/>
      <c r="C13" s="159"/>
      <c r="D13" s="58" t="s">
        <v>157</v>
      </c>
      <c r="E13" s="141"/>
      <c r="F13" s="69" t="s">
        <v>140</v>
      </c>
    </row>
    <row r="14" spans="1:6" ht="66.599999999999994" thickBot="1">
      <c r="A14" s="83" t="s">
        <v>98</v>
      </c>
      <c r="B14" s="148"/>
      <c r="C14" s="160"/>
      <c r="D14" s="58" t="s">
        <v>144</v>
      </c>
      <c r="E14" s="154"/>
      <c r="F14" s="69" t="s">
        <v>145</v>
      </c>
    </row>
    <row r="15" spans="1:6" ht="49.5">
      <c r="A15" s="34" t="s">
        <v>89</v>
      </c>
      <c r="B15" s="147" t="s">
        <v>158</v>
      </c>
      <c r="C15" s="165" t="s">
        <v>159</v>
      </c>
      <c r="D15" s="86" t="s">
        <v>160</v>
      </c>
      <c r="E15" s="153" t="s">
        <v>161</v>
      </c>
      <c r="F15" s="87" t="s">
        <v>142</v>
      </c>
    </row>
    <row r="16" spans="1:6" ht="49.5">
      <c r="A16" s="34" t="s">
        <v>92</v>
      </c>
      <c r="B16" s="148"/>
      <c r="C16" s="159"/>
      <c r="D16" s="58" t="s">
        <v>162</v>
      </c>
      <c r="E16" s="141"/>
      <c r="F16" s="118" t="s">
        <v>140</v>
      </c>
    </row>
    <row r="17" spans="1:6" ht="66">
      <c r="A17" s="34" t="s">
        <v>98</v>
      </c>
      <c r="B17" s="148"/>
      <c r="C17" s="159"/>
      <c r="D17" s="69" t="s">
        <v>163</v>
      </c>
      <c r="E17" s="141"/>
      <c r="F17" s="34" t="s">
        <v>140</v>
      </c>
    </row>
    <row r="18" spans="1:6" ht="50.1" thickBot="1">
      <c r="A18" s="83" t="s">
        <v>96</v>
      </c>
      <c r="B18" s="148"/>
      <c r="C18" s="159"/>
      <c r="D18" s="58" t="s">
        <v>144</v>
      </c>
      <c r="E18" s="154"/>
      <c r="F18" s="34" t="s">
        <v>145</v>
      </c>
    </row>
    <row r="19" spans="1:6" ht="49.5">
      <c r="A19" s="34" t="s">
        <v>89</v>
      </c>
      <c r="B19" s="147" t="s">
        <v>164</v>
      </c>
      <c r="C19" s="165" t="s">
        <v>165</v>
      </c>
      <c r="D19" s="86" t="s">
        <v>160</v>
      </c>
      <c r="E19" s="153" t="s">
        <v>166</v>
      </c>
      <c r="F19" s="87" t="s">
        <v>142</v>
      </c>
    </row>
    <row r="20" spans="1:6" ht="49.5">
      <c r="A20" s="34" t="s">
        <v>97</v>
      </c>
      <c r="B20" s="148"/>
      <c r="C20" s="159"/>
      <c r="D20" s="58" t="s">
        <v>167</v>
      </c>
      <c r="E20" s="141"/>
      <c r="F20" s="118" t="s">
        <v>140</v>
      </c>
    </row>
    <row r="21" spans="1:6" ht="50.1" thickBot="1">
      <c r="A21" s="83" t="s">
        <v>92</v>
      </c>
      <c r="B21" s="148"/>
      <c r="C21" s="159"/>
      <c r="D21" s="84" t="s">
        <v>144</v>
      </c>
      <c r="E21" s="141"/>
      <c r="F21" s="83" t="s">
        <v>145</v>
      </c>
    </row>
    <row r="22" spans="1:6" ht="49.5">
      <c r="A22" s="34" t="s">
        <v>89</v>
      </c>
      <c r="B22" s="147" t="s">
        <v>168</v>
      </c>
      <c r="C22" s="161" t="s">
        <v>169</v>
      </c>
      <c r="D22" s="58" t="s">
        <v>170</v>
      </c>
      <c r="E22" s="147" t="s">
        <v>171</v>
      </c>
      <c r="F22" s="34" t="s">
        <v>172</v>
      </c>
    </row>
    <row r="23" spans="1:6" ht="49.5">
      <c r="A23" s="34" t="s">
        <v>97</v>
      </c>
      <c r="B23" s="148"/>
      <c r="C23" s="156"/>
      <c r="D23" s="69" t="s">
        <v>173</v>
      </c>
      <c r="E23" s="148"/>
      <c r="F23" s="58" t="s">
        <v>140</v>
      </c>
    </row>
    <row r="24" spans="1:6" ht="66">
      <c r="A24" s="34" t="s">
        <v>98</v>
      </c>
      <c r="B24" s="148"/>
      <c r="C24" s="156"/>
      <c r="D24" s="69" t="s">
        <v>174</v>
      </c>
      <c r="E24" s="148"/>
      <c r="F24" s="69" t="s">
        <v>140</v>
      </c>
    </row>
    <row r="25" spans="1:6" ht="50.1" thickBot="1">
      <c r="A25" s="83" t="s">
        <v>96</v>
      </c>
      <c r="B25" s="151"/>
      <c r="C25" s="157"/>
      <c r="D25" s="92" t="s">
        <v>144</v>
      </c>
      <c r="E25" s="149"/>
      <c r="F25" s="91" t="s">
        <v>145</v>
      </c>
    </row>
    <row r="26" spans="1:6" ht="49.5">
      <c r="A26" s="34" t="s">
        <v>89</v>
      </c>
      <c r="B26" s="148" t="s">
        <v>175</v>
      </c>
      <c r="C26" s="156" t="s">
        <v>176</v>
      </c>
      <c r="D26" s="58" t="s">
        <v>141</v>
      </c>
      <c r="E26" s="150" t="s">
        <v>177</v>
      </c>
      <c r="F26" s="34" t="s">
        <v>172</v>
      </c>
    </row>
    <row r="27" spans="1:6" ht="49.5">
      <c r="A27" s="34" t="s">
        <v>97</v>
      </c>
      <c r="B27" s="148"/>
      <c r="C27" s="156"/>
      <c r="D27" s="69" t="s">
        <v>138</v>
      </c>
      <c r="E27" s="148"/>
      <c r="F27" s="34" t="s">
        <v>140</v>
      </c>
    </row>
    <row r="28" spans="1:6" ht="66.599999999999994" thickBot="1">
      <c r="A28" s="83" t="s">
        <v>98</v>
      </c>
      <c r="B28" s="149"/>
      <c r="C28" s="162"/>
      <c r="D28" s="92" t="s">
        <v>144</v>
      </c>
      <c r="E28" s="149"/>
      <c r="F28" s="91" t="s">
        <v>145</v>
      </c>
    </row>
    <row r="29" spans="1:6" ht="49.5">
      <c r="A29" s="34" t="s">
        <v>97</v>
      </c>
      <c r="B29" s="148" t="s">
        <v>178</v>
      </c>
      <c r="C29" s="155" t="s">
        <v>179</v>
      </c>
      <c r="D29" s="69" t="s">
        <v>141</v>
      </c>
      <c r="E29" s="150" t="s">
        <v>180</v>
      </c>
      <c r="F29" s="118" t="s">
        <v>172</v>
      </c>
    </row>
    <row r="30" spans="1:6" ht="49.5">
      <c r="A30" s="34" t="s">
        <v>92</v>
      </c>
      <c r="B30" s="148"/>
      <c r="C30" s="156"/>
      <c r="D30" s="69" t="s">
        <v>181</v>
      </c>
      <c r="E30" s="148"/>
      <c r="F30" s="118" t="s">
        <v>140</v>
      </c>
    </row>
    <row r="31" spans="1:6" ht="66">
      <c r="A31" s="34" t="s">
        <v>98</v>
      </c>
      <c r="B31" s="148"/>
      <c r="C31" s="156"/>
      <c r="D31" s="69" t="s">
        <v>182</v>
      </c>
      <c r="E31" s="148"/>
      <c r="F31" s="118" t="s">
        <v>140</v>
      </c>
    </row>
    <row r="32" spans="1:6" ht="50.1" thickBot="1">
      <c r="A32" s="83" t="s">
        <v>96</v>
      </c>
      <c r="B32" s="151"/>
      <c r="C32" s="156"/>
      <c r="D32" s="84" t="s">
        <v>144</v>
      </c>
      <c r="E32" s="148"/>
      <c r="F32" s="129" t="s">
        <v>140</v>
      </c>
    </row>
    <row r="33" spans="1:6" ht="49.5">
      <c r="A33" s="34" t="s">
        <v>89</v>
      </c>
      <c r="B33" s="148" t="s">
        <v>183</v>
      </c>
      <c r="C33" s="155" t="s">
        <v>184</v>
      </c>
      <c r="D33" s="69" t="s">
        <v>141</v>
      </c>
      <c r="E33" s="147" t="s">
        <v>185</v>
      </c>
      <c r="F33" s="34" t="s">
        <v>172</v>
      </c>
    </row>
    <row r="34" spans="1:6" ht="49.5">
      <c r="A34" s="34" t="s">
        <v>92</v>
      </c>
      <c r="B34" s="148"/>
      <c r="C34" s="156"/>
      <c r="D34" s="69" t="s">
        <v>138</v>
      </c>
      <c r="E34" s="148"/>
      <c r="F34" s="34" t="s">
        <v>140</v>
      </c>
    </row>
    <row r="35" spans="1:6" ht="50.1" thickBot="1">
      <c r="A35" s="83" t="s">
        <v>96</v>
      </c>
      <c r="B35" s="151"/>
      <c r="C35" s="157"/>
      <c r="D35" s="84" t="s">
        <v>144</v>
      </c>
      <c r="E35" s="151"/>
      <c r="F35" s="83" t="s">
        <v>145</v>
      </c>
    </row>
    <row r="36" spans="1:6" ht="49.5">
      <c r="A36" s="34" t="s">
        <v>97</v>
      </c>
      <c r="B36" s="148" t="s">
        <v>186</v>
      </c>
      <c r="C36" s="158" t="s">
        <v>187</v>
      </c>
      <c r="D36" s="69" t="s">
        <v>141</v>
      </c>
      <c r="E36" s="144" t="s">
        <v>188</v>
      </c>
      <c r="F36" s="34" t="s">
        <v>172</v>
      </c>
    </row>
    <row r="37" spans="1:6" ht="49.5">
      <c r="A37" s="34" t="s">
        <v>92</v>
      </c>
      <c r="B37" s="148"/>
      <c r="C37" s="159"/>
      <c r="D37" s="69" t="s">
        <v>138</v>
      </c>
      <c r="E37" s="145"/>
      <c r="F37" s="34" t="s">
        <v>140</v>
      </c>
    </row>
    <row r="38" spans="1:6" ht="66">
      <c r="A38" s="34" t="s">
        <v>98</v>
      </c>
      <c r="B38" s="148"/>
      <c r="C38" s="159"/>
      <c r="D38" s="58" t="s">
        <v>144</v>
      </c>
      <c r="E38" s="145"/>
      <c r="F38" s="34" t="s">
        <v>145</v>
      </c>
    </row>
    <row r="39" spans="1:6" ht="50.1" thickBot="1">
      <c r="A39" s="83" t="s">
        <v>96</v>
      </c>
      <c r="B39" s="151"/>
      <c r="C39" s="160"/>
      <c r="D39" s="84"/>
      <c r="E39" s="146"/>
      <c r="F39" s="83"/>
    </row>
    <row r="40" spans="1:6" ht="49.5">
      <c r="A40" s="34" t="s">
        <v>89</v>
      </c>
      <c r="B40" s="148" t="s">
        <v>189</v>
      </c>
      <c r="C40" s="158" t="s">
        <v>190</v>
      </c>
      <c r="D40" s="58" t="s">
        <v>191</v>
      </c>
      <c r="E40" s="144" t="s">
        <v>192</v>
      </c>
      <c r="F40" s="118" t="s">
        <v>172</v>
      </c>
    </row>
    <row r="41" spans="1:6" ht="49.5">
      <c r="A41" s="34" t="s">
        <v>92</v>
      </c>
      <c r="B41" s="148"/>
      <c r="C41" s="159"/>
      <c r="D41" s="58" t="s">
        <v>193</v>
      </c>
      <c r="E41" s="145"/>
      <c r="F41" s="118" t="s">
        <v>140</v>
      </c>
    </row>
    <row r="42" spans="1:6" ht="66">
      <c r="A42" s="34" t="s">
        <v>98</v>
      </c>
      <c r="B42" s="148"/>
      <c r="C42" s="159"/>
      <c r="D42" s="58" t="s">
        <v>194</v>
      </c>
      <c r="E42" s="145"/>
      <c r="F42" s="118" t="s">
        <v>140</v>
      </c>
    </row>
    <row r="43" spans="1:6" ht="50.1" thickBot="1">
      <c r="A43" s="83" t="s">
        <v>96</v>
      </c>
      <c r="B43" s="151"/>
      <c r="C43" s="160"/>
      <c r="D43" s="84" t="s">
        <v>144</v>
      </c>
      <c r="E43" s="146"/>
      <c r="F43" s="129" t="s">
        <v>145</v>
      </c>
    </row>
    <row r="44" spans="1:6" ht="49.5">
      <c r="A44" s="34" t="s">
        <v>89</v>
      </c>
      <c r="B44" s="148" t="s">
        <v>195</v>
      </c>
      <c r="C44" s="155" t="s">
        <v>196</v>
      </c>
      <c r="D44" s="58" t="s">
        <v>141</v>
      </c>
      <c r="E44" s="144" t="s">
        <v>197</v>
      </c>
      <c r="F44" s="118" t="s">
        <v>172</v>
      </c>
    </row>
    <row r="45" spans="1:6" ht="39.6" customHeight="1">
      <c r="A45" s="34" t="s">
        <v>92</v>
      </c>
      <c r="B45" s="148"/>
      <c r="C45" s="156"/>
      <c r="D45" s="58" t="s">
        <v>198</v>
      </c>
      <c r="E45" s="145"/>
      <c r="F45" s="118" t="s">
        <v>140</v>
      </c>
    </row>
    <row r="46" spans="1:6" ht="66">
      <c r="A46" s="34" t="s">
        <v>98</v>
      </c>
      <c r="B46" s="148"/>
      <c r="C46" s="156"/>
      <c r="D46" s="58" t="s">
        <v>199</v>
      </c>
      <c r="E46" s="145"/>
      <c r="F46" s="118" t="s">
        <v>140</v>
      </c>
    </row>
    <row r="47" spans="1:6" ht="50.1" thickBot="1">
      <c r="A47" s="83" t="s">
        <v>96</v>
      </c>
      <c r="B47" s="151"/>
      <c r="C47" s="157"/>
      <c r="D47" s="84" t="s">
        <v>144</v>
      </c>
      <c r="E47" s="146"/>
      <c r="F47" s="129" t="s">
        <v>145</v>
      </c>
    </row>
    <row r="48" spans="1:6" ht="49.5">
      <c r="A48" s="34" t="s">
        <v>97</v>
      </c>
      <c r="B48" s="148" t="s">
        <v>200</v>
      </c>
      <c r="C48" s="155" t="s">
        <v>201</v>
      </c>
      <c r="D48" s="58" t="s">
        <v>202</v>
      </c>
      <c r="E48" s="144" t="s">
        <v>203</v>
      </c>
      <c r="F48" s="118" t="s">
        <v>172</v>
      </c>
    </row>
    <row r="49" spans="1:6" ht="49.5">
      <c r="A49" s="34" t="s">
        <v>92</v>
      </c>
      <c r="B49" s="148"/>
      <c r="C49" s="156"/>
      <c r="D49" s="58" t="s">
        <v>204</v>
      </c>
      <c r="E49" s="145"/>
      <c r="F49" s="118" t="s">
        <v>140</v>
      </c>
    </row>
    <row r="50" spans="1:6" ht="50.1" thickBot="1">
      <c r="A50" s="83" t="s">
        <v>96</v>
      </c>
      <c r="B50" s="151"/>
      <c r="C50" s="157"/>
      <c r="D50" s="84" t="s">
        <v>144</v>
      </c>
      <c r="E50" s="146"/>
      <c r="F50" s="129" t="s">
        <v>145</v>
      </c>
    </row>
    <row r="51" spans="1:6" ht="66" customHeight="1">
      <c r="A51" s="34" t="s">
        <v>89</v>
      </c>
      <c r="B51" s="148" t="s">
        <v>205</v>
      </c>
      <c r="C51" s="158" t="s">
        <v>206</v>
      </c>
      <c r="D51" s="69" t="s">
        <v>141</v>
      </c>
      <c r="E51" s="144" t="s">
        <v>207</v>
      </c>
      <c r="F51" s="34" t="s">
        <v>172</v>
      </c>
    </row>
    <row r="52" spans="1:6" ht="66" customHeight="1">
      <c r="A52" s="34" t="s">
        <v>97</v>
      </c>
      <c r="B52" s="148"/>
      <c r="C52" s="159"/>
      <c r="D52" s="69" t="s">
        <v>138</v>
      </c>
      <c r="E52" s="145"/>
      <c r="F52" s="34" t="s">
        <v>140</v>
      </c>
    </row>
    <row r="53" spans="1:6" ht="66" customHeight="1" thickBot="1">
      <c r="A53" s="83" t="s">
        <v>98</v>
      </c>
      <c r="B53" s="151"/>
      <c r="C53" s="160"/>
      <c r="D53" s="84" t="s">
        <v>144</v>
      </c>
      <c r="E53" s="146"/>
      <c r="F53" s="83" t="s">
        <v>145</v>
      </c>
    </row>
    <row r="54" spans="1:6" ht="16.5">
      <c r="A54" s="34"/>
    </row>
    <row r="55" spans="1:6" ht="16.5">
      <c r="A55" s="34"/>
    </row>
    <row r="56" spans="1:6" ht="16.5">
      <c r="A56" s="34"/>
    </row>
    <row r="57" spans="1:6" ht="16.5">
      <c r="A57" s="34"/>
    </row>
    <row r="58" spans="1:6" ht="16.5">
      <c r="A58" s="34"/>
    </row>
    <row r="59" spans="1:6" ht="16.5">
      <c r="A59" s="34"/>
    </row>
    <row r="60" spans="1:6" ht="16.5">
      <c r="A60" s="34"/>
    </row>
    <row r="61" spans="1:6" ht="16.5">
      <c r="A61" s="34"/>
    </row>
    <row r="62" spans="1:6" ht="16.5">
      <c r="A62" s="34"/>
    </row>
    <row r="63" spans="1:6" ht="16.5">
      <c r="A63" s="34"/>
    </row>
    <row r="64" spans="1:6" ht="16.5">
      <c r="A64" s="34"/>
    </row>
    <row r="65" spans="1:1" ht="16.5">
      <c r="A65" s="34"/>
    </row>
    <row r="66" spans="1:1" ht="16.5">
      <c r="A66" s="34"/>
    </row>
    <row r="67" spans="1:1" ht="16.5">
      <c r="A67" s="34"/>
    </row>
    <row r="68" spans="1:1" ht="16.5">
      <c r="A68" s="34"/>
    </row>
    <row r="69" spans="1:1" ht="16.5">
      <c r="A69" s="34"/>
    </row>
    <row r="70" spans="1:1" ht="16.5">
      <c r="A70" s="34"/>
    </row>
    <row r="71" spans="1:1" ht="16.5">
      <c r="A71" s="34"/>
    </row>
    <row r="72" spans="1:1" ht="16.5">
      <c r="A72" s="34"/>
    </row>
  </sheetData>
  <autoFilter ref="A1:F53" xr:uid="{E39D2FE2-9619-401A-8888-2C861DBCAC9F}"/>
  <mergeCells count="42">
    <mergeCell ref="C3:C6"/>
    <mergeCell ref="B3:B6"/>
    <mergeCell ref="B19:B21"/>
    <mergeCell ref="C19:C21"/>
    <mergeCell ref="B7:B10"/>
    <mergeCell ref="C7:C10"/>
    <mergeCell ref="B11:B14"/>
    <mergeCell ref="B15:B18"/>
    <mergeCell ref="C15:C18"/>
    <mergeCell ref="C11:C14"/>
    <mergeCell ref="B22:B25"/>
    <mergeCell ref="C22:C25"/>
    <mergeCell ref="B26:B28"/>
    <mergeCell ref="C26:C28"/>
    <mergeCell ref="B29:B32"/>
    <mergeCell ref="C29:C32"/>
    <mergeCell ref="B33:B35"/>
    <mergeCell ref="C33:C35"/>
    <mergeCell ref="B36:B39"/>
    <mergeCell ref="C36:C39"/>
    <mergeCell ref="B40:B43"/>
    <mergeCell ref="C40:C43"/>
    <mergeCell ref="B44:B47"/>
    <mergeCell ref="C44:C47"/>
    <mergeCell ref="B48:B50"/>
    <mergeCell ref="C48:C50"/>
    <mergeCell ref="B51:B53"/>
    <mergeCell ref="C51:C53"/>
    <mergeCell ref="E3:E6"/>
    <mergeCell ref="E7:E10"/>
    <mergeCell ref="E11:E14"/>
    <mergeCell ref="E15:E18"/>
    <mergeCell ref="E19:E21"/>
    <mergeCell ref="E40:E43"/>
    <mergeCell ref="E44:E47"/>
    <mergeCell ref="E48:E50"/>
    <mergeCell ref="E51:E53"/>
    <mergeCell ref="E22:E25"/>
    <mergeCell ref="E26:E28"/>
    <mergeCell ref="E29:E32"/>
    <mergeCell ref="E33:E35"/>
    <mergeCell ref="E36:E39"/>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A3:A72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S126"/>
  <sheetViews>
    <sheetView zoomScaleNormal="100" workbookViewId="0">
      <pane ySplit="2" topLeftCell="A3" activePane="bottomLeft" state="frozen"/>
      <selection pane="bottomLeft"/>
      <selection activeCell="B1" sqref="B1"/>
    </sheetView>
  </sheetViews>
  <sheetFormatPr defaultColWidth="14.7109375" defaultRowHeight="17.25"/>
  <cols>
    <col min="1" max="1" width="14.7109375" style="1"/>
    <col min="2" max="2" width="92.5703125" style="5" customWidth="1"/>
    <col min="3" max="3" width="18.42578125" style="7" customWidth="1"/>
    <col min="4" max="4" width="33.7109375" style="6" bestFit="1" customWidth="1"/>
    <col min="5" max="5" width="76.7109375" style="5" customWidth="1"/>
    <col min="6" max="6" width="16.140625" style="7" customWidth="1"/>
    <col min="7" max="9" width="15.42578125" style="7" customWidth="1"/>
    <col min="10" max="10" width="13.140625" style="7" customWidth="1"/>
    <col min="11" max="11" width="23.85546875" style="7" customWidth="1"/>
    <col min="12" max="12" width="23.5703125" style="7" customWidth="1"/>
    <col min="13" max="13" width="13.140625" style="7" customWidth="1"/>
    <col min="14" max="14" width="50.28515625" style="5" customWidth="1"/>
    <col min="15" max="15" width="58.7109375" style="5" customWidth="1"/>
    <col min="16" max="16" width="63.28515625" style="5" customWidth="1"/>
    <col min="17" max="17" width="68.140625" style="5" customWidth="1"/>
    <col min="18" max="18" width="48" style="5" customWidth="1"/>
    <col min="19" max="19" width="14.7109375" style="14" customWidth="1"/>
    <col min="20" max="16384" width="14.7109375" style="7"/>
  </cols>
  <sheetData>
    <row r="1" spans="1:19" s="80" customFormat="1" ht="54">
      <c r="A1" s="70" t="s">
        <v>208</v>
      </c>
      <c r="B1" s="70" t="s">
        <v>209</v>
      </c>
      <c r="C1" s="70" t="s">
        <v>210</v>
      </c>
      <c r="D1" s="70" t="s">
        <v>211</v>
      </c>
      <c r="E1" s="70" t="s">
        <v>212</v>
      </c>
      <c r="F1" s="70" t="s">
        <v>213</v>
      </c>
      <c r="G1" s="171" t="s">
        <v>214</v>
      </c>
      <c r="H1" s="171"/>
      <c r="I1" s="171"/>
      <c r="J1" s="70" t="s">
        <v>215</v>
      </c>
      <c r="K1" s="70" t="s">
        <v>216</v>
      </c>
      <c r="L1" s="70" t="s">
        <v>217</v>
      </c>
      <c r="M1" s="70" t="s">
        <v>218</v>
      </c>
      <c r="N1" s="70" t="s">
        <v>219</v>
      </c>
      <c r="O1" s="70" t="s">
        <v>220</v>
      </c>
      <c r="P1" s="70" t="s">
        <v>221</v>
      </c>
      <c r="Q1" s="70" t="s">
        <v>222</v>
      </c>
      <c r="R1" s="100"/>
    </row>
    <row r="2" spans="1:19" s="80" customFormat="1" ht="28.5" thickBot="1">
      <c r="A2" s="73" t="s">
        <v>223</v>
      </c>
      <c r="B2" s="73" t="s">
        <v>130</v>
      </c>
      <c r="C2" s="73" t="s">
        <v>224</v>
      </c>
      <c r="D2" s="73" t="s">
        <v>225</v>
      </c>
      <c r="E2" s="73" t="s">
        <v>226</v>
      </c>
      <c r="F2" s="73" t="s">
        <v>227</v>
      </c>
      <c r="G2" s="73" t="s">
        <v>228</v>
      </c>
      <c r="H2" s="73" t="s">
        <v>229</v>
      </c>
      <c r="I2" s="73" t="s">
        <v>230</v>
      </c>
      <c r="J2" s="73" t="s">
        <v>231</v>
      </c>
      <c r="K2" s="73" t="s">
        <v>232</v>
      </c>
      <c r="L2" s="73" t="s">
        <v>233</v>
      </c>
      <c r="M2" s="73" t="s">
        <v>234</v>
      </c>
      <c r="N2" s="73" t="s">
        <v>235</v>
      </c>
      <c r="O2" s="73" t="s">
        <v>236</v>
      </c>
      <c r="P2" s="73" t="s">
        <v>237</v>
      </c>
      <c r="Q2" s="73" t="s">
        <v>238</v>
      </c>
      <c r="R2" s="101"/>
    </row>
    <row r="3" spans="1:19" s="80" customFormat="1" ht="243">
      <c r="A3" s="93" t="str">
        <f>_xlfn.XLOOKUP(B3,'Paso 3 Redacción RA'!I$3:I$15,'Paso 3 Redacción RA'!C$3:C$15,,0,1)</f>
        <v>Saber</v>
      </c>
      <c r="B3" s="93" t="s">
        <v>103</v>
      </c>
      <c r="C3" s="94">
        <v>1</v>
      </c>
      <c r="D3" s="95" t="s">
        <v>239</v>
      </c>
      <c r="E3" s="96" t="s">
        <v>240</v>
      </c>
      <c r="F3" s="94" t="s">
        <v>241</v>
      </c>
      <c r="G3" s="94" t="s">
        <v>242</v>
      </c>
      <c r="H3" s="94"/>
      <c r="I3" s="94"/>
      <c r="J3" s="94">
        <v>3</v>
      </c>
      <c r="K3" s="94">
        <f>16*J3</f>
        <v>48</v>
      </c>
      <c r="L3" s="94">
        <f>32*J3</f>
        <v>96</v>
      </c>
      <c r="M3" s="94">
        <f>SUM(K3:L3)</f>
        <v>144</v>
      </c>
      <c r="N3" s="98" t="s">
        <v>243</v>
      </c>
      <c r="O3" s="93" t="s">
        <v>244</v>
      </c>
      <c r="P3" s="96" t="s">
        <v>245</v>
      </c>
      <c r="Q3" s="93" t="s">
        <v>246</v>
      </c>
      <c r="R3" s="5"/>
      <c r="S3" s="7"/>
    </row>
    <row r="4" spans="1:19" s="88" customFormat="1" ht="243" thickBot="1">
      <c r="A4" s="96" t="str">
        <f>_xlfn.XLOOKUP(B4,'Paso 3 Redacción RA'!I$3:I$15,'Paso 3 Redacción RA'!C$3:C$15,,0,1)</f>
        <v>Saber</v>
      </c>
      <c r="B4" s="96" t="s">
        <v>103</v>
      </c>
      <c r="C4" s="95">
        <v>1</v>
      </c>
      <c r="D4" s="95" t="s">
        <v>247</v>
      </c>
      <c r="E4" s="96" t="s">
        <v>248</v>
      </c>
      <c r="F4" s="95" t="s">
        <v>241</v>
      </c>
      <c r="G4" s="94" t="s">
        <v>242</v>
      </c>
      <c r="H4" s="94"/>
      <c r="I4" s="94"/>
      <c r="J4" s="94">
        <v>3</v>
      </c>
      <c r="K4" s="94">
        <f>16*J4</f>
        <v>48</v>
      </c>
      <c r="L4" s="94">
        <f>32*J4</f>
        <v>96</v>
      </c>
      <c r="M4" s="94">
        <f>SUM(K4:L4)</f>
        <v>144</v>
      </c>
      <c r="N4" s="93" t="s">
        <v>249</v>
      </c>
      <c r="O4" s="93" t="s">
        <v>250</v>
      </c>
      <c r="P4" s="93" t="s">
        <v>251</v>
      </c>
      <c r="Q4" s="93" t="s">
        <v>246</v>
      </c>
      <c r="R4" s="5"/>
      <c r="S4" s="103"/>
    </row>
    <row r="5" spans="1:19" s="88" customFormat="1" ht="42.75">
      <c r="A5" s="88" t="str">
        <f>_xlfn.XLOOKUP(B5,'Paso 3 Redacción RA'!I$3:I$15,'Paso 3 Redacción RA'!C$3:C$15,,0,1)</f>
        <v>Saber</v>
      </c>
      <c r="B5" s="69" t="s">
        <v>89</v>
      </c>
      <c r="C5" s="168">
        <v>1</v>
      </c>
      <c r="D5" s="141" t="s">
        <v>252</v>
      </c>
      <c r="E5" s="156" t="s">
        <v>253</v>
      </c>
      <c r="F5" s="141" t="s">
        <v>254</v>
      </c>
      <c r="G5" s="141"/>
      <c r="H5" s="141" t="s">
        <v>242</v>
      </c>
      <c r="I5" s="141"/>
      <c r="J5" s="141">
        <v>3</v>
      </c>
      <c r="K5" s="141">
        <f>16*J5</f>
        <v>48</v>
      </c>
      <c r="L5" s="141">
        <f>32*J5</f>
        <v>96</v>
      </c>
      <c r="M5" s="141">
        <f>SUM(K5:L5)</f>
        <v>144</v>
      </c>
      <c r="N5" s="139" t="s">
        <v>255</v>
      </c>
      <c r="O5" s="139" t="s">
        <v>256</v>
      </c>
      <c r="P5" s="139" t="s">
        <v>257</v>
      </c>
      <c r="Q5" s="139" t="s">
        <v>246</v>
      </c>
      <c r="R5" s="5"/>
      <c r="S5" s="103"/>
    </row>
    <row r="6" spans="1:19" s="88" customFormat="1" ht="42.75">
      <c r="A6" s="88" t="str">
        <f>_xlfn.XLOOKUP(B6,'Paso 3 Redacción RA'!I$3:I$15,'Paso 3 Redacción RA'!C$3:C$15,,0,1)</f>
        <v>Saber</v>
      </c>
      <c r="B6" s="69" t="s">
        <v>97</v>
      </c>
      <c r="C6" s="168"/>
      <c r="D6" s="141"/>
      <c r="E6" s="156"/>
      <c r="F6" s="141"/>
      <c r="G6" s="141"/>
      <c r="H6" s="141"/>
      <c r="I6" s="141"/>
      <c r="J6" s="141"/>
      <c r="K6" s="141"/>
      <c r="L6" s="141"/>
      <c r="M6" s="141"/>
      <c r="N6" s="139"/>
      <c r="O6" s="139"/>
      <c r="P6" s="139"/>
      <c r="Q6" s="139"/>
      <c r="R6" s="5"/>
      <c r="S6" s="103"/>
    </row>
    <row r="7" spans="1:19" s="88" customFormat="1" ht="42.75" thickBot="1">
      <c r="A7" s="89" t="str">
        <f>_xlfn.XLOOKUP(B7,'Paso 3 Redacción RA'!I$3:I$15,'Paso 3 Redacción RA'!C$3:C$15,,0,1)</f>
        <v>SaberHacer</v>
      </c>
      <c r="B7" s="85" t="s">
        <v>92</v>
      </c>
      <c r="C7" s="169"/>
      <c r="D7" s="154"/>
      <c r="E7" s="157"/>
      <c r="F7" s="154"/>
      <c r="G7" s="154"/>
      <c r="H7" s="154"/>
      <c r="I7" s="154"/>
      <c r="J7" s="154"/>
      <c r="K7" s="154"/>
      <c r="L7" s="154"/>
      <c r="M7" s="154"/>
      <c r="N7" s="167"/>
      <c r="O7" s="167"/>
      <c r="P7" s="167"/>
      <c r="Q7" s="167"/>
      <c r="R7" s="5"/>
      <c r="S7" s="103"/>
    </row>
    <row r="8" spans="1:19" s="88" customFormat="1" ht="42.75">
      <c r="A8" s="102" t="str">
        <f>_xlfn.XLOOKUP(B8,'Paso 3 Redacción RA'!I$3:I$15,'Paso 3 Redacción RA'!C$3:C$15,,0,1)</f>
        <v>Saber</v>
      </c>
      <c r="B8" s="90" t="s">
        <v>89</v>
      </c>
      <c r="C8" s="170" t="s">
        <v>258</v>
      </c>
      <c r="D8" s="153" t="s">
        <v>259</v>
      </c>
      <c r="E8" s="161" t="s">
        <v>260</v>
      </c>
      <c r="F8" s="153" t="s">
        <v>241</v>
      </c>
      <c r="G8" s="153"/>
      <c r="H8" s="153" t="s">
        <v>242</v>
      </c>
      <c r="I8" s="153"/>
      <c r="J8" s="153">
        <v>3</v>
      </c>
      <c r="K8" s="153">
        <f>16*J8</f>
        <v>48</v>
      </c>
      <c r="L8" s="153">
        <f>32*J8</f>
        <v>96</v>
      </c>
      <c r="M8" s="153">
        <f>SUM(K8:L8)</f>
        <v>144</v>
      </c>
      <c r="N8" s="166" t="s">
        <v>261</v>
      </c>
      <c r="O8" s="166" t="s">
        <v>262</v>
      </c>
      <c r="P8" s="166" t="s">
        <v>263</v>
      </c>
      <c r="Q8" s="166" t="s">
        <v>246</v>
      </c>
      <c r="R8" s="5"/>
      <c r="S8" s="103"/>
    </row>
    <row r="9" spans="1:19" s="88" customFormat="1" ht="42.75">
      <c r="A9" s="88" t="str">
        <f>_xlfn.XLOOKUP(B9,'Paso 3 Redacción RA'!I$3:I$15,'Paso 3 Redacción RA'!C$3:C$15,,0,1)</f>
        <v>SaberHacer</v>
      </c>
      <c r="B9" s="69" t="s">
        <v>92</v>
      </c>
      <c r="C9" s="168"/>
      <c r="D9" s="141"/>
      <c r="E9" s="156"/>
      <c r="F9" s="141"/>
      <c r="G9" s="141"/>
      <c r="H9" s="141"/>
      <c r="I9" s="141"/>
      <c r="J9" s="141"/>
      <c r="K9" s="141"/>
      <c r="L9" s="141"/>
      <c r="M9" s="141"/>
      <c r="N9" s="139"/>
      <c r="O9" s="139"/>
      <c r="P9" s="139"/>
      <c r="Q9" s="139"/>
      <c r="R9" s="5"/>
      <c r="S9" s="103"/>
    </row>
    <row r="10" spans="1:19" s="88" customFormat="1" ht="28.5" thickBot="1">
      <c r="A10" s="89" t="str">
        <f>_xlfn.XLOOKUP(B10,'Paso 3 Redacción RA'!I$3:I$15,'Paso 3 Redacción RA'!C$3:C$15,,0,1)</f>
        <v>SaberSer</v>
      </c>
      <c r="B10" s="85" t="s">
        <v>96</v>
      </c>
      <c r="C10" s="169"/>
      <c r="D10" s="154"/>
      <c r="E10" s="157"/>
      <c r="F10" s="154"/>
      <c r="G10" s="154"/>
      <c r="H10" s="154"/>
      <c r="I10" s="154"/>
      <c r="J10" s="154"/>
      <c r="K10" s="154"/>
      <c r="L10" s="154"/>
      <c r="M10" s="154"/>
      <c r="N10" s="167"/>
      <c r="O10" s="167"/>
      <c r="P10" s="167"/>
      <c r="Q10" s="167"/>
      <c r="R10" s="5"/>
      <c r="S10" s="103"/>
    </row>
    <row r="11" spans="1:19" s="5" customFormat="1" ht="42.75">
      <c r="A11" s="102" t="str">
        <f>_xlfn.XLOOKUP(B11,'Paso 3 Redacción RA'!I$3:I$15,'Paso 3 Redacción RA'!C$3:C$15,,0,1)</f>
        <v>SaberHacer</v>
      </c>
      <c r="B11" s="90" t="s">
        <v>92</v>
      </c>
      <c r="C11" s="147" t="s">
        <v>258</v>
      </c>
      <c r="D11" s="147" t="s">
        <v>264</v>
      </c>
      <c r="E11" s="156" t="s">
        <v>265</v>
      </c>
      <c r="F11" s="148" t="s">
        <v>241</v>
      </c>
      <c r="G11" s="148"/>
      <c r="H11" s="148" t="s">
        <v>242</v>
      </c>
      <c r="I11" s="148"/>
      <c r="J11" s="148">
        <v>3</v>
      </c>
      <c r="K11" s="148">
        <f>16*J11</f>
        <v>48</v>
      </c>
      <c r="L11" s="148">
        <f>32*J11</f>
        <v>96</v>
      </c>
      <c r="M11" s="148">
        <f>SUM(K11:L11)</f>
        <v>144</v>
      </c>
      <c r="N11" s="156" t="s">
        <v>266</v>
      </c>
      <c r="O11" s="156" t="s">
        <v>267</v>
      </c>
      <c r="P11" s="161" t="s">
        <v>268</v>
      </c>
      <c r="Q11" s="156" t="s">
        <v>246</v>
      </c>
      <c r="R11" s="69"/>
      <c r="S11" s="3"/>
    </row>
    <row r="12" spans="1:19" s="5" customFormat="1" ht="42.75">
      <c r="A12" s="88" t="str">
        <f>_xlfn.XLOOKUP(B12,'Paso 3 Redacción RA'!I$3:I$15,'Paso 3 Redacción RA'!C$3:C$15,,0,1)</f>
        <v>SaberHacer</v>
      </c>
      <c r="B12" s="69" t="s">
        <v>98</v>
      </c>
      <c r="C12" s="148"/>
      <c r="D12" s="148"/>
      <c r="E12" s="156"/>
      <c r="F12" s="148"/>
      <c r="G12" s="148"/>
      <c r="H12" s="148"/>
      <c r="I12" s="148"/>
      <c r="J12" s="148"/>
      <c r="K12" s="148"/>
      <c r="L12" s="148"/>
      <c r="M12" s="148"/>
      <c r="N12" s="156"/>
      <c r="O12" s="156"/>
      <c r="P12" s="156"/>
      <c r="Q12" s="156"/>
      <c r="R12" s="69"/>
      <c r="S12" s="3"/>
    </row>
    <row r="13" spans="1:19" s="5" customFormat="1" ht="28.5" thickBot="1">
      <c r="A13" s="89" t="str">
        <f>_xlfn.XLOOKUP(B13,'Paso 3 Redacción RA'!I$3:I$15,'Paso 3 Redacción RA'!C$3:C$15,,0,1)</f>
        <v>SaberSer</v>
      </c>
      <c r="B13" s="85" t="s">
        <v>96</v>
      </c>
      <c r="C13" s="151"/>
      <c r="D13" s="151"/>
      <c r="E13" s="156"/>
      <c r="F13" s="148"/>
      <c r="G13" s="148"/>
      <c r="H13" s="148"/>
      <c r="I13" s="148"/>
      <c r="J13" s="148"/>
      <c r="K13" s="148"/>
      <c r="L13" s="148"/>
      <c r="M13" s="148"/>
      <c r="N13" s="156"/>
      <c r="O13" s="156"/>
      <c r="P13" s="157"/>
      <c r="Q13" s="156"/>
      <c r="R13" s="69"/>
      <c r="S13" s="3"/>
    </row>
    <row r="14" spans="1:19" s="5" customFormat="1" ht="42.75">
      <c r="A14" s="102" t="str">
        <f>_xlfn.XLOOKUP(B14,'Paso 3 Redacción RA'!I$3:I$15,'Paso 3 Redacción RA'!C$3:C$15,,0,1)</f>
        <v>Saber</v>
      </c>
      <c r="B14" s="90" t="s">
        <v>97</v>
      </c>
      <c r="C14" s="147" t="s">
        <v>258</v>
      </c>
      <c r="D14" s="147" t="s">
        <v>269</v>
      </c>
      <c r="E14" s="161" t="s">
        <v>270</v>
      </c>
      <c r="F14" s="147" t="s">
        <v>241</v>
      </c>
      <c r="G14" s="147"/>
      <c r="H14" s="147" t="s">
        <v>242</v>
      </c>
      <c r="I14" s="147"/>
      <c r="J14" s="147">
        <v>3</v>
      </c>
      <c r="K14" s="147">
        <f>16*J14</f>
        <v>48</v>
      </c>
      <c r="L14" s="147">
        <f>32*J14</f>
        <v>96</v>
      </c>
      <c r="M14" s="147">
        <f>SUM(K14:L14)</f>
        <v>144</v>
      </c>
      <c r="N14" s="161" t="s">
        <v>271</v>
      </c>
      <c r="O14" s="161" t="s">
        <v>272</v>
      </c>
      <c r="P14" s="156" t="s">
        <v>273</v>
      </c>
      <c r="Q14" s="161" t="s">
        <v>246</v>
      </c>
      <c r="R14" s="69"/>
      <c r="S14" s="3"/>
    </row>
    <row r="15" spans="1:19" s="5" customFormat="1" ht="42.75">
      <c r="A15" s="88" t="str">
        <f>_xlfn.XLOOKUP(B15,'Paso 3 Redacción RA'!I$3:I$15,'Paso 3 Redacción RA'!C$3:C$15,,0,1)</f>
        <v>SaberHacer</v>
      </c>
      <c r="B15" s="69" t="s">
        <v>92</v>
      </c>
      <c r="C15" s="148"/>
      <c r="D15" s="148"/>
      <c r="E15" s="156"/>
      <c r="F15" s="148"/>
      <c r="G15" s="148"/>
      <c r="H15" s="148"/>
      <c r="I15" s="148"/>
      <c r="J15" s="148"/>
      <c r="K15" s="148"/>
      <c r="L15" s="148"/>
      <c r="M15" s="148"/>
      <c r="N15" s="156"/>
      <c r="O15" s="156"/>
      <c r="P15" s="156"/>
      <c r="Q15" s="156"/>
      <c r="R15" s="69"/>
      <c r="S15" s="3"/>
    </row>
    <row r="16" spans="1:19" s="5" customFormat="1" ht="28.5" thickBot="1">
      <c r="A16" s="89" t="str">
        <f>_xlfn.XLOOKUP(B16,'Paso 3 Redacción RA'!I$3:I$15,'Paso 3 Redacción RA'!C$3:C$15,,0,1)</f>
        <v>SaberSer</v>
      </c>
      <c r="B16" s="85" t="s">
        <v>96</v>
      </c>
      <c r="C16" s="151"/>
      <c r="D16" s="151"/>
      <c r="E16" s="156"/>
      <c r="F16" s="148"/>
      <c r="G16" s="148"/>
      <c r="H16" s="148"/>
      <c r="I16" s="148"/>
      <c r="J16" s="148"/>
      <c r="K16" s="148"/>
      <c r="L16" s="148"/>
      <c r="M16" s="148"/>
      <c r="N16" s="156"/>
      <c r="O16" s="156"/>
      <c r="P16" s="156"/>
      <c r="Q16" s="156"/>
      <c r="R16" s="69"/>
      <c r="S16" s="3"/>
    </row>
    <row r="17" spans="1:19" s="88" customFormat="1" ht="243" thickBot="1">
      <c r="A17" s="96" t="str">
        <f>_xlfn.XLOOKUP(B17,'Paso 3 Redacción RA'!I$3:I$15,'Paso 3 Redacción RA'!C$3:C$15,,0,1)</f>
        <v>Saber</v>
      </c>
      <c r="B17" s="96" t="s">
        <v>103</v>
      </c>
      <c r="C17" s="95">
        <v>2</v>
      </c>
      <c r="D17" s="95" t="s">
        <v>274</v>
      </c>
      <c r="E17" s="96" t="s">
        <v>275</v>
      </c>
      <c r="F17" s="94" t="s">
        <v>241</v>
      </c>
      <c r="G17" s="95" t="s">
        <v>242</v>
      </c>
      <c r="H17" s="95"/>
      <c r="I17" s="95"/>
      <c r="J17" s="94">
        <v>3</v>
      </c>
      <c r="K17" s="94">
        <f>16*J17</f>
        <v>48</v>
      </c>
      <c r="L17" s="94">
        <f>32*J17</f>
        <v>96</v>
      </c>
      <c r="M17" s="94">
        <f>SUM(K17:L17)</f>
        <v>144</v>
      </c>
      <c r="N17" s="96" t="s">
        <v>276</v>
      </c>
      <c r="O17" s="96" t="s">
        <v>277</v>
      </c>
      <c r="P17" s="96" t="s">
        <v>278</v>
      </c>
      <c r="Q17" s="93" t="s">
        <v>246</v>
      </c>
      <c r="R17" s="5"/>
      <c r="S17" s="103"/>
    </row>
    <row r="18" spans="1:19" ht="42.75">
      <c r="A18" s="102" t="str">
        <f>_xlfn.XLOOKUP(B18,'Paso 3 Redacción RA'!I$3:I$15,'Paso 3 Redacción RA'!C$3:C$15,,0,1)</f>
        <v>Saber</v>
      </c>
      <c r="B18" s="90" t="s">
        <v>89</v>
      </c>
      <c r="C18" s="153">
        <v>2</v>
      </c>
      <c r="D18" s="153" t="s">
        <v>279</v>
      </c>
      <c r="E18" s="161" t="s">
        <v>280</v>
      </c>
      <c r="F18" s="153" t="s">
        <v>241</v>
      </c>
      <c r="G18" s="153"/>
      <c r="H18" s="153" t="s">
        <v>242</v>
      </c>
      <c r="I18" s="153"/>
      <c r="J18" s="153">
        <v>3</v>
      </c>
      <c r="K18" s="153">
        <f>16*J18</f>
        <v>48</v>
      </c>
      <c r="L18" s="153">
        <f>32*J18</f>
        <v>96</v>
      </c>
      <c r="M18" s="153">
        <f>SUM(K18:L18)</f>
        <v>144</v>
      </c>
      <c r="N18" s="166" t="s">
        <v>281</v>
      </c>
      <c r="O18" s="166" t="s">
        <v>282</v>
      </c>
      <c r="P18" s="161" t="s">
        <v>283</v>
      </c>
      <c r="Q18" s="166" t="s">
        <v>246</v>
      </c>
      <c r="S18" s="103"/>
    </row>
    <row r="19" spans="1:19" ht="42.75">
      <c r="A19" s="88" t="str">
        <f>_xlfn.XLOOKUP(B19,'Paso 3 Redacción RA'!I$3:I$15,'Paso 3 Redacción RA'!C$3:C$15,,0,1)</f>
        <v>SaberHacer</v>
      </c>
      <c r="B19" s="69" t="s">
        <v>92</v>
      </c>
      <c r="C19" s="141"/>
      <c r="D19" s="141"/>
      <c r="E19" s="156"/>
      <c r="F19" s="141"/>
      <c r="G19" s="141"/>
      <c r="H19" s="141"/>
      <c r="I19" s="141"/>
      <c r="J19" s="141"/>
      <c r="K19" s="141"/>
      <c r="L19" s="141"/>
      <c r="M19" s="141"/>
      <c r="N19" s="139"/>
      <c r="O19" s="139"/>
      <c r="P19" s="156"/>
      <c r="Q19" s="139"/>
      <c r="S19" s="103"/>
    </row>
    <row r="20" spans="1:19" ht="28.5" thickBot="1">
      <c r="A20" s="89" t="str">
        <f>_xlfn.XLOOKUP(B20,'Paso 3 Redacción RA'!I$3:I$15,'Paso 3 Redacción RA'!C$3:C$15,,0,1)</f>
        <v>SaberSer</v>
      </c>
      <c r="B20" s="85" t="s">
        <v>96</v>
      </c>
      <c r="C20" s="154"/>
      <c r="D20" s="154"/>
      <c r="E20" s="157"/>
      <c r="F20" s="154"/>
      <c r="G20" s="154"/>
      <c r="H20" s="154"/>
      <c r="I20" s="154"/>
      <c r="J20" s="154"/>
      <c r="K20" s="154"/>
      <c r="L20" s="154"/>
      <c r="M20" s="154"/>
      <c r="N20" s="167"/>
      <c r="O20" s="167"/>
      <c r="P20" s="157"/>
      <c r="Q20" s="167"/>
      <c r="S20" s="103"/>
    </row>
    <row r="21" spans="1:19" s="88" customFormat="1" ht="42.75">
      <c r="A21" s="102" t="str">
        <f>_xlfn.XLOOKUP(B21,'Paso 3 Redacción RA'!I$3:I$15,'Paso 3 Redacción RA'!C$3:C$15,,0,1)</f>
        <v>Saber</v>
      </c>
      <c r="B21" s="90" t="s">
        <v>89</v>
      </c>
      <c r="C21" s="153">
        <v>2</v>
      </c>
      <c r="D21" s="153" t="s">
        <v>284</v>
      </c>
      <c r="E21" s="161" t="s">
        <v>285</v>
      </c>
      <c r="F21" s="153" t="s">
        <v>241</v>
      </c>
      <c r="G21" s="153"/>
      <c r="H21" s="153" t="s">
        <v>242</v>
      </c>
      <c r="I21" s="153"/>
      <c r="J21" s="153">
        <v>3</v>
      </c>
      <c r="K21" s="153">
        <f>16*J21</f>
        <v>48</v>
      </c>
      <c r="L21" s="153">
        <f>32*J21</f>
        <v>96</v>
      </c>
      <c r="M21" s="153">
        <f>SUM(K21:L21)</f>
        <v>144</v>
      </c>
      <c r="N21" s="166" t="s">
        <v>286</v>
      </c>
      <c r="O21" s="166" t="s">
        <v>287</v>
      </c>
      <c r="P21" s="161" t="s">
        <v>288</v>
      </c>
      <c r="Q21" s="166" t="s">
        <v>246</v>
      </c>
      <c r="R21" s="5"/>
      <c r="S21" s="103"/>
    </row>
    <row r="22" spans="1:19" s="88" customFormat="1" ht="42.75">
      <c r="A22" s="88" t="str">
        <f>_xlfn.XLOOKUP(B22,'Paso 3 Redacción RA'!I$3:I$15,'Paso 3 Redacción RA'!C$3:C$15,,0,1)</f>
        <v>Saber</v>
      </c>
      <c r="B22" s="69" t="s">
        <v>97</v>
      </c>
      <c r="C22" s="141"/>
      <c r="D22" s="141"/>
      <c r="E22" s="156"/>
      <c r="F22" s="141"/>
      <c r="G22" s="141"/>
      <c r="H22" s="141"/>
      <c r="I22" s="141"/>
      <c r="J22" s="141"/>
      <c r="K22" s="141"/>
      <c r="L22" s="141"/>
      <c r="M22" s="141"/>
      <c r="N22" s="139"/>
      <c r="O22" s="139"/>
      <c r="P22" s="156"/>
      <c r="Q22" s="139"/>
      <c r="R22" s="5"/>
      <c r="S22" s="103"/>
    </row>
    <row r="23" spans="1:19" s="88" customFormat="1" ht="28.5" thickBot="1">
      <c r="A23" s="89" t="str">
        <f>_xlfn.XLOOKUP(B23,'Paso 3 Redacción RA'!I$3:I$15,'Paso 3 Redacción RA'!C$3:C$15,,0,1)</f>
        <v>SaberSer</v>
      </c>
      <c r="B23" s="85" t="s">
        <v>96</v>
      </c>
      <c r="C23" s="154"/>
      <c r="D23" s="154"/>
      <c r="E23" s="157"/>
      <c r="F23" s="154"/>
      <c r="G23" s="154"/>
      <c r="H23" s="154"/>
      <c r="I23" s="154"/>
      <c r="J23" s="154"/>
      <c r="K23" s="154"/>
      <c r="L23" s="154"/>
      <c r="M23" s="154"/>
      <c r="N23" s="167"/>
      <c r="O23" s="167"/>
      <c r="P23" s="157"/>
      <c r="Q23" s="167"/>
      <c r="R23" s="5"/>
      <c r="S23" s="103"/>
    </row>
    <row r="24" spans="1:19" s="88" customFormat="1" ht="42.75">
      <c r="A24" s="102" t="str">
        <f>_xlfn.XLOOKUP(B24,'Paso 3 Redacción RA'!I$3:I$15,'Paso 3 Redacción RA'!C$3:C$15,,0,1)</f>
        <v>Saber</v>
      </c>
      <c r="B24" s="90" t="s">
        <v>97</v>
      </c>
      <c r="C24" s="153">
        <v>2</v>
      </c>
      <c r="D24" s="153" t="s">
        <v>289</v>
      </c>
      <c r="E24" s="161" t="s">
        <v>290</v>
      </c>
      <c r="F24" s="153" t="s">
        <v>241</v>
      </c>
      <c r="G24" s="153"/>
      <c r="H24" s="153" t="s">
        <v>242</v>
      </c>
      <c r="I24" s="153"/>
      <c r="J24" s="153">
        <v>3</v>
      </c>
      <c r="K24" s="153">
        <f>16*J24</f>
        <v>48</v>
      </c>
      <c r="L24" s="153">
        <f>32*J24</f>
        <v>96</v>
      </c>
      <c r="M24" s="153">
        <f>SUM(K24:L24)</f>
        <v>144</v>
      </c>
      <c r="N24" s="166" t="s">
        <v>291</v>
      </c>
      <c r="O24" s="166" t="s">
        <v>292</v>
      </c>
      <c r="P24" s="161" t="s">
        <v>293</v>
      </c>
      <c r="Q24" s="166" t="s">
        <v>246</v>
      </c>
      <c r="R24" s="5"/>
      <c r="S24" s="103"/>
    </row>
    <row r="25" spans="1:19" s="88" customFormat="1" ht="42.75">
      <c r="A25" s="88" t="str">
        <f>_xlfn.XLOOKUP(B25,'Paso 3 Redacción RA'!I$3:I$15,'Paso 3 Redacción RA'!C$3:C$15,,0,1)</f>
        <v>SaberHacer</v>
      </c>
      <c r="B25" s="69" t="s">
        <v>98</v>
      </c>
      <c r="C25" s="141"/>
      <c r="D25" s="141"/>
      <c r="E25" s="156"/>
      <c r="F25" s="141"/>
      <c r="G25" s="141"/>
      <c r="H25" s="141"/>
      <c r="I25" s="141"/>
      <c r="J25" s="141"/>
      <c r="K25" s="141"/>
      <c r="L25" s="141"/>
      <c r="M25" s="141"/>
      <c r="N25" s="139"/>
      <c r="O25" s="139"/>
      <c r="P25" s="156"/>
      <c r="Q25" s="139"/>
      <c r="R25" s="5"/>
      <c r="S25" s="103"/>
    </row>
    <row r="26" spans="1:19" s="88" customFormat="1" ht="28.5" thickBot="1">
      <c r="A26" s="89" t="str">
        <f>_xlfn.XLOOKUP(B26,'Paso 3 Redacción RA'!I$3:I$15,'Paso 3 Redacción RA'!C$3:C$15,,0,1)</f>
        <v>SaberSer</v>
      </c>
      <c r="B26" s="85" t="s">
        <v>96</v>
      </c>
      <c r="C26" s="154"/>
      <c r="D26" s="154"/>
      <c r="E26" s="156"/>
      <c r="F26" s="141"/>
      <c r="G26" s="141"/>
      <c r="H26" s="141"/>
      <c r="I26" s="141"/>
      <c r="J26" s="141"/>
      <c r="K26" s="141"/>
      <c r="L26" s="141"/>
      <c r="M26" s="154"/>
      <c r="N26" s="139"/>
      <c r="O26" s="139"/>
      <c r="P26" s="157"/>
      <c r="Q26" s="139"/>
      <c r="R26" s="5"/>
      <c r="S26" s="103"/>
    </row>
    <row r="27" spans="1:19" s="88" customFormat="1" ht="42.75">
      <c r="A27" s="102" t="str">
        <f>_xlfn.XLOOKUP(B27,'Paso 3 Redacción RA'!I$3:I$15,'Paso 3 Redacción RA'!C$3:C$15,,0,1)</f>
        <v>Saber</v>
      </c>
      <c r="B27" s="69" t="s">
        <v>89</v>
      </c>
      <c r="C27" s="153">
        <v>2</v>
      </c>
      <c r="D27" s="153" t="s">
        <v>294</v>
      </c>
      <c r="E27" s="161" t="s">
        <v>295</v>
      </c>
      <c r="F27" s="153" t="s">
        <v>254</v>
      </c>
      <c r="G27" s="153"/>
      <c r="H27" s="153" t="s">
        <v>242</v>
      </c>
      <c r="I27" s="153"/>
      <c r="J27" s="153">
        <v>3</v>
      </c>
      <c r="K27" s="153">
        <f>16*J27</f>
        <v>48</v>
      </c>
      <c r="L27" s="153">
        <f>32*J27</f>
        <v>96</v>
      </c>
      <c r="M27" s="153">
        <f>SUM(K27:L27)</f>
        <v>144</v>
      </c>
      <c r="N27" s="166" t="s">
        <v>296</v>
      </c>
      <c r="O27" s="166" t="s">
        <v>297</v>
      </c>
      <c r="P27" s="161" t="s">
        <v>298</v>
      </c>
      <c r="Q27" s="166" t="s">
        <v>246</v>
      </c>
      <c r="R27" s="5"/>
      <c r="S27" s="103"/>
    </row>
    <row r="28" spans="1:19" s="88" customFormat="1" ht="42.75">
      <c r="A28" s="88" t="str">
        <f>_xlfn.XLOOKUP(B28,'Paso 3 Redacción RA'!I$3:I$15,'Paso 3 Redacción RA'!C$3:C$15,,0,1)</f>
        <v>SaberHacer</v>
      </c>
      <c r="B28" s="69" t="s">
        <v>92</v>
      </c>
      <c r="C28" s="141"/>
      <c r="D28" s="141"/>
      <c r="E28" s="156"/>
      <c r="F28" s="141"/>
      <c r="G28" s="141"/>
      <c r="H28" s="141"/>
      <c r="I28" s="141"/>
      <c r="J28" s="141"/>
      <c r="K28" s="141"/>
      <c r="L28" s="141"/>
      <c r="M28" s="141"/>
      <c r="N28" s="139"/>
      <c r="O28" s="139"/>
      <c r="P28" s="156"/>
      <c r="Q28" s="139"/>
      <c r="R28" s="5"/>
      <c r="S28" s="103"/>
    </row>
    <row r="29" spans="1:19" s="88" customFormat="1" ht="28.5" thickBot="1">
      <c r="A29" s="89" t="str">
        <f>_xlfn.XLOOKUP(B29,'Paso 3 Redacción RA'!I$3:I$15,'Paso 3 Redacción RA'!C$3:C$15,,0,1)</f>
        <v>SaberSer</v>
      </c>
      <c r="B29" s="85" t="s">
        <v>96</v>
      </c>
      <c r="C29" s="154"/>
      <c r="D29" s="154"/>
      <c r="E29" s="156"/>
      <c r="F29" s="141"/>
      <c r="G29" s="141"/>
      <c r="H29" s="141"/>
      <c r="I29" s="141"/>
      <c r="J29" s="141"/>
      <c r="K29" s="141"/>
      <c r="L29" s="141"/>
      <c r="M29" s="154"/>
      <c r="N29" s="139"/>
      <c r="O29" s="139"/>
      <c r="P29" s="157"/>
      <c r="Q29" s="139"/>
      <c r="R29" s="5"/>
      <c r="S29" s="103"/>
    </row>
    <row r="30" spans="1:19" s="88" customFormat="1" ht="42.75">
      <c r="A30" s="102" t="str">
        <f>_xlfn.XLOOKUP(B30,'Paso 3 Redacción RA'!I$3:I$15,'Paso 3 Redacción RA'!C$3:C$15,,0,1)</f>
        <v>Saber</v>
      </c>
      <c r="B30" s="90" t="s">
        <v>89</v>
      </c>
      <c r="C30" s="153">
        <v>2</v>
      </c>
      <c r="D30" s="153" t="s">
        <v>299</v>
      </c>
      <c r="E30" s="161" t="s">
        <v>300</v>
      </c>
      <c r="F30" s="153" t="s">
        <v>241</v>
      </c>
      <c r="G30" s="153"/>
      <c r="H30" s="153" t="s">
        <v>242</v>
      </c>
      <c r="I30" s="153"/>
      <c r="J30" s="153">
        <v>3</v>
      </c>
      <c r="K30" s="153">
        <f>16*J30</f>
        <v>48</v>
      </c>
      <c r="L30" s="153">
        <f>32*J30</f>
        <v>96</v>
      </c>
      <c r="M30" s="153">
        <f>SUM(K30:L30)</f>
        <v>144</v>
      </c>
      <c r="N30" s="166" t="s">
        <v>301</v>
      </c>
      <c r="O30" s="166" t="s">
        <v>302</v>
      </c>
      <c r="P30" s="156" t="s">
        <v>303</v>
      </c>
      <c r="Q30" s="166" t="s">
        <v>246</v>
      </c>
      <c r="R30" s="5"/>
      <c r="S30" s="103"/>
    </row>
    <row r="31" spans="1:19" s="88" customFormat="1" ht="42.75">
      <c r="A31" s="88" t="str">
        <f>_xlfn.XLOOKUP(B31,'Paso 3 Redacción RA'!I$3:I$15,'Paso 3 Redacción RA'!C$3:C$15,,0,1)</f>
        <v>Saber</v>
      </c>
      <c r="B31" s="69" t="s">
        <v>97</v>
      </c>
      <c r="C31" s="141"/>
      <c r="D31" s="141"/>
      <c r="E31" s="156"/>
      <c r="F31" s="141"/>
      <c r="G31" s="141"/>
      <c r="H31" s="141"/>
      <c r="I31" s="141"/>
      <c r="J31" s="141"/>
      <c r="K31" s="141"/>
      <c r="L31" s="141"/>
      <c r="M31" s="141"/>
      <c r="N31" s="139"/>
      <c r="O31" s="139"/>
      <c r="P31" s="156"/>
      <c r="Q31" s="139"/>
      <c r="R31" s="5"/>
      <c r="S31" s="103"/>
    </row>
    <row r="32" spans="1:19" s="88" customFormat="1" ht="42.75" thickBot="1">
      <c r="A32" s="89" t="str">
        <f>_xlfn.XLOOKUP(B32,'Paso 3 Redacción RA'!I$3:I$15,'Paso 3 Redacción RA'!C$3:C$15,,0,1)</f>
        <v>SaberHacer</v>
      </c>
      <c r="B32" s="85" t="s">
        <v>92</v>
      </c>
      <c r="C32" s="154"/>
      <c r="D32" s="154"/>
      <c r="E32" s="156"/>
      <c r="F32" s="141"/>
      <c r="G32" s="141"/>
      <c r="H32" s="141"/>
      <c r="I32" s="141"/>
      <c r="J32" s="141"/>
      <c r="K32" s="141"/>
      <c r="L32" s="141"/>
      <c r="M32" s="154"/>
      <c r="N32" s="139"/>
      <c r="O32" s="139"/>
      <c r="P32" s="156"/>
      <c r="Q32" s="139"/>
      <c r="R32" s="5"/>
      <c r="S32" s="103"/>
    </row>
    <row r="33" spans="1:19" s="88" customFormat="1" ht="243" thickBot="1">
      <c r="A33" s="96" t="str">
        <f>_xlfn.XLOOKUP(B33,'Paso 3 Redacción RA'!I$3:I$15,'Paso 3 Redacción RA'!C$3:C$15,,0,1)</f>
        <v>Saber</v>
      </c>
      <c r="B33" s="96" t="s">
        <v>103</v>
      </c>
      <c r="C33" s="95">
        <v>3</v>
      </c>
      <c r="D33" s="95" t="s">
        <v>304</v>
      </c>
      <c r="E33" s="96" t="s">
        <v>305</v>
      </c>
      <c r="F33" s="94" t="s">
        <v>241</v>
      </c>
      <c r="G33" s="95" t="s">
        <v>242</v>
      </c>
      <c r="H33" s="95"/>
      <c r="I33" s="95"/>
      <c r="J33" s="94">
        <v>3</v>
      </c>
      <c r="K33" s="94">
        <f>16*J33</f>
        <v>48</v>
      </c>
      <c r="L33" s="94">
        <f>32*J33</f>
        <v>96</v>
      </c>
      <c r="M33" s="94">
        <f>SUM(K33:L33)</f>
        <v>144</v>
      </c>
      <c r="N33" s="93" t="s">
        <v>306</v>
      </c>
      <c r="O33" s="96" t="s">
        <v>307</v>
      </c>
      <c r="P33" s="96" t="s">
        <v>278</v>
      </c>
      <c r="Q33" s="93" t="s">
        <v>246</v>
      </c>
      <c r="R33" s="5"/>
      <c r="S33" s="103"/>
    </row>
    <row r="34" spans="1:19" s="88" customFormat="1" ht="314.25">
      <c r="A34" s="96" t="str">
        <f>_xlfn.XLOOKUP(B34,'Paso 3 Redacción RA'!I$3:I$15,'Paso 3 Redacción RA'!C$3:C$15,,0,1)</f>
        <v>Saber</v>
      </c>
      <c r="B34" s="96" t="s">
        <v>103</v>
      </c>
      <c r="C34" s="95">
        <v>3</v>
      </c>
      <c r="D34" s="95" t="s">
        <v>308</v>
      </c>
      <c r="E34" s="96" t="s">
        <v>309</v>
      </c>
      <c r="F34" s="94" t="s">
        <v>241</v>
      </c>
      <c r="G34" s="94" t="s">
        <v>242</v>
      </c>
      <c r="H34" s="94"/>
      <c r="I34" s="94"/>
      <c r="J34" s="97">
        <v>3</v>
      </c>
      <c r="K34" s="94">
        <f>16*J34</f>
        <v>48</v>
      </c>
      <c r="L34" s="94">
        <f>32*J34</f>
        <v>96</v>
      </c>
      <c r="M34" s="94">
        <f>SUM(K34:L34)</f>
        <v>144</v>
      </c>
      <c r="N34" s="93" t="s">
        <v>310</v>
      </c>
      <c r="O34" s="93" t="s">
        <v>311</v>
      </c>
      <c r="P34" s="93" t="s">
        <v>312</v>
      </c>
      <c r="Q34" s="93" t="s">
        <v>246</v>
      </c>
      <c r="R34" s="5"/>
      <c r="S34" s="103"/>
    </row>
    <row r="35" spans="1:19" s="88" customFormat="1" ht="42.75">
      <c r="A35" s="102" t="str">
        <f>_xlfn.XLOOKUP(B35,'Paso 3 Redacción RA'!I$3:I$15,'Paso 3 Redacción RA'!C$3:C$15,,0,1)</f>
        <v>SaberHacer</v>
      </c>
      <c r="B35" s="90" t="s">
        <v>92</v>
      </c>
      <c r="C35" s="153">
        <v>3</v>
      </c>
      <c r="D35" s="153" t="s">
        <v>313</v>
      </c>
      <c r="E35" s="161" t="s">
        <v>314</v>
      </c>
      <c r="F35" s="153" t="s">
        <v>241</v>
      </c>
      <c r="G35" s="153"/>
      <c r="H35" s="153" t="s">
        <v>242</v>
      </c>
      <c r="I35" s="153"/>
      <c r="J35" s="153">
        <v>3</v>
      </c>
      <c r="K35" s="153">
        <f>16*J35</f>
        <v>48</v>
      </c>
      <c r="L35" s="153">
        <f>32*J35</f>
        <v>96</v>
      </c>
      <c r="M35" s="153">
        <f>SUM(K35:L35)</f>
        <v>144</v>
      </c>
      <c r="N35" s="166" t="s">
        <v>315</v>
      </c>
      <c r="O35" s="166" t="s">
        <v>316</v>
      </c>
      <c r="P35" s="166" t="s">
        <v>317</v>
      </c>
      <c r="Q35" s="166" t="s">
        <v>246</v>
      </c>
      <c r="R35" s="5"/>
      <c r="S35" s="103"/>
    </row>
    <row r="36" spans="1:19" s="88" customFormat="1" ht="42.75">
      <c r="A36" s="88" t="str">
        <f>_xlfn.XLOOKUP(B36,'Paso 3 Redacción RA'!I$3:I$15,'Paso 3 Redacción RA'!C$3:C$15,,0,1)</f>
        <v>SaberHacer</v>
      </c>
      <c r="B36" s="69" t="s">
        <v>98</v>
      </c>
      <c r="C36" s="141"/>
      <c r="D36" s="141"/>
      <c r="E36" s="156"/>
      <c r="F36" s="141"/>
      <c r="G36" s="141"/>
      <c r="H36" s="141"/>
      <c r="I36" s="141"/>
      <c r="J36" s="141"/>
      <c r="K36" s="141"/>
      <c r="L36" s="141"/>
      <c r="M36" s="141"/>
      <c r="N36" s="139"/>
      <c r="O36" s="139"/>
      <c r="P36" s="139"/>
      <c r="Q36" s="139"/>
      <c r="R36" s="5"/>
      <c r="S36" s="103"/>
    </row>
    <row r="37" spans="1:19" s="88" customFormat="1" ht="28.5" thickBot="1">
      <c r="A37" s="89" t="str">
        <f>_xlfn.XLOOKUP(B37,'Paso 3 Redacción RA'!I$3:I$15,'Paso 3 Redacción RA'!C$3:C$15,,0,1)</f>
        <v>SaberSer</v>
      </c>
      <c r="B37" s="85" t="s">
        <v>96</v>
      </c>
      <c r="C37" s="154"/>
      <c r="D37" s="154"/>
      <c r="E37" s="157"/>
      <c r="F37" s="154"/>
      <c r="G37" s="154"/>
      <c r="H37" s="154"/>
      <c r="I37" s="154"/>
      <c r="J37" s="154"/>
      <c r="K37" s="154"/>
      <c r="L37" s="154"/>
      <c r="M37" s="154"/>
      <c r="N37" s="167"/>
      <c r="O37" s="167"/>
      <c r="P37" s="167"/>
      <c r="Q37" s="167"/>
      <c r="R37" s="5"/>
      <c r="S37" s="103"/>
    </row>
    <row r="38" spans="1:19" s="88" customFormat="1" ht="42.75">
      <c r="A38" s="102" t="str">
        <f>_xlfn.XLOOKUP(B38,'Paso 3 Redacción RA'!I$3:I$15,'Paso 3 Redacción RA'!C$3:C$15,,0,1)</f>
        <v>SaberHacer</v>
      </c>
      <c r="B38" s="90" t="s">
        <v>92</v>
      </c>
      <c r="C38" s="153">
        <v>3</v>
      </c>
      <c r="D38" s="153" t="s">
        <v>318</v>
      </c>
      <c r="E38" s="161" t="s">
        <v>319</v>
      </c>
      <c r="F38" s="153" t="s">
        <v>241</v>
      </c>
      <c r="G38" s="153"/>
      <c r="H38" s="153" t="s">
        <v>242</v>
      </c>
      <c r="I38" s="153"/>
      <c r="J38" s="153">
        <v>3</v>
      </c>
      <c r="K38" s="153">
        <f>16*J38</f>
        <v>48</v>
      </c>
      <c r="L38" s="153">
        <f>32*J38</f>
        <v>96</v>
      </c>
      <c r="M38" s="153">
        <v>192</v>
      </c>
      <c r="N38" s="166" t="s">
        <v>320</v>
      </c>
      <c r="O38" s="166" t="s">
        <v>321</v>
      </c>
      <c r="P38" s="166" t="s">
        <v>257</v>
      </c>
      <c r="Q38" s="166" t="s">
        <v>246</v>
      </c>
      <c r="R38" s="5"/>
      <c r="S38" s="103"/>
    </row>
    <row r="39" spans="1:19" s="88" customFormat="1" ht="42.75">
      <c r="A39" s="88" t="str">
        <f>_xlfn.XLOOKUP(B39,'Paso 3 Redacción RA'!I$3:I$15,'Paso 3 Redacción RA'!C$3:C$15,,0,1)</f>
        <v>SaberHacer</v>
      </c>
      <c r="B39" s="69" t="s">
        <v>98</v>
      </c>
      <c r="C39" s="141"/>
      <c r="D39" s="141"/>
      <c r="E39" s="156"/>
      <c r="F39" s="141"/>
      <c r="G39" s="141"/>
      <c r="H39" s="141"/>
      <c r="I39" s="141"/>
      <c r="J39" s="141"/>
      <c r="K39" s="141"/>
      <c r="L39" s="141"/>
      <c r="M39" s="141"/>
      <c r="N39" s="139"/>
      <c r="O39" s="139"/>
      <c r="P39" s="139"/>
      <c r="Q39" s="139"/>
      <c r="R39" s="5"/>
      <c r="S39" s="103"/>
    </row>
    <row r="40" spans="1:19" s="88" customFormat="1" ht="28.5" thickBot="1">
      <c r="A40" s="89" t="str">
        <f>_xlfn.XLOOKUP(B40,'Paso 3 Redacción RA'!I$3:I$15,'Paso 3 Redacción RA'!C$3:C$15,,0,1)</f>
        <v>SaberSer</v>
      </c>
      <c r="B40" s="85" t="s">
        <v>96</v>
      </c>
      <c r="C40" s="154"/>
      <c r="D40" s="154"/>
      <c r="E40" s="156"/>
      <c r="F40" s="141"/>
      <c r="G40" s="141"/>
      <c r="H40" s="141"/>
      <c r="I40" s="141"/>
      <c r="J40" s="141"/>
      <c r="K40" s="141"/>
      <c r="L40" s="141"/>
      <c r="M40" s="141"/>
      <c r="N40" s="139"/>
      <c r="O40" s="139"/>
      <c r="P40" s="139"/>
      <c r="Q40" s="139"/>
      <c r="R40" s="5"/>
      <c r="S40" s="103"/>
    </row>
    <row r="41" spans="1:19" s="88" customFormat="1" ht="42.75">
      <c r="A41" s="102" t="str">
        <f>_xlfn.XLOOKUP(B41,'Paso 3 Redacción RA'!I$3:I$15,'Paso 3 Redacción RA'!C$3:C$15,,0,1)</f>
        <v>Saber</v>
      </c>
      <c r="B41" s="90" t="s">
        <v>89</v>
      </c>
      <c r="C41" s="153">
        <v>3</v>
      </c>
      <c r="D41" s="153" t="s">
        <v>322</v>
      </c>
      <c r="E41" s="161" t="s">
        <v>323</v>
      </c>
      <c r="F41" s="153" t="s">
        <v>241</v>
      </c>
      <c r="G41" s="153"/>
      <c r="H41" s="153" t="s">
        <v>242</v>
      </c>
      <c r="I41" s="153"/>
      <c r="J41" s="153">
        <v>3</v>
      </c>
      <c r="K41" s="153">
        <f>16*J41</f>
        <v>48</v>
      </c>
      <c r="L41" s="153">
        <f>32*J41</f>
        <v>96</v>
      </c>
      <c r="M41" s="153">
        <v>192</v>
      </c>
      <c r="N41" s="166" t="s">
        <v>324</v>
      </c>
      <c r="O41" s="166" t="s">
        <v>325</v>
      </c>
      <c r="P41" s="166" t="s">
        <v>326</v>
      </c>
      <c r="Q41" s="166" t="s">
        <v>246</v>
      </c>
      <c r="R41" s="5"/>
      <c r="S41" s="103"/>
    </row>
    <row r="42" spans="1:19" s="88" customFormat="1" ht="42.75">
      <c r="A42" s="88" t="str">
        <f>_xlfn.XLOOKUP(B42,'Paso 3 Redacción RA'!I$3:I$15,'Paso 3 Redacción RA'!C$3:C$15,,0,1)</f>
        <v>SaberHacer</v>
      </c>
      <c r="B42" s="69" t="s">
        <v>92</v>
      </c>
      <c r="C42" s="141"/>
      <c r="D42" s="141"/>
      <c r="E42" s="156"/>
      <c r="F42" s="141"/>
      <c r="G42" s="141"/>
      <c r="H42" s="141"/>
      <c r="I42" s="141"/>
      <c r="J42" s="141"/>
      <c r="K42" s="141"/>
      <c r="L42" s="141"/>
      <c r="M42" s="141"/>
      <c r="N42" s="139"/>
      <c r="O42" s="139"/>
      <c r="P42" s="139"/>
      <c r="Q42" s="139"/>
      <c r="R42" s="5"/>
      <c r="S42" s="103"/>
    </row>
    <row r="43" spans="1:19" s="88" customFormat="1" ht="42.75" thickBot="1">
      <c r="A43" s="89" t="str">
        <f>_xlfn.XLOOKUP(B43,'Paso 3 Redacción RA'!I$3:I$15,'Paso 3 Redacción RA'!C$3:C$15,,0,1)</f>
        <v>SaberHacer</v>
      </c>
      <c r="B43" s="85" t="s">
        <v>98</v>
      </c>
      <c r="C43" s="154"/>
      <c r="D43" s="154"/>
      <c r="E43" s="156"/>
      <c r="F43" s="141"/>
      <c r="G43" s="141"/>
      <c r="H43" s="141"/>
      <c r="I43" s="141"/>
      <c r="J43" s="141"/>
      <c r="K43" s="141"/>
      <c r="L43" s="141"/>
      <c r="M43" s="141"/>
      <c r="N43" s="139"/>
      <c r="O43" s="139"/>
      <c r="P43" s="139"/>
      <c r="Q43" s="139"/>
      <c r="R43" s="5"/>
      <c r="S43" s="103"/>
    </row>
    <row r="44" spans="1:19" s="88" customFormat="1" ht="42.75">
      <c r="A44" s="102" t="str">
        <f>_xlfn.XLOOKUP(B44,'Paso 3 Redacción RA'!I$3:I$15,'Paso 3 Redacción RA'!C$3:C$15,,0,1)</f>
        <v>SaberHacer</v>
      </c>
      <c r="B44" s="90" t="s">
        <v>92</v>
      </c>
      <c r="C44" s="153">
        <v>3</v>
      </c>
      <c r="D44" s="153" t="s">
        <v>327</v>
      </c>
      <c r="E44" s="161" t="s">
        <v>328</v>
      </c>
      <c r="F44" s="153" t="s">
        <v>241</v>
      </c>
      <c r="G44" s="153"/>
      <c r="H44" s="153" t="s">
        <v>242</v>
      </c>
      <c r="I44" s="153"/>
      <c r="J44" s="153">
        <v>3</v>
      </c>
      <c r="K44" s="153">
        <f>16*J44</f>
        <v>48</v>
      </c>
      <c r="L44" s="153">
        <f>32*J44</f>
        <v>96</v>
      </c>
      <c r="M44" s="153">
        <v>192</v>
      </c>
      <c r="N44" s="166" t="s">
        <v>329</v>
      </c>
      <c r="O44" s="166" t="s">
        <v>330</v>
      </c>
      <c r="P44" s="166" t="s">
        <v>331</v>
      </c>
      <c r="Q44" s="166" t="s">
        <v>246</v>
      </c>
      <c r="R44" s="5"/>
      <c r="S44" s="103"/>
    </row>
    <row r="45" spans="1:19" s="88" customFormat="1" ht="42.75">
      <c r="A45" s="88" t="str">
        <f>_xlfn.XLOOKUP(B45,'Paso 3 Redacción RA'!I$3:I$15,'Paso 3 Redacción RA'!C$3:C$15,,0,1)</f>
        <v>SaberHacer</v>
      </c>
      <c r="B45" s="69" t="s">
        <v>98</v>
      </c>
      <c r="C45" s="141"/>
      <c r="D45" s="141"/>
      <c r="E45" s="156"/>
      <c r="F45" s="141"/>
      <c r="G45" s="141"/>
      <c r="H45" s="141"/>
      <c r="I45" s="141"/>
      <c r="J45" s="141"/>
      <c r="K45" s="141"/>
      <c r="L45" s="141"/>
      <c r="M45" s="141"/>
      <c r="N45" s="139"/>
      <c r="O45" s="139"/>
      <c r="P45" s="139"/>
      <c r="Q45" s="139"/>
      <c r="R45" s="5"/>
      <c r="S45" s="103"/>
    </row>
    <row r="46" spans="1:19" s="88" customFormat="1" ht="28.5" thickBot="1">
      <c r="A46" s="89" t="str">
        <f>_xlfn.XLOOKUP(B46,'Paso 3 Redacción RA'!I$3:I$15,'Paso 3 Redacción RA'!C$3:C$15,,0,1)</f>
        <v>SaberSer</v>
      </c>
      <c r="B46" s="85" t="s">
        <v>96</v>
      </c>
      <c r="C46" s="154"/>
      <c r="D46" s="154"/>
      <c r="E46" s="156"/>
      <c r="F46" s="141"/>
      <c r="G46" s="141"/>
      <c r="H46" s="141"/>
      <c r="I46" s="141"/>
      <c r="J46" s="141"/>
      <c r="K46" s="141"/>
      <c r="L46" s="141"/>
      <c r="M46" s="141"/>
      <c r="N46" s="139"/>
      <c r="O46" s="139"/>
      <c r="P46" s="139"/>
      <c r="Q46" s="139"/>
      <c r="R46" s="5"/>
      <c r="S46" s="103"/>
    </row>
    <row r="47" spans="1:19" s="88" customFormat="1" ht="243" thickBot="1">
      <c r="A47" s="96" t="str">
        <f>_xlfn.XLOOKUP(B47,'Paso 3 Redacción RA'!I$3:I$15,'Paso 3 Redacción RA'!C$3:C$15,,0,1)</f>
        <v>Saber</v>
      </c>
      <c r="B47" s="96" t="s">
        <v>103</v>
      </c>
      <c r="C47" s="95">
        <v>4</v>
      </c>
      <c r="D47" s="95" t="s">
        <v>332</v>
      </c>
      <c r="E47" s="96" t="s">
        <v>333</v>
      </c>
      <c r="F47" s="94" t="s">
        <v>241</v>
      </c>
      <c r="G47" s="95" t="s">
        <v>242</v>
      </c>
      <c r="H47" s="95" t="s">
        <v>334</v>
      </c>
      <c r="I47" s="95"/>
      <c r="J47" s="95">
        <v>3</v>
      </c>
      <c r="K47" s="94">
        <f>16*J47</f>
        <v>48</v>
      </c>
      <c r="L47" s="94">
        <f>32*J47</f>
        <v>96</v>
      </c>
      <c r="M47" s="94">
        <f>SUM(K47:L47)</f>
        <v>144</v>
      </c>
      <c r="N47" s="96" t="s">
        <v>335</v>
      </c>
      <c r="O47" s="96" t="s">
        <v>307</v>
      </c>
      <c r="P47" s="96" t="s">
        <v>278</v>
      </c>
      <c r="Q47" s="93" t="s">
        <v>246</v>
      </c>
      <c r="R47" s="5"/>
      <c r="S47" s="103"/>
    </row>
    <row r="48" spans="1:19" s="88" customFormat="1" ht="42.75">
      <c r="A48" s="102" t="str">
        <f>_xlfn.XLOOKUP(B48,'Paso 3 Redacción RA'!I$3:I$15,'Paso 3 Redacción RA'!C$3:C$15,,0,1)</f>
        <v>SaberHacer</v>
      </c>
      <c r="B48" s="90" t="s">
        <v>92</v>
      </c>
      <c r="C48" s="153">
        <v>4</v>
      </c>
      <c r="D48" s="153" t="s">
        <v>336</v>
      </c>
      <c r="E48" s="161" t="s">
        <v>337</v>
      </c>
      <c r="F48" s="153" t="s">
        <v>241</v>
      </c>
      <c r="G48" s="153"/>
      <c r="H48" s="153" t="s">
        <v>242</v>
      </c>
      <c r="I48" s="153"/>
      <c r="J48" s="153">
        <v>3</v>
      </c>
      <c r="K48" s="153">
        <f>16*J48</f>
        <v>48</v>
      </c>
      <c r="L48" s="153">
        <f>32*J48</f>
        <v>96</v>
      </c>
      <c r="M48" s="153">
        <f>SUM(K48:L48)</f>
        <v>144</v>
      </c>
      <c r="N48" s="166" t="s">
        <v>338</v>
      </c>
      <c r="O48" s="166" t="s">
        <v>321</v>
      </c>
      <c r="P48" s="166" t="s">
        <v>339</v>
      </c>
      <c r="Q48" s="166" t="s">
        <v>246</v>
      </c>
      <c r="R48" s="5"/>
      <c r="S48" s="103"/>
    </row>
    <row r="49" spans="1:19" s="88" customFormat="1" ht="42.75">
      <c r="A49" s="88" t="str">
        <f>_xlfn.XLOOKUP(B49,'Paso 3 Redacción RA'!I$3:I$15,'Paso 3 Redacción RA'!C$3:C$15,,0,1)</f>
        <v>SaberHacer</v>
      </c>
      <c r="B49" s="69" t="s">
        <v>98</v>
      </c>
      <c r="C49" s="141"/>
      <c r="D49" s="141"/>
      <c r="E49" s="156"/>
      <c r="F49" s="141"/>
      <c r="G49" s="141"/>
      <c r="H49" s="141"/>
      <c r="I49" s="141"/>
      <c r="J49" s="141"/>
      <c r="K49" s="141"/>
      <c r="L49" s="141"/>
      <c r="M49" s="141"/>
      <c r="N49" s="139"/>
      <c r="O49" s="139"/>
      <c r="P49" s="139"/>
      <c r="Q49" s="139"/>
      <c r="R49" s="5"/>
      <c r="S49" s="103"/>
    </row>
    <row r="50" spans="1:19" s="88" customFormat="1" ht="28.5" thickBot="1">
      <c r="A50" s="89" t="str">
        <f>_xlfn.XLOOKUP(B50,'Paso 3 Redacción RA'!I$3:I$15,'Paso 3 Redacción RA'!C$3:C$15,,0,1)</f>
        <v>SaberSer</v>
      </c>
      <c r="B50" s="85" t="s">
        <v>96</v>
      </c>
      <c r="C50" s="154"/>
      <c r="D50" s="154"/>
      <c r="E50" s="157"/>
      <c r="F50" s="154"/>
      <c r="G50" s="154"/>
      <c r="H50" s="154"/>
      <c r="I50" s="154"/>
      <c r="J50" s="154"/>
      <c r="K50" s="154"/>
      <c r="L50" s="154"/>
      <c r="M50" s="154"/>
      <c r="N50" s="167"/>
      <c r="O50" s="167"/>
      <c r="P50" s="167"/>
      <c r="Q50" s="167"/>
      <c r="R50" s="5"/>
      <c r="S50" s="103"/>
    </row>
    <row r="51" spans="1:19" s="88" customFormat="1" ht="42.75">
      <c r="A51" s="102" t="str">
        <f>_xlfn.XLOOKUP(B51,'Paso 3 Redacción RA'!I$3:I$15,'Paso 3 Redacción RA'!C$3:C$15,,0,1)</f>
        <v>Saber</v>
      </c>
      <c r="B51" s="90" t="s">
        <v>89</v>
      </c>
      <c r="C51" s="153">
        <v>4</v>
      </c>
      <c r="D51" s="153" t="s">
        <v>340</v>
      </c>
      <c r="E51" s="161" t="s">
        <v>341</v>
      </c>
      <c r="F51" s="153" t="s">
        <v>241</v>
      </c>
      <c r="G51" s="153"/>
      <c r="H51" s="153" t="s">
        <v>242</v>
      </c>
      <c r="I51" s="153"/>
      <c r="J51" s="153">
        <v>3</v>
      </c>
      <c r="K51" s="153">
        <f>16*J51</f>
        <v>48</v>
      </c>
      <c r="L51" s="153">
        <f>32*J51</f>
        <v>96</v>
      </c>
      <c r="M51" s="153">
        <f>SUM(K51:L51)</f>
        <v>144</v>
      </c>
      <c r="N51" s="166" t="s">
        <v>342</v>
      </c>
      <c r="O51" s="166" t="s">
        <v>325</v>
      </c>
      <c r="P51" s="166" t="s">
        <v>343</v>
      </c>
      <c r="Q51" s="166" t="s">
        <v>246</v>
      </c>
      <c r="R51" s="5"/>
      <c r="S51" s="103"/>
    </row>
    <row r="52" spans="1:19" s="88" customFormat="1" ht="42.75">
      <c r="A52" s="88" t="str">
        <f>_xlfn.XLOOKUP(B52,'Paso 3 Redacción RA'!I$3:I$15,'Paso 3 Redacción RA'!C$3:C$15,,0,1)</f>
        <v>SaberHacer</v>
      </c>
      <c r="B52" s="69" t="s">
        <v>92</v>
      </c>
      <c r="C52" s="141"/>
      <c r="D52" s="141"/>
      <c r="E52" s="156"/>
      <c r="F52" s="141"/>
      <c r="G52" s="141"/>
      <c r="H52" s="141"/>
      <c r="I52" s="141"/>
      <c r="J52" s="141"/>
      <c r="K52" s="141"/>
      <c r="L52" s="141"/>
      <c r="M52" s="141"/>
      <c r="N52" s="139"/>
      <c r="O52" s="139"/>
      <c r="P52" s="139"/>
      <c r="Q52" s="139"/>
      <c r="R52" s="5"/>
      <c r="S52" s="103"/>
    </row>
    <row r="53" spans="1:19" s="88" customFormat="1" ht="28.5" thickBot="1">
      <c r="A53" s="89" t="str">
        <f>_xlfn.XLOOKUP(B53,'Paso 3 Redacción RA'!I$3:I$15,'Paso 3 Redacción RA'!C$3:C$15,,0,1)</f>
        <v>SaberSer</v>
      </c>
      <c r="B53" s="85" t="s">
        <v>96</v>
      </c>
      <c r="C53" s="154"/>
      <c r="D53" s="154"/>
      <c r="E53" s="157"/>
      <c r="F53" s="154"/>
      <c r="G53" s="154"/>
      <c r="H53" s="154"/>
      <c r="I53" s="154"/>
      <c r="J53" s="154"/>
      <c r="K53" s="154"/>
      <c r="L53" s="154"/>
      <c r="M53" s="154"/>
      <c r="N53" s="167"/>
      <c r="O53" s="167"/>
      <c r="P53" s="167"/>
      <c r="Q53" s="167"/>
      <c r="R53" s="5"/>
      <c r="S53" s="103"/>
    </row>
    <row r="54" spans="1:19" s="88" customFormat="1" ht="42.75">
      <c r="A54" s="102" t="str">
        <f>_xlfn.XLOOKUP(B54,'Paso 3 Redacción RA'!I$3:I$15,'Paso 3 Redacción RA'!C$3:C$15,,0,1)</f>
        <v>SaberHacer</v>
      </c>
      <c r="B54" s="90" t="s">
        <v>92</v>
      </c>
      <c r="C54" s="153">
        <v>4</v>
      </c>
      <c r="D54" s="153" t="s">
        <v>344</v>
      </c>
      <c r="E54" s="161" t="s">
        <v>345</v>
      </c>
      <c r="F54" s="153" t="s">
        <v>241</v>
      </c>
      <c r="G54" s="153"/>
      <c r="H54" s="153" t="s">
        <v>242</v>
      </c>
      <c r="I54" s="153"/>
      <c r="J54" s="153">
        <v>3</v>
      </c>
      <c r="K54" s="153">
        <f>16*J54</f>
        <v>48</v>
      </c>
      <c r="L54" s="153">
        <f>32*J54</f>
        <v>96</v>
      </c>
      <c r="M54" s="153">
        <f>SUM(K54:L54)</f>
        <v>144</v>
      </c>
      <c r="N54" s="166" t="s">
        <v>346</v>
      </c>
      <c r="O54" s="166" t="s">
        <v>347</v>
      </c>
      <c r="P54" s="166" t="s">
        <v>348</v>
      </c>
      <c r="Q54" s="166" t="s">
        <v>246</v>
      </c>
      <c r="R54" s="5"/>
      <c r="S54" s="103"/>
    </row>
    <row r="55" spans="1:19" s="88" customFormat="1" ht="42.75">
      <c r="A55" s="88" t="str">
        <f>_xlfn.XLOOKUP(B55,'Paso 3 Redacción RA'!I$3:I$15,'Paso 3 Redacción RA'!C$3:C$15,,0,1)</f>
        <v>SaberHacer</v>
      </c>
      <c r="B55" s="69" t="s">
        <v>98</v>
      </c>
      <c r="C55" s="141"/>
      <c r="D55" s="141"/>
      <c r="E55" s="156"/>
      <c r="F55" s="141"/>
      <c r="G55" s="141"/>
      <c r="H55" s="141"/>
      <c r="I55" s="141"/>
      <c r="J55" s="141"/>
      <c r="K55" s="141"/>
      <c r="L55" s="141"/>
      <c r="M55" s="141"/>
      <c r="N55" s="139"/>
      <c r="O55" s="139"/>
      <c r="P55" s="139"/>
      <c r="Q55" s="139"/>
      <c r="R55" s="5"/>
      <c r="S55" s="103"/>
    </row>
    <row r="56" spans="1:19" s="88" customFormat="1" ht="28.5" thickBot="1">
      <c r="A56" s="89" t="str">
        <f>_xlfn.XLOOKUP(B56,'Paso 3 Redacción RA'!I$3:I$15,'Paso 3 Redacción RA'!C$3:C$15,,0,1)</f>
        <v>SaberSer</v>
      </c>
      <c r="B56" s="85" t="s">
        <v>96</v>
      </c>
      <c r="C56" s="154"/>
      <c r="D56" s="154"/>
      <c r="E56" s="157"/>
      <c r="F56" s="154"/>
      <c r="G56" s="154"/>
      <c r="H56" s="154"/>
      <c r="I56" s="154"/>
      <c r="J56" s="154"/>
      <c r="K56" s="154"/>
      <c r="L56" s="154"/>
      <c r="M56" s="154"/>
      <c r="N56" s="167"/>
      <c r="O56" s="167"/>
      <c r="P56" s="167"/>
      <c r="Q56" s="167"/>
      <c r="R56" s="5"/>
      <c r="S56" s="103"/>
    </row>
    <row r="57" spans="1:19" s="88" customFormat="1" ht="42.75">
      <c r="A57" s="102" t="str">
        <f>_xlfn.XLOOKUP(B57,'Paso 3 Redacción RA'!I$3:I$15,'Paso 3 Redacción RA'!C$3:C$15,,0,1)</f>
        <v>Saber</v>
      </c>
      <c r="B57" s="90" t="s">
        <v>97</v>
      </c>
      <c r="C57" s="153">
        <v>4</v>
      </c>
      <c r="D57" s="153" t="s">
        <v>349</v>
      </c>
      <c r="E57" s="161" t="s">
        <v>350</v>
      </c>
      <c r="F57" s="153" t="s">
        <v>241</v>
      </c>
      <c r="G57" s="153"/>
      <c r="H57" s="153" t="s">
        <v>242</v>
      </c>
      <c r="I57" s="153"/>
      <c r="J57" s="153">
        <v>3</v>
      </c>
      <c r="K57" s="153">
        <f>16*J57</f>
        <v>48</v>
      </c>
      <c r="L57" s="153">
        <f>32*J57</f>
        <v>96</v>
      </c>
      <c r="M57" s="153">
        <f>SUM(K57:L57)</f>
        <v>144</v>
      </c>
      <c r="N57" s="166" t="s">
        <v>351</v>
      </c>
      <c r="O57" s="166" t="s">
        <v>352</v>
      </c>
      <c r="P57" s="166" t="s">
        <v>353</v>
      </c>
      <c r="Q57" s="166" t="s">
        <v>246</v>
      </c>
      <c r="R57" s="5"/>
      <c r="S57" s="103"/>
    </row>
    <row r="58" spans="1:19" s="88" customFormat="1" ht="42.75">
      <c r="A58" s="88" t="str">
        <f>_xlfn.XLOOKUP(B58,'Paso 3 Redacción RA'!I$3:I$15,'Paso 3 Redacción RA'!C$3:C$15,,0,1)</f>
        <v>SaberHacer</v>
      </c>
      <c r="B58" s="69" t="s">
        <v>92</v>
      </c>
      <c r="C58" s="141"/>
      <c r="D58" s="141"/>
      <c r="E58" s="156"/>
      <c r="F58" s="141"/>
      <c r="G58" s="141"/>
      <c r="H58" s="141"/>
      <c r="I58" s="141"/>
      <c r="J58" s="141"/>
      <c r="K58" s="141"/>
      <c r="L58" s="141"/>
      <c r="M58" s="141"/>
      <c r="N58" s="139"/>
      <c r="O58" s="139"/>
      <c r="P58" s="139"/>
      <c r="Q58" s="139"/>
      <c r="R58" s="5"/>
      <c r="S58" s="103"/>
    </row>
    <row r="59" spans="1:19" s="88" customFormat="1" ht="42.75" thickBot="1">
      <c r="A59" s="89" t="str">
        <f>_xlfn.XLOOKUP(B59,'Paso 3 Redacción RA'!I$3:I$15,'Paso 3 Redacción RA'!C$3:C$15,,0,1)</f>
        <v>SaberHacer</v>
      </c>
      <c r="B59" s="85" t="s">
        <v>98</v>
      </c>
      <c r="C59" s="154"/>
      <c r="D59" s="154"/>
      <c r="E59" s="157"/>
      <c r="F59" s="154"/>
      <c r="G59" s="154"/>
      <c r="H59" s="154"/>
      <c r="I59" s="154"/>
      <c r="J59" s="154"/>
      <c r="K59" s="154"/>
      <c r="L59" s="154"/>
      <c r="M59" s="154"/>
      <c r="N59" s="167"/>
      <c r="O59" s="167"/>
      <c r="P59" s="167"/>
      <c r="Q59" s="167"/>
      <c r="R59" s="5"/>
      <c r="S59" s="103"/>
    </row>
    <row r="60" spans="1:19" s="88" customFormat="1" ht="42.75">
      <c r="A60" s="102" t="str">
        <f>_xlfn.XLOOKUP(B60,'Paso 3 Redacción RA'!I$3:I$15,'Paso 3 Redacción RA'!C$3:C$15,,0,1)</f>
        <v>Saber</v>
      </c>
      <c r="B60" s="90" t="s">
        <v>89</v>
      </c>
      <c r="C60" s="153">
        <v>4</v>
      </c>
      <c r="D60" s="153" t="s">
        <v>354</v>
      </c>
      <c r="E60" s="161" t="s">
        <v>355</v>
      </c>
      <c r="F60" s="153" t="s">
        <v>254</v>
      </c>
      <c r="G60" s="153"/>
      <c r="H60" s="153" t="s">
        <v>242</v>
      </c>
      <c r="I60" s="153"/>
      <c r="J60" s="153">
        <v>3</v>
      </c>
      <c r="K60" s="153">
        <f>16*J60</f>
        <v>48</v>
      </c>
      <c r="L60" s="153">
        <f>32*J60</f>
        <v>96</v>
      </c>
      <c r="M60" s="153">
        <f>SUM(K60:L60)</f>
        <v>144</v>
      </c>
      <c r="N60" s="166" t="s">
        <v>356</v>
      </c>
      <c r="O60" s="166" t="s">
        <v>357</v>
      </c>
      <c r="P60" s="166" t="s">
        <v>358</v>
      </c>
      <c r="Q60" s="166" t="s">
        <v>246</v>
      </c>
      <c r="R60" s="5"/>
      <c r="S60" s="103"/>
    </row>
    <row r="61" spans="1:19" s="88" customFormat="1" ht="42.75">
      <c r="A61" s="88" t="str">
        <f>_xlfn.XLOOKUP(B61,'Paso 3 Redacción RA'!I$3:I$15,'Paso 3 Redacción RA'!C$3:C$15,,0,1)</f>
        <v>Saber</v>
      </c>
      <c r="B61" s="69" t="s">
        <v>97</v>
      </c>
      <c r="C61" s="141"/>
      <c r="D61" s="141"/>
      <c r="E61" s="156"/>
      <c r="F61" s="141"/>
      <c r="G61" s="141"/>
      <c r="H61" s="141"/>
      <c r="I61" s="141"/>
      <c r="J61" s="141"/>
      <c r="K61" s="141"/>
      <c r="L61" s="141"/>
      <c r="M61" s="141"/>
      <c r="N61" s="139"/>
      <c r="O61" s="139"/>
      <c r="P61" s="139"/>
      <c r="Q61" s="139"/>
      <c r="R61" s="5"/>
      <c r="S61" s="103"/>
    </row>
    <row r="62" spans="1:19" s="88" customFormat="1" ht="28.5" thickBot="1">
      <c r="A62" s="89" t="str">
        <f>_xlfn.XLOOKUP(B62,'Paso 3 Redacción RA'!I$3:I$15,'Paso 3 Redacción RA'!C$3:C$15,,0,1)</f>
        <v>SaberSer</v>
      </c>
      <c r="B62" s="85" t="s">
        <v>96</v>
      </c>
      <c r="C62" s="154"/>
      <c r="D62" s="154"/>
      <c r="E62" s="157"/>
      <c r="F62" s="141"/>
      <c r="G62" s="141"/>
      <c r="H62" s="141"/>
      <c r="I62" s="141"/>
      <c r="J62" s="141"/>
      <c r="K62" s="141"/>
      <c r="L62" s="141"/>
      <c r="M62" s="154"/>
      <c r="N62" s="139"/>
      <c r="O62" s="139"/>
      <c r="P62" s="139"/>
      <c r="Q62" s="139"/>
      <c r="R62" s="5"/>
      <c r="S62" s="103"/>
    </row>
    <row r="63" spans="1:19" s="88" customFormat="1" ht="42.75">
      <c r="A63" s="102" t="str">
        <f>_xlfn.XLOOKUP(B63,'Paso 3 Redacción RA'!I$3:I$15,'Paso 3 Redacción RA'!C$3:C$15,,0,1)</f>
        <v>Saber</v>
      </c>
      <c r="B63" s="90" t="s">
        <v>97</v>
      </c>
      <c r="C63" s="153">
        <v>5</v>
      </c>
      <c r="D63" s="153" t="s">
        <v>359</v>
      </c>
      <c r="E63" s="161" t="s">
        <v>360</v>
      </c>
      <c r="F63" s="153" t="s">
        <v>241</v>
      </c>
      <c r="G63" s="153"/>
      <c r="H63" s="153" t="s">
        <v>242</v>
      </c>
      <c r="I63" s="153"/>
      <c r="J63" s="153">
        <v>3</v>
      </c>
      <c r="K63" s="153">
        <f>16*J63</f>
        <v>48</v>
      </c>
      <c r="L63" s="153">
        <f>32*J63</f>
        <v>96</v>
      </c>
      <c r="M63" s="153">
        <f>SUM(K63:L63)</f>
        <v>144</v>
      </c>
      <c r="N63" s="166" t="s">
        <v>361</v>
      </c>
      <c r="O63" s="166" t="s">
        <v>352</v>
      </c>
      <c r="P63" s="166" t="s">
        <v>362</v>
      </c>
      <c r="Q63" s="166" t="s">
        <v>246</v>
      </c>
      <c r="R63" s="5"/>
      <c r="S63" s="103"/>
    </row>
    <row r="64" spans="1:19" s="88" customFormat="1" ht="42.75">
      <c r="A64" s="88" t="str">
        <f>_xlfn.XLOOKUP(B64,'Paso 3 Redacción RA'!I$3:I$15,'Paso 3 Redacción RA'!C$3:C$15,,0,1)</f>
        <v>SaberHacer</v>
      </c>
      <c r="B64" s="69" t="s">
        <v>92</v>
      </c>
      <c r="C64" s="141"/>
      <c r="D64" s="141"/>
      <c r="E64" s="156"/>
      <c r="F64" s="141"/>
      <c r="G64" s="141"/>
      <c r="H64" s="141"/>
      <c r="I64" s="141"/>
      <c r="J64" s="141"/>
      <c r="K64" s="141"/>
      <c r="L64" s="141"/>
      <c r="M64" s="141"/>
      <c r="N64" s="139"/>
      <c r="O64" s="139"/>
      <c r="P64" s="139"/>
      <c r="Q64" s="139"/>
      <c r="R64" s="5"/>
      <c r="S64" s="103"/>
    </row>
    <row r="65" spans="1:19" s="88" customFormat="1" ht="42.75" thickBot="1">
      <c r="A65" s="89" t="str">
        <f>_xlfn.XLOOKUP(B65,'Paso 3 Redacción RA'!I$3:I$15,'Paso 3 Redacción RA'!C$3:C$15,,0,1)</f>
        <v>SaberHacer</v>
      </c>
      <c r="B65" s="85" t="s">
        <v>98</v>
      </c>
      <c r="C65" s="154"/>
      <c r="D65" s="154"/>
      <c r="E65" s="157"/>
      <c r="F65" s="154"/>
      <c r="G65" s="154"/>
      <c r="H65" s="154"/>
      <c r="I65" s="154"/>
      <c r="J65" s="154"/>
      <c r="K65" s="154"/>
      <c r="L65" s="154"/>
      <c r="M65" s="154"/>
      <c r="N65" s="167"/>
      <c r="O65" s="167"/>
      <c r="P65" s="167"/>
      <c r="Q65" s="167"/>
      <c r="R65" s="5"/>
      <c r="S65" s="103"/>
    </row>
    <row r="66" spans="1:19" s="88" customFormat="1" ht="42.75">
      <c r="A66" s="102" t="str">
        <f>_xlfn.XLOOKUP(B66,'Paso 3 Redacción RA'!I$3:I$15,'Paso 3 Redacción RA'!C$3:C$15,,0,1)</f>
        <v>SaberHacer</v>
      </c>
      <c r="B66" s="90" t="s">
        <v>92</v>
      </c>
      <c r="C66" s="153">
        <v>5</v>
      </c>
      <c r="D66" s="153" t="s">
        <v>363</v>
      </c>
      <c r="E66" s="161" t="s">
        <v>364</v>
      </c>
      <c r="F66" s="153" t="s">
        <v>241</v>
      </c>
      <c r="G66" s="153"/>
      <c r="H66" s="153" t="s">
        <v>242</v>
      </c>
      <c r="I66" s="153"/>
      <c r="J66" s="153">
        <v>3</v>
      </c>
      <c r="K66" s="153">
        <f>16*J66</f>
        <v>48</v>
      </c>
      <c r="L66" s="153">
        <f>32*J66</f>
        <v>96</v>
      </c>
      <c r="M66" s="153">
        <f>SUM(K66:L66)</f>
        <v>144</v>
      </c>
      <c r="N66" s="166" t="s">
        <v>365</v>
      </c>
      <c r="O66" s="166" t="s">
        <v>321</v>
      </c>
      <c r="P66" s="166" t="s">
        <v>339</v>
      </c>
      <c r="Q66" s="166" t="s">
        <v>246</v>
      </c>
      <c r="R66" s="5"/>
      <c r="S66" s="103"/>
    </row>
    <row r="67" spans="1:19" s="88" customFormat="1" ht="42.75">
      <c r="A67" s="88" t="str">
        <f>_xlfn.XLOOKUP(B67,'Paso 3 Redacción RA'!I$3:I$15,'Paso 3 Redacción RA'!C$3:C$15,,0,1)</f>
        <v>SaberHacer</v>
      </c>
      <c r="B67" s="69" t="s">
        <v>98</v>
      </c>
      <c r="C67" s="141"/>
      <c r="D67" s="141"/>
      <c r="E67" s="156"/>
      <c r="F67" s="141"/>
      <c r="G67" s="141"/>
      <c r="H67" s="141"/>
      <c r="I67" s="141"/>
      <c r="J67" s="141"/>
      <c r="K67" s="141"/>
      <c r="L67" s="141"/>
      <c r="M67" s="141"/>
      <c r="N67" s="139"/>
      <c r="O67" s="139"/>
      <c r="P67" s="139"/>
      <c r="Q67" s="139"/>
      <c r="R67" s="5"/>
      <c r="S67" s="103"/>
    </row>
    <row r="68" spans="1:19" s="88" customFormat="1" ht="28.5" thickBot="1">
      <c r="A68" s="89" t="str">
        <f>_xlfn.XLOOKUP(B68,'Paso 3 Redacción RA'!I$3:I$15,'Paso 3 Redacción RA'!C$3:C$15,,0,1)</f>
        <v>SaberSer</v>
      </c>
      <c r="B68" s="85" t="s">
        <v>96</v>
      </c>
      <c r="C68" s="154"/>
      <c r="D68" s="154"/>
      <c r="E68" s="157"/>
      <c r="F68" s="154"/>
      <c r="G68" s="154"/>
      <c r="H68" s="154"/>
      <c r="I68" s="154"/>
      <c r="J68" s="154"/>
      <c r="K68" s="154"/>
      <c r="L68" s="154"/>
      <c r="M68" s="154"/>
      <c r="N68" s="167"/>
      <c r="O68" s="167"/>
      <c r="P68" s="167"/>
      <c r="Q68" s="167"/>
      <c r="R68" s="5"/>
      <c r="S68" s="103"/>
    </row>
    <row r="69" spans="1:19" s="88" customFormat="1" ht="42.75">
      <c r="A69" s="102" t="str">
        <f>_xlfn.XLOOKUP(B69,'Paso 3 Redacción RA'!I$3:I$15,'Paso 3 Redacción RA'!C$3:C$15,,0,1)</f>
        <v>Saber</v>
      </c>
      <c r="B69" s="90" t="s">
        <v>89</v>
      </c>
      <c r="C69" s="153">
        <v>5</v>
      </c>
      <c r="D69" s="153" t="s">
        <v>366</v>
      </c>
      <c r="E69" s="161" t="s">
        <v>367</v>
      </c>
      <c r="F69" s="153" t="s">
        <v>241</v>
      </c>
      <c r="G69" s="153"/>
      <c r="H69" s="153" t="s">
        <v>242</v>
      </c>
      <c r="I69" s="153"/>
      <c r="J69" s="153">
        <v>3</v>
      </c>
      <c r="K69" s="153">
        <f>16*J69</f>
        <v>48</v>
      </c>
      <c r="L69" s="153">
        <f>32*J69</f>
        <v>96</v>
      </c>
      <c r="M69" s="153">
        <f>SUM(K69:L69)</f>
        <v>144</v>
      </c>
      <c r="N69" s="166" t="s">
        <v>368</v>
      </c>
      <c r="O69" s="166" t="s">
        <v>321</v>
      </c>
      <c r="P69" s="166" t="s">
        <v>339</v>
      </c>
      <c r="Q69" s="166" t="s">
        <v>246</v>
      </c>
      <c r="R69" s="5"/>
      <c r="S69" s="103"/>
    </row>
    <row r="70" spans="1:19" s="88" customFormat="1" ht="42.75">
      <c r="A70" s="88" t="str">
        <f>_xlfn.XLOOKUP(B70,'Paso 3 Redacción RA'!I$3:I$15,'Paso 3 Redacción RA'!C$3:C$15,,0,1)</f>
        <v>SaberHacer</v>
      </c>
      <c r="B70" s="69" t="s">
        <v>92</v>
      </c>
      <c r="C70" s="141"/>
      <c r="D70" s="141"/>
      <c r="E70" s="156"/>
      <c r="F70" s="141"/>
      <c r="G70" s="141"/>
      <c r="H70" s="141"/>
      <c r="I70" s="141"/>
      <c r="J70" s="141"/>
      <c r="K70" s="141"/>
      <c r="L70" s="141"/>
      <c r="M70" s="141"/>
      <c r="N70" s="139"/>
      <c r="O70" s="139"/>
      <c r="P70" s="139"/>
      <c r="Q70" s="139"/>
      <c r="R70" s="5"/>
      <c r="S70" s="103"/>
    </row>
    <row r="71" spans="1:19" s="88" customFormat="1" ht="28.5" thickBot="1">
      <c r="A71" s="89" t="str">
        <f>_xlfn.XLOOKUP(B71,'Paso 3 Redacción RA'!I$3:I$15,'Paso 3 Redacción RA'!C$3:C$15,,0,1)</f>
        <v>SaberSer</v>
      </c>
      <c r="B71" s="85" t="s">
        <v>96</v>
      </c>
      <c r="C71" s="154"/>
      <c r="D71" s="154"/>
      <c r="E71" s="157"/>
      <c r="F71" s="154"/>
      <c r="G71" s="154"/>
      <c r="H71" s="154"/>
      <c r="I71" s="154"/>
      <c r="J71" s="154"/>
      <c r="K71" s="154"/>
      <c r="L71" s="154"/>
      <c r="M71" s="154"/>
      <c r="N71" s="167"/>
      <c r="O71" s="167"/>
      <c r="P71" s="167"/>
      <c r="Q71" s="167"/>
      <c r="R71" s="5"/>
      <c r="S71" s="103"/>
    </row>
    <row r="72" spans="1:19" s="88" customFormat="1" ht="42.75">
      <c r="A72" s="102" t="str">
        <f>_xlfn.XLOOKUP(B72,'Paso 3 Redacción RA'!I$3:I$15,'Paso 3 Redacción RA'!C$3:C$15,,0,1)</f>
        <v>Saber</v>
      </c>
      <c r="B72" s="90" t="s">
        <v>97</v>
      </c>
      <c r="C72" s="153">
        <v>5</v>
      </c>
      <c r="D72" s="153" t="s">
        <v>369</v>
      </c>
      <c r="E72" s="161" t="s">
        <v>370</v>
      </c>
      <c r="F72" s="153" t="s">
        <v>241</v>
      </c>
      <c r="G72" s="153"/>
      <c r="H72" s="153" t="s">
        <v>242</v>
      </c>
      <c r="I72" s="153"/>
      <c r="J72" s="153">
        <v>3</v>
      </c>
      <c r="K72" s="153">
        <f>16*J72</f>
        <v>48</v>
      </c>
      <c r="L72" s="153">
        <f>32*J72</f>
        <v>96</v>
      </c>
      <c r="M72" s="153">
        <f>SUM(K72:L72)</f>
        <v>144</v>
      </c>
      <c r="N72" s="166" t="s">
        <v>371</v>
      </c>
      <c r="O72" s="166" t="s">
        <v>372</v>
      </c>
      <c r="P72" s="166" t="s">
        <v>353</v>
      </c>
      <c r="Q72" s="166" t="s">
        <v>246</v>
      </c>
      <c r="R72" s="5"/>
      <c r="S72" s="103"/>
    </row>
    <row r="73" spans="1:19" s="88" customFormat="1" ht="42.75">
      <c r="A73" s="88" t="str">
        <f>_xlfn.XLOOKUP(B73,'Paso 3 Redacción RA'!I$3:I$15,'Paso 3 Redacción RA'!C$3:C$15,,0,1)</f>
        <v>SaberHacer</v>
      </c>
      <c r="B73" s="69" t="s">
        <v>92</v>
      </c>
      <c r="C73" s="141"/>
      <c r="D73" s="141"/>
      <c r="E73" s="156"/>
      <c r="F73" s="141"/>
      <c r="G73" s="141"/>
      <c r="H73" s="141"/>
      <c r="I73" s="141"/>
      <c r="J73" s="141"/>
      <c r="K73" s="141"/>
      <c r="L73" s="141"/>
      <c r="M73" s="141"/>
      <c r="N73" s="139"/>
      <c r="O73" s="139"/>
      <c r="P73" s="139"/>
      <c r="Q73" s="139"/>
      <c r="R73" s="5"/>
      <c r="S73" s="103"/>
    </row>
    <row r="74" spans="1:19" s="88" customFormat="1" ht="42.75" thickBot="1">
      <c r="A74" s="89" t="str">
        <f>_xlfn.XLOOKUP(B74,'Paso 3 Redacción RA'!I$3:I$15,'Paso 3 Redacción RA'!C$3:C$15,,0,1)</f>
        <v>SaberHacer</v>
      </c>
      <c r="B74" s="85" t="s">
        <v>98</v>
      </c>
      <c r="C74" s="154"/>
      <c r="D74" s="154"/>
      <c r="E74" s="157"/>
      <c r="F74" s="154"/>
      <c r="G74" s="154"/>
      <c r="H74" s="154"/>
      <c r="I74" s="154"/>
      <c r="J74" s="154"/>
      <c r="K74" s="154"/>
      <c r="L74" s="154"/>
      <c r="M74" s="154"/>
      <c r="N74" s="167"/>
      <c r="O74" s="167"/>
      <c r="P74" s="167"/>
      <c r="Q74" s="167"/>
      <c r="R74" s="5"/>
      <c r="S74" s="103"/>
    </row>
    <row r="75" spans="1:19" s="88" customFormat="1" ht="42.75">
      <c r="A75" s="102" t="str">
        <f>_xlfn.XLOOKUP(B75,'Paso 3 Redacción RA'!I$3:I$15,'Paso 3 Redacción RA'!C$3:C$15,,0,1)</f>
        <v>Saber</v>
      </c>
      <c r="B75" s="90" t="s">
        <v>97</v>
      </c>
      <c r="C75" s="153">
        <v>5</v>
      </c>
      <c r="D75" s="153" t="s">
        <v>373</v>
      </c>
      <c r="E75" s="161" t="s">
        <v>374</v>
      </c>
      <c r="F75" s="153" t="s">
        <v>241</v>
      </c>
      <c r="G75" s="153"/>
      <c r="H75" s="153" t="s">
        <v>242</v>
      </c>
      <c r="I75" s="153"/>
      <c r="J75" s="153">
        <v>3</v>
      </c>
      <c r="K75" s="153">
        <f>16*J75</f>
        <v>48</v>
      </c>
      <c r="L75" s="153">
        <f>32*J75</f>
        <v>96</v>
      </c>
      <c r="M75" s="153">
        <f>SUM(K75:L75)</f>
        <v>144</v>
      </c>
      <c r="N75" s="166" t="s">
        <v>375</v>
      </c>
      <c r="O75" s="166" t="s">
        <v>376</v>
      </c>
      <c r="P75" s="166" t="s">
        <v>377</v>
      </c>
      <c r="Q75" s="166" t="s">
        <v>246</v>
      </c>
      <c r="R75" s="5"/>
      <c r="S75" s="103"/>
    </row>
    <row r="76" spans="1:19" s="88" customFormat="1" ht="42.75">
      <c r="A76" s="88" t="str">
        <f>_xlfn.XLOOKUP(B76,'Paso 3 Redacción RA'!I$3:I$15,'Paso 3 Redacción RA'!C$3:C$15,,0,1)</f>
        <v>SaberHacer</v>
      </c>
      <c r="B76" s="69" t="s">
        <v>92</v>
      </c>
      <c r="C76" s="141"/>
      <c r="D76" s="141"/>
      <c r="E76" s="156"/>
      <c r="F76" s="141"/>
      <c r="G76" s="141"/>
      <c r="H76" s="141"/>
      <c r="I76" s="141"/>
      <c r="J76" s="141"/>
      <c r="K76" s="141"/>
      <c r="L76" s="141"/>
      <c r="M76" s="141"/>
      <c r="N76" s="139"/>
      <c r="O76" s="139"/>
      <c r="P76" s="139"/>
      <c r="Q76" s="139"/>
      <c r="R76" s="5"/>
      <c r="S76" s="103"/>
    </row>
    <row r="77" spans="1:19" s="88" customFormat="1" ht="42.75" thickBot="1">
      <c r="A77" s="89" t="str">
        <f>_xlfn.XLOOKUP(B77,'Paso 3 Redacción RA'!I$3:I$15,'Paso 3 Redacción RA'!C$3:C$15,,0,1)</f>
        <v>SaberHacer</v>
      </c>
      <c r="B77" s="85" t="s">
        <v>98</v>
      </c>
      <c r="C77" s="154"/>
      <c r="D77" s="154"/>
      <c r="E77" s="157"/>
      <c r="F77" s="141"/>
      <c r="G77" s="141"/>
      <c r="H77" s="141"/>
      <c r="I77" s="141"/>
      <c r="J77" s="141"/>
      <c r="K77" s="141"/>
      <c r="L77" s="141"/>
      <c r="M77" s="141"/>
      <c r="N77" s="139"/>
      <c r="O77" s="139"/>
      <c r="P77" s="139"/>
      <c r="Q77" s="139"/>
      <c r="R77" s="5"/>
      <c r="S77" s="103"/>
    </row>
    <row r="78" spans="1:19" s="88" customFormat="1" ht="42.75">
      <c r="A78" s="102" t="str">
        <f>_xlfn.XLOOKUP(B78,'Paso 3 Redacción RA'!I$3:I$15,'Paso 3 Redacción RA'!C$3:C$15,,0,1)</f>
        <v>Saber</v>
      </c>
      <c r="B78" s="90" t="s">
        <v>97</v>
      </c>
      <c r="C78" s="153">
        <v>5</v>
      </c>
      <c r="D78" s="153" t="s">
        <v>378</v>
      </c>
      <c r="E78" s="161" t="s">
        <v>379</v>
      </c>
      <c r="F78" s="153" t="s">
        <v>241</v>
      </c>
      <c r="G78" s="153"/>
      <c r="H78" s="153" t="s">
        <v>242</v>
      </c>
      <c r="I78" s="153"/>
      <c r="J78" s="153">
        <v>3</v>
      </c>
      <c r="K78" s="153">
        <f>16*J78</f>
        <v>48</v>
      </c>
      <c r="L78" s="153">
        <f>32*J78</f>
        <v>96</v>
      </c>
      <c r="M78" s="153">
        <f>SUM(K78:L78)</f>
        <v>144</v>
      </c>
      <c r="N78" s="166" t="s">
        <v>380</v>
      </c>
      <c r="O78" s="166" t="s">
        <v>381</v>
      </c>
      <c r="P78" s="166" t="s">
        <v>382</v>
      </c>
      <c r="Q78" s="166" t="s">
        <v>246</v>
      </c>
      <c r="R78" s="5"/>
      <c r="S78" s="103"/>
    </row>
    <row r="79" spans="1:19" s="88" customFormat="1" ht="42.75">
      <c r="A79" s="88" t="str">
        <f>_xlfn.XLOOKUP(B79,'Paso 3 Redacción RA'!I$3:I$15,'Paso 3 Redacción RA'!C$3:C$15,,0,1)</f>
        <v>SaberHacer</v>
      </c>
      <c r="B79" s="69" t="s">
        <v>98</v>
      </c>
      <c r="C79" s="141"/>
      <c r="D79" s="141"/>
      <c r="E79" s="156"/>
      <c r="F79" s="141"/>
      <c r="G79" s="141"/>
      <c r="H79" s="141"/>
      <c r="I79" s="141"/>
      <c r="J79" s="141"/>
      <c r="K79" s="141"/>
      <c r="L79" s="141"/>
      <c r="M79" s="141"/>
      <c r="N79" s="139"/>
      <c r="O79" s="139"/>
      <c r="P79" s="139"/>
      <c r="Q79" s="139"/>
      <c r="R79" s="5"/>
      <c r="S79" s="103"/>
    </row>
    <row r="80" spans="1:19" s="88" customFormat="1" ht="28.5" thickBot="1">
      <c r="A80" s="89" t="str">
        <f>_xlfn.XLOOKUP(B80,'Paso 3 Redacción RA'!I$3:I$15,'Paso 3 Redacción RA'!C$3:C$15,,0,1)</f>
        <v>SaberSer</v>
      </c>
      <c r="B80" s="85" t="s">
        <v>96</v>
      </c>
      <c r="C80" s="154"/>
      <c r="D80" s="154"/>
      <c r="E80" s="157"/>
      <c r="F80" s="154"/>
      <c r="G80" s="154"/>
      <c r="H80" s="154"/>
      <c r="I80" s="154"/>
      <c r="J80" s="154"/>
      <c r="K80" s="154"/>
      <c r="L80" s="154"/>
      <c r="M80" s="154"/>
      <c r="N80" s="167"/>
      <c r="O80" s="167"/>
      <c r="P80" s="167"/>
      <c r="Q80" s="167"/>
      <c r="R80" s="5"/>
      <c r="S80" s="103"/>
    </row>
    <row r="81" spans="1:19" s="88" customFormat="1" ht="42.75">
      <c r="A81" s="102" t="str">
        <f>_xlfn.XLOOKUP(B81,'Paso 3 Redacción RA'!I$3:I$15,'Paso 3 Redacción RA'!C$3:C$15,,0,1)</f>
        <v>Saber</v>
      </c>
      <c r="B81" s="90" t="s">
        <v>89</v>
      </c>
      <c r="C81" s="153">
        <v>6</v>
      </c>
      <c r="D81" s="153" t="s">
        <v>383</v>
      </c>
      <c r="E81" s="161" t="s">
        <v>384</v>
      </c>
      <c r="F81" s="153" t="s">
        <v>254</v>
      </c>
      <c r="G81" s="153"/>
      <c r="H81" s="153" t="s">
        <v>242</v>
      </c>
      <c r="I81" s="153"/>
      <c r="J81" s="153">
        <v>3</v>
      </c>
      <c r="K81" s="153">
        <f>16*J81</f>
        <v>48</v>
      </c>
      <c r="L81" s="153">
        <f>32*J81</f>
        <v>96</v>
      </c>
      <c r="M81" s="153">
        <f>SUM(K81:L81)</f>
        <v>144</v>
      </c>
      <c r="N81" s="166" t="s">
        <v>385</v>
      </c>
      <c r="O81" s="166" t="s">
        <v>386</v>
      </c>
      <c r="P81" s="166" t="s">
        <v>298</v>
      </c>
      <c r="Q81" s="166" t="s">
        <v>246</v>
      </c>
      <c r="R81" s="5"/>
      <c r="S81" s="103"/>
    </row>
    <row r="82" spans="1:19" s="88" customFormat="1" ht="42.75">
      <c r="A82" s="88" t="str">
        <f>_xlfn.XLOOKUP(B82,'Paso 3 Redacción RA'!I$3:I$15,'Paso 3 Redacción RA'!C$3:C$15,,0,1)</f>
        <v>Saber</v>
      </c>
      <c r="B82" s="69" t="s">
        <v>97</v>
      </c>
      <c r="C82" s="141"/>
      <c r="D82" s="141"/>
      <c r="E82" s="156"/>
      <c r="F82" s="141"/>
      <c r="G82" s="141"/>
      <c r="H82" s="141"/>
      <c r="I82" s="141"/>
      <c r="J82" s="141"/>
      <c r="K82" s="141"/>
      <c r="L82" s="141"/>
      <c r="M82" s="141"/>
      <c r="N82" s="139"/>
      <c r="O82" s="139"/>
      <c r="P82" s="139"/>
      <c r="Q82" s="139"/>
      <c r="R82" s="5"/>
      <c r="S82" s="103"/>
    </row>
    <row r="83" spans="1:19" s="88" customFormat="1" ht="28.5" thickBot="1">
      <c r="A83" s="89" t="str">
        <f>_xlfn.XLOOKUP(B83,'Paso 3 Redacción RA'!I$3:I$15,'Paso 3 Redacción RA'!C$3:C$15,,0,1)</f>
        <v>SaberSer</v>
      </c>
      <c r="B83" s="85" t="s">
        <v>96</v>
      </c>
      <c r="C83" s="154"/>
      <c r="D83" s="154"/>
      <c r="E83" s="157"/>
      <c r="F83" s="154"/>
      <c r="G83" s="154"/>
      <c r="H83" s="154"/>
      <c r="I83" s="154"/>
      <c r="J83" s="154"/>
      <c r="K83" s="154"/>
      <c r="L83" s="154"/>
      <c r="M83" s="154"/>
      <c r="N83" s="167"/>
      <c r="O83" s="167"/>
      <c r="P83" s="167"/>
      <c r="Q83" s="167"/>
      <c r="R83" s="5"/>
      <c r="S83" s="103"/>
    </row>
    <row r="84" spans="1:19" s="88" customFormat="1" ht="42.75">
      <c r="A84" s="102" t="str">
        <f>_xlfn.XLOOKUP(B84,'Paso 3 Redacción RA'!I$3:I$15,'Paso 3 Redacción RA'!C$3:C$15,,0,1)</f>
        <v>Saber</v>
      </c>
      <c r="B84" s="90" t="s">
        <v>89</v>
      </c>
      <c r="C84" s="153">
        <v>6</v>
      </c>
      <c r="D84" s="153" t="s">
        <v>387</v>
      </c>
      <c r="E84" s="161" t="s">
        <v>388</v>
      </c>
      <c r="F84" s="153" t="s">
        <v>241</v>
      </c>
      <c r="G84" s="153"/>
      <c r="H84" s="153" t="s">
        <v>242</v>
      </c>
      <c r="I84" s="153"/>
      <c r="J84" s="153">
        <v>3</v>
      </c>
      <c r="K84" s="153">
        <f>16*J84</f>
        <v>48</v>
      </c>
      <c r="L84" s="153">
        <f>32*J84</f>
        <v>96</v>
      </c>
      <c r="M84" s="153">
        <f>SUM(K84:L84)</f>
        <v>144</v>
      </c>
      <c r="N84" s="166" t="s">
        <v>389</v>
      </c>
      <c r="O84" s="166" t="s">
        <v>390</v>
      </c>
      <c r="P84" s="166" t="s">
        <v>298</v>
      </c>
      <c r="Q84" s="166" t="s">
        <v>246</v>
      </c>
      <c r="R84" s="5"/>
      <c r="S84" s="103"/>
    </row>
    <row r="85" spans="1:19" s="88" customFormat="1" ht="42.75">
      <c r="A85" s="88" t="str">
        <f>_xlfn.XLOOKUP(B85,'Paso 3 Redacción RA'!I$3:I$15,'Paso 3 Redacción RA'!C$3:C$15,,0,1)</f>
        <v>Saber</v>
      </c>
      <c r="B85" s="69" t="s">
        <v>97</v>
      </c>
      <c r="C85" s="141"/>
      <c r="D85" s="141"/>
      <c r="E85" s="156"/>
      <c r="F85" s="141"/>
      <c r="G85" s="141"/>
      <c r="H85" s="141"/>
      <c r="I85" s="141"/>
      <c r="J85" s="141"/>
      <c r="K85" s="141"/>
      <c r="L85" s="141"/>
      <c r="M85" s="141"/>
      <c r="N85" s="139"/>
      <c r="O85" s="139"/>
      <c r="P85" s="139"/>
      <c r="Q85" s="139"/>
      <c r="R85" s="5"/>
      <c r="S85" s="103"/>
    </row>
    <row r="86" spans="1:19" s="88" customFormat="1" ht="28.5" thickBot="1">
      <c r="A86" s="89" t="str">
        <f>_xlfn.XLOOKUP(B86,'Paso 3 Redacción RA'!I$3:I$15,'Paso 3 Redacción RA'!C$3:C$15,,0,1)</f>
        <v>SaberSer</v>
      </c>
      <c r="B86" s="85" t="s">
        <v>96</v>
      </c>
      <c r="C86" s="154"/>
      <c r="D86" s="154"/>
      <c r="E86" s="157"/>
      <c r="F86" s="154"/>
      <c r="G86" s="154"/>
      <c r="H86" s="154"/>
      <c r="I86" s="154"/>
      <c r="J86" s="154"/>
      <c r="K86" s="154"/>
      <c r="L86" s="154"/>
      <c r="M86" s="154"/>
      <c r="N86" s="167"/>
      <c r="O86" s="167"/>
      <c r="P86" s="167"/>
      <c r="Q86" s="167"/>
      <c r="R86" s="5"/>
      <c r="S86" s="103"/>
    </row>
    <row r="87" spans="1:19" s="88" customFormat="1" ht="42.75">
      <c r="A87" s="102" t="str">
        <f>_xlfn.XLOOKUP(B87,'Paso 3 Redacción RA'!I$3:I$15,'Paso 3 Redacción RA'!C$3:C$15,,0,1)</f>
        <v>SaberHacer</v>
      </c>
      <c r="B87" s="90" t="s">
        <v>92</v>
      </c>
      <c r="C87" s="153">
        <v>6</v>
      </c>
      <c r="D87" s="153" t="s">
        <v>391</v>
      </c>
      <c r="E87" s="161" t="s">
        <v>392</v>
      </c>
      <c r="F87" s="153" t="s">
        <v>241</v>
      </c>
      <c r="G87" s="153"/>
      <c r="H87" s="153" t="s">
        <v>242</v>
      </c>
      <c r="I87" s="153"/>
      <c r="J87" s="153">
        <v>3</v>
      </c>
      <c r="K87" s="153">
        <f>16*J87</f>
        <v>48</v>
      </c>
      <c r="L87" s="153">
        <f>32*J87</f>
        <v>96</v>
      </c>
      <c r="M87" s="153">
        <f>SUM(K87:L87)</f>
        <v>144</v>
      </c>
      <c r="N87" s="166" t="s">
        <v>393</v>
      </c>
      <c r="O87" s="166" t="s">
        <v>390</v>
      </c>
      <c r="P87" s="166" t="s">
        <v>298</v>
      </c>
      <c r="Q87" s="166" t="s">
        <v>246</v>
      </c>
      <c r="R87" s="5"/>
      <c r="S87" s="103"/>
    </row>
    <row r="88" spans="1:19" s="88" customFormat="1" ht="42.75">
      <c r="A88" s="88" t="str">
        <f>_xlfn.XLOOKUP(B88,'Paso 3 Redacción RA'!I$3:I$15,'Paso 3 Redacción RA'!C$3:C$15,,0,1)</f>
        <v>SaberHacer</v>
      </c>
      <c r="B88" s="69" t="s">
        <v>98</v>
      </c>
      <c r="C88" s="141"/>
      <c r="D88" s="141"/>
      <c r="E88" s="156"/>
      <c r="F88" s="141"/>
      <c r="G88" s="141"/>
      <c r="H88" s="141"/>
      <c r="I88" s="141"/>
      <c r="J88" s="141"/>
      <c r="K88" s="141"/>
      <c r="L88" s="141"/>
      <c r="M88" s="141"/>
      <c r="N88" s="139"/>
      <c r="O88" s="139"/>
      <c r="P88" s="139"/>
      <c r="Q88" s="139"/>
      <c r="R88" s="5"/>
      <c r="S88" s="103"/>
    </row>
    <row r="89" spans="1:19" s="88" customFormat="1" ht="28.5" thickBot="1">
      <c r="A89" s="89" t="str">
        <f>_xlfn.XLOOKUP(B89,'Paso 3 Redacción RA'!I$3:I$15,'Paso 3 Redacción RA'!C$3:C$15,,0,1)</f>
        <v>SaberSer</v>
      </c>
      <c r="B89" s="85" t="s">
        <v>96</v>
      </c>
      <c r="C89" s="154"/>
      <c r="D89" s="154"/>
      <c r="E89" s="157"/>
      <c r="F89" s="154"/>
      <c r="G89" s="154"/>
      <c r="H89" s="154"/>
      <c r="I89" s="154"/>
      <c r="J89" s="154"/>
      <c r="K89" s="154"/>
      <c r="L89" s="154"/>
      <c r="M89" s="154"/>
      <c r="N89" s="167"/>
      <c r="O89" s="167"/>
      <c r="P89" s="167"/>
      <c r="Q89" s="167"/>
      <c r="R89" s="5"/>
      <c r="S89" s="103"/>
    </row>
    <row r="90" spans="1:19" s="88" customFormat="1" ht="42.75">
      <c r="A90" s="102" t="str">
        <f>_xlfn.XLOOKUP(B90,'Paso 3 Redacción RA'!I$3:I$15,'Paso 3 Redacción RA'!C$3:C$15,,0,1)</f>
        <v>SaberHacer</v>
      </c>
      <c r="B90" s="90" t="s">
        <v>92</v>
      </c>
      <c r="C90" s="153">
        <v>6</v>
      </c>
      <c r="D90" s="153" t="s">
        <v>394</v>
      </c>
      <c r="E90" s="161" t="s">
        <v>395</v>
      </c>
      <c r="F90" s="153" t="s">
        <v>241</v>
      </c>
      <c r="G90" s="153"/>
      <c r="H90" s="153" t="s">
        <v>242</v>
      </c>
      <c r="I90" s="153"/>
      <c r="J90" s="153">
        <v>6</v>
      </c>
      <c r="K90" s="153">
        <f>16*J90</f>
        <v>96</v>
      </c>
      <c r="L90" s="153">
        <f>32*J90</f>
        <v>192</v>
      </c>
      <c r="M90" s="153">
        <f>SUM(K90:L90)</f>
        <v>288</v>
      </c>
      <c r="N90" s="166" t="s">
        <v>396</v>
      </c>
      <c r="O90" s="166" t="s">
        <v>397</v>
      </c>
      <c r="P90" s="166" t="s">
        <v>398</v>
      </c>
      <c r="Q90" s="166" t="s">
        <v>246</v>
      </c>
      <c r="R90" s="5"/>
      <c r="S90" s="103"/>
    </row>
    <row r="91" spans="1:19" s="88" customFormat="1" ht="42.75">
      <c r="A91" s="88" t="str">
        <f>_xlfn.XLOOKUP(B91,'Paso 3 Redacción RA'!I$3:I$15,'Paso 3 Redacción RA'!C$3:C$15,,0,1)</f>
        <v>SaberHacer</v>
      </c>
      <c r="B91" s="69" t="s">
        <v>98</v>
      </c>
      <c r="C91" s="141"/>
      <c r="D91" s="141"/>
      <c r="E91" s="156"/>
      <c r="F91" s="141"/>
      <c r="G91" s="141"/>
      <c r="H91" s="141"/>
      <c r="I91" s="141"/>
      <c r="J91" s="141"/>
      <c r="K91" s="141"/>
      <c r="L91" s="141"/>
      <c r="M91" s="141"/>
      <c r="N91" s="139"/>
      <c r="O91" s="139"/>
      <c r="P91" s="139"/>
      <c r="Q91" s="139"/>
      <c r="R91" s="5"/>
      <c r="S91" s="103"/>
    </row>
    <row r="92" spans="1:19" s="88" customFormat="1" ht="28.5" thickBot="1">
      <c r="A92" s="89" t="str">
        <f>_xlfn.XLOOKUP(B92,'Paso 3 Redacción RA'!I$3:I$15,'Paso 3 Redacción RA'!C$3:C$15,,0,1)</f>
        <v>SaberSer</v>
      </c>
      <c r="B92" s="85" t="s">
        <v>96</v>
      </c>
      <c r="C92" s="154"/>
      <c r="D92" s="154"/>
      <c r="E92" s="157"/>
      <c r="F92" s="154"/>
      <c r="G92" s="154"/>
      <c r="H92" s="154"/>
      <c r="I92" s="154"/>
      <c r="J92" s="154"/>
      <c r="K92" s="154"/>
      <c r="L92" s="154"/>
      <c r="M92" s="154"/>
      <c r="N92" s="167"/>
      <c r="O92" s="167"/>
      <c r="P92" s="167"/>
      <c r="Q92" s="167"/>
      <c r="R92" s="5"/>
      <c r="S92" s="103"/>
    </row>
    <row r="93" spans="1:19" s="88" customFormat="1" ht="42.75">
      <c r="A93" s="102" t="str">
        <f>_xlfn.XLOOKUP(B93,'Paso 3 Redacción RA'!I$3:I$15,'Paso 3 Redacción RA'!C$3:C$15,,0,1)</f>
        <v>Saber</v>
      </c>
      <c r="B93" s="90" t="s">
        <v>97</v>
      </c>
      <c r="C93" s="153">
        <v>6</v>
      </c>
      <c r="D93" s="153" t="s">
        <v>399</v>
      </c>
      <c r="E93" s="161" t="s">
        <v>400</v>
      </c>
      <c r="F93" s="153" t="s">
        <v>241</v>
      </c>
      <c r="G93" s="153"/>
      <c r="H93" s="153" t="s">
        <v>242</v>
      </c>
      <c r="I93" s="153"/>
      <c r="J93" s="153">
        <v>3</v>
      </c>
      <c r="K93" s="153">
        <f>16*J93</f>
        <v>48</v>
      </c>
      <c r="L93" s="153">
        <f>32*J93</f>
        <v>96</v>
      </c>
      <c r="M93" s="153">
        <f>SUM(K93:L93)</f>
        <v>144</v>
      </c>
      <c r="N93" s="166" t="s">
        <v>401</v>
      </c>
      <c r="O93" s="166" t="s">
        <v>402</v>
      </c>
      <c r="P93" s="166" t="s">
        <v>288</v>
      </c>
      <c r="Q93" s="166" t="s">
        <v>246</v>
      </c>
      <c r="R93" s="5"/>
      <c r="S93" s="103"/>
    </row>
    <row r="94" spans="1:19" s="88" customFormat="1" ht="42.75">
      <c r="A94" s="88" t="str">
        <f>_xlfn.XLOOKUP(B94,'Paso 3 Redacción RA'!I$3:I$15,'Paso 3 Redacción RA'!C$3:C$15,,0,1)</f>
        <v>SaberHacer</v>
      </c>
      <c r="B94" s="69" t="s">
        <v>98</v>
      </c>
      <c r="C94" s="141"/>
      <c r="D94" s="141"/>
      <c r="E94" s="156"/>
      <c r="F94" s="141"/>
      <c r="G94" s="141"/>
      <c r="H94" s="141"/>
      <c r="I94" s="141"/>
      <c r="J94" s="141"/>
      <c r="K94" s="141"/>
      <c r="L94" s="141"/>
      <c r="M94" s="141"/>
      <c r="N94" s="139"/>
      <c r="O94" s="139"/>
      <c r="P94" s="139"/>
      <c r="Q94" s="139"/>
      <c r="R94" s="5"/>
      <c r="S94" s="103"/>
    </row>
    <row r="95" spans="1:19" s="88" customFormat="1" ht="28.5" thickBot="1">
      <c r="A95" s="89" t="str">
        <f>_xlfn.XLOOKUP(B95,'Paso 3 Redacción RA'!I$3:I$15,'Paso 3 Redacción RA'!C$3:C$15,,0,1)</f>
        <v>SaberSer</v>
      </c>
      <c r="B95" s="85" t="s">
        <v>96</v>
      </c>
      <c r="C95" s="154"/>
      <c r="D95" s="154"/>
      <c r="E95" s="157"/>
      <c r="F95" s="154"/>
      <c r="G95" s="154"/>
      <c r="H95" s="154"/>
      <c r="I95" s="154"/>
      <c r="J95" s="154"/>
      <c r="K95" s="154"/>
      <c r="L95" s="154"/>
      <c r="M95" s="154"/>
      <c r="N95" s="167"/>
      <c r="O95" s="167"/>
      <c r="P95" s="167"/>
      <c r="Q95" s="167"/>
      <c r="R95" s="5"/>
      <c r="S95" s="103"/>
    </row>
    <row r="96" spans="1:19" s="88" customFormat="1" ht="42.75">
      <c r="A96" s="102" t="str">
        <f>_xlfn.XLOOKUP(B96,'Paso 3 Redacción RA'!I$3:I$15,'Paso 3 Redacción RA'!C$3:C$15,,0,1)</f>
        <v>Saber</v>
      </c>
      <c r="B96" s="90" t="s">
        <v>89</v>
      </c>
      <c r="C96" s="153">
        <v>7</v>
      </c>
      <c r="D96" s="153" t="s">
        <v>403</v>
      </c>
      <c r="E96" s="161" t="s">
        <v>404</v>
      </c>
      <c r="F96" s="153" t="s">
        <v>241</v>
      </c>
      <c r="G96" s="153"/>
      <c r="H96" s="153" t="s">
        <v>242</v>
      </c>
      <c r="I96" s="153"/>
      <c r="J96" s="153">
        <v>3</v>
      </c>
      <c r="K96" s="153">
        <f>16*J96</f>
        <v>48</v>
      </c>
      <c r="L96" s="153">
        <f>32*J96</f>
        <v>96</v>
      </c>
      <c r="M96" s="153">
        <f>SUM(K96:L96)</f>
        <v>144</v>
      </c>
      <c r="N96" s="166" t="s">
        <v>405</v>
      </c>
      <c r="O96" s="166" t="s">
        <v>287</v>
      </c>
      <c r="P96" s="166" t="s">
        <v>288</v>
      </c>
      <c r="Q96" s="166" t="s">
        <v>246</v>
      </c>
      <c r="R96" s="5"/>
      <c r="S96" s="103"/>
    </row>
    <row r="97" spans="1:19" s="88" customFormat="1" ht="42.75">
      <c r="A97" s="88" t="str">
        <f>_xlfn.XLOOKUP(B97,'Paso 3 Redacción RA'!I$3:I$15,'Paso 3 Redacción RA'!C$3:C$15,,0,1)</f>
        <v>SaberHacer</v>
      </c>
      <c r="B97" s="69" t="s">
        <v>98</v>
      </c>
      <c r="C97" s="141"/>
      <c r="D97" s="141"/>
      <c r="E97" s="156"/>
      <c r="F97" s="141"/>
      <c r="G97" s="141"/>
      <c r="H97" s="141"/>
      <c r="I97" s="141"/>
      <c r="J97" s="141"/>
      <c r="K97" s="141"/>
      <c r="L97" s="141"/>
      <c r="M97" s="141"/>
      <c r="N97" s="139"/>
      <c r="O97" s="139"/>
      <c r="P97" s="139"/>
      <c r="Q97" s="139"/>
      <c r="R97" s="5"/>
      <c r="S97" s="103"/>
    </row>
    <row r="98" spans="1:19" s="88" customFormat="1" ht="28.5" thickBot="1">
      <c r="A98" s="89" t="str">
        <f>_xlfn.XLOOKUP(B98,'Paso 3 Redacción RA'!I$3:I$15,'Paso 3 Redacción RA'!C$3:C$15,,0,1)</f>
        <v>SaberSer</v>
      </c>
      <c r="B98" s="85" t="s">
        <v>96</v>
      </c>
      <c r="C98" s="154"/>
      <c r="D98" s="154"/>
      <c r="E98" s="157"/>
      <c r="F98" s="154"/>
      <c r="G98" s="154"/>
      <c r="H98" s="154"/>
      <c r="I98" s="154"/>
      <c r="J98" s="154"/>
      <c r="K98" s="154"/>
      <c r="L98" s="154"/>
      <c r="M98" s="154"/>
      <c r="N98" s="167"/>
      <c r="O98" s="167"/>
      <c r="P98" s="167"/>
      <c r="Q98" s="167"/>
      <c r="R98" s="5"/>
      <c r="S98" s="103"/>
    </row>
    <row r="99" spans="1:19" s="88" customFormat="1" ht="42.75">
      <c r="A99" s="102" t="str">
        <f>_xlfn.XLOOKUP(B99,'Paso 3 Redacción RA'!I$3:I$15,'Paso 3 Redacción RA'!C$3:C$15,,0,1)</f>
        <v>Saber</v>
      </c>
      <c r="B99" s="90" t="s">
        <v>97</v>
      </c>
      <c r="C99" s="153">
        <v>7</v>
      </c>
      <c r="D99" s="153" t="s">
        <v>406</v>
      </c>
      <c r="E99" s="161" t="s">
        <v>407</v>
      </c>
      <c r="F99" s="153" t="s">
        <v>241</v>
      </c>
      <c r="G99" s="153"/>
      <c r="H99" s="153" t="s">
        <v>242</v>
      </c>
      <c r="I99" s="153"/>
      <c r="J99" s="153">
        <v>3</v>
      </c>
      <c r="K99" s="153">
        <f>16*J99</f>
        <v>48</v>
      </c>
      <c r="L99" s="153">
        <f>32*J99</f>
        <v>96</v>
      </c>
      <c r="M99" s="153">
        <f>SUM(K99:L99)</f>
        <v>144</v>
      </c>
      <c r="N99" s="166" t="s">
        <v>408</v>
      </c>
      <c r="O99" s="166" t="s">
        <v>390</v>
      </c>
      <c r="P99" s="166" t="s">
        <v>298</v>
      </c>
      <c r="Q99" s="166" t="s">
        <v>246</v>
      </c>
      <c r="R99" s="5"/>
      <c r="S99" s="103"/>
    </row>
    <row r="100" spans="1:19" s="88" customFormat="1" ht="42.75">
      <c r="A100" s="88" t="str">
        <f>_xlfn.XLOOKUP(B100,'Paso 3 Redacción RA'!I$3:I$15,'Paso 3 Redacción RA'!C$3:C$15,,0,1)</f>
        <v>SaberHacer</v>
      </c>
      <c r="B100" s="69" t="s">
        <v>98</v>
      </c>
      <c r="C100" s="141"/>
      <c r="D100" s="141"/>
      <c r="E100" s="156"/>
      <c r="F100" s="141"/>
      <c r="G100" s="141"/>
      <c r="H100" s="141"/>
      <c r="I100" s="141"/>
      <c r="J100" s="141"/>
      <c r="K100" s="141"/>
      <c r="L100" s="141"/>
      <c r="M100" s="141"/>
      <c r="N100" s="139"/>
      <c r="O100" s="139"/>
      <c r="P100" s="139"/>
      <c r="Q100" s="139"/>
      <c r="R100" s="5"/>
      <c r="S100" s="103"/>
    </row>
    <row r="101" spans="1:19" s="88" customFormat="1" ht="28.5" thickBot="1">
      <c r="A101" s="89" t="str">
        <f>_xlfn.XLOOKUP(B101,'Paso 3 Redacción RA'!I$3:I$15,'Paso 3 Redacción RA'!C$3:C$15,,0,1)</f>
        <v>SaberSer</v>
      </c>
      <c r="B101" s="85" t="s">
        <v>96</v>
      </c>
      <c r="C101" s="154"/>
      <c r="D101" s="154"/>
      <c r="E101" s="157"/>
      <c r="F101" s="154"/>
      <c r="G101" s="154"/>
      <c r="H101" s="154"/>
      <c r="I101" s="154"/>
      <c r="J101" s="154"/>
      <c r="K101" s="154"/>
      <c r="L101" s="154"/>
      <c r="M101" s="154"/>
      <c r="N101" s="167"/>
      <c r="O101" s="167"/>
      <c r="P101" s="167"/>
      <c r="Q101" s="167"/>
      <c r="R101" s="5"/>
      <c r="S101" s="103"/>
    </row>
    <row r="102" spans="1:19" s="88" customFormat="1" ht="42.75">
      <c r="A102" s="102" t="str">
        <f>_xlfn.XLOOKUP(B102,'Paso 3 Redacción RA'!I$3:I$15,'Paso 3 Redacción RA'!C$3:C$15,,0,1)</f>
        <v>Saber</v>
      </c>
      <c r="B102" s="90" t="s">
        <v>97</v>
      </c>
      <c r="C102" s="153">
        <v>7</v>
      </c>
      <c r="D102" s="153" t="s">
        <v>409</v>
      </c>
      <c r="E102" s="161" t="s">
        <v>410</v>
      </c>
      <c r="F102" s="153" t="s">
        <v>241</v>
      </c>
      <c r="G102" s="153"/>
      <c r="H102" s="153" t="s">
        <v>242</v>
      </c>
      <c r="I102" s="153"/>
      <c r="J102" s="153">
        <v>6</v>
      </c>
      <c r="K102" s="153">
        <f>16*J102</f>
        <v>96</v>
      </c>
      <c r="L102" s="153">
        <f>32*J102</f>
        <v>192</v>
      </c>
      <c r="M102" s="153">
        <f>SUM(K102:L102)</f>
        <v>288</v>
      </c>
      <c r="N102" s="166" t="s">
        <v>411</v>
      </c>
      <c r="O102" s="166" t="s">
        <v>412</v>
      </c>
      <c r="P102" s="166" t="s">
        <v>413</v>
      </c>
      <c r="Q102" s="166" t="s">
        <v>246</v>
      </c>
      <c r="R102" s="5"/>
      <c r="S102" s="103"/>
    </row>
    <row r="103" spans="1:19" s="88" customFormat="1" ht="42.75">
      <c r="A103" s="88" t="str">
        <f>_xlfn.XLOOKUP(B103,'Paso 3 Redacción RA'!I$3:I$15,'Paso 3 Redacción RA'!C$3:C$15,,0,1)</f>
        <v>SaberHacer</v>
      </c>
      <c r="B103" s="69" t="s">
        <v>92</v>
      </c>
      <c r="C103" s="141"/>
      <c r="D103" s="141"/>
      <c r="E103" s="156"/>
      <c r="F103" s="141"/>
      <c r="G103" s="141"/>
      <c r="H103" s="141"/>
      <c r="I103" s="141"/>
      <c r="J103" s="141"/>
      <c r="K103" s="141"/>
      <c r="L103" s="141"/>
      <c r="M103" s="141"/>
      <c r="N103" s="139"/>
      <c r="O103" s="139"/>
      <c r="P103" s="139"/>
      <c r="Q103" s="139"/>
      <c r="R103" s="5"/>
      <c r="S103" s="103"/>
    </row>
    <row r="104" spans="1:19" s="88" customFormat="1" ht="42.75" thickBot="1">
      <c r="A104" s="89" t="str">
        <f>_xlfn.XLOOKUP(B104,'Paso 3 Redacción RA'!I$3:I$15,'Paso 3 Redacción RA'!C$3:C$15,,0,1)</f>
        <v>SaberHacer</v>
      </c>
      <c r="B104" s="85" t="s">
        <v>98</v>
      </c>
      <c r="C104" s="154"/>
      <c r="D104" s="154"/>
      <c r="E104" s="157"/>
      <c r="F104" s="154"/>
      <c r="G104" s="154"/>
      <c r="H104" s="154"/>
      <c r="I104" s="154"/>
      <c r="J104" s="154"/>
      <c r="K104" s="154"/>
      <c r="L104" s="154"/>
      <c r="M104" s="154"/>
      <c r="N104" s="167"/>
      <c r="O104" s="167"/>
      <c r="P104" s="167"/>
      <c r="Q104" s="167"/>
      <c r="R104" s="5"/>
      <c r="S104" s="103"/>
    </row>
    <row r="105" spans="1:19" s="88" customFormat="1" thickBot="1">
      <c r="A105" s="104"/>
      <c r="B105" s="99"/>
      <c r="C105" s="105">
        <v>7</v>
      </c>
      <c r="D105" s="106" t="s">
        <v>414</v>
      </c>
      <c r="E105" s="99"/>
      <c r="F105" s="104"/>
      <c r="G105" s="108"/>
      <c r="H105" s="108"/>
      <c r="I105" s="108" t="s">
        <v>242</v>
      </c>
      <c r="J105" s="105">
        <v>3</v>
      </c>
      <c r="K105" s="105">
        <f>16*J105</f>
        <v>48</v>
      </c>
      <c r="L105" s="105">
        <f>32*J105</f>
        <v>96</v>
      </c>
      <c r="M105" s="105">
        <f>SUM(K105:L105)</f>
        <v>144</v>
      </c>
      <c r="N105" s="107"/>
      <c r="O105" s="107"/>
      <c r="P105" s="107"/>
      <c r="Q105" s="107"/>
      <c r="R105" s="5"/>
      <c r="S105" s="103"/>
    </row>
    <row r="106" spans="1:19" s="88" customFormat="1" thickBot="1">
      <c r="A106" s="104"/>
      <c r="B106" s="99"/>
      <c r="C106" s="105">
        <v>7</v>
      </c>
      <c r="D106" s="106" t="s">
        <v>415</v>
      </c>
      <c r="E106" s="99"/>
      <c r="F106" s="104"/>
      <c r="G106" s="108"/>
      <c r="H106" s="108"/>
      <c r="I106" s="108" t="s">
        <v>242</v>
      </c>
      <c r="J106" s="105">
        <v>3</v>
      </c>
      <c r="K106" s="105">
        <f>16*J106</f>
        <v>48</v>
      </c>
      <c r="L106" s="105">
        <f>32*J106</f>
        <v>96</v>
      </c>
      <c r="M106" s="105">
        <f>SUM(K106:L106)</f>
        <v>144</v>
      </c>
      <c r="N106" s="107"/>
      <c r="O106" s="107"/>
      <c r="P106" s="107"/>
      <c r="Q106" s="107"/>
      <c r="R106" s="5"/>
      <c r="S106" s="103"/>
    </row>
    <row r="107" spans="1:19" s="88" customFormat="1" ht="42.75">
      <c r="A107" s="102" t="str">
        <f>_xlfn.XLOOKUP(B107,'Paso 3 Redacción RA'!I$3:I$15,'Paso 3 Redacción RA'!C$3:C$15,,0,1)</f>
        <v>Saber</v>
      </c>
      <c r="B107" s="90" t="s">
        <v>89</v>
      </c>
      <c r="C107" s="153">
        <v>8</v>
      </c>
      <c r="D107" s="153" t="s">
        <v>416</v>
      </c>
      <c r="E107" s="161" t="s">
        <v>417</v>
      </c>
      <c r="F107" s="153" t="s">
        <v>418</v>
      </c>
      <c r="G107" s="153"/>
      <c r="H107" s="153" t="s">
        <v>242</v>
      </c>
      <c r="I107" s="153"/>
      <c r="J107" s="153">
        <v>8</v>
      </c>
      <c r="K107" s="153">
        <f>16*J107</f>
        <v>128</v>
      </c>
      <c r="L107" s="153">
        <f>32*J107</f>
        <v>256</v>
      </c>
      <c r="M107" s="153">
        <f>SUM(K107:L107)</f>
        <v>384</v>
      </c>
      <c r="N107" s="166" t="s">
        <v>419</v>
      </c>
      <c r="O107" s="166" t="s">
        <v>420</v>
      </c>
      <c r="P107" s="166" t="s">
        <v>339</v>
      </c>
      <c r="Q107" s="166" t="s">
        <v>246</v>
      </c>
      <c r="R107" s="5"/>
      <c r="S107" s="103"/>
    </row>
    <row r="108" spans="1:19" s="88" customFormat="1" ht="42.75">
      <c r="A108" s="88" t="str">
        <f>_xlfn.XLOOKUP(B108,'Paso 3 Redacción RA'!I$3:I$15,'Paso 3 Redacción RA'!C$3:C$15,,0,1)</f>
        <v>Saber</v>
      </c>
      <c r="B108" s="69" t="s">
        <v>97</v>
      </c>
      <c r="C108" s="141"/>
      <c r="D108" s="141"/>
      <c r="E108" s="156"/>
      <c r="F108" s="141"/>
      <c r="G108" s="141"/>
      <c r="H108" s="141"/>
      <c r="I108" s="141"/>
      <c r="J108" s="141"/>
      <c r="K108" s="141"/>
      <c r="L108" s="141"/>
      <c r="M108" s="141"/>
      <c r="N108" s="139"/>
      <c r="O108" s="139"/>
      <c r="P108" s="139"/>
      <c r="Q108" s="139"/>
      <c r="R108" s="5"/>
      <c r="S108" s="103"/>
    </row>
    <row r="109" spans="1:19" s="88" customFormat="1" ht="42.75">
      <c r="A109" s="88" t="str">
        <f>_xlfn.XLOOKUP(B109,'Paso 3 Redacción RA'!I$3:I$15,'Paso 3 Redacción RA'!C$3:C$15,,0,1)</f>
        <v>SaberHacer</v>
      </c>
      <c r="B109" s="69" t="s">
        <v>92</v>
      </c>
      <c r="C109" s="141"/>
      <c r="D109" s="141"/>
      <c r="E109" s="156"/>
      <c r="F109" s="141"/>
      <c r="G109" s="141"/>
      <c r="H109" s="141"/>
      <c r="I109" s="141"/>
      <c r="J109" s="141"/>
      <c r="K109" s="141"/>
      <c r="L109" s="141"/>
      <c r="M109" s="141"/>
      <c r="N109" s="139"/>
      <c r="O109" s="139"/>
      <c r="P109" s="139"/>
      <c r="Q109" s="139"/>
      <c r="R109" s="5"/>
      <c r="S109" s="103"/>
    </row>
    <row r="110" spans="1:19" s="88" customFormat="1" ht="42.75">
      <c r="A110" s="88" t="str">
        <f>_xlfn.XLOOKUP(B110,'Paso 3 Redacción RA'!I$3:I$15,'Paso 3 Redacción RA'!C$3:C$15,,0,1)</f>
        <v>SaberHacer</v>
      </c>
      <c r="B110" s="69" t="s">
        <v>98</v>
      </c>
      <c r="C110" s="141"/>
      <c r="D110" s="141"/>
      <c r="E110" s="156"/>
      <c r="F110" s="141"/>
      <c r="G110" s="141"/>
      <c r="H110" s="141"/>
      <c r="I110" s="141"/>
      <c r="J110" s="141"/>
      <c r="K110" s="141"/>
      <c r="L110" s="141"/>
      <c r="M110" s="141"/>
      <c r="N110" s="139"/>
      <c r="O110" s="139"/>
      <c r="P110" s="139"/>
      <c r="Q110" s="139"/>
      <c r="R110" s="5"/>
      <c r="S110" s="103"/>
    </row>
    <row r="111" spans="1:19" s="88" customFormat="1" ht="28.5" thickBot="1">
      <c r="A111" s="89" t="str">
        <f>_xlfn.XLOOKUP(B111,'Paso 3 Redacción RA'!I$3:I$15,'Paso 3 Redacción RA'!C$3:C$15,,0,1)</f>
        <v>SaberSer</v>
      </c>
      <c r="B111" s="85" t="s">
        <v>96</v>
      </c>
      <c r="C111" s="154"/>
      <c r="D111" s="154"/>
      <c r="E111" s="157"/>
      <c r="F111" s="154"/>
      <c r="G111" s="154"/>
      <c r="H111" s="154"/>
      <c r="I111" s="154"/>
      <c r="J111" s="154"/>
      <c r="K111" s="154"/>
      <c r="L111" s="154"/>
      <c r="M111" s="154"/>
      <c r="N111" s="167"/>
      <c r="O111" s="167"/>
      <c r="P111" s="167"/>
      <c r="Q111" s="167"/>
      <c r="R111" s="5"/>
      <c r="S111" s="103"/>
    </row>
    <row r="112" spans="1:19" s="88" customFormat="1" thickBot="1">
      <c r="A112" s="104"/>
      <c r="B112" s="99"/>
      <c r="C112" s="105">
        <v>8</v>
      </c>
      <c r="D112" s="106" t="s">
        <v>421</v>
      </c>
      <c r="E112" s="99"/>
      <c r="F112" s="104"/>
      <c r="G112" s="108"/>
      <c r="H112" s="108"/>
      <c r="I112" s="108" t="s">
        <v>242</v>
      </c>
      <c r="J112" s="105">
        <v>3</v>
      </c>
      <c r="K112" s="105">
        <f>16*J112</f>
        <v>48</v>
      </c>
      <c r="L112" s="105">
        <f>32*J112</f>
        <v>96</v>
      </c>
      <c r="M112" s="105">
        <f>SUM(K112:L112)</f>
        <v>144</v>
      </c>
      <c r="N112" s="107"/>
      <c r="O112" s="107"/>
      <c r="P112" s="107"/>
      <c r="Q112" s="107"/>
      <c r="R112" s="5"/>
      <c r="S112" s="103"/>
    </row>
    <row r="113" spans="1:19" s="88" customFormat="1" thickBot="1">
      <c r="A113" s="104"/>
      <c r="B113" s="99"/>
      <c r="C113" s="105">
        <v>8</v>
      </c>
      <c r="D113" s="106" t="s">
        <v>422</v>
      </c>
      <c r="E113" s="107"/>
      <c r="F113" s="104"/>
      <c r="G113" s="108"/>
      <c r="H113" s="108"/>
      <c r="I113" s="108" t="s">
        <v>242</v>
      </c>
      <c r="J113" s="105">
        <v>3</v>
      </c>
      <c r="K113" s="105">
        <f>16*J113</f>
        <v>48</v>
      </c>
      <c r="L113" s="105">
        <f>32*J113</f>
        <v>96</v>
      </c>
      <c r="M113" s="105">
        <f>SUM(K113:L113)</f>
        <v>144</v>
      </c>
      <c r="N113" s="107"/>
      <c r="O113" s="107"/>
      <c r="P113" s="107"/>
      <c r="Q113" s="107"/>
      <c r="R113" s="5"/>
      <c r="S113" s="103"/>
    </row>
    <row r="114" spans="1:19" s="111" customFormat="1" ht="24.75">
      <c r="A114" s="109"/>
      <c r="B114" s="110"/>
      <c r="C114" s="130" t="s">
        <v>423</v>
      </c>
      <c r="D114" s="131">
        <f>COUNTA(D3:D113)</f>
        <v>43</v>
      </c>
      <c r="E114" s="112"/>
      <c r="F114" s="113"/>
      <c r="G114" s="113"/>
      <c r="H114" s="113"/>
      <c r="I114" s="132" t="s">
        <v>424</v>
      </c>
      <c r="J114" s="134">
        <f>SUM(J3:J113)</f>
        <v>140</v>
      </c>
      <c r="K114" s="116"/>
      <c r="L114" s="39"/>
      <c r="M114" s="113"/>
      <c r="N114" s="112"/>
      <c r="O114" s="112"/>
      <c r="P114" s="112"/>
      <c r="Q114" s="112"/>
      <c r="R114" s="112"/>
      <c r="S114" s="114"/>
    </row>
    <row r="115" spans="1:19" s="111" customFormat="1" ht="37.5">
      <c r="A115" s="109"/>
      <c r="B115" s="110"/>
      <c r="C115" s="113"/>
      <c r="D115" s="113"/>
      <c r="E115" s="112"/>
      <c r="F115" s="113"/>
      <c r="G115" s="113"/>
      <c r="H115" s="113"/>
      <c r="I115" s="133" t="s">
        <v>425</v>
      </c>
      <c r="J115" s="135">
        <f>SUMIF(G3:G113,"X",J3:J113)</f>
        <v>18</v>
      </c>
      <c r="K115" s="116"/>
      <c r="L115" s="113"/>
      <c r="M115" s="113"/>
      <c r="N115" s="112"/>
      <c r="O115" s="112"/>
      <c r="P115" s="112"/>
      <c r="Q115" s="112"/>
      <c r="R115" s="112"/>
      <c r="S115" s="114"/>
    </row>
    <row r="116" spans="1:19" s="111" customFormat="1" ht="37.5">
      <c r="A116" s="115"/>
      <c r="B116" s="110"/>
      <c r="C116" s="113"/>
      <c r="D116" s="113"/>
      <c r="E116" s="112"/>
      <c r="F116" s="113"/>
      <c r="G116" s="113"/>
      <c r="H116" s="113"/>
      <c r="I116" s="133" t="s">
        <v>426</v>
      </c>
      <c r="J116" s="135">
        <f>SUMIF(H3:H113,"X",J3:J113)</f>
        <v>110</v>
      </c>
      <c r="K116" s="116"/>
      <c r="L116" s="113"/>
      <c r="M116" s="113"/>
      <c r="N116" s="112"/>
      <c r="O116" s="112"/>
      <c r="P116" s="112"/>
      <c r="Q116" s="112"/>
      <c r="R116" s="112"/>
      <c r="S116" s="114"/>
    </row>
    <row r="117" spans="1:19" s="111" customFormat="1" ht="24.75">
      <c r="A117" s="115"/>
      <c r="B117" s="110"/>
      <c r="C117" s="113"/>
      <c r="D117" s="113"/>
      <c r="F117" s="113"/>
      <c r="G117" s="113"/>
      <c r="H117" s="113"/>
      <c r="I117" s="133" t="s">
        <v>427</v>
      </c>
      <c r="J117" s="136">
        <f>SUMIF(I3:I113,"X",J3:J113)</f>
        <v>12</v>
      </c>
      <c r="K117" s="117"/>
      <c r="L117" s="113"/>
      <c r="M117" s="113"/>
      <c r="N117" s="112"/>
      <c r="O117" s="112"/>
      <c r="P117" s="112"/>
      <c r="Q117" s="112"/>
      <c r="R117" s="112"/>
      <c r="S117" s="114"/>
    </row>
    <row r="118" spans="1:19">
      <c r="C118" s="6"/>
      <c r="F118" s="6"/>
      <c r="G118" s="6"/>
      <c r="H118" s="6"/>
      <c r="I118" s="6"/>
      <c r="J118" s="6"/>
      <c r="K118" s="6"/>
      <c r="L118" s="6"/>
      <c r="M118" s="6"/>
    </row>
    <row r="119" spans="1:19">
      <c r="C119" s="6"/>
      <c r="F119" s="6"/>
      <c r="G119" s="6"/>
      <c r="H119" s="6"/>
      <c r="I119" s="6"/>
      <c r="J119" s="6"/>
      <c r="K119" s="6"/>
      <c r="L119" s="6"/>
      <c r="M119" s="6"/>
    </row>
    <row r="120" spans="1:19">
      <c r="C120" s="6"/>
      <c r="F120" s="6"/>
      <c r="G120" s="6"/>
      <c r="H120" s="6"/>
      <c r="I120" s="6"/>
      <c r="J120" s="6"/>
      <c r="K120" s="6"/>
      <c r="L120" s="6"/>
      <c r="M120" s="6"/>
    </row>
    <row r="121" spans="1:19">
      <c r="C121" s="6"/>
      <c r="F121" s="6"/>
      <c r="G121" s="6"/>
      <c r="H121" s="6"/>
      <c r="I121" s="6"/>
      <c r="J121" s="6"/>
      <c r="K121" s="6"/>
      <c r="L121" s="6"/>
      <c r="M121" s="6"/>
    </row>
    <row r="122" spans="1:19">
      <c r="C122" s="6"/>
      <c r="F122" s="6"/>
      <c r="G122" s="6"/>
      <c r="H122" s="6"/>
      <c r="I122" s="6"/>
      <c r="J122" s="6"/>
      <c r="K122" s="6"/>
      <c r="L122" s="6"/>
      <c r="M122" s="6"/>
    </row>
    <row r="123" spans="1:19">
      <c r="C123" s="6"/>
      <c r="F123" s="6"/>
      <c r="G123" s="6"/>
      <c r="H123" s="6"/>
      <c r="I123" s="6"/>
      <c r="J123" s="6"/>
      <c r="K123" s="6"/>
      <c r="L123" s="6"/>
      <c r="M123" s="6"/>
    </row>
    <row r="124" spans="1:19">
      <c r="C124" s="6"/>
      <c r="F124" s="6"/>
      <c r="G124" s="6"/>
      <c r="H124" s="6"/>
      <c r="I124" s="6"/>
      <c r="J124" s="6"/>
      <c r="K124" s="6"/>
      <c r="L124" s="6"/>
      <c r="M124" s="6"/>
    </row>
    <row r="126" spans="1:19">
      <c r="E126" s="112"/>
    </row>
  </sheetData>
  <autoFilter ref="A2:Q117" xr:uid="{F0EE195A-FBC9-4847-94C9-3ADDAD335674}"/>
  <mergeCells count="496">
    <mergeCell ref="P44:P46"/>
    <mergeCell ref="Q44:Q46"/>
    <mergeCell ref="E44:E46"/>
    <mergeCell ref="F44:F46"/>
    <mergeCell ref="G44:G46"/>
    <mergeCell ref="H44:H46"/>
    <mergeCell ref="I44:I46"/>
    <mergeCell ref="J44:J46"/>
    <mergeCell ref="K44:K46"/>
    <mergeCell ref="L44:L46"/>
    <mergeCell ref="M44:M46"/>
    <mergeCell ref="G1:I1"/>
    <mergeCell ref="P11:P13"/>
    <mergeCell ref="P5:P7"/>
    <mergeCell ref="M27:M29"/>
    <mergeCell ref="H27:H29"/>
    <mergeCell ref="M21:M23"/>
    <mergeCell ref="N21:N23"/>
    <mergeCell ref="O21:O23"/>
    <mergeCell ref="P21:P23"/>
    <mergeCell ref="P24:P26"/>
    <mergeCell ref="K14:K16"/>
    <mergeCell ref="L14:L16"/>
    <mergeCell ref="M14:M16"/>
    <mergeCell ref="N14:N16"/>
    <mergeCell ref="O14:O16"/>
    <mergeCell ref="P14:P16"/>
    <mergeCell ref="N11:N13"/>
    <mergeCell ref="O11:O13"/>
    <mergeCell ref="J18:J20"/>
    <mergeCell ref="I18:I20"/>
    <mergeCell ref="H18:H20"/>
    <mergeCell ref="M8:M10"/>
    <mergeCell ref="N8:N10"/>
    <mergeCell ref="O8:O10"/>
    <mergeCell ref="Q5:Q7"/>
    <mergeCell ref="H5:H7"/>
    <mergeCell ref="I5:I7"/>
    <mergeCell ref="J5:J7"/>
    <mergeCell ref="K5:K7"/>
    <mergeCell ref="L5:L7"/>
    <mergeCell ref="P8:P10"/>
    <mergeCell ref="Q8:Q10"/>
    <mergeCell ref="Q11:Q13"/>
    <mergeCell ref="H11:H13"/>
    <mergeCell ref="I11:I13"/>
    <mergeCell ref="J11:J13"/>
    <mergeCell ref="K11:K13"/>
    <mergeCell ref="L11:L13"/>
    <mergeCell ref="M11:M13"/>
    <mergeCell ref="M5:M7"/>
    <mergeCell ref="N5:N7"/>
    <mergeCell ref="O5:O7"/>
    <mergeCell ref="H8:H10"/>
    <mergeCell ref="I8:I10"/>
    <mergeCell ref="J8:J10"/>
    <mergeCell ref="K8:K10"/>
    <mergeCell ref="L8:L10"/>
    <mergeCell ref="C5:C7"/>
    <mergeCell ref="E5:E7"/>
    <mergeCell ref="F5:F7"/>
    <mergeCell ref="G5:G7"/>
    <mergeCell ref="C14:C16"/>
    <mergeCell ref="C8:C10"/>
    <mergeCell ref="G8:G10"/>
    <mergeCell ref="F21:F23"/>
    <mergeCell ref="G21:G23"/>
    <mergeCell ref="D8:D10"/>
    <mergeCell ref="D5:D7"/>
    <mergeCell ref="E8:E10"/>
    <mergeCell ref="F8:F10"/>
    <mergeCell ref="C21:C23"/>
    <mergeCell ref="D21:D23"/>
    <mergeCell ref="E21:E23"/>
    <mergeCell ref="D14:D16"/>
    <mergeCell ref="E14:E16"/>
    <mergeCell ref="F14:F16"/>
    <mergeCell ref="G14:G16"/>
    <mergeCell ref="E11:E13"/>
    <mergeCell ref="F11:F13"/>
    <mergeCell ref="G11:G13"/>
    <mergeCell ref="C11:C13"/>
    <mergeCell ref="I24:I26"/>
    <mergeCell ref="J24:J26"/>
    <mergeCell ref="K24:K26"/>
    <mergeCell ref="L24:L26"/>
    <mergeCell ref="D27:D29"/>
    <mergeCell ref="E27:E29"/>
    <mergeCell ref="F27:F29"/>
    <mergeCell ref="G27:G29"/>
    <mergeCell ref="C27:C29"/>
    <mergeCell ref="G24:G26"/>
    <mergeCell ref="C24:C26"/>
    <mergeCell ref="D24:D26"/>
    <mergeCell ref="E24:E26"/>
    <mergeCell ref="F24:F26"/>
    <mergeCell ref="M24:M26"/>
    <mergeCell ref="N24:N26"/>
    <mergeCell ref="O24:O26"/>
    <mergeCell ref="H30:H32"/>
    <mergeCell ref="I30:I32"/>
    <mergeCell ref="J30:J32"/>
    <mergeCell ref="K30:K32"/>
    <mergeCell ref="L30:L32"/>
    <mergeCell ref="Q21:Q23"/>
    <mergeCell ref="N27:N29"/>
    <mergeCell ref="O27:O29"/>
    <mergeCell ref="P27:P29"/>
    <mergeCell ref="Q27:Q29"/>
    <mergeCell ref="H21:H23"/>
    <mergeCell ref="I21:I23"/>
    <mergeCell ref="J21:J23"/>
    <mergeCell ref="K21:K23"/>
    <mergeCell ref="L21:L23"/>
    <mergeCell ref="I27:I29"/>
    <mergeCell ref="J27:J29"/>
    <mergeCell ref="K27:K29"/>
    <mergeCell ref="L27:L29"/>
    <mergeCell ref="Q24:Q26"/>
    <mergeCell ref="H24:H26"/>
    <mergeCell ref="Q30:Q32"/>
    <mergeCell ref="M35:M37"/>
    <mergeCell ref="N35:N37"/>
    <mergeCell ref="O35:O37"/>
    <mergeCell ref="P35:P37"/>
    <mergeCell ref="C30:C32"/>
    <mergeCell ref="D30:D32"/>
    <mergeCell ref="E30:E32"/>
    <mergeCell ref="F30:F32"/>
    <mergeCell ref="G30:G32"/>
    <mergeCell ref="F35:F37"/>
    <mergeCell ref="G35:G37"/>
    <mergeCell ref="C35:C37"/>
    <mergeCell ref="D35:D37"/>
    <mergeCell ref="E35:E37"/>
    <mergeCell ref="M30:M32"/>
    <mergeCell ref="N30:N32"/>
    <mergeCell ref="O30:O32"/>
    <mergeCell ref="P30:P32"/>
    <mergeCell ref="Q51:Q53"/>
    <mergeCell ref="C41:C43"/>
    <mergeCell ref="D41:D43"/>
    <mergeCell ref="E41:E43"/>
    <mergeCell ref="F41:F43"/>
    <mergeCell ref="G41:G43"/>
    <mergeCell ref="H41:H43"/>
    <mergeCell ref="I41:I43"/>
    <mergeCell ref="J41:J43"/>
    <mergeCell ref="K41:K43"/>
    <mergeCell ref="L41:L43"/>
    <mergeCell ref="M41:M43"/>
    <mergeCell ref="N41:N43"/>
    <mergeCell ref="O41:O43"/>
    <mergeCell ref="P41:P43"/>
    <mergeCell ref="Q41:Q43"/>
    <mergeCell ref="L51:L53"/>
    <mergeCell ref="M51:M53"/>
    <mergeCell ref="I51:I53"/>
    <mergeCell ref="J51:J53"/>
    <mergeCell ref="K51:K53"/>
    <mergeCell ref="P51:P53"/>
    <mergeCell ref="C44:C46"/>
    <mergeCell ref="D44:D46"/>
    <mergeCell ref="C38:C40"/>
    <mergeCell ref="D38:D40"/>
    <mergeCell ref="E38:E40"/>
    <mergeCell ref="F38:F40"/>
    <mergeCell ref="G38:G40"/>
    <mergeCell ref="H38:H40"/>
    <mergeCell ref="I38:I40"/>
    <mergeCell ref="J38:J40"/>
    <mergeCell ref="K38:K40"/>
    <mergeCell ref="P38:P40"/>
    <mergeCell ref="H35:H37"/>
    <mergeCell ref="I35:I37"/>
    <mergeCell ref="J35:J37"/>
    <mergeCell ref="K35:K37"/>
    <mergeCell ref="L35:L37"/>
    <mergeCell ref="Q38:Q40"/>
    <mergeCell ref="Q48:Q50"/>
    <mergeCell ref="H48:H50"/>
    <mergeCell ref="I48:I50"/>
    <mergeCell ref="J48:J50"/>
    <mergeCell ref="K48:K50"/>
    <mergeCell ref="L48:L50"/>
    <mergeCell ref="M48:M50"/>
    <mergeCell ref="N48:N50"/>
    <mergeCell ref="O48:O50"/>
    <mergeCell ref="P48:P50"/>
    <mergeCell ref="L38:L40"/>
    <mergeCell ref="M38:M40"/>
    <mergeCell ref="N38:N40"/>
    <mergeCell ref="O38:O40"/>
    <mergeCell ref="Q35:Q37"/>
    <mergeCell ref="N44:N46"/>
    <mergeCell ref="O44:O46"/>
    <mergeCell ref="Q60:Q62"/>
    <mergeCell ref="H60:H62"/>
    <mergeCell ref="I60:I62"/>
    <mergeCell ref="J60:J62"/>
    <mergeCell ref="K60:K62"/>
    <mergeCell ref="L60:L62"/>
    <mergeCell ref="C48:C50"/>
    <mergeCell ref="D48:D50"/>
    <mergeCell ref="E48:E50"/>
    <mergeCell ref="F48:F50"/>
    <mergeCell ref="G48:G50"/>
    <mergeCell ref="C60:C62"/>
    <mergeCell ref="D60:D62"/>
    <mergeCell ref="E60:E62"/>
    <mergeCell ref="F60:F62"/>
    <mergeCell ref="G60:G62"/>
    <mergeCell ref="N51:N53"/>
    <mergeCell ref="O51:O53"/>
    <mergeCell ref="C51:C53"/>
    <mergeCell ref="D51:D53"/>
    <mergeCell ref="E51:E53"/>
    <mergeCell ref="F51:F53"/>
    <mergeCell ref="G51:G53"/>
    <mergeCell ref="H51:H53"/>
    <mergeCell ref="Q57:Q59"/>
    <mergeCell ref="H57:H59"/>
    <mergeCell ref="I57:I59"/>
    <mergeCell ref="J57:J59"/>
    <mergeCell ref="K57:K59"/>
    <mergeCell ref="L57:L59"/>
    <mergeCell ref="C57:C59"/>
    <mergeCell ref="D57:D59"/>
    <mergeCell ref="E57:E59"/>
    <mergeCell ref="F57:F59"/>
    <mergeCell ref="G57:G59"/>
    <mergeCell ref="C99:C101"/>
    <mergeCell ref="D99:D101"/>
    <mergeCell ref="E99:E101"/>
    <mergeCell ref="F99:F101"/>
    <mergeCell ref="G99:G101"/>
    <mergeCell ref="M57:M59"/>
    <mergeCell ref="N57:N59"/>
    <mergeCell ref="O57:O59"/>
    <mergeCell ref="P57:P59"/>
    <mergeCell ref="M99:M101"/>
    <mergeCell ref="N99:N101"/>
    <mergeCell ref="O99:O101"/>
    <mergeCell ref="P99:P101"/>
    <mergeCell ref="M60:M62"/>
    <mergeCell ref="N60:N62"/>
    <mergeCell ref="O60:O62"/>
    <mergeCell ref="P60:P62"/>
    <mergeCell ref="H99:H101"/>
    <mergeCell ref="I99:I101"/>
    <mergeCell ref="J99:J101"/>
    <mergeCell ref="K99:K101"/>
    <mergeCell ref="L99:L101"/>
    <mergeCell ref="C87:C89"/>
    <mergeCell ref="D87:D89"/>
    <mergeCell ref="G66:G68"/>
    <mergeCell ref="C84:C86"/>
    <mergeCell ref="D84:D86"/>
    <mergeCell ref="E84:E86"/>
    <mergeCell ref="F84:F86"/>
    <mergeCell ref="G84:G86"/>
    <mergeCell ref="E66:E68"/>
    <mergeCell ref="F66:F68"/>
    <mergeCell ref="C81:C83"/>
    <mergeCell ref="D81:D83"/>
    <mergeCell ref="E81:E83"/>
    <mergeCell ref="F81:F83"/>
    <mergeCell ref="G81:G83"/>
    <mergeCell ref="C78:C80"/>
    <mergeCell ref="D78:D80"/>
    <mergeCell ref="E78:E80"/>
    <mergeCell ref="Q75:Q77"/>
    <mergeCell ref="H75:H77"/>
    <mergeCell ref="I75:I77"/>
    <mergeCell ref="J75:J77"/>
    <mergeCell ref="K75:K77"/>
    <mergeCell ref="L75:L77"/>
    <mergeCell ref="E87:E89"/>
    <mergeCell ref="F87:F89"/>
    <mergeCell ref="G87:G89"/>
    <mergeCell ref="F75:F77"/>
    <mergeCell ref="G75:G77"/>
    <mergeCell ref="E75:E77"/>
    <mergeCell ref="Q87:Q89"/>
    <mergeCell ref="H87:H89"/>
    <mergeCell ref="I87:I89"/>
    <mergeCell ref="J87:J89"/>
    <mergeCell ref="K87:K89"/>
    <mergeCell ref="L87:L89"/>
    <mergeCell ref="M87:M89"/>
    <mergeCell ref="N87:N89"/>
    <mergeCell ref="O87:O89"/>
    <mergeCell ref="P87:P89"/>
    <mergeCell ref="F78:F80"/>
    <mergeCell ref="G78:G80"/>
    <mergeCell ref="Q72:Q74"/>
    <mergeCell ref="H72:H74"/>
    <mergeCell ref="I72:I74"/>
    <mergeCell ref="J72:J74"/>
    <mergeCell ref="K72:K74"/>
    <mergeCell ref="L72:L74"/>
    <mergeCell ref="Q63:Q65"/>
    <mergeCell ref="H63:H65"/>
    <mergeCell ref="I63:I65"/>
    <mergeCell ref="J63:J65"/>
    <mergeCell ref="K63:K65"/>
    <mergeCell ref="L63:L65"/>
    <mergeCell ref="M63:M65"/>
    <mergeCell ref="N63:N65"/>
    <mergeCell ref="O63:O65"/>
    <mergeCell ref="P63:P65"/>
    <mergeCell ref="M66:M68"/>
    <mergeCell ref="N66:N68"/>
    <mergeCell ref="O66:O68"/>
    <mergeCell ref="P66:P68"/>
    <mergeCell ref="M72:M74"/>
    <mergeCell ref="N72:N74"/>
    <mergeCell ref="O72:O74"/>
    <mergeCell ref="P72:P74"/>
    <mergeCell ref="Q69:Q71"/>
    <mergeCell ref="H69:H71"/>
    <mergeCell ref="I69:I71"/>
    <mergeCell ref="J69:J71"/>
    <mergeCell ref="K69:K71"/>
    <mergeCell ref="L69:L71"/>
    <mergeCell ref="C63:C65"/>
    <mergeCell ref="D63:D65"/>
    <mergeCell ref="E63:E65"/>
    <mergeCell ref="F63:F65"/>
    <mergeCell ref="G63:G65"/>
    <mergeCell ref="C69:C71"/>
    <mergeCell ref="D69:D71"/>
    <mergeCell ref="E69:E71"/>
    <mergeCell ref="F69:F71"/>
    <mergeCell ref="G69:G71"/>
    <mergeCell ref="Q66:Q68"/>
    <mergeCell ref="H66:H68"/>
    <mergeCell ref="I66:I68"/>
    <mergeCell ref="J66:J68"/>
    <mergeCell ref="K66:K68"/>
    <mergeCell ref="L66:L68"/>
    <mergeCell ref="C66:C68"/>
    <mergeCell ref="D66:D68"/>
    <mergeCell ref="Q54:Q56"/>
    <mergeCell ref="H54:H56"/>
    <mergeCell ref="I54:I56"/>
    <mergeCell ref="J54:J56"/>
    <mergeCell ref="K54:K56"/>
    <mergeCell ref="L54:L56"/>
    <mergeCell ref="C54:C56"/>
    <mergeCell ref="D54:D56"/>
    <mergeCell ref="E54:E56"/>
    <mergeCell ref="F54:F56"/>
    <mergeCell ref="G54:G56"/>
    <mergeCell ref="M54:M56"/>
    <mergeCell ref="N54:N56"/>
    <mergeCell ref="O54:O56"/>
    <mergeCell ref="P54:P56"/>
    <mergeCell ref="M69:M71"/>
    <mergeCell ref="N69:N71"/>
    <mergeCell ref="O69:O71"/>
    <mergeCell ref="P69:P71"/>
    <mergeCell ref="C72:C74"/>
    <mergeCell ref="D72:D74"/>
    <mergeCell ref="E72:E74"/>
    <mergeCell ref="F72:F74"/>
    <mergeCell ref="G72:G74"/>
    <mergeCell ref="N78:N80"/>
    <mergeCell ref="O78:O80"/>
    <mergeCell ref="P78:P80"/>
    <mergeCell ref="M75:M77"/>
    <mergeCell ref="N75:N77"/>
    <mergeCell ref="O75:O77"/>
    <mergeCell ref="P75:P77"/>
    <mergeCell ref="C75:C77"/>
    <mergeCell ref="D75:D77"/>
    <mergeCell ref="Q84:Q86"/>
    <mergeCell ref="H84:H86"/>
    <mergeCell ref="I84:I86"/>
    <mergeCell ref="J84:J86"/>
    <mergeCell ref="K84:K86"/>
    <mergeCell ref="L84:L86"/>
    <mergeCell ref="Q81:Q83"/>
    <mergeCell ref="H81:H83"/>
    <mergeCell ref="I81:I83"/>
    <mergeCell ref="J81:J83"/>
    <mergeCell ref="K81:K83"/>
    <mergeCell ref="L81:L83"/>
    <mergeCell ref="M81:M83"/>
    <mergeCell ref="N81:N83"/>
    <mergeCell ref="O81:O83"/>
    <mergeCell ref="P81:P83"/>
    <mergeCell ref="M84:M86"/>
    <mergeCell ref="N84:N86"/>
    <mergeCell ref="O84:O86"/>
    <mergeCell ref="P84:P86"/>
    <mergeCell ref="Q78:Q80"/>
    <mergeCell ref="H78:H80"/>
    <mergeCell ref="I78:I80"/>
    <mergeCell ref="J78:J80"/>
    <mergeCell ref="K78:K80"/>
    <mergeCell ref="L78:L80"/>
    <mergeCell ref="M78:M80"/>
    <mergeCell ref="H102:H104"/>
    <mergeCell ref="I102:I104"/>
    <mergeCell ref="J102:J104"/>
    <mergeCell ref="K102:K104"/>
    <mergeCell ref="L102:L104"/>
    <mergeCell ref="M93:M95"/>
    <mergeCell ref="N93:N95"/>
    <mergeCell ref="O93:O95"/>
    <mergeCell ref="P93:P95"/>
    <mergeCell ref="Q102:Q104"/>
    <mergeCell ref="Q99:Q101"/>
    <mergeCell ref="Q93:Q95"/>
    <mergeCell ref="H93:H95"/>
    <mergeCell ref="I93:I95"/>
    <mergeCell ref="J93:J95"/>
    <mergeCell ref="K93:K95"/>
    <mergeCell ref="L93:L95"/>
    <mergeCell ref="C102:C104"/>
    <mergeCell ref="D102:D104"/>
    <mergeCell ref="E102:E104"/>
    <mergeCell ref="F102:F104"/>
    <mergeCell ref="G102:G104"/>
    <mergeCell ref="M102:M104"/>
    <mergeCell ref="N102:N104"/>
    <mergeCell ref="O102:O104"/>
    <mergeCell ref="P102:P104"/>
    <mergeCell ref="C96:C98"/>
    <mergeCell ref="D96:D98"/>
    <mergeCell ref="Q96:Q98"/>
    <mergeCell ref="H96:H98"/>
    <mergeCell ref="I96:I98"/>
    <mergeCell ref="J96:J98"/>
    <mergeCell ref="K96:K98"/>
    <mergeCell ref="L96:L98"/>
    <mergeCell ref="M96:M98"/>
    <mergeCell ref="N96:N98"/>
    <mergeCell ref="O96:O98"/>
    <mergeCell ref="P96:P98"/>
    <mergeCell ref="C90:C92"/>
    <mergeCell ref="D90:D92"/>
    <mergeCell ref="E90:E92"/>
    <mergeCell ref="F90:F92"/>
    <mergeCell ref="G90:G92"/>
    <mergeCell ref="C93:C95"/>
    <mergeCell ref="D93:D95"/>
    <mergeCell ref="E93:E95"/>
    <mergeCell ref="F93:F95"/>
    <mergeCell ref="G93:G95"/>
    <mergeCell ref="O90:O92"/>
    <mergeCell ref="P90:P92"/>
    <mergeCell ref="Q90:Q92"/>
    <mergeCell ref="H90:H92"/>
    <mergeCell ref="I90:I92"/>
    <mergeCell ref="J90:J92"/>
    <mergeCell ref="K90:K92"/>
    <mergeCell ref="L90:L92"/>
    <mergeCell ref="E96:E98"/>
    <mergeCell ref="F96:F98"/>
    <mergeCell ref="G96:G98"/>
    <mergeCell ref="C107:C111"/>
    <mergeCell ref="D107:D111"/>
    <mergeCell ref="E107:E111"/>
    <mergeCell ref="F107:F111"/>
    <mergeCell ref="G107:G111"/>
    <mergeCell ref="Q18:Q20"/>
    <mergeCell ref="P18:P20"/>
    <mergeCell ref="O18:O20"/>
    <mergeCell ref="N18:N20"/>
    <mergeCell ref="M18:M20"/>
    <mergeCell ref="L18:L20"/>
    <mergeCell ref="K18:K20"/>
    <mergeCell ref="M107:M111"/>
    <mergeCell ref="N107:N111"/>
    <mergeCell ref="O107:O111"/>
    <mergeCell ref="P107:P111"/>
    <mergeCell ref="Q107:Q111"/>
    <mergeCell ref="H107:H111"/>
    <mergeCell ref="I107:I111"/>
    <mergeCell ref="J107:J111"/>
    <mergeCell ref="K107:K111"/>
    <mergeCell ref="L107:L111"/>
    <mergeCell ref="M90:M92"/>
    <mergeCell ref="N90:N92"/>
    <mergeCell ref="D11:D13"/>
    <mergeCell ref="C18:C20"/>
    <mergeCell ref="D18:D20"/>
    <mergeCell ref="E18:E20"/>
    <mergeCell ref="F18:F20"/>
    <mergeCell ref="G18:G20"/>
    <mergeCell ref="Q14:Q16"/>
    <mergeCell ref="H14:H16"/>
    <mergeCell ref="I14:I16"/>
    <mergeCell ref="J14:J16"/>
  </mergeCells>
  <dataValidations disablePrompts="1" count="1">
    <dataValidation type="list" allowBlank="1" showInputMessage="1" showErrorMessage="1" sqref="E11: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FB58D49-D1C0-4270-ACFB-03A7341BCCED}">
          <x14:formula1>
            <xm:f>'Paso 3 Redacción RA'!$I$3:$I$15</xm:f>
          </x14:formula1>
          <xm:sqref>B3:B117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workbookViewId="0">
      <selection activeCell="E7" sqref="E7"/>
    </sheetView>
  </sheetViews>
  <sheetFormatPr defaultColWidth="9.140625" defaultRowHeight="14.45"/>
  <cols>
    <col min="2" max="2" width="29.28515625" customWidth="1"/>
  </cols>
  <sheetData>
    <row r="1" spans="2:2" ht="16.5">
      <c r="B1" s="1" t="s">
        <v>428</v>
      </c>
    </row>
    <row r="2" spans="2:2" ht="16.5">
      <c r="B2" s="1" t="s">
        <v>429</v>
      </c>
    </row>
    <row r="3" spans="2:2" ht="16.5">
      <c r="B3" s="1" t="s">
        <v>430</v>
      </c>
    </row>
    <row r="4" spans="2:2" ht="16.5">
      <c r="B4" s="1" t="s">
        <v>56</v>
      </c>
    </row>
    <row r="5" spans="2:2" ht="16.5">
      <c r="B5" s="1" t="s">
        <v>431</v>
      </c>
    </row>
    <row r="6" spans="2:2" ht="16.5">
      <c r="B6" s="1" t="s">
        <v>432</v>
      </c>
    </row>
    <row r="7" spans="2:2" ht="16.5">
      <c r="B7" s="1" t="s">
        <v>433</v>
      </c>
    </row>
    <row r="8" spans="2:2" ht="16.5">
      <c r="B8" s="1" t="s">
        <v>434</v>
      </c>
    </row>
    <row r="9" spans="2:2" ht="16.5">
      <c r="B9" s="1" t="s">
        <v>435</v>
      </c>
    </row>
    <row r="10" spans="2:2" ht="16.5">
      <c r="B10" s="1" t="s">
        <v>436</v>
      </c>
    </row>
    <row r="11" spans="2:2" ht="16.5">
      <c r="B11" s="1" t="s">
        <v>63</v>
      </c>
    </row>
    <row r="12" spans="2:2" ht="16.5">
      <c r="B12" s="1" t="s">
        <v>437</v>
      </c>
    </row>
    <row r="13" spans="2:2" ht="16.5">
      <c r="B13" s="1" t="s">
        <v>61</v>
      </c>
    </row>
    <row r="14" spans="2:2" ht="16.5">
      <c r="B14" s="1" t="s">
        <v>438</v>
      </c>
    </row>
    <row r="15" spans="2:2" ht="16.5">
      <c r="B15" s="1" t="s">
        <v>59</v>
      </c>
    </row>
    <row r="16" spans="2:2" ht="16.5">
      <c r="B16" s="1" t="s">
        <v>439</v>
      </c>
    </row>
    <row r="17" spans="2:2" ht="16.5">
      <c r="B17" s="1" t="s">
        <v>440</v>
      </c>
    </row>
    <row r="18" spans="2:2" ht="16.5">
      <c r="B18" s="1" t="s">
        <v>95</v>
      </c>
    </row>
    <row r="19" spans="2:2" ht="16.5">
      <c r="B19" s="1" t="s">
        <v>441</v>
      </c>
    </row>
    <row r="20" spans="2:2" ht="16.5">
      <c r="B20" s="1" t="s">
        <v>442</v>
      </c>
    </row>
    <row r="21" spans="2:2" ht="16.5">
      <c r="B21" s="1" t="s">
        <v>443</v>
      </c>
    </row>
    <row r="22" spans="2:2" ht="16.5">
      <c r="B22" s="1" t="s">
        <v>444</v>
      </c>
    </row>
    <row r="23" spans="2:2" ht="16.5">
      <c r="B23" s="1" t="s">
        <v>445</v>
      </c>
    </row>
    <row r="24" spans="2:2" ht="16.5">
      <c r="B24" s="1" t="s">
        <v>446</v>
      </c>
    </row>
    <row r="25" spans="2:2" ht="16.5">
      <c r="B25" s="1" t="s">
        <v>447</v>
      </c>
    </row>
    <row r="26" spans="2:2" ht="16.5">
      <c r="B26" s="1" t="s">
        <v>448</v>
      </c>
    </row>
    <row r="27" spans="2:2" ht="16.5">
      <c r="B27" s="1" t="s">
        <v>449</v>
      </c>
    </row>
    <row r="28" spans="2:2" ht="16.5">
      <c r="B28" s="1" t="s">
        <v>450</v>
      </c>
    </row>
    <row r="29" spans="2:2" ht="16.5">
      <c r="B29" s="1" t="s">
        <v>451</v>
      </c>
    </row>
    <row r="30" spans="2:2" ht="16.5">
      <c r="B30" s="1" t="s">
        <v>452</v>
      </c>
    </row>
    <row r="31" spans="2:2" ht="16.5">
      <c r="B31" s="1" t="s">
        <v>453</v>
      </c>
    </row>
    <row r="32" spans="2:2" ht="16.5">
      <c r="B32" s="1" t="s">
        <v>454</v>
      </c>
    </row>
    <row r="33" spans="2:2" ht="16.5">
      <c r="B33" s="1" t="s">
        <v>455</v>
      </c>
    </row>
    <row r="34" spans="2:2" ht="16.5">
      <c r="B34" s="1" t="s">
        <v>456</v>
      </c>
    </row>
    <row r="35" spans="2:2" ht="16.5">
      <c r="B35" s="1" t="s">
        <v>457</v>
      </c>
    </row>
    <row r="36" spans="2:2" ht="16.5">
      <c r="B36" s="1" t="s">
        <v>458</v>
      </c>
    </row>
    <row r="37" spans="2:2" ht="16.5">
      <c r="B37" s="1" t="s">
        <v>459</v>
      </c>
    </row>
    <row r="38" spans="2:2" ht="16.5">
      <c r="B38" s="1" t="s">
        <v>460</v>
      </c>
    </row>
    <row r="39" spans="2:2" ht="16.5">
      <c r="B39" s="1" t="s">
        <v>461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H1" zoomScale="70" zoomScaleNormal="70" workbookViewId="0">
      <selection activeCell="V15" sqref="V15"/>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72" t="s">
        <v>462</v>
      </c>
      <c r="T1" s="172"/>
      <c r="U1" s="172"/>
      <c r="V1" s="172"/>
      <c r="W1" s="172"/>
      <c r="X1" s="172"/>
      <c r="Y1" s="172"/>
      <c r="Z1" s="172"/>
      <c r="AA1" s="172"/>
      <c r="AB1" s="172"/>
      <c r="AC1" s="172"/>
      <c r="AD1" s="172"/>
      <c r="AE1" s="172"/>
      <c r="AF1" s="172"/>
      <c r="AG1" s="172"/>
      <c r="AH1" s="14"/>
      <c r="AI1" s="14"/>
      <c r="AJ1" s="14"/>
      <c r="AK1" s="1"/>
      <c r="AL1" s="172" t="s">
        <v>463</v>
      </c>
      <c r="AM1" s="172"/>
      <c r="AN1" s="172"/>
      <c r="AO1" s="172"/>
      <c r="AP1" s="172"/>
      <c r="AQ1" s="172"/>
      <c r="AR1" s="14"/>
      <c r="AS1" s="14"/>
      <c r="AT1" s="172" t="s">
        <v>464</v>
      </c>
      <c r="AU1" s="172"/>
      <c r="AV1" s="172"/>
      <c r="AW1" s="172"/>
      <c r="AX1" s="172"/>
      <c r="AY1" s="172"/>
      <c r="AZ1" s="14"/>
      <c r="BA1" s="1"/>
      <c r="BB1" s="1"/>
      <c r="BC1" s="14"/>
    </row>
    <row r="2" spans="1:55">
      <c r="A2" s="1"/>
      <c r="B2" s="1"/>
      <c r="C2" s="1"/>
      <c r="D2" s="1"/>
      <c r="E2" s="1"/>
      <c r="F2" s="1"/>
      <c r="G2" s="1"/>
      <c r="H2" s="1"/>
      <c r="I2" s="1"/>
      <c r="J2" s="1"/>
      <c r="K2" s="1"/>
      <c r="L2" s="172" t="s">
        <v>465</v>
      </c>
      <c r="M2" s="172"/>
      <c r="N2" s="172"/>
      <c r="O2" s="172"/>
      <c r="P2" s="172"/>
      <c r="Q2" s="172"/>
      <c r="R2" s="1"/>
      <c r="S2" s="173" t="s">
        <v>466</v>
      </c>
      <c r="T2" s="174"/>
      <c r="U2" s="174"/>
      <c r="V2" s="174"/>
      <c r="W2" s="174"/>
      <c r="X2" s="175"/>
      <c r="Y2" s="173" t="s">
        <v>467</v>
      </c>
      <c r="Z2" s="174"/>
      <c r="AA2" s="174"/>
      <c r="AB2" s="175"/>
      <c r="AC2" s="173" t="s">
        <v>468</v>
      </c>
      <c r="AD2" s="174"/>
      <c r="AE2" s="174"/>
      <c r="AF2" s="174"/>
      <c r="AG2" s="176"/>
      <c r="AH2" s="14"/>
      <c r="AI2" s="14"/>
      <c r="AJ2" s="14"/>
      <c r="AK2" s="1"/>
      <c r="AL2" s="177"/>
      <c r="AM2" s="177"/>
      <c r="AN2" s="177"/>
      <c r="AO2" s="177"/>
      <c r="AP2" s="177"/>
      <c r="AQ2" s="177"/>
      <c r="AR2" s="14"/>
      <c r="AS2" s="14"/>
      <c r="AT2" s="14"/>
      <c r="AU2" s="14"/>
      <c r="AV2" s="14"/>
      <c r="AW2" s="14"/>
      <c r="AX2" s="14"/>
      <c r="AY2" s="14"/>
      <c r="AZ2" s="14"/>
      <c r="BA2" s="1"/>
      <c r="BB2" s="1"/>
      <c r="BC2" s="14"/>
    </row>
    <row r="3" spans="1:55">
      <c r="A3" s="1" t="s">
        <v>469</v>
      </c>
      <c r="B3" s="1"/>
      <c r="C3" s="1" t="s">
        <v>86</v>
      </c>
      <c r="D3" s="1" t="s">
        <v>470</v>
      </c>
      <c r="E3" s="1" t="s">
        <v>471</v>
      </c>
      <c r="F3" s="1"/>
      <c r="G3" s="1" t="s">
        <v>100</v>
      </c>
      <c r="H3" s="1" t="s">
        <v>472</v>
      </c>
      <c r="I3" s="1" t="s">
        <v>473</v>
      </c>
      <c r="J3" s="1"/>
      <c r="K3" s="1"/>
      <c r="L3" s="1" t="s">
        <v>474</v>
      </c>
      <c r="M3" s="1" t="s">
        <v>101</v>
      </c>
      <c r="N3" s="1" t="s">
        <v>475</v>
      </c>
      <c r="O3" s="1" t="s">
        <v>476</v>
      </c>
      <c r="P3" s="1" t="s">
        <v>477</v>
      </c>
      <c r="Q3" s="1" t="s">
        <v>478</v>
      </c>
      <c r="R3" s="1"/>
      <c r="S3" s="65" t="s">
        <v>479</v>
      </c>
      <c r="T3" s="1" t="s">
        <v>106</v>
      </c>
      <c r="U3" s="1" t="s">
        <v>480</v>
      </c>
      <c r="V3" s="1" t="s">
        <v>88</v>
      </c>
      <c r="W3" s="1" t="s">
        <v>481</v>
      </c>
      <c r="X3" s="1" t="s">
        <v>482</v>
      </c>
      <c r="Y3" s="65" t="s">
        <v>483</v>
      </c>
      <c r="Z3" s="1" t="s">
        <v>109</v>
      </c>
      <c r="AA3" s="1" t="s">
        <v>484</v>
      </c>
      <c r="AB3" s="1" t="s">
        <v>91</v>
      </c>
      <c r="AC3" s="65" t="s">
        <v>94</v>
      </c>
      <c r="AD3" s="1" t="s">
        <v>485</v>
      </c>
      <c r="AE3" s="1" t="s">
        <v>113</v>
      </c>
      <c r="AF3" s="1" t="s">
        <v>486</v>
      </c>
      <c r="AG3" s="66" t="s">
        <v>487</v>
      </c>
      <c r="AH3" s="1"/>
      <c r="AI3" s="1"/>
      <c r="AJ3" s="1"/>
      <c r="AK3" s="1"/>
      <c r="AL3" s="168" t="s">
        <v>488</v>
      </c>
      <c r="AM3" s="168"/>
      <c r="AN3" s="168"/>
      <c r="AO3" s="168" t="s">
        <v>489</v>
      </c>
      <c r="AP3" s="168"/>
      <c r="AQ3" s="168"/>
      <c r="AR3" s="15"/>
      <c r="AS3" s="15"/>
      <c r="AT3" s="15"/>
      <c r="AU3" s="15"/>
      <c r="AV3" s="15"/>
      <c r="AW3" s="15"/>
      <c r="AX3" s="15"/>
      <c r="AY3" s="15"/>
      <c r="AZ3" s="15"/>
      <c r="BA3" s="1"/>
      <c r="BB3" s="1"/>
      <c r="BC3" s="15"/>
    </row>
    <row r="4" spans="1:55">
      <c r="A4" s="1" t="s">
        <v>99</v>
      </c>
      <c r="B4" s="1"/>
      <c r="C4" s="1" t="s">
        <v>87</v>
      </c>
      <c r="D4" s="1" t="s">
        <v>490</v>
      </c>
      <c r="E4" s="1" t="s">
        <v>491</v>
      </c>
      <c r="F4" s="1"/>
      <c r="G4" s="1" t="s">
        <v>474</v>
      </c>
      <c r="H4" s="1" t="s">
        <v>474</v>
      </c>
      <c r="I4" s="1" t="s">
        <v>474</v>
      </c>
      <c r="J4" s="1"/>
      <c r="K4" s="1"/>
      <c r="L4" s="1" t="s">
        <v>492</v>
      </c>
      <c r="M4" s="1" t="s">
        <v>433</v>
      </c>
      <c r="N4" s="1" t="s">
        <v>110</v>
      </c>
      <c r="O4" s="1" t="s">
        <v>493</v>
      </c>
      <c r="P4" s="1" t="s">
        <v>494</v>
      </c>
      <c r="Q4" s="1" t="s">
        <v>495</v>
      </c>
      <c r="R4" s="1"/>
      <c r="S4" s="121" t="s">
        <v>492</v>
      </c>
      <c r="T4" s="122" t="s">
        <v>433</v>
      </c>
      <c r="U4" s="122" t="s">
        <v>110</v>
      </c>
      <c r="V4" s="122" t="s">
        <v>493</v>
      </c>
      <c r="W4" s="122" t="s">
        <v>494</v>
      </c>
      <c r="X4" s="122" t="s">
        <v>495</v>
      </c>
      <c r="Y4" s="121" t="s">
        <v>496</v>
      </c>
      <c r="Z4" s="122" t="s">
        <v>497</v>
      </c>
      <c r="AA4" s="122" t="s">
        <v>498</v>
      </c>
      <c r="AB4" s="122" t="s">
        <v>499</v>
      </c>
      <c r="AC4" s="121" t="s">
        <v>500</v>
      </c>
      <c r="AD4" s="122" t="s">
        <v>496</v>
      </c>
      <c r="AE4" s="122" t="s">
        <v>500</v>
      </c>
      <c r="AF4" s="122" t="s">
        <v>501</v>
      </c>
      <c r="AG4" s="66" t="s">
        <v>502</v>
      </c>
      <c r="AH4" s="1"/>
      <c r="AI4" s="1"/>
      <c r="AJ4" s="1"/>
      <c r="AK4" s="1"/>
      <c r="AL4" s="16" t="s">
        <v>503</v>
      </c>
      <c r="AM4" s="16" t="s">
        <v>504</v>
      </c>
      <c r="AN4" s="16" t="s">
        <v>505</v>
      </c>
      <c r="AO4" s="16" t="s">
        <v>506</v>
      </c>
      <c r="AP4" s="17" t="s">
        <v>507</v>
      </c>
      <c r="AQ4" s="16" t="s">
        <v>508</v>
      </c>
      <c r="AR4" s="15"/>
      <c r="AS4" s="15"/>
      <c r="AT4" s="1" t="s">
        <v>509</v>
      </c>
      <c r="AU4" s="1" t="s">
        <v>510</v>
      </c>
      <c r="AV4" s="1" t="s">
        <v>511</v>
      </c>
      <c r="AW4" s="1" t="s">
        <v>512</v>
      </c>
      <c r="AX4" s="1" t="s">
        <v>513</v>
      </c>
      <c r="AY4" s="1" t="s">
        <v>514</v>
      </c>
      <c r="AZ4" s="15"/>
      <c r="BA4" s="1"/>
      <c r="BB4" s="1"/>
      <c r="BC4" s="15"/>
    </row>
    <row r="5" spans="1:55">
      <c r="A5" s="1" t="s">
        <v>86</v>
      </c>
      <c r="B5" s="1"/>
      <c r="C5" s="1" t="s">
        <v>90</v>
      </c>
      <c r="D5" s="1" t="s">
        <v>515</v>
      </c>
      <c r="E5" s="1" t="s">
        <v>516</v>
      </c>
      <c r="F5" s="1"/>
      <c r="G5" s="1" t="s">
        <v>101</v>
      </c>
      <c r="H5" s="1" t="s">
        <v>101</v>
      </c>
      <c r="I5" s="1" t="s">
        <v>101</v>
      </c>
      <c r="J5" s="1"/>
      <c r="K5" s="1"/>
      <c r="L5" s="1" t="s">
        <v>517</v>
      </c>
      <c r="M5" s="1" t="s">
        <v>518</v>
      </c>
      <c r="N5" s="1" t="s">
        <v>519</v>
      </c>
      <c r="O5" s="1" t="s">
        <v>56</v>
      </c>
      <c r="P5" s="1" t="s">
        <v>430</v>
      </c>
      <c r="Q5" s="1" t="s">
        <v>520</v>
      </c>
      <c r="R5" s="1"/>
      <c r="S5" s="121" t="s">
        <v>517</v>
      </c>
      <c r="T5" s="122" t="s">
        <v>518</v>
      </c>
      <c r="U5" s="122" t="s">
        <v>519</v>
      </c>
      <c r="V5" s="122" t="s">
        <v>56</v>
      </c>
      <c r="W5" s="122" t="s">
        <v>430</v>
      </c>
      <c r="X5" s="122" t="s">
        <v>520</v>
      </c>
      <c r="Y5" s="121" t="s">
        <v>494</v>
      </c>
      <c r="Z5" s="122" t="s">
        <v>493</v>
      </c>
      <c r="AA5" s="122" t="s">
        <v>521</v>
      </c>
      <c r="AB5" s="122" t="s">
        <v>522</v>
      </c>
      <c r="AC5" s="121" t="s">
        <v>523</v>
      </c>
      <c r="AD5" s="122" t="s">
        <v>524</v>
      </c>
      <c r="AE5" s="123" t="s">
        <v>525</v>
      </c>
      <c r="AF5" s="122" t="s">
        <v>526</v>
      </c>
      <c r="AG5" s="66" t="s">
        <v>527</v>
      </c>
      <c r="AH5" s="1"/>
      <c r="AI5" s="1"/>
      <c r="AJ5" s="1"/>
      <c r="AK5" s="1"/>
      <c r="AL5" s="18" t="s">
        <v>528</v>
      </c>
      <c r="AM5" s="18" t="s">
        <v>529</v>
      </c>
      <c r="AN5" s="18" t="s">
        <v>521</v>
      </c>
      <c r="AO5" s="18" t="s">
        <v>530</v>
      </c>
      <c r="AP5" s="18" t="s">
        <v>494</v>
      </c>
      <c r="AQ5" s="18" t="s">
        <v>61</v>
      </c>
      <c r="AR5" s="18"/>
      <c r="AS5" s="18"/>
      <c r="AT5" s="19" t="s">
        <v>528</v>
      </c>
      <c r="AU5" s="20" t="s">
        <v>433</v>
      </c>
      <c r="AV5" s="19" t="s">
        <v>530</v>
      </c>
      <c r="AW5" s="19" t="s">
        <v>521</v>
      </c>
      <c r="AX5" s="20" t="s">
        <v>500</v>
      </c>
      <c r="AY5" s="20" t="s">
        <v>500</v>
      </c>
      <c r="AZ5" s="18"/>
      <c r="BA5" s="1"/>
      <c r="BB5" s="1"/>
      <c r="BC5" s="18"/>
    </row>
    <row r="6" spans="1:55">
      <c r="A6" s="1" t="s">
        <v>470</v>
      </c>
      <c r="B6" s="1"/>
      <c r="C6" s="1" t="s">
        <v>93</v>
      </c>
      <c r="D6" s="1" t="s">
        <v>531</v>
      </c>
      <c r="E6" s="1" t="s">
        <v>532</v>
      </c>
      <c r="F6" s="1"/>
      <c r="G6" s="1" t="s">
        <v>475</v>
      </c>
      <c r="H6" s="1" t="s">
        <v>475</v>
      </c>
      <c r="I6" s="1" t="s">
        <v>475</v>
      </c>
      <c r="J6" s="1"/>
      <c r="K6" s="1"/>
      <c r="L6" s="1" t="s">
        <v>533</v>
      </c>
      <c r="M6" s="1" t="s">
        <v>534</v>
      </c>
      <c r="N6" s="1" t="s">
        <v>535</v>
      </c>
      <c r="O6" s="1" t="s">
        <v>536</v>
      </c>
      <c r="P6" s="1" t="s">
        <v>499</v>
      </c>
      <c r="Q6" s="1" t="s">
        <v>537</v>
      </c>
      <c r="R6" s="1"/>
      <c r="S6" s="121" t="s">
        <v>533</v>
      </c>
      <c r="T6" s="122" t="s">
        <v>534</v>
      </c>
      <c r="U6" s="122" t="s">
        <v>535</v>
      </c>
      <c r="V6" s="122" t="s">
        <v>536</v>
      </c>
      <c r="W6" s="122" t="s">
        <v>499</v>
      </c>
      <c r="X6" s="122" t="s">
        <v>537</v>
      </c>
      <c r="Y6" s="121" t="s">
        <v>538</v>
      </c>
      <c r="Z6" s="122" t="s">
        <v>538</v>
      </c>
      <c r="AA6" s="122" t="s">
        <v>494</v>
      </c>
      <c r="AB6" s="122" t="s">
        <v>529</v>
      </c>
      <c r="AC6" s="121" t="s">
        <v>539</v>
      </c>
      <c r="AD6" s="122" t="s">
        <v>528</v>
      </c>
      <c r="AE6" s="122" t="s">
        <v>528</v>
      </c>
      <c r="AF6" s="122" t="s">
        <v>499</v>
      </c>
      <c r="AG6" s="66" t="s">
        <v>540</v>
      </c>
      <c r="AH6" s="1"/>
      <c r="AI6" s="1"/>
      <c r="AJ6" s="1"/>
      <c r="AK6" s="1"/>
      <c r="AL6" s="18" t="s">
        <v>533</v>
      </c>
      <c r="AM6" s="18" t="s">
        <v>541</v>
      </c>
      <c r="AN6" s="18" t="s">
        <v>530</v>
      </c>
      <c r="AO6" s="18" t="s">
        <v>493</v>
      </c>
      <c r="AP6" s="18" t="s">
        <v>542</v>
      </c>
      <c r="AQ6" s="18" t="s">
        <v>543</v>
      </c>
      <c r="AR6" s="18"/>
      <c r="AS6" s="18"/>
      <c r="AT6" s="21" t="s">
        <v>533</v>
      </c>
      <c r="AU6" s="22" t="s">
        <v>518</v>
      </c>
      <c r="AV6" s="20" t="s">
        <v>493</v>
      </c>
      <c r="AW6" s="21" t="s">
        <v>530</v>
      </c>
      <c r="AX6" s="22" t="s">
        <v>501</v>
      </c>
      <c r="AY6" s="20" t="s">
        <v>525</v>
      </c>
      <c r="AZ6" s="18"/>
      <c r="BA6" s="1"/>
      <c r="BB6" s="1"/>
      <c r="BC6" s="18"/>
    </row>
    <row r="7" spans="1:55">
      <c r="A7" s="1" t="s">
        <v>471</v>
      </c>
      <c r="B7" s="1"/>
      <c r="C7" s="1"/>
      <c r="D7" s="1" t="s">
        <v>544</v>
      </c>
      <c r="E7" s="1"/>
      <c r="F7" s="1"/>
      <c r="G7" s="1" t="s">
        <v>476</v>
      </c>
      <c r="H7" s="1" t="s">
        <v>476</v>
      </c>
      <c r="I7" s="1" t="s">
        <v>476</v>
      </c>
      <c r="J7" s="1"/>
      <c r="K7" s="1"/>
      <c r="L7" s="1" t="s">
        <v>545</v>
      </c>
      <c r="M7" s="1" t="s">
        <v>434</v>
      </c>
      <c r="N7" s="1" t="s">
        <v>546</v>
      </c>
      <c r="O7" s="1" t="s">
        <v>547</v>
      </c>
      <c r="P7" s="1" t="s">
        <v>499</v>
      </c>
      <c r="Q7" s="1" t="s">
        <v>548</v>
      </c>
      <c r="R7" s="1"/>
      <c r="S7" s="121" t="s">
        <v>545</v>
      </c>
      <c r="T7" s="122" t="s">
        <v>434</v>
      </c>
      <c r="U7" s="122" t="s">
        <v>546</v>
      </c>
      <c r="V7" s="122" t="s">
        <v>547</v>
      </c>
      <c r="W7" s="122" t="s">
        <v>499</v>
      </c>
      <c r="X7" s="122" t="s">
        <v>548</v>
      </c>
      <c r="Y7" s="121" t="s">
        <v>548</v>
      </c>
      <c r="Z7" s="122" t="s">
        <v>549</v>
      </c>
      <c r="AA7" s="122" t="s">
        <v>538</v>
      </c>
      <c r="AB7" s="122" t="s">
        <v>550</v>
      </c>
      <c r="AC7" s="121" t="s">
        <v>110</v>
      </c>
      <c r="AD7" s="122" t="s">
        <v>551</v>
      </c>
      <c r="AE7" s="122" t="s">
        <v>552</v>
      </c>
      <c r="AF7" s="122" t="s">
        <v>553</v>
      </c>
      <c r="AG7" s="66" t="s">
        <v>554</v>
      </c>
      <c r="AH7" s="1"/>
      <c r="AI7" s="1"/>
      <c r="AJ7" s="1"/>
      <c r="AK7" s="1"/>
      <c r="AL7" s="18" t="s">
        <v>555</v>
      </c>
      <c r="AM7" s="18" t="s">
        <v>556</v>
      </c>
      <c r="AN7" s="18" t="s">
        <v>536</v>
      </c>
      <c r="AO7" s="18" t="s">
        <v>557</v>
      </c>
      <c r="AP7" s="18" t="s">
        <v>540</v>
      </c>
      <c r="AQ7" s="18" t="s">
        <v>558</v>
      </c>
      <c r="AR7" s="18"/>
      <c r="AS7" s="18"/>
      <c r="AT7" s="19" t="s">
        <v>555</v>
      </c>
      <c r="AU7" s="1" t="s">
        <v>529</v>
      </c>
      <c r="AV7" s="22" t="s">
        <v>56</v>
      </c>
      <c r="AW7" s="20" t="s">
        <v>110</v>
      </c>
      <c r="AX7" s="20" t="s">
        <v>525</v>
      </c>
      <c r="AY7" s="20" t="s">
        <v>527</v>
      </c>
      <c r="AZ7" s="18"/>
      <c r="BA7" s="1"/>
      <c r="BB7" s="1"/>
      <c r="BC7" s="18"/>
    </row>
    <row r="8" spans="1:55">
      <c r="A8" s="1"/>
      <c r="B8" s="1"/>
      <c r="C8" s="1"/>
      <c r="D8" s="1"/>
      <c r="E8" s="1"/>
      <c r="F8" s="1"/>
      <c r="G8" s="1" t="s">
        <v>477</v>
      </c>
      <c r="H8" s="1" t="s">
        <v>477</v>
      </c>
      <c r="I8" s="1" t="s">
        <v>477</v>
      </c>
      <c r="J8" s="1"/>
      <c r="K8" s="1"/>
      <c r="L8" s="1" t="s">
        <v>559</v>
      </c>
      <c r="M8" s="1" t="s">
        <v>560</v>
      </c>
      <c r="N8" s="1" t="s">
        <v>435</v>
      </c>
      <c r="O8" s="1" t="s">
        <v>541</v>
      </c>
      <c r="P8" s="1" t="s">
        <v>561</v>
      </c>
      <c r="Q8" s="1" t="s">
        <v>562</v>
      </c>
      <c r="R8" s="1"/>
      <c r="S8" s="121" t="s">
        <v>559</v>
      </c>
      <c r="T8" s="122" t="s">
        <v>560</v>
      </c>
      <c r="U8" s="122" t="s">
        <v>435</v>
      </c>
      <c r="V8" s="122" t="s">
        <v>541</v>
      </c>
      <c r="W8" s="122" t="s">
        <v>561</v>
      </c>
      <c r="X8" s="122" t="s">
        <v>562</v>
      </c>
      <c r="Y8" s="121" t="s">
        <v>56</v>
      </c>
      <c r="Z8" s="122" t="s">
        <v>110</v>
      </c>
      <c r="AA8" s="122" t="s">
        <v>563</v>
      </c>
      <c r="AB8" s="122" t="s">
        <v>564</v>
      </c>
      <c r="AC8" s="121" t="s">
        <v>565</v>
      </c>
      <c r="AD8" s="123" t="s">
        <v>431</v>
      </c>
      <c r="AE8" s="122" t="s">
        <v>566</v>
      </c>
      <c r="AF8" s="122" t="s">
        <v>567</v>
      </c>
      <c r="AG8" s="66" t="s">
        <v>547</v>
      </c>
      <c r="AH8" s="1"/>
      <c r="AI8" s="1"/>
      <c r="AJ8" s="1"/>
      <c r="AK8" s="1"/>
      <c r="AL8" s="18" t="s">
        <v>559</v>
      </c>
      <c r="AM8" s="18" t="s">
        <v>568</v>
      </c>
      <c r="AN8" s="18" t="s">
        <v>547</v>
      </c>
      <c r="AO8" s="18" t="s">
        <v>569</v>
      </c>
      <c r="AP8" s="18" t="s">
        <v>570</v>
      </c>
      <c r="AQ8" s="18" t="s">
        <v>571</v>
      </c>
      <c r="AR8" s="18"/>
      <c r="AS8" s="18"/>
      <c r="AT8" s="21" t="s">
        <v>559</v>
      </c>
      <c r="AU8" s="20" t="s">
        <v>534</v>
      </c>
      <c r="AV8" s="20" t="s">
        <v>110</v>
      </c>
      <c r="AW8" s="19" t="s">
        <v>536</v>
      </c>
      <c r="AX8" s="22" t="s">
        <v>527</v>
      </c>
      <c r="AY8" s="20" t="s">
        <v>552</v>
      </c>
      <c r="AZ8" s="18"/>
      <c r="BA8" s="1"/>
      <c r="BB8" s="1"/>
      <c r="BC8" s="18"/>
    </row>
    <row r="9" spans="1:55">
      <c r="A9" s="1"/>
      <c r="B9" s="1"/>
      <c r="C9" s="1"/>
      <c r="D9" s="1"/>
      <c r="E9" s="1"/>
      <c r="F9" s="1"/>
      <c r="G9" s="1" t="s">
        <v>478</v>
      </c>
      <c r="H9" s="1" t="s">
        <v>478</v>
      </c>
      <c r="I9" s="1" t="s">
        <v>478</v>
      </c>
      <c r="J9" s="1"/>
      <c r="K9" s="1"/>
      <c r="L9" s="1" t="s">
        <v>437</v>
      </c>
      <c r="M9" s="1" t="s">
        <v>572</v>
      </c>
      <c r="N9" s="1" t="s">
        <v>573</v>
      </c>
      <c r="O9" s="1" t="s">
        <v>567</v>
      </c>
      <c r="P9" s="1" t="s">
        <v>574</v>
      </c>
      <c r="Q9" s="1" t="s">
        <v>431</v>
      </c>
      <c r="R9" s="1"/>
      <c r="S9" s="121" t="s">
        <v>437</v>
      </c>
      <c r="T9" s="122" t="s">
        <v>572</v>
      </c>
      <c r="U9" s="123" t="s">
        <v>573</v>
      </c>
      <c r="V9" s="122" t="s">
        <v>567</v>
      </c>
      <c r="W9" s="122" t="s">
        <v>574</v>
      </c>
      <c r="X9" s="122" t="s">
        <v>431</v>
      </c>
      <c r="Y9" s="121" t="s">
        <v>110</v>
      </c>
      <c r="Z9" s="122" t="s">
        <v>499</v>
      </c>
      <c r="AA9" s="122" t="s">
        <v>575</v>
      </c>
      <c r="AB9" s="122" t="s">
        <v>546</v>
      </c>
      <c r="AC9" s="121" t="s">
        <v>565</v>
      </c>
      <c r="AD9" s="122" t="s">
        <v>576</v>
      </c>
      <c r="AE9" s="122" t="s">
        <v>577</v>
      </c>
      <c r="AF9" s="122" t="s">
        <v>578</v>
      </c>
      <c r="AG9" s="66" t="s">
        <v>579</v>
      </c>
      <c r="AH9" s="1"/>
      <c r="AI9" s="1"/>
      <c r="AJ9" s="1"/>
      <c r="AK9" s="1"/>
      <c r="AL9" s="18" t="s">
        <v>437</v>
      </c>
      <c r="AM9" s="18" t="s">
        <v>580</v>
      </c>
      <c r="AN9" s="18" t="s">
        <v>553</v>
      </c>
      <c r="AO9" s="18" t="s">
        <v>547</v>
      </c>
      <c r="AP9" s="18" t="s">
        <v>581</v>
      </c>
      <c r="AQ9" s="18" t="s">
        <v>582</v>
      </c>
      <c r="AR9" s="18"/>
      <c r="AS9" s="18"/>
      <c r="AT9" s="19" t="s">
        <v>437</v>
      </c>
      <c r="AU9" s="21" t="s">
        <v>541</v>
      </c>
      <c r="AV9" s="20" t="s">
        <v>557</v>
      </c>
      <c r="AW9" s="22" t="s">
        <v>519</v>
      </c>
      <c r="AX9" s="22" t="s">
        <v>528</v>
      </c>
      <c r="AY9" s="22" t="s">
        <v>566</v>
      </c>
      <c r="AZ9" s="18"/>
      <c r="BA9" s="1"/>
      <c r="BB9" s="1"/>
      <c r="BC9" s="18"/>
    </row>
    <row r="10" spans="1:55">
      <c r="A10" s="1"/>
      <c r="B10" s="1"/>
      <c r="C10" s="1"/>
      <c r="D10" s="1"/>
      <c r="E10" s="1"/>
      <c r="F10" s="1"/>
      <c r="G10" s="1"/>
      <c r="H10" s="1"/>
      <c r="I10" s="1"/>
      <c r="J10" s="1"/>
      <c r="K10" s="1"/>
      <c r="L10" s="1" t="s">
        <v>583</v>
      </c>
      <c r="M10" s="1" t="s">
        <v>584</v>
      </c>
      <c r="N10" s="1" t="s">
        <v>568</v>
      </c>
      <c r="O10" s="1" t="s">
        <v>556</v>
      </c>
      <c r="P10" s="1" t="s">
        <v>536</v>
      </c>
      <c r="Q10" s="1" t="s">
        <v>432</v>
      </c>
      <c r="R10" s="1"/>
      <c r="S10" s="121" t="s">
        <v>583</v>
      </c>
      <c r="T10" s="122" t="s">
        <v>584</v>
      </c>
      <c r="U10" s="122" t="s">
        <v>568</v>
      </c>
      <c r="V10" s="122" t="s">
        <v>556</v>
      </c>
      <c r="W10" s="122" t="s">
        <v>536</v>
      </c>
      <c r="X10" s="122" t="s">
        <v>432</v>
      </c>
      <c r="Y10" s="121" t="s">
        <v>585</v>
      </c>
      <c r="Z10" s="122" t="s">
        <v>564</v>
      </c>
      <c r="AA10" s="122" t="s">
        <v>564</v>
      </c>
      <c r="AB10" s="122" t="s">
        <v>435</v>
      </c>
      <c r="AC10" s="121" t="s">
        <v>586</v>
      </c>
      <c r="AD10" s="122" t="s">
        <v>529</v>
      </c>
      <c r="AE10" s="122" t="s">
        <v>540</v>
      </c>
      <c r="AF10" s="122" t="s">
        <v>587</v>
      </c>
      <c r="AG10" s="66" t="s">
        <v>588</v>
      </c>
      <c r="AH10" s="1"/>
      <c r="AI10" s="1"/>
      <c r="AJ10" s="1"/>
      <c r="AK10" s="1"/>
      <c r="AL10" s="18" t="s">
        <v>583</v>
      </c>
      <c r="AM10" s="18" t="s">
        <v>589</v>
      </c>
      <c r="AN10" s="18" t="s">
        <v>590</v>
      </c>
      <c r="AO10" s="18" t="s">
        <v>591</v>
      </c>
      <c r="AP10" s="18" t="s">
        <v>535</v>
      </c>
      <c r="AQ10" s="18" t="s">
        <v>448</v>
      </c>
      <c r="AR10" s="18"/>
      <c r="AS10" s="18"/>
      <c r="AT10" s="21" t="s">
        <v>583</v>
      </c>
      <c r="AU10" s="22" t="s">
        <v>434</v>
      </c>
      <c r="AV10" s="22" t="s">
        <v>569</v>
      </c>
      <c r="AW10" s="21" t="s">
        <v>547</v>
      </c>
      <c r="AX10" s="22" t="s">
        <v>552</v>
      </c>
      <c r="AY10" s="20" t="s">
        <v>577</v>
      </c>
      <c r="AZ10" s="18"/>
      <c r="BA10" s="1"/>
      <c r="BB10" s="1"/>
      <c r="BC10" s="18"/>
    </row>
    <row r="11" spans="1:55">
      <c r="A11" s="1"/>
      <c r="B11" s="1"/>
      <c r="C11" s="1"/>
      <c r="D11" s="1"/>
      <c r="E11" s="1"/>
      <c r="F11" s="1"/>
      <c r="G11" s="1" t="s">
        <v>490</v>
      </c>
      <c r="H11" s="1" t="s">
        <v>515</v>
      </c>
      <c r="I11" s="1" t="s">
        <v>592</v>
      </c>
      <c r="J11" s="1" t="s">
        <v>544</v>
      </c>
      <c r="K11" s="1"/>
      <c r="L11" s="1" t="s">
        <v>568</v>
      </c>
      <c r="M11" s="1" t="s">
        <v>593</v>
      </c>
      <c r="N11" s="1" t="s">
        <v>594</v>
      </c>
      <c r="O11" s="1" t="s">
        <v>572</v>
      </c>
      <c r="P11" s="1" t="s">
        <v>546</v>
      </c>
      <c r="Q11" s="1" t="s">
        <v>595</v>
      </c>
      <c r="R11" s="1"/>
      <c r="S11" s="121" t="s">
        <v>568</v>
      </c>
      <c r="T11" s="122" t="s">
        <v>593</v>
      </c>
      <c r="U11" s="122" t="s">
        <v>594</v>
      </c>
      <c r="V11" s="122" t="s">
        <v>572</v>
      </c>
      <c r="W11" s="122" t="s">
        <v>546</v>
      </c>
      <c r="X11" s="122" t="s">
        <v>595</v>
      </c>
      <c r="Y11" s="121" t="s">
        <v>499</v>
      </c>
      <c r="Z11" s="122" t="s">
        <v>435</v>
      </c>
      <c r="AA11" s="122" t="s">
        <v>596</v>
      </c>
      <c r="AB11" s="122" t="s">
        <v>597</v>
      </c>
      <c r="AC11" s="124" t="s">
        <v>554</v>
      </c>
      <c r="AD11" s="122" t="s">
        <v>579</v>
      </c>
      <c r="AE11" s="122" t="s">
        <v>565</v>
      </c>
      <c r="AF11" s="123" t="s">
        <v>437</v>
      </c>
      <c r="AG11" s="66" t="s">
        <v>598</v>
      </c>
      <c r="AH11" s="1"/>
      <c r="AI11" s="1"/>
      <c r="AJ11" s="1"/>
      <c r="AK11" s="1"/>
      <c r="AL11" s="18" t="s">
        <v>599</v>
      </c>
      <c r="AM11" s="18" t="s">
        <v>600</v>
      </c>
      <c r="AN11" s="18" t="s">
        <v>568</v>
      </c>
      <c r="AO11" s="18" t="s">
        <v>541</v>
      </c>
      <c r="AP11" s="18" t="s">
        <v>541</v>
      </c>
      <c r="AQ11" s="18" t="s">
        <v>601</v>
      </c>
      <c r="AR11" s="18"/>
      <c r="AS11" s="18"/>
      <c r="AT11" s="19" t="s">
        <v>599</v>
      </c>
      <c r="AU11" s="19" t="s">
        <v>556</v>
      </c>
      <c r="AV11" s="20" t="s">
        <v>536</v>
      </c>
      <c r="AW11" s="20" t="s">
        <v>535</v>
      </c>
      <c r="AX11" s="22" t="s">
        <v>566</v>
      </c>
      <c r="AY11" s="20" t="s">
        <v>526</v>
      </c>
      <c r="AZ11" s="18"/>
      <c r="BA11" s="1"/>
      <c r="BB11" s="1"/>
      <c r="BC11" s="18"/>
    </row>
    <row r="12" spans="1:55">
      <c r="A12" s="1"/>
      <c r="B12" s="1"/>
      <c r="C12" s="1"/>
      <c r="D12" s="1"/>
      <c r="E12" s="1"/>
      <c r="F12" s="1"/>
      <c r="G12" s="1" t="s">
        <v>503</v>
      </c>
      <c r="H12" s="1" t="s">
        <v>503</v>
      </c>
      <c r="I12" s="1" t="s">
        <v>503</v>
      </c>
      <c r="J12" s="1" t="s">
        <v>503</v>
      </c>
      <c r="K12" s="1"/>
      <c r="L12" s="1" t="s">
        <v>602</v>
      </c>
      <c r="M12" s="1" t="s">
        <v>602</v>
      </c>
      <c r="N12" s="1" t="s">
        <v>603</v>
      </c>
      <c r="O12" s="1" t="s">
        <v>578</v>
      </c>
      <c r="P12" s="1" t="s">
        <v>604</v>
      </c>
      <c r="Q12" s="1" t="s">
        <v>536</v>
      </c>
      <c r="R12" s="1"/>
      <c r="S12" s="121" t="s">
        <v>602</v>
      </c>
      <c r="T12" s="122" t="s">
        <v>602</v>
      </c>
      <c r="U12" s="122" t="s">
        <v>603</v>
      </c>
      <c r="V12" s="122" t="s">
        <v>578</v>
      </c>
      <c r="W12" s="122" t="s">
        <v>604</v>
      </c>
      <c r="X12" s="122" t="s">
        <v>536</v>
      </c>
      <c r="Y12" s="121" t="s">
        <v>431</v>
      </c>
      <c r="Z12" s="122" t="s">
        <v>605</v>
      </c>
      <c r="AA12" s="122" t="s">
        <v>606</v>
      </c>
      <c r="AB12" s="122" t="s">
        <v>607</v>
      </c>
      <c r="AC12" s="121" t="s">
        <v>529</v>
      </c>
      <c r="AD12" s="122" t="s">
        <v>434</v>
      </c>
      <c r="AE12" s="122" t="s">
        <v>551</v>
      </c>
      <c r="AF12" s="123" t="s">
        <v>608</v>
      </c>
      <c r="AG12" s="66" t="s">
        <v>435</v>
      </c>
      <c r="AH12" s="1"/>
      <c r="AI12" s="1"/>
      <c r="AJ12" s="1"/>
      <c r="AK12" s="1"/>
      <c r="AL12" s="18" t="s">
        <v>609</v>
      </c>
      <c r="AM12" s="18" t="s">
        <v>610</v>
      </c>
      <c r="AN12" s="18" t="s">
        <v>61</v>
      </c>
      <c r="AO12" s="18" t="s">
        <v>611</v>
      </c>
      <c r="AP12" s="18" t="s">
        <v>612</v>
      </c>
      <c r="AQ12" s="18" t="s">
        <v>613</v>
      </c>
      <c r="AR12" s="18"/>
      <c r="AS12" s="18"/>
      <c r="AT12" s="21" t="s">
        <v>609</v>
      </c>
      <c r="AU12" s="20" t="s">
        <v>560</v>
      </c>
      <c r="AV12" s="22" t="s">
        <v>519</v>
      </c>
      <c r="AW12" s="22" t="s">
        <v>546</v>
      </c>
      <c r="AX12" s="20" t="s">
        <v>577</v>
      </c>
      <c r="AY12" s="22" t="s">
        <v>565</v>
      </c>
      <c r="AZ12" s="18"/>
      <c r="BA12" s="1"/>
      <c r="BB12" s="1"/>
      <c r="BC12" s="18"/>
    </row>
    <row r="13" spans="1:55">
      <c r="A13" s="1"/>
      <c r="B13" s="1"/>
      <c r="C13" s="1"/>
      <c r="D13" s="1"/>
      <c r="E13" s="1"/>
      <c r="F13" s="1"/>
      <c r="G13" s="1" t="s">
        <v>504</v>
      </c>
      <c r="H13" s="1" t="s">
        <v>504</v>
      </c>
      <c r="I13" s="1" t="s">
        <v>504</v>
      </c>
      <c r="J13" s="1" t="s">
        <v>504</v>
      </c>
      <c r="K13" s="1"/>
      <c r="L13" s="1" t="s">
        <v>609</v>
      </c>
      <c r="M13" s="1" t="s">
        <v>608</v>
      </c>
      <c r="N13" s="1" t="s">
        <v>614</v>
      </c>
      <c r="O13" s="1" t="s">
        <v>593</v>
      </c>
      <c r="P13" s="1" t="s">
        <v>615</v>
      </c>
      <c r="Q13" s="1" t="s">
        <v>616</v>
      </c>
      <c r="R13" s="1"/>
      <c r="S13" s="121" t="s">
        <v>609</v>
      </c>
      <c r="T13" s="122" t="s">
        <v>608</v>
      </c>
      <c r="U13" s="122" t="s">
        <v>614</v>
      </c>
      <c r="V13" s="122" t="s">
        <v>593</v>
      </c>
      <c r="W13" s="122" t="s">
        <v>615</v>
      </c>
      <c r="X13" s="122" t="s">
        <v>616</v>
      </c>
      <c r="Y13" s="121" t="s">
        <v>617</v>
      </c>
      <c r="Z13" s="122" t="s">
        <v>603</v>
      </c>
      <c r="AA13" s="122" t="s">
        <v>618</v>
      </c>
      <c r="AB13" s="122" t="s">
        <v>619</v>
      </c>
      <c r="AC13" s="121" t="s">
        <v>435</v>
      </c>
      <c r="AD13" s="122" t="s">
        <v>436</v>
      </c>
      <c r="AE13" s="122" t="s">
        <v>620</v>
      </c>
      <c r="AF13" s="123" t="s">
        <v>594</v>
      </c>
      <c r="AG13" s="66" t="s">
        <v>621</v>
      </c>
      <c r="AH13" s="1"/>
      <c r="AI13" s="1"/>
      <c r="AJ13" s="1"/>
      <c r="AK13" s="1"/>
      <c r="AL13" s="18" t="s">
        <v>622</v>
      </c>
      <c r="AM13" s="18" t="s">
        <v>623</v>
      </c>
      <c r="AN13" s="18" t="s">
        <v>624</v>
      </c>
      <c r="AO13" s="18" t="s">
        <v>625</v>
      </c>
      <c r="AP13" s="18" t="s">
        <v>546</v>
      </c>
      <c r="AQ13" s="18" t="s">
        <v>626</v>
      </c>
      <c r="AR13" s="18"/>
      <c r="AS13" s="18"/>
      <c r="AT13" s="19" t="s">
        <v>622</v>
      </c>
      <c r="AU13" s="22" t="s">
        <v>572</v>
      </c>
      <c r="AV13" s="22" t="s">
        <v>547</v>
      </c>
      <c r="AW13" s="20" t="s">
        <v>435</v>
      </c>
      <c r="AX13" s="22" t="s">
        <v>526</v>
      </c>
      <c r="AY13" s="20" t="s">
        <v>551</v>
      </c>
      <c r="AZ13" s="18"/>
      <c r="BA13" s="1"/>
      <c r="BB13" s="1"/>
      <c r="BC13" s="18"/>
    </row>
    <row r="14" spans="1:55">
      <c r="A14" s="1"/>
      <c r="B14" s="1"/>
      <c r="C14" s="1"/>
      <c r="D14" s="1"/>
      <c r="E14" s="1"/>
      <c r="F14" s="1"/>
      <c r="G14" s="1" t="s">
        <v>505</v>
      </c>
      <c r="H14" s="1" t="s">
        <v>505</v>
      </c>
      <c r="I14" s="1" t="s">
        <v>505</v>
      </c>
      <c r="J14" s="1" t="s">
        <v>505</v>
      </c>
      <c r="K14" s="1"/>
      <c r="L14" s="1" t="s">
        <v>627</v>
      </c>
      <c r="M14" s="1" t="s">
        <v>603</v>
      </c>
      <c r="N14" s="1" t="s">
        <v>59</v>
      </c>
      <c r="O14" s="1" t="s">
        <v>628</v>
      </c>
      <c r="P14" s="1" t="s">
        <v>553</v>
      </c>
      <c r="Q14" s="1" t="s">
        <v>629</v>
      </c>
      <c r="R14" s="1"/>
      <c r="S14" s="121" t="s">
        <v>627</v>
      </c>
      <c r="T14" s="122" t="s">
        <v>603</v>
      </c>
      <c r="U14" s="123" t="s">
        <v>59</v>
      </c>
      <c r="V14" s="122" t="s">
        <v>628</v>
      </c>
      <c r="W14" s="122" t="s">
        <v>553</v>
      </c>
      <c r="X14" s="122" t="s">
        <v>629</v>
      </c>
      <c r="Y14" s="121" t="s">
        <v>581</v>
      </c>
      <c r="Z14" s="122" t="s">
        <v>630</v>
      </c>
      <c r="AA14" s="122" t="s">
        <v>631</v>
      </c>
      <c r="AB14" s="122" t="s">
        <v>630</v>
      </c>
      <c r="AC14" s="121" t="s">
        <v>618</v>
      </c>
      <c r="AD14" s="122" t="s">
        <v>632</v>
      </c>
      <c r="AE14" s="122" t="s">
        <v>633</v>
      </c>
      <c r="AF14" s="122" t="s">
        <v>634</v>
      </c>
      <c r="AG14" s="66" t="s">
        <v>635</v>
      </c>
      <c r="AH14" s="1"/>
      <c r="AI14" s="1"/>
      <c r="AJ14" s="1"/>
      <c r="AK14" s="1"/>
      <c r="AL14" s="18" t="s">
        <v>636</v>
      </c>
      <c r="AM14" s="18" t="s">
        <v>637</v>
      </c>
      <c r="AN14" s="18" t="s">
        <v>609</v>
      </c>
      <c r="AO14" s="18" t="s">
        <v>638</v>
      </c>
      <c r="AP14" s="18" t="s">
        <v>573</v>
      </c>
      <c r="AQ14" s="18" t="s">
        <v>639</v>
      </c>
      <c r="AR14" s="18"/>
      <c r="AS14" s="18"/>
      <c r="AT14" s="21" t="s">
        <v>636</v>
      </c>
      <c r="AU14" s="20" t="s">
        <v>584</v>
      </c>
      <c r="AV14" s="21" t="s">
        <v>591</v>
      </c>
      <c r="AW14" s="19" t="s">
        <v>553</v>
      </c>
      <c r="AX14" s="22" t="s">
        <v>540</v>
      </c>
      <c r="AY14" s="20" t="s">
        <v>620</v>
      </c>
      <c r="AZ14" s="18"/>
      <c r="BA14" s="1"/>
      <c r="BB14" s="1"/>
      <c r="BC14" s="18"/>
    </row>
    <row r="15" spans="1:55">
      <c r="A15" s="1"/>
      <c r="B15" s="1"/>
      <c r="C15" s="1"/>
      <c r="D15" s="1"/>
      <c r="E15" s="1"/>
      <c r="F15" s="1"/>
      <c r="G15" s="1" t="s">
        <v>506</v>
      </c>
      <c r="H15" s="1" t="s">
        <v>506</v>
      </c>
      <c r="I15" s="1" t="s">
        <v>506</v>
      </c>
      <c r="J15" s="1" t="s">
        <v>506</v>
      </c>
      <c r="K15" s="1"/>
      <c r="L15" s="1" t="s">
        <v>622</v>
      </c>
      <c r="M15" s="1" t="s">
        <v>580</v>
      </c>
      <c r="N15" s="1" t="s">
        <v>624</v>
      </c>
      <c r="O15" s="1" t="s">
        <v>61</v>
      </c>
      <c r="P15" s="1" t="s">
        <v>573</v>
      </c>
      <c r="Q15" s="1" t="s">
        <v>529</v>
      </c>
      <c r="R15" s="1"/>
      <c r="S15" s="121" t="s">
        <v>622</v>
      </c>
      <c r="T15" s="122" t="s">
        <v>580</v>
      </c>
      <c r="U15" s="122" t="s">
        <v>624</v>
      </c>
      <c r="V15" s="122" t="s">
        <v>61</v>
      </c>
      <c r="W15" s="122" t="s">
        <v>573</v>
      </c>
      <c r="X15" s="122" t="s">
        <v>529</v>
      </c>
      <c r="Y15" s="121" t="s">
        <v>541</v>
      </c>
      <c r="Z15" s="122" t="s">
        <v>438</v>
      </c>
      <c r="AA15" s="122" t="s">
        <v>438</v>
      </c>
      <c r="AB15" s="123" t="s">
        <v>59</v>
      </c>
      <c r="AC15" s="121" t="s">
        <v>559</v>
      </c>
      <c r="AD15" s="122" t="s">
        <v>640</v>
      </c>
      <c r="AE15" s="122" t="s">
        <v>554</v>
      </c>
      <c r="AF15" s="122" t="s">
        <v>641</v>
      </c>
      <c r="AG15" s="67" t="s">
        <v>642</v>
      </c>
      <c r="AH15" s="1"/>
      <c r="AI15" s="1"/>
      <c r="AJ15" s="1"/>
      <c r="AK15" s="1"/>
      <c r="AL15" s="18" t="s">
        <v>643</v>
      </c>
      <c r="AM15" s="18" t="s">
        <v>644</v>
      </c>
      <c r="AN15" s="18" t="s">
        <v>114</v>
      </c>
      <c r="AO15" s="18" t="s">
        <v>645</v>
      </c>
      <c r="AP15" s="18" t="s">
        <v>646</v>
      </c>
      <c r="AQ15" s="18" t="s">
        <v>647</v>
      </c>
      <c r="AR15" s="18"/>
      <c r="AS15" s="18"/>
      <c r="AT15" s="19" t="s">
        <v>643</v>
      </c>
      <c r="AU15" s="22" t="s">
        <v>593</v>
      </c>
      <c r="AV15" s="20" t="s">
        <v>535</v>
      </c>
      <c r="AW15" s="22" t="s">
        <v>573</v>
      </c>
      <c r="AX15" s="22" t="s">
        <v>565</v>
      </c>
      <c r="AY15" s="20" t="s">
        <v>633</v>
      </c>
      <c r="AZ15" s="18"/>
      <c r="BA15" s="1"/>
      <c r="BB15" s="1"/>
      <c r="BC15" s="18"/>
    </row>
    <row r="16" spans="1:55">
      <c r="A16" s="1"/>
      <c r="B16" s="1"/>
      <c r="C16" s="1"/>
      <c r="D16" s="1"/>
      <c r="E16" s="1"/>
      <c r="F16" s="1"/>
      <c r="G16" s="1" t="s">
        <v>507</v>
      </c>
      <c r="H16" s="1" t="s">
        <v>507</v>
      </c>
      <c r="I16" s="1" t="s">
        <v>507</v>
      </c>
      <c r="J16" s="1" t="s">
        <v>507</v>
      </c>
      <c r="K16" s="1"/>
      <c r="L16" s="1" t="s">
        <v>440</v>
      </c>
      <c r="M16" s="1" t="s">
        <v>59</v>
      </c>
      <c r="N16" s="1" t="s">
        <v>648</v>
      </c>
      <c r="O16" s="1" t="s">
        <v>649</v>
      </c>
      <c r="P16" s="1" t="s">
        <v>650</v>
      </c>
      <c r="Q16" s="1" t="s">
        <v>604</v>
      </c>
      <c r="R16" s="1"/>
      <c r="S16" s="121" t="s">
        <v>440</v>
      </c>
      <c r="T16" s="122" t="s">
        <v>59</v>
      </c>
      <c r="U16" s="122" t="s">
        <v>648</v>
      </c>
      <c r="V16" s="122" t="s">
        <v>649</v>
      </c>
      <c r="W16" s="123" t="s">
        <v>650</v>
      </c>
      <c r="X16" s="122" t="s">
        <v>604</v>
      </c>
      <c r="Y16" s="121" t="s">
        <v>651</v>
      </c>
      <c r="Z16" s="122" t="s">
        <v>652</v>
      </c>
      <c r="AA16" s="122" t="s">
        <v>653</v>
      </c>
      <c r="AB16" s="122" t="s">
        <v>654</v>
      </c>
      <c r="AC16" s="121" t="s">
        <v>649</v>
      </c>
      <c r="AD16" s="122" t="s">
        <v>559</v>
      </c>
      <c r="AE16" s="122" t="s">
        <v>655</v>
      </c>
      <c r="AF16" s="122" t="s">
        <v>656</v>
      </c>
      <c r="AG16" s="66" t="s">
        <v>640</v>
      </c>
      <c r="AH16" s="1"/>
      <c r="AI16" s="1"/>
      <c r="AJ16" s="1"/>
      <c r="AK16" s="1"/>
      <c r="AL16" s="18" t="s">
        <v>657</v>
      </c>
      <c r="AM16" s="18" t="s">
        <v>658</v>
      </c>
      <c r="AN16" s="18" t="s">
        <v>627</v>
      </c>
      <c r="AO16" s="18" t="s">
        <v>659</v>
      </c>
      <c r="AP16" s="18" t="s">
        <v>650</v>
      </c>
      <c r="AQ16" s="18" t="s">
        <v>660</v>
      </c>
      <c r="AR16" s="18"/>
      <c r="AS16" s="18"/>
      <c r="AT16" s="21" t="s">
        <v>657</v>
      </c>
      <c r="AU16" s="21" t="s">
        <v>568</v>
      </c>
      <c r="AV16" s="20" t="s">
        <v>541</v>
      </c>
      <c r="AW16" s="19" t="s">
        <v>568</v>
      </c>
      <c r="AX16" s="22" t="s">
        <v>551</v>
      </c>
      <c r="AY16" s="20" t="s">
        <v>554</v>
      </c>
      <c r="AZ16" s="18"/>
      <c r="BA16" s="1"/>
      <c r="BB16" s="1"/>
      <c r="BC16" s="18"/>
    </row>
    <row r="17" spans="7:55">
      <c r="G17" s="1" t="s">
        <v>508</v>
      </c>
      <c r="H17" s="1" t="s">
        <v>508</v>
      </c>
      <c r="I17" s="1" t="s">
        <v>508</v>
      </c>
      <c r="J17" s="1" t="s">
        <v>508</v>
      </c>
      <c r="K17" s="1"/>
      <c r="L17" s="1" t="s">
        <v>661</v>
      </c>
      <c r="M17" s="1" t="s">
        <v>440</v>
      </c>
      <c r="N17" s="1" t="s">
        <v>609</v>
      </c>
      <c r="O17" s="1" t="s">
        <v>662</v>
      </c>
      <c r="P17" s="1" t="s">
        <v>663</v>
      </c>
      <c r="Q17" s="1" t="s">
        <v>615</v>
      </c>
      <c r="R17" s="1"/>
      <c r="S17" s="121" t="s">
        <v>661</v>
      </c>
      <c r="T17" s="123" t="s">
        <v>440</v>
      </c>
      <c r="U17" s="122" t="s">
        <v>609</v>
      </c>
      <c r="V17" s="123" t="s">
        <v>662</v>
      </c>
      <c r="W17" s="122" t="s">
        <v>663</v>
      </c>
      <c r="X17" s="122" t="s">
        <v>615</v>
      </c>
      <c r="Y17" s="121" t="s">
        <v>664</v>
      </c>
      <c r="Z17" s="122" t="s">
        <v>624</v>
      </c>
      <c r="AA17" s="122" t="s">
        <v>659</v>
      </c>
      <c r="AB17" s="122" t="s">
        <v>665</v>
      </c>
      <c r="AC17" s="121" t="s">
        <v>630</v>
      </c>
      <c r="AD17" s="122" t="s">
        <v>568</v>
      </c>
      <c r="AE17" s="122" t="s">
        <v>529</v>
      </c>
      <c r="AF17" s="122" t="s">
        <v>666</v>
      </c>
      <c r="AG17" s="66" t="s">
        <v>618</v>
      </c>
      <c r="AH17" s="1"/>
      <c r="AI17" s="1"/>
      <c r="AJ17" s="1"/>
      <c r="AK17" s="1"/>
      <c r="AL17" s="18" t="s">
        <v>667</v>
      </c>
      <c r="AM17" s="18" t="s">
        <v>668</v>
      </c>
      <c r="AN17" s="18" t="s">
        <v>669</v>
      </c>
      <c r="AO17" s="18" t="s">
        <v>609</v>
      </c>
      <c r="AP17" s="18" t="s">
        <v>572</v>
      </c>
      <c r="AQ17" s="18" t="s">
        <v>670</v>
      </c>
      <c r="AR17" s="18"/>
      <c r="AS17" s="18"/>
      <c r="AT17" s="19" t="s">
        <v>667</v>
      </c>
      <c r="AU17" s="20" t="s">
        <v>602</v>
      </c>
      <c r="AV17" s="22" t="s">
        <v>546</v>
      </c>
      <c r="AW17" s="21" t="s">
        <v>61</v>
      </c>
      <c r="AX17" s="22" t="s">
        <v>499</v>
      </c>
      <c r="AY17" s="20" t="s">
        <v>547</v>
      </c>
      <c r="AZ17" s="18"/>
      <c r="BA17" s="1"/>
      <c r="BB17" s="1"/>
      <c r="BC17" s="18"/>
    </row>
    <row r="18" spans="7:55">
      <c r="G18" s="1"/>
      <c r="H18" s="1"/>
      <c r="I18" s="1"/>
      <c r="J18" s="1"/>
      <c r="K18" s="1"/>
      <c r="L18" s="1" t="s">
        <v>671</v>
      </c>
      <c r="M18" s="1" t="s">
        <v>671</v>
      </c>
      <c r="N18" s="1" t="s">
        <v>672</v>
      </c>
      <c r="O18" s="1" t="s">
        <v>638</v>
      </c>
      <c r="P18" s="1" t="s">
        <v>628</v>
      </c>
      <c r="Q18" s="1" t="s">
        <v>673</v>
      </c>
      <c r="R18" s="1"/>
      <c r="S18" s="121" t="s">
        <v>671</v>
      </c>
      <c r="T18" s="122" t="s">
        <v>671</v>
      </c>
      <c r="U18" s="122" t="s">
        <v>672</v>
      </c>
      <c r="V18" s="122" t="s">
        <v>638</v>
      </c>
      <c r="W18" s="122" t="s">
        <v>628</v>
      </c>
      <c r="X18" s="122" t="s">
        <v>673</v>
      </c>
      <c r="Y18" s="121" t="s">
        <v>435</v>
      </c>
      <c r="Z18" s="122" t="s">
        <v>665</v>
      </c>
      <c r="AA18" s="122" t="s">
        <v>665</v>
      </c>
      <c r="AB18" s="122" t="s">
        <v>674</v>
      </c>
      <c r="AC18" s="121" t="s">
        <v>438</v>
      </c>
      <c r="AD18" s="122" t="s">
        <v>580</v>
      </c>
      <c r="AE18" s="122" t="s">
        <v>675</v>
      </c>
      <c r="AF18" s="122" t="s">
        <v>442</v>
      </c>
      <c r="AG18" s="66" t="s">
        <v>614</v>
      </c>
      <c r="AH18" s="1"/>
      <c r="AI18" s="1"/>
      <c r="AJ18" s="1"/>
      <c r="AK18" s="1"/>
      <c r="AL18" s="18" t="s">
        <v>676</v>
      </c>
      <c r="AM18" s="18" t="s">
        <v>460</v>
      </c>
      <c r="AN18" s="18" t="s">
        <v>677</v>
      </c>
      <c r="AO18" s="18" t="s">
        <v>678</v>
      </c>
      <c r="AP18" s="18" t="s">
        <v>593</v>
      </c>
      <c r="AQ18" s="18" t="s">
        <v>679</v>
      </c>
      <c r="AR18" s="18"/>
      <c r="AS18" s="18"/>
      <c r="AT18" s="21" t="s">
        <v>676</v>
      </c>
      <c r="AU18" s="22" t="s">
        <v>608</v>
      </c>
      <c r="AV18" s="20" t="s">
        <v>435</v>
      </c>
      <c r="AW18" s="19" t="s">
        <v>594</v>
      </c>
      <c r="AX18" s="22" t="s">
        <v>620</v>
      </c>
      <c r="AY18" s="20" t="s">
        <v>529</v>
      </c>
      <c r="AZ18" s="18"/>
      <c r="BA18" s="1"/>
      <c r="BB18" s="1"/>
      <c r="BC18" s="18"/>
    </row>
    <row r="19" spans="7:55">
      <c r="G19" s="1" t="s">
        <v>491</v>
      </c>
      <c r="H19" s="1" t="s">
        <v>680</v>
      </c>
      <c r="I19" s="1" t="s">
        <v>532</v>
      </c>
      <c r="J19" s="1"/>
      <c r="K19" s="1"/>
      <c r="L19" s="1" t="s">
        <v>671</v>
      </c>
      <c r="M19" s="1" t="s">
        <v>610</v>
      </c>
      <c r="N19" s="1" t="s">
        <v>114</v>
      </c>
      <c r="O19" s="1" t="s">
        <v>634</v>
      </c>
      <c r="P19" s="1" t="s">
        <v>681</v>
      </c>
      <c r="Q19" s="1" t="s">
        <v>682</v>
      </c>
      <c r="R19" s="1"/>
      <c r="S19" s="121" t="s">
        <v>671</v>
      </c>
      <c r="T19" s="122" t="s">
        <v>610</v>
      </c>
      <c r="U19" s="122" t="s">
        <v>114</v>
      </c>
      <c r="V19" s="122" t="s">
        <v>634</v>
      </c>
      <c r="W19" s="122" t="s">
        <v>681</v>
      </c>
      <c r="X19" s="122" t="s">
        <v>682</v>
      </c>
      <c r="Y19" s="124" t="s">
        <v>573</v>
      </c>
      <c r="Z19" s="122" t="s">
        <v>683</v>
      </c>
      <c r="AA19" s="122" t="s">
        <v>684</v>
      </c>
      <c r="AB19" s="122" t="s">
        <v>114</v>
      </c>
      <c r="AC19" s="121" t="s">
        <v>645</v>
      </c>
      <c r="AD19" s="122" t="s">
        <v>645</v>
      </c>
      <c r="AE19" s="123" t="s">
        <v>685</v>
      </c>
      <c r="AF19" s="123" t="s">
        <v>102</v>
      </c>
      <c r="AG19" s="66" t="s">
        <v>645</v>
      </c>
      <c r="AH19" s="1"/>
      <c r="AI19" s="1"/>
      <c r="AJ19" s="1"/>
      <c r="AK19" s="1"/>
      <c r="AL19" s="18" t="s">
        <v>686</v>
      </c>
      <c r="AM19" s="18" t="s">
        <v>676</v>
      </c>
      <c r="AN19" s="18" t="s">
        <v>102</v>
      </c>
      <c r="AO19" s="18" t="s">
        <v>687</v>
      </c>
      <c r="AP19" s="18" t="s">
        <v>663</v>
      </c>
      <c r="AQ19" s="18" t="s">
        <v>688</v>
      </c>
      <c r="AR19" s="18"/>
      <c r="AS19" s="18"/>
      <c r="AT19" s="19" t="s">
        <v>686</v>
      </c>
      <c r="AU19" s="20" t="s">
        <v>603</v>
      </c>
      <c r="AV19" s="22" t="s">
        <v>567</v>
      </c>
      <c r="AW19" s="19" t="s">
        <v>603</v>
      </c>
      <c r="AX19" s="20" t="s">
        <v>633</v>
      </c>
      <c r="AY19" s="20" t="s">
        <v>588</v>
      </c>
      <c r="AZ19" s="18"/>
      <c r="BA19" s="1"/>
      <c r="BB19" s="1"/>
      <c r="BC19" s="18"/>
    </row>
    <row r="20" spans="7:55">
      <c r="G20" s="1" t="s">
        <v>509</v>
      </c>
      <c r="H20" s="1" t="s">
        <v>509</v>
      </c>
      <c r="I20" s="1" t="s">
        <v>509</v>
      </c>
      <c r="J20" s="1"/>
      <c r="K20" s="1"/>
      <c r="L20" s="1" t="s">
        <v>689</v>
      </c>
      <c r="M20" s="1" t="s">
        <v>690</v>
      </c>
      <c r="N20" s="1" t="s">
        <v>600</v>
      </c>
      <c r="O20" s="1" t="s">
        <v>614</v>
      </c>
      <c r="P20" s="1" t="s">
        <v>61</v>
      </c>
      <c r="Q20" s="1" t="s">
        <v>691</v>
      </c>
      <c r="R20" s="1"/>
      <c r="S20" s="121" t="s">
        <v>689</v>
      </c>
      <c r="T20" s="122" t="s">
        <v>690</v>
      </c>
      <c r="U20" s="122" t="s">
        <v>600</v>
      </c>
      <c r="V20" s="122" t="s">
        <v>614</v>
      </c>
      <c r="W20" s="122" t="s">
        <v>61</v>
      </c>
      <c r="X20" s="122" t="s">
        <v>691</v>
      </c>
      <c r="Y20" s="121" t="s">
        <v>632</v>
      </c>
      <c r="Z20" s="122" t="s">
        <v>692</v>
      </c>
      <c r="AA20" s="122" t="s">
        <v>693</v>
      </c>
      <c r="AB20" s="122" t="s">
        <v>694</v>
      </c>
      <c r="AC20" s="121" t="s">
        <v>609</v>
      </c>
      <c r="AD20" s="122" t="s">
        <v>609</v>
      </c>
      <c r="AE20" s="122" t="s">
        <v>695</v>
      </c>
      <c r="AF20" s="122" t="s">
        <v>696</v>
      </c>
      <c r="AG20" s="66" t="s">
        <v>684</v>
      </c>
      <c r="AH20" s="1"/>
      <c r="AI20" s="1"/>
      <c r="AJ20" s="1"/>
      <c r="AK20" s="1"/>
      <c r="AL20" s="18" t="s">
        <v>697</v>
      </c>
      <c r="AM20" s="18" t="s">
        <v>697</v>
      </c>
      <c r="AN20" s="18" t="s">
        <v>460</v>
      </c>
      <c r="AO20" s="18" t="s">
        <v>440</v>
      </c>
      <c r="AP20" s="18" t="s">
        <v>628</v>
      </c>
      <c r="AQ20" s="18" t="s">
        <v>456</v>
      </c>
      <c r="AR20" s="18"/>
      <c r="AS20" s="18"/>
      <c r="AT20" s="21" t="s">
        <v>697</v>
      </c>
      <c r="AU20" s="19" t="s">
        <v>580</v>
      </c>
      <c r="AV20" s="22" t="s">
        <v>573</v>
      </c>
      <c r="AW20" s="19" t="s">
        <v>614</v>
      </c>
      <c r="AX20" s="20" t="s">
        <v>554</v>
      </c>
      <c r="AY20" s="20" t="s">
        <v>685</v>
      </c>
      <c r="AZ20" s="18"/>
      <c r="BA20" s="1"/>
      <c r="BB20" s="1"/>
      <c r="BC20" s="18"/>
    </row>
    <row r="21" spans="7:55">
      <c r="G21" s="1" t="s">
        <v>510</v>
      </c>
      <c r="H21" s="1" t="s">
        <v>510</v>
      </c>
      <c r="I21" s="1" t="s">
        <v>510</v>
      </c>
      <c r="J21" s="1"/>
      <c r="K21" s="1"/>
      <c r="L21" s="1" t="s">
        <v>445</v>
      </c>
      <c r="M21" s="1" t="s">
        <v>623</v>
      </c>
      <c r="N21" s="1" t="s">
        <v>698</v>
      </c>
      <c r="O21" s="1" t="s">
        <v>645</v>
      </c>
      <c r="P21" s="1" t="s">
        <v>602</v>
      </c>
      <c r="Q21" s="1" t="s">
        <v>642</v>
      </c>
      <c r="R21" s="1"/>
      <c r="S21" s="124" t="s">
        <v>445</v>
      </c>
      <c r="T21" s="122" t="s">
        <v>623</v>
      </c>
      <c r="U21" s="122" t="s">
        <v>698</v>
      </c>
      <c r="V21" s="122" t="s">
        <v>645</v>
      </c>
      <c r="W21" s="122" t="s">
        <v>602</v>
      </c>
      <c r="X21" s="122" t="s">
        <v>642</v>
      </c>
      <c r="Y21" s="121" t="s">
        <v>556</v>
      </c>
      <c r="Z21" s="122" t="s">
        <v>627</v>
      </c>
      <c r="AA21" s="122" t="s">
        <v>693</v>
      </c>
      <c r="AB21" s="122" t="s">
        <v>699</v>
      </c>
      <c r="AC21" s="124" t="s">
        <v>114</v>
      </c>
      <c r="AD21" s="122" t="s">
        <v>700</v>
      </c>
      <c r="AE21" s="122" t="s">
        <v>701</v>
      </c>
      <c r="AF21" s="122" t="s">
        <v>702</v>
      </c>
      <c r="AG21" s="66" t="s">
        <v>703</v>
      </c>
      <c r="AH21" s="1"/>
      <c r="AI21" s="1"/>
      <c r="AJ21" s="1"/>
      <c r="AK21" s="1"/>
      <c r="AL21" s="18" t="s">
        <v>704</v>
      </c>
      <c r="AM21" s="18" t="s">
        <v>705</v>
      </c>
      <c r="AN21" s="18" t="s">
        <v>706</v>
      </c>
      <c r="AO21" s="18" t="s">
        <v>671</v>
      </c>
      <c r="AP21" s="18" t="s">
        <v>587</v>
      </c>
      <c r="AQ21" s="18" t="s">
        <v>707</v>
      </c>
      <c r="AR21" s="18"/>
      <c r="AS21" s="18"/>
      <c r="AT21" s="19" t="s">
        <v>704</v>
      </c>
      <c r="AU21" s="20" t="s">
        <v>59</v>
      </c>
      <c r="AV21" s="20" t="s">
        <v>556</v>
      </c>
      <c r="AW21" s="19" t="s">
        <v>59</v>
      </c>
      <c r="AX21" s="22" t="s">
        <v>655</v>
      </c>
      <c r="AY21" s="20" t="s">
        <v>435</v>
      </c>
      <c r="AZ21" s="18"/>
      <c r="BA21" s="1"/>
      <c r="BB21" s="1"/>
      <c r="BC21" s="18"/>
    </row>
    <row r="22" spans="7:55">
      <c r="G22" s="1" t="s">
        <v>511</v>
      </c>
      <c r="H22" s="1" t="s">
        <v>511</v>
      </c>
      <c r="I22" s="1" t="s">
        <v>511</v>
      </c>
      <c r="J22" s="1"/>
      <c r="K22" s="1"/>
      <c r="L22" s="1" t="s">
        <v>102</v>
      </c>
      <c r="M22" s="1" t="s">
        <v>656</v>
      </c>
      <c r="N22" s="1" t="s">
        <v>708</v>
      </c>
      <c r="O22" s="1" t="s">
        <v>708</v>
      </c>
      <c r="P22" s="1" t="s">
        <v>709</v>
      </c>
      <c r="Q22" s="1" t="s">
        <v>710</v>
      </c>
      <c r="R22" s="1"/>
      <c r="S22" s="121" t="s">
        <v>102</v>
      </c>
      <c r="T22" s="122" t="s">
        <v>656</v>
      </c>
      <c r="U22" s="122" t="s">
        <v>708</v>
      </c>
      <c r="V22" s="123" t="s">
        <v>708</v>
      </c>
      <c r="W22" s="122" t="s">
        <v>709</v>
      </c>
      <c r="X22" s="122" t="s">
        <v>710</v>
      </c>
      <c r="Y22" s="121" t="s">
        <v>642</v>
      </c>
      <c r="Z22" s="122" t="s">
        <v>671</v>
      </c>
      <c r="AA22" s="122" t="s">
        <v>711</v>
      </c>
      <c r="AB22" s="122" t="s">
        <v>703</v>
      </c>
      <c r="AC22" s="121" t="s">
        <v>712</v>
      </c>
      <c r="AD22" s="122" t="s">
        <v>712</v>
      </c>
      <c r="AE22" s="122" t="s">
        <v>713</v>
      </c>
      <c r="AF22" s="122" t="s">
        <v>714</v>
      </c>
      <c r="AG22" s="66" t="s">
        <v>715</v>
      </c>
      <c r="AH22" s="1"/>
      <c r="AI22" s="1"/>
      <c r="AJ22" s="1"/>
      <c r="AK22" s="1"/>
      <c r="AL22" s="18" t="s">
        <v>716</v>
      </c>
      <c r="AM22" s="18" t="s">
        <v>717</v>
      </c>
      <c r="AN22" s="18" t="s">
        <v>718</v>
      </c>
      <c r="AO22" s="18" t="s">
        <v>658</v>
      </c>
      <c r="AP22" s="18" t="s">
        <v>568</v>
      </c>
      <c r="AQ22" s="1"/>
      <c r="AR22" s="1"/>
      <c r="AS22" s="1"/>
      <c r="AT22" s="19" t="s">
        <v>705</v>
      </c>
      <c r="AU22" s="20" t="s">
        <v>589</v>
      </c>
      <c r="AV22" s="22" t="s">
        <v>611</v>
      </c>
      <c r="AW22" s="19" t="s">
        <v>624</v>
      </c>
      <c r="AX22" s="22" t="s">
        <v>547</v>
      </c>
      <c r="AY22" s="20" t="s">
        <v>553</v>
      </c>
      <c r="AZ22" s="1"/>
      <c r="BA22" s="1"/>
      <c r="BB22" s="1"/>
      <c r="BC22" s="1"/>
    </row>
    <row r="23" spans="7:55">
      <c r="G23" s="1" t="s">
        <v>512</v>
      </c>
      <c r="H23" s="1" t="s">
        <v>512</v>
      </c>
      <c r="I23" s="1" t="s">
        <v>512</v>
      </c>
      <c r="J23" s="1"/>
      <c r="K23" s="1"/>
      <c r="L23" s="1" t="s">
        <v>644</v>
      </c>
      <c r="M23" s="1" t="s">
        <v>637</v>
      </c>
      <c r="N23" s="1" t="s">
        <v>708</v>
      </c>
      <c r="O23" s="1" t="s">
        <v>671</v>
      </c>
      <c r="P23" s="1" t="s">
        <v>438</v>
      </c>
      <c r="Q23" s="1" t="s">
        <v>572</v>
      </c>
      <c r="R23" s="1"/>
      <c r="S23" s="121" t="s">
        <v>644</v>
      </c>
      <c r="T23" s="122" t="s">
        <v>637</v>
      </c>
      <c r="U23" s="122" t="s">
        <v>708</v>
      </c>
      <c r="V23" s="122" t="s">
        <v>671</v>
      </c>
      <c r="W23" s="122" t="s">
        <v>438</v>
      </c>
      <c r="X23" s="122" t="s">
        <v>572</v>
      </c>
      <c r="Y23" s="121" t="s">
        <v>63</v>
      </c>
      <c r="Z23" s="122" t="s">
        <v>719</v>
      </c>
      <c r="AA23" s="122" t="s">
        <v>678</v>
      </c>
      <c r="AB23" s="122" t="s">
        <v>720</v>
      </c>
      <c r="AC23" s="121" t="s">
        <v>721</v>
      </c>
      <c r="AD23" s="122" t="s">
        <v>722</v>
      </c>
      <c r="AE23" s="122" t="s">
        <v>723</v>
      </c>
      <c r="AF23" s="123" t="s">
        <v>626</v>
      </c>
      <c r="AG23" s="66" t="s">
        <v>724</v>
      </c>
      <c r="AH23" s="1"/>
      <c r="AI23" s="1"/>
      <c r="AJ23" s="1"/>
      <c r="AK23" s="1"/>
      <c r="AL23" s="18" t="s">
        <v>725</v>
      </c>
      <c r="AM23" s="18" t="s">
        <v>702</v>
      </c>
      <c r="AN23" s="18" t="s">
        <v>450</v>
      </c>
      <c r="AO23" s="18" t="s">
        <v>726</v>
      </c>
      <c r="AP23" s="18" t="s">
        <v>727</v>
      </c>
      <c r="AQ23" s="1"/>
      <c r="AR23" s="1"/>
      <c r="AS23" s="1"/>
      <c r="AT23" s="21" t="s">
        <v>716</v>
      </c>
      <c r="AU23" s="20" t="s">
        <v>600</v>
      </c>
      <c r="AV23" s="22" t="s">
        <v>572</v>
      </c>
      <c r="AW23" s="20" t="s">
        <v>648</v>
      </c>
      <c r="AX23" s="20" t="s">
        <v>529</v>
      </c>
      <c r="AY23" s="20" t="s">
        <v>567</v>
      </c>
      <c r="AZ23" s="1"/>
      <c r="BA23" s="1"/>
      <c r="BB23" s="1"/>
      <c r="BC23" s="1"/>
    </row>
    <row r="24" spans="7:55">
      <c r="G24" s="1" t="s">
        <v>513</v>
      </c>
      <c r="H24" s="1" t="s">
        <v>513</v>
      </c>
      <c r="I24" s="1" t="s">
        <v>513</v>
      </c>
      <c r="J24" s="1"/>
      <c r="K24" s="1"/>
      <c r="L24" s="1" t="s">
        <v>643</v>
      </c>
      <c r="M24" s="1" t="s">
        <v>445</v>
      </c>
      <c r="N24" s="1" t="s">
        <v>95</v>
      </c>
      <c r="O24" s="1" t="s">
        <v>728</v>
      </c>
      <c r="P24" s="1" t="s">
        <v>59</v>
      </c>
      <c r="Q24" s="1" t="s">
        <v>578</v>
      </c>
      <c r="R24" s="1"/>
      <c r="S24" s="121" t="s">
        <v>643</v>
      </c>
      <c r="T24" s="122" t="s">
        <v>445</v>
      </c>
      <c r="U24" s="122" t="s">
        <v>95</v>
      </c>
      <c r="V24" s="122" t="s">
        <v>728</v>
      </c>
      <c r="W24" s="123" t="s">
        <v>59</v>
      </c>
      <c r="X24" s="122" t="s">
        <v>578</v>
      </c>
      <c r="Y24" s="121" t="s">
        <v>606</v>
      </c>
      <c r="Z24" s="122" t="s">
        <v>623</v>
      </c>
      <c r="AA24" s="122" t="s">
        <v>729</v>
      </c>
      <c r="AB24" s="122" t="s">
        <v>730</v>
      </c>
      <c r="AC24" s="121" t="s">
        <v>698</v>
      </c>
      <c r="AD24" s="122" t="s">
        <v>445</v>
      </c>
      <c r="AE24" s="122" t="s">
        <v>609</v>
      </c>
      <c r="AF24" s="122" t="s">
        <v>731</v>
      </c>
      <c r="AG24" s="66" t="s">
        <v>732</v>
      </c>
      <c r="AH24" s="1"/>
      <c r="AI24" s="1"/>
      <c r="AJ24" s="1"/>
      <c r="AK24" s="1"/>
      <c r="AL24" s="18" t="s">
        <v>461</v>
      </c>
      <c r="AM24" s="18" t="s">
        <v>733</v>
      </c>
      <c r="AN24" s="18" t="s">
        <v>734</v>
      </c>
      <c r="AO24" s="18" t="s">
        <v>735</v>
      </c>
      <c r="AP24" s="18" t="s">
        <v>59</v>
      </c>
      <c r="AQ24" s="1"/>
      <c r="AR24" s="1"/>
      <c r="AS24" s="1"/>
      <c r="AT24" s="19" t="s">
        <v>725</v>
      </c>
      <c r="AU24" s="20" t="s">
        <v>440</v>
      </c>
      <c r="AV24" s="20" t="s">
        <v>578</v>
      </c>
      <c r="AW24" s="21" t="s">
        <v>609</v>
      </c>
      <c r="AX24" s="20" t="s">
        <v>579</v>
      </c>
      <c r="AY24" s="20" t="s">
        <v>621</v>
      </c>
      <c r="AZ24" s="1"/>
      <c r="BA24" s="1"/>
      <c r="BB24" s="1"/>
      <c r="BC24" s="1"/>
    </row>
    <row r="25" spans="7:55">
      <c r="G25" s="1" t="s">
        <v>736</v>
      </c>
      <c r="H25" s="1" t="s">
        <v>736</v>
      </c>
      <c r="I25" s="1" t="s">
        <v>736</v>
      </c>
      <c r="J25" s="1"/>
      <c r="K25" s="1"/>
      <c r="L25" s="1" t="s">
        <v>737</v>
      </c>
      <c r="M25" s="1" t="s">
        <v>102</v>
      </c>
      <c r="N25" s="1" t="s">
        <v>728</v>
      </c>
      <c r="O25" s="1" t="s">
        <v>726</v>
      </c>
      <c r="P25" s="1" t="s">
        <v>684</v>
      </c>
      <c r="Q25" s="1" t="s">
        <v>738</v>
      </c>
      <c r="R25" s="1"/>
      <c r="S25" s="121" t="s">
        <v>737</v>
      </c>
      <c r="T25" s="122" t="s">
        <v>102</v>
      </c>
      <c r="U25" s="122" t="s">
        <v>728</v>
      </c>
      <c r="V25" s="122" t="s">
        <v>726</v>
      </c>
      <c r="W25" s="122" t="s">
        <v>684</v>
      </c>
      <c r="X25" s="122" t="s">
        <v>738</v>
      </c>
      <c r="Y25" s="121" t="s">
        <v>739</v>
      </c>
      <c r="Z25" s="122" t="s">
        <v>656</v>
      </c>
      <c r="AA25" s="122" t="s">
        <v>740</v>
      </c>
      <c r="AB25" s="122" t="s">
        <v>741</v>
      </c>
      <c r="AC25" s="121" t="s">
        <v>95</v>
      </c>
      <c r="AD25" s="122" t="s">
        <v>742</v>
      </c>
      <c r="AE25" s="122" t="s">
        <v>114</v>
      </c>
      <c r="AF25" s="122" t="s">
        <v>461</v>
      </c>
      <c r="AG25" s="66" t="s">
        <v>449</v>
      </c>
      <c r="AH25" s="1"/>
      <c r="AI25" s="1"/>
      <c r="AJ25" s="1"/>
      <c r="AK25" s="1"/>
      <c r="AL25" s="18" t="s">
        <v>733</v>
      </c>
      <c r="AM25" s="18" t="s">
        <v>743</v>
      </c>
      <c r="AN25" s="18" t="s">
        <v>453</v>
      </c>
      <c r="AO25" s="18" t="s">
        <v>744</v>
      </c>
      <c r="AP25" s="18" t="s">
        <v>698</v>
      </c>
      <c r="AQ25" s="1"/>
      <c r="AR25" s="1"/>
      <c r="AS25" s="1"/>
      <c r="AT25" s="21" t="s">
        <v>461</v>
      </c>
      <c r="AU25" s="20" t="s">
        <v>671</v>
      </c>
      <c r="AV25" s="22" t="s">
        <v>593</v>
      </c>
      <c r="AW25" s="20" t="s">
        <v>672</v>
      </c>
      <c r="AX25" s="20" t="s">
        <v>675</v>
      </c>
      <c r="AY25" s="20" t="s">
        <v>635</v>
      </c>
      <c r="AZ25" s="1"/>
      <c r="BA25" s="1"/>
      <c r="BB25" s="1"/>
      <c r="BC25" s="1"/>
    </row>
    <row r="26" spans="7:55">
      <c r="G26" s="1"/>
      <c r="H26" s="1"/>
      <c r="I26" s="1"/>
      <c r="J26" s="1"/>
      <c r="K26" s="1"/>
      <c r="L26" s="1" t="s">
        <v>686</v>
      </c>
      <c r="M26" s="1" t="s">
        <v>742</v>
      </c>
      <c r="N26" s="1" t="s">
        <v>644</v>
      </c>
      <c r="O26" s="1" t="s">
        <v>745</v>
      </c>
      <c r="P26" s="1" t="s">
        <v>746</v>
      </c>
      <c r="Q26" s="1" t="s">
        <v>593</v>
      </c>
      <c r="R26" s="1"/>
      <c r="S26" s="121" t="s">
        <v>686</v>
      </c>
      <c r="T26" s="122" t="s">
        <v>742</v>
      </c>
      <c r="U26" s="122" t="s">
        <v>644</v>
      </c>
      <c r="V26" s="122" t="s">
        <v>745</v>
      </c>
      <c r="W26" s="122" t="s">
        <v>746</v>
      </c>
      <c r="X26" s="122" t="s">
        <v>593</v>
      </c>
      <c r="Y26" s="121" t="s">
        <v>568</v>
      </c>
      <c r="Z26" s="122" t="s">
        <v>747</v>
      </c>
      <c r="AA26" s="122" t="s">
        <v>440</v>
      </c>
      <c r="AB26" s="122" t="s">
        <v>445</v>
      </c>
      <c r="AC26" s="121" t="s">
        <v>671</v>
      </c>
      <c r="AD26" s="122" t="s">
        <v>748</v>
      </c>
      <c r="AE26" s="122" t="s">
        <v>746</v>
      </c>
      <c r="AF26" s="122" t="s">
        <v>733</v>
      </c>
      <c r="AG26" s="66" t="s">
        <v>749</v>
      </c>
      <c r="AH26" s="1"/>
      <c r="AI26" s="1"/>
      <c r="AJ26" s="1"/>
      <c r="AK26" s="1"/>
      <c r="AL26" s="18" t="s">
        <v>733</v>
      </c>
      <c r="AM26" s="18" t="s">
        <v>750</v>
      </c>
      <c r="AN26" s="18" t="s">
        <v>743</v>
      </c>
      <c r="AO26" s="18" t="s">
        <v>697</v>
      </c>
      <c r="AP26" s="18" t="s">
        <v>95</v>
      </c>
      <c r="AQ26" s="1"/>
      <c r="AR26" s="1"/>
      <c r="AS26" s="1"/>
      <c r="AT26" s="19" t="s">
        <v>733</v>
      </c>
      <c r="AU26" s="20" t="s">
        <v>610</v>
      </c>
      <c r="AV26" s="20" t="s">
        <v>628</v>
      </c>
      <c r="AW26" s="22" t="s">
        <v>114</v>
      </c>
      <c r="AX26" s="20" t="s">
        <v>588</v>
      </c>
      <c r="AY26" s="20" t="s">
        <v>578</v>
      </c>
      <c r="AZ26" s="1"/>
      <c r="BA26" s="1"/>
      <c r="BB26" s="1"/>
      <c r="BC26" s="1"/>
    </row>
    <row r="27" spans="7:55">
      <c r="G27" s="1"/>
      <c r="H27" s="1"/>
      <c r="I27" s="1"/>
      <c r="J27" s="1"/>
      <c r="K27" s="1"/>
      <c r="L27" s="1" t="s">
        <v>751</v>
      </c>
      <c r="M27" s="1" t="s">
        <v>658</v>
      </c>
      <c r="N27" s="1" t="s">
        <v>742</v>
      </c>
      <c r="O27" s="1" t="s">
        <v>735</v>
      </c>
      <c r="P27" s="1" t="s">
        <v>622</v>
      </c>
      <c r="Q27" s="1" t="s">
        <v>663</v>
      </c>
      <c r="R27" s="1"/>
      <c r="S27" s="121" t="s">
        <v>751</v>
      </c>
      <c r="T27" s="122" t="s">
        <v>658</v>
      </c>
      <c r="U27" s="122" t="s">
        <v>742</v>
      </c>
      <c r="V27" s="122" t="s">
        <v>735</v>
      </c>
      <c r="W27" s="122" t="s">
        <v>622</v>
      </c>
      <c r="X27" s="122" t="s">
        <v>663</v>
      </c>
      <c r="Y27" s="121" t="s">
        <v>649</v>
      </c>
      <c r="Z27" s="122" t="s">
        <v>445</v>
      </c>
      <c r="AA27" s="122" t="s">
        <v>752</v>
      </c>
      <c r="AB27" s="123" t="s">
        <v>446</v>
      </c>
      <c r="AC27" s="121" t="s">
        <v>747</v>
      </c>
      <c r="AD27" s="122" t="s">
        <v>753</v>
      </c>
      <c r="AE27" s="122" t="s">
        <v>712</v>
      </c>
      <c r="AF27" s="122" t="s">
        <v>754</v>
      </c>
      <c r="AG27" s="67" t="s">
        <v>755</v>
      </c>
      <c r="AH27" s="1"/>
      <c r="AI27" s="1"/>
      <c r="AJ27" s="1"/>
      <c r="AK27" s="1"/>
      <c r="AL27" s="18" t="s">
        <v>756</v>
      </c>
      <c r="AM27" s="18" t="s">
        <v>757</v>
      </c>
      <c r="AN27" s="18" t="s">
        <v>758</v>
      </c>
      <c r="AO27" s="18" t="s">
        <v>759</v>
      </c>
      <c r="AP27" s="18" t="s">
        <v>728</v>
      </c>
      <c r="AQ27" s="1"/>
      <c r="AR27" s="1"/>
      <c r="AS27" s="1"/>
      <c r="AT27" s="23" t="s">
        <v>756</v>
      </c>
      <c r="AU27" s="20" t="s">
        <v>690</v>
      </c>
      <c r="AV27" s="20" t="s">
        <v>568</v>
      </c>
      <c r="AW27" s="21" t="s">
        <v>627</v>
      </c>
      <c r="AX27" s="22" t="s">
        <v>598</v>
      </c>
      <c r="AY27" s="20" t="s">
        <v>723</v>
      </c>
      <c r="AZ27" s="1"/>
      <c r="BA27" s="1"/>
      <c r="BB27" s="1"/>
      <c r="BC27" s="1"/>
    </row>
    <row r="28" spans="7:55">
      <c r="G28" s="1"/>
      <c r="H28" s="1"/>
      <c r="I28" s="1"/>
      <c r="J28" s="1"/>
      <c r="K28" s="1"/>
      <c r="L28" s="1" t="s">
        <v>697</v>
      </c>
      <c r="M28" s="1" t="s">
        <v>460</v>
      </c>
      <c r="N28" s="1" t="s">
        <v>460</v>
      </c>
      <c r="O28" s="1" t="s">
        <v>643</v>
      </c>
      <c r="P28" s="1" t="s">
        <v>440</v>
      </c>
      <c r="Q28" s="1" t="s">
        <v>628</v>
      </c>
      <c r="R28" s="1"/>
      <c r="S28" s="121" t="s">
        <v>697</v>
      </c>
      <c r="T28" s="122" t="s">
        <v>460</v>
      </c>
      <c r="U28" s="122" t="s">
        <v>460</v>
      </c>
      <c r="V28" s="122" t="s">
        <v>643</v>
      </c>
      <c r="W28" s="122" t="s">
        <v>440</v>
      </c>
      <c r="X28" s="122" t="s">
        <v>628</v>
      </c>
      <c r="Y28" s="121" t="s">
        <v>630</v>
      </c>
      <c r="Z28" s="122" t="s">
        <v>102</v>
      </c>
      <c r="AA28" s="122" t="s">
        <v>760</v>
      </c>
      <c r="AB28" s="122" t="s">
        <v>761</v>
      </c>
      <c r="AC28" s="124" t="s">
        <v>445</v>
      </c>
      <c r="AD28" s="122" t="s">
        <v>762</v>
      </c>
      <c r="AE28" s="122" t="s">
        <v>698</v>
      </c>
      <c r="AF28" s="122" t="s">
        <v>743</v>
      </c>
      <c r="AG28" s="66" t="s">
        <v>763</v>
      </c>
      <c r="AH28" s="1"/>
      <c r="AI28" s="1"/>
      <c r="AJ28" s="1"/>
      <c r="AK28" s="1"/>
      <c r="AL28" s="18"/>
      <c r="AM28" s="18"/>
      <c r="AN28" s="18" t="s">
        <v>764</v>
      </c>
      <c r="AO28" s="18" t="s">
        <v>702</v>
      </c>
      <c r="AP28" s="18" t="s">
        <v>610</v>
      </c>
      <c r="AQ28" s="1"/>
      <c r="AR28" s="1"/>
      <c r="AS28" s="1"/>
      <c r="AT28" s="23"/>
      <c r="AU28" s="20" t="s">
        <v>623</v>
      </c>
      <c r="AV28" s="22" t="s">
        <v>61</v>
      </c>
      <c r="AW28" s="19" t="s">
        <v>669</v>
      </c>
      <c r="AX28" s="20" t="s">
        <v>685</v>
      </c>
      <c r="AY28" s="20" t="s">
        <v>618</v>
      </c>
      <c r="AZ28" s="1"/>
      <c r="BA28" s="1"/>
      <c r="BB28" s="1"/>
      <c r="BC28" s="1"/>
    </row>
    <row r="29" spans="7:55">
      <c r="G29" s="1"/>
      <c r="H29" s="1"/>
      <c r="I29" s="1"/>
      <c r="J29" s="1"/>
      <c r="K29" s="1"/>
      <c r="L29" s="1" t="s">
        <v>765</v>
      </c>
      <c r="M29" s="1" t="s">
        <v>745</v>
      </c>
      <c r="N29" s="1" t="s">
        <v>735</v>
      </c>
      <c r="O29" s="1" t="s">
        <v>766</v>
      </c>
      <c r="P29" s="1" t="s">
        <v>767</v>
      </c>
      <c r="Q29" s="1" t="s">
        <v>587</v>
      </c>
      <c r="R29" s="1"/>
      <c r="S29" s="121" t="s">
        <v>765</v>
      </c>
      <c r="T29" s="122" t="s">
        <v>745</v>
      </c>
      <c r="U29" s="122" t="s">
        <v>735</v>
      </c>
      <c r="V29" s="122" t="s">
        <v>766</v>
      </c>
      <c r="W29" s="122" t="s">
        <v>767</v>
      </c>
      <c r="X29" s="122" t="s">
        <v>587</v>
      </c>
      <c r="Y29" s="121" t="s">
        <v>653</v>
      </c>
      <c r="Z29" s="122" t="s">
        <v>726</v>
      </c>
      <c r="AA29" s="122" t="s">
        <v>656</v>
      </c>
      <c r="AB29" s="122" t="s">
        <v>726</v>
      </c>
      <c r="AC29" s="121" t="s">
        <v>768</v>
      </c>
      <c r="AD29" s="122" t="s">
        <v>725</v>
      </c>
      <c r="AE29" s="122" t="s">
        <v>760</v>
      </c>
      <c r="AF29" s="122" t="s">
        <v>769</v>
      </c>
      <c r="AG29" s="67" t="s">
        <v>458</v>
      </c>
      <c r="AH29" s="1"/>
      <c r="AI29" s="1"/>
      <c r="AJ29" s="1"/>
      <c r="AK29" s="1"/>
      <c r="AL29" s="18"/>
      <c r="AM29" s="1"/>
      <c r="AN29" s="18" t="s">
        <v>770</v>
      </c>
      <c r="AO29" s="18" t="s">
        <v>771</v>
      </c>
      <c r="AP29" s="18" t="s">
        <v>730</v>
      </c>
      <c r="AQ29" s="1"/>
      <c r="AR29" s="1"/>
      <c r="AS29" s="1"/>
      <c r="AT29" s="1"/>
      <c r="AU29" s="20" t="s">
        <v>656</v>
      </c>
      <c r="AV29" s="20" t="s">
        <v>625</v>
      </c>
      <c r="AW29" s="20" t="s">
        <v>600</v>
      </c>
      <c r="AX29" s="20" t="s">
        <v>435</v>
      </c>
      <c r="AY29" s="20" t="s">
        <v>587</v>
      </c>
      <c r="AZ29" s="1"/>
      <c r="BA29" s="1"/>
      <c r="BB29" s="1"/>
      <c r="BC29" s="1"/>
    </row>
    <row r="30" spans="7:55">
      <c r="G30" s="1"/>
      <c r="H30" s="1"/>
      <c r="I30" s="1"/>
      <c r="J30" s="1"/>
      <c r="K30" s="1"/>
      <c r="L30" s="1" t="s">
        <v>759</v>
      </c>
      <c r="M30" s="1" t="s">
        <v>657</v>
      </c>
      <c r="N30" s="1" t="s">
        <v>643</v>
      </c>
      <c r="O30" s="1" t="s">
        <v>450</v>
      </c>
      <c r="P30" s="1" t="s">
        <v>772</v>
      </c>
      <c r="Q30" s="1" t="s">
        <v>587</v>
      </c>
      <c r="R30" s="1"/>
      <c r="S30" s="121" t="s">
        <v>759</v>
      </c>
      <c r="T30" s="122" t="s">
        <v>657</v>
      </c>
      <c r="U30" s="122" t="s">
        <v>643</v>
      </c>
      <c r="V30" s="122" t="s">
        <v>450</v>
      </c>
      <c r="W30" s="122" t="s">
        <v>772</v>
      </c>
      <c r="X30" s="122" t="s">
        <v>587</v>
      </c>
      <c r="Y30" s="121" t="s">
        <v>773</v>
      </c>
      <c r="Z30" s="122" t="s">
        <v>774</v>
      </c>
      <c r="AA30" s="122" t="s">
        <v>775</v>
      </c>
      <c r="AB30" s="122" t="s">
        <v>776</v>
      </c>
      <c r="AC30" s="124" t="s">
        <v>777</v>
      </c>
      <c r="AD30" s="122" t="s">
        <v>778</v>
      </c>
      <c r="AE30" s="122" t="s">
        <v>449</v>
      </c>
      <c r="AF30" s="122"/>
      <c r="AG30" s="66" t="s">
        <v>671</v>
      </c>
      <c r="AH30" s="1"/>
      <c r="AI30" s="1"/>
      <c r="AJ30" s="1"/>
      <c r="AK30" s="1"/>
      <c r="AL30" s="18"/>
      <c r="AM30" s="1"/>
      <c r="AN30" s="18" t="s">
        <v>779</v>
      </c>
      <c r="AO30" s="18" t="s">
        <v>780</v>
      </c>
      <c r="AP30" s="18" t="s">
        <v>442</v>
      </c>
      <c r="AQ30" s="1"/>
      <c r="AR30" s="1"/>
      <c r="AS30" s="1"/>
      <c r="AT30" s="1"/>
      <c r="AU30" s="20" t="s">
        <v>637</v>
      </c>
      <c r="AV30" s="20" t="s">
        <v>649</v>
      </c>
      <c r="AW30" s="22" t="s">
        <v>698</v>
      </c>
      <c r="AX30" s="22" t="s">
        <v>553</v>
      </c>
      <c r="AY30" s="20" t="s">
        <v>594</v>
      </c>
      <c r="AZ30" s="1"/>
      <c r="BA30" s="1"/>
      <c r="BB30" s="1"/>
      <c r="BC30" s="1"/>
    </row>
    <row r="31" spans="7:55">
      <c r="G31" s="1"/>
      <c r="H31" s="1"/>
      <c r="I31" s="1"/>
      <c r="J31" s="1"/>
      <c r="K31" s="1"/>
      <c r="L31" s="1" t="s">
        <v>718</v>
      </c>
      <c r="M31" s="1" t="s">
        <v>753</v>
      </c>
      <c r="N31" s="1" t="s">
        <v>706</v>
      </c>
      <c r="O31" s="1" t="s">
        <v>702</v>
      </c>
      <c r="P31" s="1" t="s">
        <v>442</v>
      </c>
      <c r="Q31" s="1" t="s">
        <v>594</v>
      </c>
      <c r="R31" s="1"/>
      <c r="S31" s="121" t="s">
        <v>718</v>
      </c>
      <c r="T31" s="122" t="s">
        <v>753</v>
      </c>
      <c r="U31" s="122" t="s">
        <v>706</v>
      </c>
      <c r="V31" s="122" t="s">
        <v>702</v>
      </c>
      <c r="W31" s="122" t="s">
        <v>442</v>
      </c>
      <c r="X31" s="122" t="s">
        <v>594</v>
      </c>
      <c r="Y31" s="121" t="s">
        <v>746</v>
      </c>
      <c r="Z31" s="122" t="s">
        <v>745</v>
      </c>
      <c r="AA31" s="122" t="s">
        <v>444</v>
      </c>
      <c r="AB31" s="122" t="s">
        <v>777</v>
      </c>
      <c r="AC31" s="121" t="s">
        <v>697</v>
      </c>
      <c r="AD31" s="122" t="s">
        <v>754</v>
      </c>
      <c r="AE31" s="122" t="s">
        <v>781</v>
      </c>
      <c r="AF31" s="122"/>
      <c r="AG31" s="66"/>
      <c r="AH31" s="1"/>
      <c r="AI31" s="1"/>
      <c r="AJ31" s="1"/>
      <c r="AK31" s="1"/>
      <c r="AL31" s="18"/>
      <c r="AM31" s="1"/>
      <c r="AN31" s="18" t="s">
        <v>782</v>
      </c>
      <c r="AO31" s="18" t="s">
        <v>783</v>
      </c>
      <c r="AP31" s="18" t="s">
        <v>784</v>
      </c>
      <c r="AQ31" s="1"/>
      <c r="AR31" s="1"/>
      <c r="AS31" s="1"/>
      <c r="AT31" s="1"/>
      <c r="AU31" s="20" t="s">
        <v>445</v>
      </c>
      <c r="AV31" s="22" t="s">
        <v>594</v>
      </c>
      <c r="AW31" s="20" t="s">
        <v>708</v>
      </c>
      <c r="AX31" s="22" t="s">
        <v>567</v>
      </c>
      <c r="AY31" s="20" t="s">
        <v>634</v>
      </c>
      <c r="AZ31" s="1"/>
      <c r="BA31" s="1"/>
      <c r="BB31" s="1"/>
      <c r="BC31" s="1"/>
    </row>
    <row r="32" spans="7:55">
      <c r="G32" s="1"/>
      <c r="H32" s="1"/>
      <c r="I32" s="1"/>
      <c r="J32" s="1"/>
      <c r="K32" s="1"/>
      <c r="L32" s="1" t="s">
        <v>702</v>
      </c>
      <c r="M32" s="1" t="s">
        <v>705</v>
      </c>
      <c r="N32" s="1" t="s">
        <v>448</v>
      </c>
      <c r="O32" s="1" t="s">
        <v>780</v>
      </c>
      <c r="P32" s="1" t="s">
        <v>443</v>
      </c>
      <c r="Q32" s="1" t="s">
        <v>580</v>
      </c>
      <c r="R32" s="1"/>
      <c r="S32" s="121" t="s">
        <v>702</v>
      </c>
      <c r="T32" s="122" t="s">
        <v>705</v>
      </c>
      <c r="U32" s="122" t="s">
        <v>448</v>
      </c>
      <c r="V32" s="122" t="s">
        <v>780</v>
      </c>
      <c r="W32" s="122" t="s">
        <v>443</v>
      </c>
      <c r="X32" s="122" t="s">
        <v>580</v>
      </c>
      <c r="Y32" s="121" t="s">
        <v>712</v>
      </c>
      <c r="Z32" s="122" t="s">
        <v>777</v>
      </c>
      <c r="AA32" s="122" t="s">
        <v>689</v>
      </c>
      <c r="AB32" s="122" t="s">
        <v>785</v>
      </c>
      <c r="AC32" s="121" t="s">
        <v>786</v>
      </c>
      <c r="AD32" s="123" t="s">
        <v>453</v>
      </c>
      <c r="AE32" s="122" t="s">
        <v>787</v>
      </c>
      <c r="AF32" s="122"/>
      <c r="AG32" s="66"/>
      <c r="AH32" s="1"/>
      <c r="AI32" s="1"/>
      <c r="AJ32" s="1"/>
      <c r="AK32" s="1"/>
      <c r="AL32" s="18"/>
      <c r="AM32" s="1"/>
      <c r="AN32" s="1"/>
      <c r="AO32" s="18" t="s">
        <v>788</v>
      </c>
      <c r="AP32" s="18" t="s">
        <v>789</v>
      </c>
      <c r="AQ32" s="1"/>
      <c r="AR32" s="1"/>
      <c r="AS32" s="1"/>
      <c r="AT32" s="1"/>
      <c r="AU32" s="20" t="s">
        <v>102</v>
      </c>
      <c r="AV32" s="22" t="s">
        <v>662</v>
      </c>
      <c r="AW32" s="20" t="s">
        <v>95</v>
      </c>
      <c r="AX32" s="20" t="s">
        <v>621</v>
      </c>
      <c r="AY32" s="20" t="s">
        <v>614</v>
      </c>
      <c r="AZ32" s="1"/>
      <c r="BA32" s="1"/>
      <c r="BB32" s="1"/>
      <c r="BC32" s="1"/>
    </row>
    <row r="33" spans="12:51">
      <c r="L33" s="1" t="s">
        <v>790</v>
      </c>
      <c r="M33" s="1" t="s">
        <v>790</v>
      </c>
      <c r="N33" s="1" t="s">
        <v>791</v>
      </c>
      <c r="O33" s="1" t="s">
        <v>461</v>
      </c>
      <c r="P33" s="1" t="s">
        <v>444</v>
      </c>
      <c r="Q33" s="1" t="s">
        <v>609</v>
      </c>
      <c r="R33" s="1"/>
      <c r="S33" s="124" t="s">
        <v>790</v>
      </c>
      <c r="T33" s="122" t="s">
        <v>790</v>
      </c>
      <c r="U33" s="122" t="s">
        <v>791</v>
      </c>
      <c r="V33" s="122" t="s">
        <v>461</v>
      </c>
      <c r="W33" s="123" t="s">
        <v>444</v>
      </c>
      <c r="X33" s="122" t="s">
        <v>609</v>
      </c>
      <c r="Y33" s="121" t="s">
        <v>792</v>
      </c>
      <c r="Z33" s="122" t="s">
        <v>793</v>
      </c>
      <c r="AA33" s="122" t="s">
        <v>445</v>
      </c>
      <c r="AB33" s="122" t="s">
        <v>794</v>
      </c>
      <c r="AC33" s="121" t="s">
        <v>702</v>
      </c>
      <c r="AD33" s="122" t="s">
        <v>758</v>
      </c>
      <c r="AE33" s="122" t="s">
        <v>795</v>
      </c>
      <c r="AF33" s="122"/>
      <c r="AG33" s="66"/>
      <c r="AH33" s="1"/>
      <c r="AI33" s="1"/>
      <c r="AJ33" s="1"/>
      <c r="AK33" s="1"/>
      <c r="AL33" s="1"/>
      <c r="AM33" s="1"/>
      <c r="AN33" s="1"/>
      <c r="AO33" s="18" t="s">
        <v>796</v>
      </c>
      <c r="AP33" s="18" t="s">
        <v>797</v>
      </c>
      <c r="AQ33" s="1"/>
      <c r="AR33" s="1"/>
      <c r="AS33" s="1"/>
      <c r="AT33" s="1"/>
      <c r="AU33" s="20" t="s">
        <v>644</v>
      </c>
      <c r="AV33" s="20" t="s">
        <v>603</v>
      </c>
      <c r="AW33" s="22" t="s">
        <v>728</v>
      </c>
      <c r="AX33" s="20" t="s">
        <v>635</v>
      </c>
      <c r="AY33" s="20" t="s">
        <v>645</v>
      </c>
    </row>
    <row r="34" spans="12:51">
      <c r="L34" s="1" t="s">
        <v>780</v>
      </c>
      <c r="M34" s="1" t="s">
        <v>754</v>
      </c>
      <c r="N34" s="1" t="s">
        <v>718</v>
      </c>
      <c r="O34" s="1" t="s">
        <v>733</v>
      </c>
      <c r="P34" s="1" t="s">
        <v>445</v>
      </c>
      <c r="Q34" s="1" t="s">
        <v>746</v>
      </c>
      <c r="R34" s="1"/>
      <c r="S34" s="121" t="s">
        <v>780</v>
      </c>
      <c r="T34" s="122" t="s">
        <v>754</v>
      </c>
      <c r="U34" s="122" t="s">
        <v>718</v>
      </c>
      <c r="V34" s="122" t="s">
        <v>733</v>
      </c>
      <c r="W34" s="122" t="s">
        <v>445</v>
      </c>
      <c r="X34" s="122" t="s">
        <v>746</v>
      </c>
      <c r="Y34" s="124" t="s">
        <v>444</v>
      </c>
      <c r="Z34" s="122" t="s">
        <v>706</v>
      </c>
      <c r="AA34" s="122" t="s">
        <v>798</v>
      </c>
      <c r="AB34" s="122" t="s">
        <v>759</v>
      </c>
      <c r="AC34" s="121" t="s">
        <v>799</v>
      </c>
      <c r="AD34" s="122"/>
      <c r="AE34" s="122" t="s">
        <v>800</v>
      </c>
      <c r="AF34" s="122"/>
      <c r="AG34" s="66"/>
      <c r="AH34" s="1"/>
      <c r="AI34" s="1"/>
      <c r="AJ34" s="1"/>
      <c r="AK34" s="1"/>
      <c r="AL34" s="1"/>
      <c r="AM34" s="1"/>
      <c r="AN34" s="1"/>
      <c r="AO34" s="18" t="s">
        <v>801</v>
      </c>
      <c r="AP34" s="18" t="s">
        <v>802</v>
      </c>
      <c r="AQ34" s="1"/>
      <c r="AR34" s="1"/>
      <c r="AS34" s="1"/>
      <c r="AT34" s="1"/>
      <c r="AU34" s="20" t="s">
        <v>742</v>
      </c>
      <c r="AV34" s="20" t="s">
        <v>638</v>
      </c>
      <c r="AW34" s="21" t="s">
        <v>677</v>
      </c>
      <c r="AX34" s="20" t="s">
        <v>695</v>
      </c>
      <c r="AY34" s="20" t="s">
        <v>684</v>
      </c>
    </row>
    <row r="35" spans="12:51">
      <c r="L35" s="1" t="s">
        <v>803</v>
      </c>
      <c r="M35" s="1" t="s">
        <v>804</v>
      </c>
      <c r="N35" s="1" t="s">
        <v>805</v>
      </c>
      <c r="O35" s="1" t="s">
        <v>801</v>
      </c>
      <c r="P35" s="1" t="s">
        <v>658</v>
      </c>
      <c r="Q35" s="1" t="s">
        <v>712</v>
      </c>
      <c r="R35" s="1"/>
      <c r="S35" s="121" t="s">
        <v>803</v>
      </c>
      <c r="T35" s="122" t="s">
        <v>804</v>
      </c>
      <c r="U35" s="122" t="s">
        <v>805</v>
      </c>
      <c r="V35" s="122" t="s">
        <v>801</v>
      </c>
      <c r="W35" s="122" t="s">
        <v>658</v>
      </c>
      <c r="X35" s="122" t="s">
        <v>712</v>
      </c>
      <c r="Y35" s="121" t="s">
        <v>445</v>
      </c>
      <c r="Z35" s="122" t="s">
        <v>571</v>
      </c>
      <c r="AA35" s="122" t="s">
        <v>806</v>
      </c>
      <c r="AB35" s="122" t="s">
        <v>807</v>
      </c>
      <c r="AC35" s="124" t="s">
        <v>803</v>
      </c>
      <c r="AD35" s="122"/>
      <c r="AE35" s="122" t="s">
        <v>758</v>
      </c>
      <c r="AF35" s="122"/>
      <c r="AG35" s="66"/>
      <c r="AH35" s="1"/>
      <c r="AI35" s="1"/>
      <c r="AJ35" s="1"/>
      <c r="AK35" s="1"/>
      <c r="AL35" s="1"/>
      <c r="AM35" s="1"/>
      <c r="AN35" s="1"/>
      <c r="AO35" s="18" t="s">
        <v>647</v>
      </c>
      <c r="AP35" s="18" t="s">
        <v>715</v>
      </c>
      <c r="AQ35" s="1"/>
      <c r="AR35" s="1"/>
      <c r="AS35" s="1"/>
      <c r="AT35" s="1"/>
      <c r="AU35" s="20" t="s">
        <v>658</v>
      </c>
      <c r="AV35" s="22" t="s">
        <v>634</v>
      </c>
      <c r="AW35" s="19" t="s">
        <v>102</v>
      </c>
      <c r="AX35" s="22" t="s">
        <v>642</v>
      </c>
      <c r="AY35" s="20" t="s">
        <v>609</v>
      </c>
    </row>
    <row r="36" spans="12:51">
      <c r="L36" s="1" t="s">
        <v>461</v>
      </c>
      <c r="M36" s="1" t="s">
        <v>743</v>
      </c>
      <c r="N36" s="1" t="s">
        <v>734</v>
      </c>
      <c r="O36" s="1" t="s">
        <v>808</v>
      </c>
      <c r="P36" s="1" t="s">
        <v>774</v>
      </c>
      <c r="Q36" s="1" t="s">
        <v>440</v>
      </c>
      <c r="R36" s="1"/>
      <c r="S36" s="121" t="s">
        <v>461</v>
      </c>
      <c r="T36" s="122" t="s">
        <v>743</v>
      </c>
      <c r="U36" s="122" t="s">
        <v>734</v>
      </c>
      <c r="V36" s="122" t="s">
        <v>808</v>
      </c>
      <c r="W36" s="122" t="s">
        <v>774</v>
      </c>
      <c r="X36" s="123" t="s">
        <v>440</v>
      </c>
      <c r="Y36" s="121" t="s">
        <v>726</v>
      </c>
      <c r="Z36" s="122" t="s">
        <v>809</v>
      </c>
      <c r="AA36" s="122" t="s">
        <v>810</v>
      </c>
      <c r="AB36" s="122" t="s">
        <v>702</v>
      </c>
      <c r="AC36" s="121" t="s">
        <v>758</v>
      </c>
      <c r="AD36" s="122"/>
      <c r="AE36" s="122" t="s">
        <v>811</v>
      </c>
      <c r="AF36" s="122"/>
      <c r="AG36" s="66"/>
      <c r="AH36" s="1"/>
      <c r="AI36" s="1"/>
      <c r="AJ36" s="1"/>
      <c r="AK36" s="1"/>
      <c r="AL36" s="1"/>
      <c r="AM36" s="1"/>
      <c r="AN36" s="1"/>
      <c r="AO36" s="1"/>
      <c r="AP36" s="18" t="s">
        <v>766</v>
      </c>
      <c r="AQ36" s="1"/>
      <c r="AR36" s="1"/>
      <c r="AS36" s="1"/>
      <c r="AT36" s="1"/>
      <c r="AU36" s="20" t="s">
        <v>668</v>
      </c>
      <c r="AV36" s="20" t="s">
        <v>614</v>
      </c>
      <c r="AW36" s="20" t="s">
        <v>644</v>
      </c>
      <c r="AX36" s="22" t="s">
        <v>701</v>
      </c>
      <c r="AY36" s="20" t="s">
        <v>712</v>
      </c>
    </row>
    <row r="37" spans="12:51">
      <c r="L37" s="1" t="s">
        <v>812</v>
      </c>
      <c r="M37" s="1" t="s">
        <v>750</v>
      </c>
      <c r="N37" s="1" t="s">
        <v>813</v>
      </c>
      <c r="O37" s="1"/>
      <c r="P37" s="1" t="s">
        <v>460</v>
      </c>
      <c r="Q37" s="1" t="s">
        <v>698</v>
      </c>
      <c r="R37" s="1"/>
      <c r="S37" s="121" t="s">
        <v>812</v>
      </c>
      <c r="T37" s="122" t="s">
        <v>750</v>
      </c>
      <c r="U37" s="122" t="s">
        <v>813</v>
      </c>
      <c r="V37" s="122"/>
      <c r="W37" s="122" t="s">
        <v>460</v>
      </c>
      <c r="X37" s="122" t="s">
        <v>698</v>
      </c>
      <c r="Y37" s="121" t="s">
        <v>814</v>
      </c>
      <c r="Z37" s="122" t="s">
        <v>815</v>
      </c>
      <c r="AA37" s="122" t="s">
        <v>460</v>
      </c>
      <c r="AB37" s="122" t="s">
        <v>780</v>
      </c>
      <c r="AC37" s="121" t="s">
        <v>749</v>
      </c>
      <c r="AD37" s="122"/>
      <c r="AE37" s="122" t="s">
        <v>755</v>
      </c>
      <c r="AF37" s="122"/>
      <c r="AG37" s="66"/>
      <c r="AH37" s="1"/>
      <c r="AI37" s="1"/>
      <c r="AJ37" s="1"/>
      <c r="AK37" s="1"/>
      <c r="AL37" s="1"/>
      <c r="AM37" s="1"/>
      <c r="AN37" s="1"/>
      <c r="AO37" s="1"/>
      <c r="AP37" s="18" t="s">
        <v>816</v>
      </c>
      <c r="AQ37" s="1"/>
      <c r="AR37" s="1"/>
      <c r="AS37" s="1"/>
      <c r="AT37" s="1"/>
      <c r="AU37" s="20" t="s">
        <v>460</v>
      </c>
      <c r="AV37" s="20" t="s">
        <v>59</v>
      </c>
      <c r="AW37" s="22" t="s">
        <v>742</v>
      </c>
      <c r="AX37" s="22" t="s">
        <v>640</v>
      </c>
      <c r="AY37" s="20" t="s">
        <v>698</v>
      </c>
    </row>
    <row r="38" spans="12:51">
      <c r="L38" s="1" t="s">
        <v>817</v>
      </c>
      <c r="M38" s="1" t="s">
        <v>758</v>
      </c>
      <c r="N38" s="1" t="s">
        <v>733</v>
      </c>
      <c r="O38" s="1"/>
      <c r="P38" s="1" t="s">
        <v>818</v>
      </c>
      <c r="Q38" s="1" t="s">
        <v>95</v>
      </c>
      <c r="R38" s="1"/>
      <c r="S38" s="121" t="s">
        <v>817</v>
      </c>
      <c r="T38" s="122" t="s">
        <v>758</v>
      </c>
      <c r="U38" s="122" t="s">
        <v>733</v>
      </c>
      <c r="V38" s="122"/>
      <c r="W38" s="122" t="s">
        <v>818</v>
      </c>
      <c r="X38" s="122" t="s">
        <v>95</v>
      </c>
      <c r="Y38" s="121" t="s">
        <v>819</v>
      </c>
      <c r="Z38" s="122" t="s">
        <v>461</v>
      </c>
      <c r="AA38" s="122" t="s">
        <v>820</v>
      </c>
      <c r="AB38" s="122" t="s">
        <v>821</v>
      </c>
      <c r="AC38" s="121" t="s">
        <v>822</v>
      </c>
      <c r="AD38" s="122"/>
      <c r="AE38" s="122" t="s">
        <v>822</v>
      </c>
      <c r="AF38" s="122"/>
      <c r="AG38" s="66"/>
      <c r="AH38" s="1"/>
      <c r="AI38" s="1"/>
      <c r="AJ38" s="1"/>
      <c r="AK38" s="1"/>
      <c r="AL38" s="1"/>
      <c r="AM38" s="1"/>
      <c r="AN38" s="1"/>
      <c r="AO38" s="1"/>
      <c r="AP38" s="18" t="s">
        <v>823</v>
      </c>
      <c r="AQ38" s="1"/>
      <c r="AR38" s="1"/>
      <c r="AS38" s="1"/>
      <c r="AT38" s="1"/>
      <c r="AU38" s="20" t="s">
        <v>745</v>
      </c>
      <c r="AV38" s="19" t="s">
        <v>645</v>
      </c>
      <c r="AW38" s="19" t="s">
        <v>460</v>
      </c>
      <c r="AX38" s="22" t="s">
        <v>713</v>
      </c>
      <c r="AY38" s="20" t="s">
        <v>760</v>
      </c>
    </row>
    <row r="39" spans="12:51">
      <c r="L39" s="1" t="s">
        <v>733</v>
      </c>
      <c r="M39" s="1" t="s">
        <v>801</v>
      </c>
      <c r="N39" s="1" t="s">
        <v>804</v>
      </c>
      <c r="O39" s="1"/>
      <c r="P39" s="1" t="s">
        <v>824</v>
      </c>
      <c r="Q39" s="1" t="s">
        <v>95</v>
      </c>
      <c r="R39" s="1"/>
      <c r="S39" s="121" t="s">
        <v>733</v>
      </c>
      <c r="T39" s="122" t="s">
        <v>801</v>
      </c>
      <c r="U39" s="122" t="s">
        <v>804</v>
      </c>
      <c r="V39" s="122"/>
      <c r="W39" s="122" t="s">
        <v>824</v>
      </c>
      <c r="X39" s="122" t="s">
        <v>95</v>
      </c>
      <c r="Y39" s="121" t="s">
        <v>825</v>
      </c>
      <c r="Z39" s="122" t="s">
        <v>817</v>
      </c>
      <c r="AA39" s="122" t="s">
        <v>657</v>
      </c>
      <c r="AB39" s="122" t="s">
        <v>461</v>
      </c>
      <c r="AC39" s="121" t="s">
        <v>782</v>
      </c>
      <c r="AD39" s="122"/>
      <c r="AE39" s="122" t="s">
        <v>779</v>
      </c>
      <c r="AF39" s="122"/>
      <c r="AG39" s="66"/>
      <c r="AH39" s="1"/>
      <c r="AI39" s="1"/>
      <c r="AJ39" s="1"/>
      <c r="AK39" s="1"/>
      <c r="AL39" s="1"/>
      <c r="AM39" s="1"/>
      <c r="AN39" s="1"/>
      <c r="AO39" s="1"/>
      <c r="AP39" s="18" t="s">
        <v>696</v>
      </c>
      <c r="AQ39" s="1"/>
      <c r="AR39" s="1"/>
      <c r="AS39" s="1"/>
      <c r="AT39" s="1"/>
      <c r="AU39" s="20" t="s">
        <v>657</v>
      </c>
      <c r="AV39" s="21" t="s">
        <v>659</v>
      </c>
      <c r="AW39" s="22" t="s">
        <v>735</v>
      </c>
      <c r="AX39" s="22" t="s">
        <v>578</v>
      </c>
      <c r="AY39" s="20" t="s">
        <v>641</v>
      </c>
    </row>
    <row r="40" spans="12:51" ht="17.100000000000001" thickBot="1">
      <c r="L40" s="1" t="s">
        <v>754</v>
      </c>
      <c r="M40" s="1" t="s">
        <v>757</v>
      </c>
      <c r="N40" s="1" t="s">
        <v>453</v>
      </c>
      <c r="O40" s="1"/>
      <c r="P40" s="1" t="s">
        <v>814</v>
      </c>
      <c r="Q40" s="1" t="s">
        <v>826</v>
      </c>
      <c r="R40" s="1"/>
      <c r="S40" s="121" t="s">
        <v>754</v>
      </c>
      <c r="T40" s="122" t="s">
        <v>757</v>
      </c>
      <c r="U40" s="123" t="s">
        <v>453</v>
      </c>
      <c r="V40" s="122"/>
      <c r="W40" s="122" t="s">
        <v>814</v>
      </c>
      <c r="X40" s="122" t="s">
        <v>826</v>
      </c>
      <c r="Y40" s="121" t="s">
        <v>825</v>
      </c>
      <c r="Z40" s="122" t="s">
        <v>750</v>
      </c>
      <c r="AA40" s="122" t="s">
        <v>777</v>
      </c>
      <c r="AB40" s="122" t="s">
        <v>827</v>
      </c>
      <c r="AC40" s="125" t="s">
        <v>828</v>
      </c>
      <c r="AD40" s="126"/>
      <c r="AE40" s="126"/>
      <c r="AF40" s="126"/>
      <c r="AG40" s="68"/>
      <c r="AH40" s="1"/>
      <c r="AI40" s="1"/>
      <c r="AJ40" s="1"/>
      <c r="AK40" s="1"/>
      <c r="AL40" s="1"/>
      <c r="AM40" s="1"/>
      <c r="AN40" s="1"/>
      <c r="AO40" s="1"/>
      <c r="AP40" s="18" t="s">
        <v>829</v>
      </c>
      <c r="AQ40" s="1"/>
      <c r="AR40" s="1"/>
      <c r="AS40" s="1"/>
      <c r="AT40" s="1"/>
      <c r="AU40" s="20" t="s">
        <v>676</v>
      </c>
      <c r="AV40" s="22" t="s">
        <v>624</v>
      </c>
      <c r="AW40" s="20" t="s">
        <v>643</v>
      </c>
      <c r="AX40" s="22" t="s">
        <v>723</v>
      </c>
      <c r="AY40" s="20" t="s">
        <v>656</v>
      </c>
    </row>
    <row r="41" spans="12:51">
      <c r="L41" s="1" t="s">
        <v>830</v>
      </c>
      <c r="M41" s="1" t="s">
        <v>456</v>
      </c>
      <c r="N41" s="1" t="s">
        <v>770</v>
      </c>
      <c r="O41" s="1"/>
      <c r="P41" s="1" t="s">
        <v>706</v>
      </c>
      <c r="Q41" s="1" t="s">
        <v>831</v>
      </c>
      <c r="R41" s="1"/>
      <c r="S41" s="121" t="s">
        <v>830</v>
      </c>
      <c r="T41" s="122" t="s">
        <v>456</v>
      </c>
      <c r="U41" s="122" t="s">
        <v>770</v>
      </c>
      <c r="V41" s="122"/>
      <c r="W41" s="122" t="s">
        <v>706</v>
      </c>
      <c r="X41" s="122" t="s">
        <v>831</v>
      </c>
      <c r="Y41" s="121" t="s">
        <v>759</v>
      </c>
      <c r="Z41" s="122" t="s">
        <v>832</v>
      </c>
      <c r="AA41" s="122" t="s">
        <v>793</v>
      </c>
      <c r="AB41" s="127" t="s">
        <v>833</v>
      </c>
      <c r="AC41" s="122"/>
      <c r="AD41" s="122"/>
      <c r="AE41" s="122"/>
      <c r="AF41" s="122"/>
      <c r="AG41" s="1"/>
      <c r="AH41" s="1"/>
      <c r="AI41" s="1"/>
      <c r="AJ41" s="1"/>
      <c r="AK41" s="1"/>
      <c r="AL41" s="1"/>
      <c r="AM41" s="1"/>
      <c r="AN41" s="1"/>
      <c r="AO41" s="1"/>
      <c r="AP41" s="18" t="s">
        <v>834</v>
      </c>
      <c r="AQ41" s="1"/>
      <c r="AR41" s="1"/>
      <c r="AS41" s="1"/>
      <c r="AT41" s="1"/>
      <c r="AU41" s="20" t="s">
        <v>753</v>
      </c>
      <c r="AV41" s="20" t="s">
        <v>648</v>
      </c>
      <c r="AW41" s="22" t="s">
        <v>706</v>
      </c>
      <c r="AX41" s="20" t="s">
        <v>618</v>
      </c>
      <c r="AY41" s="20" t="s">
        <v>442</v>
      </c>
    </row>
    <row r="42" spans="12:51">
      <c r="L42" s="1" t="s">
        <v>750</v>
      </c>
      <c r="M42" s="1" t="s">
        <v>835</v>
      </c>
      <c r="N42" s="1" t="s">
        <v>782</v>
      </c>
      <c r="O42" s="1"/>
      <c r="P42" s="1" t="s">
        <v>571</v>
      </c>
      <c r="Q42" s="1" t="s">
        <v>802</v>
      </c>
      <c r="R42" s="1"/>
      <c r="S42" s="121" t="s">
        <v>750</v>
      </c>
      <c r="T42" s="122" t="s">
        <v>835</v>
      </c>
      <c r="U42" s="122" t="s">
        <v>782</v>
      </c>
      <c r="V42" s="122"/>
      <c r="W42" s="122" t="s">
        <v>571</v>
      </c>
      <c r="X42" s="122" t="s">
        <v>802</v>
      </c>
      <c r="Y42" s="121" t="s">
        <v>718</v>
      </c>
      <c r="Z42" s="122"/>
      <c r="AA42" s="122" t="s">
        <v>706</v>
      </c>
      <c r="AB42" s="127" t="s">
        <v>836</v>
      </c>
      <c r="AC42" s="122"/>
      <c r="AD42" s="122"/>
      <c r="AE42" s="122"/>
      <c r="AF42" s="122"/>
      <c r="AG42" s="1"/>
      <c r="AH42" s="1"/>
      <c r="AI42" s="1"/>
      <c r="AJ42" s="1"/>
      <c r="AK42" s="1"/>
      <c r="AL42" s="1"/>
      <c r="AM42" s="1"/>
      <c r="AN42" s="1"/>
      <c r="AO42" s="1"/>
      <c r="AP42" s="18" t="s">
        <v>780</v>
      </c>
      <c r="AQ42" s="1"/>
      <c r="AR42" s="1"/>
      <c r="AS42" s="1"/>
      <c r="AT42" s="1"/>
      <c r="AU42" s="20" t="s">
        <v>697</v>
      </c>
      <c r="AV42" s="19" t="s">
        <v>609</v>
      </c>
      <c r="AW42" s="20" t="s">
        <v>448</v>
      </c>
      <c r="AX42" s="22" t="s">
        <v>587</v>
      </c>
      <c r="AY42" s="20" t="s">
        <v>102</v>
      </c>
    </row>
    <row r="43" spans="12:51">
      <c r="L43" s="1" t="s">
        <v>837</v>
      </c>
      <c r="M43" s="1"/>
      <c r="N43" s="1" t="s">
        <v>828</v>
      </c>
      <c r="O43" s="1"/>
      <c r="P43" s="1" t="s">
        <v>825</v>
      </c>
      <c r="Q43" s="1" t="s">
        <v>715</v>
      </c>
      <c r="R43" s="1"/>
      <c r="S43" s="121" t="s">
        <v>837</v>
      </c>
      <c r="T43" s="122"/>
      <c r="U43" s="122" t="s">
        <v>828</v>
      </c>
      <c r="V43" s="122"/>
      <c r="W43" s="122" t="s">
        <v>825</v>
      </c>
      <c r="X43" s="122" t="s">
        <v>715</v>
      </c>
      <c r="Y43" s="121" t="s">
        <v>838</v>
      </c>
      <c r="Z43" s="122"/>
      <c r="AA43" s="122" t="s">
        <v>766</v>
      </c>
      <c r="AB43" s="127" t="s">
        <v>839</v>
      </c>
      <c r="AC43" s="122"/>
      <c r="AD43" s="122"/>
      <c r="AE43" s="122"/>
      <c r="AF43" s="122"/>
      <c r="AG43" s="1"/>
      <c r="AH43" s="1"/>
      <c r="AI43" s="1"/>
      <c r="AJ43" s="1"/>
      <c r="AK43" s="1"/>
      <c r="AL43" s="1"/>
      <c r="AM43" s="1"/>
      <c r="AN43" s="1"/>
      <c r="AO43" s="1"/>
      <c r="AP43" s="18" t="s">
        <v>840</v>
      </c>
      <c r="AQ43" s="1"/>
      <c r="AR43" s="1"/>
      <c r="AS43" s="1"/>
      <c r="AT43" s="1"/>
      <c r="AU43" s="20" t="s">
        <v>717</v>
      </c>
      <c r="AV43" s="20" t="s">
        <v>672</v>
      </c>
      <c r="AW43" s="22" t="s">
        <v>791</v>
      </c>
      <c r="AX43" s="22" t="s">
        <v>437</v>
      </c>
      <c r="AY43" s="20" t="s">
        <v>715</v>
      </c>
    </row>
    <row r="44" spans="12:51">
      <c r="L44" s="1" t="s">
        <v>758</v>
      </c>
      <c r="M44" s="1"/>
      <c r="N44" s="1"/>
      <c r="O44" s="1"/>
      <c r="P44" s="1" t="s">
        <v>751</v>
      </c>
      <c r="Q44" s="1" t="s">
        <v>841</v>
      </c>
      <c r="R44" s="1"/>
      <c r="S44" s="124" t="s">
        <v>758</v>
      </c>
      <c r="T44" s="122"/>
      <c r="U44" s="122"/>
      <c r="V44" s="122"/>
      <c r="W44" s="122" t="s">
        <v>751</v>
      </c>
      <c r="X44" s="122" t="s">
        <v>841</v>
      </c>
      <c r="Y44" s="121" t="s">
        <v>780</v>
      </c>
      <c r="Z44" s="122"/>
      <c r="AA44" s="122" t="s">
        <v>842</v>
      </c>
      <c r="AB44" s="127" t="s">
        <v>830</v>
      </c>
      <c r="AC44" s="122"/>
      <c r="AD44" s="122"/>
      <c r="AE44" s="122"/>
      <c r="AF44" s="122"/>
      <c r="AG44" s="1"/>
      <c r="AH44" s="1"/>
      <c r="AI44" s="1"/>
      <c r="AJ44" s="1"/>
      <c r="AK44" s="1"/>
      <c r="AL44" s="1"/>
      <c r="AM44" s="1"/>
      <c r="AN44" s="1"/>
      <c r="AO44" s="1"/>
      <c r="AP44" s="18" t="s">
        <v>758</v>
      </c>
      <c r="AQ44" s="1"/>
      <c r="AR44" s="1"/>
      <c r="AS44" s="1"/>
      <c r="AT44" s="1"/>
      <c r="AU44" s="20" t="s">
        <v>702</v>
      </c>
      <c r="AV44" s="22" t="s">
        <v>114</v>
      </c>
      <c r="AW44" s="20" t="s">
        <v>718</v>
      </c>
      <c r="AX44" s="22" t="s">
        <v>608</v>
      </c>
      <c r="AY44" s="20" t="s">
        <v>724</v>
      </c>
    </row>
    <row r="45" spans="12:51">
      <c r="L45" s="1" t="s">
        <v>843</v>
      </c>
      <c r="M45" s="1"/>
      <c r="N45" s="1"/>
      <c r="O45" s="1"/>
      <c r="P45" s="1" t="s">
        <v>765</v>
      </c>
      <c r="Q45" s="1" t="s">
        <v>841</v>
      </c>
      <c r="R45" s="1"/>
      <c r="S45" s="121" t="s">
        <v>843</v>
      </c>
      <c r="T45" s="122"/>
      <c r="U45" s="122"/>
      <c r="V45" s="122"/>
      <c r="W45" s="122" t="s">
        <v>765</v>
      </c>
      <c r="X45" s="122" t="s">
        <v>841</v>
      </c>
      <c r="Y45" s="121" t="s">
        <v>844</v>
      </c>
      <c r="Z45" s="122"/>
      <c r="AA45" s="122" t="s">
        <v>845</v>
      </c>
      <c r="AB45" s="127" t="s">
        <v>453</v>
      </c>
      <c r="AC45" s="122"/>
      <c r="AD45" s="122"/>
      <c r="AE45" s="122"/>
      <c r="AF45" s="122"/>
      <c r="AG45" s="1"/>
      <c r="AH45" s="1"/>
      <c r="AI45" s="1"/>
      <c r="AJ45" s="1"/>
      <c r="AK45" s="1"/>
      <c r="AL45" s="1"/>
      <c r="AM45" s="1"/>
      <c r="AN45" s="1"/>
      <c r="AO45" s="1"/>
      <c r="AP45" s="18" t="s">
        <v>688</v>
      </c>
      <c r="AQ45" s="1"/>
      <c r="AR45" s="1"/>
      <c r="AS45" s="1"/>
      <c r="AT45" s="1"/>
      <c r="AU45" s="20" t="s">
        <v>790</v>
      </c>
      <c r="AV45" s="21" t="s">
        <v>678</v>
      </c>
      <c r="AW45" s="22" t="s">
        <v>805</v>
      </c>
      <c r="AX45" s="20" t="s">
        <v>594</v>
      </c>
      <c r="AY45" s="20" t="s">
        <v>732</v>
      </c>
    </row>
    <row r="46" spans="12:51">
      <c r="L46" s="1"/>
      <c r="M46" s="1"/>
      <c r="N46" s="1"/>
      <c r="O46" s="1"/>
      <c r="P46" s="1" t="s">
        <v>759</v>
      </c>
      <c r="Q46" s="1" t="s">
        <v>766</v>
      </c>
      <c r="R46" s="1"/>
      <c r="S46" s="121"/>
      <c r="T46" s="122"/>
      <c r="U46" s="122"/>
      <c r="V46" s="122"/>
      <c r="W46" s="122" t="s">
        <v>759</v>
      </c>
      <c r="X46" s="122" t="s">
        <v>766</v>
      </c>
      <c r="Y46" s="121" t="s">
        <v>813</v>
      </c>
      <c r="Z46" s="122"/>
      <c r="AA46" s="122" t="s">
        <v>825</v>
      </c>
      <c r="AB46" s="127" t="s">
        <v>846</v>
      </c>
      <c r="AC46" s="122"/>
      <c r="AD46" s="122"/>
      <c r="AE46" s="122"/>
      <c r="AF46" s="122"/>
      <c r="AG46" s="1"/>
      <c r="AH46" s="1"/>
      <c r="AI46" s="1"/>
      <c r="AJ46" s="1"/>
      <c r="AK46" s="1"/>
      <c r="AL46" s="1"/>
      <c r="AM46" s="1"/>
      <c r="AN46" s="1"/>
      <c r="AO46" s="1"/>
      <c r="AP46" s="18" t="s">
        <v>828</v>
      </c>
      <c r="AQ46" s="1"/>
      <c r="AR46" s="1"/>
      <c r="AS46" s="1"/>
      <c r="AT46" s="1"/>
      <c r="AU46" s="20" t="s">
        <v>733</v>
      </c>
      <c r="AV46" s="19" t="s">
        <v>687</v>
      </c>
      <c r="AW46" s="19" t="s">
        <v>450</v>
      </c>
      <c r="AX46" s="20" t="s">
        <v>634</v>
      </c>
      <c r="AY46" s="20" t="s">
        <v>449</v>
      </c>
    </row>
    <row r="47" spans="12:51">
      <c r="L47" s="1"/>
      <c r="M47" s="1"/>
      <c r="N47" s="1"/>
      <c r="O47" s="1"/>
      <c r="P47" s="1" t="s">
        <v>718</v>
      </c>
      <c r="Q47" s="1" t="s">
        <v>825</v>
      </c>
      <c r="R47" s="1"/>
      <c r="S47" s="121"/>
      <c r="T47" s="122"/>
      <c r="U47" s="122"/>
      <c r="V47" s="122"/>
      <c r="W47" s="122" t="s">
        <v>718</v>
      </c>
      <c r="X47" s="122" t="s">
        <v>825</v>
      </c>
      <c r="Y47" s="121" t="s">
        <v>847</v>
      </c>
      <c r="Z47" s="122"/>
      <c r="AA47" s="122" t="s">
        <v>794</v>
      </c>
      <c r="AB47" s="127" t="s">
        <v>750</v>
      </c>
      <c r="AC47" s="122"/>
      <c r="AD47" s="122"/>
      <c r="AE47" s="122"/>
      <c r="AF47" s="122"/>
      <c r="AG47" s="1"/>
      <c r="AH47" s="1"/>
      <c r="AI47" s="1"/>
      <c r="AJ47" s="1"/>
      <c r="AK47" s="1"/>
      <c r="AL47" s="1"/>
      <c r="AM47" s="1"/>
      <c r="AN47" s="1"/>
      <c r="AO47" s="1"/>
      <c r="AP47" s="18"/>
      <c r="AQ47" s="1"/>
      <c r="AR47" s="1"/>
      <c r="AS47" s="1"/>
      <c r="AT47" s="1"/>
      <c r="AU47" s="20" t="s">
        <v>754</v>
      </c>
      <c r="AV47" s="20" t="s">
        <v>600</v>
      </c>
      <c r="AW47" s="20" t="s">
        <v>734</v>
      </c>
      <c r="AX47" s="22" t="s">
        <v>614</v>
      </c>
      <c r="AY47" s="20" t="s">
        <v>696</v>
      </c>
    </row>
    <row r="48" spans="12:51">
      <c r="L48" s="1"/>
      <c r="M48" s="1"/>
      <c r="N48" s="1"/>
      <c r="O48" s="1"/>
      <c r="P48" s="1" t="s">
        <v>718</v>
      </c>
      <c r="Q48" s="1" t="s">
        <v>751</v>
      </c>
      <c r="R48" s="1"/>
      <c r="S48" s="121"/>
      <c r="T48" s="122"/>
      <c r="U48" s="122"/>
      <c r="V48" s="122"/>
      <c r="W48" s="122" t="s">
        <v>718</v>
      </c>
      <c r="X48" s="122" t="s">
        <v>751</v>
      </c>
      <c r="Y48" s="121" t="s">
        <v>848</v>
      </c>
      <c r="Z48" s="122"/>
      <c r="AA48" s="122" t="s">
        <v>724</v>
      </c>
      <c r="AB48" s="127" t="s">
        <v>849</v>
      </c>
      <c r="AC48" s="122"/>
      <c r="AD48" s="122"/>
      <c r="AE48" s="122"/>
      <c r="AF48" s="122"/>
      <c r="AG48" s="1"/>
      <c r="AH48" s="1"/>
      <c r="AI48" s="1"/>
      <c r="AJ48" s="1"/>
      <c r="AK48" s="1"/>
      <c r="AL48" s="1"/>
      <c r="AM48" s="1"/>
      <c r="AN48" s="1"/>
      <c r="AO48" s="1"/>
      <c r="AP48" s="1"/>
      <c r="AQ48" s="1"/>
      <c r="AR48" s="1"/>
      <c r="AS48" s="1"/>
      <c r="AT48" s="1"/>
      <c r="AU48" s="20" t="s">
        <v>804</v>
      </c>
      <c r="AV48" s="21" t="s">
        <v>440</v>
      </c>
      <c r="AW48" s="22" t="s">
        <v>813</v>
      </c>
      <c r="AX48" s="20" t="s">
        <v>645</v>
      </c>
      <c r="AY48" s="20" t="s">
        <v>702</v>
      </c>
    </row>
    <row r="49" spans="16:51">
      <c r="P49" s="1" t="s">
        <v>850</v>
      </c>
      <c r="Q49" s="1" t="s">
        <v>851</v>
      </c>
      <c r="R49" s="1"/>
      <c r="S49" s="121"/>
      <c r="T49" s="122"/>
      <c r="U49" s="122"/>
      <c r="V49" s="122"/>
      <c r="W49" s="122" t="s">
        <v>850</v>
      </c>
      <c r="X49" s="122" t="s">
        <v>851</v>
      </c>
      <c r="Y49" s="121" t="s">
        <v>852</v>
      </c>
      <c r="Z49" s="122"/>
      <c r="AA49" s="122" t="s">
        <v>791</v>
      </c>
      <c r="AB49" s="127" t="s">
        <v>749</v>
      </c>
      <c r="AC49" s="122"/>
      <c r="AD49" s="122"/>
      <c r="AE49" s="122"/>
      <c r="AF49" s="122"/>
      <c r="AG49" s="1"/>
      <c r="AH49" s="1"/>
      <c r="AI49" s="1"/>
      <c r="AJ49" s="1"/>
      <c r="AK49" s="1"/>
      <c r="AL49" s="1"/>
      <c r="AM49" s="1"/>
      <c r="AN49" s="1"/>
      <c r="AO49" s="1"/>
      <c r="AP49" s="1"/>
      <c r="AQ49" s="1"/>
      <c r="AR49" s="1"/>
      <c r="AS49" s="1"/>
      <c r="AT49" s="1"/>
      <c r="AU49" s="20" t="s">
        <v>743</v>
      </c>
      <c r="AV49" s="22" t="s">
        <v>698</v>
      </c>
      <c r="AW49" s="20" t="s">
        <v>733</v>
      </c>
      <c r="AX49" s="22" t="s">
        <v>684</v>
      </c>
      <c r="AY49" s="20" t="s">
        <v>714</v>
      </c>
    </row>
    <row r="50" spans="16:51">
      <c r="P50" s="1" t="s">
        <v>450</v>
      </c>
      <c r="Q50" s="1" t="s">
        <v>717</v>
      </c>
      <c r="R50" s="1"/>
      <c r="S50" s="121"/>
      <c r="T50" s="122"/>
      <c r="U50" s="122"/>
      <c r="V50" s="122"/>
      <c r="W50" s="122" t="s">
        <v>450</v>
      </c>
      <c r="X50" s="122" t="s">
        <v>717</v>
      </c>
      <c r="Y50" s="121" t="s">
        <v>456</v>
      </c>
      <c r="Z50" s="122"/>
      <c r="AA50" s="122" t="s">
        <v>759</v>
      </c>
      <c r="AB50" s="127" t="s">
        <v>853</v>
      </c>
      <c r="AC50" s="122"/>
      <c r="AD50" s="122"/>
      <c r="AE50" s="122"/>
      <c r="AF50" s="122"/>
      <c r="AG50" s="1"/>
      <c r="AH50" s="1"/>
      <c r="AI50" s="1"/>
      <c r="AJ50" s="1"/>
      <c r="AK50" s="1"/>
      <c r="AL50" s="1"/>
      <c r="AM50" s="1"/>
      <c r="AN50" s="1"/>
      <c r="AO50" s="1"/>
      <c r="AP50" s="1"/>
      <c r="AQ50" s="1"/>
      <c r="AR50" s="1"/>
      <c r="AS50" s="1"/>
      <c r="AT50" s="1"/>
      <c r="AU50" s="20" t="s">
        <v>750</v>
      </c>
      <c r="AV50" s="20" t="s">
        <v>708</v>
      </c>
      <c r="AW50" s="22" t="s">
        <v>804</v>
      </c>
      <c r="AX50" s="22" t="s">
        <v>609</v>
      </c>
      <c r="AY50" s="20" t="s">
        <v>626</v>
      </c>
    </row>
    <row r="51" spans="16:51">
      <c r="P51" s="1" t="s">
        <v>854</v>
      </c>
      <c r="Q51" s="1" t="s">
        <v>855</v>
      </c>
      <c r="R51" s="1"/>
      <c r="S51" s="121"/>
      <c r="T51" s="122"/>
      <c r="U51" s="122"/>
      <c r="V51" s="122"/>
      <c r="W51" s="122" t="s">
        <v>854</v>
      </c>
      <c r="X51" s="122" t="s">
        <v>855</v>
      </c>
      <c r="Y51" s="121" t="s">
        <v>832</v>
      </c>
      <c r="Z51" s="122"/>
      <c r="AA51" s="122" t="s">
        <v>718</v>
      </c>
      <c r="AB51" s="127" t="s">
        <v>856</v>
      </c>
      <c r="AC51" s="122"/>
      <c r="AD51" s="122"/>
      <c r="AE51" s="122"/>
      <c r="AF51" s="122"/>
      <c r="AG51" s="1"/>
      <c r="AH51" s="1"/>
      <c r="AI51" s="1"/>
      <c r="AJ51" s="1"/>
      <c r="AK51" s="1"/>
      <c r="AL51" s="1"/>
      <c r="AM51" s="1"/>
      <c r="AN51" s="1"/>
      <c r="AO51" s="1"/>
      <c r="AP51" s="1"/>
      <c r="AQ51" s="1"/>
      <c r="AR51" s="1"/>
      <c r="AS51" s="1"/>
      <c r="AT51" s="1"/>
      <c r="AU51" s="20" t="s">
        <v>758</v>
      </c>
      <c r="AV51" s="20" t="s">
        <v>95</v>
      </c>
      <c r="AW51" s="20" t="s">
        <v>453</v>
      </c>
      <c r="AX51" s="22" t="s">
        <v>746</v>
      </c>
      <c r="AY51" s="20" t="s">
        <v>787</v>
      </c>
    </row>
    <row r="52" spans="16:51">
      <c r="P52" s="1" t="s">
        <v>815</v>
      </c>
      <c r="Q52" s="1" t="s">
        <v>840</v>
      </c>
      <c r="R52" s="1"/>
      <c r="S52" s="121"/>
      <c r="T52" s="122"/>
      <c r="U52" s="122"/>
      <c r="V52" s="122"/>
      <c r="W52" s="122" t="s">
        <v>815</v>
      </c>
      <c r="X52" s="122" t="s">
        <v>840</v>
      </c>
      <c r="Y52" s="121" t="s">
        <v>458</v>
      </c>
      <c r="Z52" s="122"/>
      <c r="AA52" s="122" t="s">
        <v>857</v>
      </c>
      <c r="AB52" s="127" t="s">
        <v>858</v>
      </c>
      <c r="AC52" s="122"/>
      <c r="AD52" s="122"/>
      <c r="AE52" s="122"/>
      <c r="AF52" s="122"/>
      <c r="AG52" s="1"/>
      <c r="AH52" s="1"/>
      <c r="AI52" s="1"/>
      <c r="AJ52" s="1"/>
      <c r="AK52" s="1"/>
      <c r="AL52" s="1"/>
      <c r="AM52" s="1"/>
      <c r="AN52" s="1"/>
      <c r="AO52" s="1"/>
      <c r="AP52" s="1"/>
      <c r="AQ52" s="1"/>
      <c r="AR52" s="1"/>
      <c r="AS52" s="1"/>
      <c r="AT52" s="1"/>
      <c r="AU52" s="20" t="s">
        <v>801</v>
      </c>
      <c r="AV52" s="19" t="s">
        <v>671</v>
      </c>
      <c r="AW52" s="21" t="s">
        <v>743</v>
      </c>
      <c r="AX52" s="20" t="s">
        <v>703</v>
      </c>
      <c r="AY52" s="20" t="s">
        <v>795</v>
      </c>
    </row>
    <row r="53" spans="16:51">
      <c r="P53" s="1" t="s">
        <v>717</v>
      </c>
      <c r="Q53" s="1" t="s">
        <v>859</v>
      </c>
      <c r="R53" s="1"/>
      <c r="S53" s="121"/>
      <c r="T53" s="122"/>
      <c r="U53" s="122"/>
      <c r="V53" s="122"/>
      <c r="W53" s="122" t="s">
        <v>717</v>
      </c>
      <c r="X53" s="122" t="s">
        <v>859</v>
      </c>
      <c r="Y53" s="121"/>
      <c r="Z53" s="122"/>
      <c r="AA53" s="122" t="s">
        <v>450</v>
      </c>
      <c r="AB53" s="127" t="s">
        <v>670</v>
      </c>
      <c r="AC53" s="122"/>
      <c r="AD53" s="122"/>
      <c r="AE53" s="122"/>
      <c r="AF53" s="122"/>
      <c r="AG53" s="1"/>
      <c r="AH53" s="1"/>
      <c r="AI53" s="1"/>
      <c r="AJ53" s="1"/>
      <c r="AK53" s="1"/>
      <c r="AL53" s="1"/>
      <c r="AM53" s="1"/>
      <c r="AN53" s="1"/>
      <c r="AO53" s="1"/>
      <c r="AP53" s="1"/>
      <c r="AQ53" s="1"/>
      <c r="AR53" s="1"/>
      <c r="AS53" s="1"/>
      <c r="AT53" s="1"/>
      <c r="AU53" s="20" t="s">
        <v>757</v>
      </c>
      <c r="AV53" s="20" t="s">
        <v>728</v>
      </c>
      <c r="AW53" s="19" t="s">
        <v>758</v>
      </c>
      <c r="AX53" s="22" t="s">
        <v>712</v>
      </c>
      <c r="AY53" s="20" t="s">
        <v>461</v>
      </c>
    </row>
    <row r="54" spans="16:51">
      <c r="P54" s="1" t="s">
        <v>838</v>
      </c>
      <c r="Q54" s="1" t="s">
        <v>453</v>
      </c>
      <c r="R54" s="1"/>
      <c r="S54" s="121"/>
      <c r="T54" s="122"/>
      <c r="U54" s="122"/>
      <c r="V54" s="122"/>
      <c r="W54" s="122" t="s">
        <v>838</v>
      </c>
      <c r="X54" s="123" t="s">
        <v>453</v>
      </c>
      <c r="Y54" s="121"/>
      <c r="Z54" s="122"/>
      <c r="AA54" s="122" t="s">
        <v>860</v>
      </c>
      <c r="AB54" s="127" t="s">
        <v>861</v>
      </c>
      <c r="AC54" s="122"/>
      <c r="AD54" s="122"/>
      <c r="AE54" s="122"/>
      <c r="AF54" s="122"/>
      <c r="AG54" s="1"/>
      <c r="AH54" s="1"/>
      <c r="AI54" s="1"/>
      <c r="AJ54" s="1"/>
      <c r="AK54" s="1"/>
      <c r="AL54" s="1"/>
      <c r="AM54" s="1"/>
      <c r="AN54" s="1"/>
      <c r="AO54" s="1"/>
      <c r="AP54" s="1"/>
      <c r="AQ54" s="1"/>
      <c r="AR54" s="1"/>
      <c r="AS54" s="1"/>
      <c r="AT54" s="1"/>
      <c r="AU54" s="20" t="s">
        <v>456</v>
      </c>
      <c r="AV54" s="20" t="s">
        <v>644</v>
      </c>
      <c r="AW54" s="21" t="s">
        <v>764</v>
      </c>
      <c r="AX54" s="20" t="s">
        <v>698</v>
      </c>
      <c r="AY54" s="20" t="s">
        <v>733</v>
      </c>
    </row>
    <row r="55" spans="16:51">
      <c r="P55" s="1" t="s">
        <v>452</v>
      </c>
      <c r="Q55" s="1" t="s">
        <v>848</v>
      </c>
      <c r="R55" s="1"/>
      <c r="S55" s="121"/>
      <c r="T55" s="122"/>
      <c r="U55" s="122"/>
      <c r="V55" s="122"/>
      <c r="W55" s="122" t="s">
        <v>452</v>
      </c>
      <c r="X55" s="122" t="s">
        <v>848</v>
      </c>
      <c r="Y55" s="121"/>
      <c r="Z55" s="122"/>
      <c r="AA55" s="122" t="s">
        <v>734</v>
      </c>
      <c r="AB55" s="127" t="s">
        <v>757</v>
      </c>
      <c r="AC55" s="122"/>
      <c r="AD55" s="122"/>
      <c r="AE55" s="122"/>
      <c r="AF55" s="122"/>
      <c r="AG55" s="1"/>
      <c r="AH55" s="1"/>
      <c r="AI55" s="1"/>
      <c r="AJ55" s="1"/>
      <c r="AK55" s="1"/>
      <c r="AL55" s="1"/>
      <c r="AM55" s="1"/>
      <c r="AN55" s="1"/>
      <c r="AO55" s="1"/>
      <c r="AP55" s="1"/>
      <c r="AQ55" s="1"/>
      <c r="AR55" s="1"/>
      <c r="AS55" s="1"/>
      <c r="AT55" s="1"/>
      <c r="AU55" s="20" t="s">
        <v>835</v>
      </c>
      <c r="AV55" s="22" t="s">
        <v>742</v>
      </c>
      <c r="AW55" s="22" t="s">
        <v>770</v>
      </c>
      <c r="AX55" s="22" t="s">
        <v>760</v>
      </c>
      <c r="AY55" s="20" t="s">
        <v>743</v>
      </c>
    </row>
    <row r="56" spans="16:51">
      <c r="P56" s="1" t="s">
        <v>626</v>
      </c>
      <c r="Q56" s="1" t="s">
        <v>750</v>
      </c>
      <c r="R56" s="1"/>
      <c r="S56" s="121"/>
      <c r="T56" s="122"/>
      <c r="U56" s="122"/>
      <c r="V56" s="122"/>
      <c r="W56" s="122" t="s">
        <v>626</v>
      </c>
      <c r="X56" s="122" t="s">
        <v>750</v>
      </c>
      <c r="Y56" s="121"/>
      <c r="Z56" s="122"/>
      <c r="AA56" s="122" t="s">
        <v>790</v>
      </c>
      <c r="AB56" s="127" t="s">
        <v>862</v>
      </c>
      <c r="AC56" s="122"/>
      <c r="AD56" s="122"/>
      <c r="AE56" s="122"/>
      <c r="AF56" s="122"/>
      <c r="AG56" s="1"/>
      <c r="AH56" s="1"/>
      <c r="AI56" s="1"/>
      <c r="AJ56" s="1"/>
      <c r="AK56" s="1"/>
      <c r="AL56" s="1"/>
      <c r="AM56" s="1"/>
      <c r="AN56" s="1"/>
      <c r="AO56" s="1"/>
      <c r="AP56" s="1"/>
      <c r="AQ56" s="1"/>
      <c r="AR56" s="1"/>
      <c r="AS56" s="1"/>
      <c r="AT56" s="1"/>
      <c r="AU56" s="24"/>
      <c r="AV56" s="21" t="s">
        <v>658</v>
      </c>
      <c r="AW56" s="21" t="s">
        <v>779</v>
      </c>
      <c r="AX56" s="20" t="s">
        <v>641</v>
      </c>
      <c r="AY56" s="20" t="s">
        <v>758</v>
      </c>
    </row>
    <row r="57" spans="16:51">
      <c r="P57" s="1" t="s">
        <v>863</v>
      </c>
      <c r="Q57" s="1" t="s">
        <v>758</v>
      </c>
      <c r="R57" s="1"/>
      <c r="S57" s="121"/>
      <c r="T57" s="122"/>
      <c r="U57" s="122"/>
      <c r="V57" s="122"/>
      <c r="W57" s="122" t="s">
        <v>863</v>
      </c>
      <c r="X57" s="122" t="s">
        <v>758</v>
      </c>
      <c r="Y57" s="121"/>
      <c r="Z57" s="122"/>
      <c r="AA57" s="122" t="s">
        <v>452</v>
      </c>
      <c r="AB57" s="127" t="s">
        <v>864</v>
      </c>
      <c r="AC57" s="122"/>
      <c r="AD57" s="122"/>
      <c r="AE57" s="122"/>
      <c r="AF57" s="122"/>
      <c r="AG57" s="1"/>
      <c r="AH57" s="1"/>
      <c r="AI57" s="1"/>
      <c r="AJ57" s="1"/>
      <c r="AK57" s="1"/>
      <c r="AL57" s="1"/>
      <c r="AM57" s="1"/>
      <c r="AN57" s="1"/>
      <c r="AO57" s="1"/>
      <c r="AP57" s="1"/>
      <c r="AQ57" s="1"/>
      <c r="AR57" s="1"/>
      <c r="AS57" s="1"/>
      <c r="AT57" s="1"/>
      <c r="AU57" s="1"/>
      <c r="AV57" s="22" t="s">
        <v>726</v>
      </c>
      <c r="AW57" s="20" t="s">
        <v>782</v>
      </c>
      <c r="AX57" s="20" t="s">
        <v>656</v>
      </c>
      <c r="AY57" s="20" t="s">
        <v>811</v>
      </c>
    </row>
    <row r="58" spans="16:51">
      <c r="P58" s="1" t="s">
        <v>453</v>
      </c>
      <c r="Q58" s="1" t="s">
        <v>454</v>
      </c>
      <c r="R58" s="1"/>
      <c r="S58" s="121"/>
      <c r="T58" s="122"/>
      <c r="U58" s="122"/>
      <c r="V58" s="122"/>
      <c r="W58" s="122" t="s">
        <v>453</v>
      </c>
      <c r="X58" s="122" t="s">
        <v>454</v>
      </c>
      <c r="Y58" s="121"/>
      <c r="Z58" s="122"/>
      <c r="AA58" s="122" t="s">
        <v>865</v>
      </c>
      <c r="AB58" s="127" t="s">
        <v>835</v>
      </c>
      <c r="AC58" s="122"/>
      <c r="AD58" s="122"/>
      <c r="AE58" s="122"/>
      <c r="AF58" s="122"/>
      <c r="AG58" s="1"/>
      <c r="AH58" s="1"/>
      <c r="AI58" s="1"/>
      <c r="AJ58" s="1"/>
      <c r="AK58" s="1"/>
      <c r="AL58" s="1"/>
      <c r="AM58" s="1"/>
      <c r="AN58" s="1"/>
      <c r="AO58" s="1"/>
      <c r="AP58" s="1"/>
      <c r="AQ58" s="1"/>
      <c r="AR58" s="1"/>
      <c r="AS58" s="1"/>
      <c r="AT58" s="1"/>
      <c r="AU58" s="1"/>
      <c r="AV58" s="20" t="s">
        <v>460</v>
      </c>
      <c r="AW58" s="19"/>
      <c r="AX58" s="20" t="s">
        <v>666</v>
      </c>
      <c r="AY58" s="20" t="s">
        <v>779</v>
      </c>
    </row>
    <row r="59" spans="16:51">
      <c r="P59" s="1" t="s">
        <v>848</v>
      </c>
      <c r="Q59" s="1" t="s">
        <v>866</v>
      </c>
      <c r="R59" s="1"/>
      <c r="S59" s="121"/>
      <c r="T59" s="122"/>
      <c r="U59" s="122"/>
      <c r="V59" s="122"/>
      <c r="W59" s="122" t="s">
        <v>848</v>
      </c>
      <c r="X59" s="122" t="s">
        <v>866</v>
      </c>
      <c r="Y59" s="121"/>
      <c r="Z59" s="122"/>
      <c r="AA59" s="122" t="s">
        <v>803</v>
      </c>
      <c r="AB59" s="127" t="s">
        <v>782</v>
      </c>
      <c r="AC59" s="122"/>
      <c r="AD59" s="122"/>
      <c r="AE59" s="122"/>
      <c r="AF59" s="122"/>
      <c r="AG59" s="1"/>
      <c r="AH59" s="1"/>
      <c r="AI59" s="1"/>
      <c r="AJ59" s="1"/>
      <c r="AK59" s="1"/>
      <c r="AL59" s="1"/>
      <c r="AM59" s="1"/>
      <c r="AN59" s="1"/>
      <c r="AO59" s="1"/>
      <c r="AP59" s="1"/>
      <c r="AQ59" s="1"/>
      <c r="AR59" s="1"/>
      <c r="AS59" s="1"/>
      <c r="AT59" s="1"/>
      <c r="AU59" s="18"/>
      <c r="AV59" s="20" t="s">
        <v>745</v>
      </c>
      <c r="AW59" s="19"/>
      <c r="AX59" s="20" t="s">
        <v>442</v>
      </c>
      <c r="AY59" s="20" t="s">
        <v>828</v>
      </c>
    </row>
    <row r="60" spans="16:51">
      <c r="P60" s="1" t="s">
        <v>852</v>
      </c>
      <c r="Q60" s="1" t="s">
        <v>822</v>
      </c>
      <c r="R60" s="1"/>
      <c r="S60" s="121"/>
      <c r="T60" s="122"/>
      <c r="U60" s="122"/>
      <c r="V60" s="122"/>
      <c r="W60" s="122" t="s">
        <v>852</v>
      </c>
      <c r="X60" s="122" t="s">
        <v>822</v>
      </c>
      <c r="Y60" s="121"/>
      <c r="Z60" s="122"/>
      <c r="AA60" s="122" t="s">
        <v>867</v>
      </c>
      <c r="AB60" s="127" t="s">
        <v>868</v>
      </c>
      <c r="AC60" s="122"/>
      <c r="AD60" s="122"/>
      <c r="AE60" s="122"/>
      <c r="AF60" s="122"/>
      <c r="AG60" s="1"/>
      <c r="AH60" s="1"/>
      <c r="AI60" s="1"/>
      <c r="AJ60" s="1"/>
      <c r="AK60" s="1"/>
      <c r="AL60" s="1"/>
      <c r="AM60" s="1"/>
      <c r="AN60" s="1"/>
      <c r="AO60" s="1"/>
      <c r="AP60" s="1"/>
      <c r="AQ60" s="1"/>
      <c r="AR60" s="1"/>
      <c r="AS60" s="1"/>
      <c r="AT60" s="1"/>
      <c r="AU60" s="1"/>
      <c r="AV60" s="22" t="s">
        <v>735</v>
      </c>
      <c r="AW60" s="19"/>
      <c r="AX60" s="20" t="s">
        <v>102</v>
      </c>
      <c r="AY60" s="20"/>
    </row>
    <row r="61" spans="16:51">
      <c r="P61" s="1" t="s">
        <v>647</v>
      </c>
      <c r="Q61" s="1" t="s">
        <v>763</v>
      </c>
      <c r="R61" s="1"/>
      <c r="S61" s="121"/>
      <c r="T61" s="122"/>
      <c r="U61" s="122"/>
      <c r="V61" s="122"/>
      <c r="W61" s="122" t="s">
        <v>647</v>
      </c>
      <c r="X61" s="122" t="s">
        <v>763</v>
      </c>
      <c r="Y61" s="121"/>
      <c r="Z61" s="122"/>
      <c r="AA61" s="122" t="s">
        <v>859</v>
      </c>
      <c r="AB61" s="127" t="s">
        <v>457</v>
      </c>
      <c r="AC61" s="122"/>
      <c r="AD61" s="122"/>
      <c r="AE61" s="122"/>
      <c r="AF61" s="122"/>
      <c r="AG61" s="1"/>
      <c r="AH61" s="1"/>
      <c r="AI61" s="1"/>
      <c r="AJ61" s="1"/>
      <c r="AK61" s="1"/>
      <c r="AL61" s="1"/>
      <c r="AM61" s="1"/>
      <c r="AN61" s="1"/>
      <c r="AO61" s="1"/>
      <c r="AP61" s="1"/>
      <c r="AQ61" s="1"/>
      <c r="AR61" s="1"/>
      <c r="AS61" s="1"/>
      <c r="AT61" s="1"/>
      <c r="AU61" s="1"/>
      <c r="AV61" s="20" t="s">
        <v>643</v>
      </c>
      <c r="AW61" s="19"/>
      <c r="AX61" s="20" t="s">
        <v>715</v>
      </c>
      <c r="AY61" s="20"/>
    </row>
    <row r="62" spans="16:51">
      <c r="P62" s="1" t="s">
        <v>808</v>
      </c>
      <c r="Q62" s="1" t="s">
        <v>779</v>
      </c>
      <c r="R62" s="1"/>
      <c r="S62" s="121"/>
      <c r="T62" s="122"/>
      <c r="U62" s="122"/>
      <c r="V62" s="122"/>
      <c r="W62" s="122" t="s">
        <v>808</v>
      </c>
      <c r="X62" s="122" t="s">
        <v>779</v>
      </c>
      <c r="Y62" s="121"/>
      <c r="Z62" s="122"/>
      <c r="AA62" s="122" t="s">
        <v>869</v>
      </c>
      <c r="AB62" s="127" t="s">
        <v>458</v>
      </c>
      <c r="AC62" s="122"/>
      <c r="AD62" s="122"/>
      <c r="AE62" s="122"/>
      <c r="AF62" s="122"/>
      <c r="AG62" s="1"/>
      <c r="AH62" s="1"/>
      <c r="AI62" s="1"/>
      <c r="AJ62" s="1"/>
      <c r="AK62" s="1"/>
      <c r="AL62" s="1"/>
      <c r="AM62" s="1"/>
      <c r="AN62" s="1"/>
      <c r="AO62" s="1"/>
      <c r="AP62" s="1"/>
      <c r="AQ62" s="1"/>
      <c r="AR62" s="1"/>
      <c r="AS62" s="1"/>
      <c r="AT62" s="1"/>
      <c r="AU62" s="1"/>
      <c r="AV62" s="22" t="s">
        <v>706</v>
      </c>
      <c r="AW62" s="19"/>
      <c r="AX62" s="20" t="s">
        <v>724</v>
      </c>
      <c r="AY62" s="20"/>
    </row>
    <row r="63" spans="16:51">
      <c r="P63" s="1" t="s">
        <v>660</v>
      </c>
      <c r="Q63" s="1" t="s">
        <v>457</v>
      </c>
      <c r="R63" s="1"/>
      <c r="S63" s="121"/>
      <c r="T63" s="122"/>
      <c r="U63" s="122"/>
      <c r="V63" s="122"/>
      <c r="W63" s="122" t="s">
        <v>660</v>
      </c>
      <c r="X63" s="122" t="s">
        <v>457</v>
      </c>
      <c r="Y63" s="121"/>
      <c r="Z63" s="122"/>
      <c r="AA63" s="122" t="s">
        <v>870</v>
      </c>
      <c r="AB63" s="127"/>
      <c r="AC63" s="122"/>
      <c r="AD63" s="122"/>
      <c r="AE63" s="122"/>
      <c r="AF63" s="122"/>
      <c r="AG63" s="1"/>
      <c r="AH63" s="1"/>
      <c r="AI63" s="1"/>
      <c r="AJ63" s="1"/>
      <c r="AK63" s="1"/>
      <c r="AL63" s="1"/>
      <c r="AM63" s="1"/>
      <c r="AN63" s="1"/>
      <c r="AO63" s="1"/>
      <c r="AP63" s="1"/>
      <c r="AQ63" s="1"/>
      <c r="AR63" s="1"/>
      <c r="AS63" s="1"/>
      <c r="AT63" s="1"/>
      <c r="AU63" s="18"/>
      <c r="AV63" s="22" t="s">
        <v>766</v>
      </c>
      <c r="AW63" s="19"/>
      <c r="AX63" s="22" t="s">
        <v>732</v>
      </c>
      <c r="AY63" s="20"/>
    </row>
    <row r="64" spans="16:51">
      <c r="P64" s="1"/>
      <c r="Q64" s="1" t="s">
        <v>828</v>
      </c>
      <c r="R64" s="1"/>
      <c r="S64" s="121"/>
      <c r="T64" s="122"/>
      <c r="U64" s="122"/>
      <c r="V64" s="122"/>
      <c r="W64" s="122"/>
      <c r="X64" s="122" t="s">
        <v>828</v>
      </c>
      <c r="Y64" s="121"/>
      <c r="Z64" s="122"/>
      <c r="AA64" s="122" t="s">
        <v>750</v>
      </c>
      <c r="AB64" s="127"/>
      <c r="AC64" s="122"/>
      <c r="AD64" s="122"/>
      <c r="AE64" s="122"/>
      <c r="AF64" s="122"/>
      <c r="AG64" s="1"/>
      <c r="AH64" s="1"/>
      <c r="AI64" s="1"/>
      <c r="AJ64" s="1"/>
      <c r="AK64" s="1"/>
      <c r="AL64" s="1"/>
      <c r="AM64" s="1"/>
      <c r="AN64" s="1"/>
      <c r="AO64" s="1"/>
      <c r="AP64" s="1"/>
      <c r="AQ64" s="1"/>
      <c r="AR64" s="1"/>
      <c r="AS64" s="1"/>
      <c r="AT64" s="1"/>
      <c r="AU64" s="1"/>
      <c r="AV64" s="20" t="s">
        <v>448</v>
      </c>
      <c r="AW64" s="19"/>
      <c r="AX64" s="20" t="s">
        <v>449</v>
      </c>
      <c r="AY64" s="20"/>
    </row>
    <row r="65" spans="17:51">
      <c r="Q65" s="1" t="s">
        <v>458</v>
      </c>
      <c r="R65" s="1"/>
      <c r="S65" s="121"/>
      <c r="T65" s="122"/>
      <c r="U65" s="122"/>
      <c r="V65" s="122"/>
      <c r="W65" s="122"/>
      <c r="X65" s="122" t="s">
        <v>458</v>
      </c>
      <c r="Y65" s="121"/>
      <c r="Z65" s="122"/>
      <c r="AA65" s="122" t="s">
        <v>871</v>
      </c>
      <c r="AB65" s="127"/>
      <c r="AC65" s="122"/>
      <c r="AD65" s="122"/>
      <c r="AE65" s="122"/>
      <c r="AF65" s="122"/>
      <c r="AG65" s="1"/>
      <c r="AH65" s="1"/>
      <c r="AI65" s="1"/>
      <c r="AJ65" s="1"/>
      <c r="AK65" s="1"/>
      <c r="AL65" s="1"/>
      <c r="AM65" s="1"/>
      <c r="AN65" s="1"/>
      <c r="AO65" s="1"/>
      <c r="AP65" s="1"/>
      <c r="AQ65" s="1"/>
      <c r="AR65" s="1"/>
      <c r="AS65" s="1"/>
      <c r="AT65" s="1"/>
      <c r="AU65" s="1"/>
      <c r="AV65" s="19" t="s">
        <v>744</v>
      </c>
      <c r="AW65" s="19"/>
      <c r="AX65" s="22" t="s">
        <v>696</v>
      </c>
      <c r="AY65" s="20"/>
    </row>
    <row r="66" spans="17:51" ht="17.100000000000001" thickBot="1">
      <c r="Q66" s="1" t="s">
        <v>872</v>
      </c>
      <c r="R66" s="1"/>
      <c r="S66" s="125"/>
      <c r="T66" s="126"/>
      <c r="U66" s="126"/>
      <c r="V66" s="126"/>
      <c r="W66" s="126"/>
      <c r="X66" s="126" t="s">
        <v>872</v>
      </c>
      <c r="Y66" s="121"/>
      <c r="Z66" s="122"/>
      <c r="AA66" s="122" t="s">
        <v>873</v>
      </c>
      <c r="AB66" s="127"/>
      <c r="AC66" s="122"/>
      <c r="AD66" s="122"/>
      <c r="AE66" s="122"/>
      <c r="AF66" s="122"/>
      <c r="AG66" s="1"/>
      <c r="AH66" s="1"/>
      <c r="AI66" s="1"/>
      <c r="AJ66" s="1"/>
      <c r="AK66" s="1"/>
      <c r="AL66" s="1"/>
      <c r="AM66" s="1"/>
      <c r="AN66" s="1"/>
      <c r="AO66" s="1"/>
      <c r="AP66" s="1"/>
      <c r="AQ66" s="1"/>
      <c r="AR66" s="1"/>
      <c r="AS66" s="1"/>
      <c r="AT66" s="1"/>
      <c r="AU66" s="1"/>
      <c r="AV66" s="21" t="s">
        <v>697</v>
      </c>
      <c r="AW66" s="19"/>
      <c r="AX66" s="20" t="s">
        <v>702</v>
      </c>
      <c r="AY66" s="20"/>
    </row>
    <row r="67" spans="17:51">
      <c r="Q67" s="1"/>
      <c r="R67" s="1"/>
      <c r="S67" s="122"/>
      <c r="T67" s="122"/>
      <c r="U67" s="122"/>
      <c r="V67" s="122"/>
      <c r="W67" s="122"/>
      <c r="X67" s="122"/>
      <c r="Y67" s="121"/>
      <c r="Z67" s="122"/>
      <c r="AA67" s="122" t="s">
        <v>874</v>
      </c>
      <c r="AB67" s="127"/>
      <c r="AC67" s="122"/>
      <c r="AD67" s="122"/>
      <c r="AE67" s="122"/>
      <c r="AF67" s="122"/>
      <c r="AG67" s="1"/>
      <c r="AH67" s="1"/>
      <c r="AI67" s="1"/>
      <c r="AJ67" s="1"/>
      <c r="AK67" s="1"/>
      <c r="AL67" s="1"/>
      <c r="AM67" s="1"/>
      <c r="AN67" s="1"/>
      <c r="AO67" s="1"/>
      <c r="AP67" s="1"/>
      <c r="AQ67" s="1"/>
      <c r="AR67" s="1"/>
      <c r="AS67" s="1"/>
      <c r="AT67" s="1"/>
      <c r="AU67" s="1"/>
      <c r="AV67" s="22" t="s">
        <v>791</v>
      </c>
      <c r="AW67" s="19"/>
      <c r="AX67" s="20" t="s">
        <v>781</v>
      </c>
      <c r="AY67" s="20"/>
    </row>
    <row r="68" spans="17:51">
      <c r="Q68" s="1"/>
      <c r="R68" s="1"/>
      <c r="S68" s="122"/>
      <c r="T68" s="122"/>
      <c r="U68" s="122"/>
      <c r="V68" s="122"/>
      <c r="W68" s="122"/>
      <c r="X68" s="122"/>
      <c r="Y68" s="121"/>
      <c r="Z68" s="122"/>
      <c r="AA68" s="122" t="s">
        <v>875</v>
      </c>
      <c r="AB68" s="127"/>
      <c r="AC68" s="122"/>
      <c r="AD68" s="122"/>
      <c r="AE68" s="122"/>
      <c r="AF68" s="122"/>
      <c r="AG68" s="1"/>
      <c r="AH68" s="1"/>
      <c r="AI68" s="1"/>
      <c r="AJ68" s="1"/>
      <c r="AK68" s="1"/>
      <c r="AL68" s="1"/>
      <c r="AM68" s="1"/>
      <c r="AN68" s="1"/>
      <c r="AO68" s="1"/>
      <c r="AP68" s="1"/>
      <c r="AQ68" s="1"/>
      <c r="AR68" s="1"/>
      <c r="AS68" s="1"/>
      <c r="AT68" s="1"/>
      <c r="AU68" s="1"/>
      <c r="AV68" s="19" t="s">
        <v>759</v>
      </c>
      <c r="AW68" s="19"/>
      <c r="AX68" s="20" t="s">
        <v>714</v>
      </c>
      <c r="AY68" s="20"/>
    </row>
    <row r="69" spans="17:51" ht="17.100000000000001" thickBot="1">
      <c r="Q69" s="1"/>
      <c r="R69" s="1"/>
      <c r="S69" s="122"/>
      <c r="T69" s="122"/>
      <c r="U69" s="122"/>
      <c r="V69" s="122"/>
      <c r="W69" s="122"/>
      <c r="X69" s="122"/>
      <c r="Y69" s="125"/>
      <c r="Z69" s="126"/>
      <c r="AA69" s="126" t="s">
        <v>835</v>
      </c>
      <c r="AB69" s="128"/>
      <c r="AC69" s="122"/>
      <c r="AD69" s="122"/>
      <c r="AE69" s="122"/>
      <c r="AF69" s="122"/>
      <c r="AG69" s="1"/>
      <c r="AH69" s="1"/>
      <c r="AI69" s="1"/>
      <c r="AJ69" s="1"/>
      <c r="AK69" s="1"/>
      <c r="AL69" s="1"/>
      <c r="AM69" s="1"/>
      <c r="AN69" s="1"/>
      <c r="AO69" s="1"/>
      <c r="AP69" s="1"/>
      <c r="AQ69" s="1"/>
      <c r="AR69" s="1"/>
      <c r="AS69" s="1"/>
      <c r="AT69" s="1"/>
      <c r="AU69" s="1"/>
      <c r="AV69" s="20" t="s">
        <v>718</v>
      </c>
      <c r="AW69" s="19"/>
      <c r="AX69" s="20" t="s">
        <v>626</v>
      </c>
      <c r="AY69" s="20"/>
    </row>
    <row r="70" spans="17:51">
      <c r="Q70" s="1"/>
      <c r="R70" s="1"/>
      <c r="S70" s="122"/>
      <c r="T70" s="122"/>
      <c r="U70" s="122"/>
      <c r="V70" s="122"/>
      <c r="W70" s="122"/>
      <c r="X70" s="122"/>
      <c r="Y70" s="122"/>
      <c r="Z70" s="122"/>
      <c r="AA70" s="122"/>
      <c r="AB70" s="122"/>
      <c r="AC70" s="122"/>
      <c r="AD70" s="122"/>
      <c r="AE70" s="122"/>
      <c r="AF70" s="122"/>
      <c r="AG70" s="1"/>
      <c r="AH70" s="1"/>
      <c r="AI70" s="1"/>
      <c r="AJ70" s="1"/>
      <c r="AK70" s="1"/>
      <c r="AL70" s="1"/>
      <c r="AM70" s="1"/>
      <c r="AN70" s="1"/>
      <c r="AO70" s="1"/>
      <c r="AP70" s="1"/>
      <c r="AQ70" s="1"/>
      <c r="AR70" s="1"/>
      <c r="AS70" s="1"/>
      <c r="AT70" s="1"/>
      <c r="AU70" s="1"/>
      <c r="AV70" s="22" t="s">
        <v>805</v>
      </c>
      <c r="AW70" s="23"/>
      <c r="AX70" s="20" t="s">
        <v>787</v>
      </c>
      <c r="AY70" s="20"/>
    </row>
    <row r="71" spans="17:51">
      <c r="Q71" s="1"/>
      <c r="R71" s="1"/>
      <c r="S71" s="122"/>
      <c r="T71" s="122"/>
      <c r="U71" s="122"/>
      <c r="V71" s="122"/>
      <c r="W71" s="122"/>
      <c r="X71" s="122"/>
      <c r="Y71" s="122"/>
      <c r="Z71" s="122"/>
      <c r="AA71" s="122"/>
      <c r="AB71" s="122"/>
      <c r="AC71" s="122"/>
      <c r="AD71" s="122"/>
      <c r="AE71" s="122"/>
      <c r="AF71" s="122"/>
      <c r="AG71" s="1"/>
      <c r="AH71" s="1"/>
      <c r="AI71" s="1"/>
      <c r="AJ71" s="1"/>
      <c r="AK71" s="1"/>
      <c r="AL71" s="1"/>
      <c r="AM71" s="1"/>
      <c r="AN71" s="1"/>
      <c r="AO71" s="1"/>
      <c r="AP71" s="1"/>
      <c r="AQ71" s="1"/>
      <c r="AR71" s="1"/>
      <c r="AS71" s="1"/>
      <c r="AT71" s="1"/>
      <c r="AU71" s="1"/>
      <c r="AV71" s="20" t="s">
        <v>450</v>
      </c>
      <c r="AW71" s="1"/>
      <c r="AX71" s="20" t="s">
        <v>731</v>
      </c>
      <c r="AY71" s="20"/>
    </row>
    <row r="72" spans="17:51">
      <c r="Q72" s="1"/>
      <c r="R72" s="1"/>
      <c r="S72" s="122"/>
      <c r="T72" s="122"/>
      <c r="U72" s="122"/>
      <c r="V72" s="122"/>
      <c r="W72" s="122"/>
      <c r="X72" s="122"/>
      <c r="Y72" s="122"/>
      <c r="Z72" s="122"/>
      <c r="AA72" s="122"/>
      <c r="AB72" s="122"/>
      <c r="AC72" s="122"/>
      <c r="AD72" s="122"/>
      <c r="AE72" s="122"/>
      <c r="AF72" s="122"/>
      <c r="AG72" s="1"/>
      <c r="AH72" s="1"/>
      <c r="AI72" s="1"/>
      <c r="AJ72" s="1"/>
      <c r="AK72" s="1"/>
      <c r="AL72" s="1"/>
      <c r="AM72" s="1"/>
      <c r="AN72" s="1"/>
      <c r="AO72" s="1"/>
      <c r="AP72" s="1"/>
      <c r="AQ72" s="1"/>
      <c r="AR72" s="1"/>
      <c r="AS72" s="1"/>
      <c r="AT72" s="1"/>
      <c r="AU72" s="1"/>
      <c r="AV72" s="20" t="s">
        <v>734</v>
      </c>
      <c r="AW72" s="1"/>
      <c r="AX72" s="22" t="s">
        <v>795</v>
      </c>
      <c r="AY72" s="20"/>
    </row>
    <row r="73" spans="17:51">
      <c r="Q73" s="1"/>
      <c r="R73" s="1"/>
      <c r="S73" s="122"/>
      <c r="T73" s="122"/>
      <c r="U73" s="122"/>
      <c r="V73" s="122"/>
      <c r="W73" s="122"/>
      <c r="X73" s="122"/>
      <c r="Y73" s="122"/>
      <c r="Z73" s="122"/>
      <c r="AA73" s="122"/>
      <c r="AB73" s="122"/>
      <c r="AC73" s="122"/>
      <c r="AD73" s="122"/>
      <c r="AE73" s="122"/>
      <c r="AF73" s="122"/>
      <c r="AG73" s="1"/>
      <c r="AH73" s="1"/>
      <c r="AI73" s="1"/>
      <c r="AJ73" s="1"/>
      <c r="AK73" s="1"/>
      <c r="AL73" s="1"/>
      <c r="AM73" s="1"/>
      <c r="AN73" s="1"/>
      <c r="AO73" s="1"/>
      <c r="AP73" s="1"/>
      <c r="AQ73" s="1"/>
      <c r="AR73" s="1"/>
      <c r="AS73" s="1"/>
      <c r="AT73" s="1"/>
      <c r="AU73" s="1"/>
      <c r="AV73" s="22" t="s">
        <v>702</v>
      </c>
      <c r="AW73" s="1"/>
      <c r="AX73" s="20" t="s">
        <v>800</v>
      </c>
      <c r="AY73" s="20"/>
    </row>
    <row r="74" spans="17:51">
      <c r="Q74" s="1"/>
      <c r="R74" s="1"/>
      <c r="S74" s="122"/>
      <c r="T74" s="122"/>
      <c r="U74" s="122"/>
      <c r="V74" s="122"/>
      <c r="W74" s="122"/>
      <c r="X74" s="122"/>
      <c r="Y74" s="122"/>
      <c r="Z74" s="122"/>
      <c r="AA74" s="122"/>
      <c r="AB74" s="122"/>
      <c r="AC74" s="122"/>
      <c r="AD74" s="122"/>
      <c r="AE74" s="122"/>
      <c r="AF74" s="122"/>
      <c r="AG74" s="1"/>
      <c r="AH74" s="1"/>
      <c r="AI74" s="1"/>
      <c r="AJ74" s="1"/>
      <c r="AK74" s="1"/>
      <c r="AL74" s="1"/>
      <c r="AM74" s="1"/>
      <c r="AN74" s="1"/>
      <c r="AO74" s="1"/>
      <c r="AP74" s="1"/>
      <c r="AQ74" s="1"/>
      <c r="AR74" s="1"/>
      <c r="AS74" s="1"/>
      <c r="AT74" s="1"/>
      <c r="AU74" s="1"/>
      <c r="AV74" s="19" t="s">
        <v>771</v>
      </c>
      <c r="AW74" s="1"/>
      <c r="AX74" s="22" t="s">
        <v>461</v>
      </c>
      <c r="AY74" s="20"/>
    </row>
    <row r="75" spans="17:51">
      <c r="Q75" s="1"/>
      <c r="R75" s="1"/>
      <c r="S75" s="122"/>
      <c r="T75" s="122"/>
      <c r="U75" s="122"/>
      <c r="V75" s="122"/>
      <c r="W75" s="122"/>
      <c r="X75" s="122"/>
      <c r="Y75" s="122"/>
      <c r="Z75" s="122"/>
      <c r="AA75" s="122"/>
      <c r="AB75" s="122"/>
      <c r="AC75" s="122"/>
      <c r="AD75" s="122"/>
      <c r="AE75" s="122"/>
      <c r="AF75" s="122"/>
      <c r="AG75" s="1"/>
      <c r="AH75" s="1"/>
      <c r="AI75" s="1"/>
      <c r="AJ75" s="1"/>
      <c r="AK75" s="1"/>
      <c r="AL75" s="1"/>
      <c r="AM75" s="1"/>
      <c r="AN75" s="1"/>
      <c r="AO75" s="1"/>
      <c r="AP75" s="1"/>
      <c r="AQ75" s="1"/>
      <c r="AR75" s="1"/>
      <c r="AS75" s="1"/>
      <c r="AT75" s="1"/>
      <c r="AU75" s="1"/>
      <c r="AV75" s="21" t="s">
        <v>780</v>
      </c>
      <c r="AW75" s="1"/>
      <c r="AX75" s="20" t="s">
        <v>733</v>
      </c>
      <c r="AY75" s="20"/>
    </row>
    <row r="76" spans="17:51">
      <c r="Q76" s="1"/>
      <c r="R76" s="1"/>
      <c r="S76" s="122"/>
      <c r="T76" s="122"/>
      <c r="U76" s="122"/>
      <c r="V76" s="122"/>
      <c r="W76" s="122"/>
      <c r="X76" s="122"/>
      <c r="Y76" s="122"/>
      <c r="Z76" s="122"/>
      <c r="AA76" s="122"/>
      <c r="AB76" s="122"/>
      <c r="AC76" s="122"/>
      <c r="AD76" s="122"/>
      <c r="AE76" s="122"/>
      <c r="AF76" s="122"/>
      <c r="AG76" s="1"/>
      <c r="AH76" s="1"/>
      <c r="AI76" s="1"/>
      <c r="AJ76" s="1"/>
      <c r="AK76" s="1"/>
      <c r="AL76" s="1"/>
      <c r="AM76" s="1"/>
      <c r="AN76" s="1"/>
      <c r="AO76" s="1"/>
      <c r="AP76" s="1"/>
      <c r="AQ76" s="1"/>
      <c r="AR76" s="1"/>
      <c r="AS76" s="1"/>
      <c r="AT76" s="1"/>
      <c r="AU76" s="1"/>
      <c r="AV76" s="19" t="s">
        <v>783</v>
      </c>
      <c r="AW76" s="1"/>
      <c r="AX76" s="20" t="s">
        <v>754</v>
      </c>
      <c r="AY76" s="20"/>
    </row>
    <row r="77" spans="17:51">
      <c r="Q77" s="1"/>
      <c r="R77" s="1"/>
      <c r="S77" s="122"/>
      <c r="T77" s="122"/>
      <c r="U77" s="122"/>
      <c r="V77" s="122"/>
      <c r="W77" s="122"/>
      <c r="X77" s="122"/>
      <c r="Y77" s="122"/>
      <c r="Z77" s="122"/>
      <c r="AA77" s="122"/>
      <c r="AB77" s="122"/>
      <c r="AC77" s="122"/>
      <c r="AD77" s="122"/>
      <c r="AE77" s="122"/>
      <c r="AF77" s="122"/>
      <c r="AG77" s="1"/>
      <c r="AH77" s="1"/>
      <c r="AI77" s="1"/>
      <c r="AJ77" s="1"/>
      <c r="AK77" s="1"/>
      <c r="AL77" s="1"/>
      <c r="AM77" s="1"/>
      <c r="AN77" s="1"/>
      <c r="AO77" s="1"/>
      <c r="AP77" s="1"/>
      <c r="AQ77" s="1"/>
      <c r="AR77" s="1"/>
      <c r="AS77" s="1"/>
      <c r="AT77" s="1"/>
      <c r="AU77" s="1"/>
      <c r="AV77" s="22" t="s">
        <v>813</v>
      </c>
      <c r="AW77" s="1"/>
      <c r="AX77" s="22" t="s">
        <v>743</v>
      </c>
      <c r="AY77" s="20"/>
    </row>
    <row r="78" spans="17:51">
      <c r="Q78" s="1"/>
      <c r="R78" s="1"/>
      <c r="S78" s="122"/>
      <c r="T78" s="122"/>
      <c r="U78" s="122"/>
      <c r="V78" s="122"/>
      <c r="W78" s="122"/>
      <c r="X78" s="122"/>
      <c r="Y78" s="122"/>
      <c r="Z78" s="122"/>
      <c r="AA78" s="122"/>
      <c r="AB78" s="122"/>
      <c r="AC78" s="122"/>
      <c r="AD78" s="122"/>
      <c r="AE78" s="122"/>
      <c r="AF78" s="122"/>
      <c r="AG78" s="1"/>
      <c r="AH78" s="1"/>
      <c r="AI78" s="1"/>
      <c r="AJ78" s="1"/>
      <c r="AK78" s="1"/>
      <c r="AL78" s="1"/>
      <c r="AM78" s="1"/>
      <c r="AN78" s="1"/>
      <c r="AO78" s="1"/>
      <c r="AP78" s="1"/>
      <c r="AQ78" s="1"/>
      <c r="AR78" s="1"/>
      <c r="AS78" s="1"/>
      <c r="AT78" s="1"/>
      <c r="AU78" s="1"/>
      <c r="AV78" s="22" t="s">
        <v>461</v>
      </c>
      <c r="AW78" s="1"/>
      <c r="AX78" s="22" t="s">
        <v>769</v>
      </c>
      <c r="AY78" s="20"/>
    </row>
    <row r="79" spans="17:51">
      <c r="Q79" s="1"/>
      <c r="R79" s="1"/>
      <c r="S79" s="122"/>
      <c r="T79" s="122"/>
      <c r="U79" s="122"/>
      <c r="V79" s="122"/>
      <c r="W79" s="122"/>
      <c r="X79" s="122"/>
      <c r="Y79" s="122"/>
      <c r="Z79" s="122"/>
      <c r="AA79" s="122"/>
      <c r="AB79" s="122"/>
      <c r="AC79" s="122"/>
      <c r="AD79" s="122"/>
      <c r="AE79" s="122"/>
      <c r="AF79" s="122"/>
      <c r="AG79" s="1"/>
      <c r="AH79" s="1"/>
      <c r="AI79" s="1"/>
      <c r="AJ79" s="1"/>
      <c r="AK79" s="1"/>
      <c r="AL79" s="1"/>
      <c r="AM79" s="1"/>
      <c r="AN79" s="1"/>
      <c r="AO79" s="1"/>
      <c r="AP79" s="1"/>
      <c r="AQ79" s="1"/>
      <c r="AR79" s="1"/>
      <c r="AS79" s="1"/>
      <c r="AT79" s="1"/>
      <c r="AU79" s="1"/>
      <c r="AV79" s="20" t="s">
        <v>733</v>
      </c>
      <c r="AW79" s="1"/>
      <c r="AX79" s="20" t="s">
        <v>758</v>
      </c>
      <c r="AY79" s="20"/>
    </row>
    <row r="80" spans="17:51">
      <c r="Q80" s="1"/>
      <c r="R80" s="1"/>
      <c r="S80" s="122"/>
      <c r="T80" s="122"/>
      <c r="U80" s="122"/>
      <c r="V80" s="122"/>
      <c r="W80" s="122"/>
      <c r="X80" s="122"/>
      <c r="Y80" s="122"/>
      <c r="Z80" s="122"/>
      <c r="AA80" s="122"/>
      <c r="AB80" s="122"/>
      <c r="AC80" s="122"/>
      <c r="AD80" s="122"/>
      <c r="AE80" s="122"/>
      <c r="AF80" s="122"/>
      <c r="AG80" s="1"/>
      <c r="AH80" s="1"/>
      <c r="AI80" s="1"/>
      <c r="AJ80" s="1"/>
      <c r="AK80" s="1"/>
      <c r="AL80" s="1"/>
      <c r="AM80" s="1"/>
      <c r="AN80" s="1"/>
      <c r="AO80" s="1"/>
      <c r="AP80" s="1"/>
      <c r="AQ80" s="1"/>
      <c r="AR80" s="1"/>
      <c r="AS80" s="1"/>
      <c r="AT80" s="1"/>
      <c r="AU80" s="1"/>
      <c r="AV80" s="21" t="s">
        <v>788</v>
      </c>
      <c r="AW80" s="1"/>
      <c r="AX80" s="20" t="s">
        <v>811</v>
      </c>
      <c r="AY80" s="20"/>
    </row>
    <row r="81" spans="19:51">
      <c r="S81" s="122"/>
      <c r="T81" s="122"/>
      <c r="U81" s="122"/>
      <c r="V81" s="122"/>
      <c r="W81" s="122"/>
      <c r="X81" s="122"/>
      <c r="Y81" s="122"/>
      <c r="Z81" s="122"/>
      <c r="AA81" s="122"/>
      <c r="AB81" s="122"/>
      <c r="AC81" s="122"/>
      <c r="AD81" s="122"/>
      <c r="AE81" s="122"/>
      <c r="AF81" s="122"/>
      <c r="AG81" s="1"/>
      <c r="AH81" s="1"/>
      <c r="AI81" s="1"/>
      <c r="AJ81" s="1"/>
      <c r="AK81" s="1"/>
      <c r="AL81" s="1"/>
      <c r="AM81" s="1"/>
      <c r="AN81" s="1"/>
      <c r="AO81" s="1"/>
      <c r="AP81" s="1"/>
      <c r="AQ81" s="1"/>
      <c r="AR81" s="1"/>
      <c r="AS81" s="1"/>
      <c r="AT81" s="1"/>
      <c r="AU81" s="1"/>
      <c r="AV81" s="22" t="s">
        <v>804</v>
      </c>
      <c r="AW81" s="1"/>
      <c r="AX81" s="22" t="s">
        <v>749</v>
      </c>
      <c r="AY81" s="22"/>
    </row>
    <row r="82" spans="19:51">
      <c r="S82" s="122"/>
      <c r="T82" s="122"/>
      <c r="U82" s="122"/>
      <c r="V82" s="122"/>
      <c r="W82" s="122"/>
      <c r="X82" s="122"/>
      <c r="Y82" s="122"/>
      <c r="Z82" s="122"/>
      <c r="AA82" s="122"/>
      <c r="AB82" s="122"/>
      <c r="AC82" s="122"/>
      <c r="AD82" s="122"/>
      <c r="AE82" s="122"/>
      <c r="AF82" s="122"/>
      <c r="AG82" s="1"/>
      <c r="AH82" s="1"/>
      <c r="AI82" s="1"/>
      <c r="AJ82" s="1"/>
      <c r="AK82" s="1"/>
      <c r="AL82" s="1"/>
      <c r="AM82" s="1"/>
      <c r="AN82" s="1"/>
      <c r="AO82" s="1"/>
      <c r="AP82" s="1"/>
      <c r="AQ82" s="1"/>
      <c r="AR82" s="1"/>
      <c r="AS82" s="1"/>
      <c r="AT82" s="1"/>
      <c r="AU82" s="1"/>
      <c r="AV82" s="19" t="s">
        <v>796</v>
      </c>
      <c r="AW82" s="1"/>
      <c r="AX82" s="20" t="s">
        <v>755</v>
      </c>
      <c r="AY82" s="20"/>
    </row>
    <row r="83" spans="19:51">
      <c r="S83" s="122"/>
      <c r="T83" s="122"/>
      <c r="U83" s="122"/>
      <c r="V83" s="122"/>
      <c r="W83" s="122"/>
      <c r="X83" s="122"/>
      <c r="Y83" s="122"/>
      <c r="Z83" s="122"/>
      <c r="AA83" s="122"/>
      <c r="AB83" s="122"/>
      <c r="AC83" s="122"/>
      <c r="AD83" s="122"/>
      <c r="AE83" s="122"/>
      <c r="AF83" s="122"/>
      <c r="AG83" s="1"/>
      <c r="AH83" s="1"/>
      <c r="AI83" s="1"/>
      <c r="AJ83" s="1"/>
      <c r="AK83" s="1"/>
      <c r="AL83" s="1"/>
      <c r="AM83" s="1"/>
      <c r="AN83" s="1"/>
      <c r="AO83" s="1"/>
      <c r="AP83" s="1"/>
      <c r="AQ83" s="1"/>
      <c r="AR83" s="1"/>
      <c r="AS83" s="1"/>
      <c r="AT83" s="1"/>
      <c r="AU83" s="1"/>
      <c r="AV83" s="20" t="s">
        <v>453</v>
      </c>
      <c r="AW83" s="1"/>
      <c r="AX83" s="22" t="s">
        <v>822</v>
      </c>
      <c r="AY83" s="22"/>
    </row>
    <row r="84" spans="19:51">
      <c r="S84" s="122"/>
      <c r="T84" s="122"/>
      <c r="U84" s="122"/>
      <c r="V84" s="122"/>
      <c r="W84" s="122"/>
      <c r="X84" s="122"/>
      <c r="Y84" s="122"/>
      <c r="Z84" s="122"/>
      <c r="AA84" s="122"/>
      <c r="AB84" s="122"/>
      <c r="AC84" s="122"/>
      <c r="AD84" s="122"/>
      <c r="AE84" s="122"/>
      <c r="AF84" s="122"/>
      <c r="AG84" s="1"/>
      <c r="AH84" s="1"/>
      <c r="AI84" s="1"/>
      <c r="AJ84" s="1"/>
      <c r="AK84" s="1"/>
      <c r="AL84" s="1"/>
      <c r="AM84" s="1"/>
      <c r="AN84" s="1"/>
      <c r="AO84" s="1"/>
      <c r="AP84" s="1"/>
      <c r="AQ84" s="1"/>
      <c r="AR84" s="1"/>
      <c r="AS84" s="1"/>
      <c r="AT84" s="1"/>
      <c r="AU84" s="1"/>
      <c r="AV84" s="22" t="s">
        <v>801</v>
      </c>
      <c r="AW84" s="1"/>
      <c r="AX84" s="22" t="s">
        <v>763</v>
      </c>
      <c r="AY84" s="20"/>
    </row>
    <row r="85" spans="19:51">
      <c r="S85" s="122"/>
      <c r="T85" s="122"/>
      <c r="U85" s="122"/>
      <c r="V85" s="122"/>
      <c r="W85" s="122"/>
      <c r="X85" s="122"/>
      <c r="Y85" s="122"/>
      <c r="Z85" s="122"/>
      <c r="AA85" s="122"/>
      <c r="AB85" s="122"/>
      <c r="AC85" s="122"/>
      <c r="AD85" s="122"/>
      <c r="AE85" s="122"/>
      <c r="AF85" s="122"/>
      <c r="AG85" s="1"/>
      <c r="AH85" s="1"/>
      <c r="AI85" s="1"/>
      <c r="AJ85" s="1"/>
      <c r="AK85" s="1"/>
      <c r="AL85" s="1"/>
      <c r="AM85" s="1"/>
      <c r="AN85" s="1"/>
      <c r="AO85" s="1"/>
      <c r="AP85" s="1"/>
      <c r="AQ85" s="1"/>
      <c r="AR85" s="1"/>
      <c r="AS85" s="1"/>
      <c r="AT85" s="1"/>
      <c r="AU85" s="1"/>
      <c r="AV85" s="19" t="s">
        <v>647</v>
      </c>
      <c r="AW85" s="1"/>
      <c r="AX85" s="20" t="s">
        <v>779</v>
      </c>
      <c r="AY85" s="20"/>
    </row>
    <row r="86" spans="19:51">
      <c r="S86" s="122"/>
      <c r="T86" s="122"/>
      <c r="U86" s="122"/>
      <c r="V86" s="122"/>
      <c r="W86" s="122"/>
      <c r="X86" s="122"/>
      <c r="Y86" s="122"/>
      <c r="Z86" s="122"/>
      <c r="AA86" s="122"/>
      <c r="AB86" s="122"/>
      <c r="AC86" s="122"/>
      <c r="AD86" s="122"/>
      <c r="AE86" s="122"/>
      <c r="AF86" s="122"/>
      <c r="AG86" s="1"/>
      <c r="AH86" s="1"/>
      <c r="AI86" s="1"/>
      <c r="AJ86" s="1"/>
      <c r="AK86" s="1"/>
      <c r="AL86" s="1"/>
      <c r="AM86" s="1"/>
      <c r="AN86" s="1"/>
      <c r="AO86" s="1"/>
      <c r="AP86" s="1"/>
      <c r="AQ86" s="1"/>
      <c r="AR86" s="1"/>
      <c r="AS86" s="1"/>
      <c r="AT86" s="1"/>
      <c r="AU86" s="1"/>
      <c r="AV86" s="20" t="s">
        <v>808</v>
      </c>
      <c r="AW86" s="1"/>
      <c r="AX86" s="25" t="s">
        <v>828</v>
      </c>
      <c r="AY86" s="20"/>
    </row>
    <row r="87" spans="19:51">
      <c r="S87" s="122"/>
      <c r="T87" s="122"/>
      <c r="U87" s="122"/>
      <c r="V87" s="122"/>
      <c r="W87" s="122"/>
      <c r="X87" s="122"/>
      <c r="Y87" s="122"/>
      <c r="Z87" s="122"/>
      <c r="AA87" s="122"/>
      <c r="AB87" s="122"/>
      <c r="AC87" s="122"/>
      <c r="AD87" s="122"/>
      <c r="AE87" s="122"/>
      <c r="AF87" s="122"/>
      <c r="AG87" s="1"/>
      <c r="AH87" s="1"/>
      <c r="AI87" s="1"/>
      <c r="AJ87" s="1"/>
      <c r="AK87" s="1"/>
      <c r="AL87" s="1"/>
      <c r="AM87" s="1"/>
      <c r="AN87" s="1"/>
      <c r="AO87" s="1"/>
      <c r="AP87" s="1"/>
      <c r="AQ87" s="1"/>
      <c r="AR87" s="1"/>
      <c r="AS87" s="1"/>
      <c r="AT87" s="1"/>
      <c r="AU87" s="1"/>
      <c r="AV87" s="22" t="s">
        <v>770</v>
      </c>
      <c r="AW87" s="1"/>
      <c r="AX87" s="22" t="s">
        <v>458</v>
      </c>
      <c r="AY87" s="25"/>
    </row>
    <row r="88" spans="19:51">
      <c r="S88" s="122"/>
      <c r="T88" s="122"/>
      <c r="U88" s="122"/>
      <c r="V88" s="122"/>
      <c r="W88" s="122"/>
      <c r="X88" s="122"/>
      <c r="Y88" s="122"/>
      <c r="Z88" s="122"/>
      <c r="AA88" s="122"/>
      <c r="AB88" s="122"/>
      <c r="AC88" s="122"/>
      <c r="AD88" s="122"/>
      <c r="AE88" s="122"/>
      <c r="AF88" s="122"/>
      <c r="AG88" s="1"/>
      <c r="AH88" s="1"/>
      <c r="AI88" s="1"/>
      <c r="AJ88" s="1"/>
      <c r="AK88" s="1"/>
      <c r="AL88" s="1"/>
      <c r="AM88" s="1"/>
      <c r="AN88" s="1"/>
      <c r="AO88" s="1"/>
      <c r="AP88" s="1"/>
      <c r="AQ88" s="1"/>
      <c r="AR88" s="1"/>
      <c r="AS88" s="1"/>
      <c r="AT88" s="1"/>
      <c r="AU88" s="1"/>
      <c r="AV88" s="20" t="s">
        <v>782</v>
      </c>
      <c r="AW88" s="1"/>
      <c r="AX88" s="22"/>
      <c r="AY88" s="1"/>
    </row>
    <row r="89" spans="19:51">
      <c r="S89" s="122"/>
      <c r="T89" s="122"/>
      <c r="U89" s="122"/>
      <c r="V89" s="122"/>
      <c r="W89" s="122"/>
      <c r="X89" s="122"/>
      <c r="Y89" s="122"/>
      <c r="Z89" s="122"/>
      <c r="AA89" s="122"/>
      <c r="AB89" s="122"/>
      <c r="AC89" s="122"/>
      <c r="AD89" s="122"/>
      <c r="AE89" s="122"/>
      <c r="AF89" s="122"/>
      <c r="AG89" s="1"/>
      <c r="AH89" s="1"/>
      <c r="AI89" s="1"/>
      <c r="AJ89" s="1"/>
      <c r="AK89" s="1"/>
      <c r="AL89" s="1"/>
      <c r="AM89" s="1"/>
      <c r="AN89" s="1"/>
      <c r="AO89" s="1"/>
      <c r="AP89" s="1"/>
      <c r="AQ89" s="1"/>
      <c r="AR89" s="1"/>
      <c r="AS89" s="1"/>
      <c r="AT89" s="1"/>
      <c r="AU89" s="1"/>
      <c r="AV89" s="22"/>
      <c r="AW89" s="1"/>
      <c r="AX89" s="22"/>
      <c r="AY89" s="1"/>
    </row>
    <row r="90" spans="19:51">
      <c r="S90" s="122"/>
      <c r="T90" s="122"/>
      <c r="U90" s="122"/>
      <c r="V90" s="122"/>
      <c r="W90" s="122"/>
      <c r="X90" s="122"/>
      <c r="Y90" s="122"/>
      <c r="Z90" s="122"/>
      <c r="AA90" s="122"/>
      <c r="AB90" s="122"/>
      <c r="AC90" s="122"/>
      <c r="AD90" s="122"/>
      <c r="AE90" s="122"/>
      <c r="AF90" s="122"/>
      <c r="AG90" s="1"/>
      <c r="AH90" s="1"/>
      <c r="AI90" s="1"/>
      <c r="AJ90" s="1"/>
      <c r="AK90" s="1"/>
      <c r="AL90" s="1"/>
      <c r="AM90" s="1"/>
      <c r="AN90" s="1"/>
      <c r="AO90" s="1"/>
      <c r="AP90" s="1"/>
      <c r="AQ90" s="1"/>
      <c r="AR90" s="1"/>
      <c r="AS90" s="1"/>
      <c r="AT90" s="1"/>
      <c r="AU90" s="1"/>
      <c r="AV90" s="22"/>
      <c r="AW90" s="1"/>
      <c r="AX90" s="22"/>
      <c r="AY90" s="1"/>
    </row>
    <row r="91" spans="19:51">
      <c r="S91" s="122"/>
      <c r="T91" s="122"/>
      <c r="U91" s="122"/>
      <c r="V91" s="122"/>
      <c r="W91" s="122"/>
      <c r="X91" s="122"/>
      <c r="Y91" s="122"/>
      <c r="Z91" s="122"/>
      <c r="AA91" s="122"/>
      <c r="AB91" s="122"/>
      <c r="AC91" s="122"/>
      <c r="AD91" s="122"/>
      <c r="AE91" s="122"/>
      <c r="AF91" s="122"/>
      <c r="AG91" s="1"/>
      <c r="AH91" s="1"/>
      <c r="AI91" s="1"/>
      <c r="AJ91" s="1"/>
      <c r="AK91" s="1"/>
      <c r="AL91" s="1"/>
      <c r="AM91" s="1"/>
      <c r="AN91" s="1"/>
      <c r="AO91" s="1"/>
      <c r="AP91" s="1"/>
      <c r="AQ91" s="1"/>
      <c r="AR91" s="1"/>
      <c r="AS91" s="1"/>
      <c r="AT91" s="1"/>
      <c r="AU91" s="1"/>
      <c r="AV91" s="20"/>
      <c r="AW91" s="1"/>
      <c r="AX91" s="22"/>
      <c r="AY91" s="1"/>
    </row>
    <row r="92" spans="19:51">
      <c r="S92" s="122"/>
      <c r="T92" s="122"/>
      <c r="U92" s="122"/>
      <c r="V92" s="122"/>
      <c r="W92" s="122"/>
      <c r="X92" s="122"/>
      <c r="Y92" s="122"/>
      <c r="Z92" s="122"/>
      <c r="AA92" s="122"/>
      <c r="AB92" s="122"/>
      <c r="AC92" s="122"/>
      <c r="AD92" s="122"/>
      <c r="AE92" s="122"/>
      <c r="AF92" s="122"/>
      <c r="AG92" s="1"/>
      <c r="AH92" s="1"/>
      <c r="AI92" s="1"/>
      <c r="AJ92" s="1"/>
      <c r="AK92" s="1"/>
      <c r="AL92" s="1"/>
      <c r="AM92" s="1"/>
      <c r="AN92" s="1"/>
      <c r="AO92" s="1"/>
      <c r="AP92" s="1"/>
      <c r="AQ92" s="1"/>
      <c r="AR92" s="1"/>
      <c r="AS92" s="1"/>
      <c r="AT92" s="1"/>
      <c r="AU92" s="1"/>
      <c r="AV92" s="22"/>
      <c r="AW92" s="1"/>
      <c r="AX92" s="25"/>
      <c r="AY92" s="1"/>
    </row>
    <row r="93" spans="19:51">
      <c r="S93" s="122"/>
      <c r="T93" s="122"/>
      <c r="U93" s="122"/>
      <c r="V93" s="122"/>
      <c r="W93" s="122"/>
      <c r="X93" s="122"/>
      <c r="Y93" s="122"/>
      <c r="Z93" s="122"/>
      <c r="AA93" s="122"/>
      <c r="AB93" s="122"/>
      <c r="AC93" s="122"/>
      <c r="AD93" s="122"/>
      <c r="AE93" s="122"/>
      <c r="AF93" s="122"/>
      <c r="AG93" s="1"/>
      <c r="AH93" s="1"/>
      <c r="AI93" s="1"/>
      <c r="AJ93" s="1"/>
      <c r="AK93" s="1"/>
      <c r="AL93" s="1"/>
      <c r="AM93" s="1"/>
      <c r="AN93" s="1"/>
      <c r="AO93" s="1"/>
      <c r="AP93" s="1"/>
      <c r="AQ93" s="1"/>
      <c r="AR93" s="1"/>
      <c r="AS93" s="1"/>
      <c r="AT93" s="1"/>
      <c r="AU93" s="1"/>
      <c r="AV93" s="22"/>
      <c r="AW93" s="1"/>
      <c r="AX93" s="1"/>
      <c r="AY93" s="1"/>
    </row>
    <row r="94" spans="19:5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22"/>
      <c r="AW94" s="1"/>
      <c r="AX94" s="1"/>
      <c r="AY94" s="1"/>
    </row>
    <row r="95" spans="19:5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22"/>
      <c r="AW95" s="1"/>
      <c r="AX95" s="1"/>
      <c r="AY95" s="1"/>
    </row>
    <row r="96" spans="19:5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Props1.xml><?xml version="1.0" encoding="utf-8"?>
<ds:datastoreItem xmlns:ds="http://schemas.openxmlformats.org/officeDocument/2006/customXml" ds:itemID="{014A62F5-5CB0-4B4A-B7C6-12BE750E3650}"/>
</file>

<file path=customXml/itemProps2.xml><?xml version="1.0" encoding="utf-8"?>
<ds:datastoreItem xmlns:ds="http://schemas.openxmlformats.org/officeDocument/2006/customXml" ds:itemID="{493507B7-C361-46E0-AF44-6194D8191CB1}"/>
</file>

<file path=customXml/itemProps3.xml><?xml version="1.0" encoding="utf-8"?>
<ds:datastoreItem xmlns:ds="http://schemas.openxmlformats.org/officeDocument/2006/customXml" ds:itemID="{F86D18D9-0B6E-411F-93FD-BE55E800AD09}"/>
</file>

<file path=customXml/itemProps4.xml><?xml version="1.0" encoding="utf-8"?>
<ds:datastoreItem xmlns:ds="http://schemas.openxmlformats.org/officeDocument/2006/customXml" ds:itemID="{49A8CC42-3498-4AB9-83FD-168387E0E3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2025-12-19T22:36:49Z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