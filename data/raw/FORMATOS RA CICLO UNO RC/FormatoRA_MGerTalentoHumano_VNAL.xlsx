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FORMATOS RA CICLO UNO RC/"/>
    </mc:Choice>
  </mc:AlternateContent>
  <xr:revisionPtr revIDLastSave="718" documentId="8_{9DAF9F06-D825-4437-A40E-32C2003C04A6}" xr6:coauthVersionLast="47" xr6:coauthVersionMax="47" xr10:uidLastSave="{8E4F7B3E-0804-4565-B7CD-247E7E75B2F3}"/>
  <bookViews>
    <workbookView xWindow="-110" yWindow="-110" windowWidth="19420" windowHeight="10300" firstSheet="4" activeTab="4" xr2:uid="{BD68381A-4EB3-42BA-ADD5-D7B5B6C7E498}"/>
  </bookViews>
  <sheets>
    <sheet name="Paso1 Analisis perfil egreso" sheetId="1" r:id="rId1"/>
    <sheet name="Paso 2 Redacción competen" sheetId="6" r:id="rId2"/>
    <sheet name="Paso 3 Redacción RA " sheetId="5" r:id="rId3"/>
    <sheet name="Paso 4 Estrategias mesocurricu" sheetId="8" r:id="rId4"/>
    <sheet name="Paso 5 Estrategias micro" sheetId="7" r:id="rId5"/>
    <sheet name="Taxonomía para competencias" sheetId="10" r:id="rId6"/>
    <sheet name="Taxonomias para RA" sheetId="9" r:id="rId7"/>
  </sheets>
  <definedNames>
    <definedName name="_xlnm._FilterDatabase" localSheetId="2" hidden="1">'Paso 3 Redacción RA '!$A$1:$I$11</definedName>
    <definedName name="_xlnm._FilterDatabase" localSheetId="4" hidden="1">'Paso 5 Estrategias micro'!$B$1:$Q$32</definedName>
    <definedName name="actitudinalB">Tabla5785[ActitudinalB]</definedName>
    <definedName name="ActitudinalBAK">'Taxonomias para RA'!$AC$3:$AG$3</definedName>
    <definedName name="AK">Tabla5987[AK]</definedName>
    <definedName name="AnálisisB">Tabla385280[AnálisisB]</definedName>
    <definedName name="AnálisisBAK">Tabla3865[AnálisisBAK]</definedName>
    <definedName name="AnálisisMK">Tabla99[AnálisisMK]</definedName>
    <definedName name="AnalizarLK">Tabla2129[AnalizarLK]</definedName>
    <definedName name="AplicaciónB">Tabla375179[AplicaciónB]</definedName>
    <definedName name="AplicaciónBAK">Tabla3764[AplicaciónBAK]</definedName>
    <definedName name="AplicarLK">Tabla2028[AplicarLK]</definedName>
    <definedName name="áreasprofesionales">#REF!</definedName>
    <definedName name="BAK">Tabla5886[BAK]</definedName>
    <definedName name="Bloom">'Taxonomias para RA'!$G$3:$I$3</definedName>
    <definedName name="CaracterizarBAK">Tabla4776[CaracterizarBAK]</definedName>
    <definedName name="Cognitivo">'Paso1 Analisis perfil egreso'!$E$3:$E$17</definedName>
    <definedName name="CognitivoAK">'Taxonomias para RA'!$AL$4:$AQ$4</definedName>
    <definedName name="cognitivoB">Tabla5583[CognitivoB]</definedName>
    <definedName name="CognitivoBAK">'Taxonomias para RA'!$S$3:$X$3</definedName>
    <definedName name="competencias">'Paso 2 Redacción competen'!$F$3:$F$7</definedName>
    <definedName name="ComprenderLK">'Taxonomias para RA'!$AM$5:$AM$27</definedName>
    <definedName name="ComprensionB">Tabla365078[ComprensiónB]</definedName>
    <definedName name="ComprensiónBAK">Tabla3663[ComprensiónBAK]</definedName>
    <definedName name="ComprensiónMK">Tabla98[ComprensiónMK]</definedName>
    <definedName name="ConceptosLK">Tabla91[ConceptosAK]</definedName>
    <definedName name="ConocimientoB">Tabla354977[ConocimientoB]</definedName>
    <definedName name="ConocimientoBAK">Tabla3555[ConocimientoBAK]</definedName>
    <definedName name="Conocimientos">'Paso1 Analisis perfil egreso'!$E$3:$E$17</definedName>
    <definedName name="ControlBAK">Tabla4271[ControlBAK]</definedName>
    <definedName name="CrearLK">Tabla2333[CrearLK]</definedName>
    <definedName name="dominios">'Paso1 Analisis perfil egreso'!$E$2:$G$2</definedName>
    <definedName name="EvaluaciónB">Tabla405482[EvaluaciónB]</definedName>
    <definedName name="EvaluaciónBAK">Tabla4067[EvaluaciónBAK]</definedName>
    <definedName name="EvaluarLK">'Taxonomias para RA'!$AP$5:$AP$46</definedName>
    <definedName name="HechosLK">Tabla90[CognitivoAK]</definedName>
    <definedName name="ImitaciónBAK">Tabla1168[ImitaciónBAK]</definedName>
    <definedName name="ManipulaciónBAK">Tabla3069[ManipulaciónBAK]</definedName>
    <definedName name="MetacogniciónLK">Tabla93[MetacogniciónAK]</definedName>
    <definedName name="MetacogniciónMK">Tabla101[MetacogniciónMK]</definedName>
    <definedName name="MetocogniciónAK">Tabla101[MetacogniciónMK]</definedName>
    <definedName name="MK">Tabla6088[MK]</definedName>
    <definedName name="ocupacional">'Paso1 Analisis perfil egreso'!#REF!</definedName>
    <definedName name="OrganizarBAK">Tabla4675[OrganizarBAK]</definedName>
    <definedName name="PercepciónBAK">'Taxonomias para RA'!$AC$4:$AC$40</definedName>
    <definedName name="poblacionactuacion">#REF!</definedName>
    <definedName name="poblaciones">#REF!</definedName>
    <definedName name="poblacionesactuación">#REF!</definedName>
    <definedName name="PrecisiónBAK">Tabla4170[PrecisiónBAK]</definedName>
    <definedName name="procedimentalB">Tabla5684[ProcedimentalB]</definedName>
    <definedName name="ProcedimentalBAK">'Taxonomias para RA'!$Y$3:$AB$3</definedName>
    <definedName name="ProcedimientosMK">Tabla92[ProcedimientosAK]</definedName>
    <definedName name="ProcesosAK">ProcesosMentalesMK[ProcesosMentalesMK]</definedName>
    <definedName name="PsicomotorMK">Tabla96[PsicomotorMK]</definedName>
    <definedName name="RecordarLK">'Taxonomias para RA'!$AL$5:$AL$27</definedName>
    <definedName name="RecuperaciónMK">'Taxonomias para RA'!$BB$5:$BB$27</definedName>
    <definedName name="ResponderBAK">Tabla4473[ResponderBAK]</definedName>
    <definedName name="resultadoaprendizaje">'Paso 3 Redacción RA '!$I$3:$I$11</definedName>
    <definedName name="Saberhacer">'Paso1 Analisis perfil egreso'!$F$3:$F$16</definedName>
    <definedName name="saberser">'Paso1 Analisis perfil egreso'!$G$3:$G$16</definedName>
    <definedName name="SíntesisB">Tabla395381[SíntesisB]</definedName>
    <definedName name="SíntesisBAK">Tabla3966[SíntesisBAK]</definedName>
    <definedName name="SistemadelYoMK">Tabla11[SistemadelYoMK]</definedName>
    <definedName name="tareas">#REF!</definedName>
    <definedName name="tareasprofesionales">#REF!</definedName>
    <definedName name="taxonomiasra">Tabla1715[Taxonomías]</definedName>
    <definedName name="UsoConocimientoMK">'Taxonomias para RA'!$BE$5:$BE$70</definedName>
    <definedName name="Valoragregado">#REF!</definedName>
    <definedName name="ValorarBAK">Tabla4574[ValorarBAK]</definedName>
    <definedName name="Verboscompetencias">Tabla33103[Verbos Competencias]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9" i="7" l="1"/>
  <c r="I51" i="7" l="1"/>
  <c r="I50" i="7"/>
  <c r="I49" i="7"/>
  <c r="K33" i="7" l="1"/>
  <c r="J33" i="7"/>
  <c r="K12" i="7"/>
  <c r="J12" i="7"/>
  <c r="K3" i="7" l="1"/>
  <c r="J3" i="7"/>
  <c r="L3" i="7" s="1"/>
  <c r="A47" i="7"/>
  <c r="A46" i="7"/>
  <c r="K45" i="7"/>
  <c r="J45" i="7"/>
  <c r="A45" i="7"/>
  <c r="A44" i="7"/>
  <c r="A43" i="7"/>
  <c r="K42" i="7"/>
  <c r="J42" i="7"/>
  <c r="A42" i="7"/>
  <c r="A41" i="7"/>
  <c r="A40" i="7"/>
  <c r="K39" i="7"/>
  <c r="J39" i="7"/>
  <c r="A39" i="7"/>
  <c r="A38" i="7"/>
  <c r="A37" i="7"/>
  <c r="K36" i="7"/>
  <c r="J36" i="7"/>
  <c r="A36" i="7"/>
  <c r="A35" i="7"/>
  <c r="A34" i="7"/>
  <c r="L33" i="7"/>
  <c r="A33" i="7"/>
  <c r="A32" i="7"/>
  <c r="A31" i="7"/>
  <c r="A30" i="7"/>
  <c r="K30" i="7"/>
  <c r="J30" i="7"/>
  <c r="A25" i="7"/>
  <c r="A19" i="7"/>
  <c r="A4" i="7"/>
  <c r="A10" i="7"/>
  <c r="A5" i="7"/>
  <c r="A6" i="7"/>
  <c r="A7" i="7"/>
  <c r="A8" i="7"/>
  <c r="A9" i="7"/>
  <c r="A11" i="7"/>
  <c r="A12" i="7"/>
  <c r="A13" i="7"/>
  <c r="A14" i="7"/>
  <c r="A15" i="7"/>
  <c r="A16" i="7"/>
  <c r="A17" i="7"/>
  <c r="A18" i="7"/>
  <c r="A20" i="7"/>
  <c r="A21" i="7"/>
  <c r="A22" i="7"/>
  <c r="A23" i="7"/>
  <c r="A24" i="7"/>
  <c r="A26" i="7"/>
  <c r="A27" i="7"/>
  <c r="A28" i="7"/>
  <c r="A29" i="7"/>
  <c r="A3" i="7"/>
  <c r="L42" i="7" l="1"/>
  <c r="L30" i="7"/>
  <c r="L45" i="7"/>
  <c r="L36" i="7"/>
  <c r="L39" i="7"/>
  <c r="J27" i="7"/>
  <c r="K27" i="7"/>
  <c r="J24" i="7"/>
  <c r="K24" i="7"/>
  <c r="J21" i="7"/>
  <c r="K21" i="7"/>
  <c r="J18" i="7"/>
  <c r="K18" i="7"/>
  <c r="J15" i="7"/>
  <c r="K15" i="7"/>
  <c r="J9" i="7"/>
  <c r="K9" i="7"/>
  <c r="K6" i="7"/>
  <c r="J6" i="7"/>
  <c r="L18" i="7" l="1"/>
  <c r="L9" i="7"/>
  <c r="L6" i="7"/>
  <c r="L21" i="7"/>
  <c r="L24" i="7"/>
  <c r="L27" i="7"/>
  <c r="L15" i="7"/>
  <c r="L1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A47D5A-E4D2-4053-8BA4-C9D3E99BBD14}">
      <text>
        <r>
          <rPr>
            <sz val="11"/>
            <color theme="1"/>
            <rFont val="Calibri"/>
            <family val="2"/>
            <scheme val="minor"/>
          </rPr>
          <t>Diana Shirley Velásquez Rojas:
Escriba el perfil del egresado que tiene el programa en su documento maestro o el que se haya ajustado de acuerdo con las tendencias o necesidades del entorno que lo hayan generado.</t>
        </r>
      </text>
    </comment>
    <comment ref="E2" authorId="0" shapeId="0" xr:uid="{BF098D7A-8AA7-497C-8346-25E8CAD9D8A7}">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13665253-EBD5-4ACA-8ADD-D123250A215D}">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A454A21F-5AEC-47FA-AD63-B279B078678D}">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79591661-65A2-44C3-9322-8C788EAA9143}">
      <text>
        <r>
          <rPr>
            <b/>
            <sz val="9"/>
            <color indexed="81"/>
            <rFont val="Tahoma"/>
            <family val="2"/>
          </rPr>
          <t>Dir. Currículo:</t>
        </r>
        <r>
          <rPr>
            <sz val="9"/>
            <color indexed="81"/>
            <rFont val="Tahoma"/>
            <family val="2"/>
          </rPr>
          <t xml:space="preserve">
Áreas en las que podrá laborar el profesional.</t>
        </r>
      </text>
    </comment>
    <comment ref="I2" authorId="0" shapeId="0" xr:uid="{6219E277-D93F-4144-BB76-E78325F46F14}">
      <text>
        <r>
          <rPr>
            <b/>
            <sz val="9"/>
            <color indexed="81"/>
            <rFont val="Tahoma"/>
            <family val="2"/>
          </rPr>
          <t>Dir. Currículo:</t>
        </r>
        <r>
          <rPr>
            <sz val="9"/>
            <color indexed="81"/>
            <rFont val="Tahoma"/>
            <family val="2"/>
          </rPr>
          <t xml:space="preserve">
Tareas potenciales que hará el profesional.</t>
        </r>
      </text>
    </comment>
    <comment ref="J2" authorId="0" shapeId="0" xr:uid="{82B61287-1E52-4966-9F38-40276C61077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1F50E33F-F17E-46CE-A6F2-470B7CCC159C}">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establecido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19B5E11-E7C0-4E8B-97AE-EB82360ED972}">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553B5C01-9AE8-4770-9B69-3C41D7587F56}">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D8131627-F196-496E-83A7-0A723B34AEBB}">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029DF8E8-3C72-4699-A1B1-3A2203C057D4}">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28C52E8D-E4CF-48B1-9635-51A173F0E86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BE1AFAE3-AC58-487A-A8AB-89E11F1CCDEA}">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AAF1445F-E39C-4312-90A1-14054AF028A2}">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7B4A460E-9649-40C7-BFD8-BE954B68C7F3}">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C38B22A1-7462-4A8F-A7C7-9F21D3E7B042}">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4FBBD2D6-DC36-4648-89F1-F7D40D2A345D}">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00DDF55F-44AF-4AB9-97DA-8E74A4D2B53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E224E08-24C9-4DAF-AAB9-1B5F114C4BB2}">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G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sharedStrings.xml><?xml version="1.0" encoding="utf-8"?>
<sst xmlns="http://schemas.openxmlformats.org/spreadsheetml/2006/main" count="2410" uniqueCount="674">
  <si>
    <t>[Escribir el nombre del programa]</t>
  </si>
  <si>
    <t>[Escribir la modalidad: presencial o virtual]</t>
  </si>
  <si>
    <t>[Escribir el perfil profesional del egresado.]</t>
  </si>
  <si>
    <t>[Escribir el perfil ocupacional del egresado.]</t>
  </si>
  <si>
    <r>
      <rPr>
        <b/>
        <sz val="11"/>
        <color theme="0"/>
        <rFont val="Gill Sans MT"/>
        <family val="2"/>
      </rPr>
      <t>Componentes fundamentales para definir competencias</t>
    </r>
    <r>
      <rPr>
        <b/>
        <sz val="8"/>
        <color theme="0"/>
        <rFont val="Gill Sans MT"/>
        <family val="2"/>
      </rPr>
      <t xml:space="preserve">
</t>
    </r>
    <r>
      <rPr>
        <sz val="8"/>
        <color theme="0"/>
        <rFont val="Gill Sans MT"/>
        <family val="2"/>
      </rPr>
      <t>[Listar las palabras clave, no armar oraciones, respecto qué debe saber el egresado en las categorías de Saber -conocimientos, hechos, teorías-, Saber hacer -técnicas, procedimientos, metodologías-, y Saber ser -valores, condiciones. Esta información se estructura a partir del perfil profesional y cada saber hacer depende del saber ubicado a su izquierda, lo mismo ocurre con el saber ser.]</t>
    </r>
  </si>
  <si>
    <r>
      <rPr>
        <b/>
        <sz val="11"/>
        <color theme="0"/>
        <rFont val="Gill Sans MT"/>
        <family val="2"/>
      </rPr>
      <t>Componentes fundamentales de la ocupación laboral del profesional</t>
    </r>
    <r>
      <rPr>
        <b/>
        <sz val="8"/>
        <color theme="0"/>
        <rFont val="Gill Sans MT"/>
        <family val="2"/>
      </rPr>
      <t xml:space="preserve">
</t>
    </r>
    <r>
      <rPr>
        <sz val="8"/>
        <color theme="0"/>
        <rFont val="Gill Sans MT"/>
        <family val="2"/>
      </rPr>
      <t>[Listar, según lo escrito en el perfil ocupacional, en qué áreas, qué tareas potenciales y en qué poblaciones o contextos podrá laborar el profesional. Esta información es un listado general no requiere dependencia horizontal]</t>
    </r>
  </si>
  <si>
    <r>
      <rPr>
        <b/>
        <sz val="11"/>
        <color theme="0"/>
        <rFont val="Gill Sans MT"/>
        <family val="2"/>
      </rPr>
      <t>Diferencial (valor agregado) del profesional</t>
    </r>
    <r>
      <rPr>
        <b/>
        <sz val="8"/>
        <color theme="0"/>
        <rFont val="Gill Sans MT"/>
        <family val="2"/>
      </rPr>
      <t xml:space="preserve">
</t>
    </r>
    <r>
      <rPr>
        <sz val="8"/>
        <color theme="0"/>
        <rFont val="Gill Sans MT"/>
        <family val="2"/>
      </rPr>
      <t>[Listar, según lo escrito en los perfiles, los elementos que son diferenciales y generan un valor agregado al egresado. Debe ser disciplinar, asociado al perfil, ¿qué es lo que lo hace diferente a otros perfiles similares.]</t>
    </r>
  </si>
  <si>
    <t>Programa</t>
  </si>
  <si>
    <t>Modalidad</t>
  </si>
  <si>
    <t>Perfil profesional</t>
  </si>
  <si>
    <t>Perfil ocupacional</t>
  </si>
  <si>
    <t>Saber</t>
  </si>
  <si>
    <t>Saberhacer</t>
  </si>
  <si>
    <t>Saberser</t>
  </si>
  <si>
    <t>ÁreasProfesionales</t>
  </si>
  <si>
    <t>TareasProfesionales</t>
  </si>
  <si>
    <t>ValorAgregado</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</si>
  <si>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</si>
  <si>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</si>
  <si>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</si>
  <si>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</si>
  <si>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</si>
  <si>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</si>
  <si>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</si>
  <si>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</si>
  <si>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</si>
  <si>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</si>
  <si>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</si>
  <si>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</si>
  <si>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</si>
  <si>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competencia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</si>
  <si>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</si>
  <si>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</si>
  <si>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</si>
  <si>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</si>
  <si>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</si>
  <si>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</si>
  <si>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</si>
  <si>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</si>
  <si>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</si>
  <si>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</si>
  <si>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</si>
  <si>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</si>
  <si>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</si>
  <si>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</si>
  <si>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</si>
  <si>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</si>
  <si>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</si>
  <si>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</si>
  <si>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</si>
  <si>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</si>
  <si>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</si>
  <si>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</si>
  <si>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</si>
  <si>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</si>
  <si>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</si>
  <si>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</si>
  <si>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</si>
  <si>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</si>
  <si>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</si>
  <si>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</si>
  <si>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Encuesta</t>
  </si>
  <si>
    <t>Listado</t>
  </si>
  <si>
    <t>Número de veces que se realiza la estrategia en el tiempo que determine el programa.</t>
  </si>
  <si>
    <t>Informe o Reporte</t>
  </si>
  <si>
    <t>Número de estudiantes que participan en la estrategia.</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</si>
  <si>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</si>
  <si>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</si>
  <si>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</si>
  <si>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</si>
  <si>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</si>
  <si>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</si>
  <si>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</si>
  <si>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</si>
  <si>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</si>
  <si>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</si>
  <si>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</si>
  <si>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</si>
  <si>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</si>
  <si>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</si>
  <si>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</si>
  <si>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</si>
  <si>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</si>
  <si>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</si>
  <si>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</si>
  <si>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</si>
  <si>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C.Profundización</t>
  </si>
  <si>
    <t>Créditos</t>
  </si>
  <si>
    <t>Número de horas trabajo directo</t>
  </si>
  <si>
    <t>Número de horas trabajo independiente</t>
  </si>
  <si>
    <t>Total de horas</t>
  </si>
  <si>
    <t>Núcleos temáticos</t>
  </si>
  <si>
    <t>Actividades de aprendizaje</t>
  </si>
  <si>
    <t>Actividades de evaluación</t>
  </si>
  <si>
    <t>Acciones de retroalimentación</t>
  </si>
  <si>
    <t xml:space="preserve">Las acciones retroalimentación varían entre las siguientes, según las condiciones que identifique el tutor.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t>
  </si>
  <si>
    <t xml:space="preserve"> </t>
  </si>
  <si>
    <t xml:space="preserve">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t>
  </si>
  <si>
    <t>Formar a través del estudio de casos, de la clase magistral, de la lectura de artículos sobre los avances o los temas que se requieren abordar alrededor de los núcleos temáticos.</t>
  </si>
  <si>
    <t>Total módulos del programa</t>
  </si>
  <si>
    <t>Total créditos programa</t>
  </si>
  <si>
    <t>Total créditos fundamentación</t>
  </si>
  <si>
    <t>Total créditos profundización</t>
  </si>
  <si>
    <t>Verbos Competencias</t>
  </si>
  <si>
    <r>
      <rPr>
        <b/>
        <sz val="11"/>
        <color theme="0"/>
        <rFont val="Calibri"/>
        <family val="2"/>
        <scheme val="minor"/>
      </rPr>
      <t>Observación:</t>
    </r>
    <r>
      <rPr>
        <sz val="11"/>
        <color theme="0"/>
        <rFont val="Calibri"/>
        <family val="2"/>
        <scheme val="minor"/>
      </rPr>
      <t xml:space="preserve"> estos verbos son solo algunos y se pueden agregar tantos como se requieran; solo hay que tener en cuenta que debe estar al nivel de un perfil profesional.</t>
    </r>
  </si>
  <si>
    <t>Actualizar</t>
  </si>
  <si>
    <t>Administrar</t>
  </si>
  <si>
    <t>Aplicar</t>
  </si>
  <si>
    <t>Asegurar</t>
  </si>
  <si>
    <t>Asesorar</t>
  </si>
  <si>
    <t>Auditar</t>
  </si>
  <si>
    <t>Comunicar</t>
  </si>
  <si>
    <t>Conducir</t>
  </si>
  <si>
    <t>Conocer</t>
  </si>
  <si>
    <t>Coordinar</t>
  </si>
  <si>
    <t>Definir</t>
  </si>
  <si>
    <t>Desarrollar</t>
  </si>
  <si>
    <t>Dirigir</t>
  </si>
  <si>
    <t>Diseñar</t>
  </si>
  <si>
    <t>Dominar</t>
  </si>
  <si>
    <t>Establecer</t>
  </si>
  <si>
    <t>Evaluar</t>
  </si>
  <si>
    <t>Fiscalizar</t>
  </si>
  <si>
    <t>Formular</t>
  </si>
  <si>
    <t>Generar</t>
  </si>
  <si>
    <t>Gestionar</t>
  </si>
  <si>
    <t>Hacer</t>
  </si>
  <si>
    <t>Implementar</t>
  </si>
  <si>
    <t>Liderar</t>
  </si>
  <si>
    <t>Modelar</t>
  </si>
  <si>
    <t>Participar</t>
  </si>
  <si>
    <t>Planear</t>
  </si>
  <si>
    <t>Presidir</t>
  </si>
  <si>
    <t>Producir</t>
  </si>
  <si>
    <t>Resolver</t>
  </si>
  <si>
    <t>Sistematizar</t>
  </si>
  <si>
    <t>Supervisar</t>
  </si>
  <si>
    <t>Transformar</t>
  </si>
  <si>
    <t>Validar</t>
  </si>
  <si>
    <t>Valorar</t>
  </si>
  <si>
    <t>Verificar</t>
  </si>
  <si>
    <t>Taxonomía de Bloom Adaptada con las propuestas de Anderson y Krathwohl</t>
  </si>
  <si>
    <t>Taxonomía de Anderson y Krathwohl (AK)</t>
  </si>
  <si>
    <t>Taxonomía de Marzano y Kendal (MK)</t>
  </si>
  <si>
    <t>Taxonomía de Bloom</t>
  </si>
  <si>
    <t>Cognitivo(BAK)</t>
  </si>
  <si>
    <t>Procedimental(BAK)</t>
  </si>
  <si>
    <t>Actitudinal(BAK)</t>
  </si>
  <si>
    <t>Taxonomías</t>
  </si>
  <si>
    <t>BAK</t>
  </si>
  <si>
    <t>AK</t>
  </si>
  <si>
    <t>MK</t>
  </si>
  <si>
    <t>CognitivoB</t>
  </si>
  <si>
    <t>ProcedimentalB</t>
  </si>
  <si>
    <t>ActitudinalB</t>
  </si>
  <si>
    <t>ConocimientoB</t>
  </si>
  <si>
    <t>ComprensiónB</t>
  </si>
  <si>
    <t>AplicaciónB</t>
  </si>
  <si>
    <t>AnálisisB</t>
  </si>
  <si>
    <t>SíntesisB</t>
  </si>
  <si>
    <t>EvaluaciónB</t>
  </si>
  <si>
    <t>ConocimientoBAK</t>
  </si>
  <si>
    <t>ComprensiónBAK</t>
  </si>
  <si>
    <t>AplicaciónBAK</t>
  </si>
  <si>
    <t>AnálisisBAK</t>
  </si>
  <si>
    <t>SíntesisBAK</t>
  </si>
  <si>
    <t>EvaluaciónBAK</t>
  </si>
  <si>
    <t>ImitaciónBAK</t>
  </si>
  <si>
    <t>ManipulaciónBAK</t>
  </si>
  <si>
    <t>PrecisiónBAK</t>
  </si>
  <si>
    <t>ControlBAK</t>
  </si>
  <si>
    <t>PercepciónBAK</t>
  </si>
  <si>
    <t>ResponderBAK</t>
  </si>
  <si>
    <t>ValorarBAK</t>
  </si>
  <si>
    <t>OrganizarBAK</t>
  </si>
  <si>
    <t>CaracterizarBAK</t>
  </si>
  <si>
    <t>CognitivoInf(AK)</t>
  </si>
  <si>
    <t>CognitivoSup(AK)</t>
  </si>
  <si>
    <t>Procedimental(AK)</t>
  </si>
  <si>
    <t>Actitudinal(AK)</t>
  </si>
  <si>
    <t>Bloom</t>
  </si>
  <si>
    <t>CognitivoBAK</t>
  </si>
  <si>
    <t>HechosAK</t>
  </si>
  <si>
    <t>InformaciónMK</t>
  </si>
  <si>
    <t>Adquirir</t>
  </si>
  <si>
    <t>Aislar</t>
  </si>
  <si>
    <t>Adaptar</t>
  </si>
  <si>
    <t>Aconsejar</t>
  </si>
  <si>
    <t>Ajustar</t>
  </si>
  <si>
    <t>Direccionar</t>
  </si>
  <si>
    <t>Disponer</t>
  </si>
  <si>
    <t>Remover</t>
  </si>
  <si>
    <t>Aprobar</t>
  </si>
  <si>
    <t>Adoptar</t>
  </si>
  <si>
    <t>Extraer</t>
  </si>
  <si>
    <t>Negociar</t>
  </si>
  <si>
    <t>RecordarLK</t>
  </si>
  <si>
    <t>ComprenderLK</t>
  </si>
  <si>
    <t>AplicarLK</t>
  </si>
  <si>
    <t>AnalizarLK</t>
  </si>
  <si>
    <t>EvaluarLK</t>
  </si>
  <si>
    <t>CrearLK</t>
  </si>
  <si>
    <t>RecuperaciónMK</t>
  </si>
  <si>
    <t>ComprensiónMK</t>
  </si>
  <si>
    <t>AnálisisMK</t>
  </si>
  <si>
    <t>UsoConocimientoMK</t>
  </si>
  <si>
    <t>MetacogniciónMK</t>
  </si>
  <si>
    <t>SistemadelYoMK</t>
  </si>
  <si>
    <t>ProcedimentalBAK</t>
  </si>
  <si>
    <t>ConceptosAK</t>
  </si>
  <si>
    <t>ProcesosMentalesMK</t>
  </si>
  <si>
    <t>Buscar</t>
  </si>
  <si>
    <t>Bosquejar</t>
  </si>
  <si>
    <t>Calisificar</t>
  </si>
  <si>
    <t>Analizar</t>
  </si>
  <si>
    <t>Adjuntar</t>
  </si>
  <si>
    <t>Desmontar</t>
  </si>
  <si>
    <t>Quitar</t>
  </si>
  <si>
    <t>Autorizar</t>
  </si>
  <si>
    <t>Resumir</t>
  </si>
  <si>
    <t>Ofrecer</t>
  </si>
  <si>
    <t>Afirmar</t>
  </si>
  <si>
    <t>Clasificar</t>
  </si>
  <si>
    <t>Actuar</t>
  </si>
  <si>
    <t>Agrupar</t>
  </si>
  <si>
    <t>Aceptar</t>
  </si>
  <si>
    <t>ActitudinalBAK</t>
  </si>
  <si>
    <t>ProcedimientoslAK</t>
  </si>
  <si>
    <t>PsicomotorMK</t>
  </si>
  <si>
    <t>Citar</t>
  </si>
  <si>
    <t>Comentar</t>
  </si>
  <si>
    <t>Combinar</t>
  </si>
  <si>
    <t>Calcular</t>
  </si>
  <si>
    <t>Arreglar</t>
  </si>
  <si>
    <t>Agregar</t>
  </si>
  <si>
    <t>Modificar</t>
  </si>
  <si>
    <t>Dramatizar</t>
  </si>
  <si>
    <t>Apalancar</t>
  </si>
  <si>
    <t>Suprimir</t>
  </si>
  <si>
    <t>Demostrar</t>
  </si>
  <si>
    <t>Promover</t>
  </si>
  <si>
    <t>Comparar</t>
  </si>
  <si>
    <t>Añadir</t>
  </si>
  <si>
    <t>Elaborar</t>
  </si>
  <si>
    <t>Adelantar</t>
  </si>
  <si>
    <t>MetacogniciónAK</t>
  </si>
  <si>
    <t>Consignar</t>
  </si>
  <si>
    <t>Componer</t>
  </si>
  <si>
    <t>Categorizar</t>
  </si>
  <si>
    <t>Alinear</t>
  </si>
  <si>
    <t>Concretar</t>
  </si>
  <si>
    <t>Docificar</t>
  </si>
  <si>
    <t>Levantar</t>
  </si>
  <si>
    <t>Eliminar</t>
  </si>
  <si>
    <t>Comportarse bajo condiciones</t>
  </si>
  <si>
    <t>Copiar</t>
  </si>
  <si>
    <t>Contrastar</t>
  </si>
  <si>
    <t>Asumir</t>
  </si>
  <si>
    <t>Apoyar</t>
  </si>
  <si>
    <t>Maximizar</t>
  </si>
  <si>
    <t>Afinar</t>
  </si>
  <si>
    <t>Decir</t>
  </si>
  <si>
    <t>Convertir</t>
  </si>
  <si>
    <t>Articular</t>
  </si>
  <si>
    <t>Arbitrar</t>
  </si>
  <si>
    <t>Dibujar</t>
  </si>
  <si>
    <t>Estimular</t>
  </si>
  <si>
    <t>Retirar</t>
  </si>
  <si>
    <t>Ratificar</t>
  </si>
  <si>
    <t>Fomentar</t>
  </si>
  <si>
    <t>Completar</t>
  </si>
  <si>
    <t>Buscar similitudes</t>
  </si>
  <si>
    <t>Argumentar</t>
  </si>
  <si>
    <t>Mejorar</t>
  </si>
  <si>
    <t>Agradecer</t>
  </si>
  <si>
    <t>Criticar</t>
  </si>
  <si>
    <t>Construir</t>
  </si>
  <si>
    <t>Considerar</t>
  </si>
  <si>
    <t>Aumentar</t>
  </si>
  <si>
    <t>Trazar</t>
  </si>
  <si>
    <t>Localizar</t>
  </si>
  <si>
    <t>Extirpar</t>
  </si>
  <si>
    <t>Manejar</t>
  </si>
  <si>
    <t>Apreciar</t>
  </si>
  <si>
    <t>Anticipar</t>
  </si>
  <si>
    <t>Discutir</t>
  </si>
  <si>
    <t>Conectar</t>
  </si>
  <si>
    <t>Cambiar</t>
  </si>
  <si>
    <t>Minimizar</t>
  </si>
  <si>
    <t>Ambicionar</t>
  </si>
  <si>
    <t>Deletrear</t>
  </si>
  <si>
    <t>Dar ejemplos</t>
  </si>
  <si>
    <t>Ubicar</t>
  </si>
  <si>
    <t>Disipar</t>
  </si>
  <si>
    <t>Guiar</t>
  </si>
  <si>
    <t>Comprender</t>
  </si>
  <si>
    <t>Proponer</t>
  </si>
  <si>
    <t>Acabar</t>
  </si>
  <si>
    <t>Ejemplificar</t>
  </si>
  <si>
    <t xml:space="preserve">Construir </t>
  </si>
  <si>
    <t>Centrarse</t>
  </si>
  <si>
    <t>Anhelar</t>
  </si>
  <si>
    <t>CognitivoAK</t>
  </si>
  <si>
    <t>ProcedimientosAK</t>
  </si>
  <si>
    <t>Debatir</t>
  </si>
  <si>
    <t>Determinar</t>
  </si>
  <si>
    <t>Atar</t>
  </si>
  <si>
    <t>Encontrar</t>
  </si>
  <si>
    <t>Realizar</t>
  </si>
  <si>
    <t>Hablar</t>
  </si>
  <si>
    <t>Defender</t>
  </si>
  <si>
    <t>Terminar</t>
  </si>
  <si>
    <t xml:space="preserve">Duplicar </t>
  </si>
  <si>
    <t>Esquematizar</t>
  </si>
  <si>
    <t>Pensar</t>
  </si>
  <si>
    <t>RecordarAK</t>
  </si>
  <si>
    <t>Describir</t>
  </si>
  <si>
    <t>Cuestionar</t>
  </si>
  <si>
    <t>Computar</t>
  </si>
  <si>
    <t>Perforar</t>
  </si>
  <si>
    <t>Colocar</t>
  </si>
  <si>
    <t>Reproducir</t>
  </si>
  <si>
    <t>Emplear</t>
  </si>
  <si>
    <t>Estimar</t>
  </si>
  <si>
    <t>Proteger</t>
  </si>
  <si>
    <t>Contextualizar</t>
  </si>
  <si>
    <t>Elegir</t>
  </si>
  <si>
    <t>Explicar</t>
  </si>
  <si>
    <t>Correlacionar</t>
  </si>
  <si>
    <t>Compilar</t>
  </si>
  <si>
    <t xml:space="preserve">Planear </t>
  </si>
  <si>
    <t>ComprenderAK</t>
  </si>
  <si>
    <t>ComprendeAK</t>
  </si>
  <si>
    <t>Desplegar</t>
  </si>
  <si>
    <t>Discriminar</t>
  </si>
  <si>
    <t>Concluir</t>
  </si>
  <si>
    <t>Calificar</t>
  </si>
  <si>
    <t>Organizar</t>
  </si>
  <si>
    <t>Ejercitar</t>
  </si>
  <si>
    <t>Traducir</t>
  </si>
  <si>
    <t>Cooperar</t>
  </si>
  <si>
    <t>Tasar</t>
  </si>
  <si>
    <t>Escribir</t>
  </si>
  <si>
    <t>Expresar</t>
  </si>
  <si>
    <t>Descomponer</t>
  </si>
  <si>
    <t>AplicarAK</t>
  </si>
  <si>
    <t>Enseñar</t>
  </si>
  <si>
    <t>Deducir</t>
  </si>
  <si>
    <t>Censurar</t>
  </si>
  <si>
    <t>Ordenar</t>
  </si>
  <si>
    <t>Hallar</t>
  </si>
  <si>
    <t>Entregar</t>
  </si>
  <si>
    <t>Admitir</t>
  </si>
  <si>
    <t>Colaborar</t>
  </si>
  <si>
    <t>Aspirar</t>
  </si>
  <si>
    <t>Leer</t>
  </si>
  <si>
    <t>Generalizar</t>
  </si>
  <si>
    <t>Diferenciar</t>
  </si>
  <si>
    <t>Reescribir</t>
  </si>
  <si>
    <t>Asistir</t>
  </si>
  <si>
    <t>AnalizarAK</t>
  </si>
  <si>
    <t>Situar</t>
  </si>
  <si>
    <t>Actuar recíprocamente</t>
  </si>
  <si>
    <t>Listar</t>
  </si>
  <si>
    <t>Ilustrar</t>
  </si>
  <si>
    <t>Distinguir</t>
  </si>
  <si>
    <t>Convencer</t>
  </si>
  <si>
    <t>Simplificar</t>
  </si>
  <si>
    <t>EvaluarAK</t>
  </si>
  <si>
    <t>Duplicar</t>
  </si>
  <si>
    <t>Detectar</t>
  </si>
  <si>
    <t>Crear</t>
  </si>
  <si>
    <t>Acordar</t>
  </si>
  <si>
    <t>Bajar</t>
  </si>
  <si>
    <t>Obrar recíprocamente</t>
  </si>
  <si>
    <t>Discernir</t>
  </si>
  <si>
    <t>Inferir</t>
  </si>
  <si>
    <t>Dividir</t>
  </si>
  <si>
    <t>Suponer</t>
  </si>
  <si>
    <t>Atender</t>
  </si>
  <si>
    <t>CrearAK</t>
  </si>
  <si>
    <t>Etiquetar</t>
  </si>
  <si>
    <t>Diagramar</t>
  </si>
  <si>
    <t>Decidir</t>
  </si>
  <si>
    <t>Manipular</t>
  </si>
  <si>
    <t>Reparar</t>
  </si>
  <si>
    <t>Recitar</t>
  </si>
  <si>
    <t>Creer</t>
  </si>
  <si>
    <t>Percibir</t>
  </si>
  <si>
    <t>Memorizar</t>
  </si>
  <si>
    <t xml:space="preserve">Informar </t>
  </si>
  <si>
    <t>Entrevistar</t>
  </si>
  <si>
    <t>Sustituir</t>
  </si>
  <si>
    <t>Examinar</t>
  </si>
  <si>
    <t>Emparejar</t>
  </si>
  <si>
    <t>Conformar</t>
  </si>
  <si>
    <t>Armar</t>
  </si>
  <si>
    <t>Ser partidario de</t>
  </si>
  <si>
    <t>Identificar</t>
  </si>
  <si>
    <t>Juzgar</t>
  </si>
  <si>
    <t>Mostrar</t>
  </si>
  <si>
    <t>Interpretar</t>
  </si>
  <si>
    <t>Hacer uso</t>
  </si>
  <si>
    <t>Teorizar</t>
  </si>
  <si>
    <t>Derivar</t>
  </si>
  <si>
    <t>Constrastar</t>
  </si>
  <si>
    <t>Ensamblar</t>
  </si>
  <si>
    <t>Medir</t>
  </si>
  <si>
    <t>Reemplazar</t>
  </si>
  <si>
    <t>Enumerar</t>
  </si>
  <si>
    <t>Cuidar</t>
  </si>
  <si>
    <t>Reconocer</t>
  </si>
  <si>
    <t>Nombrar</t>
  </si>
  <si>
    <t>Encuestar</t>
  </si>
  <si>
    <t>Testar</t>
  </si>
  <si>
    <t>Grabar</t>
  </si>
  <si>
    <t>Exponer</t>
  </si>
  <si>
    <t>Contabilizar</t>
  </si>
  <si>
    <t>Reunir</t>
  </si>
  <si>
    <t>Ejecutar</t>
  </si>
  <si>
    <t>Racionar</t>
  </si>
  <si>
    <t>Preguntar</t>
  </si>
  <si>
    <t>Narrar</t>
  </si>
  <si>
    <t>Observar</t>
  </si>
  <si>
    <t>Controlar</t>
  </si>
  <si>
    <t>Explorar</t>
  </si>
  <si>
    <t>Separer</t>
  </si>
  <si>
    <t>Reponer</t>
  </si>
  <si>
    <t>Interrogar</t>
  </si>
  <si>
    <t>Referir</t>
  </si>
  <si>
    <t>Servir</t>
  </si>
  <si>
    <t>Omitir</t>
  </si>
  <si>
    <t>Parafrasear</t>
  </si>
  <si>
    <t>Visualizar</t>
  </si>
  <si>
    <t>Aunar</t>
  </si>
  <si>
    <t>Estructurar</t>
  </si>
  <si>
    <t>Desempeñar</t>
  </si>
  <si>
    <t>Corregir</t>
  </si>
  <si>
    <t>Edificar</t>
  </si>
  <si>
    <t>Publicar</t>
  </si>
  <si>
    <t>Preocuparse de o por</t>
  </si>
  <si>
    <t>Cumplir</t>
  </si>
  <si>
    <t>Rastrear</t>
  </si>
  <si>
    <t>Predecir</t>
  </si>
  <si>
    <t>Encajar</t>
  </si>
  <si>
    <t>Repartir</t>
  </si>
  <si>
    <t>Asisitir</t>
  </si>
  <si>
    <t>Ejercer</t>
  </si>
  <si>
    <t>Inspeccionar</t>
  </si>
  <si>
    <t>Descubrir</t>
  </si>
  <si>
    <t>Experimentar</t>
  </si>
  <si>
    <t>Mezclar</t>
  </si>
  <si>
    <t>Seleccionar</t>
  </si>
  <si>
    <t>Relacionar</t>
  </si>
  <si>
    <t>Practicar</t>
  </si>
  <si>
    <t>Investigar</t>
  </si>
  <si>
    <t>Constatar</t>
  </si>
  <si>
    <t>Mostar</t>
  </si>
  <si>
    <t>Culminar</t>
  </si>
  <si>
    <t>Preparar</t>
  </si>
  <si>
    <t>Acceder</t>
  </si>
  <si>
    <t>Porcionar</t>
  </si>
  <si>
    <t>Correr</t>
  </si>
  <si>
    <t>Escoger</t>
  </si>
  <si>
    <t>Motivar</t>
  </si>
  <si>
    <t>Compartir</t>
  </si>
  <si>
    <t>Indicar</t>
  </si>
  <si>
    <t>Inventariar</t>
  </si>
  <si>
    <t>Llevar</t>
  </si>
  <si>
    <t>Ocupar</t>
  </si>
  <si>
    <t>Relatar</t>
  </si>
  <si>
    <t>Soportar</t>
  </si>
  <si>
    <t>Revisar</t>
  </si>
  <si>
    <t>Numerar</t>
  </si>
  <si>
    <t>Convocar</t>
  </si>
  <si>
    <t>Revelar</t>
  </si>
  <si>
    <t>Repetir</t>
  </si>
  <si>
    <t>Mover</t>
  </si>
  <si>
    <t>Seguir</t>
  </si>
  <si>
    <t>Contar</t>
  </si>
  <si>
    <t>Unir</t>
  </si>
  <si>
    <t>Exteriorizar</t>
  </si>
  <si>
    <t>Simular</t>
  </si>
  <si>
    <t>Obtener</t>
  </si>
  <si>
    <t>Estudiar</t>
  </si>
  <si>
    <t>Comprobar</t>
  </si>
  <si>
    <t>Maniobrar</t>
  </si>
  <si>
    <t>Trasladar</t>
  </si>
  <si>
    <t>Informar</t>
  </si>
  <si>
    <t>Transferir</t>
  </si>
  <si>
    <t>Priorizar</t>
  </si>
  <si>
    <t>Extender</t>
  </si>
  <si>
    <t>Figurar</t>
  </si>
  <si>
    <t>Escuchar</t>
  </si>
  <si>
    <t>Probar</t>
  </si>
  <si>
    <t>Esculpir</t>
  </si>
  <si>
    <t>Anotar</t>
  </si>
  <si>
    <t>Usar</t>
  </si>
  <si>
    <t>Razonar</t>
  </si>
  <si>
    <t>Hipotetizar</t>
  </si>
  <si>
    <t>Emitir</t>
  </si>
  <si>
    <t>Entallar</t>
  </si>
  <si>
    <t>Proporcionar</t>
  </si>
  <si>
    <t>Reorganizar</t>
  </si>
  <si>
    <t>Influir</t>
  </si>
  <si>
    <t>Presentar</t>
  </si>
  <si>
    <t>Operar</t>
  </si>
  <si>
    <t>Registrar</t>
  </si>
  <si>
    <t>Abrir</t>
  </si>
  <si>
    <t>Resaltar</t>
  </si>
  <si>
    <t>Innovar</t>
  </si>
  <si>
    <t>Limpiar</t>
  </si>
  <si>
    <t>Destapar</t>
  </si>
  <si>
    <t>Coser</t>
  </si>
  <si>
    <t>Contribuir</t>
  </si>
  <si>
    <t>Separar</t>
  </si>
  <si>
    <t>Justificar</t>
  </si>
  <si>
    <t>Reportar</t>
  </si>
  <si>
    <t>Patronar</t>
  </si>
  <si>
    <t>Filtrar</t>
  </si>
  <si>
    <t>Instalar</t>
  </si>
  <si>
    <t>Comenzar</t>
  </si>
  <si>
    <t>Soldar</t>
  </si>
  <si>
    <t>Provocar</t>
  </si>
  <si>
    <t>Subdividir</t>
  </si>
  <si>
    <t>Poner</t>
  </si>
  <si>
    <t>Recordar</t>
  </si>
  <si>
    <t>Recoger</t>
  </si>
  <si>
    <t>Opinar</t>
  </si>
  <si>
    <t>Introducir</t>
  </si>
  <si>
    <t>Recaudar</t>
  </si>
  <si>
    <t>Impulsar</t>
  </si>
  <si>
    <t>Originar</t>
  </si>
  <si>
    <t>Inventar</t>
  </si>
  <si>
    <t>Juntar</t>
  </si>
  <si>
    <t>Finalizar</t>
  </si>
  <si>
    <t>Ampliar</t>
  </si>
  <si>
    <t>Ensanchar</t>
  </si>
  <si>
    <t>Persuadir</t>
  </si>
  <si>
    <t>Formar</t>
  </si>
  <si>
    <t>Cotejar</t>
  </si>
  <si>
    <t>Premiar</t>
  </si>
  <si>
    <t>Repasar</t>
  </si>
  <si>
    <t>Rotular</t>
  </si>
  <si>
    <t>Empaquetar</t>
  </si>
  <si>
    <t>Balancear</t>
  </si>
  <si>
    <t>Recomendar</t>
  </si>
  <si>
    <t>Marcar</t>
  </si>
  <si>
    <t>Envasar</t>
  </si>
  <si>
    <t>Subrayar</t>
  </si>
  <si>
    <t>Pintar</t>
  </si>
  <si>
    <t>Cortar</t>
  </si>
  <si>
    <t>Recortar</t>
  </si>
  <si>
    <t>Sincronizar</t>
  </si>
  <si>
    <t>Bailar</t>
  </si>
  <si>
    <t>Perfeccionar</t>
  </si>
  <si>
    <t>Peritar</t>
  </si>
  <si>
    <t>Planificar</t>
  </si>
  <si>
    <t>Pronosticar</t>
  </si>
  <si>
    <t>Señalar</t>
  </si>
  <si>
    <t>Difundir</t>
  </si>
  <si>
    <t>Tocar</t>
  </si>
  <si>
    <t>Transmitir</t>
  </si>
  <si>
    <t>Representar</t>
  </si>
  <si>
    <t>Tapizar</t>
  </si>
  <si>
    <t>Entrenar</t>
  </si>
  <si>
    <t>Proyectar</t>
  </si>
  <si>
    <t>Sacar</t>
  </si>
  <si>
    <t>Utilizar</t>
  </si>
  <si>
    <t>Sugerir</t>
  </si>
  <si>
    <t>Imprimir</t>
  </si>
  <si>
    <t>Ponderar</t>
  </si>
  <si>
    <t>Estampar</t>
  </si>
  <si>
    <t>Mecanizar</t>
  </si>
  <si>
    <t>Industrializar</t>
  </si>
  <si>
    <t>Codificar</t>
  </si>
  <si>
    <t>Fabricar</t>
  </si>
  <si>
    <t>Vincular</t>
  </si>
  <si>
    <t>Reducir</t>
  </si>
  <si>
    <t>Mitigar</t>
  </si>
  <si>
    <t>C.Fundamentación</t>
  </si>
  <si>
    <t>Maestría en Gerencia del Talento Humano</t>
  </si>
  <si>
    <t>Virtual</t>
  </si>
  <si>
    <t>El egresado de la Maestría en Gerencia del Talento Humano del Politécnico Grancolombiano analiza la relación entre el talento humano y la estrategia organizacional como fundamento para la toma de decisiones estratégicas, integrando referentes de comportamiento humano y dinámicas institucionales para formular y evaluar alternativas de intervención frente a situaciones que inciden en el desempeño, participando en escenarios interdisciplinarios y direccionando procesos de transformación organizacional desde una perspectiva estratégica.</t>
  </si>
  <si>
    <t>El egresado de la Maestría en Gerencia del Talento Humano del Politécnico Grancolombiano se desempeña en organizaciones públicas y privadas, en instancias directivas, unidades estratégicas y proyectos corporativos vinculados al talento humano, donde desarrolla funciones relacionadas con planear, estructurar y coordinar políticas, modelos y lineamientos orientados al direccionamiento de las personas en coherencia con la estrategia institucional, participando en comités de decisión y en equipos interdisciplinarios en los que organiza iniciativas de transformación, adapta estructuras de desarrollo del personal y evalúa acciones asociadas al desempeño en programas de desarrollo organizacional, cultura institucional, bienestar laboral y sostenibilidad.</t>
  </si>
  <si>
    <t>comportamiento y el desarrollo humano en las organizaciones</t>
  </si>
  <si>
    <t>evaluar políticas, procesos y cultura organizacional</t>
  </si>
  <si>
    <t>en relación con la estrategia institucional y las dinámicas organizacionales</t>
  </si>
  <si>
    <t>Gerente o Director de Talento Humano/Director de Relaciones Laborales/Consultor en Gobierno y Liderazgo Organizacional/Asesor en Estrategia de Capital Humano/Director o Coordinador de Planeación y Desarrollo Organizacional/Director o Coordinador de Proyectos de Talento Humano/Analista de Estructura y Procesos de Talento Humano/Consultor en Gestión del Cambio/Consultor en Aprendizaje Organizacional/Consultor de Clima y Cultura Laboral/Consultor en Liderazgo y Comunicación Interna/Asesor en Innovación Tecnológica y Procesos Digitales para Talento Humano/Consultor en Políticas Públicas y Laborales/Consultor de Tendencias del Trabajo y Empleabilidad</t>
  </si>
  <si>
    <t>Definir estrategias integrales de talento humano alineadas con la visión y objetivos institucionales/Evaluar el impacto estratégico de las políticas de talento humano en la sostenibilidad organizacional/Formular planes de desarrollo organizacional orientados a la transformación de procesos y estructuras institucionales/Analizar información estratégica para la toma de decisiones relacionadas con el talento humano/Diagnosticar situaciones organizacionales vinculadas al talento humano y plantear lineamientos de intervención/Estructurar modelos organizacionales orientados al desempeño institucional/Orientar estrategias de cultura organizacional y bienestar laboral en coherencia con la estrategia institucional/Evaluar el clima organizacional como insumo para decisiones estratégicas/Definir lineamientos para la incorporación de herramientas tecnológicas aplicadas al talento humano/Utilizar analítica de datos para la toma de decisiones estratégicas relacionadas con el talento humano/Presentar resultados y recomendaciones para la definición de políticas institucionales.</t>
  </si>
  <si>
    <t>Instituciones públicas y entidades gubernamentales/Organizaciones privadas y corporativas/Organizaciones del sector solidario/Organizaciones sociales y de cooperación internacional/Empresas y firmas de consultoría organizacional/Organizaciones que desarrollan procesos de transformación y direccionamiento estratégico del talento humano.</t>
  </si>
  <si>
    <t>estrategias de gerencia del talento humano</t>
  </si>
  <si>
    <t>estructurar propuestas de direccionamiento organizacional</t>
  </si>
  <si>
    <t>a partir de condiciones internas y externas y de los desafíos competitivos presentes del entorno</t>
  </si>
  <si>
    <t>talento humano en las organizaciones</t>
  </si>
  <si>
    <t>tomar decisiones estratégicas alineadas con la estrategia institucional</t>
  </si>
  <si>
    <t>integrando dimensiones comportamentales, administrativas, legales, sociales, tecnológicas, económicas y culturales en contextos multidisciplinares</t>
  </si>
  <si>
    <t>Analiza</t>
  </si>
  <si>
    <t>Analizar el comportamiento y el desarrollo humano en las organizaciones para evaluar políticas, procesos y cultura organizacional, en relación con la estrategia institucional y las dinámicas organizacionales.</t>
  </si>
  <si>
    <t>Formular estrategias de gerencia del talento humano para estructurar propuestas de direccionamiento organizacional, a partir de condiciones internas y externas y de los desafíos competitivos presentes del entorno.</t>
  </si>
  <si>
    <t>Dirigir el talento humano en las organizaciones para tomar decisiones estratégicas alineadas con la estrategia institucional, en contextos multidisciplinares, integrando dimensiones comportamentales, administrativas, legales, sociales, tecnológicas, económicas y culturales en contextos multidisciplinares.</t>
  </si>
  <si>
    <t>Específica</t>
  </si>
  <si>
    <t>PoblacionesActuación</t>
  </si>
  <si>
    <t>Analiza los niveles de comportamiento organizacional para establecer estrategias de desarrollo del talento humano y de diseño de objetivos, desde un enfoque multidisciplinar.</t>
  </si>
  <si>
    <t>Diseña estrategias innovadoras para direccionar procesos y planes de acción que respondan al logro de los objetivos organizacionales y orienten la toma decisiones, a través de metodologías investigativas que consideren el análisis del entorno económico, social y ambiental.</t>
  </si>
  <si>
    <t>Reconoce los componentes administrativos, legales, ambientales, sociales, tecnológicos, económicos, financieros y culturales que impactan la gestión del talento humano para crear planes innovadores que generen valor en las organizaciones.</t>
  </si>
  <si>
    <t>Valoración del nivel de contribución de la estrategia a los resultados de aprendizaje del programa.</t>
  </si>
  <si>
    <t>Seminario / Taller en Gerencia del Talento Humano</t>
  </si>
  <si>
    <t>Consultorio del Talento Humano</t>
  </si>
  <si>
    <t>Workshop en Investigación: Innovación en Talento Humano</t>
  </si>
  <si>
    <t>Jornadas en Investigación en Talento Humano</t>
  </si>
  <si>
    <t>Centro de Pensamiento Talento Humano y Organizaciones Saludables</t>
  </si>
  <si>
    <t>La Maestría en Gerencia del Talento Humano del Politécnico Grancolombiano se caracteriza por articular el análisis del comportamiento humano con la dirección estratégica organizacional, integrando perspectivas multidisciplinares que vinculan el talento humano con la toma de decisiones institucionales. El programa incluye el estudio de la transformación digital y de las dinámicas contemporáneas del trabajo como ejes para la gestión de procesos organizacionales en contextos cambiantes. Como valor agregado, el programa cuenta con el Consultorio del Talento Humano, que facilita la aproximación a situaciones organizacionales reales para el análisis y diseño de estrategias, y con el Centro de Pensamiento Talento Humano y Organizaciones Saludables, que articula investigación, debate académico y reflexión sobre prácticas de gestión del talento humano y bienestar laboral.</t>
  </si>
  <si>
    <t>Evento formativo dirigido a aspirantes, estudiantes, egresados, docentes y comunidad en general, que presenta tendencias y prácticas en transformación digital, reclutamiento 4.0, marca empleadora y endomarketing y tendencias investigativas en el área del talento humano, realizado en el marco del Día Internacional de los Recursos Humanos.</t>
  </si>
  <si>
    <t>Espacio académico que reúne a estudiantes, docentes, empresas y sociedad para reflexionar, analizar y discutir temas de gerencia del talento humano, fomentando la colaboración y la articulación de esfuerzos para fortalecer prácticas organizacionales estratégicas.</t>
  </si>
  <si>
    <t>Espacio de vinculación con organizaciones reales que permite a los estudiantes desarrollar iniciativas pedagógicas, formativas y de desarrollo, aplicando conocimientos acordes con las necesidades del entorno económico, social y laboral.</t>
  </si>
  <si>
    <t>Espacio académico que permite presentar teorías, principios, características y elementos para el desarrollo de competencias investigativas en la gerencia del talento humano.</t>
  </si>
  <si>
    <t>Espacio de encuentro académico para el intercambio de conocimientos y resultados de investigación sobre gerencia del talento humano.</t>
  </si>
  <si>
    <t>Formar a los estudiantes en los procesos de análisis y reflexión que les permiten plantear soluciones estratégicas en gerencia del talento humano aplicables a contextos organizacionales.</t>
  </si>
  <si>
    <t>Informar a los estudiantes sobre tendencias, cambios y buenas prácticas en gerencia del talento humano, que les permitan actualizarse y reconocer oportunidades y desafíos en el entorno profesional.</t>
  </si>
  <si>
    <t>Formar a los estudiantes en competencias investigativas y metodologías innovadoras, para que desarrollen propuestas y soluciones estratégicas en gerencia del talento humano.</t>
  </si>
  <si>
    <t>Ayudar a decidir a los estudiantes en la definición de alternativas o en la toma de decisiones que respondan a problemáticas organizacionales en gerencia del talento humano.</t>
  </si>
  <si>
    <t>Formar a los estudiantes en la interpretación, análisis y discusión de investigaciones y casos en gerencia del talento humano, fortaleciendo sus competencias académicas y de reflexión estratégica.</t>
  </si>
  <si>
    <t>Pensamiento Estratégico y Prospectiva</t>
  </si>
  <si>
    <t>TP</t>
  </si>
  <si>
    <t>1. El problema estratégico.
2. Corrientes del pensamiento estratégico.
3. La prospectiva: una actitud frente al futuro.
4. Aproximación al modelo prospectivo.</t>
  </si>
  <si>
    <t>Habilidades Gerenciales</t>
  </si>
  <si>
    <t>Transformación Digital</t>
  </si>
  <si>
    <t>Propone acciones orientadas a la adopción de una cultura digital y de generación de valor en la gestión del talento humano para estructurar estrategias de transformación digital.</t>
  </si>
  <si>
    <t>Comportamiento Humano en las Organizaciones</t>
  </si>
  <si>
    <t>Ética y Responsabilidad Social Corporativa</t>
  </si>
  <si>
    <t>Derecho Laboral Individual y Colectivo</t>
  </si>
  <si>
    <t>Identifica los aspectos generales del derecho laboral individual y colectivo para aplicar la normatividad en las diferentes formas de contrato de trabajo  en los sectores público y privado. 
Identifica el procedimiento desde el derecho de negociación colectiva y sus aspectos claves para proponer herramientas de solución de los conflictos en las organizaciones.</t>
  </si>
  <si>
    <t>Consultoría Estratégica del Talento Humano</t>
  </si>
  <si>
    <t>Desarrolla  propuestas estratégicas e innovadoras de consultoría que respondan a las  necesidades de los procesos de talento humano.</t>
  </si>
  <si>
    <t>Organizaciones Saludables</t>
  </si>
  <si>
    <t>Analiza acciones saludables para diseñar estrategias que favorezcan el bienestar integral en el contexto laboral.
Identifica metodologías y estrategias de gestión para proponer modelos de organización saludable.</t>
  </si>
  <si>
    <t>Finanzas para la Gestión Empresarial</t>
  </si>
  <si>
    <t>Analiza costos, estructuras de financiamiento y de generación de valor para proponer alternativas financieras que orienten la toma de decisiones en contexto organizacionales, basadas en la sostenibilidad y la competitividad.</t>
  </si>
  <si>
    <t>Calidad y Sistemas Integrados de Gestión</t>
  </si>
  <si>
    <t>Identifica las herramientas de sistemas integrados de gestión para determinar su uso y aplicabilidad en las diferentes áreas de las organizaciones.
Reconoce el funcionamiento del Sistema de Gestión de Seguridad de Riesgos y de  la Información para elaborar propuestas de programas de prevención en las organizaciones.</t>
  </si>
  <si>
    <t>Investigación (MTH)</t>
  </si>
  <si>
    <t>Identifica conceptos básicos sobre los fundamentos teóricos y metodológicos de la investigación para diseñar estrategias organizacionales que respondan a las necesidades y dinámicas de la gestión del talento humano.</t>
  </si>
  <si>
    <t>Seguridad Social y Sistemas de Compensación</t>
  </si>
  <si>
    <t>Identifica los procesos relacionados con el desarrollo y la aplicación de esquemas de compensación salarial para determinar las acciones que deben incorporarse en la planeación de los procesos organizacionales.</t>
  </si>
  <si>
    <t>Gerencia Estratégica del Talento Humano</t>
  </si>
  <si>
    <t>Diseña acciones que atiendan las necesidades organizacionales para desarrollar propuestas estratégicas que apunten al cumplimiento de los objetivos y se alineen a los procesos de incorporación, atracción y evaluación del talento humano.</t>
  </si>
  <si>
    <t>Desarrollo Humano, Gestión del Cambio y del Conocimiento</t>
  </si>
  <si>
    <t>Formula estrategias de cambio cultural para diseñar propuestas de intervención en los procesos del talento humano.
Diseña estrategias de capacitación, desarrollo, gestión del conocimiento y aprendizaje organizacional para determinar los procesos que se deben desarrollar en la gestión del talento humano.</t>
  </si>
  <si>
    <t>Trabajo de Investigación (MTH)</t>
  </si>
  <si>
    <t>Diagnostica la realidad organizacional para identificar las problemáticas que lleven a formular y plantear un problema de estudio.  
Aplica fundamentos metodológicos y teóricos de la investigación para proponer o implementar estrategias organizacionales innovadoras, aplicadas a la medida de las necesidades de los procesos de talento humano o a la mejora de estos.</t>
  </si>
  <si>
    <t>Electiva</t>
  </si>
  <si>
    <t>X</t>
  </si>
  <si>
    <t>1. Gestión del tiempo.
2. Liderazgo. 
3. Técnicas de negociación. 
4. Trabajo en equipo.</t>
  </si>
  <si>
    <t>1. Transformación digital y sus dominios.
2. Arquitectura empresarial.
3. Uso y apropiación de las tecnologías digitales.
4. Innovación y creatividad.</t>
  </si>
  <si>
    <t>1. Niveles de comportamiento organizacional. Comportamiento individual.
2. Comportamiento grupal y sistema organizacional.
3. Cultura y clima organizacionales.
4. Comunicación organizacional.</t>
  </si>
  <si>
    <t>1. Aspectos Generales del Derecho Laboral Individual – Contrato de Trabajo y su regulación.
2. Terminación del Contrato de Trabajo y Normatividad Laboral en el sector público.
3. Aspectos Generales del Derecho laboral Colectivo y las Organizaciones Sindicales.
4. El proceso de Negociación Colectiva.</t>
  </si>
  <si>
    <t>1. Consultoría estratégica.
2. Habilidades del consultor.
3. Tendencias en consultoría (Endomarketing).
4. Tendencias en consultoría (Employer Branding, y Inbound Recruiting).</t>
  </si>
  <si>
    <t>1. Calidad de vida laboral y bienestar psicológico en contexto laboral.
2. Programas de bienestar laboral e incentivos.
3. Sistema de Gestión de la Salud y la Seguridad en el Trabajo.
4. Estrés y riesgo psicosocial.</t>
  </si>
  <si>
    <t>1. Fundamentos financieros.
2. La estructura de costos y gastos de la empresa.
3. Gestión financiera utilizando las palancas operativa y financiera.
4. Gestión financiera basada en el valor y estructura financiera.</t>
  </si>
  <si>
    <t>1. Balance Scorecard.
2. Gestión de Calidad.
3. Gestión Ambiental.
4. Seguridad de la Información. Gestión y evaluación de Riesgos.</t>
  </si>
  <si>
    <t>1. Fundamentos y características de investigación científica.
2. Fases de la investigación científica. 
3. Métodos de investigación.  
4. Técnicas de recolección de información.</t>
  </si>
  <si>
    <t>1. Procesos normativos asociados a la compensación.
2. Seguridad social, relación laboral, contratación laboral, tipología salarial.
3. Modelos de compensación.
4. Sistemas de retribución.</t>
  </si>
  <si>
    <t>1. Planeación estratégica del talento humano.
2. Tendencias globales en gestión del talento humano.
3. Análisis y diseño de cargos.
4. Procesos estratégicos de atracción, evaluación y vinculación del talento humano.</t>
  </si>
  <si>
    <t>1. Capacitación y desarrollo del talento humano.
2. Gestión del conocimiento.
3. Estrategias digitales para el aprendizaje organizacional.
4. Gestión del cambio.</t>
  </si>
  <si>
    <t>1. Formulación y planteamiento del problema de investigación.
2. Fundamentación teórica y metodológica del proyecto.  
3. Análisis e interpretación de datos.
4. Construcción del informe y defensa del trabajo de investigación.</t>
  </si>
  <si>
    <t>Identifica los niveles del comportamiento organizacional para analizar la integración de los diferentes factores organizacionales y el desempeño laboral.
Reconoce la organización como sistema social para evaluar las necesidades humanas en el contexto laboral.</t>
  </si>
  <si>
    <t>Evaluación diagnóstica (semana 1 - Cuestionario inicial de, mínimo, cinco preguntas, que recopila información sobre el conocimiento previo o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 de entrega 1 (semana 4 - Actividad individual o grupal, diseñada para evaluar de manera integral el nivel de conocimiento, comprensión y el desempeño de los indicadores de logro. Varía entre entregas independientes o secuenciales).
Actividad formativa (semana 6 - Foro individual o grupal, creado para que el estudiante participe activamente en la construcción de su conocimiento y desarrollo de habilidades. Varía entre una actividad entregable y la participación en un foro).
Actividad de entrega 2 (semana 7 - Actividad individual o grupal, diseñada para evaluar de manera integral el nivel de conocimiento, comprensión y el desempeño de los indicadores de logro. Varía entre entregas independientes o secuenciales).
Autoevaluación (semana 8 - Cuestionario final de, mínimo, cinco preguntas, en el cual el estudiante reflexiona sobre su propio desempeño, habilidades y resultados en un contexto específico).</t>
  </si>
  <si>
    <t>Actividad de puntos evaluables (semana 2 – Cuestionario de 5 preguntas).
Entrega previa 1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t>
  </si>
  <si>
    <t>Trabajo directo:
Encuentros sincrónicos, mensajería interna, foros generales, anuncios.
Trabajo independiente: 
Lecturas fundamentales y complementarias
Anuncios
Foros
Actividades de refuerzo y recursos del módulo</t>
  </si>
  <si>
    <t>Reconoce las herramientas de liderazgo y manejo de equipo, para generar planes de trabajo de acuerdo con el contexto específico.
Identifica los estilos de liderazgo para reconocer las habilidades personales y cómo desarrollarlas en un contexto específico.</t>
  </si>
  <si>
    <t>Aplica herramientas de la metodología de la prospectiva para proponer los escenarios futuros de la organización con base en la toma de decisiones empresariales.</t>
  </si>
  <si>
    <t>Analiza los principios éticos, el gobierno corporativo y el marco legal de la responsabilidad social para proponer estrategias que promuevan prácticas sostenibles en contextos organizacionales globales.</t>
  </si>
  <si>
    <t>1. Aspectos éticos en la toma de decisiones.
2. Gobierno corporativo.
3. Responsabilidad social, sus elementos y el marco legal.
4. Aplicación de conocimientos y herramientas en propuestas de responsabilidad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</si>
</sst>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b/>
      <sz val="9"/>
      <color theme="0"/>
      <name val="Gill Sans MT"/>
      <family val="2"/>
    </font>
    <font>
      <sz val="11"/>
      <name val="Gill Sans MT"/>
      <family val="2"/>
    </font>
    <font>
      <sz val="8"/>
      <color theme="0"/>
      <name val="Gill Sans MT"/>
      <family val="2"/>
    </font>
    <font>
      <b/>
      <sz val="11"/>
      <color theme="0"/>
      <name val="Calibri"/>
      <family val="2"/>
      <scheme val="minor"/>
    </font>
    <font>
      <sz val="11"/>
      <color theme="0"/>
      <name val="Calibri"/>
      <family val="2"/>
      <scheme val="minor"/>
    </font>
    <font>
      <b/>
      <sz val="11"/>
      <color rgb="FFFFFFFF"/>
      <name val="Gill Sans MT"/>
      <family val="2"/>
    </font>
    <font>
      <sz val="8"/>
      <color rgb="FFFFFFFF"/>
      <name val="Gill Sans MT"/>
      <family val="2"/>
    </font>
    <font>
      <b/>
      <sz val="8"/>
      <color theme="0"/>
      <name val="Gill Sans MT"/>
      <family val="2"/>
    </font>
    <font>
      <sz val="8"/>
      <color rgb="FF000000"/>
      <name val="Gill Sans MT"/>
      <family val="2"/>
    </font>
    <font>
      <sz val="8"/>
      <name val="Gill Sans MT"/>
      <family val="2"/>
    </font>
    <font>
      <b/>
      <sz val="11"/>
      <color rgb="FF000000"/>
      <name val="Gill Sans MT"/>
      <family val="2"/>
    </font>
    <font>
      <b/>
      <sz val="11"/>
      <color theme="1"/>
      <name val="Gill Sans MT"/>
      <family val="2"/>
    </font>
  </fonts>
  <fills count="11">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0F385A"/>
        <bgColor rgb="FF000000"/>
      </patternFill>
    </fill>
    <fill>
      <patternFill patternType="solid">
        <fgColor rgb="FF1FB2DE"/>
        <bgColor rgb="FF000000"/>
      </patternFill>
    </fill>
    <fill>
      <patternFill patternType="solid">
        <fgColor rgb="FFDDEBF7"/>
        <bgColor rgb="FF000000"/>
      </patternFill>
    </fill>
    <fill>
      <patternFill patternType="solid">
        <fgColor theme="2"/>
        <bgColor indexed="64"/>
      </patternFill>
    </fill>
    <fill>
      <patternFill patternType="solid">
        <fgColor theme="4" tint="0.79998168889431442"/>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medium">
        <color indexed="64"/>
      </top>
      <bottom/>
      <diagonal/>
    </border>
    <border>
      <left/>
      <right/>
      <top/>
      <bottom style="medium">
        <color indexed="64"/>
      </bottom>
      <diagonal/>
    </border>
    <border>
      <left/>
      <right/>
      <top/>
      <bottom style="medium">
        <color rgb="FF000000"/>
      </bottom>
      <diagonal/>
    </border>
    <border>
      <left/>
      <right/>
      <top style="thin">
        <color rgb="FF0F385A"/>
      </top>
      <bottom/>
      <diagonal/>
    </border>
    <border>
      <left style="thin">
        <color auto="1"/>
      </left>
      <right style="thin">
        <color auto="1"/>
      </right>
      <top style="thin">
        <color auto="1"/>
      </top>
      <bottom/>
      <diagonal/>
    </border>
    <border>
      <left/>
      <right/>
      <top style="thin">
        <color auto="1"/>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hair">
        <color theme="1" tint="0.499984740745262"/>
      </top>
      <bottom style="hair">
        <color theme="1" tint="0.499984740745262"/>
      </bottom>
      <diagonal/>
    </border>
    <border>
      <left/>
      <right/>
      <top style="medium">
        <color indexed="64"/>
      </top>
      <bottom style="medium">
        <color indexed="64"/>
      </bottom>
      <diagonal/>
    </border>
    <border>
      <left/>
      <right/>
      <top style="medium">
        <color rgb="FF000000"/>
      </top>
      <bottom/>
      <diagonal/>
    </border>
    <border>
      <left/>
      <right/>
      <top/>
      <bottom style="hair">
        <color theme="1" tint="0.499984740745262"/>
      </bottom>
      <diagonal/>
    </border>
  </borders>
  <cellStyleXfs count="1">
    <xf numFmtId="0" fontId="0" fillId="0" borderId="0"/>
  </cellStyleXfs>
  <cellXfs count="116">
    <xf numFmtId="0" fontId="0" fillId="0" borderId="0" xfId="0"/>
    <xf numFmtId="0" fontId="3" fillId="0" borderId="0" xfId="0" applyFont="1"/>
    <xf numFmtId="0" fontId="4" fillId="0" borderId="0" xfId="0" applyFont="1" applyAlignment="1">
      <alignment vertical="center"/>
    </xf>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vertical="center"/>
    </xf>
    <xf numFmtId="0" fontId="4" fillId="5" borderId="2" xfId="0" applyFont="1" applyFill="1" applyBorder="1" applyAlignment="1">
      <alignment vertical="center"/>
    </xf>
    <xf numFmtId="0" fontId="4" fillId="0" borderId="2" xfId="0" applyFont="1" applyBorder="1" applyAlignment="1">
      <alignment vertical="center"/>
    </xf>
    <xf numFmtId="0" fontId="3" fillId="5" borderId="2" xfId="0" applyFont="1" applyFill="1" applyBorder="1"/>
    <xf numFmtId="0" fontId="3" fillId="0" borderId="2" xfId="0" applyFont="1" applyBorder="1"/>
    <xf numFmtId="0" fontId="3" fillId="5" borderId="3" xfId="0" applyFont="1" applyFill="1" applyBorder="1"/>
    <xf numFmtId="0" fontId="4" fillId="5" borderId="3" xfId="0" applyFont="1" applyFill="1" applyBorder="1" applyAlignment="1">
      <alignment vertical="center"/>
    </xf>
    <xf numFmtId="0" fontId="3" fillId="0" borderId="3" xfId="0" applyFont="1" applyBorder="1"/>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12" fillId="2" borderId="0" xfId="0" applyFont="1" applyFill="1" applyAlignment="1">
      <alignment wrapText="1"/>
    </xf>
    <xf numFmtId="0" fontId="4" fillId="0" borderId="0" xfId="0" applyFont="1" applyAlignment="1">
      <alignment vertical="center" wrapText="1"/>
    </xf>
    <xf numFmtId="0" fontId="3" fillId="0" borderId="0" xfId="0" applyFont="1" applyAlignment="1">
      <alignment vertical="center"/>
    </xf>
    <xf numFmtId="0" fontId="3" fillId="0" borderId="9" xfId="0" applyFont="1" applyBorder="1" applyAlignment="1">
      <alignment vertical="center" wrapText="1"/>
    </xf>
    <xf numFmtId="0" fontId="3" fillId="0" borderId="8" xfId="0" applyFont="1" applyBorder="1" applyAlignment="1">
      <alignment vertical="center" wrapText="1"/>
    </xf>
    <xf numFmtId="0" fontId="3" fillId="0" borderId="7" xfId="0" applyFont="1" applyBorder="1" applyAlignment="1">
      <alignment vertical="center" wrapText="1"/>
    </xf>
    <xf numFmtId="0" fontId="3" fillId="0" borderId="7" xfId="0" applyFont="1" applyBorder="1" applyAlignment="1">
      <alignment vertical="center"/>
    </xf>
    <xf numFmtId="0" fontId="3" fillId="0" borderId="8" xfId="0" applyFont="1" applyBorder="1" applyAlignment="1">
      <alignment vertical="center"/>
    </xf>
    <xf numFmtId="0" fontId="3" fillId="0" borderId="10" xfId="0" applyFont="1" applyBorder="1" applyAlignment="1">
      <alignment vertical="center" wrapText="1"/>
    </xf>
    <xf numFmtId="0" fontId="3" fillId="0" borderId="10" xfId="0" applyFont="1" applyBorder="1" applyAlignment="1">
      <alignment vertical="center"/>
    </xf>
    <xf numFmtId="0" fontId="5" fillId="2" borderId="1" xfId="0" applyFont="1" applyFill="1" applyBorder="1" applyAlignment="1">
      <alignment horizontal="center" vertical="center" wrapText="1"/>
    </xf>
    <xf numFmtId="0" fontId="7" fillId="3" borderId="1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4" fillId="0" borderId="12" xfId="0" applyFont="1" applyBorder="1" applyAlignment="1">
      <alignment vertical="center" wrapText="1"/>
    </xf>
    <xf numFmtId="0" fontId="13" fillId="6" borderId="1" xfId="0" applyFont="1" applyFill="1" applyBorder="1" applyAlignment="1">
      <alignment horizontal="center" vertical="center" wrapText="1"/>
    </xf>
    <xf numFmtId="0" fontId="16" fillId="7" borderId="1" xfId="0" applyFont="1" applyFill="1" applyBorder="1" applyAlignment="1">
      <alignment horizontal="center" vertical="center" wrapText="1"/>
    </xf>
    <xf numFmtId="0" fontId="17" fillId="7" borderId="1" xfId="0" applyFont="1" applyFill="1" applyBorder="1" applyAlignment="1">
      <alignment horizontal="center" vertical="center" wrapText="1"/>
    </xf>
    <xf numFmtId="0" fontId="18"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16" fillId="8" borderId="1" xfId="0" applyFont="1" applyFill="1" applyBorder="1" applyAlignment="1">
      <alignment horizontal="center" vertical="center" wrapText="1"/>
    </xf>
    <xf numFmtId="0" fontId="16" fillId="7" borderId="6" xfId="0" applyFont="1" applyFill="1" applyBorder="1" applyAlignment="1">
      <alignment horizontal="center" vertical="center" wrapText="1"/>
    </xf>
    <xf numFmtId="0" fontId="14" fillId="6" borderId="6" xfId="0" applyFont="1" applyFill="1" applyBorder="1" applyAlignment="1">
      <alignment horizontal="center" vertical="center" wrapText="1"/>
    </xf>
    <xf numFmtId="0" fontId="18" fillId="8" borderId="13" xfId="0" applyFont="1" applyFill="1" applyBorder="1" applyAlignment="1">
      <alignment horizontal="center" vertical="center" wrapText="1"/>
    </xf>
    <xf numFmtId="0" fontId="18" fillId="7" borderId="14" xfId="0" applyFont="1" applyFill="1" applyBorder="1" applyAlignment="1">
      <alignment horizontal="center" vertical="center" wrapText="1"/>
    </xf>
    <xf numFmtId="0" fontId="13" fillId="6" borderId="14" xfId="0" applyFont="1" applyFill="1" applyBorder="1" applyAlignment="1">
      <alignment horizontal="center" vertical="center" wrapText="1"/>
    </xf>
    <xf numFmtId="0" fontId="19" fillId="0" borderId="0" xfId="0" applyFont="1"/>
    <xf numFmtId="0" fontId="13" fillId="6" borderId="15" xfId="0" applyFont="1" applyFill="1" applyBorder="1" applyAlignment="1">
      <alignment horizontal="center" vertical="center" wrapText="1"/>
    </xf>
    <xf numFmtId="0" fontId="19" fillId="9" borderId="15" xfId="0" applyFont="1" applyFill="1" applyBorder="1" applyAlignment="1">
      <alignment horizontal="center" vertical="center" wrapText="1"/>
    </xf>
    <xf numFmtId="0" fontId="19" fillId="9" borderId="0" xfId="0" applyFont="1" applyFill="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4" fillId="0" borderId="8" xfId="0" applyFont="1" applyBorder="1" applyAlignment="1">
      <alignment horizontal="left" vertical="center" wrapText="1"/>
    </xf>
    <xf numFmtId="0" fontId="9" fillId="0" borderId="8" xfId="0" applyFont="1" applyBorder="1" applyAlignment="1">
      <alignment horizontal="left" vertical="center" wrapText="1"/>
    </xf>
    <xf numFmtId="0" fontId="9" fillId="0" borderId="0" xfId="0" applyFont="1" applyAlignment="1">
      <alignment horizontal="left" vertical="center" wrapText="1"/>
    </xf>
    <xf numFmtId="0" fontId="4" fillId="0" borderId="0" xfId="0" applyFont="1" applyAlignment="1">
      <alignment horizontal="left" vertical="center" wrapText="1"/>
    </xf>
    <xf numFmtId="0" fontId="4" fillId="0" borderId="10" xfId="0" applyFont="1" applyBorder="1" applyAlignment="1">
      <alignment vertical="center" wrapText="1"/>
    </xf>
    <xf numFmtId="0" fontId="3" fillId="0" borderId="12" xfId="0" applyFont="1" applyBorder="1" applyAlignment="1">
      <alignment vertical="center" wrapText="1"/>
    </xf>
    <xf numFmtId="0" fontId="9" fillId="0" borderId="12" xfId="0" applyFont="1" applyBorder="1" applyAlignment="1">
      <alignment horizontal="left" vertical="center" wrapText="1"/>
    </xf>
    <xf numFmtId="0" fontId="3" fillId="0" borderId="12" xfId="0" applyFont="1" applyBorder="1" applyAlignment="1">
      <alignment vertical="center"/>
    </xf>
    <xf numFmtId="0" fontId="3" fillId="0" borderId="17" xfId="0" applyFont="1" applyBorder="1" applyAlignment="1">
      <alignment vertical="center" wrapText="1"/>
    </xf>
    <xf numFmtId="0" fontId="5" fillId="2" borderId="0" xfId="0" applyFont="1" applyFill="1" applyAlignment="1">
      <alignment horizontal="center" vertical="center" wrapText="1"/>
    </xf>
    <xf numFmtId="0" fontId="5" fillId="2" borderId="18" xfId="0" applyFont="1" applyFill="1" applyBorder="1" applyAlignment="1">
      <alignment horizontal="center" vertical="center" wrapText="1"/>
    </xf>
    <xf numFmtId="0" fontId="19" fillId="9" borderId="18" xfId="0" applyFont="1" applyFill="1" applyBorder="1" applyAlignment="1">
      <alignment horizontal="center" vertical="center" wrapText="1"/>
    </xf>
    <xf numFmtId="0" fontId="3" fillId="10" borderId="16" xfId="0" applyFont="1" applyFill="1" applyBorder="1" applyAlignment="1">
      <alignment vertical="center" wrapText="1"/>
    </xf>
    <xf numFmtId="0" fontId="3" fillId="10" borderId="16" xfId="0" applyFont="1" applyFill="1" applyBorder="1" applyAlignment="1">
      <alignment horizontal="center" vertical="center" wrapText="1"/>
    </xf>
    <xf numFmtId="0" fontId="4" fillId="10" borderId="16" xfId="0" applyFont="1" applyFill="1" applyBorder="1" applyAlignment="1">
      <alignment horizontal="center" vertical="center" wrapText="1"/>
    </xf>
    <xf numFmtId="0" fontId="3" fillId="10" borderId="16" xfId="0" applyFont="1" applyFill="1" applyBorder="1" applyAlignment="1">
      <alignment horizontal="left" vertical="center" wrapText="1"/>
    </xf>
    <xf numFmtId="0" fontId="4" fillId="10" borderId="16" xfId="0" applyFont="1" applyFill="1" applyBorder="1" applyAlignment="1">
      <alignment vertical="center" wrapText="1"/>
    </xf>
    <xf numFmtId="0" fontId="3" fillId="0" borderId="12" xfId="0" applyFont="1" applyBorder="1" applyAlignment="1">
      <alignment horizontal="center" vertical="center" wrapText="1"/>
    </xf>
    <xf numFmtId="0" fontId="3" fillId="0" borderId="0" xfId="0" applyFont="1" applyAlignment="1">
      <alignment horizontal="center" vertical="center" wrapText="1"/>
    </xf>
    <xf numFmtId="0" fontId="3" fillId="0" borderId="12" xfId="0" applyFont="1" applyBorder="1" applyAlignment="1">
      <alignment horizontal="left" vertical="center" wrapText="1"/>
    </xf>
    <xf numFmtId="0" fontId="3" fillId="0" borderId="0" xfId="0" applyFont="1" applyAlignment="1">
      <alignment horizontal="left" vertical="center" wrapText="1"/>
    </xf>
    <xf numFmtId="0" fontId="15" fillId="2" borderId="1" xfId="0" applyFont="1" applyFill="1" applyBorder="1" applyAlignment="1">
      <alignment horizontal="center" vertical="center" wrapText="1"/>
    </xf>
    <xf numFmtId="0" fontId="3" fillId="0" borderId="8" xfId="0" applyFont="1" applyBorder="1" applyAlignment="1">
      <alignment horizontal="center" vertical="center" wrapText="1"/>
    </xf>
    <xf numFmtId="0" fontId="3" fillId="0" borderId="7"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7" xfId="0" applyFont="1" applyBorder="1" applyAlignment="1">
      <alignment horizontal="center" vertical="center" wrapText="1"/>
    </xf>
    <xf numFmtId="0" fontId="4" fillId="0" borderId="7" xfId="0" applyFont="1" applyBorder="1" applyAlignment="1">
      <alignment horizontal="center" vertical="center" wrapText="1"/>
    </xf>
    <xf numFmtId="0" fontId="4" fillId="0" borderId="0" xfId="0" applyFont="1" applyAlignment="1">
      <alignment horizontal="center" vertical="center" wrapText="1"/>
    </xf>
    <xf numFmtId="0" fontId="4" fillId="0" borderId="8" xfId="0" applyFont="1" applyBorder="1" applyAlignment="1">
      <alignment horizontal="center" vertical="center" wrapText="1"/>
    </xf>
    <xf numFmtId="0" fontId="9" fillId="0" borderId="7" xfId="0" applyFont="1" applyBorder="1" applyAlignment="1">
      <alignment horizontal="left" vertical="center" wrapText="1"/>
    </xf>
    <xf numFmtId="0" fontId="9" fillId="0" borderId="0" xfId="0" applyFont="1" applyAlignment="1">
      <alignment horizontal="left" vertical="center" wrapText="1"/>
    </xf>
    <xf numFmtId="0" fontId="9" fillId="0" borderId="8" xfId="0" applyFont="1" applyBorder="1" applyAlignment="1">
      <alignment horizontal="left" vertical="center" wrapText="1"/>
    </xf>
    <xf numFmtId="0" fontId="4" fillId="0" borderId="12" xfId="0" applyFont="1" applyBorder="1" applyAlignment="1">
      <alignment horizontal="center" vertical="center" wrapText="1"/>
    </xf>
    <xf numFmtId="0" fontId="9" fillId="0" borderId="12" xfId="0" applyFont="1" applyBorder="1" applyAlignment="1">
      <alignment horizontal="left" vertical="center" wrapText="1"/>
    </xf>
    <xf numFmtId="0" fontId="4" fillId="0" borderId="9" xfId="0" applyFont="1" applyBorder="1" applyAlignment="1">
      <alignment horizontal="center" vertical="center" wrapText="1"/>
    </xf>
    <xf numFmtId="0" fontId="9" fillId="0" borderId="9" xfId="0" applyFont="1" applyBorder="1" applyAlignment="1">
      <alignment horizontal="left" vertical="center" wrapText="1"/>
    </xf>
    <xf numFmtId="0" fontId="4" fillId="0" borderId="17" xfId="0" applyFont="1" applyBorder="1" applyAlignment="1">
      <alignment horizontal="center" vertical="center" wrapText="1"/>
    </xf>
    <xf numFmtId="0" fontId="9" fillId="0" borderId="17"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4" fillId="0" borderId="7" xfId="0" applyFont="1" applyBorder="1" applyAlignment="1">
      <alignment vertical="center" wrapText="1"/>
    </xf>
    <xf numFmtId="0" fontId="4" fillId="0" borderId="0" xfId="0" applyFont="1" applyAlignment="1">
      <alignment vertical="center" wrapText="1"/>
    </xf>
    <xf numFmtId="0" fontId="4" fillId="0" borderId="8" xfId="0" applyFont="1" applyBorder="1" applyAlignment="1">
      <alignment vertical="center" wrapText="1"/>
    </xf>
    <xf numFmtId="0" fontId="4" fillId="0" borderId="7" xfId="0" applyFont="1" applyBorder="1" applyAlignment="1">
      <alignment horizontal="left" vertical="center" wrapText="1"/>
    </xf>
    <xf numFmtId="0" fontId="4" fillId="0" borderId="0" xfId="0" applyFont="1" applyAlignment="1">
      <alignment horizontal="left" vertical="center" wrapText="1"/>
    </xf>
    <xf numFmtId="0" fontId="4" fillId="0" borderId="8" xfId="0" applyFont="1" applyBorder="1" applyAlignment="1">
      <alignment horizontal="left" vertical="center" wrapText="1"/>
    </xf>
    <xf numFmtId="0" fontId="14" fillId="6" borderId="4" xfId="0" applyFont="1" applyFill="1" applyBorder="1" applyAlignment="1">
      <alignment horizontal="center" vertical="center" wrapText="1"/>
    </xf>
    <xf numFmtId="0" fontId="14" fillId="6" borderId="6" xfId="0" applyFont="1" applyFill="1" applyBorder="1" applyAlignment="1">
      <alignment horizontal="center" vertical="center" wrapText="1"/>
    </xf>
    <xf numFmtId="0" fontId="3" fillId="0" borderId="7" xfId="0" applyFont="1" applyBorder="1" applyAlignment="1">
      <alignment vertical="center" wrapText="1"/>
    </xf>
    <xf numFmtId="0" fontId="3" fillId="0" borderId="0" xfId="0" applyFont="1" applyAlignment="1">
      <alignment vertical="center" wrapText="1"/>
    </xf>
    <xf numFmtId="0" fontId="3" fillId="0" borderId="8" xfId="0" applyFont="1" applyBorder="1" applyAlignment="1">
      <alignment vertical="center" wrapText="1"/>
    </xf>
    <xf numFmtId="0" fontId="4" fillId="0" borderId="7" xfId="0" applyFont="1" applyBorder="1" applyAlignment="1">
      <alignment horizontal="center" vertical="center"/>
    </xf>
    <xf numFmtId="0" fontId="4" fillId="0" borderId="0" xfId="0" applyFont="1" applyAlignment="1">
      <alignment horizontal="center" vertical="center"/>
    </xf>
    <xf numFmtId="0" fontId="4" fillId="0" borderId="8" xfId="0" applyFont="1" applyBorder="1" applyAlignment="1">
      <alignment horizontal="center" vertical="center"/>
    </xf>
    <xf numFmtId="0" fontId="19" fillId="0" borderId="0" xfId="0" applyFont="1" applyAlignment="1">
      <alignment horizontal="center"/>
    </xf>
    <xf numFmtId="0" fontId="5" fillId="4" borderId="1" xfId="0" applyFont="1" applyFill="1" applyBorder="1" applyAlignment="1">
      <alignment horizontal="center"/>
    </xf>
    <xf numFmtId="0" fontId="5" fillId="4" borderId="4" xfId="0" applyFont="1" applyFill="1" applyBorder="1" applyAlignment="1">
      <alignment horizontal="center"/>
    </xf>
    <xf numFmtId="0" fontId="5" fillId="4" borderId="5" xfId="0" applyFont="1" applyFill="1" applyBorder="1" applyAlignment="1">
      <alignment horizontal="center"/>
    </xf>
    <xf numFmtId="0" fontId="5" fillId="4" borderId="6" xfId="0" applyFont="1" applyFill="1" applyBorder="1" applyAlignment="1">
      <alignment horizontal="center"/>
    </xf>
    <xf numFmtId="0" fontId="3" fillId="0" borderId="0" xfId="0" applyFont="1" applyAlignment="1">
      <alignment horizontal="center"/>
    </xf>
  </cellXfs>
  <cellStyles count="1">
    <cellStyle name="Normal" xfId="0" builtinId="0"/>
  </cellStyles>
  <dxfs count="179">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78"/>
    </tableStyle>
    <tableStyle name="Estilo de tabla 2" pivot="0" count="1" xr9:uid="{C6F8D6C6-DD7E-42E8-8328-19C722F9F97F}">
      <tableStyleElement type="wholeTable" dxfId="177"/>
    </tableStyle>
    <tableStyle name="Estilo de tabla 3" pivot="0" count="1" xr9:uid="{BD8219D8-F95E-4ADD-BD98-5883EDA7E91C}">
      <tableStyleElement type="headerRow" dxfId="176"/>
    </tableStyle>
  </tableStyles>
  <colors>
    <mruColors>
      <color rgb="FF0F385A"/>
      <color rgb="FF1FB2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B2A92B26-EF0C-4878-B50A-6837C8B938F9}" name="Tabla33103" displayName="Tabla33103" ref="B1:B38" totalsRowShown="0" headerRowDxfId="175" dataDxfId="174">
  <autoFilter ref="B1:B38" xr:uid="{B2A92B26-EF0C-4878-B50A-6837C8B938F9}"/>
  <sortState xmlns:xlrd2="http://schemas.microsoft.com/office/spreadsheetml/2017/richdata2" ref="B2:B38">
    <sortCondition ref="B1:B38"/>
  </sortState>
  <tableColumns count="1">
    <tableColumn id="1" xr3:uid="{29152045-E0EB-4BF0-98F0-61C280340B30}" name="Verbos Competencias" dataDxfId="17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headerRowDxfId="172" dataDxfId="171">
  <autoFilter ref="A3:A7" xr:uid="{48FC5A9A-4920-4623-A07A-3CF9371DCF4A}"/>
  <tableColumns count="1">
    <tableColumn id="1" xr3:uid="{63D540FA-82EB-4145-8DC7-B519D8CD7CC0}" name="Taxonomías" dataDxfId="170"/>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69" dataDxfId="168">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6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66" dataDxfId="165">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6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63" dataDxfId="162">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16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160" dataDxfId="159">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15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157" dataDxfId="156">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15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154" dataDxfId="153">
  <autoFilter ref="AQ4:AQ21" xr:uid="{1D29FBDA-C4C7-4802-9945-B1136AA1A5B6}"/>
  <sortState xmlns:xlrd2="http://schemas.microsoft.com/office/spreadsheetml/2017/richdata2" ref="AQ5:AQ21">
    <sortCondition ref="AQ5:AQ21"/>
  </sortState>
  <tableColumns count="1">
    <tableColumn id="1" xr3:uid="{695E3FF0-9053-4D06-82E6-12950FD1BCA1}" name="CrearLK" dataDxfId="15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151" dataDxfId="150">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149"/>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2" totalsRowShown="0" headerRowDxfId="148" dataDxfId="147">
  <autoFilter ref="T3:T42" xr:uid="{91DAFDAE-F212-4BAF-BC19-DDD22FBAA62D}"/>
  <sortState xmlns:xlrd2="http://schemas.microsoft.com/office/spreadsheetml/2017/richdata2" ref="T4:T42">
    <sortCondition ref="T4:T42"/>
  </sortState>
  <tableColumns count="1">
    <tableColumn id="1" xr3:uid="{BE0B8AE9-98EE-44F6-8C48-260F8C2558A0}" name="ComprensiónBAK" dataDxfId="146"/>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3" totalsRowShown="0" headerRowDxfId="145" dataDxfId="144">
  <autoFilter ref="U3:U43" xr:uid="{B1A040A9-8CFD-4596-8FBC-27FD56392945}"/>
  <sortState xmlns:xlrd2="http://schemas.microsoft.com/office/spreadsheetml/2017/richdata2" ref="U4:U43">
    <sortCondition ref="U4:U43"/>
  </sortState>
  <tableColumns count="1">
    <tableColumn id="1" xr3:uid="{37523E1E-21F0-4AD5-AE5F-B4C6B322C81C}" name="AplicaciónBAK" dataDxfId="143"/>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142" dataDxfId="141">
  <autoFilter ref="V3:V36" xr:uid="{2AA761F5-FCA1-4A0B-90D8-1C642DDF1D1A}"/>
  <sortState xmlns:xlrd2="http://schemas.microsoft.com/office/spreadsheetml/2017/richdata2" ref="V4:V36">
    <sortCondition ref="V4:V36"/>
  </sortState>
  <tableColumns count="1">
    <tableColumn id="1" xr3:uid="{AF14FE7A-A899-43F9-A3C0-8119863088B1}" name="AnálisisBAK" dataDxfId="140"/>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139" dataDxfId="138">
  <autoFilter ref="W3:W63" xr:uid="{F6A45780-86A0-4428-88DB-1A555C4970E6}"/>
  <sortState xmlns:xlrd2="http://schemas.microsoft.com/office/spreadsheetml/2017/richdata2" ref="W4:W63">
    <sortCondition ref="W4:W63"/>
  </sortState>
  <tableColumns count="1">
    <tableColumn id="1" xr3:uid="{8D1F3CAA-A929-411E-B3AB-90C77CB5BC14}" name="SíntesisBAK" dataDxfId="137"/>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6" totalsRowShown="0" headerRowDxfId="136" dataDxfId="135">
  <autoFilter ref="X3:X66" xr:uid="{3245156A-EE8E-4F9F-B3E3-F1F013A29E6E}"/>
  <sortState xmlns:xlrd2="http://schemas.microsoft.com/office/spreadsheetml/2017/richdata2" ref="X4:X66">
    <sortCondition ref="X4:X66"/>
  </sortState>
  <tableColumns count="1">
    <tableColumn id="1" xr3:uid="{D08EDAAB-166E-48F7-9B09-46F65D2F2270}" name="EvaluaciónBAK" dataDxfId="134"/>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133" dataDxfId="132">
  <autoFilter ref="Y3:Y52" xr:uid="{0C46EE9B-0911-4522-BB5D-1931406AB4AB}"/>
  <sortState xmlns:xlrd2="http://schemas.microsoft.com/office/spreadsheetml/2017/richdata2" ref="Y4:Y52">
    <sortCondition ref="Y3:Y52"/>
  </sortState>
  <tableColumns count="1">
    <tableColumn id="1" xr3:uid="{CDE7758F-9A83-44EB-B2E4-CC670F5593B8}" name="ImitaciónBAK" dataDxfId="131"/>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0" totalsRowShown="0" headerRowDxfId="130" dataDxfId="129">
  <autoFilter ref="Z3:Z40" xr:uid="{300A78DD-9219-4A2F-A2DA-93669B9B6AF3}"/>
  <tableColumns count="1">
    <tableColumn id="1" xr3:uid="{3C407CCE-B486-4656-BA81-116BE1090143}" name="ManipulaciónBAK" dataDxfId="128"/>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68" totalsRowShown="0" headerRowDxfId="127" dataDxfId="126">
  <autoFilter ref="AA3:AA68" xr:uid="{6877FA86-1F49-4E2D-9448-AFF0346B8BB8}"/>
  <sortState xmlns:xlrd2="http://schemas.microsoft.com/office/spreadsheetml/2017/richdata2" ref="AA4:AA68">
    <sortCondition ref="AA3:AA68"/>
  </sortState>
  <tableColumns count="1">
    <tableColumn id="1" xr3:uid="{D21AF291-1BAF-43EA-AFD3-DAFB2D955E09}" name="PrecisiónBAK" dataDxfId="125"/>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2" totalsRowShown="0" headerRowDxfId="124" dataDxfId="123">
  <autoFilter ref="AB3:AB62" xr:uid="{FD38FA61-1361-4EA5-A764-8E58B96581E9}"/>
  <sortState xmlns:xlrd2="http://schemas.microsoft.com/office/spreadsheetml/2017/richdata2" ref="AB4:AB62">
    <sortCondition ref="AB3:AB62"/>
  </sortState>
  <tableColumns count="1">
    <tableColumn id="1" xr3:uid="{982D722A-3D7A-4AAD-A2DF-5EE8DF5E4D9D}" name="ControlBAK" dataDxfId="122"/>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121" dataDxfId="120">
  <autoFilter ref="AC3:AC43" xr:uid="{503448E5-D0D5-4B82-B461-0CD544CE9D23}"/>
  <sortState xmlns:xlrd2="http://schemas.microsoft.com/office/spreadsheetml/2017/richdata2" ref="AC4:AC43">
    <sortCondition ref="AC3:AC43"/>
  </sortState>
  <tableColumns count="1">
    <tableColumn id="1" xr3:uid="{03441D59-E383-407F-99E2-74596636CEF0}" name="PercepciónBAK" dataDxfId="119"/>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3" totalsRowShown="0" headerRowDxfId="118" dataDxfId="117">
  <autoFilter ref="AD3:AD33" xr:uid="{08B46976-D2F4-4AEA-B0BA-6ECF06521BA8}"/>
  <sortState xmlns:xlrd2="http://schemas.microsoft.com/office/spreadsheetml/2017/richdata2" ref="AD4:AD33">
    <sortCondition ref="AD3:AD33"/>
  </sortState>
  <tableColumns count="1">
    <tableColumn id="1" xr3:uid="{0C49A45E-6C59-4AAB-BD6C-F53324766649}" name="ResponderBAK" dataDxfId="116"/>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8" totalsRowShown="0" headerRowDxfId="115" dataDxfId="114">
  <autoFilter ref="AE3:AE38" xr:uid="{49448539-0C4F-43C9-9924-5A219B16757C}"/>
  <sortState xmlns:xlrd2="http://schemas.microsoft.com/office/spreadsheetml/2017/richdata2" ref="AE4:AE38">
    <sortCondition ref="AE3:AE38"/>
  </sortState>
  <tableColumns count="1">
    <tableColumn id="1" xr3:uid="{E2890547-6570-4474-811E-70109D5F5465}" name="ValorarBAK" dataDxfId="113"/>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112" dataDxfId="111">
  <autoFilter ref="AF3:AF29" xr:uid="{21E76DB2-0E8B-466D-A413-2ABD524DDEEA}"/>
  <sortState xmlns:xlrd2="http://schemas.microsoft.com/office/spreadsheetml/2017/richdata2" ref="AF4:AF29">
    <sortCondition ref="AF3:AF29"/>
  </sortState>
  <tableColumns count="1">
    <tableColumn id="1" xr3:uid="{674DA899-A4D0-4618-B839-C8613BA61338}" name="OrganizarBAK" dataDxfId="110"/>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29" totalsRowShown="0" headerRowDxfId="109" dataDxfId="108">
  <autoFilter ref="AG3:AG29" xr:uid="{835318B2-CEAD-4A84-8E6B-21115489F3F9}"/>
  <sortState xmlns:xlrd2="http://schemas.microsoft.com/office/spreadsheetml/2017/richdata2" ref="AG4:AG29">
    <sortCondition ref="AG3:AG29"/>
  </sortState>
  <tableColumns count="1">
    <tableColumn id="1" xr3:uid="{C98AB4FD-C9CE-4966-B509-E36C390C09C7}" name="CaracterizarBAK" dataDxfId="107"/>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106" dataDxfId="105">
  <autoFilter ref="L3:L45" xr:uid="{9E4643CC-87B6-4485-9E83-A8ED35E11905}"/>
  <sortState xmlns:xlrd2="http://schemas.microsoft.com/office/spreadsheetml/2017/richdata2" ref="L4:L45">
    <sortCondition ref="L4:L45"/>
  </sortState>
  <tableColumns count="1">
    <tableColumn id="1" xr3:uid="{29725637-71B1-4F7E-96A8-CB90D5C646B2}" name="ConocimientoB" dataDxfId="104"/>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103" dataDxfId="102">
  <autoFilter ref="M3:M42" xr:uid="{C726BD4C-A167-44A9-8F1B-6936952A7A59}"/>
  <sortState xmlns:xlrd2="http://schemas.microsoft.com/office/spreadsheetml/2017/richdata2" ref="M4:M42">
    <sortCondition ref="M4:M42"/>
  </sortState>
  <tableColumns count="1">
    <tableColumn id="1" xr3:uid="{302CEF3F-D9B7-44E2-B341-CAA4B0E1BEB1}" name="ComprensiónB" dataDxfId="101"/>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100" dataDxfId="99">
  <autoFilter ref="N3:N43" xr:uid="{85965F80-D722-4217-9624-BAE055366227}"/>
  <sortState xmlns:xlrd2="http://schemas.microsoft.com/office/spreadsheetml/2017/richdata2" ref="N4:N43">
    <sortCondition ref="N4:N43"/>
  </sortState>
  <tableColumns count="1">
    <tableColumn id="1" xr3:uid="{8CDFD0B2-187A-490F-B898-52C789C626A8}" name="AplicaciónB" dataDxfId="98"/>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97" dataDxfId="96">
  <autoFilter ref="O3:O36" xr:uid="{4F44782F-9CE2-445E-8EAA-F5D6BC4CE9FF}"/>
  <sortState xmlns:xlrd2="http://schemas.microsoft.com/office/spreadsheetml/2017/richdata2" ref="O4:O36">
    <sortCondition ref="O4:O36"/>
  </sortState>
  <tableColumns count="1">
    <tableColumn id="1" xr3:uid="{7941CE9F-DC23-4AFF-A5EC-374F0F21BBEB}" name="AnálisisB" dataDxfId="95"/>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94" dataDxfId="93">
  <autoFilter ref="P3:P63" xr:uid="{8357A631-F2AC-40DB-8ACA-80F00DED06A3}"/>
  <sortState xmlns:xlrd2="http://schemas.microsoft.com/office/spreadsheetml/2017/richdata2" ref="P4:P63">
    <sortCondition ref="P4:P63"/>
  </sortState>
  <tableColumns count="1">
    <tableColumn id="1" xr3:uid="{E9C49887-DB96-4751-9494-F1CFAE7E02AD}" name="SíntesisB" dataDxfId="92"/>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91" dataDxfId="90">
  <autoFilter ref="Q3:Q66" xr:uid="{141F631B-4F40-430C-9880-8A1F264F50D0}"/>
  <sortState xmlns:xlrd2="http://schemas.microsoft.com/office/spreadsheetml/2017/richdata2" ref="Q4:Q66">
    <sortCondition ref="Q4:Q66"/>
  </sortState>
  <tableColumns count="1">
    <tableColumn id="1" xr3:uid="{42FB5979-4CFB-474A-948A-4C9E2A15A2FA}" name="EvaluaciónB" dataDxfId="89"/>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88" dataDxfId="87">
  <autoFilter ref="E3:E6" xr:uid="{284779C2-7F70-4C90-85C0-9E3404733D87}"/>
  <tableColumns count="1">
    <tableColumn id="1" xr3:uid="{CE47A420-A4CC-4416-8E2B-4A40C2078194}" name="MK" dataDxfId="86"/>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85" dataDxfId="84">
  <autoFilter ref="D3:D7" xr:uid="{0359C141-9677-47C3-845D-242D3C20A7BD}"/>
  <tableColumns count="1">
    <tableColumn id="1" xr3:uid="{027F3234-EBF7-434A-A95C-3D90248F7600}" name="AK" dataDxfId="83"/>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82" dataDxfId="81">
  <autoFilter ref="C3:C6" xr:uid="{60F5C8CF-3F5B-45A8-90A3-91960BC0CC3F}"/>
  <tableColumns count="1">
    <tableColumn id="1" xr3:uid="{7261A279-5B41-48E2-A232-E66D4B2C997C}" name="BAK" dataDxfId="80"/>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headerRowDxfId="79" dataDxfId="78">
  <autoFilter ref="I3:I9" xr:uid="{46409B6B-E133-4AC9-A20A-4A73C6DBD813}"/>
  <tableColumns count="1">
    <tableColumn id="1" xr3:uid="{12B3014A-6B1D-4C6D-9FA4-0161E9656EA6}" name="ActitudinalB" dataDxfId="77"/>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headerRowDxfId="76" dataDxfId="75">
  <autoFilter ref="H3:H9" xr:uid="{4FBECC47-261F-41D0-B554-ADEA02FBDD3E}"/>
  <tableColumns count="1">
    <tableColumn id="1" xr3:uid="{D263AD73-E936-424B-80A9-E791CCE4D60C}" name="ProcedimentalB" dataDxfId="74"/>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headerRowDxfId="73" dataDxfId="72">
  <autoFilter ref="G3:G9" xr:uid="{E7A59938-F7EA-457A-87F1-AA0873A8FDA8}"/>
  <tableColumns count="1">
    <tableColumn id="1" xr3:uid="{9BE87125-AAAE-4780-B69A-FA583B2B341A}" name="CognitivoB" dataDxfId="71"/>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headerRowDxfId="70" dataDxfId="69">
  <autoFilter ref="G11:G17" xr:uid="{FB5563E9-3423-496B-A7C6-740A8638246F}"/>
  <tableColumns count="1">
    <tableColumn id="1" xr3:uid="{D2F8054E-C594-43A9-96F5-5294D078E620}" name="CognitivoAK" dataDxfId="68"/>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headerRowDxfId="67" dataDxfId="66">
  <autoFilter ref="H11:H17" xr:uid="{5235961D-4B2F-4CB8-AC75-46CF8A859099}"/>
  <tableColumns count="1">
    <tableColumn id="1" xr3:uid="{DF3A0232-2B49-4FF7-B62E-7F56B2A16095}" name="ConceptosAK" dataDxfId="65"/>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headerRowDxfId="64" dataDxfId="63">
  <autoFilter ref="I11:I17" xr:uid="{74EFBE03-70FE-4E61-AF1A-7CAE74394FB0}"/>
  <tableColumns count="1">
    <tableColumn id="1" xr3:uid="{02D20833-4DB8-415C-A919-A0178DA3CC95}" name="ProcedimientosAK" dataDxfId="62"/>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headerRowDxfId="61" dataDxfId="60">
  <autoFilter ref="J11:J17" xr:uid="{01D445B2-006B-45B1-9326-AB65B144ABD8}"/>
  <tableColumns count="1">
    <tableColumn id="1" xr3:uid="{B548BB39-2B40-4E98-AE24-D564B24A0831}" name="MetacogniciónAK" dataDxfId="59"/>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InformaciónMK" displayName="InformaciónMK" ref="G19:G25" totalsRowShown="0" headerRowDxfId="58" dataDxfId="57">
  <autoFilter ref="G19:G25" xr:uid="{8F99EDF7-BECB-4CB8-94CB-15DEF8DBE8E0}"/>
  <tableColumns count="1">
    <tableColumn id="1" xr3:uid="{995D4B7F-2557-48EF-AE97-D4FE09E63D59}" name="InformaciónMK" dataDxfId="56"/>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ProcesosMentalesMK" displayName="ProcesosMentalesMK" ref="H19:H25" totalsRowShown="0" headerRowDxfId="55" dataDxfId="54">
  <autoFilter ref="H19:H25" xr:uid="{DFB0C1EA-F7F7-4443-9626-BCD7D06ACAA7}"/>
  <tableColumns count="1">
    <tableColumn id="1" xr3:uid="{977268A2-A618-4E2F-BE67-44E018AA2B3D}" name="ProcesosMentalesMK" dataDxfId="53"/>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headerRowDxfId="52" dataDxfId="51">
  <autoFilter ref="I19:I25" xr:uid="{AC2042AB-A078-4FDF-91CA-322668C40EBE}"/>
  <tableColumns count="1">
    <tableColumn id="1" xr3:uid="{AAE35896-9168-4715-8D56-25997B0AB9C8}" name="PsicomotorMK" dataDxfId="50"/>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BB4:BB28" totalsRowShown="0" headerRowDxfId="49" dataDxfId="48" tableBorderDxfId="47">
  <autoFilter ref="BB4:BB28" xr:uid="{538ED7E5-6B58-402B-94DF-D07C13DE2D9E}"/>
  <sortState xmlns:xlrd2="http://schemas.microsoft.com/office/spreadsheetml/2017/richdata2" ref="BB5:BB28">
    <sortCondition ref="BB5:BB28"/>
  </sortState>
  <tableColumns count="1">
    <tableColumn id="1" xr3:uid="{BBBA71C3-D37D-42D2-B57F-3792E560AED8}" name="RecuperaciónMK" dataDxfId="46"/>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BC4:BC56" totalsRowShown="0" headerRowDxfId="45" dataDxfId="44">
  <autoFilter ref="BC4:BC56" xr:uid="{0217E0C4-2DD9-4417-BE26-3FF0FF3F395D}"/>
  <sortState xmlns:xlrd2="http://schemas.microsoft.com/office/spreadsheetml/2017/richdata2" ref="BC5:BC56">
    <sortCondition ref="BC5:BC56"/>
  </sortState>
  <tableColumns count="1">
    <tableColumn id="1" xr3:uid="{EEF7A2C9-904A-475E-B946-D75F88E5CF1A}" name="ComprensiónMK" dataDxfId="43"/>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BD4:BD108" totalsRowShown="0" headerRowDxfId="42" dataDxfId="41" tableBorderDxfId="40">
  <autoFilter ref="BD4:BD108" xr:uid="{522023D2-447B-4863-8827-33272C577B77}"/>
  <sortState xmlns:xlrd2="http://schemas.microsoft.com/office/spreadsheetml/2017/richdata2" ref="BD5:BD108">
    <sortCondition ref="BD5:BD108"/>
  </sortState>
  <tableColumns count="1">
    <tableColumn id="1" xr3:uid="{9344A526-D889-455B-8393-6E992E4F8707}" name="AnálisisMK" dataDxfId="39"/>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BE4:BE70" totalsRowShown="0" headerRowDxfId="38" dataDxfId="37" tableBorderDxfId="36">
  <autoFilter ref="BE4:BE70" xr:uid="{6AB46F11-6BD0-4EBD-B99F-F1D1FC283558}"/>
  <sortState xmlns:xlrd2="http://schemas.microsoft.com/office/spreadsheetml/2017/richdata2" ref="BE5:BE70">
    <sortCondition ref="BE5:BE70"/>
  </sortState>
  <tableColumns count="1">
    <tableColumn id="1" xr3:uid="{9B864D54-9851-4B93-B3C8-06FA6FD5E1D3}" name="UsoConocimientoMK" dataDxfId="35"/>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BF4:BF92" totalsRowShown="0" headerRowDxfId="34" dataDxfId="33" tableBorderDxfId="32">
  <autoFilter ref="BF4:BF92" xr:uid="{5C094C7C-8551-4EC0-B36D-BC7DA6369C48}"/>
  <sortState xmlns:xlrd2="http://schemas.microsoft.com/office/spreadsheetml/2017/richdata2" ref="BF5:BF92">
    <sortCondition ref="BF5:BF92"/>
  </sortState>
  <tableColumns count="1">
    <tableColumn id="1" xr3:uid="{02A922E1-8BFE-426F-8C44-897F7B4F7498}" name="MetacogniciónMK" dataDxfId="31"/>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BG4:BG87" totalsRowShown="0" headerRowDxfId="30" dataDxfId="29" tableBorderDxfId="28">
  <autoFilter ref="BG4:BG87" xr:uid="{E028CBBA-0913-46A4-9A7A-1484F73BB293}"/>
  <tableColumns count="1">
    <tableColumn id="1" xr3:uid="{0478638C-EFB5-452E-960C-8B4E2E4D8F5A}" name="SistemadelYoMK" dataDxfId="27"/>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3AEC37-2B83-41E3-AA53-B1C4C9AAFED6}" name="Tabla11682" displayName="Tabla11682" ref="AR4:AR53" totalsRowShown="0" headerRowDxfId="26" dataDxfId="25">
  <autoFilter ref="AR4:AR53" xr:uid="{A93AEC37-2B83-41E3-AA53-B1C4C9AAFED6}"/>
  <tableColumns count="1">
    <tableColumn id="1" xr3:uid="{BC599931-18FB-493B-998F-5EBFDA26F99A}" name="ImitaciónBAK" dataDxfId="24"/>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6786D6-3072-4AED-9E96-46E6FBDF3D96}" name="Tabla30694" displayName="Tabla30694" ref="AS4:AS41" totalsRowShown="0" headerRowDxfId="23" dataDxfId="22">
  <autoFilter ref="AS4:AS41" xr:uid="{5F6786D6-3072-4AED-9E96-46E6FBDF3D96}"/>
  <tableColumns count="1">
    <tableColumn id="1" xr3:uid="{7541B21B-5B3A-458E-99AA-6AC7DBF28BEC}" name="ManipulaciónBAK" dataDxfId="21"/>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139879-F39C-4F39-932E-1A47FC0092F6}" name="Tabla41706" displayName="Tabla41706" ref="AT4:AT69" totalsRowShown="0" headerRowDxfId="20" dataDxfId="19">
  <autoFilter ref="AT4:AT69" xr:uid="{BA139879-F39C-4F39-932E-1A47FC0092F6}"/>
  <tableColumns count="1">
    <tableColumn id="1" xr3:uid="{CEE9D729-59A2-41C0-AF9F-CCA72DF4F138}" name="PrecisiónBAK" dataDxfId="18"/>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D6BCE83-DCD0-4239-95CE-6A6A7A146442}" name="Tabla42717" displayName="Tabla42717" ref="AU4:AU63" totalsRowShown="0" headerRowDxfId="17" dataDxfId="16">
  <autoFilter ref="AU4:AU63" xr:uid="{9D6BCE83-DCD0-4239-95CE-6A6A7A146442}"/>
  <tableColumns count="1">
    <tableColumn id="1" xr3:uid="{A6259F30-12C1-4C84-9ECA-D290C3094A76}" name="ControlBAK" dataDxfId="15"/>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3318784-679D-484B-A0F4-4662B63A05DE}" name="Tabla437218" displayName="Tabla437218" ref="AV4:AV44" totalsRowShown="0" headerRowDxfId="14" dataDxfId="13">
  <autoFilter ref="AV4:AV44" xr:uid="{13318784-679D-484B-A0F4-4662B63A05DE}"/>
  <tableColumns count="1">
    <tableColumn id="1" xr3:uid="{30F45F34-6591-419F-827C-BF81F08B96E2}" name="PercepciónBAK" dataDxfId="12"/>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21176BB-02DC-4671-9FA9-797A042C6481}" name="Tabla447319" displayName="Tabla447319" ref="AW4:AW34" totalsRowShown="0" headerRowDxfId="11" dataDxfId="10">
  <autoFilter ref="AW4:AW34" xr:uid="{721176BB-02DC-4671-9FA9-797A042C6481}"/>
  <tableColumns count="1">
    <tableColumn id="1" xr3:uid="{F605F378-67F2-4F23-8E79-B8A90607E39A}" name="ResponderBAK" dataDxfId="9"/>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6EE921D-2080-42C6-AD5D-D4AB16D41154}" name="Tabla457420" displayName="Tabla457420" ref="AX4:AX39" totalsRowShown="0" headerRowDxfId="8" dataDxfId="7">
  <autoFilter ref="AX4:AX39" xr:uid="{26EE921D-2080-42C6-AD5D-D4AB16D41154}"/>
  <tableColumns count="1">
    <tableColumn id="1" xr3:uid="{686D7ECA-9035-4891-94AC-7D1EEE0CA2FF}" name="ValorarBAK" dataDxfId="6"/>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2FD5F7B-4A17-40C0-AA00-7F903470FD5C}" name="Tabla467521" displayName="Tabla467521" ref="AY4:AY30" totalsRowShown="0" headerRowDxfId="5" dataDxfId="4">
  <autoFilter ref="AY4:AY30" xr:uid="{C2FD5F7B-4A17-40C0-AA00-7F903470FD5C}"/>
  <tableColumns count="1">
    <tableColumn id="1" xr3:uid="{D6CB45EB-499A-4E4F-AC0E-DC20DF7271A5}" name="OrganizarBAK" dataDxfId="3"/>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6D5E08D-ACF9-4A74-B1D2-CD9F4DF55DB1}" name="Tabla477622" displayName="Tabla477622" ref="AZ4:AZ30" totalsRowShown="0" headerRowDxfId="2" dataDxfId="1">
  <autoFilter ref="AZ4:AZ30" xr:uid="{F6D5E08D-ACF9-4A74-B1D2-CD9F4DF55DB1}"/>
  <tableColumns count="1">
    <tableColumn id="1" xr3:uid="{016529B9-A15E-4EE4-B1CE-6BB660F0619F}" name="CaracterizarB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50" Type="http://schemas.openxmlformats.org/officeDocument/2006/relationships/table" Target="../tables/table50.xml"/><Relationship Id="rId55" Type="http://schemas.openxmlformats.org/officeDocument/2006/relationships/table" Target="../tables/table55.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3" Type="http://schemas.openxmlformats.org/officeDocument/2006/relationships/table" Target="../tables/table53.xml"/><Relationship Id="rId58" Type="http://schemas.openxmlformats.org/officeDocument/2006/relationships/comments" Target="../comments6.xml"/><Relationship Id="rId5" Type="http://schemas.openxmlformats.org/officeDocument/2006/relationships/table" Target="../tables/table5.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56" Type="http://schemas.openxmlformats.org/officeDocument/2006/relationships/table" Target="../tables/table56.xml"/><Relationship Id="rId8" Type="http://schemas.openxmlformats.org/officeDocument/2006/relationships/table" Target="../tables/table8.xml"/><Relationship Id="rId51" Type="http://schemas.openxmlformats.org/officeDocument/2006/relationships/table" Target="../tables/table51.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54" Type="http://schemas.openxmlformats.org/officeDocument/2006/relationships/table" Target="../tables/table54.xml"/><Relationship Id="rId1" Type="http://schemas.openxmlformats.org/officeDocument/2006/relationships/vmlDrawing" Target="../drawings/vmlDrawing6.vml"/><Relationship Id="rId6" Type="http://schemas.openxmlformats.org/officeDocument/2006/relationships/table" Target="../tables/table6.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table" Target="../tables/table49.xml"/><Relationship Id="rId57" Type="http://schemas.openxmlformats.org/officeDocument/2006/relationships/table" Target="../tables/table57.xml"/><Relationship Id="rId10" Type="http://schemas.openxmlformats.org/officeDocument/2006/relationships/table" Target="../tables/table10.xml"/><Relationship Id="rId31" Type="http://schemas.openxmlformats.org/officeDocument/2006/relationships/table" Target="../tables/table31.xml"/><Relationship Id="rId44" Type="http://schemas.openxmlformats.org/officeDocument/2006/relationships/table" Target="../tables/table44.xml"/><Relationship Id="rId52" Type="http://schemas.openxmlformats.org/officeDocument/2006/relationships/table" Target="../tables/table5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2"/>
  <sheetViews>
    <sheetView topLeftCell="A3" zoomScaleNormal="100" workbookViewId="0"/>
  </sheetViews>
  <sheetFormatPr baseColWidth="10" defaultColWidth="76.26953125" defaultRowHeight="16.5" x14ac:dyDescent="0.5"/>
  <cols>
    <col min="1" max="1" width="19.7265625" style="3" customWidth="1"/>
    <col min="2" max="2" width="16.7265625" style="3" customWidth="1"/>
    <col min="3" max="4" width="61.6328125" style="3" customWidth="1"/>
    <col min="5" max="5" width="37.36328125" style="3" customWidth="1"/>
    <col min="6" max="6" width="37.36328125" style="1" customWidth="1"/>
    <col min="7" max="7" width="41.7265625" style="1" customWidth="1"/>
    <col min="8" max="8" width="57.81640625" style="3" customWidth="1"/>
    <col min="9" max="9" width="66.26953125" style="3" customWidth="1"/>
    <col min="10" max="10" width="49.453125" style="3" customWidth="1"/>
    <col min="11" max="11" width="74.453125" style="3" customWidth="1"/>
    <col min="12" max="16384" width="76.26953125" style="3"/>
  </cols>
  <sheetData>
    <row r="1" spans="1:11" ht="42.5" x14ac:dyDescent="0.5">
      <c r="A1" s="34" t="s">
        <v>0</v>
      </c>
      <c r="B1" s="34" t="s">
        <v>1</v>
      </c>
      <c r="C1" s="34" t="s">
        <v>2</v>
      </c>
      <c r="D1" s="34" t="s">
        <v>3</v>
      </c>
      <c r="E1" s="77" t="s">
        <v>4</v>
      </c>
      <c r="F1" s="77"/>
      <c r="G1" s="77"/>
      <c r="H1" s="77" t="s">
        <v>5</v>
      </c>
      <c r="I1" s="77"/>
      <c r="J1" s="77"/>
      <c r="K1" s="35" t="s">
        <v>6</v>
      </c>
    </row>
    <row r="2" spans="1:11" s="4" customFormat="1" x14ac:dyDescent="0.5">
      <c r="A2" s="32" t="s">
        <v>7</v>
      </c>
      <c r="B2" s="32" t="s">
        <v>8</v>
      </c>
      <c r="C2" s="32" t="s">
        <v>9</v>
      </c>
      <c r="D2" s="32" t="s">
        <v>10</v>
      </c>
      <c r="E2" s="33" t="s">
        <v>11</v>
      </c>
      <c r="F2" s="33" t="s">
        <v>12</v>
      </c>
      <c r="G2" s="33" t="s">
        <v>13</v>
      </c>
      <c r="H2" s="36" t="s">
        <v>14</v>
      </c>
      <c r="I2" s="36" t="s">
        <v>15</v>
      </c>
      <c r="J2" s="36" t="s">
        <v>602</v>
      </c>
      <c r="K2" s="36" t="s">
        <v>16</v>
      </c>
    </row>
    <row r="3" spans="1:11" s="6" customFormat="1" ht="91" customHeight="1" x14ac:dyDescent="0.35">
      <c r="A3" s="73" t="s">
        <v>581</v>
      </c>
      <c r="B3" s="73" t="s">
        <v>582</v>
      </c>
      <c r="C3" s="75" t="s">
        <v>583</v>
      </c>
      <c r="D3" s="75" t="s">
        <v>584</v>
      </c>
      <c r="E3" s="37" t="s">
        <v>585</v>
      </c>
      <c r="F3" s="37" t="s">
        <v>586</v>
      </c>
      <c r="G3" s="37" t="s">
        <v>587</v>
      </c>
      <c r="H3" s="75" t="s">
        <v>588</v>
      </c>
      <c r="I3" s="75" t="s">
        <v>589</v>
      </c>
      <c r="J3" s="75" t="s">
        <v>590</v>
      </c>
      <c r="K3" s="75" t="s">
        <v>612</v>
      </c>
    </row>
    <row r="4" spans="1:11" s="6" customFormat="1" ht="91" customHeight="1" x14ac:dyDescent="0.35">
      <c r="A4" s="74"/>
      <c r="B4" s="74"/>
      <c r="C4" s="76"/>
      <c r="D4" s="76"/>
      <c r="E4" s="5" t="s">
        <v>591</v>
      </c>
      <c r="F4" s="23" t="s">
        <v>592</v>
      </c>
      <c r="G4" s="23" t="s">
        <v>593</v>
      </c>
      <c r="H4" s="76"/>
      <c r="I4" s="76"/>
      <c r="J4" s="76"/>
      <c r="K4" s="76"/>
    </row>
    <row r="5" spans="1:11" s="6" customFormat="1" ht="91" customHeight="1" x14ac:dyDescent="0.35">
      <c r="A5" s="74"/>
      <c r="B5" s="74"/>
      <c r="C5" s="76"/>
      <c r="D5" s="76"/>
      <c r="E5" s="5" t="s">
        <v>594</v>
      </c>
      <c r="F5" s="23" t="s">
        <v>595</v>
      </c>
      <c r="G5" s="23" t="s">
        <v>596</v>
      </c>
      <c r="H5" s="76"/>
      <c r="I5" s="76"/>
      <c r="J5" s="76"/>
      <c r="K5" s="76"/>
    </row>
    <row r="6" spans="1:11" s="5" customFormat="1" x14ac:dyDescent="0.35">
      <c r="E6" s="6"/>
      <c r="F6" s="6"/>
      <c r="G6" s="24"/>
    </row>
    <row r="7" spans="1:11" x14ac:dyDescent="0.5">
      <c r="A7" s="5"/>
      <c r="B7" s="5"/>
      <c r="C7" s="7"/>
      <c r="D7" s="7"/>
      <c r="E7" s="5"/>
      <c r="F7" s="4"/>
      <c r="H7" s="4"/>
    </row>
    <row r="8" spans="1:11" x14ac:dyDescent="0.5">
      <c r="A8" s="5"/>
      <c r="B8" s="5"/>
      <c r="C8" s="7"/>
      <c r="D8" s="7"/>
      <c r="E8" s="5"/>
      <c r="F8" s="4"/>
      <c r="H8" s="4"/>
    </row>
    <row r="9" spans="1:11" x14ac:dyDescent="0.5">
      <c r="A9" s="5"/>
      <c r="B9" s="5"/>
      <c r="C9" s="7"/>
      <c r="D9" s="7"/>
      <c r="E9" s="5"/>
      <c r="F9" s="4"/>
    </row>
    <row r="10" spans="1:11" x14ac:dyDescent="0.5">
      <c r="A10" s="5"/>
      <c r="B10" s="5"/>
      <c r="C10" s="7"/>
      <c r="D10" s="7"/>
      <c r="E10" s="4"/>
      <c r="F10" s="4"/>
    </row>
    <row r="11" spans="1:11" x14ac:dyDescent="0.5">
      <c r="A11" s="5"/>
      <c r="B11" s="5"/>
      <c r="C11" s="7"/>
      <c r="D11" s="7"/>
      <c r="E11" s="4"/>
      <c r="F11" s="4"/>
    </row>
    <row r="12" spans="1:11" x14ac:dyDescent="0.5">
      <c r="A12" s="5"/>
      <c r="B12" s="5"/>
      <c r="C12" s="7"/>
      <c r="D12" s="7"/>
      <c r="E12" s="4"/>
      <c r="F12" s="4"/>
    </row>
    <row r="13" spans="1:11" x14ac:dyDescent="0.5">
      <c r="A13" s="5"/>
      <c r="B13" s="5"/>
      <c r="C13" s="7"/>
      <c r="D13" s="7"/>
      <c r="E13" s="4"/>
      <c r="F13" s="4"/>
    </row>
    <row r="14" spans="1:11" x14ac:dyDescent="0.5">
      <c r="A14" s="5"/>
      <c r="B14" s="5"/>
      <c r="C14" s="5"/>
      <c r="E14" s="4"/>
      <c r="F14" s="4"/>
    </row>
    <row r="15" spans="1:11" x14ac:dyDescent="0.5">
      <c r="A15" s="5"/>
      <c r="B15" s="5"/>
      <c r="C15" s="5"/>
      <c r="E15" s="4"/>
      <c r="F15" s="4"/>
    </row>
    <row r="16" spans="1:11" x14ac:dyDescent="0.5">
      <c r="A16" s="5"/>
      <c r="B16" s="5"/>
      <c r="C16" s="5"/>
      <c r="E16" s="4"/>
      <c r="F16" s="4"/>
    </row>
    <row r="17" spans="1:5" x14ac:dyDescent="0.5">
      <c r="A17" s="5"/>
      <c r="B17" s="5"/>
      <c r="C17" s="5"/>
      <c r="E17" s="4"/>
    </row>
    <row r="18" spans="1:5" x14ac:dyDescent="0.5">
      <c r="A18" s="5"/>
      <c r="B18" s="5"/>
      <c r="C18" s="5"/>
    </row>
    <row r="19" spans="1:5" x14ac:dyDescent="0.5">
      <c r="A19" s="5"/>
      <c r="B19" s="5"/>
      <c r="C19" s="5"/>
    </row>
    <row r="20" spans="1:5" x14ac:dyDescent="0.5">
      <c r="A20" s="5"/>
      <c r="B20" s="5"/>
      <c r="C20" s="5"/>
    </row>
    <row r="21" spans="1:5" x14ac:dyDescent="0.5">
      <c r="A21" s="5"/>
      <c r="B21" s="5"/>
      <c r="C21" s="5"/>
    </row>
    <row r="22" spans="1:5" x14ac:dyDescent="0.5">
      <c r="A22" s="5"/>
      <c r="B22" s="5"/>
      <c r="C22" s="5"/>
    </row>
  </sheetData>
  <mergeCells count="10">
    <mergeCell ref="H1:J1"/>
    <mergeCell ref="E1:G1"/>
    <mergeCell ref="D3:D5"/>
    <mergeCell ref="C3:C5"/>
    <mergeCell ref="B3:B5"/>
    <mergeCell ref="A3:A5"/>
    <mergeCell ref="H3:H5"/>
    <mergeCell ref="I3:I5"/>
    <mergeCell ref="J3:J5"/>
    <mergeCell ref="K3:K5"/>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7"/>
  <sheetViews>
    <sheetView zoomScaleNormal="100" workbookViewId="0"/>
  </sheetViews>
  <sheetFormatPr baseColWidth="10" defaultColWidth="11.453125" defaultRowHeight="16.5" x14ac:dyDescent="0.5"/>
  <cols>
    <col min="1" max="1" width="19" style="3" customWidth="1"/>
    <col min="2" max="2" width="24" style="3" customWidth="1"/>
    <col min="3" max="3" width="37.453125" style="3" customWidth="1"/>
    <col min="4" max="4" width="38.453125" style="3" customWidth="1"/>
    <col min="5" max="5" width="40.6328125" style="3" customWidth="1"/>
    <col min="6" max="6" width="105.26953125" style="3" customWidth="1"/>
    <col min="7" max="7" width="34.453125" style="3" customWidth="1"/>
    <col min="8" max="16384" width="11.453125" style="3"/>
  </cols>
  <sheetData>
    <row r="1" spans="1:7" ht="52" x14ac:dyDescent="0.5">
      <c r="A1" s="44" t="s">
        <v>17</v>
      </c>
      <c r="B1" s="45" t="s">
        <v>18</v>
      </c>
      <c r="C1" s="45" t="s">
        <v>19</v>
      </c>
      <c r="D1" s="45" t="s">
        <v>20</v>
      </c>
      <c r="E1" s="45" t="s">
        <v>21</v>
      </c>
      <c r="F1" s="46" t="s">
        <v>22</v>
      </c>
      <c r="G1" s="46" t="s">
        <v>23</v>
      </c>
    </row>
    <row r="2" spans="1:7" x14ac:dyDescent="0.5">
      <c r="A2" s="47" t="s">
        <v>24</v>
      </c>
      <c r="B2" s="48" t="s">
        <v>25</v>
      </c>
      <c r="C2" s="48" t="s">
        <v>26</v>
      </c>
      <c r="D2" s="48" t="s">
        <v>27</v>
      </c>
      <c r="E2" s="48" t="s">
        <v>28</v>
      </c>
      <c r="F2" s="49" t="s">
        <v>29</v>
      </c>
      <c r="G2" s="49" t="s">
        <v>30</v>
      </c>
    </row>
    <row r="3" spans="1:7" s="5" customFormat="1" ht="76" customHeight="1" x14ac:dyDescent="0.35">
      <c r="A3" s="7">
        <v>1</v>
      </c>
      <c r="B3" s="31" t="s">
        <v>597</v>
      </c>
      <c r="C3" s="30" t="s">
        <v>585</v>
      </c>
      <c r="D3" s="60" t="s">
        <v>586</v>
      </c>
      <c r="E3" s="60" t="s">
        <v>587</v>
      </c>
      <c r="F3" s="6" t="s">
        <v>598</v>
      </c>
      <c r="G3" s="5" t="s">
        <v>601</v>
      </c>
    </row>
    <row r="4" spans="1:7" s="5" customFormat="1" ht="76" customHeight="1" x14ac:dyDescent="0.35">
      <c r="A4" s="7">
        <v>2</v>
      </c>
      <c r="B4" s="24" t="s">
        <v>123</v>
      </c>
      <c r="C4" s="5" t="s">
        <v>591</v>
      </c>
      <c r="D4" s="23" t="s">
        <v>592</v>
      </c>
      <c r="E4" s="23" t="s">
        <v>593</v>
      </c>
      <c r="F4" s="6" t="s">
        <v>599</v>
      </c>
      <c r="G4" s="5" t="s">
        <v>601</v>
      </c>
    </row>
    <row r="5" spans="1:7" s="5" customFormat="1" ht="76" customHeight="1" x14ac:dyDescent="0.35">
      <c r="A5" s="7">
        <v>3</v>
      </c>
      <c r="B5" s="24" t="s">
        <v>117</v>
      </c>
      <c r="C5" s="5" t="s">
        <v>594</v>
      </c>
      <c r="D5" s="23" t="s">
        <v>595</v>
      </c>
      <c r="E5" s="23" t="s">
        <v>596</v>
      </c>
      <c r="F5" s="6" t="s">
        <v>600</v>
      </c>
      <c r="G5" s="5" t="s">
        <v>601</v>
      </c>
    </row>
    <row r="6" spans="1:7" x14ac:dyDescent="0.5">
      <c r="B6" s="1"/>
      <c r="D6" s="4"/>
      <c r="E6" s="1"/>
    </row>
    <row r="7" spans="1:7" x14ac:dyDescent="0.5">
      <c r="B7" s="1"/>
    </row>
  </sheetData>
  <dataValidations count="2">
    <dataValidation type="list" allowBlank="1" showInputMessage="1" showErrorMessage="1" sqref="C6:C7" xr:uid="{296160A6-FB03-49EA-93B2-DD1CAF2E1EB2}">
      <formula1>Conocimientos</formula1>
    </dataValidation>
    <dataValidation type="list" allowBlank="1" showInputMessage="1" showErrorMessage="1" sqref="B3:B7"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23A6034A-8D10-4E98-AE2A-6A6D53DD36A9}">
          <x14:formula1>
            <xm:f>'Paso1 Analisis perfil egreso'!$E$3:$E$5</xm:f>
          </x14:formula1>
          <xm:sqref>C3:C5</xm:sqref>
        </x14:dataValidation>
        <x14:dataValidation type="list" allowBlank="1" showInputMessage="1" showErrorMessage="1" xr:uid="{89BC47DC-D431-4459-822D-3EFE54D74013}">
          <x14:formula1>
            <xm:f>'Paso1 Analisis perfil egreso'!$F$3:$F$5</xm:f>
          </x14:formula1>
          <xm:sqref>D3:D5</xm:sqref>
        </x14:dataValidation>
        <x14:dataValidation type="list" allowBlank="1" showInputMessage="1" showErrorMessage="1" xr:uid="{03256AC8-3332-4799-A24E-B0FFB0A8FF50}">
          <x14:formula1>
            <xm:f>'Paso1 Analisis perfil egreso'!$G$3:$G$5</xm:f>
          </x14:formula1>
          <xm:sqref>E3:E5</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I11"/>
  <sheetViews>
    <sheetView zoomScaleNormal="100" workbookViewId="0"/>
  </sheetViews>
  <sheetFormatPr baseColWidth="10" defaultColWidth="11.453125" defaultRowHeight="16.5" x14ac:dyDescent="0.5"/>
  <cols>
    <col min="1" max="1" width="81.1796875" style="6" customWidth="1"/>
    <col min="2" max="2" width="16.7265625" style="7" customWidth="1"/>
    <col min="3" max="3" width="19.1796875" style="6" customWidth="1"/>
    <col min="4" max="4" width="30.6328125" style="6" customWidth="1"/>
    <col min="5" max="5" width="17.54296875" style="6" customWidth="1"/>
    <col min="6" max="6" width="17.81640625" style="6" customWidth="1"/>
    <col min="7" max="7" width="20.1796875" style="8" customWidth="1"/>
    <col min="8" max="8" width="18.26953125" style="1" customWidth="1"/>
    <col min="9" max="9" width="72" style="1" customWidth="1"/>
    <col min="10" max="10" width="43.26953125" style="6" customWidth="1"/>
    <col min="11" max="16384" width="11.453125" style="6"/>
  </cols>
  <sheetData>
    <row r="1" spans="1:9" ht="78" x14ac:dyDescent="0.35">
      <c r="A1" s="34" t="s">
        <v>31</v>
      </c>
      <c r="B1" s="34" t="s">
        <v>32</v>
      </c>
      <c r="C1" s="39" t="s">
        <v>33</v>
      </c>
      <c r="D1" s="40" t="s">
        <v>34</v>
      </c>
      <c r="E1" s="40" t="s">
        <v>35</v>
      </c>
      <c r="F1" s="39" t="s">
        <v>36</v>
      </c>
      <c r="G1" s="39" t="s">
        <v>37</v>
      </c>
      <c r="H1" s="39" t="s">
        <v>38</v>
      </c>
      <c r="I1" s="34" t="s">
        <v>39</v>
      </c>
    </row>
    <row r="2" spans="1:9" ht="33.5" thickBot="1" x14ac:dyDescent="0.4">
      <c r="A2" s="38" t="s">
        <v>40</v>
      </c>
      <c r="B2" s="38" t="s">
        <v>41</v>
      </c>
      <c r="C2" s="41" t="s">
        <v>42</v>
      </c>
      <c r="D2" s="42" t="s">
        <v>43</v>
      </c>
      <c r="E2" s="42" t="s">
        <v>44</v>
      </c>
      <c r="F2" s="41" t="s">
        <v>45</v>
      </c>
      <c r="G2" s="41" t="s">
        <v>46</v>
      </c>
      <c r="H2" s="41" t="s">
        <v>47</v>
      </c>
      <c r="I2" s="38" t="s">
        <v>48</v>
      </c>
    </row>
    <row r="3" spans="1:9" ht="49.5" x14ac:dyDescent="0.35">
      <c r="A3" s="27" t="s">
        <v>598</v>
      </c>
      <c r="B3" s="54">
        <v>1</v>
      </c>
      <c r="C3" s="20" t="s">
        <v>11</v>
      </c>
      <c r="D3" s="20" t="s">
        <v>585</v>
      </c>
      <c r="E3" s="20" t="s">
        <v>149</v>
      </c>
      <c r="F3" s="27" t="s">
        <v>181</v>
      </c>
      <c r="G3" s="28" t="s">
        <v>164</v>
      </c>
      <c r="H3" s="28" t="s">
        <v>214</v>
      </c>
      <c r="I3" s="20" t="s">
        <v>603</v>
      </c>
    </row>
    <row r="4" spans="1:9" ht="66" x14ac:dyDescent="0.35">
      <c r="A4" s="5" t="s">
        <v>598</v>
      </c>
      <c r="B4" s="7">
        <v>2</v>
      </c>
      <c r="C4" s="6" t="s">
        <v>12</v>
      </c>
      <c r="D4" s="6" t="s">
        <v>586</v>
      </c>
      <c r="E4" s="6" t="s">
        <v>149</v>
      </c>
      <c r="F4" s="5" t="s">
        <v>208</v>
      </c>
      <c r="G4" s="24" t="s">
        <v>170</v>
      </c>
      <c r="H4" s="24" t="s">
        <v>118</v>
      </c>
      <c r="I4" s="59" t="s">
        <v>604</v>
      </c>
    </row>
    <row r="5" spans="1:9" ht="50" thickBot="1" x14ac:dyDescent="0.4">
      <c r="A5" s="5" t="s">
        <v>598</v>
      </c>
      <c r="B5" s="55">
        <v>3</v>
      </c>
      <c r="C5" s="6" t="s">
        <v>13</v>
      </c>
      <c r="D5" s="6" t="s">
        <v>587</v>
      </c>
      <c r="E5" s="6" t="s">
        <v>149</v>
      </c>
      <c r="F5" s="5" t="s">
        <v>226</v>
      </c>
      <c r="G5" s="24" t="s">
        <v>174</v>
      </c>
      <c r="H5" s="24" t="s">
        <v>411</v>
      </c>
      <c r="I5" s="56" t="s">
        <v>605</v>
      </c>
    </row>
    <row r="6" spans="1:9" ht="49.5" x14ac:dyDescent="0.35">
      <c r="A6" s="27" t="s">
        <v>599</v>
      </c>
      <c r="B6" s="54">
        <v>1</v>
      </c>
      <c r="C6" s="20" t="s">
        <v>11</v>
      </c>
      <c r="D6" s="20" t="s">
        <v>591</v>
      </c>
      <c r="E6" s="20" t="s">
        <v>149</v>
      </c>
      <c r="F6" s="27" t="s">
        <v>181</v>
      </c>
      <c r="G6" s="28" t="s">
        <v>164</v>
      </c>
      <c r="H6" s="28" t="s">
        <v>214</v>
      </c>
      <c r="I6" s="20" t="s">
        <v>603</v>
      </c>
    </row>
    <row r="7" spans="1:9" ht="66" x14ac:dyDescent="0.35">
      <c r="A7" s="5" t="s">
        <v>599</v>
      </c>
      <c r="B7" s="7">
        <v>2</v>
      </c>
      <c r="C7" s="6" t="s">
        <v>12</v>
      </c>
      <c r="D7" s="6" t="s">
        <v>592</v>
      </c>
      <c r="E7" s="6" t="s">
        <v>149</v>
      </c>
      <c r="F7" s="5" t="s">
        <v>208</v>
      </c>
      <c r="G7" s="24" t="s">
        <v>170</v>
      </c>
      <c r="H7" s="24" t="s">
        <v>118</v>
      </c>
      <c r="I7" s="59" t="s">
        <v>604</v>
      </c>
    </row>
    <row r="8" spans="1:9" ht="50" thickBot="1" x14ac:dyDescent="0.4">
      <c r="A8" s="5" t="s">
        <v>599</v>
      </c>
      <c r="B8" s="55">
        <v>3</v>
      </c>
      <c r="C8" s="6" t="s">
        <v>13</v>
      </c>
      <c r="D8" s="6" t="s">
        <v>593</v>
      </c>
      <c r="E8" s="6" t="s">
        <v>149</v>
      </c>
      <c r="F8" s="5" t="s">
        <v>226</v>
      </c>
      <c r="G8" s="24" t="s">
        <v>174</v>
      </c>
      <c r="H8" s="24" t="s">
        <v>411</v>
      </c>
      <c r="I8" s="21" t="s">
        <v>605</v>
      </c>
    </row>
    <row r="9" spans="1:9" ht="66" x14ac:dyDescent="0.35">
      <c r="A9" s="27" t="s">
        <v>600</v>
      </c>
      <c r="B9" s="54">
        <v>1</v>
      </c>
      <c r="C9" s="20" t="s">
        <v>11</v>
      </c>
      <c r="D9" s="20" t="s">
        <v>594</v>
      </c>
      <c r="E9" s="20" t="s">
        <v>149</v>
      </c>
      <c r="F9" s="27" t="s">
        <v>181</v>
      </c>
      <c r="G9" s="28" t="s">
        <v>164</v>
      </c>
      <c r="H9" s="28" t="s">
        <v>214</v>
      </c>
      <c r="I9" s="20" t="s">
        <v>603</v>
      </c>
    </row>
    <row r="10" spans="1:9" ht="66" x14ac:dyDescent="0.35">
      <c r="A10" s="5" t="s">
        <v>600</v>
      </c>
      <c r="B10" s="7">
        <v>2</v>
      </c>
      <c r="C10" s="6" t="s">
        <v>12</v>
      </c>
      <c r="D10" s="6" t="s">
        <v>595</v>
      </c>
      <c r="E10" s="6" t="s">
        <v>149</v>
      </c>
      <c r="F10" s="5" t="s">
        <v>208</v>
      </c>
      <c r="G10" s="24" t="s">
        <v>170</v>
      </c>
      <c r="H10" s="24" t="s">
        <v>118</v>
      </c>
      <c r="I10" s="59" t="s">
        <v>604</v>
      </c>
    </row>
    <row r="11" spans="1:9" ht="83" thickBot="1" x14ac:dyDescent="0.4">
      <c r="A11" s="26" t="s">
        <v>600</v>
      </c>
      <c r="B11" s="55">
        <v>3</v>
      </c>
      <c r="C11" s="21" t="s">
        <v>13</v>
      </c>
      <c r="D11" s="21" t="s">
        <v>596</v>
      </c>
      <c r="E11" s="21" t="s">
        <v>149</v>
      </c>
      <c r="F11" s="26" t="s">
        <v>226</v>
      </c>
      <c r="G11" s="29" t="s">
        <v>174</v>
      </c>
      <c r="H11" s="29" t="s">
        <v>411</v>
      </c>
      <c r="I11" s="56" t="s">
        <v>605</v>
      </c>
    </row>
  </sheetData>
  <autoFilter ref="A1:I11" xr:uid="{94AAF649-42F4-466A-BE11-44357078F961}"/>
  <dataValidations count="7">
    <dataValidation type="list" allowBlank="1" showInputMessage="1" showErrorMessage="1" sqref="C3:C11" xr:uid="{3EEE3B63-C572-46CF-960D-B5C131832E7C}">
      <formula1>dominios</formula1>
    </dataValidation>
    <dataValidation type="list" allowBlank="1" showInputMessage="1" showErrorMessage="1" sqref="A3:A11" xr:uid="{C75ACEBC-F466-42F9-8994-B0B52F0BD49B}">
      <formula1>competencias</formula1>
    </dataValidation>
    <dataValidation type="list" allowBlank="1" showInputMessage="1" showErrorMessage="1" sqref="G12" xr:uid="{0672F913-2951-4A69-81CA-17D84AE0F8F1}">
      <formula1>INDIRECT($E8)</formula1>
    </dataValidation>
    <dataValidation type="list" allowBlank="1" showInputMessage="1" showErrorMessage="1" promptTitle="Taxonomías" prompt="De la lista elija la taxonomía que considere pertinente para establecer los verbos de los resultados de aprendizaje._x000a_B: Tax. de Bloom_x000a_BAK: Tax. Bloom según Anderson y Krathwohl_x000a_AK: Tax. según Anderson y Krathwohl_x000a_MK: Tax. según Marzano y Kendal" sqref="E3:E11" xr:uid="{EFFF541A-9FA7-4D87-BD80-7B4D10675962}">
      <formula1>taxonomiasra</formula1>
    </dataValidation>
    <dataValidation type="list" allowBlank="1" showInputMessage="1" showErrorMessage="1" sqref="F3:F11" xr:uid="{A67273FC-D6BC-4601-A146-88AA40CB5471}">
      <formula1>INDIRECT($E3)</formula1>
    </dataValidation>
    <dataValidation type="list" allowBlank="1" showInputMessage="1" showErrorMessage="1" sqref="H3:H11" xr:uid="{BD1A6CDA-7283-4262-9F88-FE80565918E8}">
      <formula1>INDIRECT($G3)</formula1>
    </dataValidation>
    <dataValidation type="list" allowBlank="1" showInputMessage="1" showErrorMessage="1" sqref="G3:G11" xr:uid="{5A5167AA-8E05-4C2B-AB93-AFCCFC818F7C}">
      <formula1>INDIRECT($F3)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2F646EF7-1C36-4576-B4C6-9BCD20655343}">
          <x14:formula1>
            <xm:f>'Paso1 Analisis perfil egreso'!$E$3:$E$5</xm:f>
          </x14:formula1>
          <xm:sqref>D3 D6 D9</xm:sqref>
        </x14:dataValidation>
        <x14:dataValidation type="list" allowBlank="1" showInputMessage="1" showErrorMessage="1" xr:uid="{68168A60-B8D8-4D3F-8C2B-18E34F9B1DA2}">
          <x14:formula1>
            <xm:f>'Paso1 Analisis perfil egreso'!$F$3:$F$5</xm:f>
          </x14:formula1>
          <xm:sqref>D4 D7 D10</xm:sqref>
        </x14:dataValidation>
        <x14:dataValidation type="list" allowBlank="1" showInputMessage="1" showErrorMessage="1" xr:uid="{4865A438-6D0E-4AE4-8799-86562A8F4C37}">
          <x14:formula1>
            <xm:f>'Paso1 Analisis perfil egreso'!$G$3:$G$5</xm:f>
          </x14:formula1>
          <xm:sqref>D5 D8 D11</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17"/>
  <sheetViews>
    <sheetView zoomScaleNormal="100" workbookViewId="0"/>
  </sheetViews>
  <sheetFormatPr baseColWidth="10" defaultColWidth="11.453125" defaultRowHeight="16.5" x14ac:dyDescent="0.35"/>
  <cols>
    <col min="1" max="1" width="73.26953125" style="24" customWidth="1"/>
    <col min="2" max="2" width="43.81640625" style="24" customWidth="1"/>
    <col min="3" max="3" width="49.26953125" style="24" customWidth="1"/>
    <col min="4" max="4" width="47.7265625" style="24" customWidth="1"/>
    <col min="5" max="5" width="40.1796875" style="24" customWidth="1"/>
    <col min="6" max="6" width="33.453125" style="24" customWidth="1"/>
    <col min="7" max="16384" width="11.453125" style="24"/>
  </cols>
  <sheetData>
    <row r="1" spans="1:6" ht="65" x14ac:dyDescent="0.35">
      <c r="A1" s="34" t="s">
        <v>49</v>
      </c>
      <c r="B1" s="34" t="s">
        <v>50</v>
      </c>
      <c r="C1" s="34" t="s">
        <v>51</v>
      </c>
      <c r="D1" s="34" t="s">
        <v>52</v>
      </c>
      <c r="E1" s="34" t="s">
        <v>53</v>
      </c>
      <c r="F1" s="34" t="s">
        <v>54</v>
      </c>
    </row>
    <row r="2" spans="1:6" ht="33" x14ac:dyDescent="0.35">
      <c r="A2" s="38" t="s">
        <v>55</v>
      </c>
      <c r="B2" s="38" t="s">
        <v>56</v>
      </c>
      <c r="C2" s="38" t="s">
        <v>57</v>
      </c>
      <c r="D2" s="38" t="s">
        <v>58</v>
      </c>
      <c r="E2" s="38" t="s">
        <v>59</v>
      </c>
      <c r="F2" s="38" t="s">
        <v>60</v>
      </c>
    </row>
    <row r="3" spans="1:6" ht="49.5" x14ac:dyDescent="0.35">
      <c r="A3" s="61" t="s">
        <v>603</v>
      </c>
      <c r="B3" s="88" t="s">
        <v>611</v>
      </c>
      <c r="C3" s="89" t="s">
        <v>614</v>
      </c>
      <c r="D3" s="62" t="s">
        <v>606</v>
      </c>
      <c r="E3" s="73" t="s">
        <v>618</v>
      </c>
      <c r="F3" s="63" t="s">
        <v>61</v>
      </c>
    </row>
    <row r="4" spans="1:6" ht="66" x14ac:dyDescent="0.35">
      <c r="A4" s="5" t="s">
        <v>604</v>
      </c>
      <c r="B4" s="83"/>
      <c r="C4" s="86"/>
      <c r="D4" s="58" t="s">
        <v>65</v>
      </c>
      <c r="E4" s="74"/>
      <c r="F4" s="24" t="s">
        <v>62</v>
      </c>
    </row>
    <row r="5" spans="1:6" ht="50" thickBot="1" x14ac:dyDescent="0.4">
      <c r="A5" s="26" t="s">
        <v>605</v>
      </c>
      <c r="B5" s="84"/>
      <c r="C5" s="87"/>
      <c r="D5" s="57" t="s">
        <v>63</v>
      </c>
      <c r="E5" s="78"/>
      <c r="F5" s="26" t="s">
        <v>64</v>
      </c>
    </row>
    <row r="6" spans="1:6" ht="66" x14ac:dyDescent="0.35">
      <c r="A6" s="5" t="s">
        <v>604</v>
      </c>
      <c r="B6" s="83" t="s">
        <v>607</v>
      </c>
      <c r="C6" s="86" t="s">
        <v>613</v>
      </c>
      <c r="D6" s="62" t="s">
        <v>606</v>
      </c>
      <c r="E6" s="79" t="s">
        <v>619</v>
      </c>
      <c r="F6" s="63" t="s">
        <v>61</v>
      </c>
    </row>
    <row r="7" spans="1:6" ht="66" x14ac:dyDescent="0.35">
      <c r="A7" s="5" t="s">
        <v>604</v>
      </c>
      <c r="B7" s="83"/>
      <c r="C7" s="86"/>
      <c r="D7" s="58" t="s">
        <v>65</v>
      </c>
      <c r="E7" s="74"/>
      <c r="F7" s="24" t="s">
        <v>62</v>
      </c>
    </row>
    <row r="8" spans="1:6" ht="50" thickBot="1" x14ac:dyDescent="0.4">
      <c r="A8" s="25" t="s">
        <v>605</v>
      </c>
      <c r="B8" s="90"/>
      <c r="C8" s="91"/>
      <c r="D8" s="57" t="s">
        <v>63</v>
      </c>
      <c r="E8" s="80"/>
      <c r="F8" s="26" t="s">
        <v>64</v>
      </c>
    </row>
    <row r="9" spans="1:6" ht="66" x14ac:dyDescent="0.35">
      <c r="A9" s="64" t="s">
        <v>604</v>
      </c>
      <c r="B9" s="92" t="s">
        <v>608</v>
      </c>
      <c r="C9" s="93" t="s">
        <v>615</v>
      </c>
      <c r="D9" s="62" t="s">
        <v>606</v>
      </c>
      <c r="E9" s="81" t="s">
        <v>621</v>
      </c>
      <c r="F9" s="63" t="s">
        <v>61</v>
      </c>
    </row>
    <row r="10" spans="1:6" ht="66" x14ac:dyDescent="0.35">
      <c r="A10" s="5" t="s">
        <v>604</v>
      </c>
      <c r="B10" s="83"/>
      <c r="C10" s="86"/>
      <c r="D10" s="58" t="s">
        <v>65</v>
      </c>
      <c r="E10" s="74"/>
      <c r="F10" s="24" t="s">
        <v>62</v>
      </c>
    </row>
    <row r="11" spans="1:6" ht="50" thickBot="1" x14ac:dyDescent="0.4">
      <c r="A11" s="26" t="s">
        <v>605</v>
      </c>
      <c r="B11" s="84"/>
      <c r="C11" s="87"/>
      <c r="D11" s="57" t="s">
        <v>63</v>
      </c>
      <c r="E11" s="78"/>
      <c r="F11" s="26" t="s">
        <v>64</v>
      </c>
    </row>
    <row r="12" spans="1:6" ht="66" x14ac:dyDescent="0.35">
      <c r="A12" s="27" t="s">
        <v>604</v>
      </c>
      <c r="B12" s="82" t="s">
        <v>609</v>
      </c>
      <c r="C12" s="85" t="s">
        <v>616</v>
      </c>
      <c r="D12" s="62" t="s">
        <v>606</v>
      </c>
      <c r="E12" s="79" t="s">
        <v>620</v>
      </c>
      <c r="F12" s="63" t="s">
        <v>61</v>
      </c>
    </row>
    <row r="13" spans="1:6" ht="66" x14ac:dyDescent="0.35">
      <c r="A13" s="5" t="s">
        <v>604</v>
      </c>
      <c r="B13" s="83"/>
      <c r="C13" s="86"/>
      <c r="D13" s="58" t="s">
        <v>65</v>
      </c>
      <c r="E13" s="74"/>
      <c r="F13" s="24" t="s">
        <v>62</v>
      </c>
    </row>
    <row r="14" spans="1:6" ht="50" thickBot="1" x14ac:dyDescent="0.4">
      <c r="A14" s="26" t="s">
        <v>605</v>
      </c>
      <c r="B14" s="84"/>
      <c r="C14" s="87"/>
      <c r="D14" s="57" t="s">
        <v>63</v>
      </c>
      <c r="E14" s="78"/>
      <c r="F14" s="26" t="s">
        <v>64</v>
      </c>
    </row>
    <row r="15" spans="1:6" ht="66" x14ac:dyDescent="0.35">
      <c r="A15" s="27" t="s">
        <v>604</v>
      </c>
      <c r="B15" s="82" t="s">
        <v>610</v>
      </c>
      <c r="C15" s="85" t="s">
        <v>617</v>
      </c>
      <c r="D15" s="62" t="s">
        <v>606</v>
      </c>
      <c r="E15" s="79" t="s">
        <v>622</v>
      </c>
      <c r="F15" s="63" t="s">
        <v>61</v>
      </c>
    </row>
    <row r="16" spans="1:6" ht="66" x14ac:dyDescent="0.35">
      <c r="A16" s="5" t="s">
        <v>604</v>
      </c>
      <c r="B16" s="83"/>
      <c r="C16" s="86"/>
      <c r="D16" s="58" t="s">
        <v>65</v>
      </c>
      <c r="E16" s="74"/>
      <c r="F16" s="24" t="s">
        <v>62</v>
      </c>
    </row>
    <row r="17" spans="1:6" ht="50" thickBot="1" x14ac:dyDescent="0.4">
      <c r="A17" s="26" t="s">
        <v>605</v>
      </c>
      <c r="B17" s="84"/>
      <c r="C17" s="87"/>
      <c r="D17" s="57" t="s">
        <v>63</v>
      </c>
      <c r="E17" s="78"/>
      <c r="F17" s="26" t="s">
        <v>64</v>
      </c>
    </row>
  </sheetData>
  <mergeCells count="15">
    <mergeCell ref="E3:E5"/>
    <mergeCell ref="E6:E8"/>
    <mergeCell ref="E9:E11"/>
    <mergeCell ref="E12:E14"/>
    <mergeCell ref="B15:B17"/>
    <mergeCell ref="C15:C17"/>
    <mergeCell ref="E15:E17"/>
    <mergeCell ref="B12:B14"/>
    <mergeCell ref="C12:C14"/>
    <mergeCell ref="B3:B5"/>
    <mergeCell ref="C3:C5"/>
    <mergeCell ref="B6:B8"/>
    <mergeCell ref="C6:C8"/>
    <mergeCell ref="B9:B11"/>
    <mergeCell ref="C9:C11"/>
  </mergeCells>
  <dataValidations count="1">
    <dataValidation type="list" allowBlank="1" showInputMessage="1" showErrorMessage="1" sqref="A3:A17" xr:uid="{D048ED25-334D-4F32-B2A7-D11385F03FF6}">
      <formula1>resultadoaprendizaje</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48250-C92C-4D02-A0C3-2CB27C341894}">
  <dimension ref="A1:Q51"/>
  <sheetViews>
    <sheetView tabSelected="1" topLeftCell="A4" zoomScaleNormal="100" workbookViewId="0">
      <selection activeCell="D3" sqref="D3:D5"/>
    </sheetView>
  </sheetViews>
  <sheetFormatPr baseColWidth="10" defaultColWidth="11.453125" defaultRowHeight="16.5" x14ac:dyDescent="0.35"/>
  <cols>
    <col min="1" max="1" width="11.1796875" style="5" customWidth="1"/>
    <col min="2" max="2" width="57" style="5" customWidth="1"/>
    <col min="3" max="3" width="17.26953125" style="5" customWidth="1"/>
    <col min="4" max="4" width="27.6328125" style="5" customWidth="1"/>
    <col min="5" max="5" width="57" style="6" customWidth="1"/>
    <col min="6" max="6" width="27.1796875" style="7" customWidth="1"/>
    <col min="7" max="7" width="16.7265625" style="7" customWidth="1"/>
    <col min="8" max="8" width="18.1796875" style="7" customWidth="1"/>
    <col min="9" max="9" width="13.54296875" style="7" customWidth="1"/>
    <col min="10" max="11" width="26.54296875" style="7" customWidth="1"/>
    <col min="12" max="12" width="19.1796875" style="7" customWidth="1"/>
    <col min="13" max="14" width="40.7265625" style="6" customWidth="1"/>
    <col min="15" max="15" width="63" style="6" customWidth="1"/>
    <col min="16" max="16" width="69.26953125" style="6" customWidth="1"/>
    <col min="17" max="16384" width="11.453125" style="5"/>
  </cols>
  <sheetData>
    <row r="1" spans="1:17" s="7" customFormat="1" ht="54" customHeight="1" x14ac:dyDescent="0.35">
      <c r="A1" s="34" t="s">
        <v>66</v>
      </c>
      <c r="B1" s="34" t="s">
        <v>67</v>
      </c>
      <c r="C1" s="34" t="s">
        <v>68</v>
      </c>
      <c r="D1" s="34" t="s">
        <v>69</v>
      </c>
      <c r="E1" s="34" t="s">
        <v>70</v>
      </c>
      <c r="F1" s="34" t="s">
        <v>71</v>
      </c>
      <c r="G1" s="102" t="s">
        <v>72</v>
      </c>
      <c r="H1" s="103"/>
      <c r="I1" s="34" t="s">
        <v>73</v>
      </c>
      <c r="J1" s="34" t="s">
        <v>74</v>
      </c>
      <c r="K1" s="34" t="s">
        <v>75</v>
      </c>
      <c r="L1" s="34" t="s">
        <v>76</v>
      </c>
      <c r="M1" s="34" t="s">
        <v>77</v>
      </c>
      <c r="N1" s="34" t="s">
        <v>78</v>
      </c>
      <c r="O1" s="34" t="s">
        <v>79</v>
      </c>
      <c r="P1" s="34" t="s">
        <v>80</v>
      </c>
    </row>
    <row r="2" spans="1:17" s="7" customFormat="1" ht="33" x14ac:dyDescent="0.35">
      <c r="A2" s="38" t="s">
        <v>81</v>
      </c>
      <c r="B2" s="38" t="s">
        <v>55</v>
      </c>
      <c r="C2" s="38" t="s">
        <v>82</v>
      </c>
      <c r="D2" s="38" t="s">
        <v>83</v>
      </c>
      <c r="E2" s="38" t="s">
        <v>84</v>
      </c>
      <c r="F2" s="38" t="s">
        <v>85</v>
      </c>
      <c r="G2" s="43" t="s">
        <v>580</v>
      </c>
      <c r="H2" s="43" t="s">
        <v>86</v>
      </c>
      <c r="I2" s="38" t="s">
        <v>87</v>
      </c>
      <c r="J2" s="38" t="s">
        <v>88</v>
      </c>
      <c r="K2" s="38" t="s">
        <v>89</v>
      </c>
      <c r="L2" s="38" t="s">
        <v>90</v>
      </c>
      <c r="M2" s="38" t="s">
        <v>91</v>
      </c>
      <c r="N2" s="38" t="s">
        <v>92</v>
      </c>
      <c r="O2" s="38" t="s">
        <v>93</v>
      </c>
      <c r="P2" s="38" t="s">
        <v>94</v>
      </c>
    </row>
    <row r="3" spans="1:17" ht="49.5" x14ac:dyDescent="0.35">
      <c r="A3" s="5" t="str">
        <f>_xlfn.XLOOKUP(B3,'Paso 3 Redacción RA '!I$3:I$11,'Paso 3 Redacción RA '!C$3:C$11,,0,1)</f>
        <v>Saber</v>
      </c>
      <c r="B3" s="5" t="s">
        <v>603</v>
      </c>
      <c r="C3" s="74">
        <v>1</v>
      </c>
      <c r="D3" s="74" t="s">
        <v>623</v>
      </c>
      <c r="E3" s="76" t="s">
        <v>671</v>
      </c>
      <c r="F3" s="83" t="s">
        <v>624</v>
      </c>
      <c r="G3" s="83" t="s">
        <v>652</v>
      </c>
      <c r="H3" s="83"/>
      <c r="I3" s="83">
        <v>2</v>
      </c>
      <c r="J3" s="83">
        <f>12*I3</f>
        <v>24</v>
      </c>
      <c r="K3" s="83">
        <f>36*I3</f>
        <v>72</v>
      </c>
      <c r="L3" s="83">
        <f>SUM(J3:K5)</f>
        <v>96</v>
      </c>
      <c r="M3" s="100" t="s">
        <v>625</v>
      </c>
      <c r="N3" s="100" t="s">
        <v>669</v>
      </c>
      <c r="O3" s="97" t="s">
        <v>668</v>
      </c>
      <c r="P3" s="100" t="s">
        <v>95</v>
      </c>
      <c r="Q3" s="5" t="s">
        <v>96</v>
      </c>
    </row>
    <row r="4" spans="1:17" ht="82.5" x14ac:dyDescent="0.35">
      <c r="A4" s="5" t="str">
        <f>_xlfn.XLOOKUP(B4,'Paso 3 Redacción RA '!I$3:I$11,'Paso 3 Redacción RA '!C$3:C$11,,0,1)</f>
        <v>Saberhacer</v>
      </c>
      <c r="B4" s="5" t="s">
        <v>604</v>
      </c>
      <c r="C4" s="74"/>
      <c r="D4" s="74"/>
      <c r="E4" s="76"/>
      <c r="F4" s="83"/>
      <c r="G4" s="83"/>
      <c r="H4" s="83"/>
      <c r="I4" s="83"/>
      <c r="J4" s="83"/>
      <c r="K4" s="83"/>
      <c r="L4" s="83"/>
      <c r="M4" s="100"/>
      <c r="N4" s="100"/>
      <c r="O4" s="97"/>
      <c r="P4" s="100"/>
    </row>
    <row r="5" spans="1:17" ht="66.5" thickBot="1" x14ac:dyDescent="0.4">
      <c r="A5" s="26" t="str">
        <f>_xlfn.XLOOKUP(B5,'Paso 3 Redacción RA '!I$3:I$11,'Paso 3 Redacción RA '!C$3:C$11,,0,1)</f>
        <v>Saberser</v>
      </c>
      <c r="B5" s="26" t="s">
        <v>605</v>
      </c>
      <c r="C5" s="78"/>
      <c r="D5" s="78"/>
      <c r="E5" s="95"/>
      <c r="F5" s="84"/>
      <c r="G5" s="84"/>
      <c r="H5" s="84"/>
      <c r="I5" s="84"/>
      <c r="J5" s="84"/>
      <c r="K5" s="84"/>
      <c r="L5" s="84"/>
      <c r="M5" s="101"/>
      <c r="N5" s="101"/>
      <c r="O5" s="98"/>
      <c r="P5" s="101"/>
    </row>
    <row r="6" spans="1:17" ht="49.5" x14ac:dyDescent="0.35">
      <c r="A6" s="27" t="str">
        <f>_xlfn.XLOOKUP(B6,'Paso 3 Redacción RA '!I$3:I$11,'Paso 3 Redacción RA '!C$3:C$11,,0,1)</f>
        <v>Saber</v>
      </c>
      <c r="B6" s="5" t="s">
        <v>603</v>
      </c>
      <c r="C6" s="79">
        <v>1</v>
      </c>
      <c r="D6" s="79" t="s">
        <v>626</v>
      </c>
      <c r="E6" s="104" t="s">
        <v>670</v>
      </c>
      <c r="F6" s="79" t="s">
        <v>624</v>
      </c>
      <c r="G6" s="82" t="s">
        <v>652</v>
      </c>
      <c r="H6" s="82"/>
      <c r="I6" s="82">
        <v>2</v>
      </c>
      <c r="J6" s="82">
        <f>12*I6</f>
        <v>24</v>
      </c>
      <c r="K6" s="82">
        <f>36*I6</f>
        <v>72</v>
      </c>
      <c r="L6" s="82">
        <f>SUM(J6:K8)</f>
        <v>96</v>
      </c>
      <c r="M6" s="99" t="s">
        <v>653</v>
      </c>
      <c r="N6" s="99" t="s">
        <v>669</v>
      </c>
      <c r="O6" s="96" t="s">
        <v>668</v>
      </c>
      <c r="P6" s="99" t="s">
        <v>97</v>
      </c>
    </row>
    <row r="7" spans="1:17" ht="82.5" x14ac:dyDescent="0.35">
      <c r="A7" s="5" t="str">
        <f>_xlfn.XLOOKUP(B7,'Paso 3 Redacción RA '!I$3:I$11,'Paso 3 Redacción RA '!C$3:C$11,,0,1)</f>
        <v>Saberhacer</v>
      </c>
      <c r="B7" s="5" t="s">
        <v>604</v>
      </c>
      <c r="C7" s="74"/>
      <c r="D7" s="74"/>
      <c r="E7" s="105"/>
      <c r="F7" s="74"/>
      <c r="G7" s="83"/>
      <c r="H7" s="83"/>
      <c r="I7" s="83"/>
      <c r="J7" s="83"/>
      <c r="K7" s="83"/>
      <c r="L7" s="83"/>
      <c r="M7" s="100"/>
      <c r="N7" s="100"/>
      <c r="O7" s="97"/>
      <c r="P7" s="100"/>
    </row>
    <row r="8" spans="1:17" ht="66.5" thickBot="1" x14ac:dyDescent="0.4">
      <c r="A8" s="26" t="str">
        <f>_xlfn.XLOOKUP(B8,'Paso 3 Redacción RA '!I$3:I$11,'Paso 3 Redacción RA '!C$3:C$11,,0,1)</f>
        <v>Saberser</v>
      </c>
      <c r="B8" s="26" t="s">
        <v>605</v>
      </c>
      <c r="C8" s="78"/>
      <c r="D8" s="78"/>
      <c r="E8" s="106"/>
      <c r="F8" s="78"/>
      <c r="G8" s="84"/>
      <c r="H8" s="84"/>
      <c r="I8" s="84"/>
      <c r="J8" s="84"/>
      <c r="K8" s="84"/>
      <c r="L8" s="84"/>
      <c r="M8" s="101"/>
      <c r="N8" s="101"/>
      <c r="O8" s="98"/>
      <c r="P8" s="101"/>
    </row>
    <row r="9" spans="1:17" ht="49.5" x14ac:dyDescent="0.35">
      <c r="A9" s="5" t="str">
        <f>_xlfn.XLOOKUP(B9,'Paso 3 Redacción RA '!I$3:I$11,'Paso 3 Redacción RA '!C$3:C$11,,0,1)</f>
        <v>Saber</v>
      </c>
      <c r="B9" s="5" t="s">
        <v>603</v>
      </c>
      <c r="C9" s="79">
        <v>1</v>
      </c>
      <c r="D9" s="79" t="s">
        <v>627</v>
      </c>
      <c r="E9" s="94" t="s">
        <v>628</v>
      </c>
      <c r="F9" s="79" t="s">
        <v>624</v>
      </c>
      <c r="G9" s="82" t="s">
        <v>652</v>
      </c>
      <c r="H9" s="82"/>
      <c r="I9" s="82">
        <v>3</v>
      </c>
      <c r="J9" s="82">
        <f>12*I9</f>
        <v>36</v>
      </c>
      <c r="K9" s="82">
        <f>36*I9</f>
        <v>108</v>
      </c>
      <c r="L9" s="82">
        <f>SUM(J9:K9)</f>
        <v>144</v>
      </c>
      <c r="M9" s="96" t="s">
        <v>654</v>
      </c>
      <c r="N9" s="99" t="s">
        <v>669</v>
      </c>
      <c r="O9" s="96" t="s">
        <v>667</v>
      </c>
      <c r="P9" s="99" t="s">
        <v>95</v>
      </c>
    </row>
    <row r="10" spans="1:17" ht="82.5" x14ac:dyDescent="0.35">
      <c r="A10" s="5" t="str">
        <f>_xlfn.XLOOKUP(B10,'Paso 3 Redacción RA '!I$3:I$11,'Paso 3 Redacción RA '!C$3:C$11,,0,1)</f>
        <v>Saberhacer</v>
      </c>
      <c r="B10" s="5" t="s">
        <v>604</v>
      </c>
      <c r="C10" s="74"/>
      <c r="D10" s="74"/>
      <c r="E10" s="76"/>
      <c r="F10" s="74"/>
      <c r="G10" s="83"/>
      <c r="H10" s="83"/>
      <c r="I10" s="83"/>
      <c r="J10" s="83"/>
      <c r="K10" s="83"/>
      <c r="L10" s="83"/>
      <c r="M10" s="97"/>
      <c r="N10" s="100"/>
      <c r="O10" s="97"/>
      <c r="P10" s="100"/>
    </row>
    <row r="11" spans="1:17" ht="66.5" thickBot="1" x14ac:dyDescent="0.4">
      <c r="A11" s="26" t="str">
        <f>_xlfn.XLOOKUP(B11,'Paso 3 Redacción RA '!I$3:I$11,'Paso 3 Redacción RA '!C$3:C$11,,0,1)</f>
        <v>Saberser</v>
      </c>
      <c r="B11" s="26" t="s">
        <v>605</v>
      </c>
      <c r="C11" s="78"/>
      <c r="D11" s="78"/>
      <c r="E11" s="95"/>
      <c r="F11" s="78"/>
      <c r="G11" s="84"/>
      <c r="H11" s="84"/>
      <c r="I11" s="84"/>
      <c r="J11" s="84"/>
      <c r="K11" s="84"/>
      <c r="L11" s="84"/>
      <c r="M11" s="98"/>
      <c r="N11" s="101"/>
      <c r="O11" s="98"/>
      <c r="P11" s="101"/>
    </row>
    <row r="12" spans="1:17" ht="49.5" x14ac:dyDescent="0.35">
      <c r="A12" s="5" t="str">
        <f>_xlfn.XLOOKUP(B12,'Paso 3 Redacción RA '!I$3:I$11,'Paso 3 Redacción RA '!C$3:C$11,,0,1)</f>
        <v>Saber</v>
      </c>
      <c r="B12" s="5" t="s">
        <v>603</v>
      </c>
      <c r="C12" s="79">
        <v>1</v>
      </c>
      <c r="D12" s="79" t="s">
        <v>629</v>
      </c>
      <c r="E12" s="94" t="s">
        <v>666</v>
      </c>
      <c r="F12" s="79" t="s">
        <v>624</v>
      </c>
      <c r="G12" s="79" t="s">
        <v>652</v>
      </c>
      <c r="H12" s="79"/>
      <c r="I12" s="82">
        <v>3</v>
      </c>
      <c r="J12" s="82">
        <f>12*I12</f>
        <v>36</v>
      </c>
      <c r="K12" s="82">
        <f>36*I12</f>
        <v>108</v>
      </c>
      <c r="L12" s="82">
        <f>SUM(J12:K12)</f>
        <v>144</v>
      </c>
      <c r="M12" s="94" t="s">
        <v>655</v>
      </c>
      <c r="N12" s="94" t="s">
        <v>669</v>
      </c>
      <c r="O12" s="96" t="s">
        <v>667</v>
      </c>
      <c r="P12" s="99" t="s">
        <v>95</v>
      </c>
    </row>
    <row r="13" spans="1:17" ht="82.5" x14ac:dyDescent="0.35">
      <c r="A13" s="5" t="str">
        <f>_xlfn.XLOOKUP(B13,'Paso 3 Redacción RA '!I$3:I$11,'Paso 3 Redacción RA '!C$3:C$11,,0,1)</f>
        <v>Saberhacer</v>
      </c>
      <c r="B13" s="5" t="s">
        <v>604</v>
      </c>
      <c r="C13" s="74"/>
      <c r="D13" s="74"/>
      <c r="E13" s="76"/>
      <c r="F13" s="74"/>
      <c r="G13" s="74"/>
      <c r="H13" s="74"/>
      <c r="I13" s="83"/>
      <c r="J13" s="83"/>
      <c r="K13" s="83"/>
      <c r="L13" s="83"/>
      <c r="M13" s="76"/>
      <c r="N13" s="76"/>
      <c r="O13" s="97"/>
      <c r="P13" s="100"/>
    </row>
    <row r="14" spans="1:17" ht="66.5" thickBot="1" x14ac:dyDescent="0.4">
      <c r="A14" s="26" t="str">
        <f>_xlfn.XLOOKUP(B14,'Paso 3 Redacción RA '!I$3:I$11,'Paso 3 Redacción RA '!C$3:C$11,,0,1)</f>
        <v>Saberser</v>
      </c>
      <c r="B14" s="26" t="s">
        <v>605</v>
      </c>
      <c r="C14" s="78"/>
      <c r="D14" s="78"/>
      <c r="E14" s="95"/>
      <c r="F14" s="78"/>
      <c r="G14" s="78"/>
      <c r="H14" s="78"/>
      <c r="I14" s="84"/>
      <c r="J14" s="84"/>
      <c r="K14" s="84"/>
      <c r="L14" s="84"/>
      <c r="M14" s="95"/>
      <c r="N14" s="95"/>
      <c r="O14" s="98"/>
      <c r="P14" s="101"/>
    </row>
    <row r="15" spans="1:17" ht="49.5" x14ac:dyDescent="0.35">
      <c r="A15" s="27" t="str">
        <f>_xlfn.XLOOKUP(B15,'Paso 3 Redacción RA '!I$3:I$11,'Paso 3 Redacción RA '!C$3:C$11,,0,1)</f>
        <v>Saber</v>
      </c>
      <c r="B15" s="5" t="s">
        <v>603</v>
      </c>
      <c r="C15" s="79">
        <v>1</v>
      </c>
      <c r="D15" s="79" t="s">
        <v>630</v>
      </c>
      <c r="E15" s="94" t="s">
        <v>672</v>
      </c>
      <c r="F15" s="79" t="s">
        <v>624</v>
      </c>
      <c r="G15" s="79" t="s">
        <v>652</v>
      </c>
      <c r="H15" s="82"/>
      <c r="I15" s="107">
        <v>2</v>
      </c>
      <c r="J15" s="82">
        <f>12*I15</f>
        <v>24</v>
      </c>
      <c r="K15" s="82">
        <f>36*I15</f>
        <v>72</v>
      </c>
      <c r="L15" s="82">
        <f>SUM(J15:K17)</f>
        <v>96</v>
      </c>
      <c r="M15" s="85" t="s">
        <v>673</v>
      </c>
      <c r="N15" s="94" t="s">
        <v>669</v>
      </c>
      <c r="O15" s="96" t="s">
        <v>668</v>
      </c>
      <c r="P15" s="94" t="s">
        <v>95</v>
      </c>
    </row>
    <row r="16" spans="1:17" ht="82.5" x14ac:dyDescent="0.35">
      <c r="A16" s="5" t="str">
        <f>_xlfn.XLOOKUP(B16,'Paso 3 Redacción RA '!I$3:I$11,'Paso 3 Redacción RA '!C$3:C$11,,0,1)</f>
        <v>Saberhacer</v>
      </c>
      <c r="B16" s="5" t="s">
        <v>604</v>
      </c>
      <c r="C16" s="74"/>
      <c r="D16" s="74"/>
      <c r="E16" s="76"/>
      <c r="F16" s="74"/>
      <c r="G16" s="74"/>
      <c r="H16" s="83"/>
      <c r="I16" s="108"/>
      <c r="J16" s="83"/>
      <c r="K16" s="83"/>
      <c r="L16" s="83"/>
      <c r="M16" s="86"/>
      <c r="N16" s="76"/>
      <c r="O16" s="97"/>
      <c r="P16" s="76"/>
    </row>
    <row r="17" spans="1:16" ht="66.5" thickBot="1" x14ac:dyDescent="0.4">
      <c r="A17" s="26" t="str">
        <f>_xlfn.XLOOKUP(B17,'Paso 3 Redacción RA '!I$3:I$11,'Paso 3 Redacción RA '!C$3:C$11,,0,1)</f>
        <v>Saberser</v>
      </c>
      <c r="B17" s="26" t="s">
        <v>605</v>
      </c>
      <c r="C17" s="78"/>
      <c r="D17" s="78"/>
      <c r="E17" s="95"/>
      <c r="F17" s="78"/>
      <c r="G17" s="78"/>
      <c r="H17" s="84"/>
      <c r="I17" s="109"/>
      <c r="J17" s="84"/>
      <c r="K17" s="84"/>
      <c r="L17" s="84"/>
      <c r="M17" s="87"/>
      <c r="N17" s="95"/>
      <c r="O17" s="98"/>
      <c r="P17" s="95"/>
    </row>
    <row r="18" spans="1:16" ht="49.5" x14ac:dyDescent="0.35">
      <c r="A18" s="5" t="str">
        <f>_xlfn.XLOOKUP(B18,'Paso 3 Redacción RA '!I$3:I$11,'Paso 3 Redacción RA '!C$3:C$11,,0,1)</f>
        <v>Saber</v>
      </c>
      <c r="B18" s="5" t="s">
        <v>603</v>
      </c>
      <c r="C18" s="79">
        <v>1</v>
      </c>
      <c r="D18" s="79" t="s">
        <v>631</v>
      </c>
      <c r="E18" s="94" t="s">
        <v>632</v>
      </c>
      <c r="F18" s="79" t="s">
        <v>624</v>
      </c>
      <c r="G18" s="79" t="s">
        <v>652</v>
      </c>
      <c r="H18" s="79"/>
      <c r="I18" s="79">
        <v>3</v>
      </c>
      <c r="J18" s="79">
        <f>12*I18</f>
        <v>36</v>
      </c>
      <c r="K18" s="79">
        <f>36*I18</f>
        <v>108</v>
      </c>
      <c r="L18" s="79">
        <f>SUM(J18:K20)</f>
        <v>144</v>
      </c>
      <c r="M18" s="94" t="s">
        <v>656</v>
      </c>
      <c r="N18" s="94" t="s">
        <v>669</v>
      </c>
      <c r="O18" s="96" t="s">
        <v>667</v>
      </c>
      <c r="P18" s="94" t="s">
        <v>95</v>
      </c>
    </row>
    <row r="19" spans="1:16" ht="82.5" x14ac:dyDescent="0.35">
      <c r="A19" s="5" t="str">
        <f>_xlfn.XLOOKUP(B19,'Paso 3 Redacción RA '!I$3:I$11,'Paso 3 Redacción RA '!C$3:C$11,,0,1)</f>
        <v>Saberhacer</v>
      </c>
      <c r="B19" s="5" t="s">
        <v>604</v>
      </c>
      <c r="C19" s="74"/>
      <c r="D19" s="74"/>
      <c r="E19" s="76"/>
      <c r="F19" s="74"/>
      <c r="G19" s="74"/>
      <c r="H19" s="74"/>
      <c r="I19" s="74"/>
      <c r="J19" s="74"/>
      <c r="K19" s="74"/>
      <c r="L19" s="74"/>
      <c r="M19" s="76"/>
      <c r="N19" s="76"/>
      <c r="O19" s="97"/>
      <c r="P19" s="76"/>
    </row>
    <row r="20" spans="1:16" ht="66.5" thickBot="1" x14ac:dyDescent="0.4">
      <c r="A20" s="26" t="str">
        <f>_xlfn.XLOOKUP(B20,'Paso 3 Redacción RA '!I$3:I$11,'Paso 3 Redacción RA '!C$3:C$11,,0,1)</f>
        <v>Saberser</v>
      </c>
      <c r="B20" s="26" t="s">
        <v>605</v>
      </c>
      <c r="C20" s="78"/>
      <c r="D20" s="78"/>
      <c r="E20" s="95"/>
      <c r="F20" s="78"/>
      <c r="G20" s="78"/>
      <c r="H20" s="78"/>
      <c r="I20" s="78"/>
      <c r="J20" s="78"/>
      <c r="K20" s="78"/>
      <c r="L20" s="78"/>
      <c r="M20" s="95"/>
      <c r="N20" s="95"/>
      <c r="O20" s="98"/>
      <c r="P20" s="95"/>
    </row>
    <row r="21" spans="1:16" ht="49.5" x14ac:dyDescent="0.35">
      <c r="A21" s="27" t="str">
        <f>_xlfn.XLOOKUP(B21,'Paso 3 Redacción RA '!I$3:I$11,'Paso 3 Redacción RA '!C$3:C$11,,0,1)</f>
        <v>Saber</v>
      </c>
      <c r="B21" s="5" t="s">
        <v>603</v>
      </c>
      <c r="C21" s="79">
        <v>2</v>
      </c>
      <c r="D21" s="79" t="s">
        <v>633</v>
      </c>
      <c r="E21" s="94" t="s">
        <v>634</v>
      </c>
      <c r="F21" s="79" t="s">
        <v>624</v>
      </c>
      <c r="G21" s="79"/>
      <c r="H21" s="79" t="s">
        <v>652</v>
      </c>
      <c r="I21" s="82">
        <v>3</v>
      </c>
      <c r="J21" s="82">
        <f>I21*12</f>
        <v>36</v>
      </c>
      <c r="K21" s="82">
        <f>I21*36</f>
        <v>108</v>
      </c>
      <c r="L21" s="82">
        <f>SUM(J21:K23)</f>
        <v>144</v>
      </c>
      <c r="M21" s="94" t="s">
        <v>657</v>
      </c>
      <c r="N21" s="94" t="s">
        <v>669</v>
      </c>
      <c r="O21" s="96" t="s">
        <v>667</v>
      </c>
      <c r="P21" s="94" t="s">
        <v>95</v>
      </c>
    </row>
    <row r="22" spans="1:16" ht="82.5" x14ac:dyDescent="0.35">
      <c r="A22" s="5" t="str">
        <f>_xlfn.XLOOKUP(B22,'Paso 3 Redacción RA '!I$3:I$11,'Paso 3 Redacción RA '!C$3:C$11,,0,1)</f>
        <v>Saberhacer</v>
      </c>
      <c r="B22" s="5" t="s">
        <v>604</v>
      </c>
      <c r="C22" s="74"/>
      <c r="D22" s="74"/>
      <c r="E22" s="76"/>
      <c r="F22" s="74"/>
      <c r="G22" s="74"/>
      <c r="H22" s="74"/>
      <c r="I22" s="83"/>
      <c r="J22" s="83"/>
      <c r="K22" s="83"/>
      <c r="L22" s="83"/>
      <c r="M22" s="76"/>
      <c r="N22" s="76"/>
      <c r="O22" s="97"/>
      <c r="P22" s="76" t="s">
        <v>98</v>
      </c>
    </row>
    <row r="23" spans="1:16" ht="66.5" thickBot="1" x14ac:dyDescent="0.4">
      <c r="A23" s="26" t="str">
        <f>_xlfn.XLOOKUP(B23,'Paso 3 Redacción RA '!I$3:I$11,'Paso 3 Redacción RA '!C$3:C$11,,0,1)</f>
        <v>Saberser</v>
      </c>
      <c r="B23" s="26" t="s">
        <v>605</v>
      </c>
      <c r="C23" s="78"/>
      <c r="D23" s="78"/>
      <c r="E23" s="95"/>
      <c r="F23" s="78"/>
      <c r="G23" s="78"/>
      <c r="H23" s="78"/>
      <c r="I23" s="84"/>
      <c r="J23" s="84"/>
      <c r="K23" s="84"/>
      <c r="L23" s="84"/>
      <c r="M23" s="95"/>
      <c r="N23" s="95"/>
      <c r="O23" s="98"/>
      <c r="P23" s="95"/>
    </row>
    <row r="24" spans="1:16" ht="49.5" x14ac:dyDescent="0.35">
      <c r="A24" s="5" t="str">
        <f>_xlfn.XLOOKUP(B24,'Paso 3 Redacción RA '!I$3:I$11,'Paso 3 Redacción RA '!C$3:C$11,,0,1)</f>
        <v>Saber</v>
      </c>
      <c r="B24" s="5" t="s">
        <v>603</v>
      </c>
      <c r="C24" s="79">
        <v>2</v>
      </c>
      <c r="D24" s="79" t="s">
        <v>635</v>
      </c>
      <c r="E24" s="94" t="s">
        <v>636</v>
      </c>
      <c r="F24" s="79" t="s">
        <v>624</v>
      </c>
      <c r="G24" s="79"/>
      <c r="H24" s="79" t="s">
        <v>652</v>
      </c>
      <c r="I24" s="82">
        <v>3</v>
      </c>
      <c r="J24" s="82">
        <f>I24*12</f>
        <v>36</v>
      </c>
      <c r="K24" s="82">
        <f>I24*36</f>
        <v>108</v>
      </c>
      <c r="L24" s="82">
        <f>SUM(J24:K24)</f>
        <v>144</v>
      </c>
      <c r="M24" s="94" t="s">
        <v>658</v>
      </c>
      <c r="N24" s="94" t="s">
        <v>669</v>
      </c>
      <c r="O24" s="96" t="s">
        <v>668</v>
      </c>
      <c r="P24" s="94" t="s">
        <v>95</v>
      </c>
    </row>
    <row r="25" spans="1:16" ht="82.5" x14ac:dyDescent="0.35">
      <c r="A25" s="5" t="str">
        <f>_xlfn.XLOOKUP(B25,'Paso 3 Redacción RA '!I$3:I$11,'Paso 3 Redacción RA '!C$3:C$11,,0,1)</f>
        <v>Saberhacer</v>
      </c>
      <c r="B25" s="5" t="s">
        <v>604</v>
      </c>
      <c r="C25" s="74"/>
      <c r="D25" s="74"/>
      <c r="E25" s="76"/>
      <c r="F25" s="74"/>
      <c r="G25" s="74"/>
      <c r="H25" s="74"/>
      <c r="I25" s="83"/>
      <c r="J25" s="83"/>
      <c r="K25" s="83"/>
      <c r="L25" s="83"/>
      <c r="M25" s="76"/>
      <c r="N25" s="76"/>
      <c r="O25" s="97"/>
      <c r="P25" s="76"/>
    </row>
    <row r="26" spans="1:16" ht="66.5" thickBot="1" x14ac:dyDescent="0.4">
      <c r="A26" s="26" t="str">
        <f>_xlfn.XLOOKUP(B26,'Paso 3 Redacción RA '!I$3:I$11,'Paso 3 Redacción RA '!C$3:C$11,,0,1)</f>
        <v>Saberser</v>
      </c>
      <c r="B26" s="26" t="s">
        <v>605</v>
      </c>
      <c r="C26" s="78"/>
      <c r="D26" s="78"/>
      <c r="E26" s="95"/>
      <c r="F26" s="78"/>
      <c r="G26" s="78"/>
      <c r="H26" s="78"/>
      <c r="I26" s="84"/>
      <c r="J26" s="84"/>
      <c r="K26" s="84"/>
      <c r="L26" s="84"/>
      <c r="M26" s="95"/>
      <c r="N26" s="95"/>
      <c r="O26" s="98"/>
      <c r="P26" s="95"/>
    </row>
    <row r="27" spans="1:16" ht="49.5" x14ac:dyDescent="0.35">
      <c r="A27" s="27" t="str">
        <f>_xlfn.XLOOKUP(B27,'Paso 3 Redacción RA '!I$3:I$11,'Paso 3 Redacción RA '!C$3:C$11,,0,1)</f>
        <v>Saber</v>
      </c>
      <c r="B27" s="5" t="s">
        <v>603</v>
      </c>
      <c r="C27" s="79">
        <v>2</v>
      </c>
      <c r="D27" s="79" t="s">
        <v>637</v>
      </c>
      <c r="E27" s="94" t="s">
        <v>638</v>
      </c>
      <c r="F27" s="79" t="s">
        <v>624</v>
      </c>
      <c r="G27" s="79"/>
      <c r="H27" s="79" t="s">
        <v>652</v>
      </c>
      <c r="I27" s="82">
        <v>2</v>
      </c>
      <c r="J27" s="82">
        <f>I27*12</f>
        <v>24</v>
      </c>
      <c r="K27" s="82">
        <f>I27*36</f>
        <v>72</v>
      </c>
      <c r="L27" s="82">
        <f>SUM(J27:K27)</f>
        <v>96</v>
      </c>
      <c r="M27" s="94" t="s">
        <v>659</v>
      </c>
      <c r="N27" s="94" t="s">
        <v>669</v>
      </c>
      <c r="O27" s="96" t="s">
        <v>668</v>
      </c>
      <c r="P27" s="94" t="s">
        <v>95</v>
      </c>
    </row>
    <row r="28" spans="1:16" ht="82.5" x14ac:dyDescent="0.35">
      <c r="A28" s="5" t="str">
        <f>_xlfn.XLOOKUP(B28,'Paso 3 Redacción RA '!I$3:I$11,'Paso 3 Redacción RA '!C$3:C$11,,0,1)</f>
        <v>Saberhacer</v>
      </c>
      <c r="B28" s="5" t="s">
        <v>604</v>
      </c>
      <c r="C28" s="74"/>
      <c r="D28" s="74"/>
      <c r="E28" s="76"/>
      <c r="F28" s="74"/>
      <c r="G28" s="74"/>
      <c r="H28" s="74"/>
      <c r="I28" s="83"/>
      <c r="J28" s="83"/>
      <c r="K28" s="83"/>
      <c r="L28" s="83"/>
      <c r="M28" s="76"/>
      <c r="N28" s="76"/>
      <c r="O28" s="97"/>
      <c r="P28" s="76"/>
    </row>
    <row r="29" spans="1:16" ht="66.5" thickBot="1" x14ac:dyDescent="0.4">
      <c r="A29" s="26" t="str">
        <f>_xlfn.XLOOKUP(B29,'Paso 3 Redacción RA '!I$3:I$11,'Paso 3 Redacción RA '!C$3:C$11,,0,1)</f>
        <v>Saberser</v>
      </c>
      <c r="B29" s="26" t="s">
        <v>605</v>
      </c>
      <c r="C29" s="78"/>
      <c r="D29" s="78"/>
      <c r="E29" s="95"/>
      <c r="F29" s="78"/>
      <c r="G29" s="78"/>
      <c r="H29" s="78"/>
      <c r="I29" s="84"/>
      <c r="J29" s="84"/>
      <c r="K29" s="84"/>
      <c r="L29" s="84"/>
      <c r="M29" s="95"/>
      <c r="N29" s="95"/>
      <c r="O29" s="98"/>
      <c r="P29" s="95"/>
    </row>
    <row r="30" spans="1:16" ht="49.5" x14ac:dyDescent="0.35">
      <c r="A30" s="27" t="str">
        <f>_xlfn.XLOOKUP(B30,'Paso 3 Redacción RA '!I$3:I$11,'Paso 3 Redacción RA '!C$3:C$11,,0,1)</f>
        <v>Saber</v>
      </c>
      <c r="B30" s="5" t="s">
        <v>603</v>
      </c>
      <c r="C30" s="79">
        <v>2</v>
      </c>
      <c r="D30" s="79" t="s">
        <v>639</v>
      </c>
      <c r="E30" s="94" t="s">
        <v>640</v>
      </c>
      <c r="F30" s="79" t="s">
        <v>624</v>
      </c>
      <c r="G30" s="79"/>
      <c r="H30" s="79" t="s">
        <v>652</v>
      </c>
      <c r="I30" s="82">
        <v>2</v>
      </c>
      <c r="J30" s="82">
        <f>I30*12</f>
        <v>24</v>
      </c>
      <c r="K30" s="82">
        <f>I30*36</f>
        <v>72</v>
      </c>
      <c r="L30" s="82">
        <f>SUM(J30:K30)</f>
        <v>96</v>
      </c>
      <c r="M30" s="94" t="s">
        <v>660</v>
      </c>
      <c r="N30" s="94" t="s">
        <v>669</v>
      </c>
      <c r="O30" s="96" t="s">
        <v>667</v>
      </c>
      <c r="P30" s="94" t="s">
        <v>95</v>
      </c>
    </row>
    <row r="31" spans="1:16" ht="82.5" x14ac:dyDescent="0.35">
      <c r="A31" s="5" t="str">
        <f>_xlfn.XLOOKUP(B31,'Paso 3 Redacción RA '!I$3:I$11,'Paso 3 Redacción RA '!C$3:C$11,,0,1)</f>
        <v>Saberhacer</v>
      </c>
      <c r="B31" s="5" t="s">
        <v>604</v>
      </c>
      <c r="C31" s="74"/>
      <c r="D31" s="74"/>
      <c r="E31" s="76"/>
      <c r="F31" s="74"/>
      <c r="G31" s="74"/>
      <c r="H31" s="74"/>
      <c r="I31" s="83"/>
      <c r="J31" s="83"/>
      <c r="K31" s="83"/>
      <c r="L31" s="83"/>
      <c r="M31" s="76"/>
      <c r="N31" s="76"/>
      <c r="O31" s="97"/>
      <c r="P31" s="76"/>
    </row>
    <row r="32" spans="1:16" ht="66.5" thickBot="1" x14ac:dyDescent="0.4">
      <c r="A32" s="26" t="str">
        <f>_xlfn.XLOOKUP(B32,'Paso 3 Redacción RA '!I$3:I$11,'Paso 3 Redacción RA '!C$3:C$11,,0,1)</f>
        <v>Saberser</v>
      </c>
      <c r="B32" s="26" t="s">
        <v>605</v>
      </c>
      <c r="C32" s="78"/>
      <c r="D32" s="78"/>
      <c r="E32" s="95"/>
      <c r="F32" s="78"/>
      <c r="G32" s="78"/>
      <c r="H32" s="78"/>
      <c r="I32" s="84"/>
      <c r="J32" s="84"/>
      <c r="K32" s="84"/>
      <c r="L32" s="84"/>
      <c r="M32" s="95"/>
      <c r="N32" s="95"/>
      <c r="O32" s="98"/>
      <c r="P32" s="95"/>
    </row>
    <row r="33" spans="1:16" ht="49.5" x14ac:dyDescent="0.35">
      <c r="A33" s="5" t="str">
        <f>_xlfn.XLOOKUP(B33,'Paso 3 Redacción RA '!I$3:I$11,'Paso 3 Redacción RA '!C$3:C$11,,0,1)</f>
        <v>Saber</v>
      </c>
      <c r="B33" s="5" t="s">
        <v>603</v>
      </c>
      <c r="C33" s="79">
        <v>2</v>
      </c>
      <c r="D33" s="79" t="s">
        <v>641</v>
      </c>
      <c r="E33" s="94" t="s">
        <v>642</v>
      </c>
      <c r="F33" s="79" t="s">
        <v>624</v>
      </c>
      <c r="G33" s="79"/>
      <c r="H33" s="79" t="s">
        <v>652</v>
      </c>
      <c r="I33" s="79">
        <v>3</v>
      </c>
      <c r="J33" s="82">
        <f>I33*12</f>
        <v>36</v>
      </c>
      <c r="K33" s="82">
        <f>I33*36</f>
        <v>108</v>
      </c>
      <c r="L33" s="79">
        <f>SUM(J33:K35)</f>
        <v>144</v>
      </c>
      <c r="M33" s="94" t="s">
        <v>661</v>
      </c>
      <c r="N33" s="94" t="s">
        <v>669</v>
      </c>
      <c r="O33" s="96" t="s">
        <v>667</v>
      </c>
      <c r="P33" s="94" t="s">
        <v>95</v>
      </c>
    </row>
    <row r="34" spans="1:16" ht="82.5" x14ac:dyDescent="0.35">
      <c r="A34" s="5" t="str">
        <f>_xlfn.XLOOKUP(B34,'Paso 3 Redacción RA '!I$3:I$11,'Paso 3 Redacción RA '!C$3:C$11,,0,1)</f>
        <v>Saberhacer</v>
      </c>
      <c r="B34" s="5" t="s">
        <v>604</v>
      </c>
      <c r="C34" s="74"/>
      <c r="D34" s="74"/>
      <c r="E34" s="76"/>
      <c r="F34" s="74"/>
      <c r="G34" s="74"/>
      <c r="H34" s="74"/>
      <c r="I34" s="74"/>
      <c r="J34" s="83"/>
      <c r="K34" s="83"/>
      <c r="L34" s="74"/>
      <c r="M34" s="76"/>
      <c r="N34" s="76"/>
      <c r="O34" s="97"/>
      <c r="P34" s="76"/>
    </row>
    <row r="35" spans="1:16" ht="66.5" thickBot="1" x14ac:dyDescent="0.4">
      <c r="A35" s="26" t="str">
        <f>_xlfn.XLOOKUP(B35,'Paso 3 Redacción RA '!I$3:I$11,'Paso 3 Redacción RA '!C$3:C$11,,0,1)</f>
        <v>Saberser</v>
      </c>
      <c r="B35" s="26" t="s">
        <v>605</v>
      </c>
      <c r="C35" s="78"/>
      <c r="D35" s="78"/>
      <c r="E35" s="95"/>
      <c r="F35" s="78"/>
      <c r="G35" s="78"/>
      <c r="H35" s="78"/>
      <c r="I35" s="78"/>
      <c r="J35" s="84"/>
      <c r="K35" s="84"/>
      <c r="L35" s="78"/>
      <c r="M35" s="95"/>
      <c r="N35" s="95"/>
      <c r="O35" s="98"/>
      <c r="P35" s="95"/>
    </row>
    <row r="36" spans="1:16" ht="49.5" x14ac:dyDescent="0.35">
      <c r="A36" s="27" t="str">
        <f>_xlfn.XLOOKUP(B36,'Paso 3 Redacción RA '!I$3:I$11,'Paso 3 Redacción RA '!C$3:C$11,,0,1)</f>
        <v>Saber</v>
      </c>
      <c r="B36" s="5" t="s">
        <v>603</v>
      </c>
      <c r="C36" s="79">
        <v>2</v>
      </c>
      <c r="D36" s="79" t="s">
        <v>643</v>
      </c>
      <c r="E36" s="94" t="s">
        <v>644</v>
      </c>
      <c r="F36" s="79" t="s">
        <v>624</v>
      </c>
      <c r="G36" s="79"/>
      <c r="H36" s="79" t="s">
        <v>652</v>
      </c>
      <c r="I36" s="82">
        <v>2</v>
      </c>
      <c r="J36" s="82">
        <f>I36*12</f>
        <v>24</v>
      </c>
      <c r="K36" s="82">
        <f>I36*36</f>
        <v>72</v>
      </c>
      <c r="L36" s="82">
        <f>SUM(J36:K38)</f>
        <v>96</v>
      </c>
      <c r="M36" s="94" t="s">
        <v>662</v>
      </c>
      <c r="N36" s="94" t="s">
        <v>669</v>
      </c>
      <c r="O36" s="96" t="s">
        <v>667</v>
      </c>
      <c r="P36" s="94" t="s">
        <v>95</v>
      </c>
    </row>
    <row r="37" spans="1:16" ht="82.5" x14ac:dyDescent="0.35">
      <c r="A37" s="5" t="str">
        <f>_xlfn.XLOOKUP(B37,'Paso 3 Redacción RA '!I$3:I$11,'Paso 3 Redacción RA '!C$3:C$11,,0,1)</f>
        <v>Saberhacer</v>
      </c>
      <c r="B37" s="5" t="s">
        <v>604</v>
      </c>
      <c r="C37" s="74"/>
      <c r="D37" s="74"/>
      <c r="E37" s="76"/>
      <c r="F37" s="74"/>
      <c r="G37" s="74"/>
      <c r="H37" s="74"/>
      <c r="I37" s="83"/>
      <c r="J37" s="83"/>
      <c r="K37" s="83"/>
      <c r="L37" s="83"/>
      <c r="M37" s="76"/>
      <c r="N37" s="76"/>
      <c r="O37" s="97"/>
      <c r="P37" s="76" t="s">
        <v>98</v>
      </c>
    </row>
    <row r="38" spans="1:16" ht="66.5" thickBot="1" x14ac:dyDescent="0.4">
      <c r="A38" s="26" t="str">
        <f>_xlfn.XLOOKUP(B38,'Paso 3 Redacción RA '!I$3:I$11,'Paso 3 Redacción RA '!C$3:C$11,,0,1)</f>
        <v>Saberser</v>
      </c>
      <c r="B38" s="26" t="s">
        <v>605</v>
      </c>
      <c r="C38" s="78"/>
      <c r="D38" s="78"/>
      <c r="E38" s="95"/>
      <c r="F38" s="78"/>
      <c r="G38" s="78"/>
      <c r="H38" s="78"/>
      <c r="I38" s="84"/>
      <c r="J38" s="84"/>
      <c r="K38" s="84"/>
      <c r="L38" s="84"/>
      <c r="M38" s="95"/>
      <c r="N38" s="95"/>
      <c r="O38" s="98"/>
      <c r="P38" s="95"/>
    </row>
    <row r="39" spans="1:16" ht="49.5" x14ac:dyDescent="0.35">
      <c r="A39" s="5" t="str">
        <f>_xlfn.XLOOKUP(B39,'Paso 3 Redacción RA '!I$3:I$11,'Paso 3 Redacción RA '!C$3:C$11,,0,1)</f>
        <v>Saber</v>
      </c>
      <c r="B39" s="5" t="s">
        <v>603</v>
      </c>
      <c r="C39" s="79">
        <v>3</v>
      </c>
      <c r="D39" s="79" t="s">
        <v>645</v>
      </c>
      <c r="E39" s="94" t="s">
        <v>646</v>
      </c>
      <c r="F39" s="79" t="s">
        <v>624</v>
      </c>
      <c r="G39" s="79"/>
      <c r="H39" s="79" t="s">
        <v>652</v>
      </c>
      <c r="I39" s="82">
        <v>3</v>
      </c>
      <c r="J39" s="82">
        <f>I39*12</f>
        <v>36</v>
      </c>
      <c r="K39" s="82">
        <f>I39*36</f>
        <v>108</v>
      </c>
      <c r="L39" s="82">
        <f>SUM(J39:K39)</f>
        <v>144</v>
      </c>
      <c r="M39" s="94" t="s">
        <v>663</v>
      </c>
      <c r="N39" s="94" t="s">
        <v>669</v>
      </c>
      <c r="O39" s="96" t="s">
        <v>667</v>
      </c>
      <c r="P39" s="94" t="s">
        <v>95</v>
      </c>
    </row>
    <row r="40" spans="1:16" ht="82.5" x14ac:dyDescent="0.35">
      <c r="A40" s="5" t="str">
        <f>_xlfn.XLOOKUP(B40,'Paso 3 Redacción RA '!I$3:I$11,'Paso 3 Redacción RA '!C$3:C$11,,0,1)</f>
        <v>Saberhacer</v>
      </c>
      <c r="B40" s="5" t="s">
        <v>604</v>
      </c>
      <c r="C40" s="74"/>
      <c r="D40" s="74"/>
      <c r="E40" s="76"/>
      <c r="F40" s="74"/>
      <c r="G40" s="74"/>
      <c r="H40" s="74"/>
      <c r="I40" s="83"/>
      <c r="J40" s="83"/>
      <c r="K40" s="83"/>
      <c r="L40" s="83"/>
      <c r="M40" s="76"/>
      <c r="N40" s="76"/>
      <c r="O40" s="97"/>
      <c r="P40" s="76"/>
    </row>
    <row r="41" spans="1:16" ht="66.5" thickBot="1" x14ac:dyDescent="0.4">
      <c r="A41" s="26" t="str">
        <f>_xlfn.XLOOKUP(B41,'Paso 3 Redacción RA '!I$3:I$11,'Paso 3 Redacción RA '!C$3:C$11,,0,1)</f>
        <v>Saberser</v>
      </c>
      <c r="B41" s="26" t="s">
        <v>605</v>
      </c>
      <c r="C41" s="78"/>
      <c r="D41" s="78"/>
      <c r="E41" s="95"/>
      <c r="F41" s="78"/>
      <c r="G41" s="78"/>
      <c r="H41" s="78"/>
      <c r="I41" s="84"/>
      <c r="J41" s="84"/>
      <c r="K41" s="84"/>
      <c r="L41" s="84"/>
      <c r="M41" s="95"/>
      <c r="N41" s="95"/>
      <c r="O41" s="98"/>
      <c r="P41" s="95"/>
    </row>
    <row r="42" spans="1:16" ht="49.5" x14ac:dyDescent="0.35">
      <c r="A42" s="27" t="str">
        <f>_xlfn.XLOOKUP(B42,'Paso 3 Redacción RA '!I$3:I$11,'Paso 3 Redacción RA '!C$3:C$11,,0,1)</f>
        <v>Saber</v>
      </c>
      <c r="B42" s="5" t="s">
        <v>603</v>
      </c>
      <c r="C42" s="79">
        <v>3</v>
      </c>
      <c r="D42" s="79" t="s">
        <v>647</v>
      </c>
      <c r="E42" s="94" t="s">
        <v>648</v>
      </c>
      <c r="F42" s="79" t="s">
        <v>624</v>
      </c>
      <c r="G42" s="79"/>
      <c r="H42" s="79" t="s">
        <v>652</v>
      </c>
      <c r="I42" s="82">
        <v>3</v>
      </c>
      <c r="J42" s="82">
        <f>I42*12</f>
        <v>36</v>
      </c>
      <c r="K42" s="82">
        <f>I42*36</f>
        <v>108</v>
      </c>
      <c r="L42" s="82">
        <f>SUM(J42:K42)</f>
        <v>144</v>
      </c>
      <c r="M42" s="94" t="s">
        <v>664</v>
      </c>
      <c r="N42" s="94" t="s">
        <v>669</v>
      </c>
      <c r="O42" s="96" t="s">
        <v>667</v>
      </c>
      <c r="P42" s="94" t="s">
        <v>95</v>
      </c>
    </row>
    <row r="43" spans="1:16" ht="82.5" x14ac:dyDescent="0.35">
      <c r="A43" s="5" t="str">
        <f>_xlfn.XLOOKUP(B43,'Paso 3 Redacción RA '!I$3:I$11,'Paso 3 Redacción RA '!C$3:C$11,,0,1)</f>
        <v>Saberhacer</v>
      </c>
      <c r="B43" s="5" t="s">
        <v>604</v>
      </c>
      <c r="C43" s="74"/>
      <c r="D43" s="74"/>
      <c r="E43" s="76"/>
      <c r="F43" s="74"/>
      <c r="G43" s="74"/>
      <c r="H43" s="74"/>
      <c r="I43" s="83"/>
      <c r="J43" s="83"/>
      <c r="K43" s="83"/>
      <c r="L43" s="83"/>
      <c r="M43" s="76"/>
      <c r="N43" s="76"/>
      <c r="O43" s="97"/>
      <c r="P43" s="76"/>
    </row>
    <row r="44" spans="1:16" ht="66.5" thickBot="1" x14ac:dyDescent="0.4">
      <c r="A44" s="26" t="str">
        <f>_xlfn.XLOOKUP(B44,'Paso 3 Redacción RA '!I$3:I$11,'Paso 3 Redacción RA '!C$3:C$11,,0,1)</f>
        <v>Saberser</v>
      </c>
      <c r="B44" s="26" t="s">
        <v>605</v>
      </c>
      <c r="C44" s="78"/>
      <c r="D44" s="78"/>
      <c r="E44" s="95"/>
      <c r="F44" s="78"/>
      <c r="G44" s="78"/>
      <c r="H44" s="78"/>
      <c r="I44" s="84"/>
      <c r="J44" s="84"/>
      <c r="K44" s="84"/>
      <c r="L44" s="84"/>
      <c r="M44" s="95"/>
      <c r="N44" s="95"/>
      <c r="O44" s="98"/>
      <c r="P44" s="95"/>
    </row>
    <row r="45" spans="1:16" ht="49.5" x14ac:dyDescent="0.35">
      <c r="A45" s="27" t="str">
        <f>_xlfn.XLOOKUP(B45,'Paso 3 Redacción RA '!I$3:I$11,'Paso 3 Redacción RA '!C$3:C$11,,0,1)</f>
        <v>Saber</v>
      </c>
      <c r="B45" s="5" t="s">
        <v>603</v>
      </c>
      <c r="C45" s="79">
        <v>3</v>
      </c>
      <c r="D45" s="79" t="s">
        <v>649</v>
      </c>
      <c r="E45" s="94" t="s">
        <v>650</v>
      </c>
      <c r="F45" s="79" t="s">
        <v>624</v>
      </c>
      <c r="G45" s="79"/>
      <c r="H45" s="79" t="s">
        <v>652</v>
      </c>
      <c r="I45" s="82">
        <v>6</v>
      </c>
      <c r="J45" s="82">
        <f>I45*12</f>
        <v>72</v>
      </c>
      <c r="K45" s="82">
        <f>I45*36</f>
        <v>216</v>
      </c>
      <c r="L45" s="82">
        <f>SUM(J45:K45)</f>
        <v>288</v>
      </c>
      <c r="M45" s="94" t="s">
        <v>665</v>
      </c>
      <c r="N45" s="94" t="s">
        <v>669</v>
      </c>
      <c r="O45" s="96" t="s">
        <v>667</v>
      </c>
      <c r="P45" s="94" t="s">
        <v>95</v>
      </c>
    </row>
    <row r="46" spans="1:16" ht="82.5" x14ac:dyDescent="0.35">
      <c r="A46" s="5" t="str">
        <f>_xlfn.XLOOKUP(B46,'Paso 3 Redacción RA '!I$3:I$11,'Paso 3 Redacción RA '!C$3:C$11,,0,1)</f>
        <v>Saberhacer</v>
      </c>
      <c r="B46" s="5" t="s">
        <v>604</v>
      </c>
      <c r="C46" s="74"/>
      <c r="D46" s="74"/>
      <c r="E46" s="76"/>
      <c r="F46" s="74"/>
      <c r="G46" s="74"/>
      <c r="H46" s="74"/>
      <c r="I46" s="83"/>
      <c r="J46" s="83"/>
      <c r="K46" s="83"/>
      <c r="L46" s="83"/>
      <c r="M46" s="76"/>
      <c r="N46" s="76"/>
      <c r="O46" s="97"/>
      <c r="P46" s="76"/>
    </row>
    <row r="47" spans="1:16" ht="66.5" thickBot="1" x14ac:dyDescent="0.4">
      <c r="A47" s="26" t="str">
        <f>_xlfn.XLOOKUP(B47,'Paso 3 Redacción RA '!I$3:I$11,'Paso 3 Redacción RA '!C$3:C$11,,0,1)</f>
        <v>Saberser</v>
      </c>
      <c r="B47" s="26" t="s">
        <v>605</v>
      </c>
      <c r="C47" s="78"/>
      <c r="D47" s="78"/>
      <c r="E47" s="95"/>
      <c r="F47" s="78"/>
      <c r="G47" s="78"/>
      <c r="H47" s="78"/>
      <c r="I47" s="84"/>
      <c r="J47" s="84"/>
      <c r="K47" s="84"/>
      <c r="L47" s="84"/>
      <c r="M47" s="95"/>
      <c r="N47" s="95"/>
      <c r="O47" s="98"/>
      <c r="P47" s="95"/>
    </row>
    <row r="48" spans="1:16" ht="34.5" customHeight="1" thickBot="1" x14ac:dyDescent="0.4">
      <c r="A48" s="68"/>
      <c r="B48" s="68"/>
      <c r="C48" s="69">
        <v>3</v>
      </c>
      <c r="D48" s="69" t="s">
        <v>651</v>
      </c>
      <c r="E48" s="69"/>
      <c r="F48" s="69"/>
      <c r="G48" s="69"/>
      <c r="H48" s="69" t="s">
        <v>652</v>
      </c>
      <c r="I48" s="70">
        <v>3</v>
      </c>
      <c r="J48" s="70"/>
      <c r="K48" s="70"/>
      <c r="L48" s="70"/>
      <c r="M48" s="71"/>
      <c r="N48" s="71"/>
      <c r="O48" s="72"/>
      <c r="P48" s="71"/>
    </row>
    <row r="49" spans="3:9" ht="33" x14ac:dyDescent="0.35">
      <c r="C49" s="65" t="s">
        <v>99</v>
      </c>
      <c r="D49" s="53">
        <f>COUNTA(D3:D48)</f>
        <v>16</v>
      </c>
      <c r="H49" s="66" t="s">
        <v>100</v>
      </c>
      <c r="I49" s="67">
        <f>SUM(I3:I48)</f>
        <v>45</v>
      </c>
    </row>
    <row r="50" spans="3:9" ht="33" x14ac:dyDescent="0.35">
      <c r="H50" s="51" t="s">
        <v>101</v>
      </c>
      <c r="I50" s="52">
        <f>SUMIF(G3:G48,"X",I3:I48)</f>
        <v>15</v>
      </c>
    </row>
    <row r="51" spans="3:9" ht="33" x14ac:dyDescent="0.35">
      <c r="H51" s="51" t="s">
        <v>102</v>
      </c>
      <c r="I51" s="52">
        <f>SUMIF(H3:H48,"X",I3:I48)</f>
        <v>30</v>
      </c>
    </row>
  </sheetData>
  <mergeCells count="211">
    <mergeCell ref="C15:C17"/>
    <mergeCell ref="D15:D17"/>
    <mergeCell ref="E15:E17"/>
    <mergeCell ref="G15:G17"/>
    <mergeCell ref="H15:H17"/>
    <mergeCell ref="I15:I17"/>
    <mergeCell ref="J15:J17"/>
    <mergeCell ref="K15:K17"/>
    <mergeCell ref="C24:C26"/>
    <mergeCell ref="D24:D26"/>
    <mergeCell ref="E24:E26"/>
    <mergeCell ref="G24:G26"/>
    <mergeCell ref="H24:H26"/>
    <mergeCell ref="I24:I26"/>
    <mergeCell ref="J24:J26"/>
    <mergeCell ref="K24:K26"/>
    <mergeCell ref="C21:C23"/>
    <mergeCell ref="D21:D23"/>
    <mergeCell ref="E21:E23"/>
    <mergeCell ref="F15:F17"/>
    <mergeCell ref="F18:F20"/>
    <mergeCell ref="F21:F23"/>
    <mergeCell ref="F24:F26"/>
    <mergeCell ref="D27:D29"/>
    <mergeCell ref="I27:I29"/>
    <mergeCell ref="P27:P29"/>
    <mergeCell ref="O27:O29"/>
    <mergeCell ref="N27:N29"/>
    <mergeCell ref="C18:C20"/>
    <mergeCell ref="D18:D20"/>
    <mergeCell ref="E18:E20"/>
    <mergeCell ref="G18:G20"/>
    <mergeCell ref="H18:H20"/>
    <mergeCell ref="I18:I20"/>
    <mergeCell ref="J18:J20"/>
    <mergeCell ref="K18:K20"/>
    <mergeCell ref="L18:L20"/>
    <mergeCell ref="M18:M20"/>
    <mergeCell ref="N18:N20"/>
    <mergeCell ref="C27:C29"/>
    <mergeCell ref="N24:N26"/>
    <mergeCell ref="O24:O26"/>
    <mergeCell ref="P24:P26"/>
    <mergeCell ref="N21:N23"/>
    <mergeCell ref="G27:G29"/>
    <mergeCell ref="H27:H29"/>
    <mergeCell ref="M27:M29"/>
    <mergeCell ref="E27:E29"/>
    <mergeCell ref="M12:M14"/>
    <mergeCell ref="L12:L14"/>
    <mergeCell ref="K12:K14"/>
    <mergeCell ref="J12:J14"/>
    <mergeCell ref="I12:I14"/>
    <mergeCell ref="H12:H14"/>
    <mergeCell ref="L15:L17"/>
    <mergeCell ref="M15:M17"/>
    <mergeCell ref="M24:M26"/>
    <mergeCell ref="K21:K23"/>
    <mergeCell ref="L21:L23"/>
    <mergeCell ref="L24:L26"/>
    <mergeCell ref="F12:F14"/>
    <mergeCell ref="F27:F29"/>
    <mergeCell ref="L27:L29"/>
    <mergeCell ref="K27:K29"/>
    <mergeCell ref="J27:J29"/>
    <mergeCell ref="G21:G23"/>
    <mergeCell ref="H21:H23"/>
    <mergeCell ref="I21:I23"/>
    <mergeCell ref="J21:J23"/>
    <mergeCell ref="M21:M23"/>
    <mergeCell ref="C12:C14"/>
    <mergeCell ref="D12:D14"/>
    <mergeCell ref="E12:E14"/>
    <mergeCell ref="G12:G14"/>
    <mergeCell ref="N9:N11"/>
    <mergeCell ref="N12:N14"/>
    <mergeCell ref="F3:F5"/>
    <mergeCell ref="G1:H1"/>
    <mergeCell ref="O12:O14"/>
    <mergeCell ref="L6:L8"/>
    <mergeCell ref="C6:C8"/>
    <mergeCell ref="D6:D8"/>
    <mergeCell ref="E6:E8"/>
    <mergeCell ref="G6:G8"/>
    <mergeCell ref="C9:C11"/>
    <mergeCell ref="D9:D11"/>
    <mergeCell ref="E9:E11"/>
    <mergeCell ref="G9:G11"/>
    <mergeCell ref="H9:H11"/>
    <mergeCell ref="I9:I11"/>
    <mergeCell ref="J9:J11"/>
    <mergeCell ref="K9:K11"/>
    <mergeCell ref="H6:H8"/>
    <mergeCell ref="I6:I8"/>
    <mergeCell ref="C3:C5"/>
    <mergeCell ref="D3:D5"/>
    <mergeCell ref="E3:E5"/>
    <mergeCell ref="G3:G5"/>
    <mergeCell ref="H3:H5"/>
    <mergeCell ref="I3:I5"/>
    <mergeCell ref="N3:N5"/>
    <mergeCell ref="M3:M5"/>
    <mergeCell ref="L9:L11"/>
    <mergeCell ref="M9:M11"/>
    <mergeCell ref="J3:J5"/>
    <mergeCell ref="K3:K5"/>
    <mergeCell ref="L3:L5"/>
    <mergeCell ref="J6:J8"/>
    <mergeCell ref="K6:K8"/>
    <mergeCell ref="F6:F8"/>
    <mergeCell ref="F9:F11"/>
    <mergeCell ref="P12:P14"/>
    <mergeCell ref="O9:O11"/>
    <mergeCell ref="P9:P11"/>
    <mergeCell ref="P6:P8"/>
    <mergeCell ref="P3:P5"/>
    <mergeCell ref="N6:N8"/>
    <mergeCell ref="M6:M8"/>
    <mergeCell ref="O6:O8"/>
    <mergeCell ref="O3:O5"/>
    <mergeCell ref="O18:O20"/>
    <mergeCell ref="P18:P20"/>
    <mergeCell ref="O15:O17"/>
    <mergeCell ref="P15:P17"/>
    <mergeCell ref="N15:N17"/>
    <mergeCell ref="O21:O23"/>
    <mergeCell ref="P21:P23"/>
    <mergeCell ref="L30:L32"/>
    <mergeCell ref="M30:M32"/>
    <mergeCell ref="N30:N32"/>
    <mergeCell ref="O30:O32"/>
    <mergeCell ref="P30:P32"/>
    <mergeCell ref="L33:L35"/>
    <mergeCell ref="M33:M35"/>
    <mergeCell ref="N33:N35"/>
    <mergeCell ref="O33:O35"/>
    <mergeCell ref="P33:P35"/>
    <mergeCell ref="C30:C32"/>
    <mergeCell ref="D30:D32"/>
    <mergeCell ref="E30:E32"/>
    <mergeCell ref="F30:F32"/>
    <mergeCell ref="G30:G32"/>
    <mergeCell ref="C33:C35"/>
    <mergeCell ref="D33:D35"/>
    <mergeCell ref="E33:E35"/>
    <mergeCell ref="F33:F35"/>
    <mergeCell ref="G33:G35"/>
    <mergeCell ref="H33:H35"/>
    <mergeCell ref="I33:I35"/>
    <mergeCell ref="J33:J35"/>
    <mergeCell ref="K33:K35"/>
    <mergeCell ref="H30:H32"/>
    <mergeCell ref="I30:I32"/>
    <mergeCell ref="J30:J32"/>
    <mergeCell ref="K30:K32"/>
    <mergeCell ref="C36:C38"/>
    <mergeCell ref="D36:D38"/>
    <mergeCell ref="E36:E38"/>
    <mergeCell ref="F36:F38"/>
    <mergeCell ref="G36:G38"/>
    <mergeCell ref="H36:H38"/>
    <mergeCell ref="I36:I38"/>
    <mergeCell ref="J36:J38"/>
    <mergeCell ref="K36:K38"/>
    <mergeCell ref="M42:M44"/>
    <mergeCell ref="N42:N44"/>
    <mergeCell ref="O42:O44"/>
    <mergeCell ref="P42:P44"/>
    <mergeCell ref="C39:C41"/>
    <mergeCell ref="D39:D41"/>
    <mergeCell ref="E39:E41"/>
    <mergeCell ref="F39:F41"/>
    <mergeCell ref="G39:G41"/>
    <mergeCell ref="H39:H41"/>
    <mergeCell ref="I39:I41"/>
    <mergeCell ref="J39:J41"/>
    <mergeCell ref="K39:K41"/>
    <mergeCell ref="L36:L38"/>
    <mergeCell ref="M36:M38"/>
    <mergeCell ref="N36:N38"/>
    <mergeCell ref="O36:O38"/>
    <mergeCell ref="P36:P38"/>
    <mergeCell ref="L39:L41"/>
    <mergeCell ref="M39:M41"/>
    <mergeCell ref="N39:N41"/>
    <mergeCell ref="O39:O41"/>
    <mergeCell ref="P39:P41"/>
    <mergeCell ref="L45:L47"/>
    <mergeCell ref="M45:M47"/>
    <mergeCell ref="N45:N47"/>
    <mergeCell ref="O45:O47"/>
    <mergeCell ref="P45:P47"/>
    <mergeCell ref="C42:C44"/>
    <mergeCell ref="D42:D44"/>
    <mergeCell ref="E42:E44"/>
    <mergeCell ref="F42:F44"/>
    <mergeCell ref="G42:G44"/>
    <mergeCell ref="C45:C47"/>
    <mergeCell ref="D45:D47"/>
    <mergeCell ref="E45:E47"/>
    <mergeCell ref="F45:F47"/>
    <mergeCell ref="G45:G47"/>
    <mergeCell ref="H45:H47"/>
    <mergeCell ref="I45:I47"/>
    <mergeCell ref="J45:J47"/>
    <mergeCell ref="K45:K47"/>
    <mergeCell ref="H42:H44"/>
    <mergeCell ref="I42:I44"/>
    <mergeCell ref="J42:J44"/>
    <mergeCell ref="K42:K44"/>
    <mergeCell ref="L42:L44"/>
  </mergeCells>
  <dataValidations count="1">
    <dataValidation type="list" allowBlank="1" showInputMessage="1" showErrorMessage="1" sqref="B3:B62" xr:uid="{149936BB-E9F7-467B-9B8A-466861C21273}">
      <formula1>resultadoaprendizaje</formula1>
    </dataValidation>
  </dataValidations>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FCBD-ADC1-40F4-BFE8-98BA12AA9611}">
  <dimension ref="B1:D38"/>
  <sheetViews>
    <sheetView workbookViewId="0">
      <selection activeCell="D16" sqref="D16"/>
    </sheetView>
  </sheetViews>
  <sheetFormatPr baseColWidth="10" defaultColWidth="11.453125" defaultRowHeight="14.5" x14ac:dyDescent="0.35"/>
  <cols>
    <col min="2" max="2" width="27.1796875" customWidth="1"/>
    <col min="4" max="4" width="99.26953125" customWidth="1"/>
  </cols>
  <sheetData>
    <row r="1" spans="2:4" ht="30.5" x14ac:dyDescent="0.5">
      <c r="B1" s="1" t="s">
        <v>103</v>
      </c>
      <c r="D1" s="22" t="s">
        <v>104</v>
      </c>
    </row>
    <row r="2" spans="2:4" ht="16.5" x14ac:dyDescent="0.5">
      <c r="B2" s="1" t="s">
        <v>105</v>
      </c>
    </row>
    <row r="3" spans="2:4" ht="16.5" x14ac:dyDescent="0.5">
      <c r="B3" s="1" t="s">
        <v>106</v>
      </c>
    </row>
    <row r="4" spans="2:4" ht="16.5" x14ac:dyDescent="0.5">
      <c r="B4" s="1" t="s">
        <v>597</v>
      </c>
    </row>
    <row r="5" spans="2:4" ht="16.5" x14ac:dyDescent="0.5">
      <c r="B5" s="1" t="s">
        <v>107</v>
      </c>
    </row>
    <row r="6" spans="2:4" ht="16.5" x14ac:dyDescent="0.5">
      <c r="B6" s="1" t="s">
        <v>108</v>
      </c>
    </row>
    <row r="7" spans="2:4" ht="16.5" x14ac:dyDescent="0.5">
      <c r="B7" s="1" t="s">
        <v>109</v>
      </c>
    </row>
    <row r="8" spans="2:4" ht="16.5" x14ac:dyDescent="0.5">
      <c r="B8" s="1" t="s">
        <v>110</v>
      </c>
    </row>
    <row r="9" spans="2:4" ht="16.5" x14ac:dyDescent="0.5">
      <c r="B9" s="1" t="s">
        <v>111</v>
      </c>
    </row>
    <row r="10" spans="2:4" ht="16.5" x14ac:dyDescent="0.5">
      <c r="B10" s="1" t="s">
        <v>112</v>
      </c>
    </row>
    <row r="11" spans="2:4" ht="16.5" x14ac:dyDescent="0.5">
      <c r="B11" s="1" t="s">
        <v>113</v>
      </c>
    </row>
    <row r="12" spans="2:4" ht="16.5" x14ac:dyDescent="0.5">
      <c r="B12" s="1" t="s">
        <v>114</v>
      </c>
    </row>
    <row r="13" spans="2:4" ht="16.5" x14ac:dyDescent="0.5">
      <c r="B13" s="1" t="s">
        <v>115</v>
      </c>
    </row>
    <row r="14" spans="2:4" ht="16.5" x14ac:dyDescent="0.5">
      <c r="B14" s="1" t="s">
        <v>116</v>
      </c>
    </row>
    <row r="15" spans="2:4" ht="16.5" x14ac:dyDescent="0.5">
      <c r="B15" s="1" t="s">
        <v>117</v>
      </c>
    </row>
    <row r="16" spans="2:4" ht="16.5" x14ac:dyDescent="0.5">
      <c r="B16" s="1" t="s">
        <v>118</v>
      </c>
    </row>
    <row r="17" spans="2:2" ht="16.5" x14ac:dyDescent="0.5">
      <c r="B17" s="1" t="s">
        <v>119</v>
      </c>
    </row>
    <row r="18" spans="2:2" ht="16.5" x14ac:dyDescent="0.5">
      <c r="B18" s="1" t="s">
        <v>120</v>
      </c>
    </row>
    <row r="19" spans="2:2" ht="16.5" x14ac:dyDescent="0.5">
      <c r="B19" s="1" t="s">
        <v>121</v>
      </c>
    </row>
    <row r="20" spans="2:2" ht="16.5" x14ac:dyDescent="0.5">
      <c r="B20" s="1" t="s">
        <v>122</v>
      </c>
    </row>
    <row r="21" spans="2:2" ht="16.5" x14ac:dyDescent="0.5">
      <c r="B21" s="1" t="s">
        <v>123</v>
      </c>
    </row>
    <row r="22" spans="2:2" ht="16.5" x14ac:dyDescent="0.5">
      <c r="B22" s="1" t="s">
        <v>124</v>
      </c>
    </row>
    <row r="23" spans="2:2" ht="16.5" x14ac:dyDescent="0.5">
      <c r="B23" s="1" t="s">
        <v>125</v>
      </c>
    </row>
    <row r="24" spans="2:2" ht="16.5" x14ac:dyDescent="0.5">
      <c r="B24" s="1" t="s">
        <v>126</v>
      </c>
    </row>
    <row r="25" spans="2:2" ht="16.5" x14ac:dyDescent="0.5">
      <c r="B25" s="1" t="s">
        <v>127</v>
      </c>
    </row>
    <row r="26" spans="2:2" ht="16.5" x14ac:dyDescent="0.5">
      <c r="B26" s="1" t="s">
        <v>128</v>
      </c>
    </row>
    <row r="27" spans="2:2" ht="16.5" x14ac:dyDescent="0.5">
      <c r="B27" s="1" t="s">
        <v>129</v>
      </c>
    </row>
    <row r="28" spans="2:2" ht="16.5" x14ac:dyDescent="0.5">
      <c r="B28" s="1" t="s">
        <v>130</v>
      </c>
    </row>
    <row r="29" spans="2:2" ht="16.5" x14ac:dyDescent="0.5">
      <c r="B29" s="1" t="s">
        <v>131</v>
      </c>
    </row>
    <row r="30" spans="2:2" ht="16.5" x14ac:dyDescent="0.5">
      <c r="B30" s="1" t="s">
        <v>132</v>
      </c>
    </row>
    <row r="31" spans="2:2" ht="16.5" x14ac:dyDescent="0.5">
      <c r="B31" s="1" t="s">
        <v>133</v>
      </c>
    </row>
    <row r="32" spans="2:2" ht="16.5" x14ac:dyDescent="0.5">
      <c r="B32" s="1" t="s">
        <v>134</v>
      </c>
    </row>
    <row r="33" spans="2:2" ht="16.5" x14ac:dyDescent="0.5">
      <c r="B33" s="1" t="s">
        <v>135</v>
      </c>
    </row>
    <row r="34" spans="2:2" ht="16.5" x14ac:dyDescent="0.5">
      <c r="B34" s="1" t="s">
        <v>136</v>
      </c>
    </row>
    <row r="35" spans="2:2" ht="16.5" x14ac:dyDescent="0.5">
      <c r="B35" s="1" t="s">
        <v>137</v>
      </c>
    </row>
    <row r="36" spans="2:2" ht="16.5" x14ac:dyDescent="0.5">
      <c r="B36" s="1" t="s">
        <v>138</v>
      </c>
    </row>
    <row r="37" spans="2:2" ht="16.5" x14ac:dyDescent="0.5">
      <c r="B37" s="1" t="s">
        <v>139</v>
      </c>
    </row>
    <row r="38" spans="2:2" ht="16.5" x14ac:dyDescent="0.5">
      <c r="B38" s="1" t="s">
        <v>140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K108"/>
  <sheetViews>
    <sheetView topLeftCell="R1" zoomScale="66" workbookViewId="0">
      <selection activeCell="AE44" sqref="AE44"/>
    </sheetView>
  </sheetViews>
  <sheetFormatPr baseColWidth="10" defaultColWidth="11.453125" defaultRowHeight="16.5" x14ac:dyDescent="0.5"/>
  <cols>
    <col min="1" max="1" width="20.453125" style="1" customWidth="1"/>
    <col min="2" max="2" width="14.26953125" style="1" customWidth="1"/>
    <col min="3" max="3" width="22.1796875" style="1" customWidth="1"/>
    <col min="4" max="4" width="21.54296875" style="1" customWidth="1"/>
    <col min="5" max="5" width="22.81640625" style="1" customWidth="1"/>
    <col min="6" max="6" width="16.81640625" style="1" customWidth="1"/>
    <col min="7" max="7" width="21.81640625" style="1" customWidth="1"/>
    <col min="8" max="8" width="26.1796875" style="1" customWidth="1"/>
    <col min="9" max="9" width="25.26953125" style="1" customWidth="1"/>
    <col min="10" max="10" width="24.453125" style="1" customWidth="1"/>
    <col min="11" max="11" width="15.26953125" style="1" customWidth="1"/>
    <col min="12" max="17" width="17.7265625" style="1" customWidth="1"/>
    <col min="18" max="18" width="22.54296875" style="1" customWidth="1"/>
    <col min="19" max="33" width="17.453125" style="1" customWidth="1"/>
    <col min="34" max="36" width="13.1796875" style="1" customWidth="1"/>
    <col min="37" max="37" width="14.54296875" style="1" customWidth="1"/>
    <col min="38" max="38" width="23.1796875" style="1" bestFit="1" customWidth="1"/>
    <col min="39" max="39" width="18" style="1" customWidth="1"/>
    <col min="40" max="40" width="20.453125" style="1" bestFit="1" customWidth="1"/>
    <col min="41" max="41" width="21.81640625" style="1" bestFit="1" customWidth="1"/>
    <col min="42" max="42" width="17.453125" style="1" bestFit="1" customWidth="1"/>
    <col min="43" max="43" width="18.54296875" style="1" bestFit="1" customWidth="1"/>
    <col min="44" max="44" width="16.7265625" style="1" customWidth="1"/>
    <col min="45" max="45" width="26.54296875" style="1" bestFit="1" customWidth="1"/>
    <col min="46" max="46" width="21.54296875" style="1" bestFit="1" customWidth="1"/>
    <col min="47" max="47" width="19.1796875" style="1" bestFit="1" customWidth="1"/>
    <col min="48" max="48" width="24.1796875" style="1" bestFit="1" customWidth="1"/>
    <col min="49" max="49" width="24.81640625" style="1" bestFit="1" customWidth="1"/>
    <col min="50" max="50" width="23.1796875" style="1" bestFit="1" customWidth="1"/>
    <col min="51" max="51" width="22.26953125" style="1" bestFit="1" customWidth="1"/>
    <col min="52" max="52" width="32.1796875" style="1" bestFit="1" customWidth="1"/>
    <col min="53" max="53" width="13.26953125" style="1" customWidth="1"/>
    <col min="54" max="54" width="23.81640625" style="1" customWidth="1"/>
    <col min="55" max="55" width="22.54296875" style="1" customWidth="1"/>
    <col min="56" max="56" width="21.453125" style="1" customWidth="1"/>
    <col min="57" max="57" width="25" style="1" customWidth="1"/>
    <col min="58" max="58" width="24.7265625" style="1" customWidth="1"/>
    <col min="59" max="59" width="22.7265625" style="1" customWidth="1"/>
    <col min="60" max="63" width="13.26953125" style="1" customWidth="1"/>
    <col min="64" max="16384" width="11.453125" style="1"/>
  </cols>
  <sheetData>
    <row r="1" spans="1:63" x14ac:dyDescent="0.5">
      <c r="S1" s="110" t="s">
        <v>141</v>
      </c>
      <c r="T1" s="110"/>
      <c r="U1" s="110"/>
      <c r="V1" s="110"/>
      <c r="W1" s="110"/>
      <c r="X1" s="110"/>
      <c r="Y1" s="110"/>
      <c r="Z1" s="110"/>
      <c r="AA1" s="110"/>
      <c r="AB1" s="110"/>
      <c r="AC1" s="110"/>
      <c r="AD1" s="110"/>
      <c r="AE1" s="110"/>
      <c r="AF1" s="110"/>
      <c r="AG1" s="110"/>
      <c r="AH1" s="9"/>
      <c r="AI1" s="9"/>
      <c r="AJ1" s="9"/>
      <c r="AL1" s="115" t="s">
        <v>142</v>
      </c>
      <c r="AM1" s="115"/>
      <c r="AN1" s="115"/>
      <c r="AO1" s="115"/>
      <c r="AP1" s="115"/>
      <c r="AQ1" s="115"/>
      <c r="AR1" s="115"/>
      <c r="AS1" s="115"/>
      <c r="AT1" s="115"/>
      <c r="AU1" s="115"/>
      <c r="AV1" s="115"/>
      <c r="AW1" s="115"/>
      <c r="AX1" s="115"/>
      <c r="AY1" s="115"/>
      <c r="AZ1" s="115"/>
      <c r="BA1" s="9"/>
      <c r="BB1" s="110" t="s">
        <v>143</v>
      </c>
      <c r="BC1" s="110"/>
      <c r="BD1" s="110"/>
      <c r="BE1" s="110"/>
      <c r="BF1" s="110"/>
      <c r="BG1" s="110"/>
      <c r="BH1" s="9"/>
      <c r="BK1" s="9"/>
    </row>
    <row r="2" spans="1:63" x14ac:dyDescent="0.5">
      <c r="L2" s="110" t="s">
        <v>144</v>
      </c>
      <c r="M2" s="110"/>
      <c r="N2" s="110"/>
      <c r="O2" s="110"/>
      <c r="P2" s="110"/>
      <c r="Q2" s="110"/>
      <c r="S2" s="111" t="s">
        <v>145</v>
      </c>
      <c r="T2" s="111"/>
      <c r="U2" s="111"/>
      <c r="V2" s="111"/>
      <c r="W2" s="111"/>
      <c r="X2" s="111"/>
      <c r="Y2" s="111" t="s">
        <v>146</v>
      </c>
      <c r="Z2" s="111"/>
      <c r="AA2" s="111"/>
      <c r="AB2" s="111"/>
      <c r="AC2" s="111" t="s">
        <v>147</v>
      </c>
      <c r="AD2" s="111"/>
      <c r="AE2" s="111"/>
      <c r="AF2" s="111"/>
      <c r="AG2" s="111"/>
      <c r="AH2" s="9"/>
      <c r="AI2" s="9"/>
      <c r="AJ2" s="9"/>
      <c r="AL2" s="115"/>
      <c r="AM2" s="115"/>
      <c r="AN2" s="115"/>
      <c r="AO2" s="115"/>
      <c r="AP2" s="115"/>
      <c r="AQ2" s="115"/>
      <c r="AR2" s="9"/>
      <c r="AS2" s="9"/>
      <c r="AT2" s="9"/>
      <c r="AU2" s="9"/>
      <c r="AV2" s="9"/>
      <c r="AW2" s="9"/>
      <c r="AX2" s="9"/>
      <c r="AY2" s="9"/>
      <c r="AZ2" s="9"/>
      <c r="BA2" s="9"/>
      <c r="BB2" s="9"/>
      <c r="BC2" s="9"/>
      <c r="BD2" s="9"/>
      <c r="BE2" s="9"/>
      <c r="BF2" s="9"/>
      <c r="BG2" s="9"/>
      <c r="BH2" s="9"/>
      <c r="BK2" s="9"/>
    </row>
    <row r="3" spans="1:63" x14ac:dyDescent="0.5">
      <c r="A3" s="50" t="s">
        <v>148</v>
      </c>
      <c r="C3" s="50" t="s">
        <v>149</v>
      </c>
      <c r="D3" s="50" t="s">
        <v>150</v>
      </c>
      <c r="E3" s="50" t="s">
        <v>151</v>
      </c>
      <c r="G3" s="50" t="s">
        <v>152</v>
      </c>
      <c r="H3" s="50" t="s">
        <v>153</v>
      </c>
      <c r="I3" s="50" t="s">
        <v>154</v>
      </c>
      <c r="L3" s="1" t="s">
        <v>155</v>
      </c>
      <c r="M3" s="1" t="s">
        <v>156</v>
      </c>
      <c r="N3" s="1" t="s">
        <v>157</v>
      </c>
      <c r="O3" s="1" t="s">
        <v>158</v>
      </c>
      <c r="P3" s="1" t="s">
        <v>159</v>
      </c>
      <c r="Q3" s="1" t="s">
        <v>160</v>
      </c>
      <c r="S3" s="1" t="s">
        <v>161</v>
      </c>
      <c r="T3" s="1" t="s">
        <v>162</v>
      </c>
      <c r="U3" s="1" t="s">
        <v>163</v>
      </c>
      <c r="V3" s="1" t="s">
        <v>164</v>
      </c>
      <c r="W3" s="1" t="s">
        <v>165</v>
      </c>
      <c r="X3" s="1" t="s">
        <v>166</v>
      </c>
      <c r="Y3" s="1" t="s">
        <v>167</v>
      </c>
      <c r="Z3" s="1" t="s">
        <v>168</v>
      </c>
      <c r="AA3" s="1" t="s">
        <v>169</v>
      </c>
      <c r="AB3" s="1" t="s">
        <v>170</v>
      </c>
      <c r="AC3" s="1" t="s">
        <v>171</v>
      </c>
      <c r="AD3" s="1" t="s">
        <v>172</v>
      </c>
      <c r="AE3" s="1" t="s">
        <v>173</v>
      </c>
      <c r="AF3" s="1" t="s">
        <v>174</v>
      </c>
      <c r="AG3" s="1" t="s">
        <v>175</v>
      </c>
      <c r="AL3" s="112" t="s">
        <v>176</v>
      </c>
      <c r="AM3" s="113"/>
      <c r="AN3" s="113"/>
      <c r="AO3" s="112" t="s">
        <v>177</v>
      </c>
      <c r="AP3" s="113"/>
      <c r="AQ3" s="113"/>
      <c r="AR3" s="112" t="s">
        <v>178</v>
      </c>
      <c r="AS3" s="113"/>
      <c r="AT3" s="113"/>
      <c r="AU3" s="114"/>
      <c r="AV3" s="112" t="s">
        <v>179</v>
      </c>
      <c r="AW3" s="113"/>
      <c r="AX3" s="113"/>
      <c r="AY3" s="113"/>
      <c r="AZ3" s="114"/>
      <c r="BA3" s="10"/>
      <c r="BB3" s="10"/>
      <c r="BC3" s="10"/>
      <c r="BD3" s="10"/>
      <c r="BE3" s="10"/>
      <c r="BF3" s="10"/>
      <c r="BG3" s="10"/>
      <c r="BH3" s="10"/>
      <c r="BK3" s="10"/>
    </row>
    <row r="4" spans="1:63" x14ac:dyDescent="0.5">
      <c r="A4" s="1" t="s">
        <v>180</v>
      </c>
      <c r="C4" s="1" t="s">
        <v>181</v>
      </c>
      <c r="D4" s="1" t="s">
        <v>182</v>
      </c>
      <c r="E4" s="1" t="s">
        <v>183</v>
      </c>
      <c r="G4" s="1" t="s">
        <v>155</v>
      </c>
      <c r="H4" s="1" t="s">
        <v>155</v>
      </c>
      <c r="I4" s="1" t="s">
        <v>155</v>
      </c>
      <c r="L4" s="1" t="s">
        <v>184</v>
      </c>
      <c r="M4" s="1" t="s">
        <v>110</v>
      </c>
      <c r="N4" s="1" t="s">
        <v>107</v>
      </c>
      <c r="O4" s="1" t="s">
        <v>185</v>
      </c>
      <c r="P4" s="1" t="s">
        <v>186</v>
      </c>
      <c r="Q4" s="1" t="s">
        <v>187</v>
      </c>
      <c r="S4" s="1" t="s">
        <v>184</v>
      </c>
      <c r="T4" s="1" t="s">
        <v>110</v>
      </c>
      <c r="U4" s="1" t="s">
        <v>107</v>
      </c>
      <c r="V4" s="1" t="s">
        <v>185</v>
      </c>
      <c r="W4" s="1" t="s">
        <v>186</v>
      </c>
      <c r="X4" s="1" t="s">
        <v>187</v>
      </c>
      <c r="Y4" s="1" t="s">
        <v>372</v>
      </c>
      <c r="Z4" s="1" t="s">
        <v>189</v>
      </c>
      <c r="AA4" s="1" t="s">
        <v>508</v>
      </c>
      <c r="AB4" s="1" t="s">
        <v>233</v>
      </c>
      <c r="AC4" s="1" t="s">
        <v>225</v>
      </c>
      <c r="AD4" s="1" t="s">
        <v>372</v>
      </c>
      <c r="AE4" s="1" t="s">
        <v>225</v>
      </c>
      <c r="AF4" s="1" t="s">
        <v>244</v>
      </c>
      <c r="AG4" s="1" t="s">
        <v>297</v>
      </c>
      <c r="AL4" s="11" t="s">
        <v>196</v>
      </c>
      <c r="AM4" s="11" t="s">
        <v>197</v>
      </c>
      <c r="AN4" s="11" t="s">
        <v>198</v>
      </c>
      <c r="AO4" s="11" t="s">
        <v>199</v>
      </c>
      <c r="AP4" s="12" t="s">
        <v>200</v>
      </c>
      <c r="AQ4" s="11" t="s">
        <v>201</v>
      </c>
      <c r="AR4" s="1" t="s">
        <v>167</v>
      </c>
      <c r="AS4" s="1" t="s">
        <v>168</v>
      </c>
      <c r="AT4" s="1" t="s">
        <v>169</v>
      </c>
      <c r="AU4" s="1" t="s">
        <v>170</v>
      </c>
      <c r="AV4" s="1" t="s">
        <v>171</v>
      </c>
      <c r="AW4" s="1" t="s">
        <v>172</v>
      </c>
      <c r="AX4" s="1" t="s">
        <v>173</v>
      </c>
      <c r="AY4" s="1" t="s">
        <v>174</v>
      </c>
      <c r="AZ4" s="1" t="s">
        <v>175</v>
      </c>
      <c r="BA4" s="10"/>
      <c r="BB4" s="1" t="s">
        <v>202</v>
      </c>
      <c r="BC4" s="1" t="s">
        <v>203</v>
      </c>
      <c r="BD4" s="1" t="s">
        <v>204</v>
      </c>
      <c r="BE4" s="1" t="s">
        <v>205</v>
      </c>
      <c r="BF4" s="1" t="s">
        <v>206</v>
      </c>
      <c r="BG4" s="1" t="s">
        <v>207</v>
      </c>
      <c r="BH4" s="10"/>
      <c r="BK4" s="10"/>
    </row>
    <row r="5" spans="1:63" x14ac:dyDescent="0.5">
      <c r="A5" s="1" t="s">
        <v>149</v>
      </c>
      <c r="C5" s="1" t="s">
        <v>208</v>
      </c>
      <c r="D5" s="1" t="s">
        <v>209</v>
      </c>
      <c r="E5" s="1" t="s">
        <v>210</v>
      </c>
      <c r="G5" s="1" t="s">
        <v>156</v>
      </c>
      <c r="H5" s="1" t="s">
        <v>156</v>
      </c>
      <c r="I5" s="1" t="s">
        <v>156</v>
      </c>
      <c r="L5" s="1" t="s">
        <v>211</v>
      </c>
      <c r="M5" s="1" t="s">
        <v>212</v>
      </c>
      <c r="N5" s="1" t="s">
        <v>213</v>
      </c>
      <c r="O5" s="1" t="s">
        <v>214</v>
      </c>
      <c r="P5" s="1" t="s">
        <v>106</v>
      </c>
      <c r="Q5" s="1" t="s">
        <v>215</v>
      </c>
      <c r="S5" s="1" t="s">
        <v>211</v>
      </c>
      <c r="T5" s="1" t="s">
        <v>212</v>
      </c>
      <c r="U5" s="1" t="s">
        <v>213</v>
      </c>
      <c r="V5" s="1" t="s">
        <v>214</v>
      </c>
      <c r="W5" s="1" t="s">
        <v>106</v>
      </c>
      <c r="X5" s="1" t="s">
        <v>215</v>
      </c>
      <c r="Y5" s="1" t="s">
        <v>186</v>
      </c>
      <c r="Z5" s="1" t="s">
        <v>216</v>
      </c>
      <c r="AA5" s="1" t="s">
        <v>223</v>
      </c>
      <c r="AB5" s="1" t="s">
        <v>545</v>
      </c>
      <c r="AC5" s="1" t="s">
        <v>352</v>
      </c>
      <c r="AD5" s="1" t="s">
        <v>362</v>
      </c>
      <c r="AE5" s="1" t="s">
        <v>193</v>
      </c>
      <c r="AF5" s="1" t="s">
        <v>284</v>
      </c>
      <c r="AG5" s="1" t="s">
        <v>260</v>
      </c>
      <c r="AL5" s="2" t="s">
        <v>221</v>
      </c>
      <c r="AM5" s="2" t="s">
        <v>222</v>
      </c>
      <c r="AN5" s="2" t="s">
        <v>223</v>
      </c>
      <c r="AO5" s="2" t="s">
        <v>224</v>
      </c>
      <c r="AP5" s="2" t="s">
        <v>186</v>
      </c>
      <c r="AQ5" s="2" t="s">
        <v>116</v>
      </c>
      <c r="AR5" s="1" t="s">
        <v>188</v>
      </c>
      <c r="AS5" s="1" t="s">
        <v>189</v>
      </c>
      <c r="AT5" s="1" t="s">
        <v>190</v>
      </c>
      <c r="AU5" s="1" t="s">
        <v>191</v>
      </c>
      <c r="AV5" s="1" t="s">
        <v>126</v>
      </c>
      <c r="AW5" s="1" t="s">
        <v>192</v>
      </c>
      <c r="AX5" s="1" t="s">
        <v>193</v>
      </c>
      <c r="AY5" s="1" t="s">
        <v>194</v>
      </c>
      <c r="AZ5" s="1" t="s">
        <v>195</v>
      </c>
      <c r="BA5" s="2"/>
      <c r="BB5" s="13" t="s">
        <v>221</v>
      </c>
      <c r="BC5" s="15" t="s">
        <v>110</v>
      </c>
      <c r="BD5" s="13" t="s">
        <v>224</v>
      </c>
      <c r="BE5" s="13" t="s">
        <v>223</v>
      </c>
      <c r="BF5" s="15" t="s">
        <v>225</v>
      </c>
      <c r="BG5" s="15" t="s">
        <v>225</v>
      </c>
      <c r="BH5" s="2"/>
      <c r="BK5" s="2"/>
    </row>
    <row r="6" spans="1:63" x14ac:dyDescent="0.5">
      <c r="A6" s="1" t="s">
        <v>150</v>
      </c>
      <c r="C6" s="1" t="s">
        <v>226</v>
      </c>
      <c r="D6" s="1" t="s">
        <v>227</v>
      </c>
      <c r="E6" s="1" t="s">
        <v>228</v>
      </c>
      <c r="G6" s="1" t="s">
        <v>157</v>
      </c>
      <c r="H6" s="1" t="s">
        <v>157</v>
      </c>
      <c r="I6" s="1" t="s">
        <v>157</v>
      </c>
      <c r="L6" s="1" t="s">
        <v>229</v>
      </c>
      <c r="M6" s="1" t="s">
        <v>230</v>
      </c>
      <c r="N6" s="1" t="s">
        <v>231</v>
      </c>
      <c r="O6" s="1" t="s">
        <v>232</v>
      </c>
      <c r="P6" s="1" t="s">
        <v>233</v>
      </c>
      <c r="Q6" s="1" t="s">
        <v>234</v>
      </c>
      <c r="S6" s="1" t="s">
        <v>229</v>
      </c>
      <c r="T6" s="1" t="s">
        <v>230</v>
      </c>
      <c r="U6" s="1" t="s">
        <v>231</v>
      </c>
      <c r="V6" s="1" t="s">
        <v>232</v>
      </c>
      <c r="W6" s="1" t="s">
        <v>233</v>
      </c>
      <c r="X6" s="1" t="s">
        <v>234</v>
      </c>
      <c r="Y6" s="1" t="s">
        <v>188</v>
      </c>
      <c r="Z6" s="1" t="s">
        <v>236</v>
      </c>
      <c r="AA6" s="1" t="s">
        <v>188</v>
      </c>
      <c r="AB6" s="1" t="s">
        <v>222</v>
      </c>
      <c r="AC6" s="1" t="s">
        <v>496</v>
      </c>
      <c r="AD6" s="1" t="s">
        <v>221</v>
      </c>
      <c r="AE6" s="1" t="s">
        <v>221</v>
      </c>
      <c r="AF6" s="1" t="s">
        <v>233</v>
      </c>
      <c r="AG6" s="1" t="s">
        <v>258</v>
      </c>
      <c r="AL6" s="2" t="s">
        <v>229</v>
      </c>
      <c r="AM6" s="2" t="s">
        <v>241</v>
      </c>
      <c r="AN6" s="2" t="s">
        <v>224</v>
      </c>
      <c r="AO6" s="2" t="s">
        <v>185</v>
      </c>
      <c r="AP6" s="2" t="s">
        <v>242</v>
      </c>
      <c r="AQ6" s="2" t="s">
        <v>243</v>
      </c>
      <c r="AR6" s="1" t="s">
        <v>186</v>
      </c>
      <c r="AS6" s="1" t="s">
        <v>216</v>
      </c>
      <c r="AT6" s="1" t="s">
        <v>131</v>
      </c>
      <c r="AU6" s="1" t="s">
        <v>217</v>
      </c>
      <c r="AV6" s="1" t="s">
        <v>112</v>
      </c>
      <c r="AW6" s="1" t="s">
        <v>218</v>
      </c>
      <c r="AX6" s="1" t="s">
        <v>192</v>
      </c>
      <c r="AY6" s="1" t="s">
        <v>219</v>
      </c>
      <c r="AZ6" s="1" t="s">
        <v>220</v>
      </c>
      <c r="BA6" s="2"/>
      <c r="BB6" s="14" t="s">
        <v>229</v>
      </c>
      <c r="BC6" s="16" t="s">
        <v>212</v>
      </c>
      <c r="BD6" s="15" t="s">
        <v>185</v>
      </c>
      <c r="BE6" s="14" t="s">
        <v>224</v>
      </c>
      <c r="BF6" s="16" t="s">
        <v>244</v>
      </c>
      <c r="BG6" s="15" t="s">
        <v>193</v>
      </c>
      <c r="BH6" s="2"/>
      <c r="BK6" s="2"/>
    </row>
    <row r="7" spans="1:63" x14ac:dyDescent="0.5">
      <c r="A7" s="1" t="s">
        <v>151</v>
      </c>
      <c r="D7" s="1" t="s">
        <v>245</v>
      </c>
      <c r="G7" s="1" t="s">
        <v>158</v>
      </c>
      <c r="H7" s="1" t="s">
        <v>158</v>
      </c>
      <c r="I7" s="1" t="s">
        <v>158</v>
      </c>
      <c r="L7" s="1" t="s">
        <v>246</v>
      </c>
      <c r="M7" s="1" t="s">
        <v>111</v>
      </c>
      <c r="N7" s="1" t="s">
        <v>247</v>
      </c>
      <c r="O7" s="1" t="s">
        <v>248</v>
      </c>
      <c r="P7" s="1" t="s">
        <v>233</v>
      </c>
      <c r="Q7" s="1" t="s">
        <v>249</v>
      </c>
      <c r="S7" s="1" t="s">
        <v>246</v>
      </c>
      <c r="T7" s="1" t="s">
        <v>111</v>
      </c>
      <c r="U7" s="1" t="s">
        <v>247</v>
      </c>
      <c r="V7" s="1" t="s">
        <v>248</v>
      </c>
      <c r="W7" s="1" t="s">
        <v>233</v>
      </c>
      <c r="X7" s="1" t="s">
        <v>249</v>
      </c>
      <c r="Y7" s="1" t="s">
        <v>249</v>
      </c>
      <c r="Z7" s="1" t="s">
        <v>251</v>
      </c>
      <c r="AA7" s="1" t="s">
        <v>237</v>
      </c>
      <c r="AB7" s="1" t="s">
        <v>575</v>
      </c>
      <c r="AC7" s="1" t="s">
        <v>107</v>
      </c>
      <c r="AD7" s="1" t="s">
        <v>192</v>
      </c>
      <c r="AE7" s="1" t="s">
        <v>274</v>
      </c>
      <c r="AF7" s="1" t="s">
        <v>286</v>
      </c>
      <c r="AG7" s="1" t="s">
        <v>379</v>
      </c>
      <c r="AL7" s="2" t="s">
        <v>255</v>
      </c>
      <c r="AM7" s="2" t="s">
        <v>256</v>
      </c>
      <c r="AN7" s="2" t="s">
        <v>232</v>
      </c>
      <c r="AO7" s="2" t="s">
        <v>257</v>
      </c>
      <c r="AP7" s="2" t="s">
        <v>258</v>
      </c>
      <c r="AQ7" s="2" t="s">
        <v>259</v>
      </c>
      <c r="AR7" s="1" t="s">
        <v>235</v>
      </c>
      <c r="AS7" s="1" t="s">
        <v>236</v>
      </c>
      <c r="AT7" s="1" t="s">
        <v>237</v>
      </c>
      <c r="AU7" s="1" t="s">
        <v>238</v>
      </c>
      <c r="AV7" s="1" t="s">
        <v>117</v>
      </c>
      <c r="AW7" s="1" t="s">
        <v>239</v>
      </c>
      <c r="AX7" s="1" t="s">
        <v>225</v>
      </c>
      <c r="AY7" s="1" t="s">
        <v>240</v>
      </c>
      <c r="AZ7" s="1" t="s">
        <v>112</v>
      </c>
      <c r="BA7" s="2"/>
      <c r="BB7" s="13" t="s">
        <v>255</v>
      </c>
      <c r="BC7" s="1" t="s">
        <v>222</v>
      </c>
      <c r="BD7" s="16" t="s">
        <v>214</v>
      </c>
      <c r="BE7" s="15" t="s">
        <v>107</v>
      </c>
      <c r="BF7" s="15" t="s">
        <v>193</v>
      </c>
      <c r="BG7" s="15" t="s">
        <v>260</v>
      </c>
      <c r="BH7" s="2"/>
      <c r="BK7" s="2"/>
    </row>
    <row r="8" spans="1:63" x14ac:dyDescent="0.5">
      <c r="G8" s="1" t="s">
        <v>159</v>
      </c>
      <c r="H8" s="1" t="s">
        <v>159</v>
      </c>
      <c r="I8" s="1" t="s">
        <v>159</v>
      </c>
      <c r="L8" s="1" t="s">
        <v>261</v>
      </c>
      <c r="M8" s="1" t="s">
        <v>262</v>
      </c>
      <c r="N8" s="1" t="s">
        <v>112</v>
      </c>
      <c r="O8" s="1" t="s">
        <v>241</v>
      </c>
      <c r="P8" s="1" t="s">
        <v>263</v>
      </c>
      <c r="Q8" s="1" t="s">
        <v>264</v>
      </c>
      <c r="S8" s="1" t="s">
        <v>261</v>
      </c>
      <c r="T8" s="1" t="s">
        <v>262</v>
      </c>
      <c r="U8" s="1" t="s">
        <v>112</v>
      </c>
      <c r="V8" s="1" t="s">
        <v>241</v>
      </c>
      <c r="W8" s="1" t="s">
        <v>263</v>
      </c>
      <c r="X8" s="1" t="s">
        <v>264</v>
      </c>
      <c r="Y8" s="1" t="s">
        <v>214</v>
      </c>
      <c r="Z8" s="1" t="s">
        <v>265</v>
      </c>
      <c r="AA8" s="1" t="s">
        <v>373</v>
      </c>
      <c r="AB8" s="1" t="s">
        <v>320</v>
      </c>
      <c r="AC8" s="1" t="s">
        <v>283</v>
      </c>
      <c r="AD8" s="1" t="s">
        <v>108</v>
      </c>
      <c r="AE8" s="1" t="s">
        <v>289</v>
      </c>
      <c r="AF8" s="1" t="s">
        <v>277</v>
      </c>
      <c r="AG8" s="1" t="s">
        <v>248</v>
      </c>
      <c r="AL8" s="2" t="s">
        <v>261</v>
      </c>
      <c r="AM8" s="2" t="s">
        <v>239</v>
      </c>
      <c r="AN8" s="2" t="s">
        <v>248</v>
      </c>
      <c r="AO8" s="2" t="s">
        <v>271</v>
      </c>
      <c r="AP8" s="2" t="s">
        <v>272</v>
      </c>
      <c r="AQ8" s="2" t="s">
        <v>273</v>
      </c>
      <c r="AR8" s="1" t="s">
        <v>250</v>
      </c>
      <c r="AS8" s="1" t="s">
        <v>251</v>
      </c>
      <c r="AT8" s="1" t="s">
        <v>252</v>
      </c>
      <c r="AU8" s="1" t="s">
        <v>253</v>
      </c>
      <c r="AV8" s="1" t="s">
        <v>189</v>
      </c>
      <c r="AW8" s="1" t="s">
        <v>221</v>
      </c>
      <c r="AX8" s="1" t="s">
        <v>221</v>
      </c>
      <c r="AY8" s="1" t="s">
        <v>244</v>
      </c>
      <c r="AZ8" s="1" t="s">
        <v>254</v>
      </c>
      <c r="BA8" s="2"/>
      <c r="BB8" s="14" t="s">
        <v>261</v>
      </c>
      <c r="BC8" s="15" t="s">
        <v>230</v>
      </c>
      <c r="BD8" s="15" t="s">
        <v>107</v>
      </c>
      <c r="BE8" s="13" t="s">
        <v>232</v>
      </c>
      <c r="BF8" s="16" t="s">
        <v>260</v>
      </c>
      <c r="BG8" s="15" t="s">
        <v>274</v>
      </c>
      <c r="BH8" s="2"/>
      <c r="BK8" s="2"/>
    </row>
    <row r="9" spans="1:63" x14ac:dyDescent="0.5">
      <c r="G9" s="1" t="s">
        <v>160</v>
      </c>
      <c r="H9" s="1" t="s">
        <v>160</v>
      </c>
      <c r="I9" s="1" t="s">
        <v>160</v>
      </c>
      <c r="L9" s="1" t="s">
        <v>115</v>
      </c>
      <c r="M9" s="1" t="s">
        <v>275</v>
      </c>
      <c r="N9" s="1" t="s">
        <v>276</v>
      </c>
      <c r="O9" s="1" t="s">
        <v>277</v>
      </c>
      <c r="P9" s="1" t="s">
        <v>278</v>
      </c>
      <c r="Q9" s="1" t="s">
        <v>108</v>
      </c>
      <c r="S9" s="1" t="s">
        <v>115</v>
      </c>
      <c r="T9" s="1" t="s">
        <v>275</v>
      </c>
      <c r="U9" s="1" t="s">
        <v>276</v>
      </c>
      <c r="V9" s="1" t="s">
        <v>277</v>
      </c>
      <c r="W9" s="1" t="s">
        <v>278</v>
      </c>
      <c r="X9" s="1" t="s">
        <v>108</v>
      </c>
      <c r="Y9" s="1" t="s">
        <v>107</v>
      </c>
      <c r="Z9" s="1" t="s">
        <v>279</v>
      </c>
      <c r="AA9" s="1" t="s">
        <v>320</v>
      </c>
      <c r="AB9" s="1" t="s">
        <v>247</v>
      </c>
      <c r="AC9" s="1" t="s">
        <v>283</v>
      </c>
      <c r="AD9" s="1" t="s">
        <v>218</v>
      </c>
      <c r="AE9" s="1" t="s">
        <v>301</v>
      </c>
      <c r="AF9" s="1" t="s">
        <v>317</v>
      </c>
      <c r="AG9" s="1" t="s">
        <v>353</v>
      </c>
      <c r="AL9" s="2" t="s">
        <v>115</v>
      </c>
      <c r="AM9" s="2" t="s">
        <v>285</v>
      </c>
      <c r="AN9" s="2" t="s">
        <v>286</v>
      </c>
      <c r="AO9" s="2" t="s">
        <v>248</v>
      </c>
      <c r="AP9" s="2" t="s">
        <v>287</v>
      </c>
      <c r="AQ9" s="2" t="s">
        <v>288</v>
      </c>
      <c r="AR9" s="1" t="s">
        <v>108</v>
      </c>
      <c r="AS9" s="1" t="s">
        <v>265</v>
      </c>
      <c r="AT9" s="1" t="s">
        <v>266</v>
      </c>
      <c r="AU9" s="1" t="s">
        <v>267</v>
      </c>
      <c r="AV9" s="1" t="s">
        <v>107</v>
      </c>
      <c r="AW9" s="1" t="s">
        <v>108</v>
      </c>
      <c r="AX9" s="1" t="s">
        <v>268</v>
      </c>
      <c r="AY9" s="1" t="s">
        <v>269</v>
      </c>
      <c r="AZ9" s="1" t="s">
        <v>270</v>
      </c>
      <c r="BA9" s="2"/>
      <c r="BB9" s="13" t="s">
        <v>115</v>
      </c>
      <c r="BC9" s="14" t="s">
        <v>241</v>
      </c>
      <c r="BD9" s="15" t="s">
        <v>257</v>
      </c>
      <c r="BE9" s="16" t="s">
        <v>213</v>
      </c>
      <c r="BF9" s="16" t="s">
        <v>221</v>
      </c>
      <c r="BG9" s="16" t="s">
        <v>289</v>
      </c>
      <c r="BH9" s="2"/>
      <c r="BK9" s="2"/>
    </row>
    <row r="10" spans="1:63" x14ac:dyDescent="0.5">
      <c r="L10" s="1" t="s">
        <v>290</v>
      </c>
      <c r="M10" s="1" t="s">
        <v>291</v>
      </c>
      <c r="N10" s="1" t="s">
        <v>239</v>
      </c>
      <c r="O10" s="1" t="s">
        <v>256</v>
      </c>
      <c r="P10" s="1" t="s">
        <v>232</v>
      </c>
      <c r="Q10" s="1" t="s">
        <v>109</v>
      </c>
      <c r="S10" s="1" t="s">
        <v>290</v>
      </c>
      <c r="T10" s="1" t="s">
        <v>291</v>
      </c>
      <c r="U10" s="1" t="s">
        <v>239</v>
      </c>
      <c r="V10" s="1" t="s">
        <v>256</v>
      </c>
      <c r="W10" s="1" t="s">
        <v>232</v>
      </c>
      <c r="X10" s="1" t="s">
        <v>109</v>
      </c>
      <c r="Y10" s="1" t="s">
        <v>396</v>
      </c>
      <c r="Z10" s="1" t="s">
        <v>126</v>
      </c>
      <c r="AA10" s="1" t="s">
        <v>521</v>
      </c>
      <c r="AB10" s="1" t="s">
        <v>112</v>
      </c>
      <c r="AC10" s="1" t="s">
        <v>446</v>
      </c>
      <c r="AD10" s="1" t="s">
        <v>222</v>
      </c>
      <c r="AE10" s="1" t="s">
        <v>258</v>
      </c>
      <c r="AF10" s="1" t="s">
        <v>310</v>
      </c>
      <c r="AG10" s="1" t="s">
        <v>270</v>
      </c>
      <c r="AL10" s="2" t="s">
        <v>290</v>
      </c>
      <c r="AM10" s="2" t="s">
        <v>298</v>
      </c>
      <c r="AN10" s="2" t="s">
        <v>299</v>
      </c>
      <c r="AO10" s="2" t="s">
        <v>300</v>
      </c>
      <c r="AP10" s="2" t="s">
        <v>231</v>
      </c>
      <c r="AQ10" s="2" t="s">
        <v>129</v>
      </c>
      <c r="AR10" s="1" t="s">
        <v>249</v>
      </c>
      <c r="AS10" s="1" t="s">
        <v>279</v>
      </c>
      <c r="AT10" s="1" t="s">
        <v>280</v>
      </c>
      <c r="AU10" s="1" t="s">
        <v>281</v>
      </c>
      <c r="AV10" s="1" t="s">
        <v>282</v>
      </c>
      <c r="AW10" s="1" t="s">
        <v>126</v>
      </c>
      <c r="AX10" s="1" t="s">
        <v>283</v>
      </c>
      <c r="AY10" s="1" t="s">
        <v>284</v>
      </c>
      <c r="AZ10" s="1" t="s">
        <v>260</v>
      </c>
      <c r="BA10" s="2"/>
      <c r="BB10" s="14" t="s">
        <v>290</v>
      </c>
      <c r="BC10" s="16" t="s">
        <v>111</v>
      </c>
      <c r="BD10" s="16" t="s">
        <v>271</v>
      </c>
      <c r="BE10" s="14" t="s">
        <v>248</v>
      </c>
      <c r="BF10" s="16" t="s">
        <v>274</v>
      </c>
      <c r="BG10" s="15" t="s">
        <v>301</v>
      </c>
      <c r="BH10" s="2"/>
      <c r="BK10" s="2"/>
    </row>
    <row r="11" spans="1:63" x14ac:dyDescent="0.5">
      <c r="G11" s="50" t="s">
        <v>302</v>
      </c>
      <c r="H11" s="50" t="s">
        <v>209</v>
      </c>
      <c r="I11" s="50" t="s">
        <v>303</v>
      </c>
      <c r="J11" s="50" t="s">
        <v>245</v>
      </c>
      <c r="L11" s="1" t="s">
        <v>239</v>
      </c>
      <c r="M11" s="1" t="s">
        <v>304</v>
      </c>
      <c r="N11" s="1" t="s">
        <v>305</v>
      </c>
      <c r="O11" s="1" t="s">
        <v>275</v>
      </c>
      <c r="P11" s="1" t="s">
        <v>247</v>
      </c>
      <c r="Q11" s="1" t="s">
        <v>306</v>
      </c>
      <c r="S11" s="1" t="s">
        <v>239</v>
      </c>
      <c r="T11" s="1" t="s">
        <v>304</v>
      </c>
      <c r="U11" s="1" t="s">
        <v>305</v>
      </c>
      <c r="V11" s="1" t="s">
        <v>275</v>
      </c>
      <c r="W11" s="1" t="s">
        <v>247</v>
      </c>
      <c r="X11" s="1" t="s">
        <v>306</v>
      </c>
      <c r="Y11" s="1" t="s">
        <v>233</v>
      </c>
      <c r="Z11" s="1" t="s">
        <v>194</v>
      </c>
      <c r="AA11" s="1" t="s">
        <v>551</v>
      </c>
      <c r="AB11" s="1" t="s">
        <v>462</v>
      </c>
      <c r="AC11" s="1" t="s">
        <v>379</v>
      </c>
      <c r="AD11" s="1" t="s">
        <v>353</v>
      </c>
      <c r="AE11" s="1" t="s">
        <v>283</v>
      </c>
      <c r="AF11" s="1" t="s">
        <v>115</v>
      </c>
      <c r="AG11" s="1" t="s">
        <v>254</v>
      </c>
      <c r="AL11" s="2" t="s">
        <v>312</v>
      </c>
      <c r="AM11" s="2" t="s">
        <v>313</v>
      </c>
      <c r="AN11" s="2" t="s">
        <v>239</v>
      </c>
      <c r="AO11" s="2" t="s">
        <v>241</v>
      </c>
      <c r="AP11" s="2" t="s">
        <v>241</v>
      </c>
      <c r="AQ11" s="2" t="s">
        <v>314</v>
      </c>
      <c r="AR11" s="1" t="s">
        <v>214</v>
      </c>
      <c r="AS11" s="1" t="s">
        <v>126</v>
      </c>
      <c r="AT11" s="1" t="s">
        <v>292</v>
      </c>
      <c r="AU11" s="1" t="s">
        <v>293</v>
      </c>
      <c r="AV11" s="1" t="s">
        <v>294</v>
      </c>
      <c r="AW11" s="1" t="s">
        <v>111</v>
      </c>
      <c r="AX11" s="1" t="s">
        <v>295</v>
      </c>
      <c r="AY11" s="1" t="s">
        <v>296</v>
      </c>
      <c r="AZ11" s="1" t="s">
        <v>297</v>
      </c>
      <c r="BA11" s="2"/>
      <c r="BB11" s="13" t="s">
        <v>312</v>
      </c>
      <c r="BC11" s="13" t="s">
        <v>256</v>
      </c>
      <c r="BD11" s="15" t="s">
        <v>232</v>
      </c>
      <c r="BE11" s="15" t="s">
        <v>231</v>
      </c>
      <c r="BF11" s="16" t="s">
        <v>289</v>
      </c>
      <c r="BG11" s="15" t="s">
        <v>284</v>
      </c>
      <c r="BH11" s="2"/>
      <c r="BK11" s="2"/>
    </row>
    <row r="12" spans="1:63" x14ac:dyDescent="0.5">
      <c r="G12" s="1" t="s">
        <v>315</v>
      </c>
      <c r="H12" s="1" t="s">
        <v>315</v>
      </c>
      <c r="I12" s="1" t="s">
        <v>315</v>
      </c>
      <c r="J12" s="1" t="s">
        <v>315</v>
      </c>
      <c r="L12" s="1" t="s">
        <v>316</v>
      </c>
      <c r="M12" s="1" t="s">
        <v>316</v>
      </c>
      <c r="N12" s="1" t="s">
        <v>265</v>
      </c>
      <c r="O12" s="1" t="s">
        <v>317</v>
      </c>
      <c r="P12" s="1" t="s">
        <v>318</v>
      </c>
      <c r="Q12" s="1" t="s">
        <v>232</v>
      </c>
      <c r="S12" s="1" t="s">
        <v>316</v>
      </c>
      <c r="T12" s="1" t="s">
        <v>316</v>
      </c>
      <c r="U12" s="1" t="s">
        <v>265</v>
      </c>
      <c r="V12" s="1" t="s">
        <v>317</v>
      </c>
      <c r="W12" s="1" t="s">
        <v>318</v>
      </c>
      <c r="X12" s="1" t="s">
        <v>232</v>
      </c>
      <c r="Y12" s="1" t="s">
        <v>108</v>
      </c>
      <c r="Z12" s="1" t="s">
        <v>319</v>
      </c>
      <c r="AA12" s="1" t="s">
        <v>441</v>
      </c>
      <c r="AB12" s="1" t="s">
        <v>513</v>
      </c>
      <c r="AC12" s="1" t="s">
        <v>222</v>
      </c>
      <c r="AD12" s="1" t="s">
        <v>111</v>
      </c>
      <c r="AE12" s="1" t="s">
        <v>192</v>
      </c>
      <c r="AF12" s="1" t="s">
        <v>333</v>
      </c>
      <c r="AG12" s="1" t="s">
        <v>112</v>
      </c>
      <c r="AL12" s="2" t="s">
        <v>326</v>
      </c>
      <c r="AM12" s="2" t="s">
        <v>327</v>
      </c>
      <c r="AN12" s="2" t="s">
        <v>116</v>
      </c>
      <c r="AO12" s="2" t="s">
        <v>328</v>
      </c>
      <c r="AP12" s="2" t="s">
        <v>329</v>
      </c>
      <c r="AQ12" s="2" t="s">
        <v>330</v>
      </c>
      <c r="AR12" s="1" t="s">
        <v>107</v>
      </c>
      <c r="AS12" s="1" t="s">
        <v>194</v>
      </c>
      <c r="AT12" s="1" t="s">
        <v>307</v>
      </c>
      <c r="AU12" s="1" t="s">
        <v>126</v>
      </c>
      <c r="AV12" s="1" t="s">
        <v>308</v>
      </c>
      <c r="AW12" s="1" t="s">
        <v>309</v>
      </c>
      <c r="AX12" s="1" t="s">
        <v>274</v>
      </c>
      <c r="AY12" s="1" t="s">
        <v>310</v>
      </c>
      <c r="AZ12" s="1" t="s">
        <v>311</v>
      </c>
      <c r="BA12" s="2"/>
      <c r="BB12" s="14" t="s">
        <v>326</v>
      </c>
      <c r="BC12" s="15" t="s">
        <v>262</v>
      </c>
      <c r="BD12" s="16" t="s">
        <v>222</v>
      </c>
      <c r="BE12" s="16" t="s">
        <v>247</v>
      </c>
      <c r="BF12" s="15" t="s">
        <v>301</v>
      </c>
      <c r="BG12" s="16" t="s">
        <v>283</v>
      </c>
      <c r="BH12" s="2"/>
      <c r="BK12" s="2"/>
    </row>
    <row r="13" spans="1:63" x14ac:dyDescent="0.5">
      <c r="G13" s="1" t="s">
        <v>331</v>
      </c>
      <c r="H13" s="1" t="s">
        <v>331</v>
      </c>
      <c r="I13" s="1" t="s">
        <v>331</v>
      </c>
      <c r="J13" s="1" t="s">
        <v>332</v>
      </c>
      <c r="L13" s="1" t="s">
        <v>326</v>
      </c>
      <c r="M13" s="1" t="s">
        <v>333</v>
      </c>
      <c r="N13" s="1" t="s">
        <v>334</v>
      </c>
      <c r="O13" s="1" t="s">
        <v>304</v>
      </c>
      <c r="P13" s="1" t="s">
        <v>335</v>
      </c>
      <c r="Q13" s="1" t="s">
        <v>336</v>
      </c>
      <c r="S13" s="1" t="s">
        <v>326</v>
      </c>
      <c r="T13" s="1" t="s">
        <v>333</v>
      </c>
      <c r="U13" s="1" t="s">
        <v>334</v>
      </c>
      <c r="V13" s="1" t="s">
        <v>304</v>
      </c>
      <c r="W13" s="1" t="s">
        <v>335</v>
      </c>
      <c r="X13" s="1" t="s">
        <v>336</v>
      </c>
      <c r="Y13" s="1" t="s">
        <v>554</v>
      </c>
      <c r="Z13" s="1" t="s">
        <v>338</v>
      </c>
      <c r="AA13" s="1" t="s">
        <v>512</v>
      </c>
      <c r="AB13" s="1" t="s">
        <v>560</v>
      </c>
      <c r="AC13" s="1" t="s">
        <v>112</v>
      </c>
      <c r="AD13" s="1" t="s">
        <v>113</v>
      </c>
      <c r="AE13" s="1" t="s">
        <v>359</v>
      </c>
      <c r="AF13" s="1" t="s">
        <v>305</v>
      </c>
      <c r="AG13" s="1" t="s">
        <v>456</v>
      </c>
      <c r="AL13" s="2" t="s">
        <v>342</v>
      </c>
      <c r="AM13" s="2" t="s">
        <v>343</v>
      </c>
      <c r="AN13" s="2" t="s">
        <v>236</v>
      </c>
      <c r="AO13" s="2" t="s">
        <v>344</v>
      </c>
      <c r="AP13" s="2" t="s">
        <v>247</v>
      </c>
      <c r="AQ13" s="2" t="s">
        <v>296</v>
      </c>
      <c r="AR13" s="1" t="s">
        <v>233</v>
      </c>
      <c r="AS13" s="1" t="s">
        <v>319</v>
      </c>
      <c r="AT13" s="1" t="s">
        <v>320</v>
      </c>
      <c r="AU13" s="1" t="s">
        <v>321</v>
      </c>
      <c r="AV13" s="1" t="s">
        <v>322</v>
      </c>
      <c r="AW13" s="1" t="s">
        <v>285</v>
      </c>
      <c r="AX13" s="1" t="s">
        <v>323</v>
      </c>
      <c r="AY13" s="1" t="s">
        <v>324</v>
      </c>
      <c r="AZ13" s="1" t="s">
        <v>325</v>
      </c>
      <c r="BA13" s="2"/>
      <c r="BB13" s="13" t="s">
        <v>342</v>
      </c>
      <c r="BC13" s="16" t="s">
        <v>275</v>
      </c>
      <c r="BD13" s="16" t="s">
        <v>248</v>
      </c>
      <c r="BE13" s="15" t="s">
        <v>112</v>
      </c>
      <c r="BF13" s="16" t="s">
        <v>284</v>
      </c>
      <c r="BG13" s="15" t="s">
        <v>192</v>
      </c>
      <c r="BH13" s="2"/>
      <c r="BK13" s="2"/>
    </row>
    <row r="14" spans="1:63" x14ac:dyDescent="0.5">
      <c r="G14" s="1" t="s">
        <v>345</v>
      </c>
      <c r="H14" s="1" t="s">
        <v>345</v>
      </c>
      <c r="I14" s="1" t="s">
        <v>345</v>
      </c>
      <c r="J14" s="1" t="s">
        <v>345</v>
      </c>
      <c r="L14" s="1" t="s">
        <v>346</v>
      </c>
      <c r="M14" s="1" t="s">
        <v>265</v>
      </c>
      <c r="N14" s="1" t="s">
        <v>118</v>
      </c>
      <c r="O14" s="1" t="s">
        <v>347</v>
      </c>
      <c r="P14" s="1" t="s">
        <v>286</v>
      </c>
      <c r="Q14" s="1" t="s">
        <v>348</v>
      </c>
      <c r="S14" s="1" t="s">
        <v>346</v>
      </c>
      <c r="T14" s="1" t="s">
        <v>265</v>
      </c>
      <c r="U14" s="1" t="s">
        <v>118</v>
      </c>
      <c r="V14" s="1" t="s">
        <v>347</v>
      </c>
      <c r="W14" s="1" t="s">
        <v>286</v>
      </c>
      <c r="X14" s="1" t="s">
        <v>348</v>
      </c>
      <c r="Y14" s="1" t="s">
        <v>287</v>
      </c>
      <c r="Z14" s="1" t="s">
        <v>346</v>
      </c>
      <c r="AA14" s="1" t="s">
        <v>117</v>
      </c>
      <c r="AB14" s="1" t="s">
        <v>189</v>
      </c>
      <c r="AC14" s="1" t="s">
        <v>441</v>
      </c>
      <c r="AD14" s="1" t="s">
        <v>479</v>
      </c>
      <c r="AE14" s="1" t="s">
        <v>354</v>
      </c>
      <c r="AF14" s="1" t="s">
        <v>375</v>
      </c>
      <c r="AG14" s="1" t="s">
        <v>325</v>
      </c>
      <c r="AL14" s="2" t="s">
        <v>355</v>
      </c>
      <c r="AM14" s="2" t="s">
        <v>356</v>
      </c>
      <c r="AN14" s="2" t="s">
        <v>326</v>
      </c>
      <c r="AO14" s="2" t="s">
        <v>357</v>
      </c>
      <c r="AP14" s="2" t="s">
        <v>276</v>
      </c>
      <c r="AQ14" s="2" t="s">
        <v>358</v>
      </c>
      <c r="AR14" s="1" t="s">
        <v>337</v>
      </c>
      <c r="AS14" s="1" t="s">
        <v>338</v>
      </c>
      <c r="AT14" s="1" t="s">
        <v>120</v>
      </c>
      <c r="AU14" s="1" t="s">
        <v>339</v>
      </c>
      <c r="AV14" s="1" t="s">
        <v>225</v>
      </c>
      <c r="AW14" s="1" t="s">
        <v>340</v>
      </c>
      <c r="AX14" s="1" t="s">
        <v>341</v>
      </c>
      <c r="AY14" s="1" t="s">
        <v>115</v>
      </c>
      <c r="AZ14" s="1" t="s">
        <v>340</v>
      </c>
      <c r="BA14" s="2"/>
      <c r="BB14" s="14" t="s">
        <v>355</v>
      </c>
      <c r="BC14" s="15" t="s">
        <v>291</v>
      </c>
      <c r="BD14" s="14" t="s">
        <v>300</v>
      </c>
      <c r="BE14" s="13" t="s">
        <v>286</v>
      </c>
      <c r="BF14" s="16" t="s">
        <v>258</v>
      </c>
      <c r="BG14" s="15" t="s">
        <v>359</v>
      </c>
      <c r="BH14" s="2"/>
      <c r="BK14" s="2"/>
    </row>
    <row r="15" spans="1:63" x14ac:dyDescent="0.5">
      <c r="G15" s="1" t="s">
        <v>360</v>
      </c>
      <c r="H15" s="1" t="s">
        <v>360</v>
      </c>
      <c r="I15" s="1" t="s">
        <v>360</v>
      </c>
      <c r="J15" s="1" t="s">
        <v>360</v>
      </c>
      <c r="L15" s="1" t="s">
        <v>342</v>
      </c>
      <c r="M15" s="1" t="s">
        <v>285</v>
      </c>
      <c r="N15" s="1" t="s">
        <v>236</v>
      </c>
      <c r="O15" s="1" t="s">
        <v>116</v>
      </c>
      <c r="P15" s="1" t="s">
        <v>276</v>
      </c>
      <c r="Q15" s="1" t="s">
        <v>222</v>
      </c>
      <c r="S15" s="1" t="s">
        <v>342</v>
      </c>
      <c r="T15" s="1" t="s">
        <v>285</v>
      </c>
      <c r="U15" s="1" t="s">
        <v>236</v>
      </c>
      <c r="V15" s="1" t="s">
        <v>116</v>
      </c>
      <c r="W15" s="1" t="s">
        <v>276</v>
      </c>
      <c r="X15" s="1" t="s">
        <v>222</v>
      </c>
      <c r="Y15" s="1" t="s">
        <v>241</v>
      </c>
      <c r="Z15" s="1" t="s">
        <v>112</v>
      </c>
      <c r="AA15" s="1" t="s">
        <v>190</v>
      </c>
      <c r="AB15" s="1" t="s">
        <v>118</v>
      </c>
      <c r="AC15" s="1" t="s">
        <v>261</v>
      </c>
      <c r="AD15" s="1" t="s">
        <v>340</v>
      </c>
      <c r="AE15" s="1" t="s">
        <v>379</v>
      </c>
      <c r="AF15" s="1" t="s">
        <v>481</v>
      </c>
      <c r="AG15" s="1" t="s">
        <v>424</v>
      </c>
      <c r="AL15" s="2" t="s">
        <v>363</v>
      </c>
      <c r="AM15" s="2" t="s">
        <v>364</v>
      </c>
      <c r="AN15" s="2" t="s">
        <v>322</v>
      </c>
      <c r="AO15" s="2" t="s">
        <v>365</v>
      </c>
      <c r="AP15" s="2" t="s">
        <v>366</v>
      </c>
      <c r="AQ15" s="2" t="s">
        <v>367</v>
      </c>
      <c r="AR15" s="1" t="s">
        <v>349</v>
      </c>
      <c r="AS15" s="1" t="s">
        <v>346</v>
      </c>
      <c r="AT15" s="1" t="s">
        <v>350</v>
      </c>
      <c r="AU15" s="1" t="s">
        <v>351</v>
      </c>
      <c r="AV15" s="1" t="s">
        <v>352</v>
      </c>
      <c r="AW15" s="1" t="s">
        <v>353</v>
      </c>
      <c r="AX15" s="1" t="s">
        <v>354</v>
      </c>
      <c r="AY15" s="1" t="s">
        <v>305</v>
      </c>
      <c r="AZ15" s="1" t="s">
        <v>353</v>
      </c>
      <c r="BA15" s="2"/>
      <c r="BB15" s="13" t="s">
        <v>363</v>
      </c>
      <c r="BC15" s="16" t="s">
        <v>304</v>
      </c>
      <c r="BD15" s="15" t="s">
        <v>231</v>
      </c>
      <c r="BE15" s="16" t="s">
        <v>276</v>
      </c>
      <c r="BF15" s="16" t="s">
        <v>283</v>
      </c>
      <c r="BG15" s="15" t="s">
        <v>354</v>
      </c>
      <c r="BH15" s="2"/>
      <c r="BK15" s="2"/>
    </row>
    <row r="16" spans="1:63" x14ac:dyDescent="0.5">
      <c r="G16" s="1" t="s">
        <v>368</v>
      </c>
      <c r="H16" s="1" t="s">
        <v>368</v>
      </c>
      <c r="I16" s="1" t="s">
        <v>368</v>
      </c>
      <c r="J16" s="1" t="s">
        <v>368</v>
      </c>
      <c r="L16" s="1" t="s">
        <v>120</v>
      </c>
      <c r="M16" s="1" t="s">
        <v>118</v>
      </c>
      <c r="N16" s="1" t="s">
        <v>369</v>
      </c>
      <c r="O16" s="1" t="s">
        <v>370</v>
      </c>
      <c r="P16" s="1" t="s">
        <v>371</v>
      </c>
      <c r="Q16" s="1" t="s">
        <v>318</v>
      </c>
      <c r="S16" s="1" t="s">
        <v>120</v>
      </c>
      <c r="T16" s="1" t="s">
        <v>118</v>
      </c>
      <c r="U16" s="1" t="s">
        <v>369</v>
      </c>
      <c r="V16" s="1" t="s">
        <v>370</v>
      </c>
      <c r="W16" s="1" t="s">
        <v>371</v>
      </c>
      <c r="X16" s="1" t="s">
        <v>318</v>
      </c>
      <c r="Y16" s="1" t="s">
        <v>485</v>
      </c>
      <c r="Z16" s="1" t="s">
        <v>117</v>
      </c>
      <c r="AA16" s="1" t="s">
        <v>377</v>
      </c>
      <c r="AB16" s="1" t="s">
        <v>293</v>
      </c>
      <c r="AC16" s="1" t="s">
        <v>370</v>
      </c>
      <c r="AD16" s="1" t="s">
        <v>261</v>
      </c>
      <c r="AE16" s="1" t="s">
        <v>434</v>
      </c>
      <c r="AF16" s="1" t="s">
        <v>194</v>
      </c>
      <c r="AG16" s="1" t="s">
        <v>340</v>
      </c>
      <c r="AL16" s="2" t="s">
        <v>280</v>
      </c>
      <c r="AM16" s="2" t="s">
        <v>376</v>
      </c>
      <c r="AN16" s="2" t="s">
        <v>346</v>
      </c>
      <c r="AO16" s="2" t="s">
        <v>377</v>
      </c>
      <c r="AP16" s="2" t="s">
        <v>371</v>
      </c>
      <c r="AQ16" s="2" t="s">
        <v>378</v>
      </c>
      <c r="AR16" s="1" t="s">
        <v>190</v>
      </c>
      <c r="AS16" s="1" t="s">
        <v>112</v>
      </c>
      <c r="AT16" s="1" t="s">
        <v>361</v>
      </c>
      <c r="AU16" s="1" t="s">
        <v>112</v>
      </c>
      <c r="AV16" s="1" t="s">
        <v>121</v>
      </c>
      <c r="AW16" s="1" t="s">
        <v>362</v>
      </c>
      <c r="AX16" s="1" t="s">
        <v>289</v>
      </c>
      <c r="AY16" s="1" t="s">
        <v>277</v>
      </c>
      <c r="AZ16" s="1" t="s">
        <v>334</v>
      </c>
      <c r="BA16" s="2"/>
      <c r="BB16" s="14" t="s">
        <v>280</v>
      </c>
      <c r="BC16" s="14" t="s">
        <v>239</v>
      </c>
      <c r="BD16" s="15" t="s">
        <v>241</v>
      </c>
      <c r="BE16" s="13" t="s">
        <v>239</v>
      </c>
      <c r="BF16" s="16" t="s">
        <v>192</v>
      </c>
      <c r="BG16" s="15" t="s">
        <v>379</v>
      </c>
      <c r="BH16" s="2"/>
      <c r="BK16" s="2"/>
    </row>
    <row r="17" spans="7:63" x14ac:dyDescent="0.5">
      <c r="G17" s="1" t="s">
        <v>380</v>
      </c>
      <c r="H17" s="1" t="s">
        <v>380</v>
      </c>
      <c r="I17" s="1" t="s">
        <v>380</v>
      </c>
      <c r="J17" s="1" t="s">
        <v>380</v>
      </c>
      <c r="L17" s="1" t="s">
        <v>381</v>
      </c>
      <c r="M17" s="1" t="s">
        <v>120</v>
      </c>
      <c r="N17" s="1" t="s">
        <v>326</v>
      </c>
      <c r="O17" s="1" t="s">
        <v>382</v>
      </c>
      <c r="P17" s="1" t="s">
        <v>383</v>
      </c>
      <c r="Q17" s="1" t="s">
        <v>335</v>
      </c>
      <c r="S17" s="1" t="s">
        <v>381</v>
      </c>
      <c r="T17" s="1" t="s">
        <v>120</v>
      </c>
      <c r="U17" s="1" t="s">
        <v>326</v>
      </c>
      <c r="V17" s="1" t="s">
        <v>382</v>
      </c>
      <c r="W17" s="1" t="s">
        <v>383</v>
      </c>
      <c r="X17" s="1" t="s">
        <v>335</v>
      </c>
      <c r="Y17" s="1" t="s">
        <v>250</v>
      </c>
      <c r="Z17" s="1" t="s">
        <v>282</v>
      </c>
      <c r="AA17" s="1" t="s">
        <v>419</v>
      </c>
      <c r="AB17" s="1" t="s">
        <v>419</v>
      </c>
      <c r="AC17" s="1" t="s">
        <v>189</v>
      </c>
      <c r="AD17" s="1" t="s">
        <v>239</v>
      </c>
      <c r="AE17" s="1" t="s">
        <v>222</v>
      </c>
      <c r="AF17" s="1" t="s">
        <v>269</v>
      </c>
      <c r="AG17" s="1" t="s">
        <v>441</v>
      </c>
      <c r="AL17" s="2" t="s">
        <v>389</v>
      </c>
      <c r="AM17" s="2" t="s">
        <v>390</v>
      </c>
      <c r="AN17" s="2" t="s">
        <v>391</v>
      </c>
      <c r="AO17" s="2" t="s">
        <v>326</v>
      </c>
      <c r="AP17" s="2" t="s">
        <v>275</v>
      </c>
      <c r="AQ17" s="2" t="s">
        <v>392</v>
      </c>
      <c r="AR17" s="1" t="s">
        <v>372</v>
      </c>
      <c r="AS17" s="1" t="s">
        <v>117</v>
      </c>
      <c r="AT17" s="1" t="s">
        <v>373</v>
      </c>
      <c r="AU17" s="1" t="s">
        <v>189</v>
      </c>
      <c r="AV17" s="1" t="s">
        <v>139</v>
      </c>
      <c r="AW17" s="1" t="s">
        <v>374</v>
      </c>
      <c r="AX17" s="1" t="s">
        <v>301</v>
      </c>
      <c r="AY17" s="1" t="s">
        <v>375</v>
      </c>
      <c r="AZ17" s="1" t="s">
        <v>365</v>
      </c>
      <c r="BA17" s="2"/>
      <c r="BB17" s="13" t="s">
        <v>389</v>
      </c>
      <c r="BC17" s="15" t="s">
        <v>316</v>
      </c>
      <c r="BD17" s="16" t="s">
        <v>247</v>
      </c>
      <c r="BE17" s="14" t="s">
        <v>116</v>
      </c>
      <c r="BF17" s="16" t="s">
        <v>233</v>
      </c>
      <c r="BG17" s="15" t="s">
        <v>248</v>
      </c>
      <c r="BH17" s="2"/>
      <c r="BK17" s="2"/>
    </row>
    <row r="18" spans="7:63" x14ac:dyDescent="0.5">
      <c r="L18" s="1" t="s">
        <v>393</v>
      </c>
      <c r="M18" s="1" t="s">
        <v>393</v>
      </c>
      <c r="N18" s="1" t="s">
        <v>394</v>
      </c>
      <c r="O18" s="1" t="s">
        <v>357</v>
      </c>
      <c r="P18" s="1" t="s">
        <v>347</v>
      </c>
      <c r="Q18" s="1" t="s">
        <v>395</v>
      </c>
      <c r="S18" s="1" t="s">
        <v>393</v>
      </c>
      <c r="T18" s="1" t="s">
        <v>393</v>
      </c>
      <c r="U18" s="1" t="s">
        <v>394</v>
      </c>
      <c r="V18" s="1" t="s">
        <v>357</v>
      </c>
      <c r="W18" s="1" t="s">
        <v>347</v>
      </c>
      <c r="X18" s="1" t="s">
        <v>395</v>
      </c>
      <c r="Y18" s="1" t="s">
        <v>112</v>
      </c>
      <c r="Z18" s="1" t="s">
        <v>294</v>
      </c>
      <c r="AA18" s="1" t="s">
        <v>447</v>
      </c>
      <c r="AB18" s="1" t="s">
        <v>253</v>
      </c>
      <c r="AC18" s="1" t="s">
        <v>117</v>
      </c>
      <c r="AD18" s="1" t="s">
        <v>285</v>
      </c>
      <c r="AE18" s="1" t="s">
        <v>465</v>
      </c>
      <c r="AF18" s="1" t="s">
        <v>123</v>
      </c>
      <c r="AG18" s="1" t="s">
        <v>334</v>
      </c>
      <c r="AL18" s="2" t="s">
        <v>400</v>
      </c>
      <c r="AM18" s="2" t="s">
        <v>401</v>
      </c>
      <c r="AN18" s="2" t="s">
        <v>402</v>
      </c>
      <c r="AO18" s="2" t="s">
        <v>307</v>
      </c>
      <c r="AP18" s="2" t="s">
        <v>304</v>
      </c>
      <c r="AQ18" s="2" t="s">
        <v>403</v>
      </c>
      <c r="AR18" s="1" t="s">
        <v>125</v>
      </c>
      <c r="AS18" s="1" t="s">
        <v>282</v>
      </c>
      <c r="AT18" s="1" t="s">
        <v>384</v>
      </c>
      <c r="AU18" s="1" t="s">
        <v>385</v>
      </c>
      <c r="AV18" s="1" t="s">
        <v>283</v>
      </c>
      <c r="AW18" s="1" t="s">
        <v>386</v>
      </c>
      <c r="AX18" s="1" t="s">
        <v>387</v>
      </c>
      <c r="AY18" s="1" t="s">
        <v>388</v>
      </c>
      <c r="AZ18" s="1" t="s">
        <v>248</v>
      </c>
      <c r="BA18" s="2"/>
      <c r="BB18" s="14" t="s">
        <v>400</v>
      </c>
      <c r="BC18" s="16" t="s">
        <v>333</v>
      </c>
      <c r="BD18" s="15" t="s">
        <v>112</v>
      </c>
      <c r="BE18" s="13" t="s">
        <v>305</v>
      </c>
      <c r="BF18" s="16" t="s">
        <v>359</v>
      </c>
      <c r="BG18" s="15" t="s">
        <v>222</v>
      </c>
      <c r="BH18" s="2"/>
      <c r="BK18" s="2"/>
    </row>
    <row r="19" spans="7:63" x14ac:dyDescent="0.5">
      <c r="G19" s="50" t="s">
        <v>183</v>
      </c>
      <c r="H19" s="50" t="s">
        <v>210</v>
      </c>
      <c r="I19" s="50" t="s">
        <v>228</v>
      </c>
      <c r="L19" s="1" t="s">
        <v>393</v>
      </c>
      <c r="M19" s="1" t="s">
        <v>327</v>
      </c>
      <c r="N19" s="1" t="s">
        <v>322</v>
      </c>
      <c r="O19" s="1" t="s">
        <v>375</v>
      </c>
      <c r="P19" s="1" t="s">
        <v>404</v>
      </c>
      <c r="Q19" s="1" t="s">
        <v>405</v>
      </c>
      <c r="S19" s="1" t="s">
        <v>393</v>
      </c>
      <c r="T19" s="1" t="s">
        <v>327</v>
      </c>
      <c r="U19" s="1" t="s">
        <v>322</v>
      </c>
      <c r="V19" s="1" t="s">
        <v>375</v>
      </c>
      <c r="W19" s="1" t="s">
        <v>404</v>
      </c>
      <c r="X19" s="1" t="s">
        <v>405</v>
      </c>
      <c r="Y19" s="1" t="s">
        <v>276</v>
      </c>
      <c r="Z19" s="1" t="s">
        <v>393</v>
      </c>
      <c r="AA19" s="1" t="s">
        <v>500</v>
      </c>
      <c r="AB19" s="1" t="s">
        <v>322</v>
      </c>
      <c r="AC19" s="1" t="s">
        <v>365</v>
      </c>
      <c r="AD19" s="1" t="s">
        <v>365</v>
      </c>
      <c r="AE19" s="1" t="s">
        <v>295</v>
      </c>
      <c r="AF19" s="1" t="s">
        <v>398</v>
      </c>
      <c r="AG19" s="1" t="s">
        <v>365</v>
      </c>
      <c r="AL19" s="2" t="s">
        <v>412</v>
      </c>
      <c r="AM19" s="2" t="s">
        <v>400</v>
      </c>
      <c r="AN19" s="2" t="s">
        <v>398</v>
      </c>
      <c r="AO19" s="2" t="s">
        <v>413</v>
      </c>
      <c r="AP19" s="2" t="s">
        <v>383</v>
      </c>
      <c r="AQ19" s="2" t="s">
        <v>414</v>
      </c>
      <c r="AR19" s="1" t="s">
        <v>396</v>
      </c>
      <c r="AS19" s="1" t="s">
        <v>294</v>
      </c>
      <c r="AT19" s="1" t="s">
        <v>282</v>
      </c>
      <c r="AU19" s="1" t="s">
        <v>247</v>
      </c>
      <c r="AV19" s="1" t="s">
        <v>341</v>
      </c>
      <c r="AW19" s="1" t="s">
        <v>261</v>
      </c>
      <c r="AX19" s="1" t="s">
        <v>397</v>
      </c>
      <c r="AY19" s="1" t="s">
        <v>398</v>
      </c>
      <c r="AZ19" s="1" t="s">
        <v>399</v>
      </c>
      <c r="BA19" s="2"/>
      <c r="BB19" s="13" t="s">
        <v>412</v>
      </c>
      <c r="BC19" s="15" t="s">
        <v>265</v>
      </c>
      <c r="BD19" s="16" t="s">
        <v>277</v>
      </c>
      <c r="BE19" s="13" t="s">
        <v>265</v>
      </c>
      <c r="BF19" s="15" t="s">
        <v>354</v>
      </c>
      <c r="BG19" s="15" t="s">
        <v>270</v>
      </c>
      <c r="BH19" s="2"/>
      <c r="BK19" s="2"/>
    </row>
    <row r="20" spans="7:63" x14ac:dyDescent="0.5">
      <c r="G20" s="1" t="s">
        <v>202</v>
      </c>
      <c r="H20" s="1" t="s">
        <v>202</v>
      </c>
      <c r="I20" s="1" t="s">
        <v>202</v>
      </c>
      <c r="L20" s="1" t="s">
        <v>415</v>
      </c>
      <c r="M20" s="1" t="s">
        <v>416</v>
      </c>
      <c r="N20" s="1" t="s">
        <v>313</v>
      </c>
      <c r="O20" s="1" t="s">
        <v>334</v>
      </c>
      <c r="P20" s="1" t="s">
        <v>116</v>
      </c>
      <c r="Q20" s="1" t="s">
        <v>417</v>
      </c>
      <c r="S20" s="1" t="s">
        <v>415</v>
      </c>
      <c r="T20" s="1" t="s">
        <v>416</v>
      </c>
      <c r="U20" s="1" t="s">
        <v>313</v>
      </c>
      <c r="V20" s="1" t="s">
        <v>334</v>
      </c>
      <c r="W20" s="1" t="s">
        <v>116</v>
      </c>
      <c r="X20" s="1" t="s">
        <v>417</v>
      </c>
      <c r="Y20" s="1" t="s">
        <v>479</v>
      </c>
      <c r="Z20" s="1" t="s">
        <v>419</v>
      </c>
      <c r="AA20" s="1" t="s">
        <v>500</v>
      </c>
      <c r="AB20" s="1" t="s">
        <v>537</v>
      </c>
      <c r="AC20" s="1" t="s">
        <v>326</v>
      </c>
      <c r="AD20" s="1" t="s">
        <v>326</v>
      </c>
      <c r="AE20" s="1" t="s">
        <v>514</v>
      </c>
      <c r="AF20" s="1" t="s">
        <v>388</v>
      </c>
      <c r="AG20" s="1" t="s">
        <v>447</v>
      </c>
      <c r="AL20" s="2" t="s">
        <v>423</v>
      </c>
      <c r="AM20" s="2" t="s">
        <v>423</v>
      </c>
      <c r="AN20" s="2" t="s">
        <v>401</v>
      </c>
      <c r="AO20" s="2" t="s">
        <v>120</v>
      </c>
      <c r="AP20" s="2" t="s">
        <v>347</v>
      </c>
      <c r="AQ20" s="2" t="s">
        <v>137</v>
      </c>
      <c r="AR20" s="1" t="s">
        <v>406</v>
      </c>
      <c r="AS20" s="1" t="s">
        <v>393</v>
      </c>
      <c r="AT20" s="1" t="s">
        <v>407</v>
      </c>
      <c r="AU20" s="1" t="s">
        <v>408</v>
      </c>
      <c r="AV20" s="1" t="s">
        <v>323</v>
      </c>
      <c r="AW20" s="1" t="s">
        <v>409</v>
      </c>
      <c r="AX20" s="1" t="s">
        <v>410</v>
      </c>
      <c r="AY20" s="1" t="s">
        <v>411</v>
      </c>
      <c r="AZ20" s="1" t="s">
        <v>130</v>
      </c>
      <c r="BA20" s="2"/>
      <c r="BB20" s="14" t="s">
        <v>423</v>
      </c>
      <c r="BC20" s="13" t="s">
        <v>285</v>
      </c>
      <c r="BD20" s="16" t="s">
        <v>276</v>
      </c>
      <c r="BE20" s="13" t="s">
        <v>334</v>
      </c>
      <c r="BF20" s="15" t="s">
        <v>379</v>
      </c>
      <c r="BG20" s="15" t="s">
        <v>295</v>
      </c>
      <c r="BH20" s="2"/>
      <c r="BK20" s="2"/>
    </row>
    <row r="21" spans="7:63" x14ac:dyDescent="0.5">
      <c r="G21" s="1" t="s">
        <v>203</v>
      </c>
      <c r="H21" s="1" t="s">
        <v>203</v>
      </c>
      <c r="I21" s="1" t="s">
        <v>203</v>
      </c>
      <c r="L21" s="1" t="s">
        <v>126</v>
      </c>
      <c r="M21" s="1" t="s">
        <v>343</v>
      </c>
      <c r="N21" s="1" t="s">
        <v>323</v>
      </c>
      <c r="O21" s="1" t="s">
        <v>365</v>
      </c>
      <c r="P21" s="1" t="s">
        <v>316</v>
      </c>
      <c r="Q21" s="1" t="s">
        <v>424</v>
      </c>
      <c r="S21" s="1" t="s">
        <v>126</v>
      </c>
      <c r="T21" s="1" t="s">
        <v>343</v>
      </c>
      <c r="U21" s="1" t="s">
        <v>323</v>
      </c>
      <c r="V21" s="1" t="s">
        <v>365</v>
      </c>
      <c r="W21" s="1" t="s">
        <v>316</v>
      </c>
      <c r="X21" s="1" t="s">
        <v>424</v>
      </c>
      <c r="Y21" s="1" t="s">
        <v>256</v>
      </c>
      <c r="Z21" s="1" t="s">
        <v>425</v>
      </c>
      <c r="AA21" s="1" t="s">
        <v>544</v>
      </c>
      <c r="AB21" s="1" t="s">
        <v>501</v>
      </c>
      <c r="AC21" s="1" t="s">
        <v>322</v>
      </c>
      <c r="AD21" s="1" t="s">
        <v>409</v>
      </c>
      <c r="AE21" s="1" t="s">
        <v>474</v>
      </c>
      <c r="AF21" s="1" t="s">
        <v>421</v>
      </c>
      <c r="AG21" s="1" t="s">
        <v>351</v>
      </c>
      <c r="AL21" s="2" t="s">
        <v>431</v>
      </c>
      <c r="AM21" s="2" t="s">
        <v>432</v>
      </c>
      <c r="AN21" s="2" t="s">
        <v>384</v>
      </c>
      <c r="AO21" s="2" t="s">
        <v>393</v>
      </c>
      <c r="AP21" s="2" t="s">
        <v>310</v>
      </c>
      <c r="AQ21" s="2" t="s">
        <v>433</v>
      </c>
      <c r="AR21" s="1" t="s">
        <v>418</v>
      </c>
      <c r="AS21" s="1" t="s">
        <v>419</v>
      </c>
      <c r="AT21" s="1" t="s">
        <v>420</v>
      </c>
      <c r="AU21" s="1" t="s">
        <v>392</v>
      </c>
      <c r="AV21" s="1" t="s">
        <v>421</v>
      </c>
      <c r="AW21" s="1" t="s">
        <v>422</v>
      </c>
      <c r="AX21" s="1" t="s">
        <v>379</v>
      </c>
      <c r="AY21" s="1" t="s">
        <v>123</v>
      </c>
      <c r="AZ21" s="1" t="s">
        <v>379</v>
      </c>
      <c r="BA21" s="2"/>
      <c r="BB21" s="13" t="s">
        <v>431</v>
      </c>
      <c r="BC21" s="15" t="s">
        <v>118</v>
      </c>
      <c r="BD21" s="15" t="s">
        <v>256</v>
      </c>
      <c r="BE21" s="13" t="s">
        <v>118</v>
      </c>
      <c r="BF21" s="16" t="s">
        <v>434</v>
      </c>
      <c r="BG21" s="15" t="s">
        <v>112</v>
      </c>
      <c r="BH21" s="2"/>
      <c r="BK21" s="2"/>
    </row>
    <row r="22" spans="7:63" x14ac:dyDescent="0.5">
      <c r="G22" s="1" t="s">
        <v>204</v>
      </c>
      <c r="H22" s="1" t="s">
        <v>204</v>
      </c>
      <c r="I22" s="1" t="s">
        <v>204</v>
      </c>
      <c r="L22" s="1" t="s">
        <v>398</v>
      </c>
      <c r="M22" s="1" t="s">
        <v>194</v>
      </c>
      <c r="N22" s="1" t="s">
        <v>435</v>
      </c>
      <c r="O22" s="1" t="s">
        <v>435</v>
      </c>
      <c r="P22" s="1" t="s">
        <v>436</v>
      </c>
      <c r="Q22" s="1" t="s">
        <v>437</v>
      </c>
      <c r="S22" s="1" t="s">
        <v>398</v>
      </c>
      <c r="T22" s="1" t="s">
        <v>194</v>
      </c>
      <c r="U22" s="1" t="s">
        <v>435</v>
      </c>
      <c r="V22" s="1" t="s">
        <v>435</v>
      </c>
      <c r="W22" s="1" t="s">
        <v>436</v>
      </c>
      <c r="X22" s="1" t="s">
        <v>437</v>
      </c>
      <c r="Y22" s="1" t="s">
        <v>424</v>
      </c>
      <c r="Z22" s="1" t="s">
        <v>343</v>
      </c>
      <c r="AA22" s="1" t="s">
        <v>307</v>
      </c>
      <c r="AB22" s="1" t="s">
        <v>351</v>
      </c>
      <c r="AC22" s="1" t="s">
        <v>463</v>
      </c>
      <c r="AD22" s="1" t="s">
        <v>463</v>
      </c>
      <c r="AE22" s="1" t="s">
        <v>387</v>
      </c>
      <c r="AF22" s="1" t="s">
        <v>240</v>
      </c>
      <c r="AG22" s="1" t="s">
        <v>399</v>
      </c>
      <c r="AL22" s="2" t="s">
        <v>442</v>
      </c>
      <c r="AM22" s="2" t="s">
        <v>443</v>
      </c>
      <c r="AN22" s="2" t="s">
        <v>337</v>
      </c>
      <c r="AO22" s="2" t="s">
        <v>376</v>
      </c>
      <c r="AP22" s="2" t="s">
        <v>239</v>
      </c>
      <c r="AR22" s="1" t="s">
        <v>276</v>
      </c>
      <c r="AS22" s="1" t="s">
        <v>425</v>
      </c>
      <c r="AT22" s="1" t="s">
        <v>426</v>
      </c>
      <c r="AU22" s="1" t="s">
        <v>427</v>
      </c>
      <c r="AV22" s="1" t="s">
        <v>428</v>
      </c>
      <c r="AW22" s="1" t="s">
        <v>429</v>
      </c>
      <c r="AX22" s="1" t="s">
        <v>359</v>
      </c>
      <c r="AY22" s="1" t="s">
        <v>233</v>
      </c>
      <c r="AZ22" s="1" t="s">
        <v>430</v>
      </c>
      <c r="BB22" s="13" t="s">
        <v>432</v>
      </c>
      <c r="BC22" s="15" t="s">
        <v>298</v>
      </c>
      <c r="BD22" s="16" t="s">
        <v>328</v>
      </c>
      <c r="BE22" s="13" t="s">
        <v>236</v>
      </c>
      <c r="BF22" s="16" t="s">
        <v>248</v>
      </c>
      <c r="BG22" s="15" t="s">
        <v>286</v>
      </c>
    </row>
    <row r="23" spans="7:63" x14ac:dyDescent="0.5">
      <c r="G23" s="1" t="s">
        <v>205</v>
      </c>
      <c r="H23" s="1" t="s">
        <v>205</v>
      </c>
      <c r="I23" s="1" t="s">
        <v>205</v>
      </c>
      <c r="L23" s="1" t="s">
        <v>364</v>
      </c>
      <c r="M23" s="1" t="s">
        <v>356</v>
      </c>
      <c r="N23" s="1" t="s">
        <v>435</v>
      </c>
      <c r="O23" s="1" t="s">
        <v>393</v>
      </c>
      <c r="P23" s="1" t="s">
        <v>117</v>
      </c>
      <c r="Q23" s="1" t="s">
        <v>275</v>
      </c>
      <c r="S23" s="1" t="s">
        <v>364</v>
      </c>
      <c r="T23" s="1" t="s">
        <v>356</v>
      </c>
      <c r="U23" s="1" t="s">
        <v>435</v>
      </c>
      <c r="V23" s="1" t="s">
        <v>393</v>
      </c>
      <c r="W23" s="1" t="s">
        <v>117</v>
      </c>
      <c r="X23" s="1" t="s">
        <v>275</v>
      </c>
      <c r="Y23" s="1" t="s">
        <v>114</v>
      </c>
      <c r="Z23" s="1" t="s">
        <v>444</v>
      </c>
      <c r="AA23" s="1" t="s">
        <v>565</v>
      </c>
      <c r="AB23" s="1" t="s">
        <v>495</v>
      </c>
      <c r="AC23" s="1" t="s">
        <v>493</v>
      </c>
      <c r="AD23" s="1" t="s">
        <v>309</v>
      </c>
      <c r="AE23" s="1" t="s">
        <v>410</v>
      </c>
      <c r="AF23" s="1" t="s">
        <v>296</v>
      </c>
      <c r="AG23" s="1" t="s">
        <v>195</v>
      </c>
      <c r="AL23" s="2" t="s">
        <v>386</v>
      </c>
      <c r="AM23" s="2" t="s">
        <v>421</v>
      </c>
      <c r="AN23" s="2" t="s">
        <v>131</v>
      </c>
      <c r="AO23" s="2" t="s">
        <v>448</v>
      </c>
      <c r="AP23" s="2" t="s">
        <v>449</v>
      </c>
      <c r="AR23" s="1" t="s">
        <v>438</v>
      </c>
      <c r="AS23" s="1" t="s">
        <v>343</v>
      </c>
      <c r="AT23" s="1" t="s">
        <v>377</v>
      </c>
      <c r="AU23" s="1" t="s">
        <v>320</v>
      </c>
      <c r="AV23" s="1" t="s">
        <v>439</v>
      </c>
      <c r="AW23" s="1" t="s">
        <v>134</v>
      </c>
      <c r="AX23" s="1" t="s">
        <v>440</v>
      </c>
      <c r="AY23" s="1" t="s">
        <v>421</v>
      </c>
      <c r="AZ23" s="1" t="s">
        <v>441</v>
      </c>
      <c r="BB23" s="14" t="s">
        <v>442</v>
      </c>
      <c r="BC23" s="15" t="s">
        <v>313</v>
      </c>
      <c r="BD23" s="16" t="s">
        <v>275</v>
      </c>
      <c r="BE23" s="15" t="s">
        <v>369</v>
      </c>
      <c r="BF23" s="15" t="s">
        <v>222</v>
      </c>
      <c r="BG23" s="15" t="s">
        <v>277</v>
      </c>
    </row>
    <row r="24" spans="7:63" x14ac:dyDescent="0.5">
      <c r="G24" s="1" t="s">
        <v>206</v>
      </c>
      <c r="H24" s="1" t="s">
        <v>206</v>
      </c>
      <c r="I24" s="1" t="s">
        <v>206</v>
      </c>
      <c r="L24" s="1" t="s">
        <v>363</v>
      </c>
      <c r="M24" s="1" t="s">
        <v>126</v>
      </c>
      <c r="N24" s="1" t="s">
        <v>121</v>
      </c>
      <c r="O24" s="1" t="s">
        <v>450</v>
      </c>
      <c r="P24" s="1" t="s">
        <v>118</v>
      </c>
      <c r="Q24" s="1" t="s">
        <v>317</v>
      </c>
      <c r="S24" s="1" t="s">
        <v>363</v>
      </c>
      <c r="T24" s="1" t="s">
        <v>126</v>
      </c>
      <c r="U24" s="1" t="s">
        <v>121</v>
      </c>
      <c r="V24" s="1" t="s">
        <v>450</v>
      </c>
      <c r="W24" s="1" t="s">
        <v>118</v>
      </c>
      <c r="X24" s="1" t="s">
        <v>317</v>
      </c>
      <c r="Y24" s="1" t="s">
        <v>551</v>
      </c>
      <c r="Z24" s="1" t="s">
        <v>188</v>
      </c>
      <c r="AA24" s="1" t="s">
        <v>548</v>
      </c>
      <c r="AB24" s="1" t="s">
        <v>491</v>
      </c>
      <c r="AC24" s="1" t="s">
        <v>323</v>
      </c>
      <c r="AD24" s="1" t="s">
        <v>126</v>
      </c>
      <c r="AE24" s="1" t="s">
        <v>326</v>
      </c>
      <c r="AF24" s="1" t="s">
        <v>324</v>
      </c>
      <c r="AG24" s="1" t="s">
        <v>220</v>
      </c>
      <c r="AL24" s="2" t="s">
        <v>411</v>
      </c>
      <c r="AM24" s="2" t="s">
        <v>453</v>
      </c>
      <c r="AN24" s="2" t="s">
        <v>454</v>
      </c>
      <c r="AO24" s="2" t="s">
        <v>455</v>
      </c>
      <c r="AP24" s="2" t="s">
        <v>118</v>
      </c>
      <c r="AR24" s="1" t="s">
        <v>126</v>
      </c>
      <c r="AS24" s="1" t="s">
        <v>444</v>
      </c>
      <c r="AT24" s="1" t="s">
        <v>445</v>
      </c>
      <c r="AU24" s="1" t="s">
        <v>292</v>
      </c>
      <c r="AV24" s="1" t="s">
        <v>446</v>
      </c>
      <c r="AW24" s="1" t="s">
        <v>372</v>
      </c>
      <c r="AX24" s="1" t="s">
        <v>326</v>
      </c>
      <c r="AY24" s="1" t="s">
        <v>317</v>
      </c>
      <c r="AZ24" s="1" t="s">
        <v>447</v>
      </c>
      <c r="BB24" s="13" t="s">
        <v>386</v>
      </c>
      <c r="BC24" s="15" t="s">
        <v>120</v>
      </c>
      <c r="BD24" s="15" t="s">
        <v>317</v>
      </c>
      <c r="BE24" s="14" t="s">
        <v>326</v>
      </c>
      <c r="BF24" s="15" t="s">
        <v>353</v>
      </c>
      <c r="BG24" s="15" t="s">
        <v>456</v>
      </c>
    </row>
    <row r="25" spans="7:63" x14ac:dyDescent="0.5">
      <c r="G25" s="1" t="s">
        <v>207</v>
      </c>
      <c r="H25" s="1" t="s">
        <v>207</v>
      </c>
      <c r="I25" s="1" t="s">
        <v>207</v>
      </c>
      <c r="L25" s="1" t="s">
        <v>457</v>
      </c>
      <c r="M25" s="1" t="s">
        <v>398</v>
      </c>
      <c r="N25" s="1" t="s">
        <v>450</v>
      </c>
      <c r="O25" s="1" t="s">
        <v>448</v>
      </c>
      <c r="P25" s="1" t="s">
        <v>447</v>
      </c>
      <c r="Q25" s="1" t="s">
        <v>458</v>
      </c>
      <c r="S25" s="1" t="s">
        <v>457</v>
      </c>
      <c r="T25" s="1" t="s">
        <v>398</v>
      </c>
      <c r="U25" s="1" t="s">
        <v>450</v>
      </c>
      <c r="V25" s="1" t="s">
        <v>448</v>
      </c>
      <c r="W25" s="1" t="s">
        <v>447</v>
      </c>
      <c r="X25" s="1" t="s">
        <v>458</v>
      </c>
      <c r="Y25" s="1" t="s">
        <v>540</v>
      </c>
      <c r="Z25" s="1" t="s">
        <v>460</v>
      </c>
      <c r="AA25" s="1" t="s">
        <v>120</v>
      </c>
      <c r="AB25" s="1" t="s">
        <v>281</v>
      </c>
      <c r="AC25" s="1" t="s">
        <v>121</v>
      </c>
      <c r="AD25" s="1" t="s">
        <v>466</v>
      </c>
      <c r="AE25" s="1" t="s">
        <v>406</v>
      </c>
      <c r="AF25" s="1" t="s">
        <v>411</v>
      </c>
      <c r="AG25" s="1" t="s">
        <v>130</v>
      </c>
      <c r="AL25" s="2" t="s">
        <v>453</v>
      </c>
      <c r="AM25" s="2" t="s">
        <v>219</v>
      </c>
      <c r="AN25" s="2" t="s">
        <v>134</v>
      </c>
      <c r="AO25" s="2" t="s">
        <v>464</v>
      </c>
      <c r="AP25" s="2" t="s">
        <v>323</v>
      </c>
      <c r="AR25" s="1" t="s">
        <v>279</v>
      </c>
      <c r="AS25" s="1" t="s">
        <v>188</v>
      </c>
      <c r="AT25" s="1" t="s">
        <v>451</v>
      </c>
      <c r="AU25" s="1" t="s">
        <v>419</v>
      </c>
      <c r="AV25" s="1" t="s">
        <v>379</v>
      </c>
      <c r="AW25" s="1" t="s">
        <v>452</v>
      </c>
      <c r="AX25" s="1" t="s">
        <v>452</v>
      </c>
      <c r="AY25" s="1" t="s">
        <v>453</v>
      </c>
      <c r="AZ25" s="1" t="s">
        <v>351</v>
      </c>
      <c r="BB25" s="14" t="s">
        <v>411</v>
      </c>
      <c r="BC25" s="15" t="s">
        <v>393</v>
      </c>
      <c r="BD25" s="16" t="s">
        <v>304</v>
      </c>
      <c r="BE25" s="15" t="s">
        <v>394</v>
      </c>
      <c r="BF25" s="15" t="s">
        <v>465</v>
      </c>
      <c r="BG25" s="15" t="s">
        <v>325</v>
      </c>
    </row>
    <row r="26" spans="7:63" x14ac:dyDescent="0.5">
      <c r="L26" s="1" t="s">
        <v>412</v>
      </c>
      <c r="M26" s="1" t="s">
        <v>466</v>
      </c>
      <c r="N26" s="1" t="s">
        <v>364</v>
      </c>
      <c r="O26" s="1" t="s">
        <v>467</v>
      </c>
      <c r="P26" s="1" t="s">
        <v>406</v>
      </c>
      <c r="Q26" s="1" t="s">
        <v>304</v>
      </c>
      <c r="S26" s="1" t="s">
        <v>412</v>
      </c>
      <c r="T26" s="1" t="s">
        <v>466</v>
      </c>
      <c r="U26" s="1" t="s">
        <v>364</v>
      </c>
      <c r="V26" s="1" t="s">
        <v>467</v>
      </c>
      <c r="W26" s="1" t="s">
        <v>406</v>
      </c>
      <c r="X26" s="1" t="s">
        <v>304</v>
      </c>
      <c r="Y26" s="1" t="s">
        <v>239</v>
      </c>
      <c r="Z26" s="1" t="s">
        <v>233</v>
      </c>
      <c r="AA26" s="1" t="s">
        <v>572</v>
      </c>
      <c r="AB26" s="1" t="s">
        <v>126</v>
      </c>
      <c r="AC26" s="1" t="s">
        <v>393</v>
      </c>
      <c r="AD26" s="1" t="s">
        <v>488</v>
      </c>
      <c r="AE26" s="1" t="s">
        <v>463</v>
      </c>
      <c r="AF26" s="1" t="s">
        <v>453</v>
      </c>
      <c r="AG26" s="1" t="s">
        <v>430</v>
      </c>
      <c r="AL26" s="2" t="s">
        <v>453</v>
      </c>
      <c r="AM26" s="2" t="s">
        <v>472</v>
      </c>
      <c r="AN26" s="2" t="s">
        <v>219</v>
      </c>
      <c r="AO26" s="2" t="s">
        <v>423</v>
      </c>
      <c r="AP26" s="2" t="s">
        <v>121</v>
      </c>
      <c r="AR26" s="1" t="s">
        <v>459</v>
      </c>
      <c r="AS26" s="1" t="s">
        <v>460</v>
      </c>
      <c r="AT26" s="1" t="s">
        <v>461</v>
      </c>
      <c r="AU26" s="1" t="s">
        <v>462</v>
      </c>
      <c r="AV26" s="1" t="s">
        <v>430</v>
      </c>
      <c r="AW26" s="1" t="s">
        <v>326</v>
      </c>
      <c r="AX26" s="1" t="s">
        <v>463</v>
      </c>
      <c r="AY26" s="1" t="s">
        <v>286</v>
      </c>
      <c r="AZ26" s="1" t="s">
        <v>258</v>
      </c>
      <c r="BB26" s="13" t="s">
        <v>453</v>
      </c>
      <c r="BC26" s="15" t="s">
        <v>327</v>
      </c>
      <c r="BD26" s="15" t="s">
        <v>347</v>
      </c>
      <c r="BE26" s="16" t="s">
        <v>322</v>
      </c>
      <c r="BF26" s="15" t="s">
        <v>270</v>
      </c>
      <c r="BG26" s="15" t="s">
        <v>317</v>
      </c>
    </row>
    <row r="27" spans="7:63" x14ac:dyDescent="0.5">
      <c r="L27" s="1" t="s">
        <v>473</v>
      </c>
      <c r="M27" s="1" t="s">
        <v>376</v>
      </c>
      <c r="N27" s="1" t="s">
        <v>466</v>
      </c>
      <c r="O27" s="1" t="s">
        <v>455</v>
      </c>
      <c r="P27" s="1" t="s">
        <v>342</v>
      </c>
      <c r="Q27" s="1" t="s">
        <v>383</v>
      </c>
      <c r="S27" s="1" t="s">
        <v>473</v>
      </c>
      <c r="T27" s="1" t="s">
        <v>376</v>
      </c>
      <c r="U27" s="1" t="s">
        <v>466</v>
      </c>
      <c r="V27" s="1" t="s">
        <v>455</v>
      </c>
      <c r="W27" s="1" t="s">
        <v>342</v>
      </c>
      <c r="X27" s="1" t="s">
        <v>383</v>
      </c>
      <c r="Y27" s="1" t="s">
        <v>370</v>
      </c>
      <c r="Z27" s="1" t="s">
        <v>273</v>
      </c>
      <c r="AA27" s="1" t="s">
        <v>266</v>
      </c>
      <c r="AB27" s="1" t="s">
        <v>127</v>
      </c>
      <c r="AC27" s="1" t="s">
        <v>294</v>
      </c>
      <c r="AD27" s="1" t="s">
        <v>422</v>
      </c>
      <c r="AE27" s="1" t="s">
        <v>323</v>
      </c>
      <c r="AF27" s="1" t="s">
        <v>470</v>
      </c>
      <c r="AG27" s="1" t="s">
        <v>471</v>
      </c>
      <c r="AL27" s="2" t="s">
        <v>476</v>
      </c>
      <c r="AM27" s="2" t="s">
        <v>339</v>
      </c>
      <c r="AN27" s="2" t="s">
        <v>452</v>
      </c>
      <c r="AO27" s="2" t="s">
        <v>349</v>
      </c>
      <c r="AP27" s="2" t="s">
        <v>450</v>
      </c>
      <c r="AR27" s="1" t="s">
        <v>287</v>
      </c>
      <c r="AS27" s="1" t="s">
        <v>233</v>
      </c>
      <c r="AT27" s="1" t="s">
        <v>235</v>
      </c>
      <c r="AU27" s="1" t="s">
        <v>468</v>
      </c>
      <c r="AV27" s="1" t="s">
        <v>469</v>
      </c>
      <c r="AW27" s="1" t="s">
        <v>463</v>
      </c>
      <c r="AX27" s="1" t="s">
        <v>222</v>
      </c>
      <c r="AY27" s="1" t="s">
        <v>470</v>
      </c>
      <c r="AZ27" s="1" t="s">
        <v>471</v>
      </c>
      <c r="BB27" s="18" t="s">
        <v>476</v>
      </c>
      <c r="BC27" s="15" t="s">
        <v>416</v>
      </c>
      <c r="BD27" s="15" t="s">
        <v>239</v>
      </c>
      <c r="BE27" s="14" t="s">
        <v>346</v>
      </c>
      <c r="BF27" s="16" t="s">
        <v>254</v>
      </c>
      <c r="BG27" s="15" t="s">
        <v>410</v>
      </c>
    </row>
    <row r="28" spans="7:63" x14ac:dyDescent="0.5">
      <c r="L28" s="1" t="s">
        <v>423</v>
      </c>
      <c r="M28" s="1" t="s">
        <v>401</v>
      </c>
      <c r="N28" s="1" t="s">
        <v>401</v>
      </c>
      <c r="O28" s="1" t="s">
        <v>363</v>
      </c>
      <c r="P28" s="1" t="s">
        <v>120</v>
      </c>
      <c r="Q28" s="1" t="s">
        <v>347</v>
      </c>
      <c r="S28" s="1" t="s">
        <v>423</v>
      </c>
      <c r="T28" s="1" t="s">
        <v>401</v>
      </c>
      <c r="U28" s="1" t="s">
        <v>401</v>
      </c>
      <c r="V28" s="1" t="s">
        <v>363</v>
      </c>
      <c r="W28" s="1" t="s">
        <v>120</v>
      </c>
      <c r="X28" s="1" t="s">
        <v>347</v>
      </c>
      <c r="Y28" s="1" t="s">
        <v>189</v>
      </c>
      <c r="Z28" s="1" t="s">
        <v>384</v>
      </c>
      <c r="AA28" s="1" t="s">
        <v>194</v>
      </c>
      <c r="AB28" s="1" t="s">
        <v>574</v>
      </c>
      <c r="AC28" s="1" t="s">
        <v>126</v>
      </c>
      <c r="AD28" s="1" t="s">
        <v>374</v>
      </c>
      <c r="AE28" s="1" t="s">
        <v>266</v>
      </c>
      <c r="AF28" s="1" t="s">
        <v>219</v>
      </c>
      <c r="AG28" s="1" t="s">
        <v>311</v>
      </c>
      <c r="AL28" s="2"/>
      <c r="AM28" s="2"/>
      <c r="AN28" s="2" t="s">
        <v>482</v>
      </c>
      <c r="AO28" s="2" t="s">
        <v>421</v>
      </c>
      <c r="AP28" s="2" t="s">
        <v>327</v>
      </c>
      <c r="AR28" s="1" t="s">
        <v>235</v>
      </c>
      <c r="AS28" s="1" t="s">
        <v>273</v>
      </c>
      <c r="AT28" s="1" t="s">
        <v>188</v>
      </c>
      <c r="AU28" s="1" t="s">
        <v>282</v>
      </c>
      <c r="AV28" s="1" t="s">
        <v>326</v>
      </c>
      <c r="AW28" s="1" t="s">
        <v>222</v>
      </c>
      <c r="AX28" s="1" t="s">
        <v>474</v>
      </c>
      <c r="AY28" s="1" t="s">
        <v>475</v>
      </c>
      <c r="AZ28" s="1" t="s">
        <v>140</v>
      </c>
      <c r="BB28" s="18"/>
      <c r="BC28" s="15" t="s">
        <v>343</v>
      </c>
      <c r="BD28" s="16" t="s">
        <v>116</v>
      </c>
      <c r="BE28" s="13" t="s">
        <v>391</v>
      </c>
      <c r="BF28" s="15" t="s">
        <v>295</v>
      </c>
      <c r="BG28" s="15" t="s">
        <v>441</v>
      </c>
    </row>
    <row r="29" spans="7:63" x14ac:dyDescent="0.5">
      <c r="L29" s="1" t="s">
        <v>483</v>
      </c>
      <c r="M29" s="1" t="s">
        <v>467</v>
      </c>
      <c r="N29" s="1" t="s">
        <v>455</v>
      </c>
      <c r="O29" s="1" t="s">
        <v>407</v>
      </c>
      <c r="P29" s="1" t="s">
        <v>484</v>
      </c>
      <c r="Q29" s="1" t="s">
        <v>310</v>
      </c>
      <c r="S29" s="1" t="s">
        <v>483</v>
      </c>
      <c r="T29" s="1" t="s">
        <v>467</v>
      </c>
      <c r="U29" s="1" t="s">
        <v>455</v>
      </c>
      <c r="V29" s="1" t="s">
        <v>407</v>
      </c>
      <c r="W29" s="1" t="s">
        <v>484</v>
      </c>
      <c r="X29" s="1" t="s">
        <v>310</v>
      </c>
      <c r="Y29" s="1" t="s">
        <v>190</v>
      </c>
      <c r="Z29" s="1" t="s">
        <v>486</v>
      </c>
      <c r="AA29" s="1" t="s">
        <v>576</v>
      </c>
      <c r="AB29" s="1" t="s">
        <v>448</v>
      </c>
      <c r="AC29" s="1" t="s">
        <v>428</v>
      </c>
      <c r="AD29" s="1" t="s">
        <v>386</v>
      </c>
      <c r="AE29" s="1" t="s">
        <v>130</v>
      </c>
      <c r="AF29" s="1" t="s">
        <v>475</v>
      </c>
      <c r="AG29" s="1" t="s">
        <v>140</v>
      </c>
      <c r="AL29" s="2"/>
      <c r="AN29" s="2" t="s">
        <v>489</v>
      </c>
      <c r="AO29" s="2" t="s">
        <v>490</v>
      </c>
      <c r="AP29" s="2" t="s">
        <v>491</v>
      </c>
      <c r="AR29" s="1" t="s">
        <v>137</v>
      </c>
      <c r="AS29" s="1" t="s">
        <v>384</v>
      </c>
      <c r="AT29" s="1" t="s">
        <v>477</v>
      </c>
      <c r="AU29" s="1" t="s">
        <v>478</v>
      </c>
      <c r="AV29" s="1" t="s">
        <v>463</v>
      </c>
      <c r="AW29" s="1" t="s">
        <v>479</v>
      </c>
      <c r="AX29" s="1" t="s">
        <v>480</v>
      </c>
      <c r="AY29" s="1" t="s">
        <v>481</v>
      </c>
      <c r="AZ29" s="1" t="s">
        <v>456</v>
      </c>
      <c r="BC29" s="15" t="s">
        <v>194</v>
      </c>
      <c r="BD29" s="15" t="s">
        <v>344</v>
      </c>
      <c r="BE29" s="15" t="s">
        <v>313</v>
      </c>
      <c r="BF29" s="15" t="s">
        <v>112</v>
      </c>
      <c r="BG29" s="15" t="s">
        <v>310</v>
      </c>
    </row>
    <row r="30" spans="7:63" x14ac:dyDescent="0.5">
      <c r="L30" s="1" t="s">
        <v>349</v>
      </c>
      <c r="M30" s="1" t="s">
        <v>280</v>
      </c>
      <c r="N30" s="1" t="s">
        <v>363</v>
      </c>
      <c r="O30" s="1" t="s">
        <v>131</v>
      </c>
      <c r="P30" s="1" t="s">
        <v>492</v>
      </c>
      <c r="Q30" s="1" t="s">
        <v>310</v>
      </c>
      <c r="S30" s="1" t="s">
        <v>349</v>
      </c>
      <c r="T30" s="1" t="s">
        <v>280</v>
      </c>
      <c r="U30" s="1" t="s">
        <v>363</v>
      </c>
      <c r="V30" s="1" t="s">
        <v>131</v>
      </c>
      <c r="W30" s="1" t="s">
        <v>492</v>
      </c>
      <c r="X30" s="1" t="s">
        <v>310</v>
      </c>
      <c r="Y30" s="1" t="s">
        <v>438</v>
      </c>
      <c r="Z30" s="1" t="s">
        <v>398</v>
      </c>
      <c r="AA30" s="1" t="s">
        <v>125</v>
      </c>
      <c r="AB30" s="1" t="s">
        <v>468</v>
      </c>
      <c r="AC30" s="1" t="s">
        <v>282</v>
      </c>
      <c r="AD30" s="1" t="s">
        <v>429</v>
      </c>
      <c r="AE30" s="1" t="s">
        <v>440</v>
      </c>
      <c r="AL30" s="2"/>
      <c r="AN30" s="2" t="s">
        <v>480</v>
      </c>
      <c r="AO30" s="2" t="s">
        <v>494</v>
      </c>
      <c r="AP30" s="2" t="s">
        <v>123</v>
      </c>
      <c r="AR30" s="1" t="s">
        <v>485</v>
      </c>
      <c r="AS30" s="1" t="s">
        <v>486</v>
      </c>
      <c r="AT30" s="1" t="s">
        <v>486</v>
      </c>
      <c r="AU30" s="1" t="s">
        <v>487</v>
      </c>
      <c r="AV30" s="1" t="s">
        <v>452</v>
      </c>
      <c r="AW30" s="1" t="s">
        <v>488</v>
      </c>
      <c r="AX30" s="1" t="s">
        <v>406</v>
      </c>
      <c r="AY30" s="1" t="s">
        <v>333</v>
      </c>
      <c r="AZ30" s="1" t="s">
        <v>424</v>
      </c>
      <c r="BC30" s="15" t="s">
        <v>356</v>
      </c>
      <c r="BD30" s="15" t="s">
        <v>370</v>
      </c>
      <c r="BE30" s="16" t="s">
        <v>323</v>
      </c>
      <c r="BF30" s="16" t="s">
        <v>286</v>
      </c>
      <c r="BG30" s="15" t="s">
        <v>305</v>
      </c>
    </row>
    <row r="31" spans="7:63" x14ac:dyDescent="0.5">
      <c r="L31" s="1" t="s">
        <v>337</v>
      </c>
      <c r="M31" s="1" t="s">
        <v>422</v>
      </c>
      <c r="N31" s="1" t="s">
        <v>384</v>
      </c>
      <c r="O31" s="1" t="s">
        <v>421</v>
      </c>
      <c r="P31" s="1" t="s">
        <v>123</v>
      </c>
      <c r="Q31" s="1" t="s">
        <v>305</v>
      </c>
      <c r="S31" s="1" t="s">
        <v>337</v>
      </c>
      <c r="T31" s="1" t="s">
        <v>422</v>
      </c>
      <c r="U31" s="1" t="s">
        <v>384</v>
      </c>
      <c r="V31" s="1" t="s">
        <v>421</v>
      </c>
      <c r="W31" s="1" t="s">
        <v>123</v>
      </c>
      <c r="X31" s="1" t="s">
        <v>305</v>
      </c>
      <c r="Y31" s="1" t="s">
        <v>406</v>
      </c>
      <c r="Z31" s="1" t="s">
        <v>448</v>
      </c>
      <c r="AA31" s="1" t="s">
        <v>415</v>
      </c>
      <c r="AB31" s="1" t="s">
        <v>282</v>
      </c>
      <c r="AC31" s="1" t="s">
        <v>423</v>
      </c>
      <c r="AD31" s="1" t="s">
        <v>470</v>
      </c>
      <c r="AE31" s="1" t="s">
        <v>502</v>
      </c>
      <c r="AL31" s="2"/>
      <c r="AN31" s="2" t="s">
        <v>497</v>
      </c>
      <c r="AO31" s="2" t="s">
        <v>498</v>
      </c>
      <c r="AP31" s="2" t="s">
        <v>499</v>
      </c>
      <c r="AR31" s="1" t="s">
        <v>140</v>
      </c>
      <c r="AS31" s="1" t="s">
        <v>398</v>
      </c>
      <c r="AT31" s="1" t="s">
        <v>125</v>
      </c>
      <c r="AU31" s="1" t="s">
        <v>127</v>
      </c>
      <c r="AV31" s="1" t="s">
        <v>493</v>
      </c>
      <c r="AW31" s="1" t="s">
        <v>466</v>
      </c>
      <c r="AX31" s="1" t="s">
        <v>130</v>
      </c>
      <c r="BC31" s="15" t="s">
        <v>126</v>
      </c>
      <c r="BD31" s="16" t="s">
        <v>305</v>
      </c>
      <c r="BE31" s="15" t="s">
        <v>435</v>
      </c>
      <c r="BF31" s="16" t="s">
        <v>277</v>
      </c>
      <c r="BG31" s="15" t="s">
        <v>375</v>
      </c>
    </row>
    <row r="32" spans="7:63" x14ac:dyDescent="0.5">
      <c r="L32" s="1" t="s">
        <v>421</v>
      </c>
      <c r="M32" s="1" t="s">
        <v>432</v>
      </c>
      <c r="N32" s="1" t="s">
        <v>129</v>
      </c>
      <c r="O32" s="1" t="s">
        <v>494</v>
      </c>
      <c r="P32" s="1" t="s">
        <v>124</v>
      </c>
      <c r="Q32" s="1" t="s">
        <v>285</v>
      </c>
      <c r="S32" s="1" t="s">
        <v>421</v>
      </c>
      <c r="T32" s="1" t="s">
        <v>432</v>
      </c>
      <c r="U32" s="1" t="s">
        <v>129</v>
      </c>
      <c r="V32" s="1" t="s">
        <v>494</v>
      </c>
      <c r="W32" s="1" t="s">
        <v>124</v>
      </c>
      <c r="X32" s="1" t="s">
        <v>285</v>
      </c>
      <c r="Y32" s="1" t="s">
        <v>463</v>
      </c>
      <c r="Z32" s="1" t="s">
        <v>472</v>
      </c>
      <c r="AA32" s="1" t="s">
        <v>126</v>
      </c>
      <c r="AB32" s="1" t="s">
        <v>573</v>
      </c>
      <c r="AC32" s="1" t="s">
        <v>469</v>
      </c>
      <c r="AD32" s="1" t="s">
        <v>134</v>
      </c>
      <c r="AE32" s="1" t="s">
        <v>523</v>
      </c>
      <c r="AL32" s="2"/>
      <c r="AO32" s="2" t="s">
        <v>503</v>
      </c>
      <c r="AP32" s="2" t="s">
        <v>504</v>
      </c>
      <c r="AR32" s="1" t="s">
        <v>424</v>
      </c>
      <c r="AS32" s="1" t="s">
        <v>448</v>
      </c>
      <c r="AT32" s="1" t="s">
        <v>195</v>
      </c>
      <c r="AU32" s="1" t="s">
        <v>495</v>
      </c>
      <c r="AV32" s="1" t="s">
        <v>496</v>
      </c>
      <c r="AW32" s="1" t="s">
        <v>365</v>
      </c>
      <c r="AX32" s="1" t="s">
        <v>434</v>
      </c>
      <c r="BC32" s="15" t="s">
        <v>398</v>
      </c>
      <c r="BD32" s="16" t="s">
        <v>382</v>
      </c>
      <c r="BE32" s="15" t="s">
        <v>121</v>
      </c>
      <c r="BF32" s="15" t="s">
        <v>456</v>
      </c>
      <c r="BG32" s="15" t="s">
        <v>334</v>
      </c>
    </row>
    <row r="33" spans="12:59" x14ac:dyDescent="0.5">
      <c r="L33" s="1" t="s">
        <v>505</v>
      </c>
      <c r="M33" s="1" t="s">
        <v>505</v>
      </c>
      <c r="N33" s="1" t="s">
        <v>506</v>
      </c>
      <c r="O33" s="1" t="s">
        <v>411</v>
      </c>
      <c r="P33" s="1" t="s">
        <v>125</v>
      </c>
      <c r="Q33" s="1" t="s">
        <v>326</v>
      </c>
      <c r="S33" s="1" t="s">
        <v>505</v>
      </c>
      <c r="T33" s="1" t="s">
        <v>505</v>
      </c>
      <c r="U33" s="1" t="s">
        <v>506</v>
      </c>
      <c r="V33" s="1" t="s">
        <v>411</v>
      </c>
      <c r="W33" s="1" t="s">
        <v>125</v>
      </c>
      <c r="X33" s="1" t="s">
        <v>326</v>
      </c>
      <c r="Y33" s="1" t="s">
        <v>519</v>
      </c>
      <c r="Z33" s="1" t="s">
        <v>507</v>
      </c>
      <c r="AA33" s="1" t="s">
        <v>350</v>
      </c>
      <c r="AB33" s="1" t="s">
        <v>477</v>
      </c>
      <c r="AC33" s="1" t="s">
        <v>421</v>
      </c>
      <c r="AD33" s="1" t="s">
        <v>452</v>
      </c>
      <c r="AE33" s="1" t="s">
        <v>268</v>
      </c>
      <c r="AO33" s="2" t="s">
        <v>509</v>
      </c>
      <c r="AP33" s="2" t="s">
        <v>510</v>
      </c>
      <c r="AR33" s="1" t="s">
        <v>256</v>
      </c>
      <c r="AS33" s="1" t="s">
        <v>472</v>
      </c>
      <c r="AT33" s="1" t="s">
        <v>500</v>
      </c>
      <c r="AU33" s="1" t="s">
        <v>501</v>
      </c>
      <c r="AV33" s="1" t="s">
        <v>423</v>
      </c>
      <c r="AW33" s="1" t="s">
        <v>470</v>
      </c>
      <c r="AX33" s="1" t="s">
        <v>502</v>
      </c>
      <c r="BC33" s="15" t="s">
        <v>364</v>
      </c>
      <c r="BD33" s="15" t="s">
        <v>265</v>
      </c>
      <c r="BE33" s="16" t="s">
        <v>450</v>
      </c>
      <c r="BF33" s="15" t="s">
        <v>325</v>
      </c>
      <c r="BG33" s="15" t="s">
        <v>365</v>
      </c>
    </row>
    <row r="34" spans="12:59" x14ac:dyDescent="0.5">
      <c r="L34" s="1" t="s">
        <v>494</v>
      </c>
      <c r="M34" s="1" t="s">
        <v>470</v>
      </c>
      <c r="N34" s="1" t="s">
        <v>337</v>
      </c>
      <c r="O34" s="1" t="s">
        <v>453</v>
      </c>
      <c r="P34" s="1" t="s">
        <v>126</v>
      </c>
      <c r="Q34" s="1" t="s">
        <v>406</v>
      </c>
      <c r="S34" s="1" t="s">
        <v>494</v>
      </c>
      <c r="T34" s="1" t="s">
        <v>470</v>
      </c>
      <c r="U34" s="1" t="s">
        <v>337</v>
      </c>
      <c r="V34" s="1" t="s">
        <v>453</v>
      </c>
      <c r="W34" s="1" t="s">
        <v>126</v>
      </c>
      <c r="X34" s="1" t="s">
        <v>406</v>
      </c>
      <c r="Y34" s="1" t="s">
        <v>125</v>
      </c>
      <c r="Z34" s="1" t="s">
        <v>411</v>
      </c>
      <c r="AA34" s="1" t="s">
        <v>570</v>
      </c>
      <c r="AB34" s="1" t="s">
        <v>349</v>
      </c>
      <c r="AC34" s="1" t="s">
        <v>439</v>
      </c>
      <c r="AE34" s="1" t="s">
        <v>452</v>
      </c>
      <c r="AO34" s="2" t="s">
        <v>515</v>
      </c>
      <c r="AP34" s="2" t="s">
        <v>516</v>
      </c>
      <c r="AR34" s="1" t="s">
        <v>479</v>
      </c>
      <c r="AS34" s="1" t="s">
        <v>507</v>
      </c>
      <c r="AT34" s="1" t="s">
        <v>508</v>
      </c>
      <c r="AU34" s="1" t="s">
        <v>430</v>
      </c>
      <c r="AV34" s="1" t="s">
        <v>441</v>
      </c>
      <c r="AW34" s="1" t="s">
        <v>113</v>
      </c>
      <c r="AX34" s="1" t="s">
        <v>266</v>
      </c>
      <c r="BC34" s="15" t="s">
        <v>466</v>
      </c>
      <c r="BD34" s="15" t="s">
        <v>357</v>
      </c>
      <c r="BE34" s="14" t="s">
        <v>402</v>
      </c>
      <c r="BF34" s="15" t="s">
        <v>514</v>
      </c>
      <c r="BG34" s="15" t="s">
        <v>447</v>
      </c>
    </row>
    <row r="35" spans="12:59" x14ac:dyDescent="0.5">
      <c r="L35" s="1" t="s">
        <v>308</v>
      </c>
      <c r="M35" s="1" t="s">
        <v>517</v>
      </c>
      <c r="N35" s="1" t="s">
        <v>518</v>
      </c>
      <c r="O35" s="1" t="s">
        <v>515</v>
      </c>
      <c r="P35" s="1" t="s">
        <v>376</v>
      </c>
      <c r="Q35" s="1" t="s">
        <v>463</v>
      </c>
      <c r="S35" s="1" t="s">
        <v>308</v>
      </c>
      <c r="T35" s="1" t="s">
        <v>517</v>
      </c>
      <c r="U35" s="1" t="s">
        <v>518</v>
      </c>
      <c r="V35" s="1" t="s">
        <v>515</v>
      </c>
      <c r="W35" s="1" t="s">
        <v>376</v>
      </c>
      <c r="X35" s="1" t="s">
        <v>463</v>
      </c>
      <c r="Y35" s="1" t="s">
        <v>126</v>
      </c>
      <c r="Z35" s="1" t="s">
        <v>520</v>
      </c>
      <c r="AA35" s="1" t="s">
        <v>531</v>
      </c>
      <c r="AB35" s="1" t="s">
        <v>571</v>
      </c>
      <c r="AC35" s="1" t="s">
        <v>308</v>
      </c>
      <c r="AE35" s="1" t="s">
        <v>397</v>
      </c>
      <c r="AO35" s="2" t="s">
        <v>367</v>
      </c>
      <c r="AP35" s="2" t="s">
        <v>399</v>
      </c>
      <c r="AR35" s="1" t="s">
        <v>511</v>
      </c>
      <c r="AS35" s="1" t="s">
        <v>411</v>
      </c>
      <c r="AT35" s="1" t="s">
        <v>512</v>
      </c>
      <c r="AU35" s="1" t="s">
        <v>513</v>
      </c>
      <c r="AV35" s="1" t="s">
        <v>393</v>
      </c>
      <c r="AX35" s="1" t="s">
        <v>514</v>
      </c>
      <c r="BC35" s="15" t="s">
        <v>376</v>
      </c>
      <c r="BD35" s="16" t="s">
        <v>375</v>
      </c>
      <c r="BE35" s="13" t="s">
        <v>398</v>
      </c>
      <c r="BF35" s="16" t="s">
        <v>424</v>
      </c>
      <c r="BG35" s="15" t="s">
        <v>326</v>
      </c>
    </row>
    <row r="36" spans="12:59" x14ac:dyDescent="0.5">
      <c r="L36" s="1" t="s">
        <v>411</v>
      </c>
      <c r="M36" s="1" t="s">
        <v>219</v>
      </c>
      <c r="N36" s="1" t="s">
        <v>454</v>
      </c>
      <c r="O36" s="1" t="s">
        <v>524</v>
      </c>
      <c r="P36" s="1" t="s">
        <v>520</v>
      </c>
      <c r="Q36" s="1" t="s">
        <v>120</v>
      </c>
      <c r="S36" s="1" t="s">
        <v>411</v>
      </c>
      <c r="T36" s="1" t="s">
        <v>219</v>
      </c>
      <c r="U36" s="1" t="s">
        <v>454</v>
      </c>
      <c r="V36" s="1" t="s">
        <v>524</v>
      </c>
      <c r="W36" s="1" t="s">
        <v>520</v>
      </c>
      <c r="X36" s="1" t="s">
        <v>120</v>
      </c>
      <c r="Y36" s="1" t="s">
        <v>448</v>
      </c>
      <c r="Z36" s="1" t="s">
        <v>525</v>
      </c>
      <c r="AA36" s="1" t="s">
        <v>401</v>
      </c>
      <c r="AB36" s="1" t="s">
        <v>421</v>
      </c>
      <c r="AC36" s="1" t="s">
        <v>452</v>
      </c>
      <c r="AE36" s="1" t="s">
        <v>471</v>
      </c>
      <c r="AP36" s="2" t="s">
        <v>407</v>
      </c>
      <c r="AR36" s="1" t="s">
        <v>519</v>
      </c>
      <c r="AS36" s="1" t="s">
        <v>520</v>
      </c>
      <c r="AT36" s="1" t="s">
        <v>521</v>
      </c>
      <c r="AU36" s="1" t="s">
        <v>522</v>
      </c>
      <c r="AV36" s="1" t="s">
        <v>497</v>
      </c>
      <c r="AX36" s="1" t="s">
        <v>523</v>
      </c>
      <c r="BC36" s="15" t="s">
        <v>390</v>
      </c>
      <c r="BD36" s="15" t="s">
        <v>334</v>
      </c>
      <c r="BE36" s="15" t="s">
        <v>364</v>
      </c>
      <c r="BF36" s="16" t="s">
        <v>474</v>
      </c>
      <c r="BG36" s="15" t="s">
        <v>463</v>
      </c>
    </row>
    <row r="37" spans="12:59" x14ac:dyDescent="0.5">
      <c r="L37" s="1" t="s">
        <v>526</v>
      </c>
      <c r="M37" s="1" t="s">
        <v>472</v>
      </c>
      <c r="N37" s="1" t="s">
        <v>527</v>
      </c>
      <c r="P37" s="1" t="s">
        <v>401</v>
      </c>
      <c r="Q37" s="1" t="s">
        <v>323</v>
      </c>
      <c r="S37" s="1" t="s">
        <v>526</v>
      </c>
      <c r="T37" s="1" t="s">
        <v>472</v>
      </c>
      <c r="U37" s="1" t="s">
        <v>527</v>
      </c>
      <c r="W37" s="1" t="s">
        <v>401</v>
      </c>
      <c r="X37" s="1" t="s">
        <v>323</v>
      </c>
      <c r="Y37" s="1" t="s">
        <v>534</v>
      </c>
      <c r="Z37" s="1" t="s">
        <v>320</v>
      </c>
      <c r="AA37" s="1" t="s">
        <v>252</v>
      </c>
      <c r="AB37" s="1" t="s">
        <v>494</v>
      </c>
      <c r="AC37" s="1" t="s">
        <v>430</v>
      </c>
      <c r="AE37" s="1" t="s">
        <v>341</v>
      </c>
      <c r="AP37" s="2" t="s">
        <v>528</v>
      </c>
      <c r="AR37" s="1" t="s">
        <v>463</v>
      </c>
      <c r="AS37" s="1" t="s">
        <v>525</v>
      </c>
      <c r="AT37" s="1" t="s">
        <v>506</v>
      </c>
      <c r="AU37" s="1" t="s">
        <v>222</v>
      </c>
      <c r="AV37" s="1" t="s">
        <v>261</v>
      </c>
      <c r="AX37" s="1" t="s">
        <v>465</v>
      </c>
      <c r="BC37" s="15" t="s">
        <v>401</v>
      </c>
      <c r="BD37" s="15" t="s">
        <v>118</v>
      </c>
      <c r="BE37" s="16" t="s">
        <v>466</v>
      </c>
      <c r="BF37" s="16" t="s">
        <v>340</v>
      </c>
      <c r="BG37" s="15" t="s">
        <v>323</v>
      </c>
    </row>
    <row r="38" spans="12:59" x14ac:dyDescent="0.5">
      <c r="L38" s="1" t="s">
        <v>507</v>
      </c>
      <c r="M38" s="1" t="s">
        <v>452</v>
      </c>
      <c r="N38" s="1" t="s">
        <v>453</v>
      </c>
      <c r="P38" s="1" t="s">
        <v>529</v>
      </c>
      <c r="Q38" s="1" t="s">
        <v>121</v>
      </c>
      <c r="S38" s="1" t="s">
        <v>507</v>
      </c>
      <c r="T38" s="1" t="s">
        <v>452</v>
      </c>
      <c r="U38" s="1" t="s">
        <v>453</v>
      </c>
      <c r="W38" s="1" t="s">
        <v>529</v>
      </c>
      <c r="X38" s="1" t="s">
        <v>121</v>
      </c>
      <c r="Y38" s="1" t="s">
        <v>511</v>
      </c>
      <c r="Z38" s="1" t="s">
        <v>467</v>
      </c>
      <c r="AA38" s="1" t="s">
        <v>280</v>
      </c>
      <c r="AB38" s="1" t="s">
        <v>217</v>
      </c>
      <c r="AC38" s="1" t="s">
        <v>341</v>
      </c>
      <c r="AE38" s="1" t="s">
        <v>480</v>
      </c>
      <c r="AP38" s="2" t="s">
        <v>532</v>
      </c>
      <c r="AR38" s="1" t="s">
        <v>527</v>
      </c>
      <c r="AS38" s="1" t="s">
        <v>320</v>
      </c>
      <c r="AT38" s="1" t="s">
        <v>117</v>
      </c>
      <c r="AU38" s="1" t="s">
        <v>349</v>
      </c>
      <c r="AV38" s="1" t="s">
        <v>283</v>
      </c>
      <c r="AX38" s="1" t="s">
        <v>258</v>
      </c>
      <c r="BC38" s="15" t="s">
        <v>467</v>
      </c>
      <c r="BD38" s="13" t="s">
        <v>365</v>
      </c>
      <c r="BE38" s="13" t="s">
        <v>401</v>
      </c>
      <c r="BF38" s="16" t="s">
        <v>387</v>
      </c>
      <c r="BG38" s="15" t="s">
        <v>266</v>
      </c>
    </row>
    <row r="39" spans="12:59" x14ac:dyDescent="0.5">
      <c r="L39" s="1" t="s">
        <v>453</v>
      </c>
      <c r="M39" s="1" t="s">
        <v>515</v>
      </c>
      <c r="N39" s="1" t="s">
        <v>517</v>
      </c>
      <c r="P39" s="1" t="s">
        <v>533</v>
      </c>
      <c r="Q39" s="1" t="s">
        <v>121</v>
      </c>
      <c r="S39" s="1" t="s">
        <v>453</v>
      </c>
      <c r="T39" s="1" t="s">
        <v>515</v>
      </c>
      <c r="U39" s="1" t="s">
        <v>517</v>
      </c>
      <c r="W39" s="1" t="s">
        <v>533</v>
      </c>
      <c r="X39" s="1" t="s">
        <v>121</v>
      </c>
      <c r="Y39" s="1" t="s">
        <v>235</v>
      </c>
      <c r="Z39" s="1" t="s">
        <v>185</v>
      </c>
      <c r="AA39" s="1" t="s">
        <v>282</v>
      </c>
      <c r="AB39" s="1" t="s">
        <v>411</v>
      </c>
      <c r="AC39" s="1" t="s">
        <v>497</v>
      </c>
      <c r="AP39" s="2" t="s">
        <v>388</v>
      </c>
      <c r="AR39" s="1" t="s">
        <v>530</v>
      </c>
      <c r="AS39" s="1" t="s">
        <v>467</v>
      </c>
      <c r="AT39" s="1" t="s">
        <v>531</v>
      </c>
      <c r="AU39" s="1" t="s">
        <v>233</v>
      </c>
      <c r="AV39" s="1" t="s">
        <v>365</v>
      </c>
      <c r="AX39" s="1" t="s">
        <v>471</v>
      </c>
      <c r="BC39" s="15" t="s">
        <v>280</v>
      </c>
      <c r="BD39" s="14" t="s">
        <v>377</v>
      </c>
      <c r="BE39" s="16" t="s">
        <v>455</v>
      </c>
      <c r="BF39" s="16" t="s">
        <v>317</v>
      </c>
      <c r="BG39" s="15" t="s">
        <v>481</v>
      </c>
    </row>
    <row r="40" spans="12:59" x14ac:dyDescent="0.5">
      <c r="L40" s="1" t="s">
        <v>470</v>
      </c>
      <c r="M40" s="1" t="s">
        <v>339</v>
      </c>
      <c r="N40" s="1" t="s">
        <v>134</v>
      </c>
      <c r="P40" s="1" t="s">
        <v>534</v>
      </c>
      <c r="Q40" s="1" t="s">
        <v>535</v>
      </c>
      <c r="S40" s="1" t="s">
        <v>470</v>
      </c>
      <c r="T40" s="1" t="s">
        <v>339</v>
      </c>
      <c r="U40" s="1" t="s">
        <v>134</v>
      </c>
      <c r="W40" s="1" t="s">
        <v>534</v>
      </c>
      <c r="X40" s="1" t="s">
        <v>535</v>
      </c>
      <c r="Y40" s="1" t="s">
        <v>235</v>
      </c>
      <c r="Z40" s="1" t="s">
        <v>536</v>
      </c>
      <c r="AA40" s="1" t="s">
        <v>486</v>
      </c>
      <c r="AB40" s="1" t="s">
        <v>408</v>
      </c>
      <c r="AC40" s="1" t="s">
        <v>139</v>
      </c>
      <c r="AP40" s="2" t="s">
        <v>538</v>
      </c>
      <c r="AR40" s="1" t="s">
        <v>534</v>
      </c>
      <c r="AS40" s="1" t="s">
        <v>185</v>
      </c>
      <c r="AT40" s="1" t="s">
        <v>337</v>
      </c>
      <c r="AU40" s="1" t="s">
        <v>491</v>
      </c>
      <c r="AV40" s="1" t="s">
        <v>370</v>
      </c>
      <c r="BC40" s="15" t="s">
        <v>400</v>
      </c>
      <c r="BD40" s="16" t="s">
        <v>236</v>
      </c>
      <c r="BE40" s="15" t="s">
        <v>363</v>
      </c>
      <c r="BF40" s="16" t="s">
        <v>410</v>
      </c>
      <c r="BG40" s="15" t="s">
        <v>194</v>
      </c>
    </row>
    <row r="41" spans="12:59" x14ac:dyDescent="0.5">
      <c r="L41" s="1" t="s">
        <v>321</v>
      </c>
      <c r="M41" s="1" t="s">
        <v>137</v>
      </c>
      <c r="N41" s="1" t="s">
        <v>489</v>
      </c>
      <c r="P41" s="1" t="s">
        <v>384</v>
      </c>
      <c r="Q41" s="1" t="s">
        <v>539</v>
      </c>
      <c r="S41" s="1" t="s">
        <v>321</v>
      </c>
      <c r="T41" s="1" t="s">
        <v>137</v>
      </c>
      <c r="U41" s="1" t="s">
        <v>489</v>
      </c>
      <c r="W41" s="1" t="s">
        <v>384</v>
      </c>
      <c r="X41" s="1" t="s">
        <v>539</v>
      </c>
      <c r="Y41" s="1" t="s">
        <v>349</v>
      </c>
      <c r="AA41" s="1" t="s">
        <v>384</v>
      </c>
      <c r="AB41" s="1" t="s">
        <v>191</v>
      </c>
      <c r="AP41" s="2" t="s">
        <v>541</v>
      </c>
      <c r="AR41" s="1" t="s">
        <v>241</v>
      </c>
      <c r="AS41" s="1" t="s">
        <v>536</v>
      </c>
      <c r="AT41" s="1" t="s">
        <v>349</v>
      </c>
      <c r="AU41" s="1" t="s">
        <v>537</v>
      </c>
      <c r="AV41" s="1" t="s">
        <v>222</v>
      </c>
      <c r="BC41" s="15" t="s">
        <v>422</v>
      </c>
      <c r="BD41" s="15" t="s">
        <v>369</v>
      </c>
      <c r="BE41" s="16" t="s">
        <v>384</v>
      </c>
      <c r="BF41" s="15" t="s">
        <v>441</v>
      </c>
      <c r="BG41" s="15" t="s">
        <v>123</v>
      </c>
    </row>
    <row r="42" spans="12:59" x14ac:dyDescent="0.5">
      <c r="L42" s="1" t="s">
        <v>472</v>
      </c>
      <c r="M42" s="1" t="s">
        <v>292</v>
      </c>
      <c r="N42" s="1" t="s">
        <v>497</v>
      </c>
      <c r="P42" s="1" t="s">
        <v>273</v>
      </c>
      <c r="Q42" s="1" t="s">
        <v>516</v>
      </c>
      <c r="S42" s="1" t="s">
        <v>472</v>
      </c>
      <c r="T42" s="1" t="s">
        <v>292</v>
      </c>
      <c r="U42" s="1" t="s">
        <v>497</v>
      </c>
      <c r="W42" s="1" t="s">
        <v>273</v>
      </c>
      <c r="X42" s="1" t="s">
        <v>516</v>
      </c>
      <c r="Y42" s="1" t="s">
        <v>337</v>
      </c>
      <c r="AA42" s="1" t="s">
        <v>407</v>
      </c>
      <c r="AB42" s="1" t="s">
        <v>385</v>
      </c>
      <c r="AP42" s="2" t="s">
        <v>494</v>
      </c>
      <c r="AR42" s="1" t="s">
        <v>540</v>
      </c>
      <c r="AT42" s="1" t="s">
        <v>472</v>
      </c>
      <c r="AU42" s="1" t="s">
        <v>421</v>
      </c>
      <c r="BC42" s="15" t="s">
        <v>423</v>
      </c>
      <c r="BD42" s="13" t="s">
        <v>326</v>
      </c>
      <c r="BE42" s="15" t="s">
        <v>129</v>
      </c>
      <c r="BF42" s="16" t="s">
        <v>310</v>
      </c>
      <c r="BG42" s="15" t="s">
        <v>398</v>
      </c>
    </row>
    <row r="43" spans="12:59" x14ac:dyDescent="0.5">
      <c r="L43" s="1" t="s">
        <v>543</v>
      </c>
      <c r="N43" s="1" t="s">
        <v>139</v>
      </c>
      <c r="P43" s="1" t="s">
        <v>235</v>
      </c>
      <c r="Q43" s="1" t="s">
        <v>399</v>
      </c>
      <c r="S43" s="1" t="s">
        <v>543</v>
      </c>
      <c r="U43" s="1" t="s">
        <v>139</v>
      </c>
      <c r="W43" s="1" t="s">
        <v>235</v>
      </c>
      <c r="X43" s="1" t="s">
        <v>399</v>
      </c>
      <c r="Y43" s="1" t="s">
        <v>459</v>
      </c>
      <c r="AA43" s="1" t="s">
        <v>451</v>
      </c>
      <c r="AB43" s="1" t="s">
        <v>427</v>
      </c>
      <c r="AP43" s="2" t="s">
        <v>546</v>
      </c>
      <c r="AR43" s="1" t="s">
        <v>112</v>
      </c>
      <c r="AT43" s="1" t="s">
        <v>542</v>
      </c>
      <c r="AU43" s="1" t="s">
        <v>477</v>
      </c>
      <c r="BC43" s="15" t="s">
        <v>443</v>
      </c>
      <c r="BD43" s="15" t="s">
        <v>394</v>
      </c>
      <c r="BE43" s="16" t="s">
        <v>506</v>
      </c>
      <c r="BF43" s="16" t="s">
        <v>115</v>
      </c>
      <c r="BG43" s="15" t="s">
        <v>399</v>
      </c>
    </row>
    <row r="44" spans="12:59" x14ac:dyDescent="0.5">
      <c r="L44" s="1" t="s">
        <v>452</v>
      </c>
      <c r="P44" s="1" t="s">
        <v>473</v>
      </c>
      <c r="Q44" s="1" t="s">
        <v>547</v>
      </c>
      <c r="S44" s="1" t="s">
        <v>452</v>
      </c>
      <c r="W44" s="1" t="s">
        <v>473</v>
      </c>
      <c r="X44" s="1" t="s">
        <v>547</v>
      </c>
      <c r="Y44" s="1" t="s">
        <v>494</v>
      </c>
      <c r="AA44" s="1" t="s">
        <v>579</v>
      </c>
      <c r="AB44" s="1" t="s">
        <v>321</v>
      </c>
      <c r="AP44" s="2" t="s">
        <v>452</v>
      </c>
      <c r="AR44" s="1" t="s">
        <v>189</v>
      </c>
      <c r="AT44" s="1" t="s">
        <v>544</v>
      </c>
      <c r="AU44" s="1" t="s">
        <v>545</v>
      </c>
      <c r="BC44" s="15" t="s">
        <v>421</v>
      </c>
      <c r="BD44" s="16" t="s">
        <v>322</v>
      </c>
      <c r="BE44" s="15" t="s">
        <v>337</v>
      </c>
      <c r="BF44" s="16" t="s">
        <v>333</v>
      </c>
      <c r="BG44" s="15" t="s">
        <v>195</v>
      </c>
    </row>
    <row r="45" spans="12:59" x14ac:dyDescent="0.5">
      <c r="L45" s="1" t="s">
        <v>549</v>
      </c>
      <c r="P45" s="1" t="s">
        <v>483</v>
      </c>
      <c r="Q45" s="1" t="s">
        <v>547</v>
      </c>
      <c r="S45" s="1" t="s">
        <v>549</v>
      </c>
      <c r="W45" s="1" t="s">
        <v>483</v>
      </c>
      <c r="X45" s="1" t="s">
        <v>547</v>
      </c>
      <c r="Y45" s="1" t="s">
        <v>530</v>
      </c>
      <c r="AA45" s="1" t="s">
        <v>235</v>
      </c>
      <c r="AB45" s="1" t="s">
        <v>134</v>
      </c>
      <c r="AP45" s="2" t="s">
        <v>414</v>
      </c>
      <c r="AR45" s="1" t="s">
        <v>448</v>
      </c>
      <c r="AT45" s="1" t="s">
        <v>548</v>
      </c>
      <c r="AU45" s="1" t="s">
        <v>411</v>
      </c>
      <c r="BC45" s="15" t="s">
        <v>505</v>
      </c>
      <c r="BD45" s="14" t="s">
        <v>307</v>
      </c>
      <c r="BE45" s="16" t="s">
        <v>518</v>
      </c>
      <c r="BF45" s="15" t="s">
        <v>305</v>
      </c>
      <c r="BG45" s="15" t="s">
        <v>220</v>
      </c>
    </row>
    <row r="46" spans="12:59" x14ac:dyDescent="0.5">
      <c r="P46" s="1" t="s">
        <v>349</v>
      </c>
      <c r="Q46" s="1" t="s">
        <v>407</v>
      </c>
      <c r="W46" s="1" t="s">
        <v>349</v>
      </c>
      <c r="X46" s="1" t="s">
        <v>407</v>
      </c>
      <c r="Y46" s="1" t="s">
        <v>527</v>
      </c>
      <c r="AA46" s="1" t="s">
        <v>477</v>
      </c>
      <c r="AB46" s="1" t="s">
        <v>267</v>
      </c>
      <c r="AP46" s="2" t="s">
        <v>139</v>
      </c>
      <c r="AR46" s="1" t="s">
        <v>114</v>
      </c>
      <c r="AT46" s="1" t="s">
        <v>550</v>
      </c>
      <c r="AU46" s="1" t="s">
        <v>448</v>
      </c>
      <c r="BC46" s="15" t="s">
        <v>453</v>
      </c>
      <c r="BD46" s="13" t="s">
        <v>413</v>
      </c>
      <c r="BE46" s="13" t="s">
        <v>131</v>
      </c>
      <c r="BF46" s="15" t="s">
        <v>375</v>
      </c>
      <c r="BG46" s="15" t="s">
        <v>130</v>
      </c>
    </row>
    <row r="47" spans="12:59" x14ac:dyDescent="0.5">
      <c r="P47" s="1" t="s">
        <v>337</v>
      </c>
      <c r="Q47" s="1" t="s">
        <v>235</v>
      </c>
      <c r="W47" s="1" t="s">
        <v>337</v>
      </c>
      <c r="X47" s="1" t="s">
        <v>235</v>
      </c>
      <c r="Y47" s="1" t="s">
        <v>552</v>
      </c>
      <c r="AA47" s="1" t="s">
        <v>195</v>
      </c>
      <c r="AB47" s="1" t="s">
        <v>472</v>
      </c>
      <c r="AP47" s="2"/>
      <c r="AR47" s="1" t="s">
        <v>551</v>
      </c>
      <c r="AT47" s="1" t="s">
        <v>308</v>
      </c>
      <c r="AU47" s="1" t="s">
        <v>118</v>
      </c>
      <c r="BC47" s="15" t="s">
        <v>470</v>
      </c>
      <c r="BD47" s="15" t="s">
        <v>313</v>
      </c>
      <c r="BE47" s="15" t="s">
        <v>454</v>
      </c>
      <c r="BF47" s="16" t="s">
        <v>334</v>
      </c>
      <c r="BG47" s="15" t="s">
        <v>388</v>
      </c>
    </row>
    <row r="48" spans="12:59" x14ac:dyDescent="0.5">
      <c r="P48" s="1" t="s">
        <v>337</v>
      </c>
      <c r="Q48" s="1" t="s">
        <v>473</v>
      </c>
      <c r="W48" s="1" t="s">
        <v>337</v>
      </c>
      <c r="X48" s="1" t="s">
        <v>473</v>
      </c>
      <c r="Y48" s="1" t="s">
        <v>418</v>
      </c>
      <c r="AA48" s="1" t="s">
        <v>506</v>
      </c>
      <c r="AB48" s="1" t="s">
        <v>478</v>
      </c>
      <c r="AR48" s="1" t="s">
        <v>552</v>
      </c>
      <c r="AT48" s="1" t="s">
        <v>126</v>
      </c>
      <c r="AU48" s="1" t="s">
        <v>553</v>
      </c>
      <c r="BC48" s="15" t="s">
        <v>517</v>
      </c>
      <c r="BD48" s="14" t="s">
        <v>120</v>
      </c>
      <c r="BE48" s="16" t="s">
        <v>527</v>
      </c>
      <c r="BF48" s="15" t="s">
        <v>365</v>
      </c>
      <c r="BG48" s="15" t="s">
        <v>421</v>
      </c>
    </row>
    <row r="49" spans="16:59" x14ac:dyDescent="0.5">
      <c r="P49" s="1" t="s">
        <v>555</v>
      </c>
      <c r="Q49" s="1" t="s">
        <v>556</v>
      </c>
      <c r="W49" s="1" t="s">
        <v>555</v>
      </c>
      <c r="X49" s="1" t="s">
        <v>556</v>
      </c>
      <c r="Y49" s="1" t="s">
        <v>559</v>
      </c>
      <c r="AA49" s="1" t="s">
        <v>349</v>
      </c>
      <c r="AB49" s="1" t="s">
        <v>430</v>
      </c>
      <c r="AR49" s="1" t="s">
        <v>554</v>
      </c>
      <c r="AT49" s="1" t="s">
        <v>419</v>
      </c>
      <c r="AU49" s="1" t="s">
        <v>140</v>
      </c>
      <c r="BC49" s="15" t="s">
        <v>219</v>
      </c>
      <c r="BD49" s="16" t="s">
        <v>323</v>
      </c>
      <c r="BE49" s="15" t="s">
        <v>453</v>
      </c>
      <c r="BF49" s="16" t="s">
        <v>447</v>
      </c>
      <c r="BG49" s="15" t="s">
        <v>240</v>
      </c>
    </row>
    <row r="50" spans="16:59" x14ac:dyDescent="0.5">
      <c r="P50" s="1" t="s">
        <v>131</v>
      </c>
      <c r="Q50" s="1" t="s">
        <v>443</v>
      </c>
      <c r="W50" s="1" t="s">
        <v>131</v>
      </c>
      <c r="X50" s="1" t="s">
        <v>443</v>
      </c>
      <c r="Y50" s="1" t="s">
        <v>137</v>
      </c>
      <c r="AA50" s="1" t="s">
        <v>337</v>
      </c>
      <c r="AB50" s="1" t="s">
        <v>553</v>
      </c>
      <c r="AR50" s="1" t="s">
        <v>239</v>
      </c>
      <c r="AT50" s="1" t="s">
        <v>441</v>
      </c>
      <c r="AU50" s="1" t="s">
        <v>138</v>
      </c>
      <c r="BC50" s="15" t="s">
        <v>472</v>
      </c>
      <c r="BD50" s="15" t="s">
        <v>435</v>
      </c>
      <c r="BE50" s="16" t="s">
        <v>517</v>
      </c>
      <c r="BF50" s="16" t="s">
        <v>326</v>
      </c>
      <c r="BG50" s="15" t="s">
        <v>296</v>
      </c>
    </row>
    <row r="51" spans="16:59" x14ac:dyDescent="0.5">
      <c r="P51" s="1" t="s">
        <v>557</v>
      </c>
      <c r="Q51" s="1" t="s">
        <v>558</v>
      </c>
      <c r="W51" s="1" t="s">
        <v>557</v>
      </c>
      <c r="X51" s="1" t="s">
        <v>558</v>
      </c>
      <c r="Y51" s="1" t="s">
        <v>279</v>
      </c>
      <c r="AA51" s="1" t="s">
        <v>550</v>
      </c>
      <c r="AB51" s="1" t="s">
        <v>522</v>
      </c>
      <c r="AR51" s="1" t="s">
        <v>370</v>
      </c>
      <c r="AT51" s="1" t="s">
        <v>223</v>
      </c>
      <c r="AU51" s="1" t="s">
        <v>472</v>
      </c>
      <c r="BC51" s="15" t="s">
        <v>452</v>
      </c>
      <c r="BD51" s="15" t="s">
        <v>121</v>
      </c>
      <c r="BE51" s="15" t="s">
        <v>134</v>
      </c>
      <c r="BF51" s="16" t="s">
        <v>406</v>
      </c>
      <c r="BG51" s="15" t="s">
        <v>502</v>
      </c>
    </row>
    <row r="52" spans="16:59" x14ac:dyDescent="0.5">
      <c r="P52" s="1" t="s">
        <v>525</v>
      </c>
      <c r="Q52" s="1" t="s">
        <v>546</v>
      </c>
      <c r="W52" s="1" t="s">
        <v>525</v>
      </c>
      <c r="X52" s="1" t="s">
        <v>546</v>
      </c>
      <c r="Y52" s="1" t="s">
        <v>140</v>
      </c>
      <c r="AA52" s="1" t="s">
        <v>131</v>
      </c>
      <c r="AB52" s="1" t="s">
        <v>238</v>
      </c>
      <c r="AR52" s="1" t="s">
        <v>559</v>
      </c>
      <c r="AT52" s="1" t="s">
        <v>447</v>
      </c>
      <c r="AU52" s="1" t="s">
        <v>494</v>
      </c>
      <c r="BC52" s="15" t="s">
        <v>515</v>
      </c>
      <c r="BD52" s="13" t="s">
        <v>393</v>
      </c>
      <c r="BE52" s="14" t="s">
        <v>219</v>
      </c>
      <c r="BF52" s="15" t="s">
        <v>351</v>
      </c>
      <c r="BG52" s="15" t="s">
        <v>523</v>
      </c>
    </row>
    <row r="53" spans="16:59" x14ac:dyDescent="0.5">
      <c r="P53" s="1" t="s">
        <v>443</v>
      </c>
      <c r="Q53" s="1" t="s">
        <v>445</v>
      </c>
      <c r="W53" s="1" t="s">
        <v>443</v>
      </c>
      <c r="X53" s="1" t="s">
        <v>445</v>
      </c>
      <c r="AA53" s="1" t="s">
        <v>461</v>
      </c>
      <c r="AB53" s="1" t="s">
        <v>392</v>
      </c>
      <c r="AR53" s="1" t="s">
        <v>494</v>
      </c>
      <c r="AT53" s="1" t="s">
        <v>401</v>
      </c>
      <c r="AU53" s="1" t="s">
        <v>560</v>
      </c>
      <c r="BC53" s="15" t="s">
        <v>339</v>
      </c>
      <c r="BD53" s="15" t="s">
        <v>450</v>
      </c>
      <c r="BE53" s="13" t="s">
        <v>452</v>
      </c>
      <c r="BF53" s="16" t="s">
        <v>463</v>
      </c>
      <c r="BG53" s="15" t="s">
        <v>411</v>
      </c>
    </row>
    <row r="54" spans="16:59" x14ac:dyDescent="0.5">
      <c r="P54" s="1" t="s">
        <v>459</v>
      </c>
      <c r="Q54" s="1" t="s">
        <v>134</v>
      </c>
      <c r="W54" s="1" t="s">
        <v>459</v>
      </c>
      <c r="X54" s="1" t="s">
        <v>134</v>
      </c>
      <c r="AA54" s="1" t="s">
        <v>454</v>
      </c>
      <c r="AB54" s="1" t="s">
        <v>564</v>
      </c>
      <c r="AT54" s="1" t="s">
        <v>561</v>
      </c>
      <c r="AU54" s="1" t="s">
        <v>562</v>
      </c>
      <c r="BC54" s="15" t="s">
        <v>137</v>
      </c>
      <c r="BD54" s="15" t="s">
        <v>364</v>
      </c>
      <c r="BE54" s="14" t="s">
        <v>482</v>
      </c>
      <c r="BF54" s="15" t="s">
        <v>323</v>
      </c>
      <c r="BG54" s="15" t="s">
        <v>453</v>
      </c>
    </row>
    <row r="55" spans="16:59" x14ac:dyDescent="0.5">
      <c r="P55" s="1" t="s">
        <v>133</v>
      </c>
      <c r="Q55" s="1" t="s">
        <v>418</v>
      </c>
      <c r="W55" s="1" t="s">
        <v>133</v>
      </c>
      <c r="X55" s="1" t="s">
        <v>418</v>
      </c>
      <c r="AA55" s="1" t="s">
        <v>505</v>
      </c>
      <c r="AB55" s="1" t="s">
        <v>339</v>
      </c>
      <c r="AT55" s="1" t="s">
        <v>563</v>
      </c>
      <c r="AU55" s="1" t="s">
        <v>134</v>
      </c>
      <c r="BC55" s="15" t="s">
        <v>292</v>
      </c>
      <c r="BD55" s="16" t="s">
        <v>466</v>
      </c>
      <c r="BE55" s="16" t="s">
        <v>489</v>
      </c>
      <c r="BF55" s="16" t="s">
        <v>266</v>
      </c>
      <c r="BG55" s="15" t="s">
        <v>219</v>
      </c>
    </row>
    <row r="56" spans="16:59" x14ac:dyDescent="0.5">
      <c r="P56" s="1" t="s">
        <v>296</v>
      </c>
      <c r="Q56" s="1" t="s">
        <v>472</v>
      </c>
      <c r="W56" s="1" t="s">
        <v>296</v>
      </c>
      <c r="X56" s="1" t="s">
        <v>472</v>
      </c>
      <c r="AA56" s="1" t="s">
        <v>133</v>
      </c>
      <c r="AB56" s="1" t="s">
        <v>562</v>
      </c>
      <c r="AT56" s="1" t="s">
        <v>454</v>
      </c>
      <c r="AU56" s="1" t="s">
        <v>564</v>
      </c>
      <c r="BC56" s="17"/>
      <c r="BD56" s="14" t="s">
        <v>376</v>
      </c>
      <c r="BE56" s="14" t="s">
        <v>480</v>
      </c>
      <c r="BF56" s="15" t="s">
        <v>481</v>
      </c>
      <c r="BG56" s="15" t="s">
        <v>452</v>
      </c>
    </row>
    <row r="57" spans="16:59" x14ac:dyDescent="0.5">
      <c r="P57" s="1" t="s">
        <v>566</v>
      </c>
      <c r="Q57" s="1" t="s">
        <v>452</v>
      </c>
      <c r="W57" s="1" t="s">
        <v>566</v>
      </c>
      <c r="X57" s="1" t="s">
        <v>452</v>
      </c>
      <c r="AA57" s="1" t="s">
        <v>420</v>
      </c>
      <c r="AB57" s="1" t="s">
        <v>487</v>
      </c>
      <c r="AT57" s="1" t="s">
        <v>565</v>
      </c>
      <c r="AU57" s="1" t="s">
        <v>497</v>
      </c>
      <c r="BD57" s="16" t="s">
        <v>448</v>
      </c>
      <c r="BE57" s="15" t="s">
        <v>497</v>
      </c>
      <c r="BF57" s="15" t="s">
        <v>194</v>
      </c>
      <c r="BG57" s="15" t="s">
        <v>397</v>
      </c>
    </row>
    <row r="58" spans="16:59" x14ac:dyDescent="0.5">
      <c r="P58" s="1" t="s">
        <v>134</v>
      </c>
      <c r="Q58" s="1" t="s">
        <v>135</v>
      </c>
      <c r="W58" s="1" t="s">
        <v>134</v>
      </c>
      <c r="X58" s="1" t="s">
        <v>135</v>
      </c>
      <c r="AA58" s="1" t="s">
        <v>308</v>
      </c>
      <c r="AB58" s="1" t="s">
        <v>292</v>
      </c>
      <c r="AT58" s="1" t="s">
        <v>415</v>
      </c>
      <c r="AU58" s="1" t="s">
        <v>322</v>
      </c>
      <c r="BD58" s="15" t="s">
        <v>401</v>
      </c>
      <c r="BE58" s="13"/>
      <c r="BF58" s="15" t="s">
        <v>269</v>
      </c>
      <c r="BG58" s="15" t="s">
        <v>480</v>
      </c>
    </row>
    <row r="59" spans="16:59" x14ac:dyDescent="0.5">
      <c r="P59" s="1" t="s">
        <v>418</v>
      </c>
      <c r="Q59" s="1" t="s">
        <v>569</v>
      </c>
      <c r="W59" s="1" t="s">
        <v>418</v>
      </c>
      <c r="X59" s="1" t="s">
        <v>569</v>
      </c>
      <c r="AA59" s="1" t="s">
        <v>578</v>
      </c>
      <c r="AB59" s="1" t="s">
        <v>497</v>
      </c>
      <c r="AT59" s="1" t="s">
        <v>567</v>
      </c>
      <c r="AU59" s="1" t="s">
        <v>568</v>
      </c>
      <c r="BC59" s="2"/>
      <c r="BD59" s="15" t="s">
        <v>467</v>
      </c>
      <c r="BE59" s="13"/>
      <c r="BF59" s="15" t="s">
        <v>123</v>
      </c>
      <c r="BG59" s="15" t="s">
        <v>139</v>
      </c>
    </row>
    <row r="60" spans="16:59" x14ac:dyDescent="0.5">
      <c r="P60" s="1" t="s">
        <v>559</v>
      </c>
      <c r="Q60" s="1" t="s">
        <v>341</v>
      </c>
      <c r="W60" s="1" t="s">
        <v>559</v>
      </c>
      <c r="X60" s="1" t="s">
        <v>341</v>
      </c>
      <c r="AA60" s="1" t="s">
        <v>445</v>
      </c>
      <c r="AB60" s="1" t="s">
        <v>568</v>
      </c>
      <c r="AT60" s="1" t="s">
        <v>570</v>
      </c>
      <c r="AU60" s="1" t="s">
        <v>571</v>
      </c>
      <c r="BD60" s="16" t="s">
        <v>455</v>
      </c>
      <c r="BE60" s="13"/>
      <c r="BF60" s="15" t="s">
        <v>398</v>
      </c>
      <c r="BG60" s="15"/>
    </row>
    <row r="61" spans="16:59" x14ac:dyDescent="0.5">
      <c r="P61" s="1" t="s">
        <v>367</v>
      </c>
      <c r="Q61" s="1" t="s">
        <v>311</v>
      </c>
      <c r="W61" s="1" t="s">
        <v>367</v>
      </c>
      <c r="X61" s="1" t="s">
        <v>311</v>
      </c>
      <c r="AA61" s="1" t="s">
        <v>542</v>
      </c>
      <c r="AB61" s="1" t="s">
        <v>138</v>
      </c>
      <c r="AT61" s="1" t="s">
        <v>572</v>
      </c>
      <c r="AU61" s="1" t="s">
        <v>573</v>
      </c>
      <c r="BD61" s="15" t="s">
        <v>363</v>
      </c>
      <c r="BE61" s="13"/>
      <c r="BF61" s="15" t="s">
        <v>399</v>
      </c>
      <c r="BG61" s="15"/>
    </row>
    <row r="62" spans="16:59" x14ac:dyDescent="0.5">
      <c r="P62" s="1" t="s">
        <v>524</v>
      </c>
      <c r="Q62" s="1" t="s">
        <v>480</v>
      </c>
      <c r="W62" s="1" t="s">
        <v>524</v>
      </c>
      <c r="X62" s="1" t="s">
        <v>480</v>
      </c>
      <c r="AA62" s="1" t="s">
        <v>563</v>
      </c>
      <c r="AB62" s="1" t="s">
        <v>140</v>
      </c>
      <c r="AT62" s="1" t="s">
        <v>194</v>
      </c>
      <c r="AU62" s="1" t="s">
        <v>574</v>
      </c>
      <c r="BD62" s="16" t="s">
        <v>384</v>
      </c>
      <c r="BE62" s="13"/>
      <c r="BF62" s="15" t="s">
        <v>195</v>
      </c>
      <c r="BG62" s="15"/>
    </row>
    <row r="63" spans="16:59" x14ac:dyDescent="0.5">
      <c r="P63" s="1" t="s">
        <v>378</v>
      </c>
      <c r="Q63" s="1" t="s">
        <v>138</v>
      </c>
      <c r="W63" s="1" t="s">
        <v>378</v>
      </c>
      <c r="X63" s="1" t="s">
        <v>138</v>
      </c>
      <c r="AA63" s="1" t="s">
        <v>472</v>
      </c>
      <c r="AT63" s="1" t="s">
        <v>133</v>
      </c>
      <c r="AU63" s="1" t="s">
        <v>575</v>
      </c>
      <c r="BC63" s="2"/>
      <c r="BD63" s="16" t="s">
        <v>407</v>
      </c>
      <c r="BE63" s="13"/>
      <c r="BF63" s="16" t="s">
        <v>220</v>
      </c>
      <c r="BG63" s="15"/>
    </row>
    <row r="64" spans="16:59" x14ac:dyDescent="0.5">
      <c r="Q64" s="1" t="s">
        <v>139</v>
      </c>
      <c r="X64" s="1" t="s">
        <v>139</v>
      </c>
      <c r="AA64" s="1" t="s">
        <v>567</v>
      </c>
      <c r="AT64" s="1" t="s">
        <v>576</v>
      </c>
      <c r="BD64" s="15" t="s">
        <v>129</v>
      </c>
      <c r="BE64" s="13"/>
      <c r="BF64" s="15" t="s">
        <v>130</v>
      </c>
      <c r="BG64" s="15"/>
    </row>
    <row r="65" spans="17:59" x14ac:dyDescent="0.5">
      <c r="Q65" s="1" t="s">
        <v>140</v>
      </c>
      <c r="X65" s="1" t="s">
        <v>140</v>
      </c>
      <c r="AA65" s="1" t="s">
        <v>426</v>
      </c>
      <c r="AT65" s="1" t="s">
        <v>505</v>
      </c>
      <c r="BD65" s="13" t="s">
        <v>464</v>
      </c>
      <c r="BE65" s="13"/>
      <c r="BF65" s="16" t="s">
        <v>388</v>
      </c>
      <c r="BG65" s="15"/>
    </row>
    <row r="66" spans="17:59" x14ac:dyDescent="0.5">
      <c r="Q66" s="1" t="s">
        <v>577</v>
      </c>
      <c r="X66" s="1" t="s">
        <v>577</v>
      </c>
      <c r="AA66" s="1" t="s">
        <v>361</v>
      </c>
      <c r="AT66" s="1" t="s">
        <v>551</v>
      </c>
      <c r="BD66" s="14" t="s">
        <v>423</v>
      </c>
      <c r="BE66" s="13"/>
      <c r="BF66" s="15" t="s">
        <v>421</v>
      </c>
      <c r="BG66" s="15"/>
    </row>
    <row r="67" spans="17:59" x14ac:dyDescent="0.5">
      <c r="AA67" s="1" t="s">
        <v>561</v>
      </c>
      <c r="AT67" s="1" t="s">
        <v>578</v>
      </c>
      <c r="BD67" s="16" t="s">
        <v>506</v>
      </c>
      <c r="BE67" s="13"/>
      <c r="BF67" s="15" t="s">
        <v>440</v>
      </c>
      <c r="BG67" s="15"/>
    </row>
    <row r="68" spans="17:59" x14ac:dyDescent="0.5">
      <c r="AA68" s="1" t="s">
        <v>292</v>
      </c>
      <c r="AT68" s="1" t="s">
        <v>579</v>
      </c>
      <c r="BD68" s="13" t="s">
        <v>349</v>
      </c>
      <c r="BE68" s="13"/>
      <c r="BF68" s="15" t="s">
        <v>240</v>
      </c>
      <c r="BG68" s="15"/>
    </row>
    <row r="69" spans="17:59" x14ac:dyDescent="0.5">
      <c r="AT69" s="1" t="s">
        <v>500</v>
      </c>
      <c r="BD69" s="15" t="s">
        <v>337</v>
      </c>
      <c r="BE69" s="13"/>
      <c r="BF69" s="15" t="s">
        <v>296</v>
      </c>
      <c r="BG69" s="15"/>
    </row>
    <row r="70" spans="17:59" x14ac:dyDescent="0.5">
      <c r="BD70" s="16" t="s">
        <v>518</v>
      </c>
      <c r="BE70" s="18"/>
      <c r="BF70" s="15" t="s">
        <v>502</v>
      </c>
      <c r="BG70" s="15"/>
    </row>
    <row r="71" spans="17:59" x14ac:dyDescent="0.5">
      <c r="BD71" s="15" t="s">
        <v>131</v>
      </c>
      <c r="BF71" s="15" t="s">
        <v>324</v>
      </c>
      <c r="BG71" s="15"/>
    </row>
    <row r="72" spans="17:59" x14ac:dyDescent="0.5">
      <c r="BD72" s="15" t="s">
        <v>454</v>
      </c>
      <c r="BF72" s="16" t="s">
        <v>523</v>
      </c>
      <c r="BG72" s="15"/>
    </row>
    <row r="73" spans="17:59" x14ac:dyDescent="0.5">
      <c r="BD73" s="16" t="s">
        <v>421</v>
      </c>
      <c r="BF73" s="15" t="s">
        <v>268</v>
      </c>
      <c r="BG73" s="15"/>
    </row>
    <row r="74" spans="17:59" x14ac:dyDescent="0.5">
      <c r="BD74" s="13" t="s">
        <v>490</v>
      </c>
      <c r="BF74" s="16" t="s">
        <v>411</v>
      </c>
      <c r="BG74" s="15"/>
    </row>
    <row r="75" spans="17:59" x14ac:dyDescent="0.5">
      <c r="BD75" s="14" t="s">
        <v>494</v>
      </c>
      <c r="BF75" s="15" t="s">
        <v>453</v>
      </c>
      <c r="BG75" s="15"/>
    </row>
    <row r="76" spans="17:59" x14ac:dyDescent="0.5">
      <c r="BD76" s="13" t="s">
        <v>498</v>
      </c>
      <c r="BF76" s="15" t="s">
        <v>470</v>
      </c>
      <c r="BG76" s="15"/>
    </row>
    <row r="77" spans="17:59" x14ac:dyDescent="0.5">
      <c r="BD77" s="16" t="s">
        <v>527</v>
      </c>
      <c r="BF77" s="16" t="s">
        <v>219</v>
      </c>
      <c r="BG77" s="15"/>
    </row>
    <row r="78" spans="17:59" x14ac:dyDescent="0.5">
      <c r="BD78" s="16" t="s">
        <v>411</v>
      </c>
      <c r="BF78" s="16" t="s">
        <v>475</v>
      </c>
      <c r="BG78" s="15"/>
    </row>
    <row r="79" spans="17:59" x14ac:dyDescent="0.5">
      <c r="BD79" s="15" t="s">
        <v>453</v>
      </c>
      <c r="BF79" s="15" t="s">
        <v>452</v>
      </c>
      <c r="BG79" s="15"/>
    </row>
    <row r="80" spans="17:59" x14ac:dyDescent="0.5">
      <c r="BD80" s="14" t="s">
        <v>503</v>
      </c>
      <c r="BF80" s="15" t="s">
        <v>397</v>
      </c>
      <c r="BG80" s="15"/>
    </row>
    <row r="81" spans="56:59" x14ac:dyDescent="0.5">
      <c r="BD81" s="16" t="s">
        <v>517</v>
      </c>
      <c r="BF81" s="16" t="s">
        <v>430</v>
      </c>
      <c r="BG81" s="16"/>
    </row>
    <row r="82" spans="56:59" x14ac:dyDescent="0.5">
      <c r="BD82" s="13" t="s">
        <v>509</v>
      </c>
      <c r="BF82" s="15" t="s">
        <v>471</v>
      </c>
      <c r="BG82" s="15"/>
    </row>
    <row r="83" spans="56:59" x14ac:dyDescent="0.5">
      <c r="BD83" s="15" t="s">
        <v>134</v>
      </c>
      <c r="BF83" s="16" t="s">
        <v>341</v>
      </c>
      <c r="BG83" s="16"/>
    </row>
    <row r="84" spans="56:59" x14ac:dyDescent="0.5">
      <c r="BD84" s="16" t="s">
        <v>515</v>
      </c>
      <c r="BF84" s="16" t="s">
        <v>311</v>
      </c>
      <c r="BG84" s="15"/>
    </row>
    <row r="85" spans="56:59" x14ac:dyDescent="0.5">
      <c r="BD85" s="13" t="s">
        <v>367</v>
      </c>
      <c r="BF85" s="15" t="s">
        <v>480</v>
      </c>
      <c r="BG85" s="15"/>
    </row>
    <row r="86" spans="56:59" x14ac:dyDescent="0.5">
      <c r="BD86" s="15" t="s">
        <v>524</v>
      </c>
      <c r="BF86" s="19" t="s">
        <v>139</v>
      </c>
      <c r="BG86" s="15"/>
    </row>
    <row r="87" spans="56:59" x14ac:dyDescent="0.5">
      <c r="BD87" s="16" t="s">
        <v>489</v>
      </c>
      <c r="BF87" s="16" t="s">
        <v>140</v>
      </c>
      <c r="BG87" s="19"/>
    </row>
    <row r="88" spans="56:59" x14ac:dyDescent="0.5">
      <c r="BD88" s="15" t="s">
        <v>497</v>
      </c>
      <c r="BF88" s="16" t="s">
        <v>120</v>
      </c>
    </row>
    <row r="89" spans="56:59" x14ac:dyDescent="0.5">
      <c r="BD89" s="16"/>
      <c r="BF89" s="16" t="s">
        <v>401</v>
      </c>
    </row>
    <row r="90" spans="56:59" x14ac:dyDescent="0.5">
      <c r="BD90" s="16"/>
      <c r="BF90" s="16"/>
    </row>
    <row r="91" spans="56:59" x14ac:dyDescent="0.5">
      <c r="BD91" s="15"/>
      <c r="BF91" s="16"/>
    </row>
    <row r="92" spans="56:59" x14ac:dyDescent="0.5">
      <c r="BD92" s="16"/>
      <c r="BF92" s="19"/>
    </row>
    <row r="93" spans="56:59" x14ac:dyDescent="0.5">
      <c r="BD93" s="16"/>
    </row>
    <row r="94" spans="56:59" x14ac:dyDescent="0.5">
      <c r="BD94" s="16"/>
    </row>
    <row r="95" spans="56:59" x14ac:dyDescent="0.5">
      <c r="BD95" s="16"/>
    </row>
    <row r="96" spans="56:59" x14ac:dyDescent="0.5">
      <c r="BD96" s="16"/>
    </row>
    <row r="97" spans="56:56" x14ac:dyDescent="0.5">
      <c r="BD97" s="15"/>
    </row>
    <row r="98" spans="56:56" x14ac:dyDescent="0.5">
      <c r="BD98" s="16"/>
    </row>
    <row r="99" spans="56:56" x14ac:dyDescent="0.5">
      <c r="BD99" s="16"/>
    </row>
    <row r="100" spans="56:56" x14ac:dyDescent="0.5">
      <c r="BD100" s="16"/>
    </row>
    <row r="101" spans="56:56" x14ac:dyDescent="0.5">
      <c r="BD101" s="16"/>
    </row>
    <row r="102" spans="56:56" x14ac:dyDescent="0.5">
      <c r="BD102" s="16"/>
    </row>
    <row r="103" spans="56:56" x14ac:dyDescent="0.5">
      <c r="BD103" s="14"/>
    </row>
    <row r="104" spans="56:56" x14ac:dyDescent="0.5">
      <c r="BD104" s="16"/>
    </row>
    <row r="105" spans="56:56" x14ac:dyDescent="0.5">
      <c r="BD105" s="16"/>
    </row>
    <row r="106" spans="56:56" x14ac:dyDescent="0.5">
      <c r="BD106" s="16"/>
    </row>
    <row r="107" spans="56:56" x14ac:dyDescent="0.5">
      <c r="BD107" s="16"/>
    </row>
    <row r="108" spans="56:56" x14ac:dyDescent="0.5">
      <c r="BD108" s="19"/>
    </row>
  </sheetData>
  <sortState xmlns:xlrd2="http://schemas.microsoft.com/office/spreadsheetml/2017/richdata2" ref="BC6:BC66">
    <sortCondition ref="BC5:BC66"/>
  </sortState>
  <mergeCells count="12">
    <mergeCell ref="AV3:AZ3"/>
    <mergeCell ref="AR3:AU3"/>
    <mergeCell ref="AL3:AN3"/>
    <mergeCell ref="AO3:AQ3"/>
    <mergeCell ref="BB1:BG1"/>
    <mergeCell ref="AL2:AQ2"/>
    <mergeCell ref="AL1:AZ1"/>
    <mergeCell ref="S1:AG1"/>
    <mergeCell ref="L2:Q2"/>
    <mergeCell ref="S2:X2"/>
    <mergeCell ref="Y2:AB2"/>
    <mergeCell ref="AC2:AG2"/>
  </mergeCells>
  <pageMargins left="0.7" right="0.7" top="0.75" bottom="0.75" header="0.3" footer="0.3"/>
  <legacyDrawing r:id="rId1"/>
  <tableParts count="5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fb26c54-8ae7-4c35-a8dd-e5095fbe886d">
      <Terms xmlns="http://schemas.microsoft.com/office/infopath/2007/PartnerControls"/>
    </lcf76f155ced4ddcb4097134ff3c332f>
    <TaxCatchAll xmlns="91d06b0e-e43f-423b-9ab9-9a6b45a2a23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9AC520CAB569B54B8400FCA196E34CBB" ma:contentTypeVersion="11" ma:contentTypeDescription="Crear nuevo documento." ma:contentTypeScope="" ma:versionID="0c487a7ced44f35a5b51af7e7a896c9c">
  <xsd:schema xmlns:xsd="http://www.w3.org/2001/XMLSchema" xmlns:xs="http://www.w3.org/2001/XMLSchema" xmlns:p="http://schemas.microsoft.com/office/2006/metadata/properties" xmlns:ns2="5fb26c54-8ae7-4c35-a8dd-e5095fbe886d" xmlns:ns3="91d06b0e-e43f-423b-9ab9-9a6b45a2a239" targetNamespace="http://schemas.microsoft.com/office/2006/metadata/properties" ma:root="true" ma:fieldsID="0b0c21b6cf76d0fc94bfaeb0f3982a45" ns2:_="" ns3:_="">
    <xsd:import namespace="5fb26c54-8ae7-4c35-a8dd-e5095fbe886d"/>
    <xsd:import namespace="91d06b0e-e43f-423b-9ab9-9a6b45a2a239"/>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b26c54-8ae7-4c35-a8dd-e5095fbe886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Etiquetas de imagen" ma:readOnly="false" ma:fieldId="{5cf76f15-5ced-4ddc-b409-7134ff3c332f}" ma:taxonomyMulti="true" ma:sspId="255b28e8-f6d8-41f4-8dfa-69b184ca5cdf"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d06b0e-e43f-423b-9ab9-9a6b45a2a239"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44157a17-750b-4d05-808c-f0ef143c7511}" ma:internalName="TaxCatchAll" ma:showField="CatchAllData" ma:web="91d06b0e-e43f-423b-9ab9-9a6b45a2a2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877BE52-B21C-4C8B-AEEC-343CB391BFD0}">
  <ds:schemaRefs>
    <ds:schemaRef ds:uri="http://schemas.microsoft.com/office/2006/metadata/properties"/>
    <ds:schemaRef ds:uri="http://schemas.microsoft.com/office/infopath/2007/PartnerControls"/>
    <ds:schemaRef ds:uri="5fb26c54-8ae7-4c35-a8dd-e5095fbe886d"/>
    <ds:schemaRef ds:uri="91d06b0e-e43f-423b-9ab9-9a6b45a2a239"/>
  </ds:schemaRefs>
</ds:datastoreItem>
</file>

<file path=customXml/itemProps2.xml><?xml version="1.0" encoding="utf-8"?>
<ds:datastoreItem xmlns:ds="http://schemas.openxmlformats.org/officeDocument/2006/customXml" ds:itemID="{95316AE6-D9C8-427C-BFFF-D2CB2CB5A3D9}">
  <ds:schemaRefs>
    <ds:schemaRef ds:uri="http://schemas.microsoft.com/sharepoint/v3/contenttype/forms"/>
  </ds:schemaRefs>
</ds:datastoreItem>
</file>

<file path=customXml/itemProps3.xml><?xml version="1.0" encoding="utf-8"?>
<ds:datastoreItem xmlns:ds="http://schemas.openxmlformats.org/officeDocument/2006/customXml" ds:itemID="{081C7A38-BB64-457D-85F0-A31D56DAF6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b26c54-8ae7-4c35-a8dd-e5095fbe886d"/>
    <ds:schemaRef ds:uri="91d06b0e-e43f-423b-9ab9-9a6b45a2a2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60</vt:i4>
      </vt:variant>
    </vt:vector>
  </HeadingPairs>
  <TitlesOfParts>
    <vt:vector size="67" baseType="lpstr">
      <vt:lpstr>Paso1 Analisis perfil egreso</vt:lpstr>
      <vt:lpstr>Paso 2 Redacción competen</vt:lpstr>
      <vt:lpstr>Paso 3 Redacción RA </vt:lpstr>
      <vt:lpstr>Paso 4 Estrategias mesocurricu</vt:lpstr>
      <vt:lpstr>Paso 5 Estrategias micro</vt:lpstr>
      <vt:lpstr>Taxonomía para competencias</vt:lpstr>
      <vt:lpstr>Taxonomias para RA</vt:lpstr>
      <vt:lpstr>actitudinalB</vt:lpstr>
      <vt:lpstr>ActitudinalBAK</vt:lpstr>
      <vt:lpstr>AK</vt:lpstr>
      <vt:lpstr>AnálisisB</vt:lpstr>
      <vt:lpstr>AnálisisBAK</vt:lpstr>
      <vt:lpstr>AnálisisMK</vt:lpstr>
      <vt:lpstr>AnalizarLK</vt:lpstr>
      <vt:lpstr>AplicaciónB</vt:lpstr>
      <vt:lpstr>AplicaciónBAK</vt:lpstr>
      <vt:lpstr>AplicarLK</vt:lpstr>
      <vt:lpstr>BAK</vt:lpstr>
      <vt:lpstr>Bloom</vt:lpstr>
      <vt:lpstr>CaracterizarBAK</vt:lpstr>
      <vt:lpstr>Cognitivo</vt:lpstr>
      <vt:lpstr>CognitivoAK</vt:lpstr>
      <vt:lpstr>cognitivoB</vt:lpstr>
      <vt:lpstr>CognitivoBAK</vt:lpstr>
      <vt:lpstr>competencias</vt:lpstr>
      <vt:lpstr>ComprenderLK</vt:lpstr>
      <vt:lpstr>ComprensionB</vt:lpstr>
      <vt:lpstr>ComprensiónBAK</vt:lpstr>
      <vt:lpstr>ComprensiónMK</vt:lpstr>
      <vt:lpstr>ConceptosLK</vt:lpstr>
      <vt:lpstr>ConocimientoB</vt:lpstr>
      <vt:lpstr>ConocimientoBAK</vt:lpstr>
      <vt:lpstr>Conocimientos</vt:lpstr>
      <vt:lpstr>ControlBAK</vt:lpstr>
      <vt:lpstr>CrearLK</vt:lpstr>
      <vt:lpstr>dominios</vt:lpstr>
      <vt:lpstr>EvaluaciónB</vt:lpstr>
      <vt:lpstr>EvaluaciónBAK</vt:lpstr>
      <vt:lpstr>EvaluarLK</vt:lpstr>
      <vt:lpstr>HechosLK</vt:lpstr>
      <vt:lpstr>ImitaciónBAK</vt:lpstr>
      <vt:lpstr>ManipulaciónBAK</vt:lpstr>
      <vt:lpstr>MetacogniciónLK</vt:lpstr>
      <vt:lpstr>MetacogniciónMK</vt:lpstr>
      <vt:lpstr>MetocogniciónAK</vt:lpstr>
      <vt:lpstr>MK</vt:lpstr>
      <vt:lpstr>OrganizarBAK</vt:lpstr>
      <vt:lpstr>PercepciónBAK</vt:lpstr>
      <vt:lpstr>PrecisiónBAK</vt:lpstr>
      <vt:lpstr>procedimentalB</vt:lpstr>
      <vt:lpstr>ProcedimentalBAK</vt:lpstr>
      <vt:lpstr>ProcedimientosMK</vt:lpstr>
      <vt:lpstr>ProcesosAK</vt:lpstr>
      <vt:lpstr>PsicomotorMK</vt:lpstr>
      <vt:lpstr>RecordarLK</vt:lpstr>
      <vt:lpstr>RecuperaciónMK</vt:lpstr>
      <vt:lpstr>ResponderBAK</vt:lpstr>
      <vt:lpstr>resultadoaprendizaje</vt:lpstr>
      <vt:lpstr>Saberhacer</vt:lpstr>
      <vt:lpstr>saberser</vt:lpstr>
      <vt:lpstr>SíntesisB</vt:lpstr>
      <vt:lpstr>SíntesisBAK</vt:lpstr>
      <vt:lpstr>SistemadelYoMK</vt:lpstr>
      <vt:lpstr>taxonomiasra</vt:lpstr>
      <vt:lpstr>UsoConocimientoMK</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2026-05-12T16:52:49Z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0x0101009AC520CAB569B54B8400FCA196E34CBB</vt:lpwstr>
  </property>
</Properties>
</file>