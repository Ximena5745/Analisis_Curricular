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tables/table38.xml" ContentType="application/vnd.openxmlformats-officedocument.spreadsheetml.table+xml"/>
  <Override PartName="/xl/tables/table39.xml" ContentType="application/vnd.openxmlformats-officedocument.spreadsheetml.table+xml"/>
  <Override PartName="/xl/tables/table40.xml" ContentType="application/vnd.openxmlformats-officedocument.spreadsheetml.table+xml"/>
  <Override PartName="/xl/tables/table41.xml" ContentType="application/vnd.openxmlformats-officedocument.spreadsheetml.table+xml"/>
  <Override PartName="/xl/tables/table42.xml" ContentType="application/vnd.openxmlformats-officedocument.spreadsheetml.table+xml"/>
  <Override PartName="/xl/tables/table43.xml" ContentType="application/vnd.openxmlformats-officedocument.spreadsheetml.table+xml"/>
  <Override PartName="/xl/tables/table44.xml" ContentType="application/vnd.openxmlformats-officedocument.spreadsheetml.table+xml"/>
  <Override PartName="/xl/tables/table45.xml" ContentType="application/vnd.openxmlformats-officedocument.spreadsheetml.table+xml"/>
  <Override PartName="/xl/tables/table46.xml" ContentType="application/vnd.openxmlformats-officedocument.spreadsheetml.table+xml"/>
  <Override PartName="/xl/tables/table47.xml" ContentType="application/vnd.openxmlformats-officedocument.spreadsheetml.table+xml"/>
  <Override PartName="/xl/tables/table48.xml" ContentType="application/vnd.openxmlformats-officedocument.spreadsheetml.table+xml"/>
  <Override PartName="/xl/comments7.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defaultThemeVersion="166925"/>
  <mc:AlternateContent xmlns:mc="http://schemas.openxmlformats.org/markup-compatibility/2006">
    <mc:Choice Requires="x15">
      <x15ac:absPath xmlns:x15ac="http://schemas.microsoft.com/office/spreadsheetml/2010/11/ac" url="https://poligran-my.sharepoint.com/personal/dvelasquez_poligran_edu_co/Documents/02_Curriculo_Virtual/05_Documentos_Reforzamiento curricular/ReforzamientoCurricular2022/03_Entregables/Nivel Micro/06_FormatosRA_AC/05_ReformaCurricular/"/>
    </mc:Choice>
  </mc:AlternateContent>
  <xr:revisionPtr revIDLastSave="34" documentId="13_ncr:1_{45E65BF4-83B3-42F7-BA79-63E5C1097DD7}" xr6:coauthVersionLast="47" xr6:coauthVersionMax="47" xr10:uidLastSave="{259D4EAC-4FBB-486C-A934-35A6BA257319}"/>
  <bookViews>
    <workbookView xWindow="-90" yWindow="0" windowWidth="9780" windowHeight="11370" tabRatio="673" firstSheet="5" activeTab="5" xr2:uid="{BD68381A-4EB3-42BA-ADD5-D7B5B6C7E498}"/>
  </bookViews>
  <sheets>
    <sheet name="Paso1 Analisis perfil egreso" sheetId="1" r:id="rId1"/>
    <sheet name="Paso 2 Redacción competen" sheetId="6" r:id="rId2"/>
    <sheet name="Paso 3 Redacción RA" sheetId="15" r:id="rId3"/>
    <sheet name="Paso 3 Redacción RA - Backup " sheetId="5" state="hidden" r:id="rId4"/>
    <sheet name="Paso 4 Estrategias mesocurricu" sheetId="8" r:id="rId5"/>
    <sheet name="Paso 5 Estrategias micro" sheetId="14" r:id="rId6"/>
    <sheet name="Taxonomía para competencias" sheetId="10" r:id="rId7"/>
    <sheet name="Taxonomias para RA" sheetId="7" r:id="rId8"/>
  </sheets>
  <externalReferences>
    <externalReference r:id="rId9"/>
    <externalReference r:id="rId10"/>
  </externalReferences>
  <definedNames>
    <definedName name="_xlnm._FilterDatabase" localSheetId="2" hidden="1">'Paso 3 Redacción RA'!$A$2:$K$15</definedName>
    <definedName name="_xlnm._FilterDatabase" localSheetId="3" hidden="1">'Paso 3 Redacción RA - Backup '!$A$2:$K$12</definedName>
    <definedName name="_xlnm._FilterDatabase" localSheetId="4" hidden="1">'Paso 4 Estrategias mesocurricu'!$A$1:$F$26</definedName>
    <definedName name="_xlnm._FilterDatabase" localSheetId="5" hidden="1">'Paso 5 Estrategias micro'!$A$2:$T$2</definedName>
    <definedName name="ActitudinalBAK">'Taxonomias para RA'!$AC$3:$AG$3</definedName>
    <definedName name="Bloom">'Taxonomias para RA'!$G$3:$I$3</definedName>
    <definedName name="Celda_Creditos_por_materia">'[1]Malla con formulas'!$E$19,'[1]Malla con formulas'!$L$19,'[1]Malla con formulas'!$R$23,'[1]Malla con formulas'!$X$23,'[1]Malla con formulas'!$AD$23,'[1]Malla con formulas'!$AK$23,'[1]Malla con formulas'!$G$31,'[1]Malla con formulas'!$M$31,'[1]Malla con formulas'!$R$31,'[1]Malla con formulas'!$X$31,'[1]Malla con formulas'!$AD$31,'[1]Malla con formulas'!$AK$31,'[1]Malla con formulas'!$G$38,'[1]Malla con formulas'!$N$38,'[1]Malla con formulas'!$R$38,'[1]Malla con formulas'!$X$38,'[1]Malla con formulas'!$AD$38,'[1]Malla con formulas'!$G$45,'[1]Malla con formulas'!$M$45,'[1]Malla con formulas'!$R$45,'[1]Malla con formulas'!$X$45,'[1]Malla con formulas'!$AD$45,'[1]Malla con formulas'!$AK$45,'[1]Malla con formulas'!$G$52,'[1]Malla con formulas'!$M$52,'[1]Malla con formulas'!$R$52,'[1]Malla con formulas'!$X$52,'[1]Malla con formulas'!$AD$52,'[1]Malla con formulas'!$G$59,'[1]Malla con formulas'!$M$59,'[1]Malla con formulas'!$R$59,'[1]Malla con formulas'!$X$59,'[1]Malla con formulas'!$AD$59,'[1]Malla con formulas'!$G$66,'[1]Malla con formulas'!$M$66,'[1]Malla con formulas'!$R$66,'[1]Malla con formulas'!$X$66,'[1]Malla con formulas'!$AD$66,'[1]Malla con formulas'!$G$73</definedName>
    <definedName name="Circutos">'Paso 2 Redacción competen'!$F$4</definedName>
    <definedName name="Codigo_de_materia">'[1]Malla con formulas'!$D$23,'[1]Malla con formulas'!$K$23,'[1]Malla con formulas'!$Q$23,'[1]Malla con formulas'!$W$23,'[1]Malla con formulas'!$AC$23,'[1]Malla con formulas'!$AI$23,'[1]Malla con formulas'!$D$31,'[1]Malla con formulas'!$K$31,'[1]Malla con formulas'!$Q$31,'[1]Malla con formulas'!$W$31,'[1]Malla con formulas'!$AC$31,'[1]Malla con formulas'!$AI$31,'[1]Malla con formulas'!$D$38,'[1]Malla con formulas'!$K$38,'[1]Malla con formulas'!$Q$38,'[1]Malla con formulas'!$W$38,'[1]Malla con formulas'!$AC$38,'[1]Malla con formulas'!$D$45,'[1]Malla con formulas'!$K$45,'[1]Malla con formulas'!$Q$45,'[1]Malla con formulas'!$W$45,'[1]Malla con formulas'!$AC$45,'[1]Malla con formulas'!$AI$45,'[1]Malla con formulas'!$D$52,'[1]Malla con formulas'!$K$52,'[1]Malla con formulas'!$Q$52,'[1]Malla con formulas'!$W$52,'[1]Malla con formulas'!$AC$52,'[1]Malla con formulas'!$D$59,'[1]Malla con formulas'!$K$59,'[1]Malla con formulas'!$Q$59,'[1]Malla con formulas'!$W$59,'[1]Malla con formulas'!$AC$59,'[1]Malla con formulas'!$D$66,'[1]Malla con formulas'!$K$66,'[1]Malla con formulas'!$Q$66,'[1]Malla con formulas'!$W$66,'[1]Malla con formulas'!$AC$66,'[1]Malla con formulas'!$D$73</definedName>
    <definedName name="CognitivoBAK">'Taxonomias para RA'!$S$3:$X$3</definedName>
    <definedName name="CompetenciaEspecifica1">'Paso 2 Redacción competen'!$F$4</definedName>
    <definedName name="ComponentesCompetencias">'Paso1 Analisis perfil egreso'!$E$2:$G$2</definedName>
    <definedName name="Creditos">'[1]Malla con formulas'!$AN$90,'[1]Malla con formulas'!#REF!,'[1]Malla con formulas'!$AN$66,'[1]Malla con formulas'!$AN$59,'[1]Malla con formulas'!$AG$52,'[1]Malla con formulas'!$AN$38,'[1]Malla con formulas'!$AN$31,'[1]Malla con formulas'!$AN$23,'[1]Malla con formulas'!$AN$45</definedName>
    <definedName name="FACULTADES">#REF!</definedName>
    <definedName name="Nombre">'[1]Malla con formulas'!$D$22:$G$22,'[1]Malla con formulas'!$K$22:$M$22,'[1]Malla con formulas'!$P$22:$R$22,'[1]Malla con formulas'!$V$22:$X$22,'[1]Malla con formulas'!$AB$22:$AD$22,'[1]Malla con formulas'!$AG$22:$AK$22,'[1]Malla con formulas'!$C$30:$G$30,'[1]Malla con formulas'!$J$30:$M$30,'[1]Malla con formulas'!$P$30:$R$30,'[1]Malla con formulas'!$V$30:$X$30,'[1]Malla con formulas'!$AB$30:$AD$30,'[1]Malla con formulas'!$AG$30:$AK$30,'[1]Malla con formulas'!$C$37:$G$37,'[1]Malla con formulas'!$J$37:$M$37,'[1]Malla con formulas'!$P$37:$R$37,'[1]Malla con formulas'!$V$37:$X$37,'[1]Malla con formulas'!$AB$37:$AD$37,'[1]Malla con formulas'!$C$44:$G$44,'[1]Malla con formulas'!$J$44:$M$44,'[1]Malla con formulas'!$P$44:$R$44,'[1]Malla con formulas'!$V$44:$X$44,'[1]Malla con formulas'!$AB$44:$AD$44,'[1]Malla con formulas'!$AG$44:$AK$44,'[1]Malla con formulas'!$C$51:$G$51,'[1]Malla con formulas'!$J$51:$M$51,'[1]Malla con formulas'!$P$51:$R$51,'[1]Malla con formulas'!$V$51:$X$51,'[1]Malla con formulas'!$AB$51:$AD$51,'[1]Malla con formulas'!$C$58:$G$58,'[1]Malla con formulas'!$J$58:$M$58,'[1]Malla con formulas'!$P$58:$R$58,'[1]Malla con formulas'!$V$58:$X$58,'[1]Malla con formulas'!$AB$58:$AD$58,'[1]Malla con formulas'!$C$65:$G$65,'[1]Malla con formulas'!$J$65:$M$65,'[1]Malla con formulas'!$P$65:$R$65,'[1]Malla con formulas'!$V$65:$X$65,'[1]Malla con formulas'!$AB$65:$AD$65,'[1]Malla con formulas'!$C$72:$G$72,'[1]Malla con formulas'!$J$72:$M$72,'[1]Malla con formulas'!$P$72:$R$72,'[1]Malla con formulas'!$V$72:$X$72,'[1]Malla con formulas'!$AB$72:$AD$72,'[1]Malla con formulas'!#REF!,'[1]Malla con formulas'!#REF!,'[1]Malla con formulas'!$V$89:$V$89,'[1]Malla con formulas'!#REF!,'[1]Malla con formulas'!$L$88:$L$88</definedName>
    <definedName name="ProcedimentalBAK">'Taxonomias para RA'!$Y$3:$AB$3</definedName>
    <definedName name="RA">'Paso 5 Estrategias micro'!$B$9</definedName>
    <definedName name="resultadoaprendizaje">'[2]Paso 3 Redacción RA '!$I$2:$I$21</definedName>
    <definedName name="Saber">'Paso1 Analisis perfil egreso'!$E$3:$E$6</definedName>
    <definedName name="SaberHacer">'Paso1 Analisis perfil egreso'!$F$3:$F$6</definedName>
    <definedName name="SaberSer">'Paso1 Analisis perfil egreso'!$G$3:$G$6</definedName>
    <definedName name="TIC">'Paso 2 Redacción competen'!#REF!</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S139" i="14" l="1"/>
  <c r="S138" i="14"/>
  <c r="S124" i="14"/>
  <c r="S109" i="14"/>
  <c r="S90" i="14"/>
  <c r="S67" i="14"/>
  <c r="S52" i="14"/>
  <c r="S36" i="14"/>
  <c r="S16" i="14"/>
  <c r="D139" i="14"/>
  <c r="A134" i="14"/>
  <c r="A127" i="14"/>
  <c r="A126" i="14"/>
  <c r="A119" i="14"/>
  <c r="A120" i="14"/>
  <c r="A115" i="14"/>
  <c r="A111" i="14"/>
  <c r="A101" i="14"/>
  <c r="A96" i="14"/>
  <c r="A97" i="14"/>
  <c r="R138" i="14"/>
  <c r="R124" i="14"/>
  <c r="R109" i="14"/>
  <c r="R90" i="14"/>
  <c r="R67" i="14"/>
  <c r="R52" i="14"/>
  <c r="R36" i="14"/>
  <c r="R16" i="14"/>
  <c r="J142" i="14"/>
  <c r="J141" i="14"/>
  <c r="J140" i="14"/>
  <c r="J143" i="14" s="1"/>
  <c r="J139" i="14"/>
  <c r="A92" i="14"/>
  <c r="A81" i="14"/>
  <c r="A82" i="14"/>
  <c r="A77" i="14"/>
  <c r="A72" i="14"/>
  <c r="A74" i="14"/>
  <c r="A61" i="14"/>
  <c r="A62" i="14"/>
  <c r="A52" i="14"/>
  <c r="A51" i="14"/>
  <c r="A50" i="14"/>
  <c r="L49" i="14"/>
  <c r="K49" i="14"/>
  <c r="A49" i="14"/>
  <c r="A43" i="14"/>
  <c r="A34" i="14"/>
  <c r="A27" i="14"/>
  <c r="A19" i="14"/>
  <c r="A20" i="14"/>
  <c r="A14" i="14"/>
  <c r="A10" i="14"/>
  <c r="A6" i="14"/>
  <c r="A28" i="14"/>
  <c r="A64" i="14"/>
  <c r="A63" i="14"/>
  <c r="A60" i="14"/>
  <c r="A90" i="14"/>
  <c r="A89" i="14"/>
  <c r="A88" i="14"/>
  <c r="A70" i="14"/>
  <c r="A69" i="14"/>
  <c r="A68" i="14"/>
  <c r="A48" i="14"/>
  <c r="A47" i="14"/>
  <c r="A46" i="14"/>
  <c r="A45" i="14"/>
  <c r="A44" i="14"/>
  <c r="A42" i="14"/>
  <c r="A36" i="14"/>
  <c r="A35" i="14"/>
  <c r="A33" i="14"/>
  <c r="A17" i="14"/>
  <c r="A32" i="14"/>
  <c r="A31" i="14"/>
  <c r="A30" i="14"/>
  <c r="A29" i="14"/>
  <c r="A26" i="14"/>
  <c r="A25" i="14"/>
  <c r="A24" i="14"/>
  <c r="A23" i="14"/>
  <c r="A16" i="14"/>
  <c r="A15" i="14"/>
  <c r="A13" i="14"/>
  <c r="A18" i="14"/>
  <c r="K18" i="14"/>
  <c r="L18" i="14"/>
  <c r="R139" i="14" l="1"/>
  <c r="M49" i="14"/>
  <c r="M18" i="14"/>
  <c r="L88" i="14" l="1"/>
  <c r="K88" i="14"/>
  <c r="L68" i="14"/>
  <c r="K68" i="14"/>
  <c r="M68" i="14" s="1"/>
  <c r="L26" i="14"/>
  <c r="K26" i="14"/>
  <c r="L37" i="14"/>
  <c r="K37" i="14"/>
  <c r="L53" i="14"/>
  <c r="K53" i="14"/>
  <c r="L38" i="14"/>
  <c r="K38" i="14"/>
  <c r="L42" i="14"/>
  <c r="K42" i="14"/>
  <c r="L46" i="14"/>
  <c r="K46" i="14"/>
  <c r="K54" i="14"/>
  <c r="L54" i="14"/>
  <c r="L17" i="14"/>
  <c r="K17" i="14"/>
  <c r="L4" i="14"/>
  <c r="K4" i="14"/>
  <c r="L33" i="14"/>
  <c r="K33" i="14"/>
  <c r="L30" i="14"/>
  <c r="K30" i="14"/>
  <c r="L125" i="14"/>
  <c r="K125" i="14"/>
  <c r="L130" i="14"/>
  <c r="K130" i="14"/>
  <c r="L133" i="14"/>
  <c r="K133" i="14"/>
  <c r="L138" i="14"/>
  <c r="K138" i="14"/>
  <c r="L124" i="14"/>
  <c r="K124" i="14"/>
  <c r="L107" i="14"/>
  <c r="K107" i="14"/>
  <c r="L114" i="14"/>
  <c r="K114" i="14"/>
  <c r="L110" i="14"/>
  <c r="K110" i="14"/>
  <c r="L137" i="14"/>
  <c r="K137" i="14"/>
  <c r="L123" i="14"/>
  <c r="K123" i="14"/>
  <c r="L91" i="14"/>
  <c r="K91" i="14"/>
  <c r="L95" i="14"/>
  <c r="K95" i="14"/>
  <c r="L100" i="14"/>
  <c r="K100" i="14"/>
  <c r="L60" i="14"/>
  <c r="K60" i="14"/>
  <c r="L80" i="14"/>
  <c r="K80" i="14"/>
  <c r="L71" i="14"/>
  <c r="K71" i="14"/>
  <c r="L85" i="14"/>
  <c r="K85" i="14"/>
  <c r="L76" i="14"/>
  <c r="K76" i="14"/>
  <c r="L104" i="14"/>
  <c r="K104" i="14"/>
  <c r="L118" i="14"/>
  <c r="K118" i="14"/>
  <c r="L65" i="14"/>
  <c r="K65" i="14"/>
  <c r="L57" i="14"/>
  <c r="K57" i="14"/>
  <c r="L39" i="14"/>
  <c r="K39" i="14"/>
  <c r="L23" i="14"/>
  <c r="K23" i="14"/>
  <c r="L5" i="14"/>
  <c r="K5" i="14"/>
  <c r="L9" i="14"/>
  <c r="K9" i="14"/>
  <c r="L13" i="14"/>
  <c r="K13" i="14"/>
  <c r="A3" i="14"/>
  <c r="A9" i="14"/>
  <c r="A11" i="14"/>
  <c r="A12" i="14"/>
  <c r="L3" i="14"/>
  <c r="K3" i="14"/>
  <c r="A5" i="14"/>
  <c r="A7" i="14"/>
  <c r="A8" i="14"/>
  <c r="A21" i="14"/>
  <c r="A22" i="14"/>
  <c r="A4" i="14"/>
  <c r="A39" i="14"/>
  <c r="A40" i="14"/>
  <c r="A41" i="14"/>
  <c r="A57" i="14"/>
  <c r="A58" i="14"/>
  <c r="A59" i="14"/>
  <c r="A38" i="14"/>
  <c r="A54" i="14"/>
  <c r="A55" i="14"/>
  <c r="A56" i="14"/>
  <c r="A53" i="14"/>
  <c r="A37" i="14"/>
  <c r="A65" i="14"/>
  <c r="A66" i="14"/>
  <c r="A67" i="14"/>
  <c r="A118" i="14"/>
  <c r="A121" i="14"/>
  <c r="A122" i="14"/>
  <c r="A104" i="14"/>
  <c r="A105" i="14"/>
  <c r="A106" i="14"/>
  <c r="A76" i="14"/>
  <c r="A78" i="14"/>
  <c r="A79" i="14"/>
  <c r="A85" i="14"/>
  <c r="A86" i="14"/>
  <c r="A87" i="14"/>
  <c r="A71" i="14"/>
  <c r="A73" i="14"/>
  <c r="A75" i="14"/>
  <c r="A80" i="14"/>
  <c r="A83" i="14"/>
  <c r="A84" i="14"/>
  <c r="A100" i="14"/>
  <c r="A102" i="14"/>
  <c r="A103" i="14"/>
  <c r="A95" i="14"/>
  <c r="A98" i="14"/>
  <c r="A99" i="14"/>
  <c r="A91" i="14"/>
  <c r="A93" i="14"/>
  <c r="A94" i="14"/>
  <c r="A110" i="14"/>
  <c r="A112" i="14"/>
  <c r="A113" i="14"/>
  <c r="A114" i="14"/>
  <c r="A116" i="14"/>
  <c r="A117" i="14"/>
  <c r="A107" i="14"/>
  <c r="A108" i="14"/>
  <c r="A109" i="14"/>
  <c r="A133" i="14"/>
  <c r="A135" i="14"/>
  <c r="A136" i="14"/>
  <c r="A130" i="14"/>
  <c r="A131" i="14"/>
  <c r="A132" i="14"/>
  <c r="A125" i="14"/>
  <c r="A128" i="14"/>
  <c r="A129" i="14"/>
  <c r="M65" i="14" l="1"/>
  <c r="M33" i="14"/>
  <c r="M30" i="14"/>
  <c r="M26" i="14"/>
  <c r="M3" i="14"/>
  <c r="M23" i="14"/>
  <c r="M118" i="14"/>
  <c r="M71" i="14"/>
  <c r="M95" i="14"/>
  <c r="M53" i="14"/>
  <c r="M88" i="14"/>
  <c r="M9" i="14"/>
  <c r="M104" i="14"/>
  <c r="M91" i="14"/>
  <c r="M124" i="14"/>
  <c r="M37" i="14"/>
  <c r="M114" i="14"/>
  <c r="M138" i="14"/>
  <c r="M4" i="14"/>
  <c r="M54" i="14"/>
  <c r="M39" i="14"/>
  <c r="M80" i="14"/>
  <c r="M110" i="14"/>
  <c r="M130" i="14"/>
  <c r="M123" i="14"/>
  <c r="M38" i="14"/>
  <c r="M5" i="14"/>
  <c r="M57" i="14"/>
  <c r="M76" i="14"/>
  <c r="M13" i="14"/>
  <c r="M85" i="14"/>
  <c r="M100" i="14"/>
  <c r="M137" i="14"/>
  <c r="M133" i="14"/>
  <c r="M125" i="14"/>
  <c r="M17" i="14"/>
  <c r="M107" i="14"/>
  <c r="M60" i="1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Diana Shirley Velasquez Rojas</author>
  </authors>
  <commentList>
    <comment ref="C1" authorId="0" shapeId="0" xr:uid="{218BD88B-F04D-48BC-8E64-039B164B6A20}">
      <text>
        <r>
          <rPr>
            <b/>
            <sz val="9"/>
            <color indexed="81"/>
            <rFont val="Tahoma"/>
            <family val="2"/>
          </rPr>
          <t>Dir. Currículo:</t>
        </r>
        <r>
          <rPr>
            <sz val="9"/>
            <color indexed="81"/>
            <rFont val="Tahoma"/>
            <family val="2"/>
          </rPr>
          <t xml:space="preserve">
Escriba el perfil del egresado que tiene el programa en su documento maestro o el que se haya ajustado de acuerdo con las tendencias o necesidades del entorno que lo hayan generado.</t>
        </r>
      </text>
    </comment>
    <comment ref="C2" authorId="0" shapeId="0" xr:uid="{1E9ADF6B-E7FE-46F9-A416-83B5EEE1C33F}">
      <text>
        <r>
          <rPr>
            <b/>
            <sz val="9"/>
            <color indexed="81"/>
            <rFont val="Tahoma"/>
            <family val="2"/>
          </rPr>
          <t>Dir. Currículo:</t>
        </r>
        <r>
          <rPr>
            <sz val="9"/>
            <color indexed="81"/>
            <rFont val="Tahoma"/>
            <family val="2"/>
          </rPr>
          <t xml:space="preserve">
Escriba el perfil del egresado que tiene el programa en su documento maestro o el que se haya ajustado de acuerdo con las tendencias o necesidades del entorno que lo hayan generado.</t>
        </r>
      </text>
    </comment>
    <comment ref="E2" authorId="0" shapeId="0" xr:uid="{8DF8FF82-47F7-4410-B4E7-CB5780418179}">
      <text>
        <r>
          <rPr>
            <b/>
            <sz val="9"/>
            <color indexed="81"/>
            <rFont val="Tahoma"/>
            <family val="2"/>
          </rPr>
          <t>Dir. Currículo:</t>
        </r>
        <r>
          <rPr>
            <sz val="9"/>
            <color indexed="81"/>
            <rFont val="Tahoma"/>
            <family val="2"/>
          </rPr>
          <t xml:space="preserve">
Son los conocimientos generales que caracterizan el saber del egresado.</t>
        </r>
      </text>
    </comment>
    <comment ref="F2" authorId="0" shapeId="0" xr:uid="{066C8682-E9AB-4C94-83D5-BDABD3C9751A}">
      <text>
        <r>
          <rPr>
            <b/>
            <sz val="9"/>
            <color indexed="81"/>
            <rFont val="Tahoma"/>
            <family val="2"/>
          </rPr>
          <t>Dir. Currículo:</t>
        </r>
        <r>
          <rPr>
            <sz val="9"/>
            <color indexed="81"/>
            <rFont val="Tahoma"/>
            <family val="2"/>
          </rPr>
          <t xml:space="preserve">
Es el conocimiento referente a la ejecución de estrategias, técnicas, habilidades, métodos y procedimientos; implican fuerza, rapidez y precisión; hacen referencia a saber cómo hacer y saber hacer.</t>
        </r>
      </text>
    </comment>
    <comment ref="G2" authorId="0" shapeId="0" xr:uid="{607FF329-B1BA-4E60-897A-6011F6BE0B48}">
      <text>
        <r>
          <rPr>
            <b/>
            <sz val="9"/>
            <color indexed="81"/>
            <rFont val="Tahoma"/>
            <family val="2"/>
          </rPr>
          <t>Dir. Currículo:</t>
        </r>
        <r>
          <rPr>
            <sz val="9"/>
            <color indexed="81"/>
            <rFont val="Tahoma"/>
            <family val="2"/>
          </rPr>
          <t xml:space="preserve">
Se refiere a cómo debe ser el egresado en el contexto profesional, abarca los principios, normas, condiciones de contexto y reglas, entre otros.</t>
        </r>
      </text>
    </comment>
    <comment ref="H2" authorId="0" shapeId="0" xr:uid="{4C8FD7BF-69F3-4EE3-BF00-86DAE4C95B59}">
      <text>
        <r>
          <rPr>
            <b/>
            <sz val="9"/>
            <color indexed="81"/>
            <rFont val="Tahoma"/>
            <family val="2"/>
          </rPr>
          <t>Dir. Currículo:</t>
        </r>
        <r>
          <rPr>
            <sz val="9"/>
            <color indexed="81"/>
            <rFont val="Tahoma"/>
            <family val="2"/>
          </rPr>
          <t xml:space="preserve">
Áreas en las que podrá laborar el profesional.</t>
        </r>
      </text>
    </comment>
    <comment ref="I2" authorId="0" shapeId="0" xr:uid="{D80561B2-9238-40B1-BCAC-A2900C16BB2A}">
      <text>
        <r>
          <rPr>
            <b/>
            <sz val="9"/>
            <color indexed="81"/>
            <rFont val="Tahoma"/>
            <family val="2"/>
          </rPr>
          <t>Dir. Currículo:</t>
        </r>
        <r>
          <rPr>
            <sz val="9"/>
            <color indexed="81"/>
            <rFont val="Tahoma"/>
            <family val="2"/>
          </rPr>
          <t xml:space="preserve">
Tareas potenciales que hará el profesional.</t>
        </r>
      </text>
    </comment>
    <comment ref="J2" authorId="0" shapeId="0" xr:uid="{910BAA13-07A6-4EFE-A19E-F083161C96F3}">
      <text>
        <r>
          <rPr>
            <b/>
            <sz val="9"/>
            <color indexed="81"/>
            <rFont val="Tahoma"/>
            <family val="2"/>
          </rPr>
          <t>Dir. Currículo:</t>
        </r>
        <r>
          <rPr>
            <sz val="9"/>
            <color indexed="81"/>
            <rFont val="Tahoma"/>
            <family val="2"/>
          </rPr>
          <t xml:space="preserve">
Poblaciones o contextos donde podrán laborar los profesionales o dónde podrán ejercer su profesión.</t>
        </r>
      </text>
    </comment>
    <comment ref="K2" authorId="0" shapeId="0" xr:uid="{BABE39E6-C0DA-47B6-A10D-ECA03B3BA910}">
      <text>
        <r>
          <rPr>
            <b/>
            <sz val="9"/>
            <color indexed="81"/>
            <rFont val="Tahoma"/>
            <family val="2"/>
          </rPr>
          <t>Dir. Currículo:</t>
        </r>
        <r>
          <rPr>
            <sz val="9"/>
            <color indexed="81"/>
            <rFont val="Tahoma"/>
            <family val="2"/>
          </rPr>
          <t xml:space="preserve">
Elementos diferenciales que caracterizan al egresado.</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Diana Shirley Velasquez Rojas</author>
  </authors>
  <commentList>
    <comment ref="A2" authorId="0" shapeId="0" xr:uid="{AE119CD1-D0D7-4F88-8CD5-00081530DC87}">
      <text>
        <r>
          <rPr>
            <b/>
            <sz val="9"/>
            <color indexed="81"/>
            <rFont val="Tahoma"/>
            <family val="2"/>
          </rPr>
          <t>Dir. Currículo:</t>
        </r>
        <r>
          <rPr>
            <sz val="9"/>
            <color indexed="81"/>
            <rFont val="Tahoma"/>
            <family val="2"/>
          </rPr>
          <t xml:space="preserve">
Respecto al número de competencias a redactar no hay una restricción ni número limitante, solo se debe tener en cuenta que el programa deberá garantizar y demostrar su desarrollo a través del proceso de aprendizaje que lleve a cabo el estudiante y que se desglosarán y declararán por medio de los resultados de aprendizaje.</t>
        </r>
      </text>
    </comment>
    <comment ref="B2" authorId="0" shapeId="0" xr:uid="{A8E80D42-94C0-4781-8FCE-3D3530E25D52}">
      <text>
        <r>
          <rPr>
            <b/>
            <sz val="9"/>
            <color indexed="81"/>
            <rFont val="Tahoma"/>
            <family val="2"/>
          </rPr>
          <t xml:space="preserve">Dir. de Currículo:
</t>
        </r>
        <r>
          <rPr>
            <sz val="9"/>
            <color indexed="81"/>
            <rFont val="Tahoma"/>
            <family val="2"/>
          </rPr>
          <t>Si desea incluir un verbo puede hacerlo en la hoja Taxonomía para competencias, solo procure usar verbos que pueda desagregarse en verbos medibles</t>
        </r>
        <r>
          <rPr>
            <b/>
            <sz val="9"/>
            <color indexed="81"/>
            <rFont val="Tahoma"/>
            <family val="2"/>
          </rPr>
          <t xml:space="preserve">. </t>
        </r>
        <r>
          <rPr>
            <sz val="9"/>
            <color indexed="81"/>
            <rFont val="Tahoma"/>
            <family val="2"/>
          </rPr>
          <t xml:space="preserve">Después de incluirlo podrá elegirlo en la celda que lo requiera.
</t>
        </r>
      </text>
    </comment>
    <comment ref="C2" authorId="0" shapeId="0" xr:uid="{F4110995-1467-4D20-B839-29023BFAEBFF}">
      <text>
        <r>
          <rPr>
            <b/>
            <sz val="9"/>
            <color indexed="81"/>
            <rFont val="Tahoma"/>
            <family val="2"/>
          </rPr>
          <t>Dir. Currículo:</t>
        </r>
        <r>
          <rPr>
            <sz val="9"/>
            <color indexed="81"/>
            <rFont val="Tahoma"/>
            <family val="2"/>
          </rPr>
          <t xml:space="preserve">
Recuerde que el objeto conceptual hace referecia a qué debe saber (conocimientos, hechos, teorías) el egresado cuando termine su formación profesional.</t>
        </r>
      </text>
    </comment>
    <comment ref="D2" authorId="0" shapeId="0" xr:uid="{4E14A77D-E3A8-4B7B-B617-3C89D59C2DC3}">
      <text>
        <r>
          <rPr>
            <b/>
            <sz val="9"/>
            <color indexed="81"/>
            <rFont val="Tahoma"/>
            <family val="2"/>
          </rPr>
          <t>Dir. Currículo:</t>
        </r>
        <r>
          <rPr>
            <sz val="9"/>
            <color indexed="81"/>
            <rFont val="Tahoma"/>
            <family val="2"/>
          </rPr>
          <t xml:space="preserve">
La finalidad se refiere al para qué, se centra en qué es lo que el egresado sabrá hacer (procedimientos, procesos, metodologías, entre otros) con el saber enunciado como objeto conceptual.
El saber hacer o los elmentos del componente ocupacional pueden ayudar a declarar la finalidad. Se listaron en la hoja Paso 1.</t>
        </r>
      </text>
    </comment>
    <comment ref="E2" authorId="0" shapeId="0" xr:uid="{60DC37CE-D668-474D-8A19-C4AF0EAA5C5A}">
      <text>
        <r>
          <rPr>
            <b/>
            <sz val="9"/>
            <color indexed="81"/>
            <rFont val="Tahoma"/>
            <family val="2"/>
          </rPr>
          <t>Dir. Currículo:</t>
        </r>
        <r>
          <rPr>
            <sz val="9"/>
            <color indexed="81"/>
            <rFont val="Tahoma"/>
            <family val="2"/>
          </rPr>
          <t xml:space="preserve">
Describe los referentes y parámetros, requerimientos o retos que se necesitan para alcanzar las características del perfil en el contexto donde el egresado se desenvolverá. 
Una pregunta orientadora para diligenciar esta componente es: ¿Qué condición se requiere para que lograr lo establecieo en el perfil, en el contexto donde se desenvolverá el egresado? </t>
        </r>
      </text>
    </comment>
    <comment ref="F2" authorId="0" shapeId="0" xr:uid="{8003939F-4001-4AFA-B7C4-32352928747B}">
      <text>
        <r>
          <rPr>
            <b/>
            <sz val="9"/>
            <color indexed="81"/>
            <rFont val="Tahoma"/>
            <family val="2"/>
          </rPr>
          <t>Dir. Currículo:</t>
        </r>
        <r>
          <rPr>
            <sz val="9"/>
            <color indexed="81"/>
            <rFont val="Tahoma"/>
            <family val="2"/>
          </rPr>
          <t xml:space="preserve">
Tenga en cuenta que la competencia indica qué acción hará el egresado con un saber determinado, con un fin asociado a lo que debe saber hacer con el saber y unas condiciones de contexto o referencia, que enmarcan su comportamiento en el ámbito profesional.</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Diana Shirley Velasquez Rojas</author>
  </authors>
  <commentList>
    <comment ref="A2" authorId="0" shapeId="0" xr:uid="{9438B058-DB6C-4283-8905-4056D954190F}">
      <text>
        <r>
          <rPr>
            <b/>
            <sz val="9"/>
            <color indexed="81"/>
            <rFont val="Tahoma"/>
            <family val="2"/>
          </rPr>
          <t>Dir. Currículo:</t>
        </r>
        <r>
          <rPr>
            <sz val="9"/>
            <color indexed="81"/>
            <rFont val="Tahoma"/>
            <family val="2"/>
          </rPr>
          <t xml:space="preserve">
Recuerde que cada competencia hace referencia a tres dominios que demostrará el estudiante, el cognitivo, el procedimental y el actitudinal o valorativo.
La competencia es lo que demostrará el estudiante en el ámbito profesional y en la academia se implementarán acciones educativas que mostrarán los resultados de lo que el estudiante aprendió y que están orientados a verificar que el estudiante saber, saber hacer y sabe ser en un contexto determinado.</t>
        </r>
      </text>
    </comment>
    <comment ref="B2" authorId="0" shapeId="0" xr:uid="{14FB4C41-FF3C-44C5-95C1-8A4EE311743B}">
      <text>
        <r>
          <rPr>
            <b/>
            <sz val="9"/>
            <color indexed="81"/>
            <rFont val="Tahoma"/>
            <family val="2"/>
          </rPr>
          <t>Dir. Currículo:</t>
        </r>
        <r>
          <rPr>
            <sz val="9"/>
            <color indexed="81"/>
            <rFont val="Tahoma"/>
            <family val="2"/>
          </rPr>
          <t xml:space="preserve">
Los resultados deben ser concretos, entre más competencias se declaren más resultados se deberán demostrar.</t>
        </r>
      </text>
    </comment>
    <comment ref="C2" authorId="0" shapeId="0" xr:uid="{EFD61953-6209-4CEE-9F36-7150401928E6}">
      <text>
        <r>
          <rPr>
            <b/>
            <sz val="9"/>
            <color indexed="81"/>
            <rFont val="Tahoma"/>
            <family val="2"/>
          </rPr>
          <t>Dir. Currículo:</t>
        </r>
        <r>
          <rPr>
            <sz val="9"/>
            <color indexed="81"/>
            <rFont val="Tahoma"/>
            <family val="2"/>
          </rPr>
          <t xml:space="preserve">
Dado que la competencia se determina por el saber, saber hacer y saber ser, se va a redactar por lo menos un resultado de aprendizaje por cada saber.
Pero puede ocurrir que un resultado sea el mismo para dos o más competencias.</t>
        </r>
      </text>
    </comment>
    <comment ref="D2" authorId="0" shapeId="0" xr:uid="{F6FF8774-B45E-4C88-9403-3210A2925AA7}">
      <text>
        <r>
          <rPr>
            <b/>
            <sz val="9"/>
            <color indexed="81"/>
            <rFont val="Tahoma"/>
            <family val="2"/>
          </rPr>
          <t>Dir. Currículo:</t>
        </r>
        <r>
          <rPr>
            <sz val="9"/>
            <color indexed="81"/>
            <rFont val="Tahoma"/>
            <family val="2"/>
          </rPr>
          <t xml:space="preserve">
El listado despliega, según el saber elegido en la columna C, lo que se escribió en el paso 1 para ese tipo de saber.</t>
        </r>
      </text>
    </comment>
    <comment ref="E2" authorId="0" shapeId="0" xr:uid="{7E689BBA-8C09-4929-8692-0ADD44D3FE56}">
      <text>
        <r>
          <rPr>
            <b/>
            <sz val="9"/>
            <color indexed="81"/>
            <rFont val="Tahoma"/>
            <family val="2"/>
          </rPr>
          <t xml:space="preserve">Dir. Currículo:
</t>
        </r>
        <r>
          <rPr>
            <sz val="9"/>
            <color indexed="81"/>
            <rFont val="Tahoma"/>
            <family val="2"/>
          </rPr>
          <t>Se elije según los conocimientos que se tienen sobre ellas, la más empleada es la de Bloom, pero existen muchas otras.
Si requiere emplear una distinta puede adaptar el formato a sus necesidades.</t>
        </r>
      </text>
    </comment>
    <comment ref="F2" authorId="0" shapeId="0" xr:uid="{5F8F8C73-2ED9-43ED-BD56-F53184EE0D4B}">
      <text>
        <r>
          <rPr>
            <b/>
            <sz val="9"/>
            <color indexed="81"/>
            <rFont val="Tahoma"/>
            <family val="2"/>
          </rPr>
          <t>Dir. Currículo:</t>
        </r>
        <r>
          <rPr>
            <sz val="9"/>
            <color indexed="81"/>
            <rFont val="Tahoma"/>
            <family val="2"/>
          </rPr>
          <t xml:space="preserve">
En la columna C se indicó el saber que se trabajará por lo que aquí se debe elegir el dominio que debe alcanzar el estudiante.
Recuerde, el saber corresponde al dominio cognitivo en alguna taxonomía, el saber hacer hace referencia al dominio procedimental y el saber ser al dominio actitudinal.</t>
        </r>
      </text>
    </comment>
    <comment ref="G2" authorId="0" shapeId="0" xr:uid="{38295FED-0624-4265-A5C1-6FA511157A6F}">
      <text>
        <r>
          <rPr>
            <b/>
            <sz val="9"/>
            <color indexed="81"/>
            <rFont val="Tahoma"/>
            <family val="2"/>
          </rPr>
          <t>Dir. Currículo:</t>
        </r>
        <r>
          <rPr>
            <sz val="9"/>
            <color indexed="81"/>
            <rFont val="Tahoma"/>
            <family val="2"/>
          </rPr>
          <t xml:space="preserve">
Las taxonomías se clasifican en niveles, por eso, al elegirlo en la columna E, las filas los despliegan y se selecciona según la coherencia de éste con el dominio por desarrollará. Elegir el nivel permite que en la columna H aparezcan los verbos recomendados.</t>
        </r>
      </text>
    </comment>
    <comment ref="H2" authorId="0" shapeId="0" xr:uid="{64D8F347-8090-4B7B-A6D7-1CF5339305BE}">
      <text>
        <r>
          <rPr>
            <b/>
            <sz val="9"/>
            <color indexed="81"/>
            <rFont val="Tahoma"/>
            <family val="2"/>
          </rPr>
          <t>Dir. Currículo:</t>
        </r>
        <r>
          <rPr>
            <sz val="9"/>
            <color indexed="81"/>
            <rFont val="Tahoma"/>
            <family val="2"/>
          </rPr>
          <t xml:space="preserve">
En las celdas se despliegan los verbos sugeridos para la categoría seleccionada en la columna G.</t>
        </r>
      </text>
    </comment>
    <comment ref="I2" authorId="0" shapeId="0" xr:uid="{37B46A44-2897-4E74-8832-74035C2B809F}">
      <text>
        <r>
          <rPr>
            <b/>
            <sz val="9"/>
            <color indexed="81"/>
            <rFont val="Tahoma"/>
            <family val="2"/>
          </rPr>
          <t>Dir. Currículo:</t>
        </r>
        <r>
          <rPr>
            <sz val="9"/>
            <color indexed="81"/>
            <rFont val="Tahoma"/>
            <family val="2"/>
          </rPr>
          <t xml:space="preserve">
En las filas de esta columna articule las columnas H y D en una oración que comience por el verbo (col. H), que recaiga sobre el objeto conceptual (col. D) y termine con un complemento de oración, conocida como condición de contexto, que indique para qué, como, con qué, o lo que considere conveniente para dar cierre al resultado de aprendizaje.</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Diana Shirley Velasquez Rojas</author>
  </authors>
  <commentList>
    <comment ref="A2" authorId="0" shapeId="0" xr:uid="{25311C46-2FC3-42D4-A3B5-88FB3744D009}">
      <text>
        <r>
          <rPr>
            <b/>
            <sz val="9"/>
            <color indexed="81"/>
            <rFont val="Tahoma"/>
            <family val="2"/>
          </rPr>
          <t>Dir. Currículo:</t>
        </r>
        <r>
          <rPr>
            <sz val="9"/>
            <color indexed="81"/>
            <rFont val="Tahoma"/>
            <family val="2"/>
          </rPr>
          <t xml:space="preserve">
Recuerde que cada competencia hace referencia a tres dominios que demostrará el estudiante, el cognitivo, el procedimental y el actitudinal o valorativo.
La competencia es lo que demostrará el estudiante en el ámbito profesional y en la academia se implementarán acciones educativas que mostrarán los resultados de lo que el estudiante aprendió y que están orientados a verificar que el estudiante saber, sabr hacer y sabe ser en un contexto determinado.</t>
        </r>
      </text>
    </comment>
    <comment ref="B2" authorId="0" shapeId="0" xr:uid="{7140CF9E-D100-4E5C-90C3-42313D04E6B1}">
      <text>
        <r>
          <rPr>
            <b/>
            <sz val="9"/>
            <color indexed="81"/>
            <rFont val="Tahoma"/>
            <family val="2"/>
          </rPr>
          <t>Dir. Currículo:</t>
        </r>
        <r>
          <rPr>
            <sz val="9"/>
            <color indexed="81"/>
            <rFont val="Tahoma"/>
            <family val="2"/>
          </rPr>
          <t xml:space="preserve">
Los resultados deben ser concretos, entre más competencias se declaren más resultados se deberán demostrar.</t>
        </r>
      </text>
    </comment>
    <comment ref="C2" authorId="0" shapeId="0" xr:uid="{71C91D79-1C70-4973-8345-EC0D06B65442}">
      <text>
        <r>
          <rPr>
            <b/>
            <sz val="9"/>
            <color indexed="81"/>
            <rFont val="Tahoma"/>
            <family val="2"/>
          </rPr>
          <t>Dir. Currículo:</t>
        </r>
        <r>
          <rPr>
            <sz val="9"/>
            <color indexed="81"/>
            <rFont val="Tahoma"/>
            <family val="2"/>
          </rPr>
          <t xml:space="preserve">
Dado que la competencia se determina por el saber, saber hacer y saber ser, se va a redactar por lo menos un resultado de aprendizaje por cada saber.
Pero puede ocurrir que un resultado sea el mismo para dos o más competencias.</t>
        </r>
      </text>
    </comment>
    <comment ref="D2" authorId="0" shapeId="0" xr:uid="{4EA1BD48-9072-4F8B-8C17-7A54409F3A6B}">
      <text>
        <r>
          <rPr>
            <b/>
            <sz val="9"/>
            <color indexed="81"/>
            <rFont val="Tahoma"/>
            <family val="2"/>
          </rPr>
          <t>Dir. Currículo:</t>
        </r>
        <r>
          <rPr>
            <sz val="9"/>
            <color indexed="81"/>
            <rFont val="Tahoma"/>
            <family val="2"/>
          </rPr>
          <t xml:space="preserve">
El llistado despliega, según el saber elegido en la columna C, lo que se escribió en el paso 1 para ese tipo de saber.</t>
        </r>
      </text>
    </comment>
    <comment ref="E2" authorId="0" shapeId="0" xr:uid="{189C3EC2-1514-4019-89E2-899E92CD0DB4}">
      <text>
        <r>
          <rPr>
            <b/>
            <sz val="9"/>
            <color indexed="81"/>
            <rFont val="Tahoma"/>
            <family val="2"/>
          </rPr>
          <t xml:space="preserve">Dir. Currículo:
</t>
        </r>
        <r>
          <rPr>
            <sz val="9"/>
            <color indexed="81"/>
            <rFont val="Tahoma"/>
            <family val="2"/>
          </rPr>
          <t>Se elije según los conocimientos que se tienen sobre ellas, la más empleada es la de Bloom, pero existen muchas otras.
Si requiere emplear una distinta puede adaptar el formato a sus necesidades.</t>
        </r>
      </text>
    </comment>
    <comment ref="F2" authorId="0" shapeId="0" xr:uid="{3C6787FC-5463-4833-8BE4-AF8F90510697}">
      <text>
        <r>
          <rPr>
            <b/>
            <sz val="9"/>
            <color indexed="81"/>
            <rFont val="Tahoma"/>
            <family val="2"/>
          </rPr>
          <t>Dir. Currículo:</t>
        </r>
        <r>
          <rPr>
            <sz val="9"/>
            <color indexed="81"/>
            <rFont val="Tahoma"/>
            <family val="2"/>
          </rPr>
          <t xml:space="preserve">
En la columna C se indicó el saber que se trabajará por lo que aquí se debe elegir el dominio que debe alcanzar el estudiante.
Recuerde, el saber corresponde al dominio cognitivo en alguna taxonomía, el saber hacer hace reerencia al dominio procedimental y el saber ser al dominio actitudinal.</t>
        </r>
      </text>
    </comment>
    <comment ref="G2" authorId="0" shapeId="0" xr:uid="{9224DA72-3F2C-4C5C-BF71-F42A4DB09567}">
      <text>
        <r>
          <rPr>
            <b/>
            <sz val="9"/>
            <color indexed="81"/>
            <rFont val="Tahoma"/>
            <family val="2"/>
          </rPr>
          <t>Dir. Currículo:</t>
        </r>
        <r>
          <rPr>
            <sz val="9"/>
            <color indexed="81"/>
            <rFont val="Tahoma"/>
            <family val="2"/>
          </rPr>
          <t xml:space="preserve">
Las taxonomías se clasifican en niveles, por eso, al elegirlo en la columna E, las filas los despliegan y se selecciona según la coherencia de éste con el dominio por desarrollará. Elegir el nivel permite que en la columna H aparezcan los verbos recomendados.</t>
        </r>
      </text>
    </comment>
    <comment ref="H2" authorId="0" shapeId="0" xr:uid="{AC4EFDC9-F052-42E3-B096-C8C6DA737167}">
      <text>
        <r>
          <rPr>
            <b/>
            <sz val="9"/>
            <color indexed="81"/>
            <rFont val="Tahoma"/>
            <family val="2"/>
          </rPr>
          <t>Dir. Currículo:</t>
        </r>
        <r>
          <rPr>
            <sz val="9"/>
            <color indexed="81"/>
            <rFont val="Tahoma"/>
            <family val="2"/>
          </rPr>
          <t xml:space="preserve">
En las celdas se despliegan los verbos sugeridos para la categoría seleccionada en la columna G.</t>
        </r>
      </text>
    </comment>
    <comment ref="I2" authorId="0" shapeId="0" xr:uid="{6C037D87-33E8-4C70-A592-AA6328FE8FC5}">
      <text>
        <r>
          <rPr>
            <b/>
            <sz val="9"/>
            <color indexed="81"/>
            <rFont val="Tahoma"/>
            <family val="2"/>
          </rPr>
          <t>Dir. Currículo:</t>
        </r>
        <r>
          <rPr>
            <sz val="9"/>
            <color indexed="81"/>
            <rFont val="Tahoma"/>
            <family val="2"/>
          </rPr>
          <t xml:space="preserve">
En las filas de esta columna articule las columnas H y D en una oración que comience por el verbo (col. H), que recaiga sobre el objeto conceptual (col. D) y termine con un complemento de oración, conocida como condición de contexto, que indique para qué, como, con qué, o lo que considere conveniente para dar cierre al resultado de aprendizaje.</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Diana Shirley Velasquez Rojas</author>
  </authors>
  <commentList>
    <comment ref="B2" authorId="0" shapeId="0" xr:uid="{37C83751-6000-4757-A6C7-3A73119E4A5B}">
      <text>
        <r>
          <rPr>
            <b/>
            <sz val="9"/>
            <color indexed="81"/>
            <rFont val="Tahoma"/>
            <family val="2"/>
          </rPr>
          <t>Dir. Currículo:</t>
        </r>
        <r>
          <rPr>
            <sz val="9"/>
            <color indexed="81"/>
            <rFont val="Tahoma"/>
            <family val="2"/>
          </rPr>
          <t xml:space="preserve">
Escriba las estrategias que el programa emplea para evaluar los resultados de aprendizaje.</t>
        </r>
      </text>
    </comment>
    <comment ref="D2" authorId="0" shapeId="0" xr:uid="{B9C7F80E-8B23-4629-8207-1D899FEE9EE0}">
      <text>
        <r>
          <rPr>
            <b/>
            <sz val="9"/>
            <color indexed="81"/>
            <rFont val="Tahoma"/>
            <family val="2"/>
          </rPr>
          <t>Dir. Currículo:</t>
        </r>
        <r>
          <rPr>
            <sz val="9"/>
            <color indexed="81"/>
            <rFont val="Tahoma"/>
            <family val="2"/>
          </rPr>
          <t xml:space="preserve">
Los indicadores de logro, indican cómo cada estrategia contribuye al resultado de aprendizaje y serán aquellos a los que el programa apuntará para ser alcanzados por los estudiantes.</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Diana Shirley Velasquez Rojas</author>
  </authors>
  <commentList>
    <comment ref="E1" authorId="0" shapeId="0" xr:uid="{5DE96D98-6AD3-44BE-9DD5-AB5F84B66625}">
      <text>
        <r>
          <rPr>
            <b/>
            <sz val="9"/>
            <color indexed="81"/>
            <rFont val="Tahoma"/>
            <family val="2"/>
          </rPr>
          <t>Dir. Currículo:</t>
        </r>
        <r>
          <rPr>
            <sz val="9"/>
            <color indexed="81"/>
            <rFont val="Tahoma"/>
            <family val="2"/>
          </rPr>
          <t xml:space="preserve">
Los indicadores de logro, indican cómo cada asignatura o módulo contribuye al resultado de aprendizaje y serán aquellos a los que los docentes deberán apuntar para que con sus estrategias sean alcanzados por los estudiantes.</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Diana Shirley Velasquez Rojas</author>
  </authors>
  <commentList>
    <comment ref="AY4" authorId="0" shapeId="0" xr:uid="{F9EA092C-8F61-4197-8E6C-64F779A26A75}">
      <text>
        <r>
          <rPr>
            <b/>
            <sz val="9"/>
            <color indexed="81"/>
            <rFont val="Tahoma"/>
            <family val="2"/>
          </rPr>
          <t>Dir. Currículo:</t>
        </r>
        <r>
          <rPr>
            <sz val="9"/>
            <color indexed="81"/>
            <rFont val="Tahoma"/>
            <family val="2"/>
          </rPr>
          <t xml:space="preserve">
Hay cuatro tipos de pensamiento del sistema del yo que son relevantes para la Nueva Taxonomía: (1) examinar la importancia, (2) examinar la eficacia, (3) examinar la respuesta emocional y (4) examinar la motivación general.</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keepAlive="1" name="Consulta - ComponentesCompetencias" description="Conexión a la consulta 'ComponentesCompetencias' en el libro." type="5" refreshedVersion="0" background="1" saveData="1">
    <dbPr connection="Provider=Microsoft.Mashup.OleDb.1;Data Source=$Workbook$;Location=ComponentesCompetencias;Extended Properties=&quot;&quot;" command="SELECT * FROM [ComponentesCompetencias]"/>
  </connection>
</connections>
</file>

<file path=xl/sharedStrings.xml><?xml version="1.0" encoding="utf-8"?>
<sst xmlns="http://schemas.openxmlformats.org/spreadsheetml/2006/main" count="2553" uniqueCount="806">
  <si>
    <t>[Escribir el nombre del programa]</t>
  </si>
  <si>
    <t>[Escribir la modalidad: presencial o virtual]</t>
  </si>
  <si>
    <t>[Escribir el perfil profesional del egresado.]</t>
  </si>
  <si>
    <t>[Escribir el perfil ocupacional del egresado.]</t>
  </si>
  <si>
    <r>
      <rPr>
        <b/>
        <sz val="8"/>
        <color theme="0"/>
        <rFont val="Gill Sans MT"/>
        <family val="2"/>
      </rPr>
      <t>Componentes fundamentales aplicables a la solución de problemas en la vida profesional</t>
    </r>
    <r>
      <rPr>
        <sz val="8"/>
        <color theme="0"/>
        <rFont val="Gill Sans MT"/>
        <family val="2"/>
      </rPr>
      <t xml:space="preserve">
[Listar, según lo escrito en el perfil profesional, qué debe saber el egresado en las categorías de Saber -conocimientos, hechos, teorías-, Saber hacer -técnicas, procedimientos, metodologías-, y Saber ser -valores, condiciones, etc.]</t>
    </r>
  </si>
  <si>
    <r>
      <rPr>
        <b/>
        <sz val="8"/>
        <color theme="0"/>
        <rFont val="Gill Sans MT"/>
        <family val="2"/>
      </rPr>
      <t>Componentes fundamentales de la ocupación laboral del profesional</t>
    </r>
    <r>
      <rPr>
        <sz val="8"/>
        <color theme="0"/>
        <rFont val="Gill Sans MT"/>
        <family val="2"/>
      </rPr>
      <t xml:space="preserve">
[Listar, según lo escrito en el perfil ocupacional, en qué áreas, qué tareas potenciales y en qué poblaciones o contextos podrá laborar el profesional.]</t>
    </r>
  </si>
  <si>
    <r>
      <rPr>
        <b/>
        <sz val="8"/>
        <color theme="0"/>
        <rFont val="Gill Sans MT"/>
        <family val="2"/>
      </rPr>
      <t>Diferencial (valor agregado) del profesional</t>
    </r>
    <r>
      <rPr>
        <sz val="8"/>
        <color theme="0"/>
        <rFont val="Gill Sans MT"/>
        <family val="2"/>
      </rPr>
      <t xml:space="preserve">
[Listar, según lo escrito en los perfiles, los elementos que son diferenciales y generan un valor agregado al egresado.]</t>
    </r>
  </si>
  <si>
    <t>Programa</t>
  </si>
  <si>
    <t>Modalidad</t>
  </si>
  <si>
    <t>Perfil profesional</t>
  </si>
  <si>
    <t>Perfil ocupacional</t>
  </si>
  <si>
    <t>Saber</t>
  </si>
  <si>
    <t>SaberHacer</t>
  </si>
  <si>
    <t>SaberSer</t>
  </si>
  <si>
    <t>Áreas profesionales</t>
  </si>
  <si>
    <t>Tareas profesionales</t>
  </si>
  <si>
    <t>Poblaciones actuación</t>
  </si>
  <si>
    <t>Valor agregado</t>
  </si>
  <si>
    <t>Contaduría Pública</t>
  </si>
  <si>
    <t>Presencial</t>
  </si>
  <si>
    <t>El profesional en Contaduría Pública del Politécnico Grancolombiano conoce los principios contables, las normas tributarias, los estándares internacionales de información financiera, los procedimientos de auditoría y los sistemas de control interno. Con este saber, analiza la información contable, gestiona obligaciones fiscales, ejecuta auditorías y evalúa la calidad y consistencia técnica de la información financiera de personas naturales, jurídicas y organizaciones, con el propósito de garantizar el cumplimiento normativo y dar soporte a la toma de decisiones informadas. Ejerce su rol con responsabilidad frente a la fe pública y con una perspectiva contable orientada a contextos nacionales e internacionales en distintos entornos organizacionales.</t>
  </si>
  <si>
    <t>El profesional en Contaduría Pública del Politécnico Grancolombiano analiza y valida la información contable de las organizaciones, asegurando su conformidad con los principios contables nacionales e internacionales, y ejerciendo su rol como garante de la fe pública sobre la calidad y legalidad de los registros contables. Asesora a los usuarios de la información contable y financiera mediante la interpretación de datos, el análisis de riesgos y la verificación de la coherencia técnica y normativa de la información contable que sustenta los estados financieros. Gestiona las obligaciones fiscales de personas naturales, jurídicas u organizaciones en cumplimiento de la normatividad tributaria vigente, y ejecuta auditorías aplicando técnicas y procedimientos especializados para evaluar la fiabilidad de la información contable y el cumplimiento de disposiciones regulatorias. Utiliza herramientas tecnológicas y métodos cuantitativos para generar análisis que respalden procesos de aseguramiento, control y proyección financiera en diversos contextos organizacionales.</t>
  </si>
  <si>
    <t>Normas contables, financieras y procedimientos de registro</t>
  </si>
  <si>
    <t>sustentar técnicamente los estados financieros y respaldar su conformidad legal</t>
  </si>
  <si>
    <t>con responsabilidad frente a la fe pública y compromiso con la transparencia.</t>
  </si>
  <si>
    <t>Área de Contabilidad o Dirección Financiera/Gerencia de Contabilidad / Subdirección Financiera/Dirección Financiera / Planeación Financiera y Control/Dirección de Contabilidad / Finanzas Corporativas/Unidad de Registro Financiero/ Direcció u Oficina de Control Interno / Auditoría Gubernamental/ Gerencia General / Consultoría/Departamento Tributario /Consultoría Fiscal /Departamento de Cumplimiento / Riesgo Operativo/Auditoría Interna Cumplimiento y Riesgos/Oficina de Revisoría Fiscal / Junta Directiva/Firmas de Auditoría Externa / Contratista Independiente</t>
  </si>
  <si>
    <t>Preparar y analizar estados financieros (balance, estado de resultados, flujos de efectivo)/Gestionar registros contables, conciliaciones y ciclos contables/Supervisar procesos de cierre contable, presupuestación, proyecciones financieras y control de flujo de efectivo/Coordinar auditorías internas y externas/Registrar, ordenar y respaldar transacciones financieras/Gestionar requerimientos y plazos, aplicando procedimientos establecidos de control interno/Organizar y mantener actualizada la información financiera/Analizar informes financieros para evaluar el rendimiento y rentabilidad organizacional/Realizar proyecciones y evaluaciones de inversiones, identificando oportunidades de mejora/Elaborar recomendaciones estratégicas para optimizar recursos y maximizar resultados financieros/Gestionar obligaciones fiscales, preparar declaraciones de impuestos y cumplir con normativas tributarias vigentes/Optimizar cargas fiscales mediante planificación y aprovechamiento de incentivos legales/Evaluar sistemas de control interno y riesgo operativo, proponiendo mejoras sistemáticas/Aplicar análisis detallados para sustentar evidencias legales y formular recomendaciones de control/Investigar irregularidades contables, fraudes o incumplimientos mediante técnicas de auditoría forense/Verificar el cumplimiento legal y fiduciario de la información financiera/Emitir dictámenes independientes sobre la integridad y veracidad de los estados contables.</t>
  </si>
  <si>
    <t>Micro, pequeñas, medianas y grandes empresas de todos los sectores económicos (comercial, industrial, financiero, agroindustrial, servicios, etc.)/Alcaldías, gobernaciones, ministerios, superintendencias, entidades descentralizadas/Empresas especializadas en servicios contables, fiscales, financieros y de aseguramiento de la información/Empresas multinacionales y grupos empresariales/Organizaciones no gubernamentales (ONG) y fundaciones/Personas naturales y pequeños contribuyentes/Empresas del sector solidario y cooperativo/Organismos de control</t>
  </si>
  <si>
    <t>El egresado del programa de Contaduría Pública del Politécnico Grancolombiano articula la formación contable, financiera, tributaria y de aseguramiento con el uso de tecnologías y la analítica de datos para fortalecer procesos integrales en la adecuada gestión de las organizaciones. Su formación en control, auditoría forense, gestión de riesgos y cumplimiento normativo orienta su ejercicio profesional hacia la toma de decisiones basada en información confiable.</t>
  </si>
  <si>
    <t>Normativa tributaria y procedimientos fiscales</t>
  </si>
  <si>
    <t>gestionar el cumplimiento tributario en distintos tipos de contribuyentes</t>
  </si>
  <si>
    <t>con rigurosidad técnica y sentido ético.</t>
  </si>
  <si>
    <t>Auditoría, aseguramiento y control de la información</t>
  </si>
  <si>
    <t>verificar la confiabilidad técnica de la información financiera y su alineación con las disposiciones regulatorias</t>
  </si>
  <si>
    <t>con criterio profesional y enfoque en la consistencia normativa.</t>
  </si>
  <si>
    <t>Herramientas tecnológicas, métodos cuantitativos y análisis financiero</t>
  </si>
  <si>
    <t>preparar informes contables y estados financieros de personas naturales, jurídicas u organizaciones,</t>
  </si>
  <si>
    <t>que sirvan de base en la toma de decisiones, con visión estratégica y adaptación a entornos globales.</t>
  </si>
  <si>
    <t>Fenómenos contemporáneos</t>
  </si>
  <si>
    <t>reconocer sus afectaciones o contribuciones en el marco de las ciudadanías globales y de una sociedad responsable y sostenible.</t>
  </si>
  <si>
    <t>desde una perspectiva global, soportada en datos, con una mirada ética y crítica.</t>
  </si>
  <si>
    <t>Elementos para redactar las competencias que desarrollará el programa</t>
  </si>
  <si>
    <t>[Enumerar las competencias que se van a declarar.]</t>
  </si>
  <si>
    <t>[A partir de la celda B2 dar clic sobre el ícono de lista desplegable y elegir el verbo que considere adecuado.]</t>
  </si>
  <si>
    <t>[A partir de la celda C2 dar clic sobre la lista desplegable y elegir el saber extraído del perfil de egreso.]</t>
  </si>
  <si>
    <t>[Escribir para qué se abordará el saber elegido. Se sugiere apoyarse en el saber hacer.]</t>
  </si>
  <si>
    <t>[Escribir la condición describiendo los referentes, parámetros, principios, requerimientos o retos que se necesitan para alcanzar las características del perfil en el contexto donde el egresado se desenvolverá.]</t>
  </si>
  <si>
    <t>[Articular los componentes. Iniciar con el verbo, continuar con el objeto conceptual, luego la finalidad y condición de contexto o referencia; estos últimos no requieren un orden particular.]</t>
  </si>
  <si>
    <t>[Escribir el tipo de competencia del perfil: Específica (si es del bloque Disciplinar para pregrado o de los componentes para el caso de posgrado) o Genérica (si aplica bloque institucional pregrado)]</t>
  </si>
  <si>
    <t>No.</t>
  </si>
  <si>
    <t>Verbo competencia</t>
  </si>
  <si>
    <t>Objeto conceptual</t>
  </si>
  <si>
    <t>Finalidad</t>
  </si>
  <si>
    <t>Condición de contexto o referencia</t>
  </si>
  <si>
    <t>Redacción competencia</t>
  </si>
  <si>
    <t>Tipo de competencia</t>
  </si>
  <si>
    <t>Validar</t>
  </si>
  <si>
    <t>Validar la información contable y financiera con base en normas contables, financieras y procedimientos de registro para sustentar técnicamente los estados financieros y respaldar su conformidad legal, con responsabilidad frente a la fe pública y compromiso con la transparencia.</t>
  </si>
  <si>
    <t>Específica</t>
  </si>
  <si>
    <t>Dominar</t>
  </si>
  <si>
    <t>con rigurosidad técnica, sentido ético y adaptación a entornos globales.</t>
  </si>
  <si>
    <t>Dominar la normativa tributaria y los procedimientos fiscales para gestionar el cumplimiento de las obligaciones tributarias en distintos tipos de contribuyentes, con rigurosidad técnica, sentido ético y adaptación a entornos globales.</t>
  </si>
  <si>
    <t>Desarrollar</t>
  </si>
  <si>
    <t>Desarrollar procesos de auditoría, aseguramiento y control de la información para verificar la confiabilidad técnica de la información financiera y su alineación con las disposiciones regulatorias, con criterio profesional y enfoque en la consistencia normativa.</t>
  </si>
  <si>
    <t>Aplicar</t>
  </si>
  <si>
    <t>que sirvan de base en la toma de decisiones, con visión estratégica .</t>
  </si>
  <si>
    <t>Aplicar herramientas tecnológicas, métodos cuantitativos y análisis financiero para preparar informes contables y estados financieros de personas naturales, jurídicas u organizaciones que sirvan de base en la toma de decisiones, con visión estratégica.</t>
  </si>
  <si>
    <t>Analizar</t>
  </si>
  <si>
    <t>desde una perspectiva global, soportada en datos, con una mirada ética y crítica</t>
  </si>
  <si>
    <t>Analizar los fenómenos contemporáneos desde una perspectiva glocal, soportada en datos, con una mirada ética y crítica, para reconocer sus afectaciones o contribuciones en el marco de las ciudadanías globales y de una sociedad responsable y sostenible.</t>
  </si>
  <si>
    <t>Genérica</t>
  </si>
  <si>
    <t>[A partir de la celda A2 dar clic en la lista desplegable y seleccionar la competencia redactada en el paso 2.]</t>
  </si>
  <si>
    <t>[Enumerar los resultados de aprendizaje que se van a declarar.]</t>
  </si>
  <si>
    <t>[A partir de la celda C2, dar clic en la lista desplegable y elegir el tipo de dominio a tratar en el resultado de aprendizaje.]</t>
  </si>
  <si>
    <t>[A partir de la cela D2, dar clic en la lista desplegable y elegir el saber correspondiente al dominio.]</t>
  </si>
  <si>
    <t>[A partir de la celda E2, dar clic en la lista desplegable y elegir la  taxonomía que se considere adecuada, solo se elige una para todos los saberes.]</t>
  </si>
  <si>
    <t>[A partir de la celda F2, dar clic en la lista desplegable y elegir el dominio que se considera adecuado.]</t>
  </si>
  <si>
    <t>[A partir de la celda G2, dar clic en la lista desplegable y elegir el nivel del dominio que se considera adecuado.]</t>
  </si>
  <si>
    <t>[A partir de la celda H2, dar clic en la lista desplegable y elegir el verbo que se considera adecuado.]</t>
  </si>
  <si>
    <t>[Iniciar con el verbo elegido (columna H), en infinitivo, luego el objeto sobre el cual recae la acción (columna D) y finalmente la condición de contexto (académico, disciplinar, social u otro).]</t>
  </si>
  <si>
    <t>Competencia por desarrollar</t>
  </si>
  <si>
    <t>Número de resultado</t>
  </si>
  <si>
    <t>TipoSaber</t>
  </si>
  <si>
    <t>SaberAsociado</t>
  </si>
  <si>
    <t>Taxonomía</t>
  </si>
  <si>
    <t>Dominio Asociado</t>
  </si>
  <si>
    <t>Nivel Dominio</t>
  </si>
  <si>
    <t>Verbo RA</t>
  </si>
  <si>
    <t>Resultados Aprendizaje</t>
  </si>
  <si>
    <t>Bloom</t>
  </si>
  <si>
    <t>CognitivoB</t>
  </si>
  <si>
    <t>AnálisisB</t>
  </si>
  <si>
    <t>Analiza la normativa vigentes en la preparación y revisión de información contable, financiera y tributaria para identificar criterios técnicos y legales que permitan abordar situaciones contables y fiscales, según el contexto de aplicación.</t>
  </si>
  <si>
    <t>ProcedimentalB</t>
  </si>
  <si>
    <t>Desarrolla procedimientos contables y tributarios para construir estados financieros conforme a la normativa aplicable, integrando el cumplimiento de obligaciones fiscales de personas naturales y jurídicas.</t>
  </si>
  <si>
    <t>ActitudinalB</t>
  </si>
  <si>
    <t>Reconocer</t>
  </si>
  <si>
    <t>Reconoce criterios éticos, legales, sociales y estratégicos del saber contable, tributario, financiero y de auditoría para aplicarlos con rigor técnico en la preparación de información de personas naturales y jurídicas, según el contexto o situación.</t>
  </si>
  <si>
    <t>ComprensiónB</t>
  </si>
  <si>
    <t>Interpretar</t>
  </si>
  <si>
    <t>Interpreta la información contable, financiera y tributaria en contextos de aseguramiento y control para establecer su pertinencia y confiabilidad en la resolución de situaciones contables organizacionales.</t>
  </si>
  <si>
    <t>AplicaciónB</t>
  </si>
  <si>
    <t>Utilizar</t>
  </si>
  <si>
    <t>Utiliza información contable, financiera, tributaria y de auditoría para elaborar reportes, y proyecciones que faciliten la toma de decisiones de distintos tipos de usuarios, considerando sus necesidades y características.</t>
  </si>
  <si>
    <t>Relacionar</t>
  </si>
  <si>
    <t>Relaciona métodos cuantitativos y modelos de planeación financiera para explicar dinámicas contables y financieras según el contexto analizado, usando herramientas tecnológicas.</t>
  </si>
  <si>
    <t>Utiliza métodos cuantitativos y herramientas tecnológicas para elaborar reportes sobre la situación contable y financiera de personas naturales, personas jurídicas y organizaciones, a partir de datos y contextos definidos.</t>
  </si>
  <si>
    <t>Identificar</t>
  </si>
  <si>
    <t>Identifica fenómenos contemporáneos y su relación con la profesión, para determinar sus impactos e influencia en la sociedad, de forma responsable y crítica.</t>
  </si>
  <si>
    <t>Dominar los elementos de teoría de circuitos y transmisión de información para diseñar, implementar o administrar la infraestructura eléctrica y los dispositivos electrónicos que dan soporte a los sistemas de telecomunicaciones alineado con prácticas basadas en estándares del sector y la normatividad vigente, teniendo en cuenta las condiciones, restricciones y requerimientos técnicos del entorno.</t>
  </si>
  <si>
    <t xml:space="preserve"> los elementos de teoría de circuitos y transmisión de información</t>
  </si>
  <si>
    <t>BAK</t>
  </si>
  <si>
    <t>CognitivoBAK</t>
  </si>
  <si>
    <t>ComprensiónBAK</t>
  </si>
  <si>
    <r>
      <rPr>
        <b/>
        <sz val="11"/>
        <color rgb="FF000000"/>
        <rFont val="Gill Sans MT"/>
        <family val="2"/>
      </rPr>
      <t>Identifica</t>
    </r>
    <r>
      <rPr>
        <sz val="11"/>
        <color rgb="FF000000"/>
        <rFont val="Gill Sans MT"/>
        <family val="2"/>
      </rPr>
      <t xml:space="preserve"> los elementos de teoría de circuitos, de transmisión de información, de seguridad de la información, de redes de comunicaciones, de sistemas de cómputo, de estandares y marcos de referencia que hacen parte de la gestión de proyectos como del desarrollo de actividades relacionadas a las infraestructuras de TIC, </t>
    </r>
    <r>
      <rPr>
        <b/>
        <sz val="11"/>
        <color rgb="FF000000"/>
        <rFont val="Gill Sans MT"/>
        <family val="2"/>
      </rPr>
      <t xml:space="preserve">para explicar </t>
    </r>
    <r>
      <rPr>
        <sz val="11"/>
        <color rgb="FF000000"/>
        <rFont val="Gill Sans MT"/>
        <family val="2"/>
      </rPr>
      <t>soluciones de diseño, administración o implementación a problemáticas del sector, desde un abordaje teórico-práctico, a través de herramientas de simulación, análisis de casos prácticos y uso de equipos de laboratorio.</t>
    </r>
  </si>
  <si>
    <t xml:space="preserve"> para diseñar, implementar o administrar la infraestructura eléctrica y los dispositivos electrónicos que dan soporte a los sistemas de telecomunicaciones</t>
  </si>
  <si>
    <t>ProcedimentalBAK</t>
  </si>
  <si>
    <t>ManipulaciónBAK</t>
  </si>
  <si>
    <r>
      <rPr>
        <b/>
        <sz val="11"/>
        <color rgb="FF000000"/>
        <rFont val="Gill Sans MT"/>
        <family val="2"/>
      </rPr>
      <t>Aplica</t>
    </r>
    <r>
      <rPr>
        <sz val="11"/>
        <color rgb="FF000000"/>
        <rFont val="Gill Sans MT"/>
        <family val="2"/>
      </rPr>
      <t xml:space="preserve"> los elementos de teoría de circuitos, de transmisión de información, de seguridad de la información, de redes de comunicaciones, de sistemas de cómputo, de estandares tecnológicos y marcos de referencia que hacen parte de la gestión de proyectos como del desarrollo de actividades relacionadas a las infraestructuras de TIC, </t>
    </r>
    <r>
      <rPr>
        <b/>
        <sz val="11"/>
        <color rgb="FF000000"/>
        <rFont val="Gill Sans MT"/>
        <family val="2"/>
      </rPr>
      <t xml:space="preserve">para construir </t>
    </r>
    <r>
      <rPr>
        <sz val="11"/>
        <color rgb="FF000000"/>
        <rFont val="Gill Sans MT"/>
        <family val="2"/>
      </rPr>
      <t>propuestas de diseño, implementación o administración de infraestructura eléctrica, dispositivos electrónicos, servicios de comunicaciones en nube o en sitio, sistemas de telecomunicaciones, a través de herramientas de simulación, análisis de casos prácticos y uso de equipos de laboratorio.</t>
    </r>
  </si>
  <si>
    <t xml:space="preserve"> alineado con prácticas basadas en estándares del sector y la normatividad vigente, teniendo en cuenta las condiciones, restricciones y requerimientos técnicos del entorno.</t>
  </si>
  <si>
    <t>ActitudinalBAK</t>
  </si>
  <si>
    <t>ValorarBAK</t>
  </si>
  <si>
    <t>Emplear</t>
  </si>
  <si>
    <r>
      <rPr>
        <b/>
        <sz val="11"/>
        <color rgb="FF000000"/>
        <rFont val="Gill Sans MT"/>
        <family val="2"/>
      </rPr>
      <t>Emplea</t>
    </r>
    <r>
      <rPr>
        <sz val="11"/>
        <color rgb="FF000000"/>
        <rFont val="Gill Sans MT"/>
        <family val="2"/>
      </rPr>
      <t xml:space="preserve"> las buenas prácticas de teoría de circuitos y transmisión, y de seguridad de la información, redes y sistemas de cómputo basadas en estándares del sector y la normatividad vigente, teniendo en cuenta las condiciones, restricciones y requerimientos técnicos de un proyecto, </t>
    </r>
    <r>
      <rPr>
        <b/>
        <sz val="11"/>
        <color rgb="FF000000"/>
        <rFont val="Gill Sans MT"/>
        <family val="2"/>
      </rPr>
      <t xml:space="preserve">para formular </t>
    </r>
    <r>
      <rPr>
        <sz val="11"/>
        <color rgb="FF000000"/>
        <rFont val="Gill Sans MT"/>
        <family val="2"/>
      </rPr>
      <t>soluciones en infraestructuras TIC o del área de las telecomunicaciones.</t>
    </r>
  </si>
  <si>
    <t>Dominar los elementos de seguridad de la información, redes de comunicaciones y sistemas de cómputo que hacen parte de infraestructuras TIC para diseñar, implementar o administrar infraestructuras y servicios de comunicaciones en sitio o en nube alineado con prácticas basadas en estándares del sector y la normatividad vigente, teniendo en cuenta las condiciones, restricciones y requerimientos técnicos del entorno.</t>
  </si>
  <si>
    <t xml:space="preserve"> los elementos de seguridad de la información, redes de comunicaciones y sistemas de cómputo que hacen parte de infraestructuras TIC</t>
  </si>
  <si>
    <r>
      <rPr>
        <b/>
        <sz val="11"/>
        <color rgb="FF000000"/>
        <rFont val="Gill Sans MT"/>
        <family val="2"/>
      </rPr>
      <t>Identifica</t>
    </r>
    <r>
      <rPr>
        <sz val="11"/>
        <color rgb="FF000000"/>
        <rFont val="Gill Sans MT"/>
        <family val="2"/>
      </rPr>
      <t xml:space="preserve"> los elementos de teoría de circuitos, de transmisión de información, de seguridad de la información, de redes de comunicaciones, de sistemas de cómputo, de estandares y marcos de referencia que hacen parte de la gestión de proyectos como del desarrollo de actividades relacionadas a las infraestructuras de TIC, </t>
    </r>
    <r>
      <rPr>
        <b/>
        <sz val="11"/>
        <color rgb="FF000000"/>
        <rFont val="Gill Sans MT"/>
        <family val="2"/>
      </rPr>
      <t>para evaluar</t>
    </r>
    <r>
      <rPr>
        <sz val="11"/>
        <color rgb="FF000000"/>
        <rFont val="Gill Sans MT"/>
        <family val="2"/>
      </rPr>
      <t xml:space="preserve"> soluciones a problemáticas del sector, desde un abordaje teórico-práctico, a través de herramientas de simulación, análisis de casos prácticos y uso de equipos de laboratorio.</t>
    </r>
  </si>
  <si>
    <t xml:space="preserve"> para diseñar, implementar o administrar infraestructuras y servicios de comunicaciones en sitio o en nube</t>
  </si>
  <si>
    <t>Conocer los estándares y marcos de referencia asociados tanto a la gestión de proyectos como al desarrollo de actividades relacionadas a las tecnologías de la información para diseñar, implementar o administrar soluciones del área de las telecomunicaciones, la seguridad de la información y la infraestructura TIC manteniendo una postura socialmente responsable, autónoma, teniendo en cuenta las condiciones, restricciones y requerimientos técnicos del entorno.</t>
  </si>
  <si>
    <t xml:space="preserve"> los estándares y marcos de referencia asociados tanto a la gestión de proyectos como al desarrollo de actividades relacionadas a las tecnologías de la información</t>
  </si>
  <si>
    <t xml:space="preserve"> para diseñar, implementar o administrar soluciones del área de las telecomunicaciones, la seguridad de la información y la infraestructura TIC</t>
  </si>
  <si>
    <t xml:space="preserve"> manteniendo una postura socialmente responsable, autónoma, teniendo en cuenta las condiciones, restricciones y requerimientos técnicos del entorno.</t>
  </si>
  <si>
    <t>[A partir de la celda A3 despliegue el(los) resultado(s) de aprendizaje y elegir aquel (aquellos)  al(a los) que se contribuye desde la estrategia.]</t>
  </si>
  <si>
    <t>[Escribir el nombre de la estrategia a desarrollar. Participación de los estudiantes en cursos, talleres, seminarios, conferencias, pruebas estandarizadas, investigaciones, actividades o experiencias, cuerpos académicos, redes, comunidades, la elaboración de textos y materiales, así como las publicaciones, entre otros.]</t>
  </si>
  <si>
    <t>[Describir la(s) estrategia(s) definidas por el programa.]</t>
  </si>
  <si>
    <t>[Escribir los indicadores de impacto de la estrategia. Se sugieren indicadores como: Valora el nivel de contribución de la estrategia a los resultados de aprendizaje; Número de estudiantes que participan en la estrategia; Número de veces que se realiza la estrategia, entre otros.]</t>
  </si>
  <si>
    <t>[Escribir las acciones de retroalimentación que usará el programa para comunicar a los estudiantes sobre el alcance de sus resultados de aprendizaje.]</t>
  </si>
  <si>
    <t>[Escribir, para cada indicador con qué instrumento se recogerá información para evidenciar el (los) impacto (s) declarados. Encuesta, lista de asistencia, informe, entre otros.]</t>
  </si>
  <si>
    <t>Resultado de aprendizaje</t>
  </si>
  <si>
    <t>Estrategia del programa</t>
  </si>
  <si>
    <t>Descripción</t>
  </si>
  <si>
    <t>Indicador de Impacto de la Estrategia</t>
  </si>
  <si>
    <t>Acciones de retroalimentación para los estudiantes</t>
  </si>
  <si>
    <t>Instrumentos de medición</t>
  </si>
  <si>
    <t>Congresos, conversatorios, capacitaciones  seminarios y workshoop</t>
  </si>
  <si>
    <t>Estrategia que promueve la participación activa de la comunidad académica en eventos nacionales e internacionales que fortalecen el conocimiento disciplinar, fomentan el pensamiento crítico y permiten el intercambio de experiencias académicas y profesionales.</t>
  </si>
  <si>
    <t>Número de veces que se realiza la estrategia por periodo académico.</t>
  </si>
  <si>
    <t>Formar: para ampliar los saberes disciplinares, fortaleciendo conocimientos técnicos, habilidades comunicativas y pensamiento crítico.
Informar: para mantener a la comunidad académica actualizada sobre avances normativos, tecnológicos y tendencias del entorno profesional.
Ayudar a decidir: a través de la exposición a diversos enfoques y experiencias que permiten perfilar intereses académicos y profesionales.</t>
  </si>
  <si>
    <t>Informe o Reporte.</t>
  </si>
  <si>
    <t>Número de estudiantes que participan en la estrategia por periodo académico.</t>
  </si>
  <si>
    <t>Listados de participación.</t>
  </si>
  <si>
    <t>Valoración del nivel de aporte de la estrategia a los resultados de aprendizaje del programa.</t>
  </si>
  <si>
    <t>Encuesta de valoración.</t>
  </si>
  <si>
    <t>Semilleros de investigación</t>
  </si>
  <si>
    <t>Espacios extracurriculares orientados al aprendizaje colectivo, donde estudiantes y docentes desarrollan procesos investigativos que permiten profundizar en temas clave del saber contable, tributario, financiero y de aseguramiento.</t>
  </si>
  <si>
    <t>Formar: para fortalecer habilidades investigativas, el trabajo colaborativo y el pensamiento analítico.
Prevenir: a través de la profundización temática que permite anticipar vacíos de conocimiento o dificultades académicas.
Ayudar a decidir: para orientar la elección de líneas de investigación, temas de trabajo de grado o proyección académica.</t>
  </si>
  <si>
    <t>Consultorio tributario</t>
  </si>
  <si>
    <t>Servicio de consultoría presencial y virtual liderado por estudiantes y profesionales expertos, que brinda orientación gratuita en temas tributarios y empresariales a diferentes poblaciones, como parte de la proyección social de la Facultad de Negocios, Gestión y Sostenibilidad.</t>
  </si>
  <si>
    <t>Número de estudiantes que participan en la estrategia.</t>
  </si>
  <si>
    <t>Formar: a través de la aplicación práctica del saber contable y tributario en contextos reales.
Informar: para evidenciar la normativa vigente y su aplicación en escenarios empresariales y sociales.
Ayudar a decidir: mediante el análisis de casos reales que aportan elementos éticos y técnicos en la toma de decisiones.</t>
  </si>
  <si>
    <t>Número de oportunidades de consultoría, auditoría e interventoría desarrolladas con medición semestral.</t>
  </si>
  <si>
    <t>Proyección social y extensión (Diplomados -MOOC - Videos de reforzamiento curricular)</t>
  </si>
  <si>
    <t>Iniciativas que articulan la academia con el entorno social a través de programas de formación continua, difusión del conocimiento y actividades orientadas al bienestar de la comunidad y al fortalecimiento del aprendizaje a lo largo de la vida.</t>
  </si>
  <si>
    <t>Formar: para complementar el proceso académico formal, promoviendo el aprendizaje autónomo y continuo.
Informar: a través de la difusión de contenidos actualizados y pertinentes sobre el ejercicio profesional.
Prevenir: para reforzar áreas de bajo rendimiento y anticipar dificultades académicas.</t>
  </si>
  <si>
    <t>Relación de actividades desarrolladas en el grupo de interés con actividades del perfil ocupacional del programa.</t>
  </si>
  <si>
    <t>Clases espejo</t>
  </si>
  <si>
    <t>Estrategia de internacionalización del currículo que conecta a estudiantes y docentes con tendencias académicas globales, promoviendo el intercambio de saberes y el diálogo académico con instituciones aliadas en diferentes países.</t>
  </si>
  <si>
    <t>Formar: para fomentar la comprensión intercultural y el pensamiento global aplicado al saber contable.
Informar: a través de la exposición a metodologías y enfoques internacionales.
Ayudar a decidir: para apoyar decisiones sobre internacionalización del currículo y orientación profesional.</t>
  </si>
  <si>
    <t>Participación en Centros de Emprendimiento, Liderazgo y Empresa Simulada</t>
  </si>
  <si>
    <t>Iniciativa que vincula a los estudiantes con espacios de formación práctica en emprendimiento, liderazgo y habilidades para la gestión, fortaleciendo su rol como agentes de cambio con impacto en sus comunidades y en el entorno empresarial.</t>
  </si>
  <si>
    <t>Número de estudiantes que participan en la estrategia en el periodo de su realización.</t>
  </si>
  <si>
    <t>Formar: para desarrollar habilidades gerenciales, de liderazgo y toma de decisiones empresariales.
Prevenir: mediante la preparación para enfrentar escenarios organizacionales complejos desde la academia.
Ayudar a decidir: para orientar la creación de iniciativas propias o el fortalecimiento del perfil emprendedor.</t>
  </si>
  <si>
    <t>Listas de participación.</t>
  </si>
  <si>
    <t>Programa radial</t>
  </si>
  <si>
    <t>Estrategia de divulgación del conocimiento, a través de Poliradio, que amplía el alcance de los contenidos académicos y promueve el acceso abierto a la información de valor formativo.</t>
  </si>
  <si>
    <t>Informar: para facilitar el acceso a contenidos relevantes y actualizados del área contable y financiera.
Formar: a través del estímulo al aprendizaje autónomo y el interés por la divulgación académica.</t>
  </si>
  <si>
    <t>Redes</t>
  </si>
  <si>
    <t>Participación en redes académicas y profesionales a nivel nacional e internacional, que ofrecen acceso a cursos, conferencias, proyectos y comunidades interdisciplinares, fortaleciendo la formación continua y las competencias investigativas.</t>
  </si>
  <si>
    <t>Formar: para enriquecer la experiencia académica mediante el contacto con comunidades de práctica nacionales e internacionales.
Informar: a través del acceso a oportunidades formativas y eventos de interés académico.
Ayudar a decidir: para brindar referentes que orienten decisiones sobre especialización o vinculación profesional.</t>
  </si>
  <si>
    <t>Tutorias</t>
  </si>
  <si>
    <t>Acompañamiento académico personalizado que apoya el fortalecimiento del saber de los estudiantes, favoreciendo el logro de los resultados de aprendizaje en diferentes momentos del proceso formativo.</t>
  </si>
  <si>
    <t>Formar: para fortalecer el desarrollo de competencias específicas mediante acompañamiento académico personalizado.
Prevenir: a través de la detección y atención oportuna de dificultades académicas.
Ayudar a decidir: para orientar la elección de rutas académicas o estrategias de mejora.</t>
  </si>
  <si>
    <t>Concurso de conocimientos</t>
  </si>
  <si>
    <t>Estrategia que promueve la evaluación y reflexión sobre los saberes técnicos adquiridos, al tiempo que incentiva el uso de una segunda lengua como herramienta para la proyección profesional y el desempeño en contextos globales.</t>
  </si>
  <si>
    <t>Formar: para reforzar conocimientos técnicos en un contexto de evaluación lúdica y competitiva.
Informar: a través de la retroalimentación sobre el nivel de apropiación de saberes fundamentales.
Ayudar a decidir: para identificar fortalezas y áreas de mejora que permitan proyectar su formación.</t>
  </si>
  <si>
    <t>[Estas celdas se diligencian automáticamente. No ajustar.]</t>
  </si>
  <si>
    <t>[A partir de la celda A3 despliegue el(los) resultado(s) de aprendizaje y elija aquel (aquellos) al(a los) que se contribuye desde la asignatura o módulo).]</t>
  </si>
  <si>
    <t>[Escribir el semestre en el que se cursa la asignatura o módulo.]</t>
  </si>
  <si>
    <t>[Escribir el nombre de la asignatura o módulo que contribuye al logro del resultado de aprendizaje.]</t>
  </si>
  <si>
    <t>[Redactar los indicadores iniciando con el verbo en presente indicativo, luego el objeto conceptual y finalmente el complemento de oración (que indique una condición o finalidad, con, para, de, entre otros conectores).]</t>
  </si>
  <si>
    <t> [Escribir la tipología: T (teórico), P (Práctico), TP (Teórico Práctico)]</t>
  </si>
  <si>
    <t>[Marcar con X el bloque o componente al que pertenece la asignatura o módulo. Por favor ajustar para posgrado, eliminar una columna y ubicar los títulos C.Fundamentación y C.Profundización.]</t>
  </si>
  <si>
    <t>[Escribir el número de créditos de la asignatura o módulo]</t>
  </si>
  <si>
    <t>[Escribir el número de horas de trabajo directo: 16*# o 12*#, para presencial o virtual, según sea el caso.]</t>
  </si>
  <si>
    <t>[Escribir el número de horas de trabajo independiente: 32*# columna J o 36*# columna J, para presencial o virtual, respectivamente.]</t>
  </si>
  <si>
    <t>[Escribir la suma de los números de horas de las dos celdas anteriores.]</t>
  </si>
  <si>
    <t>[Escribir el nombre de los cuatro núcleos temáticos que abordará la asignatura o el módulo.]</t>
  </si>
  <si>
    <t>[Escribir las lecturas, talleres, análisis, referentes, etc., que realiza el estudiante, clasificadas en trabajo directo e independiente.]</t>
  </si>
  <si>
    <t xml:space="preserve">[Escribir las actividades de evaluación que se emplean para identificar el alcance del (de los) indicador(es) de logro(s).] </t>
  </si>
  <si>
    <t>[Escribir las acciones de retroalimentación que se emplearán en la asignatura o módulo, para retroalimentar a los estudiantes respecto al alcance de los indicadores de logro. Recordar que son cuatro acciones: informar, formar, prevenir y ayudar a tomar decisiones e indique cómo.]</t>
  </si>
  <si>
    <t>Tipo de Saber</t>
  </si>
  <si>
    <t>Semestre</t>
  </si>
  <si>
    <t>Nombre asignatura o módulo</t>
  </si>
  <si>
    <t>Indicadores de logro asignatura o módulo</t>
  </si>
  <si>
    <t>Tipología</t>
  </si>
  <si>
    <t>B.Institucional</t>
  </si>
  <si>
    <t>B.Disciplinar</t>
  </si>
  <si>
    <t>B.Electivo</t>
  </si>
  <si>
    <t>Créditos</t>
  </si>
  <si>
    <t>Número de horas trabajo directo</t>
  </si>
  <si>
    <t>Número de horas trabajo independiente</t>
  </si>
  <si>
    <t>Total de horas</t>
  </si>
  <si>
    <t>Núcleos temáticos</t>
  </si>
  <si>
    <t>Actividades de aprendizaje</t>
  </si>
  <si>
    <t>Actividades de evaluación</t>
  </si>
  <si>
    <t>Acciones de retroalimentación</t>
  </si>
  <si>
    <t>Razonamiento Cuantitativo</t>
  </si>
  <si>
    <t>Analiza datos numéricos presentados en tablas, gráficos o textos para proponer soluciones informadas a situaciones problema del contexto.</t>
  </si>
  <si>
    <t>TP</t>
  </si>
  <si>
    <t>X</t>
  </si>
  <si>
    <t>1.	Pensamiento numérico. Interpretación y representación de información numérica
2.	Pensamiento algebraico. Desde la representación de regularidades y patrones
3.	Pensamiento algebraico. Desde las relaciones de comparación entre cantidades o expresiones numéricas
4.	Pensamiento geométrico. Propiedades, formas y relaciones espaciales</t>
  </si>
  <si>
    <t>Trabajo directo:
Clase magistral activa
Trabajo independiente: 
Lecturas
Laboratorios, talleres, resolución de problemas</t>
  </si>
  <si>
    <t>Se sugiere emplear estrategias como las siguientes.
Evaluación formativa: Preguntas intercaladas, presentaciones de situaciones problema.
Evaluación sumativa: Valoración de laboratorios, talleres, estudios de casos y una evaluación final.</t>
  </si>
  <si>
    <t>Las acciones de retroalimentación giran en torno a las siguientes.
Formar: donde se crean las condiciones para que los estudiantes adquieran conocimientos, habilidades, actitudes, aptitudes y destrezas. Además, debe promover su desarrollo integral y debe acompañarlos en las situaciones académicas que enfrenten durante el desarrollo de un módulo o una asignatura.  
Informar: para que los estudiantes identifiquen los cambios que pueden afectarlos directa o indirectamente tanto en el aula de clase como en otros espacios. 
Prevenir: con el fin de anticiparse a las situaciones académicas que pueden representar dificultad para los estudiantes. Esto se logra a través de la interacción individual con los estudiantes y del completo conocimiento del contexto educativo en que el tutor se desenvuelve.  
Ayudar a decidir: donde se orienta a los estudiantes para que tomen la mejor decisión ante una situación concreta. El objetivo es que el estudiante fortalezca su autonomía y la toma de decisiones responsable.</t>
  </si>
  <si>
    <t>Cultura, Política y Sociedad</t>
  </si>
  <si>
    <t>Reconoce las problemáticas, escenarios y mecanismos de participación ciudadana en el marco de sociedades de información y digitales para abordarlas desde iniciativas investigativas. 
Identifica los objetivos de desarrollo sostenible para la comprensión de problemáticas sociales, ambientales y culturales. 
Reflexiona los impactos de avances tecnológicos en su contexto profesional y ciudadano para el análisis de contextos situados.</t>
  </si>
  <si>
    <t>1. ODS, problemas locales: una mirada a Colombia, territorio en búsqueda de la consolidación de la Paz.   
2. Ciudadanía y su lugar: relaciones, dinámicas, construcción, expresión y mecanismos de participación.  
3. Ecosistemas digitales: relaciones, dinámicas, construcción, expresión e impactos en el contexto profesional.  
4. Narrativas y contenidos digitales: análisis de contextos situados.</t>
  </si>
  <si>
    <t>Trabajo directo:
Clase magistral activa combinada con estrategias de aprendizaje basado en investigación
Trabajo independiente: 
Lecturas
Laboratorios
Talleres
Estudios de caso</t>
  </si>
  <si>
    <t xml:space="preserve">Evaluación formativa: Construcción de textos argumentativos sobre problemáticas en las sociedades de la información. ,elaboración de ejercicios para la citación en APA última edición., cartografías sociales de problemáticas sociales, culturales y ambientales., elaboración de árbol de problemas, construcción de objetivos generales y específicos, desarrollo de anteproyectos, talleres experienciales con juegos de roles, realización de exposición a través de la caja italiana para el manejo del espacio, la lectura y la oralidad, exposiciones creativas del PIF en el marco del evento “Feria de proyectos” 
Evaluación sumativa comprende los logros obtenidos en cada actividad y en todo el proceso, representados en porcentajes acumulativos según la parametrización de 0 a 5; Árbol de problemas, Exposiciones Creativas , Seguimiento  , Entre Proyecto: Parte 1, Quiz , Seguimiento , Entre Proyecto: Parte 1I  , Entrevista a expertos , Feria de proyectos , Seguimiento </t>
  </si>
  <si>
    <t>Contabilidad General</t>
  </si>
  <si>
    <t>Elabora el registro de las operaciones, conforme a la normatividad vigente y la técnica contable a partir del objeto social de una organización, teniendo en cuenta el marco conceptual de las normas internacionales de información financiera para elaborar los estados financieros.</t>
  </si>
  <si>
    <t>1. Fundamentación teórica y técnica contable
2. Elementos de los Estados Financieros y sus características
3. Transacciones comerciales y operaciones con cuentas de resultado
4. Estructura de los Estados Financieros</t>
  </si>
  <si>
    <t>Las estrategias pueden variar entre estas u otras:
Trabajo directo
Clase magistral activa/Análisis o Estudio de casos/Resolución de problemas/Talleres prácticos
Trabajo independiente
Lecturas relacionadas o de materiales complementarios/Resolución de problemas/Ejercicios aplicados/Desarrollo de proyectos/Talleres grupales o individuales/Análisis o Estudio de casos/Elaboración de informes o documentos técnicos</t>
  </si>
  <si>
    <t>Las actividades varían entre las siguientes y otras que pueda considerar el profesor.
Estudio de casos
Resolución de problemas
Desarrollo de proyectos
Talleres
Exposiciones
Pruebas escritas</t>
  </si>
  <si>
    <t>Espistemología Contable</t>
  </si>
  <si>
    <t>Identifica los desarrollos epistemológicos de la contabilidad y la incidencia de estos en el pensamiento contable y las prácticas profesionales, con el fin de analizar la relación que existe entre teoría contable, el desarrollo histórico del pensamiento contable, las perspectivas contemporáneas y su problematización en el contexto global.</t>
  </si>
  <si>
    <t>T</t>
  </si>
  <si>
    <t xml:space="preserve">1. Fundamentos de epistemología y el saber contable. 
2. Construcción de pensamiento y teoría contable. 
3. Contexto actual de la teoría contable. 
4. Contexto contemporáneo del campo contable. </t>
  </si>
  <si>
    <t xml:space="preserve">Las actividades varían entre las siguientes y otras que pueda considerar el profesor.
Talleres
Exposiciones
Pruebas escritas </t>
  </si>
  <si>
    <t>Derecho Comercial y Laboral</t>
  </si>
  <si>
    <t>Caracteriza los negocios jurídicos tanto en los actos de comercio como en las relaciones laborales en atención a la legislación vigente para crear modelos de empresas o contratos civiles, comerciales y laborales.</t>
  </si>
  <si>
    <t>1. Acercamiento al derecho comercial  
2. Costumbre mercantil 
3. Historia, principios generales y fuentes del derecho laboral 
4. Contrato de trabajo, jornada laboral, salario y prestaciones sociales</t>
  </si>
  <si>
    <t>Analisís y Visualización de Datos</t>
  </si>
  <si>
    <t>Identifica conceptos básicos relacionados con el análisis y visualización de datos con el propósito de comunicar información relevante de manera efectiva en diversos contextos. 
Utiliza herramientas para realizar análisis y transformación de datos que garanticen una visualización sencilla y eficiente. 
Utiliza asistentes virtuales para realizar tareas prácticas y resolver problemas en su campo de estudio. 
Evalúa la presencia de sesgos y cuestiones éticas en el análisis y tratamiento de dato para garantizar que su uso esté desprovisto de efectos negativos en el entorno.</t>
  </si>
  <si>
    <t xml:space="preserve">1. Contextualización 
2. Análisis de Datos y Visualización 
3. Usos de la Inteligencia Artificial 
4. Casos de Estudio </t>
  </si>
  <si>
    <t>Trabajo directo:
Clase magistral activa combinada con estrategias de metodologías activas
Trabajo independiente:
Lecturas
Laboratorios
Talleres
Estudios de caso.</t>
  </si>
  <si>
    <t>Se sugiere emplear estrategias como las siguientes.
Evaluación formativa: Preguntas intercaladas, presentaciones de situaciones problema, talleres, exposiciones, análisis de casos, trabajos de campo o proyectos.
Evaluación sumativa: Valoración de trabajo, talleres, estudios de casos y una evaluación final.</t>
  </si>
  <si>
    <t>Contabilidad de Pasivos y Patrimonio</t>
  </si>
  <si>
    <t>Prepara reportes asociados a los pasivos y patrimonio que permitan el análisis de la información financiera y tributaria, conforme con la normatividad vigente, aplicando técnicas y procedimientos para la clasificación, medición, reconocimiento y revelación de las cuentas correspondientes, considerando las políticas contables asociadas a estas partidas.</t>
  </si>
  <si>
    <t>1. Generalidades y pasivos financieros   
2. Proveedores, cuentas por pagar y Tributos  
3. Beneficios a empleados, pasivos estimados y otros pasivos  
4. Reconocimiento, medición y valoración de bonos y patrimonio</t>
  </si>
  <si>
    <t>Razonamiento Variacional</t>
  </si>
  <si>
    <t>Aplica el pensamiento variacional y acumulativo para interpretar, modelar y resolver problemas de cambio y acumulación, relacionados con su contexto profesional y personal, mediante el uso reflexivo de las propiedades y aplicaciones de las derivadas e integrales. </t>
  </si>
  <si>
    <t>1. Fundamentos del Pensamiento Variacional 
2. Análisis del Cambio y Dinámica 
3. Acumulación y Modelado Integral 
4. Aplicaciones Avanzadas y Modelización</t>
  </si>
  <si>
    <t>Las estrategias pueden variar entre estas u otras:
Trabajo directo
Clase magistral activa/Resolución de problemas/Talleres prácticos
Trabajo independiente
Lecturas relacionadas o de materiales complementarios/Resolución de problemas/Ejercicios aplicados/Desarrollo de proyectos/Talleres grupales o individuales</t>
  </si>
  <si>
    <t>Las actividades varían entre las siguientes y otras que pueda considerar el profesor.
Resolución de problemas
Talleres
Exposiciones
Pruebas escritas</t>
  </si>
  <si>
    <t>Contabilidad de Activos</t>
  </si>
  <si>
    <t>Aplica las técnicas, procedimientos y políticas contables para la clasificación, medición, reconocimiento y revelación de las cuentas del grupo de activos, garantizando un registro adecuado de las operaciones contables y de la preparación de información financiera conforme a la normatividad vigente.</t>
  </si>
  <si>
    <t>1. Generalidades del reconocimiento, medición y presentación de los Activos
2. Efectivo y equivalentes al efectivo; Inversiones (instrumentos financieros); Deudores comerciales y cuentas por cobrar
3. Inventarios; Propiedad planta y Equipo
4. Intangibles; Propiedades de inversión</t>
  </si>
  <si>
    <t>Gestión del Talento Humano</t>
  </si>
  <si>
    <t>Identifica las características y evolución en el tiempo de la gestión del talento humano, para, a partir de casos concretos, proponer soluciones en un contexto organizacional.</t>
  </si>
  <si>
    <t>1. Importancia del Talento humano en las organizaciones
2. Análisis, descripción y diseño de cargos dentro de la incorporación de las personas en las organizaciones
3. Desarrollo, formación y retribución de las personas en las organizaciones
4. Impacto en las organizaciones, mediante la generación de valor, a través de la evaluación desempeño y el proceso de Seguridad y Salud en el Trabajo</t>
  </si>
  <si>
    <t>Proceso Administrativo</t>
  </si>
  <si>
    <t>Reconoce las etapas del proceso administrativo (planeación, organización, dirección y control) para aplicarlas en situaciones organizacionales.</t>
  </si>
  <si>
    <t>1. Planeación
2. Organización
3. Dirección:  Integración de Personal - Motivación – liderazgo y comunicación
4. Control</t>
  </si>
  <si>
    <t>Oportunidades para Emprender</t>
  </si>
  <si>
    <t>Propone soluciones a los problemas, frustraciones y expectativas de un grupo de personas en su comunidad para idear productos o servicios con valor agregado dentro de su campo de acción profesional.
Diseña una idea de negocio que represente una oportunidad de mercado teniendo en cuenta sus habilidades para emprender y el análisis del entorno.</t>
  </si>
  <si>
    <t>1. Empatía y Comprensión del Usuario   
2. Co-creación con los Usuarios   
3. Enfoque en la Experiencia del Usuario   
4. Diseño del modelo de negocio</t>
  </si>
  <si>
    <t>Trabajo directo:
Clase magistral activa combinada con estrategias de metodologías activas
Trabajo independiente:
Lecturas. Laboratorios, talleres, estudios de caso.</t>
  </si>
  <si>
    <t>Pensamiento Crítico y Ciudadanías Activas</t>
  </si>
  <si>
    <t xml:space="preserve">Identifica los Derechos y Deberes consignados en la Constitución 1991 en relación con la ciudadanía de manera local y global para la comprensión de inmersiones sociales éticas. 
Reflexiona los impactos de la investigación- acción sin daño en los espacios académicos y los territorios para el abordaje desde proyectos de investigación formativa. 
Elabora el diseño de planes detallados desde abordajes investigativos e inmersiones creativas para divulgar hallazgos en el ámbito académico. </t>
  </si>
  <si>
    <t>1. Pacto social colombiano y marco de referencias de DDHH internacionales
2. Planes detallados e inmersiones sociales desde procesos participativos, acciones sociales e iniciativas ciudadanas como respuesta a problemas glocales
3. Perspectivas para la participación ciudadana en los territorios
4. Los avances tecnológicos y su impacto en lo social, cultural y ambiental en el marco de las sociedades de información</t>
  </si>
  <si>
    <t>Trabajo directo:
Encuentros presenciales con las horas asignadas a la semana para el desarrollo de la asignatura
Aprendizaje basado en problemas
Trabajo independiente:
Resumen (incluyendo la lectura de textos narrativos, expositivos y argumentativos)
Análisis crítico de noticias sociales, culturales y ambientales
Elaboración de Árbol de problemas como técnica para planteamiento de problemas del PIF
Talleres individuales y por grupos sobre la tipología de textos</t>
  </si>
  <si>
    <t xml:space="preserve">Construcción de planes detallados según las problemáticas desarrolladas en la asignatura. 
Evaluación y autoevaluación de Anteproyectos entre pares académicos a través de la guía “Lecturas cruzadas” 
Reflexión y análisis sobre la ética y la mora en sus contextos locales, globales y profesionales. 
Comprensión de conceptos temáticas a través de cine documental y cine foros. 
Exploración de estrategias y actividades para los planes detallados. Desarrollo de anteproyectos. 
Talleres experienciales con juegos de roles. 
Realización de exposición a través de la caja italiana para el manejo del espacio, la lectura y la oralidad.  
Exposiciones creativas del PIF en el marco del evento “Feria de proyectos” </t>
  </si>
  <si>
    <t>Análisis Descriptivo de Datos</t>
  </si>
  <si>
    <t>Presenta los estados financieros de una empresa según el sector económico al que pertenece, para proveer información necesaria a los usuarios de la información financiera que permita orientar la toma decisiones respecto a operaciones, inversión y financiación.</t>
  </si>
  <si>
    <t>1. Estadística descriptiva
2. Teoría de la probabilidad 
3. Variables aleatorias y distribuciones de probabilidad
4. Distribuciones de probabilidad discretas y continuas</t>
  </si>
  <si>
    <t>Estados Financieros</t>
  </si>
  <si>
    <t xml:space="preserve">Calcula el equilibrio de mercado a partir de los cambios generados en la oferta y la demanda y su implicación en los agentes económicos individuales familias y empresas para soportar la toma de decisiones. </t>
  </si>
  <si>
    <t xml:space="preserve">1. Fundamentos y Estado de situación financiera 
2. Estado de resultados, estados de resultados integral y estado de cambios en el patrimonio. 
3. Estado de flujo de efectivo   
4. Interpretación gerencial y toma de decisiones </t>
  </si>
  <si>
    <t>Trabajo directo
Clase magistral activa/Análisis o Estudio de casos/Resolución de problemas/Talleres prácticos
Trabajo independiente
Lecturas relacionadas o de materiales complementarios/Resolución de problemas/Ejercicios aplicados/Desarrollo de proyectos/Talleres grupales o individuales/Análisis o Estudio de casos/Elaboración de informes o documentos técnicos</t>
  </si>
  <si>
    <t>Microeconomía</t>
  </si>
  <si>
    <t>Reconoce el sistema de costos como herramienta indispensable en el control y gestión de los recursos económicos, tecnológicos, y humanos, inmersos en los costos de producción de bienes y servicios, para construir información financiera que oriente la toma de decisiones.</t>
  </si>
  <si>
    <t>1. Conceptos básicos de la ciencia económica. Frontera de posibilidades de producción y circuito económico
2. Análisis microeconómico, funciones, demanda y oferta
3. Estudio de la conducta del consumidor y del productor
4. Análisis de los costos de producción y de los mercados de competencia perfecta e imperfecta</t>
  </si>
  <si>
    <t>Costos de Gestión</t>
  </si>
  <si>
    <t xml:space="preserve">Reconoce el sistema de costos como herramienta indispensable en el control y gestión de los recursos económicos, tecnológicos, y humanos, inmersos en los costos de producción de bienes y servicios, para construir información financiera que oriente la toma de decisiones.  </t>
  </si>
  <si>
    <t>1. El Sistema de Costos como Herramienta Estratégica de Gestión
2. Impacto de los costos en el resultado organizacional 
3. Estrategia Financiera y Generación de Valor Empresarial
4. Transformación Digital y Sostenibilidad en la Gestión de Costos</t>
  </si>
  <si>
    <t>Desarrollo Sostenible</t>
  </si>
  <si>
    <t>Identifica ejemplos de problemas ambientales, sociales y económicos en la sociedad contemporánea para analizar sus causas y efectos desde el enfoque del desarrollo sostenible a escala local y global. 
Compara enfoques y aproximaciones tanto privados como público/colectivos desde la sostenibilidad y otras visiones alternativas para proponer ideas de solución que respondan a los desafíos contemporáneos.</t>
  </si>
  <si>
    <t> </t>
  </si>
  <si>
    <t xml:space="preserve">1. Análisis de la Era del Antropoceno 
2. Otras Alternativas al Desarrollo Sostenible 
3. Ciudadanía y Políticas Públicas para el Desarrollo Sostenible 
4. El aporte de Negocios para la Búsqueda del Desarrollo Sostenible </t>
  </si>
  <si>
    <t>Estadística Predictiva</t>
  </si>
  <si>
    <t>Aplica conceptos de distribuciones muestrales, intervalos de confianza, pruebas de hipótesis y modelos de regresión lineal para estimar parámetros poblacionales orientados a la predicción del comportamiento de una variable en diferentes escenarios.</t>
  </si>
  <si>
    <t xml:space="preserve">1. Muestreo y distribuciones muestrales
2. Teoría de la estimación. Estimación de parámetros
3. Pruebas de hipótesis
4. Regresión lineal simple </t>
  </si>
  <si>
    <t>Taller Financiero Aplicado a BI</t>
  </si>
  <si>
    <t>Utiliza la minería de datos, visualización de datos y tableros de control para realizar reportes financieros que permiten orientar la tomar decisiones y eliminar las ineficiencias basadas en una visión integral en los datos.</t>
  </si>
  <si>
    <t>1. Principales Herramientas de Matemáticas Financieras 
2. Diagnóstico Financiero y análisis de la información 
3. Introducción a herramientas BI 
4. Análisis de información financiera con herramientas BI</t>
  </si>
  <si>
    <t>Impuesto sobre la Renta Personas Naturales</t>
  </si>
  <si>
    <t>Aplica la normatividad vigente del impuesto sobre la renta en personas naturales, para preparar declaraciones que respondan a criterios técnicos, éticos y legales en la gestión tributaria.</t>
  </si>
  <si>
    <t>1. Principios del derecho tributario, obligatoriedad del impuesto de renta y complementarios en personas naturales y anticipo de retención laboral
2. Determinación del patrimonio en personas naturales e impuesto al patrimonio 
3. Sistema cedular 
4. Ganancias ocasionales y liquidación privada en personas naturales</t>
  </si>
  <si>
    <t>Riesgo Operativo y LA/FT</t>
  </si>
  <si>
    <t>Identifica las características del Sistema de administración de riesgo operativo (SARO)y riesgo de LA y FT en contextos organizacionales para determinar el impacto en el logro de los objetivos estratégicos, tácticos, de proyectos, productos y servicios.</t>
  </si>
  <si>
    <t>1. Generalidades del Riesgo y Sistema de administración de riesgo operativo
2. Medición y tratamiento del riesgo operativo
3. Continuidad de negocio y SARLAFT
4. SaRLAFT y otros sistemas de administración de riesgo de lavado de activos</t>
  </si>
  <si>
    <t>Macroeconomía</t>
  </si>
  <si>
    <t>Interpreta las variables macroeconómicas y su impacto en el equilibrio, para desarrollar análisis del comportamiento del mercado de bienes y servicios y de las políticas fiscal, monetaria y cambiaria.</t>
  </si>
  <si>
    <t>1. Generalidades de la macroeconomía, funcionamiento del sistema económico y de las cuentas nacionales
2. Mercado de bienes y servicios y estabilidad macroeconómica
3. Modelo IS-LM
4. La balanza de pagos y el equilibrio general</t>
  </si>
  <si>
    <t>Contabilidades Especiales</t>
  </si>
  <si>
    <t>Analiza los principios, políticas y procedimientos de la contabilidad y el presupuesto público, para determinar la responsabilidad que tienen los servidores públicos en la gestión y el control financiero conforme al marco legal vigente.</t>
  </si>
  <si>
    <t>1. Conceptualización sobre contabilidad y presupuesto públicos y su relación con la contabilidad privada.
2. Estructura Administrativa del Estado Colombiano.
3. Planeación y Presupuesto Público.
4. Sistema de Contabilidad Pública y Control del Estado.</t>
  </si>
  <si>
    <t>Comercio Internacional</t>
  </si>
  <si>
    <t>Describe los principales elementos del comercio internacional, incluyendo el concepto y la aplicación de teorías económicas, la gestión logística y documental, el desarrollo de estrategias de marketing, la selección de opciones de financiación y medios de pago y la implementación de las principales herramientas tecnológicas y prácticas sostenibles para explicar una transacción de intercambio comercial internacional segura y eficiente, cumpliendo con las normativas, la entrada exitosa a nuevos mercados y la sostenibilidad en el comercio internacional.</t>
  </si>
  <si>
    <t xml:space="preserve">1. Definición y conceptos básicos del comercio internacional 
2. Logística, Documentación y Estrategias de Mercado 
3. Conceptualización de mercadeo internacional, Financiación y Gestión de Riesgos 
4. Herramientas, practicas, innovación y sostenibilidad en el comercio internacional </t>
  </si>
  <si>
    <t>Impuesto sobre la Renta Personas Jurídicas</t>
  </si>
  <si>
    <t>Aplica la normatividad vigente del impuesto sobre la renta en personas jurídicas, para elaborar la declaración tributaria con base en la clasificación, medición y depuración de los elementos que conforman la base gravable.</t>
  </si>
  <si>
    <t xml:space="preserve">1. Obligatoriedad del impuesto sobre la renta en personas jurídicas
2. Determinación del patrimonio 
3. Depuración de la base gravable
4. Ganancias ocasionales y liquidación privada </t>
  </si>
  <si>
    <t>Sistemas de Control Interno</t>
  </si>
  <si>
    <t>Analiza contextos organizacionales a partir de los conceptos, características, procesos administrativos y procedimientos, identificando las necesidades organizacionales para proponer mejoras fundamentadas en la implementación y evaluación de sistemas de control interno como herramientas clave para la sostenibilidad y eficiencia empresarial.</t>
  </si>
  <si>
    <t>1. Fundamentos de control interno
2.  Diseño y planeación del sistema de control interno
3.  Implementación del sistema de control interno
4.  Evaluación y mejora del sistema de control interno</t>
  </si>
  <si>
    <t>Evaluación de Proyectos</t>
  </si>
  <si>
    <t>Evalúa la factibilidad financiera de un proyecto de inversión mediante la formulación de supuestos, la proyección de estados financieros y la aplicación de métodos de decisión, para determinar su viabilidad y apoyar la toma de decisiones en contextos empresariales.</t>
  </si>
  <si>
    <t>1. Conceptos básicos contables y financieros para la evaluación de proyectos 
2. Flujos de caja en proyectos de inversión 
3. Métodos de decisión financiera 
4. Análisis de sensibilidad en los proyectos</t>
  </si>
  <si>
    <t>Auditoría y Aseguramiento de la Información Financiera</t>
  </si>
  <si>
    <t>Aplica las normas de aseguramiento de la información y los principios éticos de la profesión, para desarrollar procesos de auditoría y aseguramiento que permitan sustentar la razonabilidad de los informes financieros.</t>
  </si>
  <si>
    <t>1. Normas de Aseguramiento de la Información
2. Fundamentos y Planeación General de la Auditoria Financiera
3. Ejecución de la Auditoria Financiera
4. Informe y conclusión de la Auditoria Financiera</t>
  </si>
  <si>
    <t>Impuestos sobre las Ventas e Impuestos Territoriales</t>
  </si>
  <si>
    <t>Aplica la normatividad tributaria vigente sobre impuestos nacionales y territoriales de las empresas, para sustentar el cumplimiento de las obligaciones formales y sustanciales según el sector y la actividad económica desarrollada, y su relación con la retención en la fuente</t>
  </si>
  <si>
    <t xml:space="preserve">1. Retención en la Fuente
2. Impuesto al Valor Agregado IVA
3. Impuesto Nacional al consumo
4. Impuestos territoriales </t>
  </si>
  <si>
    <t>Contabilidad Estratégica de Costos</t>
  </si>
  <si>
    <t>Analiza estrategias y técnicas de gestión de costos de acuerdo con las necesidades de las organizaciones en contextos nacional e internacional, para elaborar la estructura de costos idónea que permita orientar la toma de decisiones.</t>
  </si>
  <si>
    <t>1. Costos Estándar
2. Costos Basados en Actividades (Activity Based Cost System – ABC)
3. Costos Estratégicos y Modelos de Valor Empresarial
4. Costos ambientales</t>
  </si>
  <si>
    <t>Administración 4.0</t>
  </si>
  <si>
    <t>Aplica herramientas y tecnologías de la Administración 4.0, como el análisis de datos y la inteligencia artificial para proponer mejoras en los procesos organizacionales y contribuir a la innovación y la competitividad.</t>
  </si>
  <si>
    <t>1. Introducción generalidades de la administración 4.0
2. Método y aplicación de la analítica de DATOS  1
3. Método y aplicación de la analítica de DATOS  2
4. El machine learning</t>
  </si>
  <si>
    <t>Presupuestos</t>
  </si>
  <si>
    <t xml:space="preserve">Estima los programas presupuestales de ventas, materias primas, compras, costos indirectos de fabricación y gastos administrativos y de ventas esperados para construir información que permita la toma de decisiones y la proyección de Estados Financieros, empleando herramientas de información y comunicación. </t>
  </si>
  <si>
    <t>1. Conceptos Generales 
2. Presupuestos Operacionales
3. Presupuestos de Costos Indirectos de fabricación y Gastos
4. Estados Financieros Proyectados</t>
  </si>
  <si>
    <t>Finanzas Corporativas</t>
  </si>
  <si>
    <t>Aplica métodos de valoración de una empresa teniendo como base el costo de capital para el análisis financiero en la toma de decisiones corporativas.</t>
  </si>
  <si>
    <t>1. Proyecciones financieras
2. Estructura y costo de capital
3. Métodos de valoración
4. Política de dividendos</t>
  </si>
  <si>
    <t>Control Societario y Auditoria Forense</t>
  </si>
  <si>
    <t>Aplica los fundamentos y regulaciones del control societario, las responsabilidades éticas en la revisoría fiscal, y los métodos de auditoría forense para evaluar crímenes financieros, mediante habilidades integrales que fortalecen el control empresarial, el aseguramiento, la transparencia y la rendición de cuentas, contribuyendo a la sostenibilidad y protección de los intereses organizacionales.</t>
  </si>
  <si>
    <t xml:space="preserve">1. Fundamentos y regulaciones del control societario.
2. Responsabilidades, ética y aseguramiento en la revisoría fiscal.  
3. Métodos de auditoría forense y evaluación de crímenes financieros.  
4. Habilidades integrales en auditoría forense y control empresarial.  </t>
  </si>
  <si>
    <t>Procedimiento Tributario</t>
  </si>
  <si>
    <t>Identifica la normativa procedimental tributaria frente al incumplimiento de las obligaciones formales y sustanciales del contribuyente, para aplicar el régimen sancionatorio en casos de discrepancia con la administración fiscal, incorporando elementos probatorios pertinentes según los lineamientos de la OCDE, tanto en contextos nacionales como internacionales.</t>
  </si>
  <si>
    <t xml:space="preserve">1. Actuación tributaria y Principios del derecho tributario  
2. Declaraciones tributarias y Procedimiento Vía Gubernativa.  
3. Sanciones y Régimen Probatorio  
4. Estatuto anti – evasión </t>
  </si>
  <si>
    <t>Electiva I</t>
  </si>
  <si>
    <t>Electiva 2</t>
  </si>
  <si>
    <t>Estándares Internacionales de Contabilidad</t>
  </si>
  <si>
    <t>Aplica estándares internacionales de contabilidad en la preparación, análisis y presentación de información financiera, abordando situaciones que requieren juicio profesional, para estructurar reportes con criterios de transparencia, comparabilidad y relevancia en la toma de decisiones en entornos globalizados.</t>
  </si>
  <si>
    <t>1. Financiarización y deterioro
2. Activos Biológicos
3. Instrumentos Financieros 
4. Estados Financieros Consolidados</t>
  </si>
  <si>
    <t>Analítica Contable con IA</t>
  </si>
  <si>
    <t>Aplica herramientas de inteligencia artificial en procesos contables y financieros, para generar análisis históricos y predictivos que orienten la toma de decisiones en entornos digitales.</t>
  </si>
  <si>
    <t>1. Fundamentos de la Inteligencia Artificial en la gestión contable y financiera  
2. Herramientas de IA aplicadas a la gestión contable, financiera, auditoría y control interno 
3. Análisis predictivo y toma de decisiones basadas en datos 
4. Liderazgo contable en entornos digitales con IA</t>
  </si>
  <si>
    <t>Gerencia Financiera</t>
  </si>
  <si>
    <t>Analiza los inductores de valor, incluyendo el Valor Económico Agregado (EVA), para diseñar estrategias financieras que contribuyan a la creación de valor en la gestión financiera de la organización.</t>
  </si>
  <si>
    <t>1. Conceptos básicos de la Gerencia Financiera
2. Gerencia del valor
3. Estructura financiera y costo de capital
4. Prospección financiera</t>
  </si>
  <si>
    <t>Electiva 3</t>
  </si>
  <si>
    <t>Electiva 4</t>
  </si>
  <si>
    <t>Total asignaturas del programa</t>
  </si>
  <si>
    <t>Total créditos programa</t>
  </si>
  <si>
    <t>Total créditos bloque institucional</t>
  </si>
  <si>
    <t>Total créditos bloque disciplinar</t>
  </si>
  <si>
    <t>Total créditos bloque electivo</t>
  </si>
  <si>
    <t>Verbos Competencias</t>
  </si>
  <si>
    <t>Actualizar</t>
  </si>
  <si>
    <t>Administrar</t>
  </si>
  <si>
    <t>Asegurar</t>
  </si>
  <si>
    <t>Asesorar</t>
  </si>
  <si>
    <t>Auditar</t>
  </si>
  <si>
    <t>Comunicar</t>
  </si>
  <si>
    <t>Conducir</t>
  </si>
  <si>
    <t>Conocer</t>
  </si>
  <si>
    <t>Coordinar</t>
  </si>
  <si>
    <t>Definir</t>
  </si>
  <si>
    <t>Dirigir</t>
  </si>
  <si>
    <t>Diseñar</t>
  </si>
  <si>
    <t>Establecer</t>
  </si>
  <si>
    <t>Evaluar</t>
  </si>
  <si>
    <t>Fiscalizar</t>
  </si>
  <si>
    <t>Formular</t>
  </si>
  <si>
    <t>Generar</t>
  </si>
  <si>
    <t>Gestionar</t>
  </si>
  <si>
    <t>Hacer</t>
  </si>
  <si>
    <t>Implementar</t>
  </si>
  <si>
    <t>Liderar</t>
  </si>
  <si>
    <t>Modelar</t>
  </si>
  <si>
    <t>Participar</t>
  </si>
  <si>
    <t>Planear</t>
  </si>
  <si>
    <t>Presidir</t>
  </si>
  <si>
    <t>Producir</t>
  </si>
  <si>
    <t>Resolver</t>
  </si>
  <si>
    <t>Sistematizar</t>
  </si>
  <si>
    <t>Supervisar</t>
  </si>
  <si>
    <t>Transformar</t>
  </si>
  <si>
    <t>Verificar</t>
  </si>
  <si>
    <t>Garantizar</t>
  </si>
  <si>
    <t>Taxonomía de Bloom Adaptada bajo las ideas de Anderson y Krathwohl</t>
  </si>
  <si>
    <t>Taxonomía de Bloom adaptada bajo las ideas de Lorin y Krathwohl (LK)</t>
  </si>
  <si>
    <t>Taxonomía de Bloom adaptada bajo las ideas de Anderson y Kendal (AK)</t>
  </si>
  <si>
    <t>Taxonomía de Bloom</t>
  </si>
  <si>
    <t>Cognitivo(BAK)</t>
  </si>
  <si>
    <t>Procedimental(BAK)</t>
  </si>
  <si>
    <t>Actitudinal(BAK)</t>
  </si>
  <si>
    <t>Taxonomías</t>
  </si>
  <si>
    <t>LK</t>
  </si>
  <si>
    <t>AK</t>
  </si>
  <si>
    <t>ConocimientoB</t>
  </si>
  <si>
    <t>SíntesisB</t>
  </si>
  <si>
    <t>EvaluaciónB</t>
  </si>
  <si>
    <t>ConocimientoBAK</t>
  </si>
  <si>
    <t>AplicaciónBAK</t>
  </si>
  <si>
    <t>AnálisisBAK</t>
  </si>
  <si>
    <t>SíntesisBAK</t>
  </si>
  <si>
    <t>EvaluaciónBAK</t>
  </si>
  <si>
    <t>ImitaciónBAK</t>
  </si>
  <si>
    <t>PrecisiónBAK</t>
  </si>
  <si>
    <t>ControlBAK</t>
  </si>
  <si>
    <t>PercepciónBAK</t>
  </si>
  <si>
    <t>ResponderBAK</t>
  </si>
  <si>
    <t>OrganizarBAK</t>
  </si>
  <si>
    <t>CaracterizarBAK</t>
  </si>
  <si>
    <t>Procesos cognitivos de orden inferior</t>
  </si>
  <si>
    <t>Procesos cognitivos de orden superior</t>
  </si>
  <si>
    <t>HechosLK</t>
  </si>
  <si>
    <t>InformaciónAK</t>
  </si>
  <si>
    <t>Adquirir</t>
  </si>
  <si>
    <t>Aislar</t>
  </si>
  <si>
    <t>Adaptar</t>
  </si>
  <si>
    <t>Aconsejar</t>
  </si>
  <si>
    <t>Acordar</t>
  </si>
  <si>
    <t>Acceder</t>
  </si>
  <si>
    <t>Abrir</t>
  </si>
  <si>
    <t>Arreglar</t>
  </si>
  <si>
    <t>Aceptar</t>
  </si>
  <si>
    <t>Adelantar</t>
  </si>
  <si>
    <t>Acabar</t>
  </si>
  <si>
    <t>RecordarLK</t>
  </si>
  <si>
    <t>ComprenderLK</t>
  </si>
  <si>
    <t>AplicarLK</t>
  </si>
  <si>
    <t>AnalizarLK</t>
  </si>
  <si>
    <t>EvaluarLK</t>
  </si>
  <si>
    <t>CrearLK</t>
  </si>
  <si>
    <t>RecuperaciónAK</t>
  </si>
  <si>
    <t>ComprensiónAK</t>
  </si>
  <si>
    <t>AnálisisAK</t>
  </si>
  <si>
    <t>UsoConocimientoAK</t>
  </si>
  <si>
    <t>MetacogniciónAK</t>
  </si>
  <si>
    <t>SistemadelYoAK</t>
  </si>
  <si>
    <t>ConceptosLK</t>
  </si>
  <si>
    <t>ProcesosMentalesAK</t>
  </si>
  <si>
    <t>Buscar</t>
  </si>
  <si>
    <t>Bosquejar</t>
  </si>
  <si>
    <t>Calisificar</t>
  </si>
  <si>
    <t>Adjuntar</t>
  </si>
  <si>
    <t>Actuar</t>
  </si>
  <si>
    <t>Balancear</t>
  </si>
  <si>
    <t>Admitir</t>
  </si>
  <si>
    <t>Actuar recíprocamente</t>
  </si>
  <si>
    <t>Adoptar</t>
  </si>
  <si>
    <t>Anticipar</t>
  </si>
  <si>
    <t>Afinar</t>
  </si>
  <si>
    <t>Afirmar</t>
  </si>
  <si>
    <t>Clasificar</t>
  </si>
  <si>
    <t>Agrupar</t>
  </si>
  <si>
    <t>ProcedimientoslLK</t>
  </si>
  <si>
    <t>PsicomotorAK</t>
  </si>
  <si>
    <t>Citar</t>
  </si>
  <si>
    <t>Comentar</t>
  </si>
  <si>
    <t>Combinar</t>
  </si>
  <si>
    <t>Calcular</t>
  </si>
  <si>
    <t>Agregar</t>
  </si>
  <si>
    <t>Ajustar</t>
  </si>
  <si>
    <t>Anotar</t>
  </si>
  <si>
    <t>Apoyar</t>
  </si>
  <si>
    <t>Comparar</t>
  </si>
  <si>
    <t>Añadir</t>
  </si>
  <si>
    <t>Elaborar</t>
  </si>
  <si>
    <t>MetacogniciónLK</t>
  </si>
  <si>
    <t>Consignar</t>
  </si>
  <si>
    <t>Componer</t>
  </si>
  <si>
    <t>Categorizar</t>
  </si>
  <si>
    <t>Alinear</t>
  </si>
  <si>
    <t>Ampliar</t>
  </si>
  <si>
    <t>Codificar</t>
  </si>
  <si>
    <t>Aprobar</t>
  </si>
  <si>
    <t>Agradecer</t>
  </si>
  <si>
    <t>Conectar</t>
  </si>
  <si>
    <t>Atender</t>
  </si>
  <si>
    <t>Copiar</t>
  </si>
  <si>
    <t>Contrastar</t>
  </si>
  <si>
    <t>Asumir</t>
  </si>
  <si>
    <t>Maximizar</t>
  </si>
  <si>
    <t>Decir</t>
  </si>
  <si>
    <t>Convertir</t>
  </si>
  <si>
    <t>Articular</t>
  </si>
  <si>
    <t>Arbitrar</t>
  </si>
  <si>
    <t>Apalancar</t>
  </si>
  <si>
    <t>Colocar</t>
  </si>
  <si>
    <t>Apreciar</t>
  </si>
  <si>
    <t>Ambicionar</t>
  </si>
  <si>
    <t>Considerar</t>
  </si>
  <si>
    <t>Demostrar</t>
  </si>
  <si>
    <t>Buscar similitudes</t>
  </si>
  <si>
    <t>Argumentar</t>
  </si>
  <si>
    <t>Mejorar</t>
  </si>
  <si>
    <t>Criticar</t>
  </si>
  <si>
    <t>Construir</t>
  </si>
  <si>
    <t>Aumentar</t>
  </si>
  <si>
    <t>Bajar</t>
  </si>
  <si>
    <t>Autorizar</t>
  </si>
  <si>
    <t>Anhelar</t>
  </si>
  <si>
    <t>Cuestionar</t>
  </si>
  <si>
    <t>Colaborar</t>
  </si>
  <si>
    <t>Discutir</t>
  </si>
  <si>
    <t>Cambiar</t>
  </si>
  <si>
    <t>Minimizar</t>
  </si>
  <si>
    <t>Deletrear</t>
  </si>
  <si>
    <t>Dar ejemplos</t>
  </si>
  <si>
    <t>Armar</t>
  </si>
  <si>
    <t>Asisitir</t>
  </si>
  <si>
    <t>Defender</t>
  </si>
  <si>
    <t>Completar</t>
  </si>
  <si>
    <t>Ejemplificar</t>
  </si>
  <si>
    <t xml:space="preserve">Construir </t>
  </si>
  <si>
    <t>Centrarse</t>
  </si>
  <si>
    <t>ProcedimientosLK</t>
  </si>
  <si>
    <t>Debatir</t>
  </si>
  <si>
    <t>Determinar</t>
  </si>
  <si>
    <t>Atar</t>
  </si>
  <si>
    <t>Comenzar</t>
  </si>
  <si>
    <t>Correr</t>
  </si>
  <si>
    <t>Comportarse bajo condiciones</t>
  </si>
  <si>
    <t xml:space="preserve">Duplicar </t>
  </si>
  <si>
    <t>Esquematizar</t>
  </si>
  <si>
    <t>Pensar</t>
  </si>
  <si>
    <t>Describir</t>
  </si>
  <si>
    <t>Dibujar</t>
  </si>
  <si>
    <t>Computar</t>
  </si>
  <si>
    <t>Desmontar</t>
  </si>
  <si>
    <t>Cortar</t>
  </si>
  <si>
    <t>Coser</t>
  </si>
  <si>
    <t>Desplegar</t>
  </si>
  <si>
    <t>Elegir</t>
  </si>
  <si>
    <t>Explicar</t>
  </si>
  <si>
    <t>Correlacionar</t>
  </si>
  <si>
    <t>Compilar</t>
  </si>
  <si>
    <t xml:space="preserve">Planear </t>
  </si>
  <si>
    <t>Discriminar</t>
  </si>
  <si>
    <t>Concluir</t>
  </si>
  <si>
    <t>Calificar</t>
  </si>
  <si>
    <t>Bailar</t>
  </si>
  <si>
    <t>Cumplir</t>
  </si>
  <si>
    <t>Difundir</t>
  </si>
  <si>
    <t>Asistir</t>
  </si>
  <si>
    <t>Constatar</t>
  </si>
  <si>
    <t>Escribir</t>
  </si>
  <si>
    <t>Expresar</t>
  </si>
  <si>
    <t>Dramatizar</t>
  </si>
  <si>
    <t>Descomponer</t>
  </si>
  <si>
    <t>Proponer</t>
  </si>
  <si>
    <t>Enseñar</t>
  </si>
  <si>
    <t>Deducir</t>
  </si>
  <si>
    <t>Censurar</t>
  </si>
  <si>
    <t>Direccionar</t>
  </si>
  <si>
    <t>Destapar</t>
  </si>
  <si>
    <t>Contar</t>
  </si>
  <si>
    <t>Aspirar</t>
  </si>
  <si>
    <t>Discernir</t>
  </si>
  <si>
    <t>Contextualizar</t>
  </si>
  <si>
    <t>Leer</t>
  </si>
  <si>
    <t>Generalizar</t>
  </si>
  <si>
    <t>Diferenciar</t>
  </si>
  <si>
    <t>Reescribir</t>
  </si>
  <si>
    <t>Cooperar</t>
  </si>
  <si>
    <t>Exteriorizar</t>
  </si>
  <si>
    <t>Controlar</t>
  </si>
  <si>
    <t>Listar</t>
  </si>
  <si>
    <t>Ilustrar</t>
  </si>
  <si>
    <t>Distinguir</t>
  </si>
  <si>
    <t>Convencer</t>
  </si>
  <si>
    <t>Simplificar</t>
  </si>
  <si>
    <t>Duplicar</t>
  </si>
  <si>
    <t>Detectar</t>
  </si>
  <si>
    <t>Crear</t>
  </si>
  <si>
    <t>Comprobar</t>
  </si>
  <si>
    <t>Docificar</t>
  </si>
  <si>
    <t>Disponer</t>
  </si>
  <si>
    <t>Disipar</t>
  </si>
  <si>
    <t>Aunar</t>
  </si>
  <si>
    <t>Extraer</t>
  </si>
  <si>
    <t>Localizar</t>
  </si>
  <si>
    <t>Inferir</t>
  </si>
  <si>
    <t>Dividir</t>
  </si>
  <si>
    <t>Suponer</t>
  </si>
  <si>
    <t>Etiquetar</t>
  </si>
  <si>
    <t>Diagramar</t>
  </si>
  <si>
    <t>Decidir</t>
  </si>
  <si>
    <t>Concretar</t>
  </si>
  <si>
    <t>Ejecutar</t>
  </si>
  <si>
    <t>Fomentar</t>
  </si>
  <si>
    <t>Memorizar</t>
  </si>
  <si>
    <t xml:space="preserve">Informar </t>
  </si>
  <si>
    <t>Entrevistar</t>
  </si>
  <si>
    <t>Sustituir</t>
  </si>
  <si>
    <t>Examinar</t>
  </si>
  <si>
    <t>Emparejar</t>
  </si>
  <si>
    <t>Conformar</t>
  </si>
  <si>
    <t>Eliminar</t>
  </si>
  <si>
    <t>Compartir</t>
  </si>
  <si>
    <t>Mostrar</t>
  </si>
  <si>
    <t>Hacer uso</t>
  </si>
  <si>
    <t>Encontrar</t>
  </si>
  <si>
    <t>Teorizar</t>
  </si>
  <si>
    <t>ProcesosAK</t>
  </si>
  <si>
    <t>Derivar</t>
  </si>
  <si>
    <t>Constrastar</t>
  </si>
  <si>
    <t>Ejercitar</t>
  </si>
  <si>
    <t>Ejercer</t>
  </si>
  <si>
    <t>Comprender</t>
  </si>
  <si>
    <t>Nombrar</t>
  </si>
  <si>
    <t>Encuestar</t>
  </si>
  <si>
    <t>Testar</t>
  </si>
  <si>
    <t>Grabar</t>
  </si>
  <si>
    <t>Exponer</t>
  </si>
  <si>
    <t>Contabilizar</t>
  </si>
  <si>
    <t>Encajar</t>
  </si>
  <si>
    <t>Emitir</t>
  </si>
  <si>
    <t>Ensanchar</t>
  </si>
  <si>
    <t>Contribuir</t>
  </si>
  <si>
    <t>Percibir</t>
  </si>
  <si>
    <t>Observar</t>
  </si>
  <si>
    <t>Estimar</t>
  </si>
  <si>
    <t>Entallar</t>
  </si>
  <si>
    <t>Enumerar</t>
  </si>
  <si>
    <t>Convocar</t>
  </si>
  <si>
    <t>Preguntar</t>
  </si>
  <si>
    <t>Entregar</t>
  </si>
  <si>
    <t>Omitir</t>
  </si>
  <si>
    <t>Parafrasear</t>
  </si>
  <si>
    <t>Manipular</t>
  </si>
  <si>
    <t>Visualizar</t>
  </si>
  <si>
    <t>Estructurar</t>
  </si>
  <si>
    <t>Desempeñar</t>
  </si>
  <si>
    <t>Corregir</t>
  </si>
  <si>
    <t>Empaquetar</t>
  </si>
  <si>
    <t>Escoger</t>
  </si>
  <si>
    <t>Creer</t>
  </si>
  <si>
    <t>Promover</t>
  </si>
  <si>
    <t>Juzgar</t>
  </si>
  <si>
    <t>Rastrear</t>
  </si>
  <si>
    <t>Predecir</t>
  </si>
  <si>
    <t>Organizar</t>
  </si>
  <si>
    <t>Explorar</t>
  </si>
  <si>
    <t>Esculpir</t>
  </si>
  <si>
    <t>Escuchar</t>
  </si>
  <si>
    <t>Hablar</t>
  </si>
  <si>
    <t>Cuidar</t>
  </si>
  <si>
    <t>Negociar</t>
  </si>
  <si>
    <t>Recitar</t>
  </si>
  <si>
    <t>Inspeccionar</t>
  </si>
  <si>
    <t>Descubrir</t>
  </si>
  <si>
    <t>Experimentar</t>
  </si>
  <si>
    <t>Entrenar</t>
  </si>
  <si>
    <t>Extender</t>
  </si>
  <si>
    <t>Proteger</t>
  </si>
  <si>
    <t>Ofrecer</t>
  </si>
  <si>
    <t>Practicar</t>
  </si>
  <si>
    <t>Investigar</t>
  </si>
  <si>
    <t>AutoSistemaAK</t>
  </si>
  <si>
    <t>Mostar</t>
  </si>
  <si>
    <t>Culminar</t>
  </si>
  <si>
    <t>Cotejar</t>
  </si>
  <si>
    <t>Envasar</t>
  </si>
  <si>
    <t>Extirpar</t>
  </si>
  <si>
    <t>Indicar</t>
  </si>
  <si>
    <t>Resumir</t>
  </si>
  <si>
    <t>Motivar</t>
  </si>
  <si>
    <t>Inventariar</t>
  </si>
  <si>
    <t>Ensamblar</t>
  </si>
  <si>
    <t>Guiar</t>
  </si>
  <si>
    <t>Informar</t>
  </si>
  <si>
    <t>Servir</t>
  </si>
  <si>
    <t>Revisar</t>
  </si>
  <si>
    <t>Numerar</t>
  </si>
  <si>
    <t>Estampar</t>
  </si>
  <si>
    <t>Narrar</t>
  </si>
  <si>
    <t>Relatar</t>
  </si>
  <si>
    <t>Soportar</t>
  </si>
  <si>
    <t>Repetir</t>
  </si>
  <si>
    <t>Traducir</t>
  </si>
  <si>
    <t>Seleccionar</t>
  </si>
  <si>
    <t>Ordenar</t>
  </si>
  <si>
    <t>Estimular</t>
  </si>
  <si>
    <t>Industrializar</t>
  </si>
  <si>
    <t>Obrar recíprocamente</t>
  </si>
  <si>
    <t>Terminar</t>
  </si>
  <si>
    <t>Simular</t>
  </si>
  <si>
    <t>Obtener</t>
  </si>
  <si>
    <t>Medir</t>
  </si>
  <si>
    <t>Estudiar</t>
  </si>
  <si>
    <t>Interrogar</t>
  </si>
  <si>
    <t>Revelar</t>
  </si>
  <si>
    <t>Transferir</t>
  </si>
  <si>
    <t>Priorizar</t>
  </si>
  <si>
    <t>Figurar</t>
  </si>
  <si>
    <t>Edificar</t>
  </si>
  <si>
    <t>Instalar</t>
  </si>
  <si>
    <t>Fabricar</t>
  </si>
  <si>
    <t>Llevar</t>
  </si>
  <si>
    <t>Manejar</t>
  </si>
  <si>
    <t>Referir</t>
  </si>
  <si>
    <t>Unir</t>
  </si>
  <si>
    <t>Probar</t>
  </si>
  <si>
    <t>Preocuparse de o por</t>
  </si>
  <si>
    <t>Usar</t>
  </si>
  <si>
    <t>Razonar</t>
  </si>
  <si>
    <t>Hipotetizar</t>
  </si>
  <si>
    <t>Mecanizar</t>
  </si>
  <si>
    <t>Ocupar</t>
  </si>
  <si>
    <t>Proporcionar</t>
  </si>
  <si>
    <t>Reorganizar</t>
  </si>
  <si>
    <t>Influir</t>
  </si>
  <si>
    <t>Presentar</t>
  </si>
  <si>
    <t>Operar</t>
  </si>
  <si>
    <t>Filtrar</t>
  </si>
  <si>
    <t>Maniobrar</t>
  </si>
  <si>
    <t>Mover</t>
  </si>
  <si>
    <t>Provocar</t>
  </si>
  <si>
    <t>Resaltar</t>
  </si>
  <si>
    <t>Innovar</t>
  </si>
  <si>
    <t>Hallar</t>
  </si>
  <si>
    <t>Publicar</t>
  </si>
  <si>
    <t>Ratificar</t>
  </si>
  <si>
    <t>Separar</t>
  </si>
  <si>
    <t>Justificar</t>
  </si>
  <si>
    <t>Realizar</t>
  </si>
  <si>
    <t>Reportar</t>
  </si>
  <si>
    <t>Patronar</t>
  </si>
  <si>
    <t>Imprimir</t>
  </si>
  <si>
    <t>Ponderar</t>
  </si>
  <si>
    <t>Subdividir</t>
  </si>
  <si>
    <t>Perforar</t>
  </si>
  <si>
    <t>Impulsar</t>
  </si>
  <si>
    <t>Ser partidario de</t>
  </si>
  <si>
    <t>Recordar</t>
  </si>
  <si>
    <t>Recoger</t>
  </si>
  <si>
    <t>Juntar</t>
  </si>
  <si>
    <t>Poner</t>
  </si>
  <si>
    <t>Opinar</t>
  </si>
  <si>
    <t>Registrar</t>
  </si>
  <si>
    <t>Introducir</t>
  </si>
  <si>
    <t>Limpiar</t>
  </si>
  <si>
    <t>Levantar</t>
  </si>
  <si>
    <t>Quitar</t>
  </si>
  <si>
    <t>Tasar</t>
  </si>
  <si>
    <t>Originar</t>
  </si>
  <si>
    <t>Inventar</t>
  </si>
  <si>
    <t>Modificar</t>
  </si>
  <si>
    <t>Finalizar</t>
  </si>
  <si>
    <t>Reemplazar</t>
  </si>
  <si>
    <t>Valorar</t>
  </si>
  <si>
    <t>Persuadir</t>
  </si>
  <si>
    <t>Reproducir</t>
  </si>
  <si>
    <t>Formar</t>
  </si>
  <si>
    <t>Trazar</t>
  </si>
  <si>
    <t>Remover</t>
  </si>
  <si>
    <t>Premiar</t>
  </si>
  <si>
    <t>Ubicar</t>
  </si>
  <si>
    <t>Reparar</t>
  </si>
  <si>
    <t>Rotular</t>
  </si>
  <si>
    <t>Preparar</t>
  </si>
  <si>
    <t>Reponer</t>
  </si>
  <si>
    <t>Recomendar</t>
  </si>
  <si>
    <t>Marcar</t>
  </si>
  <si>
    <t>Mezclar</t>
  </si>
  <si>
    <t>Subrayar</t>
  </si>
  <si>
    <t>Recaudar</t>
  </si>
  <si>
    <t>Mitigar</t>
  </si>
  <si>
    <t>Retirar</t>
  </si>
  <si>
    <t>Recortar</t>
  </si>
  <si>
    <t>Reunir</t>
  </si>
  <si>
    <t>Seguir</t>
  </si>
  <si>
    <t>Perfeccionar</t>
  </si>
  <si>
    <t>Peritar</t>
  </si>
  <si>
    <t>Señalar</t>
  </si>
  <si>
    <t>Sincronizar</t>
  </si>
  <si>
    <t>Planificar</t>
  </si>
  <si>
    <t>Pronosticar</t>
  </si>
  <si>
    <t>Soldar</t>
  </si>
  <si>
    <t>Pintar</t>
  </si>
  <si>
    <t>Suprimir</t>
  </si>
  <si>
    <t>Repartir</t>
  </si>
  <si>
    <t>Porcionar</t>
  </si>
  <si>
    <t>Tapizar</t>
  </si>
  <si>
    <t>Transmitir</t>
  </si>
  <si>
    <t>Proyectar</t>
  </si>
  <si>
    <t>Trasladar</t>
  </si>
  <si>
    <t>Racionar</t>
  </si>
  <si>
    <t>Sugerir</t>
  </si>
  <si>
    <t>Reducir</t>
  </si>
  <si>
    <t>Repasar</t>
  </si>
  <si>
    <t>Representar</t>
  </si>
  <si>
    <t>Sacar</t>
  </si>
  <si>
    <t>Vincular</t>
  </si>
  <si>
    <t>Separer</t>
  </si>
  <si>
    <t>Situar</t>
  </si>
  <si>
    <t>Tocar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</si>
</sst>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31" x14ac:knownFonts="1">
    <font>
      <sz val="11"/>
      <color theme="1"/>
      <name val="Calibri"/>
      <family val="2"/>
      <scheme val="minor"/>
    </font>
    <font>
      <sz val="9"/>
      <color indexed="81"/>
      <name val="Tahoma"/>
      <family val="2"/>
    </font>
    <font>
      <b/>
      <sz val="9"/>
      <color indexed="81"/>
      <name val="Tahoma"/>
      <family val="2"/>
    </font>
    <font>
      <sz val="11"/>
      <color theme="1"/>
      <name val="Gill Sans MT"/>
      <family val="2"/>
    </font>
    <font>
      <b/>
      <sz val="11"/>
      <color theme="0"/>
      <name val="Gill Sans MT"/>
      <family val="2"/>
    </font>
    <font>
      <sz val="11"/>
      <color theme="0"/>
      <name val="Gill Sans MT"/>
      <family val="2"/>
    </font>
    <font>
      <b/>
      <sz val="11"/>
      <name val="Gill Sans MT"/>
      <family val="2"/>
    </font>
    <font>
      <b/>
      <sz val="11"/>
      <color theme="1"/>
      <name val="Gill Sans MT"/>
      <family val="2"/>
    </font>
    <font>
      <sz val="12"/>
      <color rgb="FF000000"/>
      <name val="Tahoma"/>
      <family val="2"/>
    </font>
    <font>
      <sz val="14"/>
      <color theme="1"/>
      <name val="Gill Sans MT"/>
      <family val="2"/>
    </font>
    <font>
      <sz val="11"/>
      <color theme="1"/>
      <name val="Gill Sans MT"/>
      <family val="2"/>
    </font>
    <font>
      <sz val="11"/>
      <color rgb="FF000000"/>
      <name val="Gill Sans MT"/>
      <family val="2"/>
    </font>
    <font>
      <sz val="11"/>
      <name val="Calibri"/>
      <family val="2"/>
      <scheme val="minor"/>
    </font>
    <font>
      <sz val="11"/>
      <name val="Gill Sans MT"/>
      <family val="2"/>
    </font>
    <font>
      <sz val="8"/>
      <color theme="0"/>
      <name val="Gill Sans MT"/>
      <family val="2"/>
    </font>
    <font>
      <sz val="11"/>
      <color rgb="FF444444"/>
      <name val="Calibri"/>
      <family val="2"/>
      <charset val="1"/>
    </font>
    <font>
      <sz val="12"/>
      <color rgb="FF000000"/>
      <name val="Arial"/>
      <family val="2"/>
    </font>
    <font>
      <u/>
      <sz val="11"/>
      <color theme="10"/>
      <name val="Calibri"/>
      <family val="2"/>
      <scheme val="minor"/>
    </font>
    <font>
      <b/>
      <sz val="11"/>
      <color rgb="FF000000"/>
      <name val="Gill Sans MT"/>
      <family val="2"/>
    </font>
    <font>
      <sz val="8"/>
      <color rgb="FFFFFFFF"/>
      <name val="Gill Sans MT"/>
      <family val="2"/>
    </font>
    <font>
      <b/>
      <sz val="8"/>
      <color theme="0"/>
      <name val="Gill Sans MT"/>
      <family val="2"/>
    </font>
    <font>
      <b/>
      <sz val="11"/>
      <color rgb="FFFFFFFF"/>
      <name val="Gill Sans MT"/>
      <family val="2"/>
    </font>
    <font>
      <sz val="8"/>
      <color rgb="FF000000"/>
      <name val="Gill Sans MT"/>
      <family val="2"/>
    </font>
    <font>
      <sz val="8"/>
      <color theme="1"/>
      <name val="Gill Sans MT"/>
      <family val="2"/>
    </font>
    <font>
      <sz val="8"/>
      <name val="Gill Sans MT"/>
      <family val="2"/>
    </font>
    <font>
      <b/>
      <sz val="11"/>
      <color rgb="FFFF0000"/>
      <name val="Gill Sans MT"/>
      <family val="2"/>
    </font>
    <font>
      <sz val="10"/>
      <color theme="1"/>
      <name val="Gill Sans MT"/>
      <family val="2"/>
    </font>
    <font>
      <sz val="10"/>
      <color rgb="FF000000"/>
      <name val="Gill Sans MT"/>
      <family val="2"/>
    </font>
    <font>
      <b/>
      <sz val="10"/>
      <color rgb="FFFFFFFF"/>
      <name val="Gill Sans MT"/>
      <family val="2"/>
    </font>
    <font>
      <b/>
      <sz val="10"/>
      <color rgb="FF000000"/>
      <name val="Gill Sans MT"/>
      <family val="2"/>
    </font>
    <font>
      <b/>
      <sz val="10"/>
      <color theme="1"/>
      <name val="Gill Sans MT"/>
      <family val="2"/>
    </font>
  </fonts>
  <fills count="13">
    <fill>
      <patternFill patternType="none"/>
    </fill>
    <fill>
      <patternFill patternType="gray125"/>
    </fill>
    <fill>
      <patternFill patternType="solid">
        <fgColor rgb="FF0F385A"/>
        <bgColor indexed="64"/>
      </patternFill>
    </fill>
    <fill>
      <patternFill patternType="solid">
        <fgColor rgb="FF1FB2DE"/>
        <bgColor indexed="64"/>
      </patternFill>
    </fill>
    <fill>
      <patternFill patternType="solid">
        <fgColor theme="4"/>
        <bgColor indexed="64"/>
      </patternFill>
    </fill>
    <fill>
      <patternFill patternType="solid">
        <fgColor theme="4" tint="0.79998168889431442"/>
        <bgColor theme="4" tint="0.79998168889431442"/>
      </patternFill>
    </fill>
    <fill>
      <patternFill patternType="solid">
        <fgColor theme="7" tint="-0.249977111117893"/>
        <bgColor indexed="64"/>
      </patternFill>
    </fill>
    <fill>
      <patternFill patternType="solid">
        <fgColor theme="7" tint="0.79998168889431442"/>
        <bgColor indexed="64"/>
      </patternFill>
    </fill>
    <fill>
      <patternFill patternType="solid">
        <fgColor rgb="FFFFFF00"/>
        <bgColor indexed="64"/>
      </patternFill>
    </fill>
    <fill>
      <patternFill patternType="solid">
        <fgColor rgb="FF0F385A"/>
        <bgColor rgb="FF000000"/>
      </patternFill>
    </fill>
    <fill>
      <patternFill patternType="solid">
        <fgColor rgb="FFDDEBF7"/>
        <bgColor rgb="FF000000"/>
      </patternFill>
    </fill>
    <fill>
      <patternFill patternType="solid">
        <fgColor rgb="FF1FB2DE"/>
        <bgColor rgb="FF000000"/>
      </patternFill>
    </fill>
    <fill>
      <patternFill patternType="solid">
        <fgColor theme="4" tint="0.79998168889431442"/>
        <bgColor indexed="64"/>
      </patternFill>
    </fill>
  </fills>
  <borders count="24">
    <border>
      <left/>
      <right/>
      <top/>
      <bottom/>
      <diagonal/>
    </border>
    <border>
      <left style="thin">
        <color rgb="FF1FB2DE"/>
      </left>
      <right/>
      <top/>
      <bottom/>
      <diagonal/>
    </border>
    <border>
      <left style="thin">
        <color auto="1"/>
      </left>
      <right style="thin">
        <color auto="1"/>
      </right>
      <top style="thin">
        <color auto="1"/>
      </top>
      <bottom style="thin">
        <color auto="1"/>
      </bottom>
      <diagonal/>
    </border>
    <border>
      <left style="thin">
        <color theme="4" tint="0.39997558519241921"/>
      </left>
      <right style="thin">
        <color theme="4" tint="0.39997558519241921"/>
      </right>
      <top style="thin">
        <color theme="4" tint="0.39997558519241921"/>
      </top>
      <bottom style="thin">
        <color theme="4" tint="0.39997558519241921"/>
      </bottom>
      <diagonal/>
    </border>
    <border>
      <left style="thin">
        <color theme="4" tint="0.39997558519241921"/>
      </left>
      <right style="thin">
        <color theme="4" tint="0.39997558519241921"/>
      </right>
      <top style="thin">
        <color theme="4" tint="0.39997558519241921"/>
      </top>
      <bottom/>
      <diagonal/>
    </border>
    <border>
      <left/>
      <right/>
      <top style="medium">
        <color rgb="FF000000"/>
      </top>
      <bottom/>
      <diagonal/>
    </border>
    <border>
      <left/>
      <right/>
      <top/>
      <bottom style="medium">
        <color rgb="FF000000"/>
      </bottom>
      <diagonal/>
    </border>
    <border>
      <left style="thin">
        <color indexed="64"/>
      </left>
      <right style="thin">
        <color indexed="64"/>
      </right>
      <top style="thin">
        <color indexed="64"/>
      </top>
      <bottom/>
      <diagonal/>
    </border>
    <border>
      <left/>
      <right/>
      <top/>
      <bottom style="medium">
        <color indexed="64"/>
      </bottom>
      <diagonal/>
    </border>
    <border>
      <left/>
      <right/>
      <top style="thin">
        <color auto="1"/>
      </top>
      <bottom/>
      <diagonal/>
    </border>
    <border>
      <left style="thin">
        <color rgb="FF1FB2DE"/>
      </left>
      <right/>
      <top style="thin">
        <color auto="1"/>
      </top>
      <bottom/>
      <diagonal/>
    </border>
    <border>
      <left style="medium">
        <color rgb="FF505050"/>
      </left>
      <right style="thin">
        <color auto="1"/>
      </right>
      <top style="medium">
        <color rgb="FF505050"/>
      </top>
      <bottom style="thin">
        <color auto="1"/>
      </bottom>
      <diagonal/>
    </border>
    <border>
      <left style="thin">
        <color auto="1"/>
      </left>
      <right style="thin">
        <color auto="1"/>
      </right>
      <top style="medium">
        <color rgb="FF505050"/>
      </top>
      <bottom style="thin">
        <color auto="1"/>
      </bottom>
      <diagonal/>
    </border>
    <border>
      <left style="thin">
        <color auto="1"/>
      </left>
      <right style="medium">
        <color rgb="FF505050"/>
      </right>
      <top style="medium">
        <color rgb="FF505050"/>
      </top>
      <bottom style="thin">
        <color auto="1"/>
      </bottom>
      <diagonal/>
    </border>
    <border>
      <left style="medium">
        <color rgb="FF505050"/>
      </left>
      <right/>
      <top/>
      <bottom/>
      <diagonal/>
    </border>
    <border>
      <left/>
      <right style="medium">
        <color rgb="FF505050"/>
      </right>
      <top/>
      <bottom/>
      <diagonal/>
    </border>
    <border>
      <left style="medium">
        <color rgb="FF505050"/>
      </left>
      <right/>
      <top/>
      <bottom style="medium">
        <color rgb="FF505050"/>
      </bottom>
      <diagonal/>
    </border>
    <border>
      <left/>
      <right/>
      <top/>
      <bottom style="medium">
        <color rgb="FF505050"/>
      </bottom>
      <diagonal/>
    </border>
    <border>
      <left/>
      <right style="medium">
        <color rgb="FF505050"/>
      </right>
      <top/>
      <bottom style="medium">
        <color rgb="FF505050"/>
      </bottom>
      <diagonal/>
    </border>
    <border>
      <left style="thin">
        <color auto="1"/>
      </left>
      <right/>
      <top style="medium">
        <color rgb="FF505050"/>
      </top>
      <bottom style="thin">
        <color auto="1"/>
      </bottom>
      <diagonal/>
    </border>
    <border>
      <left/>
      <right/>
      <top style="medium">
        <color indexed="64"/>
      </top>
      <bottom/>
      <diagonal/>
    </border>
    <border>
      <left/>
      <right/>
      <top style="medium">
        <color indexed="64"/>
      </top>
      <bottom style="medium">
        <color indexed="64"/>
      </bottom>
      <diagonal/>
    </border>
    <border>
      <left style="thin">
        <color rgb="FF1FB2DE"/>
      </left>
      <right style="thin">
        <color rgb="FF1FB2DE"/>
      </right>
      <top/>
      <bottom style="thin">
        <color rgb="FF1FB2DE"/>
      </bottom>
      <diagonal/>
    </border>
    <border>
      <left style="thin">
        <color auto="1"/>
      </left>
      <right style="thin">
        <color auto="1"/>
      </right>
      <top/>
      <bottom style="thin">
        <color auto="1"/>
      </bottom>
      <diagonal/>
    </border>
  </borders>
  <cellStyleXfs count="2">
    <xf numFmtId="0" fontId="0" fillId="0" borderId="0"/>
    <xf numFmtId="0" fontId="17" fillId="0" borderId="0" applyNumberFormat="0" applyFill="0" applyBorder="0" applyAlignment="0" applyProtection="0"/>
  </cellStyleXfs>
  <cellXfs count="191">
    <xf numFmtId="0" fontId="0" fillId="0" borderId="0" xfId="0"/>
    <xf numFmtId="0" fontId="3" fillId="0" borderId="0" xfId="0" applyFont="1"/>
    <xf numFmtId="0" fontId="3" fillId="0" borderId="0" xfId="0" applyFont="1" applyAlignment="1">
      <alignment wrapText="1"/>
    </xf>
    <xf numFmtId="0" fontId="3" fillId="0" borderId="0" xfId="0" applyFont="1" applyAlignment="1">
      <alignment horizontal="left" wrapText="1"/>
    </xf>
    <xf numFmtId="0" fontId="3" fillId="0" borderId="0" xfId="0" applyFont="1" applyAlignment="1">
      <alignment vertical="center" wrapText="1"/>
    </xf>
    <xf numFmtId="0" fontId="3" fillId="0" borderId="0" xfId="0" applyFont="1" applyAlignment="1">
      <alignment horizontal="left" vertical="center" wrapText="1"/>
    </xf>
    <xf numFmtId="0" fontId="3" fillId="0" borderId="0" xfId="0" applyFont="1" applyAlignment="1">
      <alignment horizontal="center" vertical="center" wrapText="1"/>
    </xf>
    <xf numFmtId="0" fontId="3" fillId="0" borderId="0" xfId="0" applyFont="1" applyAlignment="1">
      <alignment horizontal="center" vertical="center"/>
    </xf>
    <xf numFmtId="0" fontId="8" fillId="0" borderId="0" xfId="0" applyFont="1" applyAlignment="1">
      <alignment horizontal="justify" vertical="center"/>
    </xf>
    <xf numFmtId="0" fontId="0" fillId="0" borderId="0" xfId="0" applyAlignment="1">
      <alignment vertical="center"/>
    </xf>
    <xf numFmtId="0" fontId="8" fillId="0" borderId="0" xfId="0" applyFont="1" applyAlignment="1">
      <alignment horizontal="justify" vertical="center" wrapText="1"/>
    </xf>
    <xf numFmtId="0" fontId="12" fillId="0" borderId="0" xfId="0" applyFont="1" applyAlignment="1">
      <alignment wrapText="1"/>
    </xf>
    <xf numFmtId="0" fontId="10" fillId="0" borderId="0" xfId="0" applyFont="1"/>
    <xf numFmtId="0" fontId="0" fillId="0" borderId="0" xfId="0" applyAlignment="1">
      <alignment horizontal="center" vertical="center"/>
    </xf>
    <xf numFmtId="0" fontId="3" fillId="0" borderId="0" xfId="0" applyFont="1" applyAlignment="1">
      <alignment horizontal="center"/>
    </xf>
    <xf numFmtId="0" fontId="11" fillId="0" borderId="0" xfId="0" applyFont="1" applyAlignment="1">
      <alignment horizontal="center" vertical="center"/>
    </xf>
    <xf numFmtId="0" fontId="5" fillId="0" borderId="0" xfId="0" applyFont="1" applyAlignment="1">
      <alignment horizontal="center" vertical="center"/>
    </xf>
    <xf numFmtId="0" fontId="5" fillId="0" borderId="0" xfId="0" applyFont="1" applyAlignment="1">
      <alignment vertical="center"/>
    </xf>
    <xf numFmtId="0" fontId="11" fillId="0" borderId="0" xfId="0" applyFont="1" applyAlignment="1">
      <alignment vertical="center"/>
    </xf>
    <xf numFmtId="0" fontId="11" fillId="5" borderId="3" xfId="0" applyFont="1" applyFill="1" applyBorder="1" applyAlignment="1">
      <alignment vertical="center"/>
    </xf>
    <xf numFmtId="0" fontId="3" fillId="5" borderId="3" xfId="0" applyFont="1" applyFill="1" applyBorder="1"/>
    <xf numFmtId="0" fontId="11" fillId="0" borderId="3" xfId="0" applyFont="1" applyBorder="1" applyAlignment="1">
      <alignment vertical="center"/>
    </xf>
    <xf numFmtId="0" fontId="3" fillId="0" borderId="3" xfId="0" applyFont="1" applyBorder="1"/>
    <xf numFmtId="0" fontId="11" fillId="5" borderId="4" xfId="0" applyFont="1" applyFill="1" applyBorder="1" applyAlignment="1">
      <alignment vertical="center"/>
    </xf>
    <xf numFmtId="0" fontId="3" fillId="5" borderId="4" xfId="0" applyFont="1" applyFill="1" applyBorder="1"/>
    <xf numFmtId="0" fontId="3" fillId="0" borderId="4" xfId="0" applyFont="1" applyBorder="1"/>
    <xf numFmtId="0" fontId="0" fillId="0" borderId="0" xfId="0" applyAlignment="1">
      <alignment horizontal="left" vertical="center"/>
    </xf>
    <xf numFmtId="0" fontId="0" fillId="0" borderId="0" xfId="0" applyAlignment="1">
      <alignment horizontal="left" vertical="center" wrapText="1"/>
    </xf>
    <xf numFmtId="0" fontId="9" fillId="0" borderId="0" xfId="0" applyFont="1" applyAlignment="1">
      <alignment vertical="center" wrapText="1"/>
    </xf>
    <xf numFmtId="0" fontId="3" fillId="0" borderId="0" xfId="0" applyFont="1" applyAlignment="1">
      <alignment horizontal="center" wrapText="1"/>
    </xf>
    <xf numFmtId="0" fontId="16" fillId="0" borderId="0" xfId="0" applyFont="1" applyAlignment="1">
      <alignment horizontal="center" vertical="center" wrapText="1"/>
    </xf>
    <xf numFmtId="0" fontId="11" fillId="0" borderId="0" xfId="0" applyFont="1" applyAlignment="1">
      <alignment horizontal="center" vertical="center" wrapText="1"/>
    </xf>
    <xf numFmtId="0" fontId="15" fillId="0" borderId="0" xfId="0" applyFont="1" applyAlignment="1">
      <alignment horizontal="left" vertical="center" wrapText="1"/>
    </xf>
    <xf numFmtId="0" fontId="11" fillId="0" borderId="0" xfId="0" applyFont="1" applyAlignment="1">
      <alignment horizontal="left" vertical="center"/>
    </xf>
    <xf numFmtId="0" fontId="11" fillId="0" borderId="0" xfId="0" applyFont="1" applyAlignment="1">
      <alignment vertical="center" wrapText="1"/>
    </xf>
    <xf numFmtId="0" fontId="14" fillId="0" borderId="0" xfId="0" applyFont="1" applyAlignment="1">
      <alignment horizontal="center" vertical="center" wrapText="1"/>
    </xf>
    <xf numFmtId="0" fontId="22" fillId="10" borderId="2" xfId="0" applyFont="1" applyFill="1" applyBorder="1" applyAlignment="1">
      <alignment horizontal="center" vertical="center" wrapText="1"/>
    </xf>
    <xf numFmtId="0" fontId="22" fillId="11" borderId="2" xfId="0" applyFont="1" applyFill="1" applyBorder="1" applyAlignment="1">
      <alignment horizontal="center" vertical="center" wrapText="1"/>
    </xf>
    <xf numFmtId="0" fontId="14" fillId="2" borderId="2" xfId="0" applyFont="1" applyFill="1" applyBorder="1" applyAlignment="1">
      <alignment horizontal="center" vertical="center" wrapText="1"/>
    </xf>
    <xf numFmtId="0" fontId="23" fillId="0" borderId="0" xfId="0" applyFont="1" applyAlignment="1">
      <alignment horizontal="center" vertical="center" wrapText="1"/>
    </xf>
    <xf numFmtId="0" fontId="4" fillId="2" borderId="2" xfId="0" applyFont="1" applyFill="1" applyBorder="1" applyAlignment="1">
      <alignment horizontal="center" vertical="center" wrapText="1"/>
    </xf>
    <xf numFmtId="0" fontId="7" fillId="0" borderId="0" xfId="0" applyFont="1" applyAlignment="1">
      <alignment wrapText="1"/>
    </xf>
    <xf numFmtId="0" fontId="3" fillId="0" borderId="6" xfId="0" applyFont="1" applyBorder="1" applyAlignment="1">
      <alignment horizontal="center" vertical="center" wrapText="1"/>
    </xf>
    <xf numFmtId="0" fontId="3" fillId="0" borderId="6" xfId="0" applyFont="1" applyBorder="1" applyAlignment="1">
      <alignment horizontal="left" vertical="center" wrapText="1"/>
    </xf>
    <xf numFmtId="0" fontId="19" fillId="9" borderId="0" xfId="0" applyFont="1" applyFill="1" applyAlignment="1">
      <alignment horizontal="center" vertical="center" wrapText="1"/>
    </xf>
    <xf numFmtId="0" fontId="22" fillId="0" borderId="0" xfId="0" applyFont="1" applyAlignment="1">
      <alignment horizontal="left" vertical="center" wrapText="1"/>
    </xf>
    <xf numFmtId="0" fontId="21" fillId="2" borderId="2" xfId="0" applyFont="1" applyFill="1" applyBorder="1" applyAlignment="1">
      <alignment horizontal="center" vertical="center" wrapText="1"/>
    </xf>
    <xf numFmtId="0" fontId="6" fillId="3" borderId="2" xfId="0" applyFont="1" applyFill="1" applyBorder="1" applyAlignment="1">
      <alignment horizontal="center" vertical="center" wrapText="1"/>
    </xf>
    <xf numFmtId="0" fontId="7" fillId="3" borderId="2" xfId="0" applyFont="1" applyFill="1" applyBorder="1" applyAlignment="1">
      <alignment horizontal="center" vertical="center" wrapText="1"/>
    </xf>
    <xf numFmtId="0" fontId="11" fillId="0" borderId="0" xfId="0" applyFont="1"/>
    <xf numFmtId="0" fontId="4" fillId="2" borderId="7" xfId="0" applyFont="1" applyFill="1" applyBorder="1" applyAlignment="1">
      <alignment horizontal="center" vertical="center" wrapText="1"/>
    </xf>
    <xf numFmtId="0" fontId="3" fillId="0" borderId="9" xfId="0" applyFont="1" applyBorder="1" applyAlignment="1">
      <alignment horizontal="left" vertical="center" wrapText="1"/>
    </xf>
    <xf numFmtId="0" fontId="22" fillId="11" borderId="0" xfId="0" applyFont="1" applyFill="1" applyAlignment="1">
      <alignment horizontal="center" vertical="center" wrapText="1"/>
    </xf>
    <xf numFmtId="0" fontId="24" fillId="11" borderId="0" xfId="0" applyFont="1" applyFill="1" applyAlignment="1">
      <alignment horizontal="center" vertical="center" wrapText="1"/>
    </xf>
    <xf numFmtId="0" fontId="6" fillId="11" borderId="0" xfId="0" applyFont="1" applyFill="1" applyAlignment="1">
      <alignment horizontal="center" vertical="center" wrapText="1"/>
    </xf>
    <xf numFmtId="0" fontId="11" fillId="0" borderId="0" xfId="0" applyFont="1" applyAlignment="1">
      <alignment wrapText="1"/>
    </xf>
    <xf numFmtId="0" fontId="3" fillId="0" borderId="6" xfId="0" applyFont="1" applyBorder="1" applyAlignment="1">
      <alignment vertical="center" wrapText="1"/>
    </xf>
    <xf numFmtId="0" fontId="0" fillId="0" borderId="6" xfId="0" applyBorder="1" applyAlignment="1">
      <alignment vertical="center"/>
    </xf>
    <xf numFmtId="0" fontId="13" fillId="0" borderId="0" xfId="0" applyFont="1" applyAlignment="1">
      <alignment horizontal="left" vertical="center" wrapText="1"/>
    </xf>
    <xf numFmtId="0" fontId="21" fillId="9" borderId="0" xfId="0" applyFont="1" applyFill="1" applyAlignment="1">
      <alignment horizontal="center" vertical="center" wrapText="1"/>
    </xf>
    <xf numFmtId="0" fontId="18" fillId="10" borderId="2" xfId="0" applyFont="1" applyFill="1" applyBorder="1" applyAlignment="1">
      <alignment horizontal="center" vertical="center" wrapText="1"/>
    </xf>
    <xf numFmtId="0" fontId="18" fillId="11" borderId="2" xfId="0" applyFont="1" applyFill="1" applyBorder="1" applyAlignment="1">
      <alignment horizontal="center" vertical="center" wrapText="1"/>
    </xf>
    <xf numFmtId="0" fontId="21" fillId="9" borderId="10" xfId="0" applyFont="1" applyFill="1" applyBorder="1" applyAlignment="1">
      <alignment horizontal="center" vertical="center" wrapText="1"/>
    </xf>
    <xf numFmtId="0" fontId="18" fillId="11" borderId="0" xfId="0" applyFont="1" applyFill="1" applyAlignment="1">
      <alignment horizontal="center" vertical="center" wrapText="1"/>
    </xf>
    <xf numFmtId="0" fontId="18" fillId="0" borderId="0" xfId="0" applyFont="1" applyAlignment="1">
      <alignment horizontal="left" vertical="center" wrapText="1"/>
    </xf>
    <xf numFmtId="0" fontId="3" fillId="0" borderId="14" xfId="0" applyFont="1" applyBorder="1"/>
    <xf numFmtId="0" fontId="3" fillId="0" borderId="15" xfId="0" applyFont="1" applyBorder="1"/>
    <xf numFmtId="0" fontId="7" fillId="0" borderId="0" xfId="0" applyFont="1"/>
    <xf numFmtId="0" fontId="7" fillId="8" borderId="0" xfId="0" applyFont="1" applyFill="1"/>
    <xf numFmtId="0" fontId="7" fillId="0" borderId="14" xfId="0" applyFont="1" applyBorder="1"/>
    <xf numFmtId="0" fontId="7" fillId="0" borderId="15" xfId="0" applyFont="1" applyBorder="1"/>
    <xf numFmtId="0" fontId="3" fillId="0" borderId="16" xfId="0" applyFont="1" applyBorder="1"/>
    <xf numFmtId="0" fontId="3" fillId="0" borderId="17" xfId="0" applyFont="1" applyBorder="1"/>
    <xf numFmtId="0" fontId="3" fillId="0" borderId="18" xfId="0" applyFont="1" applyBorder="1"/>
    <xf numFmtId="0" fontId="3" fillId="6" borderId="0" xfId="0" applyFont="1" applyFill="1"/>
    <xf numFmtId="0" fontId="7" fillId="8" borderId="14" xfId="0" applyFont="1" applyFill="1" applyBorder="1"/>
    <xf numFmtId="0" fontId="3" fillId="7" borderId="0" xfId="0" applyFont="1" applyFill="1"/>
    <xf numFmtId="0" fontId="7" fillId="6" borderId="0" xfId="0" applyFont="1" applyFill="1"/>
    <xf numFmtId="0" fontId="25" fillId="8" borderId="0" xfId="0" applyFont="1" applyFill="1"/>
    <xf numFmtId="0" fontId="7" fillId="8" borderId="15" xfId="0" applyFont="1" applyFill="1" applyBorder="1"/>
    <xf numFmtId="0" fontId="11" fillId="0" borderId="0" xfId="0" applyFont="1" applyAlignment="1">
      <alignment horizontal="left" vertical="center" wrapText="1"/>
    </xf>
    <xf numFmtId="0" fontId="19" fillId="9" borderId="2" xfId="0" applyFont="1" applyFill="1" applyBorder="1" applyAlignment="1">
      <alignment horizontal="center" vertical="center" wrapText="1"/>
    </xf>
    <xf numFmtId="0" fontId="24" fillId="11" borderId="2" xfId="0" applyFont="1" applyFill="1" applyBorder="1" applyAlignment="1">
      <alignment horizontal="center" vertical="center" wrapText="1"/>
    </xf>
    <xf numFmtId="0" fontId="23" fillId="0" borderId="0" xfId="0" applyFont="1" applyAlignment="1">
      <alignment horizontal="left" vertical="center" wrapText="1"/>
    </xf>
    <xf numFmtId="0" fontId="21" fillId="9" borderId="2" xfId="0" applyFont="1" applyFill="1" applyBorder="1" applyAlignment="1">
      <alignment horizontal="center" vertical="center" wrapText="1"/>
    </xf>
    <xf numFmtId="0" fontId="6" fillId="11" borderId="2" xfId="0" applyFont="1" applyFill="1" applyBorder="1" applyAlignment="1">
      <alignment horizontal="center" vertical="center" wrapText="1"/>
    </xf>
    <xf numFmtId="0" fontId="7" fillId="0" borderId="0" xfId="0" applyFont="1" applyAlignment="1">
      <alignment horizontal="left" vertical="center" wrapText="1"/>
    </xf>
    <xf numFmtId="0" fontId="3" fillId="0" borderId="8" xfId="0" applyFont="1" applyBorder="1" applyAlignment="1">
      <alignment horizontal="left" vertical="center" wrapText="1"/>
    </xf>
    <xf numFmtId="0" fontId="3" fillId="0" borderId="8" xfId="0" applyFont="1" applyBorder="1" applyAlignment="1">
      <alignment horizontal="center" vertical="center" wrapText="1"/>
    </xf>
    <xf numFmtId="0" fontId="0" fillId="0" borderId="8" xfId="0" applyBorder="1" applyAlignment="1">
      <alignment vertical="center"/>
    </xf>
    <xf numFmtId="0" fontId="12" fillId="0" borderId="0" xfId="0" applyFont="1" applyAlignment="1">
      <alignment vertical="center" wrapText="1"/>
    </xf>
    <xf numFmtId="0" fontId="3" fillId="0" borderId="0" xfId="0" applyFont="1" applyAlignment="1">
      <alignment vertical="center"/>
    </xf>
    <xf numFmtId="0" fontId="13" fillId="0" borderId="9" xfId="0" applyFont="1" applyBorder="1" applyAlignment="1">
      <alignment horizontal="left" vertical="center" wrapText="1"/>
    </xf>
    <xf numFmtId="0" fontId="11" fillId="0" borderId="9" xfId="0" applyFont="1" applyBorder="1" applyAlignment="1">
      <alignment vertical="center" wrapText="1"/>
    </xf>
    <xf numFmtId="0" fontId="11" fillId="0" borderId="8" xfId="0" applyFont="1" applyBorder="1" applyAlignment="1">
      <alignment vertical="center" wrapText="1"/>
    </xf>
    <xf numFmtId="0" fontId="13" fillId="0" borderId="8" xfId="0" applyFont="1" applyBorder="1" applyAlignment="1">
      <alignment horizontal="left" vertical="center" wrapText="1"/>
    </xf>
    <xf numFmtId="0" fontId="11" fillId="0" borderId="8" xfId="0" applyFont="1" applyBorder="1" applyAlignment="1">
      <alignment horizontal="left" vertical="center" wrapText="1"/>
    </xf>
    <xf numFmtId="0" fontId="13" fillId="0" borderId="20" xfId="0" applyFont="1" applyBorder="1" applyAlignment="1">
      <alignment horizontal="left" vertical="center" wrapText="1"/>
    </xf>
    <xf numFmtId="0" fontId="11" fillId="0" borderId="20" xfId="0" applyFont="1" applyBorder="1" applyAlignment="1">
      <alignment vertical="center" wrapText="1"/>
    </xf>
    <xf numFmtId="0" fontId="3" fillId="0" borderId="0" xfId="0" applyFont="1" applyAlignment="1">
      <alignment horizontal="left" vertical="center"/>
    </xf>
    <xf numFmtId="0" fontId="3" fillId="0" borderId="8" xfId="0" applyFont="1" applyBorder="1" applyAlignment="1">
      <alignment horizontal="left" vertical="center"/>
    </xf>
    <xf numFmtId="0" fontId="11" fillId="0" borderId="20" xfId="0" applyFont="1" applyBorder="1" applyAlignment="1">
      <alignment horizontal="left" vertical="center" wrapText="1"/>
    </xf>
    <xf numFmtId="0" fontId="11" fillId="0" borderId="6" xfId="0" applyFont="1" applyBorder="1" applyAlignment="1">
      <alignment vertical="center" wrapText="1"/>
    </xf>
    <xf numFmtId="0" fontId="13" fillId="0" borderId="6" xfId="0" applyFont="1" applyBorder="1" applyAlignment="1">
      <alignment horizontal="left" vertical="center" wrapText="1"/>
    </xf>
    <xf numFmtId="0" fontId="3" fillId="7" borderId="21" xfId="0" applyFont="1" applyFill="1" applyBorder="1" applyAlignment="1">
      <alignment horizontal="left" vertical="center" wrapText="1"/>
    </xf>
    <xf numFmtId="0" fontId="3" fillId="7" borderId="21" xfId="0" applyFont="1" applyFill="1" applyBorder="1" applyAlignment="1">
      <alignment horizontal="center" vertical="center" wrapText="1"/>
    </xf>
    <xf numFmtId="0" fontId="11" fillId="7" borderId="21" xfId="0" applyFont="1" applyFill="1" applyBorder="1" applyAlignment="1">
      <alignment horizontal="center" vertical="center" wrapText="1"/>
    </xf>
    <xf numFmtId="0" fontId="11" fillId="7" borderId="21" xfId="0" applyFont="1" applyFill="1" applyBorder="1" applyAlignment="1">
      <alignment horizontal="left" vertical="center" wrapText="1"/>
    </xf>
    <xf numFmtId="0" fontId="3" fillId="7" borderId="21" xfId="0" applyFont="1" applyFill="1" applyBorder="1" applyAlignment="1">
      <alignment horizontal="center" vertical="center"/>
    </xf>
    <xf numFmtId="49" fontId="3" fillId="7" borderId="21" xfId="0" applyNumberFormat="1" applyFont="1" applyFill="1" applyBorder="1" applyAlignment="1">
      <alignment horizontal="left" vertical="center" wrapText="1"/>
    </xf>
    <xf numFmtId="0" fontId="11" fillId="12" borderId="21" xfId="0" applyFont="1" applyFill="1" applyBorder="1" applyAlignment="1">
      <alignment horizontal="left" vertical="center" wrapText="1"/>
    </xf>
    <xf numFmtId="0" fontId="19" fillId="0" borderId="0" xfId="0" applyFont="1" applyAlignment="1">
      <alignment horizontal="center" vertical="center" wrapText="1"/>
    </xf>
    <xf numFmtId="0" fontId="21" fillId="0" borderId="0" xfId="0" applyFont="1" applyAlignment="1">
      <alignment horizontal="center" vertical="center" wrapText="1"/>
    </xf>
    <xf numFmtId="0" fontId="3" fillId="0" borderId="20" xfId="0" applyFont="1" applyBorder="1" applyAlignment="1">
      <alignment horizontal="left" vertical="center"/>
    </xf>
    <xf numFmtId="0" fontId="3" fillId="0" borderId="0" xfId="0" applyFont="1" applyAlignment="1">
      <alignment horizontal="left"/>
    </xf>
    <xf numFmtId="0" fontId="3" fillId="12" borderId="21" xfId="0" applyFont="1" applyFill="1" applyBorder="1" applyAlignment="1">
      <alignment horizontal="left" vertical="center"/>
    </xf>
    <xf numFmtId="0" fontId="3" fillId="12" borderId="21" xfId="0" applyFont="1" applyFill="1" applyBorder="1" applyAlignment="1">
      <alignment horizontal="center" vertical="center"/>
    </xf>
    <xf numFmtId="0" fontId="3" fillId="12" borderId="21" xfId="0" applyFont="1" applyFill="1" applyBorder="1" applyAlignment="1">
      <alignment horizontal="center" vertical="center" wrapText="1"/>
    </xf>
    <xf numFmtId="0" fontId="3" fillId="12" borderId="21" xfId="0" applyFont="1" applyFill="1" applyBorder="1" applyAlignment="1">
      <alignment horizontal="left" vertical="center" wrapText="1"/>
    </xf>
    <xf numFmtId="0" fontId="11" fillId="12" borderId="21" xfId="0" applyFont="1" applyFill="1" applyBorder="1" applyAlignment="1">
      <alignment horizontal="center" vertical="center"/>
    </xf>
    <xf numFmtId="0" fontId="26" fillId="0" borderId="0" xfId="0" applyFont="1" applyAlignment="1">
      <alignment horizontal="left" vertical="center"/>
    </xf>
    <xf numFmtId="0" fontId="27" fillId="0" borderId="0" xfId="0" applyFont="1" applyAlignment="1">
      <alignment horizontal="left" vertical="center" wrapText="1"/>
    </xf>
    <xf numFmtId="0" fontId="28" fillId="9" borderId="22" xfId="0" applyFont="1" applyFill="1" applyBorder="1" applyAlignment="1">
      <alignment horizontal="center" vertical="center" wrapText="1"/>
    </xf>
    <xf numFmtId="0" fontId="26" fillId="0" borderId="0" xfId="0" applyFont="1" applyAlignment="1">
      <alignment horizontal="center" vertical="center"/>
    </xf>
    <xf numFmtId="0" fontId="26" fillId="0" borderId="0" xfId="0" applyFont="1" applyAlignment="1">
      <alignment horizontal="left" vertical="center" wrapText="1"/>
    </xf>
    <xf numFmtId="0" fontId="26" fillId="0" borderId="0" xfId="0" applyFont="1" applyAlignment="1">
      <alignment horizontal="center" vertical="center" wrapText="1"/>
    </xf>
    <xf numFmtId="0" fontId="28" fillId="9" borderId="23" xfId="0" applyFont="1" applyFill="1" applyBorder="1" applyAlignment="1">
      <alignment horizontal="center" vertical="center" wrapText="1"/>
    </xf>
    <xf numFmtId="0" fontId="27" fillId="0" borderId="0" xfId="0" applyFont="1" applyAlignment="1">
      <alignment horizontal="center" vertical="center" wrapText="1"/>
    </xf>
    <xf numFmtId="0" fontId="26" fillId="0" borderId="0" xfId="0" applyFont="1" applyAlignment="1">
      <alignment horizontal="center"/>
    </xf>
    <xf numFmtId="0" fontId="28" fillId="9" borderId="2" xfId="0" applyFont="1" applyFill="1" applyBorder="1" applyAlignment="1">
      <alignment horizontal="center" vertical="center" wrapText="1"/>
    </xf>
    <xf numFmtId="0" fontId="26" fillId="0" borderId="0" xfId="0" applyFont="1"/>
    <xf numFmtId="0" fontId="24" fillId="0" borderId="0" xfId="0" applyFont="1" applyAlignment="1">
      <alignment horizontal="center" vertical="center" wrapText="1"/>
    </xf>
    <xf numFmtId="0" fontId="22" fillId="0" borderId="0" xfId="0" applyFont="1" applyAlignment="1">
      <alignment horizontal="center" vertical="center" wrapText="1"/>
    </xf>
    <xf numFmtId="0" fontId="13" fillId="0" borderId="0" xfId="0" applyFont="1" applyAlignment="1">
      <alignment vertical="center" wrapText="1"/>
    </xf>
    <xf numFmtId="0" fontId="6" fillId="3" borderId="7" xfId="0" applyFont="1" applyFill="1" applyBorder="1" applyAlignment="1">
      <alignment horizontal="center" vertical="center" wrapText="1"/>
    </xf>
    <xf numFmtId="0" fontId="3" fillId="0" borderId="9" xfId="0" applyFont="1" applyBorder="1" applyAlignment="1">
      <alignment vertical="center" wrapText="1"/>
    </xf>
    <xf numFmtId="0" fontId="0" fillId="0" borderId="8" xfId="0" applyBorder="1" applyAlignment="1">
      <alignment horizontal="left" vertical="center"/>
    </xf>
    <xf numFmtId="0" fontId="5" fillId="0" borderId="0" xfId="0" applyFont="1" applyAlignment="1">
      <alignment horizontal="center" vertical="center" wrapText="1"/>
    </xf>
    <xf numFmtId="0" fontId="29" fillId="0" borderId="0" xfId="0" applyFont="1" applyAlignment="1">
      <alignment horizontal="center" vertical="center" wrapText="1"/>
    </xf>
    <xf numFmtId="0" fontId="30" fillId="0" borderId="0" xfId="0" applyFont="1" applyAlignment="1">
      <alignment horizontal="center" vertical="center"/>
    </xf>
    <xf numFmtId="0" fontId="3" fillId="0" borderId="9" xfId="0" applyFont="1" applyBorder="1" applyAlignment="1">
      <alignment horizontal="center" vertical="center" wrapText="1"/>
    </xf>
    <xf numFmtId="0" fontId="3" fillId="0" borderId="0" xfId="0" applyFont="1" applyAlignment="1">
      <alignment horizontal="center" vertical="center" wrapText="1"/>
    </xf>
    <xf numFmtId="0" fontId="14" fillId="2" borderId="2" xfId="0" applyFont="1" applyFill="1" applyBorder="1" applyAlignment="1">
      <alignment horizontal="center" vertical="center" wrapText="1"/>
    </xf>
    <xf numFmtId="0" fontId="3" fillId="0" borderId="9" xfId="0" applyFont="1" applyBorder="1" applyAlignment="1">
      <alignment horizontal="left" vertical="center" wrapText="1"/>
    </xf>
    <xf numFmtId="0" fontId="3" fillId="0" borderId="0" xfId="0" applyFont="1" applyAlignment="1">
      <alignment horizontal="left" vertical="center" wrapText="1"/>
    </xf>
    <xf numFmtId="0" fontId="21" fillId="9" borderId="1" xfId="0" applyFont="1" applyFill="1" applyBorder="1" applyAlignment="1">
      <alignment horizontal="center" vertical="center" wrapText="1"/>
    </xf>
    <xf numFmtId="0" fontId="21" fillId="9" borderId="0" xfId="0" applyFont="1" applyFill="1" applyAlignment="1">
      <alignment horizontal="center" vertical="center" wrapText="1"/>
    </xf>
    <xf numFmtId="0" fontId="13" fillId="0" borderId="9" xfId="0" applyFont="1" applyBorder="1" applyAlignment="1">
      <alignment horizontal="center" vertical="center" wrapText="1"/>
    </xf>
    <xf numFmtId="0" fontId="13" fillId="0" borderId="0" xfId="0" applyFont="1" applyAlignment="1">
      <alignment horizontal="center" vertical="center" wrapText="1"/>
    </xf>
    <xf numFmtId="0" fontId="13" fillId="0" borderId="8" xfId="0" applyFont="1" applyBorder="1" applyAlignment="1">
      <alignment horizontal="center" vertical="center" wrapText="1"/>
    </xf>
    <xf numFmtId="0" fontId="11" fillId="0" borderId="20" xfId="0" applyFont="1" applyBorder="1" applyAlignment="1">
      <alignment horizontal="center" vertical="center"/>
    </xf>
    <xf numFmtId="0" fontId="11" fillId="0" borderId="0" xfId="0" applyFont="1" applyAlignment="1">
      <alignment horizontal="center" vertical="center"/>
    </xf>
    <xf numFmtId="0" fontId="11" fillId="0" borderId="8" xfId="0" applyFont="1" applyBorder="1" applyAlignment="1">
      <alignment horizontal="center" vertical="center"/>
    </xf>
    <xf numFmtId="0" fontId="11" fillId="0" borderId="20" xfId="0" applyFont="1" applyBorder="1" applyAlignment="1">
      <alignment horizontal="left" vertical="center" wrapText="1"/>
    </xf>
    <xf numFmtId="0" fontId="11" fillId="0" borderId="0" xfId="0" applyFont="1" applyAlignment="1">
      <alignment horizontal="left" vertical="center" wrapText="1"/>
    </xf>
    <xf numFmtId="0" fontId="11" fillId="0" borderId="8" xfId="0" applyFont="1" applyBorder="1" applyAlignment="1">
      <alignment horizontal="left" vertical="center" wrapText="1"/>
    </xf>
    <xf numFmtId="0" fontId="11" fillId="0" borderId="20" xfId="0" applyFont="1" applyBorder="1" applyAlignment="1">
      <alignment horizontal="center" vertical="center" wrapText="1"/>
    </xf>
    <xf numFmtId="0" fontId="11" fillId="0" borderId="0" xfId="0" applyFont="1" applyAlignment="1">
      <alignment horizontal="center" vertical="center" wrapText="1"/>
    </xf>
    <xf numFmtId="0" fontId="11" fillId="0" borderId="8" xfId="0" applyFont="1" applyBorder="1" applyAlignment="1">
      <alignment horizontal="center" vertical="center" wrapText="1"/>
    </xf>
    <xf numFmtId="0" fontId="13" fillId="0" borderId="20" xfId="0" applyFont="1" applyBorder="1" applyAlignment="1">
      <alignment horizontal="left" vertical="center" wrapText="1"/>
    </xf>
    <xf numFmtId="0" fontId="13" fillId="0" borderId="0" xfId="0" applyFont="1" applyAlignment="1">
      <alignment horizontal="left" vertical="center" wrapText="1"/>
    </xf>
    <xf numFmtId="0" fontId="13" fillId="0" borderId="8" xfId="0" applyFont="1" applyBorder="1" applyAlignment="1">
      <alignment horizontal="left" vertical="center" wrapText="1"/>
    </xf>
    <xf numFmtId="0" fontId="11" fillId="0" borderId="9" xfId="0" applyFont="1" applyBorder="1" applyAlignment="1">
      <alignment horizontal="center" vertical="center" wrapText="1"/>
    </xf>
    <xf numFmtId="0" fontId="3" fillId="0" borderId="20" xfId="0" applyFont="1" applyBorder="1" applyAlignment="1">
      <alignment horizontal="center" vertical="center" wrapText="1"/>
    </xf>
    <xf numFmtId="0" fontId="3" fillId="0" borderId="8" xfId="0" applyFont="1" applyBorder="1" applyAlignment="1">
      <alignment horizontal="center" vertical="center" wrapText="1"/>
    </xf>
    <xf numFmtId="0" fontId="13" fillId="0" borderId="9" xfId="0" applyFont="1" applyBorder="1" applyAlignment="1">
      <alignment horizontal="left" vertical="center" wrapText="1"/>
    </xf>
    <xf numFmtId="0" fontId="0" fillId="0" borderId="20" xfId="0" applyBorder="1" applyAlignment="1">
      <alignment horizontal="center" vertical="center"/>
    </xf>
    <xf numFmtId="0" fontId="0" fillId="0" borderId="0" xfId="0" applyAlignment="1">
      <alignment horizontal="center" vertical="center"/>
    </xf>
    <xf numFmtId="0" fontId="0" fillId="0" borderId="8" xfId="0" applyBorder="1" applyAlignment="1">
      <alignment horizontal="center" vertical="center"/>
    </xf>
    <xf numFmtId="0" fontId="0" fillId="0" borderId="20" xfId="0" applyBorder="1" applyAlignment="1">
      <alignment horizontal="left" vertical="center" wrapText="1"/>
    </xf>
    <xf numFmtId="0" fontId="0" fillId="0" borderId="0" xfId="0" applyAlignment="1">
      <alignment horizontal="left" vertical="center" wrapText="1"/>
    </xf>
    <xf numFmtId="0" fontId="0" fillId="0" borderId="8" xfId="0" applyBorder="1" applyAlignment="1">
      <alignment horizontal="left" vertical="center" wrapText="1"/>
    </xf>
    <xf numFmtId="0" fontId="0" fillId="0" borderId="20" xfId="0" applyBorder="1" applyAlignment="1">
      <alignment horizontal="center" vertical="center" wrapText="1"/>
    </xf>
    <xf numFmtId="0" fontId="3" fillId="0" borderId="0" xfId="0" applyFont="1" applyAlignment="1">
      <alignment horizontal="center" vertical="center"/>
    </xf>
    <xf numFmtId="0" fontId="3" fillId="0" borderId="8" xfId="0" applyFont="1" applyBorder="1" applyAlignment="1">
      <alignment horizontal="center" vertical="center"/>
    </xf>
    <xf numFmtId="0" fontId="11" fillId="0" borderId="6" xfId="0" applyFont="1" applyBorder="1" applyAlignment="1">
      <alignment horizontal="center" vertical="center" wrapText="1"/>
    </xf>
    <xf numFmtId="0" fontId="11" fillId="0" borderId="5" xfId="0" applyFont="1" applyBorder="1" applyAlignment="1">
      <alignment horizontal="center" vertical="center" wrapText="1"/>
    </xf>
    <xf numFmtId="0" fontId="11" fillId="0" borderId="6" xfId="0" applyFont="1" applyBorder="1" applyAlignment="1">
      <alignment horizontal="center" vertical="center"/>
    </xf>
    <xf numFmtId="0" fontId="11" fillId="0" borderId="6" xfId="0" applyFont="1" applyBorder="1" applyAlignment="1">
      <alignment horizontal="left" vertical="center" wrapText="1"/>
    </xf>
    <xf numFmtId="0" fontId="11" fillId="0" borderId="5" xfId="0" applyFont="1" applyBorder="1" applyAlignment="1">
      <alignment horizontal="left" vertical="center" wrapText="1"/>
    </xf>
    <xf numFmtId="0" fontId="19" fillId="9" borderId="2" xfId="0" applyFont="1" applyFill="1" applyBorder="1" applyAlignment="1">
      <alignment horizontal="center" vertical="center" wrapText="1"/>
    </xf>
    <xf numFmtId="0" fontId="3" fillId="0" borderId="8" xfId="0" applyFont="1" applyBorder="1" applyAlignment="1">
      <alignment horizontal="left" vertical="center" wrapText="1"/>
    </xf>
    <xf numFmtId="0" fontId="3" fillId="0" borderId="20" xfId="0" applyFont="1" applyBorder="1" applyAlignment="1">
      <alignment horizontal="left" vertical="center" wrapText="1"/>
    </xf>
    <xf numFmtId="0" fontId="3" fillId="0" borderId="0" xfId="0" applyFont="1" applyAlignment="1">
      <alignment horizontal="center"/>
    </xf>
    <xf numFmtId="0" fontId="5" fillId="4" borderId="11" xfId="0" applyFont="1" applyFill="1" applyBorder="1" applyAlignment="1">
      <alignment horizontal="center"/>
    </xf>
    <xf numFmtId="0" fontId="5" fillId="4" borderId="12" xfId="0" applyFont="1" applyFill="1" applyBorder="1" applyAlignment="1">
      <alignment horizontal="center"/>
    </xf>
    <xf numFmtId="0" fontId="5" fillId="4" borderId="19" xfId="0" applyFont="1" applyFill="1" applyBorder="1" applyAlignment="1">
      <alignment horizontal="center"/>
    </xf>
    <xf numFmtId="0" fontId="4" fillId="4" borderId="11" xfId="0" applyFont="1" applyFill="1" applyBorder="1" applyAlignment="1">
      <alignment horizontal="center"/>
    </xf>
    <xf numFmtId="0" fontId="4" fillId="4" borderId="12" xfId="0" applyFont="1" applyFill="1" applyBorder="1" applyAlignment="1">
      <alignment horizontal="center"/>
    </xf>
    <xf numFmtId="0" fontId="4" fillId="4" borderId="19" xfId="0" applyFont="1" applyFill="1" applyBorder="1" applyAlignment="1">
      <alignment horizontal="center"/>
    </xf>
    <xf numFmtId="0" fontId="4" fillId="4" borderId="13" xfId="0" applyFont="1" applyFill="1" applyBorder="1" applyAlignment="1">
      <alignment horizontal="center"/>
    </xf>
  </cellXfs>
  <cellStyles count="2">
    <cellStyle name="Hyperlink" xfId="1" xr:uid="{00000000-000B-0000-0000-000008000000}"/>
    <cellStyle name="Normal" xfId="0" builtinId="0"/>
  </cellStyles>
  <dxfs count="152">
    <dxf>
      <font>
        <b val="0"/>
        <i val="0"/>
        <strike val="0"/>
        <condense val="0"/>
        <extend val="0"/>
        <outline val="0"/>
        <shadow val="0"/>
        <u val="none"/>
        <vertAlign val="baseline"/>
        <sz val="11"/>
        <color theme="1"/>
        <name val="Gill Sans MT"/>
        <family val="2"/>
        <scheme val="none"/>
      </font>
      <fill>
        <patternFill patternType="solid">
          <fgColor theme="4" tint="0.79998168889431442"/>
          <bgColor theme="4" tint="0.79998168889431442"/>
        </patternFill>
      </fill>
      <alignment horizontal="general" vertical="bottom" textRotation="0" wrapText="0" indent="0" justifyLastLine="0" shrinkToFit="0" readingOrder="0"/>
      <border diagonalUp="0" diagonalDown="0">
        <left style="thin">
          <color theme="4" tint="0.39997558519241921"/>
        </left>
        <right style="thin">
          <color theme="4" tint="0.39997558519241921"/>
        </right>
        <top style="thin">
          <color theme="4" tint="0.39997558519241921"/>
        </top>
        <bottom style="thin">
          <color theme="4" tint="0.39997558519241921"/>
        </bottom>
        <vertical/>
        <horizontal/>
      </border>
    </dxf>
    <dxf>
      <border outline="0">
        <bottom style="thin">
          <color theme="4" tint="0.39997558519241921"/>
        </bottom>
      </border>
    </dxf>
    <dxf>
      <font>
        <b val="0"/>
        <i val="0"/>
        <strike val="0"/>
        <condense val="0"/>
        <extend val="0"/>
        <outline val="0"/>
        <shadow val="0"/>
        <u val="none"/>
        <vertAlign val="baseline"/>
        <sz val="11"/>
        <color theme="1"/>
        <name val="Gill Sans MT"/>
        <family val="2"/>
        <scheme val="none"/>
      </font>
      <fill>
        <patternFill patternType="solid">
          <fgColor theme="4" tint="0.79998168889431442"/>
          <bgColor theme="4" tint="0.79998168889431442"/>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border diagonalUp="0" diagonalDown="0">
        <left style="thin">
          <color theme="4" tint="0.39997558519241921"/>
        </left>
        <right style="thin">
          <color theme="4" tint="0.39997558519241921"/>
        </right>
        <top style="thin">
          <color theme="4" tint="0.39997558519241921"/>
        </top>
        <bottom style="thin">
          <color theme="4" tint="0.39997558519241921"/>
        </bottom>
        <vertical/>
        <horizontal/>
      </border>
    </dxf>
    <dxf>
      <border outline="0">
        <bottom style="thin">
          <color theme="4" tint="0.39997558519241921"/>
        </bottom>
      </border>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rgb="FF000000"/>
        <name val="Gill Sans MT"/>
        <family val="2"/>
        <scheme val="none"/>
      </font>
      <fill>
        <patternFill patternType="solid">
          <fgColor theme="4" tint="0.79998168889431442"/>
          <bgColor theme="4" tint="0.79998168889431442"/>
        </patternFill>
      </fill>
      <alignment horizontal="general" vertical="center" textRotation="0" wrapText="0" indent="0" justifyLastLine="0" shrinkToFit="0" readingOrder="0"/>
      <border diagonalUp="0" diagonalDown="0">
        <left style="thin">
          <color theme="4" tint="0.39997558519241921"/>
        </left>
        <right style="thin">
          <color theme="4" tint="0.39997558519241921"/>
        </right>
        <top style="thin">
          <color theme="4" tint="0.39997558519241921"/>
        </top>
        <bottom style="thin">
          <color theme="4" tint="0.39997558519241921"/>
        </bottom>
        <vertical/>
        <horizontal/>
      </border>
    </dxf>
    <dxf>
      <border outline="0">
        <bottom style="thin">
          <color theme="4" tint="0.39997558519241921"/>
        </bottom>
      </border>
    </dxf>
    <dxf>
      <font>
        <b val="0"/>
        <i val="0"/>
        <strike val="0"/>
        <condense val="0"/>
        <extend val="0"/>
        <outline val="0"/>
        <shadow val="0"/>
        <u val="none"/>
        <vertAlign val="baseline"/>
        <sz val="11"/>
        <color rgb="FF000000"/>
        <name val="Gill Sans MT"/>
        <family val="2"/>
        <scheme val="none"/>
      </font>
      <fill>
        <patternFill patternType="solid">
          <fgColor theme="4" tint="0.79998168889431442"/>
          <bgColor theme="4" tint="0.79998168889431442"/>
        </patternFill>
      </fill>
      <alignment horizontal="general" vertical="center"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border diagonalUp="0" diagonalDown="0">
        <left style="thin">
          <color theme="4" tint="0.39997558519241921"/>
        </left>
        <right style="thin">
          <color theme="4" tint="0.39997558519241921"/>
        </right>
        <top style="thin">
          <color theme="4" tint="0.39997558519241921"/>
        </top>
        <bottom style="thin">
          <color theme="4" tint="0.39997558519241921"/>
        </bottom>
        <vertical/>
        <horizontal/>
      </border>
    </dxf>
    <dxf>
      <border outline="0">
        <bottom style="thin">
          <color theme="4" tint="0.39997558519241921"/>
        </bottom>
      </border>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solid">
          <fgColor theme="4" tint="0.79998168889431442"/>
          <bgColor theme="4" tint="0.79998168889431442"/>
        </patternFill>
      </fill>
      <alignment horizontal="general" vertical="bottom" textRotation="0" wrapText="0" indent="0" justifyLastLine="0" shrinkToFit="0" readingOrder="0"/>
      <border diagonalUp="0" diagonalDown="0">
        <left style="thin">
          <color theme="4" tint="0.39997558519241921"/>
        </left>
        <right style="thin">
          <color theme="4" tint="0.39997558519241921"/>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theme="1"/>
        <name val="Gill Sans MT"/>
        <family val="2"/>
        <scheme val="none"/>
      </font>
      <fill>
        <patternFill patternType="solid">
          <fgColor theme="4" tint="0.79998168889431442"/>
          <bgColor theme="4" tint="0.79998168889431442"/>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rgb="FF000000"/>
        <name val="Gill Sans MT"/>
        <family val="2"/>
        <scheme val="none"/>
      </font>
      <fill>
        <patternFill patternType="solid">
          <fgColor theme="4" tint="0.79998168889431442"/>
          <bgColor theme="4" tint="0.79998168889431442"/>
        </patternFill>
      </fill>
      <alignment horizontal="general" vertical="center" textRotation="0" wrapText="0" indent="0" justifyLastLine="0" shrinkToFit="0" readingOrder="0"/>
      <border diagonalUp="0" diagonalDown="0">
        <left style="thin">
          <color theme="4" tint="0.39997558519241921"/>
        </left>
        <right style="thin">
          <color theme="4" tint="0.39997558519241921"/>
        </right>
        <top style="thin">
          <color theme="4" tint="0.39997558519241921"/>
        </top>
        <bottom style="thin">
          <color theme="4" tint="0.39997558519241921"/>
        </bottom>
        <vertical/>
        <horizontal/>
      </border>
    </dxf>
    <dxf>
      <border outline="0">
        <bottom style="thin">
          <color theme="4" tint="0.39997558519241921"/>
        </bottom>
      </border>
    </dxf>
    <dxf>
      <font>
        <b val="0"/>
        <i val="0"/>
        <strike val="0"/>
        <condense val="0"/>
        <extend val="0"/>
        <outline val="0"/>
        <shadow val="0"/>
        <u val="none"/>
        <vertAlign val="baseline"/>
        <sz val="11"/>
        <color rgb="FF000000"/>
        <name val="Gill Sans MT"/>
        <family val="2"/>
        <scheme val="none"/>
      </font>
      <fill>
        <patternFill patternType="solid">
          <fgColor theme="4" tint="0.79998168889431442"/>
          <bgColor theme="4" tint="0.79998168889431442"/>
        </patternFill>
      </fill>
      <alignment horizontal="general" vertical="center"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rgb="FF000000"/>
        <name val="Gill Sans MT"/>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rgb="FF000000"/>
        <name val="Gill Sans MT"/>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theme="0"/>
        <name val="Gill Sans MT"/>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1"/>
        <color rgb="FF000000"/>
        <name val="Gill Sans MT"/>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rgb="FF000000"/>
        <name val="Gill Sans MT"/>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theme="0"/>
        <name val="Gill Sans MT"/>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rgb="FF000000"/>
        <name val="Gill Sans MT"/>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rgb="FF000000"/>
        <name val="Gill Sans MT"/>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theme="0"/>
        <name val="Gill Sans MT"/>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1"/>
        <color rgb="FF000000"/>
        <name val="Gill Sans MT"/>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rgb="FF000000"/>
        <name val="Gill Sans MT"/>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theme="0"/>
        <name val="Gill Sans MT"/>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1"/>
        <color rgb="FF000000"/>
        <name val="Gill Sans MT"/>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rgb="FF000000"/>
        <name val="Gill Sans MT"/>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theme="0"/>
        <name val="Gill Sans MT"/>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1"/>
        <color rgb="FF000000"/>
        <name val="Gill Sans MT"/>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rgb="FF000000"/>
        <name val="Gill Sans MT"/>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theme="0"/>
        <name val="Gill Sans MT"/>
        <family val="2"/>
        <scheme val="none"/>
      </font>
      <alignment horizontal="center" vertical="center" textRotation="0" wrapText="0" indent="0" justifyLastLine="0" shrinkToFit="0" readingOrder="0"/>
    </dxf>
    <dxf>
      <font>
        <strike val="0"/>
        <outline val="0"/>
        <shadow val="0"/>
        <u val="none"/>
        <vertAlign val="baseline"/>
        <sz val="11"/>
        <name val="Gill Sans MT"/>
        <family val="2"/>
        <scheme val="none"/>
      </font>
    </dxf>
    <dxf>
      <font>
        <strike val="0"/>
        <outline val="0"/>
        <shadow val="0"/>
        <u val="none"/>
        <vertAlign val="baseline"/>
        <sz val="11"/>
        <name val="Gill Sans MT"/>
        <family val="2"/>
        <scheme val="none"/>
      </font>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strike val="0"/>
        <outline val="0"/>
        <shadow val="0"/>
        <u val="none"/>
        <vertAlign val="baseline"/>
        <sz val="11"/>
        <color theme="1"/>
        <name val="Gill Sans MT"/>
        <family val="2"/>
        <scheme val="none"/>
      </font>
    </dxf>
    <dxf>
      <font>
        <strike val="0"/>
        <outline val="0"/>
        <shadow val="0"/>
        <u val="none"/>
        <vertAlign val="baseline"/>
        <sz val="11"/>
        <color theme="1"/>
        <name val="Gill Sans MT"/>
        <family val="2"/>
        <scheme val="none"/>
      </font>
    </dxf>
    <dxf>
      <font>
        <strike val="0"/>
        <outline val="0"/>
        <shadow val="0"/>
        <u val="none"/>
        <vertAlign val="baseline"/>
        <sz val="11"/>
        <color theme="1"/>
        <name val="Gill Sans MT"/>
        <family val="2"/>
        <scheme val="none"/>
      </font>
    </dxf>
    <dxf>
      <fill>
        <patternFill>
          <bgColor theme="8" tint="0.79998168889431442"/>
        </patternFill>
      </fill>
      <border>
        <left style="thin">
          <color auto="1"/>
        </left>
        <right style="thin">
          <color auto="1"/>
        </right>
        <top style="thin">
          <color auto="1"/>
        </top>
        <bottom style="thin">
          <color auto="1"/>
        </bottom>
      </border>
    </dxf>
    <dxf>
      <fill>
        <patternFill patternType="none">
          <bgColor auto="1"/>
        </patternFill>
      </fill>
    </dxf>
    <dxf>
      <fill>
        <patternFill>
          <bgColor theme="4"/>
        </patternFill>
      </fill>
      <border>
        <left style="thin">
          <color auto="1"/>
        </left>
        <right style="thin">
          <color auto="1"/>
        </right>
        <top style="thin">
          <color auto="1"/>
        </top>
        <bottom style="thin">
          <color auto="1"/>
        </bottom>
        <vertical style="thin">
          <color auto="1"/>
        </vertical>
        <horizontal style="thin">
          <color auto="1"/>
        </horizontal>
      </border>
    </dxf>
  </dxfs>
  <tableStyles count="3" defaultTableStyle="TableStyleMedium2" defaultPivotStyle="PivotStyleLight16">
    <tableStyle name="Estilo de tabla 1" pivot="0" count="1" xr9:uid="{D31AC5D5-9EFB-4153-9086-9AA6037B7BF8}">
      <tableStyleElement type="headerRow" dxfId="151"/>
    </tableStyle>
    <tableStyle name="Estilo de tabla 2" pivot="0" count="1" xr9:uid="{C6F8D6C6-DD7E-42E8-8328-19C722F9F97F}">
      <tableStyleElement type="wholeTable" dxfId="150"/>
    </tableStyle>
    <tableStyle name="Estilo de tabla 3" pivot="0" count="1" xr9:uid="{BD8219D8-F95E-4ADD-BD98-5883EDA7E91C}">
      <tableStyleElement type="headerRow" dxfId="149"/>
    </tableStyle>
  </tableStyles>
  <colors>
    <mruColors>
      <color rgb="FF1FB2DE"/>
      <color rgb="FF0F385A"/>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18" Type="http://schemas.openxmlformats.org/officeDocument/2006/relationships/customXml" Target="../customXml/item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onnections" Target="connections.xml"/><Relationship Id="rId17" Type="http://schemas.openxmlformats.org/officeDocument/2006/relationships/customXml" Target="../customXml/item2.xml"/><Relationship Id="rId2" Type="http://schemas.openxmlformats.org/officeDocument/2006/relationships/worksheet" Target="worksheets/sheet2.xml"/><Relationship Id="rId16"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2.xml"/><Relationship Id="rId19" Type="http://schemas.openxmlformats.org/officeDocument/2006/relationships/customXml" Target="../customXml/item4.xml"/><Relationship Id="rId4" Type="http://schemas.openxmlformats.org/officeDocument/2006/relationships/worksheet" Target="worksheets/sheet4.xml"/><Relationship Id="rId9" Type="http://schemas.openxmlformats.org/officeDocument/2006/relationships/externalLink" Target="externalLinks/externalLink1.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3" Type="http://schemas.openxmlformats.org/officeDocument/2006/relationships/externalLinkPath" Target="../../../../../../../../../rgomezva_poligran_edu_co/Documents/2023-2/Reforzamiento%202023/05.Formato%20programas%20reforzamiento%20-%20Pregrado%20Ing%20Telecomunicaciones.xlsx" TargetMode="External"/><Relationship Id="rId2" Type="http://schemas.openxmlformats.org/officeDocument/2006/relationships/externalLinkPath" Target="https://poligran-my.sharepoint.com/personal/rgomezva_poligran_edu_co/Documents/2023-2/Reforzamiento%202023/05.Formato%20programas%20reforzamiento%20-%20Pregrado%20Ing%20Telecomunicaciones.xlsx" TargetMode="External"/><Relationship Id="rId1" Type="http://schemas.openxmlformats.org/officeDocument/2006/relationships/externalLinkPath" Target="/personal/rgomezva_poligran_edu_co/Documents/2023-2/Reforzamiento%202023/05.Formato%20programas%20reforzamiento%20-%20Pregrado%20Ing%20Telecomunicaciones.xlsx" TargetMode="External"/></Relationships>
</file>

<file path=xl/externalLinks/_rels/externalLink2.xml.rels><?xml version="1.0" encoding="UTF-8" standalone="yes"?>
<Relationships xmlns="http://schemas.openxmlformats.org/package/2006/relationships"><Relationship Id="rId3" Type="http://schemas.openxmlformats.org/officeDocument/2006/relationships/externalLinkPath" Target="../../../../../../../Documentos/FormatoRA_IngSistemas_PBOG.xlsx" TargetMode="External"/><Relationship Id="rId2" Type="http://schemas.microsoft.com/office/2006/relationships/xlExternalLinkPath/xlPathMissing" Target="FormatoRA_IngSistemas_PBOG.xlsx" TargetMode="External"/><Relationship Id="rId1" Type="http://schemas.openxmlformats.org/officeDocument/2006/relationships/externalLinkPath" Target="/personal/dvelasquez_poligran_edu_co/Documents/Documentos/FormatoRA_IngSistemas_PBOG.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Malla - Listado"/>
      <sheetName val="Malla - Gráfica"/>
      <sheetName val="Hoja1"/>
      <sheetName val="Malla con formulas"/>
      <sheetName val="Malla Definitiva "/>
    </sheetNames>
    <sheetDataSet>
      <sheetData sheetId="0"/>
      <sheetData sheetId="1"/>
      <sheetData sheetId="2"/>
      <sheetData sheetId="3"/>
      <sheetData sheetId="4"/>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Paso1 Analisis perfil egreso"/>
      <sheetName val="Paso 2 Redacción competen"/>
      <sheetName val="Paso 3 Redacción RA "/>
      <sheetName val="Paso 4 Estrategias mesocurricu"/>
      <sheetName val="Paso 5 Estrategias microcurricu"/>
      <sheetName val="Taxonomias para RA"/>
      <sheetName val="Taxonomía para competencias"/>
    </sheetNames>
    <sheetDataSet>
      <sheetData sheetId="0"/>
      <sheetData sheetId="1"/>
      <sheetData sheetId="2"/>
      <sheetData sheetId="3"/>
      <sheetData sheetId="4"/>
      <sheetData sheetId="5"/>
      <sheetData sheetId="6"/>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6" xr:uid="{362A7F4C-394D-4A63-8C31-6F5A9FA00CF6}" name="VerbCompetencias" displayName="VerbCompetencias" ref="B1:B39" totalsRowShown="0" headerRowDxfId="148" dataDxfId="147">
  <autoFilter ref="B1:B39" xr:uid="{362A7F4C-394D-4A63-8C31-6F5A9FA00CF6}"/>
  <sortState xmlns:xlrd2="http://schemas.microsoft.com/office/spreadsheetml/2017/richdata2" ref="B2:B35">
    <sortCondition ref="B2:B36"/>
  </sortState>
  <tableColumns count="1">
    <tableColumn id="1" xr3:uid="{C53878DF-DD9D-4BBB-AA09-333631D819CF}" name="Verbos Competencias" dataDxfId="146"/>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A3FC897C-51A8-40FA-8A6D-16607E1D9337}" name="Taxonomías" displayName="Taxonomías" ref="A3:A7" totalsRowShown="0" headerRowDxfId="145" dataDxfId="144">
  <autoFilter ref="A3:A7" xr:uid="{A3FC897C-51A8-40FA-8A6D-16607E1D9337}"/>
  <tableColumns count="1">
    <tableColumn id="1" xr3:uid="{9C710A73-5A6C-4D74-8D35-0922144756C8}" name="Taxonomías" dataDxfId="143"/>
  </tableColumns>
  <tableStyleInfo name="Estilo de tabla 1"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A86ADC35-7E11-47CD-8C4E-82C0161878CB}" name="RecordarLK" displayName="RecordarLK" ref="AL4:AL32" totalsRowShown="0" headerRowDxfId="142" dataDxfId="141">
  <autoFilter ref="AL4:AL32" xr:uid="{A86ADC35-7E11-47CD-8C4E-82C0161878CB}"/>
  <sortState xmlns:xlrd2="http://schemas.microsoft.com/office/spreadsheetml/2017/richdata2" ref="AL5:AL32">
    <sortCondition ref="AL5:AL32"/>
  </sortState>
  <tableColumns count="1">
    <tableColumn id="1" xr3:uid="{F7B2547F-39DF-4AD1-9376-DD71A4B15A3A}" name="RecordarLK" dataDxfId="140"/>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E7C141AD-DB0A-405B-97B0-CD0559E3B18F}" name="ComprenderLK" displayName="ComprenderLK" ref="AM4:AM28" totalsRowShown="0" headerRowDxfId="139" dataDxfId="138">
  <autoFilter ref="AM4:AM28" xr:uid="{E7C141AD-DB0A-405B-97B0-CD0559E3B18F}"/>
  <sortState xmlns:xlrd2="http://schemas.microsoft.com/office/spreadsheetml/2017/richdata2" ref="AM5:AM28">
    <sortCondition ref="AM5:AM28"/>
  </sortState>
  <tableColumns count="1">
    <tableColumn id="1" xr3:uid="{E2F2B0BD-0E45-4150-BBD9-45A498927A6E}" name="ComprenderLK" dataDxfId="137"/>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2111ABA6-04F8-4D19-92A4-BCB2EC5874FA}" name="AplicarLK" displayName="AplicarLK" ref="AN4:AN31" totalsRowShown="0" headerRowDxfId="136" dataDxfId="135">
  <autoFilter ref="AN4:AN31" xr:uid="{2111ABA6-04F8-4D19-92A4-BCB2EC5874FA}"/>
  <sortState xmlns:xlrd2="http://schemas.microsoft.com/office/spreadsheetml/2017/richdata2" ref="AN5:AN31">
    <sortCondition ref="AN5:AN31"/>
  </sortState>
  <tableColumns count="1">
    <tableColumn id="1" xr3:uid="{9C17BB53-94FB-40C6-97C9-CFE593630CE7}" name="AplicarLK" dataDxfId="134"/>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ED6D0D10-1ACF-4417-AA9F-28C39B98EEDD}" name="AnalizarLK" displayName="AnalizarLK" ref="AO4:AO35" totalsRowShown="0" headerRowDxfId="133" dataDxfId="132">
  <autoFilter ref="AO4:AO35" xr:uid="{ED6D0D10-1ACF-4417-AA9F-28C39B98EEDD}"/>
  <sortState xmlns:xlrd2="http://schemas.microsoft.com/office/spreadsheetml/2017/richdata2" ref="AO5:AO35">
    <sortCondition ref="AO5:AO35"/>
  </sortState>
  <tableColumns count="1">
    <tableColumn id="1" xr3:uid="{94CE16FD-AAEE-43D4-8FDC-0CD1A9802B14}" name="AnalizarLK" dataDxfId="131"/>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5B2C1126-FD42-4594-A570-542F3A42FFD5}" name="EvaluarLK" displayName="EvaluarLK" ref="AP4:AP47" totalsRowShown="0" headerRowDxfId="130" dataDxfId="129">
  <autoFilter ref="AP4:AP47" xr:uid="{5B2C1126-FD42-4594-A570-542F3A42FFD5}"/>
  <sortState xmlns:xlrd2="http://schemas.microsoft.com/office/spreadsheetml/2017/richdata2" ref="AP5:AP47">
    <sortCondition ref="AP5:AP47"/>
  </sortState>
  <tableColumns count="1">
    <tableColumn id="1" xr3:uid="{5A7D999A-3B24-4D10-8776-8F637A11BBBF}" name="EvaluarLK" dataDxfId="128"/>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F73356E8-0DA4-4537-A605-40B50EECA942}" name="CrearLK" displayName="CrearLK" ref="AQ4:AQ21" totalsRowShown="0" headerRowDxfId="127" dataDxfId="126">
  <autoFilter ref="AQ4:AQ21" xr:uid="{F73356E8-0DA4-4537-A605-40B50EECA942}"/>
  <sortState xmlns:xlrd2="http://schemas.microsoft.com/office/spreadsheetml/2017/richdata2" ref="AQ5:AQ21">
    <sortCondition ref="AQ5:AQ21"/>
  </sortState>
  <tableColumns count="1">
    <tableColumn id="1" xr3:uid="{0D6225FB-BB47-4165-A4D8-001C96460B99}" name="CrearLK" dataDxfId="125"/>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94D19CD0-B599-49C2-A5DC-A5B35B366BB9}" name="ConocimientoBAK" displayName="ConocimientoBAK" ref="S3:S45" totalsRowShown="0" headerRowDxfId="124" dataDxfId="123">
  <autoFilter ref="S3:S45" xr:uid="{94D19CD0-B599-49C2-A5DC-A5B35B366BB9}"/>
  <sortState xmlns:xlrd2="http://schemas.microsoft.com/office/spreadsheetml/2017/richdata2" ref="S4:S45">
    <sortCondition ref="S4:S45"/>
  </sortState>
  <tableColumns count="1">
    <tableColumn id="1" xr3:uid="{131C3550-9554-4706-A797-0E23C5069E07}" name="ConocimientoBAK" dataDxfId="122"/>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1CF8B977-19BC-44A6-930F-A6E27DBBDC2F}" name="ComprensiónBAK" displayName="ComprensiónBAK" ref="T3:T42" totalsRowShown="0" headerRowDxfId="121" dataDxfId="120">
  <autoFilter ref="T3:T42" xr:uid="{1CF8B977-19BC-44A6-930F-A6E27DBBDC2F}"/>
  <sortState xmlns:xlrd2="http://schemas.microsoft.com/office/spreadsheetml/2017/richdata2" ref="T4:T42">
    <sortCondition ref="T4:T42"/>
  </sortState>
  <tableColumns count="1">
    <tableColumn id="1" xr3:uid="{7E430ABA-F727-4AFC-88F2-73710AC2929A}" name="ComprensiónBAK" dataDxfId="119"/>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BEF83ADD-CD41-4B24-825B-649C1D09C25F}" name="AplicaciónBAK" displayName="AplicaciónBAK" ref="U3:U43" totalsRowShown="0" headerRowDxfId="118" dataDxfId="117">
  <autoFilter ref="U3:U43" xr:uid="{BEF83ADD-CD41-4B24-825B-649C1D09C25F}"/>
  <sortState xmlns:xlrd2="http://schemas.microsoft.com/office/spreadsheetml/2017/richdata2" ref="U4:U43">
    <sortCondition ref="U4:U43"/>
  </sortState>
  <tableColumns count="1">
    <tableColumn id="1" xr3:uid="{5649DA10-9D37-4451-99F0-CD424DCBDB33}" name="AplicaciónBAK" dataDxfId="116"/>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8F4B4DA5-2E6A-4AE6-935A-CC2B94779B96}" name="AnálisisBAK" displayName="AnálisisBAK" ref="V3:V36" totalsRowShown="0" headerRowDxfId="115" dataDxfId="114">
  <autoFilter ref="V3:V36" xr:uid="{8F4B4DA5-2E6A-4AE6-935A-CC2B94779B96}"/>
  <sortState xmlns:xlrd2="http://schemas.microsoft.com/office/spreadsheetml/2017/richdata2" ref="V4:V36">
    <sortCondition ref="V4:V36"/>
  </sortState>
  <tableColumns count="1">
    <tableColumn id="1" xr3:uid="{CCC11A10-1947-4C0A-9C7D-D3B6BF7B42D9}" name="AnálisisBAK" dataDxfId="113"/>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74D7CAFB-C9DC-44C7-82F9-0E1668B4F0C6}" name="SínstesisBAK" displayName="SínstesisBAK" ref="W3:W63" totalsRowShown="0" headerRowDxfId="112" dataDxfId="111">
  <autoFilter ref="W3:W63" xr:uid="{74D7CAFB-C9DC-44C7-82F9-0E1668B4F0C6}"/>
  <sortState xmlns:xlrd2="http://schemas.microsoft.com/office/spreadsheetml/2017/richdata2" ref="W4:W63">
    <sortCondition ref="W4:W63"/>
  </sortState>
  <tableColumns count="1">
    <tableColumn id="1" xr3:uid="{1DB7FA75-F99E-4305-BD04-E226B0A55E29}" name="SíntesisBAK" dataDxfId="110"/>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24AB64C5-4D59-4C9B-AF8C-AD1D4E5D7E22}" name="EvaluaciónBAK" displayName="EvaluaciónBAK" ref="X3:X66" totalsRowShown="0" headerRowDxfId="109" dataDxfId="108">
  <autoFilter ref="X3:X66" xr:uid="{24AB64C5-4D59-4C9B-AF8C-AD1D4E5D7E22}"/>
  <sortState xmlns:xlrd2="http://schemas.microsoft.com/office/spreadsheetml/2017/richdata2" ref="X4:X66">
    <sortCondition ref="X4:X66"/>
  </sortState>
  <tableColumns count="1">
    <tableColumn id="1" xr3:uid="{ED282AAC-9004-4897-896F-CA9DCE0CC881}" name="EvaluaciónBAK" dataDxfId="107"/>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4DAA654B-9F18-418A-B316-13C4C29B9840}" name="ImitaciónBAK" displayName="ImitaciónBAK" ref="Y3:Y52" totalsRowShown="0" headerRowDxfId="106" dataDxfId="105">
  <autoFilter ref="Y3:Y52" xr:uid="{4DAA654B-9F18-418A-B316-13C4C29B9840}"/>
  <sortState xmlns:xlrd2="http://schemas.microsoft.com/office/spreadsheetml/2017/richdata2" ref="Y4:Y52">
    <sortCondition ref="Y3:Y52"/>
  </sortState>
  <tableColumns count="1">
    <tableColumn id="1" xr3:uid="{57E849C6-3555-48E7-9FEC-3992A09995E2}" name="ImitaciónBAK" dataDxfId="104"/>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8CC53E0E-533C-40E8-9B1D-08F34978407F}" name="ManipulaciónBAK" displayName="ManipulaciónBAK" ref="Z3:Z41" totalsRowShown="0" headerRowDxfId="103" dataDxfId="102">
  <autoFilter ref="Z3:Z41" xr:uid="{8CC53E0E-533C-40E8-9B1D-08F34978407F}"/>
  <sortState xmlns:xlrd2="http://schemas.microsoft.com/office/spreadsheetml/2017/richdata2" ref="Z4:Z41">
    <sortCondition ref="Z3:Z41"/>
  </sortState>
  <tableColumns count="1">
    <tableColumn id="1" xr3:uid="{1A118719-2487-4815-89D9-51C305E7853F}" name="ManipulaciónBAK" dataDxfId="101"/>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A45E75E9-31C0-47B7-9849-772A7E35082A}" name="PrecisiónBAK" displayName="PrecisiónBAK" ref="AA3:AA69" totalsRowShown="0" headerRowDxfId="100" dataDxfId="99">
  <autoFilter ref="AA3:AA69" xr:uid="{A45E75E9-31C0-47B7-9849-772A7E35082A}"/>
  <sortState xmlns:xlrd2="http://schemas.microsoft.com/office/spreadsheetml/2017/richdata2" ref="AA4:AA69">
    <sortCondition ref="AA3:AA69"/>
  </sortState>
  <tableColumns count="1">
    <tableColumn id="1" xr3:uid="{D7343BF8-7739-4634-B69A-0FF2146C9C6B}" name="PrecisiónBAK" dataDxfId="98"/>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2575D95E-8398-49F7-A64E-BAED96B75C10}" name="ControlBAK" displayName="ControlBAK" ref="AB3:AB62" totalsRowShown="0" headerRowDxfId="97" dataDxfId="96">
  <autoFilter ref="AB3:AB62" xr:uid="{2575D95E-8398-49F7-A64E-BAED96B75C10}"/>
  <sortState xmlns:xlrd2="http://schemas.microsoft.com/office/spreadsheetml/2017/richdata2" ref="AB4:AB62">
    <sortCondition ref="AB3:AB62"/>
  </sortState>
  <tableColumns count="1">
    <tableColumn id="1" xr3:uid="{390682D2-CC9B-447C-9FE3-EF387B9B0F97}" name="ControlBAK" dataDxfId="95"/>
  </tableColumns>
  <tableStyleInfo name="TableStyleMedium2"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F459AF7E-D61B-47EF-A78A-788A77BBFA5E}" name="PercepciónBAK" displayName="PercepciónBAK" ref="AC3:AC43" totalsRowShown="0" headerRowDxfId="94" dataDxfId="93">
  <autoFilter ref="AC3:AC43" xr:uid="{F459AF7E-D61B-47EF-A78A-788A77BBFA5E}"/>
  <sortState xmlns:xlrd2="http://schemas.microsoft.com/office/spreadsheetml/2017/richdata2" ref="AC4:AC43">
    <sortCondition ref="AC3:AC43"/>
  </sortState>
  <tableColumns count="1">
    <tableColumn id="1" xr3:uid="{E597DFB6-3416-47A7-B153-FC1DA0E36AB7}" name="PercepciónBAK" dataDxfId="92"/>
  </tableColumns>
  <tableStyleInfo name="TableStyleMedium2"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 xr:uid="{3EC35434-BE6C-411F-8AAE-73E3CFC3CA78}" name="ResponderBAK" displayName="ResponderBAK" ref="AD3:AD33" totalsRowShown="0" headerRowDxfId="91" dataDxfId="90">
  <autoFilter ref="AD3:AD33" xr:uid="{3EC35434-BE6C-411F-8AAE-73E3CFC3CA78}"/>
  <sortState xmlns:xlrd2="http://schemas.microsoft.com/office/spreadsheetml/2017/richdata2" ref="AD4:AD33">
    <sortCondition ref="AD3:AD33"/>
  </sortState>
  <tableColumns count="1">
    <tableColumn id="1" xr3:uid="{0EE8E37C-6F50-46FC-B79B-C7B27BAD3C2B}" name="ResponderBAK" dataDxfId="89"/>
  </tableColumns>
  <tableStyleInfo name="TableStyleMedium2"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7" xr:uid="{19344631-8A85-4D95-9EA7-1E2C9FA2E476}" name="ValorarBAK" displayName="ValorarBAK" ref="AE3:AE39" totalsRowShown="0" headerRowDxfId="88" dataDxfId="87">
  <autoFilter ref="AE3:AE39" xr:uid="{19344631-8A85-4D95-9EA7-1E2C9FA2E476}"/>
  <sortState xmlns:xlrd2="http://schemas.microsoft.com/office/spreadsheetml/2017/richdata2" ref="AE4:AE39">
    <sortCondition ref="AE3:AE39"/>
  </sortState>
  <tableColumns count="1">
    <tableColumn id="1" xr3:uid="{0A087805-6D7E-496C-A05E-DA355F0095CB}" name="ValorarBAK" dataDxfId="86"/>
  </tableColumns>
  <tableStyleInfo name="TableStyleMedium2"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8" xr:uid="{6B714438-F124-4D81-8C72-575D6C7ACE44}" name="OrganizarBAK" displayName="OrganizarBAK" ref="AF3:AF29" totalsRowShown="0" headerRowDxfId="85" dataDxfId="84">
  <autoFilter ref="AF3:AF29" xr:uid="{6B714438-F124-4D81-8C72-575D6C7ACE44}"/>
  <sortState xmlns:xlrd2="http://schemas.microsoft.com/office/spreadsheetml/2017/richdata2" ref="AF4:AF29">
    <sortCondition ref="AF3:AF29"/>
  </sortState>
  <tableColumns count="1">
    <tableColumn id="1" xr3:uid="{C5529011-A2C8-433F-8569-8D1E7E575682}" name="OrganizarBAK" dataDxfId="83"/>
  </tableColumns>
  <tableStyleInfo name="TableStyleMedium2"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9" xr:uid="{621CDAF3-C514-4DAF-8AF4-F1594B99BB24}" name="CaracterizarBAK" displayName="CaracterizarBAK" ref="AG3:AG30" totalsRowShown="0" headerRowDxfId="82" dataDxfId="81">
  <autoFilter ref="AG3:AG30" xr:uid="{621CDAF3-C514-4DAF-8AF4-F1594B99BB24}"/>
  <sortState xmlns:xlrd2="http://schemas.microsoft.com/office/spreadsheetml/2017/richdata2" ref="AG4:AG29">
    <sortCondition ref="AG3:AG29"/>
  </sortState>
  <tableColumns count="1">
    <tableColumn id="1" xr3:uid="{706DA6CE-EB91-496D-BFFE-56AF4683EC52}" name="CaracterizarBAK" dataDxfId="80"/>
  </tableColumns>
  <tableStyleInfo name="TableStyleMedium2"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0" xr:uid="{7C8904B1-8D3B-4FF1-8646-69A8D3170D84}" name="ConocimientoB" displayName="ConocimientoB" ref="L3:L46" totalsRowShown="0" headerRowDxfId="79" dataDxfId="78">
  <autoFilter ref="L3:L46" xr:uid="{7C8904B1-8D3B-4FF1-8646-69A8D3170D84}"/>
  <sortState xmlns:xlrd2="http://schemas.microsoft.com/office/spreadsheetml/2017/richdata2" ref="L4:L45">
    <sortCondition ref="L4:L45"/>
  </sortState>
  <tableColumns count="1">
    <tableColumn id="1" xr3:uid="{2D5405CD-0CB8-4C58-A15B-F109C33FC9E6}" name="ConocimientoB" dataDxfId="77"/>
  </tableColumns>
  <tableStyleInfo name="TableStyleMedium2"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1" xr:uid="{F0005291-B463-4A9B-8C09-DE8AC9A3EC79}" name="ComprensiónB" displayName="ComprensiónB" ref="M3:M43" totalsRowShown="0" headerRowDxfId="76" dataDxfId="75">
  <autoFilter ref="M3:M43" xr:uid="{F0005291-B463-4A9B-8C09-DE8AC9A3EC79}"/>
  <sortState xmlns:xlrd2="http://schemas.microsoft.com/office/spreadsheetml/2017/richdata2" ref="M4:M42">
    <sortCondition ref="M4:M42"/>
  </sortState>
  <tableColumns count="1">
    <tableColumn id="1" xr3:uid="{E6E77B1E-8AE8-436C-87A4-5FB485834702}" name="ComprensiónB" dataDxfId="74"/>
  </tableColumns>
  <tableStyleInfo name="TableStyleMedium2"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2" xr:uid="{6A30BCC7-420C-4D45-B6B6-70195C3538DA}" name="AplicaciónB" displayName="AplicaciónB" ref="N3:N44" totalsRowShown="0" headerRowDxfId="73" dataDxfId="72">
  <autoFilter ref="N3:N44" xr:uid="{6A30BCC7-420C-4D45-B6B6-70195C3538DA}"/>
  <sortState xmlns:xlrd2="http://schemas.microsoft.com/office/spreadsheetml/2017/richdata2" ref="N4:N43">
    <sortCondition ref="N4:N43"/>
  </sortState>
  <tableColumns count="1">
    <tableColumn id="1" xr3:uid="{E0EA56E0-F032-4CC9-AB57-4DE6D1598D57}" name="AplicaciónB" dataDxfId="71"/>
  </tableColumns>
  <tableStyleInfo name="TableStyleMedium2"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3" xr:uid="{2224BB24-5619-49C4-94FB-96AB72EE5650}" name="AnálisisB" displayName="AnálisisB" ref="O3:O36" totalsRowShown="0" headerRowDxfId="70" dataDxfId="69">
  <autoFilter ref="O3:O36" xr:uid="{2224BB24-5619-49C4-94FB-96AB72EE5650}"/>
  <sortState xmlns:xlrd2="http://schemas.microsoft.com/office/spreadsheetml/2017/richdata2" ref="O4:O36">
    <sortCondition ref="O4:O36"/>
  </sortState>
  <tableColumns count="1">
    <tableColumn id="1" xr3:uid="{3FBB4F1F-ACA5-49B6-A37D-E5FDFD13ECCD}" name="AnálisisB" dataDxfId="68"/>
  </tableColumns>
  <tableStyleInfo name="TableStyleMedium2"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4" xr:uid="{53E3557D-51F5-4386-93E4-FD0D818D053F}" name="SíntesisB" displayName="SíntesisB" ref="P3:P63" totalsRowShown="0" headerRowDxfId="67" dataDxfId="66">
  <autoFilter ref="P3:P63" xr:uid="{53E3557D-51F5-4386-93E4-FD0D818D053F}"/>
  <sortState xmlns:xlrd2="http://schemas.microsoft.com/office/spreadsheetml/2017/richdata2" ref="P4:P63">
    <sortCondition ref="P4:P63"/>
  </sortState>
  <tableColumns count="1">
    <tableColumn id="1" xr3:uid="{9FB3624B-E64E-47DA-9EAA-88AF038A2D7F}" name="SíntesisB" dataDxfId="65"/>
  </tableColumns>
  <tableStyleInfo name="TableStyleMedium2"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5" xr:uid="{C7124FB3-BDFD-4B6E-BBAF-C6598A6D53D7}" name="EvaluaciónB" displayName="EvaluaciónB" ref="Q3:Q66" totalsRowShown="0" headerRowDxfId="64" dataDxfId="63">
  <autoFilter ref="Q3:Q66" xr:uid="{C7124FB3-BDFD-4B6E-BBAF-C6598A6D53D7}"/>
  <sortState xmlns:xlrd2="http://schemas.microsoft.com/office/spreadsheetml/2017/richdata2" ref="Q4:Q66">
    <sortCondition ref="Q4:Q66"/>
  </sortState>
  <tableColumns count="1">
    <tableColumn id="1" xr3:uid="{1FA17810-5C9D-44CF-93A5-72EEB62A99C9}" name="EvaluaciónB" dataDxfId="62"/>
  </tableColumns>
  <tableStyleInfo name="TableStyleMedium2"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6" xr:uid="{57EE39A7-1440-4041-A08A-18F25F4968FB}" name="AK" displayName="AK" ref="E3:E6" totalsRowShown="0" headerRowDxfId="61" dataDxfId="60">
  <autoFilter ref="E3:E6" xr:uid="{57EE39A7-1440-4041-A08A-18F25F4968FB}"/>
  <tableColumns count="1">
    <tableColumn id="1" xr3:uid="{2F23B31E-C779-49F9-A954-245BE4177AC0}" name="AK" dataDxfId="59"/>
  </tableColumns>
  <tableStyleInfo name="Estilo de tabla 1"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7" xr:uid="{35438B67-D634-41E1-84F1-39AE403A058D}" name="LK" displayName="LK" ref="D3:D7" totalsRowShown="0" headerRowDxfId="58" dataDxfId="57">
  <autoFilter ref="D3:D7" xr:uid="{35438B67-D634-41E1-84F1-39AE403A058D}"/>
  <tableColumns count="1">
    <tableColumn id="1" xr3:uid="{C1C9568F-A125-4329-B453-A058FD8FF630}" name="LK" dataDxfId="56"/>
  </tableColumns>
  <tableStyleInfo name="Estilo de tabla 1"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8" xr:uid="{28DBD34B-11EF-4749-B2BB-FB22AA7E5F89}" name="BAK" displayName="BAK" ref="C3:C6" totalsRowShown="0" headerRowDxfId="55" dataDxfId="54">
  <autoFilter ref="C3:C6" xr:uid="{28DBD34B-11EF-4749-B2BB-FB22AA7E5F89}"/>
  <tableColumns count="1">
    <tableColumn id="1" xr3:uid="{ACA65BC2-3FD7-48E3-B265-633D5CD395F6}" name="BAK" dataDxfId="53"/>
  </tableColumns>
  <tableStyleInfo name="Estilo de tabla 1"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9" xr:uid="{85F4526F-E70A-4B01-8F8D-33369EFB479E}" name="ActitudinalB" displayName="ActitudinalB" ref="I3:I9" totalsRowShown="0" headerRowDxfId="52" dataDxfId="51">
  <autoFilter ref="I3:I9" xr:uid="{85F4526F-E70A-4B01-8F8D-33369EFB479E}"/>
  <tableColumns count="1">
    <tableColumn id="1" xr3:uid="{7511FDFB-CBBA-4DB3-8C4D-FF68B9279AD7}" name="ActitudinalB" dataDxfId="50"/>
  </tableColumns>
  <tableStyleInfo name="Estilo de tabla 1" showFirstColumn="0" showLastColumn="0" showRowStripes="1" showColumnStripes="0"/>
</table>
</file>

<file path=xl/tables/table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0" xr:uid="{DFAA4E58-0E3D-4C38-B134-AE73F0FC0197}" name="ProcedimentalB" displayName="ProcedimentalB" ref="H3:H9" totalsRowShown="0" headerRowDxfId="49" dataDxfId="48">
  <autoFilter ref="H3:H9" xr:uid="{DFAA4E58-0E3D-4C38-B134-AE73F0FC0197}"/>
  <tableColumns count="1">
    <tableColumn id="1" xr3:uid="{4ED00E54-4F14-49B9-B701-FF2F463188CD}" name="ProcedimentalB" dataDxfId="47"/>
  </tableColumns>
  <tableStyleInfo name="Estilo de tabla 1" showFirstColumn="0" showLastColumn="0" showRowStripes="1" showColumnStripes="0"/>
</table>
</file>

<file path=xl/tables/table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1" xr:uid="{0C8B3717-DAFD-4E37-8005-349E9A602EC5}" name="CognitivoB" displayName="CognitivoB" ref="G3:G9" totalsRowShown="0" headerRowDxfId="46" dataDxfId="45">
  <autoFilter ref="G3:G9" xr:uid="{0C8B3717-DAFD-4E37-8005-349E9A602EC5}"/>
  <tableColumns count="1">
    <tableColumn id="1" xr3:uid="{E2C7916C-66F2-431E-9B93-D7BAED80FC3A}" name="CognitivoB" dataDxfId="44"/>
  </tableColumns>
  <tableStyleInfo name="Estilo de tabla 1" showFirstColumn="0" showLastColumn="0" showRowStripes="1" showColumnStripes="0"/>
</table>
</file>

<file path=xl/tables/table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2" xr:uid="{8A1C521C-B4CD-4DF4-8C25-A075B7B48FD5}" name="HechosLK" displayName="HechosLK" ref="G11:G17" totalsRowShown="0" headerRowDxfId="43" dataDxfId="42">
  <autoFilter ref="G11:G17" xr:uid="{8A1C521C-B4CD-4DF4-8C25-A075B7B48FD5}"/>
  <tableColumns count="1">
    <tableColumn id="1" xr3:uid="{F205DD3F-58DC-49F6-8DF7-A9FDFA78E901}" name="HechosLK" dataDxfId="41"/>
  </tableColumns>
  <tableStyleInfo name="Estilo de tabla 1" showFirstColumn="0" showLastColumn="0" showRowStripes="1" showColumnStripes="0"/>
</table>
</file>

<file path=xl/tables/table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3" xr:uid="{0EAE1057-104B-4F9B-AE6B-F5F60D430995}" name="ConceptosLK" displayName="ConceptosLK" ref="H11:H17" totalsRowShown="0" headerRowDxfId="40" dataDxfId="39">
  <autoFilter ref="H11:H17" xr:uid="{0EAE1057-104B-4F9B-AE6B-F5F60D430995}"/>
  <tableColumns count="1">
    <tableColumn id="1" xr3:uid="{ED8EB327-17D6-4CBD-BF96-91954DB19DA4}" name="ConceptosLK" dataDxfId="38"/>
  </tableColumns>
  <tableStyleInfo name="Estilo de tabla 1" showFirstColumn="0" showLastColumn="0" showRowStripes="1" showColumnStripes="0"/>
</table>
</file>

<file path=xl/tables/table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4" xr:uid="{C5704CC1-8D1D-4541-8B3E-782D4827E87D}" name="ProcedimientosLK" displayName="ProcedimientosLK" ref="I11:I17" totalsRowShown="0" headerRowDxfId="37" dataDxfId="36">
  <autoFilter ref="I11:I17" xr:uid="{C5704CC1-8D1D-4541-8B3E-782D4827E87D}"/>
  <tableColumns count="1">
    <tableColumn id="1" xr3:uid="{75915474-E335-4868-8B24-B84F8C9C1C63}" name="ProcedimientosLK" dataDxfId="35"/>
  </tableColumns>
  <tableStyleInfo name="Estilo de tabla 1" showFirstColumn="0" showLastColumn="0" showRowStripes="1" showColumnStripes="0"/>
</table>
</file>

<file path=xl/tables/table3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5" xr:uid="{3F9CFB80-8732-4087-B330-0AFF949ED28A}" name="MetacogniciónLK" displayName="MetacogniciónLK" ref="J11:J17" totalsRowShown="0" headerRowDxfId="34" dataDxfId="33">
  <autoFilter ref="J11:J17" xr:uid="{3F9CFB80-8732-4087-B330-0AFF949ED28A}"/>
  <tableColumns count="1">
    <tableColumn id="1" xr3:uid="{18FBF9DB-382A-4F40-9D18-10877C008AF3}" name="MetacogniciónLK" dataDxfId="32"/>
  </tableColumns>
  <tableStyleInfo name="Estilo de tabla 1" showFirstColumn="0" showLastColumn="0" showRowStripes="1" showColumnStripes="0"/>
</table>
</file>

<file path=xl/tables/table4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6" xr:uid="{87470927-1E85-4463-AA7C-1D450FA03673}" name="InformaciónAK" displayName="InformaciónAK" ref="G19:G25" totalsRowShown="0" headerRowDxfId="31" dataDxfId="30">
  <autoFilter ref="G19:G25" xr:uid="{87470927-1E85-4463-AA7C-1D450FA03673}"/>
  <tableColumns count="1">
    <tableColumn id="1" xr3:uid="{4C03EFC8-95AD-4135-A064-59ED0A2972A4}" name="InformaciónAK" dataDxfId="29"/>
  </tableColumns>
  <tableStyleInfo name="Estilo de tabla 1" showFirstColumn="0" showLastColumn="0" showRowStripes="1" showColumnStripes="0"/>
</table>
</file>

<file path=xl/tables/table4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7" xr:uid="{3FAB6C65-145F-49A1-9056-95330E603DB4}" name="ProcesosAK" displayName="ProcesosAK" ref="H19:H25" totalsRowShown="0" headerRowDxfId="28" dataDxfId="27">
  <autoFilter ref="H19:H25" xr:uid="{3FAB6C65-145F-49A1-9056-95330E603DB4}"/>
  <tableColumns count="1">
    <tableColumn id="1" xr3:uid="{67C2A4B2-C2BB-4461-9673-21341948DA03}" name="ProcesosAK" dataDxfId="26"/>
  </tableColumns>
  <tableStyleInfo name="Estilo de tabla 1" showFirstColumn="0" showLastColumn="0" showRowStripes="1" showColumnStripes="0"/>
</table>
</file>

<file path=xl/tables/table4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8" xr:uid="{7E2DB0D1-A63C-4278-BB90-797F375B1009}" name="PsicomotorAK" displayName="PsicomotorAK" ref="I19:I25" totalsRowShown="0" headerRowDxfId="25" dataDxfId="24">
  <autoFilter ref="I19:I25" xr:uid="{7E2DB0D1-A63C-4278-BB90-797F375B1009}"/>
  <tableColumns count="1">
    <tableColumn id="1" xr3:uid="{C11CE8E5-4283-43E3-97B8-F84DDC504C64}" name="PsicomotorAK" dataDxfId="23"/>
  </tableColumns>
  <tableStyleInfo name="Estilo de tabla 1" showFirstColumn="0" showLastColumn="0" showRowStripes="1" showColumnStripes="0"/>
</table>
</file>

<file path=xl/tables/table4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9" xr:uid="{6ECA4D98-E956-4A04-B3B0-0A93F4884397}" name="RecuperaciónAK" displayName="RecuperaciónAK" ref="AT4:AT28" totalsRowShown="0" headerRowDxfId="22" dataDxfId="21" tableBorderDxfId="20">
  <autoFilter ref="AT4:AT28" xr:uid="{6ECA4D98-E956-4A04-B3B0-0A93F4884397}"/>
  <sortState xmlns:xlrd2="http://schemas.microsoft.com/office/spreadsheetml/2017/richdata2" ref="AT5:AT28">
    <sortCondition ref="AT5:AT28"/>
  </sortState>
  <tableColumns count="1">
    <tableColumn id="1" xr3:uid="{6B19F25F-6B18-4C47-BB8D-501A8EEAECC7}" name="RecuperaciónAK" dataDxfId="19"/>
  </tableColumns>
  <tableStyleInfo name="TableStyleMedium2" showFirstColumn="0" showLastColumn="0" showRowStripes="1" showColumnStripes="0"/>
</table>
</file>

<file path=xl/tables/table4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0" xr:uid="{4EE26191-22A3-4D10-AA50-5279EAFE5FF4}" name="ComprensiónAK" displayName="ComprensiónAK" ref="AU4:AU56" totalsRowShown="0" headerRowDxfId="18" dataDxfId="17">
  <autoFilter ref="AU4:AU56" xr:uid="{4EE26191-22A3-4D10-AA50-5279EAFE5FF4}"/>
  <sortState xmlns:xlrd2="http://schemas.microsoft.com/office/spreadsheetml/2017/richdata2" ref="AU5:AU56">
    <sortCondition ref="AU5:AU56"/>
  </sortState>
  <tableColumns count="1">
    <tableColumn id="1" xr3:uid="{20C03E72-5945-4010-ACE3-EE6E3F8AF3C1}" name="ComprensiónAK" dataDxfId="16"/>
  </tableColumns>
  <tableStyleInfo name="TableStyleMedium2" showFirstColumn="0" showLastColumn="0" showRowStripes="1" showColumnStripes="0"/>
</table>
</file>

<file path=xl/tables/table4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2" xr:uid="{7ECF6306-D599-4224-81C8-4E19CA353A6C}" name="AnálisisAK" displayName="AnálisisAK" ref="AV4:AV108" totalsRowShown="0" headerRowDxfId="15" dataDxfId="14" tableBorderDxfId="13">
  <autoFilter ref="AV4:AV108" xr:uid="{7ECF6306-D599-4224-81C8-4E19CA353A6C}"/>
  <sortState xmlns:xlrd2="http://schemas.microsoft.com/office/spreadsheetml/2017/richdata2" ref="AV5:AV108">
    <sortCondition ref="AV5:AV108"/>
  </sortState>
  <tableColumns count="1">
    <tableColumn id="1" xr3:uid="{7A61C7F0-05AD-4DBC-BE6E-D8DBB2716C7D}" name="AnálisisAK" dataDxfId="12"/>
  </tableColumns>
  <tableStyleInfo name="TableStyleMedium2" showFirstColumn="0" showLastColumn="0" showRowStripes="1" showColumnStripes="0"/>
</table>
</file>

<file path=xl/tables/table4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3" xr:uid="{48A9992D-187E-4D64-B1EE-2F797AE41033}" name="UsoConocimientoAK" displayName="UsoConocimientoAK" ref="AW4:AW70" totalsRowShown="0" headerRowDxfId="11" dataDxfId="10" tableBorderDxfId="9">
  <autoFilter ref="AW4:AW70" xr:uid="{48A9992D-187E-4D64-B1EE-2F797AE41033}"/>
  <sortState xmlns:xlrd2="http://schemas.microsoft.com/office/spreadsheetml/2017/richdata2" ref="AW5:AW70">
    <sortCondition ref="AW5:AW70"/>
  </sortState>
  <tableColumns count="1">
    <tableColumn id="1" xr3:uid="{3D5ABE44-0593-435A-B322-A7E32ABD45A0}" name="UsoConocimientoAK" dataDxfId="8"/>
  </tableColumns>
  <tableStyleInfo name="TableStyleMedium2" showFirstColumn="0" showLastColumn="0" showRowStripes="1" showColumnStripes="0"/>
</table>
</file>

<file path=xl/tables/table4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4" xr:uid="{C11DED42-A500-4180-8D74-D70BFEB5AA24}" name="MetacogniciónAK" displayName="MetacogniciónAK" ref="AX4:AX92" totalsRowShown="0" headerRowDxfId="7" dataDxfId="6" tableBorderDxfId="5">
  <autoFilter ref="AX4:AX92" xr:uid="{C11DED42-A500-4180-8D74-D70BFEB5AA24}"/>
  <sortState xmlns:xlrd2="http://schemas.microsoft.com/office/spreadsheetml/2017/richdata2" ref="AX5:AX92">
    <sortCondition ref="AX5:AX92"/>
  </sortState>
  <tableColumns count="1">
    <tableColumn id="1" xr3:uid="{4D90B4AA-1252-483D-B411-7F96C5754ECE}" name="MetacogniciónAK" dataDxfId="4"/>
  </tableColumns>
  <tableStyleInfo name="TableStyleMedium2" showFirstColumn="0" showLastColumn="0" showRowStripes="1" showColumnStripes="0"/>
</table>
</file>

<file path=xl/tables/table4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5" xr:uid="{7DEA9F2E-0ED7-409B-99EE-B0425CBC1A14}" name="SistemadelYoAK" displayName="SistemadelYoAK" ref="AY4:AY87" totalsRowShown="0" headerRowDxfId="3" dataDxfId="2" tableBorderDxfId="1">
  <autoFilter ref="AY4:AY87" xr:uid="{7DEA9F2E-0ED7-409B-99EE-B0425CBC1A14}"/>
  <tableColumns count="1">
    <tableColumn id="1" xr3:uid="{4D5E8ACA-4170-445D-BE28-EA8C4DAEEBDB}" name="SistemadelYoAK" dataDxfId="0"/>
  </tableColumns>
  <tableStyleInfo name="TableStyleMedium2" showFirstColumn="0" showLastColumn="0" showRowStripes="1" showColumnStripes="0"/>
</table>
</file>

<file path=xl/theme/theme1.xml><?xml version="1.0" encoding="utf-8"?>
<a:theme xmlns:a="http://schemas.openxmlformats.org/drawingml/2006/main" name="Office 2013 - Tema de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3" Type="http://schemas.openxmlformats.org/officeDocument/2006/relationships/comments" Target="../comments5.xml"/><Relationship Id="rId2" Type="http://schemas.openxmlformats.org/officeDocument/2006/relationships/vmlDrawing" Target="../drawings/vmlDrawing5.vml"/><Relationship Id="rId1" Type="http://schemas.openxmlformats.org/officeDocument/2006/relationships/printerSettings" Target="../printerSettings/printerSettings3.bin"/></Relationships>
</file>

<file path=xl/worksheets/_rels/sheet6.xml.rels><?xml version="1.0" encoding="UTF-8" standalone="yes"?>
<Relationships xmlns="http://schemas.openxmlformats.org/package/2006/relationships"><Relationship Id="rId3" Type="http://schemas.openxmlformats.org/officeDocument/2006/relationships/comments" Target="../comments6.xml"/><Relationship Id="rId2" Type="http://schemas.openxmlformats.org/officeDocument/2006/relationships/vmlDrawing" Target="../drawings/vmlDrawing6.vml"/><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1" Type="http://schemas.openxmlformats.org/officeDocument/2006/relationships/table" Target="../tables/table1.xml"/></Relationships>
</file>

<file path=xl/worksheets/_rels/sheet8.xml.rels><?xml version="1.0" encoding="UTF-8" standalone="yes"?>
<Relationships xmlns="http://schemas.openxmlformats.org/package/2006/relationships"><Relationship Id="rId13" Type="http://schemas.openxmlformats.org/officeDocument/2006/relationships/table" Target="../tables/table13.xml"/><Relationship Id="rId18" Type="http://schemas.openxmlformats.org/officeDocument/2006/relationships/table" Target="../tables/table18.xml"/><Relationship Id="rId26" Type="http://schemas.openxmlformats.org/officeDocument/2006/relationships/table" Target="../tables/table26.xml"/><Relationship Id="rId39" Type="http://schemas.openxmlformats.org/officeDocument/2006/relationships/table" Target="../tables/table39.xml"/><Relationship Id="rId21" Type="http://schemas.openxmlformats.org/officeDocument/2006/relationships/table" Target="../tables/table21.xml"/><Relationship Id="rId34" Type="http://schemas.openxmlformats.org/officeDocument/2006/relationships/table" Target="../tables/table34.xml"/><Relationship Id="rId42" Type="http://schemas.openxmlformats.org/officeDocument/2006/relationships/table" Target="../tables/table42.xml"/><Relationship Id="rId47" Type="http://schemas.openxmlformats.org/officeDocument/2006/relationships/table" Target="../tables/table47.xml"/><Relationship Id="rId7" Type="http://schemas.openxmlformats.org/officeDocument/2006/relationships/table" Target="../tables/table7.xml"/><Relationship Id="rId2" Type="http://schemas.openxmlformats.org/officeDocument/2006/relationships/table" Target="../tables/table2.xml"/><Relationship Id="rId16" Type="http://schemas.openxmlformats.org/officeDocument/2006/relationships/table" Target="../tables/table16.xml"/><Relationship Id="rId29" Type="http://schemas.openxmlformats.org/officeDocument/2006/relationships/table" Target="../tables/table29.xml"/><Relationship Id="rId11" Type="http://schemas.openxmlformats.org/officeDocument/2006/relationships/table" Target="../tables/table11.xml"/><Relationship Id="rId24" Type="http://schemas.openxmlformats.org/officeDocument/2006/relationships/table" Target="../tables/table24.xml"/><Relationship Id="rId32" Type="http://schemas.openxmlformats.org/officeDocument/2006/relationships/table" Target="../tables/table32.xml"/><Relationship Id="rId37" Type="http://schemas.openxmlformats.org/officeDocument/2006/relationships/table" Target="../tables/table37.xml"/><Relationship Id="rId40" Type="http://schemas.openxmlformats.org/officeDocument/2006/relationships/table" Target="../tables/table40.xml"/><Relationship Id="rId45" Type="http://schemas.openxmlformats.org/officeDocument/2006/relationships/table" Target="../tables/table45.xml"/><Relationship Id="rId5" Type="http://schemas.openxmlformats.org/officeDocument/2006/relationships/table" Target="../tables/table5.xml"/><Relationship Id="rId15" Type="http://schemas.openxmlformats.org/officeDocument/2006/relationships/table" Target="../tables/table15.xml"/><Relationship Id="rId23" Type="http://schemas.openxmlformats.org/officeDocument/2006/relationships/table" Target="../tables/table23.xml"/><Relationship Id="rId28" Type="http://schemas.openxmlformats.org/officeDocument/2006/relationships/table" Target="../tables/table28.xml"/><Relationship Id="rId36" Type="http://schemas.openxmlformats.org/officeDocument/2006/relationships/table" Target="../tables/table36.xml"/><Relationship Id="rId49" Type="http://schemas.openxmlformats.org/officeDocument/2006/relationships/comments" Target="../comments7.xml"/><Relationship Id="rId10" Type="http://schemas.openxmlformats.org/officeDocument/2006/relationships/table" Target="../tables/table10.xml"/><Relationship Id="rId19" Type="http://schemas.openxmlformats.org/officeDocument/2006/relationships/table" Target="../tables/table19.xml"/><Relationship Id="rId31" Type="http://schemas.openxmlformats.org/officeDocument/2006/relationships/table" Target="../tables/table31.xml"/><Relationship Id="rId44" Type="http://schemas.openxmlformats.org/officeDocument/2006/relationships/table" Target="../tables/table44.xml"/><Relationship Id="rId4" Type="http://schemas.openxmlformats.org/officeDocument/2006/relationships/table" Target="../tables/table4.xml"/><Relationship Id="rId9" Type="http://schemas.openxmlformats.org/officeDocument/2006/relationships/table" Target="../tables/table9.xml"/><Relationship Id="rId14" Type="http://schemas.openxmlformats.org/officeDocument/2006/relationships/table" Target="../tables/table14.xml"/><Relationship Id="rId22" Type="http://schemas.openxmlformats.org/officeDocument/2006/relationships/table" Target="../tables/table22.xml"/><Relationship Id="rId27" Type="http://schemas.openxmlformats.org/officeDocument/2006/relationships/table" Target="../tables/table27.xml"/><Relationship Id="rId30" Type="http://schemas.openxmlformats.org/officeDocument/2006/relationships/table" Target="../tables/table30.xml"/><Relationship Id="rId35" Type="http://schemas.openxmlformats.org/officeDocument/2006/relationships/table" Target="../tables/table35.xml"/><Relationship Id="rId43" Type="http://schemas.openxmlformats.org/officeDocument/2006/relationships/table" Target="../tables/table43.xml"/><Relationship Id="rId48" Type="http://schemas.openxmlformats.org/officeDocument/2006/relationships/table" Target="../tables/table48.xml"/><Relationship Id="rId8" Type="http://schemas.openxmlformats.org/officeDocument/2006/relationships/table" Target="../tables/table8.xml"/><Relationship Id="rId3" Type="http://schemas.openxmlformats.org/officeDocument/2006/relationships/table" Target="../tables/table3.xml"/><Relationship Id="rId12" Type="http://schemas.openxmlformats.org/officeDocument/2006/relationships/table" Target="../tables/table12.xml"/><Relationship Id="rId17" Type="http://schemas.openxmlformats.org/officeDocument/2006/relationships/table" Target="../tables/table17.xml"/><Relationship Id="rId25" Type="http://schemas.openxmlformats.org/officeDocument/2006/relationships/table" Target="../tables/table25.xml"/><Relationship Id="rId33" Type="http://schemas.openxmlformats.org/officeDocument/2006/relationships/table" Target="../tables/table33.xml"/><Relationship Id="rId38" Type="http://schemas.openxmlformats.org/officeDocument/2006/relationships/table" Target="../tables/table38.xml"/><Relationship Id="rId46" Type="http://schemas.openxmlformats.org/officeDocument/2006/relationships/table" Target="../tables/table46.xml"/><Relationship Id="rId20" Type="http://schemas.openxmlformats.org/officeDocument/2006/relationships/table" Target="../tables/table20.xml"/><Relationship Id="rId41" Type="http://schemas.openxmlformats.org/officeDocument/2006/relationships/table" Target="../tables/table41.xml"/><Relationship Id="rId1" Type="http://schemas.openxmlformats.org/officeDocument/2006/relationships/vmlDrawing" Target="../drawings/vmlDrawing7.vml"/><Relationship Id="rId6"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6FA7EDF-246F-4EE0-BFE4-7EACACD45C48}">
  <dimension ref="A1:K22"/>
  <sheetViews>
    <sheetView zoomScaleNormal="100" workbookViewId="0"/>
  </sheetViews>
  <sheetFormatPr baseColWidth="10" defaultColWidth="76.26953125" defaultRowHeight="16.5" x14ac:dyDescent="0.5"/>
  <cols>
    <col min="1" max="1" width="21.1796875" style="2" customWidth="1"/>
    <col min="2" max="2" width="16.7265625" style="2" customWidth="1"/>
    <col min="3" max="3" width="58.1796875" style="2" customWidth="1"/>
    <col min="4" max="4" width="77.81640625" style="2" customWidth="1"/>
    <col min="5" max="5" width="44.453125" style="2" customWidth="1"/>
    <col min="6" max="6" width="50.26953125" customWidth="1"/>
    <col min="7" max="7" width="51.26953125" customWidth="1"/>
    <col min="8" max="8" width="54.54296875" style="2" customWidth="1"/>
    <col min="9" max="9" width="114.1796875" style="2" customWidth="1"/>
    <col min="10" max="10" width="53.453125" style="2" customWidth="1"/>
    <col min="11" max="11" width="45.54296875" style="2" customWidth="1"/>
    <col min="12" max="16384" width="76.26953125" style="2"/>
  </cols>
  <sheetData>
    <row r="1" spans="1:11" s="35" customFormat="1" ht="39" x14ac:dyDescent="0.35">
      <c r="A1" s="38" t="s">
        <v>0</v>
      </c>
      <c r="B1" s="38" t="s">
        <v>1</v>
      </c>
      <c r="C1" s="38" t="s">
        <v>2</v>
      </c>
      <c r="D1" s="38" t="s">
        <v>3</v>
      </c>
      <c r="E1" s="142" t="s">
        <v>4</v>
      </c>
      <c r="F1" s="142"/>
      <c r="G1" s="142"/>
      <c r="H1" s="142" t="s">
        <v>5</v>
      </c>
      <c r="I1" s="142"/>
      <c r="J1" s="142"/>
      <c r="K1" s="38" t="s">
        <v>6</v>
      </c>
    </row>
    <row r="2" spans="1:11" s="29" customFormat="1" x14ac:dyDescent="0.5">
      <c r="A2" s="40" t="s">
        <v>7</v>
      </c>
      <c r="B2" s="40" t="s">
        <v>8</v>
      </c>
      <c r="C2" s="40" t="s">
        <v>9</v>
      </c>
      <c r="D2" s="46" t="s">
        <v>10</v>
      </c>
      <c r="E2" s="47" t="s">
        <v>11</v>
      </c>
      <c r="F2" s="134" t="s">
        <v>12</v>
      </c>
      <c r="G2" s="134" t="s">
        <v>13</v>
      </c>
      <c r="H2" s="48" t="s">
        <v>14</v>
      </c>
      <c r="I2" s="48" t="s">
        <v>15</v>
      </c>
      <c r="J2" s="48" t="s">
        <v>16</v>
      </c>
      <c r="K2" s="47" t="s">
        <v>17</v>
      </c>
    </row>
    <row r="3" spans="1:11" s="4" customFormat="1" ht="33" x14ac:dyDescent="0.35">
      <c r="A3" s="140" t="s">
        <v>18</v>
      </c>
      <c r="B3" s="140" t="s">
        <v>19</v>
      </c>
      <c r="C3" s="143" t="s">
        <v>20</v>
      </c>
      <c r="D3" s="143" t="s">
        <v>21</v>
      </c>
      <c r="E3" s="5" t="s">
        <v>22</v>
      </c>
      <c r="F3" s="135" t="s">
        <v>23</v>
      </c>
      <c r="G3" s="135" t="s">
        <v>24</v>
      </c>
      <c r="H3" s="143" t="s">
        <v>25</v>
      </c>
      <c r="I3" s="143" t="s">
        <v>26</v>
      </c>
      <c r="J3" s="143" t="s">
        <v>27</v>
      </c>
      <c r="K3" s="140" t="s">
        <v>28</v>
      </c>
    </row>
    <row r="4" spans="1:11" s="4" customFormat="1" ht="33" x14ac:dyDescent="0.35">
      <c r="A4" s="141"/>
      <c r="B4" s="141"/>
      <c r="C4" s="144"/>
      <c r="D4" s="144"/>
      <c r="E4" s="5" t="s">
        <v>29</v>
      </c>
      <c r="F4" s="4" t="s">
        <v>30</v>
      </c>
      <c r="G4" s="4" t="s">
        <v>31</v>
      </c>
      <c r="H4" s="144"/>
      <c r="I4" s="144"/>
      <c r="J4" s="144"/>
      <c r="K4" s="141"/>
    </row>
    <row r="5" spans="1:11" s="4" customFormat="1" ht="33" x14ac:dyDescent="0.35">
      <c r="A5" s="141"/>
      <c r="B5" s="141"/>
      <c r="C5" s="144"/>
      <c r="D5" s="144"/>
      <c r="E5" s="5" t="s">
        <v>32</v>
      </c>
      <c r="F5" s="34" t="s">
        <v>33</v>
      </c>
      <c r="G5" s="34" t="s">
        <v>34</v>
      </c>
      <c r="H5" s="144"/>
      <c r="I5" s="144"/>
      <c r="J5" s="144"/>
      <c r="K5" s="141"/>
    </row>
    <row r="6" spans="1:11" s="4" customFormat="1" ht="33" x14ac:dyDescent="0.35">
      <c r="A6" s="141"/>
      <c r="B6" s="141"/>
      <c r="C6" s="144"/>
      <c r="D6" s="144"/>
      <c r="E6" s="95" t="s">
        <v>35</v>
      </c>
      <c r="F6" s="94" t="s">
        <v>36</v>
      </c>
      <c r="G6" s="94" t="s">
        <v>37</v>
      </c>
      <c r="H6" s="144"/>
      <c r="I6" s="144"/>
      <c r="J6" s="144"/>
      <c r="K6" s="141"/>
    </row>
    <row r="7" spans="1:11" s="4" customFormat="1" ht="49.5" x14ac:dyDescent="0.35">
      <c r="A7" s="141"/>
      <c r="B7" s="141"/>
      <c r="C7" s="144"/>
      <c r="D7" s="144"/>
      <c r="E7" s="98" t="s">
        <v>38</v>
      </c>
      <c r="F7" s="98" t="s">
        <v>39</v>
      </c>
      <c r="G7" s="98" t="s">
        <v>40</v>
      </c>
      <c r="H7" s="144"/>
      <c r="I7" s="144"/>
      <c r="J7" s="144"/>
      <c r="K7" s="141"/>
    </row>
    <row r="8" spans="1:11" s="4" customFormat="1" x14ac:dyDescent="0.35">
      <c r="C8" s="34"/>
      <c r="D8" s="133"/>
      <c r="E8" s="34"/>
      <c r="F8" s="34"/>
      <c r="G8" s="34"/>
      <c r="H8" s="5"/>
    </row>
    <row r="9" spans="1:11" ht="21" x14ac:dyDescent="0.5">
      <c r="D9" s="28"/>
      <c r="E9" s="8"/>
      <c r="F9" s="8"/>
      <c r="H9" s="3"/>
    </row>
    <row r="10" spans="1:11" ht="21" x14ac:dyDescent="0.5">
      <c r="D10" s="28"/>
      <c r="E10" s="8"/>
      <c r="F10" s="8"/>
      <c r="H10" s="3"/>
    </row>
    <row r="11" spans="1:11" ht="21" x14ac:dyDescent="0.5">
      <c r="C11" s="30"/>
      <c r="D11" s="28"/>
      <c r="E11" s="30"/>
      <c r="F11" s="30"/>
      <c r="H11" s="3"/>
    </row>
    <row r="12" spans="1:11" ht="21" x14ac:dyDescent="0.5">
      <c r="D12" s="28"/>
      <c r="E12" s="8"/>
      <c r="F12" s="8"/>
      <c r="H12" s="3"/>
    </row>
    <row r="13" spans="1:11" ht="21" x14ac:dyDescent="0.5">
      <c r="C13" s="4"/>
      <c r="D13" s="28"/>
      <c r="E13" s="10"/>
      <c r="F13" s="2"/>
      <c r="H13" s="3"/>
    </row>
    <row r="14" spans="1:11" ht="21" x14ac:dyDescent="0.5">
      <c r="D14" s="28"/>
      <c r="E14" s="8"/>
    </row>
    <row r="15" spans="1:11" ht="21" x14ac:dyDescent="0.5">
      <c r="D15" s="28"/>
    </row>
    <row r="16" spans="1:11" ht="21" x14ac:dyDescent="0.5">
      <c r="D16" s="28"/>
    </row>
    <row r="17" spans="4:4" ht="21" x14ac:dyDescent="0.5">
      <c r="D17" s="28"/>
    </row>
    <row r="18" spans="4:4" ht="21" x14ac:dyDescent="0.5">
      <c r="D18" s="28"/>
    </row>
    <row r="19" spans="4:4" ht="21" x14ac:dyDescent="0.5">
      <c r="D19" s="28"/>
    </row>
    <row r="20" spans="4:4" ht="21" x14ac:dyDescent="0.5">
      <c r="D20" s="28"/>
    </row>
    <row r="21" spans="4:4" ht="21" x14ac:dyDescent="0.5">
      <c r="D21" s="28"/>
    </row>
    <row r="22" spans="4:4" ht="21" x14ac:dyDescent="0.5">
      <c r="D22" s="28"/>
    </row>
  </sheetData>
  <mergeCells count="10">
    <mergeCell ref="K3:K7"/>
    <mergeCell ref="E1:G1"/>
    <mergeCell ref="H1:J1"/>
    <mergeCell ref="A3:A7"/>
    <mergeCell ref="B3:B7"/>
    <mergeCell ref="C3:C7"/>
    <mergeCell ref="D3:D7"/>
    <mergeCell ref="H3:H7"/>
    <mergeCell ref="I3:I7"/>
    <mergeCell ref="J3:J7"/>
  </mergeCells>
  <pageMargins left="0.7" right="0.7" top="0.75" bottom="0.75" header="0.3" footer="0.3"/>
  <legacy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C1850E-A9C8-4F69-8E80-DEAF9721FFBF}">
  <dimension ref="A1:G16"/>
  <sheetViews>
    <sheetView zoomScaleNormal="100" workbookViewId="0">
      <selection sqref="A1:G1"/>
    </sheetView>
  </sheetViews>
  <sheetFormatPr baseColWidth="10" defaultColWidth="11.453125" defaultRowHeight="16.5" x14ac:dyDescent="0.35"/>
  <cols>
    <col min="1" max="1" width="19" style="6" customWidth="1"/>
    <col min="2" max="2" width="23" style="6" customWidth="1"/>
    <col min="3" max="3" width="27" style="6" customWidth="1"/>
    <col min="4" max="4" width="29.26953125" style="6" customWidth="1"/>
    <col min="5" max="5" width="41.81640625" style="6" customWidth="1"/>
    <col min="6" max="6" width="78.54296875" style="6" customWidth="1"/>
    <col min="7" max="7" width="24" style="6" customWidth="1"/>
    <col min="8" max="16384" width="11.453125" style="6"/>
  </cols>
  <sheetData>
    <row r="1" spans="1:7" s="2" customFormat="1" x14ac:dyDescent="0.5">
      <c r="A1" s="145" t="s">
        <v>41</v>
      </c>
      <c r="B1" s="146"/>
      <c r="C1" s="146"/>
      <c r="D1" s="146"/>
      <c r="E1" s="146"/>
      <c r="F1" s="146"/>
      <c r="G1" s="146"/>
    </row>
    <row r="2" spans="1:7" s="39" customFormat="1" ht="78" x14ac:dyDescent="0.35">
      <c r="A2" s="36" t="s">
        <v>42</v>
      </c>
      <c r="B2" s="37" t="s">
        <v>43</v>
      </c>
      <c r="C2" s="37" t="s">
        <v>44</v>
      </c>
      <c r="D2" s="37" t="s">
        <v>45</v>
      </c>
      <c r="E2" s="37" t="s">
        <v>46</v>
      </c>
      <c r="F2" s="38" t="s">
        <v>47</v>
      </c>
      <c r="G2" s="38" t="s">
        <v>48</v>
      </c>
    </row>
    <row r="3" spans="1:7" s="41" customFormat="1" x14ac:dyDescent="0.5">
      <c r="A3" s="60" t="s">
        <v>49</v>
      </c>
      <c r="B3" s="61" t="s">
        <v>50</v>
      </c>
      <c r="C3" s="61" t="s">
        <v>51</v>
      </c>
      <c r="D3" s="61" t="s">
        <v>52</v>
      </c>
      <c r="E3" s="61" t="s">
        <v>53</v>
      </c>
      <c r="F3" s="50" t="s">
        <v>54</v>
      </c>
      <c r="G3" s="50" t="s">
        <v>55</v>
      </c>
    </row>
    <row r="4" spans="1:7" ht="66" x14ac:dyDescent="0.35">
      <c r="A4" s="6">
        <v>1</v>
      </c>
      <c r="B4" s="5" t="s">
        <v>56</v>
      </c>
      <c r="C4" s="5" t="s">
        <v>22</v>
      </c>
      <c r="D4" s="135" t="s">
        <v>23</v>
      </c>
      <c r="E4" s="135" t="s">
        <v>24</v>
      </c>
      <c r="F4" s="51" t="s">
        <v>57</v>
      </c>
      <c r="G4" s="6" t="s">
        <v>58</v>
      </c>
    </row>
    <row r="5" spans="1:7" ht="49.5" x14ac:dyDescent="0.35">
      <c r="A5" s="6">
        <v>2</v>
      </c>
      <c r="B5" s="5" t="s">
        <v>59</v>
      </c>
      <c r="C5" s="5" t="s">
        <v>29</v>
      </c>
      <c r="D5" s="4" t="s">
        <v>30</v>
      </c>
      <c r="E5" s="4" t="s">
        <v>60</v>
      </c>
      <c r="F5" s="5" t="s">
        <v>61</v>
      </c>
      <c r="G5" s="6" t="s">
        <v>58</v>
      </c>
    </row>
    <row r="6" spans="1:7" ht="66" x14ac:dyDescent="0.35">
      <c r="A6" s="6">
        <v>3</v>
      </c>
      <c r="B6" s="5" t="s">
        <v>62</v>
      </c>
      <c r="C6" s="5" t="s">
        <v>32</v>
      </c>
      <c r="D6" s="34" t="s">
        <v>33</v>
      </c>
      <c r="E6" s="34" t="s">
        <v>34</v>
      </c>
      <c r="F6" s="5" t="s">
        <v>63</v>
      </c>
      <c r="G6" s="6" t="s">
        <v>58</v>
      </c>
    </row>
    <row r="7" spans="1:7" ht="66.5" thickBot="1" x14ac:dyDescent="0.4">
      <c r="A7" s="88">
        <v>4</v>
      </c>
      <c r="B7" s="87" t="s">
        <v>64</v>
      </c>
      <c r="C7" s="87" t="s">
        <v>35</v>
      </c>
      <c r="D7" s="94" t="s">
        <v>36</v>
      </c>
      <c r="E7" s="94" t="s">
        <v>65</v>
      </c>
      <c r="F7" s="87" t="s">
        <v>66</v>
      </c>
      <c r="G7" s="88" t="s">
        <v>58</v>
      </c>
    </row>
    <row r="8" spans="1:7" ht="66" x14ac:dyDescent="0.35">
      <c r="A8" s="6">
        <v>5</v>
      </c>
      <c r="B8" s="34" t="s">
        <v>67</v>
      </c>
      <c r="C8" s="5" t="s">
        <v>38</v>
      </c>
      <c r="D8" s="34" t="s">
        <v>39</v>
      </c>
      <c r="E8" s="34" t="s">
        <v>68</v>
      </c>
      <c r="F8" s="34" t="s">
        <v>69</v>
      </c>
      <c r="G8" s="6" t="s">
        <v>70</v>
      </c>
    </row>
    <row r="9" spans="1:7" x14ac:dyDescent="0.35">
      <c r="B9" s="5"/>
      <c r="C9" s="32"/>
      <c r="D9" s="33"/>
      <c r="E9" s="33"/>
      <c r="F9" s="5"/>
    </row>
    <row r="10" spans="1:7" x14ac:dyDescent="0.35">
      <c r="C10" s="31"/>
      <c r="D10" s="31"/>
      <c r="E10" s="31"/>
    </row>
    <row r="14" spans="1:7" x14ac:dyDescent="0.35">
      <c r="C14" s="31"/>
      <c r="D14" s="15"/>
      <c r="E14" s="15"/>
    </row>
    <row r="15" spans="1:7" x14ac:dyDescent="0.35">
      <c r="C15" s="31"/>
      <c r="D15" s="15"/>
      <c r="E15" s="15"/>
    </row>
    <row r="16" spans="1:7" x14ac:dyDescent="0.35">
      <c r="C16" s="31"/>
      <c r="D16" s="15"/>
      <c r="E16" s="15"/>
    </row>
  </sheetData>
  <mergeCells count="1">
    <mergeCell ref="A1:G1"/>
  </mergeCells>
  <dataValidations count="1">
    <dataValidation type="list" allowBlank="1" showInputMessage="1" showErrorMessage="1" sqref="B8:B12" xr:uid="{7FF6EE86-2F70-4AF5-821E-634C08680A10}">
      <formula1>Verboscompetencias</formula1>
    </dataValidation>
  </dataValidations>
  <pageMargins left="0.7" right="0.7" top="0.75" bottom="0.75" header="0.3" footer="0.3"/>
  <legacyDrawing r:id="rId1"/>
  <extLst>
    <ext xmlns:x14="http://schemas.microsoft.com/office/spreadsheetml/2009/9/main" uri="{CCE6A557-97BC-4b89-ADB6-D9C93CAAB3DF}">
      <x14:dataValidations xmlns:xm="http://schemas.microsoft.com/office/excel/2006/main" count="4">
        <x14:dataValidation type="list" allowBlank="1" showInputMessage="1" showErrorMessage="1" xr:uid="{67CCD9FD-C355-4093-9DBF-5B728297BE25}">
          <x14:formula1>
            <xm:f>'Taxonomía para competencias'!$B$2:$B$58</xm:f>
          </x14:formula1>
          <xm:sqref>B13</xm:sqref>
        </x14:dataValidation>
        <x14:dataValidation type="list" allowBlank="1" showInputMessage="1" showErrorMessage="1" xr:uid="{27BB9EA1-A522-436A-B320-3844B1FF49FC}">
          <x14:formula1>
            <xm:f>'Taxonomía para competencias'!$B$2:$B$49</xm:f>
          </x14:formula1>
          <xm:sqref>B4:B7</xm:sqref>
        </x14:dataValidation>
        <x14:dataValidation type="list" allowBlank="1" showInputMessage="1" showErrorMessage="1" xr:uid="{5EADCC8E-A021-41D2-A781-82D42FE181E0}">
          <x14:formula1>
            <xm:f>'Paso1 Analisis perfil egreso'!$E$3:$E$8</xm:f>
          </x14:formula1>
          <xm:sqref>C8</xm:sqref>
        </x14:dataValidation>
        <x14:dataValidation type="list" allowBlank="1" showInputMessage="1" showErrorMessage="1" xr:uid="{33DE93D0-28B9-435A-9EE1-5F80FDE293A1}">
          <x14:formula1>
            <xm:f>'Paso1 Analisis perfil egreso'!$E$3:$E$6</xm:f>
          </x14:formula1>
          <xm:sqref>C4:C7</xm:sqref>
        </x14:dataValidation>
      </x14:dataValidation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47B830-823B-DB48-96CD-EBD5F6A2AA93}">
  <dimension ref="A1:J28"/>
  <sheetViews>
    <sheetView zoomScaleNormal="100" workbookViewId="0"/>
  </sheetViews>
  <sheetFormatPr baseColWidth="10" defaultColWidth="11.453125" defaultRowHeight="16.5" x14ac:dyDescent="0.35"/>
  <cols>
    <col min="1" max="1" width="93.26953125" style="5" customWidth="1"/>
    <col min="2" max="2" width="23.1796875" style="6" customWidth="1"/>
    <col min="3" max="3" width="25" style="5" customWidth="1"/>
    <col min="4" max="4" width="29.26953125" style="5" customWidth="1"/>
    <col min="5" max="5" width="26.453125" style="5" customWidth="1"/>
    <col min="6" max="6" width="21.26953125" style="5" customWidth="1"/>
    <col min="7" max="7" width="21.26953125" style="7" customWidth="1"/>
    <col min="8" max="8" width="21.26953125" style="91" customWidth="1"/>
    <col min="9" max="9" width="80" style="9" customWidth="1"/>
    <col min="10" max="10" width="97.1796875" style="5" customWidth="1"/>
    <col min="11" max="16384" width="11.453125" style="5"/>
  </cols>
  <sheetData>
    <row r="1" spans="1:10" s="83" customFormat="1" ht="52" x14ac:dyDescent="0.35">
      <c r="A1" s="81" t="s">
        <v>71</v>
      </c>
      <c r="B1" s="81" t="s">
        <v>72</v>
      </c>
      <c r="C1" s="37" t="s">
        <v>73</v>
      </c>
      <c r="D1" s="82" t="s">
        <v>74</v>
      </c>
      <c r="E1" s="82" t="s">
        <v>75</v>
      </c>
      <c r="F1" s="37" t="s">
        <v>76</v>
      </c>
      <c r="G1" s="37" t="s">
        <v>77</v>
      </c>
      <c r="H1" s="37" t="s">
        <v>78</v>
      </c>
      <c r="I1" s="81" t="s">
        <v>79</v>
      </c>
    </row>
    <row r="2" spans="1:10" s="86" customFormat="1" x14ac:dyDescent="0.35">
      <c r="A2" s="84" t="s">
        <v>80</v>
      </c>
      <c r="B2" s="84" t="s">
        <v>81</v>
      </c>
      <c r="C2" s="61" t="s">
        <v>82</v>
      </c>
      <c r="D2" s="85" t="s">
        <v>83</v>
      </c>
      <c r="E2" s="85" t="s">
        <v>84</v>
      </c>
      <c r="F2" s="61" t="s">
        <v>85</v>
      </c>
      <c r="G2" s="61" t="s">
        <v>86</v>
      </c>
      <c r="H2" s="61" t="s">
        <v>87</v>
      </c>
      <c r="I2" s="84" t="s">
        <v>88</v>
      </c>
    </row>
    <row r="3" spans="1:10" ht="49.5" x14ac:dyDescent="0.35">
      <c r="A3" s="5" t="s">
        <v>61</v>
      </c>
      <c r="B3" s="6">
        <v>1</v>
      </c>
      <c r="C3" s="5" t="s">
        <v>11</v>
      </c>
      <c r="D3" s="5" t="s">
        <v>29</v>
      </c>
      <c r="E3" s="5" t="s">
        <v>89</v>
      </c>
      <c r="F3" s="9" t="s">
        <v>90</v>
      </c>
      <c r="G3" s="9" t="s">
        <v>91</v>
      </c>
      <c r="H3" s="5" t="s">
        <v>67</v>
      </c>
      <c r="I3" s="34" t="s">
        <v>92</v>
      </c>
      <c r="J3" s="27"/>
    </row>
    <row r="4" spans="1:10" ht="49.5" x14ac:dyDescent="0.35">
      <c r="A4" s="5" t="s">
        <v>61</v>
      </c>
      <c r="B4" s="6">
        <v>5</v>
      </c>
      <c r="C4" s="5" t="s">
        <v>12</v>
      </c>
      <c r="D4" s="5" t="s">
        <v>30</v>
      </c>
      <c r="E4" s="5" t="s">
        <v>89</v>
      </c>
      <c r="F4" s="9" t="s">
        <v>93</v>
      </c>
      <c r="G4" s="9" t="s">
        <v>91</v>
      </c>
      <c r="H4" s="5" t="s">
        <v>62</v>
      </c>
      <c r="I4" s="34" t="s">
        <v>94</v>
      </c>
    </row>
    <row r="5" spans="1:10" ht="50" thickBot="1" x14ac:dyDescent="0.4">
      <c r="A5" s="87" t="s">
        <v>61</v>
      </c>
      <c r="B5" s="88">
        <v>8</v>
      </c>
      <c r="C5" s="87" t="s">
        <v>13</v>
      </c>
      <c r="D5" s="87" t="s">
        <v>31</v>
      </c>
      <c r="E5" s="87" t="s">
        <v>89</v>
      </c>
      <c r="F5" s="89" t="s">
        <v>95</v>
      </c>
      <c r="G5" s="89" t="s">
        <v>91</v>
      </c>
      <c r="H5" s="87" t="s">
        <v>96</v>
      </c>
      <c r="I5" s="94" t="s">
        <v>97</v>
      </c>
    </row>
    <row r="6" spans="1:10" ht="49.5" x14ac:dyDescent="0.35">
      <c r="A6" s="5" t="s">
        <v>57</v>
      </c>
      <c r="B6" s="6">
        <v>1</v>
      </c>
      <c r="C6" s="5" t="s">
        <v>11</v>
      </c>
      <c r="D6" s="5" t="s">
        <v>22</v>
      </c>
      <c r="E6" s="5" t="s">
        <v>89</v>
      </c>
      <c r="F6" s="9" t="s">
        <v>90</v>
      </c>
      <c r="G6" s="9" t="s">
        <v>91</v>
      </c>
      <c r="H6" s="5" t="s">
        <v>67</v>
      </c>
      <c r="I6" s="34" t="s">
        <v>92</v>
      </c>
    </row>
    <row r="7" spans="1:10" ht="49.5" x14ac:dyDescent="0.35">
      <c r="A7" s="5" t="s">
        <v>57</v>
      </c>
      <c r="B7" s="6">
        <v>5</v>
      </c>
      <c r="C7" s="5" t="s">
        <v>12</v>
      </c>
      <c r="D7" s="5" t="s">
        <v>23</v>
      </c>
      <c r="E7" s="5" t="s">
        <v>89</v>
      </c>
      <c r="F7" s="9" t="s">
        <v>93</v>
      </c>
      <c r="G7" s="9" t="s">
        <v>91</v>
      </c>
      <c r="H7" s="5" t="s">
        <v>62</v>
      </c>
      <c r="I7" s="34" t="s">
        <v>94</v>
      </c>
    </row>
    <row r="8" spans="1:10" ht="50" thickBot="1" x14ac:dyDescent="0.4">
      <c r="A8" s="87" t="s">
        <v>57</v>
      </c>
      <c r="B8" s="88">
        <v>8</v>
      </c>
      <c r="C8" s="87" t="s">
        <v>13</v>
      </c>
      <c r="D8" s="87" t="s">
        <v>24</v>
      </c>
      <c r="E8" s="87" t="s">
        <v>89</v>
      </c>
      <c r="F8" s="89" t="s">
        <v>95</v>
      </c>
      <c r="G8" s="89" t="s">
        <v>91</v>
      </c>
      <c r="H8" s="87" t="s">
        <v>96</v>
      </c>
      <c r="I8" s="94" t="s">
        <v>97</v>
      </c>
      <c r="J8" s="90"/>
    </row>
    <row r="9" spans="1:10" ht="49.5" x14ac:dyDescent="0.35">
      <c r="A9" s="5" t="s">
        <v>63</v>
      </c>
      <c r="B9" s="6">
        <v>2</v>
      </c>
      <c r="C9" s="5" t="s">
        <v>11</v>
      </c>
      <c r="D9" s="5" t="s">
        <v>32</v>
      </c>
      <c r="E9" s="5" t="s">
        <v>89</v>
      </c>
      <c r="F9" s="9" t="s">
        <v>90</v>
      </c>
      <c r="G9" s="9" t="s">
        <v>98</v>
      </c>
      <c r="H9" s="5" t="s">
        <v>99</v>
      </c>
      <c r="I9" s="34" t="s">
        <v>100</v>
      </c>
    </row>
    <row r="10" spans="1:10" ht="66" x14ac:dyDescent="0.35">
      <c r="A10" s="5" t="s">
        <v>63</v>
      </c>
      <c r="B10" s="6">
        <v>6</v>
      </c>
      <c r="C10" s="5" t="s">
        <v>12</v>
      </c>
      <c r="D10" s="5" t="s">
        <v>33</v>
      </c>
      <c r="E10" s="5" t="s">
        <v>89</v>
      </c>
      <c r="F10" s="9" t="s">
        <v>93</v>
      </c>
      <c r="G10" s="9" t="s">
        <v>101</v>
      </c>
      <c r="H10" s="5" t="s">
        <v>102</v>
      </c>
      <c r="I10" s="34" t="s">
        <v>103</v>
      </c>
    </row>
    <row r="11" spans="1:10" ht="50" thickBot="1" x14ac:dyDescent="0.4">
      <c r="A11" s="87" t="s">
        <v>63</v>
      </c>
      <c r="B11" s="88">
        <v>8</v>
      </c>
      <c r="C11" s="87" t="s">
        <v>13</v>
      </c>
      <c r="D11" s="87" t="s">
        <v>34</v>
      </c>
      <c r="E11" s="87" t="s">
        <v>89</v>
      </c>
      <c r="F11" s="89" t="s">
        <v>95</v>
      </c>
      <c r="G11" s="89" t="s">
        <v>91</v>
      </c>
      <c r="H11" s="87" t="s">
        <v>96</v>
      </c>
      <c r="I11" s="94" t="s">
        <v>97</v>
      </c>
      <c r="J11" s="90"/>
    </row>
    <row r="12" spans="1:10" ht="49.5" x14ac:dyDescent="0.35">
      <c r="A12" s="5" t="s">
        <v>66</v>
      </c>
      <c r="B12" s="6">
        <v>3</v>
      </c>
      <c r="C12" s="5" t="s">
        <v>11</v>
      </c>
      <c r="D12" s="5" t="s">
        <v>35</v>
      </c>
      <c r="E12" s="5" t="s">
        <v>89</v>
      </c>
      <c r="F12" s="9" t="s">
        <v>90</v>
      </c>
      <c r="G12" s="9" t="s">
        <v>98</v>
      </c>
      <c r="H12" s="5" t="s">
        <v>104</v>
      </c>
      <c r="I12" s="34" t="s">
        <v>105</v>
      </c>
    </row>
    <row r="13" spans="1:10" ht="66" x14ac:dyDescent="0.35">
      <c r="A13" s="5" t="s">
        <v>66</v>
      </c>
      <c r="B13" s="6">
        <v>7</v>
      </c>
      <c r="C13" s="5" t="s">
        <v>12</v>
      </c>
      <c r="D13" s="5" t="s">
        <v>36</v>
      </c>
      <c r="E13" s="5" t="s">
        <v>89</v>
      </c>
      <c r="F13" s="9" t="s">
        <v>93</v>
      </c>
      <c r="G13" s="9" t="s">
        <v>101</v>
      </c>
      <c r="H13" s="5" t="s">
        <v>102</v>
      </c>
      <c r="I13" s="34" t="s">
        <v>106</v>
      </c>
    </row>
    <row r="14" spans="1:10" ht="50" thickBot="1" x14ac:dyDescent="0.4">
      <c r="A14" s="87" t="s">
        <v>66</v>
      </c>
      <c r="B14" s="88">
        <v>8</v>
      </c>
      <c r="C14" s="87" t="s">
        <v>13</v>
      </c>
      <c r="D14" s="87" t="s">
        <v>37</v>
      </c>
      <c r="E14" s="87" t="s">
        <v>89</v>
      </c>
      <c r="F14" s="89" t="s">
        <v>95</v>
      </c>
      <c r="G14" s="89" t="s">
        <v>91</v>
      </c>
      <c r="H14" s="87" t="s">
        <v>96</v>
      </c>
      <c r="I14" s="94" t="s">
        <v>97</v>
      </c>
      <c r="J14" s="90"/>
    </row>
    <row r="15" spans="1:10" ht="49.5" x14ac:dyDescent="0.35">
      <c r="A15" s="5" t="s">
        <v>69</v>
      </c>
      <c r="B15" s="6">
        <v>4</v>
      </c>
      <c r="C15" s="5" t="s">
        <v>11</v>
      </c>
      <c r="D15" s="5" t="s">
        <v>38</v>
      </c>
      <c r="E15" s="5" t="s">
        <v>89</v>
      </c>
      <c r="F15" s="9" t="s">
        <v>90</v>
      </c>
      <c r="G15" s="9" t="s">
        <v>98</v>
      </c>
      <c r="H15" s="5" t="s">
        <v>107</v>
      </c>
      <c r="I15" s="34" t="s">
        <v>108</v>
      </c>
      <c r="J15" s="90"/>
    </row>
    <row r="16" spans="1:10" x14ac:dyDescent="0.35">
      <c r="A16" s="4"/>
      <c r="F16" s="9"/>
      <c r="G16" s="9"/>
      <c r="H16" s="5"/>
      <c r="I16" s="4"/>
      <c r="J16" s="90"/>
    </row>
    <row r="17" spans="1:9" x14ac:dyDescent="0.35">
      <c r="A17" s="4"/>
      <c r="F17" s="9"/>
      <c r="G17" s="9"/>
      <c r="H17" s="5"/>
      <c r="I17" s="4"/>
    </row>
    <row r="18" spans="1:9" x14ac:dyDescent="0.35">
      <c r="A18" s="4"/>
      <c r="F18" s="9"/>
      <c r="G18" s="9"/>
      <c r="H18" s="5"/>
      <c r="I18" s="4"/>
    </row>
    <row r="19" spans="1:9" x14ac:dyDescent="0.35">
      <c r="A19" s="4"/>
      <c r="F19" s="9"/>
      <c r="G19" s="9"/>
      <c r="H19" s="5"/>
      <c r="I19" s="4"/>
    </row>
    <row r="20" spans="1:9" x14ac:dyDescent="0.35">
      <c r="A20" s="4"/>
      <c r="F20" s="9"/>
      <c r="G20" s="9"/>
      <c r="H20" s="5"/>
      <c r="I20" s="4"/>
    </row>
    <row r="21" spans="1:9" x14ac:dyDescent="0.35">
      <c r="A21" s="4"/>
      <c r="F21" s="9"/>
      <c r="G21" s="9"/>
      <c r="H21" s="5"/>
      <c r="I21" s="4"/>
    </row>
    <row r="22" spans="1:9" x14ac:dyDescent="0.35">
      <c r="A22" s="4"/>
      <c r="H22" s="5"/>
      <c r="I22" s="4"/>
    </row>
    <row r="23" spans="1:9" x14ac:dyDescent="0.35">
      <c r="A23" s="4"/>
      <c r="I23" s="4"/>
    </row>
    <row r="24" spans="1:9" x14ac:dyDescent="0.35">
      <c r="A24" s="4"/>
      <c r="I24" s="4"/>
    </row>
    <row r="25" spans="1:9" x14ac:dyDescent="0.35">
      <c r="A25" s="4"/>
    </row>
    <row r="26" spans="1:9" x14ac:dyDescent="0.35">
      <c r="A26" s="4"/>
    </row>
    <row r="27" spans="1:9" x14ac:dyDescent="0.35">
      <c r="A27" s="4"/>
    </row>
    <row r="28" spans="1:9" x14ac:dyDescent="0.35">
      <c r="A28" s="4"/>
    </row>
  </sheetData>
  <autoFilter ref="A2:K15" xr:uid="{94AAF649-42F4-466A-BE11-44357078F961}"/>
  <dataValidations count="5">
    <dataValidation type="list" allowBlank="1" showInputMessage="1" showErrorMessage="1" sqref="H3:H15" xr:uid="{EF7E0087-1A07-4340-9A8A-E18F2705EAA5}">
      <formula1>INDIRECT($G3)</formula1>
    </dataValidation>
    <dataValidation type="list" allowBlank="1" showInputMessage="1" showErrorMessage="1" sqref="G3:G15" xr:uid="{C824F632-68FF-A845-8310-1160831D753F}">
      <formula1>INDIRECT($F3)</formula1>
    </dataValidation>
    <dataValidation type="list" allowBlank="1" showInputMessage="1" showErrorMessage="1" sqref="F3:F15" xr:uid="{A432778F-7D53-8543-B7B7-9CEB372333AB}">
      <formula1>INDIRECT($E3)</formula1>
    </dataValidation>
    <dataValidation type="list" allowBlank="1" showInputMessage="1" showErrorMessage="1" sqref="D3:D15" xr:uid="{7E1D182A-6AF9-A04C-9AFE-674494F658A5}">
      <formula1>INDIRECT($C3)</formula1>
    </dataValidation>
    <dataValidation type="list" allowBlank="1" showInputMessage="1" showErrorMessage="1" sqref="C3:C15" xr:uid="{75684620-131C-F04B-80D8-C75EA8359587}">
      <formula1>ComponentesCompetencias</formula1>
    </dataValidation>
  </dataValidations>
  <pageMargins left="0.7" right="0.7" top="0.75" bottom="0.75" header="0.3" footer="0.3"/>
  <pageSetup orientation="portrait" r:id="rId1"/>
  <legacyDrawing r:id="rId2"/>
  <extLst>
    <ext xmlns:x14="http://schemas.microsoft.com/office/spreadsheetml/2009/9/main" uri="{CCE6A557-97BC-4b89-ADB6-D9C93CAAB3DF}">
      <x14:dataValidations xmlns:xm="http://schemas.microsoft.com/office/excel/2006/main" count="2">
        <x14:dataValidation type="list" allowBlank="1" showInputMessage="1" showErrorMessage="1" xr:uid="{345BD5CC-7544-FC43-BCE7-641772B9359A}">
          <x14:formula1>
            <xm:f>'Taxonomias para RA'!$A$4:$A$7</xm:f>
          </x14:formula1>
          <xm:sqref>E3:E15</xm:sqref>
        </x14:dataValidation>
        <x14:dataValidation type="list" allowBlank="1" showInputMessage="1" showErrorMessage="1" xr:uid="{98578F6C-C527-A048-93A4-A8514981207B}">
          <x14:formula1>
            <xm:f>'Paso 2 Redacción competen'!$F$4:$F$8</xm:f>
          </x14:formula1>
          <xm:sqref>A3:A15</xm:sqref>
        </x14:dataValidation>
      </x14:dataValidations>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AAF649-42F4-466A-BE11-44357078F961}">
  <sheetPr filterMode="1"/>
  <dimension ref="A1:K31"/>
  <sheetViews>
    <sheetView zoomScale="130" zoomScaleNormal="130" workbookViewId="0">
      <selection activeCell="A6" sqref="A6"/>
    </sheetView>
  </sheetViews>
  <sheetFormatPr baseColWidth="10" defaultColWidth="11.453125" defaultRowHeight="70.900000000000006" customHeight="1" x14ac:dyDescent="0.5"/>
  <cols>
    <col min="1" max="1" width="93.26953125" style="5" customWidth="1"/>
    <col min="2" max="2" width="23.1796875" style="6" customWidth="1"/>
    <col min="3" max="3" width="25" style="5" customWidth="1"/>
    <col min="4" max="4" width="36.81640625" style="5" customWidth="1"/>
    <col min="5" max="5" width="30.7265625" style="5" customWidth="1"/>
    <col min="6" max="6" width="21.81640625" style="5" customWidth="1"/>
    <col min="7" max="7" width="27.453125" style="7" customWidth="1"/>
    <col min="8" max="8" width="22.54296875" style="1" customWidth="1"/>
    <col min="9" max="9" width="80" customWidth="1"/>
    <col min="10" max="10" width="97.1796875" style="5" customWidth="1"/>
    <col min="11" max="16384" width="11.453125" style="5"/>
  </cols>
  <sheetData>
    <row r="1" spans="1:11" ht="52" x14ac:dyDescent="0.35">
      <c r="A1" s="44" t="s">
        <v>71</v>
      </c>
      <c r="B1" s="44" t="s">
        <v>72</v>
      </c>
      <c r="C1" s="52" t="s">
        <v>73</v>
      </c>
      <c r="D1" s="53" t="s">
        <v>74</v>
      </c>
      <c r="E1" s="53" t="s">
        <v>75</v>
      </c>
      <c r="F1" s="52" t="s">
        <v>76</v>
      </c>
      <c r="G1" s="52" t="s">
        <v>77</v>
      </c>
      <c r="H1" s="52" t="s">
        <v>78</v>
      </c>
      <c r="I1" s="44" t="s">
        <v>79</v>
      </c>
      <c r="J1" s="45"/>
    </row>
    <row r="2" spans="1:11" ht="16.5" x14ac:dyDescent="0.35">
      <c r="A2" s="62" t="s">
        <v>80</v>
      </c>
      <c r="B2" s="59" t="s">
        <v>81</v>
      </c>
      <c r="C2" s="63" t="s">
        <v>82</v>
      </c>
      <c r="D2" s="54" t="s">
        <v>83</v>
      </c>
      <c r="E2" s="54" t="s">
        <v>84</v>
      </c>
      <c r="F2" s="63" t="s">
        <v>85</v>
      </c>
      <c r="G2" s="63" t="s">
        <v>86</v>
      </c>
      <c r="H2" s="63" t="s">
        <v>87</v>
      </c>
      <c r="I2" s="59" t="s">
        <v>88</v>
      </c>
      <c r="J2" s="64"/>
    </row>
    <row r="3" spans="1:11" ht="136.5" hidden="1" customHeight="1" x14ac:dyDescent="0.35">
      <c r="A3" s="4" t="s">
        <v>109</v>
      </c>
      <c r="B3" s="6">
        <v>1</v>
      </c>
      <c r="C3" s="5" t="s">
        <v>11</v>
      </c>
      <c r="D3" s="5" t="s">
        <v>110</v>
      </c>
      <c r="E3" s="5" t="s">
        <v>111</v>
      </c>
      <c r="F3" s="9" t="s">
        <v>112</v>
      </c>
      <c r="G3" s="9" t="s">
        <v>113</v>
      </c>
      <c r="H3" s="5" t="s">
        <v>107</v>
      </c>
      <c r="I3" s="34" t="s">
        <v>114</v>
      </c>
      <c r="J3" s="27"/>
    </row>
    <row r="4" spans="1:11" ht="142.5" hidden="1" customHeight="1" x14ac:dyDescent="0.35">
      <c r="A4" s="4" t="s">
        <v>109</v>
      </c>
      <c r="B4" s="6">
        <v>4</v>
      </c>
      <c r="C4" s="5" t="s">
        <v>12</v>
      </c>
      <c r="D4" s="5" t="s">
        <v>115</v>
      </c>
      <c r="E4" s="5" t="s">
        <v>111</v>
      </c>
      <c r="F4" s="9" t="s">
        <v>116</v>
      </c>
      <c r="G4" s="9" t="s">
        <v>117</v>
      </c>
      <c r="H4" s="5" t="s">
        <v>64</v>
      </c>
      <c r="I4" s="34" t="s">
        <v>118</v>
      </c>
    </row>
    <row r="5" spans="1:11" ht="126" hidden="1" customHeight="1" x14ac:dyDescent="0.35">
      <c r="A5" s="4" t="s">
        <v>109</v>
      </c>
      <c r="B5" s="6">
        <v>7</v>
      </c>
      <c r="C5" s="5" t="s">
        <v>13</v>
      </c>
      <c r="D5" s="5" t="s">
        <v>119</v>
      </c>
      <c r="E5" s="5" t="s">
        <v>111</v>
      </c>
      <c r="F5" s="9" t="s">
        <v>120</v>
      </c>
      <c r="G5" s="9" t="s">
        <v>121</v>
      </c>
      <c r="H5" s="5" t="s">
        <v>122</v>
      </c>
      <c r="I5" s="34" t="s">
        <v>123</v>
      </c>
    </row>
    <row r="6" spans="1:11" ht="99" x14ac:dyDescent="0.35">
      <c r="A6" s="4" t="s">
        <v>124</v>
      </c>
      <c r="B6" s="6">
        <v>1</v>
      </c>
      <c r="C6" s="5" t="s">
        <v>11</v>
      </c>
      <c r="D6" s="5" t="s">
        <v>125</v>
      </c>
      <c r="E6" s="5" t="s">
        <v>111</v>
      </c>
      <c r="F6" s="9" t="s">
        <v>112</v>
      </c>
      <c r="G6" s="9" t="s">
        <v>113</v>
      </c>
      <c r="H6" s="5" t="s">
        <v>107</v>
      </c>
      <c r="I6" s="34" t="s">
        <v>126</v>
      </c>
    </row>
    <row r="7" spans="1:11" ht="115.5" x14ac:dyDescent="0.35">
      <c r="A7" s="4" t="s">
        <v>124</v>
      </c>
      <c r="B7" s="6">
        <v>5</v>
      </c>
      <c r="C7" s="5" t="s">
        <v>12</v>
      </c>
      <c r="D7" s="5" t="s">
        <v>127</v>
      </c>
      <c r="E7" s="5" t="s">
        <v>111</v>
      </c>
      <c r="F7" s="9" t="s">
        <v>116</v>
      </c>
      <c r="G7" s="9" t="s">
        <v>117</v>
      </c>
      <c r="H7" s="5" t="s">
        <v>64</v>
      </c>
      <c r="I7" s="34" t="s">
        <v>118</v>
      </c>
    </row>
    <row r="8" spans="1:11" ht="82.5" x14ac:dyDescent="0.35">
      <c r="A8" s="4" t="s">
        <v>124</v>
      </c>
      <c r="B8" s="6">
        <v>7</v>
      </c>
      <c r="C8" s="5" t="s">
        <v>13</v>
      </c>
      <c r="D8" s="5" t="s">
        <v>119</v>
      </c>
      <c r="E8" s="5" t="s">
        <v>111</v>
      </c>
      <c r="F8" s="9" t="s">
        <v>120</v>
      </c>
      <c r="G8" s="9" t="s">
        <v>121</v>
      </c>
      <c r="H8" s="5" t="s">
        <v>122</v>
      </c>
      <c r="I8" s="34" t="s">
        <v>123</v>
      </c>
      <c r="J8" s="11"/>
    </row>
    <row r="9" spans="1:11" ht="99" hidden="1" x14ac:dyDescent="0.35">
      <c r="A9" s="4" t="s">
        <v>128</v>
      </c>
      <c r="B9" s="6">
        <v>2</v>
      </c>
      <c r="C9" s="5" t="s">
        <v>11</v>
      </c>
      <c r="D9" s="5" t="s">
        <v>129</v>
      </c>
      <c r="E9" s="5" t="s">
        <v>111</v>
      </c>
      <c r="F9" s="9" t="s">
        <v>112</v>
      </c>
      <c r="G9" s="9" t="s">
        <v>113</v>
      </c>
      <c r="H9" s="5" t="s">
        <v>107</v>
      </c>
      <c r="I9" s="34" t="s">
        <v>126</v>
      </c>
      <c r="J9" s="11"/>
    </row>
    <row r="10" spans="1:11" ht="115.5" hidden="1" x14ac:dyDescent="0.35">
      <c r="A10" s="4" t="s">
        <v>128</v>
      </c>
      <c r="B10" s="6">
        <v>6</v>
      </c>
      <c r="C10" s="5" t="s">
        <v>12</v>
      </c>
      <c r="D10" s="5" t="s">
        <v>130</v>
      </c>
      <c r="E10" s="5" t="s">
        <v>111</v>
      </c>
      <c r="F10" s="9" t="s">
        <v>116</v>
      </c>
      <c r="G10" s="9" t="s">
        <v>117</v>
      </c>
      <c r="H10" s="5" t="s">
        <v>64</v>
      </c>
      <c r="I10" s="34" t="s">
        <v>118</v>
      </c>
    </row>
    <row r="11" spans="1:11" ht="82.5" hidden="1" x14ac:dyDescent="0.5">
      <c r="A11" s="56" t="s">
        <v>128</v>
      </c>
      <c r="B11" s="42">
        <v>7</v>
      </c>
      <c r="C11" s="43" t="s">
        <v>13</v>
      </c>
      <c r="D11" s="5" t="s">
        <v>131</v>
      </c>
      <c r="E11" s="43" t="s">
        <v>111</v>
      </c>
      <c r="F11" s="57" t="s">
        <v>120</v>
      </c>
      <c r="G11" s="57" t="s">
        <v>121</v>
      </c>
      <c r="H11" s="43" t="s">
        <v>122</v>
      </c>
      <c r="I11" s="34" t="s">
        <v>123</v>
      </c>
      <c r="J11" s="56"/>
      <c r="K11" s="49"/>
    </row>
    <row r="12" spans="1:11" ht="49.5" hidden="1" x14ac:dyDescent="0.5">
      <c r="A12" s="4" t="s">
        <v>69</v>
      </c>
      <c r="B12" s="6">
        <v>3</v>
      </c>
      <c r="C12" s="5" t="s">
        <v>11</v>
      </c>
      <c r="D12" s="5" t="s">
        <v>38</v>
      </c>
      <c r="E12" s="5" t="s">
        <v>89</v>
      </c>
      <c r="F12" s="9" t="s">
        <v>90</v>
      </c>
      <c r="G12" s="9" t="s">
        <v>98</v>
      </c>
      <c r="H12" s="5" t="s">
        <v>107</v>
      </c>
      <c r="I12" s="55" t="s">
        <v>108</v>
      </c>
      <c r="J12" s="11"/>
    </row>
    <row r="13" spans="1:11" ht="16.5" x14ac:dyDescent="0.35">
      <c r="A13" s="4"/>
      <c r="F13"/>
      <c r="G13"/>
      <c r="H13" s="5"/>
      <c r="I13" s="4"/>
      <c r="J13" s="11"/>
    </row>
    <row r="14" spans="1:11" ht="16.5" x14ac:dyDescent="0.35">
      <c r="A14" s="4"/>
      <c r="F14"/>
      <c r="G14"/>
      <c r="H14" s="5"/>
      <c r="I14" s="4"/>
    </row>
    <row r="15" spans="1:11" ht="16.5" x14ac:dyDescent="0.35">
      <c r="A15" s="4"/>
      <c r="F15"/>
      <c r="G15"/>
      <c r="H15" s="5"/>
      <c r="I15" s="4"/>
    </row>
    <row r="16" spans="1:11" ht="16.5" x14ac:dyDescent="0.35">
      <c r="A16" s="4"/>
      <c r="F16"/>
      <c r="G16"/>
      <c r="H16" s="5"/>
      <c r="I16" s="4"/>
    </row>
    <row r="17" spans="1:9" ht="16.5" x14ac:dyDescent="0.35">
      <c r="A17" s="4"/>
      <c r="F17"/>
      <c r="G17"/>
      <c r="H17" s="5"/>
      <c r="I17" s="4"/>
    </row>
    <row r="18" spans="1:9" ht="16.5" x14ac:dyDescent="0.35">
      <c r="A18" s="4"/>
      <c r="F18"/>
      <c r="G18"/>
      <c r="H18" s="5"/>
      <c r="I18" s="4"/>
    </row>
    <row r="19" spans="1:9" ht="16.5" x14ac:dyDescent="0.35">
      <c r="A19" s="4"/>
      <c r="H19" s="5"/>
      <c r="I19" s="4"/>
    </row>
    <row r="20" spans="1:9" ht="16.5" x14ac:dyDescent="0.5">
      <c r="A20" s="4"/>
      <c r="I20" s="4"/>
    </row>
    <row r="21" spans="1:9" ht="16.5" x14ac:dyDescent="0.5">
      <c r="A21" s="4"/>
      <c r="I21" s="4"/>
    </row>
    <row r="22" spans="1:9" ht="16.5" x14ac:dyDescent="0.5">
      <c r="A22" s="4"/>
    </row>
    <row r="23" spans="1:9" ht="16.5" x14ac:dyDescent="0.5">
      <c r="A23" s="4"/>
    </row>
    <row r="24" spans="1:9" ht="16.5" x14ac:dyDescent="0.5">
      <c r="A24" s="4"/>
    </row>
    <row r="25" spans="1:9" ht="16.5" x14ac:dyDescent="0.5">
      <c r="A25" s="4"/>
    </row>
    <row r="26" spans="1:9" ht="16.5" x14ac:dyDescent="0.5"/>
    <row r="27" spans="1:9" ht="16.5" x14ac:dyDescent="0.5"/>
    <row r="28" spans="1:9" ht="16.5" x14ac:dyDescent="0.5"/>
    <row r="29" spans="1:9" ht="16.5" x14ac:dyDescent="0.5"/>
    <row r="30" spans="1:9" ht="16.5" x14ac:dyDescent="0.5"/>
    <row r="31" spans="1:9" ht="16.5" x14ac:dyDescent="0.5"/>
  </sheetData>
  <autoFilter xmlns:x14="http://schemas.microsoft.com/office/spreadsheetml/2009/9/main" ref="A2:K12" xr:uid="{94AAF649-42F4-466A-BE11-44357078F961}">
    <filterColumn colId="0">
      <mc:AlternateContent xmlns:mc="http://schemas.openxmlformats.org/markup-compatibility/2006">
        <mc:Choice Requires="x14">
          <filters>
            <x14:filter val="Dominar los elementos de seguridad de la información, redes de comunicaciones y sistemas de cómputo que hacen parte de infraestructuras TIC para diseñar, implementar o administrar infraestructuras y servicios de comunicaciones en sitio o en nube alineado con prácticas basadas en estándares del sector y la normatividad vigente, teniendo en cuenta las condiciones, restricciones y requerimientos técnicos del entorno."/>
          </filters>
        </mc:Choice>
        <mc:Fallback>
          <customFilters>
            <customFilter val=""/>
            <customFilter operator="notEqual" val=" "/>
          </customFilters>
        </mc:Fallback>
      </mc:AlternateContent>
    </filterColumn>
  </autoFilter>
  <dataValidations count="5">
    <dataValidation type="list" allowBlank="1" showInputMessage="1" showErrorMessage="1" sqref="C3:C12" xr:uid="{FFA6D22D-3D22-422C-9E4B-9DF41FFB0D1A}">
      <formula1>ComponentesCompetencias</formula1>
    </dataValidation>
    <dataValidation type="list" allowBlank="1" showInputMessage="1" showErrorMessage="1" sqref="D3:D12" xr:uid="{9AA6F2BA-0C3A-40DD-AD22-0938F849E8C8}">
      <formula1>INDIRECT($C3)</formula1>
    </dataValidation>
    <dataValidation type="list" allowBlank="1" showInputMessage="1" showErrorMessage="1" sqref="F3:F12" xr:uid="{ADE492A9-9311-4C66-8809-49C51DCA3157}">
      <formula1>INDIRECT($E3)</formula1>
    </dataValidation>
    <dataValidation type="list" allowBlank="1" showInputMessage="1" showErrorMessage="1" sqref="G3:G12" xr:uid="{B5B6CC5B-EEB4-499F-8DFB-1C865BA84EBE}">
      <formula1>INDIRECT($F3)</formula1>
    </dataValidation>
    <dataValidation type="list" allowBlank="1" showInputMessage="1" showErrorMessage="1" sqref="H3:H12" xr:uid="{7387A2BF-425F-402D-8212-A970461E8629}">
      <formula1>INDIRECT($G3)</formula1>
    </dataValidation>
  </dataValidations>
  <pageMargins left="0.7" right="0.7" top="0.75" bottom="0.75" header="0.3" footer="0.3"/>
  <pageSetup orientation="portrait" r:id="rId1"/>
  <legacyDrawing r:id="rId2"/>
  <extLst>
    <ext xmlns:x14="http://schemas.microsoft.com/office/spreadsheetml/2009/9/main" uri="{CCE6A557-97BC-4b89-ADB6-D9C93CAAB3DF}">
      <x14:dataValidations xmlns:xm="http://schemas.microsoft.com/office/excel/2006/main" count="2">
        <x14:dataValidation type="list" allowBlank="1" showInputMessage="1" showErrorMessage="1" xr:uid="{1E0EDF5A-A1A8-49EE-80CA-8A45EBE16B4F}">
          <x14:formula1>
            <xm:f>'Taxonomias para RA'!$A$4:$A$7</xm:f>
          </x14:formula1>
          <xm:sqref>E3:E12</xm:sqref>
        </x14:dataValidation>
        <x14:dataValidation type="list" allowBlank="1" showInputMessage="1" showErrorMessage="1" xr:uid="{21CB2337-8D31-4329-A03E-63CC0DEF8C59}">
          <x14:formula1>
            <xm:f>'Paso 2 Redacción competen'!$F$4:$F$8</xm:f>
          </x14:formula1>
          <xm:sqref>A3:A12</xm:sqref>
        </x14:dataValidation>
      </x14:dataValidation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9D2FE2-9619-401A-8888-2C861DBCAC9F}">
  <dimension ref="A1:F59"/>
  <sheetViews>
    <sheetView zoomScaleNormal="100" workbookViewId="0"/>
  </sheetViews>
  <sheetFormatPr baseColWidth="10" defaultColWidth="10.7265625" defaultRowHeight="14.5" x14ac:dyDescent="0.35"/>
  <cols>
    <col min="1" max="1" width="57.54296875" style="13" customWidth="1"/>
    <col min="2" max="2" width="51.26953125" style="13" customWidth="1"/>
    <col min="3" max="3" width="54.7265625" style="26" customWidth="1"/>
    <col min="4" max="5" width="46.453125" style="26" customWidth="1"/>
    <col min="6" max="6" width="38.26953125" style="26" customWidth="1"/>
    <col min="7" max="16384" width="10.7265625" style="13"/>
  </cols>
  <sheetData>
    <row r="1" spans="1:6" s="91" customFormat="1" ht="52" x14ac:dyDescent="0.35">
      <c r="A1" s="81" t="s">
        <v>132</v>
      </c>
      <c r="B1" s="81" t="s">
        <v>133</v>
      </c>
      <c r="C1" s="81" t="s">
        <v>134</v>
      </c>
      <c r="D1" s="81" t="s">
        <v>135</v>
      </c>
      <c r="E1" s="81" t="s">
        <v>136</v>
      </c>
      <c r="F1" s="81" t="s">
        <v>137</v>
      </c>
    </row>
    <row r="2" spans="1:6" s="91" customFormat="1" ht="33" x14ac:dyDescent="0.35">
      <c r="A2" s="84" t="s">
        <v>138</v>
      </c>
      <c r="B2" s="84" t="s">
        <v>139</v>
      </c>
      <c r="C2" s="84" t="s">
        <v>140</v>
      </c>
      <c r="D2" s="84" t="s">
        <v>141</v>
      </c>
      <c r="E2" s="84" t="s">
        <v>142</v>
      </c>
      <c r="F2" s="84" t="s">
        <v>143</v>
      </c>
    </row>
    <row r="3" spans="1:6" ht="66" x14ac:dyDescent="0.35">
      <c r="A3" s="34" t="s">
        <v>92</v>
      </c>
      <c r="B3" s="147" t="s">
        <v>144</v>
      </c>
      <c r="C3" s="165" t="s">
        <v>145</v>
      </c>
      <c r="D3" s="92" t="s">
        <v>146</v>
      </c>
      <c r="E3" s="162" t="s">
        <v>147</v>
      </c>
      <c r="F3" s="93" t="s">
        <v>148</v>
      </c>
    </row>
    <row r="4" spans="1:6" ht="66" x14ac:dyDescent="0.35">
      <c r="A4" s="34" t="s">
        <v>100</v>
      </c>
      <c r="B4" s="148"/>
      <c r="C4" s="160"/>
      <c r="D4" s="58" t="s">
        <v>149</v>
      </c>
      <c r="E4" s="157"/>
      <c r="F4" s="4" t="s">
        <v>150</v>
      </c>
    </row>
    <row r="5" spans="1:6" ht="49.5" x14ac:dyDescent="0.35">
      <c r="A5" s="34" t="s">
        <v>105</v>
      </c>
      <c r="B5" s="148"/>
      <c r="C5" s="160"/>
      <c r="D5" s="58" t="s">
        <v>151</v>
      </c>
      <c r="E5" s="157"/>
      <c r="F5" s="4" t="s">
        <v>152</v>
      </c>
    </row>
    <row r="6" spans="1:6" ht="66.5" thickBot="1" x14ac:dyDescent="0.4">
      <c r="A6" s="94" t="s">
        <v>97</v>
      </c>
      <c r="B6" s="149"/>
      <c r="C6" s="161"/>
      <c r="D6" s="58"/>
      <c r="E6" s="158"/>
      <c r="F6" s="34"/>
    </row>
    <row r="7" spans="1:6" ht="66" x14ac:dyDescent="0.35">
      <c r="A7" s="34" t="s">
        <v>92</v>
      </c>
      <c r="B7" s="156" t="s">
        <v>153</v>
      </c>
      <c r="C7" s="159" t="s">
        <v>154</v>
      </c>
      <c r="D7" s="97" t="s">
        <v>149</v>
      </c>
      <c r="E7" s="163" t="s">
        <v>155</v>
      </c>
      <c r="F7" s="98" t="s">
        <v>150</v>
      </c>
    </row>
    <row r="8" spans="1:6" ht="66" x14ac:dyDescent="0.35">
      <c r="A8" s="34" t="s">
        <v>100</v>
      </c>
      <c r="B8" s="157"/>
      <c r="C8" s="160"/>
      <c r="D8" s="58" t="s">
        <v>146</v>
      </c>
      <c r="E8" s="141"/>
      <c r="F8" s="34" t="s">
        <v>148</v>
      </c>
    </row>
    <row r="9" spans="1:6" ht="49.5" x14ac:dyDescent="0.35">
      <c r="A9" s="34" t="s">
        <v>105</v>
      </c>
      <c r="B9" s="157"/>
      <c r="C9" s="160"/>
      <c r="D9" s="58" t="s">
        <v>151</v>
      </c>
      <c r="E9" s="141"/>
      <c r="F9" s="34" t="s">
        <v>152</v>
      </c>
    </row>
    <row r="10" spans="1:6" ht="66" x14ac:dyDescent="0.35">
      <c r="A10" s="34" t="s">
        <v>94</v>
      </c>
      <c r="B10" s="157"/>
      <c r="C10" s="160"/>
      <c r="D10" s="58"/>
      <c r="E10" s="141"/>
      <c r="F10" s="4"/>
    </row>
    <row r="11" spans="1:6" ht="66.5" thickBot="1" x14ac:dyDescent="0.4">
      <c r="A11" s="94" t="s">
        <v>97</v>
      </c>
      <c r="B11" s="158"/>
      <c r="C11" s="161"/>
      <c r="D11" s="95"/>
      <c r="E11" s="164"/>
      <c r="F11" s="94"/>
    </row>
    <row r="12" spans="1:6" ht="66" x14ac:dyDescent="0.35">
      <c r="A12" s="34" t="s">
        <v>92</v>
      </c>
      <c r="B12" s="157" t="s">
        <v>156</v>
      </c>
      <c r="C12" s="159" t="s">
        <v>157</v>
      </c>
      <c r="D12" s="58" t="s">
        <v>158</v>
      </c>
      <c r="E12" s="163" t="s">
        <v>159</v>
      </c>
      <c r="F12" s="80" t="s">
        <v>150</v>
      </c>
    </row>
    <row r="13" spans="1:6" ht="66" x14ac:dyDescent="0.35">
      <c r="A13" s="34" t="s">
        <v>94</v>
      </c>
      <c r="B13" s="157"/>
      <c r="C13" s="160"/>
      <c r="D13" s="58" t="s">
        <v>160</v>
      </c>
      <c r="E13" s="141"/>
      <c r="F13" s="80" t="s">
        <v>148</v>
      </c>
    </row>
    <row r="14" spans="1:6" ht="66" x14ac:dyDescent="0.35">
      <c r="A14" s="34" t="s">
        <v>97</v>
      </c>
      <c r="B14" s="157"/>
      <c r="C14" s="160"/>
      <c r="D14" s="58" t="s">
        <v>151</v>
      </c>
      <c r="E14" s="141"/>
      <c r="F14" s="80" t="s">
        <v>152</v>
      </c>
    </row>
    <row r="15" spans="1:6" ht="66" x14ac:dyDescent="0.35">
      <c r="A15" s="34" t="s">
        <v>100</v>
      </c>
      <c r="B15" s="157"/>
      <c r="C15" s="160"/>
      <c r="D15" s="58"/>
      <c r="E15" s="141"/>
      <c r="F15" s="80"/>
    </row>
    <row r="16" spans="1:6" ht="66" x14ac:dyDescent="0.35">
      <c r="A16" s="34" t="s">
        <v>103</v>
      </c>
      <c r="B16" s="157"/>
      <c r="C16" s="160"/>
      <c r="D16" s="58"/>
      <c r="E16" s="141"/>
      <c r="F16" s="80"/>
    </row>
    <row r="17" spans="1:6" ht="49.5" x14ac:dyDescent="0.35">
      <c r="A17" s="34" t="s">
        <v>105</v>
      </c>
      <c r="B17" s="157"/>
      <c r="C17" s="160"/>
      <c r="D17" s="58"/>
      <c r="E17" s="141"/>
      <c r="F17" s="80"/>
    </row>
    <row r="18" spans="1:6" ht="66.5" thickBot="1" x14ac:dyDescent="0.4">
      <c r="A18" s="94" t="s">
        <v>106</v>
      </c>
      <c r="B18" s="157"/>
      <c r="C18" s="161"/>
      <c r="D18" s="58"/>
      <c r="E18" s="164"/>
      <c r="F18" s="80"/>
    </row>
    <row r="19" spans="1:6" ht="66" x14ac:dyDescent="0.35">
      <c r="A19" s="34" t="s">
        <v>92</v>
      </c>
      <c r="B19" s="156" t="s">
        <v>161</v>
      </c>
      <c r="C19" s="159" t="s">
        <v>162</v>
      </c>
      <c r="D19" s="97" t="s">
        <v>149</v>
      </c>
      <c r="E19" s="163" t="s">
        <v>163</v>
      </c>
      <c r="F19" s="98" t="s">
        <v>150</v>
      </c>
    </row>
    <row r="20" spans="1:6" ht="66" x14ac:dyDescent="0.35">
      <c r="A20" s="34" t="s">
        <v>94</v>
      </c>
      <c r="B20" s="157"/>
      <c r="C20" s="160"/>
      <c r="D20" s="58" t="s">
        <v>164</v>
      </c>
      <c r="E20" s="141"/>
      <c r="F20" s="34" t="s">
        <v>148</v>
      </c>
    </row>
    <row r="21" spans="1:6" ht="66" x14ac:dyDescent="0.35">
      <c r="A21" s="34" t="s">
        <v>100</v>
      </c>
      <c r="B21" s="157"/>
      <c r="C21" s="160"/>
      <c r="D21" s="80" t="s">
        <v>151</v>
      </c>
      <c r="E21" s="141"/>
      <c r="F21" s="34" t="s">
        <v>152</v>
      </c>
    </row>
    <row r="22" spans="1:6" ht="66.5" thickBot="1" x14ac:dyDescent="0.4">
      <c r="A22" s="94" t="s">
        <v>103</v>
      </c>
      <c r="B22" s="157"/>
      <c r="C22" s="160"/>
      <c r="D22" s="58"/>
      <c r="E22" s="164"/>
      <c r="F22" s="34"/>
    </row>
    <row r="23" spans="1:6" ht="66" x14ac:dyDescent="0.35">
      <c r="A23" s="34" t="s">
        <v>92</v>
      </c>
      <c r="B23" s="150" t="s">
        <v>165</v>
      </c>
      <c r="C23" s="153" t="s">
        <v>166</v>
      </c>
      <c r="D23" s="97" t="s">
        <v>149</v>
      </c>
      <c r="E23" s="163" t="s">
        <v>167</v>
      </c>
      <c r="F23" s="98" t="s">
        <v>150</v>
      </c>
    </row>
    <row r="24" spans="1:6" ht="66" x14ac:dyDescent="0.35">
      <c r="A24" s="34" t="s">
        <v>94</v>
      </c>
      <c r="B24" s="151"/>
      <c r="C24" s="154"/>
      <c r="D24" s="58" t="s">
        <v>146</v>
      </c>
      <c r="E24" s="173"/>
      <c r="F24" s="34" t="s">
        <v>148</v>
      </c>
    </row>
    <row r="25" spans="1:6" ht="66" x14ac:dyDescent="0.35">
      <c r="A25" s="34" t="s">
        <v>100</v>
      </c>
      <c r="B25" s="151"/>
      <c r="C25" s="154"/>
      <c r="D25" s="58" t="s">
        <v>151</v>
      </c>
      <c r="E25" s="173"/>
      <c r="F25" s="34" t="s">
        <v>152</v>
      </c>
    </row>
    <row r="26" spans="1:6" ht="66.5" thickBot="1" x14ac:dyDescent="0.4">
      <c r="A26" s="94" t="s">
        <v>103</v>
      </c>
      <c r="B26" s="152"/>
      <c r="C26" s="155"/>
      <c r="D26" s="95"/>
      <c r="E26" s="174"/>
      <c r="F26" s="94"/>
    </row>
    <row r="27" spans="1:6" ht="66" x14ac:dyDescent="0.35">
      <c r="A27" s="34" t="s">
        <v>92</v>
      </c>
      <c r="B27" s="156" t="s">
        <v>168</v>
      </c>
      <c r="C27" s="153" t="s">
        <v>169</v>
      </c>
      <c r="D27" s="58" t="s">
        <v>170</v>
      </c>
      <c r="E27" s="156" t="s">
        <v>171</v>
      </c>
      <c r="F27" s="34" t="s">
        <v>172</v>
      </c>
    </row>
    <row r="28" spans="1:6" ht="66" x14ac:dyDescent="0.35">
      <c r="A28" s="34" t="s">
        <v>94</v>
      </c>
      <c r="B28" s="157"/>
      <c r="C28" s="154"/>
      <c r="D28" s="58" t="s">
        <v>146</v>
      </c>
      <c r="E28" s="157"/>
      <c r="F28" s="34" t="s">
        <v>148</v>
      </c>
    </row>
    <row r="29" spans="1:6" ht="66" x14ac:dyDescent="0.35">
      <c r="A29" s="34" t="s">
        <v>97</v>
      </c>
      <c r="B29" s="157"/>
      <c r="C29" s="154"/>
      <c r="D29" s="58" t="s">
        <v>151</v>
      </c>
      <c r="E29" s="157"/>
      <c r="F29" s="34" t="s">
        <v>152</v>
      </c>
    </row>
    <row r="30" spans="1:6" ht="66" x14ac:dyDescent="0.35">
      <c r="A30" s="34" t="s">
        <v>100</v>
      </c>
      <c r="B30" s="157"/>
      <c r="C30" s="154"/>
      <c r="D30" s="80"/>
      <c r="E30" s="157"/>
      <c r="F30" s="80"/>
    </row>
    <row r="31" spans="1:6" ht="66.5" thickBot="1" x14ac:dyDescent="0.4">
      <c r="A31" s="94" t="s">
        <v>103</v>
      </c>
      <c r="B31" s="158"/>
      <c r="C31" s="155"/>
      <c r="D31" s="103"/>
      <c r="E31" s="175"/>
      <c r="F31" s="102"/>
    </row>
    <row r="32" spans="1:6" ht="66" x14ac:dyDescent="0.35">
      <c r="A32" s="34" t="s">
        <v>92</v>
      </c>
      <c r="B32" s="151" t="s">
        <v>173</v>
      </c>
      <c r="C32" s="154" t="s">
        <v>174</v>
      </c>
      <c r="D32" s="80" t="s">
        <v>149</v>
      </c>
      <c r="E32" s="176" t="s">
        <v>175</v>
      </c>
      <c r="F32" s="34" t="s">
        <v>172</v>
      </c>
    </row>
    <row r="33" spans="1:6" ht="66" x14ac:dyDescent="0.35">
      <c r="A33" s="34" t="s">
        <v>97</v>
      </c>
      <c r="B33" s="151"/>
      <c r="C33" s="154"/>
      <c r="D33" s="80" t="s">
        <v>146</v>
      </c>
      <c r="E33" s="157"/>
      <c r="F33" s="34" t="s">
        <v>148</v>
      </c>
    </row>
    <row r="34" spans="1:6" ht="66.5" thickBot="1" x14ac:dyDescent="0.4">
      <c r="A34" s="94" t="s">
        <v>100</v>
      </c>
      <c r="B34" s="177"/>
      <c r="C34" s="178"/>
      <c r="D34" s="103" t="s">
        <v>151</v>
      </c>
      <c r="E34" s="175"/>
      <c r="F34" s="102" t="s">
        <v>152</v>
      </c>
    </row>
    <row r="35" spans="1:6" ht="66" x14ac:dyDescent="0.35">
      <c r="A35" s="34" t="s">
        <v>92</v>
      </c>
      <c r="B35" s="151" t="s">
        <v>176</v>
      </c>
      <c r="C35" s="179" t="s">
        <v>177</v>
      </c>
      <c r="D35" s="80" t="s">
        <v>149</v>
      </c>
      <c r="E35" s="176" t="s">
        <v>178</v>
      </c>
      <c r="F35" s="34" t="s">
        <v>172</v>
      </c>
    </row>
    <row r="36" spans="1:6" ht="66" x14ac:dyDescent="0.35">
      <c r="A36" s="34" t="s">
        <v>94</v>
      </c>
      <c r="B36" s="151"/>
      <c r="C36" s="154"/>
      <c r="D36" s="80" t="s">
        <v>146</v>
      </c>
      <c r="E36" s="157"/>
      <c r="F36" s="34" t="s">
        <v>148</v>
      </c>
    </row>
    <row r="37" spans="1:6" ht="66" x14ac:dyDescent="0.35">
      <c r="A37" s="34" t="s">
        <v>97</v>
      </c>
      <c r="B37" s="151"/>
      <c r="C37" s="154"/>
      <c r="D37" s="80" t="s">
        <v>151</v>
      </c>
      <c r="E37" s="157"/>
      <c r="F37" s="34" t="s">
        <v>152</v>
      </c>
    </row>
    <row r="38" spans="1:6" ht="66" x14ac:dyDescent="0.35">
      <c r="A38" s="34" t="s">
        <v>100</v>
      </c>
      <c r="B38" s="151"/>
      <c r="C38" s="154"/>
      <c r="D38" s="80"/>
      <c r="E38" s="157"/>
      <c r="F38" s="34"/>
    </row>
    <row r="39" spans="1:6" ht="66" x14ac:dyDescent="0.35">
      <c r="A39" s="34" t="s">
        <v>103</v>
      </c>
      <c r="B39" s="151"/>
      <c r="C39" s="154"/>
      <c r="D39" s="80"/>
      <c r="E39" s="157"/>
      <c r="F39" s="34"/>
    </row>
    <row r="40" spans="1:6" ht="49.5" x14ac:dyDescent="0.35">
      <c r="A40" s="34" t="s">
        <v>105</v>
      </c>
      <c r="B40" s="151"/>
      <c r="C40" s="154"/>
      <c r="D40" s="80"/>
      <c r="E40" s="157"/>
      <c r="F40" s="34"/>
    </row>
    <row r="41" spans="1:6" ht="66.5" thickBot="1" x14ac:dyDescent="0.4">
      <c r="A41" s="94" t="s">
        <v>106</v>
      </c>
      <c r="B41" s="152"/>
      <c r="C41" s="155"/>
      <c r="D41" s="95"/>
      <c r="E41" s="158"/>
      <c r="F41" s="94"/>
    </row>
    <row r="42" spans="1:6" ht="66" x14ac:dyDescent="0.35">
      <c r="A42" s="34" t="s">
        <v>92</v>
      </c>
      <c r="B42" s="166" t="s">
        <v>179</v>
      </c>
      <c r="C42" s="169" t="s">
        <v>180</v>
      </c>
      <c r="D42" s="80" t="s">
        <v>149</v>
      </c>
      <c r="E42" s="172" t="s">
        <v>181</v>
      </c>
      <c r="F42" s="34" t="s">
        <v>172</v>
      </c>
    </row>
    <row r="43" spans="1:6" ht="66" x14ac:dyDescent="0.35">
      <c r="A43" s="34" t="s">
        <v>94</v>
      </c>
      <c r="B43" s="167"/>
      <c r="C43" s="170"/>
      <c r="D43" s="80" t="s">
        <v>146</v>
      </c>
      <c r="E43" s="167"/>
      <c r="F43" s="34" t="s">
        <v>148</v>
      </c>
    </row>
    <row r="44" spans="1:6" ht="66" x14ac:dyDescent="0.35">
      <c r="A44" s="34" t="s">
        <v>100</v>
      </c>
      <c r="B44" s="167"/>
      <c r="C44" s="170"/>
      <c r="D44" s="58" t="s">
        <v>151</v>
      </c>
      <c r="E44" s="167"/>
      <c r="F44" s="34" t="s">
        <v>152</v>
      </c>
    </row>
    <row r="45" spans="1:6" ht="66" x14ac:dyDescent="0.35">
      <c r="A45" s="34" t="s">
        <v>103</v>
      </c>
      <c r="B45" s="167"/>
      <c r="C45" s="170"/>
      <c r="D45" s="58"/>
      <c r="E45" s="167"/>
      <c r="F45" s="34"/>
    </row>
    <row r="46" spans="1:6" ht="49.5" x14ac:dyDescent="0.35">
      <c r="A46" s="34" t="s">
        <v>105</v>
      </c>
      <c r="B46" s="167"/>
      <c r="C46" s="170"/>
      <c r="D46" s="58"/>
      <c r="E46" s="167"/>
      <c r="F46" s="34"/>
    </row>
    <row r="47" spans="1:6" ht="66.5" thickBot="1" x14ac:dyDescent="0.4">
      <c r="A47" s="94" t="s">
        <v>106</v>
      </c>
      <c r="B47" s="168"/>
      <c r="C47" s="171"/>
      <c r="D47" s="136"/>
      <c r="E47" s="168"/>
      <c r="F47" s="136"/>
    </row>
    <row r="48" spans="1:6" ht="66" x14ac:dyDescent="0.35">
      <c r="A48" s="34" t="s">
        <v>92</v>
      </c>
      <c r="B48" s="166" t="s">
        <v>182</v>
      </c>
      <c r="C48" s="169" t="s">
        <v>183</v>
      </c>
      <c r="D48" s="80" t="s">
        <v>149</v>
      </c>
      <c r="E48" s="172" t="s">
        <v>184</v>
      </c>
      <c r="F48" s="34" t="s">
        <v>172</v>
      </c>
    </row>
    <row r="49" spans="1:6" ht="66" x14ac:dyDescent="0.35">
      <c r="A49" s="34" t="s">
        <v>94</v>
      </c>
      <c r="B49" s="167"/>
      <c r="C49" s="170"/>
      <c r="D49" s="80" t="s">
        <v>146</v>
      </c>
      <c r="E49" s="167"/>
      <c r="F49" s="34" t="s">
        <v>148</v>
      </c>
    </row>
    <row r="50" spans="1:6" ht="66" x14ac:dyDescent="0.35">
      <c r="A50" s="34" t="s">
        <v>100</v>
      </c>
      <c r="B50" s="167"/>
      <c r="C50" s="170"/>
      <c r="D50" s="80" t="s">
        <v>151</v>
      </c>
      <c r="E50" s="167"/>
      <c r="F50" s="34" t="s">
        <v>152</v>
      </c>
    </row>
    <row r="51" spans="1:6" ht="66" x14ac:dyDescent="0.35">
      <c r="A51" s="34" t="s">
        <v>103</v>
      </c>
      <c r="B51" s="167"/>
      <c r="C51" s="170"/>
      <c r="D51" s="80"/>
      <c r="E51" s="167"/>
      <c r="F51" s="34"/>
    </row>
    <row r="52" spans="1:6" ht="66.5" thickBot="1" x14ac:dyDescent="0.4">
      <c r="A52" s="94" t="s">
        <v>97</v>
      </c>
      <c r="B52" s="168"/>
      <c r="C52" s="171"/>
      <c r="D52" s="95"/>
      <c r="E52" s="168"/>
      <c r="F52" s="94"/>
    </row>
    <row r="53" spans="1:6" ht="16.5" x14ac:dyDescent="0.35">
      <c r="A53" s="34"/>
    </row>
    <row r="54" spans="1:6" ht="16.5" x14ac:dyDescent="0.35">
      <c r="A54" s="34"/>
    </row>
    <row r="55" spans="1:6" ht="16.5" x14ac:dyDescent="0.35">
      <c r="A55" s="34"/>
    </row>
    <row r="56" spans="1:6" ht="16.5" x14ac:dyDescent="0.35">
      <c r="A56" s="34"/>
    </row>
    <row r="57" spans="1:6" ht="16.5" x14ac:dyDescent="0.35">
      <c r="A57" s="34"/>
    </row>
    <row r="58" spans="1:6" ht="16.5" x14ac:dyDescent="0.35">
      <c r="A58" s="34"/>
    </row>
    <row r="59" spans="1:6" ht="16.5" x14ac:dyDescent="0.35">
      <c r="A59" s="34"/>
    </row>
  </sheetData>
  <mergeCells count="30">
    <mergeCell ref="B48:B52"/>
    <mergeCell ref="C48:C52"/>
    <mergeCell ref="E48:E52"/>
    <mergeCell ref="E23:E26"/>
    <mergeCell ref="E27:E31"/>
    <mergeCell ref="E32:E34"/>
    <mergeCell ref="E35:E41"/>
    <mergeCell ref="B42:B47"/>
    <mergeCell ref="C42:C47"/>
    <mergeCell ref="E42:E47"/>
    <mergeCell ref="B27:B31"/>
    <mergeCell ref="C27:C31"/>
    <mergeCell ref="B32:B34"/>
    <mergeCell ref="C32:C34"/>
    <mergeCell ref="B35:B41"/>
    <mergeCell ref="C35:C41"/>
    <mergeCell ref="E3:E6"/>
    <mergeCell ref="E7:E11"/>
    <mergeCell ref="C12:C18"/>
    <mergeCell ref="E12:E18"/>
    <mergeCell ref="E19:E22"/>
    <mergeCell ref="C3:C6"/>
    <mergeCell ref="B3:B6"/>
    <mergeCell ref="B23:B26"/>
    <mergeCell ref="C23:C26"/>
    <mergeCell ref="B7:B11"/>
    <mergeCell ref="C7:C11"/>
    <mergeCell ref="B12:B18"/>
    <mergeCell ref="B19:B22"/>
    <mergeCell ref="C19:C22"/>
  </mergeCells>
  <pageMargins left="0.7" right="0.7" top="0.75" bottom="0.75" header="0.3" footer="0.3"/>
  <pageSetup orientation="portrait" r:id="rId1"/>
  <legacyDrawing r:id="rId2"/>
  <extLst>
    <ext xmlns:x14="http://schemas.microsoft.com/office/spreadsheetml/2009/9/main" uri="{CCE6A557-97BC-4b89-ADB6-D9C93CAAB3DF}">
      <x14:dataValidations xmlns:xm="http://schemas.microsoft.com/office/excel/2006/main" count="1">
        <x14:dataValidation type="list" allowBlank="1" showInputMessage="1" showErrorMessage="1" xr:uid="{76D4CE67-AD66-4854-B38B-39F44C18D0BA}">
          <x14:formula1>
            <xm:f>'Paso 3 Redacción RA'!$I$3:$I$15</xm:f>
          </x14:formula1>
          <xm:sqref>A3:A59</xm:sqref>
        </x14:dataValidation>
      </x14:dataValidations>
    </ext>
  </extLst>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EE195A-FBC9-4847-94C9-3ADDAD335674}">
  <dimension ref="A1:T151"/>
  <sheetViews>
    <sheetView tabSelected="1" topLeftCell="Q1" zoomScale="60" zoomScaleNormal="60" workbookViewId="0">
      <pane ySplit="2" topLeftCell="A13" activePane="bottomLeft" state="frozen"/>
      <selection activeCell="B1" sqref="B1"/>
      <selection pane="bottomLeft" activeCell="S139" sqref="S139"/>
    </sheetView>
  </sheetViews>
  <sheetFormatPr baseColWidth="10" defaultColWidth="14.7265625" defaultRowHeight="16.5" x14ac:dyDescent="0.5"/>
  <cols>
    <col min="1" max="1" width="14.7265625" style="1"/>
    <col min="2" max="2" width="120.1796875" style="5" customWidth="1"/>
    <col min="3" max="3" width="18.453125" style="7" customWidth="1"/>
    <col min="4" max="4" width="33.7265625" style="6" bestFit="1" customWidth="1"/>
    <col min="5" max="5" width="76.7265625" style="5" customWidth="1"/>
    <col min="6" max="6" width="14.54296875" style="7" customWidth="1"/>
    <col min="7" max="7" width="25.1796875" style="7" bestFit="1" customWidth="1"/>
    <col min="8" max="8" width="22.7265625" style="7" bestFit="1" customWidth="1"/>
    <col min="9" max="9" width="15.453125" style="7" customWidth="1"/>
    <col min="10" max="10" width="13.1796875" style="7" customWidth="1"/>
    <col min="11" max="11" width="23.81640625" style="7" customWidth="1"/>
    <col min="12" max="12" width="23.54296875" style="7" customWidth="1"/>
    <col min="13" max="13" width="13.1796875" style="7" customWidth="1"/>
    <col min="14" max="14" width="38.81640625" style="5" customWidth="1"/>
    <col min="15" max="15" width="44" style="5" customWidth="1"/>
    <col min="16" max="16" width="42.54296875" style="5" customWidth="1"/>
    <col min="17" max="17" width="48" style="5" customWidth="1"/>
    <col min="18" max="18" width="3.7265625" style="5" bestFit="1" customWidth="1"/>
    <col min="19" max="19" width="2.81640625" style="5" bestFit="1" customWidth="1"/>
    <col min="20" max="20" width="14.7265625" style="14" customWidth="1"/>
    <col min="21" max="16384" width="14.7265625" style="7"/>
  </cols>
  <sheetData>
    <row r="1" spans="1:20" s="91" customFormat="1" ht="52" x14ac:dyDescent="0.35">
      <c r="A1" s="81" t="s">
        <v>185</v>
      </c>
      <c r="B1" s="81" t="s">
        <v>186</v>
      </c>
      <c r="C1" s="81" t="s">
        <v>187</v>
      </c>
      <c r="D1" s="81" t="s">
        <v>188</v>
      </c>
      <c r="E1" s="81" t="s">
        <v>189</v>
      </c>
      <c r="F1" s="81" t="s">
        <v>190</v>
      </c>
      <c r="G1" s="180" t="s">
        <v>191</v>
      </c>
      <c r="H1" s="180"/>
      <c r="I1" s="180"/>
      <c r="J1" s="81" t="s">
        <v>192</v>
      </c>
      <c r="K1" s="81" t="s">
        <v>193</v>
      </c>
      <c r="L1" s="81" t="s">
        <v>194</v>
      </c>
      <c r="M1" s="81" t="s">
        <v>195</v>
      </c>
      <c r="N1" s="81" t="s">
        <v>196</v>
      </c>
      <c r="O1" s="81" t="s">
        <v>197</v>
      </c>
      <c r="P1" s="81" t="s">
        <v>198</v>
      </c>
      <c r="Q1" s="81" t="s">
        <v>199</v>
      </c>
      <c r="R1" s="111"/>
      <c r="S1" s="111"/>
    </row>
    <row r="2" spans="1:20" s="91" customFormat="1" ht="33.5" thickBot="1" x14ac:dyDescent="0.4">
      <c r="A2" s="84" t="s">
        <v>200</v>
      </c>
      <c r="B2" s="84" t="s">
        <v>138</v>
      </c>
      <c r="C2" s="84" t="s">
        <v>201</v>
      </c>
      <c r="D2" s="84" t="s">
        <v>202</v>
      </c>
      <c r="E2" s="84" t="s">
        <v>203</v>
      </c>
      <c r="F2" s="84" t="s">
        <v>204</v>
      </c>
      <c r="G2" s="84" t="s">
        <v>205</v>
      </c>
      <c r="H2" s="84" t="s">
        <v>206</v>
      </c>
      <c r="I2" s="84" t="s">
        <v>207</v>
      </c>
      <c r="J2" s="84" t="s">
        <v>208</v>
      </c>
      <c r="K2" s="84" t="s">
        <v>209</v>
      </c>
      <c r="L2" s="84" t="s">
        <v>210</v>
      </c>
      <c r="M2" s="84" t="s">
        <v>211</v>
      </c>
      <c r="N2" s="84" t="s">
        <v>212</v>
      </c>
      <c r="O2" s="84" t="s">
        <v>213</v>
      </c>
      <c r="P2" s="84" t="s">
        <v>214</v>
      </c>
      <c r="Q2" s="84" t="s">
        <v>215</v>
      </c>
      <c r="R2" s="112"/>
      <c r="S2" s="112"/>
    </row>
    <row r="3" spans="1:20" s="91" customFormat="1" ht="363" x14ac:dyDescent="0.35">
      <c r="A3" s="104" t="str">
        <f>_xlfn.XLOOKUP(B3,'Paso 3 Redacción RA'!I$3:I$15,'Paso 3 Redacción RA'!C$3:C$15,,0,1)</f>
        <v>Saber</v>
      </c>
      <c r="B3" s="104" t="s">
        <v>108</v>
      </c>
      <c r="C3" s="105">
        <v>1</v>
      </c>
      <c r="D3" s="106" t="s">
        <v>216</v>
      </c>
      <c r="E3" s="107" t="s">
        <v>217</v>
      </c>
      <c r="F3" s="105" t="s">
        <v>218</v>
      </c>
      <c r="G3" s="105" t="s">
        <v>219</v>
      </c>
      <c r="H3" s="105"/>
      <c r="I3" s="105"/>
      <c r="J3" s="105">
        <v>3</v>
      </c>
      <c r="K3" s="105">
        <f>16*J3</f>
        <v>48</v>
      </c>
      <c r="L3" s="105">
        <f>32*J3</f>
        <v>96</v>
      </c>
      <c r="M3" s="105">
        <f>SUM(K3:L3)</f>
        <v>144</v>
      </c>
      <c r="N3" s="109" t="s">
        <v>220</v>
      </c>
      <c r="O3" s="104" t="s">
        <v>221</v>
      </c>
      <c r="P3" s="107" t="s">
        <v>222</v>
      </c>
      <c r="Q3" s="104" t="s">
        <v>223</v>
      </c>
      <c r="R3" s="5"/>
      <c r="S3" s="5"/>
      <c r="T3" s="7"/>
    </row>
    <row r="4" spans="1:20" s="99" customFormat="1" ht="363.5" thickBot="1" x14ac:dyDescent="0.55000000000000004">
      <c r="A4" s="107" t="str">
        <f>_xlfn.XLOOKUP(B4,'Paso 3 Redacción RA'!I$3:I$15,'Paso 3 Redacción RA'!C$3:C$15,,0,1)</f>
        <v>Saber</v>
      </c>
      <c r="B4" s="107" t="s">
        <v>108</v>
      </c>
      <c r="C4" s="106">
        <v>1</v>
      </c>
      <c r="D4" s="106" t="s">
        <v>224</v>
      </c>
      <c r="E4" s="107" t="s">
        <v>225</v>
      </c>
      <c r="F4" s="106" t="s">
        <v>218</v>
      </c>
      <c r="G4" s="105" t="s">
        <v>219</v>
      </c>
      <c r="H4" s="105"/>
      <c r="I4" s="105"/>
      <c r="J4" s="105">
        <v>3</v>
      </c>
      <c r="K4" s="105">
        <f>16*J4</f>
        <v>48</v>
      </c>
      <c r="L4" s="105">
        <f>32*J4</f>
        <v>96</v>
      </c>
      <c r="M4" s="105">
        <f>SUM(K4:L4)</f>
        <v>144</v>
      </c>
      <c r="N4" s="104" t="s">
        <v>226</v>
      </c>
      <c r="O4" s="104" t="s">
        <v>227</v>
      </c>
      <c r="P4" s="104" t="s">
        <v>228</v>
      </c>
      <c r="Q4" s="104" t="s">
        <v>223</v>
      </c>
      <c r="R4" s="5"/>
      <c r="S4" s="5"/>
      <c r="T4" s="114"/>
    </row>
    <row r="5" spans="1:20" s="99" customFormat="1" ht="33" x14ac:dyDescent="0.5">
      <c r="A5" s="99" t="str">
        <f>_xlfn.XLOOKUP(B5,'Paso 3 Redacción RA'!I$3:I$15,'Paso 3 Redacción RA'!C$3:C$15,,0,1)</f>
        <v>Saber</v>
      </c>
      <c r="B5" s="80" t="s">
        <v>92</v>
      </c>
      <c r="C5" s="151">
        <v>1</v>
      </c>
      <c r="D5" s="141" t="s">
        <v>229</v>
      </c>
      <c r="E5" s="154" t="s">
        <v>230</v>
      </c>
      <c r="F5" s="141" t="s">
        <v>218</v>
      </c>
      <c r="G5" s="141"/>
      <c r="H5" s="141" t="s">
        <v>219</v>
      </c>
      <c r="I5" s="141"/>
      <c r="J5" s="141">
        <v>3</v>
      </c>
      <c r="K5" s="141">
        <f>16*J5</f>
        <v>48</v>
      </c>
      <c r="L5" s="141">
        <f>32*J5</f>
        <v>96</v>
      </c>
      <c r="M5" s="141">
        <f>SUM(K5:L5)</f>
        <v>144</v>
      </c>
      <c r="N5" s="144" t="s">
        <v>231</v>
      </c>
      <c r="O5" s="144" t="s">
        <v>232</v>
      </c>
      <c r="P5" s="144" t="s">
        <v>233</v>
      </c>
      <c r="Q5" s="144" t="s">
        <v>223</v>
      </c>
      <c r="R5" s="5"/>
      <c r="S5" s="5"/>
      <c r="T5" s="114"/>
    </row>
    <row r="6" spans="1:20" s="99" customFormat="1" ht="33" x14ac:dyDescent="0.5">
      <c r="A6" s="99" t="str">
        <f>_xlfn.XLOOKUP(B6,'Paso 3 Redacción RA'!I$3:I$15,'Paso 3 Redacción RA'!C$3:C$15,,0,1)</f>
        <v>SaberHacer</v>
      </c>
      <c r="B6" s="80" t="s">
        <v>94</v>
      </c>
      <c r="C6" s="151"/>
      <c r="D6" s="141"/>
      <c r="E6" s="154"/>
      <c r="F6" s="141"/>
      <c r="G6" s="141"/>
      <c r="H6" s="141"/>
      <c r="I6" s="141"/>
      <c r="J6" s="141"/>
      <c r="K6" s="141"/>
      <c r="L6" s="141"/>
      <c r="M6" s="141"/>
      <c r="N6" s="144"/>
      <c r="O6" s="144"/>
      <c r="P6" s="144"/>
      <c r="Q6" s="144"/>
      <c r="R6" s="5"/>
      <c r="S6" s="5"/>
      <c r="T6" s="114"/>
    </row>
    <row r="7" spans="1:20" s="99" customFormat="1" ht="33" x14ac:dyDescent="0.5">
      <c r="A7" s="99" t="str">
        <f>_xlfn.XLOOKUP(B7,'Paso 3 Redacción RA'!I$3:I$15,'Paso 3 Redacción RA'!C$3:C$15,,0,1)</f>
        <v>Saber</v>
      </c>
      <c r="B7" s="80" t="s">
        <v>100</v>
      </c>
      <c r="C7" s="151"/>
      <c r="D7" s="141"/>
      <c r="E7" s="154"/>
      <c r="F7" s="141"/>
      <c r="G7" s="141"/>
      <c r="H7" s="141"/>
      <c r="I7" s="141"/>
      <c r="J7" s="141"/>
      <c r="K7" s="141"/>
      <c r="L7" s="141"/>
      <c r="M7" s="141"/>
      <c r="N7" s="144"/>
      <c r="O7" s="144"/>
      <c r="P7" s="144"/>
      <c r="Q7" s="144"/>
      <c r="R7" s="5"/>
      <c r="S7" s="5"/>
      <c r="T7" s="114"/>
    </row>
    <row r="8" spans="1:20" s="99" customFormat="1" ht="33.5" thickBot="1" x14ac:dyDescent="0.55000000000000004">
      <c r="A8" s="100" t="str">
        <f>_xlfn.XLOOKUP(B8,'Paso 3 Redacción RA'!I$3:I$15,'Paso 3 Redacción RA'!C$3:C$15,,0,1)</f>
        <v>SaberHacer</v>
      </c>
      <c r="B8" s="96" t="s">
        <v>103</v>
      </c>
      <c r="C8" s="152"/>
      <c r="D8" s="164"/>
      <c r="E8" s="155"/>
      <c r="F8" s="164"/>
      <c r="G8" s="164"/>
      <c r="H8" s="164"/>
      <c r="I8" s="164"/>
      <c r="J8" s="164"/>
      <c r="K8" s="164"/>
      <c r="L8" s="164"/>
      <c r="M8" s="164"/>
      <c r="N8" s="181"/>
      <c r="O8" s="181"/>
      <c r="P8" s="181"/>
      <c r="Q8" s="181"/>
      <c r="R8" s="5"/>
      <c r="S8" s="5"/>
      <c r="T8" s="114"/>
    </row>
    <row r="9" spans="1:20" s="99" customFormat="1" ht="33" x14ac:dyDescent="0.5">
      <c r="A9" s="113" t="str">
        <f>_xlfn.XLOOKUP(B9,'Paso 3 Redacción RA'!I$3:I$15,'Paso 3 Redacción RA'!C$3:C$15,,0,1)</f>
        <v>SaberSer</v>
      </c>
      <c r="B9" s="101" t="s">
        <v>97</v>
      </c>
      <c r="C9" s="150">
        <v>1</v>
      </c>
      <c r="D9" s="163" t="s">
        <v>234</v>
      </c>
      <c r="E9" s="153" t="s">
        <v>235</v>
      </c>
      <c r="F9" s="163" t="s">
        <v>236</v>
      </c>
      <c r="G9" s="163"/>
      <c r="H9" s="163" t="s">
        <v>219</v>
      </c>
      <c r="I9" s="163"/>
      <c r="J9" s="163">
        <v>3</v>
      </c>
      <c r="K9" s="163">
        <f>16*J9</f>
        <v>48</v>
      </c>
      <c r="L9" s="163">
        <f>32*J9</f>
        <v>96</v>
      </c>
      <c r="M9" s="163">
        <f>SUM(K9:L9)</f>
        <v>144</v>
      </c>
      <c r="N9" s="182" t="s">
        <v>237</v>
      </c>
      <c r="O9" s="182" t="s">
        <v>232</v>
      </c>
      <c r="P9" s="182" t="s">
        <v>238</v>
      </c>
      <c r="Q9" s="182" t="s">
        <v>223</v>
      </c>
      <c r="R9" s="5"/>
      <c r="S9" s="5"/>
      <c r="T9" s="114"/>
    </row>
    <row r="10" spans="1:20" s="99" customFormat="1" ht="33" x14ac:dyDescent="0.5">
      <c r="A10" s="99" t="str">
        <f>_xlfn.XLOOKUP(B10,'Paso 3 Redacción RA'!I$3:I$15,'Paso 3 Redacción RA'!C$3:C$15,,0,1)</f>
        <v>Saber</v>
      </c>
      <c r="B10" s="80" t="s">
        <v>100</v>
      </c>
      <c r="C10" s="151"/>
      <c r="D10" s="141"/>
      <c r="E10" s="154"/>
      <c r="F10" s="141"/>
      <c r="G10" s="141"/>
      <c r="H10" s="141"/>
      <c r="I10" s="141"/>
      <c r="J10" s="141"/>
      <c r="K10" s="141"/>
      <c r="L10" s="141"/>
      <c r="M10" s="141"/>
      <c r="N10" s="144"/>
      <c r="O10" s="144"/>
      <c r="P10" s="144"/>
      <c r="Q10" s="144"/>
      <c r="R10" s="5"/>
      <c r="S10" s="5"/>
      <c r="T10" s="114"/>
    </row>
    <row r="11" spans="1:20" s="99" customFormat="1" ht="33" x14ac:dyDescent="0.5">
      <c r="A11" s="99" t="str">
        <f>_xlfn.XLOOKUP(B11,'Paso 3 Redacción RA'!I$3:I$15,'Paso 3 Redacción RA'!C$3:C$15,,0,1)</f>
        <v>SaberHacer</v>
      </c>
      <c r="B11" s="80" t="s">
        <v>103</v>
      </c>
      <c r="C11" s="151"/>
      <c r="D11" s="141"/>
      <c r="E11" s="154"/>
      <c r="F11" s="141"/>
      <c r="G11" s="141"/>
      <c r="H11" s="141"/>
      <c r="I11" s="141"/>
      <c r="J11" s="141"/>
      <c r="K11" s="141"/>
      <c r="L11" s="141"/>
      <c r="M11" s="141"/>
      <c r="N11" s="144"/>
      <c r="O11" s="144"/>
      <c r="P11" s="144"/>
      <c r="Q11" s="144"/>
      <c r="R11" s="5"/>
      <c r="S11" s="5"/>
      <c r="T11" s="114"/>
    </row>
    <row r="12" spans="1:20" s="99" customFormat="1" ht="33.5" thickBot="1" x14ac:dyDescent="0.55000000000000004">
      <c r="A12" s="100" t="str">
        <f>_xlfn.XLOOKUP(B12,'Paso 3 Redacción RA'!I$3:I$15,'Paso 3 Redacción RA'!C$3:C$15,,0,1)</f>
        <v>Saber</v>
      </c>
      <c r="B12" s="96" t="s">
        <v>105</v>
      </c>
      <c r="C12" s="152"/>
      <c r="D12" s="164"/>
      <c r="E12" s="155"/>
      <c r="F12" s="164"/>
      <c r="G12" s="164"/>
      <c r="H12" s="164"/>
      <c r="I12" s="164"/>
      <c r="J12" s="164"/>
      <c r="K12" s="164"/>
      <c r="L12" s="164"/>
      <c r="M12" s="164"/>
      <c r="N12" s="181"/>
      <c r="O12" s="181"/>
      <c r="P12" s="181"/>
      <c r="Q12" s="181"/>
      <c r="R12" s="5"/>
      <c r="S12" s="5"/>
      <c r="T12" s="114"/>
    </row>
    <row r="13" spans="1:20" s="5" customFormat="1" ht="33" x14ac:dyDescent="0.5">
      <c r="A13" s="113" t="str">
        <f>_xlfn.XLOOKUP(B13,'Paso 3 Redacción RA'!I$3:I$15,'Paso 3 Redacción RA'!C$3:C$15,,0,1)</f>
        <v>Saber</v>
      </c>
      <c r="B13" s="101" t="s">
        <v>92</v>
      </c>
      <c r="C13" s="156">
        <v>1</v>
      </c>
      <c r="D13" s="156" t="s">
        <v>239</v>
      </c>
      <c r="E13" s="154" t="s">
        <v>240</v>
      </c>
      <c r="F13" s="157" t="s">
        <v>218</v>
      </c>
      <c r="G13" s="157"/>
      <c r="H13" s="157" t="s">
        <v>219</v>
      </c>
      <c r="I13" s="157"/>
      <c r="J13" s="157">
        <v>3</v>
      </c>
      <c r="K13" s="157">
        <f>16*J13</f>
        <v>48</v>
      </c>
      <c r="L13" s="157">
        <f>32*J13</f>
        <v>96</v>
      </c>
      <c r="M13" s="157">
        <f>SUM(K13:L13)</f>
        <v>144</v>
      </c>
      <c r="N13" s="154" t="s">
        <v>241</v>
      </c>
      <c r="O13" s="154" t="s">
        <v>232</v>
      </c>
      <c r="P13" s="154" t="s">
        <v>233</v>
      </c>
      <c r="Q13" s="154" t="s">
        <v>223</v>
      </c>
      <c r="R13" s="80"/>
      <c r="S13" s="80"/>
      <c r="T13" s="3"/>
    </row>
    <row r="14" spans="1:20" s="5" customFormat="1" ht="33" x14ac:dyDescent="0.5">
      <c r="A14" s="99" t="str">
        <f>_xlfn.XLOOKUP(B14,'Paso 3 Redacción RA'!I$3:I$15,'Paso 3 Redacción RA'!C$3:C$15,,0,1)</f>
        <v>SaberSer</v>
      </c>
      <c r="B14" s="80" t="s">
        <v>97</v>
      </c>
      <c r="C14" s="157"/>
      <c r="D14" s="157"/>
      <c r="E14" s="154"/>
      <c r="F14" s="157"/>
      <c r="G14" s="157"/>
      <c r="H14" s="157"/>
      <c r="I14" s="157"/>
      <c r="J14" s="157"/>
      <c r="K14" s="157"/>
      <c r="L14" s="157"/>
      <c r="M14" s="157"/>
      <c r="N14" s="154"/>
      <c r="O14" s="154"/>
      <c r="P14" s="154"/>
      <c r="Q14" s="154"/>
      <c r="R14" s="80"/>
      <c r="S14" s="80"/>
      <c r="T14" s="3"/>
    </row>
    <row r="15" spans="1:20" s="5" customFormat="1" ht="33" x14ac:dyDescent="0.5">
      <c r="A15" s="99" t="str">
        <f>_xlfn.XLOOKUP(B15,'Paso 3 Redacción RA'!I$3:I$15,'Paso 3 Redacción RA'!C$3:C$15,,0,1)</f>
        <v>Saber</v>
      </c>
      <c r="B15" s="80" t="s">
        <v>92</v>
      </c>
      <c r="C15" s="157"/>
      <c r="D15" s="157"/>
      <c r="E15" s="154"/>
      <c r="F15" s="157"/>
      <c r="G15" s="157"/>
      <c r="H15" s="157"/>
      <c r="I15" s="157"/>
      <c r="J15" s="157"/>
      <c r="K15" s="157"/>
      <c r="L15" s="157"/>
      <c r="M15" s="157"/>
      <c r="N15" s="154"/>
      <c r="O15" s="154"/>
      <c r="P15" s="154"/>
      <c r="Q15" s="154"/>
      <c r="R15" s="80"/>
      <c r="S15" s="80"/>
      <c r="T15" s="3"/>
    </row>
    <row r="16" spans="1:20" s="5" customFormat="1" ht="33.5" thickBot="1" x14ac:dyDescent="0.55000000000000004">
      <c r="A16" s="100" t="str">
        <f>_xlfn.XLOOKUP(B16,'Paso 3 Redacción RA'!I$3:I$15,'Paso 3 Redacción RA'!C$3:C$15,,0,1)</f>
        <v>Saber</v>
      </c>
      <c r="B16" s="96" t="s">
        <v>105</v>
      </c>
      <c r="C16" s="158"/>
      <c r="D16" s="158"/>
      <c r="E16" s="154"/>
      <c r="F16" s="157"/>
      <c r="G16" s="157"/>
      <c r="H16" s="157"/>
      <c r="I16" s="157"/>
      <c r="J16" s="157"/>
      <c r="K16" s="157"/>
      <c r="L16" s="157"/>
      <c r="M16" s="157"/>
      <c r="N16" s="154"/>
      <c r="O16" s="154"/>
      <c r="P16" s="154"/>
      <c r="Q16" s="154"/>
      <c r="R16" s="80">
        <f>SUM(J3:J16)</f>
        <v>15</v>
      </c>
      <c r="S16" s="80">
        <f>COUNTA(D3:D16)</f>
        <v>5</v>
      </c>
      <c r="T16" s="3"/>
    </row>
    <row r="17" spans="1:20" s="99" customFormat="1" ht="363.5" thickBot="1" x14ac:dyDescent="0.55000000000000004">
      <c r="A17" s="107" t="str">
        <f>_xlfn.XLOOKUP(B17,'Paso 3 Redacción RA'!I$3:I$15,'Paso 3 Redacción RA'!C$3:C$15,,0,1)</f>
        <v>Saber</v>
      </c>
      <c r="B17" s="107" t="s">
        <v>108</v>
      </c>
      <c r="C17" s="106">
        <v>2</v>
      </c>
      <c r="D17" s="106" t="s">
        <v>242</v>
      </c>
      <c r="E17" s="107" t="s">
        <v>243</v>
      </c>
      <c r="F17" s="105" t="s">
        <v>218</v>
      </c>
      <c r="G17" s="106" t="s">
        <v>219</v>
      </c>
      <c r="H17" s="106"/>
      <c r="I17" s="106"/>
      <c r="J17" s="105">
        <v>3</v>
      </c>
      <c r="K17" s="105">
        <f>16*J17</f>
        <v>48</v>
      </c>
      <c r="L17" s="105">
        <f>32*J17</f>
        <v>96</v>
      </c>
      <c r="M17" s="105">
        <f>SUM(K17:L17)</f>
        <v>144</v>
      </c>
      <c r="N17" s="107" t="s">
        <v>244</v>
      </c>
      <c r="O17" s="107" t="s">
        <v>245</v>
      </c>
      <c r="P17" s="107" t="s">
        <v>246</v>
      </c>
      <c r="Q17" s="104" t="s">
        <v>223</v>
      </c>
      <c r="R17" s="5"/>
      <c r="S17" s="5"/>
      <c r="T17" s="114"/>
    </row>
    <row r="18" spans="1:20" ht="33" x14ac:dyDescent="0.5">
      <c r="A18" s="113" t="str">
        <f>_xlfn.XLOOKUP(B18,'Paso 3 Redacción RA'!I$3:I$15,'Paso 3 Redacción RA'!C$3:C$15,,0,1)</f>
        <v>Saber</v>
      </c>
      <c r="B18" s="101" t="s">
        <v>92</v>
      </c>
      <c r="C18" s="163">
        <v>2</v>
      </c>
      <c r="D18" s="163" t="s">
        <v>247</v>
      </c>
      <c r="E18" s="153" t="s">
        <v>248</v>
      </c>
      <c r="F18" s="163" t="s">
        <v>218</v>
      </c>
      <c r="G18" s="163"/>
      <c r="H18" s="163" t="s">
        <v>219</v>
      </c>
      <c r="I18" s="163"/>
      <c r="J18" s="163">
        <v>3</v>
      </c>
      <c r="K18" s="163">
        <f>16*J18</f>
        <v>48</v>
      </c>
      <c r="L18" s="163">
        <f>32*J18</f>
        <v>96</v>
      </c>
      <c r="M18" s="163">
        <f>SUM(K18:L18)</f>
        <v>144</v>
      </c>
      <c r="N18" s="182" t="s">
        <v>249</v>
      </c>
      <c r="O18" s="182" t="s">
        <v>232</v>
      </c>
      <c r="P18" s="182" t="s">
        <v>233</v>
      </c>
      <c r="Q18" s="182" t="s">
        <v>223</v>
      </c>
      <c r="T18" s="114"/>
    </row>
    <row r="19" spans="1:20" ht="33" x14ac:dyDescent="0.5">
      <c r="A19" s="99" t="str">
        <f>_xlfn.XLOOKUP(B19,'Paso 3 Redacción RA'!I$3:I$15,'Paso 3 Redacción RA'!C$3:C$15,,0,1)</f>
        <v>SaberHacer</v>
      </c>
      <c r="B19" s="80" t="s">
        <v>94</v>
      </c>
      <c r="C19" s="141"/>
      <c r="D19" s="141"/>
      <c r="E19" s="154"/>
      <c r="F19" s="141"/>
      <c r="G19" s="141"/>
      <c r="H19" s="141"/>
      <c r="I19" s="141"/>
      <c r="J19" s="141"/>
      <c r="K19" s="141"/>
      <c r="L19" s="141"/>
      <c r="M19" s="141"/>
      <c r="N19" s="144"/>
      <c r="O19" s="144"/>
      <c r="P19" s="144"/>
      <c r="Q19" s="144"/>
      <c r="T19" s="114"/>
    </row>
    <row r="20" spans="1:20" ht="33" x14ac:dyDescent="0.5">
      <c r="A20" s="99" t="str">
        <f>_xlfn.XLOOKUP(B20,'Paso 3 Redacción RA'!I$3:I$15,'Paso 3 Redacción RA'!C$3:C$15,,0,1)</f>
        <v>Saber</v>
      </c>
      <c r="B20" s="80" t="s">
        <v>100</v>
      </c>
      <c r="C20" s="141"/>
      <c r="D20" s="141"/>
      <c r="E20" s="154"/>
      <c r="F20" s="141"/>
      <c r="G20" s="141"/>
      <c r="H20" s="141"/>
      <c r="I20" s="141"/>
      <c r="J20" s="141"/>
      <c r="K20" s="141"/>
      <c r="L20" s="141"/>
      <c r="M20" s="141"/>
      <c r="N20" s="144"/>
      <c r="O20" s="144"/>
      <c r="P20" s="144"/>
      <c r="Q20" s="144"/>
      <c r="T20" s="114"/>
    </row>
    <row r="21" spans="1:20" ht="33" x14ac:dyDescent="0.5">
      <c r="A21" s="99" t="str">
        <f>_xlfn.XLOOKUP(B21,'Paso 3 Redacción RA'!I$3:I$15,'Paso 3 Redacción RA'!C$3:C$15,,0,1)</f>
        <v>Saber</v>
      </c>
      <c r="B21" s="80" t="s">
        <v>105</v>
      </c>
      <c r="C21" s="141"/>
      <c r="D21" s="141"/>
      <c r="E21" s="154"/>
      <c r="F21" s="141"/>
      <c r="G21" s="141"/>
      <c r="H21" s="141"/>
      <c r="I21" s="141"/>
      <c r="J21" s="141"/>
      <c r="K21" s="141"/>
      <c r="L21" s="141"/>
      <c r="M21" s="141"/>
      <c r="N21" s="144"/>
      <c r="O21" s="144"/>
      <c r="P21" s="144"/>
      <c r="Q21" s="144"/>
      <c r="T21" s="114"/>
    </row>
    <row r="22" spans="1:20" ht="33.5" thickBot="1" x14ac:dyDescent="0.55000000000000004">
      <c r="A22" s="100" t="str">
        <f>_xlfn.XLOOKUP(B22,'Paso 3 Redacción RA'!I$3:I$15,'Paso 3 Redacción RA'!C$3:C$15,,0,1)</f>
        <v>SaberHacer</v>
      </c>
      <c r="B22" s="96" t="s">
        <v>106</v>
      </c>
      <c r="C22" s="164"/>
      <c r="D22" s="164"/>
      <c r="E22" s="155"/>
      <c r="F22" s="164"/>
      <c r="G22" s="164"/>
      <c r="H22" s="164"/>
      <c r="I22" s="164"/>
      <c r="J22" s="164"/>
      <c r="K22" s="164"/>
      <c r="L22" s="164"/>
      <c r="M22" s="164"/>
      <c r="N22" s="181"/>
      <c r="O22" s="181"/>
      <c r="P22" s="181"/>
      <c r="Q22" s="181"/>
      <c r="T22" s="114"/>
    </row>
    <row r="23" spans="1:20" s="99" customFormat="1" ht="33" x14ac:dyDescent="0.5">
      <c r="A23" s="113" t="str">
        <f>_xlfn.XLOOKUP(B23,'Paso 3 Redacción RA'!I$3:I$15,'Paso 3 Redacción RA'!C$3:C$15,,0,1)</f>
        <v>Saber</v>
      </c>
      <c r="B23" s="101" t="s">
        <v>100</v>
      </c>
      <c r="C23" s="163">
        <v>2</v>
      </c>
      <c r="D23" s="163" t="s">
        <v>250</v>
      </c>
      <c r="E23" s="153" t="s">
        <v>251</v>
      </c>
      <c r="F23" s="163" t="s">
        <v>218</v>
      </c>
      <c r="G23" s="163"/>
      <c r="H23" s="163" t="s">
        <v>219</v>
      </c>
      <c r="I23" s="163"/>
      <c r="J23" s="163">
        <v>3</v>
      </c>
      <c r="K23" s="163">
        <f>16*J23</f>
        <v>48</v>
      </c>
      <c r="L23" s="163">
        <f>32*J23</f>
        <v>96</v>
      </c>
      <c r="M23" s="163">
        <f>SUM(K23:L23)</f>
        <v>144</v>
      </c>
      <c r="N23" s="182" t="s">
        <v>252</v>
      </c>
      <c r="O23" s="182" t="s">
        <v>253</v>
      </c>
      <c r="P23" s="182" t="s">
        <v>254</v>
      </c>
      <c r="Q23" s="182" t="s">
        <v>223</v>
      </c>
      <c r="R23" s="5"/>
      <c r="S23" s="5"/>
      <c r="T23" s="114"/>
    </row>
    <row r="24" spans="1:20" s="99" customFormat="1" ht="33" x14ac:dyDescent="0.5">
      <c r="A24" s="99" t="str">
        <f>_xlfn.XLOOKUP(B24,'Paso 3 Redacción RA'!I$3:I$15,'Paso 3 Redacción RA'!C$3:C$15,,0,1)</f>
        <v>Saber</v>
      </c>
      <c r="B24" s="80" t="s">
        <v>105</v>
      </c>
      <c r="C24" s="141"/>
      <c r="D24" s="141"/>
      <c r="E24" s="154"/>
      <c r="F24" s="141"/>
      <c r="G24" s="141"/>
      <c r="H24" s="141"/>
      <c r="I24" s="141"/>
      <c r="J24" s="141"/>
      <c r="K24" s="141"/>
      <c r="L24" s="141"/>
      <c r="M24" s="141"/>
      <c r="N24" s="144"/>
      <c r="O24" s="144"/>
      <c r="P24" s="144"/>
      <c r="Q24" s="144"/>
      <c r="R24" s="5"/>
      <c r="S24" s="5"/>
      <c r="T24" s="114"/>
    </row>
    <row r="25" spans="1:20" s="99" customFormat="1" ht="33.5" thickBot="1" x14ac:dyDescent="0.55000000000000004">
      <c r="A25" s="100" t="str">
        <f>_xlfn.XLOOKUP(B25,'Paso 3 Redacción RA'!I$3:I$15,'Paso 3 Redacción RA'!C$3:C$15,,0,1)</f>
        <v>SaberHacer</v>
      </c>
      <c r="B25" s="96" t="s">
        <v>106</v>
      </c>
      <c r="C25" s="164"/>
      <c r="D25" s="164"/>
      <c r="E25" s="155"/>
      <c r="F25" s="164"/>
      <c r="G25" s="164"/>
      <c r="H25" s="164"/>
      <c r="I25" s="164"/>
      <c r="J25" s="164"/>
      <c r="K25" s="164"/>
      <c r="L25" s="164"/>
      <c r="M25" s="164"/>
      <c r="N25" s="181"/>
      <c r="O25" s="181"/>
      <c r="P25" s="181"/>
      <c r="Q25" s="181"/>
      <c r="R25" s="5"/>
      <c r="S25" s="5"/>
      <c r="T25" s="114"/>
    </row>
    <row r="26" spans="1:20" s="99" customFormat="1" ht="33" x14ac:dyDescent="0.5">
      <c r="A26" s="113" t="str">
        <f>_xlfn.XLOOKUP(B28,'Paso 3 Redacción RA'!I$3:I$15,'Paso 3 Redacción RA'!C$3:C$15,,0,1)</f>
        <v>Saber</v>
      </c>
      <c r="B26" s="80" t="s">
        <v>92</v>
      </c>
      <c r="C26" s="163">
        <v>2</v>
      </c>
      <c r="D26" s="163" t="s">
        <v>255</v>
      </c>
      <c r="E26" s="153" t="s">
        <v>256</v>
      </c>
      <c r="F26" s="163" t="s">
        <v>218</v>
      </c>
      <c r="G26" s="163"/>
      <c r="H26" s="163" t="s">
        <v>219</v>
      </c>
      <c r="I26" s="163"/>
      <c r="J26" s="163">
        <v>3</v>
      </c>
      <c r="K26" s="163">
        <f>16*J26</f>
        <v>48</v>
      </c>
      <c r="L26" s="163">
        <f>32*J26</f>
        <v>96</v>
      </c>
      <c r="M26" s="163">
        <f>SUM(K26:L26)</f>
        <v>144</v>
      </c>
      <c r="N26" s="182" t="s">
        <v>257</v>
      </c>
      <c r="O26" s="182" t="s">
        <v>232</v>
      </c>
      <c r="P26" s="182" t="s">
        <v>233</v>
      </c>
      <c r="Q26" s="182" t="s">
        <v>223</v>
      </c>
      <c r="R26" s="5"/>
      <c r="S26" s="5"/>
      <c r="T26" s="114"/>
    </row>
    <row r="27" spans="1:20" s="99" customFormat="1" ht="33" x14ac:dyDescent="0.5">
      <c r="A27" s="99" t="str">
        <f>_xlfn.XLOOKUP(B27,'Paso 3 Redacción RA'!I$3:I$15,'Paso 3 Redacción RA'!C$3:C$15,,0,1)</f>
        <v>SaberHacer</v>
      </c>
      <c r="B27" s="80" t="s">
        <v>94</v>
      </c>
      <c r="C27" s="141"/>
      <c r="D27" s="141"/>
      <c r="E27" s="154"/>
      <c r="F27" s="141"/>
      <c r="G27" s="141"/>
      <c r="H27" s="141"/>
      <c r="I27" s="141"/>
      <c r="J27" s="141"/>
      <c r="K27" s="141"/>
      <c r="L27" s="141"/>
      <c r="M27" s="141"/>
      <c r="N27" s="144"/>
      <c r="O27" s="144"/>
      <c r="P27" s="144"/>
      <c r="Q27" s="144"/>
      <c r="R27" s="5"/>
      <c r="S27" s="5"/>
      <c r="T27" s="114"/>
    </row>
    <row r="28" spans="1:20" s="99" customFormat="1" ht="33" x14ac:dyDescent="0.5">
      <c r="A28" s="99" t="str">
        <f>_xlfn.XLOOKUP(B28,'Paso 3 Redacción RA'!I$3:I$15,'Paso 3 Redacción RA'!C$3:C$15,,0,1)</f>
        <v>Saber</v>
      </c>
      <c r="B28" s="80" t="s">
        <v>100</v>
      </c>
      <c r="C28" s="141"/>
      <c r="D28" s="141"/>
      <c r="E28" s="154"/>
      <c r="F28" s="141"/>
      <c r="G28" s="141"/>
      <c r="H28" s="141"/>
      <c r="I28" s="141"/>
      <c r="J28" s="141"/>
      <c r="K28" s="141"/>
      <c r="L28" s="141"/>
      <c r="M28" s="141"/>
      <c r="N28" s="144"/>
      <c r="O28" s="144"/>
      <c r="P28" s="144"/>
      <c r="Q28" s="144"/>
      <c r="R28" s="5"/>
      <c r="S28" s="5"/>
      <c r="T28" s="114"/>
    </row>
    <row r="29" spans="1:20" s="99" customFormat="1" ht="33.5" thickBot="1" x14ac:dyDescent="0.55000000000000004">
      <c r="A29" s="100" t="str">
        <f>_xlfn.XLOOKUP(B29,'Paso 3 Redacción RA'!I$3:I$15,'Paso 3 Redacción RA'!C$3:C$15,,0,1)</f>
        <v>SaberHacer</v>
      </c>
      <c r="B29" s="96" t="s">
        <v>103</v>
      </c>
      <c r="C29" s="164"/>
      <c r="D29" s="164"/>
      <c r="E29" s="154"/>
      <c r="F29" s="141"/>
      <c r="G29" s="141"/>
      <c r="H29" s="141"/>
      <c r="I29" s="141"/>
      <c r="J29" s="141"/>
      <c r="K29" s="141"/>
      <c r="L29" s="141"/>
      <c r="M29" s="164"/>
      <c r="N29" s="144"/>
      <c r="O29" s="144"/>
      <c r="P29" s="144"/>
      <c r="Q29" s="144"/>
      <c r="R29" s="5"/>
      <c r="S29" s="5"/>
      <c r="T29" s="114"/>
    </row>
    <row r="30" spans="1:20" s="99" customFormat="1" ht="33" x14ac:dyDescent="0.5">
      <c r="A30" s="113" t="str">
        <f>_xlfn.XLOOKUP(B30,'Paso 3 Redacción RA'!I$3:I$15,'Paso 3 Redacción RA'!C$3:C$15,,0,1)</f>
        <v>SaberSer</v>
      </c>
      <c r="B30" s="80" t="s">
        <v>97</v>
      </c>
      <c r="C30" s="163">
        <v>2</v>
      </c>
      <c r="D30" s="163" t="s">
        <v>258</v>
      </c>
      <c r="E30" s="153" t="s">
        <v>259</v>
      </c>
      <c r="F30" s="163" t="s">
        <v>218</v>
      </c>
      <c r="G30" s="163"/>
      <c r="H30" s="163" t="s">
        <v>219</v>
      </c>
      <c r="I30" s="163"/>
      <c r="J30" s="163">
        <v>3</v>
      </c>
      <c r="K30" s="163">
        <f>16*J30</f>
        <v>48</v>
      </c>
      <c r="L30" s="163">
        <f>32*J30</f>
        <v>96</v>
      </c>
      <c r="M30" s="163">
        <f>SUM(K30:L30)</f>
        <v>144</v>
      </c>
      <c r="N30" s="182" t="s">
        <v>260</v>
      </c>
      <c r="O30" s="182" t="s">
        <v>232</v>
      </c>
      <c r="P30" s="182" t="s">
        <v>233</v>
      </c>
      <c r="Q30" s="182" t="s">
        <v>223</v>
      </c>
      <c r="R30" s="5"/>
      <c r="S30" s="5"/>
      <c r="T30" s="114"/>
    </row>
    <row r="31" spans="1:20" s="99" customFormat="1" ht="33" x14ac:dyDescent="0.5">
      <c r="A31" s="99" t="str">
        <f>_xlfn.XLOOKUP(B31,'Paso 3 Redacción RA'!I$3:I$15,'Paso 3 Redacción RA'!C$3:C$15,,0,1)</f>
        <v>SaberHacer</v>
      </c>
      <c r="B31" s="80" t="s">
        <v>103</v>
      </c>
      <c r="C31" s="141"/>
      <c r="D31" s="141"/>
      <c r="E31" s="154"/>
      <c r="F31" s="141"/>
      <c r="G31" s="141"/>
      <c r="H31" s="141"/>
      <c r="I31" s="141"/>
      <c r="J31" s="141"/>
      <c r="K31" s="141"/>
      <c r="L31" s="141"/>
      <c r="M31" s="141"/>
      <c r="N31" s="144"/>
      <c r="O31" s="144"/>
      <c r="P31" s="144"/>
      <c r="Q31" s="144"/>
      <c r="R31" s="5"/>
      <c r="S31" s="5"/>
      <c r="T31" s="114"/>
    </row>
    <row r="32" spans="1:20" s="99" customFormat="1" ht="33.5" thickBot="1" x14ac:dyDescent="0.55000000000000004">
      <c r="A32" s="100" t="str">
        <f>_xlfn.XLOOKUP(B32,'Paso 3 Redacción RA'!I$3:I$15,'Paso 3 Redacción RA'!C$3:C$15,,0,1)</f>
        <v>Saber</v>
      </c>
      <c r="B32" s="96" t="s">
        <v>105</v>
      </c>
      <c r="C32" s="164"/>
      <c r="D32" s="164"/>
      <c r="E32" s="154"/>
      <c r="F32" s="141"/>
      <c r="G32" s="141"/>
      <c r="H32" s="141"/>
      <c r="I32" s="141"/>
      <c r="J32" s="141"/>
      <c r="K32" s="141"/>
      <c r="L32" s="141"/>
      <c r="M32" s="164"/>
      <c r="N32" s="144"/>
      <c r="O32" s="144"/>
      <c r="P32" s="144"/>
      <c r="Q32" s="144"/>
      <c r="R32" s="5"/>
      <c r="S32" s="5"/>
      <c r="T32" s="114"/>
    </row>
    <row r="33" spans="1:20" s="99" customFormat="1" ht="33" x14ac:dyDescent="0.5">
      <c r="A33" s="113" t="str">
        <f>_xlfn.XLOOKUP(B33,'Paso 3 Redacción RA'!I$3:I$15,'Paso 3 Redacción RA'!C$3:C$15,,0,1)</f>
        <v>SaberSer</v>
      </c>
      <c r="B33" s="101" t="s">
        <v>97</v>
      </c>
      <c r="C33" s="163">
        <v>2</v>
      </c>
      <c r="D33" s="163" t="s">
        <v>261</v>
      </c>
      <c r="E33" s="153" t="s">
        <v>262</v>
      </c>
      <c r="F33" s="163" t="s">
        <v>218</v>
      </c>
      <c r="G33" s="163"/>
      <c r="H33" s="163" t="s">
        <v>219</v>
      </c>
      <c r="I33" s="163"/>
      <c r="J33" s="163">
        <v>3</v>
      </c>
      <c r="K33" s="163">
        <f>16*J33</f>
        <v>48</v>
      </c>
      <c r="L33" s="163">
        <f>32*J33</f>
        <v>96</v>
      </c>
      <c r="M33" s="163">
        <f>SUM(K33:L33)</f>
        <v>144</v>
      </c>
      <c r="N33" s="182" t="s">
        <v>263</v>
      </c>
      <c r="O33" s="182" t="s">
        <v>253</v>
      </c>
      <c r="P33" s="182" t="s">
        <v>233</v>
      </c>
      <c r="Q33" s="182" t="s">
        <v>223</v>
      </c>
      <c r="R33" s="5"/>
      <c r="S33" s="5"/>
      <c r="T33" s="114"/>
    </row>
    <row r="34" spans="1:20" s="99" customFormat="1" ht="33" x14ac:dyDescent="0.5">
      <c r="A34" s="99" t="str">
        <f>_xlfn.XLOOKUP(B34,'Paso 3 Redacción RA'!I$3:I$15,'Paso 3 Redacción RA'!C$3:C$15,,0,1)</f>
        <v>SaberHacer</v>
      </c>
      <c r="B34" s="80" t="s">
        <v>103</v>
      </c>
      <c r="C34" s="141"/>
      <c r="D34" s="141"/>
      <c r="E34" s="154"/>
      <c r="F34" s="141"/>
      <c r="G34" s="141"/>
      <c r="H34" s="141"/>
      <c r="I34" s="141"/>
      <c r="J34" s="141"/>
      <c r="K34" s="141"/>
      <c r="L34" s="141"/>
      <c r="M34" s="141"/>
      <c r="N34" s="144"/>
      <c r="O34" s="144"/>
      <c r="P34" s="144"/>
      <c r="Q34" s="144"/>
      <c r="R34" s="5"/>
      <c r="S34" s="5"/>
      <c r="T34" s="114"/>
    </row>
    <row r="35" spans="1:20" s="99" customFormat="1" ht="33" x14ac:dyDescent="0.5">
      <c r="A35" s="99" t="str">
        <f>_xlfn.XLOOKUP(B35,'Paso 3 Redacción RA'!I$3:I$15,'Paso 3 Redacción RA'!C$3:C$15,,0,1)</f>
        <v>Saber</v>
      </c>
      <c r="B35" s="80" t="s">
        <v>105</v>
      </c>
      <c r="C35" s="141"/>
      <c r="D35" s="141"/>
      <c r="E35" s="154"/>
      <c r="F35" s="141"/>
      <c r="G35" s="141"/>
      <c r="H35" s="141"/>
      <c r="I35" s="141"/>
      <c r="J35" s="141"/>
      <c r="K35" s="141"/>
      <c r="L35" s="141"/>
      <c r="M35" s="141"/>
      <c r="N35" s="144"/>
      <c r="O35" s="144"/>
      <c r="P35" s="144"/>
      <c r="Q35" s="144"/>
      <c r="R35" s="5"/>
      <c r="S35" s="5"/>
      <c r="T35" s="114"/>
    </row>
    <row r="36" spans="1:20" s="99" customFormat="1" ht="33.5" thickBot="1" x14ac:dyDescent="0.55000000000000004">
      <c r="A36" s="100" t="str">
        <f>_xlfn.XLOOKUP(B36,'Paso 3 Redacción RA'!I$3:I$15,'Paso 3 Redacción RA'!C$3:C$15,,0,1)</f>
        <v>SaberHacer</v>
      </c>
      <c r="B36" s="96" t="s">
        <v>106</v>
      </c>
      <c r="C36" s="164"/>
      <c r="D36" s="164"/>
      <c r="E36" s="154"/>
      <c r="F36" s="141"/>
      <c r="G36" s="141"/>
      <c r="H36" s="141"/>
      <c r="I36" s="141"/>
      <c r="J36" s="141"/>
      <c r="K36" s="141"/>
      <c r="L36" s="141"/>
      <c r="M36" s="164"/>
      <c r="N36" s="144"/>
      <c r="O36" s="144"/>
      <c r="P36" s="144"/>
      <c r="Q36" s="144"/>
      <c r="R36" s="5">
        <f>SUM(J17:J36)</f>
        <v>18</v>
      </c>
      <c r="S36" s="5">
        <f>COUNTA(D17:D36)</f>
        <v>6</v>
      </c>
      <c r="T36" s="114"/>
    </row>
    <row r="37" spans="1:20" s="99" customFormat="1" ht="363.5" thickBot="1" x14ac:dyDescent="0.55000000000000004">
      <c r="A37" s="107" t="str">
        <f>_xlfn.XLOOKUP(B37,'Paso 3 Redacción RA'!I$3:I$15,'Paso 3 Redacción RA'!C$3:C$15,,0,1)</f>
        <v>Saber</v>
      </c>
      <c r="B37" s="107" t="s">
        <v>108</v>
      </c>
      <c r="C37" s="106">
        <v>3</v>
      </c>
      <c r="D37" s="106" t="s">
        <v>264</v>
      </c>
      <c r="E37" s="107" t="s">
        <v>265</v>
      </c>
      <c r="F37" s="105" t="s">
        <v>218</v>
      </c>
      <c r="G37" s="106" t="s">
        <v>219</v>
      </c>
      <c r="H37" s="106"/>
      <c r="I37" s="106"/>
      <c r="J37" s="105">
        <v>3</v>
      </c>
      <c r="K37" s="105">
        <f>16*J37</f>
        <v>48</v>
      </c>
      <c r="L37" s="105">
        <f>32*J37</f>
        <v>96</v>
      </c>
      <c r="M37" s="105">
        <f>SUM(K37:L37)</f>
        <v>144</v>
      </c>
      <c r="N37" s="104" t="s">
        <v>266</v>
      </c>
      <c r="O37" s="107" t="s">
        <v>267</v>
      </c>
      <c r="P37" s="107" t="s">
        <v>246</v>
      </c>
      <c r="Q37" s="104" t="s">
        <v>223</v>
      </c>
      <c r="R37" s="5"/>
      <c r="S37" s="5"/>
      <c r="T37" s="114"/>
    </row>
    <row r="38" spans="1:20" s="99" customFormat="1" ht="396" x14ac:dyDescent="0.5">
      <c r="A38" s="107" t="str">
        <f>_xlfn.XLOOKUP(B38,'Paso 3 Redacción RA'!I$3:I$15,'Paso 3 Redacción RA'!C$3:C$15,,0,1)</f>
        <v>Saber</v>
      </c>
      <c r="B38" s="107" t="s">
        <v>108</v>
      </c>
      <c r="C38" s="106">
        <v>3</v>
      </c>
      <c r="D38" s="106" t="s">
        <v>268</v>
      </c>
      <c r="E38" s="107" t="s">
        <v>269</v>
      </c>
      <c r="F38" s="105" t="s">
        <v>218</v>
      </c>
      <c r="G38" s="105" t="s">
        <v>219</v>
      </c>
      <c r="H38" s="105"/>
      <c r="I38" s="105"/>
      <c r="J38" s="108">
        <v>3</v>
      </c>
      <c r="K38" s="105">
        <f>16*J38</f>
        <v>48</v>
      </c>
      <c r="L38" s="105">
        <f>32*J38</f>
        <v>96</v>
      </c>
      <c r="M38" s="105">
        <f>SUM(K38:L38)</f>
        <v>144</v>
      </c>
      <c r="N38" s="104" t="s">
        <v>270</v>
      </c>
      <c r="O38" s="104" t="s">
        <v>271</v>
      </c>
      <c r="P38" s="104" t="s">
        <v>272</v>
      </c>
      <c r="Q38" s="104" t="s">
        <v>223</v>
      </c>
      <c r="R38" s="5"/>
      <c r="S38" s="5"/>
      <c r="T38" s="114"/>
    </row>
    <row r="39" spans="1:20" s="99" customFormat="1" ht="33" x14ac:dyDescent="0.5">
      <c r="A39" s="113" t="str">
        <f>_xlfn.XLOOKUP(B39,'Paso 3 Redacción RA'!I$3:I$15,'Paso 3 Redacción RA'!C$3:C$15,,0,1)</f>
        <v>Saber</v>
      </c>
      <c r="B39" s="101" t="s">
        <v>100</v>
      </c>
      <c r="C39" s="163">
        <v>3</v>
      </c>
      <c r="D39" s="163" t="s">
        <v>273</v>
      </c>
      <c r="E39" s="153" t="s">
        <v>274</v>
      </c>
      <c r="F39" s="163" t="s">
        <v>218</v>
      </c>
      <c r="G39" s="163"/>
      <c r="H39" s="163" t="s">
        <v>219</v>
      </c>
      <c r="I39" s="163"/>
      <c r="J39" s="163">
        <v>3</v>
      </c>
      <c r="K39" s="163">
        <f>16*J39</f>
        <v>48</v>
      </c>
      <c r="L39" s="163">
        <f>32*J39</f>
        <v>96</v>
      </c>
      <c r="M39" s="163">
        <f>SUM(K39:L39)</f>
        <v>144</v>
      </c>
      <c r="N39" s="182" t="s">
        <v>275</v>
      </c>
      <c r="O39" s="182" t="s">
        <v>232</v>
      </c>
      <c r="P39" s="182" t="s">
        <v>233</v>
      </c>
      <c r="Q39" s="182" t="s">
        <v>223</v>
      </c>
      <c r="R39" s="5"/>
      <c r="S39" s="5"/>
      <c r="T39" s="114"/>
    </row>
    <row r="40" spans="1:20" s="99" customFormat="1" ht="33" x14ac:dyDescent="0.5">
      <c r="A40" s="99" t="str">
        <f>_xlfn.XLOOKUP(B40,'Paso 3 Redacción RA'!I$3:I$15,'Paso 3 Redacción RA'!C$3:C$15,,0,1)</f>
        <v>Saber</v>
      </c>
      <c r="B40" s="80" t="s">
        <v>105</v>
      </c>
      <c r="C40" s="141"/>
      <c r="D40" s="141"/>
      <c r="E40" s="154"/>
      <c r="F40" s="141"/>
      <c r="G40" s="141"/>
      <c r="H40" s="141"/>
      <c r="I40" s="141"/>
      <c r="J40" s="141"/>
      <c r="K40" s="141"/>
      <c r="L40" s="141"/>
      <c r="M40" s="141"/>
      <c r="N40" s="144"/>
      <c r="O40" s="144"/>
      <c r="P40" s="144"/>
      <c r="Q40" s="144"/>
      <c r="R40" s="5"/>
      <c r="S40" s="5"/>
      <c r="T40" s="114"/>
    </row>
    <row r="41" spans="1:20" s="99" customFormat="1" ht="33.5" thickBot="1" x14ac:dyDescent="0.55000000000000004">
      <c r="A41" s="100" t="str">
        <f>_xlfn.XLOOKUP(B41,'Paso 3 Redacción RA'!I$3:I$15,'Paso 3 Redacción RA'!C$3:C$15,,0,1)</f>
        <v>SaberHacer</v>
      </c>
      <c r="B41" s="96" t="s">
        <v>106</v>
      </c>
      <c r="C41" s="164"/>
      <c r="D41" s="164"/>
      <c r="E41" s="155"/>
      <c r="F41" s="164"/>
      <c r="G41" s="164"/>
      <c r="H41" s="164"/>
      <c r="I41" s="164"/>
      <c r="J41" s="164"/>
      <c r="K41" s="164"/>
      <c r="L41" s="164"/>
      <c r="M41" s="164"/>
      <c r="N41" s="181"/>
      <c r="O41" s="181"/>
      <c r="P41" s="181"/>
      <c r="Q41" s="181"/>
      <c r="R41" s="5"/>
      <c r="S41" s="5"/>
      <c r="T41" s="114"/>
    </row>
    <row r="42" spans="1:20" s="99" customFormat="1" ht="33" x14ac:dyDescent="0.5">
      <c r="A42" s="113" t="str">
        <f>_xlfn.XLOOKUP(B42,'Paso 3 Redacción RA'!I$3:I$15,'Paso 3 Redacción RA'!C$3:C$15,,0,1)</f>
        <v>SaberHacer</v>
      </c>
      <c r="B42" s="101" t="s">
        <v>94</v>
      </c>
      <c r="C42" s="163">
        <v>3</v>
      </c>
      <c r="D42" s="163" t="s">
        <v>276</v>
      </c>
      <c r="E42" s="153" t="s">
        <v>277</v>
      </c>
      <c r="F42" s="163" t="s">
        <v>218</v>
      </c>
      <c r="G42" s="163"/>
      <c r="H42" s="163" t="s">
        <v>219</v>
      </c>
      <c r="I42" s="163"/>
      <c r="J42" s="163">
        <v>3</v>
      </c>
      <c r="K42" s="163">
        <f>16*J42</f>
        <v>48</v>
      </c>
      <c r="L42" s="163">
        <f>32*J42</f>
        <v>96</v>
      </c>
      <c r="M42" s="163">
        <v>192</v>
      </c>
      <c r="N42" s="182" t="s">
        <v>278</v>
      </c>
      <c r="O42" s="182" t="s">
        <v>279</v>
      </c>
      <c r="P42" s="182" t="s">
        <v>233</v>
      </c>
      <c r="Q42" s="182" t="s">
        <v>223</v>
      </c>
      <c r="R42" s="5"/>
      <c r="S42" s="5"/>
      <c r="T42" s="114"/>
    </row>
    <row r="43" spans="1:20" s="99" customFormat="1" ht="33" x14ac:dyDescent="0.5">
      <c r="A43" s="99" t="str">
        <f>_xlfn.XLOOKUP(B43,'Paso 3 Redacción RA'!I$3:I$15,'Paso 3 Redacción RA'!C$3:C$15,,0,1)</f>
        <v>Saber</v>
      </c>
      <c r="B43" s="80" t="s">
        <v>100</v>
      </c>
      <c r="C43" s="141"/>
      <c r="D43" s="141"/>
      <c r="E43" s="154"/>
      <c r="F43" s="141"/>
      <c r="G43" s="141"/>
      <c r="H43" s="141"/>
      <c r="I43" s="141"/>
      <c r="J43" s="141"/>
      <c r="K43" s="141"/>
      <c r="L43" s="141"/>
      <c r="M43" s="141"/>
      <c r="N43" s="144"/>
      <c r="O43" s="144"/>
      <c r="P43" s="144"/>
      <c r="Q43" s="144"/>
      <c r="R43" s="5"/>
      <c r="S43" s="5"/>
      <c r="T43" s="114"/>
    </row>
    <row r="44" spans="1:20" s="99" customFormat="1" ht="33" x14ac:dyDescent="0.5">
      <c r="A44" s="99" t="str">
        <f>_xlfn.XLOOKUP(B44,'Paso 3 Redacción RA'!I$3:I$15,'Paso 3 Redacción RA'!C$3:C$15,,0,1)</f>
        <v>SaberHacer</v>
      </c>
      <c r="B44" s="80" t="s">
        <v>103</v>
      </c>
      <c r="C44" s="141"/>
      <c r="D44" s="141"/>
      <c r="E44" s="154"/>
      <c r="F44" s="141"/>
      <c r="G44" s="141"/>
      <c r="H44" s="141"/>
      <c r="I44" s="141"/>
      <c r="J44" s="141"/>
      <c r="K44" s="141"/>
      <c r="L44" s="141"/>
      <c r="M44" s="141"/>
      <c r="N44" s="144"/>
      <c r="O44" s="144"/>
      <c r="P44" s="144"/>
      <c r="Q44" s="144"/>
      <c r="R44" s="5"/>
      <c r="S44" s="5"/>
      <c r="T44" s="114"/>
    </row>
    <row r="45" spans="1:20" s="99" customFormat="1" ht="33" x14ac:dyDescent="0.5">
      <c r="A45" s="100" t="str">
        <f>_xlfn.XLOOKUP(B45,'Paso 3 Redacción RA'!I$3:I$15,'Paso 3 Redacción RA'!C$3:C$15,,0,1)</f>
        <v>Saber</v>
      </c>
      <c r="B45" s="96" t="s">
        <v>105</v>
      </c>
      <c r="C45" s="164"/>
      <c r="D45" s="164"/>
      <c r="E45" s="154"/>
      <c r="F45" s="141"/>
      <c r="G45" s="141"/>
      <c r="H45" s="141"/>
      <c r="I45" s="141"/>
      <c r="J45" s="141"/>
      <c r="K45" s="141"/>
      <c r="L45" s="141"/>
      <c r="M45" s="141"/>
      <c r="N45" s="144"/>
      <c r="O45" s="144"/>
      <c r="P45" s="144"/>
      <c r="Q45" s="144"/>
      <c r="R45" s="5"/>
      <c r="S45" s="5"/>
      <c r="T45" s="114"/>
    </row>
    <row r="46" spans="1:20" s="99" customFormat="1" ht="33" x14ac:dyDescent="0.5">
      <c r="A46" s="113" t="str">
        <f>_xlfn.XLOOKUP(B46,'Paso 3 Redacción RA'!I$3:I$15,'Paso 3 Redacción RA'!C$3:C$15,,0,1)</f>
        <v>Saber</v>
      </c>
      <c r="B46" s="101" t="s">
        <v>100</v>
      </c>
      <c r="C46" s="163">
        <v>3</v>
      </c>
      <c r="D46" s="163" t="s">
        <v>280</v>
      </c>
      <c r="E46" s="153" t="s">
        <v>281</v>
      </c>
      <c r="F46" s="163" t="s">
        <v>218</v>
      </c>
      <c r="G46" s="163"/>
      <c r="H46" s="163" t="s">
        <v>219</v>
      </c>
      <c r="I46" s="163"/>
      <c r="J46" s="163">
        <v>3</v>
      </c>
      <c r="K46" s="163">
        <f>16*J46</f>
        <v>48</v>
      </c>
      <c r="L46" s="163">
        <f>32*J46</f>
        <v>96</v>
      </c>
      <c r="M46" s="163">
        <v>192</v>
      </c>
      <c r="N46" s="182" t="s">
        <v>282</v>
      </c>
      <c r="O46" s="182" t="s">
        <v>279</v>
      </c>
      <c r="P46" s="182" t="s">
        <v>233</v>
      </c>
      <c r="Q46" s="182" t="s">
        <v>223</v>
      </c>
      <c r="R46" s="5"/>
      <c r="S46" s="5"/>
      <c r="T46" s="114"/>
    </row>
    <row r="47" spans="1:20" s="99" customFormat="1" ht="33" x14ac:dyDescent="0.5">
      <c r="A47" s="99" t="str">
        <f>_xlfn.XLOOKUP(B47,'Paso 3 Redacción RA'!I$3:I$15,'Paso 3 Redacción RA'!C$3:C$15,,0,1)</f>
        <v>SaberHacer</v>
      </c>
      <c r="B47" s="80" t="s">
        <v>103</v>
      </c>
      <c r="C47" s="141"/>
      <c r="D47" s="141"/>
      <c r="E47" s="154"/>
      <c r="F47" s="141"/>
      <c r="G47" s="141"/>
      <c r="H47" s="141"/>
      <c r="I47" s="141"/>
      <c r="J47" s="141"/>
      <c r="K47" s="141"/>
      <c r="L47" s="141"/>
      <c r="M47" s="141"/>
      <c r="N47" s="144"/>
      <c r="O47" s="144"/>
      <c r="P47" s="144"/>
      <c r="Q47" s="144"/>
      <c r="R47" s="5"/>
      <c r="S47" s="5"/>
      <c r="T47" s="114"/>
    </row>
    <row r="48" spans="1:20" s="99" customFormat="1" ht="33.5" thickBot="1" x14ac:dyDescent="0.55000000000000004">
      <c r="A48" s="100" t="str">
        <f>_xlfn.XLOOKUP(B48,'Paso 3 Redacción RA'!I$3:I$15,'Paso 3 Redacción RA'!C$3:C$15,,0,1)</f>
        <v>Saber</v>
      </c>
      <c r="B48" s="96" t="s">
        <v>105</v>
      </c>
      <c r="C48" s="164"/>
      <c r="D48" s="164"/>
      <c r="E48" s="154"/>
      <c r="F48" s="141"/>
      <c r="G48" s="141"/>
      <c r="H48" s="141"/>
      <c r="I48" s="141"/>
      <c r="J48" s="141"/>
      <c r="K48" s="141"/>
      <c r="L48" s="141"/>
      <c r="M48" s="141"/>
      <c r="N48" s="144"/>
      <c r="O48" s="144"/>
      <c r="P48" s="144"/>
      <c r="Q48" s="144"/>
      <c r="R48" s="5"/>
      <c r="S48" s="5"/>
      <c r="T48" s="114"/>
    </row>
    <row r="49" spans="1:20" s="99" customFormat="1" ht="33" x14ac:dyDescent="0.5">
      <c r="A49" s="113" t="str">
        <f>_xlfn.XLOOKUP(B49,'Paso 3 Redacción RA'!I$3:I$15,'Paso 3 Redacción RA'!C$3:C$15,,0,1)</f>
        <v>SaberHacer</v>
      </c>
      <c r="B49" s="101" t="s">
        <v>94</v>
      </c>
      <c r="C49" s="163">
        <v>3</v>
      </c>
      <c r="D49" s="163" t="s">
        <v>283</v>
      </c>
      <c r="E49" s="153" t="s">
        <v>284</v>
      </c>
      <c r="F49" s="163" t="s">
        <v>218</v>
      </c>
      <c r="G49" s="163"/>
      <c r="H49" s="163" t="s">
        <v>219</v>
      </c>
      <c r="I49" s="163"/>
      <c r="J49" s="163">
        <v>3</v>
      </c>
      <c r="K49" s="163">
        <f>16*J49</f>
        <v>48</v>
      </c>
      <c r="L49" s="163">
        <f>32*J49</f>
        <v>96</v>
      </c>
      <c r="M49" s="163">
        <f>SUM(K49:L49)</f>
        <v>144</v>
      </c>
      <c r="N49" s="182" t="s">
        <v>285</v>
      </c>
      <c r="O49" s="182" t="s">
        <v>279</v>
      </c>
      <c r="P49" s="182" t="s">
        <v>233</v>
      </c>
      <c r="Q49" s="182" t="s">
        <v>223</v>
      </c>
      <c r="R49" s="5"/>
      <c r="S49" s="5"/>
      <c r="T49" s="114"/>
    </row>
    <row r="50" spans="1:20" s="99" customFormat="1" ht="33" x14ac:dyDescent="0.5">
      <c r="A50" s="99" t="str">
        <f>_xlfn.XLOOKUP(B50,'Paso 3 Redacción RA'!I$3:I$15,'Paso 3 Redacción RA'!C$3:C$15,,0,1)</f>
        <v>Saber</v>
      </c>
      <c r="B50" s="80" t="s">
        <v>100</v>
      </c>
      <c r="C50" s="141"/>
      <c r="D50" s="141"/>
      <c r="E50" s="154"/>
      <c r="F50" s="141"/>
      <c r="G50" s="141"/>
      <c r="H50" s="141"/>
      <c r="I50" s="141"/>
      <c r="J50" s="141"/>
      <c r="K50" s="141"/>
      <c r="L50" s="141"/>
      <c r="M50" s="141"/>
      <c r="N50" s="144"/>
      <c r="O50" s="144"/>
      <c r="P50" s="144"/>
      <c r="Q50" s="144"/>
      <c r="R50" s="5"/>
      <c r="S50" s="5"/>
      <c r="T50" s="114"/>
    </row>
    <row r="51" spans="1:20" s="99" customFormat="1" ht="33" x14ac:dyDescent="0.5">
      <c r="A51" s="99" t="str">
        <f>_xlfn.XLOOKUP(B51,'Paso 3 Redacción RA'!I$3:I$15,'Paso 3 Redacción RA'!C$3:C$15,,0,1)</f>
        <v>SaberHacer</v>
      </c>
      <c r="B51" s="80" t="s">
        <v>103</v>
      </c>
      <c r="C51" s="141"/>
      <c r="D51" s="141"/>
      <c r="E51" s="154"/>
      <c r="F51" s="141"/>
      <c r="G51" s="141"/>
      <c r="H51" s="141"/>
      <c r="I51" s="141"/>
      <c r="J51" s="141"/>
      <c r="K51" s="141"/>
      <c r="L51" s="141"/>
      <c r="M51" s="141"/>
      <c r="N51" s="144"/>
      <c r="O51" s="144"/>
      <c r="P51" s="144"/>
      <c r="Q51" s="144"/>
      <c r="R51" s="5"/>
      <c r="S51" s="5"/>
      <c r="T51" s="114"/>
    </row>
    <row r="52" spans="1:20" s="99" customFormat="1" ht="33.5" thickBot="1" x14ac:dyDescent="0.55000000000000004">
      <c r="A52" s="100" t="str">
        <f>_xlfn.XLOOKUP(B52,'Paso 3 Redacción RA'!I$3:I$15,'Paso 3 Redacción RA'!C$3:C$15,,0,1)</f>
        <v>Saber</v>
      </c>
      <c r="B52" s="96" t="s">
        <v>105</v>
      </c>
      <c r="C52" s="164"/>
      <c r="D52" s="164"/>
      <c r="E52" s="155"/>
      <c r="F52" s="164"/>
      <c r="G52" s="164"/>
      <c r="H52" s="164"/>
      <c r="I52" s="164"/>
      <c r="J52" s="164"/>
      <c r="K52" s="164"/>
      <c r="L52" s="164"/>
      <c r="M52" s="164"/>
      <c r="N52" s="181"/>
      <c r="O52" s="181"/>
      <c r="P52" s="181"/>
      <c r="Q52" s="181"/>
      <c r="R52" s="5">
        <f>SUM(J37:J52)</f>
        <v>18</v>
      </c>
      <c r="S52" s="5">
        <f>COUNTA(D37:D52)</f>
        <v>6</v>
      </c>
      <c r="T52" s="114"/>
    </row>
    <row r="53" spans="1:20" s="99" customFormat="1" ht="363.5" thickBot="1" x14ac:dyDescent="0.55000000000000004">
      <c r="A53" s="107" t="str">
        <f>_xlfn.XLOOKUP(B53,'Paso 3 Redacción RA'!I$3:I$15,'Paso 3 Redacción RA'!C$3:C$15,,0,1)</f>
        <v>Saber</v>
      </c>
      <c r="B53" s="107" t="s">
        <v>108</v>
      </c>
      <c r="C53" s="106">
        <v>4</v>
      </c>
      <c r="D53" s="106" t="s">
        <v>286</v>
      </c>
      <c r="E53" s="107" t="s">
        <v>287</v>
      </c>
      <c r="F53" s="105" t="s">
        <v>218</v>
      </c>
      <c r="G53" s="106" t="s">
        <v>219</v>
      </c>
      <c r="H53" s="106" t="s">
        <v>288</v>
      </c>
      <c r="I53" s="106"/>
      <c r="J53" s="106">
        <v>3</v>
      </c>
      <c r="K53" s="105">
        <f>16*J53</f>
        <v>48</v>
      </c>
      <c r="L53" s="105">
        <f>32*J53</f>
        <v>96</v>
      </c>
      <c r="M53" s="105">
        <f>SUM(K53:L53)</f>
        <v>144</v>
      </c>
      <c r="N53" s="107" t="s">
        <v>289</v>
      </c>
      <c r="O53" s="107" t="s">
        <v>267</v>
      </c>
      <c r="P53" s="107" t="s">
        <v>246</v>
      </c>
      <c r="Q53" s="104" t="s">
        <v>223</v>
      </c>
      <c r="R53" s="5"/>
      <c r="S53" s="5"/>
      <c r="T53" s="114"/>
    </row>
    <row r="54" spans="1:20" s="99" customFormat="1" ht="33" x14ac:dyDescent="0.5">
      <c r="A54" s="113" t="str">
        <f>_xlfn.XLOOKUP(B54,'Paso 3 Redacción RA'!I$3:I$15,'Paso 3 Redacción RA'!C$3:C$15,,0,1)</f>
        <v>Saber</v>
      </c>
      <c r="B54" s="101" t="s">
        <v>100</v>
      </c>
      <c r="C54" s="163">
        <v>4</v>
      </c>
      <c r="D54" s="163" t="s">
        <v>290</v>
      </c>
      <c r="E54" s="153" t="s">
        <v>291</v>
      </c>
      <c r="F54" s="163" t="s">
        <v>218</v>
      </c>
      <c r="G54" s="163"/>
      <c r="H54" s="163" t="s">
        <v>219</v>
      </c>
      <c r="I54" s="163"/>
      <c r="J54" s="163">
        <v>3</v>
      </c>
      <c r="K54" s="163">
        <f>16*J54</f>
        <v>48</v>
      </c>
      <c r="L54" s="163">
        <f>32*J54</f>
        <v>96</v>
      </c>
      <c r="M54" s="163">
        <f>SUM(K54:L54)</f>
        <v>144</v>
      </c>
      <c r="N54" s="182" t="s">
        <v>292</v>
      </c>
      <c r="O54" s="182" t="s">
        <v>253</v>
      </c>
      <c r="P54" s="182" t="s">
        <v>254</v>
      </c>
      <c r="Q54" s="182" t="s">
        <v>223</v>
      </c>
      <c r="R54" s="5"/>
      <c r="S54" s="5"/>
      <c r="T54" s="114"/>
    </row>
    <row r="55" spans="1:20" s="99" customFormat="1" ht="33" x14ac:dyDescent="0.5">
      <c r="A55" s="99" t="str">
        <f>_xlfn.XLOOKUP(B55,'Paso 3 Redacción RA'!I$3:I$15,'Paso 3 Redacción RA'!C$3:C$15,,0,1)</f>
        <v>Saber</v>
      </c>
      <c r="B55" s="80" t="s">
        <v>105</v>
      </c>
      <c r="C55" s="141"/>
      <c r="D55" s="141"/>
      <c r="E55" s="154"/>
      <c r="F55" s="141"/>
      <c r="G55" s="141"/>
      <c r="H55" s="141"/>
      <c r="I55" s="141"/>
      <c r="J55" s="141"/>
      <c r="K55" s="141"/>
      <c r="L55" s="141"/>
      <c r="M55" s="141"/>
      <c r="N55" s="144"/>
      <c r="O55" s="144"/>
      <c r="P55" s="144"/>
      <c r="Q55" s="144"/>
      <c r="R55" s="5"/>
      <c r="S55" s="5"/>
      <c r="T55" s="114"/>
    </row>
    <row r="56" spans="1:20" s="99" customFormat="1" ht="33.5" thickBot="1" x14ac:dyDescent="0.55000000000000004">
      <c r="A56" s="100" t="str">
        <f>_xlfn.XLOOKUP(B56,'Paso 3 Redacción RA'!I$3:I$15,'Paso 3 Redacción RA'!C$3:C$15,,0,1)</f>
        <v>SaberHacer</v>
      </c>
      <c r="B56" s="96" t="s">
        <v>106</v>
      </c>
      <c r="C56" s="164"/>
      <c r="D56" s="164"/>
      <c r="E56" s="155"/>
      <c r="F56" s="164"/>
      <c r="G56" s="164"/>
      <c r="H56" s="164"/>
      <c r="I56" s="164"/>
      <c r="J56" s="164"/>
      <c r="K56" s="164"/>
      <c r="L56" s="164"/>
      <c r="M56" s="164"/>
      <c r="N56" s="181"/>
      <c r="O56" s="181"/>
      <c r="P56" s="181"/>
      <c r="Q56" s="181"/>
      <c r="R56" s="5"/>
      <c r="S56" s="5"/>
      <c r="T56" s="114"/>
    </row>
    <row r="57" spans="1:20" s="99" customFormat="1" ht="33" x14ac:dyDescent="0.5">
      <c r="A57" s="113" t="str">
        <f>_xlfn.XLOOKUP(B57,'Paso 3 Redacción RA'!I$3:I$15,'Paso 3 Redacción RA'!C$3:C$15,,0,1)</f>
        <v>Saber</v>
      </c>
      <c r="B57" s="101" t="s">
        <v>100</v>
      </c>
      <c r="C57" s="163">
        <v>4</v>
      </c>
      <c r="D57" s="163" t="s">
        <v>293</v>
      </c>
      <c r="E57" s="153" t="s">
        <v>294</v>
      </c>
      <c r="F57" s="163" t="s">
        <v>218</v>
      </c>
      <c r="G57" s="163"/>
      <c r="H57" s="163" t="s">
        <v>219</v>
      </c>
      <c r="I57" s="163"/>
      <c r="J57" s="163">
        <v>4</v>
      </c>
      <c r="K57" s="163">
        <f>16*J57</f>
        <v>64</v>
      </c>
      <c r="L57" s="163">
        <f>32*J57</f>
        <v>128</v>
      </c>
      <c r="M57" s="163">
        <f>SUM(K57:L57)</f>
        <v>192</v>
      </c>
      <c r="N57" s="182" t="s">
        <v>295</v>
      </c>
      <c r="O57" s="182" t="s">
        <v>232</v>
      </c>
      <c r="P57" s="182" t="s">
        <v>233</v>
      </c>
      <c r="Q57" s="182" t="s">
        <v>223</v>
      </c>
      <c r="R57" s="5"/>
      <c r="S57" s="5"/>
      <c r="T57" s="114"/>
    </row>
    <row r="58" spans="1:20" s="99" customFormat="1" ht="33" x14ac:dyDescent="0.5">
      <c r="A58" s="99" t="str">
        <f>_xlfn.XLOOKUP(B58,'Paso 3 Redacción RA'!I$3:I$15,'Paso 3 Redacción RA'!C$3:C$15,,0,1)</f>
        <v>Saber</v>
      </c>
      <c r="B58" s="80" t="s">
        <v>105</v>
      </c>
      <c r="C58" s="141"/>
      <c r="D58" s="141"/>
      <c r="E58" s="154"/>
      <c r="F58" s="141"/>
      <c r="G58" s="141"/>
      <c r="H58" s="141"/>
      <c r="I58" s="141"/>
      <c r="J58" s="141"/>
      <c r="K58" s="141"/>
      <c r="L58" s="141"/>
      <c r="M58" s="141"/>
      <c r="N58" s="144"/>
      <c r="O58" s="144"/>
      <c r="P58" s="144"/>
      <c r="Q58" s="144"/>
      <c r="R58" s="5"/>
      <c r="S58" s="5"/>
      <c r="T58" s="114"/>
    </row>
    <row r="59" spans="1:20" s="99" customFormat="1" ht="33.5" thickBot="1" x14ac:dyDescent="0.55000000000000004">
      <c r="A59" s="100" t="str">
        <f>_xlfn.XLOOKUP(B59,'Paso 3 Redacción RA'!I$3:I$15,'Paso 3 Redacción RA'!C$3:C$15,,0,1)</f>
        <v>SaberHacer</v>
      </c>
      <c r="B59" s="96" t="s">
        <v>106</v>
      </c>
      <c r="C59" s="164"/>
      <c r="D59" s="164"/>
      <c r="E59" s="155"/>
      <c r="F59" s="164"/>
      <c r="G59" s="164"/>
      <c r="H59" s="164"/>
      <c r="I59" s="164"/>
      <c r="J59" s="164"/>
      <c r="K59" s="164"/>
      <c r="L59" s="164"/>
      <c r="M59" s="164"/>
      <c r="N59" s="181"/>
      <c r="O59" s="181"/>
      <c r="P59" s="181"/>
      <c r="Q59" s="181"/>
      <c r="R59" s="5"/>
      <c r="S59" s="5"/>
      <c r="T59" s="114"/>
    </row>
    <row r="60" spans="1:20" s="99" customFormat="1" ht="33" x14ac:dyDescent="0.5">
      <c r="A60" s="113" t="str">
        <f>_xlfn.XLOOKUP(B60,'Paso 3 Redacción RA'!I$3:I$15,'Paso 3 Redacción RA'!C$3:C$15,,0,1)</f>
        <v>Saber</v>
      </c>
      <c r="B60" s="101" t="s">
        <v>92</v>
      </c>
      <c r="C60" s="163">
        <v>4</v>
      </c>
      <c r="D60" s="163" t="s">
        <v>296</v>
      </c>
      <c r="E60" s="153" t="s">
        <v>297</v>
      </c>
      <c r="F60" s="163" t="s">
        <v>218</v>
      </c>
      <c r="G60" s="163"/>
      <c r="H60" s="163" t="s">
        <v>219</v>
      </c>
      <c r="I60" s="163"/>
      <c r="J60" s="163">
        <v>3</v>
      </c>
      <c r="K60" s="163">
        <f>16*J60</f>
        <v>48</v>
      </c>
      <c r="L60" s="163">
        <f>32*J60</f>
        <v>96</v>
      </c>
      <c r="M60" s="163">
        <f>SUM(K60:L60)</f>
        <v>144</v>
      </c>
      <c r="N60" s="182" t="s">
        <v>298</v>
      </c>
      <c r="O60" s="182" t="s">
        <v>232</v>
      </c>
      <c r="P60" s="182" t="s">
        <v>233</v>
      </c>
      <c r="Q60" s="182" t="s">
        <v>223</v>
      </c>
      <c r="R60" s="5"/>
      <c r="S60" s="5"/>
      <c r="T60" s="114"/>
    </row>
    <row r="61" spans="1:20" s="99" customFormat="1" ht="33" x14ac:dyDescent="0.5">
      <c r="A61" s="99" t="str">
        <f>_xlfn.XLOOKUP(B61,'Paso 3 Redacción RA'!I$3:I$15,'Paso 3 Redacción RA'!C$3:C$15,,0,1)</f>
        <v>SaberHacer</v>
      </c>
      <c r="B61" s="80" t="s">
        <v>94</v>
      </c>
      <c r="C61" s="141"/>
      <c r="D61" s="141"/>
      <c r="E61" s="154"/>
      <c r="F61" s="141"/>
      <c r="G61" s="141"/>
      <c r="H61" s="141"/>
      <c r="I61" s="141"/>
      <c r="J61" s="141"/>
      <c r="K61" s="141"/>
      <c r="L61" s="141"/>
      <c r="M61" s="141"/>
      <c r="N61" s="144"/>
      <c r="O61" s="144"/>
      <c r="P61" s="144"/>
      <c r="Q61" s="144"/>
      <c r="R61" s="5"/>
      <c r="S61" s="5"/>
      <c r="T61" s="114"/>
    </row>
    <row r="62" spans="1:20" s="99" customFormat="1" ht="33" x14ac:dyDescent="0.5">
      <c r="A62" s="99" t="str">
        <f>_xlfn.XLOOKUP(B62,'Paso 3 Redacción RA'!I$3:I$15,'Paso 3 Redacción RA'!C$3:C$15,,0,1)</f>
        <v>SaberSer</v>
      </c>
      <c r="B62" s="80" t="s">
        <v>97</v>
      </c>
      <c r="C62" s="141"/>
      <c r="D62" s="141"/>
      <c r="E62" s="154"/>
      <c r="F62" s="141"/>
      <c r="G62" s="141"/>
      <c r="H62" s="141"/>
      <c r="I62" s="141"/>
      <c r="J62" s="141"/>
      <c r="K62" s="141"/>
      <c r="L62" s="141"/>
      <c r="M62" s="141"/>
      <c r="N62" s="144"/>
      <c r="O62" s="144"/>
      <c r="P62" s="144"/>
      <c r="Q62" s="144"/>
      <c r="R62" s="5"/>
      <c r="S62" s="5"/>
      <c r="T62" s="114"/>
    </row>
    <row r="63" spans="1:20" s="99" customFormat="1" ht="33" x14ac:dyDescent="0.5">
      <c r="A63" s="99" t="str">
        <f>_xlfn.XLOOKUP(B63,'Paso 3 Redacción RA'!I$3:I$15,'Paso 3 Redacción RA'!C$3:C$15,,0,1)</f>
        <v>SaberHacer</v>
      </c>
      <c r="B63" s="80" t="s">
        <v>103</v>
      </c>
      <c r="C63" s="141"/>
      <c r="D63" s="141"/>
      <c r="E63" s="154"/>
      <c r="F63" s="141"/>
      <c r="G63" s="141"/>
      <c r="H63" s="141"/>
      <c r="I63" s="141"/>
      <c r="J63" s="141"/>
      <c r="K63" s="141"/>
      <c r="L63" s="141"/>
      <c r="M63" s="141"/>
      <c r="N63" s="144"/>
      <c r="O63" s="144"/>
      <c r="P63" s="144"/>
      <c r="Q63" s="144"/>
      <c r="R63" s="5"/>
      <c r="S63" s="5"/>
      <c r="T63" s="114"/>
    </row>
    <row r="64" spans="1:20" s="99" customFormat="1" ht="33.5" thickBot="1" x14ac:dyDescent="0.55000000000000004">
      <c r="A64" s="100" t="str">
        <f>_xlfn.XLOOKUP(B64,'Paso 3 Redacción RA'!I$3:I$15,'Paso 3 Redacción RA'!C$3:C$15,,0,1)</f>
        <v>Saber</v>
      </c>
      <c r="B64" s="96" t="s">
        <v>105</v>
      </c>
      <c r="C64" s="164"/>
      <c r="D64" s="164"/>
      <c r="E64" s="155"/>
      <c r="F64" s="164"/>
      <c r="G64" s="164"/>
      <c r="H64" s="164"/>
      <c r="I64" s="164"/>
      <c r="J64" s="164"/>
      <c r="K64" s="164"/>
      <c r="L64" s="164"/>
      <c r="M64" s="164"/>
      <c r="N64" s="181"/>
      <c r="O64" s="181"/>
      <c r="P64" s="181"/>
      <c r="Q64" s="181"/>
      <c r="R64" s="5"/>
      <c r="S64" s="5"/>
      <c r="T64" s="114"/>
    </row>
    <row r="65" spans="1:20" s="99" customFormat="1" ht="33" x14ac:dyDescent="0.5">
      <c r="A65" s="113" t="str">
        <f>_xlfn.XLOOKUP(B65,'Paso 3 Redacción RA'!I$3:I$15,'Paso 3 Redacción RA'!C$3:C$15,,0,1)</f>
        <v>SaberSer</v>
      </c>
      <c r="B65" s="101" t="s">
        <v>97</v>
      </c>
      <c r="C65" s="163">
        <v>4</v>
      </c>
      <c r="D65" s="163" t="s">
        <v>299</v>
      </c>
      <c r="E65" s="153" t="s">
        <v>300</v>
      </c>
      <c r="F65" s="163" t="s">
        <v>218</v>
      </c>
      <c r="G65" s="163"/>
      <c r="H65" s="163" t="s">
        <v>219</v>
      </c>
      <c r="I65" s="163"/>
      <c r="J65" s="163">
        <v>4</v>
      </c>
      <c r="K65" s="163">
        <f>16*J65</f>
        <v>64</v>
      </c>
      <c r="L65" s="163">
        <f>32*J65</f>
        <v>128</v>
      </c>
      <c r="M65" s="163">
        <f>SUM(K65:L65)</f>
        <v>192</v>
      </c>
      <c r="N65" s="182" t="s">
        <v>301</v>
      </c>
      <c r="O65" s="182" t="s">
        <v>232</v>
      </c>
      <c r="P65" s="182" t="s">
        <v>233</v>
      </c>
      <c r="Q65" s="182" t="s">
        <v>223</v>
      </c>
      <c r="R65" s="5"/>
      <c r="S65" s="5"/>
      <c r="T65" s="114"/>
    </row>
    <row r="66" spans="1:20" s="99" customFormat="1" ht="33" x14ac:dyDescent="0.5">
      <c r="A66" s="99" t="str">
        <f>_xlfn.XLOOKUP(B66,'Paso 3 Redacción RA'!I$3:I$15,'Paso 3 Redacción RA'!C$3:C$15,,0,1)</f>
        <v>Saber</v>
      </c>
      <c r="B66" s="80" t="s">
        <v>100</v>
      </c>
      <c r="C66" s="141"/>
      <c r="D66" s="141"/>
      <c r="E66" s="154"/>
      <c r="F66" s="141"/>
      <c r="G66" s="141"/>
      <c r="H66" s="141"/>
      <c r="I66" s="141"/>
      <c r="J66" s="141"/>
      <c r="K66" s="141"/>
      <c r="L66" s="141"/>
      <c r="M66" s="141"/>
      <c r="N66" s="144"/>
      <c r="O66" s="144"/>
      <c r="P66" s="144"/>
      <c r="Q66" s="144"/>
      <c r="R66" s="5"/>
      <c r="S66" s="5"/>
      <c r="T66" s="114"/>
    </row>
    <row r="67" spans="1:20" s="99" customFormat="1" ht="33.5" thickBot="1" x14ac:dyDescent="0.55000000000000004">
      <c r="A67" s="100" t="str">
        <f>_xlfn.XLOOKUP(B67,'Paso 3 Redacción RA'!I$3:I$15,'Paso 3 Redacción RA'!C$3:C$15,,0,1)</f>
        <v>SaberHacer</v>
      </c>
      <c r="B67" s="96" t="s">
        <v>103</v>
      </c>
      <c r="C67" s="164"/>
      <c r="D67" s="164"/>
      <c r="E67" s="155"/>
      <c r="F67" s="164"/>
      <c r="G67" s="164"/>
      <c r="H67" s="164"/>
      <c r="I67" s="164"/>
      <c r="J67" s="164"/>
      <c r="K67" s="164"/>
      <c r="L67" s="164"/>
      <c r="M67" s="164"/>
      <c r="N67" s="181"/>
      <c r="O67" s="181"/>
      <c r="P67" s="181"/>
      <c r="Q67" s="181"/>
      <c r="R67" s="5">
        <f>SUM(J53:J67)</f>
        <v>17</v>
      </c>
      <c r="S67" s="5">
        <f>COUNTA(D53:D67)</f>
        <v>5</v>
      </c>
      <c r="T67" s="114"/>
    </row>
    <row r="68" spans="1:20" s="99" customFormat="1" ht="33" x14ac:dyDescent="0.5">
      <c r="A68" s="113" t="str">
        <f>_xlfn.XLOOKUP(B68,'Paso 3 Redacción RA'!I$3:I$15,'Paso 3 Redacción RA'!C$3:C$15,,0,1)</f>
        <v>Saber</v>
      </c>
      <c r="B68" s="101" t="s">
        <v>100</v>
      </c>
      <c r="C68" s="163">
        <v>5</v>
      </c>
      <c r="D68" s="163" t="s">
        <v>302</v>
      </c>
      <c r="E68" s="153" t="s">
        <v>303</v>
      </c>
      <c r="F68" s="163" t="s">
        <v>218</v>
      </c>
      <c r="G68" s="163"/>
      <c r="H68" s="163" t="s">
        <v>219</v>
      </c>
      <c r="I68" s="163"/>
      <c r="J68" s="163">
        <v>3</v>
      </c>
      <c r="K68" s="163">
        <f>16*J68</f>
        <v>48</v>
      </c>
      <c r="L68" s="163">
        <f>32*J68</f>
        <v>96</v>
      </c>
      <c r="M68" s="163">
        <f>SUM(K68:L70)</f>
        <v>144</v>
      </c>
      <c r="N68" s="182" t="s">
        <v>304</v>
      </c>
      <c r="O68" s="182" t="s">
        <v>232</v>
      </c>
      <c r="P68" s="182" t="s">
        <v>233</v>
      </c>
      <c r="Q68" s="182" t="s">
        <v>223</v>
      </c>
      <c r="R68" s="5"/>
      <c r="S68" s="5"/>
      <c r="T68" s="114"/>
    </row>
    <row r="69" spans="1:20" s="99" customFormat="1" ht="33" x14ac:dyDescent="0.5">
      <c r="A69" s="99" t="str">
        <f>_xlfn.XLOOKUP(B69,'Paso 3 Redacción RA'!I$3:I$15,'Paso 3 Redacción RA'!C$3:C$15,,0,1)</f>
        <v>SaberHacer</v>
      </c>
      <c r="B69" s="80" t="s">
        <v>103</v>
      </c>
      <c r="C69" s="141"/>
      <c r="D69" s="141"/>
      <c r="E69" s="154"/>
      <c r="F69" s="141"/>
      <c r="G69" s="141"/>
      <c r="H69" s="141"/>
      <c r="I69" s="141"/>
      <c r="J69" s="141"/>
      <c r="K69" s="141"/>
      <c r="L69" s="141"/>
      <c r="M69" s="141"/>
      <c r="N69" s="144"/>
      <c r="O69" s="144"/>
      <c r="P69" s="144"/>
      <c r="Q69" s="144"/>
      <c r="R69" s="5"/>
      <c r="S69" s="5"/>
      <c r="T69" s="114"/>
    </row>
    <row r="70" spans="1:20" s="99" customFormat="1" ht="33.5" thickBot="1" x14ac:dyDescent="0.55000000000000004">
      <c r="A70" s="100" t="str">
        <f>_xlfn.XLOOKUP(B70,'Paso 3 Redacción RA'!I$3:I$15,'Paso 3 Redacción RA'!C$3:C$15,,0,1)</f>
        <v>Saber</v>
      </c>
      <c r="B70" s="96" t="s">
        <v>105</v>
      </c>
      <c r="C70" s="164"/>
      <c r="D70" s="164"/>
      <c r="E70" s="155"/>
      <c r="F70" s="141"/>
      <c r="G70" s="141"/>
      <c r="H70" s="141"/>
      <c r="I70" s="141"/>
      <c r="J70" s="141"/>
      <c r="K70" s="141"/>
      <c r="L70" s="141"/>
      <c r="M70" s="141"/>
      <c r="N70" s="144"/>
      <c r="O70" s="144"/>
      <c r="P70" s="144"/>
      <c r="Q70" s="144"/>
      <c r="R70" s="5"/>
      <c r="S70" s="5"/>
      <c r="T70" s="114"/>
    </row>
    <row r="71" spans="1:20" s="99" customFormat="1" ht="33" x14ac:dyDescent="0.5">
      <c r="A71" s="113" t="str">
        <f>_xlfn.XLOOKUP(B71,'Paso 3 Redacción RA'!I$3:I$15,'Paso 3 Redacción RA'!C$3:C$15,,0,1)</f>
        <v>Saber</v>
      </c>
      <c r="B71" s="101" t="s">
        <v>92</v>
      </c>
      <c r="C71" s="163">
        <v>5</v>
      </c>
      <c r="D71" s="163" t="s">
        <v>305</v>
      </c>
      <c r="E71" s="153" t="s">
        <v>306</v>
      </c>
      <c r="F71" s="163" t="s">
        <v>236</v>
      </c>
      <c r="G71" s="163"/>
      <c r="H71" s="163" t="s">
        <v>219</v>
      </c>
      <c r="I71" s="163"/>
      <c r="J71" s="163">
        <v>3</v>
      </c>
      <c r="K71" s="163">
        <f>16*J71</f>
        <v>48</v>
      </c>
      <c r="L71" s="163">
        <f>32*J71</f>
        <v>96</v>
      </c>
      <c r="M71" s="163">
        <f>SUM(K71:L71)</f>
        <v>144</v>
      </c>
      <c r="N71" s="182" t="s">
        <v>307</v>
      </c>
      <c r="O71" s="182" t="s">
        <v>232</v>
      </c>
      <c r="P71" s="182" t="s">
        <v>233</v>
      </c>
      <c r="Q71" s="182" t="s">
        <v>223</v>
      </c>
      <c r="R71" s="5"/>
      <c r="S71" s="5"/>
      <c r="T71" s="114"/>
    </row>
    <row r="72" spans="1:20" s="99" customFormat="1" ht="33" x14ac:dyDescent="0.5">
      <c r="A72" s="99" t="str">
        <f>_xlfn.XLOOKUP(B73,'Paso 3 Redacción RA'!I$3:I$15,'Paso 3 Redacción RA'!C$3:C$15,,0,1)</f>
        <v>SaberSer</v>
      </c>
      <c r="B72" s="80" t="s">
        <v>94</v>
      </c>
      <c r="C72" s="141"/>
      <c r="D72" s="141"/>
      <c r="E72" s="154"/>
      <c r="F72" s="141"/>
      <c r="G72" s="141"/>
      <c r="H72" s="141"/>
      <c r="I72" s="141"/>
      <c r="J72" s="141"/>
      <c r="K72" s="141"/>
      <c r="L72" s="141"/>
      <c r="M72" s="141"/>
      <c r="N72" s="144"/>
      <c r="O72" s="144"/>
      <c r="P72" s="144"/>
      <c r="Q72" s="144"/>
      <c r="R72" s="5"/>
      <c r="S72" s="5"/>
      <c r="T72" s="114"/>
    </row>
    <row r="73" spans="1:20" s="99" customFormat="1" ht="33" x14ac:dyDescent="0.5">
      <c r="A73" s="99" t="str">
        <f>_xlfn.XLOOKUP(B74,'Paso 3 Redacción RA'!I$3:I$15,'Paso 3 Redacción RA'!C$3:C$15,,0,1)</f>
        <v>Saber</v>
      </c>
      <c r="B73" s="80" t="s">
        <v>97</v>
      </c>
      <c r="C73" s="141"/>
      <c r="D73" s="141"/>
      <c r="E73" s="154"/>
      <c r="F73" s="141"/>
      <c r="G73" s="141"/>
      <c r="H73" s="141"/>
      <c r="I73" s="141"/>
      <c r="J73" s="141"/>
      <c r="K73" s="141"/>
      <c r="L73" s="141"/>
      <c r="M73" s="141"/>
      <c r="N73" s="144"/>
      <c r="O73" s="144"/>
      <c r="P73" s="144"/>
      <c r="Q73" s="144"/>
      <c r="R73" s="5"/>
      <c r="S73" s="5"/>
      <c r="T73" s="114"/>
    </row>
    <row r="74" spans="1:20" s="99" customFormat="1" ht="33" x14ac:dyDescent="0.5">
      <c r="A74" s="99" t="str">
        <f>_xlfn.XLOOKUP(B75,'Paso 3 Redacción RA'!I$3:I$15,'Paso 3 Redacción RA'!C$3:C$15,,0,1)</f>
        <v>SaberHacer</v>
      </c>
      <c r="B74" s="80" t="s">
        <v>100</v>
      </c>
      <c r="C74" s="141"/>
      <c r="D74" s="141"/>
      <c r="E74" s="154"/>
      <c r="F74" s="141"/>
      <c r="G74" s="141"/>
      <c r="H74" s="141"/>
      <c r="I74" s="141"/>
      <c r="J74" s="141"/>
      <c r="K74" s="141"/>
      <c r="L74" s="141"/>
      <c r="M74" s="141"/>
      <c r="N74" s="144"/>
      <c r="O74" s="144"/>
      <c r="P74" s="144"/>
      <c r="Q74" s="144"/>
      <c r="R74" s="5"/>
      <c r="S74" s="5"/>
      <c r="T74" s="114"/>
    </row>
    <row r="75" spans="1:20" s="99" customFormat="1" ht="33.5" thickBot="1" x14ac:dyDescent="0.55000000000000004">
      <c r="A75" s="100" t="str">
        <f>_xlfn.XLOOKUP(B75,'Paso 3 Redacción RA'!I$3:I$15,'Paso 3 Redacción RA'!C$3:C$15,,0,1)</f>
        <v>SaberHacer</v>
      </c>
      <c r="B75" s="96" t="s">
        <v>103</v>
      </c>
      <c r="C75" s="164"/>
      <c r="D75" s="164"/>
      <c r="E75" s="155"/>
      <c r="F75" s="164"/>
      <c r="G75" s="164"/>
      <c r="H75" s="164"/>
      <c r="I75" s="164"/>
      <c r="J75" s="164"/>
      <c r="K75" s="164"/>
      <c r="L75" s="164"/>
      <c r="M75" s="164"/>
      <c r="N75" s="181"/>
      <c r="O75" s="181"/>
      <c r="P75" s="181"/>
      <c r="Q75" s="181"/>
      <c r="R75" s="5"/>
      <c r="S75" s="5"/>
      <c r="T75" s="114"/>
    </row>
    <row r="76" spans="1:20" s="99" customFormat="1" ht="33" x14ac:dyDescent="0.5">
      <c r="A76" s="113" t="str">
        <f>_xlfn.XLOOKUP(B76,'Paso 3 Redacción RA'!I$3:I$15,'Paso 3 Redacción RA'!C$3:C$15,,0,1)</f>
        <v>SaberSer</v>
      </c>
      <c r="B76" s="101" t="s">
        <v>97</v>
      </c>
      <c r="C76" s="163">
        <v>5</v>
      </c>
      <c r="D76" s="163" t="s">
        <v>308</v>
      </c>
      <c r="E76" s="153" t="s">
        <v>309</v>
      </c>
      <c r="F76" s="163" t="s">
        <v>236</v>
      </c>
      <c r="G76" s="163"/>
      <c r="H76" s="163" t="s">
        <v>219</v>
      </c>
      <c r="I76" s="163"/>
      <c r="J76" s="163">
        <v>3</v>
      </c>
      <c r="K76" s="163">
        <f>16*J76</f>
        <v>48</v>
      </c>
      <c r="L76" s="163">
        <f>32*J76</f>
        <v>96</v>
      </c>
      <c r="M76" s="163">
        <f>SUM(K76:L76)</f>
        <v>144</v>
      </c>
      <c r="N76" s="182" t="s">
        <v>310</v>
      </c>
      <c r="O76" s="182" t="s">
        <v>232</v>
      </c>
      <c r="P76" s="182" t="s">
        <v>233</v>
      </c>
      <c r="Q76" s="182" t="s">
        <v>223</v>
      </c>
      <c r="R76" s="5"/>
      <c r="S76" s="5"/>
      <c r="T76" s="114"/>
    </row>
    <row r="77" spans="1:20" s="99" customFormat="1" ht="33" x14ac:dyDescent="0.5">
      <c r="A77" s="99" t="str">
        <f>_xlfn.XLOOKUP(B77,'Paso 3 Redacción RA'!I$3:I$15,'Paso 3 Redacción RA'!C$3:C$15,,0,1)</f>
        <v>Saber</v>
      </c>
      <c r="B77" s="80" t="s">
        <v>100</v>
      </c>
      <c r="C77" s="141"/>
      <c r="D77" s="141"/>
      <c r="E77" s="154"/>
      <c r="F77" s="141"/>
      <c r="G77" s="141"/>
      <c r="H77" s="141"/>
      <c r="I77" s="141"/>
      <c r="J77" s="141"/>
      <c r="K77" s="141"/>
      <c r="L77" s="141"/>
      <c r="M77" s="141"/>
      <c r="N77" s="144"/>
      <c r="O77" s="144"/>
      <c r="P77" s="144"/>
      <c r="Q77" s="144"/>
      <c r="R77" s="5"/>
      <c r="S77" s="5"/>
      <c r="T77" s="114"/>
    </row>
    <row r="78" spans="1:20" s="99" customFormat="1" ht="33" x14ac:dyDescent="0.5">
      <c r="A78" s="99" t="str">
        <f>_xlfn.XLOOKUP(B78,'Paso 3 Redacción RA'!I$3:I$15,'Paso 3 Redacción RA'!C$3:C$15,,0,1)</f>
        <v>SaberHacer</v>
      </c>
      <c r="B78" s="80" t="s">
        <v>103</v>
      </c>
      <c r="C78" s="141"/>
      <c r="D78" s="141"/>
      <c r="E78" s="154"/>
      <c r="F78" s="141"/>
      <c r="G78" s="141"/>
      <c r="H78" s="141"/>
      <c r="I78" s="141"/>
      <c r="J78" s="141"/>
      <c r="K78" s="141"/>
      <c r="L78" s="141"/>
      <c r="M78" s="141"/>
      <c r="N78" s="144"/>
      <c r="O78" s="144"/>
      <c r="P78" s="144"/>
      <c r="Q78" s="144"/>
      <c r="R78" s="5"/>
      <c r="S78" s="5"/>
      <c r="T78" s="114"/>
    </row>
    <row r="79" spans="1:20" s="99" customFormat="1" ht="33.5" thickBot="1" x14ac:dyDescent="0.55000000000000004">
      <c r="A79" s="100" t="str">
        <f>_xlfn.XLOOKUP(B79,'Paso 3 Redacción RA'!I$3:I$15,'Paso 3 Redacción RA'!C$3:C$15,,0,1)</f>
        <v>Saber</v>
      </c>
      <c r="B79" s="96" t="s">
        <v>105</v>
      </c>
      <c r="C79" s="164"/>
      <c r="D79" s="164"/>
      <c r="E79" s="155"/>
      <c r="F79" s="164"/>
      <c r="G79" s="164"/>
      <c r="H79" s="164"/>
      <c r="I79" s="164"/>
      <c r="J79" s="164"/>
      <c r="K79" s="164"/>
      <c r="L79" s="164"/>
      <c r="M79" s="164"/>
      <c r="N79" s="181"/>
      <c r="O79" s="181"/>
      <c r="P79" s="181"/>
      <c r="Q79" s="181"/>
      <c r="R79" s="5"/>
      <c r="S79" s="5"/>
      <c r="T79" s="114"/>
    </row>
    <row r="80" spans="1:20" s="99" customFormat="1" ht="33" x14ac:dyDescent="0.5">
      <c r="A80" s="113" t="str">
        <f>_xlfn.XLOOKUP(B80,'Paso 3 Redacción RA'!I$3:I$15,'Paso 3 Redacción RA'!C$3:C$15,,0,1)</f>
        <v>Saber</v>
      </c>
      <c r="B80" s="101" t="s">
        <v>92</v>
      </c>
      <c r="C80" s="163">
        <v>5</v>
      </c>
      <c r="D80" s="163" t="s">
        <v>311</v>
      </c>
      <c r="E80" s="153" t="s">
        <v>312</v>
      </c>
      <c r="F80" s="163" t="s">
        <v>218</v>
      </c>
      <c r="G80" s="163"/>
      <c r="H80" s="163" t="s">
        <v>219</v>
      </c>
      <c r="I80" s="163"/>
      <c r="J80" s="163">
        <v>3</v>
      </c>
      <c r="K80" s="163">
        <f>16*J80</f>
        <v>48</v>
      </c>
      <c r="L80" s="163">
        <f>32*J80</f>
        <v>96</v>
      </c>
      <c r="M80" s="163">
        <f>SUM(K80:L80)</f>
        <v>144</v>
      </c>
      <c r="N80" s="182" t="s">
        <v>313</v>
      </c>
      <c r="O80" s="182" t="s">
        <v>232</v>
      </c>
      <c r="P80" s="182" t="s">
        <v>233</v>
      </c>
      <c r="Q80" s="182" t="s">
        <v>223</v>
      </c>
      <c r="R80" s="5"/>
      <c r="S80" s="5"/>
      <c r="T80" s="114"/>
    </row>
    <row r="81" spans="1:20" s="99" customFormat="1" ht="33" x14ac:dyDescent="0.5">
      <c r="A81" s="99" t="str">
        <f>_xlfn.XLOOKUP(B81,'Paso 3 Redacción RA'!I$3:I$15,'Paso 3 Redacción RA'!C$3:C$15,,0,1)</f>
        <v>SaberHacer</v>
      </c>
      <c r="B81" s="80" t="s">
        <v>94</v>
      </c>
      <c r="C81" s="141"/>
      <c r="D81" s="141"/>
      <c r="E81" s="154"/>
      <c r="F81" s="141"/>
      <c r="G81" s="141"/>
      <c r="H81" s="141"/>
      <c r="I81" s="141"/>
      <c r="J81" s="141"/>
      <c r="K81" s="141"/>
      <c r="L81" s="141"/>
      <c r="M81" s="141"/>
      <c r="N81" s="144"/>
      <c r="O81" s="144"/>
      <c r="P81" s="144"/>
      <c r="Q81" s="144"/>
      <c r="R81" s="5"/>
      <c r="S81" s="5"/>
      <c r="T81" s="114"/>
    </row>
    <row r="82" spans="1:20" s="99" customFormat="1" ht="33" x14ac:dyDescent="0.5">
      <c r="A82" s="99" t="str">
        <f>_xlfn.XLOOKUP(B82,'Paso 3 Redacción RA'!I$3:I$15,'Paso 3 Redacción RA'!C$3:C$15,,0,1)</f>
        <v>SaberSer</v>
      </c>
      <c r="B82" s="80" t="s">
        <v>97</v>
      </c>
      <c r="C82" s="141"/>
      <c r="D82" s="141"/>
      <c r="E82" s="154"/>
      <c r="F82" s="141"/>
      <c r="G82" s="141"/>
      <c r="H82" s="141"/>
      <c r="I82" s="141"/>
      <c r="J82" s="141"/>
      <c r="K82" s="141"/>
      <c r="L82" s="141"/>
      <c r="M82" s="141"/>
      <c r="N82" s="144"/>
      <c r="O82" s="144"/>
      <c r="P82" s="144"/>
      <c r="Q82" s="144"/>
      <c r="R82" s="5"/>
      <c r="S82" s="5"/>
      <c r="T82" s="114"/>
    </row>
    <row r="83" spans="1:20" s="99" customFormat="1" ht="33" x14ac:dyDescent="0.5">
      <c r="A83" s="99" t="str">
        <f>_xlfn.XLOOKUP(B83,'Paso 3 Redacción RA'!I$3:I$15,'Paso 3 Redacción RA'!C$3:C$15,,0,1)</f>
        <v>Saber</v>
      </c>
      <c r="B83" s="80" t="s">
        <v>100</v>
      </c>
      <c r="C83" s="141"/>
      <c r="D83" s="141"/>
      <c r="E83" s="154"/>
      <c r="F83" s="141"/>
      <c r="G83" s="141"/>
      <c r="H83" s="141"/>
      <c r="I83" s="141"/>
      <c r="J83" s="141"/>
      <c r="K83" s="141"/>
      <c r="L83" s="141"/>
      <c r="M83" s="141"/>
      <c r="N83" s="144"/>
      <c r="O83" s="144"/>
      <c r="P83" s="144"/>
      <c r="Q83" s="144"/>
      <c r="R83" s="5"/>
      <c r="S83" s="5"/>
      <c r="T83" s="114"/>
    </row>
    <row r="84" spans="1:20" s="99" customFormat="1" ht="33.5" thickBot="1" x14ac:dyDescent="0.55000000000000004">
      <c r="A84" s="100" t="str">
        <f>_xlfn.XLOOKUP(B84,'Paso 3 Redacción RA'!I$3:I$15,'Paso 3 Redacción RA'!C$3:C$15,,0,1)</f>
        <v>Saber</v>
      </c>
      <c r="B84" s="96" t="s">
        <v>105</v>
      </c>
      <c r="C84" s="164"/>
      <c r="D84" s="164"/>
      <c r="E84" s="155"/>
      <c r="F84" s="164"/>
      <c r="G84" s="164"/>
      <c r="H84" s="164"/>
      <c r="I84" s="164"/>
      <c r="J84" s="164"/>
      <c r="K84" s="164"/>
      <c r="L84" s="164"/>
      <c r="M84" s="164"/>
      <c r="N84" s="181"/>
      <c r="O84" s="181"/>
      <c r="P84" s="181"/>
      <c r="Q84" s="181"/>
      <c r="S84" s="5"/>
      <c r="T84" s="114"/>
    </row>
    <row r="85" spans="1:20" s="99" customFormat="1" ht="33" x14ac:dyDescent="0.5">
      <c r="A85" s="113" t="str">
        <f>_xlfn.XLOOKUP(B85,'Paso 3 Redacción RA'!I$3:I$15,'Paso 3 Redacción RA'!C$3:C$15,,0,1)</f>
        <v>SaberSer</v>
      </c>
      <c r="B85" s="101" t="s">
        <v>97</v>
      </c>
      <c r="C85" s="163">
        <v>5</v>
      </c>
      <c r="D85" s="163" t="s">
        <v>314</v>
      </c>
      <c r="E85" s="153" t="s">
        <v>315</v>
      </c>
      <c r="F85" s="163" t="s">
        <v>218</v>
      </c>
      <c r="G85" s="163"/>
      <c r="H85" s="163" t="s">
        <v>219</v>
      </c>
      <c r="I85" s="163"/>
      <c r="J85" s="163">
        <v>3</v>
      </c>
      <c r="K85" s="163">
        <f>16*J85</f>
        <v>48</v>
      </c>
      <c r="L85" s="163">
        <f>32*J85</f>
        <v>96</v>
      </c>
      <c r="M85" s="163">
        <f>SUM(K85:L85)</f>
        <v>144</v>
      </c>
      <c r="N85" s="182" t="s">
        <v>316</v>
      </c>
      <c r="O85" s="182" t="s">
        <v>232</v>
      </c>
      <c r="P85" s="182" t="s">
        <v>233</v>
      </c>
      <c r="Q85" s="182" t="s">
        <v>223</v>
      </c>
      <c r="R85" s="5"/>
      <c r="S85" s="5"/>
      <c r="T85" s="114"/>
    </row>
    <row r="86" spans="1:20" s="99" customFormat="1" ht="33" x14ac:dyDescent="0.5">
      <c r="A86" s="99" t="str">
        <f>_xlfn.XLOOKUP(B86,'Paso 3 Redacción RA'!I$3:I$15,'Paso 3 Redacción RA'!C$3:C$15,,0,1)</f>
        <v>Saber</v>
      </c>
      <c r="B86" s="80" t="s">
        <v>100</v>
      </c>
      <c r="C86" s="141"/>
      <c r="D86" s="141"/>
      <c r="E86" s="154"/>
      <c r="F86" s="141"/>
      <c r="G86" s="141"/>
      <c r="H86" s="141"/>
      <c r="I86" s="141"/>
      <c r="J86" s="141"/>
      <c r="K86" s="141"/>
      <c r="L86" s="141"/>
      <c r="M86" s="141"/>
      <c r="N86" s="144"/>
      <c r="O86" s="144"/>
      <c r="P86" s="144"/>
      <c r="Q86" s="144"/>
      <c r="R86" s="5"/>
      <c r="S86" s="5"/>
      <c r="T86" s="114"/>
    </row>
    <row r="87" spans="1:20" s="99" customFormat="1" ht="33.5" thickBot="1" x14ac:dyDescent="0.55000000000000004">
      <c r="A87" s="100" t="str">
        <f>_xlfn.XLOOKUP(B87,'Paso 3 Redacción RA'!I$3:I$15,'Paso 3 Redacción RA'!C$3:C$15,,0,1)</f>
        <v>SaberHacer</v>
      </c>
      <c r="B87" s="96" t="s">
        <v>103</v>
      </c>
      <c r="C87" s="164"/>
      <c r="D87" s="164"/>
      <c r="E87" s="155"/>
      <c r="F87" s="164"/>
      <c r="G87" s="164"/>
      <c r="H87" s="164"/>
      <c r="I87" s="164"/>
      <c r="J87" s="164"/>
      <c r="K87" s="164"/>
      <c r="L87" s="164"/>
      <c r="M87" s="164"/>
      <c r="N87" s="181"/>
      <c r="O87" s="181"/>
      <c r="P87" s="181"/>
      <c r="Q87" s="181"/>
      <c r="R87" s="5"/>
      <c r="S87" s="5"/>
      <c r="T87" s="114"/>
    </row>
    <row r="88" spans="1:20" s="99" customFormat="1" ht="33" x14ac:dyDescent="0.5">
      <c r="A88" s="113" t="str">
        <f>_xlfn.XLOOKUP(B88,'Paso 3 Redacción RA'!I$3:I$15,'Paso 3 Redacción RA'!C$3:C$15,,0,1)</f>
        <v>SaberHacer</v>
      </c>
      <c r="B88" s="101" t="s">
        <v>103</v>
      </c>
      <c r="C88" s="163">
        <v>5</v>
      </c>
      <c r="D88" s="163" t="s">
        <v>317</v>
      </c>
      <c r="E88" s="153" t="s">
        <v>318</v>
      </c>
      <c r="F88" s="163" t="s">
        <v>218</v>
      </c>
      <c r="G88" s="163"/>
      <c r="H88" s="163" t="s">
        <v>219</v>
      </c>
      <c r="I88" s="163"/>
      <c r="J88" s="163">
        <v>3</v>
      </c>
      <c r="K88" s="163">
        <f>16*J88</f>
        <v>48</v>
      </c>
      <c r="L88" s="163">
        <f>32*J88</f>
        <v>96</v>
      </c>
      <c r="M88" s="163">
        <f>SUM(K88:L88)</f>
        <v>144</v>
      </c>
      <c r="N88" s="182" t="s">
        <v>319</v>
      </c>
      <c r="O88" s="182" t="s">
        <v>232</v>
      </c>
      <c r="P88" s="182" t="s">
        <v>233</v>
      </c>
      <c r="Q88" s="182" t="s">
        <v>223</v>
      </c>
      <c r="R88" s="5"/>
      <c r="S88" s="5"/>
      <c r="T88" s="114"/>
    </row>
    <row r="89" spans="1:20" s="99" customFormat="1" ht="33" x14ac:dyDescent="0.5">
      <c r="A89" s="99" t="str">
        <f>_xlfn.XLOOKUP(B89,'Paso 3 Redacción RA'!I$3:I$15,'Paso 3 Redacción RA'!C$3:C$15,,0,1)</f>
        <v>Saber</v>
      </c>
      <c r="B89" s="80" t="s">
        <v>105</v>
      </c>
      <c r="C89" s="141"/>
      <c r="D89" s="141"/>
      <c r="E89" s="154"/>
      <c r="F89" s="141"/>
      <c r="G89" s="141"/>
      <c r="H89" s="141"/>
      <c r="I89" s="141"/>
      <c r="J89" s="141"/>
      <c r="K89" s="141"/>
      <c r="L89" s="141"/>
      <c r="M89" s="141"/>
      <c r="N89" s="144"/>
      <c r="O89" s="144"/>
      <c r="P89" s="144"/>
      <c r="Q89" s="144"/>
      <c r="R89" s="5"/>
      <c r="S89" s="5"/>
      <c r="T89" s="114"/>
    </row>
    <row r="90" spans="1:20" s="99" customFormat="1" ht="33" x14ac:dyDescent="0.5">
      <c r="A90" s="100" t="str">
        <f>_xlfn.XLOOKUP(B90,'Paso 3 Redacción RA'!I$3:I$15,'Paso 3 Redacción RA'!C$3:C$15,,0,1)</f>
        <v>SaberHacer</v>
      </c>
      <c r="B90" s="96" t="s">
        <v>106</v>
      </c>
      <c r="C90" s="164"/>
      <c r="D90" s="164"/>
      <c r="E90" s="155"/>
      <c r="F90" s="141"/>
      <c r="G90" s="141"/>
      <c r="H90" s="141"/>
      <c r="I90" s="141"/>
      <c r="J90" s="141"/>
      <c r="K90" s="141"/>
      <c r="L90" s="141"/>
      <c r="M90" s="141"/>
      <c r="N90" s="144"/>
      <c r="O90" s="144"/>
      <c r="P90" s="144"/>
      <c r="Q90" s="144"/>
      <c r="R90" s="5">
        <f>SUM(J68:J90)</f>
        <v>18</v>
      </c>
      <c r="S90" s="5">
        <f>COUNTA(D68:D90)</f>
        <v>6</v>
      </c>
      <c r="T90" s="114"/>
    </row>
    <row r="91" spans="1:20" s="99" customFormat="1" ht="33" x14ac:dyDescent="0.5">
      <c r="A91" s="113" t="str">
        <f>_xlfn.XLOOKUP(B91,'Paso 3 Redacción RA'!I$3:I$15,'Paso 3 Redacción RA'!C$3:C$15,,0,1)</f>
        <v>Saber</v>
      </c>
      <c r="B91" s="101" t="s">
        <v>92</v>
      </c>
      <c r="C91" s="163">
        <v>6</v>
      </c>
      <c r="D91" s="163" t="s">
        <v>320</v>
      </c>
      <c r="E91" s="153" t="s">
        <v>321</v>
      </c>
      <c r="F91" s="163" t="s">
        <v>218</v>
      </c>
      <c r="G91" s="163"/>
      <c r="H91" s="163" t="s">
        <v>219</v>
      </c>
      <c r="I91" s="163"/>
      <c r="J91" s="163">
        <v>4</v>
      </c>
      <c r="K91" s="163">
        <f>16*J91</f>
        <v>64</v>
      </c>
      <c r="L91" s="163">
        <f>32*J91</f>
        <v>128</v>
      </c>
      <c r="M91" s="163">
        <f>SUM(K91:L91)</f>
        <v>192</v>
      </c>
      <c r="N91" s="182" t="s">
        <v>322</v>
      </c>
      <c r="O91" s="182" t="s">
        <v>232</v>
      </c>
      <c r="P91" s="182" t="s">
        <v>233</v>
      </c>
      <c r="Q91" s="182" t="s">
        <v>223</v>
      </c>
      <c r="R91" s="5"/>
      <c r="S91" s="5"/>
      <c r="T91" s="114"/>
    </row>
    <row r="92" spans="1:20" s="99" customFormat="1" ht="33" x14ac:dyDescent="0.5">
      <c r="A92" s="99" t="str">
        <f>_xlfn.XLOOKUP(B92,'Paso 3 Redacción RA'!I$3:I$15,'Paso 3 Redacción RA'!C$3:C$15,,0,1)</f>
        <v>SaberSer</v>
      </c>
      <c r="B92" s="80" t="s">
        <v>97</v>
      </c>
      <c r="C92" s="141"/>
      <c r="D92" s="141"/>
      <c r="E92" s="154"/>
      <c r="F92" s="141"/>
      <c r="G92" s="141"/>
      <c r="H92" s="141"/>
      <c r="I92" s="141"/>
      <c r="J92" s="141"/>
      <c r="K92" s="141"/>
      <c r="L92" s="141"/>
      <c r="M92" s="141"/>
      <c r="N92" s="144"/>
      <c r="O92" s="144"/>
      <c r="P92" s="144"/>
      <c r="Q92" s="144"/>
      <c r="R92" s="5"/>
      <c r="S92" s="5"/>
      <c r="T92" s="114"/>
    </row>
    <row r="93" spans="1:20" s="99" customFormat="1" ht="33" x14ac:dyDescent="0.5">
      <c r="A93" s="99" t="str">
        <f>_xlfn.XLOOKUP(B93,'Paso 3 Redacción RA'!I$3:I$15,'Paso 3 Redacción RA'!C$3:C$15,,0,1)</f>
        <v>Saber</v>
      </c>
      <c r="B93" s="80" t="s">
        <v>100</v>
      </c>
      <c r="C93" s="141"/>
      <c r="D93" s="141"/>
      <c r="E93" s="154"/>
      <c r="F93" s="141"/>
      <c r="G93" s="141"/>
      <c r="H93" s="141"/>
      <c r="I93" s="141"/>
      <c r="J93" s="141"/>
      <c r="K93" s="141"/>
      <c r="L93" s="141"/>
      <c r="M93" s="141"/>
      <c r="N93" s="144"/>
      <c r="O93" s="144"/>
      <c r="P93" s="144"/>
      <c r="Q93" s="144"/>
      <c r="R93" s="5"/>
      <c r="S93" s="5"/>
      <c r="T93" s="114"/>
    </row>
    <row r="94" spans="1:20" s="99" customFormat="1" ht="33" x14ac:dyDescent="0.5">
      <c r="A94" s="100" t="str">
        <f>_xlfn.XLOOKUP(B94,'Paso 3 Redacción RA'!I$3:I$15,'Paso 3 Redacción RA'!C$3:C$15,,0,1)</f>
        <v>SaberHacer</v>
      </c>
      <c r="B94" s="96" t="s">
        <v>103</v>
      </c>
      <c r="C94" s="164"/>
      <c r="D94" s="164"/>
      <c r="E94" s="155"/>
      <c r="F94" s="164"/>
      <c r="G94" s="164"/>
      <c r="H94" s="164"/>
      <c r="I94" s="164"/>
      <c r="J94" s="164"/>
      <c r="K94" s="164"/>
      <c r="L94" s="164"/>
      <c r="M94" s="164"/>
      <c r="N94" s="181"/>
      <c r="O94" s="181"/>
      <c r="P94" s="181"/>
      <c r="Q94" s="181"/>
      <c r="R94" s="5"/>
      <c r="S94" s="5"/>
      <c r="T94" s="114"/>
    </row>
    <row r="95" spans="1:20" s="99" customFormat="1" ht="33" x14ac:dyDescent="0.5">
      <c r="A95" s="113" t="str">
        <f>_xlfn.XLOOKUP(B95,'Paso 3 Redacción RA'!I$3:I$15,'Paso 3 Redacción RA'!C$3:C$15,,0,1)</f>
        <v>Saber</v>
      </c>
      <c r="B95" s="101" t="s">
        <v>92</v>
      </c>
      <c r="C95" s="163">
        <v>6</v>
      </c>
      <c r="D95" s="163" t="s">
        <v>323</v>
      </c>
      <c r="E95" s="153" t="s">
        <v>324</v>
      </c>
      <c r="F95" s="163" t="s">
        <v>218</v>
      </c>
      <c r="G95" s="163"/>
      <c r="H95" s="163" t="s">
        <v>219</v>
      </c>
      <c r="I95" s="163"/>
      <c r="J95" s="163">
        <v>3</v>
      </c>
      <c r="K95" s="163">
        <f>16*J95</f>
        <v>48</v>
      </c>
      <c r="L95" s="163">
        <f>32*J95</f>
        <v>96</v>
      </c>
      <c r="M95" s="163">
        <f>SUM(K95:L95)</f>
        <v>144</v>
      </c>
      <c r="N95" s="182" t="s">
        <v>325</v>
      </c>
      <c r="O95" s="182" t="s">
        <v>232</v>
      </c>
      <c r="P95" s="182" t="s">
        <v>233</v>
      </c>
      <c r="Q95" s="182" t="s">
        <v>223</v>
      </c>
      <c r="R95" s="5"/>
      <c r="S95" s="5"/>
      <c r="T95" s="114"/>
    </row>
    <row r="96" spans="1:20" s="99" customFormat="1" ht="33" x14ac:dyDescent="0.5">
      <c r="A96" s="99" t="str">
        <f>_xlfn.XLOOKUP(B96,'Paso 3 Redacción RA'!I$3:I$15,'Paso 3 Redacción RA'!C$3:C$15,,0,1)</f>
        <v>SaberHacer</v>
      </c>
      <c r="B96" s="80" t="s">
        <v>94</v>
      </c>
      <c r="C96" s="141"/>
      <c r="D96" s="141"/>
      <c r="E96" s="154"/>
      <c r="F96" s="141"/>
      <c r="G96" s="141"/>
      <c r="H96" s="141"/>
      <c r="I96" s="141"/>
      <c r="J96" s="141"/>
      <c r="K96" s="141"/>
      <c r="L96" s="141"/>
      <c r="M96" s="141"/>
      <c r="N96" s="144"/>
      <c r="O96" s="144"/>
      <c r="P96" s="144"/>
      <c r="Q96" s="144"/>
      <c r="R96" s="5"/>
      <c r="S96" s="5"/>
      <c r="T96" s="114"/>
    </row>
    <row r="97" spans="1:20" s="99" customFormat="1" ht="33" x14ac:dyDescent="0.5">
      <c r="A97" s="99" t="str">
        <f>_xlfn.XLOOKUP(B97,'Paso 3 Redacción RA'!I$3:I$15,'Paso 3 Redacción RA'!C$3:C$15,,0,1)</f>
        <v>SaberSer</v>
      </c>
      <c r="B97" s="80" t="s">
        <v>97</v>
      </c>
      <c r="C97" s="141"/>
      <c r="D97" s="141"/>
      <c r="E97" s="154"/>
      <c r="F97" s="141"/>
      <c r="G97" s="141"/>
      <c r="H97" s="141"/>
      <c r="I97" s="141"/>
      <c r="J97" s="141"/>
      <c r="K97" s="141"/>
      <c r="L97" s="141"/>
      <c r="M97" s="141"/>
      <c r="N97" s="144"/>
      <c r="O97" s="144"/>
      <c r="P97" s="144"/>
      <c r="Q97" s="144"/>
      <c r="R97" s="5"/>
      <c r="S97" s="5"/>
      <c r="T97" s="114"/>
    </row>
    <row r="98" spans="1:20" s="99" customFormat="1" ht="33" x14ac:dyDescent="0.5">
      <c r="A98" s="99" t="str">
        <f>_xlfn.XLOOKUP(B98,'Paso 3 Redacción RA'!I$3:I$15,'Paso 3 Redacción RA'!C$3:C$15,,0,1)</f>
        <v>Saber</v>
      </c>
      <c r="B98" s="80" t="s">
        <v>100</v>
      </c>
      <c r="C98" s="141"/>
      <c r="D98" s="141"/>
      <c r="E98" s="154"/>
      <c r="F98" s="141"/>
      <c r="G98" s="141"/>
      <c r="H98" s="141"/>
      <c r="I98" s="141"/>
      <c r="J98" s="141"/>
      <c r="K98" s="141"/>
      <c r="L98" s="141"/>
      <c r="M98" s="141"/>
      <c r="N98" s="144"/>
      <c r="O98" s="144"/>
      <c r="P98" s="144"/>
      <c r="Q98" s="144"/>
      <c r="R98" s="5"/>
      <c r="S98" s="5"/>
      <c r="T98" s="114"/>
    </row>
    <row r="99" spans="1:20" s="99" customFormat="1" ht="33" x14ac:dyDescent="0.5">
      <c r="A99" s="100" t="str">
        <f>_xlfn.XLOOKUP(B99,'Paso 3 Redacción RA'!I$3:I$15,'Paso 3 Redacción RA'!C$3:C$15,,0,1)</f>
        <v>SaberHacer</v>
      </c>
      <c r="B99" s="96" t="s">
        <v>106</v>
      </c>
      <c r="C99" s="164"/>
      <c r="D99" s="164"/>
      <c r="E99" s="155"/>
      <c r="F99" s="164"/>
      <c r="G99" s="164"/>
      <c r="H99" s="164"/>
      <c r="I99" s="164"/>
      <c r="J99" s="164"/>
      <c r="K99" s="164"/>
      <c r="L99" s="164"/>
      <c r="M99" s="164"/>
      <c r="N99" s="181"/>
      <c r="O99" s="181"/>
      <c r="P99" s="181"/>
      <c r="Q99" s="181"/>
      <c r="R99" s="5"/>
      <c r="S99" s="5"/>
      <c r="T99" s="114"/>
    </row>
    <row r="100" spans="1:20" s="99" customFormat="1" ht="33" x14ac:dyDescent="0.5">
      <c r="A100" s="113" t="str">
        <f>_xlfn.XLOOKUP(B100,'Paso 3 Redacción RA'!I$3:I$15,'Paso 3 Redacción RA'!C$3:C$15,,0,1)</f>
        <v>SaberHacer</v>
      </c>
      <c r="B100" s="101" t="s">
        <v>94</v>
      </c>
      <c r="C100" s="163">
        <v>6</v>
      </c>
      <c r="D100" s="163" t="s">
        <v>326</v>
      </c>
      <c r="E100" s="153" t="s">
        <v>327</v>
      </c>
      <c r="F100" s="163" t="s">
        <v>218</v>
      </c>
      <c r="G100" s="163"/>
      <c r="H100" s="163" t="s">
        <v>219</v>
      </c>
      <c r="I100" s="163"/>
      <c r="J100" s="163">
        <v>3</v>
      </c>
      <c r="K100" s="163">
        <f>16*J100</f>
        <v>48</v>
      </c>
      <c r="L100" s="163">
        <f>32*J100</f>
        <v>96</v>
      </c>
      <c r="M100" s="163">
        <f>SUM(K100:L100)</f>
        <v>144</v>
      </c>
      <c r="N100" s="182" t="s">
        <v>328</v>
      </c>
      <c r="O100" s="182" t="s">
        <v>232</v>
      </c>
      <c r="P100" s="182" t="s">
        <v>233</v>
      </c>
      <c r="Q100" s="182" t="s">
        <v>223</v>
      </c>
      <c r="R100" s="5"/>
      <c r="S100" s="5"/>
      <c r="T100" s="114"/>
    </row>
    <row r="101" spans="1:20" s="99" customFormat="1" ht="33" x14ac:dyDescent="0.5">
      <c r="A101" s="99" t="str">
        <f>_xlfn.XLOOKUP(B101,'Paso 3 Redacción RA'!I$3:I$15,'Paso 3 Redacción RA'!C$3:C$15,,0,1)</f>
        <v>Saber</v>
      </c>
      <c r="B101" s="80" t="s">
        <v>100</v>
      </c>
      <c r="C101" s="141"/>
      <c r="D101" s="141"/>
      <c r="E101" s="154"/>
      <c r="F101" s="141"/>
      <c r="G101" s="141"/>
      <c r="H101" s="141"/>
      <c r="I101" s="141"/>
      <c r="J101" s="141"/>
      <c r="K101" s="141"/>
      <c r="L101" s="141"/>
      <c r="M101" s="141"/>
      <c r="N101" s="144"/>
      <c r="O101" s="144"/>
      <c r="P101" s="144"/>
      <c r="Q101" s="144"/>
      <c r="R101" s="5"/>
      <c r="S101" s="5"/>
      <c r="T101" s="114"/>
    </row>
    <row r="102" spans="1:20" s="99" customFormat="1" ht="33" x14ac:dyDescent="0.5">
      <c r="A102" s="99" t="str">
        <f>_xlfn.XLOOKUP(B102,'Paso 3 Redacción RA'!I$3:I$15,'Paso 3 Redacción RA'!C$3:C$15,,0,1)</f>
        <v>SaberHacer</v>
      </c>
      <c r="B102" s="80" t="s">
        <v>103</v>
      </c>
      <c r="C102" s="141"/>
      <c r="D102" s="141"/>
      <c r="E102" s="154"/>
      <c r="F102" s="141"/>
      <c r="G102" s="141"/>
      <c r="H102" s="141"/>
      <c r="I102" s="141"/>
      <c r="J102" s="141"/>
      <c r="K102" s="141"/>
      <c r="L102" s="141"/>
      <c r="M102" s="141"/>
      <c r="N102" s="144"/>
      <c r="O102" s="144"/>
      <c r="P102" s="144"/>
      <c r="Q102" s="144"/>
      <c r="R102" s="5"/>
      <c r="S102" s="5"/>
      <c r="T102" s="114"/>
    </row>
    <row r="103" spans="1:20" s="99" customFormat="1" ht="33" x14ac:dyDescent="0.5">
      <c r="A103" s="100" t="str">
        <f>_xlfn.XLOOKUP(B103,'Paso 3 Redacción RA'!I$3:I$15,'Paso 3 Redacción RA'!C$3:C$15,,0,1)</f>
        <v>Saber</v>
      </c>
      <c r="B103" s="96" t="s">
        <v>105</v>
      </c>
      <c r="C103" s="164"/>
      <c r="D103" s="164"/>
      <c r="E103" s="155"/>
      <c r="F103" s="164"/>
      <c r="G103" s="164"/>
      <c r="H103" s="164"/>
      <c r="I103" s="164"/>
      <c r="J103" s="164"/>
      <c r="K103" s="164"/>
      <c r="L103" s="164"/>
      <c r="M103" s="164"/>
      <c r="N103" s="181"/>
      <c r="O103" s="181"/>
      <c r="P103" s="181"/>
      <c r="Q103" s="181"/>
      <c r="R103" s="5"/>
      <c r="S103" s="5"/>
      <c r="T103" s="114"/>
    </row>
    <row r="104" spans="1:20" s="99" customFormat="1" ht="33" x14ac:dyDescent="0.5">
      <c r="A104" s="113" t="str">
        <f>_xlfn.XLOOKUP(B104,'Paso 3 Redacción RA'!I$3:I$15,'Paso 3 Redacción RA'!C$3:C$15,,0,1)</f>
        <v>SaberHacer</v>
      </c>
      <c r="B104" s="101" t="s">
        <v>103</v>
      </c>
      <c r="C104" s="163">
        <v>6</v>
      </c>
      <c r="D104" s="163" t="s">
        <v>329</v>
      </c>
      <c r="E104" s="153" t="s">
        <v>330</v>
      </c>
      <c r="F104" s="163" t="s">
        <v>218</v>
      </c>
      <c r="G104" s="163"/>
      <c r="H104" s="163" t="s">
        <v>219</v>
      </c>
      <c r="I104" s="163"/>
      <c r="J104" s="163">
        <v>4</v>
      </c>
      <c r="K104" s="163">
        <f>16*J104</f>
        <v>64</v>
      </c>
      <c r="L104" s="163">
        <f>32*J104</f>
        <v>128</v>
      </c>
      <c r="M104" s="163">
        <f>SUM(K104:L104)</f>
        <v>192</v>
      </c>
      <c r="N104" s="182" t="s">
        <v>331</v>
      </c>
      <c r="O104" s="182" t="s">
        <v>232</v>
      </c>
      <c r="P104" s="182" t="s">
        <v>233</v>
      </c>
      <c r="Q104" s="182" t="s">
        <v>223</v>
      </c>
      <c r="R104" s="5"/>
      <c r="S104" s="5"/>
      <c r="T104" s="114"/>
    </row>
    <row r="105" spans="1:20" s="99" customFormat="1" ht="33" x14ac:dyDescent="0.5">
      <c r="A105" s="99" t="str">
        <f>_xlfn.XLOOKUP(B105,'Paso 3 Redacción RA'!I$3:I$15,'Paso 3 Redacción RA'!C$3:C$15,,0,1)</f>
        <v>Saber</v>
      </c>
      <c r="B105" s="80" t="s">
        <v>105</v>
      </c>
      <c r="C105" s="141"/>
      <c r="D105" s="141"/>
      <c r="E105" s="154"/>
      <c r="F105" s="141"/>
      <c r="G105" s="141"/>
      <c r="H105" s="141"/>
      <c r="I105" s="141"/>
      <c r="J105" s="141"/>
      <c r="K105" s="141"/>
      <c r="L105" s="141"/>
      <c r="M105" s="141"/>
      <c r="N105" s="144"/>
      <c r="O105" s="144"/>
      <c r="P105" s="144"/>
      <c r="Q105" s="144"/>
      <c r="R105" s="5"/>
      <c r="S105" s="5"/>
      <c r="T105" s="114"/>
    </row>
    <row r="106" spans="1:20" s="99" customFormat="1" ht="33" x14ac:dyDescent="0.5">
      <c r="A106" s="100" t="str">
        <f>_xlfn.XLOOKUP(B106,'Paso 3 Redacción RA'!I$3:I$15,'Paso 3 Redacción RA'!C$3:C$15,,0,1)</f>
        <v>SaberHacer</v>
      </c>
      <c r="B106" s="96" t="s">
        <v>106</v>
      </c>
      <c r="C106" s="164"/>
      <c r="D106" s="164"/>
      <c r="E106" s="155"/>
      <c r="F106" s="164"/>
      <c r="G106" s="164"/>
      <c r="H106" s="164"/>
      <c r="I106" s="164"/>
      <c r="J106" s="164"/>
      <c r="K106" s="164"/>
      <c r="L106" s="164"/>
      <c r="M106" s="164"/>
      <c r="N106" s="181"/>
      <c r="O106" s="181"/>
      <c r="P106" s="181"/>
      <c r="Q106" s="181"/>
      <c r="R106" s="5"/>
      <c r="S106" s="5"/>
      <c r="T106" s="114"/>
    </row>
    <row r="107" spans="1:20" s="99" customFormat="1" ht="33" x14ac:dyDescent="0.5">
      <c r="A107" s="113" t="str">
        <f>_xlfn.XLOOKUP(B107,'Paso 3 Redacción RA'!I$3:I$15,'Paso 3 Redacción RA'!C$3:C$15,,0,1)</f>
        <v>SaberHacer</v>
      </c>
      <c r="B107" s="101" t="s">
        <v>103</v>
      </c>
      <c r="C107" s="163">
        <v>6</v>
      </c>
      <c r="D107" s="163" t="s">
        <v>332</v>
      </c>
      <c r="E107" s="153" t="s">
        <v>333</v>
      </c>
      <c r="F107" s="163" t="s">
        <v>218</v>
      </c>
      <c r="G107" s="163"/>
      <c r="H107" s="163" t="s">
        <v>219</v>
      </c>
      <c r="I107" s="163"/>
      <c r="J107" s="163">
        <v>3</v>
      </c>
      <c r="K107" s="163">
        <f>16*J107</f>
        <v>48</v>
      </c>
      <c r="L107" s="163">
        <f>32*J107</f>
        <v>96</v>
      </c>
      <c r="M107" s="163">
        <f>SUM(K107:L107)</f>
        <v>144</v>
      </c>
      <c r="N107" s="182" t="s">
        <v>334</v>
      </c>
      <c r="O107" s="182" t="s">
        <v>232</v>
      </c>
      <c r="P107" s="182" t="s">
        <v>233</v>
      </c>
      <c r="Q107" s="182" t="s">
        <v>223</v>
      </c>
      <c r="R107" s="5"/>
      <c r="S107" s="5"/>
      <c r="T107" s="114"/>
    </row>
    <row r="108" spans="1:20" s="99" customFormat="1" ht="33" x14ac:dyDescent="0.5">
      <c r="A108" s="99" t="str">
        <f>_xlfn.XLOOKUP(B108,'Paso 3 Redacción RA'!I$3:I$15,'Paso 3 Redacción RA'!C$3:C$15,,0,1)</f>
        <v>Saber</v>
      </c>
      <c r="B108" s="80" t="s">
        <v>105</v>
      </c>
      <c r="C108" s="141"/>
      <c r="D108" s="141"/>
      <c r="E108" s="154"/>
      <c r="F108" s="141"/>
      <c r="G108" s="141"/>
      <c r="H108" s="141"/>
      <c r="I108" s="141"/>
      <c r="J108" s="141"/>
      <c r="K108" s="141"/>
      <c r="L108" s="141"/>
      <c r="M108" s="141"/>
      <c r="N108" s="144"/>
      <c r="O108" s="144"/>
      <c r="P108" s="144"/>
      <c r="Q108" s="144"/>
      <c r="R108" s="5"/>
      <c r="S108" s="5"/>
      <c r="T108" s="114"/>
    </row>
    <row r="109" spans="1:20" s="99" customFormat="1" ht="33" x14ac:dyDescent="0.5">
      <c r="A109" s="100" t="str">
        <f>_xlfn.XLOOKUP(B109,'Paso 3 Redacción RA'!I$3:I$15,'Paso 3 Redacción RA'!C$3:C$15,,0,1)</f>
        <v>Saber</v>
      </c>
      <c r="B109" s="96" t="s">
        <v>105</v>
      </c>
      <c r="C109" s="164"/>
      <c r="D109" s="164"/>
      <c r="E109" s="155"/>
      <c r="F109" s="164"/>
      <c r="G109" s="164"/>
      <c r="H109" s="164"/>
      <c r="I109" s="164"/>
      <c r="J109" s="164"/>
      <c r="K109" s="164"/>
      <c r="L109" s="164"/>
      <c r="M109" s="164"/>
      <c r="N109" s="181"/>
      <c r="O109" s="181"/>
      <c r="P109" s="181"/>
      <c r="Q109" s="181"/>
      <c r="R109" s="5">
        <f>SUM(J91:J109)</f>
        <v>17</v>
      </c>
      <c r="S109" s="5">
        <f>COUNTA(D91:D109)</f>
        <v>5</v>
      </c>
      <c r="T109" s="114"/>
    </row>
    <row r="110" spans="1:20" s="99" customFormat="1" ht="33" x14ac:dyDescent="0.5">
      <c r="A110" s="113" t="str">
        <f>_xlfn.XLOOKUP(B110,'Paso 3 Redacción RA'!I$3:I$15,'Paso 3 Redacción RA'!C$3:C$15,,0,1)</f>
        <v>Saber</v>
      </c>
      <c r="B110" s="101" t="s">
        <v>100</v>
      </c>
      <c r="C110" s="163">
        <v>7</v>
      </c>
      <c r="D110" s="163" t="s">
        <v>335</v>
      </c>
      <c r="E110" s="153" t="s">
        <v>336</v>
      </c>
      <c r="F110" s="163" t="s">
        <v>218</v>
      </c>
      <c r="G110" s="163"/>
      <c r="H110" s="163" t="s">
        <v>219</v>
      </c>
      <c r="I110" s="163"/>
      <c r="J110" s="163">
        <v>3</v>
      </c>
      <c r="K110" s="163">
        <f>16*J110</f>
        <v>48</v>
      </c>
      <c r="L110" s="163">
        <f>32*J110</f>
        <v>96</v>
      </c>
      <c r="M110" s="163">
        <f>SUM(K110:L110)</f>
        <v>144</v>
      </c>
      <c r="N110" s="182" t="s">
        <v>337</v>
      </c>
      <c r="O110" s="182" t="s">
        <v>232</v>
      </c>
      <c r="P110" s="182" t="s">
        <v>233</v>
      </c>
      <c r="Q110" s="182" t="s">
        <v>223</v>
      </c>
      <c r="R110" s="5"/>
      <c r="S110" s="5"/>
      <c r="T110" s="114"/>
    </row>
    <row r="111" spans="1:20" s="99" customFormat="1" ht="33" x14ac:dyDescent="0.5">
      <c r="A111" s="99" t="str">
        <f>_xlfn.XLOOKUP(B111,'Paso 3 Redacción RA'!I$3:I$15,'Paso 3 Redacción RA'!C$3:C$15,,0,1)</f>
        <v>SaberHacer</v>
      </c>
      <c r="B111" s="80" t="s">
        <v>103</v>
      </c>
      <c r="C111" s="141"/>
      <c r="D111" s="141"/>
      <c r="E111" s="154"/>
      <c r="F111" s="141"/>
      <c r="G111" s="141"/>
      <c r="H111" s="141"/>
      <c r="I111" s="141"/>
      <c r="J111" s="141"/>
      <c r="K111" s="141"/>
      <c r="L111" s="141"/>
      <c r="M111" s="141"/>
      <c r="N111" s="144"/>
      <c r="O111" s="144"/>
      <c r="P111" s="144"/>
      <c r="Q111" s="144"/>
      <c r="R111" s="5"/>
      <c r="S111" s="5"/>
      <c r="T111" s="114"/>
    </row>
    <row r="112" spans="1:20" s="99" customFormat="1" ht="33" x14ac:dyDescent="0.5">
      <c r="A112" s="99" t="str">
        <f>_xlfn.XLOOKUP(B112,'Paso 3 Redacción RA'!I$3:I$15,'Paso 3 Redacción RA'!C$3:C$15,,0,1)</f>
        <v>Saber</v>
      </c>
      <c r="B112" s="80" t="s">
        <v>105</v>
      </c>
      <c r="C112" s="141"/>
      <c r="D112" s="141"/>
      <c r="E112" s="154"/>
      <c r="F112" s="141"/>
      <c r="G112" s="141"/>
      <c r="H112" s="141"/>
      <c r="I112" s="141"/>
      <c r="J112" s="141"/>
      <c r="K112" s="141"/>
      <c r="L112" s="141"/>
      <c r="M112" s="141"/>
      <c r="N112" s="144"/>
      <c r="O112" s="144"/>
      <c r="P112" s="144"/>
      <c r="Q112" s="144"/>
      <c r="R112" s="5"/>
      <c r="S112" s="5"/>
      <c r="T112" s="114"/>
    </row>
    <row r="113" spans="1:20" s="99" customFormat="1" ht="33" x14ac:dyDescent="0.5">
      <c r="A113" s="100" t="str">
        <f>_xlfn.XLOOKUP(B113,'Paso 3 Redacción RA'!I$3:I$15,'Paso 3 Redacción RA'!C$3:C$15,,0,1)</f>
        <v>SaberHacer</v>
      </c>
      <c r="B113" s="96" t="s">
        <v>106</v>
      </c>
      <c r="C113" s="164"/>
      <c r="D113" s="164"/>
      <c r="E113" s="155"/>
      <c r="F113" s="164"/>
      <c r="G113" s="164"/>
      <c r="H113" s="164"/>
      <c r="I113" s="164"/>
      <c r="J113" s="164"/>
      <c r="K113" s="164"/>
      <c r="L113" s="164"/>
      <c r="M113" s="164"/>
      <c r="N113" s="181"/>
      <c r="O113" s="181"/>
      <c r="P113" s="181"/>
      <c r="Q113" s="181"/>
      <c r="R113" s="5"/>
      <c r="S113" s="5"/>
      <c r="T113" s="114"/>
    </row>
    <row r="114" spans="1:20" s="99" customFormat="1" ht="33" x14ac:dyDescent="0.5">
      <c r="A114" s="113" t="str">
        <f>_xlfn.XLOOKUP(B114,'Paso 3 Redacción RA'!I$3:I$15,'Paso 3 Redacción RA'!C$3:C$15,,0,1)</f>
        <v>Saber</v>
      </c>
      <c r="B114" s="101" t="s">
        <v>92</v>
      </c>
      <c r="C114" s="163">
        <v>7</v>
      </c>
      <c r="D114" s="163" t="s">
        <v>338</v>
      </c>
      <c r="E114" s="153" t="s">
        <v>339</v>
      </c>
      <c r="F114" s="163" t="s">
        <v>218</v>
      </c>
      <c r="G114" s="163"/>
      <c r="H114" s="163" t="s">
        <v>219</v>
      </c>
      <c r="I114" s="163"/>
      <c r="J114" s="163">
        <v>3</v>
      </c>
      <c r="K114" s="163">
        <f>16*J114</f>
        <v>48</v>
      </c>
      <c r="L114" s="163">
        <f>32*J114</f>
        <v>96</v>
      </c>
      <c r="M114" s="163">
        <f>SUM(K114:L114)</f>
        <v>144</v>
      </c>
      <c r="N114" s="182" t="s">
        <v>340</v>
      </c>
      <c r="O114" s="182" t="s">
        <v>232</v>
      </c>
      <c r="P114" s="182" t="s">
        <v>233</v>
      </c>
      <c r="Q114" s="182" t="s">
        <v>223</v>
      </c>
      <c r="R114" s="5"/>
      <c r="S114" s="5"/>
      <c r="T114" s="114"/>
    </row>
    <row r="115" spans="1:20" s="99" customFormat="1" ht="33" x14ac:dyDescent="0.5">
      <c r="A115" s="99" t="str">
        <f>_xlfn.XLOOKUP(B115,'Paso 3 Redacción RA'!I$3:I$15,'Paso 3 Redacción RA'!C$3:C$15,,0,1)</f>
        <v>SaberSer</v>
      </c>
      <c r="B115" s="80" t="s">
        <v>97</v>
      </c>
      <c r="C115" s="141"/>
      <c r="D115" s="141"/>
      <c r="E115" s="154"/>
      <c r="F115" s="141"/>
      <c r="G115" s="141"/>
      <c r="H115" s="141"/>
      <c r="I115" s="141"/>
      <c r="J115" s="141"/>
      <c r="K115" s="141"/>
      <c r="L115" s="141"/>
      <c r="M115" s="141"/>
      <c r="N115" s="144"/>
      <c r="O115" s="144"/>
      <c r="P115" s="144"/>
      <c r="Q115" s="144"/>
      <c r="R115" s="5"/>
      <c r="S115" s="5"/>
      <c r="T115" s="114"/>
    </row>
    <row r="116" spans="1:20" s="99" customFormat="1" ht="33" x14ac:dyDescent="0.5">
      <c r="A116" s="99" t="str">
        <f>_xlfn.XLOOKUP(B116,'Paso 3 Redacción RA'!I$3:I$15,'Paso 3 Redacción RA'!C$3:C$15,,0,1)</f>
        <v>Saber</v>
      </c>
      <c r="B116" s="80" t="s">
        <v>100</v>
      </c>
      <c r="C116" s="141"/>
      <c r="D116" s="141"/>
      <c r="E116" s="154"/>
      <c r="F116" s="141"/>
      <c r="G116" s="141"/>
      <c r="H116" s="141"/>
      <c r="I116" s="141"/>
      <c r="J116" s="141"/>
      <c r="K116" s="141"/>
      <c r="L116" s="141"/>
      <c r="M116" s="141"/>
      <c r="N116" s="144"/>
      <c r="O116" s="144"/>
      <c r="P116" s="144"/>
      <c r="Q116" s="144"/>
      <c r="R116" s="5"/>
      <c r="S116" s="5"/>
      <c r="T116" s="114"/>
    </row>
    <row r="117" spans="1:20" s="99" customFormat="1" ht="33" x14ac:dyDescent="0.5">
      <c r="A117" s="100" t="str">
        <f>_xlfn.XLOOKUP(B117,'Paso 3 Redacción RA'!I$3:I$15,'Paso 3 Redacción RA'!C$3:C$15,,0,1)</f>
        <v>SaberHacer</v>
      </c>
      <c r="B117" s="96" t="s">
        <v>103</v>
      </c>
      <c r="C117" s="164"/>
      <c r="D117" s="164"/>
      <c r="E117" s="155"/>
      <c r="F117" s="164"/>
      <c r="G117" s="164"/>
      <c r="H117" s="164"/>
      <c r="I117" s="164"/>
      <c r="J117" s="164"/>
      <c r="K117" s="164"/>
      <c r="L117" s="164"/>
      <c r="M117" s="164"/>
      <c r="N117" s="181"/>
      <c r="O117" s="181"/>
      <c r="P117" s="181"/>
      <c r="Q117" s="181"/>
      <c r="R117" s="5"/>
      <c r="S117" s="5"/>
      <c r="T117" s="114"/>
    </row>
    <row r="118" spans="1:20" s="99" customFormat="1" ht="33" x14ac:dyDescent="0.5">
      <c r="A118" s="113" t="str">
        <f>_xlfn.XLOOKUP(B118,'Paso 3 Redacción RA'!I$3:I$15,'Paso 3 Redacción RA'!C$3:C$15,,0,1)</f>
        <v>Saber</v>
      </c>
      <c r="B118" s="101" t="s">
        <v>92</v>
      </c>
      <c r="C118" s="163">
        <v>7</v>
      </c>
      <c r="D118" s="163" t="s">
        <v>341</v>
      </c>
      <c r="E118" s="153" t="s">
        <v>342</v>
      </c>
      <c r="F118" s="163" t="s">
        <v>218</v>
      </c>
      <c r="G118" s="163"/>
      <c r="H118" s="163" t="s">
        <v>219</v>
      </c>
      <c r="I118" s="163"/>
      <c r="J118" s="163">
        <v>3</v>
      </c>
      <c r="K118" s="163">
        <f>16*J118</f>
        <v>48</v>
      </c>
      <c r="L118" s="163">
        <f>32*J118</f>
        <v>96</v>
      </c>
      <c r="M118" s="163">
        <f>SUM(K118:L118)</f>
        <v>144</v>
      </c>
      <c r="N118" s="182" t="s">
        <v>343</v>
      </c>
      <c r="O118" s="182" t="s">
        <v>232</v>
      </c>
      <c r="P118" s="182" t="s">
        <v>233</v>
      </c>
      <c r="Q118" s="182" t="s">
        <v>223</v>
      </c>
      <c r="R118" s="5"/>
      <c r="S118" s="5"/>
      <c r="T118" s="114"/>
    </row>
    <row r="119" spans="1:20" s="99" customFormat="1" ht="33" x14ac:dyDescent="0.5">
      <c r="A119" s="99" t="str">
        <f>_xlfn.XLOOKUP(B119,'Paso 3 Redacción RA'!I$3:I$15,'Paso 3 Redacción RA'!C$3:C$15,,0,1)</f>
        <v>SaberHacer</v>
      </c>
      <c r="B119" s="80" t="s">
        <v>94</v>
      </c>
      <c r="C119" s="141"/>
      <c r="D119" s="141"/>
      <c r="E119" s="154"/>
      <c r="F119" s="141"/>
      <c r="G119" s="141"/>
      <c r="H119" s="141"/>
      <c r="I119" s="141"/>
      <c r="J119" s="141"/>
      <c r="K119" s="141"/>
      <c r="L119" s="141"/>
      <c r="M119" s="141"/>
      <c r="N119" s="144"/>
      <c r="O119" s="144"/>
      <c r="P119" s="144"/>
      <c r="Q119" s="144"/>
      <c r="R119" s="5"/>
      <c r="S119" s="5"/>
      <c r="T119" s="114"/>
    </row>
    <row r="120" spans="1:20" s="99" customFormat="1" ht="33" x14ac:dyDescent="0.5">
      <c r="A120" s="99" t="str">
        <f>_xlfn.XLOOKUP(B120,'Paso 3 Redacción RA'!I$3:I$15,'Paso 3 Redacción RA'!C$3:C$15,,0,1)</f>
        <v>SaberSer</v>
      </c>
      <c r="B120" s="80" t="s">
        <v>97</v>
      </c>
      <c r="C120" s="141"/>
      <c r="D120" s="141"/>
      <c r="E120" s="154"/>
      <c r="F120" s="141"/>
      <c r="G120" s="141"/>
      <c r="H120" s="141"/>
      <c r="I120" s="141"/>
      <c r="J120" s="141"/>
      <c r="K120" s="141"/>
      <c r="L120" s="141"/>
      <c r="M120" s="141"/>
      <c r="N120" s="144"/>
      <c r="O120" s="144"/>
      <c r="P120" s="144"/>
      <c r="Q120" s="144"/>
      <c r="R120" s="5"/>
      <c r="S120" s="5"/>
      <c r="T120" s="114"/>
    </row>
    <row r="121" spans="1:20" s="99" customFormat="1" ht="33" x14ac:dyDescent="0.5">
      <c r="A121" s="99" t="str">
        <f>_xlfn.XLOOKUP(B121,'Paso 3 Redacción RA'!I$3:I$15,'Paso 3 Redacción RA'!C$3:C$15,,0,1)</f>
        <v>Saber</v>
      </c>
      <c r="B121" s="80" t="s">
        <v>100</v>
      </c>
      <c r="C121" s="141"/>
      <c r="D121" s="141"/>
      <c r="E121" s="154"/>
      <c r="F121" s="141"/>
      <c r="G121" s="141"/>
      <c r="H121" s="141"/>
      <c r="I121" s="141"/>
      <c r="J121" s="141"/>
      <c r="K121" s="141"/>
      <c r="L121" s="141"/>
      <c r="M121" s="141"/>
      <c r="N121" s="144"/>
      <c r="O121" s="144"/>
      <c r="P121" s="144"/>
      <c r="Q121" s="144"/>
      <c r="R121" s="5"/>
      <c r="S121" s="5"/>
      <c r="T121" s="114"/>
    </row>
    <row r="122" spans="1:20" s="99" customFormat="1" ht="33.5" thickBot="1" x14ac:dyDescent="0.55000000000000004">
      <c r="A122" s="100" t="str">
        <f>_xlfn.XLOOKUP(B122,'Paso 3 Redacción RA'!I$3:I$15,'Paso 3 Redacción RA'!C$3:C$15,,0,1)</f>
        <v>SaberHacer</v>
      </c>
      <c r="B122" s="96" t="s">
        <v>103</v>
      </c>
      <c r="C122" s="164"/>
      <c r="D122" s="164"/>
      <c r="E122" s="155"/>
      <c r="F122" s="164"/>
      <c r="G122" s="164"/>
      <c r="H122" s="164"/>
      <c r="I122" s="164"/>
      <c r="J122" s="164"/>
      <c r="K122" s="164"/>
      <c r="L122" s="164"/>
      <c r="M122" s="164"/>
      <c r="N122" s="181"/>
      <c r="O122" s="181"/>
      <c r="P122" s="181"/>
      <c r="Q122" s="181"/>
      <c r="S122" s="5"/>
      <c r="T122" s="114"/>
    </row>
    <row r="123" spans="1:20" s="99" customFormat="1" ht="17" thickBot="1" x14ac:dyDescent="0.55000000000000004">
      <c r="A123" s="115"/>
      <c r="B123" s="110"/>
      <c r="C123" s="116">
        <v>7</v>
      </c>
      <c r="D123" s="117" t="s">
        <v>344</v>
      </c>
      <c r="E123" s="110"/>
      <c r="F123" s="115"/>
      <c r="G123" s="119"/>
      <c r="H123" s="119"/>
      <c r="I123" s="119" t="s">
        <v>219</v>
      </c>
      <c r="J123" s="116">
        <v>3</v>
      </c>
      <c r="K123" s="116">
        <f>16*J123</f>
        <v>48</v>
      </c>
      <c r="L123" s="116">
        <f>32*J123</f>
        <v>96</v>
      </c>
      <c r="M123" s="116">
        <f>SUM(K123:L123)</f>
        <v>144</v>
      </c>
      <c r="N123" s="118"/>
      <c r="O123" s="118"/>
      <c r="P123" s="118"/>
      <c r="Q123" s="118"/>
      <c r="R123" s="5"/>
      <c r="S123" s="5"/>
      <c r="T123" s="114"/>
    </row>
    <row r="124" spans="1:20" s="99" customFormat="1" x14ac:dyDescent="0.5">
      <c r="A124" s="115"/>
      <c r="B124" s="110"/>
      <c r="C124" s="116">
        <v>7</v>
      </c>
      <c r="D124" s="117" t="s">
        <v>345</v>
      </c>
      <c r="E124" s="110"/>
      <c r="F124" s="115"/>
      <c r="G124" s="119"/>
      <c r="H124" s="119"/>
      <c r="I124" s="119" t="s">
        <v>219</v>
      </c>
      <c r="J124" s="116">
        <v>3</v>
      </c>
      <c r="K124" s="116">
        <f>16*J124</f>
        <v>48</v>
      </c>
      <c r="L124" s="116">
        <f>32*J124</f>
        <v>96</v>
      </c>
      <c r="M124" s="116">
        <f>SUM(K124:L124)</f>
        <v>144</v>
      </c>
      <c r="N124" s="118"/>
      <c r="O124" s="118"/>
      <c r="P124" s="118"/>
      <c r="Q124" s="118"/>
      <c r="R124" s="5">
        <f>SUM(J110:J124)</f>
        <v>15</v>
      </c>
      <c r="S124" s="5">
        <f>COUNTA(D110:D124)</f>
        <v>5</v>
      </c>
      <c r="T124" s="114"/>
    </row>
    <row r="125" spans="1:20" s="99" customFormat="1" ht="33" x14ac:dyDescent="0.5">
      <c r="A125" s="113" t="str">
        <f>_xlfn.XLOOKUP(B125,'Paso 3 Redacción RA'!I$3:I$15,'Paso 3 Redacción RA'!C$3:C$15,,0,1)</f>
        <v>Saber</v>
      </c>
      <c r="B125" s="101" t="s">
        <v>92</v>
      </c>
      <c r="C125" s="163">
        <v>8</v>
      </c>
      <c r="D125" s="163" t="s">
        <v>346</v>
      </c>
      <c r="E125" s="153" t="s">
        <v>347</v>
      </c>
      <c r="F125" s="163" t="s">
        <v>218</v>
      </c>
      <c r="G125" s="163"/>
      <c r="H125" s="163" t="s">
        <v>219</v>
      </c>
      <c r="I125" s="163"/>
      <c r="J125" s="163">
        <v>4</v>
      </c>
      <c r="K125" s="163">
        <f>16*J125</f>
        <v>64</v>
      </c>
      <c r="L125" s="163">
        <f>32*J125</f>
        <v>128</v>
      </c>
      <c r="M125" s="163">
        <f>SUM(K125:L125)</f>
        <v>192</v>
      </c>
      <c r="N125" s="182" t="s">
        <v>348</v>
      </c>
      <c r="O125" s="182" t="s">
        <v>232</v>
      </c>
      <c r="P125" s="182" t="s">
        <v>233</v>
      </c>
      <c r="Q125" s="182" t="s">
        <v>223</v>
      </c>
      <c r="R125" s="5"/>
      <c r="S125" s="5"/>
      <c r="T125" s="114"/>
    </row>
    <row r="126" spans="1:20" s="99" customFormat="1" ht="33" x14ac:dyDescent="0.5">
      <c r="A126" s="99" t="str">
        <f>_xlfn.XLOOKUP(B126,'Paso 3 Redacción RA'!I$3:I$15,'Paso 3 Redacción RA'!C$3:C$15,,0,1)</f>
        <v>SaberHacer</v>
      </c>
      <c r="B126" s="80" t="s">
        <v>94</v>
      </c>
      <c r="C126" s="141"/>
      <c r="D126" s="141"/>
      <c r="E126" s="154"/>
      <c r="F126" s="141"/>
      <c r="G126" s="141"/>
      <c r="H126" s="141"/>
      <c r="I126" s="141"/>
      <c r="J126" s="141"/>
      <c r="K126" s="141"/>
      <c r="L126" s="141"/>
      <c r="M126" s="141"/>
      <c r="N126" s="144"/>
      <c r="O126" s="144"/>
      <c r="P126" s="144"/>
      <c r="Q126" s="144"/>
      <c r="R126" s="5"/>
      <c r="S126" s="5"/>
      <c r="T126" s="114"/>
    </row>
    <row r="127" spans="1:20" s="99" customFormat="1" ht="33" x14ac:dyDescent="0.5">
      <c r="A127" s="99" t="str">
        <f>_xlfn.XLOOKUP(B127,'Paso 3 Redacción RA'!I$3:I$15,'Paso 3 Redacción RA'!C$3:C$15,,0,1)</f>
        <v>SaberSer</v>
      </c>
      <c r="B127" s="80" t="s">
        <v>97</v>
      </c>
      <c r="C127" s="141"/>
      <c r="D127" s="141"/>
      <c r="E127" s="154"/>
      <c r="F127" s="141"/>
      <c r="G127" s="141"/>
      <c r="H127" s="141"/>
      <c r="I127" s="141"/>
      <c r="J127" s="141"/>
      <c r="K127" s="141"/>
      <c r="L127" s="141"/>
      <c r="M127" s="141"/>
      <c r="N127" s="144"/>
      <c r="O127" s="144"/>
      <c r="P127" s="144"/>
      <c r="Q127" s="144"/>
      <c r="R127" s="5"/>
      <c r="S127" s="5"/>
      <c r="T127" s="114"/>
    </row>
    <row r="128" spans="1:20" s="99" customFormat="1" ht="33" x14ac:dyDescent="0.5">
      <c r="A128" s="99" t="str">
        <f>_xlfn.XLOOKUP(B128,'Paso 3 Redacción RA'!I$3:I$15,'Paso 3 Redacción RA'!C$3:C$15,,0,1)</f>
        <v>Saber</v>
      </c>
      <c r="B128" s="80" t="s">
        <v>100</v>
      </c>
      <c r="C128" s="141"/>
      <c r="D128" s="141"/>
      <c r="E128" s="154"/>
      <c r="F128" s="141"/>
      <c r="G128" s="141"/>
      <c r="H128" s="141"/>
      <c r="I128" s="141"/>
      <c r="J128" s="141"/>
      <c r="K128" s="141"/>
      <c r="L128" s="141"/>
      <c r="M128" s="141"/>
      <c r="N128" s="144"/>
      <c r="O128" s="144"/>
      <c r="P128" s="144"/>
      <c r="Q128" s="144"/>
      <c r="R128" s="5"/>
      <c r="S128" s="5"/>
      <c r="T128" s="114"/>
    </row>
    <row r="129" spans="1:20" s="99" customFormat="1" ht="33" x14ac:dyDescent="0.5">
      <c r="A129" s="100" t="str">
        <f>_xlfn.XLOOKUP(B129,'Paso 3 Redacción RA'!I$3:I$15,'Paso 3 Redacción RA'!C$3:C$15,,0,1)</f>
        <v>SaberHacer</v>
      </c>
      <c r="B129" s="96" t="s">
        <v>103</v>
      </c>
      <c r="C129" s="164"/>
      <c r="D129" s="164"/>
      <c r="E129" s="155"/>
      <c r="F129" s="164"/>
      <c r="G129" s="164"/>
      <c r="H129" s="164"/>
      <c r="I129" s="164"/>
      <c r="J129" s="164"/>
      <c r="K129" s="164"/>
      <c r="L129" s="164"/>
      <c r="M129" s="164"/>
      <c r="N129" s="181"/>
      <c r="O129" s="181"/>
      <c r="P129" s="181"/>
      <c r="Q129" s="181"/>
      <c r="S129" s="5"/>
      <c r="T129" s="114"/>
    </row>
    <row r="130" spans="1:20" s="99" customFormat="1" ht="33" x14ac:dyDescent="0.5">
      <c r="A130" s="113" t="str">
        <f>_xlfn.XLOOKUP(B130,'Paso 3 Redacción RA'!I$3:I$15,'Paso 3 Redacción RA'!C$3:C$15,,0,1)</f>
        <v>SaberHacer</v>
      </c>
      <c r="B130" s="101" t="s">
        <v>103</v>
      </c>
      <c r="C130" s="163">
        <v>8</v>
      </c>
      <c r="D130" s="163" t="s">
        <v>349</v>
      </c>
      <c r="E130" s="153" t="s">
        <v>350</v>
      </c>
      <c r="F130" s="163" t="s">
        <v>218</v>
      </c>
      <c r="G130" s="163"/>
      <c r="H130" s="163" t="s">
        <v>219</v>
      </c>
      <c r="I130" s="163"/>
      <c r="J130" s="163">
        <v>4</v>
      </c>
      <c r="K130" s="163">
        <f>16*J130</f>
        <v>64</v>
      </c>
      <c r="L130" s="163">
        <f>32*J130</f>
        <v>128</v>
      </c>
      <c r="M130" s="163">
        <f>SUM(K130:L130)</f>
        <v>192</v>
      </c>
      <c r="N130" s="182" t="s">
        <v>351</v>
      </c>
      <c r="O130" s="182" t="s">
        <v>232</v>
      </c>
      <c r="P130" s="182" t="s">
        <v>233</v>
      </c>
      <c r="Q130" s="182" t="s">
        <v>223</v>
      </c>
      <c r="R130" s="5"/>
      <c r="S130" s="5"/>
      <c r="T130" s="114"/>
    </row>
    <row r="131" spans="1:20" s="99" customFormat="1" ht="33" x14ac:dyDescent="0.5">
      <c r="A131" s="99" t="str">
        <f>_xlfn.XLOOKUP(B131,'Paso 3 Redacción RA'!I$3:I$15,'Paso 3 Redacción RA'!C$3:C$15,,0,1)</f>
        <v>Saber</v>
      </c>
      <c r="B131" s="80" t="s">
        <v>105</v>
      </c>
      <c r="C131" s="141"/>
      <c r="D131" s="141"/>
      <c r="E131" s="154"/>
      <c r="F131" s="141"/>
      <c r="G131" s="141"/>
      <c r="H131" s="141"/>
      <c r="I131" s="141"/>
      <c r="J131" s="141"/>
      <c r="K131" s="141"/>
      <c r="L131" s="141"/>
      <c r="M131" s="141"/>
      <c r="N131" s="144"/>
      <c r="O131" s="144"/>
      <c r="P131" s="144"/>
      <c r="Q131" s="144"/>
      <c r="R131" s="5"/>
      <c r="S131" s="5"/>
      <c r="T131" s="114"/>
    </row>
    <row r="132" spans="1:20" s="99" customFormat="1" ht="33" x14ac:dyDescent="0.5">
      <c r="A132" s="100" t="str">
        <f>_xlfn.XLOOKUP(B132,'Paso 3 Redacción RA'!I$3:I$15,'Paso 3 Redacción RA'!C$3:C$15,,0,1)</f>
        <v>SaberHacer</v>
      </c>
      <c r="B132" s="96" t="s">
        <v>106</v>
      </c>
      <c r="C132" s="164"/>
      <c r="D132" s="164"/>
      <c r="E132" s="155"/>
      <c r="F132" s="164"/>
      <c r="G132" s="164"/>
      <c r="H132" s="164"/>
      <c r="I132" s="164"/>
      <c r="J132" s="164"/>
      <c r="K132" s="164"/>
      <c r="L132" s="164"/>
      <c r="M132" s="164"/>
      <c r="N132" s="181"/>
      <c r="O132" s="181"/>
      <c r="P132" s="181"/>
      <c r="Q132" s="181"/>
      <c r="R132" s="5"/>
      <c r="S132" s="5"/>
      <c r="T132" s="114"/>
    </row>
    <row r="133" spans="1:20" s="99" customFormat="1" ht="33" x14ac:dyDescent="0.5">
      <c r="A133" s="113" t="str">
        <f>_xlfn.XLOOKUP(B133,'Paso 3 Redacción RA'!I$3:I$15,'Paso 3 Redacción RA'!C$3:C$15,,0,1)</f>
        <v>Saber</v>
      </c>
      <c r="B133" s="101" t="s">
        <v>100</v>
      </c>
      <c r="C133" s="163">
        <v>8</v>
      </c>
      <c r="D133" s="163" t="s">
        <v>352</v>
      </c>
      <c r="E133" s="153" t="s">
        <v>353</v>
      </c>
      <c r="F133" s="163" t="s">
        <v>218</v>
      </c>
      <c r="G133" s="163"/>
      <c r="H133" s="163" t="s">
        <v>219</v>
      </c>
      <c r="I133" s="163"/>
      <c r="J133" s="163">
        <v>3</v>
      </c>
      <c r="K133" s="163">
        <f>16*J133</f>
        <v>48</v>
      </c>
      <c r="L133" s="163">
        <f>32*J133</f>
        <v>96</v>
      </c>
      <c r="M133" s="163">
        <f>SUM(K133:L133)</f>
        <v>144</v>
      </c>
      <c r="N133" s="182" t="s">
        <v>354</v>
      </c>
      <c r="O133" s="182" t="s">
        <v>232</v>
      </c>
      <c r="P133" s="182" t="s">
        <v>233</v>
      </c>
      <c r="Q133" s="182" t="s">
        <v>223</v>
      </c>
      <c r="R133" s="5"/>
      <c r="S133" s="5"/>
      <c r="T133" s="114"/>
    </row>
    <row r="134" spans="1:20" s="99" customFormat="1" ht="33" x14ac:dyDescent="0.5">
      <c r="A134" s="99" t="str">
        <f>_xlfn.XLOOKUP(B134,'Paso 3 Redacción RA'!I$3:I$15,'Paso 3 Redacción RA'!C$3:C$15,,0,1)</f>
        <v>SaberHacer</v>
      </c>
      <c r="B134" s="80" t="s">
        <v>103</v>
      </c>
      <c r="C134" s="141"/>
      <c r="D134" s="141"/>
      <c r="E134" s="154"/>
      <c r="F134" s="141"/>
      <c r="G134" s="141"/>
      <c r="H134" s="141"/>
      <c r="I134" s="141"/>
      <c r="J134" s="141"/>
      <c r="K134" s="141"/>
      <c r="L134" s="141"/>
      <c r="M134" s="141"/>
      <c r="N134" s="144"/>
      <c r="O134" s="144"/>
      <c r="P134" s="144"/>
      <c r="Q134" s="144"/>
      <c r="R134" s="5"/>
      <c r="S134" s="5"/>
      <c r="T134" s="114"/>
    </row>
    <row r="135" spans="1:20" s="99" customFormat="1" ht="33" x14ac:dyDescent="0.5">
      <c r="A135" s="99" t="str">
        <f>_xlfn.XLOOKUP(B135,'Paso 3 Redacción RA'!I$3:I$15,'Paso 3 Redacción RA'!C$3:C$15,,0,1)</f>
        <v>Saber</v>
      </c>
      <c r="B135" s="80" t="s">
        <v>105</v>
      </c>
      <c r="C135" s="141"/>
      <c r="D135" s="141"/>
      <c r="E135" s="154"/>
      <c r="F135" s="141"/>
      <c r="G135" s="141"/>
      <c r="H135" s="141"/>
      <c r="I135" s="141"/>
      <c r="J135" s="141"/>
      <c r="K135" s="141"/>
      <c r="L135" s="141"/>
      <c r="M135" s="141"/>
      <c r="N135" s="144"/>
      <c r="O135" s="144"/>
      <c r="P135" s="144"/>
      <c r="Q135" s="144"/>
      <c r="R135" s="5"/>
      <c r="S135" s="5"/>
      <c r="T135" s="114"/>
    </row>
    <row r="136" spans="1:20" s="99" customFormat="1" ht="33" x14ac:dyDescent="0.5">
      <c r="A136" s="100" t="str">
        <f>_xlfn.XLOOKUP(B136,'Paso 3 Redacción RA'!I$3:I$15,'Paso 3 Redacción RA'!C$3:C$15,,0,1)</f>
        <v>SaberHacer</v>
      </c>
      <c r="B136" s="96" t="s">
        <v>106</v>
      </c>
      <c r="C136" s="164"/>
      <c r="D136" s="164"/>
      <c r="E136" s="155"/>
      <c r="F136" s="164"/>
      <c r="G136" s="164"/>
      <c r="H136" s="164"/>
      <c r="I136" s="164"/>
      <c r="J136" s="164"/>
      <c r="K136" s="164"/>
      <c r="L136" s="164"/>
      <c r="M136" s="164"/>
      <c r="N136" s="181"/>
      <c r="O136" s="181"/>
      <c r="P136" s="181"/>
      <c r="Q136" s="181"/>
      <c r="R136" s="5"/>
      <c r="S136" s="5"/>
      <c r="T136" s="114"/>
    </row>
    <row r="137" spans="1:20" s="99" customFormat="1" x14ac:dyDescent="0.5">
      <c r="A137" s="115"/>
      <c r="B137" s="110"/>
      <c r="C137" s="116">
        <v>8</v>
      </c>
      <c r="D137" s="117" t="s">
        <v>355</v>
      </c>
      <c r="E137" s="110"/>
      <c r="F137" s="115"/>
      <c r="G137" s="119"/>
      <c r="H137" s="119"/>
      <c r="I137" s="119" t="s">
        <v>219</v>
      </c>
      <c r="J137" s="116">
        <v>3</v>
      </c>
      <c r="K137" s="116">
        <f>16*J137</f>
        <v>48</v>
      </c>
      <c r="L137" s="116">
        <f>32*J137</f>
        <v>96</v>
      </c>
      <c r="M137" s="116">
        <f>SUM(K137:L137)</f>
        <v>144</v>
      </c>
      <c r="N137" s="118"/>
      <c r="O137" s="118"/>
      <c r="P137" s="118"/>
      <c r="Q137" s="118"/>
      <c r="R137" s="5"/>
      <c r="S137" s="5"/>
      <c r="T137" s="114"/>
    </row>
    <row r="138" spans="1:20" s="99" customFormat="1" x14ac:dyDescent="0.5">
      <c r="A138" s="115"/>
      <c r="B138" s="110"/>
      <c r="C138" s="116">
        <v>8</v>
      </c>
      <c r="D138" s="117" t="s">
        <v>356</v>
      </c>
      <c r="E138" s="118"/>
      <c r="F138" s="115"/>
      <c r="G138" s="119"/>
      <c r="H138" s="119"/>
      <c r="I138" s="119" t="s">
        <v>219</v>
      </c>
      <c r="J138" s="116">
        <v>3</v>
      </c>
      <c r="K138" s="116">
        <f>16*J138</f>
        <v>48</v>
      </c>
      <c r="L138" s="116">
        <f>32*J138</f>
        <v>96</v>
      </c>
      <c r="M138" s="116">
        <f>SUM(K138:L138)</f>
        <v>144</v>
      </c>
      <c r="N138" s="118"/>
      <c r="O138" s="118"/>
      <c r="P138" s="118"/>
      <c r="Q138" s="118"/>
      <c r="R138" s="5">
        <f>SUM(J125:J138)</f>
        <v>17</v>
      </c>
      <c r="S138" s="5">
        <f>COUNTA(D125:D138)</f>
        <v>5</v>
      </c>
      <c r="T138" s="114"/>
    </row>
    <row r="139" spans="1:20" s="123" customFormat="1" ht="32" x14ac:dyDescent="0.5">
      <c r="A139" s="120"/>
      <c r="B139" s="121"/>
      <c r="C139" s="122" t="s">
        <v>357</v>
      </c>
      <c r="D139" s="139">
        <f>COUNTA(D3:D138)</f>
        <v>43</v>
      </c>
      <c r="E139" s="124"/>
      <c r="F139" s="125"/>
      <c r="G139" s="125"/>
      <c r="H139" s="125"/>
      <c r="I139" s="126" t="s">
        <v>358</v>
      </c>
      <c r="J139" s="138">
        <f>SUM(J3:J138)</f>
        <v>135</v>
      </c>
      <c r="K139" s="131"/>
      <c r="L139" s="39"/>
      <c r="M139" s="125"/>
      <c r="N139" s="124"/>
      <c r="O139" s="124"/>
      <c r="P139" s="124"/>
      <c r="Q139" s="124"/>
      <c r="R139" s="124">
        <f>SUM(R3:R138)</f>
        <v>135</v>
      </c>
      <c r="S139" s="124">
        <f>SUM(S3:S138)</f>
        <v>43</v>
      </c>
      <c r="T139" s="128"/>
    </row>
    <row r="140" spans="1:20" s="123" customFormat="1" ht="48" x14ac:dyDescent="0.5">
      <c r="A140" s="120"/>
      <c r="B140" s="121"/>
      <c r="C140" s="125"/>
      <c r="D140" s="125"/>
      <c r="E140" s="124"/>
      <c r="F140" s="125"/>
      <c r="G140" s="125"/>
      <c r="H140" s="125"/>
      <c r="I140" s="129" t="s">
        <v>359</v>
      </c>
      <c r="J140" s="127">
        <f>SUM(J3:J4,J17,J37:J38,J53)</f>
        <v>18</v>
      </c>
      <c r="K140" s="131"/>
      <c r="L140" s="125"/>
      <c r="M140" s="125"/>
      <c r="N140" s="124"/>
      <c r="O140" s="124"/>
      <c r="P140" s="124"/>
      <c r="Q140" s="124"/>
      <c r="R140" s="124"/>
      <c r="S140" s="124"/>
      <c r="T140" s="128"/>
    </row>
    <row r="141" spans="1:20" s="123" customFormat="1" ht="48" x14ac:dyDescent="0.5">
      <c r="A141" s="130"/>
      <c r="B141" s="121"/>
      <c r="C141" s="125"/>
      <c r="D141" s="125"/>
      <c r="E141" s="124"/>
      <c r="F141" s="125"/>
      <c r="G141" s="125"/>
      <c r="H141" s="125"/>
      <c r="I141" s="129" t="s">
        <v>360</v>
      </c>
      <c r="J141" s="127">
        <f>SUM(J5:J16,J18:J36,J39:J52,J54:J122,J125:J136)</f>
        <v>105</v>
      </c>
      <c r="K141" s="131"/>
      <c r="L141" s="125"/>
      <c r="M141" s="125"/>
      <c r="N141" s="124"/>
      <c r="O141" s="124"/>
      <c r="P141" s="124"/>
      <c r="Q141" s="124"/>
      <c r="R141" s="124"/>
      <c r="S141" s="124"/>
      <c r="T141" s="128"/>
    </row>
    <row r="142" spans="1:20" s="123" customFormat="1" ht="32" x14ac:dyDescent="0.5">
      <c r="A142" s="130"/>
      <c r="B142" s="121"/>
      <c r="C142" s="125"/>
      <c r="D142" s="125"/>
      <c r="F142" s="125"/>
      <c r="G142" s="125"/>
      <c r="H142" s="125"/>
      <c r="I142" s="129" t="s">
        <v>361</v>
      </c>
      <c r="J142" s="125">
        <f>SUM(J123:J124,J137:J138)</f>
        <v>12</v>
      </c>
      <c r="K142" s="132"/>
      <c r="L142" s="125"/>
      <c r="M142" s="125"/>
      <c r="N142" s="124"/>
      <c r="O142" s="124"/>
      <c r="P142" s="124"/>
      <c r="Q142" s="124"/>
      <c r="R142" s="124"/>
      <c r="S142" s="124"/>
      <c r="T142" s="128"/>
    </row>
    <row r="143" spans="1:20" x14ac:dyDescent="0.5">
      <c r="C143" s="6"/>
      <c r="F143" s="6"/>
      <c r="G143" s="6"/>
      <c r="H143" s="6"/>
      <c r="I143" s="6"/>
      <c r="J143" s="137">
        <f>SUM(J140:J142)</f>
        <v>135</v>
      </c>
      <c r="K143" s="6"/>
      <c r="L143" s="6"/>
      <c r="M143" s="6"/>
    </row>
    <row r="144" spans="1:20" x14ac:dyDescent="0.5">
      <c r="C144" s="6"/>
      <c r="F144" s="6"/>
      <c r="G144" s="6"/>
      <c r="H144" s="6"/>
      <c r="I144" s="6"/>
      <c r="J144" s="6"/>
      <c r="K144" s="6"/>
      <c r="L144" s="6"/>
      <c r="M144" s="6"/>
    </row>
    <row r="145" spans="3:13" x14ac:dyDescent="0.5">
      <c r="C145" s="6"/>
      <c r="F145" s="6"/>
      <c r="G145" s="6"/>
      <c r="H145" s="6"/>
      <c r="I145" s="6"/>
      <c r="J145" s="6"/>
      <c r="K145" s="6"/>
      <c r="L145" s="6"/>
      <c r="M145" s="6"/>
    </row>
    <row r="146" spans="3:13" x14ac:dyDescent="0.5">
      <c r="C146" s="6"/>
      <c r="F146" s="6"/>
      <c r="G146" s="6"/>
      <c r="H146" s="6"/>
      <c r="I146" s="6"/>
      <c r="J146" s="6"/>
      <c r="K146" s="6"/>
      <c r="L146" s="6"/>
      <c r="M146" s="6"/>
    </row>
    <row r="147" spans="3:13" x14ac:dyDescent="0.5">
      <c r="C147" s="6"/>
      <c r="F147" s="6"/>
      <c r="G147" s="6"/>
      <c r="H147" s="6"/>
      <c r="I147" s="6"/>
      <c r="J147" s="6"/>
      <c r="K147" s="6"/>
      <c r="L147" s="6"/>
      <c r="M147" s="6"/>
    </row>
    <row r="148" spans="3:13" x14ac:dyDescent="0.5">
      <c r="C148" s="6"/>
      <c r="F148" s="6"/>
      <c r="G148" s="6"/>
      <c r="H148" s="6"/>
      <c r="I148" s="6"/>
      <c r="J148" s="6"/>
      <c r="K148" s="6"/>
      <c r="L148" s="6"/>
      <c r="M148" s="6"/>
    </row>
    <row r="149" spans="3:13" x14ac:dyDescent="0.5">
      <c r="C149" s="6"/>
      <c r="F149" s="6"/>
      <c r="G149" s="6"/>
      <c r="H149" s="6"/>
      <c r="I149" s="6"/>
      <c r="J149" s="6"/>
      <c r="K149" s="6"/>
      <c r="L149" s="6"/>
      <c r="M149" s="6"/>
    </row>
    <row r="151" spans="3:13" x14ac:dyDescent="0.5">
      <c r="E151" s="124"/>
    </row>
  </sheetData>
  <mergeCells count="496">
    <mergeCell ref="P49:P52"/>
    <mergeCell ref="Q49:Q52"/>
    <mergeCell ref="E49:E52"/>
    <mergeCell ref="F49:F52"/>
    <mergeCell ref="G49:G52"/>
    <mergeCell ref="H49:H52"/>
    <mergeCell ref="I49:I52"/>
    <mergeCell ref="J49:J52"/>
    <mergeCell ref="K49:K52"/>
    <mergeCell ref="L49:L52"/>
    <mergeCell ref="M49:M52"/>
    <mergeCell ref="Q18:Q22"/>
    <mergeCell ref="P18:P22"/>
    <mergeCell ref="O18:O22"/>
    <mergeCell ref="N18:N22"/>
    <mergeCell ref="M18:M22"/>
    <mergeCell ref="L18:L22"/>
    <mergeCell ref="K18:K22"/>
    <mergeCell ref="C13:C16"/>
    <mergeCell ref="D13:D16"/>
    <mergeCell ref="C18:C22"/>
    <mergeCell ref="D18:D22"/>
    <mergeCell ref="E18:E22"/>
    <mergeCell ref="F18:F22"/>
    <mergeCell ref="G18:G22"/>
    <mergeCell ref="H125:H129"/>
    <mergeCell ref="I125:I129"/>
    <mergeCell ref="J125:J129"/>
    <mergeCell ref="K125:K129"/>
    <mergeCell ref="L125:L129"/>
    <mergeCell ref="C125:C129"/>
    <mergeCell ref="D125:D129"/>
    <mergeCell ref="E125:E129"/>
    <mergeCell ref="F125:F129"/>
    <mergeCell ref="G125:G129"/>
    <mergeCell ref="H130:H132"/>
    <mergeCell ref="I130:I132"/>
    <mergeCell ref="J130:J132"/>
    <mergeCell ref="K130:K132"/>
    <mergeCell ref="L130:L132"/>
    <mergeCell ref="C130:C132"/>
    <mergeCell ref="D130:D132"/>
    <mergeCell ref="E130:E132"/>
    <mergeCell ref="F130:F132"/>
    <mergeCell ref="G130:G132"/>
    <mergeCell ref="C133:C136"/>
    <mergeCell ref="D133:D136"/>
    <mergeCell ref="E133:E136"/>
    <mergeCell ref="F133:F136"/>
    <mergeCell ref="G133:G136"/>
    <mergeCell ref="H133:H136"/>
    <mergeCell ref="I133:I136"/>
    <mergeCell ref="J133:J136"/>
    <mergeCell ref="K133:K136"/>
    <mergeCell ref="L133:L136"/>
    <mergeCell ref="M133:M136"/>
    <mergeCell ref="N133:N136"/>
    <mergeCell ref="O133:O136"/>
    <mergeCell ref="P133:P136"/>
    <mergeCell ref="Q133:Q136"/>
    <mergeCell ref="M130:M132"/>
    <mergeCell ref="N130:N132"/>
    <mergeCell ref="O130:O132"/>
    <mergeCell ref="P130:P132"/>
    <mergeCell ref="Q130:Q132"/>
    <mergeCell ref="M125:M129"/>
    <mergeCell ref="N125:N129"/>
    <mergeCell ref="O125:O129"/>
    <mergeCell ref="P125:P129"/>
    <mergeCell ref="Q125:Q129"/>
    <mergeCell ref="M107:M109"/>
    <mergeCell ref="N107:N109"/>
    <mergeCell ref="O107:O109"/>
    <mergeCell ref="P107:P109"/>
    <mergeCell ref="Q107:Q109"/>
    <mergeCell ref="Q114:Q117"/>
    <mergeCell ref="Q118:Q122"/>
    <mergeCell ref="H107:H109"/>
    <mergeCell ref="I107:I109"/>
    <mergeCell ref="J107:J109"/>
    <mergeCell ref="K107:K109"/>
    <mergeCell ref="L107:L109"/>
    <mergeCell ref="E114:E117"/>
    <mergeCell ref="F114:F117"/>
    <mergeCell ref="G114:G117"/>
    <mergeCell ref="C107:C109"/>
    <mergeCell ref="D107:D109"/>
    <mergeCell ref="E107:E109"/>
    <mergeCell ref="F107:F109"/>
    <mergeCell ref="G107:G109"/>
    <mergeCell ref="C110:C113"/>
    <mergeCell ref="D110:D113"/>
    <mergeCell ref="E110:E113"/>
    <mergeCell ref="F110:F113"/>
    <mergeCell ref="G110:G113"/>
    <mergeCell ref="C114:C117"/>
    <mergeCell ref="D114:D117"/>
    <mergeCell ref="H114:H117"/>
    <mergeCell ref="I114:I117"/>
    <mergeCell ref="J114:J117"/>
    <mergeCell ref="K114:K117"/>
    <mergeCell ref="L114:L117"/>
    <mergeCell ref="M114:M117"/>
    <mergeCell ref="N114:N117"/>
    <mergeCell ref="O114:O117"/>
    <mergeCell ref="P114:P117"/>
    <mergeCell ref="Q91:Q94"/>
    <mergeCell ref="H91:H94"/>
    <mergeCell ref="I91:I94"/>
    <mergeCell ref="J91:J94"/>
    <mergeCell ref="K91:K94"/>
    <mergeCell ref="L91:L94"/>
    <mergeCell ref="M91:M94"/>
    <mergeCell ref="M110:M113"/>
    <mergeCell ref="N110:N113"/>
    <mergeCell ref="O110:O113"/>
    <mergeCell ref="P110:P113"/>
    <mergeCell ref="Q110:Q113"/>
    <mergeCell ref="H110:H113"/>
    <mergeCell ref="I110:I113"/>
    <mergeCell ref="J110:J113"/>
    <mergeCell ref="K110:K113"/>
    <mergeCell ref="L110:L113"/>
    <mergeCell ref="Q100:Q103"/>
    <mergeCell ref="H100:H103"/>
    <mergeCell ref="I100:I103"/>
    <mergeCell ref="J100:J103"/>
    <mergeCell ref="K100:K103"/>
    <mergeCell ref="L100:L103"/>
    <mergeCell ref="Q95:Q99"/>
    <mergeCell ref="H95:H99"/>
    <mergeCell ref="I95:I99"/>
    <mergeCell ref="J95:J99"/>
    <mergeCell ref="K95:K99"/>
    <mergeCell ref="L95:L99"/>
    <mergeCell ref="M95:M99"/>
    <mergeCell ref="N95:N99"/>
    <mergeCell ref="O95:O99"/>
    <mergeCell ref="P95:P99"/>
    <mergeCell ref="M100:M103"/>
    <mergeCell ref="N100:N103"/>
    <mergeCell ref="O100:O103"/>
    <mergeCell ref="P100:P103"/>
    <mergeCell ref="N91:N94"/>
    <mergeCell ref="O91:O94"/>
    <mergeCell ref="P91:P94"/>
    <mergeCell ref="M88:M90"/>
    <mergeCell ref="N88:N90"/>
    <mergeCell ref="O88:O90"/>
    <mergeCell ref="P88:P90"/>
    <mergeCell ref="C88:C90"/>
    <mergeCell ref="D88:D90"/>
    <mergeCell ref="M80:M84"/>
    <mergeCell ref="N80:N84"/>
    <mergeCell ref="O80:O84"/>
    <mergeCell ref="P80:P84"/>
    <mergeCell ref="C85:C87"/>
    <mergeCell ref="D85:D87"/>
    <mergeCell ref="E85:E87"/>
    <mergeCell ref="F85:F87"/>
    <mergeCell ref="G85:G87"/>
    <mergeCell ref="Q60:Q64"/>
    <mergeCell ref="H60:H64"/>
    <mergeCell ref="I60:I64"/>
    <mergeCell ref="J60:J64"/>
    <mergeCell ref="K60:K64"/>
    <mergeCell ref="L60:L64"/>
    <mergeCell ref="C60:C64"/>
    <mergeCell ref="D60:D64"/>
    <mergeCell ref="E60:E64"/>
    <mergeCell ref="F60:F64"/>
    <mergeCell ref="G60:G64"/>
    <mergeCell ref="M60:M64"/>
    <mergeCell ref="N60:N64"/>
    <mergeCell ref="O60:O64"/>
    <mergeCell ref="P60:P64"/>
    <mergeCell ref="Q80:Q84"/>
    <mergeCell ref="H80:H84"/>
    <mergeCell ref="I80:I84"/>
    <mergeCell ref="J80:J84"/>
    <mergeCell ref="K80:K84"/>
    <mergeCell ref="L80:L84"/>
    <mergeCell ref="C71:C75"/>
    <mergeCell ref="D71:D75"/>
    <mergeCell ref="E71:E75"/>
    <mergeCell ref="F71:F75"/>
    <mergeCell ref="G71:G75"/>
    <mergeCell ref="C80:C84"/>
    <mergeCell ref="D80:D84"/>
    <mergeCell ref="E80:E84"/>
    <mergeCell ref="F80:F84"/>
    <mergeCell ref="G80:G84"/>
    <mergeCell ref="Q76:Q79"/>
    <mergeCell ref="H76:H79"/>
    <mergeCell ref="I76:I79"/>
    <mergeCell ref="J76:J79"/>
    <mergeCell ref="K76:K79"/>
    <mergeCell ref="L76:L79"/>
    <mergeCell ref="C76:C79"/>
    <mergeCell ref="D76:D79"/>
    <mergeCell ref="Q85:Q87"/>
    <mergeCell ref="H85:H87"/>
    <mergeCell ref="I85:I87"/>
    <mergeCell ref="J85:J87"/>
    <mergeCell ref="K85:K87"/>
    <mergeCell ref="L85:L87"/>
    <mergeCell ref="Q71:Q75"/>
    <mergeCell ref="H71:H75"/>
    <mergeCell ref="I71:I75"/>
    <mergeCell ref="J71:J75"/>
    <mergeCell ref="K71:K75"/>
    <mergeCell ref="L71:L75"/>
    <mergeCell ref="M71:M75"/>
    <mergeCell ref="N71:N75"/>
    <mergeCell ref="O71:O75"/>
    <mergeCell ref="P71:P75"/>
    <mergeCell ref="M76:M79"/>
    <mergeCell ref="N76:N79"/>
    <mergeCell ref="O76:O79"/>
    <mergeCell ref="P76:P79"/>
    <mergeCell ref="M85:M87"/>
    <mergeCell ref="N85:N87"/>
    <mergeCell ref="O85:O87"/>
    <mergeCell ref="P85:P87"/>
    <mergeCell ref="Q88:Q90"/>
    <mergeCell ref="H88:H90"/>
    <mergeCell ref="I88:I90"/>
    <mergeCell ref="J88:J90"/>
    <mergeCell ref="K88:K90"/>
    <mergeCell ref="L88:L90"/>
    <mergeCell ref="E104:E106"/>
    <mergeCell ref="F104:F106"/>
    <mergeCell ref="G104:G106"/>
    <mergeCell ref="F88:F90"/>
    <mergeCell ref="G88:G90"/>
    <mergeCell ref="E88:E90"/>
    <mergeCell ref="Q104:Q106"/>
    <mergeCell ref="H104:H106"/>
    <mergeCell ref="I104:I106"/>
    <mergeCell ref="J104:J106"/>
    <mergeCell ref="K104:K106"/>
    <mergeCell ref="L104:L106"/>
    <mergeCell ref="M104:M106"/>
    <mergeCell ref="N104:N106"/>
    <mergeCell ref="O104:O106"/>
    <mergeCell ref="P104:P106"/>
    <mergeCell ref="F91:F94"/>
    <mergeCell ref="G91:G94"/>
    <mergeCell ref="G76:G79"/>
    <mergeCell ref="C100:C103"/>
    <mergeCell ref="D100:D103"/>
    <mergeCell ref="E100:E103"/>
    <mergeCell ref="F100:F103"/>
    <mergeCell ref="G100:G103"/>
    <mergeCell ref="E76:E79"/>
    <mergeCell ref="F76:F79"/>
    <mergeCell ref="C95:C99"/>
    <mergeCell ref="D95:D99"/>
    <mergeCell ref="E95:E99"/>
    <mergeCell ref="F95:F99"/>
    <mergeCell ref="G95:G99"/>
    <mergeCell ref="C91:C94"/>
    <mergeCell ref="D91:D94"/>
    <mergeCell ref="E91:E94"/>
    <mergeCell ref="C118:C122"/>
    <mergeCell ref="D118:D122"/>
    <mergeCell ref="E118:E122"/>
    <mergeCell ref="F118:F122"/>
    <mergeCell ref="G118:G122"/>
    <mergeCell ref="M65:M67"/>
    <mergeCell ref="N65:N67"/>
    <mergeCell ref="O65:O67"/>
    <mergeCell ref="P65:P67"/>
    <mergeCell ref="M118:M122"/>
    <mergeCell ref="N118:N122"/>
    <mergeCell ref="O118:O122"/>
    <mergeCell ref="P118:P122"/>
    <mergeCell ref="M68:M70"/>
    <mergeCell ref="N68:N70"/>
    <mergeCell ref="O68:O70"/>
    <mergeCell ref="P68:P70"/>
    <mergeCell ref="H118:H122"/>
    <mergeCell ref="I118:I122"/>
    <mergeCell ref="J118:J122"/>
    <mergeCell ref="K118:K122"/>
    <mergeCell ref="L118:L122"/>
    <mergeCell ref="C104:C106"/>
    <mergeCell ref="D104:D106"/>
    <mergeCell ref="Q65:Q67"/>
    <mergeCell ref="H65:H67"/>
    <mergeCell ref="I65:I67"/>
    <mergeCell ref="J65:J67"/>
    <mergeCell ref="K65:K67"/>
    <mergeCell ref="L65:L67"/>
    <mergeCell ref="C65:C67"/>
    <mergeCell ref="D65:D67"/>
    <mergeCell ref="E65:E67"/>
    <mergeCell ref="F65:F67"/>
    <mergeCell ref="G65:G67"/>
    <mergeCell ref="Q68:Q70"/>
    <mergeCell ref="H68:H70"/>
    <mergeCell ref="I68:I70"/>
    <mergeCell ref="J68:J70"/>
    <mergeCell ref="K68:K70"/>
    <mergeCell ref="L68:L70"/>
    <mergeCell ref="C54:C56"/>
    <mergeCell ref="D54:D56"/>
    <mergeCell ref="E54:E56"/>
    <mergeCell ref="F54:F56"/>
    <mergeCell ref="G54:G56"/>
    <mergeCell ref="C68:C70"/>
    <mergeCell ref="D68:D70"/>
    <mergeCell ref="E68:E70"/>
    <mergeCell ref="F68:F70"/>
    <mergeCell ref="G68:G70"/>
    <mergeCell ref="N57:N59"/>
    <mergeCell ref="O57:O59"/>
    <mergeCell ref="C57:C59"/>
    <mergeCell ref="D57:D59"/>
    <mergeCell ref="E57:E59"/>
    <mergeCell ref="F57:F59"/>
    <mergeCell ref="G57:G59"/>
    <mergeCell ref="H57:H59"/>
    <mergeCell ref="P42:P45"/>
    <mergeCell ref="H39:H41"/>
    <mergeCell ref="I39:I41"/>
    <mergeCell ref="J39:J41"/>
    <mergeCell ref="K39:K41"/>
    <mergeCell ref="L39:L41"/>
    <mergeCell ref="Q42:Q45"/>
    <mergeCell ref="Q54:Q56"/>
    <mergeCell ref="H54:H56"/>
    <mergeCell ref="I54:I56"/>
    <mergeCell ref="J54:J56"/>
    <mergeCell ref="K54:K56"/>
    <mergeCell ref="L54:L56"/>
    <mergeCell ref="M54:M56"/>
    <mergeCell ref="N54:N56"/>
    <mergeCell ref="O54:O56"/>
    <mergeCell ref="P54:P56"/>
    <mergeCell ref="L42:L45"/>
    <mergeCell ref="M42:M45"/>
    <mergeCell ref="N42:N45"/>
    <mergeCell ref="O42:O45"/>
    <mergeCell ref="Q39:Q41"/>
    <mergeCell ref="N49:N52"/>
    <mergeCell ref="O49:O52"/>
    <mergeCell ref="C42:C45"/>
    <mergeCell ref="D42:D45"/>
    <mergeCell ref="E42:E45"/>
    <mergeCell ref="F42:F45"/>
    <mergeCell ref="G42:G45"/>
    <mergeCell ref="H42:H45"/>
    <mergeCell ref="I42:I45"/>
    <mergeCell ref="J42:J45"/>
    <mergeCell ref="K42:K45"/>
    <mergeCell ref="Q57:Q59"/>
    <mergeCell ref="C46:C48"/>
    <mergeCell ref="D46:D48"/>
    <mergeCell ref="E46:E48"/>
    <mergeCell ref="F46:F48"/>
    <mergeCell ref="G46:G48"/>
    <mergeCell ref="H46:H48"/>
    <mergeCell ref="I46:I48"/>
    <mergeCell ref="J46:J48"/>
    <mergeCell ref="K46:K48"/>
    <mergeCell ref="L46:L48"/>
    <mergeCell ref="M46:M48"/>
    <mergeCell ref="N46:N48"/>
    <mergeCell ref="O46:O48"/>
    <mergeCell ref="P46:P48"/>
    <mergeCell ref="Q46:Q48"/>
    <mergeCell ref="L57:L59"/>
    <mergeCell ref="M57:M59"/>
    <mergeCell ref="I57:I59"/>
    <mergeCell ref="J57:J59"/>
    <mergeCell ref="K57:K59"/>
    <mergeCell ref="P57:P59"/>
    <mergeCell ref="C49:C52"/>
    <mergeCell ref="D49:D52"/>
    <mergeCell ref="M39:M41"/>
    <mergeCell ref="N39:N41"/>
    <mergeCell ref="O39:O41"/>
    <mergeCell ref="P39:P41"/>
    <mergeCell ref="C33:C36"/>
    <mergeCell ref="D33:D36"/>
    <mergeCell ref="E33:E36"/>
    <mergeCell ref="F33:F36"/>
    <mergeCell ref="G33:G36"/>
    <mergeCell ref="F39:F41"/>
    <mergeCell ref="G39:G41"/>
    <mergeCell ref="C39:C41"/>
    <mergeCell ref="D39:D41"/>
    <mergeCell ref="E39:E41"/>
    <mergeCell ref="M33:M36"/>
    <mergeCell ref="N33:N36"/>
    <mergeCell ref="O33:O36"/>
    <mergeCell ref="P33:P36"/>
    <mergeCell ref="O26:O29"/>
    <mergeCell ref="H33:H36"/>
    <mergeCell ref="I33:I36"/>
    <mergeCell ref="J33:J36"/>
    <mergeCell ref="K33:K36"/>
    <mergeCell ref="L33:L36"/>
    <mergeCell ref="Q23:Q25"/>
    <mergeCell ref="N30:N32"/>
    <mergeCell ref="O30:O32"/>
    <mergeCell ref="P30:P32"/>
    <mergeCell ref="Q30:Q32"/>
    <mergeCell ref="H23:H25"/>
    <mergeCell ref="I23:I25"/>
    <mergeCell ref="J23:J25"/>
    <mergeCell ref="K23:K25"/>
    <mergeCell ref="L23:L25"/>
    <mergeCell ref="I30:I32"/>
    <mergeCell ref="J30:J32"/>
    <mergeCell ref="K30:K32"/>
    <mergeCell ref="L30:L32"/>
    <mergeCell ref="Q26:Q29"/>
    <mergeCell ref="H26:H29"/>
    <mergeCell ref="Q33:Q36"/>
    <mergeCell ref="D30:D32"/>
    <mergeCell ref="E30:E32"/>
    <mergeCell ref="F30:F32"/>
    <mergeCell ref="G30:G32"/>
    <mergeCell ref="C30:C32"/>
    <mergeCell ref="G26:G29"/>
    <mergeCell ref="C26:C29"/>
    <mergeCell ref="D26:D29"/>
    <mergeCell ref="E26:E29"/>
    <mergeCell ref="F26:F29"/>
    <mergeCell ref="C5:C8"/>
    <mergeCell ref="E5:E8"/>
    <mergeCell ref="F5:F8"/>
    <mergeCell ref="G5:G8"/>
    <mergeCell ref="C9:C12"/>
    <mergeCell ref="G9:G12"/>
    <mergeCell ref="F23:F25"/>
    <mergeCell ref="G23:G25"/>
    <mergeCell ref="D9:D12"/>
    <mergeCell ref="D5:D8"/>
    <mergeCell ref="E9:E12"/>
    <mergeCell ref="F9:F12"/>
    <mergeCell ref="C23:C25"/>
    <mergeCell ref="D23:D25"/>
    <mergeCell ref="E23:E25"/>
    <mergeCell ref="E13:E16"/>
    <mergeCell ref="F13:F16"/>
    <mergeCell ref="G13:G16"/>
    <mergeCell ref="Q5:Q8"/>
    <mergeCell ref="H5:H8"/>
    <mergeCell ref="I5:I8"/>
    <mergeCell ref="J5:J8"/>
    <mergeCell ref="K5:K8"/>
    <mergeCell ref="L5:L8"/>
    <mergeCell ref="P9:P12"/>
    <mergeCell ref="Q9:Q12"/>
    <mergeCell ref="Q13:Q16"/>
    <mergeCell ref="H13:H16"/>
    <mergeCell ref="I13:I16"/>
    <mergeCell ref="J13:J16"/>
    <mergeCell ref="K13:K16"/>
    <mergeCell ref="L13:L16"/>
    <mergeCell ref="M13:M16"/>
    <mergeCell ref="M5:M8"/>
    <mergeCell ref="N5:N8"/>
    <mergeCell ref="O5:O8"/>
    <mergeCell ref="H9:H12"/>
    <mergeCell ref="I9:I12"/>
    <mergeCell ref="J9:J12"/>
    <mergeCell ref="K9:K12"/>
    <mergeCell ref="L9:L12"/>
    <mergeCell ref="G1:I1"/>
    <mergeCell ref="P13:P16"/>
    <mergeCell ref="P5:P8"/>
    <mergeCell ref="M30:M32"/>
    <mergeCell ref="H30:H32"/>
    <mergeCell ref="M23:M25"/>
    <mergeCell ref="N23:N25"/>
    <mergeCell ref="O23:O25"/>
    <mergeCell ref="P23:P25"/>
    <mergeCell ref="P26:P29"/>
    <mergeCell ref="N13:N16"/>
    <mergeCell ref="O13:O16"/>
    <mergeCell ref="J18:J22"/>
    <mergeCell ref="I18:I22"/>
    <mergeCell ref="H18:H22"/>
    <mergeCell ref="M9:M12"/>
    <mergeCell ref="N9:N12"/>
    <mergeCell ref="O9:O12"/>
    <mergeCell ref="I26:I29"/>
    <mergeCell ref="J26:J29"/>
    <mergeCell ref="K26:K29"/>
    <mergeCell ref="L26:L29"/>
    <mergeCell ref="M26:M29"/>
    <mergeCell ref="N26:N29"/>
  </mergeCells>
  <pageMargins left="0.7" right="0.7" top="0.75" bottom="0.75" header="0.3" footer="0.3"/>
  <pageSetup paperSize="9" orientation="portrait" r:id="rId1"/>
  <legacyDrawing r:id="rId2"/>
  <extLst>
    <ext xmlns:x14="http://schemas.microsoft.com/office/spreadsheetml/2009/9/main" uri="{CCE6A557-97BC-4b89-ADB6-D9C93CAAB3DF}">
      <x14:dataValidations xmlns:xm="http://schemas.microsoft.com/office/excel/2006/main" count="1">
        <x14:dataValidation type="list" allowBlank="1" showInputMessage="1" showErrorMessage="1" xr:uid="{0FB58D49-D1C0-4270-ACFB-03A7341BCCED}">
          <x14:formula1>
            <xm:f>'Paso 3 Redacción RA'!$I$3:$I$15</xm:f>
          </x14:formula1>
          <xm:sqref>B3:B142</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2F0260-EDC1-4342-B86F-EF528A8E771B}">
  <dimension ref="B1:B39"/>
  <sheetViews>
    <sheetView topLeftCell="A29" workbookViewId="0">
      <selection activeCell="B46" sqref="B46"/>
    </sheetView>
  </sheetViews>
  <sheetFormatPr baseColWidth="10" defaultColWidth="9.1796875" defaultRowHeight="14.5" x14ac:dyDescent="0.35"/>
  <cols>
    <col min="2" max="2" width="29.26953125" customWidth="1"/>
  </cols>
  <sheetData>
    <row r="1" spans="2:2" ht="16.5" x14ac:dyDescent="0.5">
      <c r="B1" s="1" t="s">
        <v>362</v>
      </c>
    </row>
    <row r="2" spans="2:2" ht="16.5" x14ac:dyDescent="0.5">
      <c r="B2" s="1" t="s">
        <v>363</v>
      </c>
    </row>
    <row r="3" spans="2:2" ht="16.5" x14ac:dyDescent="0.5">
      <c r="B3" s="1" t="s">
        <v>364</v>
      </c>
    </row>
    <row r="4" spans="2:2" ht="16.5" x14ac:dyDescent="0.5">
      <c r="B4" s="1" t="s">
        <v>365</v>
      </c>
    </row>
    <row r="5" spans="2:2" ht="16.5" x14ac:dyDescent="0.5">
      <c r="B5" s="1" t="s">
        <v>366</v>
      </c>
    </row>
    <row r="6" spans="2:2" ht="16.5" x14ac:dyDescent="0.5">
      <c r="B6" s="1" t="s">
        <v>367</v>
      </c>
    </row>
    <row r="7" spans="2:2" ht="16.5" x14ac:dyDescent="0.5">
      <c r="B7" s="1" t="s">
        <v>368</v>
      </c>
    </row>
    <row r="8" spans="2:2" ht="16.5" x14ac:dyDescent="0.5">
      <c r="B8" s="1" t="s">
        <v>369</v>
      </c>
    </row>
    <row r="9" spans="2:2" ht="16.5" x14ac:dyDescent="0.5">
      <c r="B9" s="1" t="s">
        <v>370</v>
      </c>
    </row>
    <row r="10" spans="2:2" ht="16.5" x14ac:dyDescent="0.5">
      <c r="B10" s="1" t="s">
        <v>371</v>
      </c>
    </row>
    <row r="11" spans="2:2" ht="16.5" x14ac:dyDescent="0.5">
      <c r="B11" s="1" t="s">
        <v>372</v>
      </c>
    </row>
    <row r="12" spans="2:2" ht="16.5" x14ac:dyDescent="0.5">
      <c r="B12" s="1" t="s">
        <v>62</v>
      </c>
    </row>
    <row r="13" spans="2:2" ht="16.5" x14ac:dyDescent="0.5">
      <c r="B13" s="1" t="s">
        <v>373</v>
      </c>
    </row>
    <row r="14" spans="2:2" ht="16.5" x14ac:dyDescent="0.5">
      <c r="B14" s="1" t="s">
        <v>374</v>
      </c>
    </row>
    <row r="15" spans="2:2" ht="16.5" x14ac:dyDescent="0.5">
      <c r="B15" s="1" t="s">
        <v>59</v>
      </c>
    </row>
    <row r="16" spans="2:2" ht="16.5" x14ac:dyDescent="0.5">
      <c r="B16" s="1" t="s">
        <v>375</v>
      </c>
    </row>
    <row r="17" spans="2:2" ht="16.5" x14ac:dyDescent="0.5">
      <c r="B17" s="1" t="s">
        <v>376</v>
      </c>
    </row>
    <row r="18" spans="2:2" ht="16.5" x14ac:dyDescent="0.5">
      <c r="B18" s="1" t="s">
        <v>377</v>
      </c>
    </row>
    <row r="19" spans="2:2" ht="16.5" x14ac:dyDescent="0.5">
      <c r="B19" s="1" t="s">
        <v>378</v>
      </c>
    </row>
    <row r="20" spans="2:2" ht="16.5" x14ac:dyDescent="0.5">
      <c r="B20" s="1" t="s">
        <v>379</v>
      </c>
    </row>
    <row r="21" spans="2:2" ht="16.5" x14ac:dyDescent="0.5">
      <c r="B21" s="1" t="s">
        <v>380</v>
      </c>
    </row>
    <row r="22" spans="2:2" ht="16.5" x14ac:dyDescent="0.5">
      <c r="B22" s="1" t="s">
        <v>381</v>
      </c>
    </row>
    <row r="23" spans="2:2" ht="16.5" x14ac:dyDescent="0.5">
      <c r="B23" s="1" t="s">
        <v>382</v>
      </c>
    </row>
    <row r="24" spans="2:2" ht="16.5" x14ac:dyDescent="0.5">
      <c r="B24" s="1" t="s">
        <v>383</v>
      </c>
    </row>
    <row r="25" spans="2:2" ht="16.5" x14ac:dyDescent="0.5">
      <c r="B25" s="1" t="s">
        <v>384</v>
      </c>
    </row>
    <row r="26" spans="2:2" ht="16.5" x14ac:dyDescent="0.5">
      <c r="B26" s="1" t="s">
        <v>385</v>
      </c>
    </row>
    <row r="27" spans="2:2" ht="16.5" x14ac:dyDescent="0.5">
      <c r="B27" s="1" t="s">
        <v>386</v>
      </c>
    </row>
    <row r="28" spans="2:2" ht="16.5" x14ac:dyDescent="0.5">
      <c r="B28" s="1" t="s">
        <v>387</v>
      </c>
    </row>
    <row r="29" spans="2:2" ht="16.5" x14ac:dyDescent="0.5">
      <c r="B29" s="1" t="s">
        <v>388</v>
      </c>
    </row>
    <row r="30" spans="2:2" ht="16.5" x14ac:dyDescent="0.5">
      <c r="B30" s="1" t="s">
        <v>389</v>
      </c>
    </row>
    <row r="31" spans="2:2" ht="16.5" x14ac:dyDescent="0.5">
      <c r="B31" s="1" t="s">
        <v>390</v>
      </c>
    </row>
    <row r="32" spans="2:2" ht="16.5" x14ac:dyDescent="0.5">
      <c r="B32" s="1" t="s">
        <v>391</v>
      </c>
    </row>
    <row r="33" spans="2:2" ht="16.5" x14ac:dyDescent="0.5">
      <c r="B33" s="1" t="s">
        <v>392</v>
      </c>
    </row>
    <row r="34" spans="2:2" ht="16.5" x14ac:dyDescent="0.5">
      <c r="B34" s="1" t="s">
        <v>56</v>
      </c>
    </row>
    <row r="35" spans="2:2" ht="16.5" x14ac:dyDescent="0.5">
      <c r="B35" s="1" t="s">
        <v>393</v>
      </c>
    </row>
    <row r="36" spans="2:2" ht="16.5" x14ac:dyDescent="0.5">
      <c r="B36" s="1" t="s">
        <v>394</v>
      </c>
    </row>
    <row r="37" spans="2:2" ht="16.5" x14ac:dyDescent="0.5">
      <c r="B37" s="1" t="s">
        <v>99</v>
      </c>
    </row>
    <row r="38" spans="2:2" ht="16.5" x14ac:dyDescent="0.5">
      <c r="B38" s="1" t="s">
        <v>96</v>
      </c>
    </row>
    <row r="39" spans="2:2" ht="16.5" x14ac:dyDescent="0.5">
      <c r="B39" s="1" t="s">
        <v>64</v>
      </c>
    </row>
  </sheetData>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295D89-8C61-400E-A937-B3D914084581}">
  <dimension ref="A1:BC108"/>
  <sheetViews>
    <sheetView topLeftCell="L34" zoomScale="145" zoomScaleNormal="145" workbookViewId="0">
      <selection activeCell="L46" sqref="L46"/>
    </sheetView>
  </sheetViews>
  <sheetFormatPr baseColWidth="10" defaultColWidth="9.1796875" defaultRowHeight="16.5" x14ac:dyDescent="0.5"/>
  <cols>
    <col min="1" max="1" width="20.453125" style="12" customWidth="1"/>
    <col min="2" max="2" width="14.453125" style="12" customWidth="1"/>
    <col min="3" max="3" width="22.26953125" style="12" customWidth="1"/>
    <col min="4" max="4" width="21.54296875" style="12" customWidth="1"/>
    <col min="5" max="5" width="20.7265625" style="12" customWidth="1"/>
    <col min="6" max="6" width="16.7265625" style="12" customWidth="1"/>
    <col min="7" max="7" width="21.7265625" style="12" customWidth="1"/>
    <col min="8" max="8" width="26.26953125" style="12" customWidth="1"/>
    <col min="9" max="9" width="25.26953125" style="12" customWidth="1"/>
    <col min="10" max="10" width="24.453125" style="12" customWidth="1"/>
    <col min="11" max="11" width="15.26953125" style="12" customWidth="1"/>
    <col min="12" max="17" width="17.7265625" style="12" customWidth="1"/>
    <col min="18" max="18" width="22.54296875" style="12" customWidth="1"/>
    <col min="19" max="19" width="15.54296875" style="12" customWidth="1"/>
    <col min="20" max="20" width="14.81640625" style="12" customWidth="1"/>
    <col min="21" max="25" width="13.26953125" style="12" customWidth="1"/>
    <col min="26" max="26" width="16.54296875" style="12" customWidth="1"/>
    <col min="27" max="27" width="13.26953125" style="12" customWidth="1"/>
    <col min="28" max="28" width="16" style="12" customWidth="1"/>
    <col min="29" max="29" width="19.54296875" style="12" customWidth="1"/>
    <col min="30" max="30" width="21.7265625" style="12" bestFit="1" customWidth="1"/>
    <col min="31" max="31" width="13.26953125" style="12" customWidth="1"/>
    <col min="32" max="32" width="13.81640625" style="12" customWidth="1"/>
    <col min="33" max="33" width="30.7265625" style="12" customWidth="1"/>
    <col min="34" max="36" width="13.26953125" style="12" customWidth="1"/>
    <col min="37" max="37" width="14.54296875" style="12" customWidth="1"/>
    <col min="38" max="43" width="16.7265625" style="12" customWidth="1"/>
    <col min="44" max="45" width="13.26953125" style="12" customWidth="1"/>
    <col min="46" max="46" width="23.7265625" style="12" customWidth="1"/>
    <col min="47" max="47" width="22.54296875" style="12" customWidth="1"/>
    <col min="48" max="48" width="24.26953125" style="12" customWidth="1"/>
    <col min="49" max="49" width="27.7265625" style="12" customWidth="1"/>
    <col min="50" max="50" width="24.7265625" style="12" customWidth="1"/>
    <col min="51" max="51" width="22.54296875" style="12" customWidth="1"/>
    <col min="52" max="55" width="13.26953125" style="12" customWidth="1"/>
    <col min="56" max="16384" width="9.1796875" style="12"/>
  </cols>
  <sheetData>
    <row r="1" spans="1:55" ht="17" thickBot="1" x14ac:dyDescent="0.55000000000000004">
      <c r="A1" s="1"/>
      <c r="B1" s="1"/>
      <c r="C1" s="1"/>
      <c r="D1" s="1"/>
      <c r="E1" s="1"/>
      <c r="F1" s="1"/>
      <c r="G1" s="1"/>
      <c r="H1" s="1"/>
      <c r="I1" s="1"/>
      <c r="J1" s="1"/>
      <c r="K1" s="1"/>
      <c r="L1" s="1"/>
      <c r="M1" s="1"/>
      <c r="N1" s="1"/>
      <c r="O1" s="1"/>
      <c r="P1" s="1"/>
      <c r="Q1" s="1"/>
      <c r="R1" s="1"/>
      <c r="S1" s="183" t="s">
        <v>395</v>
      </c>
      <c r="T1" s="183"/>
      <c r="U1" s="183"/>
      <c r="V1" s="183"/>
      <c r="W1" s="183"/>
      <c r="X1" s="183"/>
      <c r="Y1" s="183"/>
      <c r="Z1" s="183"/>
      <c r="AA1" s="183"/>
      <c r="AB1" s="183"/>
      <c r="AC1" s="183"/>
      <c r="AD1" s="183"/>
      <c r="AE1" s="183"/>
      <c r="AF1" s="183"/>
      <c r="AG1" s="183"/>
      <c r="AH1" s="14"/>
      <c r="AI1" s="14"/>
      <c r="AJ1" s="14"/>
      <c r="AK1" s="1"/>
      <c r="AL1" s="183" t="s">
        <v>396</v>
      </c>
      <c r="AM1" s="183"/>
      <c r="AN1" s="183"/>
      <c r="AO1" s="183"/>
      <c r="AP1" s="183"/>
      <c r="AQ1" s="183"/>
      <c r="AR1" s="14"/>
      <c r="AS1" s="14"/>
      <c r="AT1" s="183" t="s">
        <v>397</v>
      </c>
      <c r="AU1" s="183"/>
      <c r="AV1" s="183"/>
      <c r="AW1" s="183"/>
      <c r="AX1" s="183"/>
      <c r="AY1" s="183"/>
      <c r="AZ1" s="14"/>
      <c r="BA1" s="1"/>
      <c r="BB1" s="1"/>
      <c r="BC1" s="14"/>
    </row>
    <row r="2" spans="1:55" x14ac:dyDescent="0.5">
      <c r="A2" s="1"/>
      <c r="B2" s="1"/>
      <c r="C2" s="1"/>
      <c r="D2" s="1"/>
      <c r="E2" s="1"/>
      <c r="F2" s="1"/>
      <c r="G2" s="1"/>
      <c r="H2" s="1"/>
      <c r="I2" s="1"/>
      <c r="J2" s="1"/>
      <c r="K2" s="1"/>
      <c r="L2" s="183" t="s">
        <v>398</v>
      </c>
      <c r="M2" s="183"/>
      <c r="N2" s="183"/>
      <c r="O2" s="183"/>
      <c r="P2" s="183"/>
      <c r="Q2" s="183"/>
      <c r="R2" s="1"/>
      <c r="S2" s="184" t="s">
        <v>399</v>
      </c>
      <c r="T2" s="185"/>
      <c r="U2" s="185"/>
      <c r="V2" s="185"/>
      <c r="W2" s="185"/>
      <c r="X2" s="186"/>
      <c r="Y2" s="187" t="s">
        <v>400</v>
      </c>
      <c r="Z2" s="188"/>
      <c r="AA2" s="188"/>
      <c r="AB2" s="189"/>
      <c r="AC2" s="187" t="s">
        <v>401</v>
      </c>
      <c r="AD2" s="188"/>
      <c r="AE2" s="188"/>
      <c r="AF2" s="188"/>
      <c r="AG2" s="190"/>
      <c r="AH2" s="14"/>
      <c r="AI2" s="14"/>
      <c r="AJ2" s="14"/>
      <c r="AK2" s="1"/>
      <c r="AL2" s="183"/>
      <c r="AM2" s="183"/>
      <c r="AN2" s="183"/>
      <c r="AO2" s="183"/>
      <c r="AP2" s="183"/>
      <c r="AQ2" s="183"/>
      <c r="AR2" s="14"/>
      <c r="AS2" s="14"/>
      <c r="AT2" s="14"/>
      <c r="AU2" s="14"/>
      <c r="AV2" s="14"/>
      <c r="AW2" s="14"/>
      <c r="AX2" s="14"/>
      <c r="AY2" s="14"/>
      <c r="AZ2" s="14"/>
      <c r="BA2" s="1"/>
      <c r="BB2" s="1"/>
      <c r="BC2" s="14"/>
    </row>
    <row r="3" spans="1:55" x14ac:dyDescent="0.5">
      <c r="A3" s="1" t="s">
        <v>402</v>
      </c>
      <c r="B3" s="1"/>
      <c r="C3" s="1" t="s">
        <v>111</v>
      </c>
      <c r="D3" s="1" t="s">
        <v>403</v>
      </c>
      <c r="E3" s="1" t="s">
        <v>404</v>
      </c>
      <c r="F3" s="1"/>
      <c r="G3" s="1" t="s">
        <v>90</v>
      </c>
      <c r="H3" s="1" t="s">
        <v>93</v>
      </c>
      <c r="I3" s="1" t="s">
        <v>95</v>
      </c>
      <c r="J3" s="1"/>
      <c r="K3" s="1"/>
      <c r="L3" s="1" t="s">
        <v>405</v>
      </c>
      <c r="M3" s="1" t="s">
        <v>98</v>
      </c>
      <c r="N3" s="1" t="s">
        <v>101</v>
      </c>
      <c r="O3" s="1" t="s">
        <v>91</v>
      </c>
      <c r="P3" s="1" t="s">
        <v>406</v>
      </c>
      <c r="Q3" s="1" t="s">
        <v>407</v>
      </c>
      <c r="R3" s="1"/>
      <c r="S3" s="65" t="s">
        <v>408</v>
      </c>
      <c r="T3" s="1" t="s">
        <v>113</v>
      </c>
      <c r="U3" s="1" t="s">
        <v>409</v>
      </c>
      <c r="V3" s="1" t="s">
        <v>410</v>
      </c>
      <c r="W3" s="1" t="s">
        <v>411</v>
      </c>
      <c r="X3" s="1" t="s">
        <v>412</v>
      </c>
      <c r="Y3" s="65" t="s">
        <v>413</v>
      </c>
      <c r="Z3" s="1" t="s">
        <v>117</v>
      </c>
      <c r="AA3" s="1" t="s">
        <v>414</v>
      </c>
      <c r="AB3" s="1" t="s">
        <v>415</v>
      </c>
      <c r="AC3" s="65" t="s">
        <v>416</v>
      </c>
      <c r="AD3" s="1" t="s">
        <v>417</v>
      </c>
      <c r="AE3" s="1" t="s">
        <v>121</v>
      </c>
      <c r="AF3" s="1" t="s">
        <v>418</v>
      </c>
      <c r="AG3" s="66" t="s">
        <v>419</v>
      </c>
      <c r="AH3" s="1"/>
      <c r="AI3" s="1"/>
      <c r="AJ3" s="1"/>
      <c r="AK3" s="1"/>
      <c r="AL3" s="151" t="s">
        <v>420</v>
      </c>
      <c r="AM3" s="151"/>
      <c r="AN3" s="151"/>
      <c r="AO3" s="151" t="s">
        <v>421</v>
      </c>
      <c r="AP3" s="151"/>
      <c r="AQ3" s="151"/>
      <c r="AR3" s="15"/>
      <c r="AS3" s="15"/>
      <c r="AT3" s="15"/>
      <c r="AU3" s="15"/>
      <c r="AV3" s="15"/>
      <c r="AW3" s="15"/>
      <c r="AX3" s="15"/>
      <c r="AY3" s="15"/>
      <c r="AZ3" s="15"/>
      <c r="BA3" s="1"/>
      <c r="BB3" s="1"/>
      <c r="BC3" s="15"/>
    </row>
    <row r="4" spans="1:55" x14ac:dyDescent="0.5">
      <c r="A4" s="1" t="s">
        <v>89</v>
      </c>
      <c r="B4" s="1"/>
      <c r="C4" s="1" t="s">
        <v>112</v>
      </c>
      <c r="D4" s="1" t="s">
        <v>422</v>
      </c>
      <c r="E4" s="1" t="s">
        <v>423</v>
      </c>
      <c r="F4" s="1"/>
      <c r="G4" s="1" t="s">
        <v>405</v>
      </c>
      <c r="H4" s="1" t="s">
        <v>405</v>
      </c>
      <c r="I4" s="1" t="s">
        <v>405</v>
      </c>
      <c r="J4" s="1"/>
      <c r="K4" s="1"/>
      <c r="L4" s="1" t="s">
        <v>424</v>
      </c>
      <c r="M4" s="1" t="s">
        <v>367</v>
      </c>
      <c r="N4" s="1" t="s">
        <v>64</v>
      </c>
      <c r="O4" s="1" t="s">
        <v>425</v>
      </c>
      <c r="P4" s="1" t="s">
        <v>426</v>
      </c>
      <c r="Q4" s="1" t="s">
        <v>427</v>
      </c>
      <c r="R4" s="1"/>
      <c r="S4" s="65" t="s">
        <v>424</v>
      </c>
      <c r="T4" s="1" t="s">
        <v>367</v>
      </c>
      <c r="U4" s="1" t="s">
        <v>64</v>
      </c>
      <c r="V4" s="1" t="s">
        <v>425</v>
      </c>
      <c r="W4" s="1" t="s">
        <v>426</v>
      </c>
      <c r="X4" s="1" t="s">
        <v>427</v>
      </c>
      <c r="Y4" s="65" t="s">
        <v>428</v>
      </c>
      <c r="Z4" s="1" t="s">
        <v>429</v>
      </c>
      <c r="AA4" s="1" t="s">
        <v>430</v>
      </c>
      <c r="AB4" s="1" t="s">
        <v>431</v>
      </c>
      <c r="AC4" s="65" t="s">
        <v>432</v>
      </c>
      <c r="AD4" s="1" t="s">
        <v>428</v>
      </c>
      <c r="AE4" s="1" t="s">
        <v>432</v>
      </c>
      <c r="AF4" s="1" t="s">
        <v>433</v>
      </c>
      <c r="AG4" s="66" t="s">
        <v>434</v>
      </c>
      <c r="AH4" s="1"/>
      <c r="AI4" s="1"/>
      <c r="AJ4" s="1"/>
      <c r="AK4" s="1"/>
      <c r="AL4" s="16" t="s">
        <v>435</v>
      </c>
      <c r="AM4" s="16" t="s">
        <v>436</v>
      </c>
      <c r="AN4" s="16" t="s">
        <v>437</v>
      </c>
      <c r="AO4" s="16" t="s">
        <v>438</v>
      </c>
      <c r="AP4" s="17" t="s">
        <v>439</v>
      </c>
      <c r="AQ4" s="16" t="s">
        <v>440</v>
      </c>
      <c r="AR4" s="15"/>
      <c r="AS4" s="15"/>
      <c r="AT4" s="1" t="s">
        <v>441</v>
      </c>
      <c r="AU4" s="1" t="s">
        <v>442</v>
      </c>
      <c r="AV4" s="1" t="s">
        <v>443</v>
      </c>
      <c r="AW4" s="1" t="s">
        <v>444</v>
      </c>
      <c r="AX4" s="1" t="s">
        <v>445</v>
      </c>
      <c r="AY4" s="1" t="s">
        <v>446</v>
      </c>
      <c r="AZ4" s="15"/>
      <c r="BA4" s="1"/>
      <c r="BB4" s="1"/>
      <c r="BC4" s="15"/>
    </row>
    <row r="5" spans="1:55" x14ac:dyDescent="0.5">
      <c r="A5" s="1" t="s">
        <v>111</v>
      </c>
      <c r="B5" s="1"/>
      <c r="C5" s="1" t="s">
        <v>116</v>
      </c>
      <c r="D5" s="1" t="s">
        <v>447</v>
      </c>
      <c r="E5" s="1" t="s">
        <v>448</v>
      </c>
      <c r="F5" s="1"/>
      <c r="G5" s="1" t="s">
        <v>98</v>
      </c>
      <c r="H5" s="1" t="s">
        <v>98</v>
      </c>
      <c r="I5" s="1" t="s">
        <v>98</v>
      </c>
      <c r="J5" s="1"/>
      <c r="K5" s="1"/>
      <c r="L5" s="1" t="s">
        <v>449</v>
      </c>
      <c r="M5" s="1" t="s">
        <v>450</v>
      </c>
      <c r="N5" s="1" t="s">
        <v>451</v>
      </c>
      <c r="O5" s="1" t="s">
        <v>67</v>
      </c>
      <c r="P5" s="1" t="s">
        <v>364</v>
      </c>
      <c r="Q5" s="1" t="s">
        <v>452</v>
      </c>
      <c r="R5" s="1"/>
      <c r="S5" s="65" t="s">
        <v>449</v>
      </c>
      <c r="T5" s="1" t="s">
        <v>450</v>
      </c>
      <c r="U5" s="1" t="s">
        <v>451</v>
      </c>
      <c r="V5" s="1" t="s">
        <v>67</v>
      </c>
      <c r="W5" s="1" t="s">
        <v>364</v>
      </c>
      <c r="X5" s="1" t="s">
        <v>452</v>
      </c>
      <c r="Y5" s="65" t="s">
        <v>426</v>
      </c>
      <c r="Z5" s="1" t="s">
        <v>425</v>
      </c>
      <c r="AA5" s="1" t="s">
        <v>453</v>
      </c>
      <c r="AB5" s="1" t="s">
        <v>454</v>
      </c>
      <c r="AC5" s="65" t="s">
        <v>455</v>
      </c>
      <c r="AD5" s="1" t="s">
        <v>456</v>
      </c>
      <c r="AE5" s="67" t="s">
        <v>457</v>
      </c>
      <c r="AF5" s="1" t="s">
        <v>458</v>
      </c>
      <c r="AG5" s="66" t="s">
        <v>459</v>
      </c>
      <c r="AH5" s="1"/>
      <c r="AI5" s="1"/>
      <c r="AJ5" s="1"/>
      <c r="AK5" s="1"/>
      <c r="AL5" s="18" t="s">
        <v>460</v>
      </c>
      <c r="AM5" s="18" t="s">
        <v>461</v>
      </c>
      <c r="AN5" s="18" t="s">
        <v>453</v>
      </c>
      <c r="AO5" s="18" t="s">
        <v>462</v>
      </c>
      <c r="AP5" s="18" t="s">
        <v>426</v>
      </c>
      <c r="AQ5" s="18" t="s">
        <v>62</v>
      </c>
      <c r="AR5" s="18"/>
      <c r="AS5" s="18"/>
      <c r="AT5" s="19" t="s">
        <v>460</v>
      </c>
      <c r="AU5" s="20" t="s">
        <v>367</v>
      </c>
      <c r="AV5" s="19" t="s">
        <v>462</v>
      </c>
      <c r="AW5" s="19" t="s">
        <v>453</v>
      </c>
      <c r="AX5" s="20" t="s">
        <v>432</v>
      </c>
      <c r="AY5" s="20" t="s">
        <v>432</v>
      </c>
      <c r="AZ5" s="18"/>
      <c r="BA5" s="1"/>
      <c r="BB5" s="1"/>
      <c r="BC5" s="18"/>
    </row>
    <row r="6" spans="1:55" x14ac:dyDescent="0.5">
      <c r="A6" s="1" t="s">
        <v>403</v>
      </c>
      <c r="B6" s="1"/>
      <c r="C6" s="1" t="s">
        <v>120</v>
      </c>
      <c r="D6" s="1" t="s">
        <v>463</v>
      </c>
      <c r="E6" s="1" t="s">
        <v>464</v>
      </c>
      <c r="F6" s="1"/>
      <c r="G6" s="1" t="s">
        <v>101</v>
      </c>
      <c r="H6" s="1" t="s">
        <v>101</v>
      </c>
      <c r="I6" s="1" t="s">
        <v>101</v>
      </c>
      <c r="J6" s="1"/>
      <c r="K6" s="1"/>
      <c r="L6" s="1" t="s">
        <v>465</v>
      </c>
      <c r="M6" s="1" t="s">
        <v>466</v>
      </c>
      <c r="N6" s="1" t="s">
        <v>467</v>
      </c>
      <c r="O6" s="1" t="s">
        <v>468</v>
      </c>
      <c r="P6" s="1" t="s">
        <v>431</v>
      </c>
      <c r="Q6" s="1" t="s">
        <v>469</v>
      </c>
      <c r="R6" s="1"/>
      <c r="S6" s="65" t="s">
        <v>465</v>
      </c>
      <c r="T6" s="1" t="s">
        <v>466</v>
      </c>
      <c r="U6" s="1" t="s">
        <v>467</v>
      </c>
      <c r="V6" s="1" t="s">
        <v>468</v>
      </c>
      <c r="W6" s="1" t="s">
        <v>431</v>
      </c>
      <c r="X6" s="1" t="s">
        <v>469</v>
      </c>
      <c r="Y6" s="65" t="s">
        <v>470</v>
      </c>
      <c r="Z6" s="1" t="s">
        <v>470</v>
      </c>
      <c r="AA6" s="1" t="s">
        <v>426</v>
      </c>
      <c r="AB6" s="1" t="s">
        <v>461</v>
      </c>
      <c r="AC6" s="65" t="s">
        <v>471</v>
      </c>
      <c r="AD6" s="1" t="s">
        <v>460</v>
      </c>
      <c r="AE6" s="1" t="s">
        <v>460</v>
      </c>
      <c r="AF6" s="1" t="s">
        <v>431</v>
      </c>
      <c r="AG6" s="66" t="s">
        <v>472</v>
      </c>
      <c r="AH6" s="1"/>
      <c r="AI6" s="1"/>
      <c r="AJ6" s="1"/>
      <c r="AK6" s="1"/>
      <c r="AL6" s="18" t="s">
        <v>465</v>
      </c>
      <c r="AM6" s="18" t="s">
        <v>473</v>
      </c>
      <c r="AN6" s="18" t="s">
        <v>462</v>
      </c>
      <c r="AO6" s="18" t="s">
        <v>425</v>
      </c>
      <c r="AP6" s="18" t="s">
        <v>474</v>
      </c>
      <c r="AQ6" s="18" t="s">
        <v>475</v>
      </c>
      <c r="AR6" s="18"/>
      <c r="AS6" s="18"/>
      <c r="AT6" s="21" t="s">
        <v>465</v>
      </c>
      <c r="AU6" s="22" t="s">
        <v>450</v>
      </c>
      <c r="AV6" s="20" t="s">
        <v>425</v>
      </c>
      <c r="AW6" s="21" t="s">
        <v>462</v>
      </c>
      <c r="AX6" s="22" t="s">
        <v>433</v>
      </c>
      <c r="AY6" s="20" t="s">
        <v>457</v>
      </c>
      <c r="AZ6" s="18"/>
      <c r="BA6" s="1"/>
      <c r="BB6" s="1"/>
      <c r="BC6" s="18"/>
    </row>
    <row r="7" spans="1:55" x14ac:dyDescent="0.5">
      <c r="A7" s="1" t="s">
        <v>404</v>
      </c>
      <c r="B7" s="1"/>
      <c r="C7" s="1"/>
      <c r="D7" s="1" t="s">
        <v>476</v>
      </c>
      <c r="E7" s="1"/>
      <c r="F7" s="1"/>
      <c r="G7" s="1" t="s">
        <v>91</v>
      </c>
      <c r="H7" s="1" t="s">
        <v>91</v>
      </c>
      <c r="I7" s="1" t="s">
        <v>91</v>
      </c>
      <c r="J7" s="1"/>
      <c r="K7" s="1"/>
      <c r="L7" s="1" t="s">
        <v>477</v>
      </c>
      <c r="M7" s="1" t="s">
        <v>368</v>
      </c>
      <c r="N7" s="1" t="s">
        <v>478</v>
      </c>
      <c r="O7" s="1" t="s">
        <v>479</v>
      </c>
      <c r="P7" s="1" t="s">
        <v>431</v>
      </c>
      <c r="Q7" s="1" t="s">
        <v>480</v>
      </c>
      <c r="R7" s="1"/>
      <c r="S7" s="65" t="s">
        <v>477</v>
      </c>
      <c r="T7" s="1" t="s">
        <v>368</v>
      </c>
      <c r="U7" s="1" t="s">
        <v>478</v>
      </c>
      <c r="V7" s="1" t="s">
        <v>479</v>
      </c>
      <c r="W7" s="1" t="s">
        <v>431</v>
      </c>
      <c r="X7" s="1" t="s">
        <v>480</v>
      </c>
      <c r="Y7" s="65" t="s">
        <v>480</v>
      </c>
      <c r="Z7" s="1" t="s">
        <v>481</v>
      </c>
      <c r="AA7" s="1" t="s">
        <v>470</v>
      </c>
      <c r="AB7" s="1" t="s">
        <v>482</v>
      </c>
      <c r="AC7" s="65" t="s">
        <v>64</v>
      </c>
      <c r="AD7" s="1" t="s">
        <v>483</v>
      </c>
      <c r="AE7" s="1" t="s">
        <v>484</v>
      </c>
      <c r="AF7" s="1" t="s">
        <v>485</v>
      </c>
      <c r="AG7" s="66" t="s">
        <v>486</v>
      </c>
      <c r="AH7" s="1"/>
      <c r="AI7" s="1"/>
      <c r="AJ7" s="1"/>
      <c r="AK7" s="1"/>
      <c r="AL7" s="18" t="s">
        <v>487</v>
      </c>
      <c r="AM7" s="18" t="s">
        <v>488</v>
      </c>
      <c r="AN7" s="18" t="s">
        <v>468</v>
      </c>
      <c r="AO7" s="18" t="s">
        <v>489</v>
      </c>
      <c r="AP7" s="18" t="s">
        <v>472</v>
      </c>
      <c r="AQ7" s="18" t="s">
        <v>490</v>
      </c>
      <c r="AR7" s="18"/>
      <c r="AS7" s="18"/>
      <c r="AT7" s="19" t="s">
        <v>487</v>
      </c>
      <c r="AU7" s="1" t="s">
        <v>461</v>
      </c>
      <c r="AV7" s="22" t="s">
        <v>67</v>
      </c>
      <c r="AW7" s="20" t="s">
        <v>64</v>
      </c>
      <c r="AX7" s="20" t="s">
        <v>457</v>
      </c>
      <c r="AY7" s="20" t="s">
        <v>459</v>
      </c>
      <c r="AZ7" s="18"/>
      <c r="BA7" s="1"/>
      <c r="BB7" s="1"/>
      <c r="BC7" s="18"/>
    </row>
    <row r="8" spans="1:55" x14ac:dyDescent="0.5">
      <c r="A8" s="1"/>
      <c r="B8" s="1"/>
      <c r="C8" s="1"/>
      <c r="D8" s="1"/>
      <c r="E8" s="1"/>
      <c r="F8" s="1"/>
      <c r="G8" s="1" t="s">
        <v>406</v>
      </c>
      <c r="H8" s="1" t="s">
        <v>406</v>
      </c>
      <c r="I8" s="1" t="s">
        <v>406</v>
      </c>
      <c r="J8" s="1"/>
      <c r="K8" s="1"/>
      <c r="L8" s="1" t="s">
        <v>491</v>
      </c>
      <c r="M8" s="1" t="s">
        <v>492</v>
      </c>
      <c r="N8" s="1" t="s">
        <v>369</v>
      </c>
      <c r="O8" s="1" t="s">
        <v>473</v>
      </c>
      <c r="P8" s="1" t="s">
        <v>493</v>
      </c>
      <c r="Q8" s="1" t="s">
        <v>494</v>
      </c>
      <c r="R8" s="1"/>
      <c r="S8" s="65" t="s">
        <v>491</v>
      </c>
      <c r="T8" s="1" t="s">
        <v>492</v>
      </c>
      <c r="U8" s="1" t="s">
        <v>369</v>
      </c>
      <c r="V8" s="1" t="s">
        <v>473</v>
      </c>
      <c r="W8" s="1" t="s">
        <v>493</v>
      </c>
      <c r="X8" s="1" t="s">
        <v>494</v>
      </c>
      <c r="Y8" s="65" t="s">
        <v>67</v>
      </c>
      <c r="Z8" s="1" t="s">
        <v>64</v>
      </c>
      <c r="AA8" s="1" t="s">
        <v>495</v>
      </c>
      <c r="AB8" s="1" t="s">
        <v>496</v>
      </c>
      <c r="AC8" s="65" t="s">
        <v>497</v>
      </c>
      <c r="AD8" s="67" t="s">
        <v>365</v>
      </c>
      <c r="AE8" s="1" t="s">
        <v>498</v>
      </c>
      <c r="AF8" s="1" t="s">
        <v>499</v>
      </c>
      <c r="AG8" s="66" t="s">
        <v>479</v>
      </c>
      <c r="AH8" s="1"/>
      <c r="AI8" s="1"/>
      <c r="AJ8" s="1"/>
      <c r="AK8" s="1"/>
      <c r="AL8" s="18" t="s">
        <v>491</v>
      </c>
      <c r="AM8" s="18" t="s">
        <v>500</v>
      </c>
      <c r="AN8" s="18" t="s">
        <v>479</v>
      </c>
      <c r="AO8" s="18" t="s">
        <v>501</v>
      </c>
      <c r="AP8" s="18" t="s">
        <v>502</v>
      </c>
      <c r="AQ8" s="18" t="s">
        <v>503</v>
      </c>
      <c r="AR8" s="18"/>
      <c r="AS8" s="18"/>
      <c r="AT8" s="21" t="s">
        <v>491</v>
      </c>
      <c r="AU8" s="20" t="s">
        <v>466</v>
      </c>
      <c r="AV8" s="20" t="s">
        <v>64</v>
      </c>
      <c r="AW8" s="19" t="s">
        <v>468</v>
      </c>
      <c r="AX8" s="22" t="s">
        <v>459</v>
      </c>
      <c r="AY8" s="20" t="s">
        <v>484</v>
      </c>
      <c r="AZ8" s="18"/>
      <c r="BA8" s="1"/>
      <c r="BB8" s="1"/>
      <c r="BC8" s="18"/>
    </row>
    <row r="9" spans="1:55" x14ac:dyDescent="0.5">
      <c r="A9" s="1"/>
      <c r="B9" s="1"/>
      <c r="C9" s="1"/>
      <c r="D9" s="1"/>
      <c r="E9" s="1"/>
      <c r="F9" s="1"/>
      <c r="G9" s="1" t="s">
        <v>407</v>
      </c>
      <c r="H9" s="1" t="s">
        <v>407</v>
      </c>
      <c r="I9" s="1" t="s">
        <v>407</v>
      </c>
      <c r="J9" s="1"/>
      <c r="K9" s="1"/>
      <c r="L9" s="1" t="s">
        <v>372</v>
      </c>
      <c r="M9" s="1" t="s">
        <v>504</v>
      </c>
      <c r="N9" s="1" t="s">
        <v>505</v>
      </c>
      <c r="O9" s="1" t="s">
        <v>499</v>
      </c>
      <c r="P9" s="1" t="s">
        <v>506</v>
      </c>
      <c r="Q9" s="1" t="s">
        <v>365</v>
      </c>
      <c r="R9" s="1"/>
      <c r="S9" s="65" t="s">
        <v>372</v>
      </c>
      <c r="T9" s="1" t="s">
        <v>504</v>
      </c>
      <c r="U9" s="67" t="s">
        <v>505</v>
      </c>
      <c r="V9" s="1" t="s">
        <v>499</v>
      </c>
      <c r="W9" s="1" t="s">
        <v>506</v>
      </c>
      <c r="X9" s="1" t="s">
        <v>365</v>
      </c>
      <c r="Y9" s="65" t="s">
        <v>64</v>
      </c>
      <c r="Z9" s="1" t="s">
        <v>431</v>
      </c>
      <c r="AA9" s="1" t="s">
        <v>507</v>
      </c>
      <c r="AB9" s="1" t="s">
        <v>478</v>
      </c>
      <c r="AC9" s="65" t="s">
        <v>497</v>
      </c>
      <c r="AD9" s="1" t="s">
        <v>508</v>
      </c>
      <c r="AE9" s="1" t="s">
        <v>509</v>
      </c>
      <c r="AF9" s="1" t="s">
        <v>510</v>
      </c>
      <c r="AG9" s="66" t="s">
        <v>511</v>
      </c>
      <c r="AH9" s="1"/>
      <c r="AI9" s="1"/>
      <c r="AJ9" s="1"/>
      <c r="AK9" s="1"/>
      <c r="AL9" s="18" t="s">
        <v>372</v>
      </c>
      <c r="AM9" s="18" t="s">
        <v>512</v>
      </c>
      <c r="AN9" s="18" t="s">
        <v>485</v>
      </c>
      <c r="AO9" s="18" t="s">
        <v>479</v>
      </c>
      <c r="AP9" s="18" t="s">
        <v>513</v>
      </c>
      <c r="AQ9" s="18" t="s">
        <v>514</v>
      </c>
      <c r="AR9" s="18"/>
      <c r="AS9" s="18"/>
      <c r="AT9" s="19" t="s">
        <v>372</v>
      </c>
      <c r="AU9" s="21" t="s">
        <v>473</v>
      </c>
      <c r="AV9" s="20" t="s">
        <v>489</v>
      </c>
      <c r="AW9" s="22" t="s">
        <v>451</v>
      </c>
      <c r="AX9" s="22" t="s">
        <v>460</v>
      </c>
      <c r="AY9" s="22" t="s">
        <v>498</v>
      </c>
      <c r="AZ9" s="18"/>
      <c r="BA9" s="1"/>
      <c r="BB9" s="1"/>
      <c r="BC9" s="18"/>
    </row>
    <row r="10" spans="1:55" x14ac:dyDescent="0.5">
      <c r="A10" s="1"/>
      <c r="B10" s="1"/>
      <c r="C10" s="1"/>
      <c r="D10" s="1"/>
      <c r="E10" s="1"/>
      <c r="F10" s="1"/>
      <c r="G10" s="1"/>
      <c r="H10" s="1"/>
      <c r="I10" s="1"/>
      <c r="J10" s="1"/>
      <c r="K10" s="1"/>
      <c r="L10" s="1" t="s">
        <v>515</v>
      </c>
      <c r="M10" s="1" t="s">
        <v>516</v>
      </c>
      <c r="N10" s="1" t="s">
        <v>500</v>
      </c>
      <c r="O10" s="1" t="s">
        <v>488</v>
      </c>
      <c r="P10" s="1" t="s">
        <v>468</v>
      </c>
      <c r="Q10" s="1" t="s">
        <v>366</v>
      </c>
      <c r="R10" s="1"/>
      <c r="S10" s="65" t="s">
        <v>515</v>
      </c>
      <c r="T10" s="1" t="s">
        <v>516</v>
      </c>
      <c r="U10" s="1" t="s">
        <v>500</v>
      </c>
      <c r="V10" s="1" t="s">
        <v>488</v>
      </c>
      <c r="W10" s="1" t="s">
        <v>468</v>
      </c>
      <c r="X10" s="1" t="s">
        <v>366</v>
      </c>
      <c r="Y10" s="65" t="s">
        <v>517</v>
      </c>
      <c r="Z10" s="1" t="s">
        <v>496</v>
      </c>
      <c r="AA10" s="1" t="s">
        <v>496</v>
      </c>
      <c r="AB10" s="1" t="s">
        <v>369</v>
      </c>
      <c r="AC10" s="65" t="s">
        <v>518</v>
      </c>
      <c r="AD10" s="1" t="s">
        <v>461</v>
      </c>
      <c r="AE10" s="1" t="s">
        <v>472</v>
      </c>
      <c r="AF10" s="1" t="s">
        <v>519</v>
      </c>
      <c r="AG10" s="66" t="s">
        <v>520</v>
      </c>
      <c r="AH10" s="1"/>
      <c r="AI10" s="1"/>
      <c r="AJ10" s="1"/>
      <c r="AK10" s="1"/>
      <c r="AL10" s="18" t="s">
        <v>515</v>
      </c>
      <c r="AM10" s="18" t="s">
        <v>521</v>
      </c>
      <c r="AN10" s="18" t="s">
        <v>522</v>
      </c>
      <c r="AO10" s="18" t="s">
        <v>523</v>
      </c>
      <c r="AP10" s="18" t="s">
        <v>467</v>
      </c>
      <c r="AQ10" s="18" t="s">
        <v>384</v>
      </c>
      <c r="AR10" s="18"/>
      <c r="AS10" s="18"/>
      <c r="AT10" s="21" t="s">
        <v>515</v>
      </c>
      <c r="AU10" s="22" t="s">
        <v>368</v>
      </c>
      <c r="AV10" s="22" t="s">
        <v>501</v>
      </c>
      <c r="AW10" s="21" t="s">
        <v>479</v>
      </c>
      <c r="AX10" s="22" t="s">
        <v>484</v>
      </c>
      <c r="AY10" s="20" t="s">
        <v>509</v>
      </c>
      <c r="AZ10" s="18"/>
      <c r="BA10" s="1"/>
      <c r="BB10" s="1"/>
      <c r="BC10" s="18"/>
    </row>
    <row r="11" spans="1:55" x14ac:dyDescent="0.5">
      <c r="A11" s="1"/>
      <c r="B11" s="1"/>
      <c r="C11" s="1"/>
      <c r="D11" s="1"/>
      <c r="E11" s="1"/>
      <c r="F11" s="1"/>
      <c r="G11" s="1" t="s">
        <v>422</v>
      </c>
      <c r="H11" s="1" t="s">
        <v>447</v>
      </c>
      <c r="I11" s="1" t="s">
        <v>524</v>
      </c>
      <c r="J11" s="1" t="s">
        <v>476</v>
      </c>
      <c r="K11" s="1"/>
      <c r="L11" s="1" t="s">
        <v>500</v>
      </c>
      <c r="M11" s="1" t="s">
        <v>525</v>
      </c>
      <c r="N11" s="1" t="s">
        <v>526</v>
      </c>
      <c r="O11" s="1" t="s">
        <v>504</v>
      </c>
      <c r="P11" s="1" t="s">
        <v>478</v>
      </c>
      <c r="Q11" s="1" t="s">
        <v>527</v>
      </c>
      <c r="R11" s="1"/>
      <c r="S11" s="65" t="s">
        <v>500</v>
      </c>
      <c r="T11" s="1" t="s">
        <v>525</v>
      </c>
      <c r="U11" s="1" t="s">
        <v>526</v>
      </c>
      <c r="V11" s="1" t="s">
        <v>504</v>
      </c>
      <c r="W11" s="1" t="s">
        <v>478</v>
      </c>
      <c r="X11" s="1" t="s">
        <v>527</v>
      </c>
      <c r="Y11" s="65" t="s">
        <v>431</v>
      </c>
      <c r="Z11" s="1" t="s">
        <v>369</v>
      </c>
      <c r="AA11" s="1" t="s">
        <v>528</v>
      </c>
      <c r="AB11" s="1" t="s">
        <v>529</v>
      </c>
      <c r="AC11" s="75" t="s">
        <v>486</v>
      </c>
      <c r="AD11" s="1" t="s">
        <v>511</v>
      </c>
      <c r="AE11" s="1" t="s">
        <v>497</v>
      </c>
      <c r="AF11" s="68" t="s">
        <v>372</v>
      </c>
      <c r="AG11" s="66" t="s">
        <v>530</v>
      </c>
      <c r="AH11" s="1"/>
      <c r="AI11" s="1"/>
      <c r="AJ11" s="1"/>
      <c r="AK11" s="1"/>
      <c r="AL11" s="18" t="s">
        <v>531</v>
      </c>
      <c r="AM11" s="18" t="s">
        <v>532</v>
      </c>
      <c r="AN11" s="18" t="s">
        <v>500</v>
      </c>
      <c r="AO11" s="18" t="s">
        <v>473</v>
      </c>
      <c r="AP11" s="18" t="s">
        <v>473</v>
      </c>
      <c r="AQ11" s="18" t="s">
        <v>533</v>
      </c>
      <c r="AR11" s="18"/>
      <c r="AS11" s="18"/>
      <c r="AT11" s="19" t="s">
        <v>531</v>
      </c>
      <c r="AU11" s="19" t="s">
        <v>488</v>
      </c>
      <c r="AV11" s="20" t="s">
        <v>468</v>
      </c>
      <c r="AW11" s="20" t="s">
        <v>467</v>
      </c>
      <c r="AX11" s="22" t="s">
        <v>498</v>
      </c>
      <c r="AY11" s="20" t="s">
        <v>458</v>
      </c>
      <c r="AZ11" s="18"/>
      <c r="BA11" s="1"/>
      <c r="BB11" s="1"/>
      <c r="BC11" s="18"/>
    </row>
    <row r="12" spans="1:55" x14ac:dyDescent="0.5">
      <c r="A12" s="1"/>
      <c r="B12" s="1"/>
      <c r="C12" s="1"/>
      <c r="D12" s="1"/>
      <c r="E12" s="1"/>
      <c r="F12" s="1"/>
      <c r="G12" s="1" t="s">
        <v>435</v>
      </c>
      <c r="H12" s="1" t="s">
        <v>435</v>
      </c>
      <c r="I12" s="1" t="s">
        <v>435</v>
      </c>
      <c r="J12" s="1" t="s">
        <v>435</v>
      </c>
      <c r="K12" s="1"/>
      <c r="L12" s="1" t="s">
        <v>534</v>
      </c>
      <c r="M12" s="1" t="s">
        <v>534</v>
      </c>
      <c r="N12" s="1" t="s">
        <v>535</v>
      </c>
      <c r="O12" s="1" t="s">
        <v>510</v>
      </c>
      <c r="P12" s="1" t="s">
        <v>536</v>
      </c>
      <c r="Q12" s="1" t="s">
        <v>468</v>
      </c>
      <c r="R12" s="1"/>
      <c r="S12" s="65" t="s">
        <v>534</v>
      </c>
      <c r="T12" s="1" t="s">
        <v>534</v>
      </c>
      <c r="U12" s="1" t="s">
        <v>535</v>
      </c>
      <c r="V12" s="1" t="s">
        <v>510</v>
      </c>
      <c r="W12" s="1" t="s">
        <v>536</v>
      </c>
      <c r="X12" s="1" t="s">
        <v>468</v>
      </c>
      <c r="Y12" s="65" t="s">
        <v>365</v>
      </c>
      <c r="Z12" s="1" t="s">
        <v>537</v>
      </c>
      <c r="AA12" s="1" t="s">
        <v>538</v>
      </c>
      <c r="AB12" s="1" t="s">
        <v>539</v>
      </c>
      <c r="AC12" s="65" t="s">
        <v>461</v>
      </c>
      <c r="AD12" s="1" t="s">
        <v>368</v>
      </c>
      <c r="AE12" s="1" t="s">
        <v>483</v>
      </c>
      <c r="AF12" s="68" t="s">
        <v>540</v>
      </c>
      <c r="AG12" s="66" t="s">
        <v>369</v>
      </c>
      <c r="AH12" s="1"/>
      <c r="AI12" s="1"/>
      <c r="AJ12" s="1"/>
      <c r="AK12" s="1"/>
      <c r="AL12" s="18" t="s">
        <v>541</v>
      </c>
      <c r="AM12" s="18" t="s">
        <v>542</v>
      </c>
      <c r="AN12" s="18" t="s">
        <v>62</v>
      </c>
      <c r="AO12" s="18" t="s">
        <v>543</v>
      </c>
      <c r="AP12" s="18" t="s">
        <v>544</v>
      </c>
      <c r="AQ12" s="18" t="s">
        <v>545</v>
      </c>
      <c r="AR12" s="18"/>
      <c r="AS12" s="18"/>
      <c r="AT12" s="21" t="s">
        <v>541</v>
      </c>
      <c r="AU12" s="20" t="s">
        <v>492</v>
      </c>
      <c r="AV12" s="22" t="s">
        <v>451</v>
      </c>
      <c r="AW12" s="22" t="s">
        <v>478</v>
      </c>
      <c r="AX12" s="20" t="s">
        <v>509</v>
      </c>
      <c r="AY12" s="22" t="s">
        <v>497</v>
      </c>
      <c r="AZ12" s="18"/>
      <c r="BA12" s="1"/>
      <c r="BB12" s="1"/>
      <c r="BC12" s="18"/>
    </row>
    <row r="13" spans="1:55" x14ac:dyDescent="0.5">
      <c r="A13" s="1"/>
      <c r="B13" s="1"/>
      <c r="C13" s="1"/>
      <c r="D13" s="1"/>
      <c r="E13" s="1"/>
      <c r="F13" s="1"/>
      <c r="G13" s="1" t="s">
        <v>436</v>
      </c>
      <c r="H13" s="1" t="s">
        <v>436</v>
      </c>
      <c r="I13" s="1" t="s">
        <v>436</v>
      </c>
      <c r="J13" s="1" t="s">
        <v>436</v>
      </c>
      <c r="K13" s="1"/>
      <c r="L13" s="1" t="s">
        <v>541</v>
      </c>
      <c r="M13" s="1" t="s">
        <v>540</v>
      </c>
      <c r="N13" s="1" t="s">
        <v>546</v>
      </c>
      <c r="O13" s="1" t="s">
        <v>525</v>
      </c>
      <c r="P13" s="1" t="s">
        <v>547</v>
      </c>
      <c r="Q13" s="1" t="s">
        <v>548</v>
      </c>
      <c r="R13" s="1"/>
      <c r="S13" s="65" t="s">
        <v>541</v>
      </c>
      <c r="T13" s="1" t="s">
        <v>540</v>
      </c>
      <c r="U13" s="1" t="s">
        <v>546</v>
      </c>
      <c r="V13" s="1" t="s">
        <v>525</v>
      </c>
      <c r="W13" s="1" t="s">
        <v>547</v>
      </c>
      <c r="X13" s="1" t="s">
        <v>548</v>
      </c>
      <c r="Y13" s="65" t="s">
        <v>549</v>
      </c>
      <c r="Z13" s="1" t="s">
        <v>535</v>
      </c>
      <c r="AA13" s="1" t="s">
        <v>550</v>
      </c>
      <c r="AB13" s="1" t="s">
        <v>551</v>
      </c>
      <c r="AC13" s="65" t="s">
        <v>369</v>
      </c>
      <c r="AD13" s="1" t="s">
        <v>370</v>
      </c>
      <c r="AE13" s="1" t="s">
        <v>552</v>
      </c>
      <c r="AF13" s="68" t="s">
        <v>526</v>
      </c>
      <c r="AG13" s="66" t="s">
        <v>553</v>
      </c>
      <c r="AH13" s="1"/>
      <c r="AI13" s="1"/>
      <c r="AJ13" s="1"/>
      <c r="AK13" s="1"/>
      <c r="AL13" s="18" t="s">
        <v>554</v>
      </c>
      <c r="AM13" s="18" t="s">
        <v>555</v>
      </c>
      <c r="AN13" s="18" t="s">
        <v>556</v>
      </c>
      <c r="AO13" s="18" t="s">
        <v>557</v>
      </c>
      <c r="AP13" s="18" t="s">
        <v>478</v>
      </c>
      <c r="AQ13" s="18" t="s">
        <v>558</v>
      </c>
      <c r="AR13" s="18"/>
      <c r="AS13" s="18"/>
      <c r="AT13" s="19" t="s">
        <v>554</v>
      </c>
      <c r="AU13" s="22" t="s">
        <v>504</v>
      </c>
      <c r="AV13" s="22" t="s">
        <v>479</v>
      </c>
      <c r="AW13" s="20" t="s">
        <v>369</v>
      </c>
      <c r="AX13" s="22" t="s">
        <v>458</v>
      </c>
      <c r="AY13" s="20" t="s">
        <v>483</v>
      </c>
      <c r="AZ13" s="18"/>
      <c r="BA13" s="1"/>
      <c r="BB13" s="1"/>
      <c r="BC13" s="18"/>
    </row>
    <row r="14" spans="1:55" x14ac:dyDescent="0.5">
      <c r="A14" s="1"/>
      <c r="B14" s="1"/>
      <c r="C14" s="1"/>
      <c r="D14" s="1"/>
      <c r="E14" s="1"/>
      <c r="F14" s="1"/>
      <c r="G14" s="1" t="s">
        <v>437</v>
      </c>
      <c r="H14" s="1" t="s">
        <v>437</v>
      </c>
      <c r="I14" s="1" t="s">
        <v>437</v>
      </c>
      <c r="J14" s="1" t="s">
        <v>437</v>
      </c>
      <c r="K14" s="1"/>
      <c r="L14" s="1" t="s">
        <v>559</v>
      </c>
      <c r="M14" s="1" t="s">
        <v>535</v>
      </c>
      <c r="N14" s="1" t="s">
        <v>374</v>
      </c>
      <c r="O14" s="1" t="s">
        <v>560</v>
      </c>
      <c r="P14" s="1" t="s">
        <v>485</v>
      </c>
      <c r="Q14" s="1" t="s">
        <v>561</v>
      </c>
      <c r="R14" s="1"/>
      <c r="S14" s="65" t="s">
        <v>559</v>
      </c>
      <c r="T14" s="1" t="s">
        <v>535</v>
      </c>
      <c r="U14" s="78" t="s">
        <v>374</v>
      </c>
      <c r="V14" s="1" t="s">
        <v>560</v>
      </c>
      <c r="W14" s="1" t="s">
        <v>485</v>
      </c>
      <c r="X14" s="1" t="s">
        <v>561</v>
      </c>
      <c r="Y14" s="65" t="s">
        <v>513</v>
      </c>
      <c r="Z14" s="1" t="s">
        <v>562</v>
      </c>
      <c r="AA14" s="1" t="s">
        <v>563</v>
      </c>
      <c r="AB14" s="1" t="s">
        <v>562</v>
      </c>
      <c r="AC14" s="65" t="s">
        <v>550</v>
      </c>
      <c r="AD14" s="1" t="s">
        <v>564</v>
      </c>
      <c r="AE14" s="1" t="s">
        <v>565</v>
      </c>
      <c r="AF14" s="1" t="s">
        <v>566</v>
      </c>
      <c r="AG14" s="66" t="s">
        <v>567</v>
      </c>
      <c r="AH14" s="1"/>
      <c r="AI14" s="1"/>
      <c r="AJ14" s="1"/>
      <c r="AK14" s="1"/>
      <c r="AL14" s="18" t="s">
        <v>568</v>
      </c>
      <c r="AM14" s="18" t="s">
        <v>569</v>
      </c>
      <c r="AN14" s="18" t="s">
        <v>541</v>
      </c>
      <c r="AO14" s="18" t="s">
        <v>570</v>
      </c>
      <c r="AP14" s="18" t="s">
        <v>505</v>
      </c>
      <c r="AQ14" s="18" t="s">
        <v>571</v>
      </c>
      <c r="AR14" s="18"/>
      <c r="AS14" s="18"/>
      <c r="AT14" s="21" t="s">
        <v>568</v>
      </c>
      <c r="AU14" s="20" t="s">
        <v>516</v>
      </c>
      <c r="AV14" s="21" t="s">
        <v>523</v>
      </c>
      <c r="AW14" s="19" t="s">
        <v>485</v>
      </c>
      <c r="AX14" s="22" t="s">
        <v>472</v>
      </c>
      <c r="AY14" s="20" t="s">
        <v>552</v>
      </c>
      <c r="AZ14" s="18"/>
      <c r="BA14" s="1"/>
      <c r="BB14" s="1"/>
      <c r="BC14" s="18"/>
    </row>
    <row r="15" spans="1:55" x14ac:dyDescent="0.5">
      <c r="A15" s="1"/>
      <c r="B15" s="1"/>
      <c r="C15" s="1"/>
      <c r="D15" s="1"/>
      <c r="E15" s="1"/>
      <c r="F15" s="1"/>
      <c r="G15" s="1" t="s">
        <v>438</v>
      </c>
      <c r="H15" s="1" t="s">
        <v>438</v>
      </c>
      <c r="I15" s="1" t="s">
        <v>438</v>
      </c>
      <c r="J15" s="1" t="s">
        <v>438</v>
      </c>
      <c r="K15" s="1"/>
      <c r="L15" s="1" t="s">
        <v>554</v>
      </c>
      <c r="M15" s="1" t="s">
        <v>512</v>
      </c>
      <c r="N15" s="1" t="s">
        <v>556</v>
      </c>
      <c r="O15" s="1" t="s">
        <v>62</v>
      </c>
      <c r="P15" s="1" t="s">
        <v>505</v>
      </c>
      <c r="Q15" s="1" t="s">
        <v>461</v>
      </c>
      <c r="R15" s="1"/>
      <c r="S15" s="65" t="s">
        <v>554</v>
      </c>
      <c r="T15" s="1" t="s">
        <v>512</v>
      </c>
      <c r="U15" s="1" t="s">
        <v>556</v>
      </c>
      <c r="V15" s="1" t="s">
        <v>62</v>
      </c>
      <c r="W15" s="1" t="s">
        <v>505</v>
      </c>
      <c r="X15" s="1" t="s">
        <v>461</v>
      </c>
      <c r="Y15" s="65" t="s">
        <v>473</v>
      </c>
      <c r="Z15" s="74" t="s">
        <v>373</v>
      </c>
      <c r="AA15" s="1" t="s">
        <v>373</v>
      </c>
      <c r="AB15" s="68" t="s">
        <v>374</v>
      </c>
      <c r="AC15" s="65" t="s">
        <v>491</v>
      </c>
      <c r="AD15" s="1" t="s">
        <v>572</v>
      </c>
      <c r="AE15" s="1" t="s">
        <v>486</v>
      </c>
      <c r="AF15" s="1" t="s">
        <v>573</v>
      </c>
      <c r="AG15" s="79" t="s">
        <v>574</v>
      </c>
      <c r="AH15" s="1"/>
      <c r="AI15" s="1"/>
      <c r="AJ15" s="1"/>
      <c r="AK15" s="1"/>
      <c r="AL15" s="18" t="s">
        <v>575</v>
      </c>
      <c r="AM15" s="18" t="s">
        <v>576</v>
      </c>
      <c r="AN15" s="18" t="s">
        <v>122</v>
      </c>
      <c r="AO15" s="18" t="s">
        <v>577</v>
      </c>
      <c r="AP15" s="18" t="s">
        <v>578</v>
      </c>
      <c r="AQ15" s="18" t="s">
        <v>579</v>
      </c>
      <c r="AR15" s="18"/>
      <c r="AS15" s="18"/>
      <c r="AT15" s="19" t="s">
        <v>575</v>
      </c>
      <c r="AU15" s="22" t="s">
        <v>525</v>
      </c>
      <c r="AV15" s="20" t="s">
        <v>467</v>
      </c>
      <c r="AW15" s="22" t="s">
        <v>505</v>
      </c>
      <c r="AX15" s="22" t="s">
        <v>497</v>
      </c>
      <c r="AY15" s="20" t="s">
        <v>565</v>
      </c>
      <c r="AZ15" s="18"/>
      <c r="BA15" s="1"/>
      <c r="BB15" s="1"/>
      <c r="BC15" s="18"/>
    </row>
    <row r="16" spans="1:55" x14ac:dyDescent="0.5">
      <c r="A16" s="1"/>
      <c r="B16" s="1"/>
      <c r="C16" s="1"/>
      <c r="D16" s="1"/>
      <c r="E16" s="1"/>
      <c r="F16" s="1"/>
      <c r="G16" s="1" t="s">
        <v>439</v>
      </c>
      <c r="H16" s="1" t="s">
        <v>439</v>
      </c>
      <c r="I16" s="1" t="s">
        <v>439</v>
      </c>
      <c r="J16" s="1" t="s">
        <v>439</v>
      </c>
      <c r="K16" s="1"/>
      <c r="L16" s="1" t="s">
        <v>375</v>
      </c>
      <c r="M16" s="1" t="s">
        <v>374</v>
      </c>
      <c r="N16" s="1" t="s">
        <v>580</v>
      </c>
      <c r="O16" s="1" t="s">
        <v>581</v>
      </c>
      <c r="P16" s="1" t="s">
        <v>582</v>
      </c>
      <c r="Q16" s="1" t="s">
        <v>536</v>
      </c>
      <c r="R16" s="1"/>
      <c r="S16" s="65" t="s">
        <v>375</v>
      </c>
      <c r="T16" s="1" t="s">
        <v>374</v>
      </c>
      <c r="U16" s="1" t="s">
        <v>580</v>
      </c>
      <c r="V16" s="1" t="s">
        <v>581</v>
      </c>
      <c r="W16" s="67" t="s">
        <v>582</v>
      </c>
      <c r="X16" s="1" t="s">
        <v>536</v>
      </c>
      <c r="Y16" s="65" t="s">
        <v>583</v>
      </c>
      <c r="Z16" s="1" t="s">
        <v>584</v>
      </c>
      <c r="AA16" s="1" t="s">
        <v>585</v>
      </c>
      <c r="AB16" s="1" t="s">
        <v>586</v>
      </c>
      <c r="AC16" s="65" t="s">
        <v>581</v>
      </c>
      <c r="AD16" s="1" t="s">
        <v>491</v>
      </c>
      <c r="AE16" s="1" t="s">
        <v>587</v>
      </c>
      <c r="AF16" s="1" t="s">
        <v>588</v>
      </c>
      <c r="AG16" s="66" t="s">
        <v>572</v>
      </c>
      <c r="AH16" s="1"/>
      <c r="AI16" s="1"/>
      <c r="AJ16" s="1"/>
      <c r="AK16" s="1"/>
      <c r="AL16" s="18" t="s">
        <v>589</v>
      </c>
      <c r="AM16" s="18" t="s">
        <v>590</v>
      </c>
      <c r="AN16" s="18" t="s">
        <v>559</v>
      </c>
      <c r="AO16" s="18" t="s">
        <v>591</v>
      </c>
      <c r="AP16" s="18" t="s">
        <v>582</v>
      </c>
      <c r="AQ16" s="18" t="s">
        <v>592</v>
      </c>
      <c r="AR16" s="18"/>
      <c r="AS16" s="18"/>
      <c r="AT16" s="21" t="s">
        <v>589</v>
      </c>
      <c r="AU16" s="21" t="s">
        <v>500</v>
      </c>
      <c r="AV16" s="20" t="s">
        <v>473</v>
      </c>
      <c r="AW16" s="19" t="s">
        <v>500</v>
      </c>
      <c r="AX16" s="22" t="s">
        <v>483</v>
      </c>
      <c r="AY16" s="20" t="s">
        <v>486</v>
      </c>
      <c r="AZ16" s="18"/>
      <c r="BA16" s="1"/>
      <c r="BB16" s="1"/>
      <c r="BC16" s="18"/>
    </row>
    <row r="17" spans="7:55" x14ac:dyDescent="0.5">
      <c r="G17" s="1" t="s">
        <v>440</v>
      </c>
      <c r="H17" s="1" t="s">
        <v>440</v>
      </c>
      <c r="I17" s="1" t="s">
        <v>440</v>
      </c>
      <c r="J17" s="1" t="s">
        <v>440</v>
      </c>
      <c r="K17" s="1"/>
      <c r="L17" s="1" t="s">
        <v>593</v>
      </c>
      <c r="M17" s="1" t="s">
        <v>375</v>
      </c>
      <c r="N17" s="1" t="s">
        <v>541</v>
      </c>
      <c r="O17" s="1" t="s">
        <v>594</v>
      </c>
      <c r="P17" s="1" t="s">
        <v>595</v>
      </c>
      <c r="Q17" s="1" t="s">
        <v>547</v>
      </c>
      <c r="R17" s="1"/>
      <c r="S17" s="65" t="s">
        <v>593</v>
      </c>
      <c r="T17" s="67" t="s">
        <v>375</v>
      </c>
      <c r="U17" s="1" t="s">
        <v>541</v>
      </c>
      <c r="V17" s="67" t="s">
        <v>594</v>
      </c>
      <c r="W17" s="1" t="s">
        <v>595</v>
      </c>
      <c r="X17" s="1" t="s">
        <v>547</v>
      </c>
      <c r="Y17" s="65" t="s">
        <v>596</v>
      </c>
      <c r="Z17" s="1" t="s">
        <v>556</v>
      </c>
      <c r="AA17" s="1" t="s">
        <v>591</v>
      </c>
      <c r="AB17" s="1" t="s">
        <v>597</v>
      </c>
      <c r="AC17" s="65" t="s">
        <v>562</v>
      </c>
      <c r="AD17" s="1" t="s">
        <v>500</v>
      </c>
      <c r="AE17" s="1" t="s">
        <v>461</v>
      </c>
      <c r="AF17" s="1" t="s">
        <v>598</v>
      </c>
      <c r="AG17" s="66" t="s">
        <v>550</v>
      </c>
      <c r="AH17" s="1"/>
      <c r="AI17" s="1"/>
      <c r="AJ17" s="1"/>
      <c r="AK17" s="1"/>
      <c r="AL17" s="18" t="s">
        <v>599</v>
      </c>
      <c r="AM17" s="18" t="s">
        <v>600</v>
      </c>
      <c r="AN17" s="18" t="s">
        <v>601</v>
      </c>
      <c r="AO17" s="18" t="s">
        <v>541</v>
      </c>
      <c r="AP17" s="18" t="s">
        <v>504</v>
      </c>
      <c r="AQ17" s="18" t="s">
        <v>602</v>
      </c>
      <c r="AR17" s="18"/>
      <c r="AS17" s="18"/>
      <c r="AT17" s="19" t="s">
        <v>599</v>
      </c>
      <c r="AU17" s="20" t="s">
        <v>534</v>
      </c>
      <c r="AV17" s="22" t="s">
        <v>478</v>
      </c>
      <c r="AW17" s="21" t="s">
        <v>62</v>
      </c>
      <c r="AX17" s="22" t="s">
        <v>431</v>
      </c>
      <c r="AY17" s="20" t="s">
        <v>479</v>
      </c>
      <c r="AZ17" s="18"/>
      <c r="BA17" s="1"/>
      <c r="BB17" s="1"/>
      <c r="BC17" s="18"/>
    </row>
    <row r="18" spans="7:55" x14ac:dyDescent="0.5">
      <c r="G18" s="1"/>
      <c r="H18" s="1"/>
      <c r="I18" s="1"/>
      <c r="J18" s="1"/>
      <c r="K18" s="1"/>
      <c r="L18" s="1" t="s">
        <v>603</v>
      </c>
      <c r="M18" s="1" t="s">
        <v>603</v>
      </c>
      <c r="N18" s="1" t="s">
        <v>604</v>
      </c>
      <c r="O18" s="1" t="s">
        <v>570</v>
      </c>
      <c r="P18" s="1" t="s">
        <v>560</v>
      </c>
      <c r="Q18" s="1" t="s">
        <v>605</v>
      </c>
      <c r="R18" s="1"/>
      <c r="S18" s="65" t="s">
        <v>603</v>
      </c>
      <c r="T18" s="1" t="s">
        <v>603</v>
      </c>
      <c r="U18" s="1" t="s">
        <v>604</v>
      </c>
      <c r="V18" s="1" t="s">
        <v>570</v>
      </c>
      <c r="W18" s="1" t="s">
        <v>560</v>
      </c>
      <c r="X18" s="1" t="s">
        <v>605</v>
      </c>
      <c r="Y18" s="65" t="s">
        <v>369</v>
      </c>
      <c r="Z18" s="1" t="s">
        <v>597</v>
      </c>
      <c r="AA18" s="1" t="s">
        <v>597</v>
      </c>
      <c r="AB18" s="1" t="s">
        <v>606</v>
      </c>
      <c r="AC18" s="65" t="s">
        <v>373</v>
      </c>
      <c r="AD18" s="1" t="s">
        <v>512</v>
      </c>
      <c r="AE18" s="1" t="s">
        <v>607</v>
      </c>
      <c r="AF18" s="1" t="s">
        <v>378</v>
      </c>
      <c r="AG18" s="66" t="s">
        <v>546</v>
      </c>
      <c r="AH18" s="1"/>
      <c r="AI18" s="1"/>
      <c r="AJ18" s="1"/>
      <c r="AK18" s="1"/>
      <c r="AL18" s="18" t="s">
        <v>608</v>
      </c>
      <c r="AM18" s="18" t="s">
        <v>99</v>
      </c>
      <c r="AN18" s="18" t="s">
        <v>609</v>
      </c>
      <c r="AO18" s="18" t="s">
        <v>610</v>
      </c>
      <c r="AP18" s="18" t="s">
        <v>525</v>
      </c>
      <c r="AQ18" s="18" t="s">
        <v>611</v>
      </c>
      <c r="AR18" s="18"/>
      <c r="AS18" s="18"/>
      <c r="AT18" s="21" t="s">
        <v>608</v>
      </c>
      <c r="AU18" s="22" t="s">
        <v>540</v>
      </c>
      <c r="AV18" s="20" t="s">
        <v>369</v>
      </c>
      <c r="AW18" s="19" t="s">
        <v>526</v>
      </c>
      <c r="AX18" s="22" t="s">
        <v>552</v>
      </c>
      <c r="AY18" s="20" t="s">
        <v>461</v>
      </c>
      <c r="AZ18" s="18"/>
      <c r="BA18" s="1"/>
      <c r="BB18" s="1"/>
      <c r="BC18" s="18"/>
    </row>
    <row r="19" spans="7:55" x14ac:dyDescent="0.5">
      <c r="G19" s="1" t="s">
        <v>423</v>
      </c>
      <c r="H19" s="1" t="s">
        <v>612</v>
      </c>
      <c r="I19" s="1" t="s">
        <v>464</v>
      </c>
      <c r="J19" s="1"/>
      <c r="K19" s="1"/>
      <c r="L19" s="1" t="s">
        <v>603</v>
      </c>
      <c r="M19" s="1" t="s">
        <v>542</v>
      </c>
      <c r="N19" s="1" t="s">
        <v>122</v>
      </c>
      <c r="O19" s="1" t="s">
        <v>566</v>
      </c>
      <c r="P19" s="1" t="s">
        <v>613</v>
      </c>
      <c r="Q19" s="1" t="s">
        <v>614</v>
      </c>
      <c r="R19" s="1"/>
      <c r="S19" s="65" t="s">
        <v>603</v>
      </c>
      <c r="T19" s="1" t="s">
        <v>542</v>
      </c>
      <c r="U19" s="1" t="s">
        <v>122</v>
      </c>
      <c r="V19" s="1" t="s">
        <v>566</v>
      </c>
      <c r="W19" s="1" t="s">
        <v>613</v>
      </c>
      <c r="X19" s="1" t="s">
        <v>614</v>
      </c>
      <c r="Y19" s="75" t="s">
        <v>505</v>
      </c>
      <c r="Z19" s="1" t="s">
        <v>615</v>
      </c>
      <c r="AA19" s="1" t="s">
        <v>616</v>
      </c>
      <c r="AB19" s="1" t="s">
        <v>122</v>
      </c>
      <c r="AC19" s="65" t="s">
        <v>577</v>
      </c>
      <c r="AD19" s="1" t="s">
        <v>577</v>
      </c>
      <c r="AE19" s="67" t="s">
        <v>617</v>
      </c>
      <c r="AF19" s="77" t="s">
        <v>107</v>
      </c>
      <c r="AG19" s="66" t="s">
        <v>577</v>
      </c>
      <c r="AH19" s="1"/>
      <c r="AI19" s="1"/>
      <c r="AJ19" s="1"/>
      <c r="AK19" s="1"/>
      <c r="AL19" s="18" t="s">
        <v>618</v>
      </c>
      <c r="AM19" s="18" t="s">
        <v>608</v>
      </c>
      <c r="AN19" s="18" t="s">
        <v>107</v>
      </c>
      <c r="AO19" s="18" t="s">
        <v>619</v>
      </c>
      <c r="AP19" s="18" t="s">
        <v>595</v>
      </c>
      <c r="AQ19" s="18" t="s">
        <v>620</v>
      </c>
      <c r="AR19" s="18"/>
      <c r="AS19" s="18"/>
      <c r="AT19" s="19" t="s">
        <v>618</v>
      </c>
      <c r="AU19" s="20" t="s">
        <v>535</v>
      </c>
      <c r="AV19" s="22" t="s">
        <v>499</v>
      </c>
      <c r="AW19" s="19" t="s">
        <v>535</v>
      </c>
      <c r="AX19" s="20" t="s">
        <v>565</v>
      </c>
      <c r="AY19" s="20" t="s">
        <v>520</v>
      </c>
      <c r="AZ19" s="18"/>
      <c r="BA19" s="1"/>
      <c r="BB19" s="1"/>
      <c r="BC19" s="18"/>
    </row>
    <row r="20" spans="7:55" x14ac:dyDescent="0.5">
      <c r="G20" s="1" t="s">
        <v>441</v>
      </c>
      <c r="H20" s="1" t="s">
        <v>441</v>
      </c>
      <c r="I20" s="1" t="s">
        <v>441</v>
      </c>
      <c r="J20" s="1"/>
      <c r="K20" s="1"/>
      <c r="L20" s="1" t="s">
        <v>621</v>
      </c>
      <c r="M20" s="1" t="s">
        <v>622</v>
      </c>
      <c r="N20" s="1" t="s">
        <v>532</v>
      </c>
      <c r="O20" s="1" t="s">
        <v>546</v>
      </c>
      <c r="P20" s="1" t="s">
        <v>62</v>
      </c>
      <c r="Q20" s="1" t="s">
        <v>623</v>
      </c>
      <c r="R20" s="1"/>
      <c r="S20" s="65" t="s">
        <v>621</v>
      </c>
      <c r="T20" s="1" t="s">
        <v>622</v>
      </c>
      <c r="U20" s="1" t="s">
        <v>532</v>
      </c>
      <c r="V20" s="1" t="s">
        <v>546</v>
      </c>
      <c r="W20" s="1" t="s">
        <v>62</v>
      </c>
      <c r="X20" s="1" t="s">
        <v>623</v>
      </c>
      <c r="Y20" s="65" t="s">
        <v>564</v>
      </c>
      <c r="Z20" s="1" t="s">
        <v>624</v>
      </c>
      <c r="AA20" s="1" t="s">
        <v>625</v>
      </c>
      <c r="AB20" s="1" t="s">
        <v>626</v>
      </c>
      <c r="AC20" s="65" t="s">
        <v>541</v>
      </c>
      <c r="AD20" s="1" t="s">
        <v>541</v>
      </c>
      <c r="AE20" s="1" t="s">
        <v>627</v>
      </c>
      <c r="AF20" s="1" t="s">
        <v>628</v>
      </c>
      <c r="AG20" s="66" t="s">
        <v>616</v>
      </c>
      <c r="AH20" s="1"/>
      <c r="AI20" s="1"/>
      <c r="AJ20" s="1"/>
      <c r="AK20" s="1"/>
      <c r="AL20" s="18" t="s">
        <v>629</v>
      </c>
      <c r="AM20" s="18" t="s">
        <v>629</v>
      </c>
      <c r="AN20" s="18" t="s">
        <v>99</v>
      </c>
      <c r="AO20" s="18" t="s">
        <v>375</v>
      </c>
      <c r="AP20" s="18" t="s">
        <v>560</v>
      </c>
      <c r="AQ20" s="18" t="s">
        <v>392</v>
      </c>
      <c r="AR20" s="18"/>
      <c r="AS20" s="18"/>
      <c r="AT20" s="21" t="s">
        <v>629</v>
      </c>
      <c r="AU20" s="19" t="s">
        <v>512</v>
      </c>
      <c r="AV20" s="22" t="s">
        <v>505</v>
      </c>
      <c r="AW20" s="19" t="s">
        <v>546</v>
      </c>
      <c r="AX20" s="20" t="s">
        <v>486</v>
      </c>
      <c r="AY20" s="20" t="s">
        <v>617</v>
      </c>
      <c r="AZ20" s="18"/>
      <c r="BA20" s="1"/>
      <c r="BB20" s="1"/>
      <c r="BC20" s="18"/>
    </row>
    <row r="21" spans="7:55" x14ac:dyDescent="0.5">
      <c r="G21" s="1" t="s">
        <v>442</v>
      </c>
      <c r="H21" s="1" t="s">
        <v>442</v>
      </c>
      <c r="I21" s="1" t="s">
        <v>442</v>
      </c>
      <c r="J21" s="1"/>
      <c r="K21" s="1"/>
      <c r="L21" s="1" t="s">
        <v>381</v>
      </c>
      <c r="M21" s="1" t="s">
        <v>555</v>
      </c>
      <c r="N21" s="1" t="s">
        <v>630</v>
      </c>
      <c r="O21" s="1" t="s">
        <v>577</v>
      </c>
      <c r="P21" s="1" t="s">
        <v>534</v>
      </c>
      <c r="Q21" s="1" t="s">
        <v>574</v>
      </c>
      <c r="R21" s="1"/>
      <c r="S21" s="69" t="s">
        <v>381</v>
      </c>
      <c r="T21" s="1" t="s">
        <v>555</v>
      </c>
      <c r="U21" s="1" t="s">
        <v>630</v>
      </c>
      <c r="V21" s="1" t="s">
        <v>577</v>
      </c>
      <c r="W21" s="1" t="s">
        <v>534</v>
      </c>
      <c r="X21" s="1" t="s">
        <v>574</v>
      </c>
      <c r="Y21" s="65" t="s">
        <v>488</v>
      </c>
      <c r="Z21" s="1" t="s">
        <v>559</v>
      </c>
      <c r="AA21" s="1" t="s">
        <v>625</v>
      </c>
      <c r="AB21" s="1" t="s">
        <v>631</v>
      </c>
      <c r="AC21" s="69" t="s">
        <v>122</v>
      </c>
      <c r="AD21" s="1" t="s">
        <v>632</v>
      </c>
      <c r="AE21" s="1" t="s">
        <v>633</v>
      </c>
      <c r="AF21" s="1" t="s">
        <v>634</v>
      </c>
      <c r="AG21" s="66" t="s">
        <v>635</v>
      </c>
      <c r="AH21" s="1"/>
      <c r="AI21" s="1"/>
      <c r="AJ21" s="1"/>
      <c r="AK21" s="1"/>
      <c r="AL21" s="18" t="s">
        <v>636</v>
      </c>
      <c r="AM21" s="18" t="s">
        <v>637</v>
      </c>
      <c r="AN21" s="18" t="s">
        <v>638</v>
      </c>
      <c r="AO21" s="18" t="s">
        <v>603</v>
      </c>
      <c r="AP21" s="18" t="s">
        <v>519</v>
      </c>
      <c r="AQ21" s="18" t="s">
        <v>639</v>
      </c>
      <c r="AR21" s="18"/>
      <c r="AS21" s="18"/>
      <c r="AT21" s="19" t="s">
        <v>636</v>
      </c>
      <c r="AU21" s="20" t="s">
        <v>374</v>
      </c>
      <c r="AV21" s="20" t="s">
        <v>488</v>
      </c>
      <c r="AW21" s="19" t="s">
        <v>374</v>
      </c>
      <c r="AX21" s="22" t="s">
        <v>587</v>
      </c>
      <c r="AY21" s="20" t="s">
        <v>369</v>
      </c>
      <c r="AZ21" s="18"/>
      <c r="BA21" s="1"/>
      <c r="BB21" s="1"/>
      <c r="BC21" s="18"/>
    </row>
    <row r="22" spans="7:55" x14ac:dyDescent="0.5">
      <c r="G22" s="1" t="s">
        <v>443</v>
      </c>
      <c r="H22" s="1" t="s">
        <v>443</v>
      </c>
      <c r="I22" s="1" t="s">
        <v>443</v>
      </c>
      <c r="J22" s="1"/>
      <c r="K22" s="1"/>
      <c r="L22" s="1" t="s">
        <v>107</v>
      </c>
      <c r="M22" s="1" t="s">
        <v>588</v>
      </c>
      <c r="N22" s="1" t="s">
        <v>640</v>
      </c>
      <c r="O22" s="1" t="s">
        <v>640</v>
      </c>
      <c r="P22" s="1" t="s">
        <v>641</v>
      </c>
      <c r="Q22" s="1" t="s">
        <v>642</v>
      </c>
      <c r="R22" s="1"/>
      <c r="S22" s="65" t="s">
        <v>107</v>
      </c>
      <c r="T22" s="1" t="s">
        <v>588</v>
      </c>
      <c r="U22" s="1" t="s">
        <v>640</v>
      </c>
      <c r="V22" s="67" t="s">
        <v>640</v>
      </c>
      <c r="W22" s="1" t="s">
        <v>641</v>
      </c>
      <c r="X22" s="1" t="s">
        <v>642</v>
      </c>
      <c r="Y22" s="65" t="s">
        <v>574</v>
      </c>
      <c r="Z22" s="1" t="s">
        <v>603</v>
      </c>
      <c r="AA22" s="1" t="s">
        <v>643</v>
      </c>
      <c r="AB22" s="1" t="s">
        <v>635</v>
      </c>
      <c r="AC22" s="65" t="s">
        <v>644</v>
      </c>
      <c r="AD22" s="1" t="s">
        <v>644</v>
      </c>
      <c r="AE22" s="1" t="s">
        <v>645</v>
      </c>
      <c r="AF22" s="1" t="s">
        <v>646</v>
      </c>
      <c r="AG22" s="66" t="s">
        <v>647</v>
      </c>
      <c r="AH22" s="1"/>
      <c r="AI22" s="1"/>
      <c r="AJ22" s="1"/>
      <c r="AK22" s="1"/>
      <c r="AL22" s="18" t="s">
        <v>648</v>
      </c>
      <c r="AM22" s="18" t="s">
        <v>649</v>
      </c>
      <c r="AN22" s="18" t="s">
        <v>650</v>
      </c>
      <c r="AO22" s="18" t="s">
        <v>590</v>
      </c>
      <c r="AP22" s="18" t="s">
        <v>500</v>
      </c>
      <c r="AQ22" s="1"/>
      <c r="AR22" s="1"/>
      <c r="AS22" s="1"/>
      <c r="AT22" s="19" t="s">
        <v>637</v>
      </c>
      <c r="AU22" s="20" t="s">
        <v>521</v>
      </c>
      <c r="AV22" s="22" t="s">
        <v>543</v>
      </c>
      <c r="AW22" s="19" t="s">
        <v>556</v>
      </c>
      <c r="AX22" s="22" t="s">
        <v>479</v>
      </c>
      <c r="AY22" s="20" t="s">
        <v>485</v>
      </c>
      <c r="AZ22" s="1"/>
      <c r="BA22" s="1"/>
      <c r="BB22" s="1"/>
      <c r="BC22" s="1"/>
    </row>
    <row r="23" spans="7:55" x14ac:dyDescent="0.5">
      <c r="G23" s="1" t="s">
        <v>444</v>
      </c>
      <c r="H23" s="1" t="s">
        <v>444</v>
      </c>
      <c r="I23" s="1" t="s">
        <v>444</v>
      </c>
      <c r="J23" s="1"/>
      <c r="K23" s="1"/>
      <c r="L23" s="1" t="s">
        <v>576</v>
      </c>
      <c r="M23" s="1" t="s">
        <v>569</v>
      </c>
      <c r="N23" s="1" t="s">
        <v>640</v>
      </c>
      <c r="O23" s="1" t="s">
        <v>603</v>
      </c>
      <c r="P23" s="1" t="s">
        <v>373</v>
      </c>
      <c r="Q23" s="1" t="s">
        <v>504</v>
      </c>
      <c r="R23" s="1"/>
      <c r="S23" s="65" t="s">
        <v>576</v>
      </c>
      <c r="T23" s="1" t="s">
        <v>569</v>
      </c>
      <c r="U23" s="1" t="s">
        <v>640</v>
      </c>
      <c r="V23" s="1" t="s">
        <v>603</v>
      </c>
      <c r="W23" s="1" t="s">
        <v>373</v>
      </c>
      <c r="X23" s="1" t="s">
        <v>504</v>
      </c>
      <c r="Y23" s="65" t="s">
        <v>371</v>
      </c>
      <c r="Z23" s="76" t="s">
        <v>651</v>
      </c>
      <c r="AA23" s="1" t="s">
        <v>610</v>
      </c>
      <c r="AB23" s="1" t="s">
        <v>652</v>
      </c>
      <c r="AC23" s="65" t="s">
        <v>653</v>
      </c>
      <c r="AD23" s="1" t="s">
        <v>654</v>
      </c>
      <c r="AE23" s="1" t="s">
        <v>655</v>
      </c>
      <c r="AF23" s="68" t="s">
        <v>558</v>
      </c>
      <c r="AG23" s="66" t="s">
        <v>656</v>
      </c>
      <c r="AH23" s="1"/>
      <c r="AI23" s="1"/>
      <c r="AJ23" s="1"/>
      <c r="AK23" s="1"/>
      <c r="AL23" s="18" t="s">
        <v>657</v>
      </c>
      <c r="AM23" s="18" t="s">
        <v>634</v>
      </c>
      <c r="AN23" s="18" t="s">
        <v>386</v>
      </c>
      <c r="AO23" s="18" t="s">
        <v>658</v>
      </c>
      <c r="AP23" s="18" t="s">
        <v>659</v>
      </c>
      <c r="AQ23" s="1"/>
      <c r="AR23" s="1"/>
      <c r="AS23" s="1"/>
      <c r="AT23" s="21" t="s">
        <v>648</v>
      </c>
      <c r="AU23" s="20" t="s">
        <v>532</v>
      </c>
      <c r="AV23" s="22" t="s">
        <v>504</v>
      </c>
      <c r="AW23" s="20" t="s">
        <v>580</v>
      </c>
      <c r="AX23" s="20" t="s">
        <v>461</v>
      </c>
      <c r="AY23" s="20" t="s">
        <v>499</v>
      </c>
      <c r="AZ23" s="1"/>
      <c r="BA23" s="1"/>
      <c r="BB23" s="1"/>
      <c r="BC23" s="1"/>
    </row>
    <row r="24" spans="7:55" x14ac:dyDescent="0.5">
      <c r="G24" s="1" t="s">
        <v>445</v>
      </c>
      <c r="H24" s="1" t="s">
        <v>445</v>
      </c>
      <c r="I24" s="1" t="s">
        <v>445</v>
      </c>
      <c r="J24" s="1"/>
      <c r="K24" s="1"/>
      <c r="L24" s="1" t="s">
        <v>575</v>
      </c>
      <c r="M24" s="1" t="s">
        <v>381</v>
      </c>
      <c r="N24" s="1" t="s">
        <v>376</v>
      </c>
      <c r="O24" s="1" t="s">
        <v>660</v>
      </c>
      <c r="P24" s="1" t="s">
        <v>374</v>
      </c>
      <c r="Q24" s="1" t="s">
        <v>510</v>
      </c>
      <c r="R24" s="1"/>
      <c r="S24" s="65" t="s">
        <v>575</v>
      </c>
      <c r="T24" s="1" t="s">
        <v>381</v>
      </c>
      <c r="U24" s="1" t="s">
        <v>376</v>
      </c>
      <c r="V24" s="1" t="s">
        <v>660</v>
      </c>
      <c r="W24" s="67" t="s">
        <v>374</v>
      </c>
      <c r="X24" s="1" t="s">
        <v>510</v>
      </c>
      <c r="Y24" s="65" t="s">
        <v>538</v>
      </c>
      <c r="Z24" s="1" t="s">
        <v>555</v>
      </c>
      <c r="AA24" s="1" t="s">
        <v>661</v>
      </c>
      <c r="AB24" s="1" t="s">
        <v>662</v>
      </c>
      <c r="AC24" s="65" t="s">
        <v>630</v>
      </c>
      <c r="AD24" s="1" t="s">
        <v>381</v>
      </c>
      <c r="AE24" s="1" t="s">
        <v>541</v>
      </c>
      <c r="AF24" s="1" t="s">
        <v>663</v>
      </c>
      <c r="AG24" s="66" t="s">
        <v>664</v>
      </c>
      <c r="AH24" s="1"/>
      <c r="AI24" s="1"/>
      <c r="AJ24" s="1"/>
      <c r="AK24" s="1"/>
      <c r="AL24" s="18" t="s">
        <v>96</v>
      </c>
      <c r="AM24" s="18" t="s">
        <v>104</v>
      </c>
      <c r="AN24" s="18" t="s">
        <v>665</v>
      </c>
      <c r="AO24" s="18" t="s">
        <v>666</v>
      </c>
      <c r="AP24" s="18" t="s">
        <v>374</v>
      </c>
      <c r="AQ24" s="1"/>
      <c r="AR24" s="1"/>
      <c r="AS24" s="1"/>
      <c r="AT24" s="19" t="s">
        <v>657</v>
      </c>
      <c r="AU24" s="20" t="s">
        <v>375</v>
      </c>
      <c r="AV24" s="20" t="s">
        <v>510</v>
      </c>
      <c r="AW24" s="21" t="s">
        <v>541</v>
      </c>
      <c r="AX24" s="20" t="s">
        <v>511</v>
      </c>
      <c r="AY24" s="20" t="s">
        <v>553</v>
      </c>
      <c r="AZ24" s="1"/>
      <c r="BA24" s="1"/>
      <c r="BB24" s="1"/>
      <c r="BC24" s="1"/>
    </row>
    <row r="25" spans="7:55" x14ac:dyDescent="0.5">
      <c r="G25" s="1" t="s">
        <v>667</v>
      </c>
      <c r="H25" s="1" t="s">
        <v>667</v>
      </c>
      <c r="I25" s="1" t="s">
        <v>667</v>
      </c>
      <c r="J25" s="1"/>
      <c r="K25" s="1"/>
      <c r="L25" s="1" t="s">
        <v>668</v>
      </c>
      <c r="M25" s="1" t="s">
        <v>107</v>
      </c>
      <c r="N25" s="1" t="s">
        <v>660</v>
      </c>
      <c r="O25" s="1" t="s">
        <v>658</v>
      </c>
      <c r="P25" s="1" t="s">
        <v>616</v>
      </c>
      <c r="Q25" s="1" t="s">
        <v>669</v>
      </c>
      <c r="R25" s="1"/>
      <c r="S25" s="65" t="s">
        <v>668</v>
      </c>
      <c r="T25" s="1" t="s">
        <v>107</v>
      </c>
      <c r="U25" s="1" t="s">
        <v>660</v>
      </c>
      <c r="V25" s="1" t="s">
        <v>658</v>
      </c>
      <c r="W25" s="1" t="s">
        <v>616</v>
      </c>
      <c r="X25" s="1" t="s">
        <v>669</v>
      </c>
      <c r="Y25" s="65" t="s">
        <v>670</v>
      </c>
      <c r="Z25" s="1" t="s">
        <v>588</v>
      </c>
      <c r="AA25" s="1" t="s">
        <v>671</v>
      </c>
      <c r="AB25" s="1" t="s">
        <v>672</v>
      </c>
      <c r="AC25" s="65" t="s">
        <v>376</v>
      </c>
      <c r="AD25" s="1" t="s">
        <v>673</v>
      </c>
      <c r="AE25" s="1" t="s">
        <v>122</v>
      </c>
      <c r="AF25" s="1" t="s">
        <v>96</v>
      </c>
      <c r="AG25" s="66" t="s">
        <v>385</v>
      </c>
      <c r="AH25" s="1"/>
      <c r="AI25" s="1"/>
      <c r="AJ25" s="1"/>
      <c r="AK25" s="1"/>
      <c r="AL25" s="18" t="s">
        <v>104</v>
      </c>
      <c r="AM25" s="18" t="s">
        <v>674</v>
      </c>
      <c r="AN25" s="18" t="s">
        <v>389</v>
      </c>
      <c r="AO25" s="18" t="s">
        <v>675</v>
      </c>
      <c r="AP25" s="18" t="s">
        <v>630</v>
      </c>
      <c r="AQ25" s="1"/>
      <c r="AR25" s="1"/>
      <c r="AS25" s="1"/>
      <c r="AT25" s="21" t="s">
        <v>96</v>
      </c>
      <c r="AU25" s="20" t="s">
        <v>603</v>
      </c>
      <c r="AV25" s="22" t="s">
        <v>525</v>
      </c>
      <c r="AW25" s="20" t="s">
        <v>604</v>
      </c>
      <c r="AX25" s="20" t="s">
        <v>607</v>
      </c>
      <c r="AY25" s="20" t="s">
        <v>567</v>
      </c>
      <c r="AZ25" s="1"/>
      <c r="BA25" s="1"/>
      <c r="BB25" s="1"/>
      <c r="BC25" s="1"/>
    </row>
    <row r="26" spans="7:55" x14ac:dyDescent="0.5">
      <c r="G26" s="1"/>
      <c r="H26" s="1"/>
      <c r="I26" s="1"/>
      <c r="J26" s="1"/>
      <c r="K26" s="1"/>
      <c r="L26" s="1" t="s">
        <v>618</v>
      </c>
      <c r="M26" s="1" t="s">
        <v>673</v>
      </c>
      <c r="N26" s="1" t="s">
        <v>576</v>
      </c>
      <c r="O26" s="1" t="s">
        <v>676</v>
      </c>
      <c r="P26" s="1" t="s">
        <v>677</v>
      </c>
      <c r="Q26" s="1" t="s">
        <v>525</v>
      </c>
      <c r="R26" s="1"/>
      <c r="S26" s="65" t="s">
        <v>618</v>
      </c>
      <c r="T26" s="1" t="s">
        <v>673</v>
      </c>
      <c r="U26" s="1" t="s">
        <v>576</v>
      </c>
      <c r="V26" s="1" t="s">
        <v>676</v>
      </c>
      <c r="W26" s="1" t="s">
        <v>677</v>
      </c>
      <c r="X26" s="1" t="s">
        <v>525</v>
      </c>
      <c r="Y26" s="65" t="s">
        <v>500</v>
      </c>
      <c r="Z26" s="76" t="s">
        <v>678</v>
      </c>
      <c r="AA26" s="1" t="s">
        <v>375</v>
      </c>
      <c r="AB26" s="1" t="s">
        <v>381</v>
      </c>
      <c r="AC26" s="65" t="s">
        <v>603</v>
      </c>
      <c r="AD26" s="1" t="s">
        <v>679</v>
      </c>
      <c r="AE26" s="1" t="s">
        <v>677</v>
      </c>
      <c r="AF26" s="1" t="s">
        <v>104</v>
      </c>
      <c r="AG26" s="66" t="s">
        <v>680</v>
      </c>
      <c r="AH26" s="1"/>
      <c r="AI26" s="1"/>
      <c r="AJ26" s="1"/>
      <c r="AK26" s="1"/>
      <c r="AL26" s="18" t="s">
        <v>104</v>
      </c>
      <c r="AM26" s="18" t="s">
        <v>681</v>
      </c>
      <c r="AN26" s="18" t="s">
        <v>674</v>
      </c>
      <c r="AO26" s="18" t="s">
        <v>629</v>
      </c>
      <c r="AP26" s="18" t="s">
        <v>376</v>
      </c>
      <c r="AQ26" s="1"/>
      <c r="AR26" s="1"/>
      <c r="AS26" s="1"/>
      <c r="AT26" s="19" t="s">
        <v>104</v>
      </c>
      <c r="AU26" s="20" t="s">
        <v>542</v>
      </c>
      <c r="AV26" s="20" t="s">
        <v>560</v>
      </c>
      <c r="AW26" s="22" t="s">
        <v>122</v>
      </c>
      <c r="AX26" s="20" t="s">
        <v>520</v>
      </c>
      <c r="AY26" s="20" t="s">
        <v>510</v>
      </c>
      <c r="AZ26" s="1"/>
      <c r="BA26" s="1"/>
      <c r="BB26" s="1"/>
      <c r="BC26" s="1"/>
    </row>
    <row r="27" spans="7:55" x14ac:dyDescent="0.5">
      <c r="G27" s="1"/>
      <c r="H27" s="1"/>
      <c r="I27" s="1"/>
      <c r="J27" s="1"/>
      <c r="K27" s="1"/>
      <c r="L27" s="1" t="s">
        <v>682</v>
      </c>
      <c r="M27" s="1" t="s">
        <v>590</v>
      </c>
      <c r="N27" s="1" t="s">
        <v>673</v>
      </c>
      <c r="O27" s="1" t="s">
        <v>666</v>
      </c>
      <c r="P27" s="1" t="s">
        <v>554</v>
      </c>
      <c r="Q27" s="1" t="s">
        <v>595</v>
      </c>
      <c r="R27" s="1"/>
      <c r="S27" s="65" t="s">
        <v>682</v>
      </c>
      <c r="T27" s="1" t="s">
        <v>590</v>
      </c>
      <c r="U27" s="1" t="s">
        <v>673</v>
      </c>
      <c r="V27" s="1" t="s">
        <v>666</v>
      </c>
      <c r="W27" s="1" t="s">
        <v>554</v>
      </c>
      <c r="X27" s="1" t="s">
        <v>595</v>
      </c>
      <c r="Y27" s="65" t="s">
        <v>581</v>
      </c>
      <c r="Z27" s="1" t="s">
        <v>381</v>
      </c>
      <c r="AA27" s="1" t="s">
        <v>683</v>
      </c>
      <c r="AB27" s="78" t="s">
        <v>382</v>
      </c>
      <c r="AC27" s="65" t="s">
        <v>678</v>
      </c>
      <c r="AD27" s="1" t="s">
        <v>684</v>
      </c>
      <c r="AE27" s="1" t="s">
        <v>644</v>
      </c>
      <c r="AF27" s="1" t="s">
        <v>685</v>
      </c>
      <c r="AG27" s="70" t="s">
        <v>686</v>
      </c>
      <c r="AH27" s="1"/>
      <c r="AI27" s="1"/>
      <c r="AJ27" s="1"/>
      <c r="AK27" s="1"/>
      <c r="AL27" s="18" t="s">
        <v>687</v>
      </c>
      <c r="AM27" s="18" t="s">
        <v>688</v>
      </c>
      <c r="AN27" s="18" t="s">
        <v>689</v>
      </c>
      <c r="AO27" s="18" t="s">
        <v>690</v>
      </c>
      <c r="AP27" s="18" t="s">
        <v>660</v>
      </c>
      <c r="AQ27" s="1"/>
      <c r="AR27" s="1"/>
      <c r="AS27" s="1"/>
      <c r="AT27" s="23" t="s">
        <v>687</v>
      </c>
      <c r="AU27" s="20" t="s">
        <v>622</v>
      </c>
      <c r="AV27" s="20" t="s">
        <v>500</v>
      </c>
      <c r="AW27" s="21" t="s">
        <v>559</v>
      </c>
      <c r="AX27" s="22" t="s">
        <v>530</v>
      </c>
      <c r="AY27" s="20" t="s">
        <v>655</v>
      </c>
      <c r="AZ27" s="1"/>
      <c r="BA27" s="1"/>
      <c r="BB27" s="1"/>
      <c r="BC27" s="1"/>
    </row>
    <row r="28" spans="7:55" x14ac:dyDescent="0.5">
      <c r="G28" s="1"/>
      <c r="H28" s="1"/>
      <c r="I28" s="1"/>
      <c r="J28" s="1"/>
      <c r="K28" s="1"/>
      <c r="L28" s="1" t="s">
        <v>629</v>
      </c>
      <c r="M28" s="1" t="s">
        <v>99</v>
      </c>
      <c r="N28" s="1" t="s">
        <v>99</v>
      </c>
      <c r="O28" s="1" t="s">
        <v>575</v>
      </c>
      <c r="P28" s="1" t="s">
        <v>375</v>
      </c>
      <c r="Q28" s="1" t="s">
        <v>560</v>
      </c>
      <c r="R28" s="1"/>
      <c r="S28" s="65" t="s">
        <v>629</v>
      </c>
      <c r="T28" s="1" t="s">
        <v>99</v>
      </c>
      <c r="U28" s="1" t="s">
        <v>99</v>
      </c>
      <c r="V28" s="1" t="s">
        <v>575</v>
      </c>
      <c r="W28" s="1" t="s">
        <v>375</v>
      </c>
      <c r="X28" s="1" t="s">
        <v>560</v>
      </c>
      <c r="Y28" s="65" t="s">
        <v>562</v>
      </c>
      <c r="Z28" s="1" t="s">
        <v>107</v>
      </c>
      <c r="AA28" s="1" t="s">
        <v>691</v>
      </c>
      <c r="AB28" s="1" t="s">
        <v>692</v>
      </c>
      <c r="AC28" s="69" t="s">
        <v>381</v>
      </c>
      <c r="AD28" s="1" t="s">
        <v>693</v>
      </c>
      <c r="AE28" s="1" t="s">
        <v>630</v>
      </c>
      <c r="AF28" s="1" t="s">
        <v>674</v>
      </c>
      <c r="AG28" s="66" t="s">
        <v>694</v>
      </c>
      <c r="AH28" s="1"/>
      <c r="AI28" s="1"/>
      <c r="AJ28" s="1"/>
      <c r="AK28" s="1"/>
      <c r="AL28" s="18"/>
      <c r="AM28" s="18"/>
      <c r="AN28" s="18" t="s">
        <v>695</v>
      </c>
      <c r="AO28" s="18" t="s">
        <v>634</v>
      </c>
      <c r="AP28" s="18" t="s">
        <v>542</v>
      </c>
      <c r="AQ28" s="1"/>
      <c r="AR28" s="1"/>
      <c r="AS28" s="1"/>
      <c r="AT28" s="23"/>
      <c r="AU28" s="20" t="s">
        <v>555</v>
      </c>
      <c r="AV28" s="22" t="s">
        <v>62</v>
      </c>
      <c r="AW28" s="19" t="s">
        <v>601</v>
      </c>
      <c r="AX28" s="20" t="s">
        <v>617</v>
      </c>
      <c r="AY28" s="20" t="s">
        <v>550</v>
      </c>
      <c r="AZ28" s="1"/>
      <c r="BA28" s="1"/>
      <c r="BB28" s="1"/>
      <c r="BC28" s="1"/>
    </row>
    <row r="29" spans="7:55" x14ac:dyDescent="0.5">
      <c r="G29" s="1"/>
      <c r="H29" s="1"/>
      <c r="I29" s="1"/>
      <c r="J29" s="1"/>
      <c r="K29" s="1"/>
      <c r="L29" s="1" t="s">
        <v>696</v>
      </c>
      <c r="M29" s="1" t="s">
        <v>676</v>
      </c>
      <c r="N29" s="1" t="s">
        <v>666</v>
      </c>
      <c r="O29" s="1" t="s">
        <v>697</v>
      </c>
      <c r="P29" s="1" t="s">
        <v>698</v>
      </c>
      <c r="Q29" s="1" t="s">
        <v>519</v>
      </c>
      <c r="R29" s="1"/>
      <c r="S29" s="65" t="s">
        <v>696</v>
      </c>
      <c r="T29" s="1" t="s">
        <v>676</v>
      </c>
      <c r="U29" s="1" t="s">
        <v>666</v>
      </c>
      <c r="V29" s="1" t="s">
        <v>697</v>
      </c>
      <c r="W29" s="1" t="s">
        <v>698</v>
      </c>
      <c r="X29" s="1" t="s">
        <v>519</v>
      </c>
      <c r="Y29" s="65" t="s">
        <v>585</v>
      </c>
      <c r="Z29" s="1" t="s">
        <v>658</v>
      </c>
      <c r="AA29" s="1" t="s">
        <v>588</v>
      </c>
      <c r="AB29" s="1" t="s">
        <v>658</v>
      </c>
      <c r="AC29" s="65" t="s">
        <v>699</v>
      </c>
      <c r="AD29" s="1" t="s">
        <v>657</v>
      </c>
      <c r="AE29" s="1" t="s">
        <v>691</v>
      </c>
      <c r="AF29" s="1" t="s">
        <v>700</v>
      </c>
      <c r="AG29" s="70" t="s">
        <v>393</v>
      </c>
      <c r="AH29" s="1"/>
      <c r="AI29" s="1"/>
      <c r="AJ29" s="1"/>
      <c r="AK29" s="1"/>
      <c r="AL29" s="18"/>
      <c r="AM29" s="1"/>
      <c r="AN29" s="18" t="s">
        <v>701</v>
      </c>
      <c r="AO29" s="18" t="s">
        <v>702</v>
      </c>
      <c r="AP29" s="18" t="s">
        <v>662</v>
      </c>
      <c r="AQ29" s="1"/>
      <c r="AR29" s="1"/>
      <c r="AS29" s="1"/>
      <c r="AT29" s="1"/>
      <c r="AU29" s="20" t="s">
        <v>588</v>
      </c>
      <c r="AV29" s="20" t="s">
        <v>557</v>
      </c>
      <c r="AW29" s="20" t="s">
        <v>532</v>
      </c>
      <c r="AX29" s="20" t="s">
        <v>369</v>
      </c>
      <c r="AY29" s="20" t="s">
        <v>519</v>
      </c>
      <c r="AZ29" s="1"/>
      <c r="BA29" s="1"/>
      <c r="BB29" s="1"/>
      <c r="BC29" s="1"/>
    </row>
    <row r="30" spans="7:55" x14ac:dyDescent="0.5">
      <c r="G30" s="1"/>
      <c r="H30" s="1"/>
      <c r="I30" s="1"/>
      <c r="J30" s="1"/>
      <c r="K30" s="1"/>
      <c r="L30" s="1" t="s">
        <v>690</v>
      </c>
      <c r="M30" s="1" t="s">
        <v>589</v>
      </c>
      <c r="N30" s="1" t="s">
        <v>575</v>
      </c>
      <c r="O30" s="1" t="s">
        <v>386</v>
      </c>
      <c r="P30" s="1" t="s">
        <v>703</v>
      </c>
      <c r="Q30" s="1" t="s">
        <v>519</v>
      </c>
      <c r="R30" s="1"/>
      <c r="S30" s="65" t="s">
        <v>690</v>
      </c>
      <c r="T30" s="1" t="s">
        <v>589</v>
      </c>
      <c r="U30" s="1" t="s">
        <v>575</v>
      </c>
      <c r="V30" s="1" t="s">
        <v>386</v>
      </c>
      <c r="W30" s="1" t="s">
        <v>703</v>
      </c>
      <c r="X30" s="1" t="s">
        <v>519</v>
      </c>
      <c r="Y30" s="65" t="s">
        <v>704</v>
      </c>
      <c r="Z30" s="1" t="s">
        <v>705</v>
      </c>
      <c r="AA30" s="1" t="s">
        <v>706</v>
      </c>
      <c r="AB30" s="1" t="s">
        <v>707</v>
      </c>
      <c r="AC30" s="69" t="s">
        <v>708</v>
      </c>
      <c r="AD30" s="1" t="s">
        <v>709</v>
      </c>
      <c r="AE30" s="1" t="s">
        <v>385</v>
      </c>
      <c r="AF30" s="1"/>
      <c r="AG30" s="66" t="s">
        <v>603</v>
      </c>
      <c r="AH30" s="1"/>
      <c r="AI30" s="1"/>
      <c r="AJ30" s="1"/>
      <c r="AK30" s="1"/>
      <c r="AL30" s="18"/>
      <c r="AM30" s="1"/>
      <c r="AN30" s="18" t="s">
        <v>710</v>
      </c>
      <c r="AO30" s="18" t="s">
        <v>711</v>
      </c>
      <c r="AP30" s="18" t="s">
        <v>378</v>
      </c>
      <c r="AQ30" s="1"/>
      <c r="AR30" s="1"/>
      <c r="AS30" s="1"/>
      <c r="AT30" s="1"/>
      <c r="AU30" s="20" t="s">
        <v>569</v>
      </c>
      <c r="AV30" s="20" t="s">
        <v>581</v>
      </c>
      <c r="AW30" s="22" t="s">
        <v>630</v>
      </c>
      <c r="AX30" s="22" t="s">
        <v>485</v>
      </c>
      <c r="AY30" s="20" t="s">
        <v>526</v>
      </c>
      <c r="AZ30" s="1"/>
      <c r="BA30" s="1"/>
      <c r="BB30" s="1"/>
      <c r="BC30" s="1"/>
    </row>
    <row r="31" spans="7:55" x14ac:dyDescent="0.5">
      <c r="G31" s="1"/>
      <c r="H31" s="1"/>
      <c r="I31" s="1"/>
      <c r="J31" s="1"/>
      <c r="K31" s="1"/>
      <c r="L31" s="1" t="s">
        <v>650</v>
      </c>
      <c r="M31" s="1" t="s">
        <v>684</v>
      </c>
      <c r="N31" s="1" t="s">
        <v>638</v>
      </c>
      <c r="O31" s="1" t="s">
        <v>634</v>
      </c>
      <c r="P31" s="1" t="s">
        <v>378</v>
      </c>
      <c r="Q31" s="1" t="s">
        <v>526</v>
      </c>
      <c r="R31" s="1"/>
      <c r="S31" s="65" t="s">
        <v>650</v>
      </c>
      <c r="T31" s="1" t="s">
        <v>684</v>
      </c>
      <c r="U31" s="1" t="s">
        <v>638</v>
      </c>
      <c r="V31" s="1" t="s">
        <v>634</v>
      </c>
      <c r="W31" s="1" t="s">
        <v>378</v>
      </c>
      <c r="X31" s="1" t="s">
        <v>526</v>
      </c>
      <c r="Y31" s="65" t="s">
        <v>677</v>
      </c>
      <c r="Z31" s="1" t="s">
        <v>676</v>
      </c>
      <c r="AA31" s="1" t="s">
        <v>380</v>
      </c>
      <c r="AB31" s="1" t="s">
        <v>708</v>
      </c>
      <c r="AC31" s="65" t="s">
        <v>629</v>
      </c>
      <c r="AD31" s="1" t="s">
        <v>685</v>
      </c>
      <c r="AE31" s="1" t="s">
        <v>712</v>
      </c>
      <c r="AF31" s="1"/>
      <c r="AG31" s="66"/>
      <c r="AH31" s="1"/>
      <c r="AI31" s="1"/>
      <c r="AJ31" s="1"/>
      <c r="AK31" s="1"/>
      <c r="AL31" s="18"/>
      <c r="AM31" s="1"/>
      <c r="AN31" s="18" t="s">
        <v>713</v>
      </c>
      <c r="AO31" s="18" t="s">
        <v>714</v>
      </c>
      <c r="AP31" s="18" t="s">
        <v>715</v>
      </c>
      <c r="AQ31" s="1"/>
      <c r="AR31" s="1"/>
      <c r="AS31" s="1"/>
      <c r="AT31" s="1"/>
      <c r="AU31" s="20" t="s">
        <v>381</v>
      </c>
      <c r="AV31" s="22" t="s">
        <v>526</v>
      </c>
      <c r="AW31" s="20" t="s">
        <v>640</v>
      </c>
      <c r="AX31" s="22" t="s">
        <v>499</v>
      </c>
      <c r="AY31" s="20" t="s">
        <v>566</v>
      </c>
      <c r="AZ31" s="1"/>
      <c r="BA31" s="1"/>
      <c r="BB31" s="1"/>
      <c r="BC31" s="1"/>
    </row>
    <row r="32" spans="7:55" x14ac:dyDescent="0.5">
      <c r="G32" s="1"/>
      <c r="H32" s="1"/>
      <c r="I32" s="1"/>
      <c r="J32" s="1"/>
      <c r="K32" s="1"/>
      <c r="L32" s="1" t="s">
        <v>634</v>
      </c>
      <c r="M32" s="1" t="s">
        <v>637</v>
      </c>
      <c r="N32" s="1" t="s">
        <v>384</v>
      </c>
      <c r="O32" s="1" t="s">
        <v>711</v>
      </c>
      <c r="P32" s="1" t="s">
        <v>379</v>
      </c>
      <c r="Q32" s="1" t="s">
        <v>512</v>
      </c>
      <c r="R32" s="1"/>
      <c r="S32" s="65" t="s">
        <v>634</v>
      </c>
      <c r="T32" s="1" t="s">
        <v>637</v>
      </c>
      <c r="U32" s="1" t="s">
        <v>384</v>
      </c>
      <c r="V32" s="1" t="s">
        <v>711</v>
      </c>
      <c r="W32" s="1" t="s">
        <v>379</v>
      </c>
      <c r="X32" s="1" t="s">
        <v>512</v>
      </c>
      <c r="Y32" s="65" t="s">
        <v>644</v>
      </c>
      <c r="Z32" s="1" t="s">
        <v>708</v>
      </c>
      <c r="AA32" s="1" t="s">
        <v>621</v>
      </c>
      <c r="AB32" s="1" t="s">
        <v>716</v>
      </c>
      <c r="AC32" s="65" t="s">
        <v>717</v>
      </c>
      <c r="AD32" s="78" t="s">
        <v>389</v>
      </c>
      <c r="AE32" s="1" t="s">
        <v>718</v>
      </c>
      <c r="AF32" s="1"/>
      <c r="AG32" s="66"/>
      <c r="AH32" s="1"/>
      <c r="AI32" s="1"/>
      <c r="AJ32" s="1"/>
      <c r="AK32" s="1"/>
      <c r="AL32" s="18"/>
      <c r="AM32" s="1"/>
      <c r="AN32" s="1"/>
      <c r="AO32" s="18" t="s">
        <v>719</v>
      </c>
      <c r="AP32" s="18" t="s">
        <v>720</v>
      </c>
      <c r="AQ32" s="1"/>
      <c r="AR32" s="1"/>
      <c r="AS32" s="1"/>
      <c r="AT32" s="1"/>
      <c r="AU32" s="20" t="s">
        <v>107</v>
      </c>
      <c r="AV32" s="22" t="s">
        <v>594</v>
      </c>
      <c r="AW32" s="20" t="s">
        <v>376</v>
      </c>
      <c r="AX32" s="20" t="s">
        <v>553</v>
      </c>
      <c r="AY32" s="20" t="s">
        <v>546</v>
      </c>
      <c r="AZ32" s="1"/>
      <c r="BA32" s="1"/>
      <c r="BB32" s="1"/>
      <c r="BC32" s="1"/>
    </row>
    <row r="33" spans="12:51" x14ac:dyDescent="0.5">
      <c r="L33" s="1" t="s">
        <v>721</v>
      </c>
      <c r="M33" s="1" t="s">
        <v>721</v>
      </c>
      <c r="N33" s="1" t="s">
        <v>722</v>
      </c>
      <c r="O33" s="1" t="s">
        <v>96</v>
      </c>
      <c r="P33" s="1" t="s">
        <v>380</v>
      </c>
      <c r="Q33" s="1" t="s">
        <v>541</v>
      </c>
      <c r="R33" s="1"/>
      <c r="S33" s="69" t="s">
        <v>721</v>
      </c>
      <c r="T33" s="1" t="s">
        <v>721</v>
      </c>
      <c r="U33" s="1" t="s">
        <v>722</v>
      </c>
      <c r="V33" s="1" t="s">
        <v>96</v>
      </c>
      <c r="W33" s="68" t="s">
        <v>380</v>
      </c>
      <c r="X33" s="1" t="s">
        <v>541</v>
      </c>
      <c r="Y33" s="65" t="s">
        <v>723</v>
      </c>
      <c r="Z33" s="1" t="s">
        <v>724</v>
      </c>
      <c r="AA33" s="1" t="s">
        <v>381</v>
      </c>
      <c r="AB33" s="1" t="s">
        <v>725</v>
      </c>
      <c r="AC33" s="65" t="s">
        <v>634</v>
      </c>
      <c r="AD33" s="1" t="s">
        <v>689</v>
      </c>
      <c r="AE33" s="1" t="s">
        <v>726</v>
      </c>
      <c r="AF33" s="1"/>
      <c r="AG33" s="66"/>
      <c r="AH33" s="1"/>
      <c r="AI33" s="1"/>
      <c r="AJ33" s="1"/>
      <c r="AK33" s="1"/>
      <c r="AL33" s="1"/>
      <c r="AM33" s="1"/>
      <c r="AN33" s="1"/>
      <c r="AO33" s="18" t="s">
        <v>727</v>
      </c>
      <c r="AP33" s="18" t="s">
        <v>728</v>
      </c>
      <c r="AQ33" s="1"/>
      <c r="AR33" s="1"/>
      <c r="AS33" s="1"/>
      <c r="AT33" s="1"/>
      <c r="AU33" s="20" t="s">
        <v>576</v>
      </c>
      <c r="AV33" s="20" t="s">
        <v>535</v>
      </c>
      <c r="AW33" s="22" t="s">
        <v>660</v>
      </c>
      <c r="AX33" s="20" t="s">
        <v>567</v>
      </c>
      <c r="AY33" s="20" t="s">
        <v>577</v>
      </c>
    </row>
    <row r="34" spans="12:51" x14ac:dyDescent="0.5">
      <c r="L34" s="1" t="s">
        <v>711</v>
      </c>
      <c r="M34" s="1" t="s">
        <v>685</v>
      </c>
      <c r="N34" s="1" t="s">
        <v>650</v>
      </c>
      <c r="O34" s="1" t="s">
        <v>104</v>
      </c>
      <c r="P34" s="1" t="s">
        <v>381</v>
      </c>
      <c r="Q34" s="1" t="s">
        <v>677</v>
      </c>
      <c r="R34" s="1"/>
      <c r="S34" s="65" t="s">
        <v>711</v>
      </c>
      <c r="T34" s="1" t="s">
        <v>685</v>
      </c>
      <c r="U34" s="1" t="s">
        <v>650</v>
      </c>
      <c r="V34" s="1" t="s">
        <v>104</v>
      </c>
      <c r="W34" s="1" t="s">
        <v>381</v>
      </c>
      <c r="X34" s="1" t="s">
        <v>677</v>
      </c>
      <c r="Y34" s="75" t="s">
        <v>380</v>
      </c>
      <c r="Z34" s="1" t="s">
        <v>638</v>
      </c>
      <c r="AA34" s="1" t="s">
        <v>729</v>
      </c>
      <c r="AB34" s="1" t="s">
        <v>690</v>
      </c>
      <c r="AC34" s="65" t="s">
        <v>730</v>
      </c>
      <c r="AD34" s="1"/>
      <c r="AE34" s="1" t="s">
        <v>731</v>
      </c>
      <c r="AF34" s="1"/>
      <c r="AG34" s="66"/>
      <c r="AH34" s="1"/>
      <c r="AI34" s="1"/>
      <c r="AJ34" s="1"/>
      <c r="AK34" s="1"/>
      <c r="AL34" s="1"/>
      <c r="AM34" s="1"/>
      <c r="AN34" s="1"/>
      <c r="AO34" s="18" t="s">
        <v>732</v>
      </c>
      <c r="AP34" s="18" t="s">
        <v>733</v>
      </c>
      <c r="AQ34" s="1"/>
      <c r="AR34" s="1"/>
      <c r="AS34" s="1"/>
      <c r="AT34" s="1"/>
      <c r="AU34" s="20" t="s">
        <v>673</v>
      </c>
      <c r="AV34" s="20" t="s">
        <v>570</v>
      </c>
      <c r="AW34" s="21" t="s">
        <v>609</v>
      </c>
      <c r="AX34" s="20" t="s">
        <v>627</v>
      </c>
      <c r="AY34" s="20" t="s">
        <v>616</v>
      </c>
    </row>
    <row r="35" spans="12:51" x14ac:dyDescent="0.5">
      <c r="L35" s="1" t="s">
        <v>734</v>
      </c>
      <c r="M35" s="1" t="s">
        <v>735</v>
      </c>
      <c r="N35" s="1" t="s">
        <v>736</v>
      </c>
      <c r="O35" s="1" t="s">
        <v>732</v>
      </c>
      <c r="P35" s="1" t="s">
        <v>590</v>
      </c>
      <c r="Q35" s="1" t="s">
        <v>644</v>
      </c>
      <c r="R35" s="1"/>
      <c r="S35" s="65" t="s">
        <v>734</v>
      </c>
      <c r="T35" s="1" t="s">
        <v>735</v>
      </c>
      <c r="U35" s="1" t="s">
        <v>736</v>
      </c>
      <c r="V35" s="1" t="s">
        <v>732</v>
      </c>
      <c r="W35" s="1" t="s">
        <v>590</v>
      </c>
      <c r="X35" s="1" t="s">
        <v>644</v>
      </c>
      <c r="Y35" s="65" t="s">
        <v>381</v>
      </c>
      <c r="Z35" s="1" t="s">
        <v>503</v>
      </c>
      <c r="AA35" s="1" t="s">
        <v>737</v>
      </c>
      <c r="AB35" s="1" t="s">
        <v>738</v>
      </c>
      <c r="AC35" s="69" t="s">
        <v>734</v>
      </c>
      <c r="AD35" s="1"/>
      <c r="AE35" s="1" t="s">
        <v>689</v>
      </c>
      <c r="AF35" s="1"/>
      <c r="AG35" s="66"/>
      <c r="AH35" s="1"/>
      <c r="AI35" s="1"/>
      <c r="AJ35" s="1"/>
      <c r="AK35" s="1"/>
      <c r="AL35" s="1"/>
      <c r="AM35" s="1"/>
      <c r="AN35" s="1"/>
      <c r="AO35" s="18" t="s">
        <v>579</v>
      </c>
      <c r="AP35" s="18" t="s">
        <v>647</v>
      </c>
      <c r="AQ35" s="1"/>
      <c r="AR35" s="1"/>
      <c r="AS35" s="1"/>
      <c r="AT35" s="1"/>
      <c r="AU35" s="20" t="s">
        <v>590</v>
      </c>
      <c r="AV35" s="22" t="s">
        <v>566</v>
      </c>
      <c r="AW35" s="19" t="s">
        <v>107</v>
      </c>
      <c r="AX35" s="22" t="s">
        <v>574</v>
      </c>
      <c r="AY35" s="20" t="s">
        <v>541</v>
      </c>
    </row>
    <row r="36" spans="12:51" x14ac:dyDescent="0.5">
      <c r="L36" s="1" t="s">
        <v>96</v>
      </c>
      <c r="M36" s="1" t="s">
        <v>674</v>
      </c>
      <c r="N36" s="1" t="s">
        <v>665</v>
      </c>
      <c r="O36" s="1" t="s">
        <v>739</v>
      </c>
      <c r="P36" s="1" t="s">
        <v>705</v>
      </c>
      <c r="Q36" s="1" t="s">
        <v>375</v>
      </c>
      <c r="R36" s="1"/>
      <c r="S36" s="65" t="s">
        <v>96</v>
      </c>
      <c r="T36" s="1" t="s">
        <v>674</v>
      </c>
      <c r="U36" s="1" t="s">
        <v>665</v>
      </c>
      <c r="V36" s="1" t="s">
        <v>739</v>
      </c>
      <c r="W36" s="1" t="s">
        <v>705</v>
      </c>
      <c r="X36" s="67" t="s">
        <v>375</v>
      </c>
      <c r="Y36" s="65" t="s">
        <v>658</v>
      </c>
      <c r="Z36" s="1" t="s">
        <v>740</v>
      </c>
      <c r="AA36" s="1" t="s">
        <v>741</v>
      </c>
      <c r="AB36" s="1" t="s">
        <v>634</v>
      </c>
      <c r="AC36" s="65" t="s">
        <v>689</v>
      </c>
      <c r="AD36" s="1"/>
      <c r="AE36" s="1" t="s">
        <v>742</v>
      </c>
      <c r="AF36" s="1"/>
      <c r="AG36" s="66"/>
      <c r="AH36" s="1"/>
      <c r="AI36" s="1"/>
      <c r="AJ36" s="1"/>
      <c r="AK36" s="1"/>
      <c r="AL36" s="1"/>
      <c r="AM36" s="1"/>
      <c r="AN36" s="1"/>
      <c r="AO36" s="1"/>
      <c r="AP36" s="18" t="s">
        <v>697</v>
      </c>
      <c r="AQ36" s="1"/>
      <c r="AR36" s="1"/>
      <c r="AS36" s="1"/>
      <c r="AT36" s="1"/>
      <c r="AU36" s="20" t="s">
        <v>600</v>
      </c>
      <c r="AV36" s="20" t="s">
        <v>546</v>
      </c>
      <c r="AW36" s="20" t="s">
        <v>576</v>
      </c>
      <c r="AX36" s="22" t="s">
        <v>633</v>
      </c>
      <c r="AY36" s="20" t="s">
        <v>644</v>
      </c>
    </row>
    <row r="37" spans="12:51" x14ac:dyDescent="0.5">
      <c r="L37" s="1" t="s">
        <v>743</v>
      </c>
      <c r="M37" s="1" t="s">
        <v>681</v>
      </c>
      <c r="N37" s="1" t="s">
        <v>744</v>
      </c>
      <c r="O37" s="1"/>
      <c r="P37" s="1" t="s">
        <v>99</v>
      </c>
      <c r="Q37" s="1" t="s">
        <v>630</v>
      </c>
      <c r="R37" s="1"/>
      <c r="S37" s="65" t="s">
        <v>743</v>
      </c>
      <c r="T37" s="1" t="s">
        <v>681</v>
      </c>
      <c r="U37" s="1" t="s">
        <v>744</v>
      </c>
      <c r="V37" s="1"/>
      <c r="W37" s="1" t="s">
        <v>99</v>
      </c>
      <c r="X37" s="1" t="s">
        <v>630</v>
      </c>
      <c r="Y37" s="65" t="s">
        <v>745</v>
      </c>
      <c r="Z37" s="1" t="s">
        <v>746</v>
      </c>
      <c r="AA37" s="1" t="s">
        <v>99</v>
      </c>
      <c r="AB37" s="1" t="s">
        <v>711</v>
      </c>
      <c r="AC37" s="65" t="s">
        <v>680</v>
      </c>
      <c r="AD37" s="1"/>
      <c r="AE37" s="1" t="s">
        <v>686</v>
      </c>
      <c r="AF37" s="1"/>
      <c r="AG37" s="66"/>
      <c r="AH37" s="1"/>
      <c r="AI37" s="1"/>
      <c r="AJ37" s="1"/>
      <c r="AK37" s="1"/>
      <c r="AL37" s="1"/>
      <c r="AM37" s="1"/>
      <c r="AN37" s="1"/>
      <c r="AO37" s="1"/>
      <c r="AP37" s="18" t="s">
        <v>747</v>
      </c>
      <c r="AQ37" s="1"/>
      <c r="AR37" s="1"/>
      <c r="AS37" s="1"/>
      <c r="AT37" s="1"/>
      <c r="AU37" s="20" t="s">
        <v>99</v>
      </c>
      <c r="AV37" s="20" t="s">
        <v>374</v>
      </c>
      <c r="AW37" s="22" t="s">
        <v>673</v>
      </c>
      <c r="AX37" s="22" t="s">
        <v>572</v>
      </c>
      <c r="AY37" s="20" t="s">
        <v>630</v>
      </c>
    </row>
    <row r="38" spans="12:51" x14ac:dyDescent="0.5">
      <c r="L38" s="1" t="s">
        <v>748</v>
      </c>
      <c r="M38" s="1" t="s">
        <v>689</v>
      </c>
      <c r="N38" s="1" t="s">
        <v>104</v>
      </c>
      <c r="O38" s="1"/>
      <c r="P38" s="1" t="s">
        <v>749</v>
      </c>
      <c r="Q38" s="1" t="s">
        <v>376</v>
      </c>
      <c r="R38" s="1"/>
      <c r="S38" s="65" t="s">
        <v>748</v>
      </c>
      <c r="T38" s="1" t="s">
        <v>689</v>
      </c>
      <c r="U38" s="1" t="s">
        <v>104</v>
      </c>
      <c r="V38" s="1"/>
      <c r="W38" s="1" t="s">
        <v>749</v>
      </c>
      <c r="X38" s="1" t="s">
        <v>376</v>
      </c>
      <c r="Y38" s="65" t="s">
        <v>750</v>
      </c>
      <c r="Z38" s="76" t="s">
        <v>96</v>
      </c>
      <c r="AA38" s="1" t="s">
        <v>751</v>
      </c>
      <c r="AB38" s="1" t="s">
        <v>752</v>
      </c>
      <c r="AC38" s="65" t="s">
        <v>753</v>
      </c>
      <c r="AD38" s="1"/>
      <c r="AE38" s="1" t="s">
        <v>753</v>
      </c>
      <c r="AF38" s="1"/>
      <c r="AG38" s="66"/>
      <c r="AH38" s="1"/>
      <c r="AI38" s="1"/>
      <c r="AJ38" s="1"/>
      <c r="AK38" s="1"/>
      <c r="AL38" s="1"/>
      <c r="AM38" s="1"/>
      <c r="AN38" s="1"/>
      <c r="AO38" s="1"/>
      <c r="AP38" s="18" t="s">
        <v>754</v>
      </c>
      <c r="AQ38" s="1"/>
      <c r="AR38" s="1"/>
      <c r="AS38" s="1"/>
      <c r="AT38" s="1"/>
      <c r="AU38" s="20" t="s">
        <v>676</v>
      </c>
      <c r="AV38" s="19" t="s">
        <v>577</v>
      </c>
      <c r="AW38" s="19" t="s">
        <v>99</v>
      </c>
      <c r="AX38" s="22" t="s">
        <v>645</v>
      </c>
      <c r="AY38" s="20" t="s">
        <v>691</v>
      </c>
    </row>
    <row r="39" spans="12:51" x14ac:dyDescent="0.5">
      <c r="L39" s="1" t="s">
        <v>104</v>
      </c>
      <c r="M39" s="1" t="s">
        <v>732</v>
      </c>
      <c r="N39" s="1" t="s">
        <v>735</v>
      </c>
      <c r="O39" s="1"/>
      <c r="P39" s="1" t="s">
        <v>755</v>
      </c>
      <c r="Q39" s="1" t="s">
        <v>376</v>
      </c>
      <c r="R39" s="1"/>
      <c r="S39" s="65" t="s">
        <v>104</v>
      </c>
      <c r="T39" s="1" t="s">
        <v>732</v>
      </c>
      <c r="U39" s="1" t="s">
        <v>735</v>
      </c>
      <c r="V39" s="1"/>
      <c r="W39" s="1" t="s">
        <v>755</v>
      </c>
      <c r="X39" s="1" t="s">
        <v>376</v>
      </c>
      <c r="Y39" s="65" t="s">
        <v>756</v>
      </c>
      <c r="Z39" s="1" t="s">
        <v>748</v>
      </c>
      <c r="AA39" s="1" t="s">
        <v>589</v>
      </c>
      <c r="AB39" s="1" t="s">
        <v>96</v>
      </c>
      <c r="AC39" s="65" t="s">
        <v>713</v>
      </c>
      <c r="AD39" s="1"/>
      <c r="AE39" s="1" t="s">
        <v>710</v>
      </c>
      <c r="AF39" s="1"/>
      <c r="AG39" s="66"/>
      <c r="AH39" s="1"/>
      <c r="AI39" s="1"/>
      <c r="AJ39" s="1"/>
      <c r="AK39" s="1"/>
      <c r="AL39" s="1"/>
      <c r="AM39" s="1"/>
      <c r="AN39" s="1"/>
      <c r="AO39" s="1"/>
      <c r="AP39" s="18" t="s">
        <v>628</v>
      </c>
      <c r="AQ39" s="1"/>
      <c r="AR39" s="1"/>
      <c r="AS39" s="1"/>
      <c r="AT39" s="1"/>
      <c r="AU39" s="20" t="s">
        <v>589</v>
      </c>
      <c r="AV39" s="21" t="s">
        <v>591</v>
      </c>
      <c r="AW39" s="22" t="s">
        <v>666</v>
      </c>
      <c r="AX39" s="22" t="s">
        <v>510</v>
      </c>
      <c r="AY39" s="20" t="s">
        <v>573</v>
      </c>
    </row>
    <row r="40" spans="12:51" ht="17" thickBot="1" x14ac:dyDescent="0.55000000000000004">
      <c r="L40" s="1" t="s">
        <v>685</v>
      </c>
      <c r="M40" s="1" t="s">
        <v>688</v>
      </c>
      <c r="N40" s="1" t="s">
        <v>389</v>
      </c>
      <c r="O40" s="1"/>
      <c r="P40" s="1" t="s">
        <v>745</v>
      </c>
      <c r="Q40" s="1" t="s">
        <v>757</v>
      </c>
      <c r="R40" s="1"/>
      <c r="S40" s="65" t="s">
        <v>685</v>
      </c>
      <c r="T40" s="1" t="s">
        <v>688</v>
      </c>
      <c r="U40" s="67" t="s">
        <v>389</v>
      </c>
      <c r="V40" s="1"/>
      <c r="W40" s="1" t="s">
        <v>745</v>
      </c>
      <c r="X40" s="1" t="s">
        <v>757</v>
      </c>
      <c r="Y40" s="65" t="s">
        <v>756</v>
      </c>
      <c r="Z40" s="1" t="s">
        <v>681</v>
      </c>
      <c r="AA40" s="1" t="s">
        <v>708</v>
      </c>
      <c r="AB40" s="1" t="s">
        <v>758</v>
      </c>
      <c r="AC40" s="71" t="s">
        <v>759</v>
      </c>
      <c r="AD40" s="72"/>
      <c r="AE40" s="72"/>
      <c r="AF40" s="72"/>
      <c r="AG40" s="73"/>
      <c r="AH40" s="1"/>
      <c r="AI40" s="1"/>
      <c r="AJ40" s="1"/>
      <c r="AK40" s="1"/>
      <c r="AL40" s="1"/>
      <c r="AM40" s="1"/>
      <c r="AN40" s="1"/>
      <c r="AO40" s="1"/>
      <c r="AP40" s="18" t="s">
        <v>760</v>
      </c>
      <c r="AQ40" s="1"/>
      <c r="AR40" s="1"/>
      <c r="AS40" s="1"/>
      <c r="AT40" s="1"/>
      <c r="AU40" s="20" t="s">
        <v>608</v>
      </c>
      <c r="AV40" s="22" t="s">
        <v>556</v>
      </c>
      <c r="AW40" s="20" t="s">
        <v>575</v>
      </c>
      <c r="AX40" s="22" t="s">
        <v>655</v>
      </c>
      <c r="AY40" s="20" t="s">
        <v>588</v>
      </c>
    </row>
    <row r="41" spans="12:51" x14ac:dyDescent="0.5">
      <c r="L41" s="1" t="s">
        <v>761</v>
      </c>
      <c r="M41" s="1" t="s">
        <v>392</v>
      </c>
      <c r="N41" s="1" t="s">
        <v>701</v>
      </c>
      <c r="O41" s="1"/>
      <c r="P41" s="1" t="s">
        <v>638</v>
      </c>
      <c r="Q41" s="1" t="s">
        <v>762</v>
      </c>
      <c r="R41" s="1"/>
      <c r="S41" s="65" t="s">
        <v>761</v>
      </c>
      <c r="T41" s="1" t="s">
        <v>392</v>
      </c>
      <c r="U41" s="1" t="s">
        <v>701</v>
      </c>
      <c r="V41" s="1"/>
      <c r="W41" s="1" t="s">
        <v>638</v>
      </c>
      <c r="X41" s="1" t="s">
        <v>762</v>
      </c>
      <c r="Y41" s="65" t="s">
        <v>690</v>
      </c>
      <c r="Z41" s="1" t="s">
        <v>763</v>
      </c>
      <c r="AA41" s="1" t="s">
        <v>724</v>
      </c>
      <c r="AB41" s="66" t="s">
        <v>764</v>
      </c>
      <c r="AC41" s="1"/>
      <c r="AD41" s="1"/>
      <c r="AE41" s="1"/>
      <c r="AF41" s="1"/>
      <c r="AG41" s="1"/>
      <c r="AH41" s="1"/>
      <c r="AI41" s="1"/>
      <c r="AJ41" s="1"/>
      <c r="AK41" s="1"/>
      <c r="AL41" s="1"/>
      <c r="AM41" s="1"/>
      <c r="AN41" s="1"/>
      <c r="AO41" s="1"/>
      <c r="AP41" s="18" t="s">
        <v>765</v>
      </c>
      <c r="AQ41" s="1"/>
      <c r="AR41" s="1"/>
      <c r="AS41" s="1"/>
      <c r="AT41" s="1"/>
      <c r="AU41" s="20" t="s">
        <v>684</v>
      </c>
      <c r="AV41" s="20" t="s">
        <v>580</v>
      </c>
      <c r="AW41" s="22" t="s">
        <v>638</v>
      </c>
      <c r="AX41" s="20" t="s">
        <v>550</v>
      </c>
      <c r="AY41" s="20" t="s">
        <v>378</v>
      </c>
    </row>
    <row r="42" spans="12:51" x14ac:dyDescent="0.5">
      <c r="L42" s="1" t="s">
        <v>681</v>
      </c>
      <c r="M42" s="1" t="s">
        <v>766</v>
      </c>
      <c r="N42" s="1" t="s">
        <v>713</v>
      </c>
      <c r="O42" s="1"/>
      <c r="P42" s="1" t="s">
        <v>503</v>
      </c>
      <c r="Q42" s="1" t="s">
        <v>733</v>
      </c>
      <c r="R42" s="1"/>
      <c r="S42" s="65" t="s">
        <v>681</v>
      </c>
      <c r="T42" s="1" t="s">
        <v>766</v>
      </c>
      <c r="U42" s="1" t="s">
        <v>713</v>
      </c>
      <c r="V42" s="1"/>
      <c r="W42" s="1" t="s">
        <v>503</v>
      </c>
      <c r="X42" s="1" t="s">
        <v>733</v>
      </c>
      <c r="Y42" s="65" t="s">
        <v>650</v>
      </c>
      <c r="Z42" s="1"/>
      <c r="AA42" s="1" t="s">
        <v>638</v>
      </c>
      <c r="AB42" s="66" t="s">
        <v>767</v>
      </c>
      <c r="AC42" s="1"/>
      <c r="AD42" s="1"/>
      <c r="AE42" s="1"/>
      <c r="AF42" s="1"/>
      <c r="AG42" s="1"/>
      <c r="AH42" s="1"/>
      <c r="AI42" s="1"/>
      <c r="AJ42" s="1"/>
      <c r="AK42" s="1"/>
      <c r="AL42" s="1"/>
      <c r="AM42" s="1"/>
      <c r="AN42" s="1"/>
      <c r="AO42" s="1"/>
      <c r="AP42" s="18" t="s">
        <v>711</v>
      </c>
      <c r="AQ42" s="1"/>
      <c r="AR42" s="1"/>
      <c r="AS42" s="1"/>
      <c r="AT42" s="1"/>
      <c r="AU42" s="20" t="s">
        <v>629</v>
      </c>
      <c r="AV42" s="19" t="s">
        <v>541</v>
      </c>
      <c r="AW42" s="20" t="s">
        <v>384</v>
      </c>
      <c r="AX42" s="22" t="s">
        <v>519</v>
      </c>
      <c r="AY42" s="20" t="s">
        <v>107</v>
      </c>
    </row>
    <row r="43" spans="12:51" x14ac:dyDescent="0.5">
      <c r="L43" s="1" t="s">
        <v>768</v>
      </c>
      <c r="M43" s="1" t="s">
        <v>104</v>
      </c>
      <c r="N43" s="1" t="s">
        <v>759</v>
      </c>
      <c r="O43" s="1"/>
      <c r="P43" s="1" t="s">
        <v>756</v>
      </c>
      <c r="Q43" s="1" t="s">
        <v>647</v>
      </c>
      <c r="R43" s="1"/>
      <c r="S43" s="65" t="s">
        <v>768</v>
      </c>
      <c r="T43" s="1"/>
      <c r="U43" s="1" t="s">
        <v>759</v>
      </c>
      <c r="V43" s="1"/>
      <c r="W43" s="1" t="s">
        <v>756</v>
      </c>
      <c r="X43" s="1" t="s">
        <v>647</v>
      </c>
      <c r="Y43" s="65" t="s">
        <v>769</v>
      </c>
      <c r="Z43" s="1"/>
      <c r="AA43" s="1" t="s">
        <v>697</v>
      </c>
      <c r="AB43" s="66" t="s">
        <v>770</v>
      </c>
      <c r="AC43" s="1"/>
      <c r="AD43" s="1"/>
      <c r="AE43" s="1"/>
      <c r="AF43" s="1"/>
      <c r="AG43" s="1"/>
      <c r="AH43" s="1"/>
      <c r="AI43" s="1"/>
      <c r="AJ43" s="1"/>
      <c r="AK43" s="1"/>
      <c r="AL43" s="1"/>
      <c r="AM43" s="1"/>
      <c r="AN43" s="1"/>
      <c r="AO43" s="1"/>
      <c r="AP43" s="18" t="s">
        <v>771</v>
      </c>
      <c r="AQ43" s="1"/>
      <c r="AR43" s="1"/>
      <c r="AS43" s="1"/>
      <c r="AT43" s="1"/>
      <c r="AU43" s="20" t="s">
        <v>649</v>
      </c>
      <c r="AV43" s="20" t="s">
        <v>604</v>
      </c>
      <c r="AW43" s="22" t="s">
        <v>722</v>
      </c>
      <c r="AX43" s="22" t="s">
        <v>372</v>
      </c>
      <c r="AY43" s="20" t="s">
        <v>647</v>
      </c>
    </row>
    <row r="44" spans="12:51" x14ac:dyDescent="0.5">
      <c r="L44" s="1" t="s">
        <v>689</v>
      </c>
      <c r="M44" s="1"/>
      <c r="N44" s="1" t="s">
        <v>102</v>
      </c>
      <c r="O44" s="1"/>
      <c r="P44" s="1" t="s">
        <v>682</v>
      </c>
      <c r="Q44" s="1" t="s">
        <v>772</v>
      </c>
      <c r="R44" s="1"/>
      <c r="S44" s="69" t="s">
        <v>689</v>
      </c>
      <c r="T44" s="1"/>
      <c r="U44" s="1"/>
      <c r="V44" s="1"/>
      <c r="W44" s="1" t="s">
        <v>682</v>
      </c>
      <c r="X44" s="1" t="s">
        <v>772</v>
      </c>
      <c r="Y44" s="65" t="s">
        <v>711</v>
      </c>
      <c r="Z44" s="1"/>
      <c r="AA44" s="1" t="s">
        <v>773</v>
      </c>
      <c r="AB44" s="66" t="s">
        <v>761</v>
      </c>
      <c r="AC44" s="1"/>
      <c r="AD44" s="1"/>
      <c r="AE44" s="1"/>
      <c r="AF44" s="1"/>
      <c r="AG44" s="1"/>
      <c r="AH44" s="1"/>
      <c r="AI44" s="1"/>
      <c r="AJ44" s="1"/>
      <c r="AK44" s="1"/>
      <c r="AL44" s="1"/>
      <c r="AM44" s="1"/>
      <c r="AN44" s="1"/>
      <c r="AO44" s="1"/>
      <c r="AP44" s="18" t="s">
        <v>689</v>
      </c>
      <c r="AQ44" s="1"/>
      <c r="AR44" s="1"/>
      <c r="AS44" s="1"/>
      <c r="AT44" s="1"/>
      <c r="AU44" s="20" t="s">
        <v>634</v>
      </c>
      <c r="AV44" s="22" t="s">
        <v>122</v>
      </c>
      <c r="AW44" s="20" t="s">
        <v>650</v>
      </c>
      <c r="AX44" s="22" t="s">
        <v>540</v>
      </c>
      <c r="AY44" s="20" t="s">
        <v>656</v>
      </c>
    </row>
    <row r="45" spans="12:51" x14ac:dyDescent="0.5">
      <c r="L45" s="1" t="s">
        <v>774</v>
      </c>
      <c r="M45" s="1"/>
      <c r="N45" s="1"/>
      <c r="O45" s="1"/>
      <c r="P45" s="1" t="s">
        <v>696</v>
      </c>
      <c r="Q45" s="1" t="s">
        <v>772</v>
      </c>
      <c r="R45" s="1"/>
      <c r="S45" s="65" t="s">
        <v>774</v>
      </c>
      <c r="T45" s="1"/>
      <c r="U45" s="1"/>
      <c r="V45" s="1"/>
      <c r="W45" s="1" t="s">
        <v>696</v>
      </c>
      <c r="X45" s="1" t="s">
        <v>772</v>
      </c>
      <c r="Y45" s="65" t="s">
        <v>775</v>
      </c>
      <c r="Z45" s="1"/>
      <c r="AA45" s="1" t="s">
        <v>776</v>
      </c>
      <c r="AB45" s="66" t="s">
        <v>389</v>
      </c>
      <c r="AC45" s="1"/>
      <c r="AD45" s="1"/>
      <c r="AE45" s="1"/>
      <c r="AF45" s="1"/>
      <c r="AG45" s="1"/>
      <c r="AH45" s="1"/>
      <c r="AI45" s="1"/>
      <c r="AJ45" s="1"/>
      <c r="AK45" s="1"/>
      <c r="AL45" s="1"/>
      <c r="AM45" s="1"/>
      <c r="AN45" s="1"/>
      <c r="AO45" s="1"/>
      <c r="AP45" s="18" t="s">
        <v>620</v>
      </c>
      <c r="AQ45" s="1"/>
      <c r="AR45" s="1"/>
      <c r="AS45" s="1"/>
      <c r="AT45" s="1"/>
      <c r="AU45" s="20" t="s">
        <v>721</v>
      </c>
      <c r="AV45" s="21" t="s">
        <v>610</v>
      </c>
      <c r="AW45" s="22" t="s">
        <v>736</v>
      </c>
      <c r="AX45" s="20" t="s">
        <v>526</v>
      </c>
      <c r="AY45" s="20" t="s">
        <v>664</v>
      </c>
    </row>
    <row r="46" spans="12:51" x14ac:dyDescent="0.5">
      <c r="L46" s="1"/>
      <c r="M46" s="1"/>
      <c r="N46" s="1"/>
      <c r="O46" s="1"/>
      <c r="P46" s="1" t="s">
        <v>690</v>
      </c>
      <c r="Q46" s="1" t="s">
        <v>697</v>
      </c>
      <c r="R46" s="1"/>
      <c r="S46" s="65"/>
      <c r="T46" s="1"/>
      <c r="U46" s="1"/>
      <c r="V46" s="1"/>
      <c r="W46" s="1" t="s">
        <v>690</v>
      </c>
      <c r="X46" s="1" t="s">
        <v>697</v>
      </c>
      <c r="Y46" s="65" t="s">
        <v>744</v>
      </c>
      <c r="Z46" s="1"/>
      <c r="AA46" s="1" t="s">
        <v>756</v>
      </c>
      <c r="AB46" s="66" t="s">
        <v>777</v>
      </c>
      <c r="AC46" s="1"/>
      <c r="AD46" s="1"/>
      <c r="AE46" s="1"/>
      <c r="AF46" s="1"/>
      <c r="AG46" s="1"/>
      <c r="AH46" s="1"/>
      <c r="AI46" s="1"/>
      <c r="AJ46" s="1"/>
      <c r="AK46" s="1"/>
      <c r="AL46" s="1"/>
      <c r="AM46" s="1"/>
      <c r="AN46" s="1"/>
      <c r="AO46" s="1"/>
      <c r="AP46" s="18" t="s">
        <v>759</v>
      </c>
      <c r="AQ46" s="1"/>
      <c r="AR46" s="1"/>
      <c r="AS46" s="1"/>
      <c r="AT46" s="1"/>
      <c r="AU46" s="20" t="s">
        <v>104</v>
      </c>
      <c r="AV46" s="19" t="s">
        <v>619</v>
      </c>
      <c r="AW46" s="19" t="s">
        <v>386</v>
      </c>
      <c r="AX46" s="20" t="s">
        <v>566</v>
      </c>
      <c r="AY46" s="20" t="s">
        <v>385</v>
      </c>
    </row>
    <row r="47" spans="12:51" x14ac:dyDescent="0.5">
      <c r="L47" s="1"/>
      <c r="M47" s="1"/>
      <c r="N47" s="1"/>
      <c r="O47" s="1"/>
      <c r="P47" s="1" t="s">
        <v>650</v>
      </c>
      <c r="Q47" s="1" t="s">
        <v>756</v>
      </c>
      <c r="R47" s="1"/>
      <c r="S47" s="65"/>
      <c r="T47" s="1"/>
      <c r="U47" s="1"/>
      <c r="V47" s="1"/>
      <c r="W47" s="1" t="s">
        <v>650</v>
      </c>
      <c r="X47" s="1" t="s">
        <v>756</v>
      </c>
      <c r="Y47" s="65" t="s">
        <v>778</v>
      </c>
      <c r="Z47" s="1"/>
      <c r="AA47" s="1" t="s">
        <v>725</v>
      </c>
      <c r="AB47" s="66" t="s">
        <v>681</v>
      </c>
      <c r="AC47" s="1"/>
      <c r="AD47" s="1"/>
      <c r="AE47" s="1"/>
      <c r="AF47" s="1"/>
      <c r="AG47" s="1"/>
      <c r="AH47" s="1"/>
      <c r="AI47" s="1"/>
      <c r="AJ47" s="1"/>
      <c r="AK47" s="1"/>
      <c r="AL47" s="1"/>
      <c r="AM47" s="1"/>
      <c r="AN47" s="1"/>
      <c r="AO47" s="1"/>
      <c r="AP47" s="18"/>
      <c r="AQ47" s="1"/>
      <c r="AR47" s="1"/>
      <c r="AS47" s="1"/>
      <c r="AT47" s="1"/>
      <c r="AU47" s="20" t="s">
        <v>685</v>
      </c>
      <c r="AV47" s="20" t="s">
        <v>532</v>
      </c>
      <c r="AW47" s="20" t="s">
        <v>665</v>
      </c>
      <c r="AX47" s="22" t="s">
        <v>546</v>
      </c>
      <c r="AY47" s="20" t="s">
        <v>628</v>
      </c>
    </row>
    <row r="48" spans="12:51" x14ac:dyDescent="0.5">
      <c r="L48" s="1"/>
      <c r="M48" s="1"/>
      <c r="N48" s="1"/>
      <c r="O48" s="1"/>
      <c r="P48" s="1" t="s">
        <v>650</v>
      </c>
      <c r="Q48" s="1" t="s">
        <v>682</v>
      </c>
      <c r="R48" s="1"/>
      <c r="S48" s="65"/>
      <c r="T48" s="1"/>
      <c r="U48" s="1"/>
      <c r="V48" s="1"/>
      <c r="W48" s="1" t="s">
        <v>650</v>
      </c>
      <c r="X48" s="1" t="s">
        <v>682</v>
      </c>
      <c r="Y48" s="65" t="s">
        <v>779</v>
      </c>
      <c r="Z48" s="1"/>
      <c r="AA48" s="1" t="s">
        <v>656</v>
      </c>
      <c r="AB48" s="66" t="s">
        <v>780</v>
      </c>
      <c r="AC48" s="1"/>
      <c r="AD48" s="1"/>
      <c r="AE48" s="1"/>
      <c r="AF48" s="1"/>
      <c r="AG48" s="1"/>
      <c r="AH48" s="1"/>
      <c r="AI48" s="1"/>
      <c r="AJ48" s="1"/>
      <c r="AK48" s="1"/>
      <c r="AL48" s="1"/>
      <c r="AM48" s="1"/>
      <c r="AN48" s="1"/>
      <c r="AO48" s="1"/>
      <c r="AP48" s="1"/>
      <c r="AQ48" s="1"/>
      <c r="AR48" s="1"/>
      <c r="AS48" s="1"/>
      <c r="AT48" s="1"/>
      <c r="AU48" s="20" t="s">
        <v>735</v>
      </c>
      <c r="AV48" s="21" t="s">
        <v>375</v>
      </c>
      <c r="AW48" s="22" t="s">
        <v>744</v>
      </c>
      <c r="AX48" s="20" t="s">
        <v>577</v>
      </c>
      <c r="AY48" s="20" t="s">
        <v>634</v>
      </c>
    </row>
    <row r="49" spans="16:51" x14ac:dyDescent="0.5">
      <c r="P49" s="1" t="s">
        <v>781</v>
      </c>
      <c r="Q49" s="1" t="s">
        <v>782</v>
      </c>
      <c r="R49" s="1"/>
      <c r="S49" s="65"/>
      <c r="T49" s="1"/>
      <c r="U49" s="1"/>
      <c r="V49" s="1"/>
      <c r="W49" s="1" t="s">
        <v>781</v>
      </c>
      <c r="X49" s="1" t="s">
        <v>782</v>
      </c>
      <c r="Y49" s="65" t="s">
        <v>783</v>
      </c>
      <c r="Z49" s="1"/>
      <c r="AA49" s="1" t="s">
        <v>722</v>
      </c>
      <c r="AB49" s="66" t="s">
        <v>680</v>
      </c>
      <c r="AC49" s="1"/>
      <c r="AD49" s="1"/>
      <c r="AE49" s="1"/>
      <c r="AF49" s="1"/>
      <c r="AG49" s="1"/>
      <c r="AH49" s="1"/>
      <c r="AI49" s="1"/>
      <c r="AJ49" s="1"/>
      <c r="AK49" s="1"/>
      <c r="AL49" s="1"/>
      <c r="AM49" s="1"/>
      <c r="AN49" s="1"/>
      <c r="AO49" s="1"/>
      <c r="AP49" s="1"/>
      <c r="AQ49" s="1"/>
      <c r="AR49" s="1"/>
      <c r="AS49" s="1"/>
      <c r="AT49" s="1"/>
      <c r="AU49" s="20" t="s">
        <v>674</v>
      </c>
      <c r="AV49" s="22" t="s">
        <v>630</v>
      </c>
      <c r="AW49" s="20" t="s">
        <v>104</v>
      </c>
      <c r="AX49" s="22" t="s">
        <v>616</v>
      </c>
      <c r="AY49" s="20" t="s">
        <v>646</v>
      </c>
    </row>
    <row r="50" spans="16:51" x14ac:dyDescent="0.5">
      <c r="P50" s="1" t="s">
        <v>386</v>
      </c>
      <c r="Q50" s="1" t="s">
        <v>649</v>
      </c>
      <c r="R50" s="1"/>
      <c r="S50" s="65"/>
      <c r="T50" s="1"/>
      <c r="U50" s="1"/>
      <c r="V50" s="1"/>
      <c r="W50" s="1" t="s">
        <v>386</v>
      </c>
      <c r="X50" s="1" t="s">
        <v>649</v>
      </c>
      <c r="Y50" s="65" t="s">
        <v>392</v>
      </c>
      <c r="Z50" s="1"/>
      <c r="AA50" s="1" t="s">
        <v>690</v>
      </c>
      <c r="AB50" s="66" t="s">
        <v>784</v>
      </c>
      <c r="AC50" s="1"/>
      <c r="AD50" s="1"/>
      <c r="AE50" s="1"/>
      <c r="AF50" s="1"/>
      <c r="AG50" s="1"/>
      <c r="AH50" s="1"/>
      <c r="AI50" s="1"/>
      <c r="AJ50" s="1"/>
      <c r="AK50" s="1"/>
      <c r="AL50" s="1"/>
      <c r="AM50" s="1"/>
      <c r="AN50" s="1"/>
      <c r="AO50" s="1"/>
      <c r="AP50" s="1"/>
      <c r="AQ50" s="1"/>
      <c r="AR50" s="1"/>
      <c r="AS50" s="1"/>
      <c r="AT50" s="1"/>
      <c r="AU50" s="20" t="s">
        <v>681</v>
      </c>
      <c r="AV50" s="20" t="s">
        <v>640</v>
      </c>
      <c r="AW50" s="22" t="s">
        <v>735</v>
      </c>
      <c r="AX50" s="22" t="s">
        <v>541</v>
      </c>
      <c r="AY50" s="20" t="s">
        <v>558</v>
      </c>
    </row>
    <row r="51" spans="16:51" x14ac:dyDescent="0.5">
      <c r="P51" s="1" t="s">
        <v>785</v>
      </c>
      <c r="Q51" s="1" t="s">
        <v>786</v>
      </c>
      <c r="R51" s="1"/>
      <c r="S51" s="65"/>
      <c r="T51" s="1"/>
      <c r="U51" s="1"/>
      <c r="V51" s="1"/>
      <c r="W51" s="1" t="s">
        <v>785</v>
      </c>
      <c r="X51" s="1" t="s">
        <v>786</v>
      </c>
      <c r="Y51" s="65" t="s">
        <v>763</v>
      </c>
      <c r="Z51" s="1"/>
      <c r="AA51" s="1" t="s">
        <v>650</v>
      </c>
      <c r="AB51" s="66" t="s">
        <v>787</v>
      </c>
      <c r="AC51" s="1"/>
      <c r="AD51" s="1"/>
      <c r="AE51" s="1"/>
      <c r="AF51" s="1"/>
      <c r="AG51" s="1"/>
      <c r="AH51" s="1"/>
      <c r="AI51" s="1"/>
      <c r="AJ51" s="1"/>
      <c r="AK51" s="1"/>
      <c r="AL51" s="1"/>
      <c r="AM51" s="1"/>
      <c r="AN51" s="1"/>
      <c r="AO51" s="1"/>
      <c r="AP51" s="1"/>
      <c r="AQ51" s="1"/>
      <c r="AR51" s="1"/>
      <c r="AS51" s="1"/>
      <c r="AT51" s="1"/>
      <c r="AU51" s="20" t="s">
        <v>689</v>
      </c>
      <c r="AV51" s="20" t="s">
        <v>376</v>
      </c>
      <c r="AW51" s="20" t="s">
        <v>389</v>
      </c>
      <c r="AX51" s="22" t="s">
        <v>677</v>
      </c>
      <c r="AY51" s="20" t="s">
        <v>718</v>
      </c>
    </row>
    <row r="52" spans="16:51" x14ac:dyDescent="0.5">
      <c r="P52" s="1" t="s">
        <v>746</v>
      </c>
      <c r="Q52" s="1" t="s">
        <v>771</v>
      </c>
      <c r="R52" s="1"/>
      <c r="S52" s="65"/>
      <c r="T52" s="1"/>
      <c r="U52" s="1"/>
      <c r="V52" s="1"/>
      <c r="W52" s="1" t="s">
        <v>746</v>
      </c>
      <c r="X52" s="1" t="s">
        <v>771</v>
      </c>
      <c r="Y52" s="65" t="s">
        <v>393</v>
      </c>
      <c r="Z52" s="1"/>
      <c r="AA52" s="1" t="s">
        <v>788</v>
      </c>
      <c r="AB52" s="66" t="s">
        <v>789</v>
      </c>
      <c r="AC52" s="1"/>
      <c r="AD52" s="1"/>
      <c r="AE52" s="1"/>
      <c r="AF52" s="1"/>
      <c r="AG52" s="1"/>
      <c r="AH52" s="1"/>
      <c r="AI52" s="1"/>
      <c r="AJ52" s="1"/>
      <c r="AK52" s="1"/>
      <c r="AL52" s="1"/>
      <c r="AM52" s="1"/>
      <c r="AN52" s="1"/>
      <c r="AO52" s="1"/>
      <c r="AP52" s="1"/>
      <c r="AQ52" s="1"/>
      <c r="AR52" s="1"/>
      <c r="AS52" s="1"/>
      <c r="AT52" s="1"/>
      <c r="AU52" s="20" t="s">
        <v>732</v>
      </c>
      <c r="AV52" s="19" t="s">
        <v>603</v>
      </c>
      <c r="AW52" s="21" t="s">
        <v>674</v>
      </c>
      <c r="AX52" s="20" t="s">
        <v>635</v>
      </c>
      <c r="AY52" s="20" t="s">
        <v>726</v>
      </c>
    </row>
    <row r="53" spans="16:51" x14ac:dyDescent="0.5">
      <c r="P53" s="1" t="s">
        <v>649</v>
      </c>
      <c r="Q53" s="1" t="s">
        <v>790</v>
      </c>
      <c r="R53" s="1"/>
      <c r="S53" s="65"/>
      <c r="T53" s="1"/>
      <c r="U53" s="1"/>
      <c r="V53" s="1"/>
      <c r="W53" s="1" t="s">
        <v>649</v>
      </c>
      <c r="X53" s="1" t="s">
        <v>790</v>
      </c>
      <c r="Y53" s="65"/>
      <c r="Z53" s="1"/>
      <c r="AA53" s="1" t="s">
        <v>386</v>
      </c>
      <c r="AB53" s="66" t="s">
        <v>602</v>
      </c>
      <c r="AC53" s="1"/>
      <c r="AD53" s="1"/>
      <c r="AE53" s="1"/>
      <c r="AF53" s="1"/>
      <c r="AG53" s="1"/>
      <c r="AH53" s="1"/>
      <c r="AI53" s="1"/>
      <c r="AJ53" s="1"/>
      <c r="AK53" s="1"/>
      <c r="AL53" s="1"/>
      <c r="AM53" s="1"/>
      <c r="AN53" s="1"/>
      <c r="AO53" s="1"/>
      <c r="AP53" s="1"/>
      <c r="AQ53" s="1"/>
      <c r="AR53" s="1"/>
      <c r="AS53" s="1"/>
      <c r="AT53" s="1"/>
      <c r="AU53" s="20" t="s">
        <v>688</v>
      </c>
      <c r="AV53" s="20" t="s">
        <v>660</v>
      </c>
      <c r="AW53" s="19" t="s">
        <v>689</v>
      </c>
      <c r="AX53" s="22" t="s">
        <v>644</v>
      </c>
      <c r="AY53" s="20" t="s">
        <v>96</v>
      </c>
    </row>
    <row r="54" spans="16:51" x14ac:dyDescent="0.5">
      <c r="P54" s="1" t="s">
        <v>769</v>
      </c>
      <c r="Q54" s="1" t="s">
        <v>389</v>
      </c>
      <c r="R54" s="1"/>
      <c r="S54" s="65"/>
      <c r="T54" s="1"/>
      <c r="U54" s="1"/>
      <c r="V54" s="1"/>
      <c r="W54" s="1" t="s">
        <v>769</v>
      </c>
      <c r="X54" s="67" t="s">
        <v>389</v>
      </c>
      <c r="Y54" s="65"/>
      <c r="Z54" s="1"/>
      <c r="AA54" s="1" t="s">
        <v>791</v>
      </c>
      <c r="AB54" s="66" t="s">
        <v>792</v>
      </c>
      <c r="AC54" s="1"/>
      <c r="AD54" s="1"/>
      <c r="AE54" s="1"/>
      <c r="AF54" s="1"/>
      <c r="AG54" s="1"/>
      <c r="AH54" s="1"/>
      <c r="AI54" s="1"/>
      <c r="AJ54" s="1"/>
      <c r="AK54" s="1"/>
      <c r="AL54" s="1"/>
      <c r="AM54" s="1"/>
      <c r="AN54" s="1"/>
      <c r="AO54" s="1"/>
      <c r="AP54" s="1"/>
      <c r="AQ54" s="1"/>
      <c r="AR54" s="1"/>
      <c r="AS54" s="1"/>
      <c r="AT54" s="1"/>
      <c r="AU54" s="20" t="s">
        <v>392</v>
      </c>
      <c r="AV54" s="20" t="s">
        <v>576</v>
      </c>
      <c r="AW54" s="21" t="s">
        <v>695</v>
      </c>
      <c r="AX54" s="20" t="s">
        <v>630</v>
      </c>
      <c r="AY54" s="20" t="s">
        <v>104</v>
      </c>
    </row>
    <row r="55" spans="16:51" x14ac:dyDescent="0.5">
      <c r="P55" s="1" t="s">
        <v>388</v>
      </c>
      <c r="Q55" s="1" t="s">
        <v>779</v>
      </c>
      <c r="R55" s="1"/>
      <c r="S55" s="65"/>
      <c r="T55" s="1"/>
      <c r="U55" s="1"/>
      <c r="V55" s="1"/>
      <c r="W55" s="1" t="s">
        <v>388</v>
      </c>
      <c r="X55" s="1" t="s">
        <v>779</v>
      </c>
      <c r="Y55" s="65"/>
      <c r="Z55" s="1"/>
      <c r="AA55" s="1" t="s">
        <v>665</v>
      </c>
      <c r="AB55" s="66" t="s">
        <v>688</v>
      </c>
      <c r="AC55" s="1"/>
      <c r="AD55" s="1"/>
      <c r="AE55" s="1"/>
      <c r="AF55" s="1"/>
      <c r="AG55" s="1"/>
      <c r="AH55" s="1"/>
      <c r="AI55" s="1"/>
      <c r="AJ55" s="1"/>
      <c r="AK55" s="1"/>
      <c r="AL55" s="1"/>
      <c r="AM55" s="1"/>
      <c r="AN55" s="1"/>
      <c r="AO55" s="1"/>
      <c r="AP55" s="1"/>
      <c r="AQ55" s="1"/>
      <c r="AR55" s="1"/>
      <c r="AS55" s="1"/>
      <c r="AT55" s="1"/>
      <c r="AU55" s="20" t="s">
        <v>766</v>
      </c>
      <c r="AV55" s="22" t="s">
        <v>673</v>
      </c>
      <c r="AW55" s="22" t="s">
        <v>701</v>
      </c>
      <c r="AX55" s="22" t="s">
        <v>691</v>
      </c>
      <c r="AY55" s="20" t="s">
        <v>674</v>
      </c>
    </row>
    <row r="56" spans="16:51" x14ac:dyDescent="0.5">
      <c r="P56" s="1" t="s">
        <v>558</v>
      </c>
      <c r="Q56" s="1" t="s">
        <v>681</v>
      </c>
      <c r="R56" s="1"/>
      <c r="S56" s="65"/>
      <c r="T56" s="1"/>
      <c r="U56" s="1"/>
      <c r="V56" s="1"/>
      <c r="W56" s="1" t="s">
        <v>558</v>
      </c>
      <c r="X56" s="1" t="s">
        <v>681</v>
      </c>
      <c r="Y56" s="65"/>
      <c r="Z56" s="1"/>
      <c r="AA56" s="1" t="s">
        <v>721</v>
      </c>
      <c r="AB56" s="66" t="s">
        <v>793</v>
      </c>
      <c r="AC56" s="1"/>
      <c r="AD56" s="1"/>
      <c r="AE56" s="1"/>
      <c r="AF56" s="1"/>
      <c r="AG56" s="1"/>
      <c r="AH56" s="1"/>
      <c r="AI56" s="1"/>
      <c r="AJ56" s="1"/>
      <c r="AK56" s="1"/>
      <c r="AL56" s="1"/>
      <c r="AM56" s="1"/>
      <c r="AN56" s="1"/>
      <c r="AO56" s="1"/>
      <c r="AP56" s="1"/>
      <c r="AQ56" s="1"/>
      <c r="AR56" s="1"/>
      <c r="AS56" s="1"/>
      <c r="AT56" s="1"/>
      <c r="AU56" s="24"/>
      <c r="AV56" s="21" t="s">
        <v>590</v>
      </c>
      <c r="AW56" s="21" t="s">
        <v>710</v>
      </c>
      <c r="AX56" s="20" t="s">
        <v>573</v>
      </c>
      <c r="AY56" s="20" t="s">
        <v>689</v>
      </c>
    </row>
    <row r="57" spans="16:51" x14ac:dyDescent="0.5">
      <c r="P57" s="1" t="s">
        <v>794</v>
      </c>
      <c r="Q57" s="1" t="s">
        <v>689</v>
      </c>
      <c r="R57" s="1"/>
      <c r="S57" s="65"/>
      <c r="T57" s="1"/>
      <c r="U57" s="1"/>
      <c r="V57" s="1"/>
      <c r="W57" s="1" t="s">
        <v>794</v>
      </c>
      <c r="X57" s="1" t="s">
        <v>689</v>
      </c>
      <c r="Y57" s="65"/>
      <c r="Z57" s="1"/>
      <c r="AA57" s="1" t="s">
        <v>388</v>
      </c>
      <c r="AB57" s="66" t="s">
        <v>795</v>
      </c>
      <c r="AC57" s="1"/>
      <c r="AD57" s="1"/>
      <c r="AE57" s="1"/>
      <c r="AF57" s="1"/>
      <c r="AG57" s="1"/>
      <c r="AH57" s="1"/>
      <c r="AI57" s="1"/>
      <c r="AJ57" s="1"/>
      <c r="AK57" s="1"/>
      <c r="AL57" s="1"/>
      <c r="AM57" s="1"/>
      <c r="AN57" s="1"/>
      <c r="AO57" s="1"/>
      <c r="AP57" s="1"/>
      <c r="AQ57" s="1"/>
      <c r="AR57" s="1"/>
      <c r="AS57" s="1"/>
      <c r="AT57" s="1"/>
      <c r="AU57" s="1"/>
      <c r="AV57" s="22" t="s">
        <v>658</v>
      </c>
      <c r="AW57" s="20" t="s">
        <v>713</v>
      </c>
      <c r="AX57" s="20" t="s">
        <v>588</v>
      </c>
      <c r="AY57" s="20" t="s">
        <v>742</v>
      </c>
    </row>
    <row r="58" spans="16:51" x14ac:dyDescent="0.5">
      <c r="P58" s="1" t="s">
        <v>389</v>
      </c>
      <c r="Q58" s="1" t="s">
        <v>390</v>
      </c>
      <c r="R58" s="1"/>
      <c r="S58" s="65"/>
      <c r="T58" s="1"/>
      <c r="U58" s="1"/>
      <c r="V58" s="1"/>
      <c r="W58" s="1" t="s">
        <v>389</v>
      </c>
      <c r="X58" s="1" t="s">
        <v>390</v>
      </c>
      <c r="Y58" s="65"/>
      <c r="Z58" s="1"/>
      <c r="AA58" s="1" t="s">
        <v>796</v>
      </c>
      <c r="AB58" s="66" t="s">
        <v>766</v>
      </c>
      <c r="AC58" s="1"/>
      <c r="AD58" s="1"/>
      <c r="AE58" s="1"/>
      <c r="AF58" s="1"/>
      <c r="AG58" s="1"/>
      <c r="AH58" s="1"/>
      <c r="AI58" s="1"/>
      <c r="AJ58" s="1"/>
      <c r="AK58" s="1"/>
      <c r="AL58" s="1"/>
      <c r="AM58" s="1"/>
      <c r="AN58" s="1"/>
      <c r="AO58" s="1"/>
      <c r="AP58" s="1"/>
      <c r="AQ58" s="1"/>
      <c r="AR58" s="1"/>
      <c r="AS58" s="1"/>
      <c r="AT58" s="1"/>
      <c r="AU58" s="1"/>
      <c r="AV58" s="20" t="s">
        <v>99</v>
      </c>
      <c r="AW58" s="19"/>
      <c r="AX58" s="20" t="s">
        <v>598</v>
      </c>
      <c r="AY58" s="20" t="s">
        <v>710</v>
      </c>
    </row>
    <row r="59" spans="16:51" x14ac:dyDescent="0.5">
      <c r="P59" s="1" t="s">
        <v>779</v>
      </c>
      <c r="Q59" s="1" t="s">
        <v>797</v>
      </c>
      <c r="R59" s="1"/>
      <c r="S59" s="65"/>
      <c r="T59" s="1"/>
      <c r="U59" s="1"/>
      <c r="V59" s="1"/>
      <c r="W59" s="1" t="s">
        <v>779</v>
      </c>
      <c r="X59" s="1" t="s">
        <v>797</v>
      </c>
      <c r="Y59" s="65"/>
      <c r="Z59" s="1"/>
      <c r="AA59" s="1" t="s">
        <v>734</v>
      </c>
      <c r="AB59" s="66" t="s">
        <v>713</v>
      </c>
      <c r="AC59" s="1"/>
      <c r="AD59" s="1"/>
      <c r="AE59" s="1"/>
      <c r="AF59" s="1"/>
      <c r="AG59" s="1"/>
      <c r="AH59" s="1"/>
      <c r="AI59" s="1"/>
      <c r="AJ59" s="1"/>
      <c r="AK59" s="1"/>
      <c r="AL59" s="1"/>
      <c r="AM59" s="1"/>
      <c r="AN59" s="1"/>
      <c r="AO59" s="1"/>
      <c r="AP59" s="1"/>
      <c r="AQ59" s="1"/>
      <c r="AR59" s="1"/>
      <c r="AS59" s="1"/>
      <c r="AT59" s="1"/>
      <c r="AU59" s="18"/>
      <c r="AV59" s="20" t="s">
        <v>676</v>
      </c>
      <c r="AW59" s="19"/>
      <c r="AX59" s="20" t="s">
        <v>378</v>
      </c>
      <c r="AY59" s="20" t="s">
        <v>759</v>
      </c>
    </row>
    <row r="60" spans="16:51" x14ac:dyDescent="0.5">
      <c r="P60" s="1" t="s">
        <v>783</v>
      </c>
      <c r="Q60" s="1" t="s">
        <v>753</v>
      </c>
      <c r="R60" s="1"/>
      <c r="S60" s="65"/>
      <c r="T60" s="1"/>
      <c r="U60" s="1"/>
      <c r="V60" s="1"/>
      <c r="W60" s="1" t="s">
        <v>783</v>
      </c>
      <c r="X60" s="1" t="s">
        <v>753</v>
      </c>
      <c r="Y60" s="65"/>
      <c r="Z60" s="1"/>
      <c r="AA60" s="1" t="s">
        <v>798</v>
      </c>
      <c r="AB60" s="66" t="s">
        <v>102</v>
      </c>
      <c r="AC60" s="1"/>
      <c r="AD60" s="1"/>
      <c r="AE60" s="1"/>
      <c r="AF60" s="1"/>
      <c r="AG60" s="1"/>
      <c r="AH60" s="1"/>
      <c r="AI60" s="1"/>
      <c r="AJ60" s="1"/>
      <c r="AK60" s="1"/>
      <c r="AL60" s="1"/>
      <c r="AM60" s="1"/>
      <c r="AN60" s="1"/>
      <c r="AO60" s="1"/>
      <c r="AP60" s="1"/>
      <c r="AQ60" s="1"/>
      <c r="AR60" s="1"/>
      <c r="AS60" s="1"/>
      <c r="AT60" s="1"/>
      <c r="AU60" s="1"/>
      <c r="AV60" s="22" t="s">
        <v>666</v>
      </c>
      <c r="AW60" s="19"/>
      <c r="AX60" s="20" t="s">
        <v>107</v>
      </c>
      <c r="AY60" s="20"/>
    </row>
    <row r="61" spans="16:51" x14ac:dyDescent="0.5">
      <c r="P61" s="1" t="s">
        <v>579</v>
      </c>
      <c r="Q61" s="1" t="s">
        <v>694</v>
      </c>
      <c r="R61" s="1"/>
      <c r="S61" s="65"/>
      <c r="T61" s="1"/>
      <c r="U61" s="1"/>
      <c r="V61" s="1"/>
      <c r="W61" s="1" t="s">
        <v>579</v>
      </c>
      <c r="X61" s="1" t="s">
        <v>694</v>
      </c>
      <c r="Y61" s="65"/>
      <c r="Z61" s="1"/>
      <c r="AA61" s="1" t="s">
        <v>790</v>
      </c>
      <c r="AB61" s="66" t="s">
        <v>56</v>
      </c>
      <c r="AC61" s="1"/>
      <c r="AD61" s="1"/>
      <c r="AE61" s="1"/>
      <c r="AF61" s="1"/>
      <c r="AG61" s="1"/>
      <c r="AH61" s="1"/>
      <c r="AI61" s="1"/>
      <c r="AJ61" s="1"/>
      <c r="AK61" s="1"/>
      <c r="AL61" s="1"/>
      <c r="AM61" s="1"/>
      <c r="AN61" s="1"/>
      <c r="AO61" s="1"/>
      <c r="AP61" s="1"/>
      <c r="AQ61" s="1"/>
      <c r="AR61" s="1"/>
      <c r="AS61" s="1"/>
      <c r="AT61" s="1"/>
      <c r="AU61" s="1"/>
      <c r="AV61" s="20" t="s">
        <v>575</v>
      </c>
      <c r="AW61" s="19"/>
      <c r="AX61" s="20" t="s">
        <v>647</v>
      </c>
      <c r="AY61" s="20"/>
    </row>
    <row r="62" spans="16:51" x14ac:dyDescent="0.5">
      <c r="P62" s="1" t="s">
        <v>739</v>
      </c>
      <c r="Q62" s="1" t="s">
        <v>710</v>
      </c>
      <c r="R62" s="1"/>
      <c r="S62" s="65"/>
      <c r="T62" s="1"/>
      <c r="U62" s="1"/>
      <c r="V62" s="1"/>
      <c r="W62" s="1" t="s">
        <v>739</v>
      </c>
      <c r="X62" s="1" t="s">
        <v>710</v>
      </c>
      <c r="Y62" s="65"/>
      <c r="Z62" s="1"/>
      <c r="AA62" s="1" t="s">
        <v>799</v>
      </c>
      <c r="AB62" s="66" t="s">
        <v>393</v>
      </c>
      <c r="AC62" s="1"/>
      <c r="AD62" s="1"/>
      <c r="AE62" s="1"/>
      <c r="AF62" s="1"/>
      <c r="AG62" s="1"/>
      <c r="AH62" s="1"/>
      <c r="AI62" s="1"/>
      <c r="AJ62" s="1"/>
      <c r="AK62" s="1"/>
      <c r="AL62" s="1"/>
      <c r="AM62" s="1"/>
      <c r="AN62" s="1"/>
      <c r="AO62" s="1"/>
      <c r="AP62" s="1"/>
      <c r="AQ62" s="1"/>
      <c r="AR62" s="1"/>
      <c r="AS62" s="1"/>
      <c r="AT62" s="1"/>
      <c r="AU62" s="1"/>
      <c r="AV62" s="22" t="s">
        <v>638</v>
      </c>
      <c r="AW62" s="19"/>
      <c r="AX62" s="20" t="s">
        <v>656</v>
      </c>
      <c r="AY62" s="20"/>
    </row>
    <row r="63" spans="16:51" x14ac:dyDescent="0.5">
      <c r="P63" s="1" t="s">
        <v>592</v>
      </c>
      <c r="Q63" s="1" t="s">
        <v>56</v>
      </c>
      <c r="R63" s="1"/>
      <c r="S63" s="65"/>
      <c r="T63" s="1"/>
      <c r="U63" s="1"/>
      <c r="V63" s="1"/>
      <c r="W63" s="1" t="s">
        <v>592</v>
      </c>
      <c r="X63" s="1" t="s">
        <v>56</v>
      </c>
      <c r="Y63" s="65"/>
      <c r="Z63" s="1"/>
      <c r="AA63" s="1" t="s">
        <v>800</v>
      </c>
      <c r="AB63" s="66"/>
      <c r="AC63" s="1"/>
      <c r="AD63" s="1"/>
      <c r="AE63" s="1"/>
      <c r="AF63" s="1"/>
      <c r="AG63" s="1"/>
      <c r="AH63" s="1"/>
      <c r="AI63" s="1"/>
      <c r="AJ63" s="1"/>
      <c r="AK63" s="1"/>
      <c r="AL63" s="1"/>
      <c r="AM63" s="1"/>
      <c r="AN63" s="1"/>
      <c r="AO63" s="1"/>
      <c r="AP63" s="1"/>
      <c r="AQ63" s="1"/>
      <c r="AR63" s="1"/>
      <c r="AS63" s="1"/>
      <c r="AT63" s="1"/>
      <c r="AU63" s="18"/>
      <c r="AV63" s="22" t="s">
        <v>697</v>
      </c>
      <c r="AW63" s="19"/>
      <c r="AX63" s="22" t="s">
        <v>664</v>
      </c>
      <c r="AY63" s="20"/>
    </row>
    <row r="64" spans="16:51" x14ac:dyDescent="0.5">
      <c r="P64" s="1"/>
      <c r="Q64" s="1" t="s">
        <v>759</v>
      </c>
      <c r="R64" s="1"/>
      <c r="S64" s="65"/>
      <c r="T64" s="1"/>
      <c r="U64" s="1"/>
      <c r="V64" s="1"/>
      <c r="W64" s="1"/>
      <c r="X64" s="1" t="s">
        <v>759</v>
      </c>
      <c r="Y64" s="65"/>
      <c r="Z64" s="1"/>
      <c r="AA64" s="1" t="s">
        <v>681</v>
      </c>
      <c r="AB64" s="66"/>
      <c r="AC64" s="1"/>
      <c r="AD64" s="1"/>
      <c r="AE64" s="1"/>
      <c r="AF64" s="1"/>
      <c r="AG64" s="1"/>
      <c r="AH64" s="1"/>
      <c r="AI64" s="1"/>
      <c r="AJ64" s="1"/>
      <c r="AK64" s="1"/>
      <c r="AL64" s="1"/>
      <c r="AM64" s="1"/>
      <c r="AN64" s="1"/>
      <c r="AO64" s="1"/>
      <c r="AP64" s="1"/>
      <c r="AQ64" s="1"/>
      <c r="AR64" s="1"/>
      <c r="AS64" s="1"/>
      <c r="AT64" s="1"/>
      <c r="AU64" s="1"/>
      <c r="AV64" s="20" t="s">
        <v>384</v>
      </c>
      <c r="AW64" s="19"/>
      <c r="AX64" s="20" t="s">
        <v>385</v>
      </c>
      <c r="AY64" s="20"/>
    </row>
    <row r="65" spans="17:51" x14ac:dyDescent="0.5">
      <c r="Q65" s="1" t="s">
        <v>393</v>
      </c>
      <c r="R65" s="1"/>
      <c r="S65" s="65"/>
      <c r="T65" s="1"/>
      <c r="U65" s="1"/>
      <c r="V65" s="1"/>
      <c r="W65" s="1"/>
      <c r="X65" s="1" t="s">
        <v>393</v>
      </c>
      <c r="Y65" s="65"/>
      <c r="Z65" s="1"/>
      <c r="AA65" s="1" t="s">
        <v>801</v>
      </c>
      <c r="AB65" s="66"/>
      <c r="AC65" s="1"/>
      <c r="AD65" s="1"/>
      <c r="AE65" s="1"/>
      <c r="AF65" s="1"/>
      <c r="AG65" s="1"/>
      <c r="AH65" s="1"/>
      <c r="AI65" s="1"/>
      <c r="AJ65" s="1"/>
      <c r="AK65" s="1"/>
      <c r="AL65" s="1"/>
      <c r="AM65" s="1"/>
      <c r="AN65" s="1"/>
      <c r="AO65" s="1"/>
      <c r="AP65" s="1"/>
      <c r="AQ65" s="1"/>
      <c r="AR65" s="1"/>
      <c r="AS65" s="1"/>
      <c r="AT65" s="1"/>
      <c r="AU65" s="1"/>
      <c r="AV65" s="19" t="s">
        <v>675</v>
      </c>
      <c r="AW65" s="19"/>
      <c r="AX65" s="22" t="s">
        <v>628</v>
      </c>
      <c r="AY65" s="20"/>
    </row>
    <row r="66" spans="17:51" ht="17" thickBot="1" x14ac:dyDescent="0.55000000000000004">
      <c r="Q66" s="1" t="s">
        <v>802</v>
      </c>
      <c r="R66" s="1"/>
      <c r="S66" s="71"/>
      <c r="T66" s="72"/>
      <c r="U66" s="72"/>
      <c r="V66" s="72"/>
      <c r="W66" s="72"/>
      <c r="X66" s="72" t="s">
        <v>802</v>
      </c>
      <c r="Y66" s="65"/>
      <c r="Z66" s="1"/>
      <c r="AA66" s="1" t="s">
        <v>803</v>
      </c>
      <c r="AB66" s="66"/>
      <c r="AC66" s="1"/>
      <c r="AD66" s="1"/>
      <c r="AE66" s="1"/>
      <c r="AF66" s="1"/>
      <c r="AG66" s="1"/>
      <c r="AH66" s="1"/>
      <c r="AI66" s="1"/>
      <c r="AJ66" s="1"/>
      <c r="AK66" s="1"/>
      <c r="AL66" s="1"/>
      <c r="AM66" s="1"/>
      <c r="AN66" s="1"/>
      <c r="AO66" s="1"/>
      <c r="AP66" s="1"/>
      <c r="AQ66" s="1"/>
      <c r="AR66" s="1"/>
      <c r="AS66" s="1"/>
      <c r="AT66" s="1"/>
      <c r="AU66" s="1"/>
      <c r="AV66" s="21" t="s">
        <v>629</v>
      </c>
      <c r="AW66" s="19"/>
      <c r="AX66" s="20" t="s">
        <v>634</v>
      </c>
      <c r="AY66" s="20"/>
    </row>
    <row r="67" spans="17:51" x14ac:dyDescent="0.5">
      <c r="Q67" s="1"/>
      <c r="R67" s="1"/>
      <c r="S67" s="1"/>
      <c r="T67" s="1"/>
      <c r="U67" s="1"/>
      <c r="V67" s="1"/>
      <c r="W67" s="1"/>
      <c r="X67" s="1"/>
      <c r="Y67" s="65"/>
      <c r="Z67" s="1"/>
      <c r="AA67" s="1" t="s">
        <v>804</v>
      </c>
      <c r="AB67" s="66"/>
      <c r="AC67" s="1"/>
      <c r="AD67" s="1"/>
      <c r="AE67" s="1"/>
      <c r="AF67" s="1"/>
      <c r="AG67" s="1"/>
      <c r="AH67" s="1"/>
      <c r="AI67" s="1"/>
      <c r="AJ67" s="1"/>
      <c r="AK67" s="1"/>
      <c r="AL67" s="1"/>
      <c r="AM67" s="1"/>
      <c r="AN67" s="1"/>
      <c r="AO67" s="1"/>
      <c r="AP67" s="1"/>
      <c r="AQ67" s="1"/>
      <c r="AR67" s="1"/>
      <c r="AS67" s="1"/>
      <c r="AT67" s="1"/>
      <c r="AU67" s="1"/>
      <c r="AV67" s="22" t="s">
        <v>722</v>
      </c>
      <c r="AW67" s="19"/>
      <c r="AX67" s="20" t="s">
        <v>712</v>
      </c>
      <c r="AY67" s="20"/>
    </row>
    <row r="68" spans="17:51" x14ac:dyDescent="0.5">
      <c r="Q68" s="1"/>
      <c r="R68" s="1"/>
      <c r="S68" s="1"/>
      <c r="T68" s="1"/>
      <c r="U68" s="1"/>
      <c r="V68" s="1"/>
      <c r="W68" s="1"/>
      <c r="X68" s="1"/>
      <c r="Y68" s="65"/>
      <c r="Z68" s="1"/>
      <c r="AA68" s="1" t="s">
        <v>805</v>
      </c>
      <c r="AB68" s="66"/>
      <c r="AC68" s="1"/>
      <c r="AD68" s="1"/>
      <c r="AE68" s="1"/>
      <c r="AF68" s="1"/>
      <c r="AG68" s="1"/>
      <c r="AH68" s="1"/>
      <c r="AI68" s="1"/>
      <c r="AJ68" s="1"/>
      <c r="AK68" s="1"/>
      <c r="AL68" s="1"/>
      <c r="AM68" s="1"/>
      <c r="AN68" s="1"/>
      <c r="AO68" s="1"/>
      <c r="AP68" s="1"/>
      <c r="AQ68" s="1"/>
      <c r="AR68" s="1"/>
      <c r="AS68" s="1"/>
      <c r="AT68" s="1"/>
      <c r="AU68" s="1"/>
      <c r="AV68" s="19" t="s">
        <v>690</v>
      </c>
      <c r="AW68" s="19"/>
      <c r="AX68" s="20" t="s">
        <v>646</v>
      </c>
      <c r="AY68" s="20"/>
    </row>
    <row r="69" spans="17:51" ht="17" thickBot="1" x14ac:dyDescent="0.55000000000000004">
      <c r="Q69" s="1"/>
      <c r="R69" s="1"/>
      <c r="S69" s="1"/>
      <c r="T69" s="1"/>
      <c r="U69" s="1"/>
      <c r="V69" s="1"/>
      <c r="W69" s="1"/>
      <c r="X69" s="1"/>
      <c r="Y69" s="71"/>
      <c r="Z69" s="72"/>
      <c r="AA69" s="72" t="s">
        <v>766</v>
      </c>
      <c r="AB69" s="73"/>
      <c r="AC69" s="1"/>
      <c r="AD69" s="1"/>
      <c r="AE69" s="1"/>
      <c r="AF69" s="1"/>
      <c r="AG69" s="1"/>
      <c r="AH69" s="1"/>
      <c r="AI69" s="1"/>
      <c r="AJ69" s="1"/>
      <c r="AK69" s="1"/>
      <c r="AL69" s="1"/>
      <c r="AM69" s="1"/>
      <c r="AN69" s="1"/>
      <c r="AO69" s="1"/>
      <c r="AP69" s="1"/>
      <c r="AQ69" s="1"/>
      <c r="AR69" s="1"/>
      <c r="AS69" s="1"/>
      <c r="AT69" s="1"/>
      <c r="AU69" s="1"/>
      <c r="AV69" s="20" t="s">
        <v>650</v>
      </c>
      <c r="AW69" s="19"/>
      <c r="AX69" s="20" t="s">
        <v>558</v>
      </c>
      <c r="AY69" s="20"/>
    </row>
    <row r="70" spans="17:51" x14ac:dyDescent="0.5">
      <c r="Q70" s="1"/>
      <c r="R70" s="1"/>
      <c r="S70" s="1"/>
      <c r="T70" s="1"/>
      <c r="U70" s="1"/>
      <c r="V70" s="1"/>
      <c r="W70" s="1"/>
      <c r="X70" s="1"/>
      <c r="Y70" s="1"/>
      <c r="Z70" s="1"/>
      <c r="AA70" s="1"/>
      <c r="AB70" s="1"/>
      <c r="AC70" s="1"/>
      <c r="AD70" s="1"/>
      <c r="AE70" s="1"/>
      <c r="AF70" s="1"/>
      <c r="AG70" s="1"/>
      <c r="AH70" s="1"/>
      <c r="AI70" s="1"/>
      <c r="AJ70" s="1"/>
      <c r="AK70" s="1"/>
      <c r="AL70" s="1"/>
      <c r="AM70" s="1"/>
      <c r="AN70" s="1"/>
      <c r="AO70" s="1"/>
      <c r="AP70" s="1"/>
      <c r="AQ70" s="1"/>
      <c r="AR70" s="1"/>
      <c r="AS70" s="1"/>
      <c r="AT70" s="1"/>
      <c r="AU70" s="1"/>
      <c r="AV70" s="22" t="s">
        <v>736</v>
      </c>
      <c r="AW70" s="23"/>
      <c r="AX70" s="20" t="s">
        <v>718</v>
      </c>
      <c r="AY70" s="20"/>
    </row>
    <row r="71" spans="17:51" x14ac:dyDescent="0.5">
      <c r="Q71" s="1"/>
      <c r="R71" s="1"/>
      <c r="S71" s="1"/>
      <c r="T71" s="1"/>
      <c r="U71" s="1"/>
      <c r="V71" s="1"/>
      <c r="W71" s="1"/>
      <c r="X71" s="1"/>
      <c r="Y71" s="1"/>
      <c r="Z71" s="1"/>
      <c r="AA71" s="1"/>
      <c r="AB71" s="1"/>
      <c r="AC71" s="1"/>
      <c r="AD71" s="1"/>
      <c r="AE71" s="1"/>
      <c r="AF71" s="1"/>
      <c r="AG71" s="1"/>
      <c r="AH71" s="1"/>
      <c r="AI71" s="1"/>
      <c r="AJ71" s="1"/>
      <c r="AK71" s="1"/>
      <c r="AL71" s="1"/>
      <c r="AM71" s="1"/>
      <c r="AN71" s="1"/>
      <c r="AO71" s="1"/>
      <c r="AP71" s="1"/>
      <c r="AQ71" s="1"/>
      <c r="AR71" s="1"/>
      <c r="AS71" s="1"/>
      <c r="AT71" s="1"/>
      <c r="AU71" s="1"/>
      <c r="AV71" s="20" t="s">
        <v>386</v>
      </c>
      <c r="AW71" s="1"/>
      <c r="AX71" s="20" t="s">
        <v>663</v>
      </c>
      <c r="AY71" s="20"/>
    </row>
    <row r="72" spans="17:51" x14ac:dyDescent="0.5">
      <c r="Q72" s="1"/>
      <c r="R72" s="1"/>
      <c r="S72" s="1"/>
      <c r="T72" s="1"/>
      <c r="U72" s="1"/>
      <c r="V72" s="1"/>
      <c r="W72" s="1"/>
      <c r="X72" s="1"/>
      <c r="Y72" s="1"/>
      <c r="Z72" s="1"/>
      <c r="AA72" s="1"/>
      <c r="AB72" s="1"/>
      <c r="AC72" s="1"/>
      <c r="AD72" s="1"/>
      <c r="AE72" s="1"/>
      <c r="AF72" s="1"/>
      <c r="AG72" s="1"/>
      <c r="AH72" s="1"/>
      <c r="AI72" s="1"/>
      <c r="AJ72" s="1"/>
      <c r="AK72" s="1"/>
      <c r="AL72" s="1"/>
      <c r="AM72" s="1"/>
      <c r="AN72" s="1"/>
      <c r="AO72" s="1"/>
      <c r="AP72" s="1"/>
      <c r="AQ72" s="1"/>
      <c r="AR72" s="1"/>
      <c r="AS72" s="1"/>
      <c r="AT72" s="1"/>
      <c r="AU72" s="1"/>
      <c r="AV72" s="20" t="s">
        <v>665</v>
      </c>
      <c r="AW72" s="1"/>
      <c r="AX72" s="22" t="s">
        <v>726</v>
      </c>
      <c r="AY72" s="20"/>
    </row>
    <row r="73" spans="17:51" x14ac:dyDescent="0.5">
      <c r="Q73" s="1"/>
      <c r="R73" s="1"/>
      <c r="S73" s="1"/>
      <c r="T73" s="1"/>
      <c r="U73" s="1"/>
      <c r="V73" s="1"/>
      <c r="W73" s="1"/>
      <c r="X73" s="1"/>
      <c r="Y73" s="1"/>
      <c r="Z73" s="1"/>
      <c r="AA73" s="1"/>
      <c r="AB73" s="1"/>
      <c r="AC73" s="1"/>
      <c r="AD73" s="1"/>
      <c r="AE73" s="1"/>
      <c r="AF73" s="1"/>
      <c r="AG73" s="1"/>
      <c r="AH73" s="1"/>
      <c r="AI73" s="1"/>
      <c r="AJ73" s="1"/>
      <c r="AK73" s="1"/>
      <c r="AL73" s="1"/>
      <c r="AM73" s="1"/>
      <c r="AN73" s="1"/>
      <c r="AO73" s="1"/>
      <c r="AP73" s="1"/>
      <c r="AQ73" s="1"/>
      <c r="AR73" s="1"/>
      <c r="AS73" s="1"/>
      <c r="AT73" s="1"/>
      <c r="AU73" s="1"/>
      <c r="AV73" s="22" t="s">
        <v>634</v>
      </c>
      <c r="AW73" s="1"/>
      <c r="AX73" s="20" t="s">
        <v>731</v>
      </c>
      <c r="AY73" s="20"/>
    </row>
    <row r="74" spans="17:51" x14ac:dyDescent="0.5">
      <c r="Q74" s="1"/>
      <c r="R74" s="1"/>
      <c r="S74" s="1"/>
      <c r="T74" s="1"/>
      <c r="U74" s="1"/>
      <c r="V74" s="1"/>
      <c r="W74" s="1"/>
      <c r="X74" s="1"/>
      <c r="Y74" s="1"/>
      <c r="Z74" s="1"/>
      <c r="AA74" s="1"/>
      <c r="AB74" s="1"/>
      <c r="AC74" s="1"/>
      <c r="AD74" s="1"/>
      <c r="AE74" s="1"/>
      <c r="AF74" s="1"/>
      <c r="AG74" s="1"/>
      <c r="AH74" s="1"/>
      <c r="AI74" s="1"/>
      <c r="AJ74" s="1"/>
      <c r="AK74" s="1"/>
      <c r="AL74" s="1"/>
      <c r="AM74" s="1"/>
      <c r="AN74" s="1"/>
      <c r="AO74" s="1"/>
      <c r="AP74" s="1"/>
      <c r="AQ74" s="1"/>
      <c r="AR74" s="1"/>
      <c r="AS74" s="1"/>
      <c r="AT74" s="1"/>
      <c r="AU74" s="1"/>
      <c r="AV74" s="19" t="s">
        <v>702</v>
      </c>
      <c r="AW74" s="1"/>
      <c r="AX74" s="22" t="s">
        <v>96</v>
      </c>
      <c r="AY74" s="20"/>
    </row>
    <row r="75" spans="17:51" x14ac:dyDescent="0.5">
      <c r="Q75" s="1"/>
      <c r="R75" s="1"/>
      <c r="S75" s="1"/>
      <c r="T75" s="1"/>
      <c r="U75" s="1"/>
      <c r="V75" s="1"/>
      <c r="W75" s="1"/>
      <c r="X75" s="1"/>
      <c r="Y75" s="1"/>
      <c r="Z75" s="1"/>
      <c r="AA75" s="1"/>
      <c r="AB75" s="1"/>
      <c r="AC75" s="1"/>
      <c r="AD75" s="1"/>
      <c r="AE75" s="1"/>
      <c r="AF75" s="1"/>
      <c r="AG75" s="1"/>
      <c r="AH75" s="1"/>
      <c r="AI75" s="1"/>
      <c r="AJ75" s="1"/>
      <c r="AK75" s="1"/>
      <c r="AL75" s="1"/>
      <c r="AM75" s="1"/>
      <c r="AN75" s="1"/>
      <c r="AO75" s="1"/>
      <c r="AP75" s="1"/>
      <c r="AQ75" s="1"/>
      <c r="AR75" s="1"/>
      <c r="AS75" s="1"/>
      <c r="AT75" s="1"/>
      <c r="AU75" s="1"/>
      <c r="AV75" s="21" t="s">
        <v>711</v>
      </c>
      <c r="AW75" s="1"/>
      <c r="AX75" s="20" t="s">
        <v>104</v>
      </c>
      <c r="AY75" s="20"/>
    </row>
    <row r="76" spans="17:51" x14ac:dyDescent="0.5">
      <c r="Q76" s="1"/>
      <c r="R76" s="1"/>
      <c r="S76" s="1"/>
      <c r="T76" s="1"/>
      <c r="U76" s="1"/>
      <c r="V76" s="1"/>
      <c r="W76" s="1"/>
      <c r="X76" s="1"/>
      <c r="Y76" s="1"/>
      <c r="Z76" s="1"/>
      <c r="AA76" s="1"/>
      <c r="AB76" s="1"/>
      <c r="AC76" s="1"/>
      <c r="AD76" s="1"/>
      <c r="AE76" s="1"/>
      <c r="AF76" s="1"/>
      <c r="AG76" s="1"/>
      <c r="AH76" s="1"/>
      <c r="AI76" s="1"/>
      <c r="AJ76" s="1"/>
      <c r="AK76" s="1"/>
      <c r="AL76" s="1"/>
      <c r="AM76" s="1"/>
      <c r="AN76" s="1"/>
      <c r="AO76" s="1"/>
      <c r="AP76" s="1"/>
      <c r="AQ76" s="1"/>
      <c r="AR76" s="1"/>
      <c r="AS76" s="1"/>
      <c r="AT76" s="1"/>
      <c r="AU76" s="1"/>
      <c r="AV76" s="19" t="s">
        <v>714</v>
      </c>
      <c r="AW76" s="1"/>
      <c r="AX76" s="20" t="s">
        <v>685</v>
      </c>
      <c r="AY76" s="20"/>
    </row>
    <row r="77" spans="17:51" x14ac:dyDescent="0.5">
      <c r="Q77" s="1"/>
      <c r="R77" s="1"/>
      <c r="S77" s="1"/>
      <c r="T77" s="1"/>
      <c r="U77" s="1"/>
      <c r="V77" s="1"/>
      <c r="W77" s="1"/>
      <c r="X77" s="1"/>
      <c r="Y77" s="1"/>
      <c r="Z77" s="1"/>
      <c r="AA77" s="1"/>
      <c r="AB77" s="1"/>
      <c r="AC77" s="1"/>
      <c r="AD77" s="1"/>
      <c r="AE77" s="1"/>
      <c r="AF77" s="1"/>
      <c r="AG77" s="1"/>
      <c r="AH77" s="1"/>
      <c r="AI77" s="1"/>
      <c r="AJ77" s="1"/>
      <c r="AK77" s="1"/>
      <c r="AL77" s="1"/>
      <c r="AM77" s="1"/>
      <c r="AN77" s="1"/>
      <c r="AO77" s="1"/>
      <c r="AP77" s="1"/>
      <c r="AQ77" s="1"/>
      <c r="AR77" s="1"/>
      <c r="AS77" s="1"/>
      <c r="AT77" s="1"/>
      <c r="AU77" s="1"/>
      <c r="AV77" s="22" t="s">
        <v>744</v>
      </c>
      <c r="AW77" s="1"/>
      <c r="AX77" s="22" t="s">
        <v>674</v>
      </c>
      <c r="AY77" s="20"/>
    </row>
    <row r="78" spans="17:51" x14ac:dyDescent="0.5">
      <c r="Q78" s="1"/>
      <c r="R78" s="1"/>
      <c r="S78" s="1"/>
      <c r="T78" s="1"/>
      <c r="U78" s="1"/>
      <c r="V78" s="1"/>
      <c r="W78" s="1"/>
      <c r="X78" s="1"/>
      <c r="Y78" s="1"/>
      <c r="Z78" s="1"/>
      <c r="AA78" s="1"/>
      <c r="AB78" s="1"/>
      <c r="AC78" s="1"/>
      <c r="AD78" s="1"/>
      <c r="AE78" s="1"/>
      <c r="AF78" s="1"/>
      <c r="AG78" s="1"/>
      <c r="AH78" s="1"/>
      <c r="AI78" s="1"/>
      <c r="AJ78" s="1"/>
      <c r="AK78" s="1"/>
      <c r="AL78" s="1"/>
      <c r="AM78" s="1"/>
      <c r="AN78" s="1"/>
      <c r="AO78" s="1"/>
      <c r="AP78" s="1"/>
      <c r="AQ78" s="1"/>
      <c r="AR78" s="1"/>
      <c r="AS78" s="1"/>
      <c r="AT78" s="1"/>
      <c r="AU78" s="1"/>
      <c r="AV78" s="22" t="s">
        <v>96</v>
      </c>
      <c r="AW78" s="1"/>
      <c r="AX78" s="22" t="s">
        <v>700</v>
      </c>
      <c r="AY78" s="20"/>
    </row>
    <row r="79" spans="17:51" x14ac:dyDescent="0.5">
      <c r="Q79" s="1"/>
      <c r="R79" s="1"/>
      <c r="S79" s="1"/>
      <c r="T79" s="1"/>
      <c r="U79" s="1"/>
      <c r="V79" s="1"/>
      <c r="W79" s="1"/>
      <c r="X79" s="1"/>
      <c r="Y79" s="1"/>
      <c r="Z79" s="1"/>
      <c r="AA79" s="1"/>
      <c r="AB79" s="1"/>
      <c r="AC79" s="1"/>
      <c r="AD79" s="1"/>
      <c r="AE79" s="1"/>
      <c r="AF79" s="1"/>
      <c r="AG79" s="1"/>
      <c r="AH79" s="1"/>
      <c r="AI79" s="1"/>
      <c r="AJ79" s="1"/>
      <c r="AK79" s="1"/>
      <c r="AL79" s="1"/>
      <c r="AM79" s="1"/>
      <c r="AN79" s="1"/>
      <c r="AO79" s="1"/>
      <c r="AP79" s="1"/>
      <c r="AQ79" s="1"/>
      <c r="AR79" s="1"/>
      <c r="AS79" s="1"/>
      <c r="AT79" s="1"/>
      <c r="AU79" s="1"/>
      <c r="AV79" s="20" t="s">
        <v>104</v>
      </c>
      <c r="AW79" s="1"/>
      <c r="AX79" s="20" t="s">
        <v>689</v>
      </c>
      <c r="AY79" s="20"/>
    </row>
    <row r="80" spans="17:51" x14ac:dyDescent="0.5">
      <c r="Q80" s="1"/>
      <c r="R80" s="1"/>
      <c r="S80" s="1"/>
      <c r="T80" s="1"/>
      <c r="U80" s="1"/>
      <c r="V80" s="1"/>
      <c r="W80" s="1"/>
      <c r="X80" s="1"/>
      <c r="Y80" s="1"/>
      <c r="Z80" s="1"/>
      <c r="AA80" s="1"/>
      <c r="AB80" s="1"/>
      <c r="AC80" s="1"/>
      <c r="AD80" s="1"/>
      <c r="AE80" s="1"/>
      <c r="AF80" s="1"/>
      <c r="AG80" s="1"/>
      <c r="AH80" s="1"/>
      <c r="AI80" s="1"/>
      <c r="AJ80" s="1"/>
      <c r="AK80" s="1"/>
      <c r="AL80" s="1"/>
      <c r="AM80" s="1"/>
      <c r="AN80" s="1"/>
      <c r="AO80" s="1"/>
      <c r="AP80" s="1"/>
      <c r="AQ80" s="1"/>
      <c r="AR80" s="1"/>
      <c r="AS80" s="1"/>
      <c r="AT80" s="1"/>
      <c r="AU80" s="1"/>
      <c r="AV80" s="21" t="s">
        <v>719</v>
      </c>
      <c r="AW80" s="1"/>
      <c r="AX80" s="20" t="s">
        <v>742</v>
      </c>
      <c r="AY80" s="20"/>
    </row>
    <row r="81" spans="48:51" x14ac:dyDescent="0.5">
      <c r="AV81" s="22" t="s">
        <v>735</v>
      </c>
      <c r="AW81" s="1"/>
      <c r="AX81" s="22" t="s">
        <v>680</v>
      </c>
      <c r="AY81" s="22"/>
    </row>
    <row r="82" spans="48:51" x14ac:dyDescent="0.5">
      <c r="AV82" s="19" t="s">
        <v>727</v>
      </c>
      <c r="AW82" s="1"/>
      <c r="AX82" s="20" t="s">
        <v>686</v>
      </c>
      <c r="AY82" s="20"/>
    </row>
    <row r="83" spans="48:51" x14ac:dyDescent="0.5">
      <c r="AV83" s="20" t="s">
        <v>389</v>
      </c>
      <c r="AW83" s="1"/>
      <c r="AX83" s="22" t="s">
        <v>753</v>
      </c>
      <c r="AY83" s="22"/>
    </row>
    <row r="84" spans="48:51" x14ac:dyDescent="0.5">
      <c r="AV84" s="22" t="s">
        <v>732</v>
      </c>
      <c r="AW84" s="1"/>
      <c r="AX84" s="22" t="s">
        <v>694</v>
      </c>
      <c r="AY84" s="20"/>
    </row>
    <row r="85" spans="48:51" x14ac:dyDescent="0.5">
      <c r="AV85" s="19" t="s">
        <v>579</v>
      </c>
      <c r="AW85" s="1"/>
      <c r="AX85" s="20" t="s">
        <v>710</v>
      </c>
      <c r="AY85" s="20"/>
    </row>
    <row r="86" spans="48:51" x14ac:dyDescent="0.5">
      <c r="AV86" s="20" t="s">
        <v>739</v>
      </c>
      <c r="AW86" s="1"/>
      <c r="AX86" s="25" t="s">
        <v>759</v>
      </c>
      <c r="AY86" s="20"/>
    </row>
    <row r="87" spans="48:51" x14ac:dyDescent="0.5">
      <c r="AV87" s="22" t="s">
        <v>701</v>
      </c>
      <c r="AW87" s="1"/>
      <c r="AX87" s="22" t="s">
        <v>393</v>
      </c>
      <c r="AY87" s="25"/>
    </row>
    <row r="88" spans="48:51" x14ac:dyDescent="0.5">
      <c r="AV88" s="20" t="s">
        <v>713</v>
      </c>
      <c r="AW88" s="1"/>
      <c r="AX88" s="22"/>
      <c r="AY88" s="1"/>
    </row>
    <row r="89" spans="48:51" x14ac:dyDescent="0.5">
      <c r="AV89" s="22"/>
      <c r="AW89" s="1"/>
      <c r="AX89" s="22"/>
      <c r="AY89" s="1"/>
    </row>
    <row r="90" spans="48:51" x14ac:dyDescent="0.5">
      <c r="AV90" s="22"/>
      <c r="AW90" s="1"/>
      <c r="AX90" s="22"/>
      <c r="AY90" s="1"/>
    </row>
    <row r="91" spans="48:51" x14ac:dyDescent="0.5">
      <c r="AV91" s="20"/>
      <c r="AW91" s="1"/>
      <c r="AX91" s="22"/>
      <c r="AY91" s="1"/>
    </row>
    <row r="92" spans="48:51" x14ac:dyDescent="0.5">
      <c r="AV92" s="22"/>
      <c r="AW92" s="1"/>
      <c r="AX92" s="25"/>
      <c r="AY92" s="1"/>
    </row>
    <row r="93" spans="48:51" x14ac:dyDescent="0.5">
      <c r="AV93" s="22"/>
      <c r="AW93" s="1"/>
      <c r="AX93" s="1"/>
      <c r="AY93" s="1"/>
    </row>
    <row r="94" spans="48:51" x14ac:dyDescent="0.5">
      <c r="AV94" s="22"/>
      <c r="AW94" s="1"/>
      <c r="AX94" s="1"/>
      <c r="AY94" s="1"/>
    </row>
    <row r="95" spans="48:51" x14ac:dyDescent="0.5">
      <c r="AV95" s="22"/>
      <c r="AW95" s="1"/>
      <c r="AX95" s="1"/>
      <c r="AY95" s="1"/>
    </row>
    <row r="96" spans="48:51" x14ac:dyDescent="0.5">
      <c r="AV96" s="22"/>
      <c r="AW96" s="1"/>
      <c r="AX96" s="1"/>
      <c r="AY96" s="1"/>
    </row>
    <row r="97" spans="48:48" x14ac:dyDescent="0.5">
      <c r="AV97" s="20"/>
    </row>
    <row r="98" spans="48:48" x14ac:dyDescent="0.5">
      <c r="AV98" s="22"/>
    </row>
    <row r="99" spans="48:48" x14ac:dyDescent="0.5">
      <c r="AV99" s="22"/>
    </row>
    <row r="100" spans="48:48" x14ac:dyDescent="0.5">
      <c r="AV100" s="22"/>
    </row>
    <row r="101" spans="48:48" x14ac:dyDescent="0.5">
      <c r="AV101" s="22"/>
    </row>
    <row r="102" spans="48:48" x14ac:dyDescent="0.5">
      <c r="AV102" s="22"/>
    </row>
    <row r="103" spans="48:48" x14ac:dyDescent="0.5">
      <c r="AV103" s="21"/>
    </row>
    <row r="104" spans="48:48" x14ac:dyDescent="0.5">
      <c r="AV104" s="22"/>
    </row>
    <row r="105" spans="48:48" x14ac:dyDescent="0.5">
      <c r="AV105" s="22"/>
    </row>
    <row r="106" spans="48:48" x14ac:dyDescent="0.5">
      <c r="AV106" s="22"/>
    </row>
    <row r="107" spans="48:48" x14ac:dyDescent="0.5">
      <c r="AV107" s="22"/>
    </row>
    <row r="108" spans="48:48" x14ac:dyDescent="0.5">
      <c r="AV108" s="25"/>
    </row>
  </sheetData>
  <mergeCells count="10">
    <mergeCell ref="L2:Q2"/>
    <mergeCell ref="S2:X2"/>
    <mergeCell ref="Y2:AB2"/>
    <mergeCell ref="AC2:AG2"/>
    <mergeCell ref="AL2:AQ2"/>
    <mergeCell ref="AL3:AN3"/>
    <mergeCell ref="AO3:AQ3"/>
    <mergeCell ref="S1:AG1"/>
    <mergeCell ref="AL1:AQ1"/>
    <mergeCell ref="AT1:AY1"/>
  </mergeCells>
  <pageMargins left="0.7" right="0.7" top="0.75" bottom="0.75" header="0.3" footer="0.3"/>
  <legacyDrawing r:id="rId1"/>
  <tableParts count="47">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 r:id="rId19"/>
    <tablePart r:id="rId20"/>
    <tablePart r:id="rId21"/>
    <tablePart r:id="rId22"/>
    <tablePart r:id="rId23"/>
    <tablePart r:id="rId24"/>
    <tablePart r:id="rId25"/>
    <tablePart r:id="rId26"/>
    <tablePart r:id="rId27"/>
    <tablePart r:id="rId28"/>
    <tablePart r:id="rId29"/>
    <tablePart r:id="rId30"/>
    <tablePart r:id="rId31"/>
    <tablePart r:id="rId32"/>
    <tablePart r:id="rId33"/>
    <tablePart r:id="rId34"/>
    <tablePart r:id="rId35"/>
    <tablePart r:id="rId36"/>
    <tablePart r:id="rId37"/>
    <tablePart r:id="rId38"/>
    <tablePart r:id="rId39"/>
    <tablePart r:id="rId40"/>
    <tablePart r:id="rId41"/>
    <tablePart r:id="rId42"/>
    <tablePart r:id="rId43"/>
    <tablePart r:id="rId44"/>
    <tablePart r:id="rId45"/>
    <tablePart r:id="rId46"/>
    <tablePart r:id="rId47"/>
    <tablePart r:id="rId48"/>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o" ma:contentTypeID="0x010100CB1A98D2066F30438A381D4FE44CE3A2" ma:contentTypeVersion="4" ma:contentTypeDescription="Crear nuevo documento." ma:contentTypeScope="" ma:versionID="7432a343c9520d9089daf0409b8f723e">
  <xsd:schema xmlns:xsd="http://www.w3.org/2001/XMLSchema" xmlns:xs="http://www.w3.org/2001/XMLSchema" xmlns:p="http://schemas.microsoft.com/office/2006/metadata/properties" xmlns:ns2="a4562c49-b45c-4362-b20c-f58ba12cde2f" xmlns:ns3="ffa1b9b5-8217-4ebe-90c5-3f2196c49a4f" targetNamespace="http://schemas.microsoft.com/office/2006/metadata/properties" ma:root="true" ma:fieldsID="a9831a0ee939c9e3a94af062f92b87b9" ns2:_="" ns3:_="">
    <xsd:import namespace="a4562c49-b45c-4362-b20c-f58ba12cde2f"/>
    <xsd:import namespace="ffa1b9b5-8217-4ebe-90c5-3f2196c49a4f"/>
    <xsd:element name="properties">
      <xsd:complexType>
        <xsd:sequence>
          <xsd:element name="documentManagement">
            <xsd:complexType>
              <xsd:all>
                <xsd:element ref="ns2:MediaServiceMetadata" minOccurs="0"/>
                <xsd:element ref="ns2:MediaServiceFastMetadata" minOccurs="0"/>
                <xsd:element ref="ns3:SharedWithUsers" minOccurs="0"/>
                <xsd:element ref="ns3:SharedWithDetail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4562c49-b45c-4362-b20c-f58ba12cde2f" elementFormDefault="qualified">
    <xsd:import namespace="http://schemas.microsoft.com/office/2006/documentManagement/types"/>
    <xsd:import namespace="http://schemas.microsoft.com/office/infopath/2007/PartnerControls"/>
    <xsd:element name="MediaServiceMetadata" ma:index="8" nillable="true" ma:displayName="MediaServiceMetadata" ma:description="" ma:hidden="true" ma:internalName="MediaServiceMetadata" ma:readOnly="true">
      <xsd:simpleType>
        <xsd:restriction base="dms:Note"/>
      </xsd:simpleType>
    </xsd:element>
    <xsd:element name="MediaServiceFastMetadata" ma:index="9" nillable="true" ma:displayName="MediaServiceFastMetadata" ma:description="" ma:hidden="true" ma:internalName="MediaServiceFast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ffa1b9b5-8217-4ebe-90c5-3f2196c49a4f" elementFormDefault="qualified">
    <xsd:import namespace="http://schemas.microsoft.com/office/2006/documentManagement/types"/>
    <xsd:import namespace="http://schemas.microsoft.com/office/infopath/2007/PartnerControls"/>
    <xsd:element name="SharedWithUsers" ma:index="10" nillable="true" ma:displayName="Compartido con"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1" nillable="true" ma:displayName="Detalles de uso compartido"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ni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4.xml>�� 
</file>

<file path=customXml/itemProps1.xml><?xml version="1.0" encoding="utf-8"?>
<ds:datastoreItem xmlns:ds="http://schemas.openxmlformats.org/officeDocument/2006/customXml" ds:itemID="{43398591-DCD4-4E84-81B6-C225C92B9877}">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a4562c49-b45c-4362-b20c-f58ba12cde2f"/>
    <ds:schemaRef ds:uri="ffa1b9b5-8217-4ebe-90c5-3f2196c49a4f"/>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49A8CC42-3498-4AB9-83FD-168387E0E379}">
  <ds:schemaRefs>
    <ds:schemaRef ds:uri="http://schemas.microsoft.com/office/2006/metadata/properties"/>
    <ds:schemaRef ds:uri="http://schemas.microsoft.com/office/infopath/2007/PartnerControls"/>
  </ds:schemaRefs>
</ds:datastoreItem>
</file>

<file path=customXml/itemProps3.xml><?xml version="1.0" encoding="utf-8"?>
<ds:datastoreItem xmlns:ds="http://schemas.openxmlformats.org/officeDocument/2006/customXml" ds:itemID="{F86D18D9-0B6E-411F-93FD-BE55E800AD09}">
  <ds:schemaRefs>
    <ds:schemaRef ds:uri="http://schemas.microsoft.com/sharepoint/v3/contenttype/forms"/>
  </ds:schemaRefs>
</ds:datastoreItem>
</file>

<file path=customXml/itemProps4.xml><?xml version="1.0" encoding="utf-8"?>
<ds:datastoreItem xmlns:ds="http://schemas.openxmlformats.org/officeDocument/2006/customXml" ds:itemID="{493507B7-C361-46E0-AF44-6194D8191CB1}">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8</vt:i4>
      </vt:variant>
      <vt:variant>
        <vt:lpstr>Rangos con nombre</vt:lpstr>
      </vt:variant>
      <vt:variant>
        <vt:i4>11</vt:i4>
      </vt:variant>
    </vt:vector>
  </HeadingPairs>
  <TitlesOfParts>
    <vt:vector size="19" baseType="lpstr">
      <vt:lpstr>Paso1 Analisis perfil egreso</vt:lpstr>
      <vt:lpstr>Paso 2 Redacción competen</vt:lpstr>
      <vt:lpstr>Paso 3 Redacción RA</vt:lpstr>
      <vt:lpstr>Paso 3 Redacción RA - Backup </vt:lpstr>
      <vt:lpstr>Paso 4 Estrategias mesocurricu</vt:lpstr>
      <vt:lpstr>Paso 5 Estrategias micro</vt:lpstr>
      <vt:lpstr>Taxonomía para competencias</vt:lpstr>
      <vt:lpstr>Taxonomias para RA</vt:lpstr>
      <vt:lpstr>ActitudinalBAK</vt:lpstr>
      <vt:lpstr>Bloom</vt:lpstr>
      <vt:lpstr>Circutos</vt:lpstr>
      <vt:lpstr>CognitivoBAK</vt:lpstr>
      <vt:lpstr>CompetenciaEspecifica1</vt:lpstr>
      <vt:lpstr>ComponentesCompetencias</vt:lpstr>
      <vt:lpstr>ProcedimentalBAK</vt:lpstr>
      <vt:lpstr>RA</vt:lpstr>
      <vt:lpstr>Saber</vt:lpstr>
      <vt:lpstr>SaberHacer</vt:lpstr>
      <vt:lpstr>SaberSer</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Diana Shirley Velasquez Rojas</dc:creator>
  <cp:keywords/>
  <dc:description/>
  <cp:lastModifiedBy>Diana Shirley Velasquez Rojas</cp:lastModifiedBy>
  <cp:revision/>
  <dcterms:created xsi:type="dcterms:W3CDTF">2021-03-03T13:22:18Z</dcterms:created>
  <dcterms:modified xsi:type="dcterms:W3CDTF">2026-05-06T15:28:12Z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0x010100CB1A98D2066F30438A381D4FE44CE3A2</vt:lpwstr>
  </property>
</Properties>
</file>